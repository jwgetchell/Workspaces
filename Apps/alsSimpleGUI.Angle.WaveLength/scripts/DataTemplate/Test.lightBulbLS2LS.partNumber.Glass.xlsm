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filterPrivacy="1" codeName="ThisWorkbook" defaultThemeVersion="124226"/>
  <bookViews>
    <workbookView xWindow="-15" yWindow="-15" windowWidth="21690" windowHeight="7200"/>
    <workbookView xWindow="-15" yWindow="7185" windowWidth="21690" windowHeight="7245" activeTab="8"/>
  </bookViews>
  <sheets>
    <sheet name="Summary" sheetId="1" r:id="rId1"/>
    <sheet name="Parameters" sheetId="16" r:id="rId2"/>
    <sheet name="Scaled" sheetId="14" r:id="rId3"/>
    <sheet name="Calculations" sheetId="2" r:id="rId4"/>
    <sheet name="data0" sheetId="3" r:id="rId5"/>
    <sheet name="data1" sheetId="9" r:id="rId6"/>
    <sheet name="data2" sheetId="10" r:id="rId7"/>
    <sheet name="data3" sheetId="11" r:id="rId8"/>
    <sheet name="data4" sheetId="12" r:id="rId9"/>
    <sheet name="data5" sheetId="13" r:id="rId10"/>
    <sheet name="data6" sheetId="15" r:id="rId11"/>
  </sheets>
  <functionGroups/>
  <definedNames>
    <definedName name="_IRM0">Scaled!$E$91</definedName>
    <definedName name="_IRM1">Scaled!$E$92</definedName>
    <definedName name="_IRM2">Scaled!$E$93</definedName>
    <definedName name="_IRM3">Scaled!$E$94</definedName>
    <definedName name="calTable">Parameters!$D$10:$K$13</definedName>
    <definedName name="comp38">Parameters!$C$20</definedName>
    <definedName name="dataEnable">Parameters!$K$25:$K$101</definedName>
    <definedName name="gainCorrect">Parameters!$I$3</definedName>
    <definedName name="GC">Scaled!$F$221</definedName>
    <definedName name="lux">Parameters!$C$19</definedName>
    <definedName name="lux_0">Parameters!$D$10</definedName>
    <definedName name="lux_1">Parameters!$D$11</definedName>
    <definedName name="lux_2">Parameters!$D$12</definedName>
    <definedName name="lux_3">Parameters!$D$13</definedName>
    <definedName name="nRngPerK">Parameters!$I$5</definedName>
    <definedName name="partNumber">Parameters!$C$18</definedName>
    <definedName name="removeFliers">Parameters!$I$4</definedName>
    <definedName name="rng0Fw">Parameters!$D$3</definedName>
    <definedName name="rng1Fw">Parameters!$D$4</definedName>
    <definedName name="rng2Fw">Parameters!$D$5</definedName>
    <definedName name="rng3Fw">Parameters!$D$6</definedName>
    <definedName name="solver_adj" localSheetId="3" hidden="1">Calculations!$G$4</definedName>
    <definedName name="solver_adj" localSheetId="2" hidden="1">Scaled!$F$91</definedName>
    <definedName name="solver_cvg" localSheetId="3" hidden="1">0.0001</definedName>
    <definedName name="solver_cvg" localSheetId="2" hidden="1">0.0001</definedName>
    <definedName name="solver_drv" localSheetId="3" hidden="1">1</definedName>
    <definedName name="solver_drv" localSheetId="2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100</definedName>
    <definedName name="solver_itr" localSheetId="2" hidden="1">100</definedName>
    <definedName name="solver_lin" localSheetId="3" hidden="1">2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3" hidden="1">2</definedName>
    <definedName name="solver_neg" localSheetId="2" hidden="1">2</definedName>
    <definedName name="solver_nod" localSheetId="2" hidden="1">2147483647</definedName>
    <definedName name="solver_num" localSheetId="3" hidden="1">0</definedName>
    <definedName name="solver_num" localSheetId="2" hidden="1">0</definedName>
    <definedName name="solver_nwt" localSheetId="3" hidden="1">1</definedName>
    <definedName name="solver_nwt" localSheetId="2" hidden="1">1</definedName>
    <definedName name="solver_opt" localSheetId="3" hidden="1">Calculations!$D$10</definedName>
    <definedName name="solver_opt" localSheetId="2" hidden="1">Scaled!$G$91</definedName>
    <definedName name="solver_pre" localSheetId="3" hidden="1">0.000001</definedName>
    <definedName name="solver_pre" localSheetId="2" hidden="1">0.000001</definedName>
    <definedName name="solver_rbv" localSheetId="2" hidden="1">1</definedName>
    <definedName name="solver_rlx" localSheetId="2" hidden="1">1</definedName>
    <definedName name="solver_rsd" localSheetId="2" hidden="1">0</definedName>
    <definedName name="solver_scl" localSheetId="3" hidden="1">2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ssz" localSheetId="2" hidden="1">100</definedName>
    <definedName name="solver_tim" localSheetId="3" hidden="1">100</definedName>
    <definedName name="solver_tim" localSheetId="2" hidden="1">100</definedName>
    <definedName name="solver_tol" localSheetId="3" hidden="1">0.05</definedName>
    <definedName name="solver_tol" localSheetId="2" hidden="1">0.05</definedName>
    <definedName name="solver_typ" localSheetId="3" hidden="1">3</definedName>
    <definedName name="solver_typ" localSheetId="2" hidden="1">2</definedName>
    <definedName name="solver_val" localSheetId="3" hidden="1">0</definedName>
    <definedName name="solver_val" localSheetId="2" hidden="1">0</definedName>
    <definedName name="solver_ver" localSheetId="2" hidden="1">3</definedName>
    <definedName name="useFilterWheels">Parameters!$C$2</definedName>
    <definedName name="useIRcomp">Parameters!$I$2</definedName>
    <definedName name="xOffset">Summary!$AB$11</definedName>
    <definedName name="yOffset">Summary!$AB$12</definedName>
  </definedNames>
  <calcPr calcId="125725"/>
</workbook>
</file>

<file path=xl/calcChain.xml><?xml version="1.0" encoding="utf-8"?>
<calcChain xmlns="http://schemas.openxmlformats.org/spreadsheetml/2006/main">
  <c r="AB12" i="1"/>
  <c r="AB11"/>
  <c r="D11" i="16"/>
  <c r="D12" s="1"/>
  <c r="D13" s="1"/>
  <c r="AD11"/>
  <c r="AD10"/>
  <c r="AD9"/>
  <c r="AD8"/>
  <c r="AD7"/>
  <c r="A1" i="1"/>
  <c r="P341" i="14"/>
  <c r="K57" i="16"/>
  <c r="K56"/>
  <c r="K55"/>
  <c r="K54"/>
  <c r="K53"/>
  <c r="K52"/>
  <c r="K51"/>
  <c r="K50"/>
  <c r="K49"/>
  <c r="K48"/>
  <c r="K47"/>
  <c r="K101"/>
  <c r="K100"/>
  <c r="K99"/>
  <c r="K98"/>
  <c r="K97"/>
  <c r="K96"/>
  <c r="K94"/>
  <c r="K93"/>
  <c r="K92"/>
  <c r="K91"/>
  <c r="K89"/>
  <c r="K88"/>
  <c r="K87"/>
  <c r="K86"/>
  <c r="K85"/>
  <c r="K83"/>
  <c r="K82"/>
  <c r="K81"/>
  <c r="K80"/>
  <c r="K90"/>
  <c r="K46"/>
  <c r="K45"/>
  <c r="K44"/>
  <c r="K43"/>
  <c r="K42"/>
  <c r="K41"/>
  <c r="K36"/>
  <c r="K38"/>
  <c r="K37"/>
  <c r="T17" i="15"/>
  <c r="T16"/>
  <c r="T15"/>
  <c r="T17" i="13"/>
  <c r="T16"/>
  <c r="T15"/>
  <c r="T17" i="10"/>
  <c r="T16"/>
  <c r="T15"/>
  <c r="T17" i="9"/>
  <c r="T16"/>
  <c r="T15"/>
  <c r="K68" i="16"/>
  <c r="K67"/>
  <c r="K66"/>
  <c r="K65"/>
  <c r="K64"/>
  <c r="K63"/>
  <c r="K61"/>
  <c r="K60"/>
  <c r="K59"/>
  <c r="K58"/>
  <c r="V4" i="2"/>
  <c r="T17" i="11"/>
  <c r="T16"/>
  <c r="T15"/>
  <c r="T17" i="12"/>
  <c r="T16"/>
  <c r="T15"/>
  <c r="G4" i="2"/>
  <c r="AA4"/>
  <c r="K79" i="16"/>
  <c r="R17" i="3"/>
  <c r="R16"/>
  <c r="R15"/>
  <c r="R14"/>
  <c r="T17"/>
  <c r="T16"/>
  <c r="T15"/>
  <c r="A15" i="1"/>
  <c r="K95" i="16"/>
  <c r="K84"/>
  <c r="K78"/>
  <c r="K77"/>
  <c r="K76"/>
  <c r="K75"/>
  <c r="K74"/>
  <c r="K73"/>
  <c r="K72"/>
  <c r="K71"/>
  <c r="K70"/>
  <c r="K69"/>
  <c r="K62"/>
  <c r="K40"/>
  <c r="K39"/>
  <c r="K29"/>
  <c r="K35"/>
  <c r="K34"/>
  <c r="K33"/>
  <c r="K32"/>
  <c r="K31"/>
  <c r="K30"/>
  <c r="K28"/>
  <c r="K27"/>
  <c r="K26"/>
  <c r="K25"/>
  <c r="H299" i="14"/>
  <c r="H298"/>
  <c r="H297"/>
  <c r="H296"/>
  <c r="H292"/>
  <c r="H291"/>
  <c r="H290"/>
  <c r="H289"/>
  <c r="H285"/>
  <c r="H284"/>
  <c r="H283"/>
  <c r="H282"/>
  <c r="B293"/>
  <c r="B286"/>
  <c r="B279"/>
  <c r="H270"/>
  <c r="H269"/>
  <c r="H268"/>
  <c r="H267"/>
  <c r="H263"/>
  <c r="H262"/>
  <c r="H261"/>
  <c r="H260"/>
  <c r="B264"/>
  <c r="B257"/>
  <c r="H248"/>
  <c r="H247"/>
  <c r="H246"/>
  <c r="H245"/>
  <c r="B242"/>
  <c r="B272"/>
  <c r="B250"/>
  <c r="B235"/>
  <c r="B227"/>
  <c r="K202"/>
  <c r="B214"/>
  <c r="A207"/>
  <c r="A212" s="1"/>
  <c r="A217" s="1"/>
  <c r="B165"/>
  <c r="B185" s="1"/>
  <c r="B209" s="1"/>
  <c r="A163"/>
  <c r="A168" s="1"/>
  <c r="K158"/>
  <c r="J126"/>
  <c r="J131" s="1"/>
  <c r="K106"/>
  <c r="I76"/>
  <c r="I77" s="1"/>
  <c r="I78" s="1"/>
  <c r="I79" s="1"/>
  <c r="I80" s="1"/>
  <c r="I81" s="1"/>
  <c r="I82" s="1"/>
  <c r="I83" s="1"/>
  <c r="I84" s="1"/>
  <c r="I85" s="1"/>
  <c r="I64"/>
  <c r="I65" s="1"/>
  <c r="I66" s="1"/>
  <c r="I67" s="1"/>
  <c r="I68" s="1"/>
  <c r="I69" s="1"/>
  <c r="I70" s="1"/>
  <c r="I71" s="1"/>
  <c r="I72" s="1"/>
  <c r="I73" s="1"/>
  <c r="I52"/>
  <c r="I53" s="1"/>
  <c r="I54" s="1"/>
  <c r="I55" s="1"/>
  <c r="I56" s="1"/>
  <c r="I57" s="1"/>
  <c r="I58" s="1"/>
  <c r="I59" s="1"/>
  <c r="I60" s="1"/>
  <c r="I61" s="1"/>
  <c r="I40"/>
  <c r="I41" s="1"/>
  <c r="I42" s="1"/>
  <c r="I43" s="1"/>
  <c r="I44" s="1"/>
  <c r="I45" s="1"/>
  <c r="I46" s="1"/>
  <c r="I47" s="1"/>
  <c r="I48" s="1"/>
  <c r="I49" s="1"/>
  <c r="I28"/>
  <c r="I29" s="1"/>
  <c r="I30" s="1"/>
  <c r="I31" s="1"/>
  <c r="I32" s="1"/>
  <c r="I33" s="1"/>
  <c r="I34" s="1"/>
  <c r="I35" s="1"/>
  <c r="I36" s="1"/>
  <c r="I37" s="1"/>
  <c r="I16"/>
  <c r="I17" s="1"/>
  <c r="I18" s="1"/>
  <c r="I19" s="1"/>
  <c r="I20" s="1"/>
  <c r="I21" s="1"/>
  <c r="I22" s="1"/>
  <c r="I23" s="1"/>
  <c r="I24" s="1"/>
  <c r="I25" s="1"/>
  <c r="I5"/>
  <c r="I6" s="1"/>
  <c r="I7" s="1"/>
  <c r="I8" s="1"/>
  <c r="I4"/>
  <c r="M3"/>
  <c r="L4"/>
  <c r="L5" s="1"/>
  <c r="L6" s="1"/>
  <c r="L7" s="1"/>
  <c r="L8" s="1"/>
  <c r="L9" s="1"/>
  <c r="L10" s="1"/>
  <c r="L11" s="1"/>
  <c r="L12" s="1"/>
  <c r="L13" s="1"/>
  <c r="L15" s="1"/>
  <c r="L16" s="1"/>
  <c r="M16" s="1"/>
  <c r="O16" s="1"/>
  <c r="K3"/>
  <c r="J15"/>
  <c r="J27" s="1"/>
  <c r="J4"/>
  <c r="J16" s="1"/>
  <c r="J28" s="1"/>
  <c r="J40" s="1"/>
  <c r="J52" s="1"/>
  <c r="J64" s="1"/>
  <c r="J76" s="1"/>
  <c r="K9" i="16"/>
  <c r="E91" s="1"/>
  <c r="J9"/>
  <c r="E80" s="1"/>
  <c r="I9"/>
  <c r="E69" s="1"/>
  <c r="H9"/>
  <c r="E58" s="1"/>
  <c r="G9"/>
  <c r="E47" s="1"/>
  <c r="F9"/>
  <c r="E36" s="1"/>
  <c r="E9"/>
  <c r="E25" s="1"/>
  <c r="D6"/>
  <c r="E6" s="1"/>
  <c r="D5"/>
  <c r="E5" s="1"/>
  <c r="D4"/>
  <c r="E4" s="1"/>
  <c r="D3"/>
  <c r="E3" s="1"/>
  <c r="Y17"/>
  <c r="Y16"/>
  <c r="Y15"/>
  <c r="P342" i="14" l="1"/>
  <c r="I9"/>
  <c r="I10" s="1"/>
  <c r="I11" s="1"/>
  <c r="I131"/>
  <c r="J39"/>
  <c r="J51" s="1"/>
  <c r="J63" s="1"/>
  <c r="J75" s="1"/>
  <c r="K27"/>
  <c r="K126"/>
  <c r="I12"/>
  <c r="I13" s="1"/>
  <c r="K131"/>
  <c r="K28"/>
  <c r="K40"/>
  <c r="K52"/>
  <c r="K64"/>
  <c r="K76"/>
  <c r="M5"/>
  <c r="M7"/>
  <c r="M9"/>
  <c r="O9" s="1"/>
  <c r="M11"/>
  <c r="O11" s="1"/>
  <c r="M13"/>
  <c r="O13" s="1"/>
  <c r="O3"/>
  <c r="M4"/>
  <c r="O4" s="1"/>
  <c r="M6"/>
  <c r="M8"/>
  <c r="O8" s="1"/>
  <c r="M10"/>
  <c r="O10" s="1"/>
  <c r="M12"/>
  <c r="O12" s="1"/>
  <c r="M15"/>
  <c r="O15" s="1"/>
  <c r="K15"/>
  <c r="O6"/>
  <c r="O5"/>
  <c r="O7"/>
  <c r="L17"/>
  <c r="M17" s="1"/>
  <c r="O17" s="1"/>
  <c r="J5"/>
  <c r="J6" s="1"/>
  <c r="J7" s="1"/>
  <c r="J8" s="1"/>
  <c r="J9" s="1"/>
  <c r="J10" s="1"/>
  <c r="J11" s="1"/>
  <c r="J12" s="1"/>
  <c r="J13" s="1"/>
  <c r="J25" s="1"/>
  <c r="J37" s="1"/>
  <c r="J49" s="1"/>
  <c r="J61" s="1"/>
  <c r="J73" s="1"/>
  <c r="J85" s="1"/>
  <c r="K5"/>
  <c r="K16"/>
  <c r="K4"/>
  <c r="K8"/>
  <c r="J17"/>
  <c r="J29" s="1"/>
  <c r="J41" s="1"/>
  <c r="J53" s="1"/>
  <c r="J65" s="1"/>
  <c r="J77" s="1"/>
  <c r="J18"/>
  <c r="J30" s="1"/>
  <c r="J42" s="1"/>
  <c r="J54" s="1"/>
  <c r="J66" s="1"/>
  <c r="J78" s="1"/>
  <c r="J19"/>
  <c r="J31" s="1"/>
  <c r="J43" s="1"/>
  <c r="J55" s="1"/>
  <c r="J67" s="1"/>
  <c r="J79" s="1"/>
  <c r="J20"/>
  <c r="J21"/>
  <c r="J33" s="1"/>
  <c r="J45" s="1"/>
  <c r="J57" s="1"/>
  <c r="J69" s="1"/>
  <c r="J81" s="1"/>
  <c r="J22"/>
  <c r="J34" s="1"/>
  <c r="J46" s="1"/>
  <c r="J58" s="1"/>
  <c r="J70" s="1"/>
  <c r="J82" s="1"/>
  <c r="J23"/>
  <c r="J35" s="1"/>
  <c r="J47" s="1"/>
  <c r="J59" s="1"/>
  <c r="J71" s="1"/>
  <c r="J83" s="1"/>
  <c r="J24"/>
  <c r="J36" s="1"/>
  <c r="J48" s="1"/>
  <c r="J60" s="1"/>
  <c r="J72" s="1"/>
  <c r="J84" s="1"/>
  <c r="Y8" i="16"/>
  <c r="Y9" s="1"/>
  <c r="Y10" s="1"/>
  <c r="Y11" s="1"/>
  <c r="Y7"/>
  <c r="A131" i="14"/>
  <c r="B25"/>
  <c r="B37" s="1"/>
  <c r="B49" s="1"/>
  <c r="B61" s="1"/>
  <c r="B73" s="1"/>
  <c r="B85" s="1"/>
  <c r="B23"/>
  <c r="B35" s="1"/>
  <c r="B47" s="1"/>
  <c r="B59" s="1"/>
  <c r="B71" s="1"/>
  <c r="B83" s="1"/>
  <c r="B20"/>
  <c r="B32" s="1"/>
  <c r="B44" s="1"/>
  <c r="B56" s="1"/>
  <c r="B68" s="1"/>
  <c r="B80" s="1"/>
  <c r="B116" s="1"/>
  <c r="B15"/>
  <c r="B27" s="1"/>
  <c r="B39" s="1"/>
  <c r="B51" s="1"/>
  <c r="B63" s="1"/>
  <c r="B75" s="1"/>
  <c r="B96" s="1"/>
  <c r="B109" s="1"/>
  <c r="B134" s="1"/>
  <c r="C13"/>
  <c r="C25" s="1"/>
  <c r="C37" s="1"/>
  <c r="C49" s="1"/>
  <c r="C61" s="1"/>
  <c r="C73" s="1"/>
  <c r="C85" s="1"/>
  <c r="C12"/>
  <c r="C24" s="1"/>
  <c r="C36" s="1"/>
  <c r="C48" s="1"/>
  <c r="C60" s="1"/>
  <c r="C72" s="1"/>
  <c r="C84" s="1"/>
  <c r="C11"/>
  <c r="C23" s="1"/>
  <c r="C35" s="1"/>
  <c r="C47" s="1"/>
  <c r="C59" s="1"/>
  <c r="C71" s="1"/>
  <c r="C83" s="1"/>
  <c r="C10"/>
  <c r="C22" s="1"/>
  <c r="C34" s="1"/>
  <c r="C46" s="1"/>
  <c r="C58" s="1"/>
  <c r="C70" s="1"/>
  <c r="C82" s="1"/>
  <c r="C9"/>
  <c r="C21" s="1"/>
  <c r="C33" s="1"/>
  <c r="C45" s="1"/>
  <c r="C57" s="1"/>
  <c r="C69" s="1"/>
  <c r="C81" s="1"/>
  <c r="C8"/>
  <c r="C20" s="1"/>
  <c r="C32" s="1"/>
  <c r="C44" s="1"/>
  <c r="C56" s="1"/>
  <c r="C68" s="1"/>
  <c r="C80" s="1"/>
  <c r="C7"/>
  <c r="C19" s="1"/>
  <c r="C31" s="1"/>
  <c r="C6"/>
  <c r="C18" s="1"/>
  <c r="C30" s="1"/>
  <c r="C5"/>
  <c r="C17" s="1"/>
  <c r="C29" s="1"/>
  <c r="C4"/>
  <c r="C16" s="1"/>
  <c r="C28" s="1"/>
  <c r="C3"/>
  <c r="AG17" i="15"/>
  <c r="AF17"/>
  <c r="AE17"/>
  <c r="AD17"/>
  <c r="AC17"/>
  <c r="AB17"/>
  <c r="AA17"/>
  <c r="Z17"/>
  <c r="Y17"/>
  <c r="X17"/>
  <c r="W17"/>
  <c r="V17"/>
  <c r="U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I17" s="1"/>
  <c r="AG16"/>
  <c r="AF16"/>
  <c r="AE16"/>
  <c r="AD16"/>
  <c r="AC16"/>
  <c r="AB16"/>
  <c r="AA16"/>
  <c r="Z16"/>
  <c r="Y16"/>
  <c r="X16"/>
  <c r="W16"/>
  <c r="V16"/>
  <c r="U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7" i="13"/>
  <c r="AF17"/>
  <c r="AE17"/>
  <c r="AD17"/>
  <c r="AC17"/>
  <c r="AB17"/>
  <c r="AA17"/>
  <c r="Z17"/>
  <c r="Y17"/>
  <c r="X17"/>
  <c r="W17"/>
  <c r="V17"/>
  <c r="U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7" i="12"/>
  <c r="AF17"/>
  <c r="AE17"/>
  <c r="AD17"/>
  <c r="AC17"/>
  <c r="AB17"/>
  <c r="AA17"/>
  <c r="Z17"/>
  <c r="Y17"/>
  <c r="X17"/>
  <c r="W17"/>
  <c r="V17"/>
  <c r="U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7" i="11"/>
  <c r="AF17"/>
  <c r="AE17"/>
  <c r="AD17"/>
  <c r="AC17"/>
  <c r="AB17"/>
  <c r="AA17"/>
  <c r="Z17"/>
  <c r="Y17"/>
  <c r="X17"/>
  <c r="W17"/>
  <c r="V17"/>
  <c r="U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7" i="10"/>
  <c r="AF17"/>
  <c r="AE17"/>
  <c r="AD17"/>
  <c r="AC17"/>
  <c r="AB17"/>
  <c r="AA17"/>
  <c r="Z17"/>
  <c r="Y17"/>
  <c r="X17"/>
  <c r="W17"/>
  <c r="V17"/>
  <c r="U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I17" s="1"/>
  <c r="AG16"/>
  <c r="AF16"/>
  <c r="AE16"/>
  <c r="AD16"/>
  <c r="AC16"/>
  <c r="AB16"/>
  <c r="AA16"/>
  <c r="Z16"/>
  <c r="Y16"/>
  <c r="X16"/>
  <c r="W16"/>
  <c r="V16"/>
  <c r="U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I15" s="1"/>
  <c r="AG17" i="9"/>
  <c r="AF17"/>
  <c r="AE17"/>
  <c r="AD17"/>
  <c r="AC17"/>
  <c r="AB17"/>
  <c r="AA17"/>
  <c r="Z17"/>
  <c r="Y17"/>
  <c r="X17"/>
  <c r="W17"/>
  <c r="V17"/>
  <c r="U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J9" i="15"/>
  <c r="AJ8"/>
  <c r="AJ7"/>
  <c r="AJ9" i="13"/>
  <c r="AJ8"/>
  <c r="AJ7"/>
  <c r="AJ9" i="12"/>
  <c r="AJ8"/>
  <c r="AJ7"/>
  <c r="AJ9" i="11"/>
  <c r="AJ8"/>
  <c r="AJ7"/>
  <c r="AJ9" i="10"/>
  <c r="AJ8"/>
  <c r="AJ7"/>
  <c r="AJ8" i="9"/>
  <c r="AH8"/>
  <c r="AJ7"/>
  <c r="AG15" i="3"/>
  <c r="AF15"/>
  <c r="AE15"/>
  <c r="AD15"/>
  <c r="AC15"/>
  <c r="AB15"/>
  <c r="AA15"/>
  <c r="Z15"/>
  <c r="Y15"/>
  <c r="X15"/>
  <c r="W15"/>
  <c r="V15"/>
  <c r="U15"/>
  <c r="S15"/>
  <c r="Q15"/>
  <c r="P15"/>
  <c r="O15"/>
  <c r="N15"/>
  <c r="M15"/>
  <c r="L15"/>
  <c r="K15"/>
  <c r="J15"/>
  <c r="I15"/>
  <c r="H15"/>
  <c r="G15"/>
  <c r="F15"/>
  <c r="E15"/>
  <c r="D15"/>
  <c r="C15"/>
  <c r="B15"/>
  <c r="Q16"/>
  <c r="O16"/>
  <c r="M16"/>
  <c r="K16"/>
  <c r="I16"/>
  <c r="G16"/>
  <c r="E16"/>
  <c r="AI7"/>
  <c r="B16"/>
  <c r="A12" i="15"/>
  <c r="A11"/>
  <c r="A10"/>
  <c r="A9"/>
  <c r="A8"/>
  <c r="A7"/>
  <c r="A12" i="13"/>
  <c r="A11"/>
  <c r="A10"/>
  <c r="A9"/>
  <c r="A8"/>
  <c r="A7"/>
  <c r="A12" i="12"/>
  <c r="A11"/>
  <c r="A10"/>
  <c r="A9"/>
  <c r="A8"/>
  <c r="A7"/>
  <c r="A12" i="11"/>
  <c r="A11"/>
  <c r="A10"/>
  <c r="A9"/>
  <c r="A8"/>
  <c r="A7"/>
  <c r="A12" i="10"/>
  <c r="A11"/>
  <c r="A9"/>
  <c r="A10"/>
  <c r="A8"/>
  <c r="A7"/>
  <c r="A12" i="9"/>
  <c r="A11"/>
  <c r="A10"/>
  <c r="A9"/>
  <c r="A8"/>
  <c r="A7"/>
  <c r="A12" i="3"/>
  <c r="A11"/>
  <c r="A9"/>
  <c r="A10"/>
  <c r="A8"/>
  <c r="A7"/>
  <c r="AU2" i="14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AI15" i="12" l="1"/>
  <c r="A43" i="1"/>
  <c r="P344" i="14"/>
  <c r="A29" i="1"/>
  <c r="P343" i="14"/>
  <c r="AJ17" i="9"/>
  <c r="AI16" i="10"/>
  <c r="AJ17"/>
  <c r="AI15" i="15"/>
  <c r="AI16"/>
  <c r="AJ17"/>
  <c r="AJ15" i="13"/>
  <c r="AJ17"/>
  <c r="AJ16"/>
  <c r="AI15" i="9"/>
  <c r="AJ16"/>
  <c r="AJ15" i="11"/>
  <c r="AJ17"/>
  <c r="AJ16"/>
  <c r="AI17" i="12"/>
  <c r="AJ16"/>
  <c r="AJ15"/>
  <c r="AI16"/>
  <c r="AJ15" i="15"/>
  <c r="AJ16"/>
  <c r="AJ17" i="12"/>
  <c r="AJ15" i="10"/>
  <c r="AJ16"/>
  <c r="AJ15" i="9"/>
  <c r="K207" i="14"/>
  <c r="K163"/>
  <c r="B128"/>
  <c r="B141"/>
  <c r="B160" s="1"/>
  <c r="B178" s="1"/>
  <c r="B204" s="1"/>
  <c r="K20"/>
  <c r="J32"/>
  <c r="J44" s="1"/>
  <c r="J56" s="1"/>
  <c r="J68" s="1"/>
  <c r="J80" s="1"/>
  <c r="K80" s="1"/>
  <c r="B171"/>
  <c r="B199" s="1"/>
  <c r="B155"/>
  <c r="P3"/>
  <c r="R3"/>
  <c r="T3"/>
  <c r="V3"/>
  <c r="X3"/>
  <c r="Z3"/>
  <c r="AB3"/>
  <c r="AD3"/>
  <c r="AF3"/>
  <c r="AH3"/>
  <c r="AJ3"/>
  <c r="AL3"/>
  <c r="AN3"/>
  <c r="AP3"/>
  <c r="AR3"/>
  <c r="AT3"/>
  <c r="Q3"/>
  <c r="S3"/>
  <c r="U3"/>
  <c r="W3"/>
  <c r="Y3"/>
  <c r="AA3"/>
  <c r="AC3"/>
  <c r="AE3"/>
  <c r="AG3"/>
  <c r="AI3"/>
  <c r="AK3"/>
  <c r="AM3"/>
  <c r="AO3"/>
  <c r="AQ3"/>
  <c r="AS3"/>
  <c r="AU3"/>
  <c r="K39"/>
  <c r="K68"/>
  <c r="K56"/>
  <c r="K44"/>
  <c r="K32"/>
  <c r="S16"/>
  <c r="AJ16"/>
  <c r="AD16"/>
  <c r="AM16"/>
  <c r="U16"/>
  <c r="AH16"/>
  <c r="P16"/>
  <c r="W16"/>
  <c r="Q16"/>
  <c r="AR16"/>
  <c r="AN16"/>
  <c r="AF16"/>
  <c r="AB16"/>
  <c r="X16"/>
  <c r="T16"/>
  <c r="AS16"/>
  <c r="AO16"/>
  <c r="AK16"/>
  <c r="AG16"/>
  <c r="AC16"/>
  <c r="Y16"/>
  <c r="AT16"/>
  <c r="AP16"/>
  <c r="AL16"/>
  <c r="Z16"/>
  <c r="V16"/>
  <c r="R16"/>
  <c r="AU16"/>
  <c r="AQ16"/>
  <c r="AI16"/>
  <c r="AE16"/>
  <c r="AA16"/>
  <c r="AT15"/>
  <c r="AR15"/>
  <c r="AP15"/>
  <c r="AN15"/>
  <c r="AL15"/>
  <c r="AJ15"/>
  <c r="AH15"/>
  <c r="AF15"/>
  <c r="AD15"/>
  <c r="AB15"/>
  <c r="Z15"/>
  <c r="X15"/>
  <c r="V15"/>
  <c r="T15"/>
  <c r="Q15"/>
  <c r="R15"/>
  <c r="AU15"/>
  <c r="AS15"/>
  <c r="AQ15"/>
  <c r="AO15"/>
  <c r="AM15"/>
  <c r="AK15"/>
  <c r="AI15"/>
  <c r="AG15"/>
  <c r="AE15"/>
  <c r="AC15"/>
  <c r="AA15"/>
  <c r="Y15"/>
  <c r="W15"/>
  <c r="U15"/>
  <c r="S15"/>
  <c r="P15"/>
  <c r="L18"/>
  <c r="M18" s="1"/>
  <c r="O18" s="1"/>
  <c r="B123"/>
  <c r="AH15" i="15"/>
  <c r="AH16"/>
  <c r="AH17"/>
  <c r="AI15" i="13"/>
  <c r="AI16"/>
  <c r="AI17"/>
  <c r="AH15"/>
  <c r="AH16"/>
  <c r="AH17"/>
  <c r="AH15" i="12"/>
  <c r="AH16"/>
  <c r="AH17"/>
  <c r="AI15" i="11"/>
  <c r="AI16"/>
  <c r="AI17"/>
  <c r="AH15"/>
  <c r="AH16"/>
  <c r="AH17"/>
  <c r="AH15" i="10"/>
  <c r="AH16"/>
  <c r="AH17"/>
  <c r="AI16" i="9"/>
  <c r="AI17"/>
  <c r="AH15"/>
  <c r="AH16"/>
  <c r="AH17"/>
  <c r="AI7" i="15"/>
  <c r="AI8"/>
  <c r="AI9"/>
  <c r="AH7"/>
  <c r="AH8"/>
  <c r="AH9"/>
  <c r="AI7" i="13"/>
  <c r="AI8"/>
  <c r="AI9"/>
  <c r="AH7"/>
  <c r="AH8"/>
  <c r="AH9"/>
  <c r="AI7" i="12"/>
  <c r="AI8"/>
  <c r="AI9"/>
  <c r="AH7"/>
  <c r="AH8"/>
  <c r="AH9"/>
  <c r="AI7" i="11"/>
  <c r="AI8"/>
  <c r="AI9"/>
  <c r="AH7"/>
  <c r="AH8"/>
  <c r="AH9"/>
  <c r="AI7" i="10"/>
  <c r="AI8"/>
  <c r="AI9"/>
  <c r="AH7"/>
  <c r="AH8"/>
  <c r="AH9"/>
  <c r="AH7" i="9"/>
  <c r="AI10"/>
  <c r="AH9"/>
  <c r="AJ10"/>
  <c r="AI7"/>
  <c r="AI11"/>
  <c r="AJ11"/>
  <c r="AH11"/>
  <c r="AJ9"/>
  <c r="AH10"/>
  <c r="AI8"/>
  <c r="AI9"/>
  <c r="AI15" i="3"/>
  <c r="AJ15"/>
  <c r="B17"/>
  <c r="D16"/>
  <c r="H16"/>
  <c r="L16"/>
  <c r="P16"/>
  <c r="U16"/>
  <c r="Y16"/>
  <c r="AC16"/>
  <c r="AG16"/>
  <c r="F17"/>
  <c r="J17"/>
  <c r="N17"/>
  <c r="W17"/>
  <c r="AA17"/>
  <c r="AE17"/>
  <c r="AJ10"/>
  <c r="F16"/>
  <c r="J16"/>
  <c r="N16"/>
  <c r="W16"/>
  <c r="AA16"/>
  <c r="AE16"/>
  <c r="D17"/>
  <c r="H17"/>
  <c r="L17"/>
  <c r="P17"/>
  <c r="U17"/>
  <c r="Y17"/>
  <c r="AC17"/>
  <c r="AG17"/>
  <c r="AJ12"/>
  <c r="C16"/>
  <c r="S16"/>
  <c r="V16"/>
  <c r="X16"/>
  <c r="Z16"/>
  <c r="AB16"/>
  <c r="AD16"/>
  <c r="AF16"/>
  <c r="C17"/>
  <c r="E17"/>
  <c r="G17"/>
  <c r="I17"/>
  <c r="K17"/>
  <c r="M17"/>
  <c r="O17"/>
  <c r="Q17"/>
  <c r="S17"/>
  <c r="V17"/>
  <c r="X17"/>
  <c r="Z17"/>
  <c r="AB17"/>
  <c r="AD17"/>
  <c r="AF17"/>
  <c r="AH15"/>
  <c r="AH7"/>
  <c r="AJ7"/>
  <c r="AI8"/>
  <c r="AH9"/>
  <c r="AJ9"/>
  <c r="AH11"/>
  <c r="AJ11"/>
  <c r="AI12"/>
  <c r="AH8"/>
  <c r="AJ8"/>
  <c r="AI9"/>
  <c r="AH10"/>
  <c r="AI11"/>
  <c r="AH12"/>
  <c r="AJ5" i="12"/>
  <c r="K217" i="14" l="1"/>
  <c r="K168"/>
  <c r="K212"/>
  <c r="K51"/>
  <c r="K17"/>
  <c r="AU17" s="1"/>
  <c r="L19"/>
  <c r="M19" s="1"/>
  <c r="O19" s="1"/>
  <c r="K9"/>
  <c r="K6"/>
  <c r="AJ11" i="15"/>
  <c r="AH11"/>
  <c r="AI11"/>
  <c r="AJ10"/>
  <c r="AH10"/>
  <c r="AI10"/>
  <c r="AJ11" i="13"/>
  <c r="AH11"/>
  <c r="AI11"/>
  <c r="AJ10"/>
  <c r="AH10"/>
  <c r="AI10"/>
  <c r="AJ11" i="12"/>
  <c r="AH11"/>
  <c r="AI11"/>
  <c r="AJ10"/>
  <c r="AH10"/>
  <c r="AI10"/>
  <c r="AJ10" i="11"/>
  <c r="AH10"/>
  <c r="AI10"/>
  <c r="AJ11"/>
  <c r="AH11"/>
  <c r="AI11"/>
  <c r="AJ11" i="10"/>
  <c r="AH11"/>
  <c r="AI11"/>
  <c r="AJ10"/>
  <c r="AH10"/>
  <c r="AI10"/>
  <c r="AI12" i="9"/>
  <c r="AJ12"/>
  <c r="AH12"/>
  <c r="AH17" i="3"/>
  <c r="AI10"/>
  <c r="AJ17"/>
  <c r="AI16"/>
  <c r="AJ16"/>
  <c r="AH16"/>
  <c r="AI17"/>
  <c r="AB25" i="1"/>
  <c r="AB26" s="1"/>
  <c r="AB27" s="1"/>
  <c r="P225" i="14"/>
  <c r="AP17" l="1"/>
  <c r="Z17"/>
  <c r="AL17"/>
  <c r="V17"/>
  <c r="R17"/>
  <c r="S17"/>
  <c r="AH17"/>
  <c r="AI17"/>
  <c r="AQ17"/>
  <c r="AA17"/>
  <c r="AE17"/>
  <c r="AT17"/>
  <c r="P17"/>
  <c r="W17"/>
  <c r="Q17"/>
  <c r="AJ17"/>
  <c r="AD17"/>
  <c r="AM17"/>
  <c r="U17"/>
  <c r="AR17"/>
  <c r="AN17"/>
  <c r="AB17"/>
  <c r="AF17"/>
  <c r="AS17"/>
  <c r="X17"/>
  <c r="AK17"/>
  <c r="Y17"/>
  <c r="K63"/>
  <c r="K75"/>
  <c r="T17"/>
  <c r="AO17"/>
  <c r="AG17"/>
  <c r="AC17"/>
  <c r="K21"/>
  <c r="K18"/>
  <c r="AH18" s="1"/>
  <c r="K29"/>
  <c r="AA18"/>
  <c r="AL18"/>
  <c r="K10"/>
  <c r="L20"/>
  <c r="M20" s="1"/>
  <c r="O20" s="1"/>
  <c r="K7"/>
  <c r="K11"/>
  <c r="AJ12" i="15"/>
  <c r="AH12"/>
  <c r="AI12"/>
  <c r="AJ12" i="13"/>
  <c r="AH12"/>
  <c r="AI12"/>
  <c r="AJ12" i="12"/>
  <c r="AH12"/>
  <c r="AI12"/>
  <c r="AJ12" i="11"/>
  <c r="AH12"/>
  <c r="AI12"/>
  <c r="AJ12" i="10"/>
  <c r="AH12"/>
  <c r="AI12"/>
  <c r="AA6" i="1"/>
  <c r="AA18"/>
  <c r="AA4" s="1"/>
  <c r="C91" i="14"/>
  <c r="D93"/>
  <c r="D94" s="1"/>
  <c r="D91"/>
  <c r="T19" i="1"/>
  <c r="T18"/>
  <c r="Q92" i="14"/>
  <c r="H233"/>
  <c r="H232"/>
  <c r="H231"/>
  <c r="H230"/>
  <c r="AA2" i="1"/>
  <c r="Y18" i="14" l="1"/>
  <c r="AU18"/>
  <c r="AF18"/>
  <c r="V18"/>
  <c r="AI18"/>
  <c r="AR18"/>
  <c r="X18"/>
  <c r="AT18"/>
  <c r="P18"/>
  <c r="W18"/>
  <c r="Q18"/>
  <c r="AJ18"/>
  <c r="AD18"/>
  <c r="AM18"/>
  <c r="U18"/>
  <c r="AP18"/>
  <c r="Z18"/>
  <c r="R18"/>
  <c r="AQ18"/>
  <c r="AE18"/>
  <c r="S18"/>
  <c r="AN18"/>
  <c r="AB18"/>
  <c r="T18"/>
  <c r="AS18"/>
  <c r="AO18"/>
  <c r="AK18"/>
  <c r="AG18"/>
  <c r="K41"/>
  <c r="K23"/>
  <c r="K19"/>
  <c r="AH19" s="1"/>
  <c r="K22"/>
  <c r="K30"/>
  <c r="K33"/>
  <c r="AC18"/>
  <c r="AI19"/>
  <c r="AT20"/>
  <c r="AR20"/>
  <c r="AP20"/>
  <c r="AN20"/>
  <c r="AL20"/>
  <c r="AJ20"/>
  <c r="AH20"/>
  <c r="AF20"/>
  <c r="AD20"/>
  <c r="AB20"/>
  <c r="Z20"/>
  <c r="X20"/>
  <c r="V20"/>
  <c r="T20"/>
  <c r="R20"/>
  <c r="P20"/>
  <c r="AU20"/>
  <c r="AS20"/>
  <c r="AQ20"/>
  <c r="AO20"/>
  <c r="AM20"/>
  <c r="AK20"/>
  <c r="AI20"/>
  <c r="AG20"/>
  <c r="AE20"/>
  <c r="AC20"/>
  <c r="AA20"/>
  <c r="Y20"/>
  <c r="W20"/>
  <c r="U20"/>
  <c r="S20"/>
  <c r="Q20"/>
  <c r="L21"/>
  <c r="M21" s="1"/>
  <c r="O21" s="1"/>
  <c r="K12"/>
  <c r="E91"/>
  <c r="AF7" i="1"/>
  <c r="AE7"/>
  <c r="AD7"/>
  <c r="AC7"/>
  <c r="AF6"/>
  <c r="AE6"/>
  <c r="AD6"/>
  <c r="AC6"/>
  <c r="AF5"/>
  <c r="AE5"/>
  <c r="AD5"/>
  <c r="AC5"/>
  <c r="AF4"/>
  <c r="AE4"/>
  <c r="AD4"/>
  <c r="AC4"/>
  <c r="X19" i="14" l="1"/>
  <c r="V19"/>
  <c r="AR19"/>
  <c r="AK19"/>
  <c r="AL19"/>
  <c r="AU19"/>
  <c r="AA19"/>
  <c r="AF19"/>
  <c r="AS19"/>
  <c r="AC19"/>
  <c r="AT19"/>
  <c r="P19"/>
  <c r="W19"/>
  <c r="Q19"/>
  <c r="AJ19"/>
  <c r="AD19"/>
  <c r="AM19"/>
  <c r="U19"/>
  <c r="AP19"/>
  <c r="Z19"/>
  <c r="R19"/>
  <c r="AQ19"/>
  <c r="AE19"/>
  <c r="S19"/>
  <c r="AN19"/>
  <c r="AB19"/>
  <c r="T19"/>
  <c r="AO19"/>
  <c r="AG19"/>
  <c r="Y19"/>
  <c r="K45"/>
  <c r="K42"/>
  <c r="K53"/>
  <c r="K24"/>
  <c r="K34"/>
  <c r="K31"/>
  <c r="K35"/>
  <c r="AT21"/>
  <c r="AR21"/>
  <c r="AP21"/>
  <c r="AN21"/>
  <c r="AL21"/>
  <c r="AJ21"/>
  <c r="AH21"/>
  <c r="AF21"/>
  <c r="AD21"/>
  <c r="AB21"/>
  <c r="Z21"/>
  <c r="X21"/>
  <c r="V21"/>
  <c r="T21"/>
  <c r="R21"/>
  <c r="P21"/>
  <c r="AU21"/>
  <c r="AS21"/>
  <c r="AQ21"/>
  <c r="AO21"/>
  <c r="AM21"/>
  <c r="AK21"/>
  <c r="AI21"/>
  <c r="AG21"/>
  <c r="AE21"/>
  <c r="AC21"/>
  <c r="AA21"/>
  <c r="Y21"/>
  <c r="W21"/>
  <c r="U21"/>
  <c r="S21"/>
  <c r="Q21"/>
  <c r="L22"/>
  <c r="M22" s="1"/>
  <c r="O22" s="1"/>
  <c r="K13"/>
  <c r="AG14" i="13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K25" i="14" l="1"/>
  <c r="K47"/>
  <c r="K43"/>
  <c r="K46"/>
  <c r="K77"/>
  <c r="K65"/>
  <c r="K54"/>
  <c r="K57"/>
  <c r="K36"/>
  <c r="AT22"/>
  <c r="AR22"/>
  <c r="AP22"/>
  <c r="AN22"/>
  <c r="AL22"/>
  <c r="AJ22"/>
  <c r="AH22"/>
  <c r="AF22"/>
  <c r="AD22"/>
  <c r="AB22"/>
  <c r="Z22"/>
  <c r="X22"/>
  <c r="V22"/>
  <c r="T22"/>
  <c r="R22"/>
  <c r="P22"/>
  <c r="AU22"/>
  <c r="AS22"/>
  <c r="AQ22"/>
  <c r="AO22"/>
  <c r="AM22"/>
  <c r="AK22"/>
  <c r="AI22"/>
  <c r="AG22"/>
  <c r="AE22"/>
  <c r="AC22"/>
  <c r="AA22"/>
  <c r="Y22"/>
  <c r="W22"/>
  <c r="U22"/>
  <c r="S22"/>
  <c r="Q22"/>
  <c r="L23"/>
  <c r="M23" s="1"/>
  <c r="O23" s="1"/>
  <c r="AM5"/>
  <c r="AH5"/>
  <c r="W5"/>
  <c r="Q5"/>
  <c r="AJ5"/>
  <c r="AD5"/>
  <c r="U5"/>
  <c r="P5"/>
  <c r="AR5"/>
  <c r="AN5"/>
  <c r="AF5"/>
  <c r="Z5"/>
  <c r="V5"/>
  <c r="R5"/>
  <c r="AS5"/>
  <c r="AO5"/>
  <c r="AI5"/>
  <c r="AE5"/>
  <c r="AA5"/>
  <c r="S5"/>
  <c r="AT5"/>
  <c r="AP5"/>
  <c r="AL5"/>
  <c r="AB5"/>
  <c r="X5"/>
  <c r="T5"/>
  <c r="AU5"/>
  <c r="AQ5"/>
  <c r="AK5"/>
  <c r="AG5"/>
  <c r="AC5"/>
  <c r="Y5"/>
  <c r="AM7"/>
  <c r="AH7"/>
  <c r="W7"/>
  <c r="Q7"/>
  <c r="AJ7"/>
  <c r="AD7"/>
  <c r="U7"/>
  <c r="P7"/>
  <c r="AR7"/>
  <c r="AN7"/>
  <c r="AF7"/>
  <c r="Z7"/>
  <c r="V7"/>
  <c r="R7"/>
  <c r="R96" s="1"/>
  <c r="AS7"/>
  <c r="AO7"/>
  <c r="AI7"/>
  <c r="AE7"/>
  <c r="AA7"/>
  <c r="S7"/>
  <c r="AT7"/>
  <c r="AP7"/>
  <c r="AL7"/>
  <c r="AB7"/>
  <c r="X7"/>
  <c r="T7"/>
  <c r="AU7"/>
  <c r="AQ7"/>
  <c r="AK7"/>
  <c r="AG7"/>
  <c r="AC7"/>
  <c r="Y7"/>
  <c r="AM6"/>
  <c r="AH6"/>
  <c r="W6"/>
  <c r="Q6"/>
  <c r="AJ6"/>
  <c r="AD6"/>
  <c r="U6"/>
  <c r="P6"/>
  <c r="AR6"/>
  <c r="AN6"/>
  <c r="AF6"/>
  <c r="Z6"/>
  <c r="V6"/>
  <c r="R6"/>
  <c r="AS6"/>
  <c r="AO6"/>
  <c r="AI6"/>
  <c r="AE6"/>
  <c r="AA6"/>
  <c r="S6"/>
  <c r="AT6"/>
  <c r="AP6"/>
  <c r="AL6"/>
  <c r="AB6"/>
  <c r="X6"/>
  <c r="T6"/>
  <c r="AU6"/>
  <c r="AQ6"/>
  <c r="AK6"/>
  <c r="AG6"/>
  <c r="AC6"/>
  <c r="Y6"/>
  <c r="AJ4"/>
  <c r="AD4"/>
  <c r="U4"/>
  <c r="P4"/>
  <c r="AM4"/>
  <c r="AH4"/>
  <c r="W4"/>
  <c r="Q4"/>
  <c r="AR4"/>
  <c r="AN4"/>
  <c r="AF4"/>
  <c r="Z4"/>
  <c r="V4"/>
  <c r="R4"/>
  <c r="AS4"/>
  <c r="AO4"/>
  <c r="AI4"/>
  <c r="AE4"/>
  <c r="AA4"/>
  <c r="S4"/>
  <c r="AT4"/>
  <c r="AP4"/>
  <c r="AL4"/>
  <c r="AB4"/>
  <c r="X4"/>
  <c r="T4"/>
  <c r="AU4"/>
  <c r="AQ4"/>
  <c r="AK4"/>
  <c r="AG4"/>
  <c r="AC4"/>
  <c r="Y4"/>
  <c r="AG1" i="2"/>
  <c r="AB1"/>
  <c r="W1"/>
  <c r="R1"/>
  <c r="K48" i="14" l="1"/>
  <c r="K81"/>
  <c r="K69"/>
  <c r="K78"/>
  <c r="K66"/>
  <c r="K58"/>
  <c r="K55"/>
  <c r="K59"/>
  <c r="K37"/>
  <c r="AT23"/>
  <c r="AR23"/>
  <c r="AP23"/>
  <c r="AN23"/>
  <c r="AL23"/>
  <c r="AJ23"/>
  <c r="AH23"/>
  <c r="AF23"/>
  <c r="AD23"/>
  <c r="AB23"/>
  <c r="Z23"/>
  <c r="X23"/>
  <c r="V23"/>
  <c r="T23"/>
  <c r="R23"/>
  <c r="P23"/>
  <c r="AU23"/>
  <c r="AS23"/>
  <c r="AQ23"/>
  <c r="AO23"/>
  <c r="AM23"/>
  <c r="AK23"/>
  <c r="AI23"/>
  <c r="AG23"/>
  <c r="AE23"/>
  <c r="AC23"/>
  <c r="AA23"/>
  <c r="Y23"/>
  <c r="W23"/>
  <c r="U23"/>
  <c r="S23"/>
  <c r="Q23"/>
  <c r="L24"/>
  <c r="M24" s="1"/>
  <c r="O24" s="1"/>
  <c r="AM10"/>
  <c r="AH10"/>
  <c r="W10"/>
  <c r="Q10"/>
  <c r="AJ10"/>
  <c r="AD10"/>
  <c r="U10"/>
  <c r="P10"/>
  <c r="AR10"/>
  <c r="AN10"/>
  <c r="AF10"/>
  <c r="Z10"/>
  <c r="V10"/>
  <c r="R10"/>
  <c r="AS10"/>
  <c r="AO10"/>
  <c r="AI10"/>
  <c r="AE10"/>
  <c r="AA10"/>
  <c r="S10"/>
  <c r="AT10"/>
  <c r="AP10"/>
  <c r="AL10"/>
  <c r="AB10"/>
  <c r="X10"/>
  <c r="T10"/>
  <c r="AU10"/>
  <c r="AQ10"/>
  <c r="AK10"/>
  <c r="AG10"/>
  <c r="AC10"/>
  <c r="Y10"/>
  <c r="AM9"/>
  <c r="AH9"/>
  <c r="W9"/>
  <c r="Q9"/>
  <c r="AJ9"/>
  <c r="AD9"/>
  <c r="U9"/>
  <c r="P9"/>
  <c r="AR9"/>
  <c r="AN9"/>
  <c r="AF9"/>
  <c r="Z9"/>
  <c r="V9"/>
  <c r="R9"/>
  <c r="AS9"/>
  <c r="AO9"/>
  <c r="AI9"/>
  <c r="AE9"/>
  <c r="AA9"/>
  <c r="S9"/>
  <c r="AT9"/>
  <c r="AP9"/>
  <c r="AL9"/>
  <c r="AB9"/>
  <c r="X9"/>
  <c r="T9"/>
  <c r="AU9"/>
  <c r="AQ9"/>
  <c r="AK9"/>
  <c r="AG9"/>
  <c r="AC9"/>
  <c r="Y9"/>
  <c r="AM11"/>
  <c r="AH11"/>
  <c r="W11"/>
  <c r="Q11"/>
  <c r="AJ11"/>
  <c r="AD11"/>
  <c r="U11"/>
  <c r="P11"/>
  <c r="AR11"/>
  <c r="AN11"/>
  <c r="AF11"/>
  <c r="Z11"/>
  <c r="V11"/>
  <c r="R11"/>
  <c r="AS11"/>
  <c r="AO11"/>
  <c r="AI11"/>
  <c r="AE11"/>
  <c r="AA11"/>
  <c r="S11"/>
  <c r="AT11"/>
  <c r="AP11"/>
  <c r="AL11"/>
  <c r="AB11"/>
  <c r="X11"/>
  <c r="T11"/>
  <c r="AU11"/>
  <c r="AQ11"/>
  <c r="AK11"/>
  <c r="AG11"/>
  <c r="AC11"/>
  <c r="Y11"/>
  <c r="AJ8"/>
  <c r="AD8"/>
  <c r="U8"/>
  <c r="P8"/>
  <c r="AM8"/>
  <c r="AH8"/>
  <c r="W8"/>
  <c r="Q8"/>
  <c r="AR8"/>
  <c r="AN8"/>
  <c r="AF8"/>
  <c r="Z8"/>
  <c r="V8"/>
  <c r="R8"/>
  <c r="AS8"/>
  <c r="AO8"/>
  <c r="AI8"/>
  <c r="AE8"/>
  <c r="AA8"/>
  <c r="S8"/>
  <c r="AT8"/>
  <c r="AP8"/>
  <c r="AL8"/>
  <c r="AB8"/>
  <c r="X8"/>
  <c r="T8"/>
  <c r="AU8"/>
  <c r="AQ8"/>
  <c r="AK8"/>
  <c r="AG8"/>
  <c r="AC8"/>
  <c r="Y8"/>
  <c r="AK7" i="2"/>
  <c r="AF7"/>
  <c r="AA7"/>
  <c r="V7"/>
  <c r="Q7"/>
  <c r="L7"/>
  <c r="AG14" i="15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4" i="12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4" i="11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4" i="10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4" i="9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4" i="3"/>
  <c r="AF14"/>
  <c r="AE14"/>
  <c r="AD14"/>
  <c r="AC14"/>
  <c r="AB14"/>
  <c r="AA14"/>
  <c r="Z14"/>
  <c r="Y14"/>
  <c r="X14"/>
  <c r="W14"/>
  <c r="V14"/>
  <c r="U14"/>
  <c r="T14"/>
  <c r="S14"/>
  <c r="Q14"/>
  <c r="P14"/>
  <c r="O14"/>
  <c r="N14"/>
  <c r="M14"/>
  <c r="L14"/>
  <c r="K14"/>
  <c r="J14"/>
  <c r="I14"/>
  <c r="H14"/>
  <c r="G14"/>
  <c r="F14"/>
  <c r="E14"/>
  <c r="D14"/>
  <c r="C14"/>
  <c r="B14"/>
  <c r="AH2" i="13"/>
  <c r="AI2"/>
  <c r="AJ2"/>
  <c r="AH3"/>
  <c r="AI3"/>
  <c r="AJ3"/>
  <c r="AH4"/>
  <c r="AI4"/>
  <c r="AJ4"/>
  <c r="AH5"/>
  <c r="AI5"/>
  <c r="AJ5"/>
  <c r="AH6"/>
  <c r="AI6"/>
  <c r="AJ6"/>
  <c r="AH14"/>
  <c r="K49" i="14" l="1"/>
  <c r="K83"/>
  <c r="K71"/>
  <c r="K79"/>
  <c r="K67"/>
  <c r="K82"/>
  <c r="K70"/>
  <c r="K60"/>
  <c r="AT24"/>
  <c r="AR24"/>
  <c r="AP24"/>
  <c r="AN24"/>
  <c r="AL24"/>
  <c r="AJ24"/>
  <c r="AH24"/>
  <c r="AF24"/>
  <c r="AD24"/>
  <c r="AB24"/>
  <c r="Z24"/>
  <c r="X24"/>
  <c r="V24"/>
  <c r="T24"/>
  <c r="R24"/>
  <c r="P24"/>
  <c r="AU24"/>
  <c r="AS24"/>
  <c r="AQ24"/>
  <c r="AO24"/>
  <c r="AM24"/>
  <c r="AK24"/>
  <c r="AI24"/>
  <c r="AG24"/>
  <c r="AE24"/>
  <c r="AC24"/>
  <c r="AA24"/>
  <c r="Y24"/>
  <c r="W24"/>
  <c r="U24"/>
  <c r="S24"/>
  <c r="Q24"/>
  <c r="L25"/>
  <c r="AM12"/>
  <c r="AH12"/>
  <c r="W12"/>
  <c r="Q12"/>
  <c r="AJ12"/>
  <c r="AD12"/>
  <c r="U12"/>
  <c r="P12"/>
  <c r="AR12"/>
  <c r="AN12"/>
  <c r="AF12"/>
  <c r="Z12"/>
  <c r="V12"/>
  <c r="R12"/>
  <c r="AS12"/>
  <c r="AO12"/>
  <c r="AI12"/>
  <c r="AE12"/>
  <c r="AA12"/>
  <c r="S12"/>
  <c r="AT12"/>
  <c r="AP12"/>
  <c r="AL12"/>
  <c r="AB12"/>
  <c r="X12"/>
  <c r="T12"/>
  <c r="AU12"/>
  <c r="AQ12"/>
  <c r="AK12"/>
  <c r="AG12"/>
  <c r="AC12"/>
  <c r="Y12"/>
  <c r="AJ14" i="13"/>
  <c r="AC8" i="2" s="1"/>
  <c r="AC7"/>
  <c r="AE7"/>
  <c r="AE6"/>
  <c r="AE15" s="1"/>
  <c r="AC6"/>
  <c r="AE5"/>
  <c r="AE14" s="1"/>
  <c r="AC5"/>
  <c r="AE4"/>
  <c r="AE13" s="1"/>
  <c r="AC4"/>
  <c r="AE3"/>
  <c r="AE12" s="1"/>
  <c r="AC3"/>
  <c r="AI14" i="13"/>
  <c r="A54" i="1"/>
  <c r="A40"/>
  <c r="A26"/>
  <c r="A12"/>
  <c r="K84" i="14" l="1"/>
  <c r="K72"/>
  <c r="K61"/>
  <c r="L27"/>
  <c r="M25"/>
  <c r="O25" s="1"/>
  <c r="AM13"/>
  <c r="AH13"/>
  <c r="AH192" s="1"/>
  <c r="AH293" s="1"/>
  <c r="W13"/>
  <c r="Q13"/>
  <c r="AJ13"/>
  <c r="AD13"/>
  <c r="U13"/>
  <c r="P13"/>
  <c r="AR13"/>
  <c r="AN13"/>
  <c r="AF13"/>
  <c r="Z13"/>
  <c r="V13"/>
  <c r="R13"/>
  <c r="AS13"/>
  <c r="AO13"/>
  <c r="AI13"/>
  <c r="AE13"/>
  <c r="AA13"/>
  <c r="S13"/>
  <c r="AT13"/>
  <c r="AP13"/>
  <c r="AL13"/>
  <c r="AB13"/>
  <c r="X13"/>
  <c r="T13"/>
  <c r="AU13"/>
  <c r="AQ13"/>
  <c r="AK13"/>
  <c r="AG13"/>
  <c r="AC13"/>
  <c r="Y13"/>
  <c r="AE8" i="2"/>
  <c r="AB8" s="1"/>
  <c r="AD7"/>
  <c r="AB7"/>
  <c r="AD6"/>
  <c r="AD15" s="1"/>
  <c r="AC15"/>
  <c r="AB6"/>
  <c r="AB15" s="1"/>
  <c r="AD5"/>
  <c r="AD14" s="1"/>
  <c r="AC14"/>
  <c r="AB5"/>
  <c r="AB14" s="1"/>
  <c r="AD4"/>
  <c r="AD13" s="1"/>
  <c r="AC13"/>
  <c r="AB4"/>
  <c r="AB13" s="1"/>
  <c r="AC12"/>
  <c r="AD3"/>
  <c r="AD12" s="1"/>
  <c r="AB3"/>
  <c r="AB12" s="1"/>
  <c r="K85" i="14" l="1"/>
  <c r="K73"/>
  <c r="AT25"/>
  <c r="AR25"/>
  <c r="AP25"/>
  <c r="AN25"/>
  <c r="AL25"/>
  <c r="AJ25"/>
  <c r="AH25"/>
  <c r="AH193" s="1"/>
  <c r="AH294" s="1"/>
  <c r="AF25"/>
  <c r="AD25"/>
  <c r="AB25"/>
  <c r="Z25"/>
  <c r="X25"/>
  <c r="V25"/>
  <c r="T25"/>
  <c r="R25"/>
  <c r="P25"/>
  <c r="AU25"/>
  <c r="AS25"/>
  <c r="AQ25"/>
  <c r="AO25"/>
  <c r="AM25"/>
  <c r="AK25"/>
  <c r="AI25"/>
  <c r="AG25"/>
  <c r="AE25"/>
  <c r="AC25"/>
  <c r="AA25"/>
  <c r="Y25"/>
  <c r="W25"/>
  <c r="U25"/>
  <c r="S25"/>
  <c r="Q25"/>
  <c r="L28"/>
  <c r="M27"/>
  <c r="O27" s="1"/>
  <c r="AD8" i="2"/>
  <c r="AC10"/>
  <c r="AC11" s="1"/>
  <c r="A11" i="1"/>
  <c r="H115" i="14"/>
  <c r="H122" s="1"/>
  <c r="H114"/>
  <c r="H121" s="1"/>
  <c r="A127"/>
  <c r="A125"/>
  <c r="A124"/>
  <c r="A123"/>
  <c r="A75"/>
  <c r="A102" s="1"/>
  <c r="AK2" i="2"/>
  <c r="AT27" i="14" l="1"/>
  <c r="AR27"/>
  <c r="AP27"/>
  <c r="AN27"/>
  <c r="AL27"/>
  <c r="AJ27"/>
  <c r="AH27"/>
  <c r="AF27"/>
  <c r="AD27"/>
  <c r="AB27"/>
  <c r="Z27"/>
  <c r="X27"/>
  <c r="V27"/>
  <c r="T27"/>
  <c r="Q27"/>
  <c r="R27"/>
  <c r="AU27"/>
  <c r="AS27"/>
  <c r="AQ27"/>
  <c r="AO27"/>
  <c r="AM27"/>
  <c r="AK27"/>
  <c r="AI27"/>
  <c r="AG27"/>
  <c r="AE27"/>
  <c r="AC27"/>
  <c r="AA27"/>
  <c r="Y27"/>
  <c r="W27"/>
  <c r="U27"/>
  <c r="S27"/>
  <c r="P27"/>
  <c r="M28"/>
  <c r="O28" s="1"/>
  <c r="L29"/>
  <c r="A155"/>
  <c r="A128"/>
  <c r="A157"/>
  <c r="A130"/>
  <c r="A156"/>
  <c r="A129"/>
  <c r="A159"/>
  <c r="A132"/>
  <c r="H140"/>
  <c r="H147" s="1"/>
  <c r="H154" s="1"/>
  <c r="H241"/>
  <c r="H139"/>
  <c r="H240"/>
  <c r="A115"/>
  <c r="A122" s="1"/>
  <c r="A233"/>
  <c r="A200"/>
  <c r="A205" s="1"/>
  <c r="A210" s="1"/>
  <c r="A215" s="1"/>
  <c r="A39" i="1"/>
  <c r="A25"/>
  <c r="A8"/>
  <c r="H255" i="14" l="1"/>
  <c r="H146"/>
  <c r="H153" s="1"/>
  <c r="A41" i="1"/>
  <c r="A164" i="14"/>
  <c r="A169" s="1"/>
  <c r="A38" i="1"/>
  <c r="A161" i="14"/>
  <c r="A166" s="1"/>
  <c r="A201"/>
  <c r="A162"/>
  <c r="A167" s="1"/>
  <c r="A199"/>
  <c r="A204" s="1"/>
  <c r="A209" s="1"/>
  <c r="A214" s="1"/>
  <c r="A160"/>
  <c r="A165" s="1"/>
  <c r="AT28"/>
  <c r="AR28"/>
  <c r="AP28"/>
  <c r="AN28"/>
  <c r="AL28"/>
  <c r="AJ28"/>
  <c r="AH28"/>
  <c r="AF28"/>
  <c r="AD28"/>
  <c r="AB28"/>
  <c r="Z28"/>
  <c r="X28"/>
  <c r="V28"/>
  <c r="T28"/>
  <c r="R28"/>
  <c r="P28"/>
  <c r="AU28"/>
  <c r="AS28"/>
  <c r="AQ28"/>
  <c r="AO28"/>
  <c r="AM28"/>
  <c r="AK28"/>
  <c r="AI28"/>
  <c r="AG28"/>
  <c r="AE28"/>
  <c r="AC28"/>
  <c r="AA28"/>
  <c r="Y28"/>
  <c r="W28"/>
  <c r="U28"/>
  <c r="S28"/>
  <c r="Q28"/>
  <c r="M29"/>
  <c r="O29" s="1"/>
  <c r="L30"/>
  <c r="A37" i="1"/>
  <c r="A203" i="14"/>
  <c r="A208" s="1"/>
  <c r="A213" s="1"/>
  <c r="A218" s="1"/>
  <c r="H177"/>
  <c r="H256"/>
  <c r="A140"/>
  <c r="A241"/>
  <c r="A248" s="1"/>
  <c r="A22" i="1"/>
  <c r="C43" i="14"/>
  <c r="C55" s="1"/>
  <c r="AJ6" i="15"/>
  <c r="AI6"/>
  <c r="AH6"/>
  <c r="AJ6" i="12"/>
  <c r="AI6"/>
  <c r="AH6"/>
  <c r="AJ6" i="10"/>
  <c r="AI6"/>
  <c r="AH6"/>
  <c r="AJ6" i="9"/>
  <c r="AI6"/>
  <c r="AH6"/>
  <c r="AJ6" i="3"/>
  <c r="AI6"/>
  <c r="AH6"/>
  <c r="AJ6" i="11"/>
  <c r="AI6"/>
  <c r="AH6"/>
  <c r="AJ5" i="15"/>
  <c r="AJ4"/>
  <c r="AJ3"/>
  <c r="AJ2"/>
  <c r="AJ4" i="12"/>
  <c r="AJ3"/>
  <c r="AJ2"/>
  <c r="AJ5" i="11"/>
  <c r="AJ4"/>
  <c r="AJ3"/>
  <c r="AJ2"/>
  <c r="AJ5" i="10"/>
  <c r="AJ4"/>
  <c r="AJ3"/>
  <c r="AJ2"/>
  <c r="AJ5" i="9"/>
  <c r="AJ4"/>
  <c r="AJ3"/>
  <c r="AJ2"/>
  <c r="AJ5" i="3"/>
  <c r="AJ4"/>
  <c r="AJ3"/>
  <c r="AJ2"/>
  <c r="H278" i="14" l="1"/>
  <c r="H184"/>
  <c r="H191" s="1"/>
  <c r="H198" s="1"/>
  <c r="A53" i="1"/>
  <c r="A206" i="14"/>
  <c r="A211" s="1"/>
  <c r="A216" s="1"/>
  <c r="A256"/>
  <c r="A263" s="1"/>
  <c r="A270" s="1"/>
  <c r="A147"/>
  <c r="A154" s="1"/>
  <c r="AT29"/>
  <c r="AR29"/>
  <c r="AP29"/>
  <c r="AN29"/>
  <c r="AL29"/>
  <c r="AJ29"/>
  <c r="AH29"/>
  <c r="AF29"/>
  <c r="AD29"/>
  <c r="AB29"/>
  <c r="Z29"/>
  <c r="X29"/>
  <c r="V29"/>
  <c r="T29"/>
  <c r="R29"/>
  <c r="P29"/>
  <c r="AU29"/>
  <c r="AS29"/>
  <c r="AQ29"/>
  <c r="AO29"/>
  <c r="AM29"/>
  <c r="AK29"/>
  <c r="AI29"/>
  <c r="AG29"/>
  <c r="AE29"/>
  <c r="AC29"/>
  <c r="AA29"/>
  <c r="Y29"/>
  <c r="W29"/>
  <c r="U29"/>
  <c r="S29"/>
  <c r="Q29"/>
  <c r="M30"/>
  <c r="O30" s="1"/>
  <c r="L31"/>
  <c r="A177"/>
  <c r="A184" s="1"/>
  <c r="A191" s="1"/>
  <c r="A198" s="1"/>
  <c r="A36" i="1"/>
  <c r="AH7" i="2"/>
  <c r="AJ7"/>
  <c r="X7"/>
  <c r="Z7"/>
  <c r="U7"/>
  <c r="S7"/>
  <c r="P7"/>
  <c r="N7"/>
  <c r="K7"/>
  <c r="I7"/>
  <c r="D7"/>
  <c r="F7"/>
  <c r="C67" i="14"/>
  <c r="C79" s="1"/>
  <c r="AI14" i="15"/>
  <c r="AI14" i="10"/>
  <c r="AI14" i="9"/>
  <c r="AI14" i="3"/>
  <c r="AI14" i="12"/>
  <c r="AH14" i="15"/>
  <c r="AJ14"/>
  <c r="AH14" i="12"/>
  <c r="AJ14"/>
  <c r="AH14" i="10"/>
  <c r="AJ14"/>
  <c r="AH14" i="9"/>
  <c r="AJ14"/>
  <c r="AH14" i="3"/>
  <c r="AJ14"/>
  <c r="AI14" i="11"/>
  <c r="AH14"/>
  <c r="AJ14"/>
  <c r="C24" i="2"/>
  <c r="K24" s="1"/>
  <c r="S24" s="1"/>
  <c r="AA24" s="1"/>
  <c r="C23"/>
  <c r="I18"/>
  <c r="Q18" s="1"/>
  <c r="Y18" s="1"/>
  <c r="AG18" s="1"/>
  <c r="H18"/>
  <c r="AI5" i="15"/>
  <c r="AJ6" i="2" s="1"/>
  <c r="AJ15" s="1"/>
  <c r="AH5" i="15"/>
  <c r="AH6" i="2" s="1"/>
  <c r="AI4" i="15"/>
  <c r="AJ5" i="2" s="1"/>
  <c r="AJ14" s="1"/>
  <c r="AH4" i="15"/>
  <c r="AH5" i="2" s="1"/>
  <c r="AI3" i="15"/>
  <c r="AJ4" i="2" s="1"/>
  <c r="AJ13" s="1"/>
  <c r="AH3" i="15"/>
  <c r="AH4" i="2" s="1"/>
  <c r="AI2" i="15"/>
  <c r="AJ3" i="2" s="1"/>
  <c r="AJ12" s="1"/>
  <c r="AH2" i="15"/>
  <c r="AH3" i="2" s="1"/>
  <c r="C1" i="1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G7" i="2"/>
  <c r="H176" i="14"/>
  <c r="H113"/>
  <c r="H112"/>
  <c r="H98"/>
  <c r="H97"/>
  <c r="H96"/>
  <c r="A13" i="1"/>
  <c r="A10"/>
  <c r="A9"/>
  <c r="F1"/>
  <c r="F15" s="1"/>
  <c r="F29" s="1"/>
  <c r="F43" s="1"/>
  <c r="E1"/>
  <c r="E15" s="1"/>
  <c r="E29" s="1"/>
  <c r="E43" s="1"/>
  <c r="D1"/>
  <c r="D15" s="1"/>
  <c r="D29" s="1"/>
  <c r="D43" s="1"/>
  <c r="C1"/>
  <c r="C15" s="1"/>
  <c r="C29" s="1"/>
  <c r="C43" s="1"/>
  <c r="H277" i="14" l="1"/>
  <c r="H183"/>
  <c r="H190" s="1"/>
  <c r="H197" s="1"/>
  <c r="AT30"/>
  <c r="AR30"/>
  <c r="AP30"/>
  <c r="AN30"/>
  <c r="AL30"/>
  <c r="AJ30"/>
  <c r="AH30"/>
  <c r="AF30"/>
  <c r="AD30"/>
  <c r="AB30"/>
  <c r="Z30"/>
  <c r="X30"/>
  <c r="V30"/>
  <c r="T30"/>
  <c r="R30"/>
  <c r="P30"/>
  <c r="AU30"/>
  <c r="AS30"/>
  <c r="AQ30"/>
  <c r="AO30"/>
  <c r="AM30"/>
  <c r="AK30"/>
  <c r="AI30"/>
  <c r="AG30"/>
  <c r="AE30"/>
  <c r="AC30"/>
  <c r="AA30"/>
  <c r="Y30"/>
  <c r="W30"/>
  <c r="U30"/>
  <c r="S30"/>
  <c r="Q30"/>
  <c r="M31"/>
  <c r="O31" s="1"/>
  <c r="L32"/>
  <c r="H239"/>
  <c r="H120"/>
  <c r="H238"/>
  <c r="H119"/>
  <c r="A50" i="1"/>
  <c r="A278" i="14"/>
  <c r="A285" s="1"/>
  <c r="A292" s="1"/>
  <c r="A299" s="1"/>
  <c r="H110"/>
  <c r="H236" s="1"/>
  <c r="H243" s="1"/>
  <c r="H228"/>
  <c r="H109"/>
  <c r="H227"/>
  <c r="H111"/>
  <c r="H229"/>
  <c r="H138"/>
  <c r="H145" s="1"/>
  <c r="H152" s="1"/>
  <c r="H137"/>
  <c r="H144" s="1"/>
  <c r="H151" s="1"/>
  <c r="AI7" i="2"/>
  <c r="AG7"/>
  <c r="AI6"/>
  <c r="AI15" s="1"/>
  <c r="AH15"/>
  <c r="AG6"/>
  <c r="AG15" s="1"/>
  <c r="AH8"/>
  <c r="AJ8"/>
  <c r="AI5"/>
  <c r="AI14" s="1"/>
  <c r="AH14"/>
  <c r="AG5"/>
  <c r="AG14" s="1"/>
  <c r="AI4"/>
  <c r="AI13" s="1"/>
  <c r="AH13"/>
  <c r="AG4"/>
  <c r="AG13" s="1"/>
  <c r="AH12"/>
  <c r="AI3"/>
  <c r="AI12" s="1"/>
  <c r="AG3"/>
  <c r="AG12" s="1"/>
  <c r="Y7"/>
  <c r="W7"/>
  <c r="Z8"/>
  <c r="X8"/>
  <c r="T7"/>
  <c r="R7"/>
  <c r="U8"/>
  <c r="S8"/>
  <c r="O7"/>
  <c r="M7"/>
  <c r="P8"/>
  <c r="N8"/>
  <c r="J7"/>
  <c r="H7"/>
  <c r="K8"/>
  <c r="I8"/>
  <c r="E7"/>
  <c r="C7"/>
  <c r="D8"/>
  <c r="F8"/>
  <c r="H135" i="14"/>
  <c r="H142" s="1"/>
  <c r="AK8" i="2"/>
  <c r="A63" i="14"/>
  <c r="A51"/>
  <c r="A100" s="1"/>
  <c r="A231" s="1"/>
  <c r="A39"/>
  <c r="A99" s="1"/>
  <c r="A230" s="1"/>
  <c r="A27"/>
  <c r="A98" s="1"/>
  <c r="A229" s="1"/>
  <c r="L8" i="2"/>
  <c r="A15" i="14"/>
  <c r="A97" s="1"/>
  <c r="A228" s="1"/>
  <c r="G8" i="2"/>
  <c r="A3" i="14"/>
  <c r="A96" s="1"/>
  <c r="A227" s="1"/>
  <c r="Q1"/>
  <c r="V8" i="2"/>
  <c r="K23"/>
  <c r="S23" s="1"/>
  <c r="AA23" s="1"/>
  <c r="P18"/>
  <c r="X18" s="1"/>
  <c r="AF18" s="1"/>
  <c r="C22"/>
  <c r="K22" s="1"/>
  <c r="S22" s="1"/>
  <c r="AA22" s="1"/>
  <c r="C21"/>
  <c r="K21" s="1"/>
  <c r="S21" s="1"/>
  <c r="AA21" s="1"/>
  <c r="G18"/>
  <c r="O18" s="1"/>
  <c r="W18" s="1"/>
  <c r="AE18" s="1"/>
  <c r="F18"/>
  <c r="N18" s="1"/>
  <c r="V18" s="1"/>
  <c r="AD18" s="1"/>
  <c r="E18"/>
  <c r="M18" s="1"/>
  <c r="U18" s="1"/>
  <c r="AC18" s="1"/>
  <c r="D18"/>
  <c r="L18" s="1"/>
  <c r="T18" s="1"/>
  <c r="AB18" s="1"/>
  <c r="AF2"/>
  <c r="AA2"/>
  <c r="V2"/>
  <c r="Q2"/>
  <c r="C1" i="13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I5" i="12"/>
  <c r="Z6" i="2" s="1"/>
  <c r="Z15" s="1"/>
  <c r="AH5" i="12"/>
  <c r="AI4"/>
  <c r="Z5" i="2" s="1"/>
  <c r="Z14" s="1"/>
  <c r="AH4" i="12"/>
  <c r="AI3"/>
  <c r="Z4" i="2" s="1"/>
  <c r="Z13" s="1"/>
  <c r="AH3" i="12"/>
  <c r="X4" i="2" s="1"/>
  <c r="AI2" i="12"/>
  <c r="Z3" i="2" s="1"/>
  <c r="Z12" s="1"/>
  <c r="AH2" i="12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I5" i="11"/>
  <c r="U6" i="2" s="1"/>
  <c r="U15" s="1"/>
  <c r="AH5" i="11"/>
  <c r="AI4"/>
  <c r="U5" i="2" s="1"/>
  <c r="U14" s="1"/>
  <c r="AH4" i="11"/>
  <c r="AI3"/>
  <c r="U4" i="2" s="1"/>
  <c r="U13" s="1"/>
  <c r="AH3" i="11"/>
  <c r="S4" i="2" s="1"/>
  <c r="AI2" i="11"/>
  <c r="U3" i="2" s="1"/>
  <c r="U12" s="1"/>
  <c r="AH2" i="11"/>
  <c r="S3" i="2" s="1"/>
  <c r="C1" i="1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I5" i="10"/>
  <c r="P6" i="2" s="1"/>
  <c r="P15" s="1"/>
  <c r="AH5" i="10"/>
  <c r="N6" i="2" s="1"/>
  <c r="AI4" i="10"/>
  <c r="P5" i="2" s="1"/>
  <c r="P14" s="1"/>
  <c r="AH4" i="10"/>
  <c r="N5" i="2" s="1"/>
  <c r="AI3" i="10"/>
  <c r="P4" i="2" s="1"/>
  <c r="P13" s="1"/>
  <c r="AH3" i="10"/>
  <c r="N4" i="2" s="1"/>
  <c r="AI2" i="10"/>
  <c r="P3" i="2" s="1"/>
  <c r="P12" s="1"/>
  <c r="AH2" i="10"/>
  <c r="N3" i="2" s="1"/>
  <c r="C1" i="10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20" i="2"/>
  <c r="K20" s="1"/>
  <c r="S20" s="1"/>
  <c r="AA20" s="1"/>
  <c r="C19"/>
  <c r="K19" s="1"/>
  <c r="S19" s="1"/>
  <c r="AA19" s="1"/>
  <c r="L2"/>
  <c r="G2"/>
  <c r="K2"/>
  <c r="P2" s="1"/>
  <c r="U2" s="1"/>
  <c r="Z2" s="1"/>
  <c r="AE2" s="1"/>
  <c r="AJ2" s="1"/>
  <c r="J2"/>
  <c r="O2" s="1"/>
  <c r="T2" s="1"/>
  <c r="Y2" s="1"/>
  <c r="AD2" s="1"/>
  <c r="AI2" s="1"/>
  <c r="I2"/>
  <c r="N2" s="1"/>
  <c r="S2" s="1"/>
  <c r="X2" s="1"/>
  <c r="AC2" s="1"/>
  <c r="AH2" s="1"/>
  <c r="H2"/>
  <c r="M2" s="1"/>
  <c r="R2" s="1"/>
  <c r="W2" s="1"/>
  <c r="AB2" s="1"/>
  <c r="AG2" s="1"/>
  <c r="AI5" i="9"/>
  <c r="K6" i="2" s="1"/>
  <c r="K15" s="1"/>
  <c r="AH5" i="9"/>
  <c r="I6" i="2" s="1"/>
  <c r="AI4" i="9"/>
  <c r="K5" i="2" s="1"/>
  <c r="K14" s="1"/>
  <c r="AH4" i="9"/>
  <c r="I5" i="2" s="1"/>
  <c r="AI3" i="9"/>
  <c r="K4" i="2" s="1"/>
  <c r="K13" s="1"/>
  <c r="AH3" i="9"/>
  <c r="I4" i="2" s="1"/>
  <c r="AI2" i="9"/>
  <c r="K3" i="2" s="1"/>
  <c r="K12" s="1"/>
  <c r="AH2" i="9"/>
  <c r="I3" i="2" s="1"/>
  <c r="C1" i="9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B6" i="2"/>
  <c r="C42" i="14" s="1"/>
  <c r="C54" s="1"/>
  <c r="B5" i="2"/>
  <c r="C41" i="14" s="1"/>
  <c r="C53" s="1"/>
  <c r="B4" i="2"/>
  <c r="C40" i="14" s="1"/>
  <c r="C52" s="1"/>
  <c r="C64" s="1"/>
  <c r="C76" s="1"/>
  <c r="B3" i="2"/>
  <c r="C15" i="14" s="1"/>
  <c r="C27" s="1"/>
  <c r="C39" s="1"/>
  <c r="C51" s="1"/>
  <c r="C63" s="1"/>
  <c r="C75" s="1"/>
  <c r="B15" i="2"/>
  <c r="AA18" s="1"/>
  <c r="B12"/>
  <c r="C18" s="1"/>
  <c r="AI5" i="3"/>
  <c r="AI4"/>
  <c r="AI3"/>
  <c r="AI2"/>
  <c r="AH5"/>
  <c r="AH4"/>
  <c r="D5" i="2" s="1"/>
  <c r="D14" s="1"/>
  <c r="AH3" i="3"/>
  <c r="D4" i="2" s="1"/>
  <c r="D13" s="1"/>
  <c r="AH2" i="3"/>
  <c r="D3" i="2" s="1"/>
  <c r="D12" s="1"/>
  <c r="C1" i="3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H149" i="14" l="1"/>
  <c r="H265" s="1"/>
  <c r="H258"/>
  <c r="AT31"/>
  <c r="AR31"/>
  <c r="AP31"/>
  <c r="AN31"/>
  <c r="AL31"/>
  <c r="AJ31"/>
  <c r="AH31"/>
  <c r="AF31"/>
  <c r="AD31"/>
  <c r="AB31"/>
  <c r="Z31"/>
  <c r="X31"/>
  <c r="V31"/>
  <c r="T31"/>
  <c r="R31"/>
  <c r="P31"/>
  <c r="AU31"/>
  <c r="AS31"/>
  <c r="AQ31"/>
  <c r="AO31"/>
  <c r="AM31"/>
  <c r="AK31"/>
  <c r="AI31"/>
  <c r="AG31"/>
  <c r="AE31"/>
  <c r="AC31"/>
  <c r="AA31"/>
  <c r="Y31"/>
  <c r="W31"/>
  <c r="U31"/>
  <c r="S31"/>
  <c r="Q31"/>
  <c r="M32"/>
  <c r="O32" s="1"/>
  <c r="L33"/>
  <c r="H237"/>
  <c r="H244" s="1"/>
  <c r="H118"/>
  <c r="H235"/>
  <c r="H242" s="1"/>
  <c r="H116"/>
  <c r="H117"/>
  <c r="B13" i="2"/>
  <c r="K18" s="1"/>
  <c r="B14"/>
  <c r="S18" s="1"/>
  <c r="H174" i="14"/>
  <c r="H253"/>
  <c r="R1"/>
  <c r="Q225"/>
  <c r="H175"/>
  <c r="H254"/>
  <c r="J6" i="2"/>
  <c r="J15" s="1"/>
  <c r="H136" i="14"/>
  <c r="H172"/>
  <c r="H251"/>
  <c r="H134"/>
  <c r="H141" s="1"/>
  <c r="AH97"/>
  <c r="S97"/>
  <c r="S96"/>
  <c r="AH96"/>
  <c r="AH10" i="2"/>
  <c r="AI8"/>
  <c r="AG8"/>
  <c r="X3"/>
  <c r="X12" s="1"/>
  <c r="X6"/>
  <c r="Y8"/>
  <c r="W8"/>
  <c r="X5"/>
  <c r="Y4"/>
  <c r="Y13" s="1"/>
  <c r="X13"/>
  <c r="W4"/>
  <c r="W13" s="1"/>
  <c r="S6"/>
  <c r="T8"/>
  <c r="R8"/>
  <c r="S5"/>
  <c r="T4"/>
  <c r="T13" s="1"/>
  <c r="S13"/>
  <c r="R4"/>
  <c r="R13" s="1"/>
  <c r="S12"/>
  <c r="T3"/>
  <c r="T12" s="1"/>
  <c r="R3"/>
  <c r="R12" s="1"/>
  <c r="AF97" i="14"/>
  <c r="O6" i="2"/>
  <c r="O15" s="1"/>
  <c r="N15"/>
  <c r="M6"/>
  <c r="M15" s="1"/>
  <c r="O8"/>
  <c r="M8"/>
  <c r="O5"/>
  <c r="O14" s="1"/>
  <c r="N14"/>
  <c r="M5"/>
  <c r="M14" s="1"/>
  <c r="O4"/>
  <c r="O13" s="1"/>
  <c r="N13"/>
  <c r="M4"/>
  <c r="M13" s="1"/>
  <c r="N12"/>
  <c r="O3"/>
  <c r="O12" s="1"/>
  <c r="M3"/>
  <c r="M12" s="1"/>
  <c r="I15"/>
  <c r="H6"/>
  <c r="H15" s="1"/>
  <c r="J8"/>
  <c r="H8"/>
  <c r="I14"/>
  <c r="J5"/>
  <c r="J14" s="1"/>
  <c r="H5"/>
  <c r="H14" s="1"/>
  <c r="I13"/>
  <c r="J4"/>
  <c r="J13" s="1"/>
  <c r="H4"/>
  <c r="H13" s="1"/>
  <c r="H3"/>
  <c r="H12" s="1"/>
  <c r="I12"/>
  <c r="J3"/>
  <c r="J12" s="1"/>
  <c r="AF96" i="14"/>
  <c r="AG96"/>
  <c r="D6" i="2"/>
  <c r="D15" s="1"/>
  <c r="D10" s="1"/>
  <c r="D11" s="1"/>
  <c r="E8"/>
  <c r="C8"/>
  <c r="F6"/>
  <c r="F15" s="1"/>
  <c r="F5"/>
  <c r="F14" s="1"/>
  <c r="F4"/>
  <c r="F13" s="1"/>
  <c r="F3"/>
  <c r="F12" s="1"/>
  <c r="P96" i="14"/>
  <c r="AU96"/>
  <c r="AQ96"/>
  <c r="AM96"/>
  <c r="AI96"/>
  <c r="AC96"/>
  <c r="Y96"/>
  <c r="U96"/>
  <c r="AT96"/>
  <c r="AR96"/>
  <c r="AP96"/>
  <c r="AN96"/>
  <c r="AL96"/>
  <c r="AJ96"/>
  <c r="AD96"/>
  <c r="AB96"/>
  <c r="Z96"/>
  <c r="X96"/>
  <c r="V96"/>
  <c r="T96"/>
  <c r="AT97"/>
  <c r="AR97"/>
  <c r="AP97"/>
  <c r="AN97"/>
  <c r="AL97"/>
  <c r="AJ97"/>
  <c r="AD97"/>
  <c r="AB97"/>
  <c r="Z97"/>
  <c r="X97"/>
  <c r="V97"/>
  <c r="T97"/>
  <c r="R97"/>
  <c r="P97"/>
  <c r="AU97"/>
  <c r="AS97"/>
  <c r="AQ97"/>
  <c r="AO97"/>
  <c r="AM97"/>
  <c r="AK97"/>
  <c r="AI97"/>
  <c r="AE97"/>
  <c r="AC97"/>
  <c r="AA97"/>
  <c r="Y97"/>
  <c r="W97"/>
  <c r="U97"/>
  <c r="Q97"/>
  <c r="A101"/>
  <c r="A232" s="1"/>
  <c r="C65"/>
  <c r="C77" s="1"/>
  <c r="C66"/>
  <c r="C78" s="1"/>
  <c r="Q8" i="2"/>
  <c r="A24" i="1"/>
  <c r="A23"/>
  <c r="A27"/>
  <c r="A109" i="14"/>
  <c r="A2" i="1"/>
  <c r="A110" i="14"/>
  <c r="A117" s="1"/>
  <c r="A3" i="1"/>
  <c r="A112" i="14"/>
  <c r="A119" s="1"/>
  <c r="A5" i="1"/>
  <c r="A111" i="14"/>
  <c r="A118" s="1"/>
  <c r="A4" i="1"/>
  <c r="A113" i="14"/>
  <c r="A120" s="1"/>
  <c r="A6" i="1"/>
  <c r="C96" i="14"/>
  <c r="C109"/>
  <c r="C171"/>
  <c r="C134"/>
  <c r="C272" l="1"/>
  <c r="AD356"/>
  <c r="C227"/>
  <c r="Q340"/>
  <c r="C250"/>
  <c r="AD340"/>
  <c r="C235"/>
  <c r="Q356"/>
  <c r="H148"/>
  <c r="H264" s="1"/>
  <c r="H257"/>
  <c r="H276"/>
  <c r="H182"/>
  <c r="H189" s="1"/>
  <c r="H196" s="1"/>
  <c r="H275"/>
  <c r="H181"/>
  <c r="H188" s="1"/>
  <c r="H195" s="1"/>
  <c r="H273"/>
  <c r="H179"/>
  <c r="H252"/>
  <c r="H143"/>
  <c r="AT32"/>
  <c r="AR32"/>
  <c r="AP32"/>
  <c r="AN32"/>
  <c r="AL32"/>
  <c r="AJ32"/>
  <c r="AH32"/>
  <c r="AF32"/>
  <c r="AD32"/>
  <c r="AB32"/>
  <c r="Z32"/>
  <c r="X32"/>
  <c r="V32"/>
  <c r="T32"/>
  <c r="R32"/>
  <c r="P32"/>
  <c r="AU32"/>
  <c r="AS32"/>
  <c r="AQ32"/>
  <c r="AO32"/>
  <c r="AM32"/>
  <c r="AK32"/>
  <c r="AI32"/>
  <c r="AG32"/>
  <c r="AE32"/>
  <c r="AC32"/>
  <c r="AA32"/>
  <c r="Y32"/>
  <c r="W32"/>
  <c r="U32"/>
  <c r="S32"/>
  <c r="Q32"/>
  <c r="M33"/>
  <c r="O33" s="1"/>
  <c r="L34"/>
  <c r="G25"/>
  <c r="E25"/>
  <c r="E23"/>
  <c r="G23"/>
  <c r="E21"/>
  <c r="G21"/>
  <c r="E13"/>
  <c r="G13"/>
  <c r="E10"/>
  <c r="G10"/>
  <c r="E11"/>
  <c r="G11"/>
  <c r="G8"/>
  <c r="E8"/>
  <c r="E9"/>
  <c r="G9"/>
  <c r="E24"/>
  <c r="G24"/>
  <c r="G22"/>
  <c r="E22"/>
  <c r="E20"/>
  <c r="G20"/>
  <c r="E12"/>
  <c r="G12"/>
  <c r="A235"/>
  <c r="A242" s="1"/>
  <c r="A116"/>
  <c r="Q96"/>
  <c r="W96"/>
  <c r="AA96"/>
  <c r="AE96"/>
  <c r="AK96"/>
  <c r="AO96"/>
  <c r="AS96"/>
  <c r="AG97"/>
  <c r="H173"/>
  <c r="S1"/>
  <c r="R225"/>
  <c r="H171"/>
  <c r="H250"/>
  <c r="N10" i="2"/>
  <c r="N11" s="1"/>
  <c r="A138" i="14"/>
  <c r="A145" s="1"/>
  <c r="A152" s="1"/>
  <c r="A239"/>
  <c r="A246" s="1"/>
  <c r="A136"/>
  <c r="A143" s="1"/>
  <c r="A150" s="1"/>
  <c r="A237"/>
  <c r="A244" s="1"/>
  <c r="A137"/>
  <c r="A144" s="1"/>
  <c r="A151" s="1"/>
  <c r="A238"/>
  <c r="A245" s="1"/>
  <c r="A135"/>
  <c r="A142" s="1"/>
  <c r="A149" s="1"/>
  <c r="A236"/>
  <c r="A243" s="1"/>
  <c r="I10" i="2"/>
  <c r="I11" s="1"/>
  <c r="AU98" i="14"/>
  <c r="AN98"/>
  <c r="AG98"/>
  <c r="X98"/>
  <c r="AO98"/>
  <c r="AJ98"/>
  <c r="AE98"/>
  <c r="R98"/>
  <c r="Q98"/>
  <c r="AH98"/>
  <c r="AD98"/>
  <c r="AM98"/>
  <c r="W98"/>
  <c r="U98"/>
  <c r="N20" i="2"/>
  <c r="O20"/>
  <c r="Y3"/>
  <c r="Y12" s="1"/>
  <c r="W3"/>
  <c r="W12" s="1"/>
  <c r="Y6"/>
  <c r="Y15" s="1"/>
  <c r="X15"/>
  <c r="W6"/>
  <c r="W15" s="1"/>
  <c r="Y5"/>
  <c r="Y14" s="1"/>
  <c r="X14"/>
  <c r="W19" s="1"/>
  <c r="W5"/>
  <c r="W14" s="1"/>
  <c r="T6"/>
  <c r="T15" s="1"/>
  <c r="S15"/>
  <c r="R6"/>
  <c r="R15" s="1"/>
  <c r="T5"/>
  <c r="T14" s="1"/>
  <c r="S14"/>
  <c r="R5"/>
  <c r="R14" s="1"/>
  <c r="C4"/>
  <c r="C13" s="1"/>
  <c r="E3"/>
  <c r="E12" s="1"/>
  <c r="C5"/>
  <c r="C14" s="1"/>
  <c r="E5"/>
  <c r="E14" s="1"/>
  <c r="C3"/>
  <c r="C12" s="1"/>
  <c r="E6"/>
  <c r="E15" s="1"/>
  <c r="C6"/>
  <c r="C15" s="1"/>
  <c r="E4"/>
  <c r="E13" s="1"/>
  <c r="E3" i="14"/>
  <c r="G3"/>
  <c r="E4"/>
  <c r="G4"/>
  <c r="G5"/>
  <c r="E5"/>
  <c r="E6"/>
  <c r="G6"/>
  <c r="G15"/>
  <c r="E15"/>
  <c r="E16"/>
  <c r="G16"/>
  <c r="E17"/>
  <c r="G17"/>
  <c r="G18"/>
  <c r="E18"/>
  <c r="E19"/>
  <c r="G19"/>
  <c r="E7"/>
  <c r="G7"/>
  <c r="I22" i="2"/>
  <c r="AG20"/>
  <c r="Q23"/>
  <c r="Y19"/>
  <c r="A114" i="14"/>
  <c r="A7" i="1"/>
  <c r="U20" i="2"/>
  <c r="O21"/>
  <c r="G19"/>
  <c r="F20"/>
  <c r="D19"/>
  <c r="B30" i="1"/>
  <c r="B16"/>
  <c r="B44"/>
  <c r="B2"/>
  <c r="A55"/>
  <c r="A51"/>
  <c r="A52"/>
  <c r="A20"/>
  <c r="A18"/>
  <c r="A19"/>
  <c r="A17"/>
  <c r="A134" i="14"/>
  <c r="A16" i="1"/>
  <c r="AA8" i="2"/>
  <c r="G20"/>
  <c r="G22"/>
  <c r="F19"/>
  <c r="O22"/>
  <c r="T19"/>
  <c r="U19"/>
  <c r="N19"/>
  <c r="L19"/>
  <c r="O19"/>
  <c r="M19"/>
  <c r="AB19"/>
  <c r="V20"/>
  <c r="H186" i="14" l="1"/>
  <c r="H280"/>
  <c r="H150"/>
  <c r="H266" s="1"/>
  <c r="H259"/>
  <c r="H272"/>
  <c r="H178"/>
  <c r="H274"/>
  <c r="H180"/>
  <c r="A250"/>
  <c r="A257" s="1"/>
  <c r="A264" s="1"/>
  <c r="A141"/>
  <c r="A148" s="1"/>
  <c r="AT33"/>
  <c r="AR33"/>
  <c r="AP33"/>
  <c r="AN33"/>
  <c r="AL33"/>
  <c r="AJ33"/>
  <c r="AH33"/>
  <c r="AF33"/>
  <c r="AD33"/>
  <c r="AB33"/>
  <c r="Z33"/>
  <c r="X33"/>
  <c r="V33"/>
  <c r="T33"/>
  <c r="R33"/>
  <c r="P33"/>
  <c r="AU33"/>
  <c r="AS33"/>
  <c r="AQ33"/>
  <c r="AO33"/>
  <c r="AM33"/>
  <c r="AK33"/>
  <c r="AI33"/>
  <c r="AG33"/>
  <c r="AE33"/>
  <c r="AC33"/>
  <c r="AA33"/>
  <c r="Y33"/>
  <c r="W33"/>
  <c r="U33"/>
  <c r="S33"/>
  <c r="Q33"/>
  <c r="M34"/>
  <c r="O34" s="1"/>
  <c r="L35"/>
  <c r="Z98"/>
  <c r="AA98"/>
  <c r="AI98"/>
  <c r="AS98"/>
  <c r="F9"/>
  <c r="D8"/>
  <c r="D25"/>
  <c r="V98"/>
  <c r="Y98"/>
  <c r="AC98"/>
  <c r="AK98"/>
  <c r="AQ98"/>
  <c r="AL98"/>
  <c r="AR98"/>
  <c r="AB98"/>
  <c r="D21"/>
  <c r="F23"/>
  <c r="F22"/>
  <c r="D24"/>
  <c r="D13"/>
  <c r="F12"/>
  <c r="D20"/>
  <c r="D22"/>
  <c r="F11"/>
  <c r="F10"/>
  <c r="F13"/>
  <c r="D12"/>
  <c r="D9"/>
  <c r="F8"/>
  <c r="D11"/>
  <c r="F21"/>
  <c r="F25"/>
  <c r="D23"/>
  <c r="D10"/>
  <c r="F20"/>
  <c r="F24"/>
  <c r="G32"/>
  <c r="E32"/>
  <c r="A240"/>
  <c r="A247" s="1"/>
  <c r="A121"/>
  <c r="T98"/>
  <c r="AF98"/>
  <c r="AP98"/>
  <c r="AT98"/>
  <c r="S98"/>
  <c r="P98"/>
  <c r="T1"/>
  <c r="S225"/>
  <c r="A172"/>
  <c r="A251"/>
  <c r="A258" s="1"/>
  <c r="A265" s="1"/>
  <c r="A174"/>
  <c r="A253"/>
  <c r="A260" s="1"/>
  <c r="A267" s="1"/>
  <c r="A173"/>
  <c r="A252"/>
  <c r="A259" s="1"/>
  <c r="A266" s="1"/>
  <c r="A175"/>
  <c r="A254"/>
  <c r="A261" s="1"/>
  <c r="A268" s="1"/>
  <c r="X10" i="2"/>
  <c r="X11" s="1"/>
  <c r="S10"/>
  <c r="S11" s="1"/>
  <c r="E27" i="14"/>
  <c r="G27"/>
  <c r="E29"/>
  <c r="G29"/>
  <c r="E30"/>
  <c r="G30"/>
  <c r="E28"/>
  <c r="G28"/>
  <c r="E31"/>
  <c r="G31"/>
  <c r="W21" i="2"/>
  <c r="AE19"/>
  <c r="AE20"/>
  <c r="AE22"/>
  <c r="W20"/>
  <c r="W22"/>
  <c r="V19"/>
  <c r="AD20"/>
  <c r="AD19"/>
  <c r="D16" i="14"/>
  <c r="D15"/>
  <c r="F7"/>
  <c r="D6"/>
  <c r="F3"/>
  <c r="M20" i="2"/>
  <c r="N21"/>
  <c r="D17" i="14"/>
  <c r="D18"/>
  <c r="F15"/>
  <c r="F18"/>
  <c r="F6"/>
  <c r="D19"/>
  <c r="D5"/>
  <c r="F17"/>
  <c r="F16"/>
  <c r="F4"/>
  <c r="F19"/>
  <c r="D7"/>
  <c r="F5"/>
  <c r="D4"/>
  <c r="D3"/>
  <c r="Q20" i="2"/>
  <c r="Y23"/>
  <c r="Q19"/>
  <c r="I20"/>
  <c r="I23"/>
  <c r="I19"/>
  <c r="I21"/>
  <c r="Y20"/>
  <c r="AG19"/>
  <c r="AG23"/>
  <c r="Y22"/>
  <c r="AG22"/>
  <c r="Q22"/>
  <c r="AC20"/>
  <c r="AG21"/>
  <c r="A139" i="14"/>
  <c r="A21" i="1"/>
  <c r="Y21" i="2"/>
  <c r="Q21"/>
  <c r="E20"/>
  <c r="V21"/>
  <c r="AC19"/>
  <c r="AE21"/>
  <c r="G21"/>
  <c r="E19"/>
  <c r="AD21"/>
  <c r="F21"/>
  <c r="A171" i="14"/>
  <c r="A178" s="1"/>
  <c r="A185" s="1"/>
  <c r="A192" s="1"/>
  <c r="A30" i="1"/>
  <c r="A45"/>
  <c r="A31"/>
  <c r="A47"/>
  <c r="A33"/>
  <c r="A46"/>
  <c r="A32"/>
  <c r="A48"/>
  <c r="A34"/>
  <c r="AF8" i="2"/>
  <c r="Y24"/>
  <c r="AG24"/>
  <c r="H193" i="14" l="1"/>
  <c r="H294" s="1"/>
  <c r="H287"/>
  <c r="H187"/>
  <c r="H281"/>
  <c r="H185"/>
  <c r="H279"/>
  <c r="A276"/>
  <c r="A283" s="1"/>
  <c r="A290" s="1"/>
  <c r="A297" s="1"/>
  <c r="A182"/>
  <c r="A189" s="1"/>
  <c r="A196" s="1"/>
  <c r="A274"/>
  <c r="A281" s="1"/>
  <c r="A288" s="1"/>
  <c r="A295" s="1"/>
  <c r="A180"/>
  <c r="A187" s="1"/>
  <c r="A194" s="1"/>
  <c r="A275"/>
  <c r="A282" s="1"/>
  <c r="A289" s="1"/>
  <c r="A296" s="1"/>
  <c r="A181"/>
  <c r="A188" s="1"/>
  <c r="A195" s="1"/>
  <c r="A273"/>
  <c r="A280" s="1"/>
  <c r="A287" s="1"/>
  <c r="A294" s="1"/>
  <c r="A179"/>
  <c r="A186" s="1"/>
  <c r="A193" s="1"/>
  <c r="A255"/>
  <c r="A262" s="1"/>
  <c r="A269" s="1"/>
  <c r="A146"/>
  <c r="A153" s="1"/>
  <c r="G33"/>
  <c r="AT34"/>
  <c r="AR34"/>
  <c r="AP34"/>
  <c r="AN34"/>
  <c r="AL34"/>
  <c r="AJ34"/>
  <c r="AH34"/>
  <c r="AF34"/>
  <c r="AD34"/>
  <c r="AB34"/>
  <c r="Z34"/>
  <c r="AU34"/>
  <c r="AS34"/>
  <c r="AQ34"/>
  <c r="AO34"/>
  <c r="AM34"/>
  <c r="AK34"/>
  <c r="AI34"/>
  <c r="AG34"/>
  <c r="AE34"/>
  <c r="AC34"/>
  <c r="AA34"/>
  <c r="X34"/>
  <c r="V34"/>
  <c r="T34"/>
  <c r="R34"/>
  <c r="P34"/>
  <c r="Y34"/>
  <c r="W34"/>
  <c r="U34"/>
  <c r="S34"/>
  <c r="Q34"/>
  <c r="E33"/>
  <c r="M35"/>
  <c r="O35" s="1"/>
  <c r="L36"/>
  <c r="D32"/>
  <c r="F32"/>
  <c r="U1"/>
  <c r="T225"/>
  <c r="D30"/>
  <c r="A44" i="1"/>
  <c r="A272" i="14"/>
  <c r="A279" s="1"/>
  <c r="A286" s="1"/>
  <c r="A293" s="1"/>
  <c r="D29"/>
  <c r="F30"/>
  <c r="F28"/>
  <c r="F31"/>
  <c r="D27"/>
  <c r="F27"/>
  <c r="D31"/>
  <c r="D28"/>
  <c r="F29"/>
  <c r="P19" i="2"/>
  <c r="Q24"/>
  <c r="A176" i="14"/>
  <c r="A183" s="1"/>
  <c r="A190" s="1"/>
  <c r="A197" s="1"/>
  <c r="A35" i="1"/>
  <c r="I24" i="2"/>
  <c r="H19"/>
  <c r="AF20"/>
  <c r="AF22"/>
  <c r="AF21"/>
  <c r="AF19"/>
  <c r="AF23"/>
  <c r="X20"/>
  <c r="X21"/>
  <c r="X22"/>
  <c r="X23"/>
  <c r="X19"/>
  <c r="P20"/>
  <c r="P21"/>
  <c r="P23"/>
  <c r="P22"/>
  <c r="H20"/>
  <c r="H22"/>
  <c r="H21"/>
  <c r="H23"/>
  <c r="H192" i="14" l="1"/>
  <c r="H293" s="1"/>
  <c r="H286"/>
  <c r="H194"/>
  <c r="H295" s="1"/>
  <c r="H288"/>
  <c r="F33"/>
  <c r="D33"/>
  <c r="AT35"/>
  <c r="AR35"/>
  <c r="AP35"/>
  <c r="AN35"/>
  <c r="AL35"/>
  <c r="AJ35"/>
  <c r="AH35"/>
  <c r="AF35"/>
  <c r="AD35"/>
  <c r="AB35"/>
  <c r="Z35"/>
  <c r="X35"/>
  <c r="V35"/>
  <c r="T35"/>
  <c r="R35"/>
  <c r="P35"/>
  <c r="AU35"/>
  <c r="AS35"/>
  <c r="AQ35"/>
  <c r="AO35"/>
  <c r="AM35"/>
  <c r="AK35"/>
  <c r="AI35"/>
  <c r="AG35"/>
  <c r="AE35"/>
  <c r="AC35"/>
  <c r="AA35"/>
  <c r="Y35"/>
  <c r="W35"/>
  <c r="U35"/>
  <c r="S35"/>
  <c r="Q35"/>
  <c r="G34"/>
  <c r="E34"/>
  <c r="L37"/>
  <c r="M36"/>
  <c r="O36" s="1"/>
  <c r="V1"/>
  <c r="U225"/>
  <c r="A49" i="1"/>
  <c r="A277" i="14"/>
  <c r="A284" s="1"/>
  <c r="A291" s="1"/>
  <c r="A298" s="1"/>
  <c r="AT36" l="1"/>
  <c r="AR36"/>
  <c r="AP36"/>
  <c r="AN36"/>
  <c r="AL36"/>
  <c r="AJ36"/>
  <c r="AH36"/>
  <c r="AF36"/>
  <c r="AD36"/>
  <c r="AB36"/>
  <c r="Z36"/>
  <c r="X36"/>
  <c r="V36"/>
  <c r="T36"/>
  <c r="R36"/>
  <c r="P36"/>
  <c r="AU36"/>
  <c r="AS36"/>
  <c r="AQ36"/>
  <c r="AO36"/>
  <c r="AM36"/>
  <c r="AK36"/>
  <c r="AI36"/>
  <c r="AG36"/>
  <c r="AE36"/>
  <c r="AC36"/>
  <c r="AA36"/>
  <c r="Y36"/>
  <c r="W36"/>
  <c r="U36"/>
  <c r="S36"/>
  <c r="Q36"/>
  <c r="M37"/>
  <c r="O37" s="1"/>
  <c r="L39"/>
  <c r="D34"/>
  <c r="F34"/>
  <c r="G35"/>
  <c r="E35"/>
  <c r="W1"/>
  <c r="V225"/>
  <c r="AT37" l="1"/>
  <c r="AR37"/>
  <c r="AP37"/>
  <c r="AN37"/>
  <c r="AL37"/>
  <c r="AJ37"/>
  <c r="AH37"/>
  <c r="AH194" s="1"/>
  <c r="AH295" s="1"/>
  <c r="AF37"/>
  <c r="AD37"/>
  <c r="AB37"/>
  <c r="Z37"/>
  <c r="X37"/>
  <c r="V37"/>
  <c r="T37"/>
  <c r="R37"/>
  <c r="P37"/>
  <c r="AU37"/>
  <c r="AS37"/>
  <c r="AQ37"/>
  <c r="AO37"/>
  <c r="AM37"/>
  <c r="AK37"/>
  <c r="AI37"/>
  <c r="AG37"/>
  <c r="AE37"/>
  <c r="AC37"/>
  <c r="AA37"/>
  <c r="Y37"/>
  <c r="W37"/>
  <c r="U37"/>
  <c r="S37"/>
  <c r="Q37"/>
  <c r="F35"/>
  <c r="D35"/>
  <c r="E36"/>
  <c r="G36"/>
  <c r="L40"/>
  <c r="M39"/>
  <c r="O39" s="1"/>
  <c r="X1"/>
  <c r="W225"/>
  <c r="D92"/>
  <c r="C92"/>
  <c r="AT39" l="1"/>
  <c r="AR39"/>
  <c r="AP39"/>
  <c r="AN39"/>
  <c r="AL39"/>
  <c r="AJ39"/>
  <c r="AH39"/>
  <c r="AF39"/>
  <c r="AD39"/>
  <c r="AB39"/>
  <c r="Z39"/>
  <c r="X39"/>
  <c r="V39"/>
  <c r="T39"/>
  <c r="Q39"/>
  <c r="R39"/>
  <c r="AU39"/>
  <c r="AS39"/>
  <c r="AQ39"/>
  <c r="AO39"/>
  <c r="AM39"/>
  <c r="AK39"/>
  <c r="AI39"/>
  <c r="AG39"/>
  <c r="AE39"/>
  <c r="AC39"/>
  <c r="AA39"/>
  <c r="Y39"/>
  <c r="W39"/>
  <c r="U39"/>
  <c r="S39"/>
  <c r="P39"/>
  <c r="D36"/>
  <c r="L41"/>
  <c r="M40"/>
  <c r="O40" s="1"/>
  <c r="G37"/>
  <c r="E37"/>
  <c r="F36"/>
  <c r="Y1"/>
  <c r="X225"/>
  <c r="E92"/>
  <c r="C93"/>
  <c r="E93" s="1"/>
  <c r="R109" l="1"/>
  <c r="AH117"/>
  <c r="AH116"/>
  <c r="AH118"/>
  <c r="AH142"/>
  <c r="AH148"/>
  <c r="AH141"/>
  <c r="AH149"/>
  <c r="AH143"/>
  <c r="AH150"/>
  <c r="U142"/>
  <c r="AJ142"/>
  <c r="AM142"/>
  <c r="Q142"/>
  <c r="P142"/>
  <c r="W142"/>
  <c r="AD142"/>
  <c r="AD148"/>
  <c r="P141"/>
  <c r="Q141"/>
  <c r="W149"/>
  <c r="AD149"/>
  <c r="AJ148"/>
  <c r="AM148"/>
  <c r="AJ141"/>
  <c r="AM141"/>
  <c r="U149"/>
  <c r="AJ149"/>
  <c r="P148"/>
  <c r="Q148"/>
  <c r="AD141"/>
  <c r="AM149"/>
  <c r="U148"/>
  <c r="W148"/>
  <c r="U141"/>
  <c r="W141"/>
  <c r="Q149"/>
  <c r="P149"/>
  <c r="AM143"/>
  <c r="Q143"/>
  <c r="P143"/>
  <c r="W143"/>
  <c r="AD143"/>
  <c r="U143"/>
  <c r="AJ143"/>
  <c r="U150"/>
  <c r="AJ150"/>
  <c r="AM150"/>
  <c r="Q150"/>
  <c r="P150"/>
  <c r="W150"/>
  <c r="AD150"/>
  <c r="Y142"/>
  <c r="AG142"/>
  <c r="AO142"/>
  <c r="T142"/>
  <c r="AB142"/>
  <c r="AN142"/>
  <c r="S142"/>
  <c r="AE142"/>
  <c r="AQ142"/>
  <c r="R142"/>
  <c r="Z142"/>
  <c r="AP142"/>
  <c r="AC142"/>
  <c r="AK142"/>
  <c r="AS142"/>
  <c r="X142"/>
  <c r="AF142"/>
  <c r="AR142"/>
  <c r="AA142"/>
  <c r="AI142"/>
  <c r="AU142"/>
  <c r="V142"/>
  <c r="AL142"/>
  <c r="AT142"/>
  <c r="R134"/>
  <c r="AC148"/>
  <c r="AU148"/>
  <c r="AL148"/>
  <c r="AA148"/>
  <c r="AS148"/>
  <c r="AF148"/>
  <c r="AC141"/>
  <c r="AU141"/>
  <c r="AL141"/>
  <c r="AA141"/>
  <c r="AS141"/>
  <c r="AF141"/>
  <c r="Y149"/>
  <c r="AG149"/>
  <c r="AO149"/>
  <c r="T149"/>
  <c r="AB149"/>
  <c r="AN149"/>
  <c r="Y148"/>
  <c r="AQ148"/>
  <c r="AB148"/>
  <c r="S148"/>
  <c r="AO148"/>
  <c r="Z148"/>
  <c r="Y141"/>
  <c r="AQ141"/>
  <c r="AB141"/>
  <c r="S141"/>
  <c r="AO141"/>
  <c r="Z141"/>
  <c r="S149"/>
  <c r="AE149"/>
  <c r="AQ149"/>
  <c r="R149"/>
  <c r="Z149"/>
  <c r="AP149"/>
  <c r="AK148"/>
  <c r="X148"/>
  <c r="AT148"/>
  <c r="AI148"/>
  <c r="V148"/>
  <c r="AR148"/>
  <c r="AK141"/>
  <c r="X141"/>
  <c r="AT141"/>
  <c r="AI141"/>
  <c r="V141"/>
  <c r="AR141"/>
  <c r="AC149"/>
  <c r="AK149"/>
  <c r="AS149"/>
  <c r="X149"/>
  <c r="AF149"/>
  <c r="AR149"/>
  <c r="AG148"/>
  <c r="T148"/>
  <c r="AP148"/>
  <c r="AE148"/>
  <c r="R148"/>
  <c r="AN148"/>
  <c r="AG141"/>
  <c r="T141"/>
  <c r="AP141"/>
  <c r="AE141"/>
  <c r="R141"/>
  <c r="AN141"/>
  <c r="AA149"/>
  <c r="AI149"/>
  <c r="AU149"/>
  <c r="V149"/>
  <c r="AL149"/>
  <c r="AT149"/>
  <c r="AA143"/>
  <c r="AI143"/>
  <c r="AU143"/>
  <c r="V143"/>
  <c r="AL143"/>
  <c r="AT143"/>
  <c r="Y143"/>
  <c r="AG143"/>
  <c r="AO143"/>
  <c r="T143"/>
  <c r="AB143"/>
  <c r="AN143"/>
  <c r="S143"/>
  <c r="AE143"/>
  <c r="AQ143"/>
  <c r="R143"/>
  <c r="Z143"/>
  <c r="AP143"/>
  <c r="AC143"/>
  <c r="AK143"/>
  <c r="AS143"/>
  <c r="X143"/>
  <c r="AF143"/>
  <c r="AR143"/>
  <c r="S150"/>
  <c r="AE150"/>
  <c r="AQ150"/>
  <c r="R150"/>
  <c r="Z150"/>
  <c r="AP150"/>
  <c r="Y150"/>
  <c r="AG150"/>
  <c r="AO150"/>
  <c r="T150"/>
  <c r="AB150"/>
  <c r="AN150"/>
  <c r="AA150"/>
  <c r="AI150"/>
  <c r="AU150"/>
  <c r="V150"/>
  <c r="AL150"/>
  <c r="AT150"/>
  <c r="AC150"/>
  <c r="AK150"/>
  <c r="AS150"/>
  <c r="X150"/>
  <c r="AF150"/>
  <c r="AR150"/>
  <c r="AT40"/>
  <c r="AR40"/>
  <c r="AP40"/>
  <c r="AN40"/>
  <c r="AL40"/>
  <c r="AJ40"/>
  <c r="AH40"/>
  <c r="AF40"/>
  <c r="AD40"/>
  <c r="AB40"/>
  <c r="Z40"/>
  <c r="X40"/>
  <c r="V40"/>
  <c r="T40"/>
  <c r="R40"/>
  <c r="P40"/>
  <c r="AU40"/>
  <c r="AS40"/>
  <c r="AQ40"/>
  <c r="AO40"/>
  <c r="AM40"/>
  <c r="AK40"/>
  <c r="AI40"/>
  <c r="AG40"/>
  <c r="AE40"/>
  <c r="AC40"/>
  <c r="AA40"/>
  <c r="Y40"/>
  <c r="W40"/>
  <c r="U40"/>
  <c r="S40"/>
  <c r="Q40"/>
  <c r="D37"/>
  <c r="F37"/>
  <c r="E39"/>
  <c r="G39"/>
  <c r="L42"/>
  <c r="M41"/>
  <c r="O41" s="1"/>
  <c r="W118"/>
  <c r="P118"/>
  <c r="AA118"/>
  <c r="V118"/>
  <c r="W117"/>
  <c r="R117"/>
  <c r="AG117"/>
  <c r="AJ117"/>
  <c r="T117"/>
  <c r="AN118"/>
  <c r="AD118"/>
  <c r="AI118"/>
  <c r="AP118"/>
  <c r="AR117"/>
  <c r="AS117"/>
  <c r="AS118"/>
  <c r="AC118"/>
  <c r="AJ118"/>
  <c r="T118"/>
  <c r="Z118"/>
  <c r="AO118"/>
  <c r="Y118"/>
  <c r="AT118"/>
  <c r="AC117"/>
  <c r="P117"/>
  <c r="V117"/>
  <c r="AQ117"/>
  <c r="AA117"/>
  <c r="AN117"/>
  <c r="X117"/>
  <c r="AF118"/>
  <c r="AR118"/>
  <c r="AT117"/>
  <c r="Q117"/>
  <c r="AL117"/>
  <c r="X118"/>
  <c r="S118"/>
  <c r="Z117"/>
  <c r="AK118"/>
  <c r="AB118"/>
  <c r="AU118"/>
  <c r="Q118"/>
  <c r="U117"/>
  <c r="AU117"/>
  <c r="S117"/>
  <c r="AP117"/>
  <c r="AM118"/>
  <c r="R118"/>
  <c r="AM117"/>
  <c r="AO117"/>
  <c r="AB117"/>
  <c r="AE118"/>
  <c r="AQ118"/>
  <c r="AE117"/>
  <c r="Y117"/>
  <c r="U118"/>
  <c r="AL118"/>
  <c r="AG118"/>
  <c r="AK117"/>
  <c r="AD117"/>
  <c r="AI117"/>
  <c r="AF117"/>
  <c r="AM116"/>
  <c r="S116"/>
  <c r="AO116"/>
  <c r="Y116"/>
  <c r="R116"/>
  <c r="AB116"/>
  <c r="AD116"/>
  <c r="AI116"/>
  <c r="AQ116"/>
  <c r="AK116"/>
  <c r="U116"/>
  <c r="P116"/>
  <c r="AT116"/>
  <c r="AA116"/>
  <c r="AE116"/>
  <c r="AG116"/>
  <c r="Q116"/>
  <c r="AJ116"/>
  <c r="T116"/>
  <c r="AP116"/>
  <c r="V116"/>
  <c r="W116"/>
  <c r="AS116"/>
  <c r="AC116"/>
  <c r="AN116"/>
  <c r="X116"/>
  <c r="AU116"/>
  <c r="AL116"/>
  <c r="AR116"/>
  <c r="AF116"/>
  <c r="Z116"/>
  <c r="P110"/>
  <c r="P109"/>
  <c r="Z1"/>
  <c r="Y225"/>
  <c r="AF134"/>
  <c r="AO135"/>
  <c r="AO134"/>
  <c r="AG134"/>
  <c r="AH134"/>
  <c r="S134"/>
  <c r="AF135"/>
  <c r="R135"/>
  <c r="AE135"/>
  <c r="AJ135"/>
  <c r="AE134"/>
  <c r="AH135"/>
  <c r="AG135"/>
  <c r="S135"/>
  <c r="AJ134"/>
  <c r="AA136"/>
  <c r="Z136"/>
  <c r="AR136"/>
  <c r="AQ136"/>
  <c r="U136"/>
  <c r="AL136"/>
  <c r="AT136"/>
  <c r="AS136"/>
  <c r="Y136"/>
  <c r="AO136"/>
  <c r="AJ136"/>
  <c r="AE136"/>
  <c r="S136"/>
  <c r="Q136"/>
  <c r="AD136"/>
  <c r="V136"/>
  <c r="T136"/>
  <c r="W136"/>
  <c r="AI136"/>
  <c r="AF136"/>
  <c r="AK136"/>
  <c r="AC136"/>
  <c r="AP136"/>
  <c r="AM136"/>
  <c r="AU136"/>
  <c r="AN136"/>
  <c r="AH136"/>
  <c r="AG136"/>
  <c r="AB136"/>
  <c r="X136"/>
  <c r="R136"/>
  <c r="P136"/>
  <c r="U135"/>
  <c r="AC135"/>
  <c r="AM135"/>
  <c r="AU135"/>
  <c r="V135"/>
  <c r="AD135"/>
  <c r="AP135"/>
  <c r="P134"/>
  <c r="AN134"/>
  <c r="W135"/>
  <c r="AK135"/>
  <c r="T135"/>
  <c r="AB135"/>
  <c r="AR135"/>
  <c r="AR134"/>
  <c r="AU134"/>
  <c r="AI134"/>
  <c r="AC134"/>
  <c r="T134"/>
  <c r="V134"/>
  <c r="AD134"/>
  <c r="AP134"/>
  <c r="W134"/>
  <c r="AK134"/>
  <c r="Y135"/>
  <c r="AI135"/>
  <c r="AQ135"/>
  <c r="Z135"/>
  <c r="AL135"/>
  <c r="AT135"/>
  <c r="AB134"/>
  <c r="Q135"/>
  <c r="AA135"/>
  <c r="AS135"/>
  <c r="P135"/>
  <c r="X135"/>
  <c r="AN135"/>
  <c r="X134"/>
  <c r="AQ134"/>
  <c r="AM134"/>
  <c r="Y134"/>
  <c r="U134"/>
  <c r="Z134"/>
  <c r="AL134"/>
  <c r="AT134"/>
  <c r="Q134"/>
  <c r="AA134"/>
  <c r="AS134"/>
  <c r="Q110"/>
  <c r="AA110"/>
  <c r="AK110"/>
  <c r="AS110"/>
  <c r="T110"/>
  <c r="AB110"/>
  <c r="AN110"/>
  <c r="Y110"/>
  <c r="AI110"/>
  <c r="AQ110"/>
  <c r="R110"/>
  <c r="Z110"/>
  <c r="AL110"/>
  <c r="AT110"/>
  <c r="AH110"/>
  <c r="AG110"/>
  <c r="AB109"/>
  <c r="AN109"/>
  <c r="AH109"/>
  <c r="AE109"/>
  <c r="AR109"/>
  <c r="AC109"/>
  <c r="AF109"/>
  <c r="AM109"/>
  <c r="AU109"/>
  <c r="AI109"/>
  <c r="U109"/>
  <c r="V109"/>
  <c r="AD109"/>
  <c r="AP109"/>
  <c r="W109"/>
  <c r="AK109"/>
  <c r="Q109"/>
  <c r="AS109"/>
  <c r="W110"/>
  <c r="AE110"/>
  <c r="AO110"/>
  <c r="X110"/>
  <c r="AJ110"/>
  <c r="AR110"/>
  <c r="S110"/>
  <c r="U110"/>
  <c r="AC110"/>
  <c r="AM110"/>
  <c r="AU110"/>
  <c r="V110"/>
  <c r="AD110"/>
  <c r="AP110"/>
  <c r="S109"/>
  <c r="AJ109"/>
  <c r="AO109"/>
  <c r="AF110"/>
  <c r="X109"/>
  <c r="AQ109"/>
  <c r="AG109"/>
  <c r="T109"/>
  <c r="Y109"/>
  <c r="Z109"/>
  <c r="AL109"/>
  <c r="AT109"/>
  <c r="AA109"/>
  <c r="V111"/>
  <c r="AL111"/>
  <c r="R111"/>
  <c r="X111"/>
  <c r="Z111"/>
  <c r="AP111"/>
  <c r="AE111"/>
  <c r="AG111"/>
  <c r="Q111"/>
  <c r="S111"/>
  <c r="AH111"/>
  <c r="Y111"/>
  <c r="AK111"/>
  <c r="W111"/>
  <c r="AI111"/>
  <c r="AS111"/>
  <c r="AD111"/>
  <c r="AR111"/>
  <c r="AJ111"/>
  <c r="AN111"/>
  <c r="AF111"/>
  <c r="AT111"/>
  <c r="AO111"/>
  <c r="AU111"/>
  <c r="AB111"/>
  <c r="P111"/>
  <c r="U111"/>
  <c r="AC111"/>
  <c r="AQ111"/>
  <c r="AA111"/>
  <c r="AM111"/>
  <c r="T111"/>
  <c r="C94"/>
  <c r="E94" s="1"/>
  <c r="G97"/>
  <c r="F3" i="1" s="1"/>
  <c r="E97" i="14"/>
  <c r="D3" i="1" s="1"/>
  <c r="E96" i="14"/>
  <c r="D2" i="1" s="1"/>
  <c r="G96" i="14"/>
  <c r="F2" i="1" s="1"/>
  <c r="E98" i="14"/>
  <c r="D4" i="1" s="1"/>
  <c r="G98" i="14"/>
  <c r="F4" i="1" s="1"/>
  <c r="Q94" i="14"/>
  <c r="Q93" s="1"/>
  <c r="R93" s="1"/>
  <c r="AH179" l="1"/>
  <c r="AH178"/>
  <c r="AH186"/>
  <c r="AH185"/>
  <c r="AH180"/>
  <c r="AH187"/>
  <c r="AM179"/>
  <c r="Q179"/>
  <c r="P179"/>
  <c r="W179"/>
  <c r="AD179"/>
  <c r="U179"/>
  <c r="AJ179"/>
  <c r="AD178"/>
  <c r="AJ178"/>
  <c r="AM178"/>
  <c r="P178"/>
  <c r="Q178"/>
  <c r="U178"/>
  <c r="W178"/>
  <c r="AD185"/>
  <c r="W186"/>
  <c r="AD186"/>
  <c r="AJ185"/>
  <c r="AM185"/>
  <c r="U186"/>
  <c r="AJ186"/>
  <c r="P185"/>
  <c r="Q185"/>
  <c r="AM186"/>
  <c r="U185"/>
  <c r="W185"/>
  <c r="Q186"/>
  <c r="P186"/>
  <c r="AD192"/>
  <c r="U192"/>
  <c r="W192"/>
  <c r="P192"/>
  <c r="Q192"/>
  <c r="AJ192"/>
  <c r="AM192"/>
  <c r="AM193"/>
  <c r="Q193"/>
  <c r="P193"/>
  <c r="W193"/>
  <c r="AD193"/>
  <c r="U193"/>
  <c r="AJ193"/>
  <c r="P180"/>
  <c r="Q180"/>
  <c r="AM180"/>
  <c r="W180"/>
  <c r="AD180"/>
  <c r="U180"/>
  <c r="AJ180"/>
  <c r="U187"/>
  <c r="AJ187"/>
  <c r="AM187"/>
  <c r="Q187"/>
  <c r="P187"/>
  <c r="W187"/>
  <c r="AD187"/>
  <c r="U194"/>
  <c r="AJ194"/>
  <c r="AM194"/>
  <c r="Q194"/>
  <c r="P194"/>
  <c r="W194"/>
  <c r="AD194"/>
  <c r="Y179"/>
  <c r="AG179"/>
  <c r="AO179"/>
  <c r="T179"/>
  <c r="AB179"/>
  <c r="AN179"/>
  <c r="S179"/>
  <c r="AE179"/>
  <c r="AQ179"/>
  <c r="R179"/>
  <c r="Z179"/>
  <c r="AP179"/>
  <c r="AC179"/>
  <c r="AK179"/>
  <c r="AS179"/>
  <c r="X179"/>
  <c r="AF179"/>
  <c r="AR179"/>
  <c r="AA179"/>
  <c r="AI179"/>
  <c r="AU179"/>
  <c r="V179"/>
  <c r="AL179"/>
  <c r="AT179"/>
  <c r="Y178"/>
  <c r="AQ178"/>
  <c r="AB178"/>
  <c r="S178"/>
  <c r="AO178"/>
  <c r="Z178"/>
  <c r="AC178"/>
  <c r="AU178"/>
  <c r="AL178"/>
  <c r="AA178"/>
  <c r="AS178"/>
  <c r="AF178"/>
  <c r="AG178"/>
  <c r="T178"/>
  <c r="AP178"/>
  <c r="AE178"/>
  <c r="R178"/>
  <c r="AN178"/>
  <c r="AK178"/>
  <c r="X178"/>
  <c r="AT178"/>
  <c r="AI178"/>
  <c r="V178"/>
  <c r="AR178"/>
  <c r="AC185"/>
  <c r="AU185"/>
  <c r="AL185"/>
  <c r="AA185"/>
  <c r="AS185"/>
  <c r="AF185"/>
  <c r="Y186"/>
  <c r="AG186"/>
  <c r="AO186"/>
  <c r="T186"/>
  <c r="AB186"/>
  <c r="AN186"/>
  <c r="AG185"/>
  <c r="T185"/>
  <c r="AP185"/>
  <c r="AE185"/>
  <c r="R185"/>
  <c r="AN185"/>
  <c r="AA186"/>
  <c r="AI186"/>
  <c r="AU186"/>
  <c r="V186"/>
  <c r="AL186"/>
  <c r="AT186"/>
  <c r="AK185"/>
  <c r="X185"/>
  <c r="AT185"/>
  <c r="AI185"/>
  <c r="V185"/>
  <c r="AR185"/>
  <c r="AC186"/>
  <c r="AK186"/>
  <c r="AS186"/>
  <c r="X186"/>
  <c r="AF186"/>
  <c r="AR186"/>
  <c r="Y185"/>
  <c r="AQ185"/>
  <c r="AB185"/>
  <c r="S185"/>
  <c r="AO185"/>
  <c r="Z185"/>
  <c r="S186"/>
  <c r="AE186"/>
  <c r="AQ186"/>
  <c r="R186"/>
  <c r="Z186"/>
  <c r="AP186"/>
  <c r="Y192"/>
  <c r="AQ192"/>
  <c r="AB192"/>
  <c r="S192"/>
  <c r="AO192"/>
  <c r="Z192"/>
  <c r="AC192"/>
  <c r="AU192"/>
  <c r="AL192"/>
  <c r="AA192"/>
  <c r="AS192"/>
  <c r="AF192"/>
  <c r="AG192"/>
  <c r="T192"/>
  <c r="AP192"/>
  <c r="AE192"/>
  <c r="R192"/>
  <c r="AN192"/>
  <c r="AK192"/>
  <c r="X192"/>
  <c r="AT192"/>
  <c r="AI192"/>
  <c r="V192"/>
  <c r="AR192"/>
  <c r="Y193"/>
  <c r="AG193"/>
  <c r="AO193"/>
  <c r="T193"/>
  <c r="AB193"/>
  <c r="AN193"/>
  <c r="S193"/>
  <c r="AE193"/>
  <c r="AQ193"/>
  <c r="R193"/>
  <c r="Z193"/>
  <c r="AP193"/>
  <c r="AC193"/>
  <c r="AK193"/>
  <c r="AS193"/>
  <c r="X193"/>
  <c r="AF193"/>
  <c r="AR193"/>
  <c r="AA193"/>
  <c r="AI193"/>
  <c r="AU193"/>
  <c r="V193"/>
  <c r="AL193"/>
  <c r="AT193"/>
  <c r="Y180"/>
  <c r="V180"/>
  <c r="AE180"/>
  <c r="AQ180"/>
  <c r="AB180"/>
  <c r="AN180"/>
  <c r="T180"/>
  <c r="AC180"/>
  <c r="AK180"/>
  <c r="AS180"/>
  <c r="AL180"/>
  <c r="AT180"/>
  <c r="R180"/>
  <c r="AA180"/>
  <c r="AI180"/>
  <c r="AU180"/>
  <c r="AF180"/>
  <c r="AR180"/>
  <c r="S180"/>
  <c r="X180"/>
  <c r="AG180"/>
  <c r="AO180"/>
  <c r="Z180"/>
  <c r="AP180"/>
  <c r="AA187"/>
  <c r="AI187"/>
  <c r="AU187"/>
  <c r="V187"/>
  <c r="AL187"/>
  <c r="AT187"/>
  <c r="Y187"/>
  <c r="AG187"/>
  <c r="AO187"/>
  <c r="T187"/>
  <c r="AB187"/>
  <c r="AN187"/>
  <c r="S187"/>
  <c r="AE187"/>
  <c r="AQ187"/>
  <c r="R187"/>
  <c r="Z187"/>
  <c r="AP187"/>
  <c r="AC187"/>
  <c r="AK187"/>
  <c r="AS187"/>
  <c r="X187"/>
  <c r="AF187"/>
  <c r="AR187"/>
  <c r="Y194"/>
  <c r="AG194"/>
  <c r="AO194"/>
  <c r="T194"/>
  <c r="AB194"/>
  <c r="AN194"/>
  <c r="S194"/>
  <c r="AE194"/>
  <c r="AQ194"/>
  <c r="R194"/>
  <c r="Z194"/>
  <c r="AP194"/>
  <c r="AC194"/>
  <c r="AK194"/>
  <c r="AS194"/>
  <c r="X194"/>
  <c r="AF194"/>
  <c r="AR194"/>
  <c r="AA194"/>
  <c r="AI194"/>
  <c r="AU194"/>
  <c r="V194"/>
  <c r="AL194"/>
  <c r="AT194"/>
  <c r="E150"/>
  <c r="G150"/>
  <c r="E143"/>
  <c r="G143"/>
  <c r="E149"/>
  <c r="G149"/>
  <c r="E141"/>
  <c r="G141"/>
  <c r="G148"/>
  <c r="E148"/>
  <c r="E142"/>
  <c r="G142"/>
  <c r="D39"/>
  <c r="AT41"/>
  <c r="AR41"/>
  <c r="AP41"/>
  <c r="AN41"/>
  <c r="AL41"/>
  <c r="AJ41"/>
  <c r="AH41"/>
  <c r="AF41"/>
  <c r="AD41"/>
  <c r="AB41"/>
  <c r="Z41"/>
  <c r="X41"/>
  <c r="V41"/>
  <c r="T41"/>
  <c r="R41"/>
  <c r="P41"/>
  <c r="AU41"/>
  <c r="AS41"/>
  <c r="AQ41"/>
  <c r="AO41"/>
  <c r="AM41"/>
  <c r="AK41"/>
  <c r="AI41"/>
  <c r="AG41"/>
  <c r="AE41"/>
  <c r="AC41"/>
  <c r="AA41"/>
  <c r="Y41"/>
  <c r="W41"/>
  <c r="U41"/>
  <c r="S41"/>
  <c r="Q41"/>
  <c r="F39"/>
  <c r="E40"/>
  <c r="G40"/>
  <c r="L43"/>
  <c r="M42"/>
  <c r="O42" s="1"/>
  <c r="E116"/>
  <c r="G116"/>
  <c r="E117"/>
  <c r="G117"/>
  <c r="E118"/>
  <c r="G118"/>
  <c r="P171"/>
  <c r="AA1"/>
  <c r="Z225"/>
  <c r="R172"/>
  <c r="AO172"/>
  <c r="AJ172"/>
  <c r="AO171"/>
  <c r="AH172"/>
  <c r="AG172"/>
  <c r="S172"/>
  <c r="AJ171"/>
  <c r="AF171"/>
  <c r="AE172"/>
  <c r="AE171"/>
  <c r="AH171"/>
  <c r="S171"/>
  <c r="AF172"/>
  <c r="AG171"/>
  <c r="R171"/>
  <c r="Y173"/>
  <c r="AK173"/>
  <c r="AA173"/>
  <c r="AM173"/>
  <c r="AU173"/>
  <c r="AP173"/>
  <c r="AN173"/>
  <c r="AH173"/>
  <c r="AG173"/>
  <c r="AB173"/>
  <c r="Z173"/>
  <c r="X173"/>
  <c r="R173"/>
  <c r="P173"/>
  <c r="AD173"/>
  <c r="AR173"/>
  <c r="V173"/>
  <c r="AL173"/>
  <c r="T173"/>
  <c r="U173"/>
  <c r="AC173"/>
  <c r="AQ173"/>
  <c r="W173"/>
  <c r="AI173"/>
  <c r="AS173"/>
  <c r="AT173"/>
  <c r="AO173"/>
  <c r="AJ173"/>
  <c r="AF173"/>
  <c r="AE173"/>
  <c r="S173"/>
  <c r="Q173"/>
  <c r="G136"/>
  <c r="F32" i="1" s="1"/>
  <c r="E136" i="14"/>
  <c r="D32" i="1" s="1"/>
  <c r="G135" i="14"/>
  <c r="F31" i="1" s="1"/>
  <c r="E135" i="14"/>
  <c r="D31" i="1" s="1"/>
  <c r="E134" i="14"/>
  <c r="D30" i="1" s="1"/>
  <c r="G134" i="14"/>
  <c r="F30" i="1" s="1"/>
  <c r="Y172" i="14"/>
  <c r="AI172"/>
  <c r="AQ172"/>
  <c r="V172"/>
  <c r="AD172"/>
  <c r="AP172"/>
  <c r="AB171"/>
  <c r="AT171"/>
  <c r="Q172"/>
  <c r="AA172"/>
  <c r="AS172"/>
  <c r="T172"/>
  <c r="AB172"/>
  <c r="AR172"/>
  <c r="X171"/>
  <c r="AR171"/>
  <c r="AM171"/>
  <c r="AC171"/>
  <c r="Y171"/>
  <c r="U171"/>
  <c r="V171"/>
  <c r="AD171"/>
  <c r="AP171"/>
  <c r="Q171"/>
  <c r="AA171"/>
  <c r="AS171"/>
  <c r="U172"/>
  <c r="AC172"/>
  <c r="AM172"/>
  <c r="AU172"/>
  <c r="Z172"/>
  <c r="AL172"/>
  <c r="AT172"/>
  <c r="AN171"/>
  <c r="W172"/>
  <c r="AK172"/>
  <c r="P172"/>
  <c r="X172"/>
  <c r="AN172"/>
  <c r="AU171"/>
  <c r="T171"/>
  <c r="AQ171"/>
  <c r="AI171"/>
  <c r="Z171"/>
  <c r="AL171"/>
  <c r="W171"/>
  <c r="AK171"/>
  <c r="F96"/>
  <c r="E2" i="1" s="1"/>
  <c r="G111" i="14"/>
  <c r="F18" i="1" s="1"/>
  <c r="E111" i="14"/>
  <c r="D18" i="1" s="1"/>
  <c r="E109" i="14"/>
  <c r="D16" i="1" s="1"/>
  <c r="G109" i="14"/>
  <c r="F16" i="1" s="1"/>
  <c r="E110" i="14"/>
  <c r="D17" i="1" s="1"/>
  <c r="G110" i="14"/>
  <c r="F17" i="1" s="1"/>
  <c r="D96" i="14"/>
  <c r="C2" i="1" s="1"/>
  <c r="F98" i="14"/>
  <c r="E4" i="1" s="1"/>
  <c r="F97" i="14"/>
  <c r="E3" i="1" s="1"/>
  <c r="D97" i="14"/>
  <c r="C3" i="1" s="1"/>
  <c r="D98" i="14"/>
  <c r="C4" i="1" s="1"/>
  <c r="F40" i="14" l="1"/>
  <c r="D149"/>
  <c r="D143"/>
  <c r="D150"/>
  <c r="F150"/>
  <c r="E180"/>
  <c r="G180"/>
  <c r="E192"/>
  <c r="G192"/>
  <c r="G185"/>
  <c r="E185"/>
  <c r="E178"/>
  <c r="G178"/>
  <c r="E194"/>
  <c r="G194"/>
  <c r="E187"/>
  <c r="G187"/>
  <c r="E193"/>
  <c r="G193"/>
  <c r="E186"/>
  <c r="G186"/>
  <c r="E179"/>
  <c r="G179"/>
  <c r="D141"/>
  <c r="D142"/>
  <c r="F148"/>
  <c r="F141"/>
  <c r="F149"/>
  <c r="F142"/>
  <c r="D148"/>
  <c r="F143"/>
  <c r="AT42"/>
  <c r="AR42"/>
  <c r="AP42"/>
  <c r="AN42"/>
  <c r="AL42"/>
  <c r="AJ42"/>
  <c r="AH42"/>
  <c r="AF42"/>
  <c r="AD42"/>
  <c r="AB42"/>
  <c r="Z42"/>
  <c r="X42"/>
  <c r="V42"/>
  <c r="T42"/>
  <c r="R42"/>
  <c r="P42"/>
  <c r="AU42"/>
  <c r="AS42"/>
  <c r="AQ42"/>
  <c r="AO42"/>
  <c r="AM42"/>
  <c r="AK42"/>
  <c r="AI42"/>
  <c r="AG42"/>
  <c r="AE42"/>
  <c r="AC42"/>
  <c r="AA42"/>
  <c r="Y42"/>
  <c r="W42"/>
  <c r="U42"/>
  <c r="S42"/>
  <c r="Q42"/>
  <c r="D40"/>
  <c r="L44"/>
  <c r="M43"/>
  <c r="O43" s="1"/>
  <c r="E41"/>
  <c r="G41"/>
  <c r="D117"/>
  <c r="D118"/>
  <c r="D116"/>
  <c r="F118"/>
  <c r="F117"/>
  <c r="F116"/>
  <c r="AB1"/>
  <c r="AA225"/>
  <c r="D136"/>
  <c r="C32" i="1" s="1"/>
  <c r="F136" i="14"/>
  <c r="E32" i="1" s="1"/>
  <c r="E173" i="14"/>
  <c r="D46" i="1" s="1"/>
  <c r="G173" i="14"/>
  <c r="F46" i="1" s="1"/>
  <c r="F134" i="14"/>
  <c r="E30" i="1" s="1"/>
  <c r="D135" i="14"/>
  <c r="C31" i="1" s="1"/>
  <c r="E172" i="14"/>
  <c r="D45" i="1" s="1"/>
  <c r="G172" i="14"/>
  <c r="F45" i="1" s="1"/>
  <c r="E171" i="14"/>
  <c r="D44" i="1" s="1"/>
  <c r="G171" i="14"/>
  <c r="F44" i="1" s="1"/>
  <c r="D134" i="14"/>
  <c r="C30" i="1" s="1"/>
  <c r="F135" i="14"/>
  <c r="E31" i="1" s="1"/>
  <c r="D111" i="14"/>
  <c r="C18" i="1" s="1"/>
  <c r="D109" i="14"/>
  <c r="C16" i="1" s="1"/>
  <c r="F111" i="14"/>
  <c r="E18" i="1" s="1"/>
  <c r="F110" i="14"/>
  <c r="E17" i="1" s="1"/>
  <c r="D110" i="14"/>
  <c r="C17" i="1" s="1"/>
  <c r="F109" i="14"/>
  <c r="E16" i="1" s="1"/>
  <c r="D193" i="14" l="1"/>
  <c r="D194"/>
  <c r="D178"/>
  <c r="F185"/>
  <c r="D192"/>
  <c r="D180"/>
  <c r="F180"/>
  <c r="D179"/>
  <c r="D186"/>
  <c r="F193"/>
  <c r="F179"/>
  <c r="D187"/>
  <c r="F194"/>
  <c r="F186"/>
  <c r="F187"/>
  <c r="F178"/>
  <c r="D185"/>
  <c r="F192"/>
  <c r="AT43"/>
  <c r="AT174" s="1"/>
  <c r="AR43"/>
  <c r="AR174" s="1"/>
  <c r="AP43"/>
  <c r="AP174" s="1"/>
  <c r="AN43"/>
  <c r="AN174" s="1"/>
  <c r="AL43"/>
  <c r="AL174" s="1"/>
  <c r="AJ43"/>
  <c r="AH43"/>
  <c r="AH174" s="1"/>
  <c r="AF43"/>
  <c r="AF174" s="1"/>
  <c r="AD43"/>
  <c r="AD174" s="1"/>
  <c r="AB43"/>
  <c r="AB174" s="1"/>
  <c r="Z43"/>
  <c r="Z174" s="1"/>
  <c r="X43"/>
  <c r="X174" s="1"/>
  <c r="V43"/>
  <c r="V174" s="1"/>
  <c r="T43"/>
  <c r="T174" s="1"/>
  <c r="R43"/>
  <c r="R174" s="1"/>
  <c r="P43"/>
  <c r="P174" s="1"/>
  <c r="AU43"/>
  <c r="AU174" s="1"/>
  <c r="AS43"/>
  <c r="AS174" s="1"/>
  <c r="AQ43"/>
  <c r="AO43"/>
  <c r="AO174" s="1"/>
  <c r="AM43"/>
  <c r="AK43"/>
  <c r="AK174" s="1"/>
  <c r="AI43"/>
  <c r="AI174" s="1"/>
  <c r="AG43"/>
  <c r="AG174" s="1"/>
  <c r="AE43"/>
  <c r="AE174" s="1"/>
  <c r="AC43"/>
  <c r="AA43"/>
  <c r="AA174" s="1"/>
  <c r="Y43"/>
  <c r="Y174" s="1"/>
  <c r="W43"/>
  <c r="W174" s="1"/>
  <c r="U43"/>
  <c r="S43"/>
  <c r="S174" s="1"/>
  <c r="Q43"/>
  <c r="D41"/>
  <c r="F41"/>
  <c r="E42"/>
  <c r="G42"/>
  <c r="AQ174"/>
  <c r="L45"/>
  <c r="M44"/>
  <c r="O44" s="1"/>
  <c r="AC1"/>
  <c r="AB225"/>
  <c r="D173"/>
  <c r="C46" i="1" s="1"/>
  <c r="F173" i="14"/>
  <c r="E46" i="1" s="1"/>
  <c r="F171" i="14"/>
  <c r="E44" i="1" s="1"/>
  <c r="F172" i="14"/>
  <c r="E45" i="1" s="1"/>
  <c r="D171" i="14"/>
  <c r="C44" i="1" s="1"/>
  <c r="D172" i="14"/>
  <c r="C45" i="1" s="1"/>
  <c r="AH99" i="14" l="1"/>
  <c r="AH112"/>
  <c r="AH137"/>
  <c r="Q99"/>
  <c r="Q112"/>
  <c r="Q137"/>
  <c r="Q174"/>
  <c r="U99"/>
  <c r="U112"/>
  <c r="U137"/>
  <c r="U174"/>
  <c r="P99"/>
  <c r="P112"/>
  <c r="P137"/>
  <c r="AJ99"/>
  <c r="AJ112"/>
  <c r="AJ137"/>
  <c r="AJ174"/>
  <c r="W112"/>
  <c r="W99"/>
  <c r="W137"/>
  <c r="AM99"/>
  <c r="AM137"/>
  <c r="AM112"/>
  <c r="AD99"/>
  <c r="AD112"/>
  <c r="AD137"/>
  <c r="AM174"/>
  <c r="F42"/>
  <c r="AT44"/>
  <c r="AT119" s="1"/>
  <c r="AR44"/>
  <c r="AR119" s="1"/>
  <c r="AP44"/>
  <c r="AP119" s="1"/>
  <c r="AN44"/>
  <c r="AN119" s="1"/>
  <c r="AL44"/>
  <c r="AL119" s="1"/>
  <c r="AJ44"/>
  <c r="AJ119" s="1"/>
  <c r="AH44"/>
  <c r="AH119" s="1"/>
  <c r="AF44"/>
  <c r="AF119" s="1"/>
  <c r="AD44"/>
  <c r="AD119" s="1"/>
  <c r="AB44"/>
  <c r="AB119" s="1"/>
  <c r="Z44"/>
  <c r="Z119" s="1"/>
  <c r="X44"/>
  <c r="X119" s="1"/>
  <c r="V44"/>
  <c r="V119" s="1"/>
  <c r="T44"/>
  <c r="T119" s="1"/>
  <c r="R44"/>
  <c r="R119" s="1"/>
  <c r="P44"/>
  <c r="AU44"/>
  <c r="AU119" s="1"/>
  <c r="AS44"/>
  <c r="AS119" s="1"/>
  <c r="AQ44"/>
  <c r="AQ119" s="1"/>
  <c r="AO44"/>
  <c r="AO119" s="1"/>
  <c r="AM44"/>
  <c r="AM119" s="1"/>
  <c r="AK44"/>
  <c r="AK119" s="1"/>
  <c r="AI44"/>
  <c r="AI119" s="1"/>
  <c r="AG44"/>
  <c r="AG119" s="1"/>
  <c r="AE44"/>
  <c r="AE119" s="1"/>
  <c r="AC44"/>
  <c r="AC119" s="1"/>
  <c r="AA44"/>
  <c r="AA119" s="1"/>
  <c r="Y44"/>
  <c r="Y119" s="1"/>
  <c r="W44"/>
  <c r="W119" s="1"/>
  <c r="U44"/>
  <c r="U119" s="1"/>
  <c r="S44"/>
  <c r="S119" s="1"/>
  <c r="Q44"/>
  <c r="Q119" s="1"/>
  <c r="D42"/>
  <c r="AC99"/>
  <c r="AC112"/>
  <c r="AC137"/>
  <c r="AU99"/>
  <c r="AU112"/>
  <c r="AU137"/>
  <c r="AE99"/>
  <c r="AE112"/>
  <c r="AE137"/>
  <c r="AO99"/>
  <c r="AO112"/>
  <c r="AO137"/>
  <c r="R112"/>
  <c r="R99"/>
  <c r="R137"/>
  <c r="Z99"/>
  <c r="Z112"/>
  <c r="Z137"/>
  <c r="AL112"/>
  <c r="AL99"/>
  <c r="AL137"/>
  <c r="AT99"/>
  <c r="AT112"/>
  <c r="AT137"/>
  <c r="T112"/>
  <c r="T99"/>
  <c r="T137"/>
  <c r="AB99"/>
  <c r="AB112"/>
  <c r="AB137"/>
  <c r="AN112"/>
  <c r="AN99"/>
  <c r="AN137"/>
  <c r="AG112"/>
  <c r="AG99"/>
  <c r="AG137"/>
  <c r="L46"/>
  <c r="M45"/>
  <c r="O45" s="1"/>
  <c r="Y99"/>
  <c r="Y112"/>
  <c r="Y137"/>
  <c r="AI112"/>
  <c r="AI99"/>
  <c r="AI137"/>
  <c r="AQ99"/>
  <c r="AQ112"/>
  <c r="AQ137"/>
  <c r="AA99"/>
  <c r="AA112"/>
  <c r="AA137"/>
  <c r="AK112"/>
  <c r="AK99"/>
  <c r="AK137"/>
  <c r="AS99"/>
  <c r="AS112"/>
  <c r="AS137"/>
  <c r="V99"/>
  <c r="V112"/>
  <c r="V137"/>
  <c r="AP99"/>
  <c r="AP112"/>
  <c r="AP137"/>
  <c r="AF99"/>
  <c r="AF112"/>
  <c r="AF137"/>
  <c r="E43"/>
  <c r="G43"/>
  <c r="X99"/>
  <c r="X112"/>
  <c r="X137"/>
  <c r="AR99"/>
  <c r="AR112"/>
  <c r="AR137"/>
  <c r="S99"/>
  <c r="S112"/>
  <c r="S137"/>
  <c r="AC174"/>
  <c r="AD1"/>
  <c r="AC225"/>
  <c r="F43" l="1"/>
  <c r="AT45"/>
  <c r="AT144" s="1"/>
  <c r="AR45"/>
  <c r="AR144" s="1"/>
  <c r="AP45"/>
  <c r="AP144" s="1"/>
  <c r="AN45"/>
  <c r="AN144" s="1"/>
  <c r="AL45"/>
  <c r="AL144" s="1"/>
  <c r="AJ45"/>
  <c r="AJ144" s="1"/>
  <c r="AH45"/>
  <c r="AH144" s="1"/>
  <c r="AF45"/>
  <c r="AF144" s="1"/>
  <c r="AD45"/>
  <c r="AD144" s="1"/>
  <c r="AB45"/>
  <c r="AB144" s="1"/>
  <c r="Z45"/>
  <c r="Z144" s="1"/>
  <c r="X45"/>
  <c r="X144" s="1"/>
  <c r="V45"/>
  <c r="V144" s="1"/>
  <c r="T45"/>
  <c r="T144" s="1"/>
  <c r="R45"/>
  <c r="R144" s="1"/>
  <c r="P45"/>
  <c r="P144" s="1"/>
  <c r="AU45"/>
  <c r="AU144" s="1"/>
  <c r="AS45"/>
  <c r="AS144" s="1"/>
  <c r="AQ45"/>
  <c r="AQ144" s="1"/>
  <c r="AO45"/>
  <c r="AO144" s="1"/>
  <c r="AM45"/>
  <c r="AM144" s="1"/>
  <c r="AK45"/>
  <c r="AK144" s="1"/>
  <c r="AI45"/>
  <c r="AI144" s="1"/>
  <c r="AG45"/>
  <c r="AG144" s="1"/>
  <c r="AE45"/>
  <c r="AE144" s="1"/>
  <c r="AC45"/>
  <c r="AC144" s="1"/>
  <c r="AA45"/>
  <c r="AA144" s="1"/>
  <c r="Y45"/>
  <c r="Y144" s="1"/>
  <c r="W45"/>
  <c r="W144" s="1"/>
  <c r="U45"/>
  <c r="U144" s="1"/>
  <c r="S45"/>
  <c r="S144" s="1"/>
  <c r="Q45"/>
  <c r="Q144" s="1"/>
  <c r="D43"/>
  <c r="L47"/>
  <c r="M46"/>
  <c r="O46" s="1"/>
  <c r="E137"/>
  <c r="D33" i="1" s="1"/>
  <c r="G137" i="14"/>
  <c r="F33" i="1" s="1"/>
  <c r="G112" i="14"/>
  <c r="F19" i="1" s="1"/>
  <c r="E112" i="14"/>
  <c r="D19" i="1" s="1"/>
  <c r="E174" i="14"/>
  <c r="D47" i="1" s="1"/>
  <c r="E99" i="14"/>
  <c r="D5" i="1" s="1"/>
  <c r="G99" i="14"/>
  <c r="F5" i="1" s="1"/>
  <c r="E44" i="14"/>
  <c r="G44"/>
  <c r="P119"/>
  <c r="G174"/>
  <c r="F47" i="1" s="1"/>
  <c r="AE1" i="14"/>
  <c r="AD225"/>
  <c r="G144" l="1"/>
  <c r="E144"/>
  <c r="AT46"/>
  <c r="AT181" s="1"/>
  <c r="AR46"/>
  <c r="AR181" s="1"/>
  <c r="AP46"/>
  <c r="AP181" s="1"/>
  <c r="AN46"/>
  <c r="AN181" s="1"/>
  <c r="AL46"/>
  <c r="AL181" s="1"/>
  <c r="AJ46"/>
  <c r="AJ181" s="1"/>
  <c r="AH46"/>
  <c r="AH181" s="1"/>
  <c r="AF46"/>
  <c r="AF181" s="1"/>
  <c r="AD46"/>
  <c r="AD181" s="1"/>
  <c r="AB46"/>
  <c r="AB181" s="1"/>
  <c r="Z46"/>
  <c r="Z181" s="1"/>
  <c r="X46"/>
  <c r="X181" s="1"/>
  <c r="V46"/>
  <c r="V181" s="1"/>
  <c r="T46"/>
  <c r="T181" s="1"/>
  <c r="R46"/>
  <c r="R181" s="1"/>
  <c r="P46"/>
  <c r="P181" s="1"/>
  <c r="AU46"/>
  <c r="AU181" s="1"/>
  <c r="AS46"/>
  <c r="AS181" s="1"/>
  <c r="AQ46"/>
  <c r="AQ181" s="1"/>
  <c r="AO46"/>
  <c r="AO181" s="1"/>
  <c r="AM46"/>
  <c r="AM181" s="1"/>
  <c r="AK46"/>
  <c r="AK181" s="1"/>
  <c r="AI46"/>
  <c r="AI181" s="1"/>
  <c r="AG46"/>
  <c r="AG181" s="1"/>
  <c r="AE46"/>
  <c r="AE181" s="1"/>
  <c r="AC46"/>
  <c r="AC181" s="1"/>
  <c r="AA46"/>
  <c r="AA181" s="1"/>
  <c r="Y46"/>
  <c r="Y181" s="1"/>
  <c r="W46"/>
  <c r="W181" s="1"/>
  <c r="U46"/>
  <c r="U181" s="1"/>
  <c r="S46"/>
  <c r="S181" s="1"/>
  <c r="Q46"/>
  <c r="Q181" s="1"/>
  <c r="F44"/>
  <c r="F112"/>
  <c r="E19" i="1" s="1"/>
  <c r="D44" i="14"/>
  <c r="D112"/>
  <c r="C19" i="1" s="1"/>
  <c r="L48" i="14"/>
  <c r="M47"/>
  <c r="O47" s="1"/>
  <c r="F99"/>
  <c r="E5" i="1" s="1"/>
  <c r="F137" i="14"/>
  <c r="E33" i="1" s="1"/>
  <c r="D174" i="14"/>
  <c r="C47" i="1" s="1"/>
  <c r="E119" i="14"/>
  <c r="G119"/>
  <c r="E45"/>
  <c r="G45"/>
  <c r="D99"/>
  <c r="C5" i="1" s="1"/>
  <c r="D137" i="14"/>
  <c r="C33" i="1" s="1"/>
  <c r="F174" i="14"/>
  <c r="E47" i="1" s="1"/>
  <c r="AF1" i="14"/>
  <c r="AE225"/>
  <c r="D144" l="1"/>
  <c r="F144"/>
  <c r="G181"/>
  <c r="E181"/>
  <c r="D119"/>
  <c r="D45"/>
  <c r="AT47"/>
  <c r="AT151" s="1"/>
  <c r="AR47"/>
  <c r="AR151" s="1"/>
  <c r="AP47"/>
  <c r="AP151" s="1"/>
  <c r="AN47"/>
  <c r="AN151" s="1"/>
  <c r="AL47"/>
  <c r="AL151" s="1"/>
  <c r="AJ47"/>
  <c r="AJ151" s="1"/>
  <c r="AH47"/>
  <c r="AH151" s="1"/>
  <c r="AF47"/>
  <c r="AF151" s="1"/>
  <c r="AD47"/>
  <c r="AD151" s="1"/>
  <c r="AB47"/>
  <c r="AB151" s="1"/>
  <c r="Z47"/>
  <c r="Z151" s="1"/>
  <c r="X47"/>
  <c r="X151" s="1"/>
  <c r="V47"/>
  <c r="V151" s="1"/>
  <c r="T47"/>
  <c r="T151" s="1"/>
  <c r="R47"/>
  <c r="R151" s="1"/>
  <c r="P47"/>
  <c r="P151" s="1"/>
  <c r="AU47"/>
  <c r="AU151" s="1"/>
  <c r="AS47"/>
  <c r="AS151" s="1"/>
  <c r="AQ47"/>
  <c r="AQ151" s="1"/>
  <c r="AO47"/>
  <c r="AO151" s="1"/>
  <c r="AM47"/>
  <c r="AM151" s="1"/>
  <c r="AK47"/>
  <c r="AK151" s="1"/>
  <c r="AI47"/>
  <c r="AI151" s="1"/>
  <c r="AG47"/>
  <c r="AG151" s="1"/>
  <c r="AE47"/>
  <c r="AE151" s="1"/>
  <c r="AC47"/>
  <c r="AC151" s="1"/>
  <c r="AA47"/>
  <c r="AA151" s="1"/>
  <c r="Y47"/>
  <c r="Y151" s="1"/>
  <c r="W47"/>
  <c r="W151" s="1"/>
  <c r="U47"/>
  <c r="U151" s="1"/>
  <c r="S47"/>
  <c r="S151" s="1"/>
  <c r="Q47"/>
  <c r="Q151" s="1"/>
  <c r="F45"/>
  <c r="F119"/>
  <c r="L49"/>
  <c r="M48"/>
  <c r="O48" s="1"/>
  <c r="E46"/>
  <c r="G46"/>
  <c r="AG1"/>
  <c r="AF225"/>
  <c r="F181" l="1"/>
  <c r="D181"/>
  <c r="G151"/>
  <c r="E151"/>
  <c r="F46"/>
  <c r="AT48"/>
  <c r="AT188" s="1"/>
  <c r="AR48"/>
  <c r="AR188" s="1"/>
  <c r="AP48"/>
  <c r="AP188" s="1"/>
  <c r="AN48"/>
  <c r="AN188" s="1"/>
  <c r="AL48"/>
  <c r="AL188" s="1"/>
  <c r="AJ48"/>
  <c r="AJ188" s="1"/>
  <c r="AH48"/>
  <c r="AH188" s="1"/>
  <c r="AF48"/>
  <c r="AF188" s="1"/>
  <c r="AD48"/>
  <c r="AD188" s="1"/>
  <c r="AB48"/>
  <c r="AB188" s="1"/>
  <c r="Z48"/>
  <c r="Z188" s="1"/>
  <c r="X48"/>
  <c r="X188" s="1"/>
  <c r="V48"/>
  <c r="V188" s="1"/>
  <c r="T48"/>
  <c r="T188" s="1"/>
  <c r="R48"/>
  <c r="R188" s="1"/>
  <c r="P48"/>
  <c r="P188" s="1"/>
  <c r="AU48"/>
  <c r="AU188" s="1"/>
  <c r="AS48"/>
  <c r="AS188" s="1"/>
  <c r="AQ48"/>
  <c r="AQ188" s="1"/>
  <c r="AO48"/>
  <c r="AO188" s="1"/>
  <c r="AM48"/>
  <c r="AM188" s="1"/>
  <c r="AK48"/>
  <c r="AK188" s="1"/>
  <c r="AI48"/>
  <c r="AI188" s="1"/>
  <c r="AG48"/>
  <c r="AG188" s="1"/>
  <c r="AE48"/>
  <c r="AE188" s="1"/>
  <c r="AC48"/>
  <c r="AC188" s="1"/>
  <c r="AA48"/>
  <c r="AA188" s="1"/>
  <c r="Y48"/>
  <c r="Y188" s="1"/>
  <c r="W48"/>
  <c r="W188" s="1"/>
  <c r="U48"/>
  <c r="U188" s="1"/>
  <c r="S48"/>
  <c r="S188" s="1"/>
  <c r="Q48"/>
  <c r="Q188" s="1"/>
  <c r="D46"/>
  <c r="L51"/>
  <c r="M49"/>
  <c r="O49" s="1"/>
  <c r="G47"/>
  <c r="E47"/>
  <c r="AH1"/>
  <c r="AG225"/>
  <c r="F151" l="1"/>
  <c r="D47"/>
  <c r="D151"/>
  <c r="G188"/>
  <c r="E188"/>
  <c r="AT49"/>
  <c r="AT195" s="1"/>
  <c r="AR49"/>
  <c r="AR195" s="1"/>
  <c r="AP49"/>
  <c r="AP195" s="1"/>
  <c r="AN49"/>
  <c r="AN195" s="1"/>
  <c r="AL49"/>
  <c r="AL195" s="1"/>
  <c r="AJ49"/>
  <c r="AJ195" s="1"/>
  <c r="AH49"/>
  <c r="AH195" s="1"/>
  <c r="AF49"/>
  <c r="AF195" s="1"/>
  <c r="AD49"/>
  <c r="AD195" s="1"/>
  <c r="AB49"/>
  <c r="AB195" s="1"/>
  <c r="Z49"/>
  <c r="Z195" s="1"/>
  <c r="X49"/>
  <c r="X195" s="1"/>
  <c r="V49"/>
  <c r="V195" s="1"/>
  <c r="T49"/>
  <c r="T195" s="1"/>
  <c r="R49"/>
  <c r="R195" s="1"/>
  <c r="P49"/>
  <c r="P195" s="1"/>
  <c r="AU49"/>
  <c r="AU195" s="1"/>
  <c r="AS49"/>
  <c r="AS195" s="1"/>
  <c r="AQ49"/>
  <c r="AQ195" s="1"/>
  <c r="AO49"/>
  <c r="AO195" s="1"/>
  <c r="AM49"/>
  <c r="AM195" s="1"/>
  <c r="AK49"/>
  <c r="AK195" s="1"/>
  <c r="AI49"/>
  <c r="AI195" s="1"/>
  <c r="AG49"/>
  <c r="AG195" s="1"/>
  <c r="AE49"/>
  <c r="AE195" s="1"/>
  <c r="AC49"/>
  <c r="AC195" s="1"/>
  <c r="AA49"/>
  <c r="AA195" s="1"/>
  <c r="Y49"/>
  <c r="Y195" s="1"/>
  <c r="W49"/>
  <c r="W195" s="1"/>
  <c r="U49"/>
  <c r="U195" s="1"/>
  <c r="S49"/>
  <c r="S195" s="1"/>
  <c r="Q49"/>
  <c r="Q195" s="1"/>
  <c r="F47"/>
  <c r="L52"/>
  <c r="M51"/>
  <c r="O51" s="1"/>
  <c r="G48"/>
  <c r="E48"/>
  <c r="AI1"/>
  <c r="AH225"/>
  <c r="F188" l="1"/>
  <c r="G195"/>
  <c r="E195"/>
  <c r="D188"/>
  <c r="D48"/>
  <c r="AT51"/>
  <c r="AR51"/>
  <c r="AP51"/>
  <c r="AN51"/>
  <c r="AL51"/>
  <c r="AJ51"/>
  <c r="AH51"/>
  <c r="AF51"/>
  <c r="AD51"/>
  <c r="AB51"/>
  <c r="Z51"/>
  <c r="X51"/>
  <c r="V51"/>
  <c r="T51"/>
  <c r="Q51"/>
  <c r="R51"/>
  <c r="AU51"/>
  <c r="AS51"/>
  <c r="AQ51"/>
  <c r="AO51"/>
  <c r="AM51"/>
  <c r="AK51"/>
  <c r="AI51"/>
  <c r="AG51"/>
  <c r="AE51"/>
  <c r="AC51"/>
  <c r="AA51"/>
  <c r="Y51"/>
  <c r="W51"/>
  <c r="U51"/>
  <c r="S51"/>
  <c r="P51"/>
  <c r="F48"/>
  <c r="L53"/>
  <c r="M52"/>
  <c r="O52" s="1"/>
  <c r="G49"/>
  <c r="E49"/>
  <c r="AJ1"/>
  <c r="AI225"/>
  <c r="D195" l="1"/>
  <c r="F195"/>
  <c r="AT52"/>
  <c r="AR52"/>
  <c r="AP52"/>
  <c r="AN52"/>
  <c r="AL52"/>
  <c r="AJ52"/>
  <c r="AH52"/>
  <c r="AF52"/>
  <c r="AD52"/>
  <c r="AB52"/>
  <c r="Z52"/>
  <c r="X52"/>
  <c r="V52"/>
  <c r="T52"/>
  <c r="R52"/>
  <c r="P52"/>
  <c r="AU52"/>
  <c r="AS52"/>
  <c r="AQ52"/>
  <c r="AO52"/>
  <c r="AM52"/>
  <c r="AK52"/>
  <c r="AI52"/>
  <c r="AG52"/>
  <c r="AE52"/>
  <c r="AC52"/>
  <c r="AA52"/>
  <c r="Y52"/>
  <c r="W52"/>
  <c r="U52"/>
  <c r="S52"/>
  <c r="Q52"/>
  <c r="F49"/>
  <c r="D49"/>
  <c r="E51"/>
  <c r="G51"/>
  <c r="L54"/>
  <c r="M53"/>
  <c r="O53" s="1"/>
  <c r="AK1"/>
  <c r="AJ225"/>
  <c r="F51" l="1"/>
  <c r="AT53"/>
  <c r="AR53"/>
  <c r="AP53"/>
  <c r="AN53"/>
  <c r="AL53"/>
  <c r="AJ53"/>
  <c r="AH53"/>
  <c r="AF53"/>
  <c r="AD53"/>
  <c r="AB53"/>
  <c r="Z53"/>
  <c r="X53"/>
  <c r="V53"/>
  <c r="T53"/>
  <c r="R53"/>
  <c r="P53"/>
  <c r="AU53"/>
  <c r="AS53"/>
  <c r="AQ53"/>
  <c r="AO53"/>
  <c r="AM53"/>
  <c r="AK53"/>
  <c r="AI53"/>
  <c r="AG53"/>
  <c r="AE53"/>
  <c r="AC53"/>
  <c r="AA53"/>
  <c r="Y53"/>
  <c r="W53"/>
  <c r="U53"/>
  <c r="S53"/>
  <c r="Q53"/>
  <c r="D51"/>
  <c r="E52"/>
  <c r="G52"/>
  <c r="L55"/>
  <c r="M54"/>
  <c r="O54" s="1"/>
  <c r="AL1"/>
  <c r="AK225"/>
  <c r="AT54" l="1"/>
  <c r="AR54"/>
  <c r="AP54"/>
  <c r="AN54"/>
  <c r="AL54"/>
  <c r="AJ54"/>
  <c r="AH54"/>
  <c r="AF54"/>
  <c r="AD54"/>
  <c r="AB54"/>
  <c r="Z54"/>
  <c r="X54"/>
  <c r="V54"/>
  <c r="T54"/>
  <c r="R54"/>
  <c r="P54"/>
  <c r="AU54"/>
  <c r="AS54"/>
  <c r="AQ54"/>
  <c r="AO54"/>
  <c r="AM54"/>
  <c r="AK54"/>
  <c r="AI54"/>
  <c r="AG54"/>
  <c r="AE54"/>
  <c r="AC54"/>
  <c r="AA54"/>
  <c r="Y54"/>
  <c r="W54"/>
  <c r="U54"/>
  <c r="S54"/>
  <c r="Q54"/>
  <c r="F52"/>
  <c r="D52"/>
  <c r="E53"/>
  <c r="G53"/>
  <c r="L56"/>
  <c r="M55"/>
  <c r="O55" s="1"/>
  <c r="AM1"/>
  <c r="AL225"/>
  <c r="AT55" l="1"/>
  <c r="AT175" s="1"/>
  <c r="AR55"/>
  <c r="AR175" s="1"/>
  <c r="AP55"/>
  <c r="AN55"/>
  <c r="AN175" s="1"/>
  <c r="AL55"/>
  <c r="AL175" s="1"/>
  <c r="AJ55"/>
  <c r="AH55"/>
  <c r="AH175" s="1"/>
  <c r="AF55"/>
  <c r="AD55"/>
  <c r="AB55"/>
  <c r="AB175" s="1"/>
  <c r="Z55"/>
  <c r="Z175" s="1"/>
  <c r="X55"/>
  <c r="V55"/>
  <c r="T55"/>
  <c r="T175" s="1"/>
  <c r="R55"/>
  <c r="R175" s="1"/>
  <c r="P55"/>
  <c r="P175" s="1"/>
  <c r="AU55"/>
  <c r="AS55"/>
  <c r="AS175" s="1"/>
  <c r="AQ55"/>
  <c r="AQ175" s="1"/>
  <c r="AO55"/>
  <c r="AO175" s="1"/>
  <c r="AM55"/>
  <c r="AK55"/>
  <c r="AK175" s="1"/>
  <c r="AI55"/>
  <c r="AI175" s="1"/>
  <c r="AG55"/>
  <c r="AG175" s="1"/>
  <c r="AE55"/>
  <c r="AC55"/>
  <c r="AA55"/>
  <c r="AA175" s="1"/>
  <c r="Y55"/>
  <c r="Y175" s="1"/>
  <c r="W55"/>
  <c r="U55"/>
  <c r="S55"/>
  <c r="S175" s="1"/>
  <c r="Q55"/>
  <c r="Q175" s="1"/>
  <c r="D53"/>
  <c r="F53"/>
  <c r="E54"/>
  <c r="G54"/>
  <c r="L57"/>
  <c r="M56"/>
  <c r="O56" s="1"/>
  <c r="AN1"/>
  <c r="AM225"/>
  <c r="AH100" l="1"/>
  <c r="AH113"/>
  <c r="AH138"/>
  <c r="W100"/>
  <c r="W113"/>
  <c r="W138"/>
  <c r="AM100"/>
  <c r="AM113"/>
  <c r="AM138"/>
  <c r="AD100"/>
  <c r="AD113"/>
  <c r="AD138"/>
  <c r="AD175"/>
  <c r="W175"/>
  <c r="Q100"/>
  <c r="Q113"/>
  <c r="Q138"/>
  <c r="U100"/>
  <c r="U113"/>
  <c r="U138"/>
  <c r="U175"/>
  <c r="P100"/>
  <c r="P113"/>
  <c r="P138"/>
  <c r="AJ100"/>
  <c r="AJ113"/>
  <c r="AJ138"/>
  <c r="AM175"/>
  <c r="AJ175"/>
  <c r="AT56"/>
  <c r="AT120" s="1"/>
  <c r="AR56"/>
  <c r="AP56"/>
  <c r="AP120" s="1"/>
  <c r="AN56"/>
  <c r="AN120" s="1"/>
  <c r="AL56"/>
  <c r="AL120" s="1"/>
  <c r="AJ56"/>
  <c r="AJ120" s="1"/>
  <c r="AH56"/>
  <c r="AF56"/>
  <c r="AF120" s="1"/>
  <c r="AD56"/>
  <c r="AD120" s="1"/>
  <c r="AB56"/>
  <c r="AB120" s="1"/>
  <c r="Z56"/>
  <c r="Z120" s="1"/>
  <c r="X56"/>
  <c r="X120" s="1"/>
  <c r="V56"/>
  <c r="V120" s="1"/>
  <c r="T56"/>
  <c r="T120" s="1"/>
  <c r="R56"/>
  <c r="R120" s="1"/>
  <c r="P56"/>
  <c r="AU56"/>
  <c r="AU120" s="1"/>
  <c r="AS56"/>
  <c r="AS120" s="1"/>
  <c r="AQ56"/>
  <c r="AQ120" s="1"/>
  <c r="AO56"/>
  <c r="AO120" s="1"/>
  <c r="AM56"/>
  <c r="AM120" s="1"/>
  <c r="AK56"/>
  <c r="AK120" s="1"/>
  <c r="AI56"/>
  <c r="AI120" s="1"/>
  <c r="AG56"/>
  <c r="AG120" s="1"/>
  <c r="AE56"/>
  <c r="AE120" s="1"/>
  <c r="AC56"/>
  <c r="AC120" s="1"/>
  <c r="AA56"/>
  <c r="AA120" s="1"/>
  <c r="Y56"/>
  <c r="Y120" s="1"/>
  <c r="W56"/>
  <c r="W120" s="1"/>
  <c r="U56"/>
  <c r="U120" s="1"/>
  <c r="S56"/>
  <c r="S120" s="1"/>
  <c r="Q56"/>
  <c r="Q120" s="1"/>
  <c r="D54"/>
  <c r="F54"/>
  <c r="AA100"/>
  <c r="AA113"/>
  <c r="AA138"/>
  <c r="AK100"/>
  <c r="AK113"/>
  <c r="AK138"/>
  <c r="AS100"/>
  <c r="AS113"/>
  <c r="AS138"/>
  <c r="T100"/>
  <c r="T113"/>
  <c r="T138"/>
  <c r="AB100"/>
  <c r="AB113"/>
  <c r="AB138"/>
  <c r="AN100"/>
  <c r="AN113"/>
  <c r="AN138"/>
  <c r="AF100"/>
  <c r="AF113"/>
  <c r="AF138"/>
  <c r="AC100"/>
  <c r="AC113"/>
  <c r="AC138"/>
  <c r="AU100"/>
  <c r="AU113"/>
  <c r="AU138"/>
  <c r="V100"/>
  <c r="V113"/>
  <c r="V138"/>
  <c r="AP100"/>
  <c r="AP113"/>
  <c r="AP138"/>
  <c r="AG100"/>
  <c r="AG113"/>
  <c r="AG138"/>
  <c r="AH120"/>
  <c r="AR120"/>
  <c r="AP175"/>
  <c r="AU175"/>
  <c r="AE100"/>
  <c r="AE113"/>
  <c r="AE138"/>
  <c r="AO100"/>
  <c r="AO113"/>
  <c r="AO138"/>
  <c r="E55"/>
  <c r="G55"/>
  <c r="X100"/>
  <c r="X113"/>
  <c r="X138"/>
  <c r="AR100"/>
  <c r="AR113"/>
  <c r="AR138"/>
  <c r="Y100"/>
  <c r="Y113"/>
  <c r="Y138"/>
  <c r="AI100"/>
  <c r="AI113"/>
  <c r="AI138"/>
  <c r="AQ100"/>
  <c r="AQ113"/>
  <c r="AQ138"/>
  <c r="R100"/>
  <c r="R113"/>
  <c r="R138"/>
  <c r="Z100"/>
  <c r="Z113"/>
  <c r="Z138"/>
  <c r="AL100"/>
  <c r="AL113"/>
  <c r="AL138"/>
  <c r="AT100"/>
  <c r="AT113"/>
  <c r="AT138"/>
  <c r="S100"/>
  <c r="S113"/>
  <c r="S138"/>
  <c r="L58"/>
  <c r="M57"/>
  <c r="O57" s="1"/>
  <c r="AF175"/>
  <c r="V175"/>
  <c r="AC175"/>
  <c r="X175"/>
  <c r="AE175"/>
  <c r="AO1"/>
  <c r="AN225"/>
  <c r="D55" l="1"/>
  <c r="AT57"/>
  <c r="AT145" s="1"/>
  <c r="AR57"/>
  <c r="AR145" s="1"/>
  <c r="AP57"/>
  <c r="AP145" s="1"/>
  <c r="AN57"/>
  <c r="AN145" s="1"/>
  <c r="AL57"/>
  <c r="AL145" s="1"/>
  <c r="AJ57"/>
  <c r="AJ145" s="1"/>
  <c r="AH57"/>
  <c r="AH145" s="1"/>
  <c r="AF57"/>
  <c r="AF145" s="1"/>
  <c r="AD57"/>
  <c r="AD145" s="1"/>
  <c r="AB57"/>
  <c r="AB145" s="1"/>
  <c r="Z57"/>
  <c r="Z145" s="1"/>
  <c r="X57"/>
  <c r="X145" s="1"/>
  <c r="V57"/>
  <c r="V145" s="1"/>
  <c r="T57"/>
  <c r="T145" s="1"/>
  <c r="R57"/>
  <c r="R145" s="1"/>
  <c r="P57"/>
  <c r="P145" s="1"/>
  <c r="AU57"/>
  <c r="AU145" s="1"/>
  <c r="AS57"/>
  <c r="AS145" s="1"/>
  <c r="AQ57"/>
  <c r="AQ145" s="1"/>
  <c r="AO57"/>
  <c r="AO145" s="1"/>
  <c r="AM57"/>
  <c r="AM145" s="1"/>
  <c r="AK57"/>
  <c r="AK145" s="1"/>
  <c r="AI57"/>
  <c r="AI145" s="1"/>
  <c r="AG57"/>
  <c r="AG145" s="1"/>
  <c r="AE57"/>
  <c r="AE145" s="1"/>
  <c r="AC57"/>
  <c r="AC145" s="1"/>
  <c r="AA57"/>
  <c r="AA145" s="1"/>
  <c r="Y57"/>
  <c r="Y145" s="1"/>
  <c r="W57"/>
  <c r="W145" s="1"/>
  <c r="U57"/>
  <c r="U145" s="1"/>
  <c r="S57"/>
  <c r="S145" s="1"/>
  <c r="Q57"/>
  <c r="Q145" s="1"/>
  <c r="F55"/>
  <c r="G138"/>
  <c r="F34" i="1" s="1"/>
  <c r="E138" i="14"/>
  <c r="D34" i="1" s="1"/>
  <c r="G100" i="14"/>
  <c r="F6" i="1" s="1"/>
  <c r="E100" i="14"/>
  <c r="D6" i="1" s="1"/>
  <c r="L59" i="14"/>
  <c r="M58"/>
  <c r="O58" s="1"/>
  <c r="E113"/>
  <c r="D20" i="1" s="1"/>
  <c r="G113" i="14"/>
  <c r="F20" i="1" s="1"/>
  <c r="E56" i="14"/>
  <c r="G56"/>
  <c r="P120"/>
  <c r="E175"/>
  <c r="D48" i="1" s="1"/>
  <c r="G175" i="14"/>
  <c r="F48" i="1" s="1"/>
  <c r="AP1" i="14"/>
  <c r="AO225"/>
  <c r="G145" l="1"/>
  <c r="E145"/>
  <c r="AT58"/>
  <c r="AT182" s="1"/>
  <c r="AR58"/>
  <c r="AR182" s="1"/>
  <c r="AP58"/>
  <c r="AP182" s="1"/>
  <c r="AN58"/>
  <c r="AN182" s="1"/>
  <c r="AL58"/>
  <c r="AL182" s="1"/>
  <c r="AJ58"/>
  <c r="AJ182" s="1"/>
  <c r="AH58"/>
  <c r="AH182" s="1"/>
  <c r="AF58"/>
  <c r="AF182" s="1"/>
  <c r="AD58"/>
  <c r="AD182" s="1"/>
  <c r="AB58"/>
  <c r="AB182" s="1"/>
  <c r="Z58"/>
  <c r="Z182" s="1"/>
  <c r="X58"/>
  <c r="X182" s="1"/>
  <c r="V58"/>
  <c r="V182" s="1"/>
  <c r="T58"/>
  <c r="T182" s="1"/>
  <c r="R58"/>
  <c r="R182" s="1"/>
  <c r="P58"/>
  <c r="P182" s="1"/>
  <c r="AU58"/>
  <c r="AU182" s="1"/>
  <c r="AS58"/>
  <c r="AS182" s="1"/>
  <c r="AQ58"/>
  <c r="AQ182" s="1"/>
  <c r="AO58"/>
  <c r="AO182" s="1"/>
  <c r="AM58"/>
  <c r="AM182" s="1"/>
  <c r="AK58"/>
  <c r="AK182" s="1"/>
  <c r="AI58"/>
  <c r="AI182" s="1"/>
  <c r="AG58"/>
  <c r="AG182" s="1"/>
  <c r="AE58"/>
  <c r="AE182" s="1"/>
  <c r="AC58"/>
  <c r="AC182" s="1"/>
  <c r="AA58"/>
  <c r="AA182" s="1"/>
  <c r="Y58"/>
  <c r="Y182" s="1"/>
  <c r="W58"/>
  <c r="W182" s="1"/>
  <c r="U58"/>
  <c r="U182" s="1"/>
  <c r="S58"/>
  <c r="S182" s="1"/>
  <c r="Q58"/>
  <c r="Q182" s="1"/>
  <c r="F56"/>
  <c r="F100"/>
  <c r="E6" i="1" s="1"/>
  <c r="D100" i="14"/>
  <c r="C6" i="1" s="1"/>
  <c r="D175" i="14"/>
  <c r="C48" i="1" s="1"/>
  <c r="F175" i="14"/>
  <c r="E48" i="1" s="1"/>
  <c r="F113" i="14"/>
  <c r="E20" i="1" s="1"/>
  <c r="E120" i="14"/>
  <c r="G120"/>
  <c r="L60"/>
  <c r="M59"/>
  <c r="O59" s="1"/>
  <c r="D56"/>
  <c r="D113"/>
  <c r="C20" i="1" s="1"/>
  <c r="E57" i="14"/>
  <c r="G57"/>
  <c r="D138"/>
  <c r="C34" i="1" s="1"/>
  <c r="F138" i="14"/>
  <c r="E34" i="1" s="1"/>
  <c r="AQ1" i="14"/>
  <c r="AP225"/>
  <c r="F145" l="1"/>
  <c r="D145"/>
  <c r="G182"/>
  <c r="E182"/>
  <c r="F120"/>
  <c r="AT59"/>
  <c r="AT152" s="1"/>
  <c r="AR59"/>
  <c r="AR152" s="1"/>
  <c r="AP59"/>
  <c r="AP152" s="1"/>
  <c r="AN59"/>
  <c r="AN152" s="1"/>
  <c r="AL59"/>
  <c r="AL152" s="1"/>
  <c r="AJ59"/>
  <c r="AJ152" s="1"/>
  <c r="AH59"/>
  <c r="AH152" s="1"/>
  <c r="AF59"/>
  <c r="AF152" s="1"/>
  <c r="AD59"/>
  <c r="AD152" s="1"/>
  <c r="AB59"/>
  <c r="AB152" s="1"/>
  <c r="Z59"/>
  <c r="Z152" s="1"/>
  <c r="X59"/>
  <c r="X152" s="1"/>
  <c r="V59"/>
  <c r="V152" s="1"/>
  <c r="T59"/>
  <c r="T152" s="1"/>
  <c r="R59"/>
  <c r="R152" s="1"/>
  <c r="P59"/>
  <c r="P152" s="1"/>
  <c r="AU59"/>
  <c r="AU152" s="1"/>
  <c r="AS59"/>
  <c r="AS152" s="1"/>
  <c r="AQ59"/>
  <c r="AQ152" s="1"/>
  <c r="AO59"/>
  <c r="AO152" s="1"/>
  <c r="AM59"/>
  <c r="AM152" s="1"/>
  <c r="AK59"/>
  <c r="AK152" s="1"/>
  <c r="AI59"/>
  <c r="AI152" s="1"/>
  <c r="AG59"/>
  <c r="AG152" s="1"/>
  <c r="AE59"/>
  <c r="AE152" s="1"/>
  <c r="AC59"/>
  <c r="AC152" s="1"/>
  <c r="AA59"/>
  <c r="AA152" s="1"/>
  <c r="Y59"/>
  <c r="Y152" s="1"/>
  <c r="W59"/>
  <c r="W152" s="1"/>
  <c r="U59"/>
  <c r="U152" s="1"/>
  <c r="S59"/>
  <c r="S152" s="1"/>
  <c r="Q59"/>
  <c r="Q152" s="1"/>
  <c r="F57"/>
  <c r="D120"/>
  <c r="L61"/>
  <c r="M60"/>
  <c r="O60" s="1"/>
  <c r="D57"/>
  <c r="G58"/>
  <c r="E58"/>
  <c r="AR1"/>
  <c r="AQ225"/>
  <c r="F182" l="1"/>
  <c r="D182"/>
  <c r="G152"/>
  <c r="E152"/>
  <c r="D58"/>
  <c r="AT60"/>
  <c r="AT189" s="1"/>
  <c r="AR60"/>
  <c r="AR189" s="1"/>
  <c r="AP60"/>
  <c r="AP189" s="1"/>
  <c r="AN60"/>
  <c r="AN189" s="1"/>
  <c r="AL60"/>
  <c r="AL189" s="1"/>
  <c r="AJ60"/>
  <c r="AJ189" s="1"/>
  <c r="AH60"/>
  <c r="AH189" s="1"/>
  <c r="AF60"/>
  <c r="AF189" s="1"/>
  <c r="AD60"/>
  <c r="AD189" s="1"/>
  <c r="AB60"/>
  <c r="AB189" s="1"/>
  <c r="Z60"/>
  <c r="Z189" s="1"/>
  <c r="X60"/>
  <c r="X189" s="1"/>
  <c r="V60"/>
  <c r="V189" s="1"/>
  <c r="T60"/>
  <c r="T189" s="1"/>
  <c r="R60"/>
  <c r="R189" s="1"/>
  <c r="P60"/>
  <c r="P189" s="1"/>
  <c r="AU60"/>
  <c r="AU189" s="1"/>
  <c r="AS60"/>
  <c r="AS189" s="1"/>
  <c r="AQ60"/>
  <c r="AQ189" s="1"/>
  <c r="AO60"/>
  <c r="AO189" s="1"/>
  <c r="AM60"/>
  <c r="AM189" s="1"/>
  <c r="AK60"/>
  <c r="AK189" s="1"/>
  <c r="AI60"/>
  <c r="AI189" s="1"/>
  <c r="AG60"/>
  <c r="AG189" s="1"/>
  <c r="AE60"/>
  <c r="AE189" s="1"/>
  <c r="AC60"/>
  <c r="AC189" s="1"/>
  <c r="AA60"/>
  <c r="AA189" s="1"/>
  <c r="Y60"/>
  <c r="Y189" s="1"/>
  <c r="W60"/>
  <c r="W189" s="1"/>
  <c r="U60"/>
  <c r="U189" s="1"/>
  <c r="S60"/>
  <c r="S189" s="1"/>
  <c r="Q60"/>
  <c r="Q189" s="1"/>
  <c r="M61"/>
  <c r="O61" s="1"/>
  <c r="L63"/>
  <c r="F58"/>
  <c r="E59"/>
  <c r="G59"/>
  <c r="AS1"/>
  <c r="AR225"/>
  <c r="D152" l="1"/>
  <c r="G189"/>
  <c r="E189"/>
  <c r="F152"/>
  <c r="AU61"/>
  <c r="AU196" s="1"/>
  <c r="AS61"/>
  <c r="AS196" s="1"/>
  <c r="AQ61"/>
  <c r="AQ196" s="1"/>
  <c r="AO61"/>
  <c r="AO196" s="1"/>
  <c r="AM61"/>
  <c r="AM196" s="1"/>
  <c r="AK61"/>
  <c r="AK196" s="1"/>
  <c r="AI61"/>
  <c r="AI196" s="1"/>
  <c r="AG61"/>
  <c r="AG196" s="1"/>
  <c r="AE61"/>
  <c r="AE196" s="1"/>
  <c r="AC61"/>
  <c r="AC196" s="1"/>
  <c r="AA61"/>
  <c r="AA196" s="1"/>
  <c r="Y61"/>
  <c r="Y196" s="1"/>
  <c r="W61"/>
  <c r="W196" s="1"/>
  <c r="U61"/>
  <c r="U196" s="1"/>
  <c r="S61"/>
  <c r="S196" s="1"/>
  <c r="P61"/>
  <c r="P196" s="1"/>
  <c r="R61"/>
  <c r="R196" s="1"/>
  <c r="AT61"/>
  <c r="AT196" s="1"/>
  <c r="AR61"/>
  <c r="AR196" s="1"/>
  <c r="AP61"/>
  <c r="AP196" s="1"/>
  <c r="AN61"/>
  <c r="AN196" s="1"/>
  <c r="AL61"/>
  <c r="AL196" s="1"/>
  <c r="AJ61"/>
  <c r="AJ196" s="1"/>
  <c r="AH61"/>
  <c r="AH196" s="1"/>
  <c r="AF61"/>
  <c r="AF196" s="1"/>
  <c r="AD61"/>
  <c r="AD196" s="1"/>
  <c r="AB61"/>
  <c r="AB196" s="1"/>
  <c r="Z61"/>
  <c r="Z196" s="1"/>
  <c r="X61"/>
  <c r="X196" s="1"/>
  <c r="V61"/>
  <c r="V196" s="1"/>
  <c r="T61"/>
  <c r="T196" s="1"/>
  <c r="Q61"/>
  <c r="Q196" s="1"/>
  <c r="D59"/>
  <c r="F59"/>
  <c r="E60"/>
  <c r="G60"/>
  <c r="L64"/>
  <c r="M63"/>
  <c r="O63" s="1"/>
  <c r="AT1"/>
  <c r="AS225"/>
  <c r="D189" l="1"/>
  <c r="D60"/>
  <c r="G196"/>
  <c r="E196"/>
  <c r="F189"/>
  <c r="AT63"/>
  <c r="AR63"/>
  <c r="AP63"/>
  <c r="AN63"/>
  <c r="AL63"/>
  <c r="AJ63"/>
  <c r="AH63"/>
  <c r="AF63"/>
  <c r="AD63"/>
  <c r="AB63"/>
  <c r="Z63"/>
  <c r="X63"/>
  <c r="V63"/>
  <c r="T63"/>
  <c r="Q63"/>
  <c r="R63"/>
  <c r="AU63"/>
  <c r="AS63"/>
  <c r="AQ63"/>
  <c r="AO63"/>
  <c r="AM63"/>
  <c r="AK63"/>
  <c r="AI63"/>
  <c r="AG63"/>
  <c r="AE63"/>
  <c r="AC63"/>
  <c r="AA63"/>
  <c r="Y63"/>
  <c r="W63"/>
  <c r="U63"/>
  <c r="S63"/>
  <c r="P63"/>
  <c r="F60"/>
  <c r="G61"/>
  <c r="E61"/>
  <c r="L65"/>
  <c r="M64"/>
  <c r="O64" s="1"/>
  <c r="AU1"/>
  <c r="AU225" s="1"/>
  <c r="AT225"/>
  <c r="D196" l="1"/>
  <c r="F196"/>
  <c r="D61"/>
  <c r="AT64"/>
  <c r="AR64"/>
  <c r="AP64"/>
  <c r="AN64"/>
  <c r="AL64"/>
  <c r="AJ64"/>
  <c r="AH64"/>
  <c r="AF64"/>
  <c r="AD64"/>
  <c r="AB64"/>
  <c r="Z64"/>
  <c r="X64"/>
  <c r="V64"/>
  <c r="T64"/>
  <c r="R64"/>
  <c r="P64"/>
  <c r="AU64"/>
  <c r="AS64"/>
  <c r="AQ64"/>
  <c r="AO64"/>
  <c r="AM64"/>
  <c r="AK64"/>
  <c r="AI64"/>
  <c r="AG64"/>
  <c r="AE64"/>
  <c r="AC64"/>
  <c r="AA64"/>
  <c r="Y64"/>
  <c r="W64"/>
  <c r="U64"/>
  <c r="S64"/>
  <c r="Q64"/>
  <c r="F61"/>
  <c r="L66"/>
  <c r="M65"/>
  <c r="O65" s="1"/>
  <c r="G63"/>
  <c r="E63"/>
  <c r="D63" l="1"/>
  <c r="F63"/>
  <c r="AT65"/>
  <c r="AR65"/>
  <c r="AP65"/>
  <c r="AN65"/>
  <c r="AL65"/>
  <c r="AJ65"/>
  <c r="AH65"/>
  <c r="AF65"/>
  <c r="AD65"/>
  <c r="AB65"/>
  <c r="Z65"/>
  <c r="X65"/>
  <c r="V65"/>
  <c r="T65"/>
  <c r="R65"/>
  <c r="P65"/>
  <c r="AU65"/>
  <c r="AS65"/>
  <c r="AQ65"/>
  <c r="AO65"/>
  <c r="AM65"/>
  <c r="AK65"/>
  <c r="AI65"/>
  <c r="AG65"/>
  <c r="AE65"/>
  <c r="AC65"/>
  <c r="AA65"/>
  <c r="Y65"/>
  <c r="W65"/>
  <c r="U65"/>
  <c r="S65"/>
  <c r="Q65"/>
  <c r="L67"/>
  <c r="M66"/>
  <c r="O66" s="1"/>
  <c r="G64"/>
  <c r="E64"/>
  <c r="D64" l="1"/>
  <c r="AT66"/>
  <c r="AR66"/>
  <c r="AP66"/>
  <c r="AN66"/>
  <c r="AL66"/>
  <c r="AJ66"/>
  <c r="AH66"/>
  <c r="AF66"/>
  <c r="AD66"/>
  <c r="AB66"/>
  <c r="Z66"/>
  <c r="X66"/>
  <c r="V66"/>
  <c r="T66"/>
  <c r="R66"/>
  <c r="P66"/>
  <c r="AU66"/>
  <c r="AS66"/>
  <c r="AQ66"/>
  <c r="AO66"/>
  <c r="AM66"/>
  <c r="AK66"/>
  <c r="AI66"/>
  <c r="AG66"/>
  <c r="AE66"/>
  <c r="AC66"/>
  <c r="AA66"/>
  <c r="Y66"/>
  <c r="W66"/>
  <c r="U66"/>
  <c r="S66"/>
  <c r="Q66"/>
  <c r="F64"/>
  <c r="E65"/>
  <c r="G65"/>
  <c r="L68"/>
  <c r="M67"/>
  <c r="O67" s="1"/>
  <c r="F65" l="1"/>
  <c r="AT67"/>
  <c r="AT176" s="1"/>
  <c r="AR67"/>
  <c r="AR176" s="1"/>
  <c r="AP67"/>
  <c r="AP176" s="1"/>
  <c r="AN67"/>
  <c r="AN176" s="1"/>
  <c r="AL67"/>
  <c r="AL176" s="1"/>
  <c r="AJ67"/>
  <c r="AH67"/>
  <c r="AF67"/>
  <c r="AF176" s="1"/>
  <c r="AD67"/>
  <c r="AB67"/>
  <c r="Z67"/>
  <c r="Z176" s="1"/>
  <c r="X67"/>
  <c r="X176" s="1"/>
  <c r="V67"/>
  <c r="V176" s="1"/>
  <c r="T67"/>
  <c r="T176" s="1"/>
  <c r="R67"/>
  <c r="R176" s="1"/>
  <c r="P67"/>
  <c r="P176" s="1"/>
  <c r="AU67"/>
  <c r="AU176" s="1"/>
  <c r="AS67"/>
  <c r="AS176" s="1"/>
  <c r="AQ67"/>
  <c r="AQ176" s="1"/>
  <c r="AO67"/>
  <c r="AO176" s="1"/>
  <c r="AM67"/>
  <c r="AK67"/>
  <c r="AK176" s="1"/>
  <c r="AI67"/>
  <c r="AI176" s="1"/>
  <c r="AG67"/>
  <c r="AG176" s="1"/>
  <c r="AE67"/>
  <c r="AE176" s="1"/>
  <c r="AC67"/>
  <c r="AC176" s="1"/>
  <c r="AA67"/>
  <c r="AA176" s="1"/>
  <c r="Y67"/>
  <c r="Y176" s="1"/>
  <c r="W67"/>
  <c r="W176" s="1"/>
  <c r="U67"/>
  <c r="S67"/>
  <c r="S176" s="1"/>
  <c r="Q67"/>
  <c r="D65"/>
  <c r="AB176"/>
  <c r="E66"/>
  <c r="G66"/>
  <c r="L69"/>
  <c r="M68"/>
  <c r="O68" s="1"/>
  <c r="AH101" l="1"/>
  <c r="AH114"/>
  <c r="AH139"/>
  <c r="AH176"/>
  <c r="Q101"/>
  <c r="Q114"/>
  <c r="Q139"/>
  <c r="U101"/>
  <c r="U114"/>
  <c r="U139"/>
  <c r="P101"/>
  <c r="P114"/>
  <c r="P139"/>
  <c r="AJ101"/>
  <c r="AJ114"/>
  <c r="AJ139"/>
  <c r="AJ176"/>
  <c r="Q176"/>
  <c r="W101"/>
  <c r="W114"/>
  <c r="W139"/>
  <c r="AM101"/>
  <c r="AM114"/>
  <c r="AM139"/>
  <c r="AD101"/>
  <c r="AD114"/>
  <c r="AD139"/>
  <c r="AD176"/>
  <c r="U176"/>
  <c r="AM176"/>
  <c r="D66"/>
  <c r="AT68"/>
  <c r="AT121" s="1"/>
  <c r="AR68"/>
  <c r="AR121" s="1"/>
  <c r="AP68"/>
  <c r="AP121" s="1"/>
  <c r="AN68"/>
  <c r="AN121" s="1"/>
  <c r="AL68"/>
  <c r="AL121" s="1"/>
  <c r="AJ68"/>
  <c r="AJ121" s="1"/>
  <c r="AH68"/>
  <c r="AH121" s="1"/>
  <c r="AF68"/>
  <c r="AF121" s="1"/>
  <c r="AD68"/>
  <c r="AD121" s="1"/>
  <c r="AB68"/>
  <c r="AB121" s="1"/>
  <c r="Z68"/>
  <c r="Z121" s="1"/>
  <c r="X68"/>
  <c r="X121" s="1"/>
  <c r="V68"/>
  <c r="V121" s="1"/>
  <c r="T68"/>
  <c r="T121" s="1"/>
  <c r="R68"/>
  <c r="R121" s="1"/>
  <c r="P68"/>
  <c r="AU68"/>
  <c r="AU121" s="1"/>
  <c r="AS68"/>
  <c r="AS121" s="1"/>
  <c r="AQ68"/>
  <c r="AQ121" s="1"/>
  <c r="AO68"/>
  <c r="AO121" s="1"/>
  <c r="AM68"/>
  <c r="AM121" s="1"/>
  <c r="AK68"/>
  <c r="AK121" s="1"/>
  <c r="AI68"/>
  <c r="AI121" s="1"/>
  <c r="AG68"/>
  <c r="AG121" s="1"/>
  <c r="AE68"/>
  <c r="AE121" s="1"/>
  <c r="AC68"/>
  <c r="AC121" s="1"/>
  <c r="AA68"/>
  <c r="AA121" s="1"/>
  <c r="Y68"/>
  <c r="Y121" s="1"/>
  <c r="W68"/>
  <c r="W121" s="1"/>
  <c r="U68"/>
  <c r="U121" s="1"/>
  <c r="S68"/>
  <c r="S121" s="1"/>
  <c r="Q68"/>
  <c r="Q121" s="1"/>
  <c r="F66"/>
  <c r="AA101"/>
  <c r="AA114"/>
  <c r="AA139"/>
  <c r="AK101"/>
  <c r="AK114"/>
  <c r="AK139"/>
  <c r="AS101"/>
  <c r="AS114"/>
  <c r="AS139"/>
  <c r="T101"/>
  <c r="T114"/>
  <c r="T139"/>
  <c r="AB101"/>
  <c r="AB114"/>
  <c r="AB139"/>
  <c r="AN101"/>
  <c r="AN114"/>
  <c r="AN139"/>
  <c r="AF101"/>
  <c r="AF114"/>
  <c r="AF139"/>
  <c r="Y101"/>
  <c r="Y114"/>
  <c r="Y139"/>
  <c r="AI101"/>
  <c r="AI114"/>
  <c r="AI139"/>
  <c r="AQ101"/>
  <c r="AQ114"/>
  <c r="AQ139"/>
  <c r="R101"/>
  <c r="R114"/>
  <c r="R139"/>
  <c r="Z101"/>
  <c r="Z114"/>
  <c r="Z139"/>
  <c r="AL101"/>
  <c r="AL114"/>
  <c r="AL139"/>
  <c r="AT101"/>
  <c r="AT114"/>
  <c r="AT139"/>
  <c r="L70"/>
  <c r="M69"/>
  <c r="O69" s="1"/>
  <c r="AE101"/>
  <c r="AE114"/>
  <c r="AE139"/>
  <c r="AO101"/>
  <c r="AO114"/>
  <c r="AO139"/>
  <c r="E67"/>
  <c r="G67"/>
  <c r="X101"/>
  <c r="X114"/>
  <c r="X139"/>
  <c r="AR101"/>
  <c r="AR114"/>
  <c r="AR139"/>
  <c r="S101"/>
  <c r="S114"/>
  <c r="S139"/>
  <c r="AC101"/>
  <c r="AC114"/>
  <c r="AC139"/>
  <c r="AU101"/>
  <c r="AU114"/>
  <c r="AU139"/>
  <c r="V101"/>
  <c r="V114"/>
  <c r="V139"/>
  <c r="AP101"/>
  <c r="AP114"/>
  <c r="AP139"/>
  <c r="AG101"/>
  <c r="AG114"/>
  <c r="AG139"/>
  <c r="G176" l="1"/>
  <c r="F49" i="1" s="1"/>
  <c r="E176" i="14"/>
  <c r="D49" i="1" s="1"/>
  <c r="F67" i="14"/>
  <c r="AT69"/>
  <c r="AT146" s="1"/>
  <c r="AR69"/>
  <c r="AR146" s="1"/>
  <c r="AP69"/>
  <c r="AP146" s="1"/>
  <c r="AN69"/>
  <c r="AN146" s="1"/>
  <c r="AL69"/>
  <c r="AL146" s="1"/>
  <c r="AJ69"/>
  <c r="AJ146" s="1"/>
  <c r="AH69"/>
  <c r="AH146" s="1"/>
  <c r="AF69"/>
  <c r="AF146" s="1"/>
  <c r="AD69"/>
  <c r="AD146" s="1"/>
  <c r="AB69"/>
  <c r="AB146" s="1"/>
  <c r="Z69"/>
  <c r="Z146" s="1"/>
  <c r="AU69"/>
  <c r="AU146" s="1"/>
  <c r="AS69"/>
  <c r="AS146" s="1"/>
  <c r="AQ69"/>
  <c r="AQ146" s="1"/>
  <c r="AO69"/>
  <c r="AO146" s="1"/>
  <c r="AM69"/>
  <c r="AM146" s="1"/>
  <c r="AK69"/>
  <c r="AK146" s="1"/>
  <c r="AI69"/>
  <c r="AI146" s="1"/>
  <c r="AG69"/>
  <c r="AG146" s="1"/>
  <c r="AE69"/>
  <c r="AE146" s="1"/>
  <c r="AC69"/>
  <c r="AC146" s="1"/>
  <c r="AA69"/>
  <c r="AA146" s="1"/>
  <c r="X69"/>
  <c r="X146" s="1"/>
  <c r="V69"/>
  <c r="V146" s="1"/>
  <c r="T69"/>
  <c r="T146" s="1"/>
  <c r="R69"/>
  <c r="R146" s="1"/>
  <c r="P69"/>
  <c r="P146" s="1"/>
  <c r="Y69"/>
  <c r="Y146" s="1"/>
  <c r="W69"/>
  <c r="W146" s="1"/>
  <c r="U69"/>
  <c r="U146" s="1"/>
  <c r="S69"/>
  <c r="S146" s="1"/>
  <c r="Q69"/>
  <c r="Q146" s="1"/>
  <c r="D67"/>
  <c r="L71"/>
  <c r="M70"/>
  <c r="O70" s="1"/>
  <c r="G114"/>
  <c r="F21" i="1" s="1"/>
  <c r="E114" i="14"/>
  <c r="D21" i="1" s="1"/>
  <c r="G68" i="14"/>
  <c r="E68"/>
  <c r="P121"/>
  <c r="G139"/>
  <c r="F35" i="1" s="1"/>
  <c r="E139" i="14"/>
  <c r="D35" i="1" s="1"/>
  <c r="E101" i="14"/>
  <c r="D7" i="1" s="1"/>
  <c r="G101" i="14"/>
  <c r="F7" i="1" s="1"/>
  <c r="F176" i="14" l="1"/>
  <c r="E49" i="1" s="1"/>
  <c r="D176" i="14"/>
  <c r="C49" i="1" s="1"/>
  <c r="G146" i="14"/>
  <c r="E146"/>
  <c r="AT70"/>
  <c r="AT183" s="1"/>
  <c r="AR70"/>
  <c r="AR183" s="1"/>
  <c r="AP70"/>
  <c r="AP183" s="1"/>
  <c r="AN70"/>
  <c r="AN183" s="1"/>
  <c r="AL70"/>
  <c r="AL183" s="1"/>
  <c r="AJ70"/>
  <c r="AJ183" s="1"/>
  <c r="AH70"/>
  <c r="AH183" s="1"/>
  <c r="AF70"/>
  <c r="AF183" s="1"/>
  <c r="AD70"/>
  <c r="AD183" s="1"/>
  <c r="AB70"/>
  <c r="AB183" s="1"/>
  <c r="Z70"/>
  <c r="Z183" s="1"/>
  <c r="X70"/>
  <c r="X183" s="1"/>
  <c r="V70"/>
  <c r="V183" s="1"/>
  <c r="T70"/>
  <c r="T183" s="1"/>
  <c r="R70"/>
  <c r="R183" s="1"/>
  <c r="P70"/>
  <c r="P183" s="1"/>
  <c r="AU70"/>
  <c r="AU183" s="1"/>
  <c r="AS70"/>
  <c r="AS183" s="1"/>
  <c r="AQ70"/>
  <c r="AQ183" s="1"/>
  <c r="AO70"/>
  <c r="AO183" s="1"/>
  <c r="AM70"/>
  <c r="AM183" s="1"/>
  <c r="AK70"/>
  <c r="AK183" s="1"/>
  <c r="AI70"/>
  <c r="AI183" s="1"/>
  <c r="AG70"/>
  <c r="AG183" s="1"/>
  <c r="AE70"/>
  <c r="AE183" s="1"/>
  <c r="AC70"/>
  <c r="AC183" s="1"/>
  <c r="AA70"/>
  <c r="AA183" s="1"/>
  <c r="Y70"/>
  <c r="Y183" s="1"/>
  <c r="W70"/>
  <c r="W183" s="1"/>
  <c r="U70"/>
  <c r="U183" s="1"/>
  <c r="S70"/>
  <c r="S183" s="1"/>
  <c r="Q70"/>
  <c r="Q183" s="1"/>
  <c r="D68"/>
  <c r="F68"/>
  <c r="E69"/>
  <c r="G69"/>
  <c r="E121"/>
  <c r="G121"/>
  <c r="D101"/>
  <c r="C7" i="1" s="1"/>
  <c r="F101" i="14"/>
  <c r="E7" i="1" s="1"/>
  <c r="F114" i="14"/>
  <c r="E21" i="1" s="1"/>
  <c r="D114" i="14"/>
  <c r="C21" i="1" s="1"/>
  <c r="L72" i="14"/>
  <c r="M71"/>
  <c r="O71" s="1"/>
  <c r="D139"/>
  <c r="C35" i="1" s="1"/>
  <c r="F139" i="14"/>
  <c r="E35" i="1" s="1"/>
  <c r="D146" i="14" l="1"/>
  <c r="D121"/>
  <c r="F146"/>
  <c r="G183"/>
  <c r="E183"/>
  <c r="F69"/>
  <c r="AT71"/>
  <c r="AT153" s="1"/>
  <c r="AR71"/>
  <c r="AR153" s="1"/>
  <c r="AP71"/>
  <c r="AP153" s="1"/>
  <c r="AN71"/>
  <c r="AN153" s="1"/>
  <c r="AL71"/>
  <c r="AL153" s="1"/>
  <c r="AJ71"/>
  <c r="AJ153" s="1"/>
  <c r="AH71"/>
  <c r="AH153" s="1"/>
  <c r="AF71"/>
  <c r="AF153" s="1"/>
  <c r="AD71"/>
  <c r="AD153" s="1"/>
  <c r="AB71"/>
  <c r="AB153" s="1"/>
  <c r="Z71"/>
  <c r="Z153" s="1"/>
  <c r="X71"/>
  <c r="X153" s="1"/>
  <c r="V71"/>
  <c r="V153" s="1"/>
  <c r="T71"/>
  <c r="T153" s="1"/>
  <c r="R71"/>
  <c r="R153" s="1"/>
  <c r="P71"/>
  <c r="P153" s="1"/>
  <c r="AU71"/>
  <c r="AU153" s="1"/>
  <c r="AS71"/>
  <c r="AS153" s="1"/>
  <c r="AQ71"/>
  <c r="AQ153" s="1"/>
  <c r="AO71"/>
  <c r="AO153" s="1"/>
  <c r="AM71"/>
  <c r="AM153" s="1"/>
  <c r="AK71"/>
  <c r="AK153" s="1"/>
  <c r="AI71"/>
  <c r="AI153" s="1"/>
  <c r="AG71"/>
  <c r="AG153" s="1"/>
  <c r="AE71"/>
  <c r="AE153" s="1"/>
  <c r="AC71"/>
  <c r="AC153" s="1"/>
  <c r="AA71"/>
  <c r="AA153" s="1"/>
  <c r="Y71"/>
  <c r="Y153" s="1"/>
  <c r="W71"/>
  <c r="W153" s="1"/>
  <c r="U71"/>
  <c r="U153" s="1"/>
  <c r="S71"/>
  <c r="S153" s="1"/>
  <c r="Q71"/>
  <c r="Q153" s="1"/>
  <c r="F121"/>
  <c r="D69"/>
  <c r="L73"/>
  <c r="M72"/>
  <c r="O72" s="1"/>
  <c r="G70"/>
  <c r="E70"/>
  <c r="D183" l="1"/>
  <c r="F183"/>
  <c r="G153"/>
  <c r="E153"/>
  <c r="D70"/>
  <c r="AT72"/>
  <c r="AT190" s="1"/>
  <c r="AR72"/>
  <c r="AR190" s="1"/>
  <c r="AP72"/>
  <c r="AP190" s="1"/>
  <c r="AN72"/>
  <c r="AN190" s="1"/>
  <c r="AL72"/>
  <c r="AL190" s="1"/>
  <c r="AJ72"/>
  <c r="AJ190" s="1"/>
  <c r="AH72"/>
  <c r="AH190" s="1"/>
  <c r="AF72"/>
  <c r="AF190" s="1"/>
  <c r="AD72"/>
  <c r="AD190" s="1"/>
  <c r="AB72"/>
  <c r="AB190" s="1"/>
  <c r="Z72"/>
  <c r="Z190" s="1"/>
  <c r="X72"/>
  <c r="X190" s="1"/>
  <c r="V72"/>
  <c r="V190" s="1"/>
  <c r="T72"/>
  <c r="T190" s="1"/>
  <c r="R72"/>
  <c r="R190" s="1"/>
  <c r="P72"/>
  <c r="P190" s="1"/>
  <c r="AU72"/>
  <c r="AU190" s="1"/>
  <c r="AS72"/>
  <c r="AS190" s="1"/>
  <c r="AQ72"/>
  <c r="AQ190" s="1"/>
  <c r="AO72"/>
  <c r="AO190" s="1"/>
  <c r="AM72"/>
  <c r="AM190" s="1"/>
  <c r="AK72"/>
  <c r="AK190" s="1"/>
  <c r="AI72"/>
  <c r="AI190" s="1"/>
  <c r="AG72"/>
  <c r="AG190" s="1"/>
  <c r="AE72"/>
  <c r="AE190" s="1"/>
  <c r="AC72"/>
  <c r="AC190" s="1"/>
  <c r="AA72"/>
  <c r="AA190" s="1"/>
  <c r="Y72"/>
  <c r="Y190" s="1"/>
  <c r="W72"/>
  <c r="W190" s="1"/>
  <c r="U72"/>
  <c r="U190" s="1"/>
  <c r="S72"/>
  <c r="S190" s="1"/>
  <c r="Q72"/>
  <c r="Q190" s="1"/>
  <c r="F70"/>
  <c r="L75"/>
  <c r="M73"/>
  <c r="O73" s="1"/>
  <c r="G71"/>
  <c r="E71"/>
  <c r="D153" l="1"/>
  <c r="F153"/>
  <c r="G190"/>
  <c r="E190"/>
  <c r="F71"/>
  <c r="AT73"/>
  <c r="AT197" s="1"/>
  <c r="AR73"/>
  <c r="AR197" s="1"/>
  <c r="AP73"/>
  <c r="AP197" s="1"/>
  <c r="AN73"/>
  <c r="AN197" s="1"/>
  <c r="AL73"/>
  <c r="AL197" s="1"/>
  <c r="AJ73"/>
  <c r="AJ197" s="1"/>
  <c r="AH73"/>
  <c r="AH197" s="1"/>
  <c r="AF73"/>
  <c r="AF197" s="1"/>
  <c r="AD73"/>
  <c r="AD197" s="1"/>
  <c r="AB73"/>
  <c r="AB197" s="1"/>
  <c r="Z73"/>
  <c r="Z197" s="1"/>
  <c r="X73"/>
  <c r="X197" s="1"/>
  <c r="V73"/>
  <c r="V197" s="1"/>
  <c r="T73"/>
  <c r="T197" s="1"/>
  <c r="R73"/>
  <c r="R197" s="1"/>
  <c r="P73"/>
  <c r="P197" s="1"/>
  <c r="AU73"/>
  <c r="AU197" s="1"/>
  <c r="AS73"/>
  <c r="AS197" s="1"/>
  <c r="AQ73"/>
  <c r="AQ197" s="1"/>
  <c r="AO73"/>
  <c r="AO197" s="1"/>
  <c r="AM73"/>
  <c r="AM197" s="1"/>
  <c r="AK73"/>
  <c r="AK197" s="1"/>
  <c r="AI73"/>
  <c r="AI197" s="1"/>
  <c r="AG73"/>
  <c r="AG197" s="1"/>
  <c r="AE73"/>
  <c r="AE197" s="1"/>
  <c r="AC73"/>
  <c r="AC197" s="1"/>
  <c r="AA73"/>
  <c r="AA197" s="1"/>
  <c r="Y73"/>
  <c r="Y197" s="1"/>
  <c r="W73"/>
  <c r="W197" s="1"/>
  <c r="U73"/>
  <c r="U197" s="1"/>
  <c r="S73"/>
  <c r="S197" s="1"/>
  <c r="Q73"/>
  <c r="Q197" s="1"/>
  <c r="D71"/>
  <c r="L76"/>
  <c r="M75"/>
  <c r="O75" s="1"/>
  <c r="E72"/>
  <c r="G72"/>
  <c r="D190" l="1"/>
  <c r="G197"/>
  <c r="E197"/>
  <c r="F190"/>
  <c r="D72"/>
  <c r="AT75"/>
  <c r="AR75"/>
  <c r="AP75"/>
  <c r="AN75"/>
  <c r="AL75"/>
  <c r="AJ75"/>
  <c r="AH75"/>
  <c r="AF75"/>
  <c r="AD75"/>
  <c r="AB75"/>
  <c r="Z75"/>
  <c r="X75"/>
  <c r="V75"/>
  <c r="T75"/>
  <c r="Q75"/>
  <c r="R75"/>
  <c r="AU75"/>
  <c r="AS75"/>
  <c r="AQ75"/>
  <c r="AO75"/>
  <c r="AM75"/>
  <c r="AK75"/>
  <c r="AI75"/>
  <c r="AG75"/>
  <c r="AE75"/>
  <c r="AC75"/>
  <c r="AA75"/>
  <c r="Y75"/>
  <c r="W75"/>
  <c r="U75"/>
  <c r="S75"/>
  <c r="P75"/>
  <c r="F72"/>
  <c r="L77"/>
  <c r="M76"/>
  <c r="O76" s="1"/>
  <c r="E73"/>
  <c r="G73"/>
  <c r="F197" l="1"/>
  <c r="D197"/>
  <c r="F73"/>
  <c r="AT76"/>
  <c r="AR76"/>
  <c r="AP76"/>
  <c r="AN76"/>
  <c r="AL76"/>
  <c r="AJ76"/>
  <c r="AH76"/>
  <c r="AF76"/>
  <c r="AD76"/>
  <c r="AB76"/>
  <c r="Z76"/>
  <c r="X76"/>
  <c r="V76"/>
  <c r="T76"/>
  <c r="R76"/>
  <c r="P76"/>
  <c r="AU76"/>
  <c r="AS76"/>
  <c r="AQ76"/>
  <c r="AO76"/>
  <c r="AM76"/>
  <c r="AK76"/>
  <c r="AI76"/>
  <c r="AG76"/>
  <c r="AE76"/>
  <c r="AC76"/>
  <c r="AA76"/>
  <c r="Y76"/>
  <c r="W76"/>
  <c r="U76"/>
  <c r="S76"/>
  <c r="Q76"/>
  <c r="D73"/>
  <c r="L78"/>
  <c r="M77"/>
  <c r="O77" s="1"/>
  <c r="E75"/>
  <c r="G75"/>
  <c r="D75" l="1"/>
  <c r="AT77"/>
  <c r="AR77"/>
  <c r="AP77"/>
  <c r="AN77"/>
  <c r="AL77"/>
  <c r="AJ77"/>
  <c r="AH77"/>
  <c r="AF77"/>
  <c r="AD77"/>
  <c r="AB77"/>
  <c r="Z77"/>
  <c r="X77"/>
  <c r="V77"/>
  <c r="T77"/>
  <c r="R77"/>
  <c r="P77"/>
  <c r="AU77"/>
  <c r="AS77"/>
  <c r="AQ77"/>
  <c r="AO77"/>
  <c r="AM77"/>
  <c r="AK77"/>
  <c r="AI77"/>
  <c r="AG77"/>
  <c r="AE77"/>
  <c r="AC77"/>
  <c r="AA77"/>
  <c r="Y77"/>
  <c r="W77"/>
  <c r="U77"/>
  <c r="S77"/>
  <c r="Q77"/>
  <c r="F75"/>
  <c r="G76"/>
  <c r="E76"/>
  <c r="L79"/>
  <c r="M78"/>
  <c r="O78" s="1"/>
  <c r="D76" l="1"/>
  <c r="F76"/>
  <c r="AT78"/>
  <c r="AR78"/>
  <c r="AP78"/>
  <c r="AN78"/>
  <c r="AL78"/>
  <c r="AJ78"/>
  <c r="AH78"/>
  <c r="AF78"/>
  <c r="AD78"/>
  <c r="AB78"/>
  <c r="Z78"/>
  <c r="X78"/>
  <c r="V78"/>
  <c r="T78"/>
  <c r="R78"/>
  <c r="P78"/>
  <c r="AU78"/>
  <c r="AS78"/>
  <c r="AQ78"/>
  <c r="AO78"/>
  <c r="AM78"/>
  <c r="AK78"/>
  <c r="AI78"/>
  <c r="AG78"/>
  <c r="AE78"/>
  <c r="AC78"/>
  <c r="AA78"/>
  <c r="Y78"/>
  <c r="W78"/>
  <c r="U78"/>
  <c r="S78"/>
  <c r="Q78"/>
  <c r="L80"/>
  <c r="M79"/>
  <c r="O79" s="1"/>
  <c r="E77"/>
  <c r="G77"/>
  <c r="AT79" l="1"/>
  <c r="AR79"/>
  <c r="AP79"/>
  <c r="AP177" s="1"/>
  <c r="AN79"/>
  <c r="AN177" s="1"/>
  <c r="AL79"/>
  <c r="AJ79"/>
  <c r="AH79"/>
  <c r="AH177" s="1"/>
  <c r="AF79"/>
  <c r="AF177" s="1"/>
  <c r="AD79"/>
  <c r="AB79"/>
  <c r="AB177" s="1"/>
  <c r="Z79"/>
  <c r="Z177" s="1"/>
  <c r="X79"/>
  <c r="X177" s="1"/>
  <c r="V79"/>
  <c r="T79"/>
  <c r="R79"/>
  <c r="R177" s="1"/>
  <c r="R199" s="1"/>
  <c r="P79"/>
  <c r="P177" s="1"/>
  <c r="AU79"/>
  <c r="AU177" s="1"/>
  <c r="AS79"/>
  <c r="AS177" s="1"/>
  <c r="AQ79"/>
  <c r="AQ177" s="1"/>
  <c r="AO79"/>
  <c r="AO177" s="1"/>
  <c r="AM79"/>
  <c r="AK79"/>
  <c r="AI79"/>
  <c r="AI177" s="1"/>
  <c r="AG79"/>
  <c r="AG177" s="1"/>
  <c r="AE79"/>
  <c r="AC79"/>
  <c r="AC177" s="1"/>
  <c r="AA79"/>
  <c r="AA177" s="1"/>
  <c r="Y79"/>
  <c r="Y177" s="1"/>
  <c r="W79"/>
  <c r="U79"/>
  <c r="S79"/>
  <c r="S177" s="1"/>
  <c r="Q79"/>
  <c r="F77"/>
  <c r="D77"/>
  <c r="L81"/>
  <c r="M80"/>
  <c r="O80" s="1"/>
  <c r="AL177"/>
  <c r="G78"/>
  <c r="E78"/>
  <c r="AH200" l="1"/>
  <c r="AH199"/>
  <c r="AH102"/>
  <c r="AH115"/>
  <c r="AH140"/>
  <c r="W102"/>
  <c r="W140"/>
  <c r="W115"/>
  <c r="AM102"/>
  <c r="AM115"/>
  <c r="AM140"/>
  <c r="AD102"/>
  <c r="AD115"/>
  <c r="AD140"/>
  <c r="AD177"/>
  <c r="W177"/>
  <c r="Q102"/>
  <c r="Q115"/>
  <c r="Q140"/>
  <c r="Q177"/>
  <c r="U102"/>
  <c r="U115"/>
  <c r="U140"/>
  <c r="U177"/>
  <c r="P102"/>
  <c r="P115"/>
  <c r="P140"/>
  <c r="AJ102"/>
  <c r="AJ115"/>
  <c r="AJ140"/>
  <c r="AJ177"/>
  <c r="AM177"/>
  <c r="F78"/>
  <c r="AT80"/>
  <c r="AT122" s="1"/>
  <c r="AR80"/>
  <c r="AR122" s="1"/>
  <c r="AP80"/>
  <c r="AP122" s="1"/>
  <c r="AN80"/>
  <c r="AN122" s="1"/>
  <c r="AL80"/>
  <c r="AL122" s="1"/>
  <c r="AJ80"/>
  <c r="AJ122" s="1"/>
  <c r="AH80"/>
  <c r="AH122" s="1"/>
  <c r="AF80"/>
  <c r="AF122" s="1"/>
  <c r="AD80"/>
  <c r="AD122" s="1"/>
  <c r="AB80"/>
  <c r="AB122" s="1"/>
  <c r="Z80"/>
  <c r="Z122" s="1"/>
  <c r="X80"/>
  <c r="X122" s="1"/>
  <c r="V80"/>
  <c r="V122" s="1"/>
  <c r="T80"/>
  <c r="T122" s="1"/>
  <c r="R80"/>
  <c r="R122" s="1"/>
  <c r="P80"/>
  <c r="AU80"/>
  <c r="AU122" s="1"/>
  <c r="AS80"/>
  <c r="AS122" s="1"/>
  <c r="AQ80"/>
  <c r="AQ122" s="1"/>
  <c r="AO80"/>
  <c r="AO122" s="1"/>
  <c r="AM80"/>
  <c r="AM122" s="1"/>
  <c r="AK80"/>
  <c r="AK122" s="1"/>
  <c r="AI80"/>
  <c r="AI122" s="1"/>
  <c r="AG80"/>
  <c r="AG122" s="1"/>
  <c r="AE80"/>
  <c r="AE122" s="1"/>
  <c r="AC80"/>
  <c r="AC122" s="1"/>
  <c r="AA80"/>
  <c r="AA122" s="1"/>
  <c r="Y80"/>
  <c r="Y122" s="1"/>
  <c r="W80"/>
  <c r="W122" s="1"/>
  <c r="U80"/>
  <c r="U122" s="1"/>
  <c r="S80"/>
  <c r="S122" s="1"/>
  <c r="Q80"/>
  <c r="Q122" s="1"/>
  <c r="Q128" s="1"/>
  <c r="D78"/>
  <c r="AL200"/>
  <c r="AL199"/>
  <c r="AC199"/>
  <c r="AC200"/>
  <c r="AS199"/>
  <c r="AS200"/>
  <c r="AB199"/>
  <c r="AB200"/>
  <c r="AU200"/>
  <c r="AU199"/>
  <c r="AN199"/>
  <c r="AN200"/>
  <c r="X200"/>
  <c r="X199"/>
  <c r="AG200"/>
  <c r="AG199"/>
  <c r="AP199"/>
  <c r="AP200"/>
  <c r="R200"/>
  <c r="AI199"/>
  <c r="AI200"/>
  <c r="S200"/>
  <c r="S199"/>
  <c r="S102"/>
  <c r="S115"/>
  <c r="S140"/>
  <c r="AA102"/>
  <c r="AA115"/>
  <c r="AA140"/>
  <c r="AI102"/>
  <c r="AI115"/>
  <c r="AI140"/>
  <c r="AQ102"/>
  <c r="AQ115"/>
  <c r="AQ140"/>
  <c r="R102"/>
  <c r="R115"/>
  <c r="R123" s="1"/>
  <c r="R140"/>
  <c r="Z102"/>
  <c r="Z115"/>
  <c r="Z140"/>
  <c r="AP102"/>
  <c r="AP115"/>
  <c r="AP140"/>
  <c r="Y102"/>
  <c r="Y115"/>
  <c r="Y140"/>
  <c r="AG102"/>
  <c r="AG115"/>
  <c r="AG140"/>
  <c r="AO102"/>
  <c r="AO115"/>
  <c r="AO140"/>
  <c r="E79"/>
  <c r="G79"/>
  <c r="X102"/>
  <c r="X115"/>
  <c r="X140"/>
  <c r="AF102"/>
  <c r="AF115"/>
  <c r="AF140"/>
  <c r="AN102"/>
  <c r="AN115"/>
  <c r="AN140"/>
  <c r="AF200"/>
  <c r="AF199"/>
  <c r="AO199"/>
  <c r="AO200"/>
  <c r="Y199"/>
  <c r="Y200"/>
  <c r="Z200"/>
  <c r="Z199"/>
  <c r="AQ199"/>
  <c r="AQ200"/>
  <c r="AA199"/>
  <c r="AA200"/>
  <c r="P199"/>
  <c r="P200"/>
  <c r="AE102"/>
  <c r="AE115"/>
  <c r="AE140"/>
  <c r="AU102"/>
  <c r="AU115"/>
  <c r="AU140"/>
  <c r="V102"/>
  <c r="V115"/>
  <c r="V140"/>
  <c r="AL102"/>
  <c r="AL115"/>
  <c r="AL140"/>
  <c r="AT102"/>
  <c r="AT115"/>
  <c r="AT140"/>
  <c r="AC102"/>
  <c r="AC115"/>
  <c r="AC140"/>
  <c r="AK102"/>
  <c r="AK115"/>
  <c r="AK140"/>
  <c r="AS102"/>
  <c r="AS115"/>
  <c r="AS140"/>
  <c r="T102"/>
  <c r="T115"/>
  <c r="T140"/>
  <c r="AB102"/>
  <c r="AB115"/>
  <c r="AB140"/>
  <c r="AR102"/>
  <c r="AR115"/>
  <c r="AR140"/>
  <c r="L82"/>
  <c r="M81"/>
  <c r="O81" s="1"/>
  <c r="AR177"/>
  <c r="T177"/>
  <c r="AK177"/>
  <c r="AT177"/>
  <c r="V177"/>
  <c r="AE177"/>
  <c r="AH201" l="1"/>
  <c r="AH202" s="1"/>
  <c r="AH124"/>
  <c r="AH123"/>
  <c r="AH156"/>
  <c r="AH155"/>
  <c r="AH103"/>
  <c r="AH104"/>
  <c r="AM199"/>
  <c r="AM200"/>
  <c r="AJ155"/>
  <c r="AJ156"/>
  <c r="AJ103"/>
  <c r="AJ104"/>
  <c r="P124"/>
  <c r="P123"/>
  <c r="U200"/>
  <c r="U199"/>
  <c r="U123"/>
  <c r="U124"/>
  <c r="Q199"/>
  <c r="Q200"/>
  <c r="Q123"/>
  <c r="Q124"/>
  <c r="W200"/>
  <c r="W199"/>
  <c r="AD156"/>
  <c r="AD155"/>
  <c r="AD103"/>
  <c r="AD104"/>
  <c r="AM123"/>
  <c r="AM124"/>
  <c r="W123"/>
  <c r="W124"/>
  <c r="W104"/>
  <c r="W103"/>
  <c r="AJ199"/>
  <c r="AJ200"/>
  <c r="AJ123"/>
  <c r="AJ124"/>
  <c r="P155"/>
  <c r="P156"/>
  <c r="P104"/>
  <c r="P103"/>
  <c r="U156"/>
  <c r="U155"/>
  <c r="U104"/>
  <c r="U103"/>
  <c r="Q156"/>
  <c r="Q155"/>
  <c r="Q103"/>
  <c r="Q104"/>
  <c r="AD200"/>
  <c r="AD199"/>
  <c r="AD124"/>
  <c r="AD123"/>
  <c r="AM156"/>
  <c r="AM155"/>
  <c r="AM103"/>
  <c r="AM104"/>
  <c r="W155"/>
  <c r="W156"/>
  <c r="R155"/>
  <c r="R156"/>
  <c r="D79"/>
  <c r="X201"/>
  <c r="AU201"/>
  <c r="AU202" s="1"/>
  <c r="AL201"/>
  <c r="AL202" s="1"/>
  <c r="AT81"/>
  <c r="AT147" s="1"/>
  <c r="AR81"/>
  <c r="AR147" s="1"/>
  <c r="AP81"/>
  <c r="AP147" s="1"/>
  <c r="AN81"/>
  <c r="AN147" s="1"/>
  <c r="AL81"/>
  <c r="AL147" s="1"/>
  <c r="AJ81"/>
  <c r="AJ147" s="1"/>
  <c r="AH81"/>
  <c r="AH147" s="1"/>
  <c r="AF81"/>
  <c r="AF147" s="1"/>
  <c r="AD81"/>
  <c r="AD147" s="1"/>
  <c r="AB81"/>
  <c r="AB147" s="1"/>
  <c r="Z81"/>
  <c r="Z147" s="1"/>
  <c r="X81"/>
  <c r="X147" s="1"/>
  <c r="V81"/>
  <c r="V147" s="1"/>
  <c r="T81"/>
  <c r="T147" s="1"/>
  <c r="R81"/>
  <c r="R147" s="1"/>
  <c r="P81"/>
  <c r="P147" s="1"/>
  <c r="AU81"/>
  <c r="AU147" s="1"/>
  <c r="AS81"/>
  <c r="AS147" s="1"/>
  <c r="AQ81"/>
  <c r="AQ147" s="1"/>
  <c r="AO81"/>
  <c r="AO147" s="1"/>
  <c r="AM81"/>
  <c r="AM147" s="1"/>
  <c r="AK81"/>
  <c r="AK147" s="1"/>
  <c r="AI81"/>
  <c r="AI147" s="1"/>
  <c r="AG81"/>
  <c r="AG147" s="1"/>
  <c r="AE81"/>
  <c r="AE147" s="1"/>
  <c r="AC81"/>
  <c r="AC147" s="1"/>
  <c r="AA81"/>
  <c r="AA147" s="1"/>
  <c r="Y81"/>
  <c r="Y147" s="1"/>
  <c r="W81"/>
  <c r="W147" s="1"/>
  <c r="U81"/>
  <c r="U147" s="1"/>
  <c r="S81"/>
  <c r="S147" s="1"/>
  <c r="Q81"/>
  <c r="Q147" s="1"/>
  <c r="AQ201"/>
  <c r="AQ202" s="1"/>
  <c r="Y201"/>
  <c r="Y202" s="1"/>
  <c r="F79"/>
  <c r="G177"/>
  <c r="F50" i="1" s="1"/>
  <c r="Z201" i="14"/>
  <c r="Z202" s="1"/>
  <c r="R201"/>
  <c r="R202" s="1"/>
  <c r="AN201"/>
  <c r="AN202" s="1"/>
  <c r="AB201"/>
  <c r="AC201"/>
  <c r="AC202" s="1"/>
  <c r="V200"/>
  <c r="V199"/>
  <c r="AR199"/>
  <c r="AR200"/>
  <c r="AR156"/>
  <c r="AR155"/>
  <c r="AR103"/>
  <c r="AR104"/>
  <c r="AB124"/>
  <c r="AB123"/>
  <c r="T156"/>
  <c r="T155"/>
  <c r="T104"/>
  <c r="T103"/>
  <c r="AS123"/>
  <c r="AS124"/>
  <c r="AK155"/>
  <c r="AK156"/>
  <c r="AK104"/>
  <c r="AK103"/>
  <c r="AC124"/>
  <c r="AC123"/>
  <c r="AT156"/>
  <c r="AT155"/>
  <c r="AT103"/>
  <c r="AT104"/>
  <c r="AL123"/>
  <c r="AL124"/>
  <c r="V156"/>
  <c r="V155"/>
  <c r="V104"/>
  <c r="V103"/>
  <c r="AU124"/>
  <c r="AU123"/>
  <c r="AE156"/>
  <c r="AE155"/>
  <c r="AE104"/>
  <c r="AE103"/>
  <c r="P201"/>
  <c r="P202" s="1"/>
  <c r="R129"/>
  <c r="R128"/>
  <c r="S129"/>
  <c r="S128"/>
  <c r="AQ129"/>
  <c r="AQ128"/>
  <c r="AN128"/>
  <c r="AN129"/>
  <c r="AL129"/>
  <c r="AL128"/>
  <c r="AK128"/>
  <c r="AK129"/>
  <c r="Z128"/>
  <c r="Z129"/>
  <c r="AP129"/>
  <c r="AP128"/>
  <c r="AI128"/>
  <c r="AI129"/>
  <c r="V128"/>
  <c r="V129"/>
  <c r="AT128"/>
  <c r="AT129"/>
  <c r="AG128"/>
  <c r="AG129"/>
  <c r="AD129"/>
  <c r="AD128"/>
  <c r="U128"/>
  <c r="U129"/>
  <c r="AJ129"/>
  <c r="AJ128"/>
  <c r="Q129"/>
  <c r="AN155"/>
  <c r="AN156"/>
  <c r="AN104"/>
  <c r="AN103"/>
  <c r="AF123"/>
  <c r="AF124"/>
  <c r="X156"/>
  <c r="X155"/>
  <c r="X103"/>
  <c r="X104"/>
  <c r="AO124"/>
  <c r="AO123"/>
  <c r="AG156"/>
  <c r="AG155"/>
  <c r="AG103"/>
  <c r="AG104"/>
  <c r="Y123"/>
  <c r="Y124"/>
  <c r="AP156"/>
  <c r="AP155"/>
  <c r="AP103"/>
  <c r="AP104"/>
  <c r="Z124"/>
  <c r="Z123"/>
  <c r="G140"/>
  <c r="F36" i="1" s="1"/>
  <c r="E140" i="14"/>
  <c r="D36" i="1" s="1"/>
  <c r="R104" i="14"/>
  <c r="R103"/>
  <c r="E102"/>
  <c r="D8" i="1" s="1"/>
  <c r="G102" i="14"/>
  <c r="F8" i="1" s="1"/>
  <c r="AQ123" i="14"/>
  <c r="AQ124"/>
  <c r="AI155"/>
  <c r="AI156"/>
  <c r="AI103"/>
  <c r="AI104"/>
  <c r="AA123"/>
  <c r="AA124"/>
  <c r="S155"/>
  <c r="S156"/>
  <c r="S103"/>
  <c r="S104"/>
  <c r="AK199"/>
  <c r="AK200"/>
  <c r="AE199"/>
  <c r="AE200"/>
  <c r="AT200"/>
  <c r="AT199"/>
  <c r="T199"/>
  <c r="T200"/>
  <c r="AH203"/>
  <c r="L83"/>
  <c r="M82"/>
  <c r="O82" s="1"/>
  <c r="AR123"/>
  <c r="AR124"/>
  <c r="AB155"/>
  <c r="AB156"/>
  <c r="AB104"/>
  <c r="AB103"/>
  <c r="T124"/>
  <c r="T123"/>
  <c r="AS155"/>
  <c r="AS156"/>
  <c r="AS104"/>
  <c r="AS103"/>
  <c r="AK124"/>
  <c r="AK123"/>
  <c r="AC156"/>
  <c r="AC155"/>
  <c r="AC104"/>
  <c r="AC103"/>
  <c r="AT124"/>
  <c r="AT123"/>
  <c r="AL156"/>
  <c r="AL155"/>
  <c r="AL104"/>
  <c r="AL103"/>
  <c r="V124"/>
  <c r="V123"/>
  <c r="AU155"/>
  <c r="AU156"/>
  <c r="AU103"/>
  <c r="AU104"/>
  <c r="AE124"/>
  <c r="AE123"/>
  <c r="X128"/>
  <c r="X129"/>
  <c r="AE129"/>
  <c r="AE128"/>
  <c r="AR129"/>
  <c r="AR128"/>
  <c r="T128"/>
  <c r="T129"/>
  <c r="AC129"/>
  <c r="AC128"/>
  <c r="AS129"/>
  <c r="AS128"/>
  <c r="AF128"/>
  <c r="AF129"/>
  <c r="AA129"/>
  <c r="AA128"/>
  <c r="AU128"/>
  <c r="AU129"/>
  <c r="AB128"/>
  <c r="AB129"/>
  <c r="Y129"/>
  <c r="Y128"/>
  <c r="AO129"/>
  <c r="AO128"/>
  <c r="AH128"/>
  <c r="AH129"/>
  <c r="AM128"/>
  <c r="AM129"/>
  <c r="E80"/>
  <c r="G80"/>
  <c r="P122"/>
  <c r="W129"/>
  <c r="W128"/>
  <c r="AN124"/>
  <c r="AN123"/>
  <c r="AF155"/>
  <c r="AF156"/>
  <c r="AF103"/>
  <c r="AF104"/>
  <c r="X124"/>
  <c r="X123"/>
  <c r="AO155"/>
  <c r="AO156"/>
  <c r="AO103"/>
  <c r="AO104"/>
  <c r="AG123"/>
  <c r="AG124"/>
  <c r="Y155"/>
  <c r="Y156"/>
  <c r="Y103"/>
  <c r="Y104"/>
  <c r="AP124"/>
  <c r="AP123"/>
  <c r="Z155"/>
  <c r="Z156"/>
  <c r="Z104"/>
  <c r="Z103"/>
  <c r="R124"/>
  <c r="E115"/>
  <c r="D22" i="1" s="1"/>
  <c r="G115" i="14"/>
  <c r="F22" i="1" s="1"/>
  <c r="AQ156" i="14"/>
  <c r="AQ155"/>
  <c r="AQ103"/>
  <c r="AQ104"/>
  <c r="AI124"/>
  <c r="AI123"/>
  <c r="AA156"/>
  <c r="AA155"/>
  <c r="AA103"/>
  <c r="AA104"/>
  <c r="S123"/>
  <c r="S124"/>
  <c r="E177"/>
  <c r="D50" i="1" s="1"/>
  <c r="AA201" i="14"/>
  <c r="AA202" s="1"/>
  <c r="AO201"/>
  <c r="AO202" s="1"/>
  <c r="AF201"/>
  <c r="AF202" s="1"/>
  <c r="S201"/>
  <c r="S202" s="1"/>
  <c r="AI201"/>
  <c r="AI202" s="1"/>
  <c r="AP201"/>
  <c r="AP202" s="1"/>
  <c r="AG201"/>
  <c r="AG202" s="1"/>
  <c r="AS201"/>
  <c r="AS202" s="1"/>
  <c r="AH157" l="1"/>
  <c r="AH159" s="1"/>
  <c r="AH105"/>
  <c r="AH106" s="1"/>
  <c r="AH125"/>
  <c r="AH107"/>
  <c r="AH158"/>
  <c r="P129"/>
  <c r="P128"/>
  <c r="AN203"/>
  <c r="AM105"/>
  <c r="AM106" s="1"/>
  <c r="AJ201"/>
  <c r="AM157"/>
  <c r="AM158" s="1"/>
  <c r="AD125"/>
  <c r="AD127" s="1"/>
  <c r="U105"/>
  <c r="U107" s="1"/>
  <c r="P105"/>
  <c r="P107" s="1"/>
  <c r="W105"/>
  <c r="W106" s="1"/>
  <c r="AD157"/>
  <c r="AD158" s="1"/>
  <c r="W201"/>
  <c r="AD126"/>
  <c r="W157"/>
  <c r="AC203"/>
  <c r="Z203"/>
  <c r="Q105"/>
  <c r="AD105"/>
  <c r="Q201"/>
  <c r="AJ105"/>
  <c r="AM201"/>
  <c r="AD201"/>
  <c r="Q157"/>
  <c r="U157"/>
  <c r="P157"/>
  <c r="AJ125"/>
  <c r="W125"/>
  <c r="AM125"/>
  <c r="Q125"/>
  <c r="U125"/>
  <c r="U201"/>
  <c r="P125"/>
  <c r="AJ157"/>
  <c r="Y203"/>
  <c r="AU203"/>
  <c r="AQ203"/>
  <c r="AL203"/>
  <c r="R203"/>
  <c r="AB203"/>
  <c r="AB202"/>
  <c r="X203"/>
  <c r="X202"/>
  <c r="S161"/>
  <c r="S160"/>
  <c r="W160"/>
  <c r="W161"/>
  <c r="AA161"/>
  <c r="AA160"/>
  <c r="AE161"/>
  <c r="AE160"/>
  <c r="AI161"/>
  <c r="AI160"/>
  <c r="AM160"/>
  <c r="AM161"/>
  <c r="AQ161"/>
  <c r="AQ160"/>
  <c r="AU161"/>
  <c r="AU160"/>
  <c r="R160"/>
  <c r="R161"/>
  <c r="V160"/>
  <c r="V161"/>
  <c r="Z160"/>
  <c r="Z161"/>
  <c r="AD161"/>
  <c r="AD160"/>
  <c r="AH161"/>
  <c r="AH160"/>
  <c r="AL160"/>
  <c r="AL161"/>
  <c r="AP160"/>
  <c r="AP161"/>
  <c r="AT160"/>
  <c r="AT161"/>
  <c r="Q161"/>
  <c r="Q160"/>
  <c r="U160"/>
  <c r="U161"/>
  <c r="Y161"/>
  <c r="Y160"/>
  <c r="AC161"/>
  <c r="AC160"/>
  <c r="AG161"/>
  <c r="AG160"/>
  <c r="AK161"/>
  <c r="AK160"/>
  <c r="AO161"/>
  <c r="AO160"/>
  <c r="AS161"/>
  <c r="AS160"/>
  <c r="P160"/>
  <c r="P161"/>
  <c r="T160"/>
  <c r="T161"/>
  <c r="X160"/>
  <c r="X161"/>
  <c r="AB160"/>
  <c r="AB161"/>
  <c r="AF160"/>
  <c r="AF161"/>
  <c r="AJ161"/>
  <c r="AJ160"/>
  <c r="AN160"/>
  <c r="AN161"/>
  <c r="AR160"/>
  <c r="AR161"/>
  <c r="G147"/>
  <c r="E147"/>
  <c r="AE105"/>
  <c r="AE106" s="1"/>
  <c r="AU125"/>
  <c r="AU126" s="1"/>
  <c r="V157"/>
  <c r="V158" s="1"/>
  <c r="AC125"/>
  <c r="AC126" s="1"/>
  <c r="AK157"/>
  <c r="AK158" s="1"/>
  <c r="T105"/>
  <c r="T106" s="1"/>
  <c r="AB125"/>
  <c r="AB126" s="1"/>
  <c r="AR157"/>
  <c r="AR158" s="1"/>
  <c r="V201"/>
  <c r="V202" s="1"/>
  <c r="G200"/>
  <c r="F52" i="1" s="1"/>
  <c r="AT82" i="14"/>
  <c r="AT184" s="1"/>
  <c r="AR82"/>
  <c r="AR184" s="1"/>
  <c r="AP82"/>
  <c r="AP184" s="1"/>
  <c r="AN82"/>
  <c r="AN184" s="1"/>
  <c r="AL82"/>
  <c r="AL184" s="1"/>
  <c r="AJ82"/>
  <c r="AJ184" s="1"/>
  <c r="AH82"/>
  <c r="AH184" s="1"/>
  <c r="AF82"/>
  <c r="AF184" s="1"/>
  <c r="AD82"/>
  <c r="AD184" s="1"/>
  <c r="AB82"/>
  <c r="AB184" s="1"/>
  <c r="Z82"/>
  <c r="Z184" s="1"/>
  <c r="X82"/>
  <c r="X184" s="1"/>
  <c r="V82"/>
  <c r="V184" s="1"/>
  <c r="T82"/>
  <c r="T184" s="1"/>
  <c r="R82"/>
  <c r="R184" s="1"/>
  <c r="P82"/>
  <c r="P184" s="1"/>
  <c r="AU82"/>
  <c r="AU184" s="1"/>
  <c r="AS82"/>
  <c r="AS184" s="1"/>
  <c r="AQ82"/>
  <c r="AQ184" s="1"/>
  <c r="AO82"/>
  <c r="AO184" s="1"/>
  <c r="AM82"/>
  <c r="AM184" s="1"/>
  <c r="AK82"/>
  <c r="AK184" s="1"/>
  <c r="AI82"/>
  <c r="AI184" s="1"/>
  <c r="AG82"/>
  <c r="AG184" s="1"/>
  <c r="AE82"/>
  <c r="AE184" s="1"/>
  <c r="AC82"/>
  <c r="AC184" s="1"/>
  <c r="AA82"/>
  <c r="AA184" s="1"/>
  <c r="Y82"/>
  <c r="Y184" s="1"/>
  <c r="W82"/>
  <c r="W184" s="1"/>
  <c r="U82"/>
  <c r="U184" s="1"/>
  <c r="S82"/>
  <c r="S184" s="1"/>
  <c r="Q82"/>
  <c r="Q184" s="1"/>
  <c r="D80"/>
  <c r="AO130"/>
  <c r="AO131" s="1"/>
  <c r="Y130"/>
  <c r="Y131" s="1"/>
  <c r="AA130"/>
  <c r="AA131" s="1"/>
  <c r="AS130"/>
  <c r="AS131" s="1"/>
  <c r="AC130"/>
  <c r="AC131" s="1"/>
  <c r="AR130"/>
  <c r="AE130"/>
  <c r="AE131" s="1"/>
  <c r="AA157"/>
  <c r="F115"/>
  <c r="E22" i="1" s="1"/>
  <c r="D115" i="14"/>
  <c r="C22" i="1" s="1"/>
  <c r="AN125" i="14"/>
  <c r="E200"/>
  <c r="D52" i="1" s="1"/>
  <c r="AU105" i="14"/>
  <c r="AR125"/>
  <c r="AR126" s="1"/>
  <c r="S105"/>
  <c r="AA125"/>
  <c r="AA126" s="1"/>
  <c r="AI157"/>
  <c r="AI158" s="1"/>
  <c r="AG105"/>
  <c r="AG106" s="1"/>
  <c r="X157"/>
  <c r="X158" s="1"/>
  <c r="U130"/>
  <c r="U131" s="1"/>
  <c r="AG130"/>
  <c r="AG131" s="1"/>
  <c r="AT130"/>
  <c r="AT131" s="1"/>
  <c r="V130"/>
  <c r="V131" s="1"/>
  <c r="AI130"/>
  <c r="Z130"/>
  <c r="Z131" s="1"/>
  <c r="AK130"/>
  <c r="AK131" s="1"/>
  <c r="AN130"/>
  <c r="AN131" s="1"/>
  <c r="AA105"/>
  <c r="Y157"/>
  <c r="AO105"/>
  <c r="AF157"/>
  <c r="F80"/>
  <c r="AE125"/>
  <c r="AL105"/>
  <c r="AL106" s="1"/>
  <c r="AT125"/>
  <c r="AT126" s="1"/>
  <c r="AC157"/>
  <c r="AS105"/>
  <c r="AS106" s="1"/>
  <c r="T125"/>
  <c r="F140"/>
  <c r="E36" i="1" s="1"/>
  <c r="D140" i="14"/>
  <c r="C36" i="1" s="1"/>
  <c r="AG157" i="14"/>
  <c r="AL125"/>
  <c r="AS125"/>
  <c r="AS126" s="1"/>
  <c r="AR105"/>
  <c r="AR201"/>
  <c r="AP203"/>
  <c r="R125"/>
  <c r="R126" s="1"/>
  <c r="G123"/>
  <c r="F23" i="1" s="1"/>
  <c r="E123" i="14"/>
  <c r="D23" i="1" s="1"/>
  <c r="G104" i="14"/>
  <c r="F10" i="1" s="1"/>
  <c r="E104" i="14"/>
  <c r="D10" i="1" s="1"/>
  <c r="E156" i="14"/>
  <c r="D38" i="1" s="1"/>
  <c r="G156" i="14"/>
  <c r="F38" i="1" s="1"/>
  <c r="P203" i="14"/>
  <c r="G81"/>
  <c r="E81"/>
  <c r="D177"/>
  <c r="C50" i="1" s="1"/>
  <c r="AS203" i="14"/>
  <c r="S203"/>
  <c r="AO203"/>
  <c r="AG203"/>
  <c r="AI203"/>
  <c r="AF203"/>
  <c r="AA203"/>
  <c r="G124"/>
  <c r="F24" i="1" s="1"/>
  <c r="E124" i="14"/>
  <c r="D24" i="1" s="1"/>
  <c r="E122" i="14"/>
  <c r="G122"/>
  <c r="L84"/>
  <c r="M83"/>
  <c r="O83" s="1"/>
  <c r="R105"/>
  <c r="R106" s="1"/>
  <c r="G103"/>
  <c r="F9" i="1" s="1"/>
  <c r="E103" i="14"/>
  <c r="D9" i="1" s="1"/>
  <c r="R157" i="14"/>
  <c r="R158" s="1"/>
  <c r="G155"/>
  <c r="F37" i="1" s="1"/>
  <c r="E155" i="14"/>
  <c r="D37" i="1" s="1"/>
  <c r="F177" i="14"/>
  <c r="E50" i="1" s="1"/>
  <c r="S125" i="14"/>
  <c r="S126" s="1"/>
  <c r="AI125"/>
  <c r="AI126" s="1"/>
  <c r="AQ105"/>
  <c r="AQ106" s="1"/>
  <c r="AQ157"/>
  <c r="AQ158" s="1"/>
  <c r="Z105"/>
  <c r="Z106" s="1"/>
  <c r="Z157"/>
  <c r="Z158" s="1"/>
  <c r="AP125"/>
  <c r="AP126" s="1"/>
  <c r="Y105"/>
  <c r="Y106" s="1"/>
  <c r="AG125"/>
  <c r="AG126" s="1"/>
  <c r="AO157"/>
  <c r="AO158" s="1"/>
  <c r="X125"/>
  <c r="X126" s="1"/>
  <c r="AF105"/>
  <c r="AF106" s="1"/>
  <c r="W130"/>
  <c r="W131" s="1"/>
  <c r="AM130"/>
  <c r="AM131" s="1"/>
  <c r="AH130"/>
  <c r="AH131" s="1"/>
  <c r="AB130"/>
  <c r="AB131" s="1"/>
  <c r="AU130"/>
  <c r="AU131" s="1"/>
  <c r="AF130"/>
  <c r="AF131" s="1"/>
  <c r="T130"/>
  <c r="T131" s="1"/>
  <c r="X130"/>
  <c r="X131" s="1"/>
  <c r="AU157"/>
  <c r="AU158" s="1"/>
  <c r="V125"/>
  <c r="V126" s="1"/>
  <c r="AL157"/>
  <c r="AL158" s="1"/>
  <c r="AC105"/>
  <c r="AC106" s="1"/>
  <c r="AK125"/>
  <c r="AK126" s="1"/>
  <c r="AS157"/>
  <c r="AS158" s="1"/>
  <c r="AB105"/>
  <c r="AB106" s="1"/>
  <c r="AB157"/>
  <c r="AB158" s="1"/>
  <c r="T201"/>
  <c r="T202" s="1"/>
  <c r="AT201"/>
  <c r="AT202" s="1"/>
  <c r="AE201"/>
  <c r="AE202" s="1"/>
  <c r="AK201"/>
  <c r="AK202" s="1"/>
  <c r="S157"/>
  <c r="S158" s="1"/>
  <c r="AI105"/>
  <c r="AI106" s="1"/>
  <c r="AQ125"/>
  <c r="AQ126" s="1"/>
  <c r="D102"/>
  <c r="C8" i="1" s="1"/>
  <c r="F102" i="14"/>
  <c r="E8" i="1" s="1"/>
  <c r="Z125" i="14"/>
  <c r="Z126" s="1"/>
  <c r="AP105"/>
  <c r="AP106" s="1"/>
  <c r="AP157"/>
  <c r="AP158" s="1"/>
  <c r="Y125"/>
  <c r="Y126" s="1"/>
  <c r="AO125"/>
  <c r="AO126" s="1"/>
  <c r="X105"/>
  <c r="X106" s="1"/>
  <c r="AF125"/>
  <c r="AF126" s="1"/>
  <c r="AN105"/>
  <c r="AN106" s="1"/>
  <c r="AN157"/>
  <c r="AN158" s="1"/>
  <c r="Q130"/>
  <c r="Q131" s="1"/>
  <c r="AJ130"/>
  <c r="AJ131" s="1"/>
  <c r="AD130"/>
  <c r="AD131" s="1"/>
  <c r="AP130"/>
  <c r="AP131" s="1"/>
  <c r="AL130"/>
  <c r="AL131" s="1"/>
  <c r="AQ130"/>
  <c r="AQ131" s="1"/>
  <c r="S130"/>
  <c r="S131" s="1"/>
  <c r="R130"/>
  <c r="R131" s="1"/>
  <c r="G199"/>
  <c r="F51" i="1" s="1"/>
  <c r="E199" i="14"/>
  <c r="D51" i="1" s="1"/>
  <c r="AE157" i="14"/>
  <c r="AE158" s="1"/>
  <c r="V105"/>
  <c r="V106" s="1"/>
  <c r="AT105"/>
  <c r="AT106" s="1"/>
  <c r="AT157"/>
  <c r="AT158" s="1"/>
  <c r="AK105"/>
  <c r="AK106" s="1"/>
  <c r="T157"/>
  <c r="T158" s="1"/>
  <c r="AH126" l="1"/>
  <c r="AH127"/>
  <c r="T107"/>
  <c r="AO132"/>
  <c r="AD159"/>
  <c r="V132"/>
  <c r="P106"/>
  <c r="W107"/>
  <c r="AL107"/>
  <c r="AM159"/>
  <c r="AU127"/>
  <c r="AN132"/>
  <c r="X159"/>
  <c r="AC132"/>
  <c r="U106"/>
  <c r="AM107"/>
  <c r="AJ202"/>
  <c r="AJ203"/>
  <c r="W202"/>
  <c r="W203"/>
  <c r="AR159"/>
  <c r="AC127"/>
  <c r="Z132"/>
  <c r="AG132"/>
  <c r="AI159"/>
  <c r="AE132"/>
  <c r="AA132"/>
  <c r="F200"/>
  <c r="E52" i="1" s="1"/>
  <c r="P126" i="14"/>
  <c r="P127"/>
  <c r="U126"/>
  <c r="U127"/>
  <c r="AM126"/>
  <c r="AM127"/>
  <c r="AJ126"/>
  <c r="AJ127"/>
  <c r="U158"/>
  <c r="U159"/>
  <c r="AD202"/>
  <c r="AD203"/>
  <c r="AJ106"/>
  <c r="AJ107"/>
  <c r="AD106"/>
  <c r="AD107"/>
  <c r="W158"/>
  <c r="W159"/>
  <c r="AJ158"/>
  <c r="AJ159"/>
  <c r="U202"/>
  <c r="U203"/>
  <c r="Q126"/>
  <c r="Q127"/>
  <c r="W126"/>
  <c r="W127"/>
  <c r="P158"/>
  <c r="P159"/>
  <c r="Q158"/>
  <c r="Q159"/>
  <c r="AM202"/>
  <c r="AM203"/>
  <c r="Q202"/>
  <c r="Q203"/>
  <c r="Q106"/>
  <c r="Q107"/>
  <c r="AK132"/>
  <c r="AR127"/>
  <c r="V203"/>
  <c r="AB127"/>
  <c r="AK159"/>
  <c r="V159"/>
  <c r="AE107"/>
  <c r="AT132"/>
  <c r="U132"/>
  <c r="AG107"/>
  <c r="AA127"/>
  <c r="AS107"/>
  <c r="AS132"/>
  <c r="Y132"/>
  <c r="F147"/>
  <c r="AJ162"/>
  <c r="AJ163" s="1"/>
  <c r="AS162"/>
  <c r="AS164" s="1"/>
  <c r="AO162"/>
  <c r="AO164" s="1"/>
  <c r="AK162"/>
  <c r="AK164" s="1"/>
  <c r="AG162"/>
  <c r="AG163" s="1"/>
  <c r="AC162"/>
  <c r="AC164" s="1"/>
  <c r="Y162"/>
  <c r="Y163" s="1"/>
  <c r="Q162"/>
  <c r="Q163" s="1"/>
  <c r="AH162"/>
  <c r="AH164" s="1"/>
  <c r="AD162"/>
  <c r="AD163" s="1"/>
  <c r="AU162"/>
  <c r="AU163" s="1"/>
  <c r="AQ162"/>
  <c r="AQ164" s="1"/>
  <c r="AI162"/>
  <c r="AI163" s="1"/>
  <c r="AE162"/>
  <c r="AE164" s="1"/>
  <c r="AA162"/>
  <c r="AA163" s="1"/>
  <c r="S162"/>
  <c r="S164" s="1"/>
  <c r="S205"/>
  <c r="S204"/>
  <c r="W204"/>
  <c r="W205"/>
  <c r="AA205"/>
  <c r="AA204"/>
  <c r="AE205"/>
  <c r="AE204"/>
  <c r="AI205"/>
  <c r="AI204"/>
  <c r="AM205"/>
  <c r="AM204"/>
  <c r="AQ205"/>
  <c r="AQ204"/>
  <c r="AU205"/>
  <c r="AU204"/>
  <c r="R204"/>
  <c r="R205"/>
  <c r="V205"/>
  <c r="V204"/>
  <c r="Z204"/>
  <c r="Z205"/>
  <c r="AD205"/>
  <c r="AD204"/>
  <c r="AH205"/>
  <c r="AH204"/>
  <c r="AL205"/>
  <c r="AL204"/>
  <c r="AP205"/>
  <c r="AP204"/>
  <c r="AT205"/>
  <c r="AT204"/>
  <c r="AR203"/>
  <c r="AR202"/>
  <c r="Q204"/>
  <c r="Q205"/>
  <c r="U205"/>
  <c r="U204"/>
  <c r="Y204"/>
  <c r="Y205"/>
  <c r="AC204"/>
  <c r="AC205"/>
  <c r="AG204"/>
  <c r="AG205"/>
  <c r="AK204"/>
  <c r="AK205"/>
  <c r="AO204"/>
  <c r="AO205"/>
  <c r="AS204"/>
  <c r="AS205"/>
  <c r="P204"/>
  <c r="P205"/>
  <c r="T204"/>
  <c r="T205"/>
  <c r="X204"/>
  <c r="X205"/>
  <c r="AB205"/>
  <c r="AB204"/>
  <c r="AF204"/>
  <c r="AF205"/>
  <c r="AJ204"/>
  <c r="AJ205"/>
  <c r="AN204"/>
  <c r="AN205"/>
  <c r="AR204"/>
  <c r="AR205"/>
  <c r="AS127"/>
  <c r="AT127"/>
  <c r="G184"/>
  <c r="E184"/>
  <c r="P162"/>
  <c r="G160"/>
  <c r="E160"/>
  <c r="D147"/>
  <c r="AR162"/>
  <c r="AN162"/>
  <c r="AF162"/>
  <c r="AB162"/>
  <c r="X162"/>
  <c r="T162"/>
  <c r="U162"/>
  <c r="AT162"/>
  <c r="AP162"/>
  <c r="AL162"/>
  <c r="Z162"/>
  <c r="V162"/>
  <c r="R162"/>
  <c r="AM162"/>
  <c r="W162"/>
  <c r="G161"/>
  <c r="E161"/>
  <c r="AG164"/>
  <c r="AC159"/>
  <c r="AC158"/>
  <c r="AG159"/>
  <c r="AG158"/>
  <c r="AF159"/>
  <c r="AF158"/>
  <c r="Y159"/>
  <c r="Y158"/>
  <c r="AA159"/>
  <c r="AA158"/>
  <c r="AE127"/>
  <c r="AE126"/>
  <c r="AI132"/>
  <c r="AI131"/>
  <c r="AR132"/>
  <c r="AR131"/>
  <c r="AR107"/>
  <c r="AR106"/>
  <c r="AL127"/>
  <c r="AL126"/>
  <c r="T127"/>
  <c r="T126"/>
  <c r="AO107"/>
  <c r="AO106"/>
  <c r="AA107"/>
  <c r="AA106"/>
  <c r="S107"/>
  <c r="S106"/>
  <c r="AU107"/>
  <c r="AU106"/>
  <c r="AN127"/>
  <c r="AN126"/>
  <c r="D200"/>
  <c r="C52" i="1" s="1"/>
  <c r="D81" i="14"/>
  <c r="D123"/>
  <c r="C23" i="1" s="1"/>
  <c r="AT83" i="14"/>
  <c r="AT154" s="1"/>
  <c r="AR83"/>
  <c r="AR154" s="1"/>
  <c r="AP83"/>
  <c r="AP154" s="1"/>
  <c r="AN83"/>
  <c r="AN154" s="1"/>
  <c r="AL83"/>
  <c r="AL154" s="1"/>
  <c r="AJ83"/>
  <c r="AJ154" s="1"/>
  <c r="AH83"/>
  <c r="AH154" s="1"/>
  <c r="AF83"/>
  <c r="AF154" s="1"/>
  <c r="AD83"/>
  <c r="AD154" s="1"/>
  <c r="AB83"/>
  <c r="AB154" s="1"/>
  <c r="Z83"/>
  <c r="Z154" s="1"/>
  <c r="X83"/>
  <c r="X154" s="1"/>
  <c r="V83"/>
  <c r="V154" s="1"/>
  <c r="T83"/>
  <c r="T154" s="1"/>
  <c r="R83"/>
  <c r="R154" s="1"/>
  <c r="P83"/>
  <c r="P154" s="1"/>
  <c r="AU83"/>
  <c r="AU154" s="1"/>
  <c r="AS83"/>
  <c r="AS154" s="1"/>
  <c r="AQ83"/>
  <c r="AQ154" s="1"/>
  <c r="AO83"/>
  <c r="AO154" s="1"/>
  <c r="AM83"/>
  <c r="AM154" s="1"/>
  <c r="AK83"/>
  <c r="AK154" s="1"/>
  <c r="AI83"/>
  <c r="AI154" s="1"/>
  <c r="AG83"/>
  <c r="AG154" s="1"/>
  <c r="AE83"/>
  <c r="AE154" s="1"/>
  <c r="AC83"/>
  <c r="AC154" s="1"/>
  <c r="AA83"/>
  <c r="AA154" s="1"/>
  <c r="Y83"/>
  <c r="Y154" s="1"/>
  <c r="W83"/>
  <c r="W154" s="1"/>
  <c r="U83"/>
  <c r="U154" s="1"/>
  <c r="S83"/>
  <c r="S154" s="1"/>
  <c r="Q83"/>
  <c r="Q154" s="1"/>
  <c r="F122"/>
  <c r="D124"/>
  <c r="C24" i="1" s="1"/>
  <c r="F124" i="14"/>
  <c r="E24" i="1" s="1"/>
  <c r="D155" i="14"/>
  <c r="C37" i="1" s="1"/>
  <c r="F155" i="14"/>
  <c r="E37" i="1" s="1"/>
  <c r="D122" i="14"/>
  <c r="F81"/>
  <c r="AK107"/>
  <c r="AT107"/>
  <c r="AE159"/>
  <c r="R132"/>
  <c r="AJ132"/>
  <c r="AN159"/>
  <c r="AF127"/>
  <c r="AO127"/>
  <c r="AP159"/>
  <c r="Z127"/>
  <c r="AI107"/>
  <c r="AK203"/>
  <c r="AT203"/>
  <c r="AB159"/>
  <c r="AS159"/>
  <c r="AC107"/>
  <c r="V127"/>
  <c r="T132"/>
  <c r="AU132"/>
  <c r="AH132"/>
  <c r="W132"/>
  <c r="X127"/>
  <c r="AG127"/>
  <c r="AP127"/>
  <c r="Z107"/>
  <c r="AQ107"/>
  <c r="S127"/>
  <c r="R159"/>
  <c r="G157"/>
  <c r="F39" i="1" s="1"/>
  <c r="E157" i="14"/>
  <c r="D39" i="1" s="1"/>
  <c r="F123" i="14"/>
  <c r="E23" i="1" s="1"/>
  <c r="D199" i="14"/>
  <c r="C51" i="1" s="1"/>
  <c r="AQ132" i="14"/>
  <c r="AP132"/>
  <c r="T159"/>
  <c r="AT159"/>
  <c r="V107"/>
  <c r="S132"/>
  <c r="AL132"/>
  <c r="AD132"/>
  <c r="Q132"/>
  <c r="AN107"/>
  <c r="X107"/>
  <c r="Y127"/>
  <c r="AP107"/>
  <c r="AQ127"/>
  <c r="S159"/>
  <c r="AE203"/>
  <c r="T203"/>
  <c r="AB107"/>
  <c r="AK127"/>
  <c r="AL159"/>
  <c r="AU159"/>
  <c r="X132"/>
  <c r="AF132"/>
  <c r="AB132"/>
  <c r="AM132"/>
  <c r="AF107"/>
  <c r="AO159"/>
  <c r="Y107"/>
  <c r="Z159"/>
  <c r="AQ159"/>
  <c r="AI127"/>
  <c r="R107"/>
  <c r="E105"/>
  <c r="D11" i="1" s="1"/>
  <c r="H14" s="1"/>
  <c r="G105" i="14"/>
  <c r="F11" i="1" s="1"/>
  <c r="L85" i="14"/>
  <c r="M85" s="1"/>
  <c r="O85" s="1"/>
  <c r="M84"/>
  <c r="O84" s="1"/>
  <c r="G82"/>
  <c r="E82"/>
  <c r="R127"/>
  <c r="G125"/>
  <c r="F25" i="1" s="1"/>
  <c r="E125" i="14"/>
  <c r="D25" i="1" s="1"/>
  <c r="F199" i="14"/>
  <c r="E51" i="1" s="1"/>
  <c r="F103" i="14"/>
  <c r="E9" i="1" s="1"/>
  <c r="D103" i="14"/>
  <c r="C9" i="1" s="1"/>
  <c r="E201" i="14"/>
  <c r="D53" i="1" s="1"/>
  <c r="G201" i="14"/>
  <c r="F53" i="1" s="1"/>
  <c r="D156" i="14"/>
  <c r="C38" i="1" s="1"/>
  <c r="F156" i="14"/>
  <c r="E38" i="1" s="1"/>
  <c r="D104" i="14"/>
  <c r="C10" i="1" s="1"/>
  <c r="F104" i="14"/>
  <c r="E10" i="1" s="1"/>
  <c r="AO163" i="14" l="1"/>
  <c r="AI164"/>
  <c r="AK163"/>
  <c r="AA164"/>
  <c r="AH163"/>
  <c r="AJ164"/>
  <c r="Y164"/>
  <c r="AU164"/>
  <c r="AQ163"/>
  <c r="S163"/>
  <c r="Q164"/>
  <c r="G129"/>
  <c r="U206"/>
  <c r="U207" s="1"/>
  <c r="AT206"/>
  <c r="AT207" s="1"/>
  <c r="AP206"/>
  <c r="AP207" s="1"/>
  <c r="AL206"/>
  <c r="AL207" s="1"/>
  <c r="AH206"/>
  <c r="AH208" s="1"/>
  <c r="AD206"/>
  <c r="AD207" s="1"/>
  <c r="V206"/>
  <c r="V208" s="1"/>
  <c r="AU206"/>
  <c r="AU208" s="1"/>
  <c r="AQ206"/>
  <c r="AQ208" s="1"/>
  <c r="AM206"/>
  <c r="AM208" s="1"/>
  <c r="AI206"/>
  <c r="AI208" s="1"/>
  <c r="AE206"/>
  <c r="AE208" s="1"/>
  <c r="AA206"/>
  <c r="AA207" s="1"/>
  <c r="S206"/>
  <c r="S208" s="1"/>
  <c r="E128"/>
  <c r="D161"/>
  <c r="F160"/>
  <c r="E129"/>
  <c r="AE163"/>
  <c r="AD164"/>
  <c r="AC163"/>
  <c r="AS163"/>
  <c r="F184"/>
  <c r="AR206"/>
  <c r="AR208" s="1"/>
  <c r="AN206"/>
  <c r="AN208" s="1"/>
  <c r="AJ206"/>
  <c r="AJ208" s="1"/>
  <c r="AF206"/>
  <c r="AF207" s="1"/>
  <c r="X206"/>
  <c r="X208" s="1"/>
  <c r="AF208"/>
  <c r="P206"/>
  <c r="E204"/>
  <c r="G204"/>
  <c r="T206"/>
  <c r="AS206"/>
  <c r="AO206"/>
  <c r="AK206"/>
  <c r="AG206"/>
  <c r="AC206"/>
  <c r="Y206"/>
  <c r="Q206"/>
  <c r="Z206"/>
  <c r="R206"/>
  <c r="W206"/>
  <c r="E205"/>
  <c r="G205"/>
  <c r="D184"/>
  <c r="AB206"/>
  <c r="Q166"/>
  <c r="Q165"/>
  <c r="U165"/>
  <c r="U166"/>
  <c r="Y166"/>
  <c r="Y165"/>
  <c r="AC166"/>
  <c r="AC165"/>
  <c r="AG166"/>
  <c r="AG165"/>
  <c r="AK166"/>
  <c r="AK165"/>
  <c r="AO166"/>
  <c r="AO165"/>
  <c r="AS166"/>
  <c r="AS165"/>
  <c r="P165"/>
  <c r="P166"/>
  <c r="T165"/>
  <c r="T166"/>
  <c r="X165"/>
  <c r="X166"/>
  <c r="AB165"/>
  <c r="AB166"/>
  <c r="AF165"/>
  <c r="AF166"/>
  <c r="AJ166"/>
  <c r="AJ165"/>
  <c r="AN165"/>
  <c r="AN166"/>
  <c r="AR165"/>
  <c r="AR166"/>
  <c r="AM164"/>
  <c r="AM163"/>
  <c r="V163"/>
  <c r="V164"/>
  <c r="AL163"/>
  <c r="AL164"/>
  <c r="AT163"/>
  <c r="AT164"/>
  <c r="T163"/>
  <c r="T164"/>
  <c r="AB163"/>
  <c r="AB164"/>
  <c r="AN163"/>
  <c r="AN164"/>
  <c r="G162"/>
  <c r="E162"/>
  <c r="P164"/>
  <c r="P163"/>
  <c r="S166"/>
  <c r="S165"/>
  <c r="W165"/>
  <c r="W166"/>
  <c r="AA166"/>
  <c r="AA165"/>
  <c r="AE166"/>
  <c r="AE165"/>
  <c r="AI166"/>
  <c r="AI165"/>
  <c r="AM165"/>
  <c r="AM166"/>
  <c r="AQ166"/>
  <c r="AQ165"/>
  <c r="AU166"/>
  <c r="AU165"/>
  <c r="R165"/>
  <c r="R166"/>
  <c r="V165"/>
  <c r="V166"/>
  <c r="Z165"/>
  <c r="Z166"/>
  <c r="AD166"/>
  <c r="AD165"/>
  <c r="AH166"/>
  <c r="AH165"/>
  <c r="AL165"/>
  <c r="AL166"/>
  <c r="AP165"/>
  <c r="AP166"/>
  <c r="AT165"/>
  <c r="AT166"/>
  <c r="W164"/>
  <c r="W163"/>
  <c r="R163"/>
  <c r="R164"/>
  <c r="Z163"/>
  <c r="Z164"/>
  <c r="AP163"/>
  <c r="AP164"/>
  <c r="U164"/>
  <c r="U163"/>
  <c r="X163"/>
  <c r="X164"/>
  <c r="AF163"/>
  <c r="AF164"/>
  <c r="AR163"/>
  <c r="AR164"/>
  <c r="F161"/>
  <c r="D160"/>
  <c r="G154"/>
  <c r="E154"/>
  <c r="E203"/>
  <c r="D55" i="1" s="1"/>
  <c r="D82" i="14"/>
  <c r="AT84"/>
  <c r="AT191" s="1"/>
  <c r="AR84"/>
  <c r="AR191" s="1"/>
  <c r="AP84"/>
  <c r="AP191" s="1"/>
  <c r="AN84"/>
  <c r="AN191" s="1"/>
  <c r="AL84"/>
  <c r="AL191" s="1"/>
  <c r="AJ84"/>
  <c r="AJ191" s="1"/>
  <c r="AH84"/>
  <c r="AH191" s="1"/>
  <c r="AF84"/>
  <c r="AF191" s="1"/>
  <c r="AD84"/>
  <c r="AD191" s="1"/>
  <c r="AB84"/>
  <c r="AB191" s="1"/>
  <c r="Z84"/>
  <c r="Z191" s="1"/>
  <c r="X84"/>
  <c r="X191" s="1"/>
  <c r="V84"/>
  <c r="V191" s="1"/>
  <c r="T84"/>
  <c r="T191" s="1"/>
  <c r="R84"/>
  <c r="R191" s="1"/>
  <c r="P84"/>
  <c r="P191" s="1"/>
  <c r="AU84"/>
  <c r="AU191" s="1"/>
  <c r="AS84"/>
  <c r="AS191" s="1"/>
  <c r="AQ84"/>
  <c r="AQ191" s="1"/>
  <c r="AO84"/>
  <c r="AO191" s="1"/>
  <c r="AM84"/>
  <c r="AM191" s="1"/>
  <c r="AK84"/>
  <c r="AK191" s="1"/>
  <c r="AI84"/>
  <c r="AI191" s="1"/>
  <c r="AG84"/>
  <c r="AG191" s="1"/>
  <c r="AE84"/>
  <c r="AE191" s="1"/>
  <c r="AC84"/>
  <c r="AC191" s="1"/>
  <c r="AA84"/>
  <c r="AA191" s="1"/>
  <c r="Y84"/>
  <c r="Y191" s="1"/>
  <c r="W84"/>
  <c r="W191" s="1"/>
  <c r="U84"/>
  <c r="U191" s="1"/>
  <c r="S84"/>
  <c r="S191" s="1"/>
  <c r="Q84"/>
  <c r="Q191" s="1"/>
  <c r="AT85"/>
  <c r="AT198" s="1"/>
  <c r="AR85"/>
  <c r="AR198" s="1"/>
  <c r="AP85"/>
  <c r="AP198" s="1"/>
  <c r="AN85"/>
  <c r="AN198" s="1"/>
  <c r="AL85"/>
  <c r="AL198" s="1"/>
  <c r="AJ85"/>
  <c r="AJ198" s="1"/>
  <c r="AH85"/>
  <c r="AH198" s="1"/>
  <c r="AF85"/>
  <c r="AF198" s="1"/>
  <c r="AD85"/>
  <c r="AD198" s="1"/>
  <c r="AB85"/>
  <c r="AB198" s="1"/>
  <c r="Z85"/>
  <c r="Z198" s="1"/>
  <c r="X85"/>
  <c r="X198" s="1"/>
  <c r="V85"/>
  <c r="V198" s="1"/>
  <c r="T85"/>
  <c r="T198" s="1"/>
  <c r="R85"/>
  <c r="R198" s="1"/>
  <c r="P85"/>
  <c r="P198" s="1"/>
  <c r="AU85"/>
  <c r="AU198" s="1"/>
  <c r="AS85"/>
  <c r="AS198" s="1"/>
  <c r="AQ85"/>
  <c r="AQ198" s="1"/>
  <c r="AO85"/>
  <c r="AO198" s="1"/>
  <c r="AM85"/>
  <c r="AM198" s="1"/>
  <c r="AK85"/>
  <c r="AK198" s="1"/>
  <c r="AI85"/>
  <c r="AI198" s="1"/>
  <c r="AG85"/>
  <c r="AG198" s="1"/>
  <c r="AE85"/>
  <c r="AE198" s="1"/>
  <c r="AC85"/>
  <c r="AC198" s="1"/>
  <c r="AA85"/>
  <c r="AA198" s="1"/>
  <c r="Y85"/>
  <c r="Y198" s="1"/>
  <c r="W85"/>
  <c r="W198" s="1"/>
  <c r="U85"/>
  <c r="U198" s="1"/>
  <c r="S85"/>
  <c r="S198" s="1"/>
  <c r="Q85"/>
  <c r="Q198" s="1"/>
  <c r="F82"/>
  <c r="E202"/>
  <c r="E126"/>
  <c r="D26" i="1" s="1"/>
  <c r="G126" i="14"/>
  <c r="F26" i="1" s="1"/>
  <c r="G107" i="14"/>
  <c r="E107"/>
  <c r="D13" i="1" s="1"/>
  <c r="P21" s="1"/>
  <c r="E159" i="14"/>
  <c r="D41" i="1" s="1"/>
  <c r="G159" i="14"/>
  <c r="D201"/>
  <c r="C53" i="1" s="1"/>
  <c r="F125" i="14"/>
  <c r="E25" i="1" s="1"/>
  <c r="D125" i="14"/>
  <c r="C25" i="1" s="1"/>
  <c r="D105" i="14"/>
  <c r="C11" i="1" s="1"/>
  <c r="F105" i="14"/>
  <c r="E11" i="1" s="1"/>
  <c r="G202" i="14"/>
  <c r="F54" i="1" s="1"/>
  <c r="G203" i="14"/>
  <c r="D203" s="1"/>
  <c r="F157"/>
  <c r="E39" i="1" s="1"/>
  <c r="F201" i="14"/>
  <c r="E53" i="1" s="1"/>
  <c r="E127" i="14"/>
  <c r="D27" i="1" s="1"/>
  <c r="G127" i="14"/>
  <c r="G106"/>
  <c r="F12" i="1" s="1"/>
  <c r="E106" i="14"/>
  <c r="E83"/>
  <c r="G83"/>
  <c r="G158"/>
  <c r="F40" i="1" s="1"/>
  <c r="E158" i="14"/>
  <c r="D40" i="1" s="1"/>
  <c r="D157" i="14"/>
  <c r="C39" i="1" s="1"/>
  <c r="AA208" i="14" l="1"/>
  <c r="AH207"/>
  <c r="AU207"/>
  <c r="AI207"/>
  <c r="V207"/>
  <c r="AP208"/>
  <c r="AQ207"/>
  <c r="AE207"/>
  <c r="AL208"/>
  <c r="U208"/>
  <c r="S207"/>
  <c r="AM207"/>
  <c r="AD208"/>
  <c r="AT208"/>
  <c r="P130"/>
  <c r="P131" s="1"/>
  <c r="D129"/>
  <c r="G128"/>
  <c r="F128" s="1"/>
  <c r="AR207"/>
  <c r="F129"/>
  <c r="AN207"/>
  <c r="X207"/>
  <c r="AJ207"/>
  <c r="D205"/>
  <c r="F203"/>
  <c r="AD324" s="1"/>
  <c r="D154"/>
  <c r="F162"/>
  <c r="AS167"/>
  <c r="AS168" s="1"/>
  <c r="AO167"/>
  <c r="AO169" s="1"/>
  <c r="AK167"/>
  <c r="AK168" s="1"/>
  <c r="AG167"/>
  <c r="AG169" s="1"/>
  <c r="AC167"/>
  <c r="AC168" s="1"/>
  <c r="Y167"/>
  <c r="Y169" s="1"/>
  <c r="D204"/>
  <c r="AT167"/>
  <c r="AT169" s="1"/>
  <c r="AP167"/>
  <c r="AP168" s="1"/>
  <c r="AL167"/>
  <c r="AL169" s="1"/>
  <c r="Z167"/>
  <c r="Z168" s="1"/>
  <c r="V167"/>
  <c r="V169" s="1"/>
  <c r="R167"/>
  <c r="R169" s="1"/>
  <c r="AM167"/>
  <c r="AM168" s="1"/>
  <c r="Q214"/>
  <c r="Q215"/>
  <c r="U215"/>
  <c r="U214"/>
  <c r="Y215"/>
  <c r="Y214"/>
  <c r="AC215"/>
  <c r="AC214"/>
  <c r="AG215"/>
  <c r="AG214"/>
  <c r="AK215"/>
  <c r="AK214"/>
  <c r="AO215"/>
  <c r="AO214"/>
  <c r="AS215"/>
  <c r="AS214"/>
  <c r="P215"/>
  <c r="P214"/>
  <c r="T214"/>
  <c r="T215"/>
  <c r="X214"/>
  <c r="X215"/>
  <c r="AB215"/>
  <c r="AB214"/>
  <c r="AF214"/>
  <c r="AF215"/>
  <c r="AJ214"/>
  <c r="AJ215"/>
  <c r="AN214"/>
  <c r="AN215"/>
  <c r="AR214"/>
  <c r="AR215"/>
  <c r="S209"/>
  <c r="S210"/>
  <c r="W209"/>
  <c r="W210"/>
  <c r="AA209"/>
  <c r="AA210"/>
  <c r="AE209"/>
  <c r="AE210"/>
  <c r="AI209"/>
  <c r="AI210"/>
  <c r="AM209"/>
  <c r="AM210"/>
  <c r="AQ209"/>
  <c r="AQ210"/>
  <c r="AU209"/>
  <c r="AU210"/>
  <c r="R210"/>
  <c r="R209"/>
  <c r="V209"/>
  <c r="V210"/>
  <c r="Z210"/>
  <c r="Z209"/>
  <c r="AD210"/>
  <c r="AD209"/>
  <c r="AH210"/>
  <c r="AH209"/>
  <c r="AL209"/>
  <c r="AL210"/>
  <c r="AP209"/>
  <c r="AP210"/>
  <c r="AT209"/>
  <c r="AT210"/>
  <c r="W207"/>
  <c r="W208"/>
  <c r="Z208"/>
  <c r="Z207"/>
  <c r="Y207"/>
  <c r="Y208"/>
  <c r="AG207"/>
  <c r="AG208"/>
  <c r="AO207"/>
  <c r="AO208"/>
  <c r="T208"/>
  <c r="T207"/>
  <c r="E206"/>
  <c r="G206"/>
  <c r="P207"/>
  <c r="P208"/>
  <c r="S215"/>
  <c r="S214"/>
  <c r="W215"/>
  <c r="W214"/>
  <c r="AA215"/>
  <c r="AA214"/>
  <c r="AE215"/>
  <c r="AE214"/>
  <c r="AI215"/>
  <c r="AI214"/>
  <c r="AM215"/>
  <c r="AM214"/>
  <c r="AQ215"/>
  <c r="AQ214"/>
  <c r="AU215"/>
  <c r="AU214"/>
  <c r="R214"/>
  <c r="R215"/>
  <c r="V214"/>
  <c r="V215"/>
  <c r="Z215"/>
  <c r="Z214"/>
  <c r="AD214"/>
  <c r="AD215"/>
  <c r="AH214"/>
  <c r="AH215"/>
  <c r="AL214"/>
  <c r="AL215"/>
  <c r="AP214"/>
  <c r="AP215"/>
  <c r="AT214"/>
  <c r="AT215"/>
  <c r="Q210"/>
  <c r="Q209"/>
  <c r="U209"/>
  <c r="U210"/>
  <c r="Y210"/>
  <c r="Y209"/>
  <c r="AC210"/>
  <c r="AC209"/>
  <c r="AG210"/>
  <c r="AG209"/>
  <c r="AK210"/>
  <c r="AK209"/>
  <c r="AO210"/>
  <c r="AO209"/>
  <c r="AS210"/>
  <c r="AS209"/>
  <c r="P209"/>
  <c r="P210"/>
  <c r="T210"/>
  <c r="T209"/>
  <c r="X210"/>
  <c r="X209"/>
  <c r="AB209"/>
  <c r="AB210"/>
  <c r="AF210"/>
  <c r="AF209"/>
  <c r="AJ210"/>
  <c r="AJ209"/>
  <c r="AN210"/>
  <c r="AN209"/>
  <c r="AR210"/>
  <c r="AR209"/>
  <c r="AB208"/>
  <c r="AB207"/>
  <c r="R207"/>
  <c r="R208"/>
  <c r="Q208"/>
  <c r="Q207"/>
  <c r="AC207"/>
  <c r="AC208"/>
  <c r="AK207"/>
  <c r="AK208"/>
  <c r="AS207"/>
  <c r="AS208"/>
  <c r="AJ167"/>
  <c r="AJ169" s="1"/>
  <c r="F205"/>
  <c r="F204"/>
  <c r="D54" i="1"/>
  <c r="E220" i="14"/>
  <c r="E221" s="1"/>
  <c r="A42" i="1" s="1"/>
  <c r="D202" i="14"/>
  <c r="C54" i="1" s="1"/>
  <c r="G198" i="14"/>
  <c r="E198"/>
  <c r="W167"/>
  <c r="W169" s="1"/>
  <c r="G191"/>
  <c r="E191"/>
  <c r="Q167"/>
  <c r="Q168" s="1"/>
  <c r="G163"/>
  <c r="E163"/>
  <c r="P167"/>
  <c r="G165"/>
  <c r="E165"/>
  <c r="F154"/>
  <c r="AH167"/>
  <c r="AD167"/>
  <c r="AU167"/>
  <c r="AQ167"/>
  <c r="AI167"/>
  <c r="AE167"/>
  <c r="AA167"/>
  <c r="S167"/>
  <c r="D162"/>
  <c r="AR167"/>
  <c r="AN167"/>
  <c r="AF167"/>
  <c r="AB167"/>
  <c r="X167"/>
  <c r="T167"/>
  <c r="U167"/>
  <c r="AP169"/>
  <c r="G164"/>
  <c r="E164"/>
  <c r="G166"/>
  <c r="E166"/>
  <c r="AS169"/>
  <c r="F83"/>
  <c r="F106"/>
  <c r="E12" i="1" s="1"/>
  <c r="D127" i="14"/>
  <c r="C27" i="1" s="1"/>
  <c r="D83" i="14"/>
  <c r="D106"/>
  <c r="C12" i="1" s="1"/>
  <c r="F127" i="14"/>
  <c r="G92" s="1"/>
  <c r="D158"/>
  <c r="C40" i="1" s="1"/>
  <c r="F158" i="14"/>
  <c r="E40" i="1" s="1"/>
  <c r="C55"/>
  <c r="AB325" i="14"/>
  <c r="D12" i="1"/>
  <c r="G85" i="14"/>
  <c r="E85"/>
  <c r="O324"/>
  <c r="F27" i="1"/>
  <c r="G84" i="14"/>
  <c r="E84"/>
  <c r="F202"/>
  <c r="E54" i="1" s="1"/>
  <c r="D159" i="14"/>
  <c r="F159"/>
  <c r="D107"/>
  <c r="F107"/>
  <c r="F126"/>
  <c r="E26" i="1" s="1"/>
  <c r="D126" i="14"/>
  <c r="C26" i="1" s="1"/>
  <c r="P13"/>
  <c r="F55"/>
  <c r="AB324" i="14"/>
  <c r="AB308"/>
  <c r="F41" i="1"/>
  <c r="O308" i="14"/>
  <c r="F13" i="1"/>
  <c r="R168" i="14" l="1"/>
  <c r="AC169"/>
  <c r="AJ168"/>
  <c r="Z169"/>
  <c r="D128"/>
  <c r="AK169"/>
  <c r="W168"/>
  <c r="AS216"/>
  <c r="AS218" s="1"/>
  <c r="G130"/>
  <c r="A222"/>
  <c r="C222" s="1"/>
  <c r="Q169"/>
  <c r="AM169"/>
  <c r="P132"/>
  <c r="E132" s="1"/>
  <c r="O325"/>
  <c r="O326" s="1"/>
  <c r="O327" s="1"/>
  <c r="O328" s="1"/>
  <c r="O329" s="1"/>
  <c r="O330" s="1"/>
  <c r="D166"/>
  <c r="E55" i="1"/>
  <c r="AG168" i="14"/>
  <c r="AL168"/>
  <c r="E130"/>
  <c r="D130" s="1"/>
  <c r="G94"/>
  <c r="Y168"/>
  <c r="AO168"/>
  <c r="V168"/>
  <c r="AT168"/>
  <c r="Q324"/>
  <c r="E131"/>
  <c r="G131"/>
  <c r="E27" i="1"/>
  <c r="F84" i="14"/>
  <c r="F165"/>
  <c r="F191"/>
  <c r="F206"/>
  <c r="AT211"/>
  <c r="AT212" s="1"/>
  <c r="AO216"/>
  <c r="AO218" s="1"/>
  <c r="AK216"/>
  <c r="AK218" s="1"/>
  <c r="AG216"/>
  <c r="AG218" s="1"/>
  <c r="AC216"/>
  <c r="AC217" s="1"/>
  <c r="AP211"/>
  <c r="AP213" s="1"/>
  <c r="AL211"/>
  <c r="AL213" s="1"/>
  <c r="V211"/>
  <c r="V212" s="1"/>
  <c r="AU211"/>
  <c r="AU213" s="1"/>
  <c r="AR211"/>
  <c r="AR212" s="1"/>
  <c r="AN211"/>
  <c r="AN213" s="1"/>
  <c r="AJ211"/>
  <c r="AJ213" s="1"/>
  <c r="AF211"/>
  <c r="AF213" s="1"/>
  <c r="AQ211"/>
  <c r="AQ213" s="1"/>
  <c r="AM211"/>
  <c r="AM213" s="1"/>
  <c r="AI211"/>
  <c r="AI212" s="1"/>
  <c r="AE211"/>
  <c r="AE213" s="1"/>
  <c r="AA211"/>
  <c r="AA213" s="1"/>
  <c r="W211"/>
  <c r="W213" s="1"/>
  <c r="X211"/>
  <c r="X212" s="1"/>
  <c r="T211"/>
  <c r="T213" s="1"/>
  <c r="S211"/>
  <c r="S212" s="1"/>
  <c r="AR216"/>
  <c r="AR217" s="1"/>
  <c r="D163"/>
  <c r="D198"/>
  <c r="AS211"/>
  <c r="AS212" s="1"/>
  <c r="AO211"/>
  <c r="AO212" s="1"/>
  <c r="Q216"/>
  <c r="Q218" s="1"/>
  <c r="AK211"/>
  <c r="AK212" s="1"/>
  <c r="AG211"/>
  <c r="AG212" s="1"/>
  <c r="AC211"/>
  <c r="AC213" s="1"/>
  <c r="Y211"/>
  <c r="Y212" s="1"/>
  <c r="Q211"/>
  <c r="Q213" s="1"/>
  <c r="Z216"/>
  <c r="Z218" s="1"/>
  <c r="AU216"/>
  <c r="AU218" s="1"/>
  <c r="AQ216"/>
  <c r="AQ217" s="1"/>
  <c r="AM216"/>
  <c r="AM217" s="1"/>
  <c r="AI216"/>
  <c r="AI217" s="1"/>
  <c r="AE216"/>
  <c r="AE218" s="1"/>
  <c r="AA216"/>
  <c r="AA217" s="1"/>
  <c r="W216"/>
  <c r="W217" s="1"/>
  <c r="S216"/>
  <c r="S217" s="1"/>
  <c r="AN216"/>
  <c r="AN218" s="1"/>
  <c r="AJ216"/>
  <c r="AJ217" s="1"/>
  <c r="AF216"/>
  <c r="AF217" s="1"/>
  <c r="X216"/>
  <c r="X217" s="1"/>
  <c r="AN212"/>
  <c r="G210"/>
  <c r="E210"/>
  <c r="AI218"/>
  <c r="E208"/>
  <c r="G208"/>
  <c r="E207"/>
  <c r="G207"/>
  <c r="E215"/>
  <c r="G215"/>
  <c r="T216"/>
  <c r="P211"/>
  <c r="G209"/>
  <c r="E209"/>
  <c r="P216"/>
  <c r="E214"/>
  <c r="G214"/>
  <c r="AS217"/>
  <c r="F164"/>
  <c r="D191"/>
  <c r="AB211"/>
  <c r="U211"/>
  <c r="AT216"/>
  <c r="AP216"/>
  <c r="AL216"/>
  <c r="AH216"/>
  <c r="AD216"/>
  <c r="V216"/>
  <c r="R216"/>
  <c r="D206"/>
  <c r="AH211"/>
  <c r="AD211"/>
  <c r="Z211"/>
  <c r="R211"/>
  <c r="AB216"/>
  <c r="Y216"/>
  <c r="U216"/>
  <c r="F198"/>
  <c r="T169"/>
  <c r="T168"/>
  <c r="AB169"/>
  <c r="AB168"/>
  <c r="AN169"/>
  <c r="AN168"/>
  <c r="AA168"/>
  <c r="AA169"/>
  <c r="AI168"/>
  <c r="AI169"/>
  <c r="AU168"/>
  <c r="AU169"/>
  <c r="AH169"/>
  <c r="AH168"/>
  <c r="F166"/>
  <c r="D164"/>
  <c r="D165"/>
  <c r="U168"/>
  <c r="U169"/>
  <c r="X169"/>
  <c r="X168"/>
  <c r="AF169"/>
  <c r="AF168"/>
  <c r="AR169"/>
  <c r="AR168"/>
  <c r="S168"/>
  <c r="S169"/>
  <c r="AE168"/>
  <c r="AE169"/>
  <c r="AQ168"/>
  <c r="AQ169"/>
  <c r="AD169"/>
  <c r="AD168"/>
  <c r="G167"/>
  <c r="E167"/>
  <c r="P168"/>
  <c r="P169"/>
  <c r="F163"/>
  <c r="D85"/>
  <c r="D84"/>
  <c r="F85"/>
  <c r="C13" i="1"/>
  <c r="O309" i="14"/>
  <c r="O310" s="1"/>
  <c r="O311" s="1"/>
  <c r="O312" s="1"/>
  <c r="O313" s="1"/>
  <c r="O314" s="1"/>
  <c r="C41" i="1"/>
  <c r="AB309" i="14"/>
  <c r="AB310" s="1"/>
  <c r="AB311" s="1"/>
  <c r="AB312" s="1"/>
  <c r="AB313" s="1"/>
  <c r="AB314" s="1"/>
  <c r="G91"/>
  <c r="Q308"/>
  <c r="E13" i="1"/>
  <c r="G93" i="14"/>
  <c r="AD308"/>
  <c r="E41" i="1"/>
  <c r="AA24"/>
  <c r="AA25" s="1"/>
  <c r="AA26" s="1"/>
  <c r="AA27" s="1"/>
  <c r="AC27" s="1"/>
  <c r="A28"/>
  <c r="F221" i="14"/>
  <c r="AB326"/>
  <c r="AB327" s="1"/>
  <c r="AB328" s="1"/>
  <c r="AB329" s="1"/>
  <c r="AB330" s="1"/>
  <c r="AC328"/>
  <c r="AC327"/>
  <c r="P329"/>
  <c r="P310"/>
  <c r="AC325"/>
  <c r="AC310"/>
  <c r="AC311"/>
  <c r="P325"/>
  <c r="P309"/>
  <c r="P311"/>
  <c r="AC314"/>
  <c r="P312"/>
  <c r="P330"/>
  <c r="AC330"/>
  <c r="AC312"/>
  <c r="P326"/>
  <c r="P314"/>
  <c r="P328"/>
  <c r="AC326"/>
  <c r="AC313"/>
  <c r="AC329"/>
  <c r="P327"/>
  <c r="AC309"/>
  <c r="P313"/>
  <c r="AH265" l="1"/>
  <c r="AH287"/>
  <c r="AH244"/>
  <c r="AH259"/>
  <c r="AH281"/>
  <c r="AH266"/>
  <c r="AH288"/>
  <c r="AH229"/>
  <c r="AH252"/>
  <c r="AH274"/>
  <c r="AH237"/>
  <c r="AH248"/>
  <c r="AH263"/>
  <c r="AH285"/>
  <c r="AH270"/>
  <c r="AH292"/>
  <c r="AH299"/>
  <c r="AH278"/>
  <c r="AH256"/>
  <c r="AH241"/>
  <c r="AH233"/>
  <c r="AH247"/>
  <c r="AH262"/>
  <c r="AH284"/>
  <c r="AH269"/>
  <c r="AH291"/>
  <c r="AH298"/>
  <c r="AH232"/>
  <c r="AH240"/>
  <c r="AH255"/>
  <c r="AH277"/>
  <c r="G132"/>
  <c r="D132" s="1"/>
  <c r="AH243"/>
  <c r="AH258"/>
  <c r="AH280"/>
  <c r="AH273"/>
  <c r="AH236"/>
  <c r="AH228"/>
  <c r="AH251"/>
  <c r="AH245"/>
  <c r="AH260"/>
  <c r="AH282"/>
  <c r="AH267"/>
  <c r="AH289"/>
  <c r="AH296"/>
  <c r="AH253"/>
  <c r="AH238"/>
  <c r="AH275"/>
  <c r="AH230"/>
  <c r="AH246"/>
  <c r="AH261"/>
  <c r="AH283"/>
  <c r="AH268"/>
  <c r="AH290"/>
  <c r="AH297"/>
  <c r="AH276"/>
  <c r="AH254"/>
  <c r="AH239"/>
  <c r="AH231"/>
  <c r="AH264"/>
  <c r="AH279"/>
  <c r="AH242"/>
  <c r="AH257"/>
  <c r="AH286"/>
  <c r="AH250"/>
  <c r="AH227"/>
  <c r="AH272"/>
  <c r="AH235"/>
  <c r="F130"/>
  <c r="AK217"/>
  <c r="V213"/>
  <c r="AE212"/>
  <c r="Q13" i="1"/>
  <c r="A14" s="1"/>
  <c r="AP212" i="14"/>
  <c r="U258"/>
  <c r="AJ258"/>
  <c r="AM258"/>
  <c r="Q258"/>
  <c r="P258"/>
  <c r="W258"/>
  <c r="AD258"/>
  <c r="W280"/>
  <c r="AD280"/>
  <c r="U280"/>
  <c r="AJ280"/>
  <c r="AM280"/>
  <c r="Q280"/>
  <c r="P280"/>
  <c r="U264"/>
  <c r="W264"/>
  <c r="U257"/>
  <c r="W257"/>
  <c r="U279"/>
  <c r="W279"/>
  <c r="Q265"/>
  <c r="P265"/>
  <c r="P264"/>
  <c r="Q264"/>
  <c r="AD257"/>
  <c r="P279"/>
  <c r="Q279"/>
  <c r="AM265"/>
  <c r="AJ264"/>
  <c r="AM264"/>
  <c r="AJ257"/>
  <c r="AM257"/>
  <c r="AJ279"/>
  <c r="AM279"/>
  <c r="U265"/>
  <c r="AJ265"/>
  <c r="AD264"/>
  <c r="P257"/>
  <c r="Q257"/>
  <c r="AD279"/>
  <c r="W265"/>
  <c r="AD265"/>
  <c r="U286"/>
  <c r="W286"/>
  <c r="Q287"/>
  <c r="P287"/>
  <c r="P286"/>
  <c r="Q286"/>
  <c r="AM287"/>
  <c r="AJ286"/>
  <c r="AM286"/>
  <c r="U287"/>
  <c r="AJ287"/>
  <c r="AD286"/>
  <c r="W287"/>
  <c r="AD287"/>
  <c r="AJ293"/>
  <c r="AM293"/>
  <c r="AD293"/>
  <c r="U293"/>
  <c r="W293"/>
  <c r="P293"/>
  <c r="Q293"/>
  <c r="U294"/>
  <c r="AJ294"/>
  <c r="AM294"/>
  <c r="Q294"/>
  <c r="P294"/>
  <c r="W294"/>
  <c r="AD294"/>
  <c r="W259"/>
  <c r="AD259"/>
  <c r="U259"/>
  <c r="AJ259"/>
  <c r="AM259"/>
  <c r="Q259"/>
  <c r="P259"/>
  <c r="U281"/>
  <c r="AJ281"/>
  <c r="P281"/>
  <c r="Q281"/>
  <c r="AM281"/>
  <c r="W281"/>
  <c r="AD281"/>
  <c r="U266"/>
  <c r="AJ266"/>
  <c r="AM266"/>
  <c r="Q266"/>
  <c r="P266"/>
  <c r="W266"/>
  <c r="AD266"/>
  <c r="U288"/>
  <c r="AJ288"/>
  <c r="AM288"/>
  <c r="Q288"/>
  <c r="P288"/>
  <c r="W288"/>
  <c r="AD288"/>
  <c r="U295"/>
  <c r="AJ295"/>
  <c r="AM295"/>
  <c r="Q295"/>
  <c r="P295"/>
  <c r="W295"/>
  <c r="AD295"/>
  <c r="U242"/>
  <c r="AM242"/>
  <c r="AM244"/>
  <c r="P243"/>
  <c r="W243"/>
  <c r="AJ242"/>
  <c r="AD243"/>
  <c r="Q244"/>
  <c r="AJ244"/>
  <c r="P244"/>
  <c r="Q242"/>
  <c r="AD242"/>
  <c r="AM243"/>
  <c r="U243"/>
  <c r="AD244"/>
  <c r="W244"/>
  <c r="W242"/>
  <c r="P242"/>
  <c r="U244"/>
  <c r="Q243"/>
  <c r="AJ243"/>
  <c r="AJ245"/>
  <c r="Q245"/>
  <c r="W245"/>
  <c r="AM245"/>
  <c r="U245"/>
  <c r="AD245"/>
  <c r="W260"/>
  <c r="AD260"/>
  <c r="U260"/>
  <c r="AJ260"/>
  <c r="P245"/>
  <c r="AM260"/>
  <c r="Q260"/>
  <c r="P260"/>
  <c r="AM282"/>
  <c r="Q282"/>
  <c r="P282"/>
  <c r="W282"/>
  <c r="AD282"/>
  <c r="U282"/>
  <c r="AJ282"/>
  <c r="AM267"/>
  <c r="Q267"/>
  <c r="P267"/>
  <c r="AM230"/>
  <c r="AM253"/>
  <c r="AJ275"/>
  <c r="AJ230"/>
  <c r="AD230"/>
  <c r="AD238"/>
  <c r="W230"/>
  <c r="W238"/>
  <c r="U230"/>
  <c r="U253"/>
  <c r="Q230"/>
  <c r="Q238"/>
  <c r="P230"/>
  <c r="P238"/>
  <c r="Q227"/>
  <c r="W227"/>
  <c r="Q228"/>
  <c r="W228"/>
  <c r="Q229"/>
  <c r="W229"/>
  <c r="P227"/>
  <c r="P228"/>
  <c r="P229"/>
  <c r="AM274"/>
  <c r="AM237"/>
  <c r="AJ274"/>
  <c r="AD274"/>
  <c r="W274"/>
  <c r="W237"/>
  <c r="U274"/>
  <c r="Q252"/>
  <c r="Q237"/>
  <c r="P252"/>
  <c r="AM251"/>
  <c r="AM273"/>
  <c r="AJ251"/>
  <c r="AD251"/>
  <c r="W251"/>
  <c r="W273"/>
  <c r="U236"/>
  <c r="Q251"/>
  <c r="Q273"/>
  <c r="P251"/>
  <c r="AM235"/>
  <c r="AM272"/>
  <c r="AJ250"/>
  <c r="AD250"/>
  <c r="W250"/>
  <c r="W272"/>
  <c r="U235"/>
  <c r="Q250"/>
  <c r="Q272"/>
  <c r="P235"/>
  <c r="W267"/>
  <c r="AD267"/>
  <c r="U267"/>
  <c r="AJ267"/>
  <c r="AM238"/>
  <c r="AM275"/>
  <c r="AJ253"/>
  <c r="AJ238"/>
  <c r="AD253"/>
  <c r="AD275"/>
  <c r="W253"/>
  <c r="W275"/>
  <c r="U238"/>
  <c r="U275"/>
  <c r="Q253"/>
  <c r="Q275"/>
  <c r="P253"/>
  <c r="P275"/>
  <c r="U227"/>
  <c r="AM227"/>
  <c r="U228"/>
  <c r="AM228"/>
  <c r="U229"/>
  <c r="AM229"/>
  <c r="AD227"/>
  <c r="AJ227"/>
  <c r="AD228"/>
  <c r="AJ228"/>
  <c r="AD229"/>
  <c r="AJ229"/>
  <c r="AM252"/>
  <c r="AJ252"/>
  <c r="AJ237"/>
  <c r="AD252"/>
  <c r="AD237"/>
  <c r="W252"/>
  <c r="U252"/>
  <c r="U237"/>
  <c r="Q274"/>
  <c r="P274"/>
  <c r="P237"/>
  <c r="AM236"/>
  <c r="AJ273"/>
  <c r="AJ236"/>
  <c r="AD236"/>
  <c r="AD273"/>
  <c r="W236"/>
  <c r="U251"/>
  <c r="U273"/>
  <c r="Q236"/>
  <c r="P236"/>
  <c r="P273"/>
  <c r="AM250"/>
  <c r="AJ272"/>
  <c r="AJ235"/>
  <c r="AD235"/>
  <c r="AD272"/>
  <c r="W235"/>
  <c r="U250"/>
  <c r="U272"/>
  <c r="Q235"/>
  <c r="P250"/>
  <c r="P272"/>
  <c r="AM289"/>
  <c r="Q289"/>
  <c r="P289"/>
  <c r="W289"/>
  <c r="AD289"/>
  <c r="U289"/>
  <c r="AJ289"/>
  <c r="AM296"/>
  <c r="Q296"/>
  <c r="P296"/>
  <c r="W296"/>
  <c r="AD296"/>
  <c r="U296"/>
  <c r="AJ296"/>
  <c r="Q276"/>
  <c r="P276"/>
  <c r="Q246"/>
  <c r="AJ276"/>
  <c r="AJ231"/>
  <c r="U276"/>
  <c r="Q254"/>
  <c r="AD276"/>
  <c r="AM254"/>
  <c r="W239"/>
  <c r="AD246"/>
  <c r="AM276"/>
  <c r="P254"/>
  <c r="U254"/>
  <c r="Q239"/>
  <c r="AD254"/>
  <c r="AM239"/>
  <c r="W231"/>
  <c r="AJ246"/>
  <c r="U246"/>
  <c r="AJ254"/>
  <c r="P239"/>
  <c r="U239"/>
  <c r="Q231"/>
  <c r="AD239"/>
  <c r="AM231"/>
  <c r="W246"/>
  <c r="AM246"/>
  <c r="AJ239"/>
  <c r="P231"/>
  <c r="U231"/>
  <c r="W276"/>
  <c r="AD231"/>
  <c r="W254"/>
  <c r="Q261"/>
  <c r="P261"/>
  <c r="W261"/>
  <c r="AD261"/>
  <c r="P246"/>
  <c r="U261"/>
  <c r="AJ261"/>
  <c r="AM261"/>
  <c r="AM283"/>
  <c r="Q283"/>
  <c r="P283"/>
  <c r="W283"/>
  <c r="AD283"/>
  <c r="U283"/>
  <c r="AJ283"/>
  <c r="AM268"/>
  <c r="Q268"/>
  <c r="P268"/>
  <c r="W268"/>
  <c r="AD268"/>
  <c r="U268"/>
  <c r="AJ268"/>
  <c r="AM290"/>
  <c r="Q290"/>
  <c r="P290"/>
  <c r="W290"/>
  <c r="AD290"/>
  <c r="U290"/>
  <c r="AJ290"/>
  <c r="W297"/>
  <c r="Q297"/>
  <c r="P297"/>
  <c r="AJ297"/>
  <c r="AM297"/>
  <c r="AD297"/>
  <c r="U297"/>
  <c r="W277"/>
  <c r="P277"/>
  <c r="AM247"/>
  <c r="AM277"/>
  <c r="AD240"/>
  <c r="AM232"/>
  <c r="Q277"/>
  <c r="AJ232"/>
  <c r="U255"/>
  <c r="Q240"/>
  <c r="AJ247"/>
  <c r="U247"/>
  <c r="AD255"/>
  <c r="AM240"/>
  <c r="W232"/>
  <c r="AJ240"/>
  <c r="P232"/>
  <c r="Q255"/>
  <c r="W247"/>
  <c r="AD247"/>
  <c r="AD277"/>
  <c r="AM255"/>
  <c r="W240"/>
  <c r="AJ255"/>
  <c r="P240"/>
  <c r="U232"/>
  <c r="Q247"/>
  <c r="U277"/>
  <c r="AD232"/>
  <c r="W255"/>
  <c r="AJ277"/>
  <c r="P255"/>
  <c r="U240"/>
  <c r="Q232"/>
  <c r="W262"/>
  <c r="AD262"/>
  <c r="U262"/>
  <c r="AJ262"/>
  <c r="P247"/>
  <c r="P262"/>
  <c r="Q262"/>
  <c r="AM262"/>
  <c r="AM284"/>
  <c r="Q284"/>
  <c r="P284"/>
  <c r="W284"/>
  <c r="AD284"/>
  <c r="U284"/>
  <c r="AJ284"/>
  <c r="U269"/>
  <c r="AJ269"/>
  <c r="AM269"/>
  <c r="Q269"/>
  <c r="P269"/>
  <c r="W269"/>
  <c r="AD269"/>
  <c r="W291"/>
  <c r="AD291"/>
  <c r="U291"/>
  <c r="AJ291"/>
  <c r="AM291"/>
  <c r="Q291"/>
  <c r="P291"/>
  <c r="U298"/>
  <c r="AJ298"/>
  <c r="AM298"/>
  <c r="Q298"/>
  <c r="P298"/>
  <c r="W298"/>
  <c r="AD298"/>
  <c r="P278"/>
  <c r="AM278"/>
  <c r="AJ233"/>
  <c r="P241"/>
  <c r="Q278"/>
  <c r="AD233"/>
  <c r="U248"/>
  <c r="AJ278"/>
  <c r="P233"/>
  <c r="U256"/>
  <c r="Q256"/>
  <c r="Q233"/>
  <c r="AD278"/>
  <c r="AM256"/>
  <c r="AJ256"/>
  <c r="U278"/>
  <c r="U241"/>
  <c r="Q241"/>
  <c r="W278"/>
  <c r="AD256"/>
  <c r="AM241"/>
  <c r="W241"/>
  <c r="W233"/>
  <c r="Q248"/>
  <c r="AJ248"/>
  <c r="AJ241"/>
  <c r="P256"/>
  <c r="U233"/>
  <c r="AD241"/>
  <c r="AM233"/>
  <c r="W256"/>
  <c r="AM248"/>
  <c r="AD248"/>
  <c r="W248"/>
  <c r="W263"/>
  <c r="AD263"/>
  <c r="Q263"/>
  <c r="P263"/>
  <c r="P248"/>
  <c r="AM263"/>
  <c r="U263"/>
  <c r="AJ263"/>
  <c r="Q285"/>
  <c r="P285"/>
  <c r="W285"/>
  <c r="AD285"/>
  <c r="U285"/>
  <c r="AJ285"/>
  <c r="AM285"/>
  <c r="Q270"/>
  <c r="P270"/>
  <c r="AM270"/>
  <c r="U270"/>
  <c r="AJ270"/>
  <c r="W270"/>
  <c r="AD270"/>
  <c r="AM299"/>
  <c r="Q292"/>
  <c r="P292"/>
  <c r="U299"/>
  <c r="AJ299"/>
  <c r="AM292"/>
  <c r="W299"/>
  <c r="AD299"/>
  <c r="U292"/>
  <c r="AJ292"/>
  <c r="Q299"/>
  <c r="P299"/>
  <c r="W292"/>
  <c r="AD292"/>
  <c r="F132"/>
  <c r="D131"/>
  <c r="F131"/>
  <c r="AC218"/>
  <c r="AU212"/>
  <c r="AL212"/>
  <c r="AT213"/>
  <c r="T212"/>
  <c r="AG217"/>
  <c r="AO217"/>
  <c r="AJ218"/>
  <c r="AG213"/>
  <c r="W212"/>
  <c r="AM212"/>
  <c r="AF212"/>
  <c r="AU295"/>
  <c r="AF295"/>
  <c r="AC295"/>
  <c r="AQ295"/>
  <c r="AB295"/>
  <c r="Y295"/>
  <c r="AS288"/>
  <c r="Z288"/>
  <c r="S288"/>
  <c r="AO288"/>
  <c r="AL288"/>
  <c r="AA288"/>
  <c r="AG281"/>
  <c r="AF281"/>
  <c r="R281"/>
  <c r="AK281"/>
  <c r="AB281"/>
  <c r="Y281"/>
  <c r="AU294"/>
  <c r="AF294"/>
  <c r="AC294"/>
  <c r="AQ294"/>
  <c r="AB294"/>
  <c r="Y294"/>
  <c r="AT293"/>
  <c r="R293"/>
  <c r="AG293"/>
  <c r="AL293"/>
  <c r="AO293"/>
  <c r="Y293"/>
  <c r="AQ287"/>
  <c r="AO286"/>
  <c r="Y286"/>
  <c r="AS287"/>
  <c r="V286"/>
  <c r="AK286"/>
  <c r="AU287"/>
  <c r="R286"/>
  <c r="AG286"/>
  <c r="AO287"/>
  <c r="AS286"/>
  <c r="AC286"/>
  <c r="AT279"/>
  <c r="R279"/>
  <c r="AG279"/>
  <c r="AL279"/>
  <c r="AO279"/>
  <c r="Y279"/>
  <c r="AU280"/>
  <c r="AF280"/>
  <c r="AC280"/>
  <c r="AQ280"/>
  <c r="AB280"/>
  <c r="Y280"/>
  <c r="V295"/>
  <c r="AR295"/>
  <c r="AK295"/>
  <c r="R295"/>
  <c r="AN295"/>
  <c r="AG295"/>
  <c r="X288"/>
  <c r="AP288"/>
  <c r="AE288"/>
  <c r="T288"/>
  <c r="AT288"/>
  <c r="AI288"/>
  <c r="AO281"/>
  <c r="AR281"/>
  <c r="AA281"/>
  <c r="AS281"/>
  <c r="AN281"/>
  <c r="V281"/>
  <c r="V294"/>
  <c r="AR294"/>
  <c r="AK294"/>
  <c r="R294"/>
  <c r="AN294"/>
  <c r="AG294"/>
  <c r="AI293"/>
  <c r="AN293"/>
  <c r="T293"/>
  <c r="AA293"/>
  <c r="Z293"/>
  <c r="AQ293"/>
  <c r="R287"/>
  <c r="Z286"/>
  <c r="AQ286"/>
  <c r="X287"/>
  <c r="AR286"/>
  <c r="X286"/>
  <c r="V287"/>
  <c r="AN286"/>
  <c r="T286"/>
  <c r="T287"/>
  <c r="AF286"/>
  <c r="AU286"/>
  <c r="AI279"/>
  <c r="AN279"/>
  <c r="T279"/>
  <c r="AA279"/>
  <c r="Z279"/>
  <c r="AQ279"/>
  <c r="V280"/>
  <c r="AR280"/>
  <c r="AK280"/>
  <c r="R280"/>
  <c r="AN280"/>
  <c r="AG280"/>
  <c r="AL295"/>
  <c r="AA295"/>
  <c r="AS295"/>
  <c r="Z295"/>
  <c r="S295"/>
  <c r="AO295"/>
  <c r="AF288"/>
  <c r="AC288"/>
  <c r="AQ288"/>
  <c r="AB288"/>
  <c r="Y288"/>
  <c r="AU288"/>
  <c r="Z281"/>
  <c r="S281"/>
  <c r="AI281"/>
  <c r="AL281"/>
  <c r="T281"/>
  <c r="AE281"/>
  <c r="AL294"/>
  <c r="AA294"/>
  <c r="AS294"/>
  <c r="Z294"/>
  <c r="S294"/>
  <c r="AO294"/>
  <c r="V293"/>
  <c r="AK293"/>
  <c r="AP293"/>
  <c r="AS293"/>
  <c r="AC293"/>
  <c r="AB293"/>
  <c r="Z287"/>
  <c r="S287"/>
  <c r="AB286"/>
  <c r="AF287"/>
  <c r="AC287"/>
  <c r="AT286"/>
  <c r="AL287"/>
  <c r="AA287"/>
  <c r="AP286"/>
  <c r="AB287"/>
  <c r="Y287"/>
  <c r="AL286"/>
  <c r="V279"/>
  <c r="AK279"/>
  <c r="AP279"/>
  <c r="AS279"/>
  <c r="AC279"/>
  <c r="AB279"/>
  <c r="AL280"/>
  <c r="AA280"/>
  <c r="AS280"/>
  <c r="Z280"/>
  <c r="S280"/>
  <c r="AO280"/>
  <c r="AT295"/>
  <c r="AI295"/>
  <c r="X295"/>
  <c r="AP295"/>
  <c r="AE295"/>
  <c r="T295"/>
  <c r="AR288"/>
  <c r="AK288"/>
  <c r="R288"/>
  <c r="AN288"/>
  <c r="AG288"/>
  <c r="V288"/>
  <c r="AP281"/>
  <c r="X281"/>
  <c r="AU281"/>
  <c r="AT281"/>
  <c r="AC281"/>
  <c r="AQ281"/>
  <c r="AT294"/>
  <c r="AI294"/>
  <c r="X294"/>
  <c r="AP294"/>
  <c r="AE294"/>
  <c r="T294"/>
  <c r="AR293"/>
  <c r="X293"/>
  <c r="AE293"/>
  <c r="AF293"/>
  <c r="AU293"/>
  <c r="S293"/>
  <c r="AP287"/>
  <c r="AE287"/>
  <c r="S286"/>
  <c r="AR287"/>
  <c r="AK287"/>
  <c r="AI286"/>
  <c r="AT287"/>
  <c r="AI287"/>
  <c r="AE286"/>
  <c r="AN287"/>
  <c r="AG287"/>
  <c r="AA286"/>
  <c r="AR279"/>
  <c r="X279"/>
  <c r="AE279"/>
  <c r="AF279"/>
  <c r="AU279"/>
  <c r="S279"/>
  <c r="AT280"/>
  <c r="AI280"/>
  <c r="X280"/>
  <c r="AP280"/>
  <c r="AE280"/>
  <c r="T280"/>
  <c r="Y282"/>
  <c r="AG282"/>
  <c r="AO282"/>
  <c r="T282"/>
  <c r="AB282"/>
  <c r="AN282"/>
  <c r="S282"/>
  <c r="AE282"/>
  <c r="AQ282"/>
  <c r="R282"/>
  <c r="Z282"/>
  <c r="AP282"/>
  <c r="AC282"/>
  <c r="AK282"/>
  <c r="AS282"/>
  <c r="X282"/>
  <c r="AF282"/>
  <c r="AR282"/>
  <c r="AA282"/>
  <c r="AI282"/>
  <c r="AU282"/>
  <c r="V282"/>
  <c r="AL282"/>
  <c r="AT282"/>
  <c r="AA289"/>
  <c r="AI289"/>
  <c r="AU289"/>
  <c r="V289"/>
  <c r="AL289"/>
  <c r="AT289"/>
  <c r="Y289"/>
  <c r="AG289"/>
  <c r="AO289"/>
  <c r="T289"/>
  <c r="AB289"/>
  <c r="AN289"/>
  <c r="S289"/>
  <c r="AE289"/>
  <c r="AQ289"/>
  <c r="R289"/>
  <c r="Z289"/>
  <c r="AP289"/>
  <c r="AC289"/>
  <c r="AK289"/>
  <c r="AS289"/>
  <c r="X289"/>
  <c r="AF289"/>
  <c r="AR289"/>
  <c r="AA296"/>
  <c r="AI296"/>
  <c r="AU296"/>
  <c r="V296"/>
  <c r="AL296"/>
  <c r="AT296"/>
  <c r="Y296"/>
  <c r="AG296"/>
  <c r="AO296"/>
  <c r="T296"/>
  <c r="AB296"/>
  <c r="AN296"/>
  <c r="S296"/>
  <c r="AE296"/>
  <c r="AQ296"/>
  <c r="R296"/>
  <c r="Z296"/>
  <c r="AP296"/>
  <c r="AC296"/>
  <c r="AK296"/>
  <c r="AS296"/>
  <c r="X296"/>
  <c r="AF296"/>
  <c r="AR296"/>
  <c r="AA283"/>
  <c r="AI283"/>
  <c r="AU283"/>
  <c r="V283"/>
  <c r="AL283"/>
  <c r="AT283"/>
  <c r="Y283"/>
  <c r="AG283"/>
  <c r="AO283"/>
  <c r="T283"/>
  <c r="AB283"/>
  <c r="AN283"/>
  <c r="S283"/>
  <c r="AE283"/>
  <c r="AQ283"/>
  <c r="R283"/>
  <c r="Z283"/>
  <c r="AP283"/>
  <c r="AC283"/>
  <c r="AK283"/>
  <c r="AS283"/>
  <c r="X283"/>
  <c r="AF283"/>
  <c r="AR283"/>
  <c r="AA290"/>
  <c r="AI290"/>
  <c r="AU290"/>
  <c r="V290"/>
  <c r="AL290"/>
  <c r="AT290"/>
  <c r="Y290"/>
  <c r="AG290"/>
  <c r="AO290"/>
  <c r="T290"/>
  <c r="AB290"/>
  <c r="AN290"/>
  <c r="S290"/>
  <c r="AE290"/>
  <c r="AQ290"/>
  <c r="R290"/>
  <c r="Z290"/>
  <c r="AP290"/>
  <c r="AC290"/>
  <c r="AK290"/>
  <c r="AS290"/>
  <c r="X290"/>
  <c r="AF290"/>
  <c r="AR290"/>
  <c r="V297"/>
  <c r="AL297"/>
  <c r="AT297"/>
  <c r="AC297"/>
  <c r="AK297"/>
  <c r="AS297"/>
  <c r="X297"/>
  <c r="AF297"/>
  <c r="AR297"/>
  <c r="S297"/>
  <c r="AE297"/>
  <c r="AQ297"/>
  <c r="Z297"/>
  <c r="AP297"/>
  <c r="Y297"/>
  <c r="AG297"/>
  <c r="AO297"/>
  <c r="T297"/>
  <c r="AB297"/>
  <c r="AN297"/>
  <c r="R297"/>
  <c r="AA297"/>
  <c r="AI297"/>
  <c r="AU297"/>
  <c r="Y284"/>
  <c r="AG284"/>
  <c r="AO284"/>
  <c r="T284"/>
  <c r="AB284"/>
  <c r="AN284"/>
  <c r="S284"/>
  <c r="AE284"/>
  <c r="AQ284"/>
  <c r="R284"/>
  <c r="Z284"/>
  <c r="AP284"/>
  <c r="AC284"/>
  <c r="AK284"/>
  <c r="AS284"/>
  <c r="X284"/>
  <c r="AF284"/>
  <c r="AR284"/>
  <c r="AA284"/>
  <c r="AI284"/>
  <c r="AU284"/>
  <c r="V284"/>
  <c r="AL284"/>
  <c r="AT284"/>
  <c r="AC291"/>
  <c r="AK291"/>
  <c r="AS291"/>
  <c r="X291"/>
  <c r="AF291"/>
  <c r="AR291"/>
  <c r="AA291"/>
  <c r="AI291"/>
  <c r="AU291"/>
  <c r="V291"/>
  <c r="AL291"/>
  <c r="AT291"/>
  <c r="Y291"/>
  <c r="AG291"/>
  <c r="AO291"/>
  <c r="T291"/>
  <c r="AB291"/>
  <c r="AN291"/>
  <c r="S291"/>
  <c r="AE291"/>
  <c r="AQ291"/>
  <c r="R291"/>
  <c r="Z291"/>
  <c r="AP291"/>
  <c r="Y298"/>
  <c r="AG298"/>
  <c r="AO298"/>
  <c r="T298"/>
  <c r="AB298"/>
  <c r="AN298"/>
  <c r="S298"/>
  <c r="AE298"/>
  <c r="AQ298"/>
  <c r="R298"/>
  <c r="Z298"/>
  <c r="AP298"/>
  <c r="AC298"/>
  <c r="AK298"/>
  <c r="AS298"/>
  <c r="X298"/>
  <c r="AF298"/>
  <c r="AR298"/>
  <c r="AA298"/>
  <c r="AI298"/>
  <c r="AU298"/>
  <c r="V298"/>
  <c r="AL298"/>
  <c r="AT298"/>
  <c r="AA285"/>
  <c r="AI285"/>
  <c r="AU285"/>
  <c r="V285"/>
  <c r="AL285"/>
  <c r="AT285"/>
  <c r="Y285"/>
  <c r="AG285"/>
  <c r="AO285"/>
  <c r="T285"/>
  <c r="AB285"/>
  <c r="AN285"/>
  <c r="S285"/>
  <c r="AE285"/>
  <c r="AQ285"/>
  <c r="R285"/>
  <c r="Z285"/>
  <c r="AP285"/>
  <c r="AC285"/>
  <c r="AK285"/>
  <c r="AS285"/>
  <c r="X285"/>
  <c r="AF285"/>
  <c r="AR285"/>
  <c r="Y299"/>
  <c r="AG299"/>
  <c r="AO299"/>
  <c r="T299"/>
  <c r="AB299"/>
  <c r="AN299"/>
  <c r="S292"/>
  <c r="AE292"/>
  <c r="AQ292"/>
  <c r="R292"/>
  <c r="Z292"/>
  <c r="AP292"/>
  <c r="AA299"/>
  <c r="AI299"/>
  <c r="AU299"/>
  <c r="V299"/>
  <c r="AL299"/>
  <c r="AT299"/>
  <c r="AC292"/>
  <c r="AK292"/>
  <c r="AS292"/>
  <c r="X292"/>
  <c r="AF292"/>
  <c r="AR292"/>
  <c r="AC299"/>
  <c r="AK299"/>
  <c r="AS299"/>
  <c r="X299"/>
  <c r="AF299"/>
  <c r="AR299"/>
  <c r="AA292"/>
  <c r="AI292"/>
  <c r="AU292"/>
  <c r="V292"/>
  <c r="AL292"/>
  <c r="AT292"/>
  <c r="S299"/>
  <c r="AE299"/>
  <c r="AQ299"/>
  <c r="R299"/>
  <c r="Z299"/>
  <c r="AP299"/>
  <c r="Y292"/>
  <c r="AG292"/>
  <c r="AO292"/>
  <c r="T292"/>
  <c r="AB292"/>
  <c r="AN292"/>
  <c r="Q217"/>
  <c r="S213"/>
  <c r="AA212"/>
  <c r="AI213"/>
  <c r="AQ212"/>
  <c r="D208"/>
  <c r="S218"/>
  <c r="Z217"/>
  <c r="AS213"/>
  <c r="X213"/>
  <c r="AJ212"/>
  <c r="AR213"/>
  <c r="X266"/>
  <c r="AT266"/>
  <c r="AI266"/>
  <c r="T266"/>
  <c r="AP266"/>
  <c r="AE266"/>
  <c r="X259"/>
  <c r="AP259"/>
  <c r="AE259"/>
  <c r="T259"/>
  <c r="AT259"/>
  <c r="AI259"/>
  <c r="V265"/>
  <c r="AN257"/>
  <c r="T257"/>
  <c r="AE264"/>
  <c r="AR265"/>
  <c r="AK265"/>
  <c r="AI257"/>
  <c r="AR264"/>
  <c r="X264"/>
  <c r="R265"/>
  <c r="Z257"/>
  <c r="AQ257"/>
  <c r="S264"/>
  <c r="AN265"/>
  <c r="AG265"/>
  <c r="AA257"/>
  <c r="AF264"/>
  <c r="AU264"/>
  <c r="AU258"/>
  <c r="AF258"/>
  <c r="AC258"/>
  <c r="AQ258"/>
  <c r="AB258"/>
  <c r="Y258"/>
  <c r="AS266"/>
  <c r="AL266"/>
  <c r="AA266"/>
  <c r="AO266"/>
  <c r="Z266"/>
  <c r="S266"/>
  <c r="AS259"/>
  <c r="Z259"/>
  <c r="S259"/>
  <c r="AO259"/>
  <c r="AL259"/>
  <c r="AA259"/>
  <c r="AU265"/>
  <c r="R257"/>
  <c r="AG257"/>
  <c r="AP264"/>
  <c r="AF265"/>
  <c r="AC265"/>
  <c r="AT257"/>
  <c r="V264"/>
  <c r="AK264"/>
  <c r="AQ265"/>
  <c r="AO257"/>
  <c r="Y257"/>
  <c r="AB264"/>
  <c r="AB265"/>
  <c r="Y265"/>
  <c r="AL257"/>
  <c r="AS264"/>
  <c r="AC264"/>
  <c r="V258"/>
  <c r="AR258"/>
  <c r="AK258"/>
  <c r="R258"/>
  <c r="AN258"/>
  <c r="AG258"/>
  <c r="AR266"/>
  <c r="AK266"/>
  <c r="V266"/>
  <c r="AN266"/>
  <c r="AG266"/>
  <c r="R266"/>
  <c r="AR259"/>
  <c r="AK259"/>
  <c r="R259"/>
  <c r="AN259"/>
  <c r="AG259"/>
  <c r="V259"/>
  <c r="AT265"/>
  <c r="AI265"/>
  <c r="AE257"/>
  <c r="AN264"/>
  <c r="T264"/>
  <c r="X265"/>
  <c r="AR257"/>
  <c r="X257"/>
  <c r="AI264"/>
  <c r="AP265"/>
  <c r="AE265"/>
  <c r="S257"/>
  <c r="Z264"/>
  <c r="AQ264"/>
  <c r="T265"/>
  <c r="AF257"/>
  <c r="AU257"/>
  <c r="AA264"/>
  <c r="AL258"/>
  <c r="AA258"/>
  <c r="AS258"/>
  <c r="Z258"/>
  <c r="S258"/>
  <c r="AO258"/>
  <c r="AF266"/>
  <c r="AC266"/>
  <c r="AU266"/>
  <c r="AB266"/>
  <c r="Y266"/>
  <c r="AQ266"/>
  <c r="AF259"/>
  <c r="AC259"/>
  <c r="AQ259"/>
  <c r="AB259"/>
  <c r="Y259"/>
  <c r="AU259"/>
  <c r="AL265"/>
  <c r="AA265"/>
  <c r="AP257"/>
  <c r="R264"/>
  <c r="AG264"/>
  <c r="AS265"/>
  <c r="V257"/>
  <c r="AK257"/>
  <c r="AT264"/>
  <c r="Z265"/>
  <c r="S265"/>
  <c r="AB257"/>
  <c r="AO264"/>
  <c r="Y264"/>
  <c r="AO265"/>
  <c r="AS257"/>
  <c r="AC257"/>
  <c r="AL264"/>
  <c r="AT258"/>
  <c r="AI258"/>
  <c r="X258"/>
  <c r="AP258"/>
  <c r="AE258"/>
  <c r="T258"/>
  <c r="Y260"/>
  <c r="AG260"/>
  <c r="AO260"/>
  <c r="T260"/>
  <c r="AB260"/>
  <c r="AN260"/>
  <c r="S260"/>
  <c r="AE260"/>
  <c r="AQ260"/>
  <c r="R260"/>
  <c r="Z260"/>
  <c r="AP260"/>
  <c r="AC260"/>
  <c r="AK260"/>
  <c r="AS260"/>
  <c r="X260"/>
  <c r="AF260"/>
  <c r="AR260"/>
  <c r="AA260"/>
  <c r="AI260"/>
  <c r="AU260"/>
  <c r="V260"/>
  <c r="AL260"/>
  <c r="AT260"/>
  <c r="Y267"/>
  <c r="AG267"/>
  <c r="AO267"/>
  <c r="T267"/>
  <c r="AB267"/>
  <c r="AN267"/>
  <c r="S267"/>
  <c r="AE267"/>
  <c r="AQ267"/>
  <c r="R267"/>
  <c r="Z267"/>
  <c r="AP267"/>
  <c r="AC267"/>
  <c r="AK267"/>
  <c r="AS267"/>
  <c r="X267"/>
  <c r="AF267"/>
  <c r="AR267"/>
  <c r="AA267"/>
  <c r="AI267"/>
  <c r="AU267"/>
  <c r="V267"/>
  <c r="AL267"/>
  <c r="AT267"/>
  <c r="Y261"/>
  <c r="AG261"/>
  <c r="AO261"/>
  <c r="T261"/>
  <c r="AB261"/>
  <c r="AN261"/>
  <c r="S261"/>
  <c r="AE261"/>
  <c r="AQ261"/>
  <c r="R261"/>
  <c r="Z261"/>
  <c r="AP261"/>
  <c r="AC261"/>
  <c r="AK261"/>
  <c r="AS261"/>
  <c r="X261"/>
  <c r="AF261"/>
  <c r="AR261"/>
  <c r="AA261"/>
  <c r="AI261"/>
  <c r="AU261"/>
  <c r="V261"/>
  <c r="AL261"/>
  <c r="AT261"/>
  <c r="Y268"/>
  <c r="AG268"/>
  <c r="AO268"/>
  <c r="T268"/>
  <c r="AB268"/>
  <c r="AN268"/>
  <c r="S268"/>
  <c r="AE268"/>
  <c r="AQ268"/>
  <c r="R268"/>
  <c r="Z268"/>
  <c r="AP268"/>
  <c r="AC268"/>
  <c r="AK268"/>
  <c r="AS268"/>
  <c r="X268"/>
  <c r="AF268"/>
  <c r="AR268"/>
  <c r="AA268"/>
  <c r="AI268"/>
  <c r="AU268"/>
  <c r="V268"/>
  <c r="AL268"/>
  <c r="AT268"/>
  <c r="R262"/>
  <c r="AA262"/>
  <c r="AI262"/>
  <c r="AU262"/>
  <c r="AF262"/>
  <c r="AR262"/>
  <c r="S262"/>
  <c r="X262"/>
  <c r="AG262"/>
  <c r="AO262"/>
  <c r="Z262"/>
  <c r="AP262"/>
  <c r="Y262"/>
  <c r="V262"/>
  <c r="AE262"/>
  <c r="AQ262"/>
  <c r="AB262"/>
  <c r="AN262"/>
  <c r="T262"/>
  <c r="AC262"/>
  <c r="AK262"/>
  <c r="AS262"/>
  <c r="AL262"/>
  <c r="AT262"/>
  <c r="AE269"/>
  <c r="AQ269"/>
  <c r="R269"/>
  <c r="Z269"/>
  <c r="AP269"/>
  <c r="Y269"/>
  <c r="AG269"/>
  <c r="AO269"/>
  <c r="T269"/>
  <c r="AB269"/>
  <c r="AN269"/>
  <c r="AA269"/>
  <c r="AI269"/>
  <c r="AU269"/>
  <c r="V269"/>
  <c r="AL269"/>
  <c r="AT269"/>
  <c r="S269"/>
  <c r="AC269"/>
  <c r="AK269"/>
  <c r="AS269"/>
  <c r="X269"/>
  <c r="AF269"/>
  <c r="AR269"/>
  <c r="AA263"/>
  <c r="AI263"/>
  <c r="AU263"/>
  <c r="V263"/>
  <c r="AL263"/>
  <c r="AT263"/>
  <c r="Y263"/>
  <c r="AG263"/>
  <c r="AO263"/>
  <c r="T263"/>
  <c r="AB263"/>
  <c r="AN263"/>
  <c r="S263"/>
  <c r="AE263"/>
  <c r="AQ263"/>
  <c r="R263"/>
  <c r="Z263"/>
  <c r="AP263"/>
  <c r="AC263"/>
  <c r="AK263"/>
  <c r="AS263"/>
  <c r="X263"/>
  <c r="AF263"/>
  <c r="AR263"/>
  <c r="AA270"/>
  <c r="AI270"/>
  <c r="AU270"/>
  <c r="V270"/>
  <c r="AL270"/>
  <c r="AT270"/>
  <c r="Y270"/>
  <c r="AG270"/>
  <c r="AO270"/>
  <c r="T270"/>
  <c r="AB270"/>
  <c r="AN270"/>
  <c r="S270"/>
  <c r="AE270"/>
  <c r="AQ270"/>
  <c r="R270"/>
  <c r="Z270"/>
  <c r="AP270"/>
  <c r="AC270"/>
  <c r="AK270"/>
  <c r="AS270"/>
  <c r="X270"/>
  <c r="AF270"/>
  <c r="AR270"/>
  <c r="X218"/>
  <c r="AA218"/>
  <c r="AQ218"/>
  <c r="Y213"/>
  <c r="R227"/>
  <c r="Z242"/>
  <c r="AU242"/>
  <c r="AS242"/>
  <c r="T242"/>
  <c r="AT242"/>
  <c r="R242"/>
  <c r="AI243"/>
  <c r="AL244"/>
  <c r="AQ244"/>
  <c r="S243"/>
  <c r="AK244"/>
  <c r="AL243"/>
  <c r="AF244"/>
  <c r="AQ243"/>
  <c r="AO244"/>
  <c r="AC244"/>
  <c r="AP244"/>
  <c r="AG243"/>
  <c r="AF242"/>
  <c r="X242"/>
  <c r="AP242"/>
  <c r="AA242"/>
  <c r="AI242"/>
  <c r="Y242"/>
  <c r="AF243"/>
  <c r="AE243"/>
  <c r="AO243"/>
  <c r="AP243"/>
  <c r="AB244"/>
  <c r="X244"/>
  <c r="X243"/>
  <c r="V243"/>
  <c r="Y244"/>
  <c r="AS244"/>
  <c r="AI244"/>
  <c r="R243"/>
  <c r="AR242"/>
  <c r="AN242"/>
  <c r="V242"/>
  <c r="AE242"/>
  <c r="AQ242"/>
  <c r="AO242"/>
  <c r="AK243"/>
  <c r="Y243"/>
  <c r="AB243"/>
  <c r="AU244"/>
  <c r="S244"/>
  <c r="AT243"/>
  <c r="AN243"/>
  <c r="AT244"/>
  <c r="T244"/>
  <c r="AS243"/>
  <c r="T243"/>
  <c r="AA244"/>
  <c r="AL242"/>
  <c r="AC242"/>
  <c r="AG242"/>
  <c r="AK242"/>
  <c r="AB242"/>
  <c r="S242"/>
  <c r="AG244"/>
  <c r="AE244"/>
  <c r="R244"/>
  <c r="AU243"/>
  <c r="Z243"/>
  <c r="AR244"/>
  <c r="AA243"/>
  <c r="AC243"/>
  <c r="Z244"/>
  <c r="AR243"/>
  <c r="AN244"/>
  <c r="V244"/>
  <c r="AT245"/>
  <c r="AB245"/>
  <c r="AG245"/>
  <c r="AP245"/>
  <c r="R245"/>
  <c r="AC245"/>
  <c r="AN245"/>
  <c r="AS245"/>
  <c r="AL245"/>
  <c r="X245"/>
  <c r="AQ245"/>
  <c r="V245"/>
  <c r="AO245"/>
  <c r="AI245"/>
  <c r="AE245"/>
  <c r="Z245"/>
  <c r="AA245"/>
  <c r="Y245"/>
  <c r="T245"/>
  <c r="AF245"/>
  <c r="S245"/>
  <c r="AU245"/>
  <c r="AK245"/>
  <c r="AR245"/>
  <c r="AL246"/>
  <c r="AO246"/>
  <c r="T246"/>
  <c r="R246"/>
  <c r="AS246"/>
  <c r="AB246"/>
  <c r="AK246"/>
  <c r="Y246"/>
  <c r="AU246"/>
  <c r="AC246"/>
  <c r="AG246"/>
  <c r="V246"/>
  <c r="AQ246"/>
  <c r="AN246"/>
  <c r="Z246"/>
  <c r="AI246"/>
  <c r="AF246"/>
  <c r="AT246"/>
  <c r="AA246"/>
  <c r="X246"/>
  <c r="AR246"/>
  <c r="S246"/>
  <c r="AP246"/>
  <c r="AE246"/>
  <c r="AN247"/>
  <c r="AT247"/>
  <c r="AU247"/>
  <c r="Z247"/>
  <c r="AB247"/>
  <c r="AC247"/>
  <c r="AK247"/>
  <c r="X247"/>
  <c r="AO247"/>
  <c r="AP247"/>
  <c r="AI247"/>
  <c r="AL247"/>
  <c r="AR247"/>
  <c r="AQ247"/>
  <c r="T247"/>
  <c r="AE247"/>
  <c r="S247"/>
  <c r="Y247"/>
  <c r="AG247"/>
  <c r="AS247"/>
  <c r="AA247"/>
  <c r="R247"/>
  <c r="AF247"/>
  <c r="V247"/>
  <c r="AR248"/>
  <c r="AK248"/>
  <c r="AU248"/>
  <c r="AO248"/>
  <c r="AI248"/>
  <c r="R248"/>
  <c r="Z248"/>
  <c r="AP248"/>
  <c r="AE248"/>
  <c r="AC248"/>
  <c r="AA248"/>
  <c r="AG248"/>
  <c r="X248"/>
  <c r="T248"/>
  <c r="AF248"/>
  <c r="Y248"/>
  <c r="S248"/>
  <c r="AQ248"/>
  <c r="V248"/>
  <c r="AL248"/>
  <c r="AT248"/>
  <c r="AN248"/>
  <c r="AS248"/>
  <c r="AB248"/>
  <c r="D209"/>
  <c r="AR218"/>
  <c r="AO213"/>
  <c r="F214"/>
  <c r="AF218"/>
  <c r="AN217"/>
  <c r="W218"/>
  <c r="AE217"/>
  <c r="AM218"/>
  <c r="AU217"/>
  <c r="Q212"/>
  <c r="AC212"/>
  <c r="AK213"/>
  <c r="D167"/>
  <c r="D215"/>
  <c r="D207"/>
  <c r="F208"/>
  <c r="F210"/>
  <c r="F209"/>
  <c r="F215"/>
  <c r="D210"/>
  <c r="D214"/>
  <c r="Y218"/>
  <c r="Y217"/>
  <c r="R213"/>
  <c r="R212"/>
  <c r="AD212"/>
  <c r="AD213"/>
  <c r="V217"/>
  <c r="V218"/>
  <c r="AH217"/>
  <c r="AH218"/>
  <c r="AP217"/>
  <c r="AP218"/>
  <c r="U213"/>
  <c r="U212"/>
  <c r="G211"/>
  <c r="E211"/>
  <c r="P213"/>
  <c r="P212"/>
  <c r="U218"/>
  <c r="U217"/>
  <c r="AB217"/>
  <c r="AB218"/>
  <c r="Z212"/>
  <c r="Z213"/>
  <c r="AH212"/>
  <c r="AH213"/>
  <c r="R218"/>
  <c r="R217"/>
  <c r="AD217"/>
  <c r="AD218"/>
  <c r="AL217"/>
  <c r="AL218"/>
  <c r="AT217"/>
  <c r="AT218"/>
  <c r="AB212"/>
  <c r="AB213"/>
  <c r="E216"/>
  <c r="G216"/>
  <c r="P218"/>
  <c r="P217"/>
  <c r="T217"/>
  <c r="T218"/>
  <c r="F207"/>
  <c r="G169"/>
  <c r="E169"/>
  <c r="G168"/>
  <c r="E168"/>
  <c r="F167"/>
  <c r="AP238"/>
  <c r="AP275"/>
  <c r="AU253"/>
  <c r="AU275"/>
  <c r="AT253"/>
  <c r="AT275"/>
  <c r="AS253"/>
  <c r="AS275"/>
  <c r="AR238"/>
  <c r="AR275"/>
  <c r="AQ238"/>
  <c r="AQ275"/>
  <c r="AO253"/>
  <c r="AO238"/>
  <c r="AN253"/>
  <c r="AN275"/>
  <c r="AL253"/>
  <c r="AL275"/>
  <c r="AK253"/>
  <c r="AK275"/>
  <c r="AI253"/>
  <c r="AI275"/>
  <c r="AG275"/>
  <c r="AG238"/>
  <c r="AF275"/>
  <c r="AF238"/>
  <c r="AE253"/>
  <c r="AE238"/>
  <c r="AC253"/>
  <c r="AC275"/>
  <c r="AB253"/>
  <c r="AB275"/>
  <c r="AA238"/>
  <c r="AA275"/>
  <c r="Z253"/>
  <c r="Z275"/>
  <c r="Y238"/>
  <c r="Y275"/>
  <c r="X238"/>
  <c r="X275"/>
  <c r="V238"/>
  <c r="V275"/>
  <c r="T253"/>
  <c r="T275"/>
  <c r="S275"/>
  <c r="S238"/>
  <c r="R253"/>
  <c r="R238"/>
  <c r="AU227"/>
  <c r="AI228"/>
  <c r="AQ228"/>
  <c r="AU228"/>
  <c r="AI229"/>
  <c r="AQ229"/>
  <c r="Z227"/>
  <c r="AL227"/>
  <c r="AT227"/>
  <c r="V228"/>
  <c r="AL228"/>
  <c r="AT228"/>
  <c r="V229"/>
  <c r="AL229"/>
  <c r="AT229"/>
  <c r="AT252"/>
  <c r="AS252"/>
  <c r="AR237"/>
  <c r="AP252"/>
  <c r="AO274"/>
  <c r="AN237"/>
  <c r="AL252"/>
  <c r="AL237"/>
  <c r="AG252"/>
  <c r="AF237"/>
  <c r="AC274"/>
  <c r="AB237"/>
  <c r="Z252"/>
  <c r="Z237"/>
  <c r="X274"/>
  <c r="T252"/>
  <c r="T237"/>
  <c r="R274"/>
  <c r="AT273"/>
  <c r="AR251"/>
  <c r="AQ236"/>
  <c r="AP273"/>
  <c r="AN236"/>
  <c r="AK236"/>
  <c r="AG251"/>
  <c r="AF251"/>
  <c r="AE251"/>
  <c r="AB251"/>
  <c r="AA236"/>
  <c r="Z273"/>
  <c r="X251"/>
  <c r="R273"/>
  <c r="AT272"/>
  <c r="AR250"/>
  <c r="AQ235"/>
  <c r="AP272"/>
  <c r="AN250"/>
  <c r="AK235"/>
  <c r="AG272"/>
  <c r="AF235"/>
  <c r="AC250"/>
  <c r="AB272"/>
  <c r="Z250"/>
  <c r="Y235"/>
  <c r="X272"/>
  <c r="V250"/>
  <c r="V272"/>
  <c r="T250"/>
  <c r="T272"/>
  <c r="R250"/>
  <c r="AP230"/>
  <c r="AP253"/>
  <c r="AU230"/>
  <c r="AU238"/>
  <c r="AT230"/>
  <c r="AT238"/>
  <c r="AS230"/>
  <c r="AS238"/>
  <c r="AR230"/>
  <c r="AR253"/>
  <c r="AQ230"/>
  <c r="AQ253"/>
  <c r="AO275"/>
  <c r="AO230"/>
  <c r="AN230"/>
  <c r="AN238"/>
  <c r="AL230"/>
  <c r="AL238"/>
  <c r="AK230"/>
  <c r="AK238"/>
  <c r="AI230"/>
  <c r="AI238"/>
  <c r="AG253"/>
  <c r="AG230"/>
  <c r="AF253"/>
  <c r="AF230"/>
  <c r="AE275"/>
  <c r="AE230"/>
  <c r="AC230"/>
  <c r="AC238"/>
  <c r="AB230"/>
  <c r="AB238"/>
  <c r="AA230"/>
  <c r="AA253"/>
  <c r="Z230"/>
  <c r="Z238"/>
  <c r="Y230"/>
  <c r="Y253"/>
  <c r="X230"/>
  <c r="X253"/>
  <c r="V230"/>
  <c r="V253"/>
  <c r="T230"/>
  <c r="T238"/>
  <c r="S253"/>
  <c r="S230"/>
  <c r="R275"/>
  <c r="R230"/>
  <c r="Y227"/>
  <c r="AC227"/>
  <c r="AG227"/>
  <c r="AK227"/>
  <c r="AO227"/>
  <c r="AS227"/>
  <c r="Y228"/>
  <c r="AC228"/>
  <c r="AG228"/>
  <c r="AK228"/>
  <c r="AO228"/>
  <c r="AS228"/>
  <c r="Y229"/>
  <c r="AC229"/>
  <c r="AG229"/>
  <c r="AK229"/>
  <c r="AO229"/>
  <c r="AS229"/>
  <c r="T227"/>
  <c r="X227"/>
  <c r="AB227"/>
  <c r="AF227"/>
  <c r="AN227"/>
  <c r="AR227"/>
  <c r="T228"/>
  <c r="X228"/>
  <c r="AB228"/>
  <c r="AF228"/>
  <c r="AN228"/>
  <c r="AR228"/>
  <c r="T229"/>
  <c r="X229"/>
  <c r="AB229"/>
  <c r="AF229"/>
  <c r="AN229"/>
  <c r="AR229"/>
  <c r="AU274"/>
  <c r="AU237"/>
  <c r="AT274"/>
  <c r="AS274"/>
  <c r="AS237"/>
  <c r="AR274"/>
  <c r="AQ274"/>
  <c r="AQ237"/>
  <c r="AP274"/>
  <c r="AO252"/>
  <c r="AO237"/>
  <c r="AN252"/>
  <c r="AL274"/>
  <c r="AK274"/>
  <c r="AK237"/>
  <c r="AI274"/>
  <c r="AI237"/>
  <c r="AG274"/>
  <c r="AG237"/>
  <c r="AF274"/>
  <c r="AE274"/>
  <c r="AE237"/>
  <c r="AC252"/>
  <c r="AC237"/>
  <c r="AB274"/>
  <c r="AA274"/>
  <c r="AA237"/>
  <c r="Z274"/>
  <c r="Y252"/>
  <c r="Y237"/>
  <c r="X252"/>
  <c r="V274"/>
  <c r="T274"/>
  <c r="S252"/>
  <c r="S237"/>
  <c r="R252"/>
  <c r="AU236"/>
  <c r="AU273"/>
  <c r="AT236"/>
  <c r="AS251"/>
  <c r="AS273"/>
  <c r="AR236"/>
  <c r="AQ251"/>
  <c r="AQ273"/>
  <c r="AP236"/>
  <c r="AO251"/>
  <c r="AO236"/>
  <c r="AN251"/>
  <c r="AL236"/>
  <c r="AK251"/>
  <c r="AK273"/>
  <c r="AI236"/>
  <c r="AI273"/>
  <c r="AG273"/>
  <c r="AG236"/>
  <c r="AF273"/>
  <c r="AE273"/>
  <c r="AE236"/>
  <c r="AC236"/>
  <c r="AC273"/>
  <c r="AB236"/>
  <c r="AA251"/>
  <c r="AA273"/>
  <c r="Z236"/>
  <c r="Y251"/>
  <c r="Y273"/>
  <c r="X236"/>
  <c r="V236"/>
  <c r="T251"/>
  <c r="S273"/>
  <c r="S236"/>
  <c r="R251"/>
  <c r="AU250"/>
  <c r="AU272"/>
  <c r="AT235"/>
  <c r="AS235"/>
  <c r="AS272"/>
  <c r="AR235"/>
  <c r="AQ250"/>
  <c r="AQ272"/>
  <c r="AP235"/>
  <c r="AO272"/>
  <c r="AO235"/>
  <c r="AN235"/>
  <c r="AL235"/>
  <c r="AK250"/>
  <c r="AK272"/>
  <c r="AI250"/>
  <c r="AI272"/>
  <c r="AG250"/>
  <c r="AG235"/>
  <c r="AF272"/>
  <c r="AE272"/>
  <c r="AE235"/>
  <c r="AC235"/>
  <c r="AC272"/>
  <c r="AB235"/>
  <c r="AA250"/>
  <c r="AA272"/>
  <c r="Z235"/>
  <c r="Y250"/>
  <c r="Y272"/>
  <c r="X250"/>
  <c r="V235"/>
  <c r="T235"/>
  <c r="S250"/>
  <c r="S235"/>
  <c r="R272"/>
  <c r="S227"/>
  <c r="AA227"/>
  <c r="AE227"/>
  <c r="AI227"/>
  <c r="AQ227"/>
  <c r="S228"/>
  <c r="AA228"/>
  <c r="AE228"/>
  <c r="S229"/>
  <c r="AA229"/>
  <c r="AE229"/>
  <c r="AU229"/>
  <c r="V227"/>
  <c r="AP227"/>
  <c r="R228"/>
  <c r="Z228"/>
  <c r="AP228"/>
  <c r="R229"/>
  <c r="Z229"/>
  <c r="AP229"/>
  <c r="AU252"/>
  <c r="AT237"/>
  <c r="AR252"/>
  <c r="AQ252"/>
  <c r="AP237"/>
  <c r="AN274"/>
  <c r="AK252"/>
  <c r="AI252"/>
  <c r="AF252"/>
  <c r="AE252"/>
  <c r="AB252"/>
  <c r="AA252"/>
  <c r="Y274"/>
  <c r="X237"/>
  <c r="V252"/>
  <c r="V237"/>
  <c r="S274"/>
  <c r="R237"/>
  <c r="AU251"/>
  <c r="AT251"/>
  <c r="AS236"/>
  <c r="AR273"/>
  <c r="AP251"/>
  <c r="AO273"/>
  <c r="AN273"/>
  <c r="AL251"/>
  <c r="AL273"/>
  <c r="AI251"/>
  <c r="AF236"/>
  <c r="AC251"/>
  <c r="AB273"/>
  <c r="Z251"/>
  <c r="Y236"/>
  <c r="X273"/>
  <c r="V251"/>
  <c r="V273"/>
  <c r="T236"/>
  <c r="T273"/>
  <c r="S251"/>
  <c r="R236"/>
  <c r="AU235"/>
  <c r="AT250"/>
  <c r="AS250"/>
  <c r="AR272"/>
  <c r="AP250"/>
  <c r="AO250"/>
  <c r="AN272"/>
  <c r="AL250"/>
  <c r="AL272"/>
  <c r="AI235"/>
  <c r="AF250"/>
  <c r="AE250"/>
  <c r="AB250"/>
  <c r="AA235"/>
  <c r="Z272"/>
  <c r="X235"/>
  <c r="S272"/>
  <c r="R235"/>
  <c r="AR276"/>
  <c r="Y276"/>
  <c r="AA276"/>
  <c r="AQ276"/>
  <c r="AS276"/>
  <c r="R276"/>
  <c r="S276"/>
  <c r="T276"/>
  <c r="AO276"/>
  <c r="Z276"/>
  <c r="AB276"/>
  <c r="AT276"/>
  <c r="AG276"/>
  <c r="AL276"/>
  <c r="AI276"/>
  <c r="AN276"/>
  <c r="AK276"/>
  <c r="S254"/>
  <c r="AT239"/>
  <c r="AL231"/>
  <c r="R254"/>
  <c r="AQ239"/>
  <c r="AI231"/>
  <c r="AR254"/>
  <c r="X239"/>
  <c r="AO231"/>
  <c r="AP276"/>
  <c r="AC276"/>
  <c r="S231"/>
  <c r="AL254"/>
  <c r="Z239"/>
  <c r="R231"/>
  <c r="AI254"/>
  <c r="Y239"/>
  <c r="AR231"/>
  <c r="AO254"/>
  <c r="AE239"/>
  <c r="AG239"/>
  <c r="AP231"/>
  <c r="AU254"/>
  <c r="AC239"/>
  <c r="AF231"/>
  <c r="AB254"/>
  <c r="T239"/>
  <c r="AS231"/>
  <c r="AA254"/>
  <c r="AE276"/>
  <c r="X276"/>
  <c r="S239"/>
  <c r="AT231"/>
  <c r="Z254"/>
  <c r="R239"/>
  <c r="AQ231"/>
  <c r="Y254"/>
  <c r="AR239"/>
  <c r="X231"/>
  <c r="AE254"/>
  <c r="AU276"/>
  <c r="AG231"/>
  <c r="V254"/>
  <c r="AU239"/>
  <c r="AC231"/>
  <c r="AN254"/>
  <c r="AB239"/>
  <c r="T231"/>
  <c r="AK254"/>
  <c r="AA239"/>
  <c r="AP254"/>
  <c r="V239"/>
  <c r="AU231"/>
  <c r="AF254"/>
  <c r="AN239"/>
  <c r="AB231"/>
  <c r="AS254"/>
  <c r="AK239"/>
  <c r="AA231"/>
  <c r="AF276"/>
  <c r="V276"/>
  <c r="AT254"/>
  <c r="AL239"/>
  <c r="Z231"/>
  <c r="AQ254"/>
  <c r="AI239"/>
  <c r="Y231"/>
  <c r="X254"/>
  <c r="AO239"/>
  <c r="AE231"/>
  <c r="AG254"/>
  <c r="AP239"/>
  <c r="V231"/>
  <c r="AC254"/>
  <c r="AF239"/>
  <c r="AN231"/>
  <c r="T254"/>
  <c r="AS239"/>
  <c r="AK231"/>
  <c r="AC277"/>
  <c r="AE277"/>
  <c r="R277"/>
  <c r="S277"/>
  <c r="T277"/>
  <c r="AF277"/>
  <c r="AU277"/>
  <c r="AO277"/>
  <c r="AT277"/>
  <c r="AQ277"/>
  <c r="AG277"/>
  <c r="AS277"/>
  <c r="V277"/>
  <c r="X277"/>
  <c r="AL277"/>
  <c r="AI277"/>
  <c r="AN277"/>
  <c r="AK277"/>
  <c r="AP277"/>
  <c r="AR277"/>
  <c r="Z277"/>
  <c r="Y277"/>
  <c r="AB277"/>
  <c r="AA277"/>
  <c r="AP255"/>
  <c r="AG232"/>
  <c r="V255"/>
  <c r="AU240"/>
  <c r="AC232"/>
  <c r="AR255"/>
  <c r="X240"/>
  <c r="AO232"/>
  <c r="AT255"/>
  <c r="AL240"/>
  <c r="Z232"/>
  <c r="AQ255"/>
  <c r="AI240"/>
  <c r="Y232"/>
  <c r="AN255"/>
  <c r="AB240"/>
  <c r="T232"/>
  <c r="AK255"/>
  <c r="AA240"/>
  <c r="V240"/>
  <c r="AU232"/>
  <c r="S255"/>
  <c r="AR240"/>
  <c r="X232"/>
  <c r="AE255"/>
  <c r="AT240"/>
  <c r="AL232"/>
  <c r="R255"/>
  <c r="AQ240"/>
  <c r="AI232"/>
  <c r="AF255"/>
  <c r="AN240"/>
  <c r="AB232"/>
  <c r="AS255"/>
  <c r="AK240"/>
  <c r="AA232"/>
  <c r="AG240"/>
  <c r="AG255"/>
  <c r="AP240"/>
  <c r="V232"/>
  <c r="AC255"/>
  <c r="S240"/>
  <c r="AR232"/>
  <c r="AO255"/>
  <c r="AE240"/>
  <c r="AT232"/>
  <c r="Z255"/>
  <c r="R240"/>
  <c r="AQ232"/>
  <c r="Y255"/>
  <c r="AF240"/>
  <c r="AN232"/>
  <c r="T255"/>
  <c r="AS240"/>
  <c r="AK232"/>
  <c r="AP232"/>
  <c r="AU255"/>
  <c r="AC240"/>
  <c r="S232"/>
  <c r="X255"/>
  <c r="AO240"/>
  <c r="AE232"/>
  <c r="AL255"/>
  <c r="Z240"/>
  <c r="R232"/>
  <c r="AI255"/>
  <c r="Y240"/>
  <c r="AF232"/>
  <c r="AB255"/>
  <c r="T240"/>
  <c r="AS232"/>
  <c r="AA255"/>
  <c r="AC278"/>
  <c r="AB278"/>
  <c r="AN278"/>
  <c r="AG278"/>
  <c r="R278"/>
  <c r="S278"/>
  <c r="AF278"/>
  <c r="Y278"/>
  <c r="AQ278"/>
  <c r="AL278"/>
  <c r="AS278"/>
  <c r="AU278"/>
  <c r="X278"/>
  <c r="AP278"/>
  <c r="AI278"/>
  <c r="AO278"/>
  <c r="Z278"/>
  <c r="AA278"/>
  <c r="AR278"/>
  <c r="AR233"/>
  <c r="T256"/>
  <c r="AS241"/>
  <c r="AK233"/>
  <c r="AT256"/>
  <c r="AL241"/>
  <c r="V233"/>
  <c r="AE256"/>
  <c r="AN233"/>
  <c r="X256"/>
  <c r="AO241"/>
  <c r="AG233"/>
  <c r="AP256"/>
  <c r="Z241"/>
  <c r="R233"/>
  <c r="AI256"/>
  <c r="AA241"/>
  <c r="S233"/>
  <c r="AK278"/>
  <c r="AT278"/>
  <c r="AR241"/>
  <c r="AB233"/>
  <c r="AS256"/>
  <c r="AK241"/>
  <c r="AC233"/>
  <c r="AL256"/>
  <c r="V241"/>
  <c r="AU233"/>
  <c r="AF256"/>
  <c r="X241"/>
  <c r="AO233"/>
  <c r="Y256"/>
  <c r="AP241"/>
  <c r="Z233"/>
  <c r="AQ256"/>
  <c r="AI241"/>
  <c r="AA233"/>
  <c r="V278"/>
  <c r="AR256"/>
  <c r="AB241"/>
  <c r="T233"/>
  <c r="AK256"/>
  <c r="AC241"/>
  <c r="AT233"/>
  <c r="V256"/>
  <c r="AU241"/>
  <c r="AE233"/>
  <c r="AN256"/>
  <c r="AF241"/>
  <c r="X233"/>
  <c r="AG256"/>
  <c r="Y241"/>
  <c r="AP233"/>
  <c r="R256"/>
  <c r="AQ241"/>
  <c r="AI233"/>
  <c r="S256"/>
  <c r="AE278"/>
  <c r="T278"/>
  <c r="AB256"/>
  <c r="T241"/>
  <c r="AS233"/>
  <c r="AC256"/>
  <c r="AT241"/>
  <c r="AL233"/>
  <c r="AU256"/>
  <c r="AE241"/>
  <c r="AN241"/>
  <c r="AF233"/>
  <c r="AO256"/>
  <c r="AG241"/>
  <c r="Y233"/>
  <c r="Z256"/>
  <c r="R241"/>
  <c r="AQ233"/>
  <c r="AA256"/>
  <c r="S241"/>
  <c r="G297" l="1"/>
  <c r="E297"/>
  <c r="E288"/>
  <c r="G288"/>
  <c r="G287"/>
  <c r="E287"/>
  <c r="G281"/>
  <c r="E281"/>
  <c r="E299"/>
  <c r="G299"/>
  <c r="G292"/>
  <c r="E292"/>
  <c r="G285"/>
  <c r="E285"/>
  <c r="G298"/>
  <c r="E298"/>
  <c r="E291"/>
  <c r="G291"/>
  <c r="E284"/>
  <c r="G284"/>
  <c r="E290"/>
  <c r="G290"/>
  <c r="G283"/>
  <c r="E283"/>
  <c r="E296"/>
  <c r="G296"/>
  <c r="G289"/>
  <c r="E289"/>
  <c r="E282"/>
  <c r="G282"/>
  <c r="E280"/>
  <c r="G280"/>
  <c r="E294"/>
  <c r="G294"/>
  <c r="G295"/>
  <c r="E295"/>
  <c r="G279"/>
  <c r="E279"/>
  <c r="G286"/>
  <c r="E286"/>
  <c r="G293"/>
  <c r="E293"/>
  <c r="E269"/>
  <c r="G269"/>
  <c r="G262"/>
  <c r="E262"/>
  <c r="E259"/>
  <c r="G259"/>
  <c r="E270"/>
  <c r="G270"/>
  <c r="E263"/>
  <c r="G263"/>
  <c r="G268"/>
  <c r="E268"/>
  <c r="E261"/>
  <c r="G261"/>
  <c r="G267"/>
  <c r="E267"/>
  <c r="G260"/>
  <c r="E260"/>
  <c r="E264"/>
  <c r="G264"/>
  <c r="E266"/>
  <c r="G266"/>
  <c r="G258"/>
  <c r="E258"/>
  <c r="E257"/>
  <c r="G257"/>
  <c r="G265"/>
  <c r="E265"/>
  <c r="G248"/>
  <c r="E248"/>
  <c r="G247"/>
  <c r="E247"/>
  <c r="G246"/>
  <c r="E246"/>
  <c r="G243"/>
  <c r="E243"/>
  <c r="E242"/>
  <c r="G242"/>
  <c r="G245"/>
  <c r="E245"/>
  <c r="G244"/>
  <c r="E244"/>
  <c r="D169"/>
  <c r="F211"/>
  <c r="D216"/>
  <c r="D211"/>
  <c r="E217"/>
  <c r="G217"/>
  <c r="G213"/>
  <c r="E213"/>
  <c r="F168"/>
  <c r="F216"/>
  <c r="E218"/>
  <c r="G218"/>
  <c r="G212"/>
  <c r="E212"/>
  <c r="D168"/>
  <c r="F169"/>
  <c r="G278"/>
  <c r="E278"/>
  <c r="E228"/>
  <c r="G228"/>
  <c r="E253"/>
  <c r="G253"/>
  <c r="E241"/>
  <c r="G241"/>
  <c r="G256"/>
  <c r="E256"/>
  <c r="E232"/>
  <c r="G232"/>
  <c r="G277"/>
  <c r="E277"/>
  <c r="E254"/>
  <c r="G254"/>
  <c r="E275"/>
  <c r="G275"/>
  <c r="G227"/>
  <c r="E227"/>
  <c r="G233"/>
  <c r="E233"/>
  <c r="G240"/>
  <c r="E240"/>
  <c r="G255"/>
  <c r="E255"/>
  <c r="G239"/>
  <c r="E239"/>
  <c r="G231"/>
  <c r="E231"/>
  <c r="G276"/>
  <c r="E276"/>
  <c r="E235"/>
  <c r="G235"/>
  <c r="E236"/>
  <c r="G236"/>
  <c r="E237"/>
  <c r="G237"/>
  <c r="E229"/>
  <c r="G229"/>
  <c r="G272"/>
  <c r="E272"/>
  <c r="E251"/>
  <c r="G251"/>
  <c r="G252"/>
  <c r="E252"/>
  <c r="E230"/>
  <c r="G230"/>
  <c r="E250"/>
  <c r="G250"/>
  <c r="G273"/>
  <c r="E273"/>
  <c r="E274"/>
  <c r="G274"/>
  <c r="E238"/>
  <c r="G238"/>
  <c r="D212" l="1"/>
  <c r="D218"/>
  <c r="D247"/>
  <c r="D259"/>
  <c r="D281"/>
  <c r="F287"/>
  <c r="D288"/>
  <c r="F297"/>
  <c r="D279"/>
  <c r="D295"/>
  <c r="D294"/>
  <c r="D296"/>
  <c r="D290"/>
  <c r="D284"/>
  <c r="D298"/>
  <c r="F285"/>
  <c r="F292"/>
  <c r="D299"/>
  <c r="D213"/>
  <c r="D265"/>
  <c r="D258"/>
  <c r="D261"/>
  <c r="D263"/>
  <c r="D270"/>
  <c r="F262"/>
  <c r="F293"/>
  <c r="D287"/>
  <c r="D297"/>
  <c r="D291"/>
  <c r="F279"/>
  <c r="F288"/>
  <c r="D282"/>
  <c r="F289"/>
  <c r="F296"/>
  <c r="D257"/>
  <c r="D280"/>
  <c r="F282"/>
  <c r="F283"/>
  <c r="D243"/>
  <c r="F246"/>
  <c r="D260"/>
  <c r="F261"/>
  <c r="F286"/>
  <c r="F295"/>
  <c r="F294"/>
  <c r="D289"/>
  <c r="D283"/>
  <c r="F299"/>
  <c r="F259"/>
  <c r="F213"/>
  <c r="D244"/>
  <c r="F245"/>
  <c r="F248"/>
  <c r="D266"/>
  <c r="D264"/>
  <c r="F268"/>
  <c r="F263"/>
  <c r="D293"/>
  <c r="D286"/>
  <c r="F290"/>
  <c r="F291"/>
  <c r="F298"/>
  <c r="D285"/>
  <c r="D292"/>
  <c r="F281"/>
  <c r="F280"/>
  <c r="F284"/>
  <c r="D217"/>
  <c r="F243"/>
  <c r="D246"/>
  <c r="F247"/>
  <c r="D248"/>
  <c r="F265"/>
  <c r="F257"/>
  <c r="F258"/>
  <c r="F266"/>
  <c r="F269"/>
  <c r="F264"/>
  <c r="F260"/>
  <c r="F267"/>
  <c r="D267"/>
  <c r="D268"/>
  <c r="F270"/>
  <c r="D262"/>
  <c r="D269"/>
  <c r="F242"/>
  <c r="F212"/>
  <c r="F244"/>
  <c r="D245"/>
  <c r="D242"/>
  <c r="F218"/>
  <c r="F217"/>
  <c r="D274"/>
  <c r="F229"/>
  <c r="D236"/>
  <c r="D235"/>
  <c r="F276"/>
  <c r="D231"/>
  <c r="D239"/>
  <c r="F255"/>
  <c r="F240"/>
  <c r="D227"/>
  <c r="D275"/>
  <c r="F277"/>
  <c r="D232"/>
  <c r="D256"/>
  <c r="D253"/>
  <c r="F228"/>
  <c r="D278"/>
  <c r="F274"/>
  <c r="F273"/>
  <c r="F250"/>
  <c r="D251"/>
  <c r="D272"/>
  <c r="D229"/>
  <c r="F253"/>
  <c r="D233"/>
  <c r="F227"/>
  <c r="F232"/>
  <c r="F251"/>
  <c r="F237"/>
  <c r="F236"/>
  <c r="F238"/>
  <c r="F241"/>
  <c r="D228"/>
  <c r="D230"/>
  <c r="D252"/>
  <c r="F272"/>
  <c r="D237"/>
  <c r="F235"/>
  <c r="F275"/>
  <c r="F254"/>
  <c r="D238"/>
  <c r="D250"/>
  <c r="F230"/>
  <c r="D273"/>
  <c r="F252"/>
  <c r="D276"/>
  <c r="F231"/>
  <c r="F239"/>
  <c r="D255"/>
  <c r="D240"/>
  <c r="F233"/>
  <c r="D254"/>
  <c r="D277"/>
  <c r="F256"/>
  <c r="D241"/>
  <c r="F278"/>
</calcChain>
</file>

<file path=xl/sharedStrings.xml><?xml version="1.0" encoding="utf-8"?>
<sst xmlns="http://schemas.openxmlformats.org/spreadsheetml/2006/main" count="339" uniqueCount="107">
  <si>
    <t>41F02</t>
  </si>
  <si>
    <t>Lux</t>
  </si>
  <si>
    <t>CCT</t>
  </si>
  <si>
    <t>AVERAGE</t>
  </si>
  <si>
    <t>STDEV</t>
  </si>
  <si>
    <t>55F02</t>
  </si>
  <si>
    <t>Range0</t>
  </si>
  <si>
    <t>Range1</t>
  </si>
  <si>
    <t>Range2</t>
  </si>
  <si>
    <t>Range3</t>
  </si>
  <si>
    <r>
      <t>X + 1.5</t>
    </r>
    <r>
      <rPr>
        <sz val="11"/>
        <color theme="1"/>
        <rFont val="Calibri"/>
        <family val="2"/>
      </rPr>
      <t>σ</t>
    </r>
  </si>
  <si>
    <t>X - 1.5σ</t>
  </si>
  <si>
    <t>Gain Error</t>
  </si>
  <si>
    <t>data0</t>
  </si>
  <si>
    <t>data1</t>
  </si>
  <si>
    <t>data2</t>
  </si>
  <si>
    <t>data3</t>
  </si>
  <si>
    <t>data4</t>
  </si>
  <si>
    <t>data5</t>
  </si>
  <si>
    <t>LS2LS</t>
  </si>
  <si>
    <t>65F01</t>
  </si>
  <si>
    <t>Measure</t>
  </si>
  <si>
    <t>Mean</t>
  </si>
  <si>
    <t>X + 1.5σ</t>
  </si>
  <si>
    <t>Max</t>
  </si>
  <si>
    <t>Min</t>
  </si>
  <si>
    <t>Position</t>
  </si>
  <si>
    <t>partNumber=</t>
  </si>
  <si>
    <t>xOffset=</t>
  </si>
  <si>
    <t>yOffset=</t>
  </si>
  <si>
    <t>Nominal Lux=</t>
  </si>
  <si>
    <t>data6</t>
  </si>
  <si>
    <t>MAX</t>
  </si>
  <si>
    <t>IR</t>
  </si>
  <si>
    <t>IRFS</t>
  </si>
  <si>
    <t>%IR</t>
  </si>
  <si>
    <t>Median</t>
  </si>
  <si>
    <t>original</t>
  </si>
  <si>
    <t>fliers</t>
  </si>
  <si>
    <t>final</t>
  </si>
  <si>
    <t>Count</t>
  </si>
  <si>
    <t>Use IR Comp</t>
  </si>
  <si>
    <t>K</t>
  </si>
  <si>
    <t>Rng</t>
  </si>
  <si>
    <t>Enable</t>
  </si>
  <si>
    <t>Gain Match</t>
  </si>
  <si>
    <t>CT</t>
  </si>
  <si>
    <t>Mismatch</t>
  </si>
  <si>
    <t>AVG</t>
  </si>
  <si>
    <r>
      <t>3</t>
    </r>
    <r>
      <rPr>
        <sz val="11"/>
        <color theme="1"/>
        <rFont val="Calibri"/>
        <family val="2"/>
      </rPr>
      <t>σ</t>
    </r>
  </si>
  <si>
    <t>Raw</t>
  </si>
  <si>
    <t>Drv. Comp.</t>
  </si>
  <si>
    <t>CT\CCT &lt; 5000K</t>
  </si>
  <si>
    <t>CT\CCT &lt; 6500K</t>
  </si>
  <si>
    <t>CT/CCT</t>
  </si>
  <si>
    <t>&lt; 5000K</t>
  </si>
  <si>
    <t>&lt; 6500K</t>
  </si>
  <si>
    <t>Record Values Here</t>
  </si>
  <si>
    <t>gainCorrect</t>
  </si>
  <si>
    <t>GC</t>
  </si>
  <si>
    <t>nRngPerK</t>
  </si>
  <si>
    <t>Set useIRcomp=TRUE, nRngPerK=1</t>
  </si>
  <si>
    <t>Solve field</t>
  </si>
  <si>
    <t>comp38=</t>
  </si>
  <si>
    <t>Gain Correction for Graphs Below</t>
  </si>
  <si>
    <t>removeFliers</t>
  </si>
  <si>
    <t>ΔR1-R0</t>
  </si>
  <si>
    <t>ΔR2-R1</t>
  </si>
  <si>
    <t>ΔR3-R2</t>
  </si>
  <si>
    <t>P0</t>
  </si>
  <si>
    <t>P1</t>
  </si>
  <si>
    <t>P2</t>
  </si>
  <si>
    <t>P3</t>
  </si>
  <si>
    <t>IR Compensation</t>
  </si>
  <si>
    <t>useFilterWheels=</t>
  </si>
  <si>
    <t>r0w=</t>
  </si>
  <si>
    <t>r1w=</t>
  </si>
  <si>
    <t>r2w=</t>
  </si>
  <si>
    <t>r3w=</t>
  </si>
  <si>
    <t>fw</t>
  </si>
  <si>
    <t>Gather/Normalize</t>
  </si>
  <si>
    <t>Pos</t>
  </si>
  <si>
    <t>Div</t>
  </si>
  <si>
    <t>Nom.</t>
  </si>
  <si>
    <t>Calibration Values</t>
  </si>
  <si>
    <t>Don't Edit</t>
  </si>
  <si>
    <t>calTable</t>
  </si>
  <si>
    <t>row</t>
  </si>
  <si>
    <t>col</t>
  </si>
  <si>
    <t>val</t>
  </si>
  <si>
    <t>Light</t>
  </si>
  <si>
    <t>Power</t>
  </si>
  <si>
    <t>Range</t>
  </si>
  <si>
    <t>P0=</t>
  </si>
  <si>
    <t>P1=</t>
  </si>
  <si>
    <t>P2=</t>
  </si>
  <si>
    <t>P3=</t>
  </si>
  <si>
    <t>R0=</t>
  </si>
  <si>
    <t>R1=</t>
  </si>
  <si>
    <t>R2=</t>
  </si>
  <si>
    <t>R3=</t>
  </si>
  <si>
    <t>Enables</t>
  </si>
  <si>
    <t>Result</t>
  </si>
  <si>
    <t>IR=</t>
  </si>
  <si>
    <t>38-New Mold</t>
  </si>
  <si>
    <t>Globals (Fluor - 0:2)</t>
  </si>
  <si>
    <t>Globals (All - 0:6)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</si>
</sst>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0" borderId="0" xfId="0" applyFont="1"/>
    <xf numFmtId="0" fontId="0" fillId="0" borderId="0" xfId="0" applyAlignment="1">
      <alignment vertical="center"/>
    </xf>
    <xf numFmtId="164" fontId="0" fillId="0" borderId="0" xfId="0" applyNumberFormat="1"/>
    <xf numFmtId="166" fontId="0" fillId="0" borderId="5" xfId="0" applyNumberFormat="1" applyBorder="1" applyAlignment="1">
      <alignment horizontal="center"/>
    </xf>
    <xf numFmtId="0" fontId="0" fillId="0" borderId="0" xfId="0" applyNumberFormat="1"/>
    <xf numFmtId="0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11" xfId="0" applyBorder="1" applyAlignment="1">
      <alignment horizontal="right"/>
    </xf>
    <xf numFmtId="0" fontId="0" fillId="0" borderId="13" xfId="0" applyBorder="1" applyAlignment="1">
      <alignment horizontal="right"/>
    </xf>
    <xf numFmtId="165" fontId="1" fillId="0" borderId="0" xfId="0" applyNumberFormat="1" applyFont="1"/>
    <xf numFmtId="164" fontId="0" fillId="2" borderId="12" xfId="0" applyNumberFormat="1" applyFill="1" applyBorder="1" applyAlignment="1">
      <alignment horizontal="left"/>
    </xf>
    <xf numFmtId="164" fontId="0" fillId="2" borderId="14" xfId="0" applyNumberFormat="1" applyFill="1" applyBorder="1" applyAlignment="1">
      <alignment horizontal="left"/>
    </xf>
    <xf numFmtId="0" fontId="0" fillId="2" borderId="14" xfId="0" applyFill="1" applyBorder="1" applyAlignment="1">
      <alignment horizontal="left"/>
    </xf>
    <xf numFmtId="165" fontId="5" fillId="0" borderId="0" xfId="0" applyNumberFormat="1" applyFont="1" applyAlignment="1">
      <alignment vertical="center"/>
    </xf>
    <xf numFmtId="0" fontId="0" fillId="0" borderId="15" xfId="0" applyBorder="1"/>
    <xf numFmtId="164" fontId="0" fillId="0" borderId="15" xfId="0" applyNumberFormat="1" applyBorder="1"/>
    <xf numFmtId="165" fontId="0" fillId="0" borderId="15" xfId="0" applyNumberFormat="1" applyBorder="1"/>
    <xf numFmtId="165" fontId="5" fillId="0" borderId="0" xfId="0" applyNumberFormat="1" applyFont="1" applyBorder="1" applyAlignment="1">
      <alignment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10" fontId="0" fillId="0" borderId="0" xfId="0" applyNumberFormat="1"/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vertical="center"/>
    </xf>
    <xf numFmtId="2" fontId="1" fillId="0" borderId="0" xfId="0" applyNumberFormat="1" applyFont="1" applyBorder="1"/>
    <xf numFmtId="9" fontId="0" fillId="0" borderId="0" xfId="0" applyNumberFormat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164" fontId="0" fillId="0" borderId="4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7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2" fontId="0" fillId="0" borderId="0" xfId="0" applyNumberFormat="1"/>
    <xf numFmtId="1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6" xfId="0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5" fontId="0" fillId="0" borderId="32" xfId="0" applyNumberFormat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164" fontId="0" fillId="0" borderId="38" xfId="0" applyNumberFormat="1" applyBorder="1" applyAlignment="1">
      <alignment horizontal="center"/>
    </xf>
    <xf numFmtId="2" fontId="0" fillId="0" borderId="39" xfId="0" applyNumberFormat="1" applyBorder="1" applyAlignment="1">
      <alignment vertical="center"/>
    </xf>
    <xf numFmtId="2" fontId="0" fillId="0" borderId="40" xfId="0" applyNumberFormat="1" applyBorder="1" applyAlignment="1">
      <alignment vertical="center"/>
    </xf>
    <xf numFmtId="2" fontId="0" fillId="0" borderId="41" xfId="0" applyNumberFormat="1" applyBorder="1" applyAlignment="1">
      <alignment vertical="center"/>
    </xf>
    <xf numFmtId="2" fontId="0" fillId="0" borderId="30" xfId="0" applyNumberFormat="1" applyFon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1" fontId="0" fillId="0" borderId="4" xfId="0" applyNumberFormat="1" applyFont="1" applyBorder="1" applyAlignment="1">
      <alignment horizontal="center"/>
    </xf>
    <xf numFmtId="165" fontId="0" fillId="0" borderId="5" xfId="0" applyNumberFormat="1" applyBorder="1" applyAlignment="1">
      <alignment horizontal="center" vertical="center"/>
    </xf>
    <xf numFmtId="11" fontId="0" fillId="0" borderId="6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18" xfId="0" applyFill="1" applyBorder="1" applyAlignment="1">
      <alignment horizontal="left"/>
    </xf>
    <xf numFmtId="1" fontId="11" fillId="3" borderId="0" xfId="0" applyNumberFormat="1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0" fontId="10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164" fontId="0" fillId="0" borderId="0" xfId="0" applyNumberForma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1" fontId="0" fillId="2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/>
    </xf>
    <xf numFmtId="0" fontId="14" fillId="0" borderId="0" xfId="0" applyFont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1" xfId="0" applyBorder="1" applyAlignment="1"/>
    <xf numFmtId="0" fontId="0" fillId="0" borderId="13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14" xfId="0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left"/>
    </xf>
    <xf numFmtId="0" fontId="0" fillId="0" borderId="3" xfId="0" applyFont="1" applyBorder="1"/>
    <xf numFmtId="0" fontId="0" fillId="0" borderId="5" xfId="0" applyFont="1" applyBorder="1"/>
    <xf numFmtId="0" fontId="0" fillId="0" borderId="8" xfId="0" applyFon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0" fontId="0" fillId="0" borderId="0" xfId="0" applyFont="1"/>
    <xf numFmtId="165" fontId="0" fillId="0" borderId="0" xfId="0" applyNumberFormat="1" applyFont="1" applyAlignment="1">
      <alignment horizontal="center"/>
    </xf>
    <xf numFmtId="0" fontId="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9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4" fillId="0" borderId="9" xfId="0" applyNumberFormat="1" applyFont="1" applyBorder="1" applyAlignment="1">
      <alignment horizontal="center" vertical="center"/>
    </xf>
    <xf numFmtId="0" fontId="4" fillId="0" borderId="42" xfId="0" applyNumberFormat="1" applyFont="1" applyBorder="1" applyAlignment="1">
      <alignment horizontal="center" vertical="center"/>
    </xf>
    <xf numFmtId="0" fontId="4" fillId="0" borderId="10" xfId="0" applyNumberFormat="1" applyFont="1" applyBorder="1" applyAlignment="1">
      <alignment horizontal="center" vertical="center"/>
    </xf>
    <xf numFmtId="0" fontId="4" fillId="0" borderId="13" xfId="0" applyNumberFormat="1" applyFont="1" applyBorder="1" applyAlignment="1">
      <alignment horizontal="center" vertical="center"/>
    </xf>
    <xf numFmtId="0" fontId="4" fillId="0" borderId="43" xfId="0" applyNumberFormat="1" applyFont="1" applyBorder="1" applyAlignment="1">
      <alignment horizontal="center" vertical="center"/>
    </xf>
    <xf numFmtId="0" fontId="4" fillId="0" borderId="14" xfId="0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0" fillId="0" borderId="1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5" xfId="0" applyFont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</cellXfs>
  <cellStyles count="1">
    <cellStyle name="Normal" xfId="0" builtinId="0"/>
  </cellStyles>
  <dxfs count="59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Scaled!$Q$308</c:f>
          <c:strCache>
            <c:ptCount val="1"/>
            <c:pt idx="0">
              <c:v>38-New Mold Range0 LS2LS =+/-0%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Scaled!$O$309:$O$314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Scaled!$P$309:$P$314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3325952"/>
        <c:axId val="133328256"/>
      </c:barChart>
      <c:catAx>
        <c:axId val="133325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  <c:layout/>
        </c:title>
        <c:numFmt formatCode="0.0%" sourceLinked="1"/>
        <c:tickLblPos val="nextTo"/>
        <c:crossAx val="133328256"/>
        <c:crosses val="autoZero"/>
        <c:auto val="1"/>
        <c:lblAlgn val="ctr"/>
        <c:lblOffset val="100"/>
      </c:catAx>
      <c:valAx>
        <c:axId val="1333282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3325952"/>
        <c:crosses val="autoZero"/>
        <c:crossBetween val="between"/>
      </c:valAx>
    </c:plotArea>
    <c:plotVisOnly val="1"/>
    <c:dispBlanksAs val="gap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Scaled!$Q$324</c:f>
          <c:strCache>
            <c:ptCount val="1"/>
            <c:pt idx="0">
              <c:v>38-New Mold Range1 LS2LS =+/-0%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Scaled!$O$325:$O$330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Scaled!$P$325:$P$330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3364736"/>
        <c:axId val="133969024"/>
      </c:barChart>
      <c:catAx>
        <c:axId val="133364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  <c:layout/>
        </c:title>
        <c:numFmt formatCode="0.0%" sourceLinked="1"/>
        <c:tickLblPos val="nextTo"/>
        <c:crossAx val="133969024"/>
        <c:crosses val="autoZero"/>
        <c:auto val="1"/>
        <c:lblAlgn val="ctr"/>
        <c:lblOffset val="100"/>
      </c:catAx>
      <c:valAx>
        <c:axId val="133969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3364736"/>
        <c:crosses val="autoZero"/>
        <c:crossBetween val="between"/>
      </c:valAx>
    </c:plotArea>
    <c:plotVisOnly val="1"/>
    <c:dispBlanksAs val="gap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Scaled!$AD$308</c:f>
          <c:strCache>
            <c:ptCount val="1"/>
            <c:pt idx="0">
              <c:v>38-New Mold Range2 LS2LS =+/-0%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Scaled!$AB$309:$AB$314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Scaled!$AC$309:$AC$314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3989120"/>
        <c:axId val="133991040"/>
      </c:barChart>
      <c:catAx>
        <c:axId val="133989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  <c:layout/>
        </c:title>
        <c:numFmt formatCode="0.0%" sourceLinked="1"/>
        <c:tickLblPos val="nextTo"/>
        <c:crossAx val="133991040"/>
        <c:crosses val="autoZero"/>
        <c:auto val="1"/>
        <c:lblAlgn val="ctr"/>
        <c:lblOffset val="100"/>
      </c:catAx>
      <c:valAx>
        <c:axId val="1339910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3989120"/>
        <c:crosses val="autoZero"/>
        <c:crossBetween val="between"/>
      </c:valAx>
    </c:plotArea>
    <c:plotVisOnly val="1"/>
    <c:dispBlanksAs val="gap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Scaled!$AD$324</c:f>
          <c:strCache>
            <c:ptCount val="1"/>
            <c:pt idx="0">
              <c:v>38-New Mold Range3 LS2LS =+/-0%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Scaled!$AB$325:$AB$330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Scaled!$AC$325:$AC$330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4031616"/>
        <c:axId val="134041984"/>
      </c:barChart>
      <c:catAx>
        <c:axId val="134031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</c:title>
        <c:numFmt formatCode="0.0%" sourceLinked="1"/>
        <c:tickLblPos val="nextTo"/>
        <c:crossAx val="134041984"/>
        <c:crosses val="autoZero"/>
        <c:auto val="1"/>
        <c:lblAlgn val="ctr"/>
        <c:lblOffset val="100"/>
      </c:catAx>
      <c:valAx>
        <c:axId val="1340419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4031616"/>
        <c:crosses val="autoZero"/>
        <c:crossBetween val="between"/>
      </c:valAx>
    </c:plotArea>
    <c:plotVisOnly val="1"/>
    <c:dispBlanksAs val="gap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Scaled!$Q$340</c:f>
          <c:strCache>
            <c:ptCount val="1"/>
            <c:pt idx="0">
              <c:v>38-New Mold Range0 1000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Scaled!$P$227:$P$233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1068.8402436678814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Scaled!$Q$227:$Q$233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1090.1668849784514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Scaled!$R$227:$R$233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1084.9019345490374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Scaled!$S$227:$S$233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1040.8762525686163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Scaled!$T$227:$T$233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1008.1285345792944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Scaled!$U$227:$U$233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967.21598118286727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Scaled!$V$227:$V$233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Scaled!$W$227:$W$233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Scaled!$X$227:$X$233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Scaled!$Y$227:$Y$233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Scaled!$Z$227:$Z$233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Scaled!$AA$227:$AA$233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Scaled!$AB$227:$AB$233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Scaled!$AC$227:$AC$233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Scaled!$AD$227:$AD$233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Scaled!$AE$227:$AE$233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Scaled!$AF$227:$AF$233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Scaled!$AG$227:$AG$233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Scaled!$AH$227:$AH$233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Scaled!$AI$227:$AI$233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Scaled!$AJ$227:$AJ$233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Scaled!$AK$227:$AK$233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Scaled!$AL$227:$AL$233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Scaled!$AM$227:$AM$233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Scaled!$AN$227:$AN$233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Scaled!$AO$227:$AO$233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Scaled!$AP$227:$AP$233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Scaled!$AQ$227:$AQ$233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Scaled!$AR$227:$AR$233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Scaled!$AS$227:$AS$233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Scaled!$AT$227:$AT$233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Scaled!$AU$227:$AU$233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axId val="134226688"/>
        <c:axId val="134228608"/>
      </c:scatterChart>
      <c:valAx>
        <c:axId val="134226688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4228608"/>
        <c:crosses val="autoZero"/>
        <c:crossBetween val="midCat"/>
      </c:valAx>
      <c:valAx>
        <c:axId val="134228608"/>
        <c:scaling>
          <c:orientation val="minMax"/>
          <c:min val="1.0000000000000026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tickLblPos val="nextTo"/>
        <c:crossAx val="134226688"/>
        <c:crosses val="autoZero"/>
        <c:crossBetween val="midCat"/>
      </c:valAx>
    </c:plotArea>
    <c:plotVisOnly val="1"/>
    <c:dispBlanksAs val="gap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Scaled!$Q$356</c:f>
          <c:strCache>
            <c:ptCount val="1"/>
            <c:pt idx="0">
              <c:v>38-New Mold Range1 4000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Scaled!$O$235:$O$248</c:f>
              <c:numCache>
                <c:formatCode>0</c:formatCode>
                <c:ptCount val="14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Scaled!$P$235:$P$248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1068.0631018620236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4272.7267889466066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Scaled!$Q$235:$Q$248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1100.5422697482204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4399.5508580299329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Scaled!$R$235:$R$248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1108.2304429765311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4430.9421414219432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Scaled!$S$235:$S$248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1081.5966586513425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4323.7501682001712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Scaled!$T$235:$T$248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1033.266762810011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4131.5344340910005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Scaled!$U$235:$U$248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996.6230727301338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3985.2516008475009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Scaled!$V$235:$V$248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Scaled!$W$235:$W$248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Scaled!$X$235:$X$248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Scaled!$Y$235:$Y$248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Scaled!$Z$235:$Z$248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Scaled!$AA$235:$AA$248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Scaled!$AB$235:$AB$248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Scaled!$AC$235:$AC$248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Scaled!$AD$235:$AD$248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Scaled!$AE$235:$AE$248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Scaled!$AF$235:$AF$248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Scaled!$AG$235:$AG$248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Scaled!$AH$235:$AH$248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Scaled!$AI$235:$AI$248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Scaled!$AJ$235:$AJ$248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Scaled!$AK$235:$AK$248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Scaled!$AL$235:$AL$248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Scaled!$AM$235:$AM$248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Scaled!$AN$235:$AN$248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Scaled!$AO$235:$AO$248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Scaled!$AP$235:$AP$248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Scaled!$AQ$235:$AQ$248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Scaled!$AR$235:$AR$248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Scaled!$AS$235:$AS$248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Scaled!$AT$235:$AT$248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2"/>
          <c:order val="3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Scaled!$AU$235:$AU$248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134435584"/>
        <c:axId val="134437504"/>
      </c:scatterChart>
      <c:valAx>
        <c:axId val="134435584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4437504"/>
        <c:crosses val="autoZero"/>
        <c:crossBetween val="midCat"/>
      </c:valAx>
      <c:valAx>
        <c:axId val="134437504"/>
        <c:scaling>
          <c:orientation val="minMax"/>
          <c:min val="1.0000000000000031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tickLblPos val="nextTo"/>
        <c:crossAx val="134435584"/>
        <c:crosses val="autoZero"/>
        <c:crossBetween val="midCat"/>
      </c:valAx>
    </c:plotArea>
    <c:plotVisOnly val="1"/>
    <c:dispBlanksAs val="gap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Scaled!$AD$340</c:f>
          <c:strCache>
            <c:ptCount val="1"/>
            <c:pt idx="0">
              <c:v>38-New Mold Range2 16000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Scaled!$P$250:$P$270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936.62977793016103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4274.6060694984108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14987.536082262615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Scaled!$Q$250:$Q$270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1038.3846093612804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4401.5761021197404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16616.781093464557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Scaled!$R$250:$R$270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1094.297767137982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4430.7870551628148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17505.699039909625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Scaled!$S$250:$S$270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988.70227011312932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4325.6203260308484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15814.711452131944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Scaled!$T$250:$T$270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887.28497936364454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4133.5870463441843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14191.304982450165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Scaled!$U$250:$U$270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794.57076456765526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3985.0417782616196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12718.386920450632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Scaled!$V$250:$V$270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Scaled!$W$250:$W$270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Scaled!$X$250:$X$270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Scaled!$Y$250:$Y$270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Scaled!$Z$250:$Z$270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Scaled!$AA$250:$AA$270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Scaled!$AB$250:$AB$270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Scaled!$AC$250:$AC$270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Scaled!$AD$250:$AD$270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Scaled!$AE$250:$AE$270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Scaled!$AF$250:$AF$270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Scaled!$AG$250:$AG$270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Scaled!$AH$250:$AH$270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Scaled!$AI$250:$AI$270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Scaled!$AJ$250:$AJ$270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Scaled!$AK$250:$AK$270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Scaled!$AL$250:$AL$270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Scaled!$AM$250:$AM$270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Scaled!$AN$250:$AN$270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Scaled!$AO$250:$AO$270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Scaled!$AP$250:$AP$270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Scaled!$AQ$250:$AQ$270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Scaled!$AR$250:$AR$270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Scaled!$AS$250:$AS$270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Scaled!$AT$250:$AT$270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Scaled!$AU$250:$AU$270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axId val="134620288"/>
        <c:axId val="134622208"/>
      </c:scatterChart>
      <c:valAx>
        <c:axId val="134620288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4622208"/>
        <c:crosses val="autoZero"/>
        <c:crossBetween val="midCat"/>
      </c:valAx>
      <c:valAx>
        <c:axId val="134622208"/>
        <c:scaling>
          <c:orientation val="minMax"/>
          <c:min val="1.0000000000000005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tickLblPos val="nextTo"/>
        <c:crossAx val="134620288"/>
        <c:crosses val="autoZero"/>
        <c:crossBetween val="midCat"/>
      </c:valAx>
    </c:plotArea>
    <c:plotVisOnly val="1"/>
    <c:dispBlanksAs val="gap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Scaled!$AD$356</c:f>
          <c:strCache>
            <c:ptCount val="1"/>
            <c:pt idx="0">
              <c:v>38-New Mold Range3 64000 Lux Nominal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Scaled!$P$272:$P$299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914.09665675077565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3747.2854202951653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14615.037133276115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Scaled!$Q$272:$Q$299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1022.912474332844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4151.9693294115768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16366.599589325504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Scaled!$R$272:$R$299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1090.6395559667537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4375.6219605183833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17450.23289546806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Scaled!$S$272:$S$299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1003.2073967022883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3954.4441716075075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16058.324597060811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Scaled!$T$272:$T$299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887.64076548752962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3548.2276453420523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14214.513184992818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Scaled!$U$272:$U$299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801.04789656658784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3179.1588394986461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12816.766345065405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Scaled!$V$272:$V$299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Scaled!$W$272:$W$299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Scaled!$X$272:$X$299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Scaled!$Y$272:$Y$299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Scaled!$Z$272:$Z$299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Scaled!$AA$272:$AA$299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Scaled!$AB$272:$AB$299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Scaled!$AC$272:$AC$299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Scaled!$AD$272:$AD$299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Scaled!$AE$272:$AE$299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Scaled!$AF$272:$AF$299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Scaled!$AG$272:$AG$299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Scaled!$AH$272:$AH$299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Scaled!$AI$272:$AI$299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Scaled!$AJ$272:$AJ$299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Scaled!$AK$272:$AK$299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Scaled!$AL$272:$AL$299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Scaled!$AM$272:$AM$299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Scaled!$AN$272:$AN$299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Scaled!$AO$272:$AO$299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Scaled!$AP$272:$AP$299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Scaled!$AQ$272:$AQ$299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Scaled!$AR$272:$AR$299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Scaled!$AS$272:$AS$299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Scaled!$AT$272:$AT$299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Scaled!$AU$272:$AU$299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axId val="134727552"/>
        <c:axId val="134737920"/>
      </c:scatterChart>
      <c:valAx>
        <c:axId val="134727552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</c:title>
        <c:numFmt formatCode="General" sourceLinked="1"/>
        <c:tickLblPos val="nextTo"/>
        <c:crossAx val="134737920"/>
        <c:crosses val="autoZero"/>
        <c:crossBetween val="midCat"/>
      </c:valAx>
      <c:valAx>
        <c:axId val="134737920"/>
        <c:scaling>
          <c:orientation val="minMax"/>
          <c:min val="1.0000000000000009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</c:title>
        <c:numFmt formatCode="0" sourceLinked="0"/>
        <c:tickLblPos val="nextTo"/>
        <c:crossAx val="134727552"/>
        <c:crosses val="autoZero"/>
        <c:crossBetween val="midCat"/>
      </c:valAx>
    </c:plotArea>
    <c:plotVisOnly val="1"/>
    <c:dispBlanksAs val="gap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Scaled!$AD$356</c:f>
          <c:strCache>
            <c:ptCount val="1"/>
            <c:pt idx="0">
              <c:v>38-New Mold Range3 64000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Scaled!$P$272:$P$299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914.09665675077565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3747.2854202951653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14615.037133276115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Scaled!$Q$272:$Q$299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1022.912474332844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4151.9693294115768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16366.599589325504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Scaled!$R$272:$R$299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1090.6395559667537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4375.6219605183833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17450.23289546806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Scaled!$S$272:$S$299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1003.2073967022883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3954.4441716075075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16058.324597060811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Scaled!$T$272:$T$299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887.64076548752962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3548.2276453420523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14214.513184992818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Scaled!$U$272:$U$299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801.04789656658784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3179.1588394986461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12816.766345065405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Scaled!$V$272:$V$299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Scaled!$W$272:$W$299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Scaled!$X$272:$X$299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Scaled!$Y$272:$Y$299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Scaled!$Z$272:$Z$299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Scaled!$AA$272:$AA$299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Scaled!$AB$272:$AB$299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Scaled!$AC$272:$AC$299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Scaled!$AD$272:$AD$299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Scaled!$AE$272:$AE$299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Scaled!$AF$272:$AF$299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Scaled!$AG$272:$AG$299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Scaled!$AH$272:$AH$299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Scaled!$AI$272:$AI$299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Scaled!$AJ$272:$AJ$299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Scaled!$AK$272:$AK$299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Scaled!$AL$272:$AL$299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Scaled!$AM$272:$AM$299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Scaled!$AN$272:$AN$299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Scaled!$AO$272:$AO$299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Scaled!$AP$272:$AP$299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Scaled!$AQ$272:$AQ$299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Scaled!$AR$272:$AR$299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Scaled!$AS$272:$AS$299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Scaled!$AT$272:$AT$299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Scaled!$AU$272:$AU$299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axId val="134992256"/>
        <c:axId val="134994176"/>
      </c:scatterChart>
      <c:valAx>
        <c:axId val="134992256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4994176"/>
        <c:crosses val="autoZero"/>
        <c:crossBetween val="midCat"/>
      </c:valAx>
      <c:valAx>
        <c:axId val="134994176"/>
        <c:scaling>
          <c:logBase val="10"/>
          <c:orientation val="minMax"/>
          <c:max val="5000"/>
          <c:min val="50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minorTickMark val="in"/>
        <c:tickLblPos val="nextTo"/>
        <c:crossAx val="134992256"/>
        <c:crosses val="autoZero"/>
        <c:crossBetween val="midCat"/>
      </c:valAx>
    </c:plotArea>
    <c:plotVisOnly val="1"/>
    <c:dispBlanksAs val="gap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Scaled!$Q$308</c:f>
          <c:strCache>
            <c:ptCount val="1"/>
            <c:pt idx="0">
              <c:v>38-New Mold Range0 LS2LS =+/-0%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Scaled!$O$309:$O$314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Scaled!$P$309:$P$314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6047616"/>
        <c:axId val="135103616"/>
      </c:barChart>
      <c:catAx>
        <c:axId val="136047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</c:title>
        <c:numFmt formatCode="0.0%" sourceLinked="1"/>
        <c:tickLblPos val="nextTo"/>
        <c:crossAx val="135103616"/>
        <c:crosses val="autoZero"/>
        <c:auto val="1"/>
        <c:lblAlgn val="ctr"/>
        <c:lblOffset val="100"/>
      </c:catAx>
      <c:valAx>
        <c:axId val="1351036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6047616"/>
        <c:crosses val="autoZero"/>
        <c:crossBetween val="between"/>
      </c:valAx>
    </c:plotArea>
    <c:plotVisOnly val="1"/>
    <c:dispBlanksAs val="gap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Scaled!$Q$324</c:f>
          <c:strCache>
            <c:ptCount val="1"/>
            <c:pt idx="0">
              <c:v>38-New Mold Range1 LS2LS =+/-0%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Scaled!$O$325:$O$330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Scaled!$P$325:$P$330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5119616"/>
        <c:axId val="135121536"/>
      </c:barChart>
      <c:catAx>
        <c:axId val="135119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  <c:layout/>
        </c:title>
        <c:numFmt formatCode="0.0%" sourceLinked="1"/>
        <c:tickLblPos val="nextTo"/>
        <c:crossAx val="135121536"/>
        <c:crosses val="autoZero"/>
        <c:auto val="1"/>
        <c:lblAlgn val="ctr"/>
        <c:lblOffset val="100"/>
      </c:catAx>
      <c:valAx>
        <c:axId val="1351215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5119616"/>
        <c:crosses val="autoZero"/>
        <c:crossBetween val="between"/>
      </c:valAx>
    </c:plotArea>
    <c:plotVisOnly val="1"/>
    <c:dispBlanksAs val="gap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Scaled!$AD$308</c:f>
          <c:strCache>
            <c:ptCount val="1"/>
            <c:pt idx="0">
              <c:v>38-New Mold Range2 LS2LS =+/-0%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Scaled!$AB$309:$AB$314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Scaled!$AC$309:$AC$314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5162112"/>
        <c:axId val="135164288"/>
      </c:barChart>
      <c:catAx>
        <c:axId val="1351621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</c:title>
        <c:numFmt formatCode="0.0%" sourceLinked="1"/>
        <c:tickLblPos val="nextTo"/>
        <c:crossAx val="135164288"/>
        <c:crosses val="autoZero"/>
        <c:auto val="1"/>
        <c:lblAlgn val="ctr"/>
        <c:lblOffset val="100"/>
      </c:catAx>
      <c:valAx>
        <c:axId val="1351642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5162112"/>
        <c:crosses val="autoZero"/>
        <c:crossBetween val="between"/>
      </c:valAx>
    </c:plotArea>
    <c:plotVisOnly val="1"/>
    <c:dispBlanksAs val="gap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Scaled!$AD$324</c:f>
          <c:strCache>
            <c:ptCount val="1"/>
            <c:pt idx="0">
              <c:v>38-New Mold Range3 LS2LS =+/-0%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Scaled!$AB$325:$AB$330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Scaled!$AC$325:$AC$330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5192576"/>
        <c:axId val="135194496"/>
      </c:barChart>
      <c:catAx>
        <c:axId val="135192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LS2LS in %/Value</a:t>
                </a:r>
              </a:p>
            </c:rich>
          </c:tx>
          <c:layout/>
        </c:title>
        <c:numFmt formatCode="0.0%" sourceLinked="1"/>
        <c:tickLblPos val="nextTo"/>
        <c:crossAx val="135194496"/>
        <c:crosses val="autoZero"/>
        <c:auto val="1"/>
        <c:lblAlgn val="ctr"/>
        <c:lblOffset val="100"/>
      </c:catAx>
      <c:valAx>
        <c:axId val="1351944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5192576"/>
        <c:crosses val="autoZero"/>
        <c:crossBetween val="between"/>
      </c:valAx>
    </c:plotArea>
    <c:plotVisOnly val="1"/>
    <c:dispBlanksAs val="gap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Scaled!$AD$340</c:f>
          <c:strCache>
            <c:ptCount val="1"/>
            <c:pt idx="0">
              <c:v>38-New Mold Range2 16000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Scaled!$P$250:$P$270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936.62977793016103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4274.6060694984108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14987.536082262615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Scaled!$Q$250:$Q$270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1038.3846093612804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4401.5761021197404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16616.781093464557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Scaled!$R$250:$R$270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1094.297767137982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4430.7870551628148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17505.699039909625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Scaled!$S$250:$S$270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988.70227011312932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4325.6203260308484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15814.711452131944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Scaled!$T$250:$T$270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887.28497936364454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4133.5870463441843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14191.304982450165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Scaled!$U$250:$U$270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794.57076456765526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3985.0417782616196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12718.386920450632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Scaled!$V$250:$V$270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Scaled!$W$250:$W$270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Scaled!$X$250:$X$270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Scaled!$Y$250:$Y$270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Scaled!$Z$250:$Z$270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Scaled!$AA$250:$AA$270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Scaled!$AB$250:$AB$270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Scaled!$AC$250:$AC$270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Scaled!$AD$250:$AD$270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Scaled!$AE$250:$AE$270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Scaled!$AF$250:$AF$270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Scaled!$AG$250:$AG$270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Scaled!$AH$250:$AH$270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Scaled!$AI$250:$AI$270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Scaled!$AJ$250:$AJ$270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Scaled!$AK$250:$AK$270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Scaled!$AL$250:$AL$270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Scaled!$AM$250:$AM$270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Scaled!$AN$250:$AN$270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Scaled!$AO$250:$AO$270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Scaled!$AP$250:$AP$270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Scaled!$AQ$250:$AQ$270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Scaled!$AR$250:$AR$270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Scaled!$AS$250:$AS$270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Scaled!$AT$250:$AT$270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Scaled!$H$250:$H$270</c:f>
              <c:numCache>
                <c:formatCode>General</c:formatCode>
                <c:ptCount val="21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</c:numCache>
            </c:numRef>
          </c:xVal>
          <c:yVal>
            <c:numRef>
              <c:f>Scaled!$AU$250:$AU$270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</c:ser>
        <c:axId val="136265728"/>
        <c:axId val="136267648"/>
      </c:scatterChart>
      <c:valAx>
        <c:axId val="136265728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6267648"/>
        <c:crosses val="autoZero"/>
        <c:crossBetween val="midCat"/>
      </c:valAx>
      <c:valAx>
        <c:axId val="136267648"/>
        <c:scaling>
          <c:orientation val="minMax"/>
          <c:min val="1.0000000000000005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tickLblPos val="nextTo"/>
        <c:crossAx val="136265728"/>
        <c:crosses val="autoZero"/>
        <c:crossBetween val="midCat"/>
      </c:valAx>
    </c:plotArea>
    <c:plotVisOnly val="1"/>
    <c:dispBlanksAs val="gap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Scaled!$Q$340</c:f>
          <c:strCache>
            <c:ptCount val="1"/>
            <c:pt idx="0">
              <c:v>38-New Mold Range0 1000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Scaled!$P$227:$P$233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1068.8402436678814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Scaled!$Q$227:$Q$233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1090.1668849784514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Scaled!$R$227:$R$233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1084.9019345490374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Scaled!$S$227:$S$233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1040.8762525686163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Scaled!$T$227:$T$233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1008.1285345792944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Scaled!$U$227:$U$233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967.21598118286727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Scaled!$V$227:$V$233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Scaled!$W$227:$W$233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Scaled!$X$227:$X$233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Scaled!$Y$227:$Y$233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Scaled!$Z$227:$Z$233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Scaled!$AA$227:$AA$233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Scaled!$AB$227:$AB$233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Scaled!$AC$227:$AC$233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Scaled!$AD$227:$AD$233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Scaled!$AE$227:$AE$233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Scaled!$AF$227:$AF$233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Scaled!$AG$227:$AG$233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Scaled!$AH$227:$AH$233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Scaled!$AI$227:$AI$233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Scaled!$AJ$227:$AJ$233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Scaled!$AK$227:$AK$233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Scaled!$AL$227:$AL$233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Scaled!$AM$227:$AM$233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Scaled!$AN$227:$AN$233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Scaled!$AO$227:$AO$233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Scaled!$AP$227:$AP$233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Scaled!$AQ$227:$AQ$233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Scaled!$AR$227:$AR$233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Scaled!$AS$227:$AS$233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Scaled!$AT$227:$AT$233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Scaled!$H$227:$H$233</c:f>
              <c:numCache>
                <c:formatCode>General</c:formatCode>
                <c:ptCount val="7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</c:numCache>
            </c:numRef>
          </c:xVal>
          <c:yVal>
            <c:numRef>
              <c:f>Scaled!$AU$227:$AU$233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axId val="136413952"/>
        <c:axId val="136415872"/>
      </c:scatterChart>
      <c:valAx>
        <c:axId val="136413952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6415872"/>
        <c:crosses val="autoZero"/>
        <c:crossBetween val="midCat"/>
      </c:valAx>
      <c:valAx>
        <c:axId val="136415872"/>
        <c:scaling>
          <c:orientation val="minMax"/>
          <c:min val="1.0000000000000026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tickLblPos val="nextTo"/>
        <c:crossAx val="136413952"/>
        <c:crosses val="autoZero"/>
        <c:crossBetween val="midCat"/>
      </c:valAx>
    </c:plotArea>
    <c:plotVisOnly val="1"/>
    <c:dispBlanksAs val="gap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Scaled!$Q$356</c:f>
          <c:strCache>
            <c:ptCount val="1"/>
            <c:pt idx="0">
              <c:v>38-New Mold Range1 4000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Scaled!$O$235:$O$248</c:f>
              <c:numCache>
                <c:formatCode>0</c:formatCode>
                <c:ptCount val="14"/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Scaled!$P$235:$P$248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1068.0631018620236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4272.7267889466066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Scaled!$Q$235:$Q$248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1100.5422697482204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4399.5508580299329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Scaled!$R$235:$R$248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1108.2304429765311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4430.9421414219432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Scaled!$S$235:$S$248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1081.5966586513425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4323.7501682001712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Scaled!$T$235:$T$248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1033.266762810011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4131.5344340910005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Scaled!$U$235:$U$248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996.6230727301338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3985.2516008475009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Scaled!$V$235:$V$248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Scaled!$W$235:$W$248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Scaled!$X$235:$X$248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Scaled!$Y$235:$Y$248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Scaled!$Z$235:$Z$248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Scaled!$AA$235:$AA$248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Scaled!$AB$235:$AB$248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Scaled!$AC$235:$AC$248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Scaled!$AD$235:$AD$248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Scaled!$AE$235:$AE$248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Scaled!$AF$235:$AF$248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Scaled!$AG$235:$AG$248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Scaled!$AH$235:$AH$248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Scaled!$AI$235:$AI$248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Scaled!$AJ$235:$AJ$248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Scaled!$AK$235:$AK$248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Scaled!$AL$235:$AL$248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Scaled!$AM$235:$AM$248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Scaled!$AN$235:$AN$248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Scaled!$AO$235:$AO$248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Scaled!$AP$235:$AP$248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Scaled!$AQ$235:$AQ$248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Scaled!$AR$235:$AR$248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Scaled!$AS$235:$AS$248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Scaled!$AT$235:$AT$248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ser>
          <c:idx val="32"/>
          <c:order val="32"/>
          <c:spPr>
            <a:ln w="28575">
              <a:noFill/>
            </a:ln>
          </c:spPr>
          <c:xVal>
            <c:numRef>
              <c:f>Scaled!$H$235:$H$248</c:f>
              <c:numCache>
                <c:formatCode>0</c:formatCode>
                <c:ptCount val="14"/>
                <c:pt idx="0" formatCode="General">
                  <c:v>3670</c:v>
                </c:pt>
                <c:pt idx="1">
                  <c:v>4430</c:v>
                </c:pt>
                <c:pt idx="2" formatCode="General">
                  <c:v>6110</c:v>
                </c:pt>
                <c:pt idx="3" formatCode="General">
                  <c:v>2700</c:v>
                </c:pt>
                <c:pt idx="4" formatCode="General">
                  <c:v>3200</c:v>
                </c:pt>
                <c:pt idx="5" formatCode="General">
                  <c:v>5500</c:v>
                </c:pt>
                <c:pt idx="6" formatCode="General">
                  <c:v>6500</c:v>
                </c:pt>
                <c:pt idx="7" formatCode="General">
                  <c:v>3670</c:v>
                </c:pt>
                <c:pt idx="8" formatCode="General">
                  <c:v>4430</c:v>
                </c:pt>
                <c:pt idx="9" formatCode="General">
                  <c:v>6110</c:v>
                </c:pt>
                <c:pt idx="10" formatCode="General">
                  <c:v>2700</c:v>
                </c:pt>
                <c:pt idx="11" formatCode="General">
                  <c:v>3200</c:v>
                </c:pt>
                <c:pt idx="12" formatCode="General">
                  <c:v>5500</c:v>
                </c:pt>
                <c:pt idx="13" formatCode="General">
                  <c:v>6500</c:v>
                </c:pt>
              </c:numCache>
            </c:numRef>
          </c:xVal>
          <c:yVal>
            <c:numRef>
              <c:f>Scaled!$AU$235:$AU$248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</c:ser>
        <c:axId val="136630272"/>
        <c:axId val="136632192"/>
      </c:scatterChart>
      <c:valAx>
        <c:axId val="136630272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6632192"/>
        <c:crosses val="autoZero"/>
        <c:crossBetween val="midCat"/>
      </c:valAx>
      <c:valAx>
        <c:axId val="136632192"/>
        <c:scaling>
          <c:orientation val="minMax"/>
          <c:min val="1.0000000000000026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tickLblPos val="nextTo"/>
        <c:crossAx val="136630272"/>
        <c:crosses val="autoZero"/>
        <c:crossBetween val="midCat"/>
      </c:valAx>
    </c:plotArea>
    <c:plotVisOnly val="1"/>
    <c:dispBlanksAs val="gap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Scaled!$AD$356</c:f>
          <c:strCache>
            <c:ptCount val="1"/>
            <c:pt idx="0">
              <c:v>38-New Mold Range3 64000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Scaled!$P$272:$P$299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914.09665675077565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3747.2854202951653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14615.037133276115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Scaled!$Q$272:$Q$299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1022.912474332844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4151.9693294115768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16366.599589325504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Scaled!$R$272:$R$299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1090.6395559667537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4375.6219605183833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17450.23289546806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Scaled!$S$272:$S$299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1003.2073967022883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3954.4441716075075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16058.324597060811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Scaled!$T$272:$T$299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887.64076548752962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3548.2276453420523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14214.513184992818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Scaled!$U$272:$U$299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801.04789656658784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3179.1588394986461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12816.766345065405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Scaled!$V$272:$V$299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Scaled!$W$272:$W$299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Scaled!$X$272:$X$299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Scaled!$Y$272:$Y$299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Scaled!$Z$272:$Z$299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Scaled!$AA$272:$AA$299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Scaled!$AB$272:$AB$299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Scaled!$AC$272:$AC$299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Scaled!$AD$272:$AD$299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Scaled!$AE$272:$AE$299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Scaled!$AF$272:$AF$299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Scaled!$AG$272:$AG$299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Scaled!$AH$272:$AH$299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Scaled!$AI$272:$AI$299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Scaled!$AJ$272:$AJ$299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Scaled!$AK$272:$AK$299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Scaled!$AL$272:$AL$299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Scaled!$AM$272:$AM$299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Scaled!$AN$272:$AN$299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Scaled!$AO$272:$AO$299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Scaled!$AP$272:$AP$299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Scaled!$AQ$272:$AQ$299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Scaled!$AR$272:$AR$299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Scaled!$AS$272:$AS$299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Scaled!$AT$272:$AT$299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Scaled!$AU$272:$AU$299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axId val="136788224"/>
        <c:axId val="136806784"/>
      </c:scatterChart>
      <c:valAx>
        <c:axId val="136788224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6806784"/>
        <c:crosses val="autoZero"/>
        <c:crossBetween val="midCat"/>
      </c:valAx>
      <c:valAx>
        <c:axId val="136806784"/>
        <c:scaling>
          <c:orientation val="minMax"/>
          <c:min val="1.0000000000000005E-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tickLblPos val="nextTo"/>
        <c:crossAx val="136788224"/>
        <c:crosses val="autoZero"/>
        <c:crossBetween val="midCat"/>
      </c:valAx>
    </c:plotArea>
    <c:plotVisOnly val="1"/>
    <c:dispBlanksAs val="gap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Scaled!$AD$356</c:f>
          <c:strCache>
            <c:ptCount val="1"/>
            <c:pt idx="0">
              <c:v>38-New Mold Range3 64000 Lux Nominal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Scaled!$P$272:$P$299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914.09665675077565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3747.2854202951653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14615.037133276115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Scaled!$Q$272:$Q$299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1022.912474332844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4151.9693294115768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16366.599589325504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Scaled!$R$272:$R$299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1090.6395559667537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4375.6219605183833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17450.23289546806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Scaled!$S$272:$S$299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1003.2073967022883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3954.4441716075075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16058.324597060811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4"/>
          <c:order val="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Scaled!$T$272:$T$299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887.64076548752962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3548.2276453420523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14214.513184992818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5"/>
          <c:order val="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Scaled!$U$272:$U$299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801.04789656658784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3179.1588394986461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12816.766345065405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6"/>
          <c:order val="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Scaled!$V$272:$V$299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7"/>
          <c:order val="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Scaled!$W$272:$W$299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8"/>
          <c:order val="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Scaled!$X$272:$X$299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9"/>
          <c:order val="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Scaled!$Y$272:$Y$299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0"/>
          <c:order val="1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Scaled!$Z$272:$Z$299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1"/>
          <c:order val="1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Scaled!$AA$272:$AA$299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2"/>
          <c:order val="1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Scaled!$AB$272:$AB$299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3"/>
          <c:order val="1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Scaled!$AC$272:$AC$299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4"/>
          <c:order val="1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Scaled!$AD$272:$AD$299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5"/>
          <c:order val="1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Scaled!$AE$272:$AE$299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6"/>
          <c:order val="1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Scaled!$AF$272:$AF$299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7"/>
          <c:order val="1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Scaled!$AG$272:$AG$299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8"/>
          <c:order val="1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Scaled!$AH$272:$AH$299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19"/>
          <c:order val="1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Scaled!$AI$272:$AI$299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0"/>
          <c:order val="2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Scaled!$AJ$272:$AJ$299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1"/>
          <c:order val="2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Scaled!$AK$272:$AK$299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2"/>
          <c:order val="22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Scaled!$AL$272:$AL$299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3"/>
          <c:order val="23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Scaled!$AM$272:$AM$299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4"/>
          <c:order val="24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Scaled!$AN$272:$AN$299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5"/>
          <c:order val="25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Scaled!$AO$272:$AO$299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6"/>
          <c:order val="26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Scaled!$AP$272:$AP$299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7"/>
          <c:order val="27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Scaled!$AQ$272:$AQ$299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8"/>
          <c:order val="28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Scaled!$AR$272:$AR$299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29"/>
          <c:order val="29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Scaled!$AS$272:$AS$299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0"/>
          <c:order val="30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Scaled!$AT$272:$AT$299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ser>
          <c:idx val="31"/>
          <c:order val="31"/>
          <c:spPr>
            <a:ln w="28575">
              <a:noFill/>
            </a:ln>
          </c:spPr>
          <c:xVal>
            <c:numRef>
              <c:f>Scaled!$H$272:$H$299</c:f>
              <c:numCache>
                <c:formatCode>General</c:formatCode>
                <c:ptCount val="28"/>
                <c:pt idx="0">
                  <c:v>3670</c:v>
                </c:pt>
                <c:pt idx="1">
                  <c:v>4430</c:v>
                </c:pt>
                <c:pt idx="2">
                  <c:v>6110</c:v>
                </c:pt>
                <c:pt idx="3">
                  <c:v>2700</c:v>
                </c:pt>
                <c:pt idx="4">
                  <c:v>3200</c:v>
                </c:pt>
                <c:pt idx="5">
                  <c:v>5500</c:v>
                </c:pt>
                <c:pt idx="6">
                  <c:v>6500</c:v>
                </c:pt>
                <c:pt idx="7">
                  <c:v>3670</c:v>
                </c:pt>
                <c:pt idx="8">
                  <c:v>4430</c:v>
                </c:pt>
                <c:pt idx="9">
                  <c:v>6110</c:v>
                </c:pt>
                <c:pt idx="10">
                  <c:v>2700</c:v>
                </c:pt>
                <c:pt idx="11">
                  <c:v>3200</c:v>
                </c:pt>
                <c:pt idx="12">
                  <c:v>5500</c:v>
                </c:pt>
                <c:pt idx="13">
                  <c:v>6500</c:v>
                </c:pt>
                <c:pt idx="14">
                  <c:v>3670</c:v>
                </c:pt>
                <c:pt idx="15">
                  <c:v>4430</c:v>
                </c:pt>
                <c:pt idx="16">
                  <c:v>6110</c:v>
                </c:pt>
                <c:pt idx="17">
                  <c:v>2700</c:v>
                </c:pt>
                <c:pt idx="18">
                  <c:v>3200</c:v>
                </c:pt>
                <c:pt idx="19">
                  <c:v>5500</c:v>
                </c:pt>
                <c:pt idx="20">
                  <c:v>6500</c:v>
                </c:pt>
                <c:pt idx="21">
                  <c:v>3670</c:v>
                </c:pt>
                <c:pt idx="22">
                  <c:v>4430</c:v>
                </c:pt>
                <c:pt idx="23">
                  <c:v>6110</c:v>
                </c:pt>
                <c:pt idx="24">
                  <c:v>2700</c:v>
                </c:pt>
                <c:pt idx="25">
                  <c:v>3200</c:v>
                </c:pt>
                <c:pt idx="26">
                  <c:v>5500</c:v>
                </c:pt>
                <c:pt idx="27">
                  <c:v>6500</c:v>
                </c:pt>
              </c:numCache>
            </c:numRef>
          </c:xVal>
          <c:yVal>
            <c:numRef>
              <c:f>Scaled!$AU$272:$AU$299</c:f>
              <c:numCache>
                <c:formatCode>0.0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</c:ser>
        <c:axId val="136962816"/>
        <c:axId val="136964736"/>
      </c:scatterChart>
      <c:valAx>
        <c:axId val="136962816"/>
        <c:scaling>
          <c:orientation val="minMax"/>
          <c:max val="70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Color Temperature</a:t>
                </a:r>
              </a:p>
            </c:rich>
          </c:tx>
          <c:layout/>
        </c:title>
        <c:numFmt formatCode="General" sourceLinked="1"/>
        <c:tickLblPos val="nextTo"/>
        <c:crossAx val="136964736"/>
        <c:crosses val="autoZero"/>
        <c:crossBetween val="midCat"/>
      </c:valAx>
      <c:valAx>
        <c:axId val="136964736"/>
        <c:scaling>
          <c:logBase val="10"/>
          <c:orientation val="minMax"/>
          <c:max val="5000"/>
          <c:min val="50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Measure Lux</a:t>
                </a:r>
              </a:p>
            </c:rich>
          </c:tx>
          <c:layout/>
        </c:title>
        <c:numFmt formatCode="0" sourceLinked="0"/>
        <c:minorTickMark val="in"/>
        <c:tickLblPos val="nextTo"/>
        <c:crossAx val="136962816"/>
        <c:crosses val="autoZero"/>
        <c:crossBetween val="midCat"/>
      </c:valAx>
    </c:plotArea>
    <c:plotVisOnly val="1"/>
    <c:dispBlanksAs val="gap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204106</xdr:colOff>
      <xdr:row>1</xdr:row>
      <xdr:rowOff>1</xdr:rowOff>
    </xdr:from>
    <xdr:to>
      <xdr:col>14</xdr:col>
      <xdr:colOff>40820</xdr:colOff>
      <xdr:row>13</xdr:row>
      <xdr:rowOff>443594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14</xdr:row>
      <xdr:rowOff>4082</xdr:rowOff>
    </xdr:from>
    <xdr:to>
      <xdr:col>14</xdr:col>
      <xdr:colOff>40821</xdr:colOff>
      <xdr:row>27</xdr:row>
      <xdr:rowOff>257175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</xdr:colOff>
      <xdr:row>28</xdr:row>
      <xdr:rowOff>4082</xdr:rowOff>
    </xdr:from>
    <xdr:to>
      <xdr:col>14</xdr:col>
      <xdr:colOff>40822</xdr:colOff>
      <xdr:row>41</xdr:row>
      <xdr:rowOff>270782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</xdr:colOff>
      <xdr:row>42</xdr:row>
      <xdr:rowOff>10589</xdr:rowOff>
    </xdr:from>
    <xdr:to>
      <xdr:col>14</xdr:col>
      <xdr:colOff>40822</xdr:colOff>
      <xdr:row>56</xdr:row>
      <xdr:rowOff>86789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25</xdr:col>
      <xdr:colOff>285750</xdr:colOff>
      <xdr:row>13</xdr:row>
      <xdr:rowOff>402771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14</xdr:row>
      <xdr:rowOff>0</xdr:rowOff>
    </xdr:from>
    <xdr:to>
      <xdr:col>25</xdr:col>
      <xdr:colOff>349250</xdr:colOff>
      <xdr:row>27</xdr:row>
      <xdr:rowOff>266700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0</xdr:colOff>
      <xdr:row>28</xdr:row>
      <xdr:rowOff>0</xdr:rowOff>
    </xdr:from>
    <xdr:to>
      <xdr:col>25</xdr:col>
      <xdr:colOff>349250</xdr:colOff>
      <xdr:row>41</xdr:row>
      <xdr:rowOff>266700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42</xdr:row>
      <xdr:rowOff>10589</xdr:rowOff>
    </xdr:from>
    <xdr:to>
      <xdr:col>25</xdr:col>
      <xdr:colOff>349250</xdr:colOff>
      <xdr:row>56</xdr:row>
      <xdr:rowOff>86789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28</xdr:row>
      <xdr:rowOff>0</xdr:rowOff>
    </xdr:from>
    <xdr:to>
      <xdr:col>33</xdr:col>
      <xdr:colOff>275166</xdr:colOff>
      <xdr:row>55</xdr:row>
      <xdr:rowOff>114300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13607</xdr:colOff>
      <xdr:row>308</xdr:row>
      <xdr:rowOff>0</xdr:rowOff>
    </xdr:from>
    <xdr:to>
      <xdr:col>25</xdr:col>
      <xdr:colOff>299357</xdr:colOff>
      <xdr:row>322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13607</xdr:colOff>
      <xdr:row>324</xdr:row>
      <xdr:rowOff>0</xdr:rowOff>
    </xdr:from>
    <xdr:to>
      <xdr:col>25</xdr:col>
      <xdr:colOff>299357</xdr:colOff>
      <xdr:row>338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13607</xdr:colOff>
      <xdr:row>308</xdr:row>
      <xdr:rowOff>0</xdr:rowOff>
    </xdr:from>
    <xdr:to>
      <xdr:col>38</xdr:col>
      <xdr:colOff>299357</xdr:colOff>
      <xdr:row>322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13607</xdr:colOff>
      <xdr:row>324</xdr:row>
      <xdr:rowOff>0</xdr:rowOff>
    </xdr:from>
    <xdr:to>
      <xdr:col>38</xdr:col>
      <xdr:colOff>299357</xdr:colOff>
      <xdr:row>338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-1</xdr:colOff>
      <xdr:row>340</xdr:row>
      <xdr:rowOff>3</xdr:rowOff>
    </xdr:from>
    <xdr:to>
      <xdr:col>38</xdr:col>
      <xdr:colOff>285749</xdr:colOff>
      <xdr:row>354</xdr:row>
      <xdr:rowOff>76203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340</xdr:row>
      <xdr:rowOff>0</xdr:rowOff>
    </xdr:from>
    <xdr:to>
      <xdr:col>25</xdr:col>
      <xdr:colOff>285750</xdr:colOff>
      <xdr:row>354</xdr:row>
      <xdr:rowOff>76200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356</xdr:row>
      <xdr:rowOff>0</xdr:rowOff>
    </xdr:from>
    <xdr:to>
      <xdr:col>25</xdr:col>
      <xdr:colOff>285750</xdr:colOff>
      <xdr:row>370</xdr:row>
      <xdr:rowOff>76200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0</xdr:colOff>
      <xdr:row>356</xdr:row>
      <xdr:rowOff>0</xdr:rowOff>
    </xdr:from>
    <xdr:to>
      <xdr:col>38</xdr:col>
      <xdr:colOff>285750</xdr:colOff>
      <xdr:row>370</xdr:row>
      <xdr:rowOff>76200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0</xdr:colOff>
      <xdr:row>340</xdr:row>
      <xdr:rowOff>27214</xdr:rowOff>
    </xdr:from>
    <xdr:to>
      <xdr:col>50</xdr:col>
      <xdr:colOff>54429</xdr:colOff>
      <xdr:row>370</xdr:row>
      <xdr:rowOff>76200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55"/>
  <sheetViews>
    <sheetView tabSelected="1" zoomScale="60" zoomScaleNormal="60" workbookViewId="0">
      <selection activeCell="AB12" sqref="AB12"/>
    </sheetView>
    <sheetView zoomScale="70" zoomScaleNormal="70" workbookViewId="1">
      <selection activeCell="AK39" sqref="AK39"/>
    </sheetView>
  </sheetViews>
  <sheetFormatPr defaultRowHeight="15"/>
  <cols>
    <col min="1" max="1" width="10" customWidth="1"/>
    <col min="2" max="2" width="9.7109375" customWidth="1"/>
    <col min="3" max="3" width="7.85546875" bestFit="1" customWidth="1"/>
    <col min="4" max="4" width="6.7109375" bestFit="1" customWidth="1"/>
    <col min="5" max="5" width="8.140625" bestFit="1" customWidth="1"/>
    <col min="6" max="6" width="7.140625" bestFit="1" customWidth="1"/>
    <col min="7" max="7" width="3" customWidth="1"/>
    <col min="8" max="8" width="9.7109375" bestFit="1" customWidth="1"/>
    <col min="13" max="13" width="12.85546875" bestFit="1" customWidth="1"/>
    <col min="16" max="16" width="14.85546875" customWidth="1"/>
  </cols>
  <sheetData>
    <row r="1" spans="1:32" ht="15.75" thickBot="1">
      <c r="A1" s="166" t="str">
        <f>lux_0&amp;" Lux Nominal"</f>
        <v>1000 Lux Nominal</v>
      </c>
      <c r="B1" s="166"/>
      <c r="C1" s="35" t="str">
        <f>Scaled!D1</f>
        <v>X - 1.5σ</v>
      </c>
      <c r="D1" s="35" t="str">
        <f>Scaled!E1</f>
        <v>Mean</v>
      </c>
      <c r="E1" s="35" t="str">
        <f>Scaled!F1</f>
        <v>X + 1.5σ</v>
      </c>
      <c r="F1" s="35" t="str">
        <f>Scaled!G1</f>
        <v>STDEV</v>
      </c>
    </row>
    <row r="2" spans="1:32" ht="15.75" thickBot="1">
      <c r="A2" s="35" t="str">
        <f>Scaled!A96</f>
        <v>41F02</v>
      </c>
      <c r="B2" s="165" t="str">
        <f>Scaled!C96</f>
        <v>Range0</v>
      </c>
      <c r="C2" s="36" t="str">
        <f>Scaled!D96</f>
        <v/>
      </c>
      <c r="D2" s="36" t="str">
        <f>Scaled!E96</f>
        <v/>
      </c>
      <c r="E2" s="36" t="str">
        <f>Scaled!F96</f>
        <v/>
      </c>
      <c r="F2" s="36" t="str">
        <f>Scaled!G96</f>
        <v/>
      </c>
      <c r="AA2" s="171" t="str">
        <f>partNumber&amp;" LS2LS Summary: No Glass"</f>
        <v>38-New Mold LS2LS Summary: No Glass</v>
      </c>
      <c r="AB2" s="172"/>
      <c r="AC2" s="172"/>
      <c r="AD2" s="172"/>
      <c r="AE2" s="172"/>
      <c r="AF2" s="173"/>
    </row>
    <row r="3" spans="1:32" ht="15" customHeight="1" thickBot="1">
      <c r="A3" s="35" t="str">
        <f>Scaled!A97</f>
        <v>55F02</v>
      </c>
      <c r="B3" s="165"/>
      <c r="C3" s="36" t="str">
        <f>Scaled!D97</f>
        <v/>
      </c>
      <c r="D3" s="36" t="str">
        <f>Scaled!E97</f>
        <v/>
      </c>
      <c r="E3" s="36" t="str">
        <f>Scaled!F97</f>
        <v/>
      </c>
      <c r="F3" s="36" t="str">
        <f>Scaled!G97</f>
        <v/>
      </c>
      <c r="R3" s="38"/>
      <c r="S3" s="34"/>
      <c r="AA3" s="74" t="s">
        <v>1</v>
      </c>
      <c r="AB3" s="75"/>
      <c r="AC3" s="76" t="s">
        <v>48</v>
      </c>
      <c r="AD3" s="77" t="s">
        <v>49</v>
      </c>
      <c r="AE3" s="77" t="s">
        <v>48</v>
      </c>
      <c r="AF3" s="78" t="s">
        <v>49</v>
      </c>
    </row>
    <row r="4" spans="1:32" ht="15" customHeight="1">
      <c r="A4" s="35" t="str">
        <f>Scaled!A98</f>
        <v>65F01</v>
      </c>
      <c r="B4" s="165"/>
      <c r="C4" s="36" t="str">
        <f>Scaled!D98</f>
        <v/>
      </c>
      <c r="D4" s="36" t="str">
        <f>Scaled!E98</f>
        <v/>
      </c>
      <c r="E4" s="36" t="str">
        <f>Scaled!F98</f>
        <v/>
      </c>
      <c r="F4" s="36" t="str">
        <f>Scaled!G98</f>
        <v/>
      </c>
      <c r="R4" s="38"/>
      <c r="S4" s="34"/>
      <c r="AA4" s="175" t="str">
        <f>AA18</f>
        <v>2K</v>
      </c>
      <c r="AB4" s="79" t="s">
        <v>50</v>
      </c>
      <c r="AC4" s="80" t="str">
        <f t="shared" ref="AC4:AF7" si="0">" ±"&amp;INT(AC18*1000)/10&amp;"%"</f>
        <v xml:space="preserve"> ±13.1%</v>
      </c>
      <c r="AD4" s="81" t="str">
        <f t="shared" si="0"/>
        <v xml:space="preserve"> ±22.5%</v>
      </c>
      <c r="AE4" s="81" t="str">
        <f t="shared" si="0"/>
        <v xml:space="preserve"> ±19.2%</v>
      </c>
      <c r="AF4" s="82" t="str">
        <f t="shared" si="0"/>
        <v xml:space="preserve"> ±27.2%</v>
      </c>
    </row>
    <row r="5" spans="1:32" ht="15" customHeight="1">
      <c r="A5" s="35" t="str">
        <f>Scaled!A99</f>
        <v>2700K</v>
      </c>
      <c r="B5" s="165"/>
      <c r="C5" s="36" t="str">
        <f>Scaled!D99</f>
        <v/>
      </c>
      <c r="D5" s="36" t="str">
        <f>Scaled!E99</f>
        <v/>
      </c>
      <c r="E5" s="36" t="str">
        <f>Scaled!F99</f>
        <v/>
      </c>
      <c r="F5" s="36" t="str">
        <f>Scaled!G99</f>
        <v/>
      </c>
      <c r="R5" s="38"/>
      <c r="S5" s="34"/>
      <c r="AA5" s="176"/>
      <c r="AB5" s="83" t="s">
        <v>51</v>
      </c>
      <c r="AC5" s="84" t="str">
        <f t="shared" si="0"/>
        <v xml:space="preserve"> ±7.8%</v>
      </c>
      <c r="AD5" s="85" t="str">
        <f t="shared" si="0"/>
        <v xml:space="preserve"> ±11.8%</v>
      </c>
      <c r="AE5" s="85" t="str">
        <f t="shared" si="0"/>
        <v xml:space="preserve"> ±14.2%</v>
      </c>
      <c r="AF5" s="86" t="str">
        <f t="shared" si="0"/>
        <v xml:space="preserve"> ±16.5%</v>
      </c>
    </row>
    <row r="6" spans="1:32">
      <c r="A6" s="35" t="str">
        <f>Scaled!A100</f>
        <v>3200K</v>
      </c>
      <c r="B6" s="165"/>
      <c r="C6" s="36">
        <f>Scaled!D100</f>
        <v>989.19047475803916</v>
      </c>
      <c r="D6" s="36">
        <f>Scaled!E100</f>
        <v>1062.823710190595</v>
      </c>
      <c r="E6" s="36">
        <f>Scaled!F100</f>
        <v>1136.4569456231507</v>
      </c>
      <c r="F6" s="36">
        <f>Scaled!G100</f>
        <v>49.088823621703874</v>
      </c>
      <c r="AA6" s="176">
        <f>AA20</f>
        <v>125</v>
      </c>
      <c r="AB6" s="83" t="s">
        <v>50</v>
      </c>
      <c r="AC6" s="84" t="str">
        <f t="shared" si="0"/>
        <v xml:space="preserve"> ±10.4%</v>
      </c>
      <c r="AD6" s="85" t="str">
        <f t="shared" si="0"/>
        <v xml:space="preserve"> ±13.6%</v>
      </c>
      <c r="AE6" s="85" t="str">
        <f t="shared" si="0"/>
        <v xml:space="preserve"> ±17%</v>
      </c>
      <c r="AF6" s="86" t="str">
        <f t="shared" si="0"/>
        <v xml:space="preserve"> ±19.6%</v>
      </c>
    </row>
    <row r="7" spans="1:32" ht="15.75" thickBot="1">
      <c r="A7" s="35" t="str">
        <f>Scaled!A101</f>
        <v>5500K</v>
      </c>
      <c r="B7" s="165"/>
      <c r="C7" s="36" t="str">
        <f>Scaled!D101</f>
        <v/>
      </c>
      <c r="D7" s="36" t="str">
        <f>Scaled!E101</f>
        <v/>
      </c>
      <c r="E7" s="36" t="str">
        <f>Scaled!F101</f>
        <v/>
      </c>
      <c r="F7" s="36" t="str">
        <f>Scaled!G101</f>
        <v/>
      </c>
      <c r="AA7" s="176"/>
      <c r="AB7" s="83" t="s">
        <v>51</v>
      </c>
      <c r="AC7" s="87" t="str">
        <f t="shared" si="0"/>
        <v xml:space="preserve"> ±5.9%</v>
      </c>
      <c r="AD7" s="88" t="str">
        <f t="shared" si="0"/>
        <v xml:space="preserve"> ±6.7%</v>
      </c>
      <c r="AE7" s="88" t="str">
        <f t="shared" si="0"/>
        <v xml:space="preserve"> ±13.3%</v>
      </c>
      <c r="AF7" s="89" t="str">
        <f t="shared" si="0"/>
        <v xml:space="preserve"> ±15%</v>
      </c>
    </row>
    <row r="8" spans="1:32" ht="15.75" thickBot="1">
      <c r="A8" s="35" t="str">
        <f>Scaled!A102</f>
        <v>6500K</v>
      </c>
      <c r="B8" s="165"/>
      <c r="C8" s="36" t="str">
        <f>Scaled!D102</f>
        <v/>
      </c>
      <c r="D8" s="36" t="str">
        <f>Scaled!E102</f>
        <v/>
      </c>
      <c r="E8" s="36" t="str">
        <f>Scaled!F102</f>
        <v/>
      </c>
      <c r="F8" s="36" t="str">
        <f>Scaled!G102</f>
        <v/>
      </c>
      <c r="P8" s="64"/>
      <c r="Q8" s="65"/>
      <c r="AA8" s="90"/>
      <c r="AB8" s="91" t="s">
        <v>54</v>
      </c>
      <c r="AC8" s="178" t="s">
        <v>55</v>
      </c>
      <c r="AD8" s="178"/>
      <c r="AE8" s="178" t="s">
        <v>56</v>
      </c>
      <c r="AF8" s="179"/>
    </row>
    <row r="9" spans="1:32">
      <c r="A9" s="35" t="str">
        <f>Scaled!A103</f>
        <v>Min</v>
      </c>
      <c r="B9" s="165"/>
      <c r="C9" s="36">
        <f>Scaled!D103</f>
        <v>989.19047475803916</v>
      </c>
      <c r="D9" s="36">
        <f>Scaled!E103</f>
        <v>1062.823710190595</v>
      </c>
      <c r="E9" s="36">
        <f>Scaled!F103</f>
        <v>1136.4569456231507</v>
      </c>
      <c r="F9" s="36">
        <f>Scaled!G103</f>
        <v>49.088823621703874</v>
      </c>
    </row>
    <row r="10" spans="1:32">
      <c r="A10" s="35" t="str">
        <f>Scaled!A104</f>
        <v>Max</v>
      </c>
      <c r="B10" s="165"/>
      <c r="C10" s="36">
        <f>Scaled!D104</f>
        <v>989.19047475803916</v>
      </c>
      <c r="D10" s="36">
        <f>Scaled!E104</f>
        <v>1062.823710190595</v>
      </c>
      <c r="E10" s="36">
        <f>Scaled!F104</f>
        <v>1136.4569456231507</v>
      </c>
      <c r="F10" s="36">
        <f>Scaled!G104</f>
        <v>49.088823621703874</v>
      </c>
    </row>
    <row r="11" spans="1:32">
      <c r="A11" s="35" t="str">
        <f>Scaled!A105</f>
        <v>Median</v>
      </c>
      <c r="B11" s="165"/>
      <c r="C11" s="36">
        <f>Scaled!D105</f>
        <v>989.19047475803916</v>
      </c>
      <c r="D11" s="36">
        <f>Scaled!E105</f>
        <v>1062.823710190595</v>
      </c>
      <c r="E11" s="36">
        <f>Scaled!F105</f>
        <v>1136.4569456231507</v>
      </c>
      <c r="F11" s="36">
        <f>Scaled!G105</f>
        <v>49.088823621703874</v>
      </c>
      <c r="AB11">
        <f>Parameters!C16</f>
        <v>8.4</v>
      </c>
    </row>
    <row r="12" spans="1:32">
      <c r="A12" s="35" t="str">
        <f>Scaled!A106</f>
        <v>Gain Error</v>
      </c>
      <c r="B12" s="165"/>
      <c r="C12" s="37">
        <f>Scaled!D106</f>
        <v>-1.0809525241957579E-2</v>
      </c>
      <c r="D12" s="37">
        <f>Scaled!E106</f>
        <v>6.2823710190595128E-2</v>
      </c>
      <c r="E12" s="37">
        <f>Scaled!F106</f>
        <v>0.13645694562314784</v>
      </c>
      <c r="F12" s="37">
        <f>Scaled!G106</f>
        <v>4.9088823621701805E-2</v>
      </c>
      <c r="P12" s="92" t="s">
        <v>22</v>
      </c>
      <c r="Q12" s="93" t="s">
        <v>49</v>
      </c>
      <c r="AB12">
        <f>Parameters!C17</f>
        <v>14.6</v>
      </c>
    </row>
    <row r="13" spans="1:32">
      <c r="A13" s="35" t="str">
        <f>Scaled!A107</f>
        <v>LS2LS</v>
      </c>
      <c r="B13" s="165"/>
      <c r="C13" s="37">
        <f>Scaled!D107</f>
        <v>0</v>
      </c>
      <c r="D13" s="37">
        <f>Scaled!E107</f>
        <v>0</v>
      </c>
      <c r="E13" s="37">
        <f>Scaled!F107</f>
        <v>0</v>
      </c>
      <c r="F13" s="37">
        <f>Scaled!G107</f>
        <v>0</v>
      </c>
      <c r="P13" s="11">
        <f>MAX(D13,D27,D41,D55)/2</f>
        <v>0</v>
      </c>
      <c r="Q13" s="105">
        <f>MAX(E13,E27,E41,E55)/2</f>
        <v>0</v>
      </c>
    </row>
    <row r="14" spans="1:32" ht="105" customHeight="1">
      <c r="A14" s="167" t="str">
        <f>"LS2LS= ±"&amp;INT(Q13*1000)/10&amp;"%"</f>
        <v>LS2LS= ±0%</v>
      </c>
      <c r="B14" s="167"/>
      <c r="C14" s="167"/>
      <c r="D14" s="167"/>
      <c r="E14" s="167"/>
      <c r="F14" s="167"/>
      <c r="H14" s="120">
        <f>D10/D11-1</f>
        <v>0</v>
      </c>
    </row>
    <row r="15" spans="1:32" s="162" customFormat="1" ht="15" customHeight="1">
      <c r="A15" s="170" t="str">
        <f>lux_1&amp;" Lux Nominal"</f>
        <v>4000 Lux Nominal</v>
      </c>
      <c r="B15" s="170"/>
      <c r="C15" s="164" t="str">
        <f>C1</f>
        <v>X - 1.5σ</v>
      </c>
      <c r="D15" s="164" t="str">
        <f t="shared" ref="D15:F15" si="1">D1</f>
        <v>Mean</v>
      </c>
      <c r="E15" s="164" t="str">
        <f t="shared" si="1"/>
        <v>X + 1.5σ</v>
      </c>
      <c r="F15" s="164" t="str">
        <f t="shared" si="1"/>
        <v>STDEV</v>
      </c>
      <c r="H15" s="163"/>
    </row>
    <row r="16" spans="1:32">
      <c r="A16" s="35" t="str">
        <f>Scaled!A109</f>
        <v>41F02</v>
      </c>
      <c r="B16" s="165" t="str">
        <f>Scaled!C109</f>
        <v>Range1</v>
      </c>
      <c r="C16" s="36" t="str">
        <f>Scaled!D109</f>
        <v/>
      </c>
      <c r="D16" s="36" t="str">
        <f>Scaled!E109</f>
        <v/>
      </c>
      <c r="E16" s="36" t="str">
        <f>Scaled!F109</f>
        <v/>
      </c>
      <c r="F16" s="36" t="str">
        <f>Scaled!G109</f>
        <v/>
      </c>
      <c r="AA16" s="180" t="s">
        <v>57</v>
      </c>
      <c r="AB16" s="180"/>
      <c r="AC16" s="180"/>
      <c r="AD16" s="180"/>
      <c r="AE16" s="180"/>
      <c r="AF16" s="180"/>
    </row>
    <row r="17" spans="1:32" ht="15" customHeight="1">
      <c r="A17" s="35" t="str">
        <f>Scaled!A110</f>
        <v>55F02</v>
      </c>
      <c r="B17" s="165"/>
      <c r="C17" s="36" t="str">
        <f>Scaled!D110</f>
        <v/>
      </c>
      <c r="D17" s="36" t="str">
        <f>Scaled!E110</f>
        <v/>
      </c>
      <c r="E17" s="36" t="str">
        <f>Scaled!F110</f>
        <v/>
      </c>
      <c r="F17" s="36" t="str">
        <f>Scaled!G110</f>
        <v/>
      </c>
      <c r="S17" t="b">
        <v>1</v>
      </c>
      <c r="T17">
        <v>1</v>
      </c>
      <c r="AC17" s="68" t="s">
        <v>48</v>
      </c>
      <c r="AD17" s="68" t="s">
        <v>49</v>
      </c>
      <c r="AE17" s="68" t="s">
        <v>48</v>
      </c>
      <c r="AF17" s="68" t="s">
        <v>49</v>
      </c>
    </row>
    <row r="18" spans="1:32" ht="15" customHeight="1">
      <c r="A18" s="35" t="str">
        <f>Scaled!A111</f>
        <v>65F01</v>
      </c>
      <c r="B18" s="165"/>
      <c r="C18" s="36" t="str">
        <f>Scaled!D111</f>
        <v/>
      </c>
      <c r="D18" s="36" t="str">
        <f>Scaled!E111</f>
        <v/>
      </c>
      <c r="E18" s="36" t="str">
        <f>Scaled!F111</f>
        <v/>
      </c>
      <c r="F18" s="36" t="str">
        <f>Scaled!G111</f>
        <v/>
      </c>
      <c r="S18" t="b">
        <v>0</v>
      </c>
      <c r="T18">
        <f>T17*2</f>
        <v>2</v>
      </c>
      <c r="AA18" s="174" t="str">
        <f>16*AA20/1000&amp;"K"</f>
        <v>2K</v>
      </c>
      <c r="AB18" s="68" t="s">
        <v>50</v>
      </c>
      <c r="AC18" s="69">
        <v>0.13100000000000001</v>
      </c>
      <c r="AD18" s="69">
        <v>0.22500000000000001</v>
      </c>
      <c r="AE18" s="69">
        <v>0.192</v>
      </c>
      <c r="AF18" s="69">
        <v>0.27200000000000002</v>
      </c>
    </row>
    <row r="19" spans="1:32" ht="15" customHeight="1">
      <c r="A19" s="35" t="str">
        <f>Scaled!A112</f>
        <v>2700K</v>
      </c>
      <c r="B19" s="165"/>
      <c r="C19" s="36" t="str">
        <f>Scaled!D112</f>
        <v/>
      </c>
      <c r="D19" s="36" t="str">
        <f>Scaled!E112</f>
        <v/>
      </c>
      <c r="E19" s="36" t="str">
        <f>Scaled!F112</f>
        <v/>
      </c>
      <c r="F19" s="36" t="str">
        <f>Scaled!G112</f>
        <v/>
      </c>
      <c r="T19">
        <f>T18*2</f>
        <v>4</v>
      </c>
      <c r="AA19" s="174"/>
      <c r="AB19" s="68" t="s">
        <v>51</v>
      </c>
      <c r="AC19" s="69">
        <v>7.8E-2</v>
      </c>
      <c r="AD19" s="69">
        <v>0.11799999999999999</v>
      </c>
      <c r="AE19" s="69">
        <v>0.14199999999999999</v>
      </c>
      <c r="AF19" s="69">
        <v>0.16500000000000001</v>
      </c>
    </row>
    <row r="20" spans="1:32">
      <c r="A20" s="35" t="str">
        <f>Scaled!A113</f>
        <v>3200K</v>
      </c>
      <c r="B20" s="165"/>
      <c r="C20" s="36">
        <f>Scaled!D113</f>
        <v>1019.4055098181449</v>
      </c>
      <c r="D20" s="36">
        <f>Scaled!E113</f>
        <v>1084.5877962332645</v>
      </c>
      <c r="E20" s="36">
        <f>Scaled!F113</f>
        <v>1149.7700826483842</v>
      </c>
      <c r="F20" s="36">
        <f>Scaled!G113</f>
        <v>43.454857610079742</v>
      </c>
      <c r="AA20" s="174">
        <v>125</v>
      </c>
      <c r="AB20" s="68" t="s">
        <v>50</v>
      </c>
      <c r="AC20" s="69">
        <v>0.104</v>
      </c>
      <c r="AD20" s="69">
        <v>0.13600000000000001</v>
      </c>
      <c r="AE20" s="69">
        <v>0.17</v>
      </c>
      <c r="AF20" s="69">
        <v>0.19600000000000001</v>
      </c>
    </row>
    <row r="21" spans="1:32">
      <c r="A21" s="35" t="str">
        <f>Scaled!A114</f>
        <v>5500K</v>
      </c>
      <c r="B21" s="165"/>
      <c r="C21" s="36" t="str">
        <f>Scaled!D114</f>
        <v/>
      </c>
      <c r="D21" s="36" t="str">
        <f>Scaled!E114</f>
        <v/>
      </c>
      <c r="E21" s="36" t="str">
        <f>Scaled!F114</f>
        <v/>
      </c>
      <c r="F21" s="36" t="str">
        <f>Scaled!G114</f>
        <v/>
      </c>
      <c r="P21" s="24">
        <f>D13</f>
        <v>0</v>
      </c>
      <c r="AA21" s="174"/>
      <c r="AB21" s="68" t="s">
        <v>51</v>
      </c>
      <c r="AC21" s="69">
        <v>5.8999999999999997E-2</v>
      </c>
      <c r="AD21" s="69">
        <v>6.7000000000000004E-2</v>
      </c>
      <c r="AE21" s="69">
        <v>0.13300000000000001</v>
      </c>
      <c r="AF21" s="69">
        <v>0.15</v>
      </c>
    </row>
    <row r="22" spans="1:32">
      <c r="A22" s="35" t="str">
        <f>Scaled!A115</f>
        <v>6500K</v>
      </c>
      <c r="B22" s="165"/>
      <c r="C22" s="36" t="str">
        <f>Scaled!D115</f>
        <v/>
      </c>
      <c r="D22" s="36" t="str">
        <f>Scaled!E115</f>
        <v/>
      </c>
      <c r="E22" s="36" t="str">
        <f>Scaled!F115</f>
        <v/>
      </c>
      <c r="F22" s="36" t="str">
        <f>Scaled!G115</f>
        <v/>
      </c>
      <c r="AC22" s="177" t="s">
        <v>52</v>
      </c>
      <c r="AD22" s="177"/>
      <c r="AE22" s="177" t="s">
        <v>53</v>
      </c>
      <c r="AF22" s="177"/>
    </row>
    <row r="23" spans="1:32">
      <c r="A23" s="35" t="str">
        <f>Scaled!A123</f>
        <v>Min</v>
      </c>
      <c r="B23" s="165"/>
      <c r="C23" s="36">
        <f>Scaled!D123</f>
        <v>1019.4055098181449</v>
      </c>
      <c r="D23" s="36">
        <f>Scaled!E123</f>
        <v>1084.5877962332645</v>
      </c>
      <c r="E23" s="36">
        <f>Scaled!F123</f>
        <v>1149.7700826483842</v>
      </c>
      <c r="F23" s="36">
        <f>Scaled!G123</f>
        <v>43.454857610079742</v>
      </c>
    </row>
    <row r="24" spans="1:32">
      <c r="A24" s="35" t="str">
        <f>Scaled!A124</f>
        <v>Max</v>
      </c>
      <c r="B24" s="165"/>
      <c r="C24" s="36">
        <f>Scaled!D124</f>
        <v>1019.4055098181449</v>
      </c>
      <c r="D24" s="36">
        <f>Scaled!E124</f>
        <v>1084.5877962332645</v>
      </c>
      <c r="E24" s="36">
        <f>Scaled!F124</f>
        <v>1149.7700826483842</v>
      </c>
      <c r="F24" s="36">
        <f>Scaled!G124</f>
        <v>43.454857610079742</v>
      </c>
      <c r="AA24" s="111">
        <f>125/(1+Scaled!E220)</f>
        <v>122.71025781570125</v>
      </c>
      <c r="AB24">
        <v>62.5</v>
      </c>
    </row>
    <row r="25" spans="1:32">
      <c r="A25" s="35" t="str">
        <f>Scaled!A125</f>
        <v>Median</v>
      </c>
      <c r="B25" s="165"/>
      <c r="C25" s="36">
        <f>Scaled!D125</f>
        <v>1019.4055098181449</v>
      </c>
      <c r="D25" s="36">
        <f>Scaled!E125</f>
        <v>1084.5877962332645</v>
      </c>
      <c r="E25" s="36">
        <f>Scaled!F125</f>
        <v>1149.7700826483842</v>
      </c>
      <c r="F25" s="36">
        <f>Scaled!G125</f>
        <v>43.454857610079742</v>
      </c>
      <c r="AA25" s="111">
        <f>AA24*2</f>
        <v>245.42051563140251</v>
      </c>
      <c r="AB25" s="111">
        <f>AB24*2</f>
        <v>125</v>
      </c>
    </row>
    <row r="26" spans="1:32">
      <c r="A26" s="35" t="str">
        <f>Scaled!A126</f>
        <v>Gain Error</v>
      </c>
      <c r="B26" s="165"/>
      <c r="C26" s="37">
        <f>Scaled!D126</f>
        <v>1.9405509818141389E-2</v>
      </c>
      <c r="D26" s="37">
        <f>Scaled!E126</f>
        <v>8.4587796233264331E-2</v>
      </c>
      <c r="E26" s="37">
        <f>Scaled!F126</f>
        <v>0.14977008264838726</v>
      </c>
      <c r="F26" s="37">
        <f>Scaled!G126</f>
        <v>4.3454857610081964E-2</v>
      </c>
      <c r="AA26" s="111">
        <f>AA25*8</f>
        <v>1963.3641250512201</v>
      </c>
      <c r="AB26" s="111">
        <f>AB25*8</f>
        <v>1000</v>
      </c>
    </row>
    <row r="27" spans="1:32">
      <c r="A27" s="35" t="str">
        <f>Scaled!A127</f>
        <v>LS2LS</v>
      </c>
      <c r="B27" s="165"/>
      <c r="C27" s="37">
        <f>Scaled!D127</f>
        <v>0</v>
      </c>
      <c r="D27" s="37">
        <f>Scaled!E127</f>
        <v>0</v>
      </c>
      <c r="E27" s="37">
        <f>Scaled!F127</f>
        <v>0</v>
      </c>
      <c r="F27" s="37">
        <f>Scaled!G127</f>
        <v>0</v>
      </c>
      <c r="AA27" s="111">
        <f>AA26*2</f>
        <v>3926.7282501024401</v>
      </c>
      <c r="AB27" s="111">
        <f>AB26*2</f>
        <v>2000</v>
      </c>
      <c r="AC27" s="27">
        <f>AA27/AB27-1</f>
        <v>0.96336412505122015</v>
      </c>
    </row>
    <row r="28" spans="1:32" ht="105" customHeight="1">
      <c r="A28" s="168" t="str">
        <f>"Gain Error="&amp;INT(Scaled!E220*1000)/10&amp;"%"</f>
        <v>Gain Error=1.8%</v>
      </c>
      <c r="B28" s="168"/>
      <c r="C28" s="168"/>
      <c r="D28" s="168"/>
      <c r="E28" s="168"/>
      <c r="F28" s="168"/>
    </row>
    <row r="29" spans="1:32" s="162" customFormat="1" ht="15" customHeight="1">
      <c r="A29" s="170" t="str">
        <f>lux_2&amp;" Lux Nominal"</f>
        <v>16000 Lux Nominal</v>
      </c>
      <c r="B29" s="170"/>
      <c r="C29" s="164" t="str">
        <f>C15</f>
        <v>X - 1.5σ</v>
      </c>
      <c r="D29" s="164" t="str">
        <f t="shared" ref="D29:F29" si="2">D15</f>
        <v>Mean</v>
      </c>
      <c r="E29" s="164" t="str">
        <f t="shared" si="2"/>
        <v>X + 1.5σ</v>
      </c>
      <c r="F29" s="164" t="str">
        <f t="shared" si="2"/>
        <v>STDEV</v>
      </c>
    </row>
    <row r="30" spans="1:32">
      <c r="A30" s="35" t="str">
        <f>Scaled!A134</f>
        <v>41F02</v>
      </c>
      <c r="B30" s="165" t="str">
        <f>Scaled!C134</f>
        <v>Range2</v>
      </c>
      <c r="C30" s="36" t="str">
        <f>Scaled!D134</f>
        <v/>
      </c>
      <c r="D30" s="36" t="str">
        <f>Scaled!E134</f>
        <v/>
      </c>
      <c r="E30" s="36" t="str">
        <f>Scaled!F134</f>
        <v/>
      </c>
      <c r="F30" s="36" t="str">
        <f>Scaled!G134</f>
        <v/>
      </c>
    </row>
    <row r="31" spans="1:32">
      <c r="A31" s="35" t="str">
        <f>Scaled!A135</f>
        <v>55F02</v>
      </c>
      <c r="B31" s="165"/>
      <c r="C31" s="36" t="str">
        <f>Scaled!D135</f>
        <v/>
      </c>
      <c r="D31" s="36" t="str">
        <f>Scaled!E135</f>
        <v/>
      </c>
      <c r="E31" s="36" t="str">
        <f>Scaled!F135</f>
        <v/>
      </c>
      <c r="F31" s="36" t="str">
        <f>Scaled!G135</f>
        <v/>
      </c>
    </row>
    <row r="32" spans="1:32">
      <c r="A32" s="35" t="str">
        <f>Scaled!A136</f>
        <v>65F01</v>
      </c>
      <c r="B32" s="165"/>
      <c r="C32" s="36" t="str">
        <f>Scaled!D136</f>
        <v/>
      </c>
      <c r="D32" s="36" t="str">
        <f>Scaled!E136</f>
        <v/>
      </c>
      <c r="E32" s="36" t="str">
        <f>Scaled!F136</f>
        <v/>
      </c>
      <c r="F32" s="36" t="str">
        <f>Scaled!G136</f>
        <v/>
      </c>
    </row>
    <row r="33" spans="1:6">
      <c r="A33" s="35" t="str">
        <f>Scaled!A137</f>
        <v>2700K</v>
      </c>
      <c r="B33" s="165"/>
      <c r="C33" s="36" t="str">
        <f>Scaled!D137</f>
        <v/>
      </c>
      <c r="D33" s="36" t="str">
        <f>Scaled!E137</f>
        <v/>
      </c>
      <c r="E33" s="36" t="str">
        <f>Scaled!F137</f>
        <v/>
      </c>
      <c r="F33" s="36" t="str">
        <f>Scaled!G137</f>
        <v/>
      </c>
    </row>
    <row r="34" spans="1:6">
      <c r="A34" s="35" t="str">
        <f>Scaled!A138</f>
        <v>3200K</v>
      </c>
      <c r="B34" s="165"/>
      <c r="C34" s="36">
        <f>Scaled!D138</f>
        <v>809.73230397370048</v>
      </c>
      <c r="D34" s="36">
        <f>Scaled!E138</f>
        <v>974.49578086185977</v>
      </c>
      <c r="E34" s="36">
        <f>Scaled!F138</f>
        <v>1139.2592577500191</v>
      </c>
      <c r="F34" s="36">
        <f>Scaled!G138</f>
        <v>109.84231792543949</v>
      </c>
    </row>
    <row r="35" spans="1:6">
      <c r="A35" s="35" t="str">
        <f>Scaled!A139</f>
        <v>5500K</v>
      </c>
      <c r="B35" s="165"/>
      <c r="C35" s="36" t="str">
        <f>Scaled!D139</f>
        <v/>
      </c>
      <c r="D35" s="36" t="str">
        <f>Scaled!E139</f>
        <v/>
      </c>
      <c r="E35" s="36" t="str">
        <f>Scaled!F139</f>
        <v/>
      </c>
      <c r="F35" s="36" t="str">
        <f>Scaled!G139</f>
        <v/>
      </c>
    </row>
    <row r="36" spans="1:6">
      <c r="A36" s="35" t="str">
        <f>Scaled!A140</f>
        <v>6500K</v>
      </c>
      <c r="B36" s="165"/>
      <c r="C36" s="36" t="str">
        <f>Scaled!D140</f>
        <v/>
      </c>
      <c r="D36" s="36" t="str">
        <f>Scaled!E140</f>
        <v/>
      </c>
      <c r="E36" s="36" t="str">
        <f>Scaled!F140</f>
        <v/>
      </c>
      <c r="F36" s="36" t="str">
        <f>Scaled!G140</f>
        <v/>
      </c>
    </row>
    <row r="37" spans="1:6">
      <c r="A37" s="35" t="str">
        <f>Scaled!A155</f>
        <v>Min</v>
      </c>
      <c r="B37" s="165"/>
      <c r="C37" s="36">
        <f>Scaled!D155</f>
        <v>809.73230397370048</v>
      </c>
      <c r="D37" s="36">
        <f>Scaled!E155</f>
        <v>974.49578086185977</v>
      </c>
      <c r="E37" s="36">
        <f>Scaled!F155</f>
        <v>1139.2592577500191</v>
      </c>
      <c r="F37" s="36">
        <f>Scaled!G155</f>
        <v>109.84231792543949</v>
      </c>
    </row>
    <row r="38" spans="1:6">
      <c r="A38" s="35" t="str">
        <f>Scaled!A156</f>
        <v>Max</v>
      </c>
      <c r="B38" s="165"/>
      <c r="C38" s="36">
        <f>Scaled!D156</f>
        <v>809.73230397370048</v>
      </c>
      <c r="D38" s="36">
        <f>Scaled!E156</f>
        <v>974.49578086185977</v>
      </c>
      <c r="E38" s="36">
        <f>Scaled!F156</f>
        <v>1139.2592577500191</v>
      </c>
      <c r="F38" s="36">
        <f>Scaled!G156</f>
        <v>109.84231792543949</v>
      </c>
    </row>
    <row r="39" spans="1:6">
      <c r="A39" s="35" t="str">
        <f>Scaled!A157</f>
        <v>Median</v>
      </c>
      <c r="B39" s="165"/>
      <c r="C39" s="36">
        <f>Scaled!D157</f>
        <v>809.73230397370048</v>
      </c>
      <c r="D39" s="36">
        <f>Scaled!E157</f>
        <v>974.49578086185977</v>
      </c>
      <c r="E39" s="36">
        <f>Scaled!F157</f>
        <v>1139.2592577500191</v>
      </c>
      <c r="F39" s="36">
        <f>Scaled!G157</f>
        <v>109.84231792543949</v>
      </c>
    </row>
    <row r="40" spans="1:6">
      <c r="A40" s="35" t="str">
        <f>Scaled!A158</f>
        <v>Gain Error</v>
      </c>
      <c r="B40" s="165"/>
      <c r="C40" s="37">
        <f>Scaled!D158</f>
        <v>-0.19026769602629978</v>
      </c>
      <c r="D40" s="37">
        <f>Scaled!E158</f>
        <v>-2.5504219138140289E-2</v>
      </c>
      <c r="E40" s="37">
        <f>Scaled!F158</f>
        <v>0.13925925775001918</v>
      </c>
      <c r="F40" s="37">
        <f>Scaled!G158</f>
        <v>0.10984231792543965</v>
      </c>
    </row>
    <row r="41" spans="1:6">
      <c r="A41" s="35" t="str">
        <f>Scaled!A159</f>
        <v>LS2LS</v>
      </c>
      <c r="B41" s="165"/>
      <c r="C41" s="37">
        <f>Scaled!D159</f>
        <v>0</v>
      </c>
      <c r="D41" s="37">
        <f>Scaled!E159</f>
        <v>0</v>
      </c>
      <c r="E41" s="37">
        <f>Scaled!F159</f>
        <v>0</v>
      </c>
      <c r="F41" s="37">
        <f>Scaled!G159</f>
        <v>0</v>
      </c>
    </row>
    <row r="42" spans="1:6" ht="105" customHeight="1">
      <c r="A42" s="169" t="str">
        <f>"Gain Mismatch= ±"&amp;INT(Scaled!E221*1000)/10&amp;"%"</f>
        <v>Gain Mismatch= ±6.5%</v>
      </c>
      <c r="B42" s="169"/>
      <c r="C42" s="169"/>
      <c r="D42" s="169"/>
      <c r="E42" s="169"/>
      <c r="F42" s="169"/>
    </row>
    <row r="43" spans="1:6" s="162" customFormat="1" ht="15" customHeight="1">
      <c r="A43" s="170" t="str">
        <f>lux_3&amp;" Lux Nominal"</f>
        <v>64000 Lux Nominal</v>
      </c>
      <c r="B43" s="170"/>
      <c r="C43" s="164" t="str">
        <f>C29</f>
        <v>X - 1.5σ</v>
      </c>
      <c r="D43" s="164" t="str">
        <f t="shared" ref="D43:F43" si="3">D29</f>
        <v>Mean</v>
      </c>
      <c r="E43" s="164" t="str">
        <f t="shared" si="3"/>
        <v>X + 1.5σ</v>
      </c>
      <c r="F43" s="164" t="str">
        <f t="shared" si="3"/>
        <v>STDEV</v>
      </c>
    </row>
    <row r="44" spans="1:6">
      <c r="A44" s="35" t="str">
        <f>Scaled!A171</f>
        <v>41F02</v>
      </c>
      <c r="B44" s="165" t="str">
        <f>Scaled!C171</f>
        <v>Range3</v>
      </c>
      <c r="C44" s="36" t="str">
        <f>Scaled!D171</f>
        <v/>
      </c>
      <c r="D44" s="36" t="str">
        <f>Scaled!E171</f>
        <v/>
      </c>
      <c r="E44" s="36" t="str">
        <f>Scaled!F171</f>
        <v/>
      </c>
      <c r="F44" s="36" t="str">
        <f>Scaled!G171</f>
        <v/>
      </c>
    </row>
    <row r="45" spans="1:6">
      <c r="A45" s="35" t="str">
        <f>Scaled!A172</f>
        <v>55F02</v>
      </c>
      <c r="B45" s="165"/>
      <c r="C45" s="36" t="str">
        <f>Scaled!D172</f>
        <v/>
      </c>
      <c r="D45" s="36" t="str">
        <f>Scaled!E172</f>
        <v/>
      </c>
      <c r="E45" s="36" t="str">
        <f>Scaled!F172</f>
        <v/>
      </c>
      <c r="F45" s="36" t="str">
        <f>Scaled!G172</f>
        <v/>
      </c>
    </row>
    <row r="46" spans="1:6">
      <c r="A46" s="35" t="str">
        <f>Scaled!A173</f>
        <v>65F01</v>
      </c>
      <c r="B46" s="165"/>
      <c r="C46" s="36" t="str">
        <f>Scaled!D173</f>
        <v/>
      </c>
      <c r="D46" s="36" t="str">
        <f>Scaled!E173</f>
        <v/>
      </c>
      <c r="E46" s="36" t="str">
        <f>Scaled!F173</f>
        <v/>
      </c>
      <c r="F46" s="36" t="str">
        <f>Scaled!G173</f>
        <v/>
      </c>
    </row>
    <row r="47" spans="1:6">
      <c r="A47" s="35" t="str">
        <f>Scaled!A174</f>
        <v>2700K</v>
      </c>
      <c r="B47" s="165"/>
      <c r="C47" s="36" t="str">
        <f>Scaled!D174</f>
        <v/>
      </c>
      <c r="D47" s="36" t="str">
        <f>Scaled!E174</f>
        <v/>
      </c>
      <c r="E47" s="36" t="str">
        <f>Scaled!F174</f>
        <v/>
      </c>
      <c r="F47" s="36" t="str">
        <f>Scaled!G174</f>
        <v/>
      </c>
    </row>
    <row r="48" spans="1:6">
      <c r="A48" s="35" t="str">
        <f>Scaled!A175</f>
        <v>3200K</v>
      </c>
      <c r="B48" s="165"/>
      <c r="C48" s="36">
        <f>Scaled!D175</f>
        <v>810.45695725749715</v>
      </c>
      <c r="D48" s="36">
        <f>Scaled!E175</f>
        <v>971.04499921490094</v>
      </c>
      <c r="E48" s="36">
        <f>Scaled!F175</f>
        <v>1131.6330411723047</v>
      </c>
      <c r="F48" s="36">
        <f>Scaled!G175</f>
        <v>107.05869463826917</v>
      </c>
    </row>
    <row r="49" spans="1:6">
      <c r="A49" s="35" t="str">
        <f>Scaled!A176</f>
        <v>5500K</v>
      </c>
      <c r="B49" s="165"/>
      <c r="C49" s="36" t="str">
        <f>Scaled!D176</f>
        <v/>
      </c>
      <c r="D49" s="36" t="str">
        <f>Scaled!E176</f>
        <v/>
      </c>
      <c r="E49" s="36" t="str">
        <f>Scaled!F176</f>
        <v/>
      </c>
      <c r="F49" s="36" t="str">
        <f>Scaled!G176</f>
        <v/>
      </c>
    </row>
    <row r="50" spans="1:6">
      <c r="A50" s="35" t="str">
        <f>Scaled!A177</f>
        <v>6500K</v>
      </c>
      <c r="B50" s="165"/>
      <c r="C50" s="36" t="str">
        <f>Scaled!D177</f>
        <v/>
      </c>
      <c r="D50" s="36" t="str">
        <f>Scaled!E177</f>
        <v/>
      </c>
      <c r="E50" s="36" t="str">
        <f>Scaled!F177</f>
        <v/>
      </c>
      <c r="F50" s="36" t="str">
        <f>Scaled!G177</f>
        <v/>
      </c>
    </row>
    <row r="51" spans="1:6">
      <c r="A51" s="35" t="str">
        <f>Scaled!A199</f>
        <v>Min</v>
      </c>
      <c r="B51" s="165"/>
      <c r="C51" s="36">
        <f>Scaled!D199</f>
        <v>810.45695725749715</v>
      </c>
      <c r="D51" s="36">
        <f>Scaled!E199</f>
        <v>971.04499921490094</v>
      </c>
      <c r="E51" s="36">
        <f>Scaled!F199</f>
        <v>1131.6330411723047</v>
      </c>
      <c r="F51" s="36">
        <f>Scaled!G199</f>
        <v>107.05869463826917</v>
      </c>
    </row>
    <row r="52" spans="1:6">
      <c r="A52" s="35" t="str">
        <f>Scaled!A200</f>
        <v>Max</v>
      </c>
      <c r="B52" s="165"/>
      <c r="C52" s="36">
        <f>Scaled!D200</f>
        <v>810.45695725749715</v>
      </c>
      <c r="D52" s="36">
        <f>Scaled!E200</f>
        <v>971.04499921490094</v>
      </c>
      <c r="E52" s="36">
        <f>Scaled!F200</f>
        <v>1131.6330411723047</v>
      </c>
      <c r="F52" s="36">
        <f>Scaled!G200</f>
        <v>107.05869463826917</v>
      </c>
    </row>
    <row r="53" spans="1:6">
      <c r="A53" s="35" t="str">
        <f>Scaled!A201</f>
        <v>Median</v>
      </c>
      <c r="B53" s="165"/>
      <c r="C53" s="36">
        <f>Scaled!D201</f>
        <v>810.45695725749715</v>
      </c>
      <c r="D53" s="36">
        <f>Scaled!E201</f>
        <v>971.04499921490094</v>
      </c>
      <c r="E53" s="36">
        <f>Scaled!F201</f>
        <v>1131.6330411723047</v>
      </c>
      <c r="F53" s="36">
        <f>Scaled!G201</f>
        <v>107.05869463826917</v>
      </c>
    </row>
    <row r="54" spans="1:6">
      <c r="A54" s="35" t="str">
        <f>Scaled!A202</f>
        <v>Gain Error</v>
      </c>
      <c r="B54" s="165"/>
      <c r="C54" s="37">
        <f>Scaled!D202</f>
        <v>-0.18954304274250536</v>
      </c>
      <c r="D54" s="37">
        <f>Scaled!E202</f>
        <v>-2.8955000785099234E-2</v>
      </c>
      <c r="E54" s="37">
        <f>Scaled!F202</f>
        <v>0.13163304117230687</v>
      </c>
      <c r="F54" s="37">
        <f>Scaled!G202</f>
        <v>0.10705869463827074</v>
      </c>
    </row>
    <row r="55" spans="1:6">
      <c r="A55" s="35" t="str">
        <f>Scaled!A203</f>
        <v>LS2LS</v>
      </c>
      <c r="B55" s="165"/>
      <c r="C55" s="37">
        <f>Scaled!D203</f>
        <v>0</v>
      </c>
      <c r="D55" s="37">
        <f>Scaled!E203</f>
        <v>0</v>
      </c>
      <c r="E55" s="37">
        <f>Scaled!F203</f>
        <v>0</v>
      </c>
      <c r="F55" s="37">
        <f>Scaled!G203</f>
        <v>0</v>
      </c>
    </row>
  </sheetData>
  <mergeCells count="21">
    <mergeCell ref="AC22:AD22"/>
    <mergeCell ref="AE22:AF22"/>
    <mergeCell ref="AC8:AD8"/>
    <mergeCell ref="AE8:AF8"/>
    <mergeCell ref="AA16:AF16"/>
    <mergeCell ref="AA2:AF2"/>
    <mergeCell ref="AA18:AA19"/>
    <mergeCell ref="AA4:AA5"/>
    <mergeCell ref="AA20:AA21"/>
    <mergeCell ref="AA6:AA7"/>
    <mergeCell ref="B44:B55"/>
    <mergeCell ref="A1:B1"/>
    <mergeCell ref="B2:B13"/>
    <mergeCell ref="B16:B27"/>
    <mergeCell ref="B30:B41"/>
    <mergeCell ref="A14:F14"/>
    <mergeCell ref="A28:F28"/>
    <mergeCell ref="A42:F42"/>
    <mergeCell ref="A15:B15"/>
    <mergeCell ref="A29:B29"/>
    <mergeCell ref="A43:B43"/>
  </mergeCells>
  <pageMargins left="0.7" right="0.7" top="0.75" bottom="0.75" header="0.3" footer="0.3"/>
  <pageSetup orientation="portrait" horizontalDpi="300" verticalDpi="300" r:id="rId1"/>
  <ignoredErrors>
    <ignoredError sqref="AA26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/>
  <dimension ref="B2:AD101"/>
  <sheetViews>
    <sheetView zoomScale="70" zoomScaleNormal="70" workbookViewId="0">
      <selection activeCell="I9" sqref="I9"/>
    </sheetView>
    <sheetView zoomScale="70" zoomScaleNormal="70" workbookViewId="1">
      <selection activeCell="C16" sqref="C16"/>
    </sheetView>
  </sheetViews>
  <sheetFormatPr defaultRowHeight="15"/>
  <cols>
    <col min="2" max="2" width="16.7109375" bestFit="1" customWidth="1"/>
    <col min="3" max="3" width="12.85546875" style="112" bestFit="1" customWidth="1"/>
    <col min="25" max="25" width="7.42578125" style="121" bestFit="1" customWidth="1"/>
    <col min="26" max="26" width="3.85546875" style="121" bestFit="1" customWidth="1"/>
    <col min="27" max="29" width="3" style="121" bestFit="1" customWidth="1"/>
  </cols>
  <sheetData>
    <row r="2" spans="2:30" ht="15.75" thickBot="1">
      <c r="B2" t="s">
        <v>74</v>
      </c>
      <c r="C2" s="135" t="b">
        <v>1</v>
      </c>
      <c r="D2" s="126" t="s">
        <v>79</v>
      </c>
      <c r="G2" s="193" t="s">
        <v>41</v>
      </c>
      <c r="H2" s="194"/>
      <c r="I2" s="150" t="b">
        <v>0</v>
      </c>
    </row>
    <row r="3" spans="2:30">
      <c r="B3" s="40" t="s">
        <v>75</v>
      </c>
      <c r="C3" s="135">
        <v>2</v>
      </c>
      <c r="D3" s="127">
        <f>C3*(useFilterWheels=TRUE)+AA16*(useFilterWheels=11)+AB14*(useFilterWheels=28)+AC16*(useFilterWheels=38)</f>
        <v>2</v>
      </c>
      <c r="E3" s="129">
        <f>VLOOKUP(rng0Fw,Y$6:Z$11,2)</f>
        <v>4</v>
      </c>
      <c r="G3" s="195" t="s">
        <v>58</v>
      </c>
      <c r="H3" s="196"/>
      <c r="I3" s="151" t="b">
        <v>1</v>
      </c>
      <c r="Y3" s="183" t="s">
        <v>85</v>
      </c>
      <c r="Z3" s="184"/>
      <c r="AA3" s="184"/>
      <c r="AB3" s="184"/>
      <c r="AC3" s="185"/>
    </row>
    <row r="4" spans="2:30">
      <c r="B4" s="40" t="s">
        <v>76</v>
      </c>
      <c r="C4" s="135">
        <v>1</v>
      </c>
      <c r="D4" s="127">
        <f>C4*(useFilterWheels=TRUE)+AA15*(useFilterWheels=11)+AB13*(useFilterWheels=28)+AC15*(useFilterWheels=38)</f>
        <v>1</v>
      </c>
      <c r="E4" s="129">
        <f>VLOOKUP(rng1Fw,Y$6:Z$11,2)</f>
        <v>2</v>
      </c>
      <c r="G4" s="195" t="s">
        <v>65</v>
      </c>
      <c r="H4" s="196"/>
      <c r="I4" s="151" t="b">
        <v>0</v>
      </c>
      <c r="Y4" s="186"/>
      <c r="Z4" s="187"/>
      <c r="AA4" s="187"/>
      <c r="AB4" s="187"/>
      <c r="AC4" s="188"/>
    </row>
    <row r="5" spans="2:30">
      <c r="B5" s="40" t="s">
        <v>77</v>
      </c>
      <c r="C5" s="135">
        <v>0</v>
      </c>
      <c r="D5" s="127">
        <f>C5*(useFilterWheels=TRUE)+AA14*(useFilterWheels=11)+AB13*(useFilterWheels=28)+AC14*(useFilterWheels=38)</f>
        <v>0</v>
      </c>
      <c r="E5" s="129">
        <f>VLOOKUP(rng2Fw,Y$6:Z$11,2)</f>
        <v>1</v>
      </c>
      <c r="G5" s="197" t="s">
        <v>60</v>
      </c>
      <c r="H5" s="198"/>
      <c r="I5" s="152">
        <v>4</v>
      </c>
      <c r="Y5" s="137" t="s">
        <v>81</v>
      </c>
      <c r="Z5" s="5" t="s">
        <v>82</v>
      </c>
      <c r="AA5" s="5">
        <v>11</v>
      </c>
      <c r="AB5" s="5">
        <v>28</v>
      </c>
      <c r="AC5" s="138">
        <v>38</v>
      </c>
    </row>
    <row r="6" spans="2:30">
      <c r="B6" s="40" t="s">
        <v>78</v>
      </c>
      <c r="C6" s="135">
        <v>0</v>
      </c>
      <c r="D6" s="128">
        <f>C6*(useFilterWheels=TRUE)+AA13*(useFilterWheels=11)+AB13*(useFilterWheels=28)+AC13*(useFilterWheels=38)</f>
        <v>0</v>
      </c>
      <c r="E6" s="129">
        <f>VLOOKUP(rng3Fw,Y$6:Z$11,2)</f>
        <v>1</v>
      </c>
      <c r="Y6" s="137">
        <v>0</v>
      </c>
      <c r="Z6" s="5">
        <v>1</v>
      </c>
      <c r="AA6" s="139"/>
      <c r="AB6" s="139"/>
      <c r="AC6" s="140"/>
    </row>
    <row r="7" spans="2:30">
      <c r="Y7" s="137">
        <f>Y6+1</f>
        <v>1</v>
      </c>
      <c r="Z7" s="5">
        <v>2</v>
      </c>
      <c r="AA7" s="5"/>
      <c r="AB7" s="5"/>
      <c r="AC7" s="140"/>
      <c r="AD7" s="22">
        <f>LOG10(Z7)</f>
        <v>0.3010299956639812</v>
      </c>
    </row>
    <row r="8" spans="2:30">
      <c r="C8" s="199"/>
      <c r="D8" s="133" t="s">
        <v>1</v>
      </c>
      <c r="E8" s="201" t="s">
        <v>84</v>
      </c>
      <c r="F8" s="201"/>
      <c r="G8" s="201"/>
      <c r="H8" s="201"/>
      <c r="I8" s="201"/>
      <c r="J8" s="201"/>
      <c r="K8" s="202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Y8" s="137">
        <f t="shared" ref="Y8:Y11" si="0">Y7+1</f>
        <v>2</v>
      </c>
      <c r="Z8" s="5">
        <v>4</v>
      </c>
      <c r="AA8" s="139"/>
      <c r="AB8" s="5"/>
      <c r="AC8" s="138"/>
      <c r="AD8" s="22">
        <f t="shared" ref="AD8:AD11" si="1">LOG10(Z8)</f>
        <v>0.6020599913279624</v>
      </c>
    </row>
    <row r="9" spans="2:30">
      <c r="C9" s="200"/>
      <c r="D9" s="132" t="s">
        <v>83</v>
      </c>
      <c r="E9" s="133" t="str">
        <f>Calculations!C1</f>
        <v>41F02</v>
      </c>
      <c r="F9" s="133" t="str">
        <f>Calculations!H1</f>
        <v>55F02</v>
      </c>
      <c r="G9" s="133" t="str">
        <f>Calculations!M1</f>
        <v>65F01</v>
      </c>
      <c r="H9" s="133" t="str">
        <f>Calculations!R1</f>
        <v>2700K</v>
      </c>
      <c r="I9" s="133" t="str">
        <f>Calculations!W1</f>
        <v>3200K</v>
      </c>
      <c r="J9" s="133" t="str">
        <f>Calculations!AB1</f>
        <v>5500K</v>
      </c>
      <c r="K9" s="134" t="str">
        <f>Calculations!AG1</f>
        <v>6500K</v>
      </c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Y9" s="137">
        <f t="shared" si="0"/>
        <v>3</v>
      </c>
      <c r="Z9" s="5">
        <v>16</v>
      </c>
      <c r="AA9" s="139"/>
      <c r="AB9" s="139"/>
      <c r="AC9" s="140"/>
      <c r="AD9" s="22">
        <f t="shared" si="1"/>
        <v>1.2041199826559248</v>
      </c>
    </row>
    <row r="10" spans="2:30">
      <c r="C10" s="4" t="s">
        <v>6</v>
      </c>
      <c r="D10" s="159">
        <v>1000</v>
      </c>
      <c r="E10" s="155">
        <v>48.5</v>
      </c>
      <c r="F10" s="156">
        <v>42.1</v>
      </c>
      <c r="G10" s="156">
        <v>45.7</v>
      </c>
      <c r="H10" s="156">
        <v>35.5</v>
      </c>
      <c r="I10" s="156">
        <v>821</v>
      </c>
      <c r="J10" s="156">
        <v>29.9</v>
      </c>
      <c r="K10" s="157">
        <v>32.200000000000003</v>
      </c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Y10" s="137">
        <f t="shared" si="0"/>
        <v>4</v>
      </c>
      <c r="Z10" s="5">
        <v>32</v>
      </c>
      <c r="AA10" s="5"/>
      <c r="AB10" s="5"/>
      <c r="AC10" s="140"/>
      <c r="AD10" s="22">
        <f t="shared" si="1"/>
        <v>1.505149978319906</v>
      </c>
    </row>
    <row r="11" spans="2:30">
      <c r="C11" s="4" t="s">
        <v>7</v>
      </c>
      <c r="D11" s="4">
        <f>lux_0*4</f>
        <v>4000</v>
      </c>
      <c r="E11" s="7">
        <v>103.1</v>
      </c>
      <c r="F11" s="8">
        <v>89.6</v>
      </c>
      <c r="G11" s="8">
        <v>97</v>
      </c>
      <c r="H11" s="8">
        <v>188.5</v>
      </c>
      <c r="I11" s="8">
        <v>821</v>
      </c>
      <c r="J11" s="8">
        <v>159.19999999999999</v>
      </c>
      <c r="K11" s="100">
        <v>172.5</v>
      </c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Y11" s="137">
        <f t="shared" si="0"/>
        <v>5</v>
      </c>
      <c r="Z11" s="5">
        <v>64</v>
      </c>
      <c r="AA11" s="139"/>
      <c r="AB11" s="5"/>
      <c r="AC11" s="138"/>
      <c r="AD11" s="22">
        <f t="shared" si="1"/>
        <v>1.8061799739838871</v>
      </c>
    </row>
    <row r="12" spans="2:30">
      <c r="C12" s="4" t="s">
        <v>8</v>
      </c>
      <c r="D12" s="4">
        <f>lux_1*4</f>
        <v>16000</v>
      </c>
      <c r="E12" s="7">
        <v>195.4</v>
      </c>
      <c r="F12" s="8">
        <v>169.6</v>
      </c>
      <c r="G12" s="8">
        <v>183.1</v>
      </c>
      <c r="H12" s="8">
        <v>1330</v>
      </c>
      <c r="I12" s="8">
        <v>821</v>
      </c>
      <c r="J12" s="8">
        <v>1111</v>
      </c>
      <c r="K12" s="100">
        <v>1193</v>
      </c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Y12" s="137"/>
      <c r="Z12" s="5"/>
      <c r="AA12" s="5"/>
      <c r="AB12" s="5"/>
      <c r="AC12" s="138"/>
    </row>
    <row r="13" spans="2:30">
      <c r="C13" s="79" t="s">
        <v>9</v>
      </c>
      <c r="D13" s="79">
        <f>lux_2*4</f>
        <v>64000</v>
      </c>
      <c r="E13" s="158"/>
      <c r="F13" s="153"/>
      <c r="G13" s="153"/>
      <c r="H13" s="153">
        <v>2531</v>
      </c>
      <c r="I13" s="153">
        <v>821</v>
      </c>
      <c r="J13" s="153">
        <v>2104</v>
      </c>
      <c r="K13" s="154">
        <v>2248</v>
      </c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Y13" s="141" t="b">
        <v>1</v>
      </c>
      <c r="Z13" s="5"/>
      <c r="AA13" s="5">
        <v>0</v>
      </c>
      <c r="AB13" s="5">
        <v>0</v>
      </c>
      <c r="AC13" s="138">
        <v>0</v>
      </c>
    </row>
    <row r="14" spans="2:30" ht="15.75" thickBot="1">
      <c r="Y14" s="141" t="b">
        <v>0</v>
      </c>
      <c r="Z14" s="5"/>
      <c r="AA14" s="5">
        <v>2</v>
      </c>
      <c r="AB14" s="5">
        <v>3</v>
      </c>
      <c r="AC14" s="138">
        <v>1</v>
      </c>
    </row>
    <row r="15" spans="2:30">
      <c r="B15" s="181" t="s">
        <v>26</v>
      </c>
      <c r="C15" s="182"/>
      <c r="E15" s="177" t="s">
        <v>101</v>
      </c>
      <c r="F15" s="177"/>
      <c r="G15" s="177"/>
      <c r="H15" s="177"/>
      <c r="I15" s="177"/>
      <c r="J15" s="177"/>
      <c r="K15" s="177"/>
      <c r="Y15" s="137">
        <f>AA5</f>
        <v>11</v>
      </c>
      <c r="Z15" s="5"/>
      <c r="AA15" s="5">
        <v>3</v>
      </c>
      <c r="AB15" s="5"/>
      <c r="AC15" s="138">
        <v>3</v>
      </c>
    </row>
    <row r="16" spans="2:30">
      <c r="B16" s="28" t="s">
        <v>28</v>
      </c>
      <c r="C16" s="31">
        <v>8.4</v>
      </c>
      <c r="E16" s="177" t="s">
        <v>90</v>
      </c>
      <c r="F16" s="177"/>
      <c r="G16" s="177" t="s">
        <v>91</v>
      </c>
      <c r="H16" s="177"/>
      <c r="I16" s="177" t="s">
        <v>92</v>
      </c>
      <c r="J16" s="177"/>
      <c r="K16" s="129" t="s">
        <v>102</v>
      </c>
      <c r="Y16" s="137">
        <f>AB5</f>
        <v>28</v>
      </c>
      <c r="Z16" s="5"/>
      <c r="AA16" s="5">
        <v>5</v>
      </c>
      <c r="AB16" s="5"/>
      <c r="AC16" s="138">
        <v>4</v>
      </c>
    </row>
    <row r="17" spans="2:29" ht="15.75" thickBot="1">
      <c r="B17" s="29" t="s">
        <v>29</v>
      </c>
      <c r="C17" s="32">
        <v>14.6</v>
      </c>
      <c r="E17" s="191" t="s">
        <v>106</v>
      </c>
      <c r="F17" s="191"/>
      <c r="G17" s="40" t="s">
        <v>93</v>
      </c>
      <c r="H17" s="135" t="b">
        <v>1</v>
      </c>
      <c r="I17" s="40" t="s">
        <v>97</v>
      </c>
      <c r="J17" s="135" t="b">
        <v>1</v>
      </c>
      <c r="K17" s="192"/>
      <c r="Y17" s="142">
        <f>AC5</f>
        <v>38</v>
      </c>
      <c r="Z17" s="143"/>
      <c r="AA17" s="143"/>
      <c r="AB17" s="143"/>
      <c r="AC17" s="144"/>
    </row>
    <row r="18" spans="2:29" ht="15.75" thickBot="1">
      <c r="B18" s="29" t="s">
        <v>27</v>
      </c>
      <c r="C18" s="33" t="s">
        <v>104</v>
      </c>
      <c r="E18" s="191"/>
      <c r="F18" s="191"/>
      <c r="G18" s="40" t="s">
        <v>94</v>
      </c>
      <c r="H18" s="135" t="b">
        <v>1</v>
      </c>
      <c r="I18" s="40" t="s">
        <v>98</v>
      </c>
      <c r="J18" s="135" t="b">
        <v>1</v>
      </c>
      <c r="K18" s="192"/>
      <c r="Y18" s="5"/>
      <c r="Z18" s="5"/>
      <c r="AA18" s="5"/>
      <c r="AB18" s="5"/>
      <c r="AC18" s="5"/>
    </row>
    <row r="19" spans="2:29" ht="15.75" thickBot="1">
      <c r="B19" s="63" t="s">
        <v>30</v>
      </c>
      <c r="C19" s="109">
        <v>100</v>
      </c>
      <c r="E19" s="191"/>
      <c r="F19" s="191"/>
      <c r="G19" s="40" t="s">
        <v>95</v>
      </c>
      <c r="H19" s="135" t="b">
        <v>1</v>
      </c>
      <c r="I19" s="40" t="s">
        <v>99</v>
      </c>
      <c r="J19" s="135" t="b">
        <v>1</v>
      </c>
      <c r="K19" s="192"/>
      <c r="Y19" s="5"/>
      <c r="Z19" s="5"/>
      <c r="AA19" s="5"/>
      <c r="AB19" s="5"/>
      <c r="AC19" s="5"/>
    </row>
    <row r="20" spans="2:29" ht="15.75" thickBot="1">
      <c r="B20" s="63" t="s">
        <v>63</v>
      </c>
      <c r="C20" s="109">
        <v>13</v>
      </c>
      <c r="E20" s="191"/>
      <c r="F20" s="191"/>
      <c r="G20" s="40" t="s">
        <v>96</v>
      </c>
      <c r="H20" s="135" t="b">
        <v>1</v>
      </c>
      <c r="I20" s="40" t="s">
        <v>100</v>
      </c>
      <c r="J20" s="135" t="b">
        <v>1</v>
      </c>
      <c r="K20" s="192"/>
      <c r="Y20" s="5"/>
      <c r="Z20" s="5"/>
      <c r="AA20" s="5"/>
      <c r="AB20" s="5"/>
      <c r="AC20" s="5"/>
    </row>
    <row r="21" spans="2:29">
      <c r="B21" s="64"/>
      <c r="C21" s="149"/>
      <c r="E21" s="191" t="s">
        <v>105</v>
      </c>
      <c r="F21" s="191"/>
      <c r="G21" s="40" t="s">
        <v>93</v>
      </c>
      <c r="H21" s="135" t="b">
        <v>1</v>
      </c>
      <c r="I21" s="40" t="s">
        <v>97</v>
      </c>
      <c r="J21" s="135" t="b">
        <v>1</v>
      </c>
      <c r="K21" s="192"/>
      <c r="Y21" s="5"/>
      <c r="Z21" s="5"/>
      <c r="AA21" s="5"/>
      <c r="AB21" s="5"/>
      <c r="AC21" s="5"/>
    </row>
    <row r="22" spans="2:29">
      <c r="B22" s="64"/>
      <c r="C22" s="149"/>
      <c r="E22" s="191"/>
      <c r="F22" s="191"/>
      <c r="G22" s="40" t="s">
        <v>94</v>
      </c>
      <c r="H22" s="135" t="b">
        <v>1</v>
      </c>
      <c r="I22" s="40" t="s">
        <v>98</v>
      </c>
      <c r="J22" s="135" t="b">
        <v>1</v>
      </c>
      <c r="K22" s="192"/>
      <c r="Y22" s="5"/>
      <c r="Z22" s="5"/>
      <c r="AA22" s="5"/>
      <c r="AB22" s="5"/>
      <c r="AC22" s="5"/>
    </row>
    <row r="23" spans="2:29">
      <c r="B23" s="64"/>
      <c r="C23" s="149"/>
      <c r="E23" s="191"/>
      <c r="F23" s="191"/>
      <c r="G23" s="40" t="s">
        <v>95</v>
      </c>
      <c r="H23" s="135" t="b">
        <v>1</v>
      </c>
      <c r="I23" s="40" t="s">
        <v>99</v>
      </c>
      <c r="J23" s="135" t="b">
        <v>1</v>
      </c>
      <c r="K23" s="192"/>
      <c r="Y23" s="5"/>
      <c r="Z23" s="5"/>
      <c r="AA23" s="5"/>
      <c r="AB23" s="5"/>
      <c r="AC23" s="5"/>
    </row>
    <row r="24" spans="2:29">
      <c r="B24" s="64"/>
      <c r="C24" s="149"/>
      <c r="E24" s="191"/>
      <c r="F24" s="191"/>
      <c r="G24" s="40" t="s">
        <v>96</v>
      </c>
      <c r="H24" s="135" t="b">
        <v>0</v>
      </c>
      <c r="I24" s="40" t="s">
        <v>100</v>
      </c>
      <c r="J24" s="135" t="b">
        <v>1</v>
      </c>
      <c r="K24" s="192"/>
      <c r="Y24" s="5"/>
      <c r="Z24" s="5"/>
      <c r="AA24" s="5"/>
      <c r="AB24" s="5"/>
      <c r="AC24" s="5"/>
    </row>
    <row r="25" spans="2:29">
      <c r="E25" s="190" t="str">
        <f>E9&amp;"="</f>
        <v>41F02=</v>
      </c>
      <c r="F25" s="189" t="b">
        <v>1</v>
      </c>
      <c r="G25" s="190" t="s">
        <v>93</v>
      </c>
      <c r="H25" s="189" t="b">
        <v>1</v>
      </c>
      <c r="I25" s="40" t="s">
        <v>97</v>
      </c>
      <c r="J25" s="135" t="b">
        <v>1</v>
      </c>
      <c r="K25" s="129">
        <f>F25*H25*H$17*H$21*J25*J$17</f>
        <v>1</v>
      </c>
    </row>
    <row r="26" spans="2:29">
      <c r="E26" s="190"/>
      <c r="F26" s="189"/>
      <c r="G26" s="190"/>
      <c r="H26" s="189"/>
      <c r="I26" s="40" t="s">
        <v>98</v>
      </c>
      <c r="J26" s="135" t="b">
        <v>1</v>
      </c>
      <c r="K26" s="147">
        <f>F25*H25*H$17*H$21*J26*J$18</f>
        <v>1</v>
      </c>
    </row>
    <row r="27" spans="2:29">
      <c r="E27" s="190"/>
      <c r="F27" s="189"/>
      <c r="G27" s="190"/>
      <c r="H27" s="189"/>
      <c r="I27" s="40" t="s">
        <v>99</v>
      </c>
      <c r="J27" s="135" t="b">
        <v>1</v>
      </c>
      <c r="K27" s="147">
        <f>F25*H25*H$17*H$21*J27*J$19</f>
        <v>1</v>
      </c>
    </row>
    <row r="28" spans="2:29">
      <c r="E28" s="190"/>
      <c r="F28" s="189"/>
      <c r="G28" s="190"/>
      <c r="H28" s="189"/>
      <c r="I28" s="40" t="s">
        <v>100</v>
      </c>
      <c r="J28" s="135" t="b">
        <v>1</v>
      </c>
      <c r="K28" s="147">
        <f>F25*H25*H$17*H$21*J28*J$20</f>
        <v>1</v>
      </c>
      <c r="P28" s="40"/>
    </row>
    <row r="29" spans="2:29">
      <c r="B29" s="64"/>
      <c r="C29" s="149"/>
      <c r="E29" s="190"/>
      <c r="F29" s="189"/>
      <c r="G29" s="190"/>
      <c r="H29" s="189"/>
      <c r="I29" s="40" t="s">
        <v>103</v>
      </c>
      <c r="J29" s="135" t="b">
        <v>1</v>
      </c>
      <c r="K29" s="129">
        <f>F25*H25*J29</f>
        <v>1</v>
      </c>
      <c r="Y29" s="129"/>
      <c r="Z29" s="129"/>
      <c r="AA29" s="129"/>
      <c r="AB29" s="129"/>
      <c r="AC29" s="129"/>
    </row>
    <row r="30" spans="2:29">
      <c r="E30" s="190"/>
      <c r="F30" s="189"/>
      <c r="G30" s="190" t="s">
        <v>94</v>
      </c>
      <c r="H30" s="189" t="b">
        <v>1</v>
      </c>
      <c r="I30" s="40" t="s">
        <v>98</v>
      </c>
      <c r="J30" s="135" t="b">
        <v>1</v>
      </c>
      <c r="K30" s="147">
        <f>F25*H25*H$18*H$22*J30*J$18</f>
        <v>1</v>
      </c>
    </row>
    <row r="31" spans="2:29">
      <c r="E31" s="190"/>
      <c r="F31" s="189"/>
      <c r="G31" s="190"/>
      <c r="H31" s="189"/>
      <c r="I31" s="40" t="s">
        <v>99</v>
      </c>
      <c r="J31" s="135" t="b">
        <v>1</v>
      </c>
      <c r="K31" s="147">
        <f>F25*H25*H$18*H$22*J31*J$19</f>
        <v>1</v>
      </c>
    </row>
    <row r="32" spans="2:29">
      <c r="E32" s="190"/>
      <c r="F32" s="189"/>
      <c r="G32" s="190"/>
      <c r="H32" s="189"/>
      <c r="I32" s="40" t="s">
        <v>100</v>
      </c>
      <c r="J32" s="135" t="b">
        <v>1</v>
      </c>
      <c r="K32" s="147">
        <f>F25*H25*H$18*H$22*J32*J$20</f>
        <v>1</v>
      </c>
    </row>
    <row r="33" spans="5:11">
      <c r="E33" s="190"/>
      <c r="F33" s="189"/>
      <c r="G33" s="190" t="s">
        <v>95</v>
      </c>
      <c r="H33" s="189" t="b">
        <v>1</v>
      </c>
      <c r="I33" s="40" t="s">
        <v>99</v>
      </c>
      <c r="J33" s="135" t="b">
        <v>1</v>
      </c>
      <c r="K33" s="147">
        <f>F25*H25*H$19*H$23*J33*J$19</f>
        <v>1</v>
      </c>
    </row>
    <row r="34" spans="5:11">
      <c r="E34" s="190"/>
      <c r="F34" s="189"/>
      <c r="G34" s="190"/>
      <c r="H34" s="189"/>
      <c r="I34" s="40" t="s">
        <v>100</v>
      </c>
      <c r="J34" s="135" t="b">
        <v>1</v>
      </c>
      <c r="K34" s="147">
        <f>F25*H25*H$19*H$23*J34*J$20</f>
        <v>1</v>
      </c>
    </row>
    <row r="35" spans="5:11">
      <c r="E35" s="190"/>
      <c r="F35" s="189"/>
      <c r="G35" s="148" t="s">
        <v>96</v>
      </c>
      <c r="H35" s="124" t="b">
        <v>1</v>
      </c>
      <c r="I35" s="40" t="s">
        <v>100</v>
      </c>
      <c r="J35" s="135" t="b">
        <v>1</v>
      </c>
      <c r="K35" s="147">
        <f>F25*H25*H$20*H$24*J35*J$20</f>
        <v>0</v>
      </c>
    </row>
    <row r="36" spans="5:11">
      <c r="E36" s="190" t="str">
        <f>F9&amp;"="</f>
        <v>55F02=</v>
      </c>
      <c r="F36" s="189" t="b">
        <v>1</v>
      </c>
      <c r="G36" s="190" t="s">
        <v>93</v>
      </c>
      <c r="H36" s="189" t="b">
        <v>1</v>
      </c>
      <c r="I36" s="40" t="s">
        <v>97</v>
      </c>
      <c r="J36" s="135" t="b">
        <v>1</v>
      </c>
      <c r="K36" s="147">
        <f>F36*H36*H$17*H$21*Parameters!J36*J$17</f>
        <v>1</v>
      </c>
    </row>
    <row r="37" spans="5:11">
      <c r="E37" s="190"/>
      <c r="F37" s="189"/>
      <c r="G37" s="190"/>
      <c r="H37" s="189"/>
      <c r="I37" s="40" t="s">
        <v>98</v>
      </c>
      <c r="J37" s="135" t="b">
        <v>1</v>
      </c>
      <c r="K37" s="147">
        <f>F36*H36*H$17*H$21*J37*J$18</f>
        <v>1</v>
      </c>
    </row>
    <row r="38" spans="5:11">
      <c r="E38" s="190"/>
      <c r="F38" s="189"/>
      <c r="G38" s="190"/>
      <c r="H38" s="189"/>
      <c r="I38" s="40" t="s">
        <v>99</v>
      </c>
      <c r="J38" s="135" t="b">
        <v>1</v>
      </c>
      <c r="K38" s="147">
        <f>F36*H36*H$17*H$21*J38*J$19</f>
        <v>1</v>
      </c>
    </row>
    <row r="39" spans="5:11">
      <c r="E39" s="190"/>
      <c r="F39" s="189"/>
      <c r="G39" s="190"/>
      <c r="H39" s="189"/>
      <c r="I39" s="40" t="s">
        <v>100</v>
      </c>
      <c r="J39" s="135" t="b">
        <v>1</v>
      </c>
      <c r="K39" s="147">
        <f>F36*H36*H$17*H$21*J39*J$20</f>
        <v>1</v>
      </c>
    </row>
    <row r="40" spans="5:11">
      <c r="E40" s="190"/>
      <c r="F40" s="189"/>
      <c r="G40" s="190"/>
      <c r="H40" s="189"/>
      <c r="I40" s="40" t="s">
        <v>103</v>
      </c>
      <c r="J40" s="135" t="b">
        <v>1</v>
      </c>
      <c r="K40" s="147">
        <f>F36*H36*J40</f>
        <v>1</v>
      </c>
    </row>
    <row r="41" spans="5:11">
      <c r="E41" s="190"/>
      <c r="F41" s="189"/>
      <c r="G41" s="190" t="s">
        <v>94</v>
      </c>
      <c r="H41" s="189" t="b">
        <v>1</v>
      </c>
      <c r="I41" s="40" t="s">
        <v>98</v>
      </c>
      <c r="J41" s="135" t="b">
        <v>1</v>
      </c>
      <c r="K41" s="147">
        <f>F36*H41*H$18*H$22*J41*J$18</f>
        <v>1</v>
      </c>
    </row>
    <row r="42" spans="5:11">
      <c r="E42" s="190"/>
      <c r="F42" s="189"/>
      <c r="G42" s="190"/>
      <c r="H42" s="189"/>
      <c r="I42" s="40" t="s">
        <v>99</v>
      </c>
      <c r="J42" s="135" t="b">
        <v>1</v>
      </c>
      <c r="K42" s="147">
        <f>F36*H41*H$18*H$22*J42*J$19</f>
        <v>1</v>
      </c>
    </row>
    <row r="43" spans="5:11">
      <c r="E43" s="190"/>
      <c r="F43" s="189"/>
      <c r="G43" s="190"/>
      <c r="H43" s="189"/>
      <c r="I43" s="40" t="s">
        <v>100</v>
      </c>
      <c r="J43" s="135" t="b">
        <v>1</v>
      </c>
      <c r="K43" s="147">
        <f>F36*H41*H$18*H$22*J43*J$20</f>
        <v>1</v>
      </c>
    </row>
    <row r="44" spans="5:11">
      <c r="E44" s="190"/>
      <c r="F44" s="189"/>
      <c r="G44" s="190" t="s">
        <v>95</v>
      </c>
      <c r="H44" s="189" t="b">
        <v>1</v>
      </c>
      <c r="I44" s="40" t="s">
        <v>99</v>
      </c>
      <c r="J44" s="135" t="b">
        <v>1</v>
      </c>
      <c r="K44" s="147">
        <f>F36*H44*H$19*H$23*J44*J$19</f>
        <v>1</v>
      </c>
    </row>
    <row r="45" spans="5:11">
      <c r="E45" s="190"/>
      <c r="F45" s="189"/>
      <c r="G45" s="190"/>
      <c r="H45" s="189"/>
      <c r="I45" s="40" t="s">
        <v>100</v>
      </c>
      <c r="J45" s="135" t="b">
        <v>1</v>
      </c>
      <c r="K45" s="147">
        <f>F36*H44*H$19*H$23*J45*J$20</f>
        <v>1</v>
      </c>
    </row>
    <row r="46" spans="5:11">
      <c r="E46" s="190"/>
      <c r="F46" s="189"/>
      <c r="G46" s="148" t="s">
        <v>96</v>
      </c>
      <c r="H46" s="124" t="b">
        <v>1</v>
      </c>
      <c r="I46" s="40" t="s">
        <v>100</v>
      </c>
      <c r="J46" s="135" t="b">
        <v>1</v>
      </c>
      <c r="K46" s="147">
        <f>F36*H46*H$20*H$24*J46*J$20</f>
        <v>0</v>
      </c>
    </row>
    <row r="47" spans="5:11">
      <c r="E47" s="190" t="str">
        <f>G9&amp;"="</f>
        <v>65F01=</v>
      </c>
      <c r="F47" s="189" t="b">
        <v>1</v>
      </c>
      <c r="G47" s="190" t="s">
        <v>93</v>
      </c>
      <c r="H47" s="189" t="b">
        <v>1</v>
      </c>
      <c r="I47" s="40" t="s">
        <v>97</v>
      </c>
      <c r="J47" s="135" t="b">
        <v>1</v>
      </c>
      <c r="K47" s="147">
        <f>F47*H47*H$17*H$21*J47*J$17</f>
        <v>1</v>
      </c>
    </row>
    <row r="48" spans="5:11">
      <c r="E48" s="190"/>
      <c r="F48" s="189"/>
      <c r="G48" s="190"/>
      <c r="H48" s="189"/>
      <c r="I48" s="40" t="s">
        <v>98</v>
      </c>
      <c r="J48" s="135" t="b">
        <v>1</v>
      </c>
      <c r="K48" s="147">
        <f>F47*H47*H$17*H$21*J48*J$18</f>
        <v>1</v>
      </c>
    </row>
    <row r="49" spans="5:11">
      <c r="E49" s="190"/>
      <c r="F49" s="189"/>
      <c r="G49" s="190"/>
      <c r="H49" s="189"/>
      <c r="I49" s="40" t="s">
        <v>99</v>
      </c>
      <c r="J49" s="135" t="b">
        <v>1</v>
      </c>
      <c r="K49" s="147">
        <f>F47*H47*H$17*H$21*J49*J$19</f>
        <v>1</v>
      </c>
    </row>
    <row r="50" spans="5:11">
      <c r="E50" s="190"/>
      <c r="F50" s="189"/>
      <c r="G50" s="190"/>
      <c r="H50" s="189"/>
      <c r="I50" s="40" t="s">
        <v>100</v>
      </c>
      <c r="J50" s="135" t="b">
        <v>1</v>
      </c>
      <c r="K50" s="147">
        <f>F47*H47*H$17*H$21*J50*J$20</f>
        <v>1</v>
      </c>
    </row>
    <row r="51" spans="5:11">
      <c r="E51" s="190"/>
      <c r="F51" s="189"/>
      <c r="G51" s="190"/>
      <c r="H51" s="189"/>
      <c r="I51" s="40" t="s">
        <v>103</v>
      </c>
      <c r="J51" s="135" t="b">
        <v>1</v>
      </c>
      <c r="K51" s="147">
        <f>F47*H47*J51</f>
        <v>1</v>
      </c>
    </row>
    <row r="52" spans="5:11">
      <c r="E52" s="190"/>
      <c r="F52" s="189"/>
      <c r="G52" s="190" t="s">
        <v>94</v>
      </c>
      <c r="H52" s="189" t="b">
        <v>1</v>
      </c>
      <c r="I52" s="40" t="s">
        <v>98</v>
      </c>
      <c r="J52" s="135" t="b">
        <v>1</v>
      </c>
      <c r="K52" s="147">
        <f>F47*H52*H$18*H$22*J52*J$18</f>
        <v>1</v>
      </c>
    </row>
    <row r="53" spans="5:11">
      <c r="E53" s="190"/>
      <c r="F53" s="189"/>
      <c r="G53" s="190"/>
      <c r="H53" s="189"/>
      <c r="I53" s="40" t="s">
        <v>99</v>
      </c>
      <c r="J53" s="135" t="b">
        <v>1</v>
      </c>
      <c r="K53" s="147">
        <f>F47*H52*H$18*H$22*J53*J$19</f>
        <v>1</v>
      </c>
    </row>
    <row r="54" spans="5:11">
      <c r="E54" s="190"/>
      <c r="F54" s="189"/>
      <c r="G54" s="190"/>
      <c r="H54" s="189"/>
      <c r="I54" s="40" t="s">
        <v>100</v>
      </c>
      <c r="J54" s="135" t="b">
        <v>1</v>
      </c>
      <c r="K54" s="147">
        <f>F47*H52*H$18*H$22*J54*J$20</f>
        <v>1</v>
      </c>
    </row>
    <row r="55" spans="5:11">
      <c r="E55" s="190"/>
      <c r="F55" s="189"/>
      <c r="G55" s="190" t="s">
        <v>95</v>
      </c>
      <c r="H55" s="189" t="b">
        <v>1</v>
      </c>
      <c r="I55" s="40" t="s">
        <v>99</v>
      </c>
      <c r="J55" s="135" t="b">
        <v>1</v>
      </c>
      <c r="K55" s="147">
        <f>F47*H55*H$19*H$23*J55*J$19</f>
        <v>1</v>
      </c>
    </row>
    <row r="56" spans="5:11">
      <c r="E56" s="190"/>
      <c r="F56" s="189"/>
      <c r="G56" s="190"/>
      <c r="H56" s="189"/>
      <c r="I56" s="40" t="s">
        <v>100</v>
      </c>
      <c r="J56" s="135" t="b">
        <v>1</v>
      </c>
      <c r="K56" s="147">
        <f>F47*H55*H$19*H$23*J56*J$20</f>
        <v>1</v>
      </c>
    </row>
    <row r="57" spans="5:11">
      <c r="E57" s="190"/>
      <c r="F57" s="189"/>
      <c r="G57" s="148" t="s">
        <v>96</v>
      </c>
      <c r="H57" s="124" t="b">
        <v>1</v>
      </c>
      <c r="I57" s="40" t="s">
        <v>100</v>
      </c>
      <c r="J57" s="135" t="b">
        <v>1</v>
      </c>
      <c r="K57" s="147">
        <f>F47*H57*H$20*H$24*J57*J$20</f>
        <v>0</v>
      </c>
    </row>
    <row r="58" spans="5:11">
      <c r="E58" s="190" t="str">
        <f>H9&amp;"="</f>
        <v>2700K=</v>
      </c>
      <c r="F58" s="189" t="b">
        <v>1</v>
      </c>
      <c r="G58" s="190" t="s">
        <v>93</v>
      </c>
      <c r="H58" s="189" t="b">
        <v>1</v>
      </c>
      <c r="I58" s="40" t="s">
        <v>97</v>
      </c>
      <c r="J58" s="135" t="b">
        <v>1</v>
      </c>
      <c r="K58" s="147">
        <f>F58*H58*H$17*J58*J$17</f>
        <v>1</v>
      </c>
    </row>
    <row r="59" spans="5:11">
      <c r="E59" s="190"/>
      <c r="F59" s="189"/>
      <c r="G59" s="190"/>
      <c r="H59" s="189"/>
      <c r="I59" s="40" t="s">
        <v>98</v>
      </c>
      <c r="J59" s="135" t="b">
        <v>1</v>
      </c>
      <c r="K59" s="147">
        <f>F58*H58*H$17*J59*J$18</f>
        <v>1</v>
      </c>
    </row>
    <row r="60" spans="5:11">
      <c r="E60" s="190"/>
      <c r="F60" s="189"/>
      <c r="G60" s="190"/>
      <c r="H60" s="189"/>
      <c r="I60" s="40" t="s">
        <v>99</v>
      </c>
      <c r="J60" s="135" t="b">
        <v>1</v>
      </c>
      <c r="K60" s="147">
        <f>F58*H58*H$17*J60*J$19</f>
        <v>1</v>
      </c>
    </row>
    <row r="61" spans="5:11">
      <c r="E61" s="190"/>
      <c r="F61" s="189"/>
      <c r="G61" s="190"/>
      <c r="H61" s="189"/>
      <c r="I61" s="40" t="s">
        <v>100</v>
      </c>
      <c r="J61" s="135" t="b">
        <v>1</v>
      </c>
      <c r="K61" s="147">
        <f>F58*H58*H$17*J61*J$20</f>
        <v>1</v>
      </c>
    </row>
    <row r="62" spans="5:11">
      <c r="E62" s="190"/>
      <c r="F62" s="189"/>
      <c r="G62" s="190"/>
      <c r="H62" s="189"/>
      <c r="I62" s="40" t="s">
        <v>103</v>
      </c>
      <c r="J62" s="135" t="b">
        <v>1</v>
      </c>
      <c r="K62" s="147">
        <f>F58*H58*J62</f>
        <v>1</v>
      </c>
    </row>
    <row r="63" spans="5:11">
      <c r="E63" s="190"/>
      <c r="F63" s="189"/>
      <c r="G63" s="190" t="s">
        <v>94</v>
      </c>
      <c r="H63" s="189" t="b">
        <v>1</v>
      </c>
      <c r="I63" s="40" t="s">
        <v>98</v>
      </c>
      <c r="J63" s="135" t="b">
        <v>1</v>
      </c>
      <c r="K63" s="147">
        <f>F58*H58*H$18*J63*J$18</f>
        <v>1</v>
      </c>
    </row>
    <row r="64" spans="5:11">
      <c r="E64" s="190"/>
      <c r="F64" s="189"/>
      <c r="G64" s="190"/>
      <c r="H64" s="189"/>
      <c r="I64" s="40" t="s">
        <v>99</v>
      </c>
      <c r="J64" s="135" t="b">
        <v>1</v>
      </c>
      <c r="K64" s="147">
        <f>F58*H58*H$18*J64*J$19</f>
        <v>1</v>
      </c>
    </row>
    <row r="65" spans="5:11">
      <c r="E65" s="190"/>
      <c r="F65" s="189"/>
      <c r="G65" s="190"/>
      <c r="H65" s="189"/>
      <c r="I65" s="40" t="s">
        <v>100</v>
      </c>
      <c r="J65" s="135" t="b">
        <v>1</v>
      </c>
      <c r="K65" s="147">
        <f>F58*H58*H$18*J65*J$20</f>
        <v>1</v>
      </c>
    </row>
    <row r="66" spans="5:11">
      <c r="E66" s="190"/>
      <c r="F66" s="189"/>
      <c r="G66" s="190" t="s">
        <v>95</v>
      </c>
      <c r="H66" s="189" t="b">
        <v>1</v>
      </c>
      <c r="I66" s="40" t="s">
        <v>99</v>
      </c>
      <c r="J66" s="135" t="b">
        <v>1</v>
      </c>
      <c r="K66" s="147">
        <f>F58*H58*H$19*J66*J$19</f>
        <v>1</v>
      </c>
    </row>
    <row r="67" spans="5:11">
      <c r="E67" s="190"/>
      <c r="F67" s="189"/>
      <c r="G67" s="190"/>
      <c r="H67" s="189"/>
      <c r="I67" s="40" t="s">
        <v>100</v>
      </c>
      <c r="J67" s="135" t="b">
        <v>1</v>
      </c>
      <c r="K67" s="147">
        <f>F58*H58*H$19*J67*J$20</f>
        <v>1</v>
      </c>
    </row>
    <row r="68" spans="5:11">
      <c r="E68" s="190"/>
      <c r="F68" s="189"/>
      <c r="G68" s="148" t="s">
        <v>96</v>
      </c>
      <c r="H68" s="124" t="b">
        <v>1</v>
      </c>
      <c r="I68" s="40" t="s">
        <v>100</v>
      </c>
      <c r="J68" s="135" t="b">
        <v>1</v>
      </c>
      <c r="K68" s="147">
        <f>F58*H58*H$20*J68*J$20</f>
        <v>1</v>
      </c>
    </row>
    <row r="69" spans="5:11">
      <c r="E69" s="190" t="str">
        <f>I9&amp;"="</f>
        <v>3200K=</v>
      </c>
      <c r="F69" s="189" t="b">
        <v>1</v>
      </c>
      <c r="G69" s="190" t="s">
        <v>93</v>
      </c>
      <c r="H69" s="189" t="b">
        <v>1</v>
      </c>
      <c r="I69" s="40" t="s">
        <v>97</v>
      </c>
      <c r="J69" s="135" t="b">
        <v>1</v>
      </c>
      <c r="K69" s="147">
        <f>F69*H69*H$17*H$21*J69*J$17</f>
        <v>1</v>
      </c>
    </row>
    <row r="70" spans="5:11">
      <c r="E70" s="190"/>
      <c r="F70" s="189"/>
      <c r="G70" s="190"/>
      <c r="H70" s="189"/>
      <c r="I70" s="40" t="s">
        <v>98</v>
      </c>
      <c r="J70" s="135" t="b">
        <v>1</v>
      </c>
      <c r="K70" s="147">
        <f>F69*H69*H$17*H$21*J70*J$18</f>
        <v>1</v>
      </c>
    </row>
    <row r="71" spans="5:11">
      <c r="E71" s="190"/>
      <c r="F71" s="189"/>
      <c r="G71" s="190"/>
      <c r="H71" s="189"/>
      <c r="I71" s="40" t="s">
        <v>99</v>
      </c>
      <c r="J71" s="135" t="b">
        <v>1</v>
      </c>
      <c r="K71" s="147">
        <f>F69*H69*H$17*H$21*J71*J$19</f>
        <v>1</v>
      </c>
    </row>
    <row r="72" spans="5:11">
      <c r="E72" s="190"/>
      <c r="F72" s="189"/>
      <c r="G72" s="190"/>
      <c r="H72" s="189"/>
      <c r="I72" s="40" t="s">
        <v>100</v>
      </c>
      <c r="J72" s="135" t="b">
        <v>1</v>
      </c>
      <c r="K72" s="147">
        <f>F69*H69*H$17*H$21*J72*J$20</f>
        <v>1</v>
      </c>
    </row>
    <row r="73" spans="5:11">
      <c r="E73" s="190"/>
      <c r="F73" s="189"/>
      <c r="G73" s="190"/>
      <c r="H73" s="189"/>
      <c r="I73" s="40" t="s">
        <v>103</v>
      </c>
      <c r="J73" s="135" t="b">
        <v>1</v>
      </c>
      <c r="K73" s="147">
        <f>F69*H69*J73</f>
        <v>1</v>
      </c>
    </row>
    <row r="74" spans="5:11">
      <c r="E74" s="190"/>
      <c r="F74" s="189"/>
      <c r="G74" s="190" t="s">
        <v>94</v>
      </c>
      <c r="H74" s="189" t="b">
        <v>1</v>
      </c>
      <c r="I74" s="40" t="s">
        <v>98</v>
      </c>
      <c r="J74" s="135" t="b">
        <v>1</v>
      </c>
      <c r="K74" s="147">
        <f>F69*H69*H$18*H$22*J74*J$18</f>
        <v>1</v>
      </c>
    </row>
    <row r="75" spans="5:11">
      <c r="E75" s="190"/>
      <c r="F75" s="189"/>
      <c r="G75" s="190"/>
      <c r="H75" s="189"/>
      <c r="I75" s="40" t="s">
        <v>99</v>
      </c>
      <c r="J75" s="135" t="b">
        <v>1</v>
      </c>
      <c r="K75" s="147">
        <f>F69*H69*H$18*H$22*J75*J$19</f>
        <v>1</v>
      </c>
    </row>
    <row r="76" spans="5:11">
      <c r="E76" s="190"/>
      <c r="F76" s="189"/>
      <c r="G76" s="190"/>
      <c r="H76" s="189"/>
      <c r="I76" s="40" t="s">
        <v>100</v>
      </c>
      <c r="J76" s="135" t="b">
        <v>1</v>
      </c>
      <c r="K76" s="147">
        <f>F69*H69*H$18*H$22*J76*J$20</f>
        <v>1</v>
      </c>
    </row>
    <row r="77" spans="5:11">
      <c r="E77" s="190"/>
      <c r="F77" s="189"/>
      <c r="G77" s="190" t="s">
        <v>95</v>
      </c>
      <c r="H77" s="189" t="b">
        <v>1</v>
      </c>
      <c r="I77" s="40" t="s">
        <v>99</v>
      </c>
      <c r="J77" s="135" t="b">
        <v>1</v>
      </c>
      <c r="K77" s="147">
        <f>F69*H69*H$19*H$23*J77*J$19</f>
        <v>1</v>
      </c>
    </row>
    <row r="78" spans="5:11">
      <c r="E78" s="190"/>
      <c r="F78" s="189"/>
      <c r="G78" s="190"/>
      <c r="H78" s="189"/>
      <c r="I78" s="40" t="s">
        <v>100</v>
      </c>
      <c r="J78" s="135" t="b">
        <v>1</v>
      </c>
      <c r="K78" s="147">
        <f>F69*H69*H$19*H$23*J78*J$20</f>
        <v>1</v>
      </c>
    </row>
    <row r="79" spans="5:11">
      <c r="E79" s="190"/>
      <c r="F79" s="189"/>
      <c r="G79" s="148" t="s">
        <v>96</v>
      </c>
      <c r="H79" s="124" t="b">
        <v>1</v>
      </c>
      <c r="I79" s="40" t="s">
        <v>100</v>
      </c>
      <c r="J79" s="135" t="b">
        <v>1</v>
      </c>
      <c r="K79" s="147">
        <f>F69*H69*H$20*J79*J$20</f>
        <v>1</v>
      </c>
    </row>
    <row r="80" spans="5:11">
      <c r="E80" s="190" t="str">
        <f>J9&amp;"="</f>
        <v>5500K=</v>
      </c>
      <c r="F80" s="189" t="b">
        <v>1</v>
      </c>
      <c r="G80" s="190" t="s">
        <v>93</v>
      </c>
      <c r="H80" s="189" t="b">
        <v>1</v>
      </c>
      <c r="I80" s="40" t="s">
        <v>97</v>
      </c>
      <c r="J80" s="135" t="b">
        <v>1</v>
      </c>
      <c r="K80" s="147">
        <f>F80*H80*H$17*J80*J$17</f>
        <v>1</v>
      </c>
    </row>
    <row r="81" spans="5:11">
      <c r="E81" s="190"/>
      <c r="F81" s="189"/>
      <c r="G81" s="190"/>
      <c r="H81" s="189"/>
      <c r="I81" s="40" t="s">
        <v>98</v>
      </c>
      <c r="J81" s="135" t="b">
        <v>1</v>
      </c>
      <c r="K81" s="147">
        <f>F80*H80*H$17*J81*J$18</f>
        <v>1</v>
      </c>
    </row>
    <row r="82" spans="5:11">
      <c r="E82" s="190"/>
      <c r="F82" s="189"/>
      <c r="G82" s="190"/>
      <c r="H82" s="189"/>
      <c r="I82" s="40" t="s">
        <v>99</v>
      </c>
      <c r="J82" s="135" t="b">
        <v>1</v>
      </c>
      <c r="K82" s="147">
        <f>F80*H80*H$17*J82*J$19</f>
        <v>1</v>
      </c>
    </row>
    <row r="83" spans="5:11">
      <c r="E83" s="190"/>
      <c r="F83" s="189"/>
      <c r="G83" s="190"/>
      <c r="H83" s="189"/>
      <c r="I83" s="40" t="s">
        <v>100</v>
      </c>
      <c r="J83" s="135" t="b">
        <v>1</v>
      </c>
      <c r="K83" s="147">
        <f>F80*H80*H$17*J83*J$20</f>
        <v>1</v>
      </c>
    </row>
    <row r="84" spans="5:11">
      <c r="E84" s="190"/>
      <c r="F84" s="189"/>
      <c r="G84" s="190"/>
      <c r="H84" s="189"/>
      <c r="I84" s="40" t="s">
        <v>103</v>
      </c>
      <c r="J84" s="135" t="b">
        <v>1</v>
      </c>
      <c r="K84" s="147">
        <f>F80*H80*J84</f>
        <v>1</v>
      </c>
    </row>
    <row r="85" spans="5:11">
      <c r="E85" s="190"/>
      <c r="F85" s="189"/>
      <c r="G85" s="190" t="s">
        <v>94</v>
      </c>
      <c r="H85" s="189" t="b">
        <v>1</v>
      </c>
      <c r="I85" s="40" t="s">
        <v>98</v>
      </c>
      <c r="J85" s="135" t="b">
        <v>1</v>
      </c>
      <c r="K85" s="147">
        <f>F80*H85*H$18*J85*J$18</f>
        <v>1</v>
      </c>
    </row>
    <row r="86" spans="5:11">
      <c r="E86" s="190"/>
      <c r="F86" s="189"/>
      <c r="G86" s="190"/>
      <c r="H86" s="189"/>
      <c r="I86" s="40" t="s">
        <v>99</v>
      </c>
      <c r="J86" s="135" t="b">
        <v>1</v>
      </c>
      <c r="K86" s="147">
        <f>F80*H85*H$18*J86*J$19</f>
        <v>1</v>
      </c>
    </row>
    <row r="87" spans="5:11">
      <c r="E87" s="190"/>
      <c r="F87" s="189"/>
      <c r="G87" s="190"/>
      <c r="H87" s="189"/>
      <c r="I87" s="40" t="s">
        <v>100</v>
      </c>
      <c r="J87" s="135" t="b">
        <v>1</v>
      </c>
      <c r="K87" s="147">
        <f>F80*H85*H$18*J87*J$20</f>
        <v>1</v>
      </c>
    </row>
    <row r="88" spans="5:11">
      <c r="E88" s="190"/>
      <c r="F88" s="189"/>
      <c r="G88" s="190" t="s">
        <v>95</v>
      </c>
      <c r="H88" s="189" t="b">
        <v>1</v>
      </c>
      <c r="I88" s="40" t="s">
        <v>99</v>
      </c>
      <c r="J88" s="135" t="b">
        <v>1</v>
      </c>
      <c r="K88" s="147">
        <f>F80*H88*H$19*J88*J$19</f>
        <v>1</v>
      </c>
    </row>
    <row r="89" spans="5:11">
      <c r="E89" s="190"/>
      <c r="F89" s="189"/>
      <c r="G89" s="190"/>
      <c r="H89" s="189"/>
      <c r="I89" s="40" t="s">
        <v>100</v>
      </c>
      <c r="J89" s="135" t="b">
        <v>1</v>
      </c>
      <c r="K89" s="147">
        <f>F80*H88*H$19*J89*J$20</f>
        <v>1</v>
      </c>
    </row>
    <row r="90" spans="5:11">
      <c r="E90" s="190"/>
      <c r="F90" s="189"/>
      <c r="G90" s="148" t="s">
        <v>96</v>
      </c>
      <c r="H90" s="124" t="b">
        <v>1</v>
      </c>
      <c r="I90" s="40" t="s">
        <v>100</v>
      </c>
      <c r="J90" s="135" t="b">
        <v>1</v>
      </c>
      <c r="K90" s="147">
        <f>F80*H90*H$20*J90*J$20</f>
        <v>1</v>
      </c>
    </row>
    <row r="91" spans="5:11">
      <c r="E91" s="190" t="str">
        <f>K9&amp;"="</f>
        <v>6500K=</v>
      </c>
      <c r="F91" s="189" t="b">
        <v>1</v>
      </c>
      <c r="G91" s="190" t="s">
        <v>93</v>
      </c>
      <c r="H91" s="189" t="b">
        <v>1</v>
      </c>
      <c r="I91" s="40" t="s">
        <v>97</v>
      </c>
      <c r="J91" s="135" t="b">
        <v>1</v>
      </c>
      <c r="K91" s="147">
        <f>F91*H91*H$17*J91*J$17</f>
        <v>1</v>
      </c>
    </row>
    <row r="92" spans="5:11">
      <c r="E92" s="190"/>
      <c r="F92" s="189"/>
      <c r="G92" s="190"/>
      <c r="H92" s="189"/>
      <c r="I92" s="40" t="s">
        <v>98</v>
      </c>
      <c r="J92" s="135" t="b">
        <v>1</v>
      </c>
      <c r="K92" s="147">
        <f>F91*H91*H$17*J92*J$18</f>
        <v>1</v>
      </c>
    </row>
    <row r="93" spans="5:11">
      <c r="E93" s="190"/>
      <c r="F93" s="189"/>
      <c r="G93" s="190"/>
      <c r="H93" s="189"/>
      <c r="I93" s="40" t="s">
        <v>99</v>
      </c>
      <c r="J93" s="135" t="b">
        <v>1</v>
      </c>
      <c r="K93" s="147">
        <f>F91*H91*H$17*J93*J$19</f>
        <v>1</v>
      </c>
    </row>
    <row r="94" spans="5:11">
      <c r="E94" s="190"/>
      <c r="F94" s="189"/>
      <c r="G94" s="190"/>
      <c r="H94" s="189"/>
      <c r="I94" s="40" t="s">
        <v>100</v>
      </c>
      <c r="J94" s="135" t="b">
        <v>1</v>
      </c>
      <c r="K94" s="147">
        <f>F91*H91*H$17*J94*J$20</f>
        <v>1</v>
      </c>
    </row>
    <row r="95" spans="5:11">
      <c r="E95" s="190"/>
      <c r="F95" s="189"/>
      <c r="G95" s="190"/>
      <c r="H95" s="189"/>
      <c r="I95" s="40" t="s">
        <v>103</v>
      </c>
      <c r="J95" s="135" t="b">
        <v>1</v>
      </c>
      <c r="K95" s="147">
        <f>F91*H91*J95</f>
        <v>1</v>
      </c>
    </row>
    <row r="96" spans="5:11">
      <c r="E96" s="190"/>
      <c r="F96" s="189"/>
      <c r="G96" s="190" t="s">
        <v>94</v>
      </c>
      <c r="H96" s="189" t="b">
        <v>1</v>
      </c>
      <c r="I96" s="40" t="s">
        <v>98</v>
      </c>
      <c r="J96" s="135" t="b">
        <v>1</v>
      </c>
      <c r="K96" s="147">
        <f>F91*H96*H$18*J96*J$18</f>
        <v>1</v>
      </c>
    </row>
    <row r="97" spans="5:11">
      <c r="E97" s="190"/>
      <c r="F97" s="189"/>
      <c r="G97" s="190"/>
      <c r="H97" s="189"/>
      <c r="I97" s="40" t="s">
        <v>99</v>
      </c>
      <c r="J97" s="135" t="b">
        <v>1</v>
      </c>
      <c r="K97" s="147">
        <f>F91*H96*H$18*J97*J$19</f>
        <v>1</v>
      </c>
    </row>
    <row r="98" spans="5:11">
      <c r="E98" s="190"/>
      <c r="F98" s="189"/>
      <c r="G98" s="190"/>
      <c r="H98" s="189"/>
      <c r="I98" s="40" t="s">
        <v>100</v>
      </c>
      <c r="J98" s="135" t="b">
        <v>1</v>
      </c>
      <c r="K98" s="147">
        <f>F91*H96*H$18*H$22*J98*J$20</f>
        <v>1</v>
      </c>
    </row>
    <row r="99" spans="5:11">
      <c r="E99" s="190"/>
      <c r="F99" s="189"/>
      <c r="G99" s="190" t="s">
        <v>95</v>
      </c>
      <c r="H99" s="189" t="b">
        <v>1</v>
      </c>
      <c r="I99" s="40" t="s">
        <v>99</v>
      </c>
      <c r="J99" s="135" t="b">
        <v>1</v>
      </c>
      <c r="K99" s="147">
        <f>F91*H99*H$19*J99*J$19</f>
        <v>1</v>
      </c>
    </row>
    <row r="100" spans="5:11">
      <c r="E100" s="190"/>
      <c r="F100" s="189"/>
      <c r="G100" s="190"/>
      <c r="H100" s="189"/>
      <c r="I100" s="40" t="s">
        <v>100</v>
      </c>
      <c r="J100" s="135" t="b">
        <v>1</v>
      </c>
      <c r="K100" s="147">
        <f>F91*H99*H$19*J100*J$20</f>
        <v>1</v>
      </c>
    </row>
    <row r="101" spans="5:11">
      <c r="E101" s="190"/>
      <c r="F101" s="189"/>
      <c r="G101" s="148" t="s">
        <v>96</v>
      </c>
      <c r="H101" s="124" t="b">
        <v>1</v>
      </c>
      <c r="I101" s="40" t="s">
        <v>100</v>
      </c>
      <c r="J101" s="135" t="b">
        <v>1</v>
      </c>
      <c r="K101" s="147">
        <f>F91*H101*H$20*J101*J$20</f>
        <v>1</v>
      </c>
    </row>
  </sheetData>
  <mergeCells count="71">
    <mergeCell ref="G2:H2"/>
    <mergeCell ref="G3:H3"/>
    <mergeCell ref="G4:H4"/>
    <mergeCell ref="G5:H5"/>
    <mergeCell ref="C8:C9"/>
    <mergeCell ref="E8:K8"/>
    <mergeCell ref="E91:E101"/>
    <mergeCell ref="F91:F101"/>
    <mergeCell ref="G91:G95"/>
    <mergeCell ref="H91:H95"/>
    <mergeCell ref="G96:G98"/>
    <mergeCell ref="H96:H98"/>
    <mergeCell ref="G99:G100"/>
    <mergeCell ref="H99:H100"/>
    <mergeCell ref="E80:E90"/>
    <mergeCell ref="F80:F90"/>
    <mergeCell ref="G80:G84"/>
    <mergeCell ref="H80:H84"/>
    <mergeCell ref="G85:G87"/>
    <mergeCell ref="H85:H87"/>
    <mergeCell ref="G88:G89"/>
    <mergeCell ref="H88:H89"/>
    <mergeCell ref="E69:E79"/>
    <mergeCell ref="F69:F79"/>
    <mergeCell ref="G69:G73"/>
    <mergeCell ref="H69:H73"/>
    <mergeCell ref="G74:G76"/>
    <mergeCell ref="H74:H76"/>
    <mergeCell ref="G77:G78"/>
    <mergeCell ref="H77:H78"/>
    <mergeCell ref="E58:E68"/>
    <mergeCell ref="F58:F68"/>
    <mergeCell ref="G58:G62"/>
    <mergeCell ref="H58:H62"/>
    <mergeCell ref="G63:G65"/>
    <mergeCell ref="H63:H65"/>
    <mergeCell ref="G66:G67"/>
    <mergeCell ref="H66:H67"/>
    <mergeCell ref="E47:E57"/>
    <mergeCell ref="F47:F57"/>
    <mergeCell ref="G47:G51"/>
    <mergeCell ref="H47:H51"/>
    <mergeCell ref="G52:G54"/>
    <mergeCell ref="H52:H54"/>
    <mergeCell ref="G55:G56"/>
    <mergeCell ref="H55:H56"/>
    <mergeCell ref="E36:E46"/>
    <mergeCell ref="F36:F46"/>
    <mergeCell ref="G36:G40"/>
    <mergeCell ref="H36:H40"/>
    <mergeCell ref="G41:G43"/>
    <mergeCell ref="H41:H43"/>
    <mergeCell ref="G44:G45"/>
    <mergeCell ref="H44:H45"/>
    <mergeCell ref="H30:H32"/>
    <mergeCell ref="H33:H34"/>
    <mergeCell ref="E15:K15"/>
    <mergeCell ref="G25:G29"/>
    <mergeCell ref="H25:H29"/>
    <mergeCell ref="E17:F20"/>
    <mergeCell ref="E25:E35"/>
    <mergeCell ref="F25:F35"/>
    <mergeCell ref="G30:G32"/>
    <mergeCell ref="G33:G34"/>
    <mergeCell ref="E21:F24"/>
    <mergeCell ref="K17:K24"/>
    <mergeCell ref="B15:C15"/>
    <mergeCell ref="Y3:AC4"/>
    <mergeCell ref="E16:F16"/>
    <mergeCell ref="G16:H16"/>
    <mergeCell ref="I16:J16"/>
  </mergeCells>
  <dataValidations count="4">
    <dataValidation type="list" allowBlank="1" showInputMessage="1" showErrorMessage="1" sqref="I2:I4 H17:H25 J17:J101 F25 H99 H96 F91 H101 H88 H85 F69 H57:H58 F80 F58 H68:H69 H66 H63 F47 H55 H52 H46:H47 H44 H41 F36 H35:H36 H79:H80 H77 H33 H74 H30 H90:H91">
      <formula1>$Y$13:$Y$14</formula1>
    </dataValidation>
    <dataValidation type="list" allowBlank="1" showInputMessage="1" showErrorMessage="1" sqref="I5">
      <formula1>$Z$6:$Z$8</formula1>
    </dataValidation>
    <dataValidation type="list" allowBlank="1" showInputMessage="1" showErrorMessage="1" sqref="C2">
      <formula1>$Y$13:$Y$17</formula1>
    </dataValidation>
    <dataValidation type="list" allowBlank="1" showInputMessage="1" showErrorMessage="1" sqref="C3:C6">
      <formula1>$Y$6:$Y$11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U356"/>
  <sheetViews>
    <sheetView topLeftCell="I337" zoomScale="70" zoomScaleNormal="70" workbookViewId="0">
      <selection activeCell="AY344" sqref="AY344"/>
    </sheetView>
    <sheetView topLeftCell="C21" zoomScale="70" zoomScaleNormal="70" workbookViewId="1">
      <selection sqref="A1:C2"/>
    </sheetView>
  </sheetViews>
  <sheetFormatPr defaultColWidth="6" defaultRowHeight="15"/>
  <cols>
    <col min="1" max="1" width="11.140625" style="21" bestFit="1" customWidth="1"/>
    <col min="2" max="2" width="3.85546875" style="21" customWidth="1"/>
    <col min="3" max="3" width="9.5703125" bestFit="1" customWidth="1"/>
    <col min="4" max="5" width="7.85546875" style="22" customWidth="1"/>
    <col min="6" max="6" width="9.28515625" style="22" customWidth="1"/>
    <col min="7" max="7" width="7.85546875" style="22" customWidth="1"/>
    <col min="8" max="8" width="6.85546875" style="49" bestFit="1" customWidth="1"/>
    <col min="9" max="11" width="6.85546875" style="49" customWidth="1"/>
    <col min="12" max="12" width="3" style="49" customWidth="1"/>
    <col min="13" max="14" width="2" style="49" customWidth="1"/>
    <col min="15" max="15" width="4" style="49" customWidth="1"/>
    <col min="16" max="47" width="7.140625" style="22" customWidth="1"/>
  </cols>
  <sheetData>
    <row r="1" spans="1:47" s="24" customFormat="1">
      <c r="A1" s="206" t="s">
        <v>80</v>
      </c>
      <c r="B1" s="207"/>
      <c r="C1" s="208"/>
      <c r="D1" s="25" t="s">
        <v>11</v>
      </c>
      <c r="E1" s="24" t="s">
        <v>22</v>
      </c>
      <c r="F1" s="25" t="s">
        <v>23</v>
      </c>
      <c r="G1" s="24" t="s">
        <v>4</v>
      </c>
      <c r="H1" s="48" t="s">
        <v>2</v>
      </c>
      <c r="I1" s="203" t="s">
        <v>86</v>
      </c>
      <c r="J1" s="203"/>
      <c r="K1" s="203"/>
      <c r="L1" s="48"/>
      <c r="M1" s="145"/>
      <c r="N1" s="48"/>
      <c r="O1" s="48"/>
      <c r="P1" s="26">
        <v>0</v>
      </c>
      <c r="Q1" s="26">
        <f>P1+1</f>
        <v>1</v>
      </c>
      <c r="R1" s="26">
        <f t="shared" ref="R1:AU1" si="0">Q1+1</f>
        <v>2</v>
      </c>
      <c r="S1" s="26">
        <f t="shared" si="0"/>
        <v>3</v>
      </c>
      <c r="T1" s="26">
        <f t="shared" si="0"/>
        <v>4</v>
      </c>
      <c r="U1" s="26">
        <f t="shared" si="0"/>
        <v>5</v>
      </c>
      <c r="V1" s="26">
        <f t="shared" si="0"/>
        <v>6</v>
      </c>
      <c r="W1" s="26">
        <f t="shared" si="0"/>
        <v>7</v>
      </c>
      <c r="X1" s="26">
        <f t="shared" si="0"/>
        <v>8</v>
      </c>
      <c r="Y1" s="26">
        <f t="shared" si="0"/>
        <v>9</v>
      </c>
      <c r="Z1" s="26">
        <f t="shared" si="0"/>
        <v>10</v>
      </c>
      <c r="AA1" s="26">
        <f t="shared" si="0"/>
        <v>11</v>
      </c>
      <c r="AB1" s="26">
        <f t="shared" si="0"/>
        <v>12</v>
      </c>
      <c r="AC1" s="26">
        <f t="shared" si="0"/>
        <v>13</v>
      </c>
      <c r="AD1" s="26">
        <f t="shared" si="0"/>
        <v>14</v>
      </c>
      <c r="AE1" s="26">
        <f t="shared" si="0"/>
        <v>15</v>
      </c>
      <c r="AF1" s="26">
        <f t="shared" si="0"/>
        <v>16</v>
      </c>
      <c r="AG1" s="26">
        <f t="shared" si="0"/>
        <v>17</v>
      </c>
      <c r="AH1" s="26">
        <f t="shared" si="0"/>
        <v>18</v>
      </c>
      <c r="AI1" s="26">
        <f t="shared" si="0"/>
        <v>19</v>
      </c>
      <c r="AJ1" s="26">
        <f t="shared" si="0"/>
        <v>20</v>
      </c>
      <c r="AK1" s="26">
        <f t="shared" si="0"/>
        <v>21</v>
      </c>
      <c r="AL1" s="26">
        <f t="shared" si="0"/>
        <v>22</v>
      </c>
      <c r="AM1" s="26">
        <f t="shared" si="0"/>
        <v>23</v>
      </c>
      <c r="AN1" s="26">
        <f t="shared" si="0"/>
        <v>24</v>
      </c>
      <c r="AO1" s="26">
        <f t="shared" si="0"/>
        <v>25</v>
      </c>
      <c r="AP1" s="26">
        <f t="shared" si="0"/>
        <v>26</v>
      </c>
      <c r="AQ1" s="26">
        <f t="shared" si="0"/>
        <v>27</v>
      </c>
      <c r="AR1" s="26">
        <f t="shared" si="0"/>
        <v>28</v>
      </c>
      <c r="AS1" s="26">
        <f t="shared" si="0"/>
        <v>29</v>
      </c>
      <c r="AT1" s="26">
        <f t="shared" si="0"/>
        <v>30</v>
      </c>
      <c r="AU1" s="26">
        <f t="shared" si="0"/>
        <v>31</v>
      </c>
    </row>
    <row r="2" spans="1:47" s="24" customFormat="1" ht="15.75" thickBot="1">
      <c r="A2" s="209"/>
      <c r="B2" s="210"/>
      <c r="C2" s="211"/>
      <c r="D2" s="25"/>
      <c r="F2" s="25"/>
      <c r="H2" s="48"/>
      <c r="I2" s="48" t="s">
        <v>87</v>
      </c>
      <c r="J2" s="48" t="s">
        <v>88</v>
      </c>
      <c r="K2" s="48" t="s">
        <v>89</v>
      </c>
      <c r="L2" s="205" t="s">
        <v>44</v>
      </c>
      <c r="M2" s="205"/>
      <c r="N2" s="205"/>
      <c r="O2" s="205"/>
      <c r="P2" s="67">
        <f t="shared" ref="P2:AU2" si="1">P226*removeFliers+(removeFliers=FALSE)</f>
        <v>1</v>
      </c>
      <c r="Q2" s="67">
        <f t="shared" si="1"/>
        <v>1</v>
      </c>
      <c r="R2" s="67">
        <f t="shared" si="1"/>
        <v>1</v>
      </c>
      <c r="S2" s="67">
        <f t="shared" si="1"/>
        <v>1</v>
      </c>
      <c r="T2" s="67">
        <f t="shared" si="1"/>
        <v>1</v>
      </c>
      <c r="U2" s="67">
        <f t="shared" si="1"/>
        <v>1</v>
      </c>
      <c r="V2" s="67">
        <f t="shared" si="1"/>
        <v>1</v>
      </c>
      <c r="W2" s="67">
        <f t="shared" si="1"/>
        <v>1</v>
      </c>
      <c r="X2" s="67">
        <f t="shared" si="1"/>
        <v>1</v>
      </c>
      <c r="Y2" s="67">
        <f t="shared" si="1"/>
        <v>1</v>
      </c>
      <c r="Z2" s="67">
        <f t="shared" si="1"/>
        <v>1</v>
      </c>
      <c r="AA2" s="67">
        <f t="shared" si="1"/>
        <v>1</v>
      </c>
      <c r="AB2" s="67">
        <f t="shared" si="1"/>
        <v>1</v>
      </c>
      <c r="AC2" s="67">
        <f t="shared" si="1"/>
        <v>1</v>
      </c>
      <c r="AD2" s="67">
        <f t="shared" si="1"/>
        <v>1</v>
      </c>
      <c r="AE2" s="67">
        <f t="shared" si="1"/>
        <v>1</v>
      </c>
      <c r="AF2" s="67">
        <f t="shared" si="1"/>
        <v>1</v>
      </c>
      <c r="AG2" s="67">
        <f t="shared" si="1"/>
        <v>1</v>
      </c>
      <c r="AH2" s="67">
        <f t="shared" si="1"/>
        <v>1</v>
      </c>
      <c r="AI2" s="67">
        <f t="shared" si="1"/>
        <v>1</v>
      </c>
      <c r="AJ2" s="67">
        <f t="shared" si="1"/>
        <v>1</v>
      </c>
      <c r="AK2" s="67">
        <f t="shared" si="1"/>
        <v>1</v>
      </c>
      <c r="AL2" s="67">
        <f t="shared" si="1"/>
        <v>1</v>
      </c>
      <c r="AM2" s="67">
        <f t="shared" si="1"/>
        <v>1</v>
      </c>
      <c r="AN2" s="67">
        <f t="shared" si="1"/>
        <v>1</v>
      </c>
      <c r="AO2" s="67">
        <f t="shared" si="1"/>
        <v>1</v>
      </c>
      <c r="AP2" s="67">
        <f t="shared" si="1"/>
        <v>1</v>
      </c>
      <c r="AQ2" s="67">
        <f t="shared" si="1"/>
        <v>1</v>
      </c>
      <c r="AR2" s="67">
        <f t="shared" si="1"/>
        <v>1</v>
      </c>
      <c r="AS2" s="67">
        <f t="shared" si="1"/>
        <v>1</v>
      </c>
      <c r="AT2" s="67">
        <f t="shared" si="1"/>
        <v>1</v>
      </c>
      <c r="AU2" s="67">
        <f t="shared" si="1"/>
        <v>1</v>
      </c>
    </row>
    <row r="3" spans="1:47">
      <c r="A3" s="191" t="str">
        <f>Calculations!C1</f>
        <v>41F02</v>
      </c>
      <c r="B3" s="191" t="s">
        <v>69</v>
      </c>
      <c r="C3" t="str">
        <f>data0!A2</f>
        <v>Range0</v>
      </c>
      <c r="D3" s="22" t="str">
        <f t="shared" ref="D3:D13" si="2">IF(COUNT(P3:AU3)=0,"",E3-1.5*G3)</f>
        <v/>
      </c>
      <c r="E3" s="22" t="str">
        <f>IF(COUNT(P3:AU3)=0,"",AVERAGE(P3:AU3))</f>
        <v/>
      </c>
      <c r="F3" s="22" t="str">
        <f t="shared" ref="F3:F13" si="3">IF(COUNT(P3:AU3)=0,"",E3+1.5*G3)</f>
        <v/>
      </c>
      <c r="G3" s="22" t="str">
        <f>IF(COUNT(P3:AU3)=0,"",STDEV(P3:AU3))</f>
        <v/>
      </c>
      <c r="I3" s="49">
        <v>1</v>
      </c>
      <c r="J3" s="49">
        <v>2</v>
      </c>
      <c r="K3" s="146">
        <f t="shared" ref="K3:K13" si="4">INDEX(calTable,I3,1)/INDEX(calTable,I3,J3)</f>
        <v>20.618556701030929</v>
      </c>
      <c r="L3" s="123">
        <v>1</v>
      </c>
      <c r="M3" s="130">
        <f t="shared" ref="M3:M13" si="5">INDEX(dataEnable,L3)</f>
        <v>1</v>
      </c>
      <c r="N3" s="108">
        <v>1</v>
      </c>
      <c r="O3" s="110">
        <f>M3*N3</f>
        <v>1</v>
      </c>
      <c r="P3" s="22" t="str">
        <f>IF(P$2*$O3*COUNT(data0!B2)=0,"",$K3*data0!B2)</f>
        <v/>
      </c>
      <c r="Q3" s="22" t="str">
        <f>IF(Q$2*$O3*COUNT(data0!C2)=0,"",$K3*data0!C2)</f>
        <v/>
      </c>
      <c r="R3" s="22" t="str">
        <f>IF(R$2*$O3*COUNT(data0!D2)=0,"",$K3*data0!D2)</f>
        <v/>
      </c>
      <c r="S3" s="22" t="str">
        <f>IF(S$2*$O3*COUNT(data0!E2)=0,"",$K3*data0!E2)</f>
        <v/>
      </c>
      <c r="T3" s="22" t="str">
        <f>IF(T$2*$O3*COUNT(data0!F2)=0,"",$K3*data0!F2)</f>
        <v/>
      </c>
      <c r="U3" s="22" t="str">
        <f>IF(U$2*$O3*COUNT(data0!G2)=0,"",$K3*data0!G2)</f>
        <v/>
      </c>
      <c r="V3" s="22" t="str">
        <f>IF(V$2*$O3*COUNT(data0!H2)=0,"",$K3*data0!H2)</f>
        <v/>
      </c>
      <c r="W3" s="22" t="str">
        <f>IF(W$2*$O3*COUNT(data0!I2)=0,"",$K3*data0!I2)</f>
        <v/>
      </c>
      <c r="X3" s="22" t="str">
        <f>IF(X$2*$O3*COUNT(data0!J2)=0,"",$K3*data0!J2)</f>
        <v/>
      </c>
      <c r="Y3" s="22" t="str">
        <f>IF(Y$2*$O3*COUNT(data0!K2)=0,"",$K3*data0!K2)</f>
        <v/>
      </c>
      <c r="Z3" s="22" t="str">
        <f>IF(Z$2*$O3*COUNT(data0!L2)=0,"",$K3*data0!L2)</f>
        <v/>
      </c>
      <c r="AA3" s="22" t="str">
        <f>IF(AA$2*$O3*COUNT(data0!M2)=0,"",$K3*data0!M2)</f>
        <v/>
      </c>
      <c r="AB3" s="22" t="str">
        <f>IF(AB$2*$O3*COUNT(data0!N2)=0,"",$K3*data0!N2)</f>
        <v/>
      </c>
      <c r="AC3" s="22" t="str">
        <f>IF(AC$2*$O3*COUNT(data0!O2)=0,"",$K3*data0!O2)</f>
        <v/>
      </c>
      <c r="AD3" s="22" t="str">
        <f>IF(AD$2*$O3*COUNT(data0!P2)=0,"",$K3*data0!P2)</f>
        <v/>
      </c>
      <c r="AE3" s="22" t="str">
        <f>IF(AE$2*$O3*COUNT(data0!Q2)=0,"",$K3*data0!Q2)</f>
        <v/>
      </c>
      <c r="AF3" s="22" t="str">
        <f>IF(AF$2*$O3*COUNT(data0!R2)=0,"",$K3*data0!R2)</f>
        <v/>
      </c>
      <c r="AG3" s="22" t="str">
        <f>IF(AG$2*$O3*COUNT(data0!S2)=0,"",$K3*data0!S2)</f>
        <v/>
      </c>
      <c r="AH3" s="22" t="str">
        <f>IF(AH$2*$O3*COUNT(data0!T2)=0,"",$K3*data0!T2)</f>
        <v/>
      </c>
      <c r="AI3" s="22" t="str">
        <f>IF(AI$2*$O3*COUNT(data0!U2)=0,"",$K3*data0!U2)</f>
        <v/>
      </c>
      <c r="AJ3" s="22" t="str">
        <f>IF(AJ$2*$O3*COUNT(data0!V2)=0,"",$K3*data0!V2)</f>
        <v/>
      </c>
      <c r="AK3" s="22" t="str">
        <f>IF(AK$2*$O3*COUNT(data0!W2)=0,"",$K3*data0!W2)</f>
        <v/>
      </c>
      <c r="AL3" s="22" t="str">
        <f>IF(AL$2*$O3*COUNT(data0!X2)=0,"",$K3*data0!X2)</f>
        <v/>
      </c>
      <c r="AM3" s="22" t="str">
        <f>IF(AM$2*$O3*COUNT(data0!Y2)=0,"",$K3*data0!Y2)</f>
        <v/>
      </c>
      <c r="AN3" s="22" t="str">
        <f>IF(AN$2*$O3*COUNT(data0!Z2)=0,"",$K3*data0!Z2)</f>
        <v/>
      </c>
      <c r="AO3" s="22" t="str">
        <f>IF(AO$2*$O3*COUNT(data0!AA2)=0,"",$K3*data0!AA2)</f>
        <v/>
      </c>
      <c r="AP3" s="22" t="str">
        <f>IF(AP$2*$O3*COUNT(data0!AB2)=0,"",$K3*data0!AB2)</f>
        <v/>
      </c>
      <c r="AQ3" s="22" t="str">
        <f>IF(AQ$2*$O3*COUNT(data0!AC2)=0,"",$K3*data0!AC2)</f>
        <v/>
      </c>
      <c r="AR3" s="22" t="str">
        <f>IF(AR$2*$O3*COUNT(data0!AD2)=0,"",$K3*data0!AD2)</f>
        <v/>
      </c>
      <c r="AS3" s="22" t="str">
        <f>IF(AS$2*$O3*COUNT(data0!AE2)=0,"",$K3*data0!AE2)</f>
        <v/>
      </c>
      <c r="AT3" s="22" t="str">
        <f>IF(AT$2*$O3*COUNT(data0!AF2)=0,"",$K3*data0!AF2)</f>
        <v/>
      </c>
      <c r="AU3" s="22" t="str">
        <f>IF(AU$2*$O3*COUNT(data0!AG2)=0,"",$K3*data0!AG2)</f>
        <v/>
      </c>
    </row>
    <row r="4" spans="1:47">
      <c r="A4" s="191"/>
      <c r="B4" s="191"/>
      <c r="C4" t="str">
        <f>data0!A3</f>
        <v>Range1</v>
      </c>
      <c r="D4" s="22" t="str">
        <f t="shared" si="2"/>
        <v/>
      </c>
      <c r="E4" s="22" t="str">
        <f t="shared" ref="E4:E6" si="6">IF(COUNT(P4:AU4)=0,"",AVERAGE(P4:AU4))</f>
        <v/>
      </c>
      <c r="F4" s="22" t="str">
        <f t="shared" si="3"/>
        <v/>
      </c>
      <c r="G4" s="22" t="str">
        <f t="shared" ref="G4:G6" si="7">IF(COUNT(P4:AU4)=0,"",STDEV(P4:AU4))</f>
        <v/>
      </c>
      <c r="I4" s="49">
        <f>I3</f>
        <v>1</v>
      </c>
      <c r="J4" s="49">
        <f>J3</f>
        <v>2</v>
      </c>
      <c r="K4" s="146">
        <f t="shared" si="4"/>
        <v>20.618556701030929</v>
      </c>
      <c r="L4" s="123">
        <f>L3+1</f>
        <v>2</v>
      </c>
      <c r="M4" s="130">
        <f t="shared" si="5"/>
        <v>1</v>
      </c>
      <c r="N4" s="108">
        <v>1</v>
      </c>
      <c r="O4" s="110">
        <f t="shared" ref="O4:O13" si="8">M4*N4</f>
        <v>1</v>
      </c>
      <c r="P4" s="22" t="str">
        <f>IF(P$2*$O4*COUNT(data0!B3)=0,"",$K4*data0!B3)</f>
        <v/>
      </c>
      <c r="Q4" s="22" t="str">
        <f>IF(Q$2*$O4*COUNT(data0!C3)=0,"",$K4*data0!C3)</f>
        <v/>
      </c>
      <c r="R4" s="22" t="str">
        <f>IF(R$2*$O4*COUNT(data0!D3)=0,"",$K4*data0!D3)</f>
        <v/>
      </c>
      <c r="S4" s="22" t="str">
        <f>IF(S$2*$O4*COUNT(data0!E3)=0,"",$K4*data0!E3)</f>
        <v/>
      </c>
      <c r="T4" s="22" t="str">
        <f>IF(T$2*$O4*COUNT(data0!F3)=0,"",$K4*data0!F3)</f>
        <v/>
      </c>
      <c r="U4" s="22" t="str">
        <f>IF(U$2*$O4*COUNT(data0!G3)=0,"",$K4*data0!G3)</f>
        <v/>
      </c>
      <c r="V4" s="22" t="str">
        <f>IF(V$2*$O4*COUNT(data0!H3)=0,"",$K4*data0!H3)</f>
        <v/>
      </c>
      <c r="W4" s="22" t="str">
        <f>IF(W$2*$O4*COUNT(data0!I3)=0,"",$K4*data0!I3)</f>
        <v/>
      </c>
      <c r="X4" s="22" t="str">
        <f>IF(X$2*$O4*COUNT(data0!J3)=0,"",$K4*data0!J3)</f>
        <v/>
      </c>
      <c r="Y4" s="22" t="str">
        <f>IF(Y$2*$O4*COUNT(data0!K3)=0,"",$K4*data0!K3)</f>
        <v/>
      </c>
      <c r="Z4" s="22" t="str">
        <f>IF(Z$2*$O4*COUNT(data0!L3)=0,"",$K4*data0!L3)</f>
        <v/>
      </c>
      <c r="AA4" s="22" t="str">
        <f>IF(AA$2*$O4*COUNT(data0!M3)=0,"",$K4*data0!M3)</f>
        <v/>
      </c>
      <c r="AB4" s="22" t="str">
        <f>IF(AB$2*$O4*COUNT(data0!N3)=0,"",$K4*data0!N3)</f>
        <v/>
      </c>
      <c r="AC4" s="22" t="str">
        <f>IF(AC$2*$O4*COUNT(data0!O3)=0,"",$K4*data0!O3)</f>
        <v/>
      </c>
      <c r="AD4" s="22" t="str">
        <f>IF(AD$2*$O4*COUNT(data0!P3)=0,"",$K4*data0!P3)</f>
        <v/>
      </c>
      <c r="AE4" s="22" t="str">
        <f>IF(AE$2*$O4*COUNT(data0!Q3)=0,"",$K4*data0!Q3)</f>
        <v/>
      </c>
      <c r="AF4" s="22" t="str">
        <f>IF(AF$2*$O4*COUNT(data0!R3)=0,"",$K4*data0!R3)</f>
        <v/>
      </c>
      <c r="AG4" s="22" t="str">
        <f>IF(AG$2*$O4*COUNT(data0!S3)=0,"",$K4*data0!S3)</f>
        <v/>
      </c>
      <c r="AH4" s="22" t="str">
        <f>IF(AH$2*$O4*COUNT(data0!T3)=0,"",$K4*data0!T3)</f>
        <v/>
      </c>
      <c r="AI4" s="22" t="str">
        <f>IF(AI$2*$O4*COUNT(data0!U3)=0,"",$K4*data0!U3)</f>
        <v/>
      </c>
      <c r="AJ4" s="22" t="str">
        <f>IF(AJ$2*$O4*COUNT(data0!V3)=0,"",$K4*data0!V3)</f>
        <v/>
      </c>
      <c r="AK4" s="22" t="str">
        <f>IF(AK$2*$O4*COUNT(data0!W3)=0,"",$K4*data0!W3)</f>
        <v/>
      </c>
      <c r="AL4" s="22" t="str">
        <f>IF(AL$2*$O4*COUNT(data0!X3)=0,"",$K4*data0!X3)</f>
        <v/>
      </c>
      <c r="AM4" s="22" t="str">
        <f>IF(AM$2*$O4*COUNT(data0!Y3)=0,"",$K4*data0!Y3)</f>
        <v/>
      </c>
      <c r="AN4" s="22" t="str">
        <f>IF(AN$2*$O4*COUNT(data0!Z3)=0,"",$K4*data0!Z3)</f>
        <v/>
      </c>
      <c r="AO4" s="22" t="str">
        <f>IF(AO$2*$O4*COUNT(data0!AA3)=0,"",$K4*data0!AA3)</f>
        <v/>
      </c>
      <c r="AP4" s="22" t="str">
        <f>IF(AP$2*$O4*COUNT(data0!AB3)=0,"",$K4*data0!AB3)</f>
        <v/>
      </c>
      <c r="AQ4" s="22" t="str">
        <f>IF(AQ$2*$O4*COUNT(data0!AC3)=0,"",$K4*data0!AC3)</f>
        <v/>
      </c>
      <c r="AR4" s="22" t="str">
        <f>IF(AR$2*$O4*COUNT(data0!AD3)=0,"",$K4*data0!AD3)</f>
        <v/>
      </c>
      <c r="AS4" s="22" t="str">
        <f>IF(AS$2*$O4*COUNT(data0!AE3)=0,"",$K4*data0!AE3)</f>
        <v/>
      </c>
      <c r="AT4" s="22" t="str">
        <f>IF(AT$2*$O4*COUNT(data0!AF3)=0,"",$K4*data0!AF3)</f>
        <v/>
      </c>
      <c r="AU4" s="22" t="str">
        <f>IF(AU$2*$O4*COUNT(data0!AG3)=0,"",$K4*data0!AG3)</f>
        <v/>
      </c>
    </row>
    <row r="5" spans="1:47">
      <c r="A5" s="191"/>
      <c r="B5" s="191"/>
      <c r="C5" t="str">
        <f>data0!A4</f>
        <v>Range2</v>
      </c>
      <c r="D5" s="22" t="str">
        <f t="shared" si="2"/>
        <v/>
      </c>
      <c r="E5" s="22" t="str">
        <f t="shared" si="6"/>
        <v/>
      </c>
      <c r="F5" s="22" t="str">
        <f t="shared" si="3"/>
        <v/>
      </c>
      <c r="G5" s="22" t="str">
        <f t="shared" si="7"/>
        <v/>
      </c>
      <c r="I5" s="49">
        <f t="shared" ref="I5:I7" si="9">I4</f>
        <v>1</v>
      </c>
      <c r="J5" s="49">
        <f t="shared" ref="J5:J13" si="10">J4</f>
        <v>2</v>
      </c>
      <c r="K5" s="146">
        <f t="shared" si="4"/>
        <v>20.618556701030929</v>
      </c>
      <c r="L5" s="123">
        <f t="shared" ref="L5:L13" si="11">L4+1</f>
        <v>3</v>
      </c>
      <c r="M5" s="130">
        <f t="shared" si="5"/>
        <v>1</v>
      </c>
      <c r="N5" s="108">
        <v>1</v>
      </c>
      <c r="O5" s="110">
        <f t="shared" si="8"/>
        <v>1</v>
      </c>
      <c r="P5" s="22" t="str">
        <f>IF(P$2*$O5*COUNT(data0!B4)=0,"",$K5*data0!B4)</f>
        <v/>
      </c>
      <c r="Q5" s="22" t="str">
        <f>IF(Q$2*$O5*COUNT(data0!C4)=0,"",$K5*data0!C4)</f>
        <v/>
      </c>
      <c r="R5" s="22" t="str">
        <f>IF(R$2*$O5*COUNT(data0!D4)=0,"",$K5*data0!D4)</f>
        <v/>
      </c>
      <c r="S5" s="22" t="str">
        <f>IF(S$2*$O5*COUNT(data0!E4)=0,"",$K5*data0!E4)</f>
        <v/>
      </c>
      <c r="T5" s="22" t="str">
        <f>IF(T$2*$O5*COUNT(data0!F4)=0,"",$K5*data0!F4)</f>
        <v/>
      </c>
      <c r="U5" s="22" t="str">
        <f>IF(U$2*$O5*COUNT(data0!G4)=0,"",$K5*data0!G4)</f>
        <v/>
      </c>
      <c r="V5" s="22" t="str">
        <f>IF(V$2*$O5*COUNT(data0!H4)=0,"",$K5*data0!H4)</f>
        <v/>
      </c>
      <c r="W5" s="22" t="str">
        <f>IF(W$2*$O5*COUNT(data0!I4)=0,"",$K5*data0!I4)</f>
        <v/>
      </c>
      <c r="X5" s="22" t="str">
        <f>IF(X$2*$O5*COUNT(data0!J4)=0,"",$K5*data0!J4)</f>
        <v/>
      </c>
      <c r="Y5" s="22" t="str">
        <f>IF(Y$2*$O5*COUNT(data0!K4)=0,"",$K5*data0!K4)</f>
        <v/>
      </c>
      <c r="Z5" s="22" t="str">
        <f>IF(Z$2*$O5*COUNT(data0!L4)=0,"",$K5*data0!L4)</f>
        <v/>
      </c>
      <c r="AA5" s="22" t="str">
        <f>IF(AA$2*$O5*COUNT(data0!M4)=0,"",$K5*data0!M4)</f>
        <v/>
      </c>
      <c r="AB5" s="22" t="str">
        <f>IF(AB$2*$O5*COUNT(data0!N4)=0,"",$K5*data0!N4)</f>
        <v/>
      </c>
      <c r="AC5" s="22" t="str">
        <f>IF(AC$2*$O5*COUNT(data0!O4)=0,"",$K5*data0!O4)</f>
        <v/>
      </c>
      <c r="AD5" s="22" t="str">
        <f>IF(AD$2*$O5*COUNT(data0!P4)=0,"",$K5*data0!P4)</f>
        <v/>
      </c>
      <c r="AE5" s="22" t="str">
        <f>IF(AE$2*$O5*COUNT(data0!Q4)=0,"",$K5*data0!Q4)</f>
        <v/>
      </c>
      <c r="AF5" s="22" t="str">
        <f>IF(AF$2*$O5*COUNT(data0!R4)=0,"",$K5*data0!R4)</f>
        <v/>
      </c>
      <c r="AG5" s="22" t="str">
        <f>IF(AG$2*$O5*COUNT(data0!S4)=0,"",$K5*data0!S4)</f>
        <v/>
      </c>
      <c r="AH5" s="22" t="str">
        <f>IF(AH$2*$O5*COUNT(data0!T4)=0,"",$K5*data0!T4)</f>
        <v/>
      </c>
      <c r="AI5" s="22" t="str">
        <f>IF(AI$2*$O5*COUNT(data0!U4)=0,"",$K5*data0!U4)</f>
        <v/>
      </c>
      <c r="AJ5" s="22" t="str">
        <f>IF(AJ$2*$O5*COUNT(data0!V4)=0,"",$K5*data0!V4)</f>
        <v/>
      </c>
      <c r="AK5" s="22" t="str">
        <f>IF(AK$2*$O5*COUNT(data0!W4)=0,"",$K5*data0!W4)</f>
        <v/>
      </c>
      <c r="AL5" s="22" t="str">
        <f>IF(AL$2*$O5*COUNT(data0!X4)=0,"",$K5*data0!X4)</f>
        <v/>
      </c>
      <c r="AM5" s="22" t="str">
        <f>IF(AM$2*$O5*COUNT(data0!Y4)=0,"",$K5*data0!Y4)</f>
        <v/>
      </c>
      <c r="AN5" s="22" t="str">
        <f>IF(AN$2*$O5*COUNT(data0!Z4)=0,"",$K5*data0!Z4)</f>
        <v/>
      </c>
      <c r="AO5" s="22" t="str">
        <f>IF(AO$2*$O5*COUNT(data0!AA4)=0,"",$K5*data0!AA4)</f>
        <v/>
      </c>
      <c r="AP5" s="22" t="str">
        <f>IF(AP$2*$O5*COUNT(data0!AB4)=0,"",$K5*data0!AB4)</f>
        <v/>
      </c>
      <c r="AQ5" s="22" t="str">
        <f>IF(AQ$2*$O5*COUNT(data0!AC4)=0,"",$K5*data0!AC4)</f>
        <v/>
      </c>
      <c r="AR5" s="22" t="str">
        <f>IF(AR$2*$O5*COUNT(data0!AD4)=0,"",$K5*data0!AD4)</f>
        <v/>
      </c>
      <c r="AS5" s="22" t="str">
        <f>IF(AS$2*$O5*COUNT(data0!AE4)=0,"",$K5*data0!AE4)</f>
        <v/>
      </c>
      <c r="AT5" s="22" t="str">
        <f>IF(AT$2*$O5*COUNT(data0!AF4)=0,"",$K5*data0!AF4)</f>
        <v/>
      </c>
      <c r="AU5" s="22" t="str">
        <f>IF(AU$2*$O5*COUNT(data0!AG4)=0,"",$K5*data0!AG4)</f>
        <v/>
      </c>
    </row>
    <row r="6" spans="1:47">
      <c r="A6" s="191"/>
      <c r="B6" s="191"/>
      <c r="C6" t="str">
        <f>data0!A5</f>
        <v>Range3</v>
      </c>
      <c r="D6" s="22" t="str">
        <f t="shared" si="2"/>
        <v/>
      </c>
      <c r="E6" s="22" t="str">
        <f t="shared" si="6"/>
        <v/>
      </c>
      <c r="F6" s="22" t="str">
        <f t="shared" si="3"/>
        <v/>
      </c>
      <c r="G6" s="22" t="str">
        <f t="shared" si="7"/>
        <v/>
      </c>
      <c r="I6" s="49">
        <f t="shared" si="9"/>
        <v>1</v>
      </c>
      <c r="J6" s="49">
        <f t="shared" si="10"/>
        <v>2</v>
      </c>
      <c r="K6" s="146">
        <f t="shared" si="4"/>
        <v>20.618556701030929</v>
      </c>
      <c r="L6" s="123">
        <f t="shared" si="11"/>
        <v>4</v>
      </c>
      <c r="M6" s="130">
        <f t="shared" si="5"/>
        <v>1</v>
      </c>
      <c r="N6" s="108">
        <v>1</v>
      </c>
      <c r="O6" s="110">
        <f t="shared" si="8"/>
        <v>1</v>
      </c>
      <c r="P6" s="22" t="str">
        <f>IF(P$2*$O6*COUNT(data0!B5)=0,"",$K6*data0!B5)</f>
        <v/>
      </c>
      <c r="Q6" s="22" t="str">
        <f>IF(Q$2*$O6*COUNT(data0!C5)=0,"",$K6*data0!C5)</f>
        <v/>
      </c>
      <c r="R6" s="22" t="str">
        <f>IF(R$2*$O6*COUNT(data0!D5)=0,"",$K6*data0!D5)</f>
        <v/>
      </c>
      <c r="S6" s="22" t="str">
        <f>IF(S$2*$O6*COUNT(data0!E5)=0,"",$K6*data0!E5)</f>
        <v/>
      </c>
      <c r="T6" s="22" t="str">
        <f>IF(T$2*$O6*COUNT(data0!F5)=0,"",$K6*data0!F5)</f>
        <v/>
      </c>
      <c r="U6" s="22" t="str">
        <f>IF(U$2*$O6*COUNT(data0!G5)=0,"",$K6*data0!G5)</f>
        <v/>
      </c>
      <c r="V6" s="22" t="str">
        <f>IF(V$2*$O6*COUNT(data0!H5)=0,"",$K6*data0!H5)</f>
        <v/>
      </c>
      <c r="W6" s="22" t="str">
        <f>IF(W$2*$O6*COUNT(data0!I5)=0,"",$K6*data0!I5)</f>
        <v/>
      </c>
      <c r="X6" s="22" t="str">
        <f>IF(X$2*$O6*COUNT(data0!J5)=0,"",$K6*data0!J5)</f>
        <v/>
      </c>
      <c r="Y6" s="22" t="str">
        <f>IF(Y$2*$O6*COUNT(data0!K5)=0,"",$K6*data0!K5)</f>
        <v/>
      </c>
      <c r="Z6" s="22" t="str">
        <f>IF(Z$2*$O6*COUNT(data0!L5)=0,"",$K6*data0!L5)</f>
        <v/>
      </c>
      <c r="AA6" s="22" t="str">
        <f>IF(AA$2*$O6*COUNT(data0!M5)=0,"",$K6*data0!M5)</f>
        <v/>
      </c>
      <c r="AB6" s="22" t="str">
        <f>IF(AB$2*$O6*COUNT(data0!N5)=0,"",$K6*data0!N5)</f>
        <v/>
      </c>
      <c r="AC6" s="22" t="str">
        <f>IF(AC$2*$O6*COUNT(data0!O5)=0,"",$K6*data0!O5)</f>
        <v/>
      </c>
      <c r="AD6" s="22" t="str">
        <f>IF(AD$2*$O6*COUNT(data0!P5)=0,"",$K6*data0!P5)</f>
        <v/>
      </c>
      <c r="AE6" s="22" t="str">
        <f>IF(AE$2*$O6*COUNT(data0!Q5)=0,"",$K6*data0!Q5)</f>
        <v/>
      </c>
      <c r="AF6" s="22" t="str">
        <f>IF(AF$2*$O6*COUNT(data0!R5)=0,"",$K6*data0!R5)</f>
        <v/>
      </c>
      <c r="AG6" s="22" t="str">
        <f>IF(AG$2*$O6*COUNT(data0!S5)=0,"",$K6*data0!S5)</f>
        <v/>
      </c>
      <c r="AH6" s="22" t="str">
        <f>IF(AH$2*$O6*COUNT(data0!T5)=0,"",$K6*data0!T5)</f>
        <v/>
      </c>
      <c r="AI6" s="22" t="str">
        <f>IF(AI$2*$O6*COUNT(data0!U5)=0,"",$K6*data0!U5)</f>
        <v/>
      </c>
      <c r="AJ6" s="22" t="str">
        <f>IF(AJ$2*$O6*COUNT(data0!V5)=0,"",$K6*data0!V5)</f>
        <v/>
      </c>
      <c r="AK6" s="22" t="str">
        <f>IF(AK$2*$O6*COUNT(data0!W5)=0,"",$K6*data0!W5)</f>
        <v/>
      </c>
      <c r="AL6" s="22" t="str">
        <f>IF(AL$2*$O6*COUNT(data0!X5)=0,"",$K6*data0!X5)</f>
        <v/>
      </c>
      <c r="AM6" s="22" t="str">
        <f>IF(AM$2*$O6*COUNT(data0!Y5)=0,"",$K6*data0!Y5)</f>
        <v/>
      </c>
      <c r="AN6" s="22" t="str">
        <f>IF(AN$2*$O6*COUNT(data0!Z5)=0,"",$K6*data0!Z5)</f>
        <v/>
      </c>
      <c r="AO6" s="22" t="str">
        <f>IF(AO$2*$O6*COUNT(data0!AA5)=0,"",$K6*data0!AA5)</f>
        <v/>
      </c>
      <c r="AP6" s="22" t="str">
        <f>IF(AP$2*$O6*COUNT(data0!AB5)=0,"",$K6*data0!AB5)</f>
        <v/>
      </c>
      <c r="AQ6" s="22" t="str">
        <f>IF(AQ$2*$O6*COUNT(data0!AC5)=0,"",$K6*data0!AC5)</f>
        <v/>
      </c>
      <c r="AR6" s="22" t="str">
        <f>IF(AR$2*$O6*COUNT(data0!AD5)=0,"",$K6*data0!AD5)</f>
        <v/>
      </c>
      <c r="AS6" s="22" t="str">
        <f>IF(AS$2*$O6*COUNT(data0!AE5)=0,"",$K6*data0!AE5)</f>
        <v/>
      </c>
      <c r="AT6" s="22" t="str">
        <f>IF(AT$2*$O6*COUNT(data0!AF5)=0,"",$K6*data0!AF5)</f>
        <v/>
      </c>
      <c r="AU6" s="22" t="str">
        <f>IF(AU$2*$O6*COUNT(data0!AG5)=0,"",$K6*data0!AG5)</f>
        <v/>
      </c>
    </row>
    <row r="7" spans="1:47">
      <c r="A7" s="191"/>
      <c r="B7" s="191"/>
      <c r="C7" t="str">
        <f>data0!A6</f>
        <v>%IR</v>
      </c>
      <c r="D7" s="47" t="str">
        <f t="shared" si="2"/>
        <v/>
      </c>
      <c r="E7" s="47" t="str">
        <f>IF(COUNT(P7:AU7)=0,"",AVERAGE(P7:AU7))</f>
        <v/>
      </c>
      <c r="F7" s="47" t="str">
        <f t="shared" si="3"/>
        <v/>
      </c>
      <c r="G7" s="47" t="str">
        <f>IF(COUNT(P7:AU7)=0,"",STDEV(P7:AU7))</f>
        <v/>
      </c>
      <c r="I7" s="49">
        <f t="shared" si="9"/>
        <v>1</v>
      </c>
      <c r="J7" s="49">
        <f t="shared" si="10"/>
        <v>2</v>
      </c>
      <c r="K7" s="146">
        <f t="shared" si="4"/>
        <v>20.618556701030929</v>
      </c>
      <c r="L7" s="123">
        <f t="shared" si="11"/>
        <v>5</v>
      </c>
      <c r="M7" s="130">
        <f t="shared" si="5"/>
        <v>1</v>
      </c>
      <c r="N7" s="108">
        <v>1</v>
      </c>
      <c r="O7" s="110">
        <f t="shared" si="8"/>
        <v>1</v>
      </c>
      <c r="P7" s="47" t="str">
        <f>IF(P$2*$O7*COUNT(data0!B6)=0,"",$K7*data0!B6)</f>
        <v/>
      </c>
      <c r="Q7" s="47" t="str">
        <f>IF(Q$2*$O7*COUNT(data0!C6)=0,"",$K7*data0!C6)</f>
        <v/>
      </c>
      <c r="R7" s="47" t="str">
        <f>IF(R$2*$O7*COUNT(data0!D6)=0,"",$K7*data0!D6)</f>
        <v/>
      </c>
      <c r="S7" s="47" t="str">
        <f>IF(S$2*$O7*COUNT(data0!E6)=0,"",$K7*data0!E6)</f>
        <v/>
      </c>
      <c r="T7" s="47" t="str">
        <f>IF(T$2*$O7*COUNT(data0!F6)=0,"",$K7*data0!F6)</f>
        <v/>
      </c>
      <c r="U7" s="47" t="str">
        <f>IF(U$2*$O7*COUNT(data0!G6)=0,"",$K7*data0!G6)</f>
        <v/>
      </c>
      <c r="V7" s="47" t="str">
        <f>IF(V$2*$O7*COUNT(data0!H6)=0,"",$K7*data0!H6)</f>
        <v/>
      </c>
      <c r="W7" s="47" t="str">
        <f>IF(W$2*$O7*COUNT(data0!I6)=0,"",$K7*data0!I6)</f>
        <v/>
      </c>
      <c r="X7" s="47" t="str">
        <f>IF(X$2*$O7*COUNT(data0!J6)=0,"",$K7*data0!J6)</f>
        <v/>
      </c>
      <c r="Y7" s="47" t="str">
        <f>IF(Y$2*$O7*COUNT(data0!K6)=0,"",$K7*data0!K6)</f>
        <v/>
      </c>
      <c r="Z7" s="47" t="str">
        <f>IF(Z$2*$O7*COUNT(data0!L6)=0,"",$K7*data0!L6)</f>
        <v/>
      </c>
      <c r="AA7" s="47" t="str">
        <f>IF(AA$2*$O7*COUNT(data0!M6)=0,"",$K7*data0!M6)</f>
        <v/>
      </c>
      <c r="AB7" s="47" t="str">
        <f>IF(AB$2*$O7*COUNT(data0!N6)=0,"",$K7*data0!N6)</f>
        <v/>
      </c>
      <c r="AC7" s="47" t="str">
        <f>IF(AC$2*$O7*COUNT(data0!O6)=0,"",$K7*data0!O6)</f>
        <v/>
      </c>
      <c r="AD7" s="47" t="str">
        <f>IF(AD$2*$O7*COUNT(data0!P6)=0,"",$K7*data0!P6)</f>
        <v/>
      </c>
      <c r="AE7" s="47" t="str">
        <f>IF(AE$2*$O7*COUNT(data0!Q6)=0,"",$K7*data0!Q6)</f>
        <v/>
      </c>
      <c r="AF7" s="47" t="str">
        <f>IF(AF$2*$O7*COUNT(data0!R6)=0,"",$K7*data0!R6)</f>
        <v/>
      </c>
      <c r="AG7" s="47" t="str">
        <f>IF(AG$2*$O7*COUNT(data0!S6)=0,"",$K7*data0!S6)</f>
        <v/>
      </c>
      <c r="AH7" s="47" t="str">
        <f>IF(AH$2*$O7*COUNT(data0!T6)=0,"",$K7*data0!T6)</f>
        <v/>
      </c>
      <c r="AI7" s="47" t="str">
        <f>IF(AI$2*$O7*COUNT(data0!U6)=0,"",$K7*data0!U6)</f>
        <v/>
      </c>
      <c r="AJ7" s="47" t="str">
        <f>IF(AJ$2*$O7*COUNT(data0!V6)=0,"",$K7*data0!V6)</f>
        <v/>
      </c>
      <c r="AK7" s="47" t="str">
        <f>IF(AK$2*$O7*COUNT(data0!W6)=0,"",$K7*data0!W6)</f>
        <v/>
      </c>
      <c r="AL7" s="47" t="str">
        <f>IF(AL$2*$O7*COUNT(data0!X6)=0,"",$K7*data0!X6)</f>
        <v/>
      </c>
      <c r="AM7" s="47" t="str">
        <f>IF(AM$2*$O7*COUNT(data0!Y6)=0,"",$K7*data0!Y6)</f>
        <v/>
      </c>
      <c r="AN7" s="47" t="str">
        <f>IF(AN$2*$O7*COUNT(data0!Z6)=0,"",$K7*data0!Z6)</f>
        <v/>
      </c>
      <c r="AO7" s="47" t="str">
        <f>IF(AO$2*$O7*COUNT(data0!AA6)=0,"",$K7*data0!AA6)</f>
        <v/>
      </c>
      <c r="AP7" s="47" t="str">
        <f>IF(AP$2*$O7*COUNT(data0!AB6)=0,"",$K7*data0!AB6)</f>
        <v/>
      </c>
      <c r="AQ7" s="47" t="str">
        <f>IF(AQ$2*$O7*COUNT(data0!AC6)=0,"",$K7*data0!AC6)</f>
        <v/>
      </c>
      <c r="AR7" s="47" t="str">
        <f>IF(AR$2*$O7*COUNT(data0!AD6)=0,"",$K7*data0!AD6)</f>
        <v/>
      </c>
      <c r="AS7" s="47" t="str">
        <f>IF(AS$2*$O7*COUNT(data0!AE6)=0,"",$K7*data0!AE6)</f>
        <v/>
      </c>
      <c r="AT7" s="47" t="str">
        <f>IF(AT$2*$O7*COUNT(data0!AF6)=0,"",$K7*data0!AF6)</f>
        <v/>
      </c>
      <c r="AU7" s="47" t="str">
        <f>IF(AU$2*$O7*COUNT(data0!AG6)=0,"",$K7*data0!AG6)</f>
        <v/>
      </c>
    </row>
    <row r="8" spans="1:47">
      <c r="A8" s="191"/>
      <c r="B8" s="191" t="s">
        <v>70</v>
      </c>
      <c r="C8" t="str">
        <f>data0!A7</f>
        <v>Range1-1</v>
      </c>
      <c r="D8" s="22" t="str">
        <f t="shared" si="2"/>
        <v/>
      </c>
      <c r="E8" s="22" t="str">
        <f t="shared" ref="E8:E13" si="12">IF(COUNT(P8:AU8)=0,"",AVERAGE(P8:AU8))</f>
        <v/>
      </c>
      <c r="F8" s="22" t="str">
        <f t="shared" si="3"/>
        <v/>
      </c>
      <c r="G8" s="22" t="str">
        <f t="shared" ref="G8:G13" si="13">IF(COUNT(P8:AU8)=0,"",STDEV(P8:AU8))</f>
        <v/>
      </c>
      <c r="I8" s="49">
        <f>I7+1</f>
        <v>2</v>
      </c>
      <c r="J8" s="49">
        <f t="shared" si="10"/>
        <v>2</v>
      </c>
      <c r="K8" s="146">
        <f t="shared" si="4"/>
        <v>38.797284190106694</v>
      </c>
      <c r="L8" s="123">
        <f t="shared" si="11"/>
        <v>6</v>
      </c>
      <c r="M8" s="130">
        <f t="shared" si="5"/>
        <v>1</v>
      </c>
      <c r="N8" s="108">
        <v>1</v>
      </c>
      <c r="O8" s="110">
        <f t="shared" si="8"/>
        <v>1</v>
      </c>
      <c r="P8" s="22" t="str">
        <f>IF(P$2*$O8*COUNT(data0!B7)=0,"",$K8*data0!B7)</f>
        <v/>
      </c>
      <c r="Q8" s="22" t="str">
        <f>IF(Q$2*$O8*COUNT(data0!C7)=0,"",$K8*data0!C7)</f>
        <v/>
      </c>
      <c r="R8" s="22" t="str">
        <f>IF(R$2*$O8*COUNT(data0!D7)=0,"",$K8*data0!D7)</f>
        <v/>
      </c>
      <c r="S8" s="22" t="str">
        <f>IF(S$2*$O8*COUNT(data0!E7)=0,"",$K8*data0!E7)</f>
        <v/>
      </c>
      <c r="T8" s="22" t="str">
        <f>IF(T$2*$O8*COUNT(data0!F7)=0,"",$K8*data0!F7)</f>
        <v/>
      </c>
      <c r="U8" s="22" t="str">
        <f>IF(U$2*$O8*COUNT(data0!G7)=0,"",$K8*data0!G7)</f>
        <v/>
      </c>
      <c r="V8" s="22" t="str">
        <f>IF(V$2*$O8*COUNT(data0!H7)=0,"",$K8*data0!H7)</f>
        <v/>
      </c>
      <c r="W8" s="22" t="str">
        <f>IF(W$2*$O8*COUNT(data0!I7)=0,"",$K8*data0!I7)</f>
        <v/>
      </c>
      <c r="X8" s="22" t="str">
        <f>IF(X$2*$O8*COUNT(data0!J7)=0,"",$K8*data0!J7)</f>
        <v/>
      </c>
      <c r="Y8" s="22" t="str">
        <f>IF(Y$2*$O8*COUNT(data0!K7)=0,"",$K8*data0!K7)</f>
        <v/>
      </c>
      <c r="Z8" s="22" t="str">
        <f>IF(Z$2*$O8*COUNT(data0!L7)=0,"",$K8*data0!L7)</f>
        <v/>
      </c>
      <c r="AA8" s="22" t="str">
        <f>IF(AA$2*$O8*COUNT(data0!M7)=0,"",$K8*data0!M7)</f>
        <v/>
      </c>
      <c r="AB8" s="22" t="str">
        <f>IF(AB$2*$O8*COUNT(data0!N7)=0,"",$K8*data0!N7)</f>
        <v/>
      </c>
      <c r="AC8" s="22" t="str">
        <f>IF(AC$2*$O8*COUNT(data0!O7)=0,"",$K8*data0!O7)</f>
        <v/>
      </c>
      <c r="AD8" s="22" t="str">
        <f>IF(AD$2*$O8*COUNT(data0!P7)=0,"",$K8*data0!P7)</f>
        <v/>
      </c>
      <c r="AE8" s="22" t="str">
        <f>IF(AE$2*$O8*COUNT(data0!Q7)=0,"",$K8*data0!Q7)</f>
        <v/>
      </c>
      <c r="AF8" s="22" t="str">
        <f>IF(AF$2*$O8*COUNT(data0!R7)=0,"",$K8*data0!R7)</f>
        <v/>
      </c>
      <c r="AG8" s="22" t="str">
        <f>IF(AG$2*$O8*COUNT(data0!S7)=0,"",$K8*data0!S7)</f>
        <v/>
      </c>
      <c r="AH8" s="22" t="str">
        <f>IF(AH$2*$O8*COUNT(data0!T7)=0,"",$K8*data0!T7)</f>
        <v/>
      </c>
      <c r="AI8" s="22" t="str">
        <f>IF(AI$2*$O8*COUNT(data0!U7)=0,"",$K8*data0!U7)</f>
        <v/>
      </c>
      <c r="AJ8" s="22" t="str">
        <f>IF(AJ$2*$O8*COUNT(data0!V7)=0,"",$K8*data0!V7)</f>
        <v/>
      </c>
      <c r="AK8" s="22" t="str">
        <f>IF(AK$2*$O8*COUNT(data0!W7)=0,"",$K8*data0!W7)</f>
        <v/>
      </c>
      <c r="AL8" s="22" t="str">
        <f>IF(AL$2*$O8*COUNT(data0!X7)=0,"",$K8*data0!X7)</f>
        <v/>
      </c>
      <c r="AM8" s="22" t="str">
        <f>IF(AM$2*$O8*COUNT(data0!Y7)=0,"",$K8*data0!Y7)</f>
        <v/>
      </c>
      <c r="AN8" s="22" t="str">
        <f>IF(AN$2*$O8*COUNT(data0!Z7)=0,"",$K8*data0!Z7)</f>
        <v/>
      </c>
      <c r="AO8" s="22" t="str">
        <f>IF(AO$2*$O8*COUNT(data0!AA7)=0,"",$K8*data0!AA7)</f>
        <v/>
      </c>
      <c r="AP8" s="22" t="str">
        <f>IF(AP$2*$O8*COUNT(data0!AB7)=0,"",$K8*data0!AB7)</f>
        <v/>
      </c>
      <c r="AQ8" s="22" t="str">
        <f>IF(AQ$2*$O8*COUNT(data0!AC7)=0,"",$K8*data0!AC7)</f>
        <v/>
      </c>
      <c r="AR8" s="22" t="str">
        <f>IF(AR$2*$O8*COUNT(data0!AD7)=0,"",$K8*data0!AD7)</f>
        <v/>
      </c>
      <c r="AS8" s="22" t="str">
        <f>IF(AS$2*$O8*COUNT(data0!AE7)=0,"",$K8*data0!AE7)</f>
        <v/>
      </c>
      <c r="AT8" s="22" t="str">
        <f>IF(AT$2*$O8*COUNT(data0!AF7)=0,"",$K8*data0!AF7)</f>
        <v/>
      </c>
      <c r="AU8" s="22" t="str">
        <f>IF(AU$2*$O8*COUNT(data0!AG7)=0,"",$K8*data0!AG7)</f>
        <v/>
      </c>
    </row>
    <row r="9" spans="1:47">
      <c r="A9" s="191"/>
      <c r="B9" s="191"/>
      <c r="C9" t="str">
        <f>data0!A8</f>
        <v>Range2-1</v>
      </c>
      <c r="D9" s="22" t="str">
        <f t="shared" si="2"/>
        <v/>
      </c>
      <c r="E9" s="22" t="str">
        <f t="shared" si="12"/>
        <v/>
      </c>
      <c r="F9" s="22" t="str">
        <f t="shared" si="3"/>
        <v/>
      </c>
      <c r="G9" s="22" t="str">
        <f t="shared" si="13"/>
        <v/>
      </c>
      <c r="I9" s="49">
        <f>I8</f>
        <v>2</v>
      </c>
      <c r="J9" s="49">
        <f t="shared" si="10"/>
        <v>2</v>
      </c>
      <c r="K9" s="146">
        <f t="shared" si="4"/>
        <v>38.797284190106694</v>
      </c>
      <c r="L9" s="123">
        <f t="shared" si="11"/>
        <v>7</v>
      </c>
      <c r="M9" s="130">
        <f t="shared" si="5"/>
        <v>1</v>
      </c>
      <c r="N9" s="108">
        <v>1</v>
      </c>
      <c r="O9" s="110">
        <f t="shared" si="8"/>
        <v>1</v>
      </c>
      <c r="P9" s="22" t="str">
        <f>IF(P$2*$O9*COUNT(data0!B8)=0,"",$K9*data0!B8)</f>
        <v/>
      </c>
      <c r="Q9" s="22" t="str">
        <f>IF(Q$2*$O9*COUNT(data0!C8)=0,"",$K9*data0!C8)</f>
        <v/>
      </c>
      <c r="R9" s="22" t="str">
        <f>IF(R$2*$O9*COUNT(data0!D8)=0,"",$K9*data0!D8)</f>
        <v/>
      </c>
      <c r="S9" s="22" t="str">
        <f>IF(S$2*$O9*COUNT(data0!E8)=0,"",$K9*data0!E8)</f>
        <v/>
      </c>
      <c r="T9" s="22" t="str">
        <f>IF(T$2*$O9*COUNT(data0!F8)=0,"",$K9*data0!F8)</f>
        <v/>
      </c>
      <c r="U9" s="22" t="str">
        <f>IF(U$2*$O9*COUNT(data0!G8)=0,"",$K9*data0!G8)</f>
        <v/>
      </c>
      <c r="V9" s="22" t="str">
        <f>IF(V$2*$O9*COUNT(data0!H8)=0,"",$K9*data0!H8)</f>
        <v/>
      </c>
      <c r="W9" s="22" t="str">
        <f>IF(W$2*$O9*COUNT(data0!I8)=0,"",$K9*data0!I8)</f>
        <v/>
      </c>
      <c r="X9" s="22" t="str">
        <f>IF(X$2*$O9*COUNT(data0!J8)=0,"",$K9*data0!J8)</f>
        <v/>
      </c>
      <c r="Y9" s="22" t="str">
        <f>IF(Y$2*$O9*COUNT(data0!K8)=0,"",$K9*data0!K8)</f>
        <v/>
      </c>
      <c r="Z9" s="22" t="str">
        <f>IF(Z$2*$O9*COUNT(data0!L8)=0,"",$K9*data0!L8)</f>
        <v/>
      </c>
      <c r="AA9" s="22" t="str">
        <f>IF(AA$2*$O9*COUNT(data0!M8)=0,"",$K9*data0!M8)</f>
        <v/>
      </c>
      <c r="AB9" s="22" t="str">
        <f>IF(AB$2*$O9*COUNT(data0!N8)=0,"",$K9*data0!N8)</f>
        <v/>
      </c>
      <c r="AC9" s="22" t="str">
        <f>IF(AC$2*$O9*COUNT(data0!O8)=0,"",$K9*data0!O8)</f>
        <v/>
      </c>
      <c r="AD9" s="22" t="str">
        <f>IF(AD$2*$O9*COUNT(data0!P8)=0,"",$K9*data0!P8)</f>
        <v/>
      </c>
      <c r="AE9" s="22" t="str">
        <f>IF(AE$2*$O9*COUNT(data0!Q8)=0,"",$K9*data0!Q8)</f>
        <v/>
      </c>
      <c r="AF9" s="22" t="str">
        <f>IF(AF$2*$O9*COUNT(data0!R8)=0,"",$K9*data0!R8)</f>
        <v/>
      </c>
      <c r="AG9" s="22" t="str">
        <f>IF(AG$2*$O9*COUNT(data0!S8)=0,"",$K9*data0!S8)</f>
        <v/>
      </c>
      <c r="AH9" s="22" t="str">
        <f>IF(AH$2*$O9*COUNT(data0!T8)=0,"",$K9*data0!T8)</f>
        <v/>
      </c>
      <c r="AI9" s="22" t="str">
        <f>IF(AI$2*$O9*COUNT(data0!U8)=0,"",$K9*data0!U8)</f>
        <v/>
      </c>
      <c r="AJ9" s="22" t="str">
        <f>IF(AJ$2*$O9*COUNT(data0!V8)=0,"",$K9*data0!V8)</f>
        <v/>
      </c>
      <c r="AK9" s="22" t="str">
        <f>IF(AK$2*$O9*COUNT(data0!W8)=0,"",$K9*data0!W8)</f>
        <v/>
      </c>
      <c r="AL9" s="22" t="str">
        <f>IF(AL$2*$O9*COUNT(data0!X8)=0,"",$K9*data0!X8)</f>
        <v/>
      </c>
      <c r="AM9" s="22" t="str">
        <f>IF(AM$2*$O9*COUNT(data0!Y8)=0,"",$K9*data0!Y8)</f>
        <v/>
      </c>
      <c r="AN9" s="22" t="str">
        <f>IF(AN$2*$O9*COUNT(data0!Z8)=0,"",$K9*data0!Z8)</f>
        <v/>
      </c>
      <c r="AO9" s="22" t="str">
        <f>IF(AO$2*$O9*COUNT(data0!AA8)=0,"",$K9*data0!AA8)</f>
        <v/>
      </c>
      <c r="AP9" s="22" t="str">
        <f>IF(AP$2*$O9*COUNT(data0!AB8)=0,"",$K9*data0!AB8)</f>
        <v/>
      </c>
      <c r="AQ9" s="22" t="str">
        <f>IF(AQ$2*$O9*COUNT(data0!AC8)=0,"",$K9*data0!AC8)</f>
        <v/>
      </c>
      <c r="AR9" s="22" t="str">
        <f>IF(AR$2*$O9*COUNT(data0!AD8)=0,"",$K9*data0!AD8)</f>
        <v/>
      </c>
      <c r="AS9" s="22" t="str">
        <f>IF(AS$2*$O9*COUNT(data0!AE8)=0,"",$K9*data0!AE8)</f>
        <v/>
      </c>
      <c r="AT9" s="22" t="str">
        <f>IF(AT$2*$O9*COUNT(data0!AF8)=0,"",$K9*data0!AF8)</f>
        <v/>
      </c>
      <c r="AU9" s="22" t="str">
        <f>IF(AU$2*$O9*COUNT(data0!AG8)=0,"",$K9*data0!AG8)</f>
        <v/>
      </c>
    </row>
    <row r="10" spans="1:47">
      <c r="A10" s="191"/>
      <c r="B10" s="191"/>
      <c r="C10" t="str">
        <f>data0!A9</f>
        <v>Range3-1</v>
      </c>
      <c r="D10" s="22" t="str">
        <f t="shared" si="2"/>
        <v/>
      </c>
      <c r="E10" s="22" t="str">
        <f t="shared" si="12"/>
        <v/>
      </c>
      <c r="F10" s="22" t="str">
        <f t="shared" si="3"/>
        <v/>
      </c>
      <c r="G10" s="22" t="str">
        <f t="shared" si="13"/>
        <v/>
      </c>
      <c r="I10" s="49">
        <f t="shared" ref="I10:I12" si="14">I9</f>
        <v>2</v>
      </c>
      <c r="J10" s="49">
        <f t="shared" si="10"/>
        <v>2</v>
      </c>
      <c r="K10" s="146">
        <f t="shared" si="4"/>
        <v>38.797284190106694</v>
      </c>
      <c r="L10" s="123">
        <f t="shared" si="11"/>
        <v>8</v>
      </c>
      <c r="M10" s="130">
        <f t="shared" si="5"/>
        <v>1</v>
      </c>
      <c r="N10" s="108">
        <v>1</v>
      </c>
      <c r="O10" s="110">
        <f t="shared" si="8"/>
        <v>1</v>
      </c>
      <c r="P10" s="22" t="str">
        <f>IF(P$2*$O10*COUNT(data0!B9)=0,"",$K10*data0!B9)</f>
        <v/>
      </c>
      <c r="Q10" s="22" t="str">
        <f>IF(Q$2*$O10*COUNT(data0!C9)=0,"",$K10*data0!C9)</f>
        <v/>
      </c>
      <c r="R10" s="22" t="str">
        <f>IF(R$2*$O10*COUNT(data0!D9)=0,"",$K10*data0!D9)</f>
        <v/>
      </c>
      <c r="S10" s="22" t="str">
        <f>IF(S$2*$O10*COUNT(data0!E9)=0,"",$K10*data0!E9)</f>
        <v/>
      </c>
      <c r="T10" s="22" t="str">
        <f>IF(T$2*$O10*COUNT(data0!F9)=0,"",$K10*data0!F9)</f>
        <v/>
      </c>
      <c r="U10" s="22" t="str">
        <f>IF(U$2*$O10*COUNT(data0!G9)=0,"",$K10*data0!G9)</f>
        <v/>
      </c>
      <c r="V10" s="22" t="str">
        <f>IF(V$2*$O10*COUNT(data0!H9)=0,"",$K10*data0!H9)</f>
        <v/>
      </c>
      <c r="W10" s="22" t="str">
        <f>IF(W$2*$O10*COUNT(data0!I9)=0,"",$K10*data0!I9)</f>
        <v/>
      </c>
      <c r="X10" s="22" t="str">
        <f>IF(X$2*$O10*COUNT(data0!J9)=0,"",$K10*data0!J9)</f>
        <v/>
      </c>
      <c r="Y10" s="22" t="str">
        <f>IF(Y$2*$O10*COUNT(data0!K9)=0,"",$K10*data0!K9)</f>
        <v/>
      </c>
      <c r="Z10" s="22" t="str">
        <f>IF(Z$2*$O10*COUNT(data0!L9)=0,"",$K10*data0!L9)</f>
        <v/>
      </c>
      <c r="AA10" s="22" t="str">
        <f>IF(AA$2*$O10*COUNT(data0!M9)=0,"",$K10*data0!M9)</f>
        <v/>
      </c>
      <c r="AB10" s="22" t="str">
        <f>IF(AB$2*$O10*COUNT(data0!N9)=0,"",$K10*data0!N9)</f>
        <v/>
      </c>
      <c r="AC10" s="22" t="str">
        <f>IF(AC$2*$O10*COUNT(data0!O9)=0,"",$K10*data0!O9)</f>
        <v/>
      </c>
      <c r="AD10" s="22" t="str">
        <f>IF(AD$2*$O10*COUNT(data0!P9)=0,"",$K10*data0!P9)</f>
        <v/>
      </c>
      <c r="AE10" s="22" t="str">
        <f>IF(AE$2*$O10*COUNT(data0!Q9)=0,"",$K10*data0!Q9)</f>
        <v/>
      </c>
      <c r="AF10" s="22" t="str">
        <f>IF(AF$2*$O10*COUNT(data0!R9)=0,"",$K10*data0!R9)</f>
        <v/>
      </c>
      <c r="AG10" s="22" t="str">
        <f>IF(AG$2*$O10*COUNT(data0!S9)=0,"",$K10*data0!S9)</f>
        <v/>
      </c>
      <c r="AH10" s="22" t="str">
        <f>IF(AH$2*$O10*COUNT(data0!T9)=0,"",$K10*data0!T9)</f>
        <v/>
      </c>
      <c r="AI10" s="22" t="str">
        <f>IF(AI$2*$O10*COUNT(data0!U9)=0,"",$K10*data0!U9)</f>
        <v/>
      </c>
      <c r="AJ10" s="22" t="str">
        <f>IF(AJ$2*$O10*COUNT(data0!V9)=0,"",$K10*data0!V9)</f>
        <v/>
      </c>
      <c r="AK10" s="22" t="str">
        <f>IF(AK$2*$O10*COUNT(data0!W9)=0,"",$K10*data0!W9)</f>
        <v/>
      </c>
      <c r="AL10" s="22" t="str">
        <f>IF(AL$2*$O10*COUNT(data0!X9)=0,"",$K10*data0!X9)</f>
        <v/>
      </c>
      <c r="AM10" s="22" t="str">
        <f>IF(AM$2*$O10*COUNT(data0!Y9)=0,"",$K10*data0!Y9)</f>
        <v/>
      </c>
      <c r="AN10" s="22" t="str">
        <f>IF(AN$2*$O10*COUNT(data0!Z9)=0,"",$K10*data0!Z9)</f>
        <v/>
      </c>
      <c r="AO10" s="22" t="str">
        <f>IF(AO$2*$O10*COUNT(data0!AA9)=0,"",$K10*data0!AA9)</f>
        <v/>
      </c>
      <c r="AP10" s="22" t="str">
        <f>IF(AP$2*$O10*COUNT(data0!AB9)=0,"",$K10*data0!AB9)</f>
        <v/>
      </c>
      <c r="AQ10" s="22" t="str">
        <f>IF(AQ$2*$O10*COUNT(data0!AC9)=0,"",$K10*data0!AC9)</f>
        <v/>
      </c>
      <c r="AR10" s="22" t="str">
        <f>IF(AR$2*$O10*COUNT(data0!AD9)=0,"",$K10*data0!AD9)</f>
        <v/>
      </c>
      <c r="AS10" s="22" t="str">
        <f>IF(AS$2*$O10*COUNT(data0!AE9)=0,"",$K10*data0!AE9)</f>
        <v/>
      </c>
      <c r="AT10" s="22" t="str">
        <f>IF(AT$2*$O10*COUNT(data0!AF9)=0,"",$K10*data0!AF9)</f>
        <v/>
      </c>
      <c r="AU10" s="22" t="str">
        <f>IF(AU$2*$O10*COUNT(data0!AG9)=0,"",$K10*data0!AG9)</f>
        <v/>
      </c>
    </row>
    <row r="11" spans="1:47">
      <c r="A11" s="191"/>
      <c r="B11" s="191" t="s">
        <v>71</v>
      </c>
      <c r="C11" t="str">
        <f>data0!A10</f>
        <v>Range2-2</v>
      </c>
      <c r="D11" s="22" t="str">
        <f t="shared" si="2"/>
        <v/>
      </c>
      <c r="E11" s="22" t="str">
        <f t="shared" si="12"/>
        <v/>
      </c>
      <c r="F11" s="22" t="str">
        <f t="shared" si="3"/>
        <v/>
      </c>
      <c r="G11" s="22" t="str">
        <f t="shared" si="13"/>
        <v/>
      </c>
      <c r="I11" s="49">
        <f>I10+1</f>
        <v>3</v>
      </c>
      <c r="J11" s="49">
        <f t="shared" si="10"/>
        <v>2</v>
      </c>
      <c r="K11" s="146">
        <f t="shared" si="4"/>
        <v>81.883316274309109</v>
      </c>
      <c r="L11" s="123">
        <f t="shared" si="11"/>
        <v>9</v>
      </c>
      <c r="M11" s="130">
        <f t="shared" si="5"/>
        <v>1</v>
      </c>
      <c r="N11" s="108">
        <v>1</v>
      </c>
      <c r="O11" s="110">
        <f t="shared" si="8"/>
        <v>1</v>
      </c>
      <c r="P11" s="22" t="str">
        <f>IF(P$2*$O11*COUNT(data0!B10)=0,"",$K11*data0!B10)</f>
        <v/>
      </c>
      <c r="Q11" s="22" t="str">
        <f>IF(Q$2*$O11*COUNT(data0!C10)=0,"",$K11*data0!C10)</f>
        <v/>
      </c>
      <c r="R11" s="22" t="str">
        <f>IF(R$2*$O11*COUNT(data0!D10)=0,"",$K11*data0!D10)</f>
        <v/>
      </c>
      <c r="S11" s="22" t="str">
        <f>IF(S$2*$O11*COUNT(data0!E10)=0,"",$K11*data0!E10)</f>
        <v/>
      </c>
      <c r="T11" s="22" t="str">
        <f>IF(T$2*$O11*COUNT(data0!F10)=0,"",$K11*data0!F10)</f>
        <v/>
      </c>
      <c r="U11" s="22" t="str">
        <f>IF(U$2*$O11*COUNT(data0!G10)=0,"",$K11*data0!G10)</f>
        <v/>
      </c>
      <c r="V11" s="22" t="str">
        <f>IF(V$2*$O11*COUNT(data0!H10)=0,"",$K11*data0!H10)</f>
        <v/>
      </c>
      <c r="W11" s="22" t="str">
        <f>IF(W$2*$O11*COUNT(data0!I10)=0,"",$K11*data0!I10)</f>
        <v/>
      </c>
      <c r="X11" s="22" t="str">
        <f>IF(X$2*$O11*COUNT(data0!J10)=0,"",$K11*data0!J10)</f>
        <v/>
      </c>
      <c r="Y11" s="22" t="str">
        <f>IF(Y$2*$O11*COUNT(data0!K10)=0,"",$K11*data0!K10)</f>
        <v/>
      </c>
      <c r="Z11" s="22" t="str">
        <f>IF(Z$2*$O11*COUNT(data0!L10)=0,"",$K11*data0!L10)</f>
        <v/>
      </c>
      <c r="AA11" s="22" t="str">
        <f>IF(AA$2*$O11*COUNT(data0!M10)=0,"",$K11*data0!M10)</f>
        <v/>
      </c>
      <c r="AB11" s="22" t="str">
        <f>IF(AB$2*$O11*COUNT(data0!N10)=0,"",$K11*data0!N10)</f>
        <v/>
      </c>
      <c r="AC11" s="22" t="str">
        <f>IF(AC$2*$O11*COUNT(data0!O10)=0,"",$K11*data0!O10)</f>
        <v/>
      </c>
      <c r="AD11" s="22" t="str">
        <f>IF(AD$2*$O11*COUNT(data0!P10)=0,"",$K11*data0!P10)</f>
        <v/>
      </c>
      <c r="AE11" s="22" t="str">
        <f>IF(AE$2*$O11*COUNT(data0!Q10)=0,"",$K11*data0!Q10)</f>
        <v/>
      </c>
      <c r="AF11" s="22" t="str">
        <f>IF(AF$2*$O11*COUNT(data0!R10)=0,"",$K11*data0!R10)</f>
        <v/>
      </c>
      <c r="AG11" s="22" t="str">
        <f>IF(AG$2*$O11*COUNT(data0!S10)=0,"",$K11*data0!S10)</f>
        <v/>
      </c>
      <c r="AH11" s="22" t="str">
        <f>IF(AH$2*$O11*COUNT(data0!T10)=0,"",$K11*data0!T10)</f>
        <v/>
      </c>
      <c r="AI11" s="22" t="str">
        <f>IF(AI$2*$O11*COUNT(data0!U10)=0,"",$K11*data0!U10)</f>
        <v/>
      </c>
      <c r="AJ11" s="22" t="str">
        <f>IF(AJ$2*$O11*COUNT(data0!V10)=0,"",$K11*data0!V10)</f>
        <v/>
      </c>
      <c r="AK11" s="22" t="str">
        <f>IF(AK$2*$O11*COUNT(data0!W10)=0,"",$K11*data0!W10)</f>
        <v/>
      </c>
      <c r="AL11" s="22" t="str">
        <f>IF(AL$2*$O11*COUNT(data0!X10)=0,"",$K11*data0!X10)</f>
        <v/>
      </c>
      <c r="AM11" s="22" t="str">
        <f>IF(AM$2*$O11*COUNT(data0!Y10)=0,"",$K11*data0!Y10)</f>
        <v/>
      </c>
      <c r="AN11" s="22" t="str">
        <f>IF(AN$2*$O11*COUNT(data0!Z10)=0,"",$K11*data0!Z10)</f>
        <v/>
      </c>
      <c r="AO11" s="22" t="str">
        <f>IF(AO$2*$O11*COUNT(data0!AA10)=0,"",$K11*data0!AA10)</f>
        <v/>
      </c>
      <c r="AP11" s="22" t="str">
        <f>IF(AP$2*$O11*COUNT(data0!AB10)=0,"",$K11*data0!AB10)</f>
        <v/>
      </c>
      <c r="AQ11" s="22" t="str">
        <f>IF(AQ$2*$O11*COUNT(data0!AC10)=0,"",$K11*data0!AC10)</f>
        <v/>
      </c>
      <c r="AR11" s="22" t="str">
        <f>IF(AR$2*$O11*COUNT(data0!AD10)=0,"",$K11*data0!AD10)</f>
        <v/>
      </c>
      <c r="AS11" s="22" t="str">
        <f>IF(AS$2*$O11*COUNT(data0!AE10)=0,"",$K11*data0!AE10)</f>
        <v/>
      </c>
      <c r="AT11" s="22" t="str">
        <f>IF(AT$2*$O11*COUNT(data0!AF10)=0,"",$K11*data0!AF10)</f>
        <v/>
      </c>
      <c r="AU11" s="22" t="str">
        <f>IF(AU$2*$O11*COUNT(data0!AG10)=0,"",$K11*data0!AG10)</f>
        <v/>
      </c>
    </row>
    <row r="12" spans="1:47">
      <c r="A12" s="191"/>
      <c r="B12" s="191"/>
      <c r="C12" t="str">
        <f>data0!A11</f>
        <v>Range3-2</v>
      </c>
      <c r="D12" s="22" t="str">
        <f t="shared" si="2"/>
        <v/>
      </c>
      <c r="E12" s="22" t="str">
        <f t="shared" si="12"/>
        <v/>
      </c>
      <c r="F12" s="22" t="str">
        <f t="shared" si="3"/>
        <v/>
      </c>
      <c r="G12" s="22" t="str">
        <f t="shared" si="13"/>
        <v/>
      </c>
      <c r="I12" s="49">
        <f t="shared" si="14"/>
        <v>3</v>
      </c>
      <c r="J12" s="49">
        <f t="shared" si="10"/>
        <v>2</v>
      </c>
      <c r="K12" s="146">
        <f t="shared" si="4"/>
        <v>81.883316274309109</v>
      </c>
      <c r="L12" s="123">
        <f t="shared" si="11"/>
        <v>10</v>
      </c>
      <c r="M12" s="130">
        <f t="shared" si="5"/>
        <v>1</v>
      </c>
      <c r="N12" s="108">
        <v>1</v>
      </c>
      <c r="O12" s="110">
        <f t="shared" si="8"/>
        <v>1</v>
      </c>
      <c r="P12" s="22" t="str">
        <f>IF(P$2*$O12*COUNT(data0!B11)=0,"",$K12*data0!B11)</f>
        <v/>
      </c>
      <c r="Q12" s="22" t="str">
        <f>IF(Q$2*$O12*COUNT(data0!C11)=0,"",$K12*data0!C11)</f>
        <v/>
      </c>
      <c r="R12" s="22" t="str">
        <f>IF(R$2*$O12*COUNT(data0!D11)=0,"",$K12*data0!D11)</f>
        <v/>
      </c>
      <c r="S12" s="22" t="str">
        <f>IF(S$2*$O12*COUNT(data0!E11)=0,"",$K12*data0!E11)</f>
        <v/>
      </c>
      <c r="T12" s="22" t="str">
        <f>IF(T$2*$O12*COUNT(data0!F11)=0,"",$K12*data0!F11)</f>
        <v/>
      </c>
      <c r="U12" s="22" t="str">
        <f>IF(U$2*$O12*COUNT(data0!G11)=0,"",$K12*data0!G11)</f>
        <v/>
      </c>
      <c r="V12" s="22" t="str">
        <f>IF(V$2*$O12*COUNT(data0!H11)=0,"",$K12*data0!H11)</f>
        <v/>
      </c>
      <c r="W12" s="22" t="str">
        <f>IF(W$2*$O12*COUNT(data0!I11)=0,"",$K12*data0!I11)</f>
        <v/>
      </c>
      <c r="X12" s="22" t="str">
        <f>IF(X$2*$O12*COUNT(data0!J11)=0,"",$K12*data0!J11)</f>
        <v/>
      </c>
      <c r="Y12" s="22" t="str">
        <f>IF(Y$2*$O12*COUNT(data0!K11)=0,"",$K12*data0!K11)</f>
        <v/>
      </c>
      <c r="Z12" s="22" t="str">
        <f>IF(Z$2*$O12*COUNT(data0!L11)=0,"",$K12*data0!L11)</f>
        <v/>
      </c>
      <c r="AA12" s="22" t="str">
        <f>IF(AA$2*$O12*COUNT(data0!M11)=0,"",$K12*data0!M11)</f>
        <v/>
      </c>
      <c r="AB12" s="22" t="str">
        <f>IF(AB$2*$O12*COUNT(data0!N11)=0,"",$K12*data0!N11)</f>
        <v/>
      </c>
      <c r="AC12" s="22" t="str">
        <f>IF(AC$2*$O12*COUNT(data0!O11)=0,"",$K12*data0!O11)</f>
        <v/>
      </c>
      <c r="AD12" s="22" t="str">
        <f>IF(AD$2*$O12*COUNT(data0!P11)=0,"",$K12*data0!P11)</f>
        <v/>
      </c>
      <c r="AE12" s="22" t="str">
        <f>IF(AE$2*$O12*COUNT(data0!Q11)=0,"",$K12*data0!Q11)</f>
        <v/>
      </c>
      <c r="AF12" s="22" t="str">
        <f>IF(AF$2*$O12*COUNT(data0!R11)=0,"",$K12*data0!R11)</f>
        <v/>
      </c>
      <c r="AG12" s="22" t="str">
        <f>IF(AG$2*$O12*COUNT(data0!S11)=0,"",$K12*data0!S11)</f>
        <v/>
      </c>
      <c r="AH12" s="22" t="str">
        <f>IF(AH$2*$O12*COUNT(data0!T11)=0,"",$K12*data0!T11)</f>
        <v/>
      </c>
      <c r="AI12" s="22" t="str">
        <f>IF(AI$2*$O12*COUNT(data0!U11)=0,"",$K12*data0!U11)</f>
        <v/>
      </c>
      <c r="AJ12" s="22" t="str">
        <f>IF(AJ$2*$O12*COUNT(data0!V11)=0,"",$K12*data0!V11)</f>
        <v/>
      </c>
      <c r="AK12" s="22" t="str">
        <f>IF(AK$2*$O12*COUNT(data0!W11)=0,"",$K12*data0!W11)</f>
        <v/>
      </c>
      <c r="AL12" s="22" t="str">
        <f>IF(AL$2*$O12*COUNT(data0!X11)=0,"",$K12*data0!X11)</f>
        <v/>
      </c>
      <c r="AM12" s="22" t="str">
        <f>IF(AM$2*$O12*COUNT(data0!Y11)=0,"",$K12*data0!Y11)</f>
        <v/>
      </c>
      <c r="AN12" s="22" t="str">
        <f>IF(AN$2*$O12*COUNT(data0!Z11)=0,"",$K12*data0!Z11)</f>
        <v/>
      </c>
      <c r="AO12" s="22" t="str">
        <f>IF(AO$2*$O12*COUNT(data0!AA11)=0,"",$K12*data0!AA11)</f>
        <v/>
      </c>
      <c r="AP12" s="22" t="str">
        <f>IF(AP$2*$O12*COUNT(data0!AB11)=0,"",$K12*data0!AB11)</f>
        <v/>
      </c>
      <c r="AQ12" s="22" t="str">
        <f>IF(AQ$2*$O12*COUNT(data0!AC11)=0,"",$K12*data0!AC11)</f>
        <v/>
      </c>
      <c r="AR12" s="22" t="str">
        <f>IF(AR$2*$O12*COUNT(data0!AD11)=0,"",$K12*data0!AD11)</f>
        <v/>
      </c>
      <c r="AS12" s="22" t="str">
        <f>IF(AS$2*$O12*COUNT(data0!AE11)=0,"",$K12*data0!AE11)</f>
        <v/>
      </c>
      <c r="AT12" s="22" t="str">
        <f>IF(AT$2*$O12*COUNT(data0!AF11)=0,"",$K12*data0!AF11)</f>
        <v/>
      </c>
      <c r="AU12" s="22" t="str">
        <f>IF(AU$2*$O12*COUNT(data0!AG11)=0,"",$K12*data0!AG11)</f>
        <v/>
      </c>
    </row>
    <row r="13" spans="1:47">
      <c r="A13" s="191"/>
      <c r="B13" s="113" t="s">
        <v>72</v>
      </c>
      <c r="C13" t="str">
        <f>data0!A12</f>
        <v>Range3-3</v>
      </c>
      <c r="D13" s="22" t="str">
        <f t="shared" si="2"/>
        <v/>
      </c>
      <c r="E13" s="22" t="str">
        <f t="shared" si="12"/>
        <v/>
      </c>
      <c r="F13" s="22" t="str">
        <f t="shared" si="3"/>
        <v/>
      </c>
      <c r="G13" s="22" t="str">
        <f t="shared" si="13"/>
        <v/>
      </c>
      <c r="I13" s="49">
        <f>I12+1</f>
        <v>4</v>
      </c>
      <c r="J13" s="49">
        <f t="shared" si="10"/>
        <v>2</v>
      </c>
      <c r="K13" s="146" t="e">
        <f t="shared" si="4"/>
        <v>#DIV/0!</v>
      </c>
      <c r="L13" s="123">
        <f t="shared" si="11"/>
        <v>11</v>
      </c>
      <c r="M13" s="130">
        <f t="shared" si="5"/>
        <v>0</v>
      </c>
      <c r="N13" s="108">
        <v>1</v>
      </c>
      <c r="O13" s="110">
        <f t="shared" si="8"/>
        <v>0</v>
      </c>
      <c r="P13" s="22" t="str">
        <f>IF(P$2*$O13*COUNT(data0!B12)=0,"",$K13*data0!B12)</f>
        <v/>
      </c>
      <c r="Q13" s="22" t="str">
        <f>IF(Q$2*$O13*COUNT(data0!C12)=0,"",$K13*data0!C12)</f>
        <v/>
      </c>
      <c r="R13" s="22" t="str">
        <f>IF(R$2*$O13*COUNT(data0!D12)=0,"",$K13*data0!D12)</f>
        <v/>
      </c>
      <c r="S13" s="22" t="str">
        <f>IF(S$2*$O13*COUNT(data0!E12)=0,"",$K13*data0!E12)</f>
        <v/>
      </c>
      <c r="T13" s="22" t="str">
        <f>IF(T$2*$O13*COUNT(data0!F12)=0,"",$K13*data0!F12)</f>
        <v/>
      </c>
      <c r="U13" s="22" t="str">
        <f>IF(U$2*$O13*COUNT(data0!G12)=0,"",$K13*data0!G12)</f>
        <v/>
      </c>
      <c r="V13" s="22" t="str">
        <f>IF(V$2*$O13*COUNT(data0!H12)=0,"",$K13*data0!H12)</f>
        <v/>
      </c>
      <c r="W13" s="22" t="str">
        <f>IF(W$2*$O13*COUNT(data0!I12)=0,"",$K13*data0!I12)</f>
        <v/>
      </c>
      <c r="X13" s="22" t="str">
        <f>IF(X$2*$O13*COUNT(data0!J12)=0,"",$K13*data0!J12)</f>
        <v/>
      </c>
      <c r="Y13" s="22" t="str">
        <f>IF(Y$2*$O13*COUNT(data0!K12)=0,"",$K13*data0!K12)</f>
        <v/>
      </c>
      <c r="Z13" s="22" t="str">
        <f>IF(Z$2*$O13*COUNT(data0!L12)=0,"",$K13*data0!L12)</f>
        <v/>
      </c>
      <c r="AA13" s="22" t="str">
        <f>IF(AA$2*$O13*COUNT(data0!M12)=0,"",$K13*data0!M12)</f>
        <v/>
      </c>
      <c r="AB13" s="22" t="str">
        <f>IF(AB$2*$O13*COUNT(data0!N12)=0,"",$K13*data0!N12)</f>
        <v/>
      </c>
      <c r="AC13" s="22" t="str">
        <f>IF(AC$2*$O13*COUNT(data0!O12)=0,"",$K13*data0!O12)</f>
        <v/>
      </c>
      <c r="AD13" s="22" t="str">
        <f>IF(AD$2*$O13*COUNT(data0!P12)=0,"",$K13*data0!P12)</f>
        <v/>
      </c>
      <c r="AE13" s="22" t="str">
        <f>IF(AE$2*$O13*COUNT(data0!Q12)=0,"",$K13*data0!Q12)</f>
        <v/>
      </c>
      <c r="AF13" s="22" t="str">
        <f>IF(AF$2*$O13*COUNT(data0!R12)=0,"",$K13*data0!R12)</f>
        <v/>
      </c>
      <c r="AG13" s="22" t="str">
        <f>IF(AG$2*$O13*COUNT(data0!S12)=0,"",$K13*data0!S12)</f>
        <v/>
      </c>
      <c r="AH13" s="22" t="str">
        <f>IF(AH$2*$O13*COUNT(data0!T12)=0,"",$K13*data0!T12)</f>
        <v/>
      </c>
      <c r="AI13" s="22" t="str">
        <f>IF(AI$2*$O13*COUNT(data0!U12)=0,"",$K13*data0!U12)</f>
        <v/>
      </c>
      <c r="AJ13" s="22" t="str">
        <f>IF(AJ$2*$O13*COUNT(data0!V12)=0,"",$K13*data0!V12)</f>
        <v/>
      </c>
      <c r="AK13" s="22" t="str">
        <f>IF(AK$2*$O13*COUNT(data0!W12)=0,"",$K13*data0!W12)</f>
        <v/>
      </c>
      <c r="AL13" s="22" t="str">
        <f>IF(AL$2*$O13*COUNT(data0!X12)=0,"",$K13*data0!X12)</f>
        <v/>
      </c>
      <c r="AM13" s="22" t="str">
        <f>IF(AM$2*$O13*COUNT(data0!Y12)=0,"",$K13*data0!Y12)</f>
        <v/>
      </c>
      <c r="AN13" s="22" t="str">
        <f>IF(AN$2*$O13*COUNT(data0!Z12)=0,"",$K13*data0!Z12)</f>
        <v/>
      </c>
      <c r="AO13" s="22" t="str">
        <f>IF(AO$2*$O13*COUNT(data0!AA12)=0,"",$K13*data0!AA12)</f>
        <v/>
      </c>
      <c r="AP13" s="22" t="str">
        <f>IF(AP$2*$O13*COUNT(data0!AB12)=0,"",$K13*data0!AB12)</f>
        <v/>
      </c>
      <c r="AQ13" s="22" t="str">
        <f>IF(AQ$2*$O13*COUNT(data0!AC12)=0,"",$K13*data0!AC12)</f>
        <v/>
      </c>
      <c r="AR13" s="22" t="str">
        <f>IF(AR$2*$O13*COUNT(data0!AD12)=0,"",$K13*data0!AD12)</f>
        <v/>
      </c>
      <c r="AS13" s="22" t="str">
        <f>IF(AS$2*$O13*COUNT(data0!AE12)=0,"",$K13*data0!AE12)</f>
        <v/>
      </c>
      <c r="AT13" s="22" t="str">
        <f>IF(AT$2*$O13*COUNT(data0!AF12)=0,"",$K13*data0!AF12)</f>
        <v/>
      </c>
      <c r="AU13" s="22" t="str">
        <f>IF(AU$2*$O13*COUNT(data0!AG12)=0,"",$K13*data0!AG12)</f>
        <v/>
      </c>
    </row>
    <row r="14" spans="1:47" s="21" customFormat="1">
      <c r="A14" s="191"/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  <c r="AU14" s="191"/>
    </row>
    <row r="15" spans="1:47">
      <c r="A15" s="191" t="str">
        <f>Calculations!H1</f>
        <v>55F02</v>
      </c>
      <c r="B15" s="191" t="str">
        <f>B3</f>
        <v>P0</v>
      </c>
      <c r="C15" t="str">
        <f>C3</f>
        <v>Range0</v>
      </c>
      <c r="D15" s="22" t="str">
        <f t="shared" ref="D15:D25" si="15">IF(COUNT(P15:AU15)=0,"",E15-1.5*G15)</f>
        <v/>
      </c>
      <c r="E15" s="22" t="str">
        <f>IF(COUNT(P15:AU15)=0,"",AVERAGE(P15:AU15))</f>
        <v/>
      </c>
      <c r="F15" s="22" t="str">
        <f t="shared" ref="F15:F25" si="16">IF(COUNT(P15:AU15)=0,"",E15+1.5*G15)</f>
        <v/>
      </c>
      <c r="G15" s="22" t="str">
        <f>IF(COUNT(P15:AU15)=0,"",STDEV(P15:AU15))</f>
        <v/>
      </c>
      <c r="I15" s="49">
        <v>1</v>
      </c>
      <c r="J15" s="49">
        <f>J3+1</f>
        <v>3</v>
      </c>
      <c r="K15" s="146">
        <f t="shared" ref="K15:K25" si="17">INDEX(calTable,I15,1)/INDEX(calTable,I15,J15)</f>
        <v>23.752969121140143</v>
      </c>
      <c r="L15" s="49">
        <f>L13+1</f>
        <v>12</v>
      </c>
      <c r="M15" s="130">
        <f t="shared" ref="M15:M25" si="18">INDEX(dataEnable,L15)</f>
        <v>1</v>
      </c>
      <c r="N15" s="108">
        <v>1</v>
      </c>
      <c r="O15" s="110">
        <f>M15*N15</f>
        <v>1</v>
      </c>
      <c r="P15" s="22" t="str">
        <f>IF(P$2*$O15*COUNT(data1!B2)=0,"",$K15*data1!B2)</f>
        <v/>
      </c>
      <c r="Q15" s="22" t="str">
        <f>IF(Q$2*$O15*COUNT(data1!C2)=0,"",$K15*data1!C2)</f>
        <v/>
      </c>
      <c r="R15" s="22" t="str">
        <f>IF(R$2*$O15*COUNT(data1!D2)=0,"",$K15*data1!D2)</f>
        <v/>
      </c>
      <c r="S15" s="22" t="str">
        <f>IF(S$2*$O15*COUNT(data1!E2)=0,"",$K15*data1!E2)</f>
        <v/>
      </c>
      <c r="T15" s="22" t="str">
        <f>IF(T$2*$O15*COUNT(data1!F2)=0,"",$K15*data1!F2)</f>
        <v/>
      </c>
      <c r="U15" s="22" t="str">
        <f>IF(U$2*$O15*COUNT(data1!G2)=0,"",$K15*data1!G2)</f>
        <v/>
      </c>
      <c r="V15" s="22" t="str">
        <f>IF(V$2*$O15*COUNT(data1!H2)=0,"",$K15*data1!H2)</f>
        <v/>
      </c>
      <c r="W15" s="22" t="str">
        <f>IF(W$2*$O15*COUNT(data1!I2)=0,"",$K15*data1!I2)</f>
        <v/>
      </c>
      <c r="X15" s="22" t="str">
        <f>IF(X$2*$O15*COUNT(data1!J2)=0,"",$K15*data1!J2)</f>
        <v/>
      </c>
      <c r="Y15" s="22" t="str">
        <f>IF(Y$2*$O15*COUNT(data1!K2)=0,"",$K15*data1!K2)</f>
        <v/>
      </c>
      <c r="Z15" s="22" t="str">
        <f>IF(Z$2*$O15*COUNT(data1!L2)=0,"",$K15*data1!L2)</f>
        <v/>
      </c>
      <c r="AA15" s="22" t="str">
        <f>IF(AA$2*$O15*COUNT(data1!M2)=0,"",$K15*data1!M2)</f>
        <v/>
      </c>
      <c r="AB15" s="22" t="str">
        <f>IF(AB$2*$O15*COUNT(data1!N2)=0,"",$K15*data1!N2)</f>
        <v/>
      </c>
      <c r="AC15" s="22" t="str">
        <f>IF(AC$2*$O15*COUNT(data1!O2)=0,"",$K15*data1!O2)</f>
        <v/>
      </c>
      <c r="AD15" s="22" t="str">
        <f>IF(AD$2*$O15*COUNT(data1!P2)=0,"",$K15*data1!P2)</f>
        <v/>
      </c>
      <c r="AE15" s="22" t="str">
        <f>IF(AE$2*$O15*COUNT(data1!Q2)=0,"",$K15*data1!Q2)</f>
        <v/>
      </c>
      <c r="AF15" s="22" t="str">
        <f>IF(AF$2*$O15*COUNT(data1!R2)=0,"",$K15*data1!R2)</f>
        <v/>
      </c>
      <c r="AG15" s="22" t="str">
        <f>IF(AG$2*$O15*COUNT(data1!S2)=0,"",$K15*data1!S2)</f>
        <v/>
      </c>
      <c r="AH15" s="22" t="str">
        <f>IF(AH$2*$O15*COUNT(data1!T2)=0,"",$K15*data1!T2)</f>
        <v/>
      </c>
      <c r="AI15" s="22" t="str">
        <f>IF(AI$2*$O15*COUNT(data1!U2)=0,"",$K15*data1!U2)</f>
        <v/>
      </c>
      <c r="AJ15" s="22" t="str">
        <f>IF(AJ$2*$O15*COUNT(data1!V2)=0,"",$K15*data1!V2)</f>
        <v/>
      </c>
      <c r="AK15" s="22" t="str">
        <f>IF(AK$2*$O15*COUNT(data1!W2)=0,"",$K15*data1!W2)</f>
        <v/>
      </c>
      <c r="AL15" s="22" t="str">
        <f>IF(AL$2*$O15*COUNT(data1!X2)=0,"",$K15*data1!X2)</f>
        <v/>
      </c>
      <c r="AM15" s="22" t="str">
        <f>IF(AM$2*$O15*COUNT(data1!Y2)=0,"",$K15*data1!Y2)</f>
        <v/>
      </c>
      <c r="AN15" s="22" t="str">
        <f>IF(AN$2*$O15*COUNT(data1!Z2)=0,"",$K15*data1!Z2)</f>
        <v/>
      </c>
      <c r="AO15" s="22" t="str">
        <f>IF(AO$2*$O15*COUNT(data1!AA2)=0,"",$K15*data1!AA2)</f>
        <v/>
      </c>
      <c r="AP15" s="22" t="str">
        <f>IF(AP$2*$O15*COUNT(data1!AB2)=0,"",$K15*data1!AB2)</f>
        <v/>
      </c>
      <c r="AQ15" s="22" t="str">
        <f>IF(AQ$2*$O15*COUNT(data1!AC2)=0,"",$K15*data1!AC2)</f>
        <v/>
      </c>
      <c r="AR15" s="22" t="str">
        <f>IF(AR$2*$O15*COUNT(data1!AD2)=0,"",$K15*data1!AD2)</f>
        <v/>
      </c>
      <c r="AS15" s="22" t="str">
        <f>IF(AS$2*$O15*COUNT(data1!AE2)=0,"",$K15*data1!AE2)</f>
        <v/>
      </c>
      <c r="AT15" s="22" t="str">
        <f>IF(AT$2*$O15*COUNT(data1!AF2)=0,"",$K15*data1!AF2)</f>
        <v/>
      </c>
      <c r="AU15" s="22" t="str">
        <f>IF(AU$2*$O15*COUNT(data1!AG2)=0,"",$K15*data1!AG2)</f>
        <v/>
      </c>
    </row>
    <row r="16" spans="1:47">
      <c r="A16" s="191"/>
      <c r="B16" s="191"/>
      <c r="C16" t="str">
        <f t="shared" ref="C16:C25" si="19">C4</f>
        <v>Range1</v>
      </c>
      <c r="D16" s="22" t="str">
        <f t="shared" si="15"/>
        <v/>
      </c>
      <c r="E16" s="22" t="str">
        <f t="shared" ref="E16:E18" si="20">IF(COUNT(P16:AU16)=0,"",AVERAGE(P16:AU16))</f>
        <v/>
      </c>
      <c r="F16" s="22" t="str">
        <f t="shared" si="16"/>
        <v/>
      </c>
      <c r="G16" s="22" t="str">
        <f t="shared" ref="G16:G18" si="21">IF(COUNT(P16:AU16)=0,"",STDEV(P16:AU16))</f>
        <v/>
      </c>
      <c r="I16" s="49">
        <f>I15</f>
        <v>1</v>
      </c>
      <c r="J16" s="49">
        <f t="shared" ref="J16:J25" si="22">J4+1</f>
        <v>3</v>
      </c>
      <c r="K16" s="146">
        <f t="shared" si="17"/>
        <v>23.752969121140143</v>
      </c>
      <c r="L16" s="123">
        <f t="shared" ref="L16:L25" si="23">L15+1</f>
        <v>13</v>
      </c>
      <c r="M16" s="130">
        <f t="shared" si="18"/>
        <v>1</v>
      </c>
      <c r="N16" s="108">
        <v>1</v>
      </c>
      <c r="O16" s="110">
        <f t="shared" ref="O16:O25" si="24">M16*N16</f>
        <v>1</v>
      </c>
      <c r="P16" s="22" t="str">
        <f>IF(P$2*$O16*COUNT(data1!B3)=0,"",$K16*data1!B3)</f>
        <v/>
      </c>
      <c r="Q16" s="22" t="str">
        <f>IF(Q$2*$O16*COUNT(data1!C3)=0,"",$K16*data1!C3)</f>
        <v/>
      </c>
      <c r="R16" s="22" t="str">
        <f>IF(R$2*$O16*COUNT(data1!D3)=0,"",$K16*data1!D3)</f>
        <v/>
      </c>
      <c r="S16" s="22" t="str">
        <f>IF(S$2*$O16*COUNT(data1!E3)=0,"",$K16*data1!E3)</f>
        <v/>
      </c>
      <c r="T16" s="22" t="str">
        <f>IF(T$2*$O16*COUNT(data1!F3)=0,"",$K16*data1!F3)</f>
        <v/>
      </c>
      <c r="U16" s="22" t="str">
        <f>IF(U$2*$O16*COUNT(data1!G3)=0,"",$K16*data1!G3)</f>
        <v/>
      </c>
      <c r="V16" s="22" t="str">
        <f>IF(V$2*$O16*COUNT(data1!H3)=0,"",$K16*data1!H3)</f>
        <v/>
      </c>
      <c r="W16" s="22" t="str">
        <f>IF(W$2*$O16*COUNT(data1!I3)=0,"",$K16*data1!I3)</f>
        <v/>
      </c>
      <c r="X16" s="22" t="str">
        <f>IF(X$2*$O16*COUNT(data1!J3)=0,"",$K16*data1!J3)</f>
        <v/>
      </c>
      <c r="Y16" s="22" t="str">
        <f>IF(Y$2*$O16*COUNT(data1!K3)=0,"",$K16*data1!K3)</f>
        <v/>
      </c>
      <c r="Z16" s="22" t="str">
        <f>IF(Z$2*$O16*COUNT(data1!L3)=0,"",$K16*data1!L3)</f>
        <v/>
      </c>
      <c r="AA16" s="22" t="str">
        <f>IF(AA$2*$O16*COUNT(data1!M3)=0,"",$K16*data1!M3)</f>
        <v/>
      </c>
      <c r="AB16" s="22" t="str">
        <f>IF(AB$2*$O16*COUNT(data1!N3)=0,"",$K16*data1!N3)</f>
        <v/>
      </c>
      <c r="AC16" s="22" t="str">
        <f>IF(AC$2*$O16*COUNT(data1!O3)=0,"",$K16*data1!O3)</f>
        <v/>
      </c>
      <c r="AD16" s="22" t="str">
        <f>IF(AD$2*$O16*COUNT(data1!P3)=0,"",$K16*data1!P3)</f>
        <v/>
      </c>
      <c r="AE16" s="22" t="str">
        <f>IF(AE$2*$O16*COUNT(data1!Q3)=0,"",$K16*data1!Q3)</f>
        <v/>
      </c>
      <c r="AF16" s="22" t="str">
        <f>IF(AF$2*$O16*COUNT(data1!R3)=0,"",$K16*data1!R3)</f>
        <v/>
      </c>
      <c r="AG16" s="22" t="str">
        <f>IF(AG$2*$O16*COUNT(data1!S3)=0,"",$K16*data1!S3)</f>
        <v/>
      </c>
      <c r="AH16" s="22" t="str">
        <f>IF(AH$2*$O16*COUNT(data1!T3)=0,"",$K16*data1!T3)</f>
        <v/>
      </c>
      <c r="AI16" s="22" t="str">
        <f>IF(AI$2*$O16*COUNT(data1!U3)=0,"",$K16*data1!U3)</f>
        <v/>
      </c>
      <c r="AJ16" s="22" t="str">
        <f>IF(AJ$2*$O16*COUNT(data1!V3)=0,"",$K16*data1!V3)</f>
        <v/>
      </c>
      <c r="AK16" s="22" t="str">
        <f>IF(AK$2*$O16*COUNT(data1!W3)=0,"",$K16*data1!W3)</f>
        <v/>
      </c>
      <c r="AL16" s="22" t="str">
        <f>IF(AL$2*$O16*COUNT(data1!X3)=0,"",$K16*data1!X3)</f>
        <v/>
      </c>
      <c r="AM16" s="22" t="str">
        <f>IF(AM$2*$O16*COUNT(data1!Y3)=0,"",$K16*data1!Y3)</f>
        <v/>
      </c>
      <c r="AN16" s="22" t="str">
        <f>IF(AN$2*$O16*COUNT(data1!Z3)=0,"",$K16*data1!Z3)</f>
        <v/>
      </c>
      <c r="AO16" s="22" t="str">
        <f>IF(AO$2*$O16*COUNT(data1!AA3)=0,"",$K16*data1!AA3)</f>
        <v/>
      </c>
      <c r="AP16" s="22" t="str">
        <f>IF(AP$2*$O16*COUNT(data1!AB3)=0,"",$K16*data1!AB3)</f>
        <v/>
      </c>
      <c r="AQ16" s="22" t="str">
        <f>IF(AQ$2*$O16*COUNT(data1!AC3)=0,"",$K16*data1!AC3)</f>
        <v/>
      </c>
      <c r="AR16" s="22" t="str">
        <f>IF(AR$2*$O16*COUNT(data1!AD3)=0,"",$K16*data1!AD3)</f>
        <v/>
      </c>
      <c r="AS16" s="22" t="str">
        <f>IF(AS$2*$O16*COUNT(data1!AE3)=0,"",$K16*data1!AE3)</f>
        <v/>
      </c>
      <c r="AT16" s="22" t="str">
        <f>IF(AT$2*$O16*COUNT(data1!AF3)=0,"",$K16*data1!AF3)</f>
        <v/>
      </c>
      <c r="AU16" s="22" t="str">
        <f>IF(AU$2*$O16*COUNT(data1!AG3)=0,"",$K16*data1!AG3)</f>
        <v/>
      </c>
    </row>
    <row r="17" spans="1:47">
      <c r="A17" s="191"/>
      <c r="B17" s="191"/>
      <c r="C17" t="str">
        <f t="shared" si="19"/>
        <v>Range2</v>
      </c>
      <c r="D17" s="22" t="str">
        <f t="shared" si="15"/>
        <v/>
      </c>
      <c r="E17" s="22" t="str">
        <f t="shared" si="20"/>
        <v/>
      </c>
      <c r="F17" s="22" t="str">
        <f t="shared" si="16"/>
        <v/>
      </c>
      <c r="G17" s="22" t="str">
        <f t="shared" si="21"/>
        <v/>
      </c>
      <c r="I17" s="49">
        <f t="shared" ref="I17:I19" si="25">I16</f>
        <v>1</v>
      </c>
      <c r="J17" s="49">
        <f t="shared" si="22"/>
        <v>3</v>
      </c>
      <c r="K17" s="146">
        <f t="shared" si="17"/>
        <v>23.752969121140143</v>
      </c>
      <c r="L17" s="123">
        <f t="shared" si="23"/>
        <v>14</v>
      </c>
      <c r="M17" s="130">
        <f t="shared" si="18"/>
        <v>1</v>
      </c>
      <c r="N17" s="108">
        <v>1</v>
      </c>
      <c r="O17" s="110">
        <f t="shared" si="24"/>
        <v>1</v>
      </c>
      <c r="P17" s="22" t="str">
        <f>IF(P$2*$O17*COUNT(data1!B4)=0,"",$K17*data1!B4)</f>
        <v/>
      </c>
      <c r="Q17" s="22" t="str">
        <f>IF(Q$2*$O17*COUNT(data1!C4)=0,"",$K17*data1!C4)</f>
        <v/>
      </c>
      <c r="R17" s="22" t="str">
        <f>IF(R$2*$O17*COUNT(data1!D4)=0,"",$K17*data1!D4)</f>
        <v/>
      </c>
      <c r="S17" s="22" t="str">
        <f>IF(S$2*$O17*COUNT(data1!E4)=0,"",$K17*data1!E4)</f>
        <v/>
      </c>
      <c r="T17" s="22" t="str">
        <f>IF(T$2*$O17*COUNT(data1!F4)=0,"",$K17*data1!F4)</f>
        <v/>
      </c>
      <c r="U17" s="22" t="str">
        <f>IF(U$2*$O17*COUNT(data1!G4)=0,"",$K17*data1!G4)</f>
        <v/>
      </c>
      <c r="V17" s="22" t="str">
        <f>IF(V$2*$O17*COUNT(data1!H4)=0,"",$K17*data1!H4)</f>
        <v/>
      </c>
      <c r="W17" s="22" t="str">
        <f>IF(W$2*$O17*COUNT(data1!I4)=0,"",$K17*data1!I4)</f>
        <v/>
      </c>
      <c r="X17" s="22" t="str">
        <f>IF(X$2*$O17*COUNT(data1!J4)=0,"",$K17*data1!J4)</f>
        <v/>
      </c>
      <c r="Y17" s="22" t="str">
        <f>IF(Y$2*$O17*COUNT(data1!K4)=0,"",$K17*data1!K4)</f>
        <v/>
      </c>
      <c r="Z17" s="22" t="str">
        <f>IF(Z$2*$O17*COUNT(data1!L4)=0,"",$K17*data1!L4)</f>
        <v/>
      </c>
      <c r="AA17" s="22" t="str">
        <f>IF(AA$2*$O17*COUNT(data1!M4)=0,"",$K17*data1!M4)</f>
        <v/>
      </c>
      <c r="AB17" s="22" t="str">
        <f>IF(AB$2*$O17*COUNT(data1!N4)=0,"",$K17*data1!N4)</f>
        <v/>
      </c>
      <c r="AC17" s="22" t="str">
        <f>IF(AC$2*$O17*COUNT(data1!O4)=0,"",$K17*data1!O4)</f>
        <v/>
      </c>
      <c r="AD17" s="22" t="str">
        <f>IF(AD$2*$O17*COUNT(data1!P4)=0,"",$K17*data1!P4)</f>
        <v/>
      </c>
      <c r="AE17" s="22" t="str">
        <f>IF(AE$2*$O17*COUNT(data1!Q4)=0,"",$K17*data1!Q4)</f>
        <v/>
      </c>
      <c r="AF17" s="22" t="str">
        <f>IF(AF$2*$O17*COUNT(data1!R4)=0,"",$K17*data1!R4)</f>
        <v/>
      </c>
      <c r="AG17" s="22" t="str">
        <f>IF(AG$2*$O17*COUNT(data1!S4)=0,"",$K17*data1!S4)</f>
        <v/>
      </c>
      <c r="AH17" s="22" t="str">
        <f>IF(AH$2*$O17*COUNT(data1!T4)=0,"",$K17*data1!T4)</f>
        <v/>
      </c>
      <c r="AI17" s="22" t="str">
        <f>IF(AI$2*$O17*COUNT(data1!U4)=0,"",$K17*data1!U4)</f>
        <v/>
      </c>
      <c r="AJ17" s="22" t="str">
        <f>IF(AJ$2*$O17*COUNT(data1!V4)=0,"",$K17*data1!V4)</f>
        <v/>
      </c>
      <c r="AK17" s="22" t="str">
        <f>IF(AK$2*$O17*COUNT(data1!W4)=0,"",$K17*data1!W4)</f>
        <v/>
      </c>
      <c r="AL17" s="22" t="str">
        <f>IF(AL$2*$O17*COUNT(data1!X4)=0,"",$K17*data1!X4)</f>
        <v/>
      </c>
      <c r="AM17" s="22" t="str">
        <f>IF(AM$2*$O17*COUNT(data1!Y4)=0,"",$K17*data1!Y4)</f>
        <v/>
      </c>
      <c r="AN17" s="22" t="str">
        <f>IF(AN$2*$O17*COUNT(data1!Z4)=0,"",$K17*data1!Z4)</f>
        <v/>
      </c>
      <c r="AO17" s="22" t="str">
        <f>IF(AO$2*$O17*COUNT(data1!AA4)=0,"",$K17*data1!AA4)</f>
        <v/>
      </c>
      <c r="AP17" s="22" t="str">
        <f>IF(AP$2*$O17*COUNT(data1!AB4)=0,"",$K17*data1!AB4)</f>
        <v/>
      </c>
      <c r="AQ17" s="22" t="str">
        <f>IF(AQ$2*$O17*COUNT(data1!AC4)=0,"",$K17*data1!AC4)</f>
        <v/>
      </c>
      <c r="AR17" s="22" t="str">
        <f>IF(AR$2*$O17*COUNT(data1!AD4)=0,"",$K17*data1!AD4)</f>
        <v/>
      </c>
      <c r="AS17" s="22" t="str">
        <f>IF(AS$2*$O17*COUNT(data1!AE4)=0,"",$K17*data1!AE4)</f>
        <v/>
      </c>
      <c r="AT17" s="22" t="str">
        <f>IF(AT$2*$O17*COUNT(data1!AF4)=0,"",$K17*data1!AF4)</f>
        <v/>
      </c>
      <c r="AU17" s="22" t="str">
        <f>IF(AU$2*$O17*COUNT(data1!AG4)=0,"",$K17*data1!AG4)</f>
        <v/>
      </c>
    </row>
    <row r="18" spans="1:47">
      <c r="A18" s="191"/>
      <c r="B18" s="191"/>
      <c r="C18" t="str">
        <f t="shared" si="19"/>
        <v>Range3</v>
      </c>
      <c r="D18" s="22" t="str">
        <f t="shared" si="15"/>
        <v/>
      </c>
      <c r="E18" s="22" t="str">
        <f t="shared" si="20"/>
        <v/>
      </c>
      <c r="F18" s="22" t="str">
        <f t="shared" si="16"/>
        <v/>
      </c>
      <c r="G18" s="22" t="str">
        <f t="shared" si="21"/>
        <v/>
      </c>
      <c r="I18" s="49">
        <f t="shared" si="25"/>
        <v>1</v>
      </c>
      <c r="J18" s="49">
        <f t="shared" si="22"/>
        <v>3</v>
      </c>
      <c r="K18" s="146">
        <f t="shared" si="17"/>
        <v>23.752969121140143</v>
      </c>
      <c r="L18" s="123">
        <f t="shared" si="23"/>
        <v>15</v>
      </c>
      <c r="M18" s="130">
        <f t="shared" si="18"/>
        <v>1</v>
      </c>
      <c r="N18" s="108">
        <v>1</v>
      </c>
      <c r="O18" s="110">
        <f t="shared" si="24"/>
        <v>1</v>
      </c>
      <c r="P18" s="22" t="str">
        <f>IF(P$2*$O18*COUNT(data1!B5)=0,"",$K18*data1!B5)</f>
        <v/>
      </c>
      <c r="Q18" s="22" t="str">
        <f>IF(Q$2*$O18*COUNT(data1!C5)=0,"",$K18*data1!C5)</f>
        <v/>
      </c>
      <c r="R18" s="22" t="str">
        <f>IF(R$2*$O18*COUNT(data1!D5)=0,"",$K18*data1!D5)</f>
        <v/>
      </c>
      <c r="S18" s="22" t="str">
        <f>IF(S$2*$O18*COUNT(data1!E5)=0,"",$K18*data1!E5)</f>
        <v/>
      </c>
      <c r="T18" s="22" t="str">
        <f>IF(T$2*$O18*COUNT(data1!F5)=0,"",$K18*data1!F5)</f>
        <v/>
      </c>
      <c r="U18" s="22" t="str">
        <f>IF(U$2*$O18*COUNT(data1!G5)=0,"",$K18*data1!G5)</f>
        <v/>
      </c>
      <c r="V18" s="22" t="str">
        <f>IF(V$2*$O18*COUNT(data1!H5)=0,"",$K18*data1!H5)</f>
        <v/>
      </c>
      <c r="W18" s="22" t="str">
        <f>IF(W$2*$O18*COUNT(data1!I5)=0,"",$K18*data1!I5)</f>
        <v/>
      </c>
      <c r="X18" s="22" t="str">
        <f>IF(X$2*$O18*COUNT(data1!J5)=0,"",$K18*data1!J5)</f>
        <v/>
      </c>
      <c r="Y18" s="22" t="str">
        <f>IF(Y$2*$O18*COUNT(data1!K5)=0,"",$K18*data1!K5)</f>
        <v/>
      </c>
      <c r="Z18" s="22" t="str">
        <f>IF(Z$2*$O18*COUNT(data1!L5)=0,"",$K18*data1!L5)</f>
        <v/>
      </c>
      <c r="AA18" s="22" t="str">
        <f>IF(AA$2*$O18*COUNT(data1!M5)=0,"",$K18*data1!M5)</f>
        <v/>
      </c>
      <c r="AB18" s="22" t="str">
        <f>IF(AB$2*$O18*COUNT(data1!N5)=0,"",$K18*data1!N5)</f>
        <v/>
      </c>
      <c r="AC18" s="22" t="str">
        <f>IF(AC$2*$O18*COUNT(data1!O5)=0,"",$K18*data1!O5)</f>
        <v/>
      </c>
      <c r="AD18" s="22" t="str">
        <f>IF(AD$2*$O18*COUNT(data1!P5)=0,"",$K18*data1!P5)</f>
        <v/>
      </c>
      <c r="AE18" s="22" t="str">
        <f>IF(AE$2*$O18*COUNT(data1!Q5)=0,"",$K18*data1!Q5)</f>
        <v/>
      </c>
      <c r="AF18" s="22" t="str">
        <f>IF(AF$2*$O18*COUNT(data1!R5)=0,"",$K18*data1!R5)</f>
        <v/>
      </c>
      <c r="AG18" s="22" t="str">
        <f>IF(AG$2*$O18*COUNT(data1!S5)=0,"",$K18*data1!S5)</f>
        <v/>
      </c>
      <c r="AH18" s="22" t="str">
        <f>IF(AH$2*$O18*COUNT(data1!T5)=0,"",$K18*data1!T5)</f>
        <v/>
      </c>
      <c r="AI18" s="22" t="str">
        <f>IF(AI$2*$O18*COUNT(data1!U5)=0,"",$K18*data1!U5)</f>
        <v/>
      </c>
      <c r="AJ18" s="22" t="str">
        <f>IF(AJ$2*$O18*COUNT(data1!V5)=0,"",$K18*data1!V5)</f>
        <v/>
      </c>
      <c r="AK18" s="22" t="str">
        <f>IF(AK$2*$O18*COUNT(data1!W5)=0,"",$K18*data1!W5)</f>
        <v/>
      </c>
      <c r="AL18" s="22" t="str">
        <f>IF(AL$2*$O18*COUNT(data1!X5)=0,"",$K18*data1!X5)</f>
        <v/>
      </c>
      <c r="AM18" s="22" t="str">
        <f>IF(AM$2*$O18*COUNT(data1!Y5)=0,"",$K18*data1!Y5)</f>
        <v/>
      </c>
      <c r="AN18" s="22" t="str">
        <f>IF(AN$2*$O18*COUNT(data1!Z5)=0,"",$K18*data1!Z5)</f>
        <v/>
      </c>
      <c r="AO18" s="22" t="str">
        <f>IF(AO$2*$O18*COUNT(data1!AA5)=0,"",$K18*data1!AA5)</f>
        <v/>
      </c>
      <c r="AP18" s="22" t="str">
        <f>IF(AP$2*$O18*COUNT(data1!AB5)=0,"",$K18*data1!AB5)</f>
        <v/>
      </c>
      <c r="AQ18" s="22" t="str">
        <f>IF(AQ$2*$O18*COUNT(data1!AC5)=0,"",$K18*data1!AC5)</f>
        <v/>
      </c>
      <c r="AR18" s="22" t="str">
        <f>IF(AR$2*$O18*COUNT(data1!AD5)=0,"",$K18*data1!AD5)</f>
        <v/>
      </c>
      <c r="AS18" s="22" t="str">
        <f>IF(AS$2*$O18*COUNT(data1!AE5)=0,"",$K18*data1!AE5)</f>
        <v/>
      </c>
      <c r="AT18" s="22" t="str">
        <f>IF(AT$2*$O18*COUNT(data1!AF5)=0,"",$K18*data1!AF5)</f>
        <v/>
      </c>
      <c r="AU18" s="22" t="str">
        <f>IF(AU$2*$O18*COUNT(data1!AG5)=0,"",$K18*data1!AG5)</f>
        <v/>
      </c>
    </row>
    <row r="19" spans="1:47">
      <c r="A19" s="191"/>
      <c r="B19" s="191"/>
      <c r="C19" t="str">
        <f t="shared" si="19"/>
        <v>%IR</v>
      </c>
      <c r="D19" s="47" t="str">
        <f t="shared" si="15"/>
        <v/>
      </c>
      <c r="E19" s="47" t="str">
        <f>IF(COUNT(P19:AU19)=0,"",AVERAGE(P19:AU19))</f>
        <v/>
      </c>
      <c r="F19" s="47" t="str">
        <f t="shared" si="16"/>
        <v/>
      </c>
      <c r="G19" s="47" t="str">
        <f>IF(COUNT(P19:AU19)=0,"",STDEV(P19:AU19))</f>
        <v/>
      </c>
      <c r="I19" s="49">
        <f t="shared" si="25"/>
        <v>1</v>
      </c>
      <c r="J19" s="49">
        <f t="shared" si="22"/>
        <v>3</v>
      </c>
      <c r="K19" s="146">
        <f t="shared" si="17"/>
        <v>23.752969121140143</v>
      </c>
      <c r="L19" s="123">
        <f t="shared" si="23"/>
        <v>16</v>
      </c>
      <c r="M19" s="130">
        <f t="shared" si="18"/>
        <v>1</v>
      </c>
      <c r="N19" s="108">
        <v>1</v>
      </c>
      <c r="O19" s="110">
        <f t="shared" si="24"/>
        <v>1</v>
      </c>
      <c r="P19" s="47" t="str">
        <f>IF(P$2*$O19*COUNT(data1!B6)=0,"",$K19*data1!B6)</f>
        <v/>
      </c>
      <c r="Q19" s="47" t="str">
        <f>IF(Q$2*$O19*COUNT(data1!C6)=0,"",$K19*data1!C6)</f>
        <v/>
      </c>
      <c r="R19" s="47" t="str">
        <f>IF(R$2*$O19*COUNT(data1!D6)=0,"",$K19*data1!D6)</f>
        <v/>
      </c>
      <c r="S19" s="47" t="str">
        <f>IF(S$2*$O19*COUNT(data1!E6)=0,"",$K19*data1!E6)</f>
        <v/>
      </c>
      <c r="T19" s="47" t="str">
        <f>IF(T$2*$O19*COUNT(data1!F6)=0,"",$K19*data1!F6)</f>
        <v/>
      </c>
      <c r="U19" s="47" t="str">
        <f>IF(U$2*$O19*COUNT(data1!G6)=0,"",$K19*data1!G6)</f>
        <v/>
      </c>
      <c r="V19" s="47" t="str">
        <f>IF(V$2*$O19*COUNT(data1!H6)=0,"",$K19*data1!H6)</f>
        <v/>
      </c>
      <c r="W19" s="47" t="str">
        <f>IF(W$2*$O19*COUNT(data1!I6)=0,"",$K19*data1!I6)</f>
        <v/>
      </c>
      <c r="X19" s="47" t="str">
        <f>IF(X$2*$O19*COUNT(data1!J6)=0,"",$K19*data1!J6)</f>
        <v/>
      </c>
      <c r="Y19" s="47" t="str">
        <f>IF(Y$2*$O19*COUNT(data1!K6)=0,"",$K19*data1!K6)</f>
        <v/>
      </c>
      <c r="Z19" s="47" t="str">
        <f>IF(Z$2*$O19*COUNT(data1!L6)=0,"",$K19*data1!L6)</f>
        <v/>
      </c>
      <c r="AA19" s="47" t="str">
        <f>IF(AA$2*$O19*COUNT(data1!M6)=0,"",$K19*data1!M6)</f>
        <v/>
      </c>
      <c r="AB19" s="47" t="str">
        <f>IF(AB$2*$O19*COUNT(data1!N6)=0,"",$K19*data1!N6)</f>
        <v/>
      </c>
      <c r="AC19" s="47" t="str">
        <f>IF(AC$2*$O19*COUNT(data1!O6)=0,"",$K19*data1!O6)</f>
        <v/>
      </c>
      <c r="AD19" s="47" t="str">
        <f>IF(AD$2*$O19*COUNT(data1!P6)=0,"",$K19*data1!P6)</f>
        <v/>
      </c>
      <c r="AE19" s="47" t="str">
        <f>IF(AE$2*$O19*COUNT(data1!Q6)=0,"",$K19*data1!Q6)</f>
        <v/>
      </c>
      <c r="AF19" s="47" t="str">
        <f>IF(AF$2*$O19*COUNT(data1!R6)=0,"",$K19*data1!R6)</f>
        <v/>
      </c>
      <c r="AG19" s="47" t="str">
        <f>IF(AG$2*$O19*COUNT(data1!S6)=0,"",$K19*data1!S6)</f>
        <v/>
      </c>
      <c r="AH19" s="47" t="str">
        <f>IF(AH$2*$O19*COUNT(data1!T6)=0,"",$K19*data1!T6)</f>
        <v/>
      </c>
      <c r="AI19" s="47" t="str">
        <f>IF(AI$2*$O19*COUNT(data1!U6)=0,"",$K19*data1!U6)</f>
        <v/>
      </c>
      <c r="AJ19" s="47" t="str">
        <f>IF(AJ$2*$O19*COUNT(data1!V6)=0,"",$K19*data1!V6)</f>
        <v/>
      </c>
      <c r="AK19" s="47" t="str">
        <f>IF(AK$2*$O19*COUNT(data1!W6)=0,"",$K19*data1!W6)</f>
        <v/>
      </c>
      <c r="AL19" s="47" t="str">
        <f>IF(AL$2*$O19*COUNT(data1!X6)=0,"",$K19*data1!X6)</f>
        <v/>
      </c>
      <c r="AM19" s="47" t="str">
        <f>IF(AM$2*$O19*COUNT(data1!Y6)=0,"",$K19*data1!Y6)</f>
        <v/>
      </c>
      <c r="AN19" s="47" t="str">
        <f>IF(AN$2*$O19*COUNT(data1!Z6)=0,"",$K19*data1!Z6)</f>
        <v/>
      </c>
      <c r="AO19" s="47" t="str">
        <f>IF(AO$2*$O19*COUNT(data1!AA6)=0,"",$K19*data1!AA6)</f>
        <v/>
      </c>
      <c r="AP19" s="47" t="str">
        <f>IF(AP$2*$O19*COUNT(data1!AB6)=0,"",$K19*data1!AB6)</f>
        <v/>
      </c>
      <c r="AQ19" s="47" t="str">
        <f>IF(AQ$2*$O19*COUNT(data1!AC6)=0,"",$K19*data1!AC6)</f>
        <v/>
      </c>
      <c r="AR19" s="47" t="str">
        <f>IF(AR$2*$O19*COUNT(data1!AD6)=0,"",$K19*data1!AD6)</f>
        <v/>
      </c>
      <c r="AS19" s="47" t="str">
        <f>IF(AS$2*$O19*COUNT(data1!AE6)=0,"",$K19*data1!AE6)</f>
        <v/>
      </c>
      <c r="AT19" s="47" t="str">
        <f>IF(AT$2*$O19*COUNT(data1!AF6)=0,"",$K19*data1!AF6)</f>
        <v/>
      </c>
      <c r="AU19" s="47" t="str">
        <f>IF(AU$2*$O19*COUNT(data1!AG6)=0,"",$K19*data1!AG6)</f>
        <v/>
      </c>
    </row>
    <row r="20" spans="1:47">
      <c r="A20" s="191"/>
      <c r="B20" s="191" t="str">
        <f>B8</f>
        <v>P1</v>
      </c>
      <c r="C20" t="str">
        <f t="shared" si="19"/>
        <v>Range1-1</v>
      </c>
      <c r="D20" s="22" t="str">
        <f t="shared" si="15"/>
        <v/>
      </c>
      <c r="E20" s="22" t="str">
        <f t="shared" ref="E20:E25" si="26">IF(COUNT(P20:AU20)=0,"",AVERAGE(P20:AU20))</f>
        <v/>
      </c>
      <c r="F20" s="22" t="str">
        <f t="shared" si="16"/>
        <v/>
      </c>
      <c r="G20" s="22" t="str">
        <f t="shared" ref="G20:G25" si="27">IF(COUNT(P20:AU20)=0,"",STDEV(P20:AU20))</f>
        <v/>
      </c>
      <c r="I20" s="49">
        <f>I19+1</f>
        <v>2</v>
      </c>
      <c r="J20" s="49">
        <f t="shared" si="22"/>
        <v>3</v>
      </c>
      <c r="K20" s="146">
        <f t="shared" si="17"/>
        <v>44.642857142857146</v>
      </c>
      <c r="L20" s="123">
        <f t="shared" si="23"/>
        <v>17</v>
      </c>
      <c r="M20" s="130">
        <f t="shared" si="18"/>
        <v>1</v>
      </c>
      <c r="N20" s="108">
        <v>1</v>
      </c>
      <c r="O20" s="110">
        <f t="shared" si="24"/>
        <v>1</v>
      </c>
      <c r="P20" s="22" t="str">
        <f>IF(P$2*$O20*COUNT(data1!B7)=0,"",$K20*data1!B7)</f>
        <v/>
      </c>
      <c r="Q20" s="22" t="str">
        <f>IF(Q$2*$O20*COUNT(data1!C7)=0,"",$K20*data1!C7)</f>
        <v/>
      </c>
      <c r="R20" s="22" t="str">
        <f>IF(R$2*$O20*COUNT(data1!D7)=0,"",$K20*data1!D7)</f>
        <v/>
      </c>
      <c r="S20" s="22" t="str">
        <f>IF(S$2*$O20*COUNT(data1!E7)=0,"",$K20*data1!E7)</f>
        <v/>
      </c>
      <c r="T20" s="22" t="str">
        <f>IF(T$2*$O20*COUNT(data1!F7)=0,"",$K20*data1!F7)</f>
        <v/>
      </c>
      <c r="U20" s="22" t="str">
        <f>IF(U$2*$O20*COUNT(data1!G7)=0,"",$K20*data1!G7)</f>
        <v/>
      </c>
      <c r="V20" s="22" t="str">
        <f>IF(V$2*$O20*COUNT(data1!H7)=0,"",$K20*data1!H7)</f>
        <v/>
      </c>
      <c r="W20" s="22" t="str">
        <f>IF(W$2*$O20*COUNT(data1!I7)=0,"",$K20*data1!I7)</f>
        <v/>
      </c>
      <c r="X20" s="22" t="str">
        <f>IF(X$2*$O20*COUNT(data1!J7)=0,"",$K20*data1!J7)</f>
        <v/>
      </c>
      <c r="Y20" s="22" t="str">
        <f>IF(Y$2*$O20*COUNT(data1!K7)=0,"",$K20*data1!K7)</f>
        <v/>
      </c>
      <c r="Z20" s="22" t="str">
        <f>IF(Z$2*$O20*COUNT(data1!L7)=0,"",$K20*data1!L7)</f>
        <v/>
      </c>
      <c r="AA20" s="22" t="str">
        <f>IF(AA$2*$O20*COUNT(data1!M7)=0,"",$K20*data1!M7)</f>
        <v/>
      </c>
      <c r="AB20" s="22" t="str">
        <f>IF(AB$2*$O20*COUNT(data1!N7)=0,"",$K20*data1!N7)</f>
        <v/>
      </c>
      <c r="AC20" s="22" t="str">
        <f>IF(AC$2*$O20*COUNT(data1!O7)=0,"",$K20*data1!O7)</f>
        <v/>
      </c>
      <c r="AD20" s="22" t="str">
        <f>IF(AD$2*$O20*COUNT(data1!P7)=0,"",$K20*data1!P7)</f>
        <v/>
      </c>
      <c r="AE20" s="22" t="str">
        <f>IF(AE$2*$O20*COUNT(data1!Q7)=0,"",$K20*data1!Q7)</f>
        <v/>
      </c>
      <c r="AF20" s="22" t="str">
        <f>IF(AF$2*$O20*COUNT(data1!R7)=0,"",$K20*data1!R7)</f>
        <v/>
      </c>
      <c r="AG20" s="22" t="str">
        <f>IF(AG$2*$O20*COUNT(data1!S7)=0,"",$K20*data1!S7)</f>
        <v/>
      </c>
      <c r="AH20" s="22" t="str">
        <f>IF(AH$2*$O20*COUNT(data1!T7)=0,"",$K20*data1!T7)</f>
        <v/>
      </c>
      <c r="AI20" s="22" t="str">
        <f>IF(AI$2*$O20*COUNT(data1!U7)=0,"",$K20*data1!U7)</f>
        <v/>
      </c>
      <c r="AJ20" s="22" t="str">
        <f>IF(AJ$2*$O20*COUNT(data1!V7)=0,"",$K20*data1!V7)</f>
        <v/>
      </c>
      <c r="AK20" s="22" t="str">
        <f>IF(AK$2*$O20*COUNT(data1!W7)=0,"",$K20*data1!W7)</f>
        <v/>
      </c>
      <c r="AL20" s="22" t="str">
        <f>IF(AL$2*$O20*COUNT(data1!X7)=0,"",$K20*data1!X7)</f>
        <v/>
      </c>
      <c r="AM20" s="22" t="str">
        <f>IF(AM$2*$O20*COUNT(data1!Y7)=0,"",$K20*data1!Y7)</f>
        <v/>
      </c>
      <c r="AN20" s="22" t="str">
        <f>IF(AN$2*$O20*COUNT(data1!Z7)=0,"",$K20*data1!Z7)</f>
        <v/>
      </c>
      <c r="AO20" s="22" t="str">
        <f>IF(AO$2*$O20*COUNT(data1!AA7)=0,"",$K20*data1!AA7)</f>
        <v/>
      </c>
      <c r="AP20" s="22" t="str">
        <f>IF(AP$2*$O20*COUNT(data1!AB7)=0,"",$K20*data1!AB7)</f>
        <v/>
      </c>
      <c r="AQ20" s="22" t="str">
        <f>IF(AQ$2*$O20*COUNT(data1!AC7)=0,"",$K20*data1!AC7)</f>
        <v/>
      </c>
      <c r="AR20" s="22" t="str">
        <f>IF(AR$2*$O20*COUNT(data1!AD7)=0,"",$K20*data1!AD7)</f>
        <v/>
      </c>
      <c r="AS20" s="22" t="str">
        <f>IF(AS$2*$O20*COUNT(data1!AE7)=0,"",$K20*data1!AE7)</f>
        <v/>
      </c>
      <c r="AT20" s="22" t="str">
        <f>IF(AT$2*$O20*COUNT(data1!AF7)=0,"",$K20*data1!AF7)</f>
        <v/>
      </c>
      <c r="AU20" s="22" t="str">
        <f>IF(AU$2*$O20*COUNT(data1!AG7)=0,"",$K20*data1!AG7)</f>
        <v/>
      </c>
    </row>
    <row r="21" spans="1:47">
      <c r="A21" s="191"/>
      <c r="B21" s="191"/>
      <c r="C21" t="str">
        <f t="shared" si="19"/>
        <v>Range2-1</v>
      </c>
      <c r="D21" s="22" t="str">
        <f t="shared" si="15"/>
        <v/>
      </c>
      <c r="E21" s="22" t="str">
        <f t="shared" si="26"/>
        <v/>
      </c>
      <c r="F21" s="22" t="str">
        <f t="shared" si="16"/>
        <v/>
      </c>
      <c r="G21" s="22" t="str">
        <f t="shared" si="27"/>
        <v/>
      </c>
      <c r="I21" s="49">
        <f>I20</f>
        <v>2</v>
      </c>
      <c r="J21" s="49">
        <f t="shared" si="22"/>
        <v>3</v>
      </c>
      <c r="K21" s="146">
        <f t="shared" si="17"/>
        <v>44.642857142857146</v>
      </c>
      <c r="L21" s="123">
        <f t="shared" si="23"/>
        <v>18</v>
      </c>
      <c r="M21" s="130">
        <f t="shared" si="18"/>
        <v>1</v>
      </c>
      <c r="N21" s="108">
        <v>1</v>
      </c>
      <c r="O21" s="110">
        <f t="shared" si="24"/>
        <v>1</v>
      </c>
      <c r="P21" s="22" t="str">
        <f>IF(P$2*$O21*COUNT(data1!B8)=0,"",$K21*data1!B8)</f>
        <v/>
      </c>
      <c r="Q21" s="22" t="str">
        <f>IF(Q$2*$O21*COUNT(data1!C8)=0,"",$K21*data1!C8)</f>
        <v/>
      </c>
      <c r="R21" s="22" t="str">
        <f>IF(R$2*$O21*COUNT(data1!D8)=0,"",$K21*data1!D8)</f>
        <v/>
      </c>
      <c r="S21" s="22" t="str">
        <f>IF(S$2*$O21*COUNT(data1!E8)=0,"",$K21*data1!E8)</f>
        <v/>
      </c>
      <c r="T21" s="22" t="str">
        <f>IF(T$2*$O21*COUNT(data1!F8)=0,"",$K21*data1!F8)</f>
        <v/>
      </c>
      <c r="U21" s="22" t="str">
        <f>IF(U$2*$O21*COUNT(data1!G8)=0,"",$K21*data1!G8)</f>
        <v/>
      </c>
      <c r="V21" s="22" t="str">
        <f>IF(V$2*$O21*COUNT(data1!H8)=0,"",$K21*data1!H8)</f>
        <v/>
      </c>
      <c r="W21" s="22" t="str">
        <f>IF(W$2*$O21*COUNT(data1!I8)=0,"",$K21*data1!I8)</f>
        <v/>
      </c>
      <c r="X21" s="22" t="str">
        <f>IF(X$2*$O21*COUNT(data1!J8)=0,"",$K21*data1!J8)</f>
        <v/>
      </c>
      <c r="Y21" s="22" t="str">
        <f>IF(Y$2*$O21*COUNT(data1!K8)=0,"",$K21*data1!K8)</f>
        <v/>
      </c>
      <c r="Z21" s="22" t="str">
        <f>IF(Z$2*$O21*COUNT(data1!L8)=0,"",$K21*data1!L8)</f>
        <v/>
      </c>
      <c r="AA21" s="22" t="str">
        <f>IF(AA$2*$O21*COUNT(data1!M8)=0,"",$K21*data1!M8)</f>
        <v/>
      </c>
      <c r="AB21" s="22" t="str">
        <f>IF(AB$2*$O21*COUNT(data1!N8)=0,"",$K21*data1!N8)</f>
        <v/>
      </c>
      <c r="AC21" s="22" t="str">
        <f>IF(AC$2*$O21*COUNT(data1!O8)=0,"",$K21*data1!O8)</f>
        <v/>
      </c>
      <c r="AD21" s="22" t="str">
        <f>IF(AD$2*$O21*COUNT(data1!P8)=0,"",$K21*data1!P8)</f>
        <v/>
      </c>
      <c r="AE21" s="22" t="str">
        <f>IF(AE$2*$O21*COUNT(data1!Q8)=0,"",$K21*data1!Q8)</f>
        <v/>
      </c>
      <c r="AF21" s="22" t="str">
        <f>IF(AF$2*$O21*COUNT(data1!R8)=0,"",$K21*data1!R8)</f>
        <v/>
      </c>
      <c r="AG21" s="22" t="str">
        <f>IF(AG$2*$O21*COUNT(data1!S8)=0,"",$K21*data1!S8)</f>
        <v/>
      </c>
      <c r="AH21" s="22" t="str">
        <f>IF(AH$2*$O21*COUNT(data1!T8)=0,"",$K21*data1!T8)</f>
        <v/>
      </c>
      <c r="AI21" s="22" t="str">
        <f>IF(AI$2*$O21*COUNT(data1!U8)=0,"",$K21*data1!U8)</f>
        <v/>
      </c>
      <c r="AJ21" s="22" t="str">
        <f>IF(AJ$2*$O21*COUNT(data1!V8)=0,"",$K21*data1!V8)</f>
        <v/>
      </c>
      <c r="AK21" s="22" t="str">
        <f>IF(AK$2*$O21*COUNT(data1!W8)=0,"",$K21*data1!W8)</f>
        <v/>
      </c>
      <c r="AL21" s="22" t="str">
        <f>IF(AL$2*$O21*COUNT(data1!X8)=0,"",$K21*data1!X8)</f>
        <v/>
      </c>
      <c r="AM21" s="22" t="str">
        <f>IF(AM$2*$O21*COUNT(data1!Y8)=0,"",$K21*data1!Y8)</f>
        <v/>
      </c>
      <c r="AN21" s="22" t="str">
        <f>IF(AN$2*$O21*COUNT(data1!Z8)=0,"",$K21*data1!Z8)</f>
        <v/>
      </c>
      <c r="AO21" s="22" t="str">
        <f>IF(AO$2*$O21*COUNT(data1!AA8)=0,"",$K21*data1!AA8)</f>
        <v/>
      </c>
      <c r="AP21" s="22" t="str">
        <f>IF(AP$2*$O21*COUNT(data1!AB8)=0,"",$K21*data1!AB8)</f>
        <v/>
      </c>
      <c r="AQ21" s="22" t="str">
        <f>IF(AQ$2*$O21*COUNT(data1!AC8)=0,"",$K21*data1!AC8)</f>
        <v/>
      </c>
      <c r="AR21" s="22" t="str">
        <f>IF(AR$2*$O21*COUNT(data1!AD8)=0,"",$K21*data1!AD8)</f>
        <v/>
      </c>
      <c r="AS21" s="22" t="str">
        <f>IF(AS$2*$O21*COUNT(data1!AE8)=0,"",$K21*data1!AE8)</f>
        <v/>
      </c>
      <c r="AT21" s="22" t="str">
        <f>IF(AT$2*$O21*COUNT(data1!AF8)=0,"",$K21*data1!AF8)</f>
        <v/>
      </c>
      <c r="AU21" s="22" t="str">
        <f>IF(AU$2*$O21*COUNT(data1!AG8)=0,"",$K21*data1!AG8)</f>
        <v/>
      </c>
    </row>
    <row r="22" spans="1:47">
      <c r="A22" s="191"/>
      <c r="B22" s="191"/>
      <c r="C22" t="str">
        <f t="shared" si="19"/>
        <v>Range3-1</v>
      </c>
      <c r="D22" s="22" t="str">
        <f t="shared" si="15"/>
        <v/>
      </c>
      <c r="E22" s="22" t="str">
        <f t="shared" si="26"/>
        <v/>
      </c>
      <c r="F22" s="22" t="str">
        <f t="shared" si="16"/>
        <v/>
      </c>
      <c r="G22" s="22" t="str">
        <f t="shared" si="27"/>
        <v/>
      </c>
      <c r="I22" s="49">
        <f t="shared" ref="I22:I24" si="28">I21</f>
        <v>2</v>
      </c>
      <c r="J22" s="49">
        <f t="shared" si="22"/>
        <v>3</v>
      </c>
      <c r="K22" s="146">
        <f t="shared" si="17"/>
        <v>44.642857142857146</v>
      </c>
      <c r="L22" s="123">
        <f t="shared" si="23"/>
        <v>19</v>
      </c>
      <c r="M22" s="130">
        <f t="shared" si="18"/>
        <v>1</v>
      </c>
      <c r="N22" s="108">
        <v>1</v>
      </c>
      <c r="O22" s="110">
        <f t="shared" si="24"/>
        <v>1</v>
      </c>
      <c r="P22" s="22" t="str">
        <f>IF(P$2*$O22*COUNT(data1!B9)=0,"",$K22*data1!B9)</f>
        <v/>
      </c>
      <c r="Q22" s="22" t="str">
        <f>IF(Q$2*$O22*COUNT(data1!C9)=0,"",$K22*data1!C9)</f>
        <v/>
      </c>
      <c r="R22" s="22" t="str">
        <f>IF(R$2*$O22*COUNT(data1!D9)=0,"",$K22*data1!D9)</f>
        <v/>
      </c>
      <c r="S22" s="22" t="str">
        <f>IF(S$2*$O22*COUNT(data1!E9)=0,"",$K22*data1!E9)</f>
        <v/>
      </c>
      <c r="T22" s="22" t="str">
        <f>IF(T$2*$O22*COUNT(data1!F9)=0,"",$K22*data1!F9)</f>
        <v/>
      </c>
      <c r="U22" s="22" t="str">
        <f>IF(U$2*$O22*COUNT(data1!G9)=0,"",$K22*data1!G9)</f>
        <v/>
      </c>
      <c r="V22" s="22" t="str">
        <f>IF(V$2*$O22*COUNT(data1!H9)=0,"",$K22*data1!H9)</f>
        <v/>
      </c>
      <c r="W22" s="22" t="str">
        <f>IF(W$2*$O22*COUNT(data1!I9)=0,"",$K22*data1!I9)</f>
        <v/>
      </c>
      <c r="X22" s="22" t="str">
        <f>IF(X$2*$O22*COUNT(data1!J9)=0,"",$K22*data1!J9)</f>
        <v/>
      </c>
      <c r="Y22" s="22" t="str">
        <f>IF(Y$2*$O22*COUNT(data1!K9)=0,"",$K22*data1!K9)</f>
        <v/>
      </c>
      <c r="Z22" s="22" t="str">
        <f>IF(Z$2*$O22*COUNT(data1!L9)=0,"",$K22*data1!L9)</f>
        <v/>
      </c>
      <c r="AA22" s="22" t="str">
        <f>IF(AA$2*$O22*COUNT(data1!M9)=0,"",$K22*data1!M9)</f>
        <v/>
      </c>
      <c r="AB22" s="22" t="str">
        <f>IF(AB$2*$O22*COUNT(data1!N9)=0,"",$K22*data1!N9)</f>
        <v/>
      </c>
      <c r="AC22" s="22" t="str">
        <f>IF(AC$2*$O22*COUNT(data1!O9)=0,"",$K22*data1!O9)</f>
        <v/>
      </c>
      <c r="AD22" s="22" t="str">
        <f>IF(AD$2*$O22*COUNT(data1!P9)=0,"",$K22*data1!P9)</f>
        <v/>
      </c>
      <c r="AE22" s="22" t="str">
        <f>IF(AE$2*$O22*COUNT(data1!Q9)=0,"",$K22*data1!Q9)</f>
        <v/>
      </c>
      <c r="AF22" s="22" t="str">
        <f>IF(AF$2*$O22*COUNT(data1!R9)=0,"",$K22*data1!R9)</f>
        <v/>
      </c>
      <c r="AG22" s="22" t="str">
        <f>IF(AG$2*$O22*COUNT(data1!S9)=0,"",$K22*data1!S9)</f>
        <v/>
      </c>
      <c r="AH22" s="22" t="str">
        <f>IF(AH$2*$O22*COUNT(data1!T9)=0,"",$K22*data1!T9)</f>
        <v/>
      </c>
      <c r="AI22" s="22" t="str">
        <f>IF(AI$2*$O22*COUNT(data1!U9)=0,"",$K22*data1!U9)</f>
        <v/>
      </c>
      <c r="AJ22" s="22" t="str">
        <f>IF(AJ$2*$O22*COUNT(data1!V9)=0,"",$K22*data1!V9)</f>
        <v/>
      </c>
      <c r="AK22" s="22" t="str">
        <f>IF(AK$2*$O22*COUNT(data1!W9)=0,"",$K22*data1!W9)</f>
        <v/>
      </c>
      <c r="AL22" s="22" t="str">
        <f>IF(AL$2*$O22*COUNT(data1!X9)=0,"",$K22*data1!X9)</f>
        <v/>
      </c>
      <c r="AM22" s="22" t="str">
        <f>IF(AM$2*$O22*COUNT(data1!Y9)=0,"",$K22*data1!Y9)</f>
        <v/>
      </c>
      <c r="AN22" s="22" t="str">
        <f>IF(AN$2*$O22*COUNT(data1!Z9)=0,"",$K22*data1!Z9)</f>
        <v/>
      </c>
      <c r="AO22" s="22" t="str">
        <f>IF(AO$2*$O22*COUNT(data1!AA9)=0,"",$K22*data1!AA9)</f>
        <v/>
      </c>
      <c r="AP22" s="22" t="str">
        <f>IF(AP$2*$O22*COUNT(data1!AB9)=0,"",$K22*data1!AB9)</f>
        <v/>
      </c>
      <c r="AQ22" s="22" t="str">
        <f>IF(AQ$2*$O22*COUNT(data1!AC9)=0,"",$K22*data1!AC9)</f>
        <v/>
      </c>
      <c r="AR22" s="22" t="str">
        <f>IF(AR$2*$O22*COUNT(data1!AD9)=0,"",$K22*data1!AD9)</f>
        <v/>
      </c>
      <c r="AS22" s="22" t="str">
        <f>IF(AS$2*$O22*COUNT(data1!AE9)=0,"",$K22*data1!AE9)</f>
        <v/>
      </c>
      <c r="AT22" s="22" t="str">
        <f>IF(AT$2*$O22*COUNT(data1!AF9)=0,"",$K22*data1!AF9)</f>
        <v/>
      </c>
      <c r="AU22" s="22" t="str">
        <f>IF(AU$2*$O22*COUNT(data1!AG9)=0,"",$K22*data1!AG9)</f>
        <v/>
      </c>
    </row>
    <row r="23" spans="1:47">
      <c r="A23" s="191"/>
      <c r="B23" s="191" t="str">
        <f>B11</f>
        <v>P2</v>
      </c>
      <c r="C23" t="str">
        <f t="shared" si="19"/>
        <v>Range2-2</v>
      </c>
      <c r="D23" s="22" t="str">
        <f t="shared" si="15"/>
        <v/>
      </c>
      <c r="E23" s="22" t="str">
        <f t="shared" si="26"/>
        <v/>
      </c>
      <c r="F23" s="22" t="str">
        <f t="shared" si="16"/>
        <v/>
      </c>
      <c r="G23" s="22" t="str">
        <f t="shared" si="27"/>
        <v/>
      </c>
      <c r="I23" s="49">
        <f>I22+1</f>
        <v>3</v>
      </c>
      <c r="J23" s="49">
        <f t="shared" si="22"/>
        <v>3</v>
      </c>
      <c r="K23" s="146">
        <f t="shared" si="17"/>
        <v>94.339622641509436</v>
      </c>
      <c r="L23" s="123">
        <f t="shared" si="23"/>
        <v>20</v>
      </c>
      <c r="M23" s="130">
        <f t="shared" si="18"/>
        <v>1</v>
      </c>
      <c r="N23" s="108">
        <v>1</v>
      </c>
      <c r="O23" s="110">
        <f t="shared" si="24"/>
        <v>1</v>
      </c>
      <c r="P23" s="22" t="str">
        <f>IF(P$2*$O23*COUNT(data1!B10)=0,"",$K23*data1!B10)</f>
        <v/>
      </c>
      <c r="Q23" s="22" t="str">
        <f>IF(Q$2*$O23*COUNT(data1!C10)=0,"",$K23*data1!C10)</f>
        <v/>
      </c>
      <c r="R23" s="22" t="str">
        <f>IF(R$2*$O23*COUNT(data1!D10)=0,"",$K23*data1!D10)</f>
        <v/>
      </c>
      <c r="S23" s="22" t="str">
        <f>IF(S$2*$O23*COUNT(data1!E10)=0,"",$K23*data1!E10)</f>
        <v/>
      </c>
      <c r="T23" s="22" t="str">
        <f>IF(T$2*$O23*COUNT(data1!F10)=0,"",$K23*data1!F10)</f>
        <v/>
      </c>
      <c r="U23" s="22" t="str">
        <f>IF(U$2*$O23*COUNT(data1!G10)=0,"",$K23*data1!G10)</f>
        <v/>
      </c>
      <c r="V23" s="22" t="str">
        <f>IF(V$2*$O23*COUNT(data1!H10)=0,"",$K23*data1!H10)</f>
        <v/>
      </c>
      <c r="W23" s="22" t="str">
        <f>IF(W$2*$O23*COUNT(data1!I10)=0,"",$K23*data1!I10)</f>
        <v/>
      </c>
      <c r="X23" s="22" t="str">
        <f>IF(X$2*$O23*COUNT(data1!J10)=0,"",$K23*data1!J10)</f>
        <v/>
      </c>
      <c r="Y23" s="22" t="str">
        <f>IF(Y$2*$O23*COUNT(data1!K10)=0,"",$K23*data1!K10)</f>
        <v/>
      </c>
      <c r="Z23" s="22" t="str">
        <f>IF(Z$2*$O23*COUNT(data1!L10)=0,"",$K23*data1!L10)</f>
        <v/>
      </c>
      <c r="AA23" s="22" t="str">
        <f>IF(AA$2*$O23*COUNT(data1!M10)=0,"",$K23*data1!M10)</f>
        <v/>
      </c>
      <c r="AB23" s="22" t="str">
        <f>IF(AB$2*$O23*COUNT(data1!N10)=0,"",$K23*data1!N10)</f>
        <v/>
      </c>
      <c r="AC23" s="22" t="str">
        <f>IF(AC$2*$O23*COUNT(data1!O10)=0,"",$K23*data1!O10)</f>
        <v/>
      </c>
      <c r="AD23" s="22" t="str">
        <f>IF(AD$2*$O23*COUNT(data1!P10)=0,"",$K23*data1!P10)</f>
        <v/>
      </c>
      <c r="AE23" s="22" t="str">
        <f>IF(AE$2*$O23*COUNT(data1!Q10)=0,"",$K23*data1!Q10)</f>
        <v/>
      </c>
      <c r="AF23" s="22" t="str">
        <f>IF(AF$2*$O23*COUNT(data1!R10)=0,"",$K23*data1!R10)</f>
        <v/>
      </c>
      <c r="AG23" s="22" t="str">
        <f>IF(AG$2*$O23*COUNT(data1!S10)=0,"",$K23*data1!S10)</f>
        <v/>
      </c>
      <c r="AH23" s="22" t="str">
        <f>IF(AH$2*$O23*COUNT(data1!T10)=0,"",$K23*data1!T10)</f>
        <v/>
      </c>
      <c r="AI23" s="22" t="str">
        <f>IF(AI$2*$O23*COUNT(data1!U10)=0,"",$K23*data1!U10)</f>
        <v/>
      </c>
      <c r="AJ23" s="22" t="str">
        <f>IF(AJ$2*$O23*COUNT(data1!V10)=0,"",$K23*data1!V10)</f>
        <v/>
      </c>
      <c r="AK23" s="22" t="str">
        <f>IF(AK$2*$O23*COUNT(data1!W10)=0,"",$K23*data1!W10)</f>
        <v/>
      </c>
      <c r="AL23" s="22" t="str">
        <f>IF(AL$2*$O23*COUNT(data1!X10)=0,"",$K23*data1!X10)</f>
        <v/>
      </c>
      <c r="AM23" s="22" t="str">
        <f>IF(AM$2*$O23*COUNT(data1!Y10)=0,"",$K23*data1!Y10)</f>
        <v/>
      </c>
      <c r="AN23" s="22" t="str">
        <f>IF(AN$2*$O23*COUNT(data1!Z10)=0,"",$K23*data1!Z10)</f>
        <v/>
      </c>
      <c r="AO23" s="22" t="str">
        <f>IF(AO$2*$O23*COUNT(data1!AA10)=0,"",$K23*data1!AA10)</f>
        <v/>
      </c>
      <c r="AP23" s="22" t="str">
        <f>IF(AP$2*$O23*COUNT(data1!AB10)=0,"",$K23*data1!AB10)</f>
        <v/>
      </c>
      <c r="AQ23" s="22" t="str">
        <f>IF(AQ$2*$O23*COUNT(data1!AC10)=0,"",$K23*data1!AC10)</f>
        <v/>
      </c>
      <c r="AR23" s="22" t="str">
        <f>IF(AR$2*$O23*COUNT(data1!AD10)=0,"",$K23*data1!AD10)</f>
        <v/>
      </c>
      <c r="AS23" s="22" t="str">
        <f>IF(AS$2*$O23*COUNT(data1!AE10)=0,"",$K23*data1!AE10)</f>
        <v/>
      </c>
      <c r="AT23" s="22" t="str">
        <f>IF(AT$2*$O23*COUNT(data1!AF10)=0,"",$K23*data1!AF10)</f>
        <v/>
      </c>
      <c r="AU23" s="22" t="str">
        <f>IF(AU$2*$O23*COUNT(data1!AG10)=0,"",$K23*data1!AG10)</f>
        <v/>
      </c>
    </row>
    <row r="24" spans="1:47">
      <c r="A24" s="191"/>
      <c r="B24" s="191"/>
      <c r="C24" t="str">
        <f t="shared" si="19"/>
        <v>Range3-2</v>
      </c>
      <c r="D24" s="22" t="str">
        <f t="shared" si="15"/>
        <v/>
      </c>
      <c r="E24" s="22" t="str">
        <f t="shared" si="26"/>
        <v/>
      </c>
      <c r="F24" s="22" t="str">
        <f t="shared" si="16"/>
        <v/>
      </c>
      <c r="G24" s="22" t="str">
        <f t="shared" si="27"/>
        <v/>
      </c>
      <c r="I24" s="49">
        <f t="shared" si="28"/>
        <v>3</v>
      </c>
      <c r="J24" s="49">
        <f t="shared" si="22"/>
        <v>3</v>
      </c>
      <c r="K24" s="146">
        <f t="shared" si="17"/>
        <v>94.339622641509436</v>
      </c>
      <c r="L24" s="123">
        <f t="shared" si="23"/>
        <v>21</v>
      </c>
      <c r="M24" s="130">
        <f t="shared" si="18"/>
        <v>1</v>
      </c>
      <c r="N24" s="108">
        <v>1</v>
      </c>
      <c r="O24" s="110">
        <f t="shared" si="24"/>
        <v>1</v>
      </c>
      <c r="P24" s="22" t="str">
        <f>IF(P$2*$O24*COUNT(data1!B11)=0,"",$K24*data1!B11)</f>
        <v/>
      </c>
      <c r="Q24" s="22" t="str">
        <f>IF(Q$2*$O24*COUNT(data1!C11)=0,"",$K24*data1!C11)</f>
        <v/>
      </c>
      <c r="R24" s="22" t="str">
        <f>IF(R$2*$O24*COUNT(data1!D11)=0,"",$K24*data1!D11)</f>
        <v/>
      </c>
      <c r="S24" s="22" t="str">
        <f>IF(S$2*$O24*COUNT(data1!E11)=0,"",$K24*data1!E11)</f>
        <v/>
      </c>
      <c r="T24" s="22" t="str">
        <f>IF(T$2*$O24*COUNT(data1!F11)=0,"",$K24*data1!F11)</f>
        <v/>
      </c>
      <c r="U24" s="22" t="str">
        <f>IF(U$2*$O24*COUNT(data1!G11)=0,"",$K24*data1!G11)</f>
        <v/>
      </c>
      <c r="V24" s="22" t="str">
        <f>IF(V$2*$O24*COUNT(data1!H11)=0,"",$K24*data1!H11)</f>
        <v/>
      </c>
      <c r="W24" s="22" t="str">
        <f>IF(W$2*$O24*COUNT(data1!I11)=0,"",$K24*data1!I11)</f>
        <v/>
      </c>
      <c r="X24" s="22" t="str">
        <f>IF(X$2*$O24*COUNT(data1!J11)=0,"",$K24*data1!J11)</f>
        <v/>
      </c>
      <c r="Y24" s="22" t="str">
        <f>IF(Y$2*$O24*COUNT(data1!K11)=0,"",$K24*data1!K11)</f>
        <v/>
      </c>
      <c r="Z24" s="22" t="str">
        <f>IF(Z$2*$O24*COUNT(data1!L11)=0,"",$K24*data1!L11)</f>
        <v/>
      </c>
      <c r="AA24" s="22" t="str">
        <f>IF(AA$2*$O24*COUNT(data1!M11)=0,"",$K24*data1!M11)</f>
        <v/>
      </c>
      <c r="AB24" s="22" t="str">
        <f>IF(AB$2*$O24*COUNT(data1!N11)=0,"",$K24*data1!N11)</f>
        <v/>
      </c>
      <c r="AC24" s="22" t="str">
        <f>IF(AC$2*$O24*COUNT(data1!O11)=0,"",$K24*data1!O11)</f>
        <v/>
      </c>
      <c r="AD24" s="22" t="str">
        <f>IF(AD$2*$O24*COUNT(data1!P11)=0,"",$K24*data1!P11)</f>
        <v/>
      </c>
      <c r="AE24" s="22" t="str">
        <f>IF(AE$2*$O24*COUNT(data1!Q11)=0,"",$K24*data1!Q11)</f>
        <v/>
      </c>
      <c r="AF24" s="22" t="str">
        <f>IF(AF$2*$O24*COUNT(data1!R11)=0,"",$K24*data1!R11)</f>
        <v/>
      </c>
      <c r="AG24" s="22" t="str">
        <f>IF(AG$2*$O24*COUNT(data1!S11)=0,"",$K24*data1!S11)</f>
        <v/>
      </c>
      <c r="AH24" s="22" t="str">
        <f>IF(AH$2*$O24*COUNT(data1!T11)=0,"",$K24*data1!T11)</f>
        <v/>
      </c>
      <c r="AI24" s="22" t="str">
        <f>IF(AI$2*$O24*COUNT(data1!U11)=0,"",$K24*data1!U11)</f>
        <v/>
      </c>
      <c r="AJ24" s="22" t="str">
        <f>IF(AJ$2*$O24*COUNT(data1!V11)=0,"",$K24*data1!V11)</f>
        <v/>
      </c>
      <c r="AK24" s="22" t="str">
        <f>IF(AK$2*$O24*COUNT(data1!W11)=0,"",$K24*data1!W11)</f>
        <v/>
      </c>
      <c r="AL24" s="22" t="str">
        <f>IF(AL$2*$O24*COUNT(data1!X11)=0,"",$K24*data1!X11)</f>
        <v/>
      </c>
      <c r="AM24" s="22" t="str">
        <f>IF(AM$2*$O24*COUNT(data1!Y11)=0,"",$K24*data1!Y11)</f>
        <v/>
      </c>
      <c r="AN24" s="22" t="str">
        <f>IF(AN$2*$O24*COUNT(data1!Z11)=0,"",$K24*data1!Z11)</f>
        <v/>
      </c>
      <c r="AO24" s="22" t="str">
        <f>IF(AO$2*$O24*COUNT(data1!AA11)=0,"",$K24*data1!AA11)</f>
        <v/>
      </c>
      <c r="AP24" s="22" t="str">
        <f>IF(AP$2*$O24*COUNT(data1!AB11)=0,"",$K24*data1!AB11)</f>
        <v/>
      </c>
      <c r="AQ24" s="22" t="str">
        <f>IF(AQ$2*$O24*COUNT(data1!AC11)=0,"",$K24*data1!AC11)</f>
        <v/>
      </c>
      <c r="AR24" s="22" t="str">
        <f>IF(AR$2*$O24*COUNT(data1!AD11)=0,"",$K24*data1!AD11)</f>
        <v/>
      </c>
      <c r="AS24" s="22" t="str">
        <f>IF(AS$2*$O24*COUNT(data1!AE11)=0,"",$K24*data1!AE11)</f>
        <v/>
      </c>
      <c r="AT24" s="22" t="str">
        <f>IF(AT$2*$O24*COUNT(data1!AF11)=0,"",$K24*data1!AF11)</f>
        <v/>
      </c>
      <c r="AU24" s="22" t="str">
        <f>IF(AU$2*$O24*COUNT(data1!AG11)=0,"",$K24*data1!AG11)</f>
        <v/>
      </c>
    </row>
    <row r="25" spans="1:47">
      <c r="A25" s="191"/>
      <c r="B25" s="113" t="str">
        <f>B13</f>
        <v>P3</v>
      </c>
      <c r="C25" t="str">
        <f t="shared" si="19"/>
        <v>Range3-3</v>
      </c>
      <c r="D25" s="22" t="str">
        <f t="shared" si="15"/>
        <v/>
      </c>
      <c r="E25" s="22" t="str">
        <f t="shared" si="26"/>
        <v/>
      </c>
      <c r="F25" s="22" t="str">
        <f t="shared" si="16"/>
        <v/>
      </c>
      <c r="G25" s="22" t="str">
        <f t="shared" si="27"/>
        <v/>
      </c>
      <c r="I25" s="49">
        <f>I24+1</f>
        <v>4</v>
      </c>
      <c r="J25" s="49">
        <f t="shared" si="22"/>
        <v>3</v>
      </c>
      <c r="K25" s="146" t="e">
        <f t="shared" si="17"/>
        <v>#DIV/0!</v>
      </c>
      <c r="L25" s="123">
        <f t="shared" si="23"/>
        <v>22</v>
      </c>
      <c r="M25" s="130">
        <f t="shared" si="18"/>
        <v>0</v>
      </c>
      <c r="N25" s="108">
        <v>1</v>
      </c>
      <c r="O25" s="110">
        <f t="shared" si="24"/>
        <v>0</v>
      </c>
      <c r="P25" s="22" t="str">
        <f>IF(P$2*$O25*COUNT(data1!B12)=0,"",$K25*data1!B12)</f>
        <v/>
      </c>
      <c r="Q25" s="22" t="str">
        <f>IF(Q$2*$O25*COUNT(data1!C12)=0,"",$K25*data1!C12)</f>
        <v/>
      </c>
      <c r="R25" s="22" t="str">
        <f>IF(R$2*$O25*COUNT(data1!D12)=0,"",$K25*data1!D12)</f>
        <v/>
      </c>
      <c r="S25" s="22" t="str">
        <f>IF(S$2*$O25*COUNT(data1!E12)=0,"",$K25*data1!E12)</f>
        <v/>
      </c>
      <c r="T25" s="22" t="str">
        <f>IF(T$2*$O25*COUNT(data1!F12)=0,"",$K25*data1!F12)</f>
        <v/>
      </c>
      <c r="U25" s="22" t="str">
        <f>IF(U$2*$O25*COUNT(data1!G12)=0,"",$K25*data1!G12)</f>
        <v/>
      </c>
      <c r="V25" s="22" t="str">
        <f>IF(V$2*$O25*COUNT(data1!H12)=0,"",$K25*data1!H12)</f>
        <v/>
      </c>
      <c r="W25" s="22" t="str">
        <f>IF(W$2*$O25*COUNT(data1!I12)=0,"",$K25*data1!I12)</f>
        <v/>
      </c>
      <c r="X25" s="22" t="str">
        <f>IF(X$2*$O25*COUNT(data1!J12)=0,"",$K25*data1!J12)</f>
        <v/>
      </c>
      <c r="Y25" s="22" t="str">
        <f>IF(Y$2*$O25*COUNT(data1!K12)=0,"",$K25*data1!K12)</f>
        <v/>
      </c>
      <c r="Z25" s="22" t="str">
        <f>IF(Z$2*$O25*COUNT(data1!L12)=0,"",$K25*data1!L12)</f>
        <v/>
      </c>
      <c r="AA25" s="22" t="str">
        <f>IF(AA$2*$O25*COUNT(data1!M12)=0,"",$K25*data1!M12)</f>
        <v/>
      </c>
      <c r="AB25" s="22" t="str">
        <f>IF(AB$2*$O25*COUNT(data1!N12)=0,"",$K25*data1!N12)</f>
        <v/>
      </c>
      <c r="AC25" s="22" t="str">
        <f>IF(AC$2*$O25*COUNT(data1!O12)=0,"",$K25*data1!O12)</f>
        <v/>
      </c>
      <c r="AD25" s="22" t="str">
        <f>IF(AD$2*$O25*COUNT(data1!P12)=0,"",$K25*data1!P12)</f>
        <v/>
      </c>
      <c r="AE25" s="22" t="str">
        <f>IF(AE$2*$O25*COUNT(data1!Q12)=0,"",$K25*data1!Q12)</f>
        <v/>
      </c>
      <c r="AF25" s="22" t="str">
        <f>IF(AF$2*$O25*COUNT(data1!R12)=0,"",$K25*data1!R12)</f>
        <v/>
      </c>
      <c r="AG25" s="22" t="str">
        <f>IF(AG$2*$O25*COUNT(data1!S12)=0,"",$K25*data1!S12)</f>
        <v/>
      </c>
      <c r="AH25" s="22" t="str">
        <f>IF(AH$2*$O25*COUNT(data1!T12)=0,"",$K25*data1!T12)</f>
        <v/>
      </c>
      <c r="AI25" s="22" t="str">
        <f>IF(AI$2*$O25*COUNT(data1!U12)=0,"",$K25*data1!U12)</f>
        <v/>
      </c>
      <c r="AJ25" s="22" t="str">
        <f>IF(AJ$2*$O25*COUNT(data1!V12)=0,"",$K25*data1!V12)</f>
        <v/>
      </c>
      <c r="AK25" s="22" t="str">
        <f>IF(AK$2*$O25*COUNT(data1!W12)=0,"",$K25*data1!W12)</f>
        <v/>
      </c>
      <c r="AL25" s="22" t="str">
        <f>IF(AL$2*$O25*COUNT(data1!X12)=0,"",$K25*data1!X12)</f>
        <v/>
      </c>
      <c r="AM25" s="22" t="str">
        <f>IF(AM$2*$O25*COUNT(data1!Y12)=0,"",$K25*data1!Y12)</f>
        <v/>
      </c>
      <c r="AN25" s="22" t="str">
        <f>IF(AN$2*$O25*COUNT(data1!Z12)=0,"",$K25*data1!Z12)</f>
        <v/>
      </c>
      <c r="AO25" s="22" t="str">
        <f>IF(AO$2*$O25*COUNT(data1!AA12)=0,"",$K25*data1!AA12)</f>
        <v/>
      </c>
      <c r="AP25" s="22" t="str">
        <f>IF(AP$2*$O25*COUNT(data1!AB12)=0,"",$K25*data1!AB12)</f>
        <v/>
      </c>
      <c r="AQ25" s="22" t="str">
        <f>IF(AQ$2*$O25*COUNT(data1!AC12)=0,"",$K25*data1!AC12)</f>
        <v/>
      </c>
      <c r="AR25" s="22" t="str">
        <f>IF(AR$2*$O25*COUNT(data1!AD12)=0,"",$K25*data1!AD12)</f>
        <v/>
      </c>
      <c r="AS25" s="22" t="str">
        <f>IF(AS$2*$O25*COUNT(data1!AE12)=0,"",$K25*data1!AE12)</f>
        <v/>
      </c>
      <c r="AT25" s="22" t="str">
        <f>IF(AT$2*$O25*COUNT(data1!AF12)=0,"",$K25*data1!AF12)</f>
        <v/>
      </c>
      <c r="AU25" s="22" t="str">
        <f>IF(AU$2*$O25*COUNT(data1!AG12)=0,"",$K25*data1!AG12)</f>
        <v/>
      </c>
    </row>
    <row r="26" spans="1:47" s="21" customFormat="1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</row>
    <row r="27" spans="1:47">
      <c r="A27" s="191" t="str">
        <f>Calculations!M1</f>
        <v>65F01</v>
      </c>
      <c r="B27" s="191" t="str">
        <f>B15</f>
        <v>P0</v>
      </c>
      <c r="C27" t="str">
        <f>C15</f>
        <v>Range0</v>
      </c>
      <c r="D27" s="22" t="str">
        <f t="shared" ref="D27:D37" si="29">IF(COUNT(P27:AU27)=0,"",E27-1.5*G27)</f>
        <v/>
      </c>
      <c r="E27" s="22" t="str">
        <f>IF(COUNT(P27:AU27)=0,"",AVERAGE(P27:AU27))</f>
        <v/>
      </c>
      <c r="F27" s="22" t="str">
        <f t="shared" ref="F27:F37" si="30">IF(COUNT(P27:AU27)=0,"",E27+1.5*G27)</f>
        <v/>
      </c>
      <c r="G27" s="22" t="str">
        <f>IF(COUNT(P27:AU27)=0,"",STDEV(P27:AU27))</f>
        <v/>
      </c>
      <c r="I27" s="49">
        <v>1</v>
      </c>
      <c r="J27" s="49">
        <f>J15+1</f>
        <v>4</v>
      </c>
      <c r="K27" s="146">
        <f t="shared" ref="K27:K37" si="31">INDEX(calTable,I27,1)/INDEX(calTable,I27,J27)</f>
        <v>21.881838074398249</v>
      </c>
      <c r="L27" s="49">
        <f>L25+1</f>
        <v>23</v>
      </c>
      <c r="M27" s="130">
        <f t="shared" ref="M27:M37" si="32">INDEX(dataEnable,L27)</f>
        <v>1</v>
      </c>
      <c r="N27" s="108">
        <v>1</v>
      </c>
      <c r="O27" s="110">
        <f>M27*N27</f>
        <v>1</v>
      </c>
      <c r="P27" s="22" t="str">
        <f>IF(P$2*$O27*COUNT(data2!B2)=0,"",$K27*data2!B2)</f>
        <v/>
      </c>
      <c r="Q27" s="22" t="str">
        <f>IF(Q$2*$O27*COUNT(data2!C2)=0,"",$K27*data2!C2)</f>
        <v/>
      </c>
      <c r="R27" s="22" t="str">
        <f>IF(R$2*$O27*COUNT(data2!D2)=0,"",$K27*data2!D2)</f>
        <v/>
      </c>
      <c r="S27" s="22" t="str">
        <f>IF(S$2*$O27*COUNT(data2!E2)=0,"",$K27*data2!E2)</f>
        <v/>
      </c>
      <c r="T27" s="22" t="str">
        <f>IF(T$2*$O27*COUNT(data2!F2)=0,"",$K27*data2!F2)</f>
        <v/>
      </c>
      <c r="U27" s="22" t="str">
        <f>IF(U$2*$O27*COUNT(data2!G2)=0,"",$K27*data2!G2)</f>
        <v/>
      </c>
      <c r="V27" s="22" t="str">
        <f>IF(V$2*$O27*COUNT(data2!H2)=0,"",$K27*data2!H2)</f>
        <v/>
      </c>
      <c r="W27" s="22" t="str">
        <f>IF(W$2*$O27*COUNT(data2!I2)=0,"",$K27*data2!I2)</f>
        <v/>
      </c>
      <c r="X27" s="22" t="str">
        <f>IF(X$2*$O27*COUNT(data2!J2)=0,"",$K27*data2!J2)</f>
        <v/>
      </c>
      <c r="Y27" s="22" t="str">
        <f>IF(Y$2*$O27*COUNT(data2!K2)=0,"",$K27*data2!K2)</f>
        <v/>
      </c>
      <c r="Z27" s="22" t="str">
        <f>IF(Z$2*$O27*COUNT(data2!L2)=0,"",$K27*data2!L2)</f>
        <v/>
      </c>
      <c r="AA27" s="22" t="str">
        <f>IF(AA$2*$O27*COUNT(data2!M2)=0,"",$K27*data2!M2)</f>
        <v/>
      </c>
      <c r="AB27" s="22" t="str">
        <f>IF(AB$2*$O27*COUNT(data2!N2)=0,"",$K27*data2!N2)</f>
        <v/>
      </c>
      <c r="AC27" s="22" t="str">
        <f>IF(AC$2*$O27*COUNT(data2!O2)=0,"",$K27*data2!O2)</f>
        <v/>
      </c>
      <c r="AD27" s="22" t="str">
        <f>IF(AD$2*$O27*COUNT(data2!P2)=0,"",$K27*data2!P2)</f>
        <v/>
      </c>
      <c r="AE27" s="22" t="str">
        <f>IF(AE$2*$O27*COUNT(data2!Q2)=0,"",$K27*data2!Q2)</f>
        <v/>
      </c>
      <c r="AF27" s="22" t="str">
        <f>IF(AF$2*$O27*COUNT(data2!R2)=0,"",$K27*data2!R2)</f>
        <v/>
      </c>
      <c r="AG27" s="22" t="str">
        <f>IF(AG$2*$O27*COUNT(data2!S2)=0,"",$K27*data2!S2)</f>
        <v/>
      </c>
      <c r="AH27" s="22" t="str">
        <f>IF(AH$2*$O27*COUNT(data2!T2)=0,"",$K27*data2!T2)</f>
        <v/>
      </c>
      <c r="AI27" s="22" t="str">
        <f>IF(AI$2*$O27*COUNT(data2!U2)=0,"",$K27*data2!U2)</f>
        <v/>
      </c>
      <c r="AJ27" s="22" t="str">
        <f>IF(AJ$2*$O27*COUNT(data2!V2)=0,"",$K27*data2!V2)</f>
        <v/>
      </c>
      <c r="AK27" s="22" t="str">
        <f>IF(AK$2*$O27*COUNT(data2!W2)=0,"",$K27*data2!W2)</f>
        <v/>
      </c>
      <c r="AL27" s="22" t="str">
        <f>IF(AL$2*$O27*COUNT(data2!X2)=0,"",$K27*data2!X2)</f>
        <v/>
      </c>
      <c r="AM27" s="22" t="str">
        <f>IF(AM$2*$O27*COUNT(data2!Y2)=0,"",$K27*data2!Y2)</f>
        <v/>
      </c>
      <c r="AN27" s="22" t="str">
        <f>IF(AN$2*$O27*COUNT(data2!Z2)=0,"",$K27*data2!Z2)</f>
        <v/>
      </c>
      <c r="AO27" s="22" t="str">
        <f>IF(AO$2*$O27*COUNT(data2!AA2)=0,"",$K27*data2!AA2)</f>
        <v/>
      </c>
      <c r="AP27" s="22" t="str">
        <f>IF(AP$2*$O27*COUNT(data2!AB2)=0,"",$K27*data2!AB2)</f>
        <v/>
      </c>
      <c r="AQ27" s="22" t="str">
        <f>IF(AQ$2*$O27*COUNT(data2!AC2)=0,"",$K27*data2!AC2)</f>
        <v/>
      </c>
      <c r="AR27" s="22" t="str">
        <f>IF(AR$2*$O27*COUNT(data2!AD2)=0,"",$K27*data2!AD2)</f>
        <v/>
      </c>
      <c r="AS27" s="22" t="str">
        <f>IF(AS$2*$O27*COUNT(data2!AE2)=0,"",$K27*data2!AE2)</f>
        <v/>
      </c>
      <c r="AT27" s="22" t="str">
        <f>IF(AT$2*$O27*COUNT(data2!AF2)=0,"",$K27*data2!AF2)</f>
        <v/>
      </c>
      <c r="AU27" s="22" t="str">
        <f>IF(AU$2*$O27*COUNT(data2!AG2)=0,"",$K27*data2!AG2)</f>
        <v/>
      </c>
    </row>
    <row r="28" spans="1:47">
      <c r="A28" s="191"/>
      <c r="B28" s="191"/>
      <c r="C28" t="str">
        <f t="shared" ref="C28:C37" si="33">C16</f>
        <v>Range1</v>
      </c>
      <c r="D28" s="22" t="str">
        <f t="shared" si="29"/>
        <v/>
      </c>
      <c r="E28" s="22" t="str">
        <f t="shared" ref="E28:E30" si="34">IF(COUNT(P28:AU28)=0,"",AVERAGE(P28:AU28))</f>
        <v/>
      </c>
      <c r="F28" s="22" t="str">
        <f t="shared" si="30"/>
        <v/>
      </c>
      <c r="G28" s="22" t="str">
        <f t="shared" ref="G28:G30" si="35">IF(COUNT(P28:AU28)=0,"",STDEV(P28:AU28))</f>
        <v/>
      </c>
      <c r="I28" s="49">
        <f>I27</f>
        <v>1</v>
      </c>
      <c r="J28" s="49">
        <f t="shared" ref="J28:J37" si="36">J16+1</f>
        <v>4</v>
      </c>
      <c r="K28" s="146">
        <f t="shared" si="31"/>
        <v>21.881838074398249</v>
      </c>
      <c r="L28" s="123">
        <f t="shared" ref="L28:L37" si="37">L27+1</f>
        <v>24</v>
      </c>
      <c r="M28" s="130">
        <f t="shared" si="32"/>
        <v>1</v>
      </c>
      <c r="N28" s="108">
        <v>1</v>
      </c>
      <c r="O28" s="110">
        <f t="shared" ref="O28:O37" si="38">M28*N28</f>
        <v>1</v>
      </c>
      <c r="P28" s="22" t="str">
        <f>IF(P$2*$O28*COUNT(data2!B3)=0,"",$K28*data2!B3)</f>
        <v/>
      </c>
      <c r="Q28" s="22" t="str">
        <f>IF(Q$2*$O28*COUNT(data2!C3)=0,"",$K28*data2!C3)</f>
        <v/>
      </c>
      <c r="R28" s="22" t="str">
        <f>IF(R$2*$O28*COUNT(data2!D3)=0,"",$K28*data2!D3)</f>
        <v/>
      </c>
      <c r="S28" s="22" t="str">
        <f>IF(S$2*$O28*COUNT(data2!E3)=0,"",$K28*data2!E3)</f>
        <v/>
      </c>
      <c r="T28" s="22" t="str">
        <f>IF(T$2*$O28*COUNT(data2!F3)=0,"",$K28*data2!F3)</f>
        <v/>
      </c>
      <c r="U28" s="22" t="str">
        <f>IF(U$2*$O28*COUNT(data2!G3)=0,"",$K28*data2!G3)</f>
        <v/>
      </c>
      <c r="V28" s="22" t="str">
        <f>IF(V$2*$O28*COUNT(data2!H3)=0,"",$K28*data2!H3)</f>
        <v/>
      </c>
      <c r="W28" s="22" t="str">
        <f>IF(W$2*$O28*COUNT(data2!I3)=0,"",$K28*data2!I3)</f>
        <v/>
      </c>
      <c r="X28" s="22" t="str">
        <f>IF(X$2*$O28*COUNT(data2!J3)=0,"",$K28*data2!J3)</f>
        <v/>
      </c>
      <c r="Y28" s="22" t="str">
        <f>IF(Y$2*$O28*COUNT(data2!K3)=0,"",$K28*data2!K3)</f>
        <v/>
      </c>
      <c r="Z28" s="22" t="str">
        <f>IF(Z$2*$O28*COUNT(data2!L3)=0,"",$K28*data2!L3)</f>
        <v/>
      </c>
      <c r="AA28" s="22" t="str">
        <f>IF(AA$2*$O28*COUNT(data2!M3)=0,"",$K28*data2!M3)</f>
        <v/>
      </c>
      <c r="AB28" s="22" t="str">
        <f>IF(AB$2*$O28*COUNT(data2!N3)=0,"",$K28*data2!N3)</f>
        <v/>
      </c>
      <c r="AC28" s="22" t="str">
        <f>IF(AC$2*$O28*COUNT(data2!O3)=0,"",$K28*data2!O3)</f>
        <v/>
      </c>
      <c r="AD28" s="22" t="str">
        <f>IF(AD$2*$O28*COUNT(data2!P3)=0,"",$K28*data2!P3)</f>
        <v/>
      </c>
      <c r="AE28" s="22" t="str">
        <f>IF(AE$2*$O28*COUNT(data2!Q3)=0,"",$K28*data2!Q3)</f>
        <v/>
      </c>
      <c r="AF28" s="22" t="str">
        <f>IF(AF$2*$O28*COUNT(data2!R3)=0,"",$K28*data2!R3)</f>
        <v/>
      </c>
      <c r="AG28" s="22" t="str">
        <f>IF(AG$2*$O28*COUNT(data2!S3)=0,"",$K28*data2!S3)</f>
        <v/>
      </c>
      <c r="AH28" s="22" t="str">
        <f>IF(AH$2*$O28*COUNT(data2!T3)=0,"",$K28*data2!T3)</f>
        <v/>
      </c>
      <c r="AI28" s="22" t="str">
        <f>IF(AI$2*$O28*COUNT(data2!U3)=0,"",$K28*data2!U3)</f>
        <v/>
      </c>
      <c r="AJ28" s="22" t="str">
        <f>IF(AJ$2*$O28*COUNT(data2!V3)=0,"",$K28*data2!V3)</f>
        <v/>
      </c>
      <c r="AK28" s="22" t="str">
        <f>IF(AK$2*$O28*COUNT(data2!W3)=0,"",$K28*data2!W3)</f>
        <v/>
      </c>
      <c r="AL28" s="22" t="str">
        <f>IF(AL$2*$O28*COUNT(data2!X3)=0,"",$K28*data2!X3)</f>
        <v/>
      </c>
      <c r="AM28" s="22" t="str">
        <f>IF(AM$2*$O28*COUNT(data2!Y3)=0,"",$K28*data2!Y3)</f>
        <v/>
      </c>
      <c r="AN28" s="22" t="str">
        <f>IF(AN$2*$O28*COUNT(data2!Z3)=0,"",$K28*data2!Z3)</f>
        <v/>
      </c>
      <c r="AO28" s="22" t="str">
        <f>IF(AO$2*$O28*COUNT(data2!AA3)=0,"",$K28*data2!AA3)</f>
        <v/>
      </c>
      <c r="AP28" s="22" t="str">
        <f>IF(AP$2*$O28*COUNT(data2!AB3)=0,"",$K28*data2!AB3)</f>
        <v/>
      </c>
      <c r="AQ28" s="22" t="str">
        <f>IF(AQ$2*$O28*COUNT(data2!AC3)=0,"",$K28*data2!AC3)</f>
        <v/>
      </c>
      <c r="AR28" s="22" t="str">
        <f>IF(AR$2*$O28*COUNT(data2!AD3)=0,"",$K28*data2!AD3)</f>
        <v/>
      </c>
      <c r="AS28" s="22" t="str">
        <f>IF(AS$2*$O28*COUNT(data2!AE3)=0,"",$K28*data2!AE3)</f>
        <v/>
      </c>
      <c r="AT28" s="22" t="str">
        <f>IF(AT$2*$O28*COUNT(data2!AF3)=0,"",$K28*data2!AF3)</f>
        <v/>
      </c>
      <c r="AU28" s="22" t="str">
        <f>IF(AU$2*$O28*COUNT(data2!AG3)=0,"",$K28*data2!AG3)</f>
        <v/>
      </c>
    </row>
    <row r="29" spans="1:47">
      <c r="A29" s="191"/>
      <c r="B29" s="191"/>
      <c r="C29" t="str">
        <f t="shared" si="33"/>
        <v>Range2</v>
      </c>
      <c r="D29" s="22" t="str">
        <f t="shared" si="29"/>
        <v/>
      </c>
      <c r="E29" s="22" t="str">
        <f t="shared" si="34"/>
        <v/>
      </c>
      <c r="F29" s="22" t="str">
        <f t="shared" si="30"/>
        <v/>
      </c>
      <c r="G29" s="22" t="str">
        <f t="shared" si="35"/>
        <v/>
      </c>
      <c r="I29" s="49">
        <f t="shared" ref="I29:I31" si="39">I28</f>
        <v>1</v>
      </c>
      <c r="J29" s="49">
        <f t="shared" si="36"/>
        <v>4</v>
      </c>
      <c r="K29" s="146">
        <f t="shared" si="31"/>
        <v>21.881838074398249</v>
      </c>
      <c r="L29" s="123">
        <f t="shared" si="37"/>
        <v>25</v>
      </c>
      <c r="M29" s="130">
        <f t="shared" si="32"/>
        <v>1</v>
      </c>
      <c r="N29" s="108">
        <v>1</v>
      </c>
      <c r="O29" s="110">
        <f t="shared" si="38"/>
        <v>1</v>
      </c>
      <c r="P29" s="22" t="str">
        <f>IF(P$2*$O29*COUNT(data2!B4)=0,"",$K29*data2!B4)</f>
        <v/>
      </c>
      <c r="Q29" s="22" t="str">
        <f>IF(Q$2*$O29*COUNT(data2!C4)=0,"",$K29*data2!C4)</f>
        <v/>
      </c>
      <c r="R29" s="22" t="str">
        <f>IF(R$2*$O29*COUNT(data2!D4)=0,"",$K29*data2!D4)</f>
        <v/>
      </c>
      <c r="S29" s="22" t="str">
        <f>IF(S$2*$O29*COUNT(data2!E4)=0,"",$K29*data2!E4)</f>
        <v/>
      </c>
      <c r="T29" s="22" t="str">
        <f>IF(T$2*$O29*COUNT(data2!F4)=0,"",$K29*data2!F4)</f>
        <v/>
      </c>
      <c r="U29" s="22" t="str">
        <f>IF(U$2*$O29*COUNT(data2!G4)=0,"",$K29*data2!G4)</f>
        <v/>
      </c>
      <c r="V29" s="22" t="str">
        <f>IF(V$2*$O29*COUNT(data2!H4)=0,"",$K29*data2!H4)</f>
        <v/>
      </c>
      <c r="W29" s="22" t="str">
        <f>IF(W$2*$O29*COUNT(data2!I4)=0,"",$K29*data2!I4)</f>
        <v/>
      </c>
      <c r="X29" s="22" t="str">
        <f>IF(X$2*$O29*COUNT(data2!J4)=0,"",$K29*data2!J4)</f>
        <v/>
      </c>
      <c r="Y29" s="22" t="str">
        <f>IF(Y$2*$O29*COUNT(data2!K4)=0,"",$K29*data2!K4)</f>
        <v/>
      </c>
      <c r="Z29" s="22" t="str">
        <f>IF(Z$2*$O29*COUNT(data2!L4)=0,"",$K29*data2!L4)</f>
        <v/>
      </c>
      <c r="AA29" s="22" t="str">
        <f>IF(AA$2*$O29*COUNT(data2!M4)=0,"",$K29*data2!M4)</f>
        <v/>
      </c>
      <c r="AB29" s="22" t="str">
        <f>IF(AB$2*$O29*COUNT(data2!N4)=0,"",$K29*data2!N4)</f>
        <v/>
      </c>
      <c r="AC29" s="22" t="str">
        <f>IF(AC$2*$O29*COUNT(data2!O4)=0,"",$K29*data2!O4)</f>
        <v/>
      </c>
      <c r="AD29" s="22" t="str">
        <f>IF(AD$2*$O29*COUNT(data2!P4)=0,"",$K29*data2!P4)</f>
        <v/>
      </c>
      <c r="AE29" s="22" t="str">
        <f>IF(AE$2*$O29*COUNT(data2!Q4)=0,"",$K29*data2!Q4)</f>
        <v/>
      </c>
      <c r="AF29" s="22" t="str">
        <f>IF(AF$2*$O29*COUNT(data2!R4)=0,"",$K29*data2!R4)</f>
        <v/>
      </c>
      <c r="AG29" s="22" t="str">
        <f>IF(AG$2*$O29*COUNT(data2!S4)=0,"",$K29*data2!S4)</f>
        <v/>
      </c>
      <c r="AH29" s="22" t="str">
        <f>IF(AH$2*$O29*COUNT(data2!T4)=0,"",$K29*data2!T4)</f>
        <v/>
      </c>
      <c r="AI29" s="22" t="str">
        <f>IF(AI$2*$O29*COUNT(data2!U4)=0,"",$K29*data2!U4)</f>
        <v/>
      </c>
      <c r="AJ29" s="22" t="str">
        <f>IF(AJ$2*$O29*COUNT(data2!V4)=0,"",$K29*data2!V4)</f>
        <v/>
      </c>
      <c r="AK29" s="22" t="str">
        <f>IF(AK$2*$O29*COUNT(data2!W4)=0,"",$K29*data2!W4)</f>
        <v/>
      </c>
      <c r="AL29" s="22" t="str">
        <f>IF(AL$2*$O29*COUNT(data2!X4)=0,"",$K29*data2!X4)</f>
        <v/>
      </c>
      <c r="AM29" s="22" t="str">
        <f>IF(AM$2*$O29*COUNT(data2!Y4)=0,"",$K29*data2!Y4)</f>
        <v/>
      </c>
      <c r="AN29" s="22" t="str">
        <f>IF(AN$2*$O29*COUNT(data2!Z4)=0,"",$K29*data2!Z4)</f>
        <v/>
      </c>
      <c r="AO29" s="22" t="str">
        <f>IF(AO$2*$O29*COUNT(data2!AA4)=0,"",$K29*data2!AA4)</f>
        <v/>
      </c>
      <c r="AP29" s="22" t="str">
        <f>IF(AP$2*$O29*COUNT(data2!AB4)=0,"",$K29*data2!AB4)</f>
        <v/>
      </c>
      <c r="AQ29" s="22" t="str">
        <f>IF(AQ$2*$O29*COUNT(data2!AC4)=0,"",$K29*data2!AC4)</f>
        <v/>
      </c>
      <c r="AR29" s="22" t="str">
        <f>IF(AR$2*$O29*COUNT(data2!AD4)=0,"",$K29*data2!AD4)</f>
        <v/>
      </c>
      <c r="AS29" s="22" t="str">
        <f>IF(AS$2*$O29*COUNT(data2!AE4)=0,"",$K29*data2!AE4)</f>
        <v/>
      </c>
      <c r="AT29" s="22" t="str">
        <f>IF(AT$2*$O29*COUNT(data2!AF4)=0,"",$K29*data2!AF4)</f>
        <v/>
      </c>
      <c r="AU29" s="22" t="str">
        <f>IF(AU$2*$O29*COUNT(data2!AG4)=0,"",$K29*data2!AG4)</f>
        <v/>
      </c>
    </row>
    <row r="30" spans="1:47">
      <c r="A30" s="191"/>
      <c r="B30" s="191"/>
      <c r="C30" t="str">
        <f t="shared" si="33"/>
        <v>Range3</v>
      </c>
      <c r="D30" s="22" t="str">
        <f t="shared" si="29"/>
        <v/>
      </c>
      <c r="E30" s="22" t="str">
        <f t="shared" si="34"/>
        <v/>
      </c>
      <c r="F30" s="22" t="str">
        <f t="shared" si="30"/>
        <v/>
      </c>
      <c r="G30" s="22" t="str">
        <f t="shared" si="35"/>
        <v/>
      </c>
      <c r="I30" s="49">
        <f t="shared" si="39"/>
        <v>1</v>
      </c>
      <c r="J30" s="49">
        <f t="shared" si="36"/>
        <v>4</v>
      </c>
      <c r="K30" s="146">
        <f t="shared" si="31"/>
        <v>21.881838074398249</v>
      </c>
      <c r="L30" s="123">
        <f t="shared" si="37"/>
        <v>26</v>
      </c>
      <c r="M30" s="130">
        <f t="shared" si="32"/>
        <v>1</v>
      </c>
      <c r="N30" s="108">
        <v>1</v>
      </c>
      <c r="O30" s="110">
        <f t="shared" si="38"/>
        <v>1</v>
      </c>
      <c r="P30" s="22" t="str">
        <f>IF(P$2*$O30*COUNT(data2!B5)=0,"",$K30*data2!B5)</f>
        <v/>
      </c>
      <c r="Q30" s="22" t="str">
        <f>IF(Q$2*$O30*COUNT(data2!C5)=0,"",$K30*data2!C5)</f>
        <v/>
      </c>
      <c r="R30" s="22" t="str">
        <f>IF(R$2*$O30*COUNT(data2!D5)=0,"",$K30*data2!D5)</f>
        <v/>
      </c>
      <c r="S30" s="22" t="str">
        <f>IF(S$2*$O30*COUNT(data2!E5)=0,"",$K30*data2!E5)</f>
        <v/>
      </c>
      <c r="T30" s="22" t="str">
        <f>IF(T$2*$O30*COUNT(data2!F5)=0,"",$K30*data2!F5)</f>
        <v/>
      </c>
      <c r="U30" s="22" t="str">
        <f>IF(U$2*$O30*COUNT(data2!G5)=0,"",$K30*data2!G5)</f>
        <v/>
      </c>
      <c r="V30" s="22" t="str">
        <f>IF(V$2*$O30*COUNT(data2!H5)=0,"",$K30*data2!H5)</f>
        <v/>
      </c>
      <c r="W30" s="22" t="str">
        <f>IF(W$2*$O30*COUNT(data2!I5)=0,"",$K30*data2!I5)</f>
        <v/>
      </c>
      <c r="X30" s="22" t="str">
        <f>IF(X$2*$O30*COUNT(data2!J5)=0,"",$K30*data2!J5)</f>
        <v/>
      </c>
      <c r="Y30" s="22" t="str">
        <f>IF(Y$2*$O30*COUNT(data2!K5)=0,"",$K30*data2!K5)</f>
        <v/>
      </c>
      <c r="Z30" s="22" t="str">
        <f>IF(Z$2*$O30*COUNT(data2!L5)=0,"",$K30*data2!L5)</f>
        <v/>
      </c>
      <c r="AA30" s="22" t="str">
        <f>IF(AA$2*$O30*COUNT(data2!M5)=0,"",$K30*data2!M5)</f>
        <v/>
      </c>
      <c r="AB30" s="22" t="str">
        <f>IF(AB$2*$O30*COUNT(data2!N5)=0,"",$K30*data2!N5)</f>
        <v/>
      </c>
      <c r="AC30" s="22" t="str">
        <f>IF(AC$2*$O30*COUNT(data2!O5)=0,"",$K30*data2!O5)</f>
        <v/>
      </c>
      <c r="AD30" s="22" t="str">
        <f>IF(AD$2*$O30*COUNT(data2!P5)=0,"",$K30*data2!P5)</f>
        <v/>
      </c>
      <c r="AE30" s="22" t="str">
        <f>IF(AE$2*$O30*COUNT(data2!Q5)=0,"",$K30*data2!Q5)</f>
        <v/>
      </c>
      <c r="AF30" s="22" t="str">
        <f>IF(AF$2*$O30*COUNT(data2!R5)=0,"",$K30*data2!R5)</f>
        <v/>
      </c>
      <c r="AG30" s="22" t="str">
        <f>IF(AG$2*$O30*COUNT(data2!S5)=0,"",$K30*data2!S5)</f>
        <v/>
      </c>
      <c r="AH30" s="22" t="str">
        <f>IF(AH$2*$O30*COUNT(data2!T5)=0,"",$K30*data2!T5)</f>
        <v/>
      </c>
      <c r="AI30" s="22" t="str">
        <f>IF(AI$2*$O30*COUNT(data2!U5)=0,"",$K30*data2!U5)</f>
        <v/>
      </c>
      <c r="AJ30" s="22" t="str">
        <f>IF(AJ$2*$O30*COUNT(data2!V5)=0,"",$K30*data2!V5)</f>
        <v/>
      </c>
      <c r="AK30" s="22" t="str">
        <f>IF(AK$2*$O30*COUNT(data2!W5)=0,"",$K30*data2!W5)</f>
        <v/>
      </c>
      <c r="AL30" s="22" t="str">
        <f>IF(AL$2*$O30*COUNT(data2!X5)=0,"",$K30*data2!X5)</f>
        <v/>
      </c>
      <c r="AM30" s="22" t="str">
        <f>IF(AM$2*$O30*COUNT(data2!Y5)=0,"",$K30*data2!Y5)</f>
        <v/>
      </c>
      <c r="AN30" s="22" t="str">
        <f>IF(AN$2*$O30*COUNT(data2!Z5)=0,"",$K30*data2!Z5)</f>
        <v/>
      </c>
      <c r="AO30" s="22" t="str">
        <f>IF(AO$2*$O30*COUNT(data2!AA5)=0,"",$K30*data2!AA5)</f>
        <v/>
      </c>
      <c r="AP30" s="22" t="str">
        <f>IF(AP$2*$O30*COUNT(data2!AB5)=0,"",$K30*data2!AB5)</f>
        <v/>
      </c>
      <c r="AQ30" s="22" t="str">
        <f>IF(AQ$2*$O30*COUNT(data2!AC5)=0,"",$K30*data2!AC5)</f>
        <v/>
      </c>
      <c r="AR30" s="22" t="str">
        <f>IF(AR$2*$O30*COUNT(data2!AD5)=0,"",$K30*data2!AD5)</f>
        <v/>
      </c>
      <c r="AS30" s="22" t="str">
        <f>IF(AS$2*$O30*COUNT(data2!AE5)=0,"",$K30*data2!AE5)</f>
        <v/>
      </c>
      <c r="AT30" s="22" t="str">
        <f>IF(AT$2*$O30*COUNT(data2!AF5)=0,"",$K30*data2!AF5)</f>
        <v/>
      </c>
      <c r="AU30" s="22" t="str">
        <f>IF(AU$2*$O30*COUNT(data2!AG5)=0,"",$K30*data2!AG5)</f>
        <v/>
      </c>
    </row>
    <row r="31" spans="1:47">
      <c r="A31" s="191"/>
      <c r="B31" s="191"/>
      <c r="C31" t="str">
        <f t="shared" si="33"/>
        <v>%IR</v>
      </c>
      <c r="D31" s="47" t="str">
        <f t="shared" si="29"/>
        <v/>
      </c>
      <c r="E31" s="47" t="str">
        <f>IF(COUNT(P31:AU31)=0,"",AVERAGE(P31:AU31))</f>
        <v/>
      </c>
      <c r="F31" s="47" t="str">
        <f t="shared" si="30"/>
        <v/>
      </c>
      <c r="G31" s="47" t="str">
        <f>IF(COUNT(P31:AU31)=0,"",STDEV(P31:AU31))</f>
        <v/>
      </c>
      <c r="I31" s="49">
        <f t="shared" si="39"/>
        <v>1</v>
      </c>
      <c r="J31" s="49">
        <f t="shared" si="36"/>
        <v>4</v>
      </c>
      <c r="K31" s="146">
        <f t="shared" si="31"/>
        <v>21.881838074398249</v>
      </c>
      <c r="L31" s="123">
        <f t="shared" si="37"/>
        <v>27</v>
      </c>
      <c r="M31" s="130">
        <f t="shared" si="32"/>
        <v>1</v>
      </c>
      <c r="N31" s="108">
        <v>1</v>
      </c>
      <c r="O31" s="110">
        <f t="shared" si="38"/>
        <v>1</v>
      </c>
      <c r="P31" s="47" t="str">
        <f>IF(P$2*$O31*COUNT(data2!B6)=0,"",$K31*data2!B6)</f>
        <v/>
      </c>
      <c r="Q31" s="47" t="str">
        <f>IF(Q$2*$O31*COUNT(data2!C6)=0,"",$K31*data2!C6)</f>
        <v/>
      </c>
      <c r="R31" s="47" t="str">
        <f>IF(R$2*$O31*COUNT(data2!D6)=0,"",$K31*data2!D6)</f>
        <v/>
      </c>
      <c r="S31" s="47" t="str">
        <f>IF(S$2*$O31*COUNT(data2!E6)=0,"",$K31*data2!E6)</f>
        <v/>
      </c>
      <c r="T31" s="47" t="str">
        <f>IF(T$2*$O31*COUNT(data2!F6)=0,"",$K31*data2!F6)</f>
        <v/>
      </c>
      <c r="U31" s="47" t="str">
        <f>IF(U$2*$O31*COUNT(data2!G6)=0,"",$K31*data2!G6)</f>
        <v/>
      </c>
      <c r="V31" s="47" t="str">
        <f>IF(V$2*$O31*COUNT(data2!H6)=0,"",$K31*data2!H6)</f>
        <v/>
      </c>
      <c r="W31" s="47" t="str">
        <f>IF(W$2*$O31*COUNT(data2!I6)=0,"",$K31*data2!I6)</f>
        <v/>
      </c>
      <c r="X31" s="47" t="str">
        <f>IF(X$2*$O31*COUNT(data2!J6)=0,"",$K31*data2!J6)</f>
        <v/>
      </c>
      <c r="Y31" s="47" t="str">
        <f>IF(Y$2*$O31*COUNT(data2!K6)=0,"",$K31*data2!K6)</f>
        <v/>
      </c>
      <c r="Z31" s="47" t="str">
        <f>IF(Z$2*$O31*COUNT(data2!L6)=0,"",$K31*data2!L6)</f>
        <v/>
      </c>
      <c r="AA31" s="47" t="str">
        <f>IF(AA$2*$O31*COUNT(data2!M6)=0,"",$K31*data2!M6)</f>
        <v/>
      </c>
      <c r="AB31" s="47" t="str">
        <f>IF(AB$2*$O31*COUNT(data2!N6)=0,"",$K31*data2!N6)</f>
        <v/>
      </c>
      <c r="AC31" s="47" t="str">
        <f>IF(AC$2*$O31*COUNT(data2!O6)=0,"",$K31*data2!O6)</f>
        <v/>
      </c>
      <c r="AD31" s="47" t="str">
        <f>IF(AD$2*$O31*COUNT(data2!P6)=0,"",$K31*data2!P6)</f>
        <v/>
      </c>
      <c r="AE31" s="47" t="str">
        <f>IF(AE$2*$O31*COUNT(data2!Q6)=0,"",$K31*data2!Q6)</f>
        <v/>
      </c>
      <c r="AF31" s="47" t="str">
        <f>IF(AF$2*$O31*COUNT(data2!R6)=0,"",$K31*data2!R6)</f>
        <v/>
      </c>
      <c r="AG31" s="47" t="str">
        <f>IF(AG$2*$O31*COUNT(data2!S6)=0,"",$K31*data2!S6)</f>
        <v/>
      </c>
      <c r="AH31" s="47" t="str">
        <f>IF(AH$2*$O31*COUNT(data2!T6)=0,"",$K31*data2!T6)</f>
        <v/>
      </c>
      <c r="AI31" s="47" t="str">
        <f>IF(AI$2*$O31*COUNT(data2!U6)=0,"",$K31*data2!U6)</f>
        <v/>
      </c>
      <c r="AJ31" s="47" t="str">
        <f>IF(AJ$2*$O31*COUNT(data2!V6)=0,"",$K31*data2!V6)</f>
        <v/>
      </c>
      <c r="AK31" s="47" t="str">
        <f>IF(AK$2*$O31*COUNT(data2!W6)=0,"",$K31*data2!W6)</f>
        <v/>
      </c>
      <c r="AL31" s="47" t="str">
        <f>IF(AL$2*$O31*COUNT(data2!X6)=0,"",$K31*data2!X6)</f>
        <v/>
      </c>
      <c r="AM31" s="47" t="str">
        <f>IF(AM$2*$O31*COUNT(data2!Y6)=0,"",$K31*data2!Y6)</f>
        <v/>
      </c>
      <c r="AN31" s="47" t="str">
        <f>IF(AN$2*$O31*COUNT(data2!Z6)=0,"",$K31*data2!Z6)</f>
        <v/>
      </c>
      <c r="AO31" s="47" t="str">
        <f>IF(AO$2*$O31*COUNT(data2!AA6)=0,"",$K31*data2!AA6)</f>
        <v/>
      </c>
      <c r="AP31" s="47" t="str">
        <f>IF(AP$2*$O31*COUNT(data2!AB6)=0,"",$K31*data2!AB6)</f>
        <v/>
      </c>
      <c r="AQ31" s="47" t="str">
        <f>IF(AQ$2*$O31*COUNT(data2!AC6)=0,"",$K31*data2!AC6)</f>
        <v/>
      </c>
      <c r="AR31" s="47" t="str">
        <f>IF(AR$2*$O31*COUNT(data2!AD6)=0,"",$K31*data2!AD6)</f>
        <v/>
      </c>
      <c r="AS31" s="47" t="str">
        <f>IF(AS$2*$O31*COUNT(data2!AE6)=0,"",$K31*data2!AE6)</f>
        <v/>
      </c>
      <c r="AT31" s="47" t="str">
        <f>IF(AT$2*$O31*COUNT(data2!AF6)=0,"",$K31*data2!AF6)</f>
        <v/>
      </c>
      <c r="AU31" s="47" t="str">
        <f>IF(AU$2*$O31*COUNT(data2!AG6)=0,"",$K31*data2!AG6)</f>
        <v/>
      </c>
    </row>
    <row r="32" spans="1:47">
      <c r="A32" s="191"/>
      <c r="B32" s="191" t="str">
        <f>B20</f>
        <v>P1</v>
      </c>
      <c r="C32" t="str">
        <f t="shared" si="33"/>
        <v>Range1-1</v>
      </c>
      <c r="D32" s="22" t="str">
        <f t="shared" si="29"/>
        <v/>
      </c>
      <c r="E32" s="22" t="str">
        <f t="shared" ref="E32:E37" si="40">IF(COUNT(P32:AU32)=0,"",AVERAGE(P32:AU32))</f>
        <v/>
      </c>
      <c r="F32" s="22" t="str">
        <f t="shared" si="30"/>
        <v/>
      </c>
      <c r="G32" s="22" t="str">
        <f t="shared" ref="G32:G37" si="41">IF(COUNT(P32:AU32)=0,"",STDEV(P32:AU32))</f>
        <v/>
      </c>
      <c r="I32" s="49">
        <f>I31+1</f>
        <v>2</v>
      </c>
      <c r="J32" s="49">
        <f t="shared" si="36"/>
        <v>4</v>
      </c>
      <c r="K32" s="146">
        <f t="shared" si="31"/>
        <v>41.237113402061858</v>
      </c>
      <c r="L32" s="123">
        <f t="shared" si="37"/>
        <v>28</v>
      </c>
      <c r="M32" s="130">
        <f t="shared" si="32"/>
        <v>1</v>
      </c>
      <c r="N32" s="108">
        <v>1</v>
      </c>
      <c r="O32" s="110">
        <f t="shared" si="38"/>
        <v>1</v>
      </c>
      <c r="P32" s="22" t="str">
        <f>IF(P$2*$O32*COUNT(data2!B7)=0,"",$K32*data2!B7)</f>
        <v/>
      </c>
      <c r="Q32" s="22" t="str">
        <f>IF(Q$2*$O32*COUNT(data2!C7)=0,"",$K32*data2!C7)</f>
        <v/>
      </c>
      <c r="R32" s="22" t="str">
        <f>IF(R$2*$O32*COUNT(data2!D7)=0,"",$K32*data2!D7)</f>
        <v/>
      </c>
      <c r="S32" s="22" t="str">
        <f>IF(S$2*$O32*COUNT(data2!E7)=0,"",$K32*data2!E7)</f>
        <v/>
      </c>
      <c r="T32" s="22" t="str">
        <f>IF(T$2*$O32*COUNT(data2!F7)=0,"",$K32*data2!F7)</f>
        <v/>
      </c>
      <c r="U32" s="22" t="str">
        <f>IF(U$2*$O32*COUNT(data2!G7)=0,"",$K32*data2!G7)</f>
        <v/>
      </c>
      <c r="V32" s="22" t="str">
        <f>IF(V$2*$O32*COUNT(data2!H7)=0,"",$K32*data2!H7)</f>
        <v/>
      </c>
      <c r="W32" s="22" t="str">
        <f>IF(W$2*$O32*COUNT(data2!I7)=0,"",$K32*data2!I7)</f>
        <v/>
      </c>
      <c r="X32" s="22" t="str">
        <f>IF(X$2*$O32*COUNT(data2!J7)=0,"",$K32*data2!J7)</f>
        <v/>
      </c>
      <c r="Y32" s="22" t="str">
        <f>IF(Y$2*$O32*COUNT(data2!K7)=0,"",$K32*data2!K7)</f>
        <v/>
      </c>
      <c r="Z32" s="22" t="str">
        <f>IF(Z$2*$O32*COUNT(data2!L7)=0,"",$K32*data2!L7)</f>
        <v/>
      </c>
      <c r="AA32" s="22" t="str">
        <f>IF(AA$2*$O32*COUNT(data2!M7)=0,"",$K32*data2!M7)</f>
        <v/>
      </c>
      <c r="AB32" s="22" t="str">
        <f>IF(AB$2*$O32*COUNT(data2!N7)=0,"",$K32*data2!N7)</f>
        <v/>
      </c>
      <c r="AC32" s="22" t="str">
        <f>IF(AC$2*$O32*COUNT(data2!O7)=0,"",$K32*data2!O7)</f>
        <v/>
      </c>
      <c r="AD32" s="22" t="str">
        <f>IF(AD$2*$O32*COUNT(data2!P7)=0,"",$K32*data2!P7)</f>
        <v/>
      </c>
      <c r="AE32" s="22" t="str">
        <f>IF(AE$2*$O32*COUNT(data2!Q7)=0,"",$K32*data2!Q7)</f>
        <v/>
      </c>
      <c r="AF32" s="22" t="str">
        <f>IF(AF$2*$O32*COUNT(data2!R7)=0,"",$K32*data2!R7)</f>
        <v/>
      </c>
      <c r="AG32" s="22" t="str">
        <f>IF(AG$2*$O32*COUNT(data2!S7)=0,"",$K32*data2!S7)</f>
        <v/>
      </c>
      <c r="AH32" s="22" t="str">
        <f>IF(AH$2*$O32*COUNT(data2!T7)=0,"",$K32*data2!T7)</f>
        <v/>
      </c>
      <c r="AI32" s="22" t="str">
        <f>IF(AI$2*$O32*COUNT(data2!U7)=0,"",$K32*data2!U7)</f>
        <v/>
      </c>
      <c r="AJ32" s="22" t="str">
        <f>IF(AJ$2*$O32*COUNT(data2!V7)=0,"",$K32*data2!V7)</f>
        <v/>
      </c>
      <c r="AK32" s="22" t="str">
        <f>IF(AK$2*$O32*COUNT(data2!W7)=0,"",$K32*data2!W7)</f>
        <v/>
      </c>
      <c r="AL32" s="22" t="str">
        <f>IF(AL$2*$O32*COUNT(data2!X7)=0,"",$K32*data2!X7)</f>
        <v/>
      </c>
      <c r="AM32" s="22" t="str">
        <f>IF(AM$2*$O32*COUNT(data2!Y7)=0,"",$K32*data2!Y7)</f>
        <v/>
      </c>
      <c r="AN32" s="22" t="str">
        <f>IF(AN$2*$O32*COUNT(data2!Z7)=0,"",$K32*data2!Z7)</f>
        <v/>
      </c>
      <c r="AO32" s="22" t="str">
        <f>IF(AO$2*$O32*COUNT(data2!AA7)=0,"",$K32*data2!AA7)</f>
        <v/>
      </c>
      <c r="AP32" s="22" t="str">
        <f>IF(AP$2*$O32*COUNT(data2!AB7)=0,"",$K32*data2!AB7)</f>
        <v/>
      </c>
      <c r="AQ32" s="22" t="str">
        <f>IF(AQ$2*$O32*COUNT(data2!AC7)=0,"",$K32*data2!AC7)</f>
        <v/>
      </c>
      <c r="AR32" s="22" t="str">
        <f>IF(AR$2*$O32*COUNT(data2!AD7)=0,"",$K32*data2!AD7)</f>
        <v/>
      </c>
      <c r="AS32" s="22" t="str">
        <f>IF(AS$2*$O32*COUNT(data2!AE7)=0,"",$K32*data2!AE7)</f>
        <v/>
      </c>
      <c r="AT32" s="22" t="str">
        <f>IF(AT$2*$O32*COUNT(data2!AF7)=0,"",$K32*data2!AF7)</f>
        <v/>
      </c>
      <c r="AU32" s="22" t="str">
        <f>IF(AU$2*$O32*COUNT(data2!AG7)=0,"",$K32*data2!AG7)</f>
        <v/>
      </c>
    </row>
    <row r="33" spans="1:47">
      <c r="A33" s="191"/>
      <c r="B33" s="191"/>
      <c r="C33" t="str">
        <f t="shared" si="33"/>
        <v>Range2-1</v>
      </c>
      <c r="D33" s="22" t="str">
        <f t="shared" si="29"/>
        <v/>
      </c>
      <c r="E33" s="22" t="str">
        <f t="shared" si="40"/>
        <v/>
      </c>
      <c r="F33" s="22" t="str">
        <f t="shared" si="30"/>
        <v/>
      </c>
      <c r="G33" s="22" t="str">
        <f t="shared" si="41"/>
        <v/>
      </c>
      <c r="I33" s="49">
        <f>I32</f>
        <v>2</v>
      </c>
      <c r="J33" s="49">
        <f t="shared" si="36"/>
        <v>4</v>
      </c>
      <c r="K33" s="146">
        <f t="shared" si="31"/>
        <v>41.237113402061858</v>
      </c>
      <c r="L33" s="123">
        <f t="shared" si="37"/>
        <v>29</v>
      </c>
      <c r="M33" s="130">
        <f t="shared" si="32"/>
        <v>1</v>
      </c>
      <c r="N33" s="108">
        <v>1</v>
      </c>
      <c r="O33" s="110">
        <f t="shared" si="38"/>
        <v>1</v>
      </c>
      <c r="P33" s="22" t="str">
        <f>IF(P$2*$O33*COUNT(data2!B8)=0,"",$K33*data2!B8)</f>
        <v/>
      </c>
      <c r="Q33" s="22" t="str">
        <f>IF(Q$2*$O33*COUNT(data2!C8)=0,"",$K33*data2!C8)</f>
        <v/>
      </c>
      <c r="R33" s="22" t="str">
        <f>IF(R$2*$O33*COUNT(data2!D8)=0,"",$K33*data2!D8)</f>
        <v/>
      </c>
      <c r="S33" s="22" t="str">
        <f>IF(S$2*$O33*COUNT(data2!E8)=0,"",$K33*data2!E8)</f>
        <v/>
      </c>
      <c r="T33" s="22" t="str">
        <f>IF(T$2*$O33*COUNT(data2!F8)=0,"",$K33*data2!F8)</f>
        <v/>
      </c>
      <c r="U33" s="22" t="str">
        <f>IF(U$2*$O33*COUNT(data2!G8)=0,"",$K33*data2!G8)</f>
        <v/>
      </c>
      <c r="V33" s="22" t="str">
        <f>IF(V$2*$O33*COUNT(data2!H8)=0,"",$K33*data2!H8)</f>
        <v/>
      </c>
      <c r="W33" s="22" t="str">
        <f>IF(W$2*$O33*COUNT(data2!I8)=0,"",$K33*data2!I8)</f>
        <v/>
      </c>
      <c r="X33" s="22" t="str">
        <f>IF(X$2*$O33*COUNT(data2!J8)=0,"",$K33*data2!J8)</f>
        <v/>
      </c>
      <c r="Y33" s="22" t="str">
        <f>IF(Y$2*$O33*COUNT(data2!K8)=0,"",$K33*data2!K8)</f>
        <v/>
      </c>
      <c r="Z33" s="22" t="str">
        <f>IF(Z$2*$O33*COUNT(data2!L8)=0,"",$K33*data2!L8)</f>
        <v/>
      </c>
      <c r="AA33" s="22" t="str">
        <f>IF(AA$2*$O33*COUNT(data2!M8)=0,"",$K33*data2!M8)</f>
        <v/>
      </c>
      <c r="AB33" s="22" t="str">
        <f>IF(AB$2*$O33*COUNT(data2!N8)=0,"",$K33*data2!N8)</f>
        <v/>
      </c>
      <c r="AC33" s="22" t="str">
        <f>IF(AC$2*$O33*COUNT(data2!O8)=0,"",$K33*data2!O8)</f>
        <v/>
      </c>
      <c r="AD33" s="22" t="str">
        <f>IF(AD$2*$O33*COUNT(data2!P8)=0,"",$K33*data2!P8)</f>
        <v/>
      </c>
      <c r="AE33" s="22" t="str">
        <f>IF(AE$2*$O33*COUNT(data2!Q8)=0,"",$K33*data2!Q8)</f>
        <v/>
      </c>
      <c r="AF33" s="22" t="str">
        <f>IF(AF$2*$O33*COUNT(data2!R8)=0,"",$K33*data2!R8)</f>
        <v/>
      </c>
      <c r="AG33" s="22" t="str">
        <f>IF(AG$2*$O33*COUNT(data2!S8)=0,"",$K33*data2!S8)</f>
        <v/>
      </c>
      <c r="AH33" s="22" t="str">
        <f>IF(AH$2*$O33*COUNT(data2!T8)=0,"",$K33*data2!T8)</f>
        <v/>
      </c>
      <c r="AI33" s="22" t="str">
        <f>IF(AI$2*$O33*COUNT(data2!U8)=0,"",$K33*data2!U8)</f>
        <v/>
      </c>
      <c r="AJ33" s="22" t="str">
        <f>IF(AJ$2*$O33*COUNT(data2!V8)=0,"",$K33*data2!V8)</f>
        <v/>
      </c>
      <c r="AK33" s="22" t="str">
        <f>IF(AK$2*$O33*COUNT(data2!W8)=0,"",$K33*data2!W8)</f>
        <v/>
      </c>
      <c r="AL33" s="22" t="str">
        <f>IF(AL$2*$O33*COUNT(data2!X8)=0,"",$K33*data2!X8)</f>
        <v/>
      </c>
      <c r="AM33" s="22" t="str">
        <f>IF(AM$2*$O33*COUNT(data2!Y8)=0,"",$K33*data2!Y8)</f>
        <v/>
      </c>
      <c r="AN33" s="22" t="str">
        <f>IF(AN$2*$O33*COUNT(data2!Z8)=0,"",$K33*data2!Z8)</f>
        <v/>
      </c>
      <c r="AO33" s="22" t="str">
        <f>IF(AO$2*$O33*COUNT(data2!AA8)=0,"",$K33*data2!AA8)</f>
        <v/>
      </c>
      <c r="AP33" s="22" t="str">
        <f>IF(AP$2*$O33*COUNT(data2!AB8)=0,"",$K33*data2!AB8)</f>
        <v/>
      </c>
      <c r="AQ33" s="22" t="str">
        <f>IF(AQ$2*$O33*COUNT(data2!AC8)=0,"",$K33*data2!AC8)</f>
        <v/>
      </c>
      <c r="AR33" s="22" t="str">
        <f>IF(AR$2*$O33*COUNT(data2!AD8)=0,"",$K33*data2!AD8)</f>
        <v/>
      </c>
      <c r="AS33" s="22" t="str">
        <f>IF(AS$2*$O33*COUNT(data2!AE8)=0,"",$K33*data2!AE8)</f>
        <v/>
      </c>
      <c r="AT33" s="22" t="str">
        <f>IF(AT$2*$O33*COUNT(data2!AF8)=0,"",$K33*data2!AF8)</f>
        <v/>
      </c>
      <c r="AU33" s="22" t="str">
        <f>IF(AU$2*$O33*COUNT(data2!AG8)=0,"",$K33*data2!AG8)</f>
        <v/>
      </c>
    </row>
    <row r="34" spans="1:47">
      <c r="A34" s="191"/>
      <c r="B34" s="191"/>
      <c r="C34" t="str">
        <f t="shared" si="33"/>
        <v>Range3-1</v>
      </c>
      <c r="D34" s="22" t="str">
        <f t="shared" si="29"/>
        <v/>
      </c>
      <c r="E34" s="22" t="str">
        <f t="shared" si="40"/>
        <v/>
      </c>
      <c r="F34" s="22" t="str">
        <f t="shared" si="30"/>
        <v/>
      </c>
      <c r="G34" s="22" t="str">
        <f t="shared" si="41"/>
        <v/>
      </c>
      <c r="I34" s="49">
        <f t="shared" ref="I34:I36" si="42">I33</f>
        <v>2</v>
      </c>
      <c r="J34" s="49">
        <f t="shared" si="36"/>
        <v>4</v>
      </c>
      <c r="K34" s="146">
        <f t="shared" si="31"/>
        <v>41.237113402061858</v>
      </c>
      <c r="L34" s="123">
        <f t="shared" si="37"/>
        <v>30</v>
      </c>
      <c r="M34" s="130">
        <f t="shared" si="32"/>
        <v>1</v>
      </c>
      <c r="N34" s="108">
        <v>1</v>
      </c>
      <c r="O34" s="110">
        <f t="shared" si="38"/>
        <v>1</v>
      </c>
      <c r="P34" s="22" t="str">
        <f>IF(P$2*$O34*COUNT(data2!B9)=0,"",$K34*data2!B9)</f>
        <v/>
      </c>
      <c r="Q34" s="22" t="str">
        <f>IF(Q$2*$O34*COUNT(data2!C9)=0,"",$K34*data2!C9)</f>
        <v/>
      </c>
      <c r="R34" s="22" t="str">
        <f>IF(R$2*$O34*COUNT(data2!D9)=0,"",$K34*data2!D9)</f>
        <v/>
      </c>
      <c r="S34" s="22" t="str">
        <f>IF(S$2*$O34*COUNT(data2!E9)=0,"",$K34*data2!E9)</f>
        <v/>
      </c>
      <c r="T34" s="22" t="str">
        <f>IF(T$2*$O34*COUNT(data2!F9)=0,"",$K34*data2!F9)</f>
        <v/>
      </c>
      <c r="U34" s="22" t="str">
        <f>IF(U$2*$O34*COUNT(data2!G9)=0,"",$K34*data2!G9)</f>
        <v/>
      </c>
      <c r="V34" s="22" t="str">
        <f>IF(V$2*$O34*COUNT(data2!H9)=0,"",$K34*data2!H9)</f>
        <v/>
      </c>
      <c r="W34" s="22" t="str">
        <f>IF(W$2*$O34*COUNT(data2!I9)=0,"",$K34*data2!I9)</f>
        <v/>
      </c>
      <c r="X34" s="22" t="str">
        <f>IF(X$2*$O34*COUNT(data2!J9)=0,"",$K34*data2!J9)</f>
        <v/>
      </c>
      <c r="Y34" s="22" t="str">
        <f>IF(Y$2*$O34*COUNT(data2!K9)=0,"",$K34*data2!K9)</f>
        <v/>
      </c>
      <c r="Z34" s="22" t="str">
        <f>IF(Z$2*$O34*COUNT(data2!L9)=0,"",$K34*data2!L9)</f>
        <v/>
      </c>
      <c r="AA34" s="22" t="str">
        <f>IF(AA$2*$O34*COUNT(data2!M9)=0,"",$K34*data2!M9)</f>
        <v/>
      </c>
      <c r="AB34" s="22" t="str">
        <f>IF(AB$2*$O34*COUNT(data2!N9)=0,"",$K34*data2!N9)</f>
        <v/>
      </c>
      <c r="AC34" s="22" t="str">
        <f>IF(AC$2*$O34*COUNT(data2!O9)=0,"",$K34*data2!O9)</f>
        <v/>
      </c>
      <c r="AD34" s="22" t="str">
        <f>IF(AD$2*$O34*COUNT(data2!P9)=0,"",$K34*data2!P9)</f>
        <v/>
      </c>
      <c r="AE34" s="22" t="str">
        <f>IF(AE$2*$O34*COUNT(data2!Q9)=0,"",$K34*data2!Q9)</f>
        <v/>
      </c>
      <c r="AF34" s="22" t="str">
        <f>IF(AF$2*$O34*COUNT(data2!R9)=0,"",$K34*data2!R9)</f>
        <v/>
      </c>
      <c r="AG34" s="22" t="str">
        <f>IF(AG$2*$O34*COUNT(data2!S9)=0,"",$K34*data2!S9)</f>
        <v/>
      </c>
      <c r="AH34" s="22" t="str">
        <f>IF(AH$2*$O34*COUNT(data2!T9)=0,"",$K34*data2!T9)</f>
        <v/>
      </c>
      <c r="AI34" s="22" t="str">
        <f>IF(AI$2*$O34*COUNT(data2!U9)=0,"",$K34*data2!U9)</f>
        <v/>
      </c>
      <c r="AJ34" s="22" t="str">
        <f>IF(AJ$2*$O34*COUNT(data2!V9)=0,"",$K34*data2!V9)</f>
        <v/>
      </c>
      <c r="AK34" s="22" t="str">
        <f>IF(AK$2*$O34*COUNT(data2!W9)=0,"",$K34*data2!W9)</f>
        <v/>
      </c>
      <c r="AL34" s="22" t="str">
        <f>IF(AL$2*$O34*COUNT(data2!X9)=0,"",$K34*data2!X9)</f>
        <v/>
      </c>
      <c r="AM34" s="22" t="str">
        <f>IF(AM$2*$O34*COUNT(data2!Y9)=0,"",$K34*data2!Y9)</f>
        <v/>
      </c>
      <c r="AN34" s="22" t="str">
        <f>IF(AN$2*$O34*COUNT(data2!Z9)=0,"",$K34*data2!Z9)</f>
        <v/>
      </c>
      <c r="AO34" s="22" t="str">
        <f>IF(AO$2*$O34*COUNT(data2!AA9)=0,"",$K34*data2!AA9)</f>
        <v/>
      </c>
      <c r="AP34" s="22" t="str">
        <f>IF(AP$2*$O34*COUNT(data2!AB9)=0,"",$K34*data2!AB9)</f>
        <v/>
      </c>
      <c r="AQ34" s="22" t="str">
        <f>IF(AQ$2*$O34*COUNT(data2!AC9)=0,"",$K34*data2!AC9)</f>
        <v/>
      </c>
      <c r="AR34" s="22" t="str">
        <f>IF(AR$2*$O34*COUNT(data2!AD9)=0,"",$K34*data2!AD9)</f>
        <v/>
      </c>
      <c r="AS34" s="22" t="str">
        <f>IF(AS$2*$O34*COUNT(data2!AE9)=0,"",$K34*data2!AE9)</f>
        <v/>
      </c>
      <c r="AT34" s="22" t="str">
        <f>IF(AT$2*$O34*COUNT(data2!AF9)=0,"",$K34*data2!AF9)</f>
        <v/>
      </c>
      <c r="AU34" s="22" t="str">
        <f>IF(AU$2*$O34*COUNT(data2!AG9)=0,"",$K34*data2!AG9)</f>
        <v/>
      </c>
    </row>
    <row r="35" spans="1:47">
      <c r="A35" s="191"/>
      <c r="B35" s="191" t="str">
        <f>B23</f>
        <v>P2</v>
      </c>
      <c r="C35" t="str">
        <f t="shared" si="33"/>
        <v>Range2-2</v>
      </c>
      <c r="D35" s="22" t="str">
        <f t="shared" si="29"/>
        <v/>
      </c>
      <c r="E35" s="22" t="str">
        <f t="shared" si="40"/>
        <v/>
      </c>
      <c r="F35" s="22" t="str">
        <f t="shared" si="30"/>
        <v/>
      </c>
      <c r="G35" s="22" t="str">
        <f t="shared" si="41"/>
        <v/>
      </c>
      <c r="I35" s="49">
        <f>I34+1</f>
        <v>3</v>
      </c>
      <c r="J35" s="49">
        <f t="shared" si="36"/>
        <v>4</v>
      </c>
      <c r="K35" s="146">
        <f t="shared" si="31"/>
        <v>87.383943200436917</v>
      </c>
      <c r="L35" s="123">
        <f t="shared" si="37"/>
        <v>31</v>
      </c>
      <c r="M35" s="130">
        <f t="shared" si="32"/>
        <v>1</v>
      </c>
      <c r="N35" s="108">
        <v>1</v>
      </c>
      <c r="O35" s="110">
        <f t="shared" si="38"/>
        <v>1</v>
      </c>
      <c r="P35" s="22" t="str">
        <f>IF(P$2*$O35*COUNT(data2!B10)=0,"",$K35*data2!B10)</f>
        <v/>
      </c>
      <c r="Q35" s="22" t="str">
        <f>IF(Q$2*$O35*COUNT(data2!C10)=0,"",$K35*data2!C10)</f>
        <v/>
      </c>
      <c r="R35" s="22" t="str">
        <f>IF(R$2*$O35*COUNT(data2!D10)=0,"",$K35*data2!D10)</f>
        <v/>
      </c>
      <c r="S35" s="22" t="str">
        <f>IF(S$2*$O35*COUNT(data2!E10)=0,"",$K35*data2!E10)</f>
        <v/>
      </c>
      <c r="T35" s="22" t="str">
        <f>IF(T$2*$O35*COUNT(data2!F10)=0,"",$K35*data2!F10)</f>
        <v/>
      </c>
      <c r="U35" s="22" t="str">
        <f>IF(U$2*$O35*COUNT(data2!G10)=0,"",$K35*data2!G10)</f>
        <v/>
      </c>
      <c r="V35" s="22" t="str">
        <f>IF(V$2*$O35*COUNT(data2!H10)=0,"",$K35*data2!H10)</f>
        <v/>
      </c>
      <c r="W35" s="22" t="str">
        <f>IF(W$2*$O35*COUNT(data2!I10)=0,"",$K35*data2!I10)</f>
        <v/>
      </c>
      <c r="X35" s="22" t="str">
        <f>IF(X$2*$O35*COUNT(data2!J10)=0,"",$K35*data2!J10)</f>
        <v/>
      </c>
      <c r="Y35" s="22" t="str">
        <f>IF(Y$2*$O35*COUNT(data2!K10)=0,"",$K35*data2!K10)</f>
        <v/>
      </c>
      <c r="Z35" s="22" t="str">
        <f>IF(Z$2*$O35*COUNT(data2!L10)=0,"",$K35*data2!L10)</f>
        <v/>
      </c>
      <c r="AA35" s="22" t="str">
        <f>IF(AA$2*$O35*COUNT(data2!M10)=0,"",$K35*data2!M10)</f>
        <v/>
      </c>
      <c r="AB35" s="22" t="str">
        <f>IF(AB$2*$O35*COUNT(data2!N10)=0,"",$K35*data2!N10)</f>
        <v/>
      </c>
      <c r="AC35" s="22" t="str">
        <f>IF(AC$2*$O35*COUNT(data2!O10)=0,"",$K35*data2!O10)</f>
        <v/>
      </c>
      <c r="AD35" s="22" t="str">
        <f>IF(AD$2*$O35*COUNT(data2!P10)=0,"",$K35*data2!P10)</f>
        <v/>
      </c>
      <c r="AE35" s="22" t="str">
        <f>IF(AE$2*$O35*COUNT(data2!Q10)=0,"",$K35*data2!Q10)</f>
        <v/>
      </c>
      <c r="AF35" s="22" t="str">
        <f>IF(AF$2*$O35*COUNT(data2!R10)=0,"",$K35*data2!R10)</f>
        <v/>
      </c>
      <c r="AG35" s="22" t="str">
        <f>IF(AG$2*$O35*COUNT(data2!S10)=0,"",$K35*data2!S10)</f>
        <v/>
      </c>
      <c r="AH35" s="22" t="str">
        <f>IF(AH$2*$O35*COUNT(data2!T10)=0,"",$K35*data2!T10)</f>
        <v/>
      </c>
      <c r="AI35" s="22" t="str">
        <f>IF(AI$2*$O35*COUNT(data2!U10)=0,"",$K35*data2!U10)</f>
        <v/>
      </c>
      <c r="AJ35" s="22" t="str">
        <f>IF(AJ$2*$O35*COUNT(data2!V10)=0,"",$K35*data2!V10)</f>
        <v/>
      </c>
      <c r="AK35" s="22" t="str">
        <f>IF(AK$2*$O35*COUNT(data2!W10)=0,"",$K35*data2!W10)</f>
        <v/>
      </c>
      <c r="AL35" s="22" t="str">
        <f>IF(AL$2*$O35*COUNT(data2!X10)=0,"",$K35*data2!X10)</f>
        <v/>
      </c>
      <c r="AM35" s="22" t="str">
        <f>IF(AM$2*$O35*COUNT(data2!Y10)=0,"",$K35*data2!Y10)</f>
        <v/>
      </c>
      <c r="AN35" s="22" t="str">
        <f>IF(AN$2*$O35*COUNT(data2!Z10)=0,"",$K35*data2!Z10)</f>
        <v/>
      </c>
      <c r="AO35" s="22" t="str">
        <f>IF(AO$2*$O35*COUNT(data2!AA10)=0,"",$K35*data2!AA10)</f>
        <v/>
      </c>
      <c r="AP35" s="22" t="str">
        <f>IF(AP$2*$O35*COUNT(data2!AB10)=0,"",$K35*data2!AB10)</f>
        <v/>
      </c>
      <c r="AQ35" s="22" t="str">
        <f>IF(AQ$2*$O35*COUNT(data2!AC10)=0,"",$K35*data2!AC10)</f>
        <v/>
      </c>
      <c r="AR35" s="22" t="str">
        <f>IF(AR$2*$O35*COUNT(data2!AD10)=0,"",$K35*data2!AD10)</f>
        <v/>
      </c>
      <c r="AS35" s="22" t="str">
        <f>IF(AS$2*$O35*COUNT(data2!AE10)=0,"",$K35*data2!AE10)</f>
        <v/>
      </c>
      <c r="AT35" s="22" t="str">
        <f>IF(AT$2*$O35*COUNT(data2!AF10)=0,"",$K35*data2!AF10)</f>
        <v/>
      </c>
      <c r="AU35" s="22" t="str">
        <f>IF(AU$2*$O35*COUNT(data2!AG10)=0,"",$K35*data2!AG10)</f>
        <v/>
      </c>
    </row>
    <row r="36" spans="1:47">
      <c r="A36" s="191"/>
      <c r="B36" s="191"/>
      <c r="C36" t="str">
        <f t="shared" si="33"/>
        <v>Range3-2</v>
      </c>
      <c r="D36" s="22" t="str">
        <f t="shared" si="29"/>
        <v/>
      </c>
      <c r="E36" s="22" t="str">
        <f t="shared" si="40"/>
        <v/>
      </c>
      <c r="F36" s="22" t="str">
        <f t="shared" si="30"/>
        <v/>
      </c>
      <c r="G36" s="22" t="str">
        <f t="shared" si="41"/>
        <v/>
      </c>
      <c r="I36" s="49">
        <f t="shared" si="42"/>
        <v>3</v>
      </c>
      <c r="J36" s="49">
        <f t="shared" si="36"/>
        <v>4</v>
      </c>
      <c r="K36" s="146">
        <f t="shared" si="31"/>
        <v>87.383943200436917</v>
      </c>
      <c r="L36" s="123">
        <f t="shared" si="37"/>
        <v>32</v>
      </c>
      <c r="M36" s="130">
        <f t="shared" si="32"/>
        <v>1</v>
      </c>
      <c r="N36" s="108">
        <v>1</v>
      </c>
      <c r="O36" s="110">
        <f t="shared" si="38"/>
        <v>1</v>
      </c>
      <c r="P36" s="22" t="str">
        <f>IF(P$2*$O36*COUNT(data2!B11)=0,"",$K36*data2!B11)</f>
        <v/>
      </c>
      <c r="Q36" s="22" t="str">
        <f>IF(Q$2*$O36*COUNT(data2!C11)=0,"",$K36*data2!C11)</f>
        <v/>
      </c>
      <c r="R36" s="22" t="str">
        <f>IF(R$2*$O36*COUNT(data2!D11)=0,"",$K36*data2!D11)</f>
        <v/>
      </c>
      <c r="S36" s="22" t="str">
        <f>IF(S$2*$O36*COUNT(data2!E11)=0,"",$K36*data2!E11)</f>
        <v/>
      </c>
      <c r="T36" s="22" t="str">
        <f>IF(T$2*$O36*COUNT(data2!F11)=0,"",$K36*data2!F11)</f>
        <v/>
      </c>
      <c r="U36" s="22" t="str">
        <f>IF(U$2*$O36*COUNT(data2!G11)=0,"",$K36*data2!G11)</f>
        <v/>
      </c>
      <c r="V36" s="22" t="str">
        <f>IF(V$2*$O36*COUNT(data2!H11)=0,"",$K36*data2!H11)</f>
        <v/>
      </c>
      <c r="W36" s="22" t="str">
        <f>IF(W$2*$O36*COUNT(data2!I11)=0,"",$K36*data2!I11)</f>
        <v/>
      </c>
      <c r="X36" s="22" t="str">
        <f>IF(X$2*$O36*COUNT(data2!J11)=0,"",$K36*data2!J11)</f>
        <v/>
      </c>
      <c r="Y36" s="22" t="str">
        <f>IF(Y$2*$O36*COUNT(data2!K11)=0,"",$K36*data2!K11)</f>
        <v/>
      </c>
      <c r="Z36" s="22" t="str">
        <f>IF(Z$2*$O36*COUNT(data2!L11)=0,"",$K36*data2!L11)</f>
        <v/>
      </c>
      <c r="AA36" s="22" t="str">
        <f>IF(AA$2*$O36*COUNT(data2!M11)=0,"",$K36*data2!M11)</f>
        <v/>
      </c>
      <c r="AB36" s="22" t="str">
        <f>IF(AB$2*$O36*COUNT(data2!N11)=0,"",$K36*data2!N11)</f>
        <v/>
      </c>
      <c r="AC36" s="22" t="str">
        <f>IF(AC$2*$O36*COUNT(data2!O11)=0,"",$K36*data2!O11)</f>
        <v/>
      </c>
      <c r="AD36" s="22" t="str">
        <f>IF(AD$2*$O36*COUNT(data2!P11)=0,"",$K36*data2!P11)</f>
        <v/>
      </c>
      <c r="AE36" s="22" t="str">
        <f>IF(AE$2*$O36*COUNT(data2!Q11)=0,"",$K36*data2!Q11)</f>
        <v/>
      </c>
      <c r="AF36" s="22" t="str">
        <f>IF(AF$2*$O36*COUNT(data2!R11)=0,"",$K36*data2!R11)</f>
        <v/>
      </c>
      <c r="AG36" s="22" t="str">
        <f>IF(AG$2*$O36*COUNT(data2!S11)=0,"",$K36*data2!S11)</f>
        <v/>
      </c>
      <c r="AH36" s="22" t="str">
        <f>IF(AH$2*$O36*COUNT(data2!T11)=0,"",$K36*data2!T11)</f>
        <v/>
      </c>
      <c r="AI36" s="22" t="str">
        <f>IF(AI$2*$O36*COUNT(data2!U11)=0,"",$K36*data2!U11)</f>
        <v/>
      </c>
      <c r="AJ36" s="22" t="str">
        <f>IF(AJ$2*$O36*COUNT(data2!V11)=0,"",$K36*data2!V11)</f>
        <v/>
      </c>
      <c r="AK36" s="22" t="str">
        <f>IF(AK$2*$O36*COUNT(data2!W11)=0,"",$K36*data2!W11)</f>
        <v/>
      </c>
      <c r="AL36" s="22" t="str">
        <f>IF(AL$2*$O36*COUNT(data2!X11)=0,"",$K36*data2!X11)</f>
        <v/>
      </c>
      <c r="AM36" s="22" t="str">
        <f>IF(AM$2*$O36*COUNT(data2!Y11)=0,"",$K36*data2!Y11)</f>
        <v/>
      </c>
      <c r="AN36" s="22" t="str">
        <f>IF(AN$2*$O36*COUNT(data2!Z11)=0,"",$K36*data2!Z11)</f>
        <v/>
      </c>
      <c r="AO36" s="22" t="str">
        <f>IF(AO$2*$O36*COUNT(data2!AA11)=0,"",$K36*data2!AA11)</f>
        <v/>
      </c>
      <c r="AP36" s="22" t="str">
        <f>IF(AP$2*$O36*COUNT(data2!AB11)=0,"",$K36*data2!AB11)</f>
        <v/>
      </c>
      <c r="AQ36" s="22" t="str">
        <f>IF(AQ$2*$O36*COUNT(data2!AC11)=0,"",$K36*data2!AC11)</f>
        <v/>
      </c>
      <c r="AR36" s="22" t="str">
        <f>IF(AR$2*$O36*COUNT(data2!AD11)=0,"",$K36*data2!AD11)</f>
        <v/>
      </c>
      <c r="AS36" s="22" t="str">
        <f>IF(AS$2*$O36*COUNT(data2!AE11)=0,"",$K36*data2!AE11)</f>
        <v/>
      </c>
      <c r="AT36" s="22" t="str">
        <f>IF(AT$2*$O36*COUNT(data2!AF11)=0,"",$K36*data2!AF11)</f>
        <v/>
      </c>
      <c r="AU36" s="22" t="str">
        <f>IF(AU$2*$O36*COUNT(data2!AG11)=0,"",$K36*data2!AG11)</f>
        <v/>
      </c>
    </row>
    <row r="37" spans="1:47">
      <c r="A37" s="191"/>
      <c r="B37" s="113" t="str">
        <f>B25</f>
        <v>P3</v>
      </c>
      <c r="C37" t="str">
        <f t="shared" si="33"/>
        <v>Range3-3</v>
      </c>
      <c r="D37" s="22" t="str">
        <f t="shared" si="29"/>
        <v/>
      </c>
      <c r="E37" s="22" t="str">
        <f t="shared" si="40"/>
        <v/>
      </c>
      <c r="F37" s="22" t="str">
        <f t="shared" si="30"/>
        <v/>
      </c>
      <c r="G37" s="22" t="str">
        <f t="shared" si="41"/>
        <v/>
      </c>
      <c r="I37" s="49">
        <f>I36+1</f>
        <v>4</v>
      </c>
      <c r="J37" s="49">
        <f t="shared" si="36"/>
        <v>4</v>
      </c>
      <c r="K37" s="146" t="e">
        <f t="shared" si="31"/>
        <v>#DIV/0!</v>
      </c>
      <c r="L37" s="123">
        <f t="shared" si="37"/>
        <v>33</v>
      </c>
      <c r="M37" s="130">
        <f t="shared" si="32"/>
        <v>0</v>
      </c>
      <c r="N37" s="108">
        <v>1</v>
      </c>
      <c r="O37" s="110">
        <f t="shared" si="38"/>
        <v>0</v>
      </c>
      <c r="P37" s="22" t="str">
        <f>IF(P$2*$O37*COUNT(data2!B12)=0,"",$K37*data2!B12)</f>
        <v/>
      </c>
      <c r="Q37" s="22" t="str">
        <f>IF(Q$2*$O37*COUNT(data2!C12)=0,"",$K37*data2!C12)</f>
        <v/>
      </c>
      <c r="R37" s="22" t="str">
        <f>IF(R$2*$O37*COUNT(data2!D12)=0,"",$K37*data2!D12)</f>
        <v/>
      </c>
      <c r="S37" s="22" t="str">
        <f>IF(S$2*$O37*COUNT(data2!E12)=0,"",$K37*data2!E12)</f>
        <v/>
      </c>
      <c r="T37" s="22" t="str">
        <f>IF(T$2*$O37*COUNT(data2!F12)=0,"",$K37*data2!F12)</f>
        <v/>
      </c>
      <c r="U37" s="22" t="str">
        <f>IF(U$2*$O37*COUNT(data2!G12)=0,"",$K37*data2!G12)</f>
        <v/>
      </c>
      <c r="V37" s="22" t="str">
        <f>IF(V$2*$O37*COUNT(data2!H12)=0,"",$K37*data2!H12)</f>
        <v/>
      </c>
      <c r="W37" s="22" t="str">
        <f>IF(W$2*$O37*COUNT(data2!I12)=0,"",$K37*data2!I12)</f>
        <v/>
      </c>
      <c r="X37" s="22" t="str">
        <f>IF(X$2*$O37*COUNT(data2!J12)=0,"",$K37*data2!J12)</f>
        <v/>
      </c>
      <c r="Y37" s="22" t="str">
        <f>IF(Y$2*$O37*COUNT(data2!K12)=0,"",$K37*data2!K12)</f>
        <v/>
      </c>
      <c r="Z37" s="22" t="str">
        <f>IF(Z$2*$O37*COUNT(data2!L12)=0,"",$K37*data2!L12)</f>
        <v/>
      </c>
      <c r="AA37" s="22" t="str">
        <f>IF(AA$2*$O37*COUNT(data2!M12)=0,"",$K37*data2!M12)</f>
        <v/>
      </c>
      <c r="AB37" s="22" t="str">
        <f>IF(AB$2*$O37*COUNT(data2!N12)=0,"",$K37*data2!N12)</f>
        <v/>
      </c>
      <c r="AC37" s="22" t="str">
        <f>IF(AC$2*$O37*COUNT(data2!O12)=0,"",$K37*data2!O12)</f>
        <v/>
      </c>
      <c r="AD37" s="22" t="str">
        <f>IF(AD$2*$O37*COUNT(data2!P12)=0,"",$K37*data2!P12)</f>
        <v/>
      </c>
      <c r="AE37" s="22" t="str">
        <f>IF(AE$2*$O37*COUNT(data2!Q12)=0,"",$K37*data2!Q12)</f>
        <v/>
      </c>
      <c r="AF37" s="22" t="str">
        <f>IF(AF$2*$O37*COUNT(data2!R12)=0,"",$K37*data2!R12)</f>
        <v/>
      </c>
      <c r="AG37" s="22" t="str">
        <f>IF(AG$2*$O37*COUNT(data2!S12)=0,"",$K37*data2!S12)</f>
        <v/>
      </c>
      <c r="AH37" s="22" t="str">
        <f>IF(AH$2*$O37*COUNT(data2!T12)=0,"",$K37*data2!T12)</f>
        <v/>
      </c>
      <c r="AI37" s="22" t="str">
        <f>IF(AI$2*$O37*COUNT(data2!U12)=0,"",$K37*data2!U12)</f>
        <v/>
      </c>
      <c r="AJ37" s="22" t="str">
        <f>IF(AJ$2*$O37*COUNT(data2!V12)=0,"",$K37*data2!V12)</f>
        <v/>
      </c>
      <c r="AK37" s="22" t="str">
        <f>IF(AK$2*$O37*COUNT(data2!W12)=0,"",$K37*data2!W12)</f>
        <v/>
      </c>
      <c r="AL37" s="22" t="str">
        <f>IF(AL$2*$O37*COUNT(data2!X12)=0,"",$K37*data2!X12)</f>
        <v/>
      </c>
      <c r="AM37" s="22" t="str">
        <f>IF(AM$2*$O37*COUNT(data2!Y12)=0,"",$K37*data2!Y12)</f>
        <v/>
      </c>
      <c r="AN37" s="22" t="str">
        <f>IF(AN$2*$O37*COUNT(data2!Z12)=0,"",$K37*data2!Z12)</f>
        <v/>
      </c>
      <c r="AO37" s="22" t="str">
        <f>IF(AO$2*$O37*COUNT(data2!AA12)=0,"",$K37*data2!AA12)</f>
        <v/>
      </c>
      <c r="AP37" s="22" t="str">
        <f>IF(AP$2*$O37*COUNT(data2!AB12)=0,"",$K37*data2!AB12)</f>
        <v/>
      </c>
      <c r="AQ37" s="22" t="str">
        <f>IF(AQ$2*$O37*COUNT(data2!AC12)=0,"",$K37*data2!AC12)</f>
        <v/>
      </c>
      <c r="AR37" s="22" t="str">
        <f>IF(AR$2*$O37*COUNT(data2!AD12)=0,"",$K37*data2!AD12)</f>
        <v/>
      </c>
      <c r="AS37" s="22" t="str">
        <f>IF(AS$2*$O37*COUNT(data2!AE12)=0,"",$K37*data2!AE12)</f>
        <v/>
      </c>
      <c r="AT37" s="22" t="str">
        <f>IF(AT$2*$O37*COUNT(data2!AF12)=0,"",$K37*data2!AF12)</f>
        <v/>
      </c>
      <c r="AU37" s="22" t="str">
        <f>IF(AU$2*$O37*COUNT(data2!AG12)=0,"",$K37*data2!AG12)</f>
        <v/>
      </c>
    </row>
    <row r="38" spans="1:47" s="21" customFormat="1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</row>
    <row r="39" spans="1:47">
      <c r="A39" s="191" t="str">
        <f>Calculations!R1</f>
        <v>2700K</v>
      </c>
      <c r="B39" s="191" t="str">
        <f>B27</f>
        <v>P0</v>
      </c>
      <c r="C39" t="str">
        <f>C27</f>
        <v>Range0</v>
      </c>
      <c r="D39" s="22" t="str">
        <f t="shared" ref="D39:D49" si="43">IF(COUNT(P39:AU39)=0,"",E39-1.5*G39)</f>
        <v/>
      </c>
      <c r="E39" s="22" t="str">
        <f>IF(COUNT(P39:AU39)=0,"",AVERAGE(P39:AU39))</f>
        <v/>
      </c>
      <c r="F39" s="22" t="str">
        <f t="shared" ref="F39:F49" si="44">IF(COUNT(P39:AU39)=0,"",E39+1.5*G39)</f>
        <v/>
      </c>
      <c r="G39" s="22" t="str">
        <f>IF(COUNT(P39:AU39)=0,"",STDEV(P39:AU39))</f>
        <v/>
      </c>
      <c r="I39" s="49">
        <v>1</v>
      </c>
      <c r="J39" s="49">
        <f>J27+1</f>
        <v>5</v>
      </c>
      <c r="K39" s="146">
        <f t="shared" ref="K39:K49" si="45">INDEX(calTable,I39,1)/INDEX(calTable,I39,J39)</f>
        <v>28.169014084507044</v>
      </c>
      <c r="L39" s="49">
        <f>L37+1</f>
        <v>34</v>
      </c>
      <c r="M39" s="130">
        <f t="shared" ref="M39:M49" si="46">INDEX(dataEnable,L39)</f>
        <v>1</v>
      </c>
      <c r="N39" s="108">
        <v>1</v>
      </c>
      <c r="O39" s="110">
        <f>M39*N39</f>
        <v>1</v>
      </c>
      <c r="P39" s="22" t="str">
        <f>IF(P$2*$O39*COUNT(data3!B2)=0,"",$K39*data3!B2)</f>
        <v/>
      </c>
      <c r="Q39" s="22" t="str">
        <f>IF(Q$2*$O39*COUNT(data3!C2)=0,"",$K39*data3!C2)</f>
        <v/>
      </c>
      <c r="R39" s="22" t="str">
        <f>IF(R$2*$O39*COUNT(data3!D2)=0,"",$K39*data3!D2)</f>
        <v/>
      </c>
      <c r="S39" s="22" t="str">
        <f>IF(S$2*$O39*COUNT(data3!E2)=0,"",$K39*data3!E2)</f>
        <v/>
      </c>
      <c r="T39" s="22" t="str">
        <f>IF(T$2*$O39*COUNT(data3!F2)=0,"",$K39*data3!F2)</f>
        <v/>
      </c>
      <c r="U39" s="22" t="str">
        <f>IF(U$2*$O39*COUNT(data3!G2)=0,"",$K39*data3!G2)</f>
        <v/>
      </c>
      <c r="V39" s="22" t="str">
        <f>IF(V$2*$O39*COUNT(data3!H2)=0,"",$K39*data3!H2)</f>
        <v/>
      </c>
      <c r="W39" s="22" t="str">
        <f>IF(W$2*$O39*COUNT(data3!I2)=0,"",$K39*data3!I2)</f>
        <v/>
      </c>
      <c r="X39" s="22" t="str">
        <f>IF(X$2*$O39*COUNT(data3!J2)=0,"",$K39*data3!J2)</f>
        <v/>
      </c>
      <c r="Y39" s="22" t="str">
        <f>IF(Y$2*$O39*COUNT(data3!K2)=0,"",$K39*data3!K2)</f>
        <v/>
      </c>
      <c r="Z39" s="22" t="str">
        <f>IF(Z$2*$O39*COUNT(data3!L2)=0,"",$K39*data3!L2)</f>
        <v/>
      </c>
      <c r="AA39" s="22" t="str">
        <f>IF(AA$2*$O39*COUNT(data3!M2)=0,"",$K39*data3!M2)</f>
        <v/>
      </c>
      <c r="AB39" s="22" t="str">
        <f>IF(AB$2*$O39*COUNT(data3!N2)=0,"",$K39*data3!N2)</f>
        <v/>
      </c>
      <c r="AC39" s="22" t="str">
        <f>IF(AC$2*$O39*COUNT(data3!O2)=0,"",$K39*data3!O2)</f>
        <v/>
      </c>
      <c r="AD39" s="22" t="str">
        <f>IF(AD$2*$O39*COUNT(data3!P2)=0,"",$K39*data3!P2)</f>
        <v/>
      </c>
      <c r="AE39" s="22" t="str">
        <f>IF(AE$2*$O39*COUNT(data3!Q2)=0,"",$K39*data3!Q2)</f>
        <v/>
      </c>
      <c r="AF39" s="22" t="str">
        <f>IF(AF$2*$O39*COUNT(data3!R2)=0,"",$K39*data3!R2)</f>
        <v/>
      </c>
      <c r="AG39" s="22" t="str">
        <f>IF(AG$2*$O39*COUNT(data3!S2)=0,"",$K39*data3!S2)</f>
        <v/>
      </c>
      <c r="AH39" s="22" t="str">
        <f>IF(AH$2*$O39*COUNT(data3!T2)=0,"",$K39*data3!T2)</f>
        <v/>
      </c>
      <c r="AI39" s="22" t="str">
        <f>IF(AI$2*$O39*COUNT(data3!U2)=0,"",$K39*data3!U2)</f>
        <v/>
      </c>
      <c r="AJ39" s="22" t="str">
        <f>IF(AJ$2*$O39*COUNT(data3!V2)=0,"",$K39*data3!V2)</f>
        <v/>
      </c>
      <c r="AK39" s="22" t="str">
        <f>IF(AK$2*$O39*COUNT(data3!W2)=0,"",$K39*data3!W2)</f>
        <v/>
      </c>
      <c r="AL39" s="22" t="str">
        <f>IF(AL$2*$O39*COUNT(data3!X2)=0,"",$K39*data3!X2)</f>
        <v/>
      </c>
      <c r="AM39" s="22" t="str">
        <f>IF(AM$2*$O39*COUNT(data3!Y2)=0,"",$K39*data3!Y2)</f>
        <v/>
      </c>
      <c r="AN39" s="22" t="str">
        <f>IF(AN$2*$O39*COUNT(data3!Z2)=0,"",$K39*data3!Z2)</f>
        <v/>
      </c>
      <c r="AO39" s="22" t="str">
        <f>IF(AO$2*$O39*COUNT(data3!AA2)=0,"",$K39*data3!AA2)</f>
        <v/>
      </c>
      <c r="AP39" s="22" t="str">
        <f>IF(AP$2*$O39*COUNT(data3!AB2)=0,"",$K39*data3!AB2)</f>
        <v/>
      </c>
      <c r="AQ39" s="22" t="str">
        <f>IF(AQ$2*$O39*COUNT(data3!AC2)=0,"",$K39*data3!AC2)</f>
        <v/>
      </c>
      <c r="AR39" s="22" t="str">
        <f>IF(AR$2*$O39*COUNT(data3!AD2)=0,"",$K39*data3!AD2)</f>
        <v/>
      </c>
      <c r="AS39" s="22" t="str">
        <f>IF(AS$2*$O39*COUNT(data3!AE2)=0,"",$K39*data3!AE2)</f>
        <v/>
      </c>
      <c r="AT39" s="22" t="str">
        <f>IF(AT$2*$O39*COUNT(data3!AF2)=0,"",$K39*data3!AF2)</f>
        <v/>
      </c>
      <c r="AU39" s="22" t="str">
        <f>IF(AU$2*$O39*COUNT(data3!AG2)=0,"",$K39*data3!AG2)</f>
        <v/>
      </c>
    </row>
    <row r="40" spans="1:47">
      <c r="A40" s="191"/>
      <c r="B40" s="191"/>
      <c r="C40" t="str">
        <f>C28</f>
        <v>Range1</v>
      </c>
      <c r="D40" s="22" t="str">
        <f t="shared" si="43"/>
        <v/>
      </c>
      <c r="E40" s="22" t="str">
        <f t="shared" ref="E40:E42" si="47">IF(COUNT(P40:AU40)=0,"",AVERAGE(P40:AU40))</f>
        <v/>
      </c>
      <c r="F40" s="22" t="str">
        <f t="shared" si="44"/>
        <v/>
      </c>
      <c r="G40" s="22" t="str">
        <f t="shared" ref="G40:G42" si="48">IF(COUNT(P40:AU40)=0,"",STDEV(P40:AU40))</f>
        <v/>
      </c>
      <c r="I40" s="49">
        <f>I39</f>
        <v>1</v>
      </c>
      <c r="J40" s="49">
        <f t="shared" ref="J40:J49" si="49">J28+1</f>
        <v>5</v>
      </c>
      <c r="K40" s="146">
        <f t="shared" si="45"/>
        <v>28.169014084507044</v>
      </c>
      <c r="L40" s="123">
        <f t="shared" ref="L40:L49" si="50">L39+1</f>
        <v>35</v>
      </c>
      <c r="M40" s="130">
        <f t="shared" si="46"/>
        <v>1</v>
      </c>
      <c r="N40" s="108">
        <v>1</v>
      </c>
      <c r="O40" s="110">
        <f t="shared" ref="O40:O49" si="51">M40*N40</f>
        <v>1</v>
      </c>
      <c r="P40" s="22" t="str">
        <f>IF(P$2*$O40*COUNT(data3!B3)=0,"",$K40*data3!B3)</f>
        <v/>
      </c>
      <c r="Q40" s="22" t="str">
        <f>IF(Q$2*$O40*COUNT(data3!C3)=0,"",$K40*data3!C3)</f>
        <v/>
      </c>
      <c r="R40" s="22" t="str">
        <f>IF(R$2*$O40*COUNT(data3!D3)=0,"",$K40*data3!D3)</f>
        <v/>
      </c>
      <c r="S40" s="22" t="str">
        <f>IF(S$2*$O40*COUNT(data3!E3)=0,"",$K40*data3!E3)</f>
        <v/>
      </c>
      <c r="T40" s="22" t="str">
        <f>IF(T$2*$O40*COUNT(data3!F3)=0,"",$K40*data3!F3)</f>
        <v/>
      </c>
      <c r="U40" s="22" t="str">
        <f>IF(U$2*$O40*COUNT(data3!G3)=0,"",$K40*data3!G3)</f>
        <v/>
      </c>
      <c r="V40" s="22" t="str">
        <f>IF(V$2*$O40*COUNT(data3!H3)=0,"",$K40*data3!H3)</f>
        <v/>
      </c>
      <c r="W40" s="22" t="str">
        <f>IF(W$2*$O40*COUNT(data3!I3)=0,"",$K40*data3!I3)</f>
        <v/>
      </c>
      <c r="X40" s="22" t="str">
        <f>IF(X$2*$O40*COUNT(data3!J3)=0,"",$K40*data3!J3)</f>
        <v/>
      </c>
      <c r="Y40" s="22" t="str">
        <f>IF(Y$2*$O40*COUNT(data3!K3)=0,"",$K40*data3!K3)</f>
        <v/>
      </c>
      <c r="Z40" s="22" t="str">
        <f>IF(Z$2*$O40*COUNT(data3!L3)=0,"",$K40*data3!L3)</f>
        <v/>
      </c>
      <c r="AA40" s="22" t="str">
        <f>IF(AA$2*$O40*COUNT(data3!M3)=0,"",$K40*data3!M3)</f>
        <v/>
      </c>
      <c r="AB40" s="22" t="str">
        <f>IF(AB$2*$O40*COUNT(data3!N3)=0,"",$K40*data3!N3)</f>
        <v/>
      </c>
      <c r="AC40" s="22" t="str">
        <f>IF(AC$2*$O40*COUNT(data3!O3)=0,"",$K40*data3!O3)</f>
        <v/>
      </c>
      <c r="AD40" s="22" t="str">
        <f>IF(AD$2*$O40*COUNT(data3!P3)=0,"",$K40*data3!P3)</f>
        <v/>
      </c>
      <c r="AE40" s="22" t="str">
        <f>IF(AE$2*$O40*COUNT(data3!Q3)=0,"",$K40*data3!Q3)</f>
        <v/>
      </c>
      <c r="AF40" s="22" t="str">
        <f>IF(AF$2*$O40*COUNT(data3!R3)=0,"",$K40*data3!R3)</f>
        <v/>
      </c>
      <c r="AG40" s="22" t="str">
        <f>IF(AG$2*$O40*COUNT(data3!S3)=0,"",$K40*data3!S3)</f>
        <v/>
      </c>
      <c r="AH40" s="22" t="str">
        <f>IF(AH$2*$O40*COUNT(data3!T3)=0,"",$K40*data3!T3)</f>
        <v/>
      </c>
      <c r="AI40" s="22" t="str">
        <f>IF(AI$2*$O40*COUNT(data3!U3)=0,"",$K40*data3!U3)</f>
        <v/>
      </c>
      <c r="AJ40" s="22" t="str">
        <f>IF(AJ$2*$O40*COUNT(data3!V3)=0,"",$K40*data3!V3)</f>
        <v/>
      </c>
      <c r="AK40" s="22" t="str">
        <f>IF(AK$2*$O40*COUNT(data3!W3)=0,"",$K40*data3!W3)</f>
        <v/>
      </c>
      <c r="AL40" s="22" t="str">
        <f>IF(AL$2*$O40*COUNT(data3!X3)=0,"",$K40*data3!X3)</f>
        <v/>
      </c>
      <c r="AM40" s="22" t="str">
        <f>IF(AM$2*$O40*COUNT(data3!Y3)=0,"",$K40*data3!Y3)</f>
        <v/>
      </c>
      <c r="AN40" s="22" t="str">
        <f>IF(AN$2*$O40*COUNT(data3!Z3)=0,"",$K40*data3!Z3)</f>
        <v/>
      </c>
      <c r="AO40" s="22" t="str">
        <f>IF(AO$2*$O40*COUNT(data3!AA3)=0,"",$K40*data3!AA3)</f>
        <v/>
      </c>
      <c r="AP40" s="22" t="str">
        <f>IF(AP$2*$O40*COUNT(data3!AB3)=0,"",$K40*data3!AB3)</f>
        <v/>
      </c>
      <c r="AQ40" s="22" t="str">
        <f>IF(AQ$2*$O40*COUNT(data3!AC3)=0,"",$K40*data3!AC3)</f>
        <v/>
      </c>
      <c r="AR40" s="22" t="str">
        <f>IF(AR$2*$O40*COUNT(data3!AD3)=0,"",$K40*data3!AD3)</f>
        <v/>
      </c>
      <c r="AS40" s="22" t="str">
        <f>IF(AS$2*$O40*COUNT(data3!AE3)=0,"",$K40*data3!AE3)</f>
        <v/>
      </c>
      <c r="AT40" s="22" t="str">
        <f>IF(AT$2*$O40*COUNT(data3!AF3)=0,"",$K40*data3!AF3)</f>
        <v/>
      </c>
      <c r="AU40" s="22" t="str">
        <f>IF(AU$2*$O40*COUNT(data3!AG3)=0,"",$K40*data3!AG3)</f>
        <v/>
      </c>
    </row>
    <row r="41" spans="1:47">
      <c r="A41" s="191"/>
      <c r="B41" s="191"/>
      <c r="C41" t="str">
        <f>C29</f>
        <v>Range2</v>
      </c>
      <c r="D41" s="22" t="str">
        <f t="shared" si="43"/>
        <v/>
      </c>
      <c r="E41" s="22" t="str">
        <f t="shared" si="47"/>
        <v/>
      </c>
      <c r="F41" s="22" t="str">
        <f t="shared" si="44"/>
        <v/>
      </c>
      <c r="G41" s="22" t="str">
        <f t="shared" si="48"/>
        <v/>
      </c>
      <c r="I41" s="49">
        <f t="shared" ref="I41:I43" si="52">I40</f>
        <v>1</v>
      </c>
      <c r="J41" s="49">
        <f t="shared" si="49"/>
        <v>5</v>
      </c>
      <c r="K41" s="146">
        <f t="shared" si="45"/>
        <v>28.169014084507044</v>
      </c>
      <c r="L41" s="123">
        <f t="shared" si="50"/>
        <v>36</v>
      </c>
      <c r="M41" s="130">
        <f t="shared" si="46"/>
        <v>1</v>
      </c>
      <c r="N41" s="108">
        <v>1</v>
      </c>
      <c r="O41" s="110">
        <f t="shared" si="51"/>
        <v>1</v>
      </c>
      <c r="P41" s="22" t="str">
        <f>IF(P$2*$O41*COUNT(data3!B4)=0,"",$K41*data3!B4)</f>
        <v/>
      </c>
      <c r="Q41" s="22" t="str">
        <f>IF(Q$2*$O41*COUNT(data3!C4)=0,"",$K41*data3!C4)</f>
        <v/>
      </c>
      <c r="R41" s="22" t="str">
        <f>IF(R$2*$O41*COUNT(data3!D4)=0,"",$K41*data3!D4)</f>
        <v/>
      </c>
      <c r="S41" s="22" t="str">
        <f>IF(S$2*$O41*COUNT(data3!E4)=0,"",$K41*data3!E4)</f>
        <v/>
      </c>
      <c r="T41" s="22" t="str">
        <f>IF(T$2*$O41*COUNT(data3!F4)=0,"",$K41*data3!F4)</f>
        <v/>
      </c>
      <c r="U41" s="22" t="str">
        <f>IF(U$2*$O41*COUNT(data3!G4)=0,"",$K41*data3!G4)</f>
        <v/>
      </c>
      <c r="V41" s="22" t="str">
        <f>IF(V$2*$O41*COUNT(data3!H4)=0,"",$K41*data3!H4)</f>
        <v/>
      </c>
      <c r="W41" s="22" t="str">
        <f>IF(W$2*$O41*COUNT(data3!I4)=0,"",$K41*data3!I4)</f>
        <v/>
      </c>
      <c r="X41" s="22" t="str">
        <f>IF(X$2*$O41*COUNT(data3!J4)=0,"",$K41*data3!J4)</f>
        <v/>
      </c>
      <c r="Y41" s="22" t="str">
        <f>IF(Y$2*$O41*COUNT(data3!K4)=0,"",$K41*data3!K4)</f>
        <v/>
      </c>
      <c r="Z41" s="22" t="str">
        <f>IF(Z$2*$O41*COUNT(data3!L4)=0,"",$K41*data3!L4)</f>
        <v/>
      </c>
      <c r="AA41" s="22" t="str">
        <f>IF(AA$2*$O41*COUNT(data3!M4)=0,"",$K41*data3!M4)</f>
        <v/>
      </c>
      <c r="AB41" s="22" t="str">
        <f>IF(AB$2*$O41*COUNT(data3!N4)=0,"",$K41*data3!N4)</f>
        <v/>
      </c>
      <c r="AC41" s="22" t="str">
        <f>IF(AC$2*$O41*COUNT(data3!O4)=0,"",$K41*data3!O4)</f>
        <v/>
      </c>
      <c r="AD41" s="22" t="str">
        <f>IF(AD$2*$O41*COUNT(data3!P4)=0,"",$K41*data3!P4)</f>
        <v/>
      </c>
      <c r="AE41" s="22" t="str">
        <f>IF(AE$2*$O41*COUNT(data3!Q4)=0,"",$K41*data3!Q4)</f>
        <v/>
      </c>
      <c r="AF41" s="22" t="str">
        <f>IF(AF$2*$O41*COUNT(data3!R4)=0,"",$K41*data3!R4)</f>
        <v/>
      </c>
      <c r="AG41" s="22" t="str">
        <f>IF(AG$2*$O41*COUNT(data3!S4)=0,"",$K41*data3!S4)</f>
        <v/>
      </c>
      <c r="AH41" s="22" t="str">
        <f>IF(AH$2*$O41*COUNT(data3!T4)=0,"",$K41*data3!T4)</f>
        <v/>
      </c>
      <c r="AI41" s="22" t="str">
        <f>IF(AI$2*$O41*COUNT(data3!U4)=0,"",$K41*data3!U4)</f>
        <v/>
      </c>
      <c r="AJ41" s="22" t="str">
        <f>IF(AJ$2*$O41*COUNT(data3!V4)=0,"",$K41*data3!V4)</f>
        <v/>
      </c>
      <c r="AK41" s="22" t="str">
        <f>IF(AK$2*$O41*COUNT(data3!W4)=0,"",$K41*data3!W4)</f>
        <v/>
      </c>
      <c r="AL41" s="22" t="str">
        <f>IF(AL$2*$O41*COUNT(data3!X4)=0,"",$K41*data3!X4)</f>
        <v/>
      </c>
      <c r="AM41" s="22" t="str">
        <f>IF(AM$2*$O41*COUNT(data3!Y4)=0,"",$K41*data3!Y4)</f>
        <v/>
      </c>
      <c r="AN41" s="22" t="str">
        <f>IF(AN$2*$O41*COUNT(data3!Z4)=0,"",$K41*data3!Z4)</f>
        <v/>
      </c>
      <c r="AO41" s="22" t="str">
        <f>IF(AO$2*$O41*COUNT(data3!AA4)=0,"",$K41*data3!AA4)</f>
        <v/>
      </c>
      <c r="AP41" s="22" t="str">
        <f>IF(AP$2*$O41*COUNT(data3!AB4)=0,"",$K41*data3!AB4)</f>
        <v/>
      </c>
      <c r="AQ41" s="22" t="str">
        <f>IF(AQ$2*$O41*COUNT(data3!AC4)=0,"",$K41*data3!AC4)</f>
        <v/>
      </c>
      <c r="AR41" s="22" t="str">
        <f>IF(AR$2*$O41*COUNT(data3!AD4)=0,"",$K41*data3!AD4)</f>
        <v/>
      </c>
      <c r="AS41" s="22" t="str">
        <f>IF(AS$2*$O41*COUNT(data3!AE4)=0,"",$K41*data3!AE4)</f>
        <v/>
      </c>
      <c r="AT41" s="22" t="str">
        <f>IF(AT$2*$O41*COUNT(data3!AF4)=0,"",$K41*data3!AF4)</f>
        <v/>
      </c>
      <c r="AU41" s="22" t="str">
        <f>IF(AU$2*$O41*COUNT(data3!AG4)=0,"",$K41*data3!AG4)</f>
        <v/>
      </c>
    </row>
    <row r="42" spans="1:47">
      <c r="A42" s="191"/>
      <c r="B42" s="191"/>
      <c r="C42" t="str">
        <f>C30</f>
        <v>Range3</v>
      </c>
      <c r="D42" s="22" t="str">
        <f t="shared" si="43"/>
        <v/>
      </c>
      <c r="E42" s="22" t="str">
        <f t="shared" si="47"/>
        <v/>
      </c>
      <c r="F42" s="22" t="str">
        <f t="shared" si="44"/>
        <v/>
      </c>
      <c r="G42" s="22" t="str">
        <f t="shared" si="48"/>
        <v/>
      </c>
      <c r="I42" s="49">
        <f t="shared" si="52"/>
        <v>1</v>
      </c>
      <c r="J42" s="49">
        <f t="shared" si="49"/>
        <v>5</v>
      </c>
      <c r="K42" s="146">
        <f t="shared" si="45"/>
        <v>28.169014084507044</v>
      </c>
      <c r="L42" s="123">
        <f t="shared" si="50"/>
        <v>37</v>
      </c>
      <c r="M42" s="130">
        <f t="shared" si="46"/>
        <v>1</v>
      </c>
      <c r="N42" s="108">
        <v>1</v>
      </c>
      <c r="O42" s="110">
        <f t="shared" si="51"/>
        <v>1</v>
      </c>
      <c r="P42" s="22" t="str">
        <f>IF(P$2*$O42*COUNT(data3!B5)=0,"",$K42*data3!B5)</f>
        <v/>
      </c>
      <c r="Q42" s="22" t="str">
        <f>IF(Q$2*$O42*COUNT(data3!C5)=0,"",$K42*data3!C5)</f>
        <v/>
      </c>
      <c r="R42" s="22" t="str">
        <f>IF(R$2*$O42*COUNT(data3!D5)=0,"",$K42*data3!D5)</f>
        <v/>
      </c>
      <c r="S42" s="22" t="str">
        <f>IF(S$2*$O42*COUNT(data3!E5)=0,"",$K42*data3!E5)</f>
        <v/>
      </c>
      <c r="T42" s="22" t="str">
        <f>IF(T$2*$O42*COUNT(data3!F5)=0,"",$K42*data3!F5)</f>
        <v/>
      </c>
      <c r="U42" s="22" t="str">
        <f>IF(U$2*$O42*COUNT(data3!G5)=0,"",$K42*data3!G5)</f>
        <v/>
      </c>
      <c r="V42" s="22" t="str">
        <f>IF(V$2*$O42*COUNT(data3!H5)=0,"",$K42*data3!H5)</f>
        <v/>
      </c>
      <c r="W42" s="22" t="str">
        <f>IF(W$2*$O42*COUNT(data3!I5)=0,"",$K42*data3!I5)</f>
        <v/>
      </c>
      <c r="X42" s="22" t="str">
        <f>IF(X$2*$O42*COUNT(data3!J5)=0,"",$K42*data3!J5)</f>
        <v/>
      </c>
      <c r="Y42" s="22" t="str">
        <f>IF(Y$2*$O42*COUNT(data3!K5)=0,"",$K42*data3!K5)</f>
        <v/>
      </c>
      <c r="Z42" s="22" t="str">
        <f>IF(Z$2*$O42*COUNT(data3!L5)=0,"",$K42*data3!L5)</f>
        <v/>
      </c>
      <c r="AA42" s="22" t="str">
        <f>IF(AA$2*$O42*COUNT(data3!M5)=0,"",$K42*data3!M5)</f>
        <v/>
      </c>
      <c r="AB42" s="22" t="str">
        <f>IF(AB$2*$O42*COUNT(data3!N5)=0,"",$K42*data3!N5)</f>
        <v/>
      </c>
      <c r="AC42" s="22" t="str">
        <f>IF(AC$2*$O42*COUNT(data3!O5)=0,"",$K42*data3!O5)</f>
        <v/>
      </c>
      <c r="AD42" s="22" t="str">
        <f>IF(AD$2*$O42*COUNT(data3!P5)=0,"",$K42*data3!P5)</f>
        <v/>
      </c>
      <c r="AE42" s="22" t="str">
        <f>IF(AE$2*$O42*COUNT(data3!Q5)=0,"",$K42*data3!Q5)</f>
        <v/>
      </c>
      <c r="AF42" s="22" t="str">
        <f>IF(AF$2*$O42*COUNT(data3!R5)=0,"",$K42*data3!R5)</f>
        <v/>
      </c>
      <c r="AG42" s="22" t="str">
        <f>IF(AG$2*$O42*COUNT(data3!S5)=0,"",$K42*data3!S5)</f>
        <v/>
      </c>
      <c r="AH42" s="22" t="str">
        <f>IF(AH$2*$O42*COUNT(data3!T5)=0,"",$K42*data3!T5)</f>
        <v/>
      </c>
      <c r="AI42" s="22" t="str">
        <f>IF(AI$2*$O42*COUNT(data3!U5)=0,"",$K42*data3!U5)</f>
        <v/>
      </c>
      <c r="AJ42" s="22" t="str">
        <f>IF(AJ$2*$O42*COUNT(data3!V5)=0,"",$K42*data3!V5)</f>
        <v/>
      </c>
      <c r="AK42" s="22" t="str">
        <f>IF(AK$2*$O42*COUNT(data3!W5)=0,"",$K42*data3!W5)</f>
        <v/>
      </c>
      <c r="AL42" s="22" t="str">
        <f>IF(AL$2*$O42*COUNT(data3!X5)=0,"",$K42*data3!X5)</f>
        <v/>
      </c>
      <c r="AM42" s="22" t="str">
        <f>IF(AM$2*$O42*COUNT(data3!Y5)=0,"",$K42*data3!Y5)</f>
        <v/>
      </c>
      <c r="AN42" s="22" t="str">
        <f>IF(AN$2*$O42*COUNT(data3!Z5)=0,"",$K42*data3!Z5)</f>
        <v/>
      </c>
      <c r="AO42" s="22" t="str">
        <f>IF(AO$2*$O42*COUNT(data3!AA5)=0,"",$K42*data3!AA5)</f>
        <v/>
      </c>
      <c r="AP42" s="22" t="str">
        <f>IF(AP$2*$O42*COUNT(data3!AB5)=0,"",$K42*data3!AB5)</f>
        <v/>
      </c>
      <c r="AQ42" s="22" t="str">
        <f>IF(AQ$2*$O42*COUNT(data3!AC5)=0,"",$K42*data3!AC5)</f>
        <v/>
      </c>
      <c r="AR42" s="22" t="str">
        <f>IF(AR$2*$O42*COUNT(data3!AD5)=0,"",$K42*data3!AD5)</f>
        <v/>
      </c>
      <c r="AS42" s="22" t="str">
        <f>IF(AS$2*$O42*COUNT(data3!AE5)=0,"",$K42*data3!AE5)</f>
        <v/>
      </c>
      <c r="AT42" s="22" t="str">
        <f>IF(AT$2*$O42*COUNT(data3!AF5)=0,"",$K42*data3!AF5)</f>
        <v/>
      </c>
      <c r="AU42" s="22" t="str">
        <f>IF(AU$2*$O42*COUNT(data3!AG5)=0,"",$K42*data3!AG5)</f>
        <v/>
      </c>
    </row>
    <row r="43" spans="1:47">
      <c r="A43" s="191"/>
      <c r="B43" s="191"/>
      <c r="C43" t="str">
        <f>C31</f>
        <v>%IR</v>
      </c>
      <c r="D43" s="47" t="str">
        <f t="shared" si="43"/>
        <v/>
      </c>
      <c r="E43" s="47" t="str">
        <f>IF(COUNT(P43:AU43)=0,"",AVERAGE(P43:AU43))</f>
        <v/>
      </c>
      <c r="F43" s="47" t="str">
        <f t="shared" si="44"/>
        <v/>
      </c>
      <c r="G43" s="47" t="str">
        <f>IF(COUNT(P43:AU43)=0,"",STDEV(P43:AU43))</f>
        <v/>
      </c>
      <c r="I43" s="49">
        <f t="shared" si="52"/>
        <v>1</v>
      </c>
      <c r="J43" s="49">
        <f t="shared" si="49"/>
        <v>5</v>
      </c>
      <c r="K43" s="146">
        <f t="shared" si="45"/>
        <v>28.169014084507044</v>
      </c>
      <c r="L43" s="123">
        <f t="shared" si="50"/>
        <v>38</v>
      </c>
      <c r="M43" s="130">
        <f t="shared" si="46"/>
        <v>1</v>
      </c>
      <c r="N43" s="108">
        <v>1</v>
      </c>
      <c r="O43" s="110">
        <f t="shared" si="51"/>
        <v>1</v>
      </c>
      <c r="P43" s="47" t="str">
        <f>IF(P$2*$O43*COUNT(data3!B6)=0,"",$K43*data3!B6)</f>
        <v/>
      </c>
      <c r="Q43" s="47" t="str">
        <f>IF(Q$2*$O43*COUNT(data3!C6)=0,"",$K43*data3!C6)</f>
        <v/>
      </c>
      <c r="R43" s="47" t="str">
        <f>IF(R$2*$O43*COUNT(data3!D6)=0,"",$K43*data3!D6)</f>
        <v/>
      </c>
      <c r="S43" s="47" t="str">
        <f>IF(S$2*$O43*COUNT(data3!E6)=0,"",$K43*data3!E6)</f>
        <v/>
      </c>
      <c r="T43" s="47" t="str">
        <f>IF(T$2*$O43*COUNT(data3!F6)=0,"",$K43*data3!F6)</f>
        <v/>
      </c>
      <c r="U43" s="47" t="str">
        <f>IF(U$2*$O43*COUNT(data3!G6)=0,"",$K43*data3!G6)</f>
        <v/>
      </c>
      <c r="V43" s="47" t="str">
        <f>IF(V$2*$O43*COUNT(data3!H6)=0,"",$K43*data3!H6)</f>
        <v/>
      </c>
      <c r="W43" s="47" t="str">
        <f>IF(W$2*$O43*COUNT(data3!I6)=0,"",$K43*data3!I6)</f>
        <v/>
      </c>
      <c r="X43" s="47" t="str">
        <f>IF(X$2*$O43*COUNT(data3!J6)=0,"",$K43*data3!J6)</f>
        <v/>
      </c>
      <c r="Y43" s="47" t="str">
        <f>IF(Y$2*$O43*COUNT(data3!K6)=0,"",$K43*data3!K6)</f>
        <v/>
      </c>
      <c r="Z43" s="47" t="str">
        <f>IF(Z$2*$O43*COUNT(data3!L6)=0,"",$K43*data3!L6)</f>
        <v/>
      </c>
      <c r="AA43" s="47" t="str">
        <f>IF(AA$2*$O43*COUNT(data3!M6)=0,"",$K43*data3!M6)</f>
        <v/>
      </c>
      <c r="AB43" s="47" t="str">
        <f>IF(AB$2*$O43*COUNT(data3!N6)=0,"",$K43*data3!N6)</f>
        <v/>
      </c>
      <c r="AC43" s="47" t="str">
        <f>IF(AC$2*$O43*COUNT(data3!O6)=0,"",$K43*data3!O6)</f>
        <v/>
      </c>
      <c r="AD43" s="47" t="str">
        <f>IF(AD$2*$O43*COUNT(data3!P6)=0,"",$K43*data3!P6)</f>
        <v/>
      </c>
      <c r="AE43" s="47" t="str">
        <f>IF(AE$2*$O43*COUNT(data3!Q6)=0,"",$K43*data3!Q6)</f>
        <v/>
      </c>
      <c r="AF43" s="47" t="str">
        <f>IF(AF$2*$O43*COUNT(data3!R6)=0,"",$K43*data3!R6)</f>
        <v/>
      </c>
      <c r="AG43" s="47" t="str">
        <f>IF(AG$2*$O43*COUNT(data3!S6)=0,"",$K43*data3!S6)</f>
        <v/>
      </c>
      <c r="AH43" s="47" t="str">
        <f>IF(AH$2*$O43*COUNT(data3!T6)=0,"",$K43*data3!T6)</f>
        <v/>
      </c>
      <c r="AI43" s="47" t="str">
        <f>IF(AI$2*$O43*COUNT(data3!U6)=0,"",$K43*data3!U6)</f>
        <v/>
      </c>
      <c r="AJ43" s="47" t="str">
        <f>IF(AJ$2*$O43*COUNT(data3!V6)=0,"",$K43*data3!V6)</f>
        <v/>
      </c>
      <c r="AK43" s="47" t="str">
        <f>IF(AK$2*$O43*COUNT(data3!W6)=0,"",$K43*data3!W6)</f>
        <v/>
      </c>
      <c r="AL43" s="47" t="str">
        <f>IF(AL$2*$O43*COUNT(data3!X6)=0,"",$K43*data3!X6)</f>
        <v/>
      </c>
      <c r="AM43" s="47" t="str">
        <f>IF(AM$2*$O43*COUNT(data3!Y6)=0,"",$K43*data3!Y6)</f>
        <v/>
      </c>
      <c r="AN43" s="47" t="str">
        <f>IF(AN$2*$O43*COUNT(data3!Z6)=0,"",$K43*data3!Z6)</f>
        <v/>
      </c>
      <c r="AO43" s="47" t="str">
        <f>IF(AO$2*$O43*COUNT(data3!AA6)=0,"",$K43*data3!AA6)</f>
        <v/>
      </c>
      <c r="AP43" s="47" t="str">
        <f>IF(AP$2*$O43*COUNT(data3!AB6)=0,"",$K43*data3!AB6)</f>
        <v/>
      </c>
      <c r="AQ43" s="47" t="str">
        <f>IF(AQ$2*$O43*COUNT(data3!AC6)=0,"",$K43*data3!AC6)</f>
        <v/>
      </c>
      <c r="AR43" s="47" t="str">
        <f>IF(AR$2*$O43*COUNT(data3!AD6)=0,"",$K43*data3!AD6)</f>
        <v/>
      </c>
      <c r="AS43" s="47" t="str">
        <f>IF(AS$2*$O43*COUNT(data3!AE6)=0,"",$K43*data3!AE6)</f>
        <v/>
      </c>
      <c r="AT43" s="47" t="str">
        <f>IF(AT$2*$O43*COUNT(data3!AF6)=0,"",$K43*data3!AF6)</f>
        <v/>
      </c>
      <c r="AU43" s="47" t="str">
        <f>IF(AU$2*$O43*COUNT(data3!AG6)=0,"",$K43*data3!AG6)</f>
        <v/>
      </c>
    </row>
    <row r="44" spans="1:47">
      <c r="A44" s="191"/>
      <c r="B44" s="191" t="str">
        <f>B32</f>
        <v>P1</v>
      </c>
      <c r="C44" t="str">
        <f t="shared" ref="C44:C49" si="53">C32</f>
        <v>Range1-1</v>
      </c>
      <c r="D44" s="22" t="str">
        <f t="shared" si="43"/>
        <v/>
      </c>
      <c r="E44" s="22" t="str">
        <f t="shared" ref="E44:E49" si="54">IF(COUNT(P44:AU44)=0,"",AVERAGE(P44:AU44))</f>
        <v/>
      </c>
      <c r="F44" s="22" t="str">
        <f t="shared" si="44"/>
        <v/>
      </c>
      <c r="G44" s="22" t="str">
        <f t="shared" ref="G44:G49" si="55">IF(COUNT(P44:AU44)=0,"",STDEV(P44:AU44))</f>
        <v/>
      </c>
      <c r="I44" s="49">
        <f>I43+1</f>
        <v>2</v>
      </c>
      <c r="J44" s="49">
        <f t="shared" si="49"/>
        <v>5</v>
      </c>
      <c r="K44" s="146">
        <f t="shared" si="45"/>
        <v>21.220159151193634</v>
      </c>
      <c r="L44" s="123">
        <f t="shared" si="50"/>
        <v>39</v>
      </c>
      <c r="M44" s="130">
        <f t="shared" si="46"/>
        <v>1</v>
      </c>
      <c r="N44" s="108">
        <v>1</v>
      </c>
      <c r="O44" s="110">
        <f t="shared" si="51"/>
        <v>1</v>
      </c>
      <c r="P44" s="22" t="str">
        <f>IF(P$2*$O44*COUNT(data3!B7)=0,"",$K44*data3!B7)</f>
        <v/>
      </c>
      <c r="Q44" s="22" t="str">
        <f>IF(Q$2*$O44*COUNT(data3!C7)=0,"",$K44*data3!C7)</f>
        <v/>
      </c>
      <c r="R44" s="22" t="str">
        <f>IF(R$2*$O44*COUNT(data3!D7)=0,"",$K44*data3!D7)</f>
        <v/>
      </c>
      <c r="S44" s="22" t="str">
        <f>IF(S$2*$O44*COUNT(data3!E7)=0,"",$K44*data3!E7)</f>
        <v/>
      </c>
      <c r="T44" s="22" t="str">
        <f>IF(T$2*$O44*COUNT(data3!F7)=0,"",$K44*data3!F7)</f>
        <v/>
      </c>
      <c r="U44" s="22" t="str">
        <f>IF(U$2*$O44*COUNT(data3!G7)=0,"",$K44*data3!G7)</f>
        <v/>
      </c>
      <c r="V44" s="22" t="str">
        <f>IF(V$2*$O44*COUNT(data3!H7)=0,"",$K44*data3!H7)</f>
        <v/>
      </c>
      <c r="W44" s="22" t="str">
        <f>IF(W$2*$O44*COUNT(data3!I7)=0,"",$K44*data3!I7)</f>
        <v/>
      </c>
      <c r="X44" s="22" t="str">
        <f>IF(X$2*$O44*COUNT(data3!J7)=0,"",$K44*data3!J7)</f>
        <v/>
      </c>
      <c r="Y44" s="22" t="str">
        <f>IF(Y$2*$O44*COUNT(data3!K7)=0,"",$K44*data3!K7)</f>
        <v/>
      </c>
      <c r="Z44" s="22" t="str">
        <f>IF(Z$2*$O44*COUNT(data3!L7)=0,"",$K44*data3!L7)</f>
        <v/>
      </c>
      <c r="AA44" s="22" t="str">
        <f>IF(AA$2*$O44*COUNT(data3!M7)=0,"",$K44*data3!M7)</f>
        <v/>
      </c>
      <c r="AB44" s="22" t="str">
        <f>IF(AB$2*$O44*COUNT(data3!N7)=0,"",$K44*data3!N7)</f>
        <v/>
      </c>
      <c r="AC44" s="22" t="str">
        <f>IF(AC$2*$O44*COUNT(data3!O7)=0,"",$K44*data3!O7)</f>
        <v/>
      </c>
      <c r="AD44" s="22" t="str">
        <f>IF(AD$2*$O44*COUNT(data3!P7)=0,"",$K44*data3!P7)</f>
        <v/>
      </c>
      <c r="AE44" s="22" t="str">
        <f>IF(AE$2*$O44*COUNT(data3!Q7)=0,"",$K44*data3!Q7)</f>
        <v/>
      </c>
      <c r="AF44" s="22" t="str">
        <f>IF(AF$2*$O44*COUNT(data3!R7)=0,"",$K44*data3!R7)</f>
        <v/>
      </c>
      <c r="AG44" s="22" t="str">
        <f>IF(AG$2*$O44*COUNT(data3!S7)=0,"",$K44*data3!S7)</f>
        <v/>
      </c>
      <c r="AH44" s="22" t="str">
        <f>IF(AH$2*$O44*COUNT(data3!T7)=0,"",$K44*data3!T7)</f>
        <v/>
      </c>
      <c r="AI44" s="22" t="str">
        <f>IF(AI$2*$O44*COUNT(data3!U7)=0,"",$K44*data3!U7)</f>
        <v/>
      </c>
      <c r="AJ44" s="22" t="str">
        <f>IF(AJ$2*$O44*COUNT(data3!V7)=0,"",$K44*data3!V7)</f>
        <v/>
      </c>
      <c r="AK44" s="22" t="str">
        <f>IF(AK$2*$O44*COUNT(data3!W7)=0,"",$K44*data3!W7)</f>
        <v/>
      </c>
      <c r="AL44" s="22" t="str">
        <f>IF(AL$2*$O44*COUNT(data3!X7)=0,"",$K44*data3!X7)</f>
        <v/>
      </c>
      <c r="AM44" s="22" t="str">
        <f>IF(AM$2*$O44*COUNT(data3!Y7)=0,"",$K44*data3!Y7)</f>
        <v/>
      </c>
      <c r="AN44" s="22" t="str">
        <f>IF(AN$2*$O44*COUNT(data3!Z7)=0,"",$K44*data3!Z7)</f>
        <v/>
      </c>
      <c r="AO44" s="22" t="str">
        <f>IF(AO$2*$O44*COUNT(data3!AA7)=0,"",$K44*data3!AA7)</f>
        <v/>
      </c>
      <c r="AP44" s="22" t="str">
        <f>IF(AP$2*$O44*COUNT(data3!AB7)=0,"",$K44*data3!AB7)</f>
        <v/>
      </c>
      <c r="AQ44" s="22" t="str">
        <f>IF(AQ$2*$O44*COUNT(data3!AC7)=0,"",$K44*data3!AC7)</f>
        <v/>
      </c>
      <c r="AR44" s="22" t="str">
        <f>IF(AR$2*$O44*COUNT(data3!AD7)=0,"",$K44*data3!AD7)</f>
        <v/>
      </c>
      <c r="AS44" s="22" t="str">
        <f>IF(AS$2*$O44*COUNT(data3!AE7)=0,"",$K44*data3!AE7)</f>
        <v/>
      </c>
      <c r="AT44" s="22" t="str">
        <f>IF(AT$2*$O44*COUNT(data3!AF7)=0,"",$K44*data3!AF7)</f>
        <v/>
      </c>
      <c r="AU44" s="22" t="str">
        <f>IF(AU$2*$O44*COUNT(data3!AG7)=0,"",$K44*data3!AG7)</f>
        <v/>
      </c>
    </row>
    <row r="45" spans="1:47">
      <c r="A45" s="191"/>
      <c r="B45" s="191"/>
      <c r="C45" t="str">
        <f t="shared" si="53"/>
        <v>Range2-1</v>
      </c>
      <c r="D45" s="22" t="str">
        <f t="shared" si="43"/>
        <v/>
      </c>
      <c r="E45" s="22" t="str">
        <f t="shared" si="54"/>
        <v/>
      </c>
      <c r="F45" s="22" t="str">
        <f t="shared" si="44"/>
        <v/>
      </c>
      <c r="G45" s="22" t="str">
        <f t="shared" si="55"/>
        <v/>
      </c>
      <c r="I45" s="49">
        <f>I44</f>
        <v>2</v>
      </c>
      <c r="J45" s="49">
        <f t="shared" si="49"/>
        <v>5</v>
      </c>
      <c r="K45" s="146">
        <f t="shared" si="45"/>
        <v>21.220159151193634</v>
      </c>
      <c r="L45" s="123">
        <f t="shared" si="50"/>
        <v>40</v>
      </c>
      <c r="M45" s="130">
        <f t="shared" si="46"/>
        <v>1</v>
      </c>
      <c r="N45" s="108">
        <v>1</v>
      </c>
      <c r="O45" s="110">
        <f t="shared" si="51"/>
        <v>1</v>
      </c>
      <c r="P45" s="22" t="str">
        <f>IF(P$2*$O45*COUNT(data3!B8)=0,"",$K45*data3!B8)</f>
        <v/>
      </c>
      <c r="Q45" s="22" t="str">
        <f>IF(Q$2*$O45*COUNT(data3!C8)=0,"",$K45*data3!C8)</f>
        <v/>
      </c>
      <c r="R45" s="22" t="str">
        <f>IF(R$2*$O45*COUNT(data3!D8)=0,"",$K45*data3!D8)</f>
        <v/>
      </c>
      <c r="S45" s="22" t="str">
        <f>IF(S$2*$O45*COUNT(data3!E8)=0,"",$K45*data3!E8)</f>
        <v/>
      </c>
      <c r="T45" s="22" t="str">
        <f>IF(T$2*$O45*COUNT(data3!F8)=0,"",$K45*data3!F8)</f>
        <v/>
      </c>
      <c r="U45" s="22" t="str">
        <f>IF(U$2*$O45*COUNT(data3!G8)=0,"",$K45*data3!G8)</f>
        <v/>
      </c>
      <c r="V45" s="22" t="str">
        <f>IF(V$2*$O45*COUNT(data3!H8)=0,"",$K45*data3!H8)</f>
        <v/>
      </c>
      <c r="W45" s="22" t="str">
        <f>IF(W$2*$O45*COUNT(data3!I8)=0,"",$K45*data3!I8)</f>
        <v/>
      </c>
      <c r="X45" s="22" t="str">
        <f>IF(X$2*$O45*COUNT(data3!J8)=0,"",$K45*data3!J8)</f>
        <v/>
      </c>
      <c r="Y45" s="22" t="str">
        <f>IF(Y$2*$O45*COUNT(data3!K8)=0,"",$K45*data3!K8)</f>
        <v/>
      </c>
      <c r="Z45" s="22" t="str">
        <f>IF(Z$2*$O45*COUNT(data3!L8)=0,"",$K45*data3!L8)</f>
        <v/>
      </c>
      <c r="AA45" s="22" t="str">
        <f>IF(AA$2*$O45*COUNT(data3!M8)=0,"",$K45*data3!M8)</f>
        <v/>
      </c>
      <c r="AB45" s="22" t="str">
        <f>IF(AB$2*$O45*COUNT(data3!N8)=0,"",$K45*data3!N8)</f>
        <v/>
      </c>
      <c r="AC45" s="22" t="str">
        <f>IF(AC$2*$O45*COUNT(data3!O8)=0,"",$K45*data3!O8)</f>
        <v/>
      </c>
      <c r="AD45" s="22" t="str">
        <f>IF(AD$2*$O45*COUNT(data3!P8)=0,"",$K45*data3!P8)</f>
        <v/>
      </c>
      <c r="AE45" s="22" t="str">
        <f>IF(AE$2*$O45*COUNT(data3!Q8)=0,"",$K45*data3!Q8)</f>
        <v/>
      </c>
      <c r="AF45" s="22" t="str">
        <f>IF(AF$2*$O45*COUNT(data3!R8)=0,"",$K45*data3!R8)</f>
        <v/>
      </c>
      <c r="AG45" s="22" t="str">
        <f>IF(AG$2*$O45*COUNT(data3!S8)=0,"",$K45*data3!S8)</f>
        <v/>
      </c>
      <c r="AH45" s="22" t="str">
        <f>IF(AH$2*$O45*COUNT(data3!T8)=0,"",$K45*data3!T8)</f>
        <v/>
      </c>
      <c r="AI45" s="22" t="str">
        <f>IF(AI$2*$O45*COUNT(data3!U8)=0,"",$K45*data3!U8)</f>
        <v/>
      </c>
      <c r="AJ45" s="22" t="str">
        <f>IF(AJ$2*$O45*COUNT(data3!V8)=0,"",$K45*data3!V8)</f>
        <v/>
      </c>
      <c r="AK45" s="22" t="str">
        <f>IF(AK$2*$O45*COUNT(data3!W8)=0,"",$K45*data3!W8)</f>
        <v/>
      </c>
      <c r="AL45" s="22" t="str">
        <f>IF(AL$2*$O45*COUNT(data3!X8)=0,"",$K45*data3!X8)</f>
        <v/>
      </c>
      <c r="AM45" s="22" t="str">
        <f>IF(AM$2*$O45*COUNT(data3!Y8)=0,"",$K45*data3!Y8)</f>
        <v/>
      </c>
      <c r="AN45" s="22" t="str">
        <f>IF(AN$2*$O45*COUNT(data3!Z8)=0,"",$K45*data3!Z8)</f>
        <v/>
      </c>
      <c r="AO45" s="22" t="str">
        <f>IF(AO$2*$O45*COUNT(data3!AA8)=0,"",$K45*data3!AA8)</f>
        <v/>
      </c>
      <c r="AP45" s="22" t="str">
        <f>IF(AP$2*$O45*COUNT(data3!AB8)=0,"",$K45*data3!AB8)</f>
        <v/>
      </c>
      <c r="AQ45" s="22" t="str">
        <f>IF(AQ$2*$O45*COUNT(data3!AC8)=0,"",$K45*data3!AC8)</f>
        <v/>
      </c>
      <c r="AR45" s="22" t="str">
        <f>IF(AR$2*$O45*COUNT(data3!AD8)=0,"",$K45*data3!AD8)</f>
        <v/>
      </c>
      <c r="AS45" s="22" t="str">
        <f>IF(AS$2*$O45*COUNT(data3!AE8)=0,"",$K45*data3!AE8)</f>
        <v/>
      </c>
      <c r="AT45" s="22" t="str">
        <f>IF(AT$2*$O45*COUNT(data3!AF8)=0,"",$K45*data3!AF8)</f>
        <v/>
      </c>
      <c r="AU45" s="22" t="str">
        <f>IF(AU$2*$O45*COUNT(data3!AG8)=0,"",$K45*data3!AG8)</f>
        <v/>
      </c>
    </row>
    <row r="46" spans="1:47">
      <c r="A46" s="191"/>
      <c r="B46" s="191"/>
      <c r="C46" t="str">
        <f t="shared" si="53"/>
        <v>Range3-1</v>
      </c>
      <c r="D46" s="22" t="str">
        <f t="shared" si="43"/>
        <v/>
      </c>
      <c r="E46" s="22" t="str">
        <f t="shared" si="54"/>
        <v/>
      </c>
      <c r="F46" s="22" t="str">
        <f t="shared" si="44"/>
        <v/>
      </c>
      <c r="G46" s="22" t="str">
        <f t="shared" si="55"/>
        <v/>
      </c>
      <c r="I46" s="49">
        <f t="shared" ref="I46:I48" si="56">I45</f>
        <v>2</v>
      </c>
      <c r="J46" s="49">
        <f t="shared" si="49"/>
        <v>5</v>
      </c>
      <c r="K46" s="146">
        <f t="shared" si="45"/>
        <v>21.220159151193634</v>
      </c>
      <c r="L46" s="123">
        <f t="shared" si="50"/>
        <v>41</v>
      </c>
      <c r="M46" s="130">
        <f t="shared" si="46"/>
        <v>1</v>
      </c>
      <c r="N46" s="108">
        <v>1</v>
      </c>
      <c r="O46" s="110">
        <f t="shared" si="51"/>
        <v>1</v>
      </c>
      <c r="P46" s="22" t="str">
        <f>IF(P$2*$O46*COUNT(data3!B9)=0,"",$K46*data3!B9)</f>
        <v/>
      </c>
      <c r="Q46" s="22" t="str">
        <f>IF(Q$2*$O46*COUNT(data3!C9)=0,"",$K46*data3!C9)</f>
        <v/>
      </c>
      <c r="R46" s="22" t="str">
        <f>IF(R$2*$O46*COUNT(data3!D9)=0,"",$K46*data3!D9)</f>
        <v/>
      </c>
      <c r="S46" s="22" t="str">
        <f>IF(S$2*$O46*COUNT(data3!E9)=0,"",$K46*data3!E9)</f>
        <v/>
      </c>
      <c r="T46" s="22" t="str">
        <f>IF(T$2*$O46*COUNT(data3!F9)=0,"",$K46*data3!F9)</f>
        <v/>
      </c>
      <c r="U46" s="22" t="str">
        <f>IF(U$2*$O46*COUNT(data3!G9)=0,"",$K46*data3!G9)</f>
        <v/>
      </c>
      <c r="V46" s="22" t="str">
        <f>IF(V$2*$O46*COUNT(data3!H9)=0,"",$K46*data3!H9)</f>
        <v/>
      </c>
      <c r="W46" s="22" t="str">
        <f>IF(W$2*$O46*COUNT(data3!I9)=0,"",$K46*data3!I9)</f>
        <v/>
      </c>
      <c r="X46" s="22" t="str">
        <f>IF(X$2*$O46*COUNT(data3!J9)=0,"",$K46*data3!J9)</f>
        <v/>
      </c>
      <c r="Y46" s="22" t="str">
        <f>IF(Y$2*$O46*COUNT(data3!K9)=0,"",$K46*data3!K9)</f>
        <v/>
      </c>
      <c r="Z46" s="22" t="str">
        <f>IF(Z$2*$O46*COUNT(data3!L9)=0,"",$K46*data3!L9)</f>
        <v/>
      </c>
      <c r="AA46" s="22" t="str">
        <f>IF(AA$2*$O46*COUNT(data3!M9)=0,"",$K46*data3!M9)</f>
        <v/>
      </c>
      <c r="AB46" s="22" t="str">
        <f>IF(AB$2*$O46*COUNT(data3!N9)=0,"",$K46*data3!N9)</f>
        <v/>
      </c>
      <c r="AC46" s="22" t="str">
        <f>IF(AC$2*$O46*COUNT(data3!O9)=0,"",$K46*data3!O9)</f>
        <v/>
      </c>
      <c r="AD46" s="22" t="str">
        <f>IF(AD$2*$O46*COUNT(data3!P9)=0,"",$K46*data3!P9)</f>
        <v/>
      </c>
      <c r="AE46" s="22" t="str">
        <f>IF(AE$2*$O46*COUNT(data3!Q9)=0,"",$K46*data3!Q9)</f>
        <v/>
      </c>
      <c r="AF46" s="22" t="str">
        <f>IF(AF$2*$O46*COUNT(data3!R9)=0,"",$K46*data3!R9)</f>
        <v/>
      </c>
      <c r="AG46" s="22" t="str">
        <f>IF(AG$2*$O46*COUNT(data3!S9)=0,"",$K46*data3!S9)</f>
        <v/>
      </c>
      <c r="AH46" s="22" t="str">
        <f>IF(AH$2*$O46*COUNT(data3!T9)=0,"",$K46*data3!T9)</f>
        <v/>
      </c>
      <c r="AI46" s="22" t="str">
        <f>IF(AI$2*$O46*COUNT(data3!U9)=0,"",$K46*data3!U9)</f>
        <v/>
      </c>
      <c r="AJ46" s="22" t="str">
        <f>IF(AJ$2*$O46*COUNT(data3!V9)=0,"",$K46*data3!V9)</f>
        <v/>
      </c>
      <c r="AK46" s="22" t="str">
        <f>IF(AK$2*$O46*COUNT(data3!W9)=0,"",$K46*data3!W9)</f>
        <v/>
      </c>
      <c r="AL46" s="22" t="str">
        <f>IF(AL$2*$O46*COUNT(data3!X9)=0,"",$K46*data3!X9)</f>
        <v/>
      </c>
      <c r="AM46" s="22" t="str">
        <f>IF(AM$2*$O46*COUNT(data3!Y9)=0,"",$K46*data3!Y9)</f>
        <v/>
      </c>
      <c r="AN46" s="22" t="str">
        <f>IF(AN$2*$O46*COUNT(data3!Z9)=0,"",$K46*data3!Z9)</f>
        <v/>
      </c>
      <c r="AO46" s="22" t="str">
        <f>IF(AO$2*$O46*COUNT(data3!AA9)=0,"",$K46*data3!AA9)</f>
        <v/>
      </c>
      <c r="AP46" s="22" t="str">
        <f>IF(AP$2*$O46*COUNT(data3!AB9)=0,"",$K46*data3!AB9)</f>
        <v/>
      </c>
      <c r="AQ46" s="22" t="str">
        <f>IF(AQ$2*$O46*COUNT(data3!AC9)=0,"",$K46*data3!AC9)</f>
        <v/>
      </c>
      <c r="AR46" s="22" t="str">
        <f>IF(AR$2*$O46*COUNT(data3!AD9)=0,"",$K46*data3!AD9)</f>
        <v/>
      </c>
      <c r="AS46" s="22" t="str">
        <f>IF(AS$2*$O46*COUNT(data3!AE9)=0,"",$K46*data3!AE9)</f>
        <v/>
      </c>
      <c r="AT46" s="22" t="str">
        <f>IF(AT$2*$O46*COUNT(data3!AF9)=0,"",$K46*data3!AF9)</f>
        <v/>
      </c>
      <c r="AU46" s="22" t="str">
        <f>IF(AU$2*$O46*COUNT(data3!AG9)=0,"",$K46*data3!AG9)</f>
        <v/>
      </c>
    </row>
    <row r="47" spans="1:47">
      <c r="A47" s="191"/>
      <c r="B47" s="191" t="str">
        <f>B35</f>
        <v>P2</v>
      </c>
      <c r="C47" t="str">
        <f t="shared" si="53"/>
        <v>Range2-2</v>
      </c>
      <c r="D47" s="22" t="str">
        <f t="shared" si="43"/>
        <v/>
      </c>
      <c r="E47" s="22" t="str">
        <f t="shared" si="54"/>
        <v/>
      </c>
      <c r="F47" s="22" t="str">
        <f t="shared" si="44"/>
        <v/>
      </c>
      <c r="G47" s="22" t="str">
        <f t="shared" si="55"/>
        <v/>
      </c>
      <c r="I47" s="49">
        <f>I46+1</f>
        <v>3</v>
      </c>
      <c r="J47" s="49">
        <f t="shared" si="49"/>
        <v>5</v>
      </c>
      <c r="K47" s="146">
        <f t="shared" si="45"/>
        <v>12.030075187969924</v>
      </c>
      <c r="L47" s="123">
        <f t="shared" si="50"/>
        <v>42</v>
      </c>
      <c r="M47" s="130">
        <f t="shared" si="46"/>
        <v>1</v>
      </c>
      <c r="N47" s="108">
        <v>1</v>
      </c>
      <c r="O47" s="110">
        <f t="shared" si="51"/>
        <v>1</v>
      </c>
      <c r="P47" s="22" t="str">
        <f>IF(P$2*$O47*COUNT(data3!B10)=0,"",$K47*data3!B10)</f>
        <v/>
      </c>
      <c r="Q47" s="22" t="str">
        <f>IF(Q$2*$O47*COUNT(data3!C10)=0,"",$K47*data3!C10)</f>
        <v/>
      </c>
      <c r="R47" s="22" t="str">
        <f>IF(R$2*$O47*COUNT(data3!D10)=0,"",$K47*data3!D10)</f>
        <v/>
      </c>
      <c r="S47" s="22" t="str">
        <f>IF(S$2*$O47*COUNT(data3!E10)=0,"",$K47*data3!E10)</f>
        <v/>
      </c>
      <c r="T47" s="22" t="str">
        <f>IF(T$2*$O47*COUNT(data3!F10)=0,"",$K47*data3!F10)</f>
        <v/>
      </c>
      <c r="U47" s="22" t="str">
        <f>IF(U$2*$O47*COUNT(data3!G10)=0,"",$K47*data3!G10)</f>
        <v/>
      </c>
      <c r="V47" s="22" t="str">
        <f>IF(V$2*$O47*COUNT(data3!H10)=0,"",$K47*data3!H10)</f>
        <v/>
      </c>
      <c r="W47" s="22" t="str">
        <f>IF(W$2*$O47*COUNT(data3!I10)=0,"",$K47*data3!I10)</f>
        <v/>
      </c>
      <c r="X47" s="22" t="str">
        <f>IF(X$2*$O47*COUNT(data3!J10)=0,"",$K47*data3!J10)</f>
        <v/>
      </c>
      <c r="Y47" s="22" t="str">
        <f>IF(Y$2*$O47*COUNT(data3!K10)=0,"",$K47*data3!K10)</f>
        <v/>
      </c>
      <c r="Z47" s="22" t="str">
        <f>IF(Z$2*$O47*COUNT(data3!L10)=0,"",$K47*data3!L10)</f>
        <v/>
      </c>
      <c r="AA47" s="22" t="str">
        <f>IF(AA$2*$O47*COUNT(data3!M10)=0,"",$K47*data3!M10)</f>
        <v/>
      </c>
      <c r="AB47" s="22" t="str">
        <f>IF(AB$2*$O47*COUNT(data3!N10)=0,"",$K47*data3!N10)</f>
        <v/>
      </c>
      <c r="AC47" s="22" t="str">
        <f>IF(AC$2*$O47*COUNT(data3!O10)=0,"",$K47*data3!O10)</f>
        <v/>
      </c>
      <c r="AD47" s="22" t="str">
        <f>IF(AD$2*$O47*COUNT(data3!P10)=0,"",$K47*data3!P10)</f>
        <v/>
      </c>
      <c r="AE47" s="22" t="str">
        <f>IF(AE$2*$O47*COUNT(data3!Q10)=0,"",$K47*data3!Q10)</f>
        <v/>
      </c>
      <c r="AF47" s="22" t="str">
        <f>IF(AF$2*$O47*COUNT(data3!R10)=0,"",$K47*data3!R10)</f>
        <v/>
      </c>
      <c r="AG47" s="22" t="str">
        <f>IF(AG$2*$O47*COUNT(data3!S10)=0,"",$K47*data3!S10)</f>
        <v/>
      </c>
      <c r="AH47" s="22" t="str">
        <f>IF(AH$2*$O47*COUNT(data3!T10)=0,"",$K47*data3!T10)</f>
        <v/>
      </c>
      <c r="AI47" s="22" t="str">
        <f>IF(AI$2*$O47*COUNT(data3!U10)=0,"",$K47*data3!U10)</f>
        <v/>
      </c>
      <c r="AJ47" s="22" t="str">
        <f>IF(AJ$2*$O47*COUNT(data3!V10)=0,"",$K47*data3!V10)</f>
        <v/>
      </c>
      <c r="AK47" s="22" t="str">
        <f>IF(AK$2*$O47*COUNT(data3!W10)=0,"",$K47*data3!W10)</f>
        <v/>
      </c>
      <c r="AL47" s="22" t="str">
        <f>IF(AL$2*$O47*COUNT(data3!X10)=0,"",$K47*data3!X10)</f>
        <v/>
      </c>
      <c r="AM47" s="22" t="str">
        <f>IF(AM$2*$O47*COUNT(data3!Y10)=0,"",$K47*data3!Y10)</f>
        <v/>
      </c>
      <c r="AN47" s="22" t="str">
        <f>IF(AN$2*$O47*COUNT(data3!Z10)=0,"",$K47*data3!Z10)</f>
        <v/>
      </c>
      <c r="AO47" s="22" t="str">
        <f>IF(AO$2*$O47*COUNT(data3!AA10)=0,"",$K47*data3!AA10)</f>
        <v/>
      </c>
      <c r="AP47" s="22" t="str">
        <f>IF(AP$2*$O47*COUNT(data3!AB10)=0,"",$K47*data3!AB10)</f>
        <v/>
      </c>
      <c r="AQ47" s="22" t="str">
        <f>IF(AQ$2*$O47*COUNT(data3!AC10)=0,"",$K47*data3!AC10)</f>
        <v/>
      </c>
      <c r="AR47" s="22" t="str">
        <f>IF(AR$2*$O47*COUNT(data3!AD10)=0,"",$K47*data3!AD10)</f>
        <v/>
      </c>
      <c r="AS47" s="22" t="str">
        <f>IF(AS$2*$O47*COUNT(data3!AE10)=0,"",$K47*data3!AE10)</f>
        <v/>
      </c>
      <c r="AT47" s="22" t="str">
        <f>IF(AT$2*$O47*COUNT(data3!AF10)=0,"",$K47*data3!AF10)</f>
        <v/>
      </c>
      <c r="AU47" s="22" t="str">
        <f>IF(AU$2*$O47*COUNT(data3!AG10)=0,"",$K47*data3!AG10)</f>
        <v/>
      </c>
    </row>
    <row r="48" spans="1:47">
      <c r="A48" s="191"/>
      <c r="B48" s="191"/>
      <c r="C48" t="str">
        <f t="shared" si="53"/>
        <v>Range3-2</v>
      </c>
      <c r="D48" s="22" t="str">
        <f t="shared" si="43"/>
        <v/>
      </c>
      <c r="E48" s="22" t="str">
        <f t="shared" si="54"/>
        <v/>
      </c>
      <c r="F48" s="22" t="str">
        <f t="shared" si="44"/>
        <v/>
      </c>
      <c r="G48" s="22" t="str">
        <f t="shared" si="55"/>
        <v/>
      </c>
      <c r="I48" s="49">
        <f t="shared" si="56"/>
        <v>3</v>
      </c>
      <c r="J48" s="49">
        <f t="shared" si="49"/>
        <v>5</v>
      </c>
      <c r="K48" s="146">
        <f t="shared" si="45"/>
        <v>12.030075187969924</v>
      </c>
      <c r="L48" s="123">
        <f t="shared" si="50"/>
        <v>43</v>
      </c>
      <c r="M48" s="130">
        <f t="shared" si="46"/>
        <v>1</v>
      </c>
      <c r="N48" s="108">
        <v>1</v>
      </c>
      <c r="O48" s="110">
        <f t="shared" si="51"/>
        <v>1</v>
      </c>
      <c r="P48" s="22" t="str">
        <f>IF(P$2*$O48*COUNT(data3!B11)=0,"",$K48*data3!B11)</f>
        <v/>
      </c>
      <c r="Q48" s="22" t="str">
        <f>IF(Q$2*$O48*COUNT(data3!C11)=0,"",$K48*data3!C11)</f>
        <v/>
      </c>
      <c r="R48" s="22" t="str">
        <f>IF(R$2*$O48*COUNT(data3!D11)=0,"",$K48*data3!D11)</f>
        <v/>
      </c>
      <c r="S48" s="22" t="str">
        <f>IF(S$2*$O48*COUNT(data3!E11)=0,"",$K48*data3!E11)</f>
        <v/>
      </c>
      <c r="T48" s="22" t="str">
        <f>IF(T$2*$O48*COUNT(data3!F11)=0,"",$K48*data3!F11)</f>
        <v/>
      </c>
      <c r="U48" s="22" t="str">
        <f>IF(U$2*$O48*COUNT(data3!G11)=0,"",$K48*data3!G11)</f>
        <v/>
      </c>
      <c r="V48" s="22" t="str">
        <f>IF(V$2*$O48*COUNT(data3!H11)=0,"",$K48*data3!H11)</f>
        <v/>
      </c>
      <c r="W48" s="22" t="str">
        <f>IF(W$2*$O48*COUNT(data3!I11)=0,"",$K48*data3!I11)</f>
        <v/>
      </c>
      <c r="X48" s="22" t="str">
        <f>IF(X$2*$O48*COUNT(data3!J11)=0,"",$K48*data3!J11)</f>
        <v/>
      </c>
      <c r="Y48" s="22" t="str">
        <f>IF(Y$2*$O48*COUNT(data3!K11)=0,"",$K48*data3!K11)</f>
        <v/>
      </c>
      <c r="Z48" s="22" t="str">
        <f>IF(Z$2*$O48*COUNT(data3!L11)=0,"",$K48*data3!L11)</f>
        <v/>
      </c>
      <c r="AA48" s="22" t="str">
        <f>IF(AA$2*$O48*COUNT(data3!M11)=0,"",$K48*data3!M11)</f>
        <v/>
      </c>
      <c r="AB48" s="22" t="str">
        <f>IF(AB$2*$O48*COUNT(data3!N11)=0,"",$K48*data3!N11)</f>
        <v/>
      </c>
      <c r="AC48" s="22" t="str">
        <f>IF(AC$2*$O48*COUNT(data3!O11)=0,"",$K48*data3!O11)</f>
        <v/>
      </c>
      <c r="AD48" s="22" t="str">
        <f>IF(AD$2*$O48*COUNT(data3!P11)=0,"",$K48*data3!P11)</f>
        <v/>
      </c>
      <c r="AE48" s="22" t="str">
        <f>IF(AE$2*$O48*COUNT(data3!Q11)=0,"",$K48*data3!Q11)</f>
        <v/>
      </c>
      <c r="AF48" s="22" t="str">
        <f>IF(AF$2*$O48*COUNT(data3!R11)=0,"",$K48*data3!R11)</f>
        <v/>
      </c>
      <c r="AG48" s="22" t="str">
        <f>IF(AG$2*$O48*COUNT(data3!S11)=0,"",$K48*data3!S11)</f>
        <v/>
      </c>
      <c r="AH48" s="22" t="str">
        <f>IF(AH$2*$O48*COUNT(data3!T11)=0,"",$K48*data3!T11)</f>
        <v/>
      </c>
      <c r="AI48" s="22" t="str">
        <f>IF(AI$2*$O48*COUNT(data3!U11)=0,"",$K48*data3!U11)</f>
        <v/>
      </c>
      <c r="AJ48" s="22" t="str">
        <f>IF(AJ$2*$O48*COUNT(data3!V11)=0,"",$K48*data3!V11)</f>
        <v/>
      </c>
      <c r="AK48" s="22" t="str">
        <f>IF(AK$2*$O48*COUNT(data3!W11)=0,"",$K48*data3!W11)</f>
        <v/>
      </c>
      <c r="AL48" s="22" t="str">
        <f>IF(AL$2*$O48*COUNT(data3!X11)=0,"",$K48*data3!X11)</f>
        <v/>
      </c>
      <c r="AM48" s="22" t="str">
        <f>IF(AM$2*$O48*COUNT(data3!Y11)=0,"",$K48*data3!Y11)</f>
        <v/>
      </c>
      <c r="AN48" s="22" t="str">
        <f>IF(AN$2*$O48*COUNT(data3!Z11)=0,"",$K48*data3!Z11)</f>
        <v/>
      </c>
      <c r="AO48" s="22" t="str">
        <f>IF(AO$2*$O48*COUNT(data3!AA11)=0,"",$K48*data3!AA11)</f>
        <v/>
      </c>
      <c r="AP48" s="22" t="str">
        <f>IF(AP$2*$O48*COUNT(data3!AB11)=0,"",$K48*data3!AB11)</f>
        <v/>
      </c>
      <c r="AQ48" s="22" t="str">
        <f>IF(AQ$2*$O48*COUNT(data3!AC11)=0,"",$K48*data3!AC11)</f>
        <v/>
      </c>
      <c r="AR48" s="22" t="str">
        <f>IF(AR$2*$O48*COUNT(data3!AD11)=0,"",$K48*data3!AD11)</f>
        <v/>
      </c>
      <c r="AS48" s="22" t="str">
        <f>IF(AS$2*$O48*COUNT(data3!AE11)=0,"",$K48*data3!AE11)</f>
        <v/>
      </c>
      <c r="AT48" s="22" t="str">
        <f>IF(AT$2*$O48*COUNT(data3!AF11)=0,"",$K48*data3!AF11)</f>
        <v/>
      </c>
      <c r="AU48" s="22" t="str">
        <f>IF(AU$2*$O48*COUNT(data3!AG11)=0,"",$K48*data3!AG11)</f>
        <v/>
      </c>
    </row>
    <row r="49" spans="1:47">
      <c r="A49" s="191"/>
      <c r="B49" s="113" t="str">
        <f>B37</f>
        <v>P3</v>
      </c>
      <c r="C49" t="str">
        <f t="shared" si="53"/>
        <v>Range3-3</v>
      </c>
      <c r="D49" s="22" t="str">
        <f t="shared" si="43"/>
        <v/>
      </c>
      <c r="E49" s="22" t="str">
        <f t="shared" si="54"/>
        <v/>
      </c>
      <c r="F49" s="22" t="str">
        <f t="shared" si="44"/>
        <v/>
      </c>
      <c r="G49" s="22" t="str">
        <f t="shared" si="55"/>
        <v/>
      </c>
      <c r="I49" s="49">
        <f>I48+1</f>
        <v>4</v>
      </c>
      <c r="J49" s="49">
        <f t="shared" si="49"/>
        <v>5</v>
      </c>
      <c r="K49" s="146">
        <f t="shared" si="45"/>
        <v>25.286448044251284</v>
      </c>
      <c r="L49" s="123">
        <f t="shared" si="50"/>
        <v>44</v>
      </c>
      <c r="M49" s="130">
        <f t="shared" si="46"/>
        <v>1</v>
      </c>
      <c r="N49" s="108">
        <v>1</v>
      </c>
      <c r="O49" s="110">
        <f t="shared" si="51"/>
        <v>1</v>
      </c>
      <c r="P49" s="22" t="str">
        <f>IF(P$2*$O49*COUNT(data3!B12)=0,"",$K49*data3!B12)</f>
        <v/>
      </c>
      <c r="Q49" s="22" t="str">
        <f>IF(Q$2*$O49*COUNT(data3!C12)=0,"",$K49*data3!C12)</f>
        <v/>
      </c>
      <c r="R49" s="22" t="str">
        <f>IF(R$2*$O49*COUNT(data3!D12)=0,"",$K49*data3!D12)</f>
        <v/>
      </c>
      <c r="S49" s="22" t="str">
        <f>IF(S$2*$O49*COUNT(data3!E12)=0,"",$K49*data3!E12)</f>
        <v/>
      </c>
      <c r="T49" s="22" t="str">
        <f>IF(T$2*$O49*COUNT(data3!F12)=0,"",$K49*data3!F12)</f>
        <v/>
      </c>
      <c r="U49" s="22" t="str">
        <f>IF(U$2*$O49*COUNT(data3!G12)=0,"",$K49*data3!G12)</f>
        <v/>
      </c>
      <c r="V49" s="22" t="str">
        <f>IF(V$2*$O49*COUNT(data3!H12)=0,"",$K49*data3!H12)</f>
        <v/>
      </c>
      <c r="W49" s="22" t="str">
        <f>IF(W$2*$O49*COUNT(data3!I12)=0,"",$K49*data3!I12)</f>
        <v/>
      </c>
      <c r="X49" s="22" t="str">
        <f>IF(X$2*$O49*COUNT(data3!J12)=0,"",$K49*data3!J12)</f>
        <v/>
      </c>
      <c r="Y49" s="22" t="str">
        <f>IF(Y$2*$O49*COUNT(data3!K12)=0,"",$K49*data3!K12)</f>
        <v/>
      </c>
      <c r="Z49" s="22" t="str">
        <f>IF(Z$2*$O49*COUNT(data3!L12)=0,"",$K49*data3!L12)</f>
        <v/>
      </c>
      <c r="AA49" s="22" t="str">
        <f>IF(AA$2*$O49*COUNT(data3!M12)=0,"",$K49*data3!M12)</f>
        <v/>
      </c>
      <c r="AB49" s="22" t="str">
        <f>IF(AB$2*$O49*COUNT(data3!N12)=0,"",$K49*data3!N12)</f>
        <v/>
      </c>
      <c r="AC49" s="22" t="str">
        <f>IF(AC$2*$O49*COUNT(data3!O12)=0,"",$K49*data3!O12)</f>
        <v/>
      </c>
      <c r="AD49" s="22" t="str">
        <f>IF(AD$2*$O49*COUNT(data3!P12)=0,"",$K49*data3!P12)</f>
        <v/>
      </c>
      <c r="AE49" s="22" t="str">
        <f>IF(AE$2*$O49*COUNT(data3!Q12)=0,"",$K49*data3!Q12)</f>
        <v/>
      </c>
      <c r="AF49" s="22" t="str">
        <f>IF(AF$2*$O49*COUNT(data3!R12)=0,"",$K49*data3!R12)</f>
        <v/>
      </c>
      <c r="AG49" s="22" t="str">
        <f>IF(AG$2*$O49*COUNT(data3!S12)=0,"",$K49*data3!S12)</f>
        <v/>
      </c>
      <c r="AH49" s="22" t="str">
        <f>IF(AH$2*$O49*COUNT(data3!T12)=0,"",$K49*data3!T12)</f>
        <v/>
      </c>
      <c r="AI49" s="22" t="str">
        <f>IF(AI$2*$O49*COUNT(data3!U12)=0,"",$K49*data3!U12)</f>
        <v/>
      </c>
      <c r="AJ49" s="22" t="str">
        <f>IF(AJ$2*$O49*COUNT(data3!V12)=0,"",$K49*data3!V12)</f>
        <v/>
      </c>
      <c r="AK49" s="22" t="str">
        <f>IF(AK$2*$O49*COUNT(data3!W12)=0,"",$K49*data3!W12)</f>
        <v/>
      </c>
      <c r="AL49" s="22" t="str">
        <f>IF(AL$2*$O49*COUNT(data3!X12)=0,"",$K49*data3!X12)</f>
        <v/>
      </c>
      <c r="AM49" s="22" t="str">
        <f>IF(AM$2*$O49*COUNT(data3!Y12)=0,"",$K49*data3!Y12)</f>
        <v/>
      </c>
      <c r="AN49" s="22" t="str">
        <f>IF(AN$2*$O49*COUNT(data3!Z12)=0,"",$K49*data3!Z12)</f>
        <v/>
      </c>
      <c r="AO49" s="22" t="str">
        <f>IF(AO$2*$O49*COUNT(data3!AA12)=0,"",$K49*data3!AA12)</f>
        <v/>
      </c>
      <c r="AP49" s="22" t="str">
        <f>IF(AP$2*$O49*COUNT(data3!AB12)=0,"",$K49*data3!AB12)</f>
        <v/>
      </c>
      <c r="AQ49" s="22" t="str">
        <f>IF(AQ$2*$O49*COUNT(data3!AC12)=0,"",$K49*data3!AC12)</f>
        <v/>
      </c>
      <c r="AR49" s="22" t="str">
        <f>IF(AR$2*$O49*COUNT(data3!AD12)=0,"",$K49*data3!AD12)</f>
        <v/>
      </c>
      <c r="AS49" s="22" t="str">
        <f>IF(AS$2*$O49*COUNT(data3!AE12)=0,"",$K49*data3!AE12)</f>
        <v/>
      </c>
      <c r="AT49" s="22" t="str">
        <f>IF(AT$2*$O49*COUNT(data3!AF12)=0,"",$K49*data3!AF12)</f>
        <v/>
      </c>
      <c r="AU49" s="22" t="str">
        <f>IF(AU$2*$O49*COUNT(data3!AG12)=0,"",$K49*data3!AG12)</f>
        <v/>
      </c>
    </row>
    <row r="50" spans="1:47" s="21" customFormat="1">
      <c r="A50" s="191"/>
      <c r="B50" s="191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</row>
    <row r="51" spans="1:47">
      <c r="A51" s="191" t="str">
        <f>Calculations!W1</f>
        <v>3200K</v>
      </c>
      <c r="B51" s="191" t="str">
        <f>B39</f>
        <v>P0</v>
      </c>
      <c r="C51" t="str">
        <f>C39</f>
        <v>Range0</v>
      </c>
      <c r="D51" s="22">
        <f t="shared" ref="D51:D61" si="57">IF(COUNT(P51:AU51)=0,"",E51-1.5*G51)</f>
        <v>989.19047475803916</v>
      </c>
      <c r="E51" s="22">
        <f>IF(COUNT(P51:AU51)=0,"",AVERAGE(P51:AU51))</f>
        <v>1062.823710190595</v>
      </c>
      <c r="F51" s="22">
        <f t="shared" ref="F51:F61" si="58">IF(COUNT(P51:AU51)=0,"",E51+1.5*G51)</f>
        <v>1136.4569456231507</v>
      </c>
      <c r="G51" s="22">
        <f>IF(COUNT(P51:AU51)=0,"",STDEV(P51:AU51))</f>
        <v>49.088823621703874</v>
      </c>
      <c r="I51" s="49">
        <v>1</v>
      </c>
      <c r="J51" s="49">
        <f>J39+1</f>
        <v>6</v>
      </c>
      <c r="K51" s="146">
        <f t="shared" ref="K51:K61" si="59">INDEX(calTable,I51,1)/INDEX(calTable,I51,J51)</f>
        <v>1.2180267965895251</v>
      </c>
      <c r="L51" s="49">
        <f>L49+1</f>
        <v>45</v>
      </c>
      <c r="M51" s="130">
        <f t="shared" ref="M51:M61" si="60">INDEX(dataEnable,L51)</f>
        <v>1</v>
      </c>
      <c r="N51" s="108">
        <v>1</v>
      </c>
      <c r="O51" s="110">
        <f>M51*N51</f>
        <v>1</v>
      </c>
      <c r="P51" s="22">
        <f>IF(P$2*$O51*COUNT(data4!B2)=0,"",$K51*data4!B2)</f>
        <v>1088.7845306229149</v>
      </c>
      <c r="Q51" s="22">
        <f>IF(Q$2*$O51*COUNT(data4!C2)=0,"",$K51*data4!C2)</f>
        <v>1110.5091216332694</v>
      </c>
      <c r="R51" s="22">
        <f>IF(R$2*$O51*COUNT(data4!D2)=0,"",$K51*data4!D2)</f>
        <v>1105.1459285686342</v>
      </c>
      <c r="S51" s="22">
        <f>IF(S$2*$O51*COUNT(data4!E2)=0,"",$K51*data4!E2)</f>
        <v>1060.2987385658398</v>
      </c>
      <c r="T51" s="22">
        <f>IF(T$2*$O51*COUNT(data4!F2)=0,"",$K51*data4!F2)</f>
        <v>1026.9399564922726</v>
      </c>
      <c r="U51" s="22">
        <f>IF(U$2*$O51*COUNT(data4!G2)=0,"",$K51*data4!G2)</f>
        <v>985.26398526063986</v>
      </c>
      <c r="V51" s="22" t="str">
        <f>IF(V$2*$O51*COUNT(data4!H2)=0,"",$K51*data4!H2)</f>
        <v/>
      </c>
      <c r="W51" s="22" t="str">
        <f>IF(W$2*$O51*COUNT(data4!I2)=0,"",$K51*data4!I2)</f>
        <v/>
      </c>
      <c r="X51" s="22" t="str">
        <f>IF(X$2*$O51*COUNT(data4!J2)=0,"",$K51*data4!J2)</f>
        <v/>
      </c>
      <c r="Y51" s="22" t="str">
        <f>IF(Y$2*$O51*COUNT(data4!K2)=0,"",$K51*data4!K2)</f>
        <v/>
      </c>
      <c r="Z51" s="22" t="str">
        <f>IF(Z$2*$O51*COUNT(data4!L2)=0,"",$K51*data4!L2)</f>
        <v/>
      </c>
      <c r="AA51" s="22" t="str">
        <f>IF(AA$2*$O51*COUNT(data4!M2)=0,"",$K51*data4!M2)</f>
        <v/>
      </c>
      <c r="AB51" s="22" t="str">
        <f>IF(AB$2*$O51*COUNT(data4!N2)=0,"",$K51*data4!N2)</f>
        <v/>
      </c>
      <c r="AC51" s="22" t="str">
        <f>IF(AC$2*$O51*COUNT(data4!O2)=0,"",$K51*data4!O2)</f>
        <v/>
      </c>
      <c r="AD51" s="22" t="str">
        <f>IF(AD$2*$O51*COUNT(data4!P2)=0,"",$K51*data4!P2)</f>
        <v/>
      </c>
      <c r="AE51" s="22" t="str">
        <f>IF(AE$2*$O51*COUNT(data4!Q2)=0,"",$K51*data4!Q2)</f>
        <v/>
      </c>
      <c r="AF51" s="22" t="str">
        <f>IF(AF$2*$O51*COUNT(data4!R2)=0,"",$K51*data4!R2)</f>
        <v/>
      </c>
      <c r="AG51" s="22" t="str">
        <f>IF(AG$2*$O51*COUNT(data4!S2)=0,"",$K51*data4!S2)</f>
        <v/>
      </c>
      <c r="AH51" s="22" t="str">
        <f>IF(AH$2*$O51*COUNT(data4!T2)=0,"",$K51*data4!T2)</f>
        <v/>
      </c>
      <c r="AI51" s="22" t="str">
        <f>IF(AI$2*$O51*COUNT(data4!U2)=0,"",$K51*data4!U2)</f>
        <v/>
      </c>
      <c r="AJ51" s="22" t="str">
        <f>IF(AJ$2*$O51*COUNT(data4!V2)=0,"",$K51*data4!V2)</f>
        <v/>
      </c>
      <c r="AK51" s="22" t="str">
        <f>IF(AK$2*$O51*COUNT(data4!W2)=0,"",$K51*data4!W2)</f>
        <v/>
      </c>
      <c r="AL51" s="22" t="str">
        <f>IF(AL$2*$O51*COUNT(data4!X2)=0,"",$K51*data4!X2)</f>
        <v/>
      </c>
      <c r="AM51" s="22" t="str">
        <f>IF(AM$2*$O51*COUNT(data4!Y2)=0,"",$K51*data4!Y2)</f>
        <v/>
      </c>
      <c r="AN51" s="22" t="str">
        <f>IF(AN$2*$O51*COUNT(data4!Z2)=0,"",$K51*data4!Z2)</f>
        <v/>
      </c>
      <c r="AO51" s="22" t="str">
        <f>IF(AO$2*$O51*COUNT(data4!AA2)=0,"",$K51*data4!AA2)</f>
        <v/>
      </c>
      <c r="AP51" s="22" t="str">
        <f>IF(AP$2*$O51*COUNT(data4!AB2)=0,"",$K51*data4!AB2)</f>
        <v/>
      </c>
      <c r="AQ51" s="22" t="str">
        <f>IF(AQ$2*$O51*COUNT(data4!AC2)=0,"",$K51*data4!AC2)</f>
        <v/>
      </c>
      <c r="AR51" s="22" t="str">
        <f>IF(AR$2*$O51*COUNT(data4!AD2)=0,"",$K51*data4!AD2)</f>
        <v/>
      </c>
      <c r="AS51" s="22" t="str">
        <f>IF(AS$2*$O51*COUNT(data4!AE2)=0,"",$K51*data4!AE2)</f>
        <v/>
      </c>
      <c r="AT51" s="22" t="str">
        <f>IF(AT$2*$O51*COUNT(data4!AF2)=0,"",$K51*data4!AF2)</f>
        <v/>
      </c>
      <c r="AU51" s="22" t="str">
        <f>IF(AU$2*$O51*COUNT(data4!AG2)=0,"",$K51*data4!AG2)</f>
        <v/>
      </c>
    </row>
    <row r="52" spans="1:47">
      <c r="A52" s="191"/>
      <c r="B52" s="191"/>
      <c r="C52" t="str">
        <f>C40</f>
        <v>Range1</v>
      </c>
      <c r="D52" s="22">
        <f t="shared" si="57"/>
        <v>1019.4055098181449</v>
      </c>
      <c r="E52" s="22">
        <f t="shared" ref="E52:E54" si="61">IF(COUNT(P52:AU52)=0,"",AVERAGE(P52:AU52))</f>
        <v>1084.5877962332645</v>
      </c>
      <c r="F52" s="22">
        <f t="shared" si="58"/>
        <v>1149.7700826483842</v>
      </c>
      <c r="G52" s="22">
        <f t="shared" ref="G52:G54" si="62">IF(COUNT(P52:AU52)=0,"",STDEV(P52:AU52))</f>
        <v>43.454857610079742</v>
      </c>
      <c r="I52" s="49">
        <f>I51</f>
        <v>1</v>
      </c>
      <c r="J52" s="49">
        <f t="shared" ref="J52:J61" si="63">J40+1</f>
        <v>6</v>
      </c>
      <c r="K52" s="146">
        <f t="shared" si="59"/>
        <v>1.2180267965895251</v>
      </c>
      <c r="L52" s="123">
        <f t="shared" ref="L52:L61" si="64">L51+1</f>
        <v>46</v>
      </c>
      <c r="M52" s="130">
        <f t="shared" si="60"/>
        <v>1</v>
      </c>
      <c r="N52" s="108">
        <v>1</v>
      </c>
      <c r="O52" s="110">
        <f t="shared" ref="O52:O61" si="65">M52*N52</f>
        <v>1</v>
      </c>
      <c r="P52" s="22">
        <f>IF(P$2*$O52*COUNT(data4!B3)=0,"",$K52*data4!B3)</f>
        <v>1087.9928875487219</v>
      </c>
      <c r="Q52" s="22">
        <f>IF(Q$2*$O52*COUNT(data4!C3)=0,"",$K52*data4!C3)</f>
        <v>1121.0781084425789</v>
      </c>
      <c r="R52" s="22">
        <f>IF(R$2*$O52*COUNT(data4!D3)=0,"",$K52*data4!D3)</f>
        <v>1128.9097410268914</v>
      </c>
      <c r="S52" s="22">
        <f>IF(S$2*$O52*COUNT(data4!E3)=0,"",$K52*data4!E3)</f>
        <v>1101.7789770637944</v>
      </c>
      <c r="T52" s="22">
        <f>IF(T$2*$O52*COUNT(data4!F3)=0,"",$K52*data4!F3)</f>
        <v>1052.5472576647544</v>
      </c>
      <c r="U52" s="22">
        <f>IF(U$2*$O52*COUNT(data4!G3)=0,"",$K52*data4!G3)</f>
        <v>1015.2198056528449</v>
      </c>
      <c r="V52" s="22" t="str">
        <f>IF(V$2*$O52*COUNT(data4!H3)=0,"",$K52*data4!H3)</f>
        <v/>
      </c>
      <c r="W52" s="22" t="str">
        <f>IF(W$2*$O52*COUNT(data4!I3)=0,"",$K52*data4!I3)</f>
        <v/>
      </c>
      <c r="X52" s="22" t="str">
        <f>IF(X$2*$O52*COUNT(data4!J3)=0,"",$K52*data4!J3)</f>
        <v/>
      </c>
      <c r="Y52" s="22" t="str">
        <f>IF(Y$2*$O52*COUNT(data4!K3)=0,"",$K52*data4!K3)</f>
        <v/>
      </c>
      <c r="Z52" s="22" t="str">
        <f>IF(Z$2*$O52*COUNT(data4!L3)=0,"",$K52*data4!L3)</f>
        <v/>
      </c>
      <c r="AA52" s="22" t="str">
        <f>IF(AA$2*$O52*COUNT(data4!M3)=0,"",$K52*data4!M3)</f>
        <v/>
      </c>
      <c r="AB52" s="22" t="str">
        <f>IF(AB$2*$O52*COUNT(data4!N3)=0,"",$K52*data4!N3)</f>
        <v/>
      </c>
      <c r="AC52" s="22" t="str">
        <f>IF(AC$2*$O52*COUNT(data4!O3)=0,"",$K52*data4!O3)</f>
        <v/>
      </c>
      <c r="AD52" s="22" t="str">
        <f>IF(AD$2*$O52*COUNT(data4!P3)=0,"",$K52*data4!P3)</f>
        <v/>
      </c>
      <c r="AE52" s="22" t="str">
        <f>IF(AE$2*$O52*COUNT(data4!Q3)=0,"",$K52*data4!Q3)</f>
        <v/>
      </c>
      <c r="AF52" s="22" t="str">
        <f>IF(AF$2*$O52*COUNT(data4!R3)=0,"",$K52*data4!R3)</f>
        <v/>
      </c>
      <c r="AG52" s="22" t="str">
        <f>IF(AG$2*$O52*COUNT(data4!S3)=0,"",$K52*data4!S3)</f>
        <v/>
      </c>
      <c r="AH52" s="22" t="str">
        <f>IF(AH$2*$O52*COUNT(data4!T3)=0,"",$K52*data4!T3)</f>
        <v/>
      </c>
      <c r="AI52" s="22" t="str">
        <f>IF(AI$2*$O52*COUNT(data4!U3)=0,"",$K52*data4!U3)</f>
        <v/>
      </c>
      <c r="AJ52" s="22" t="str">
        <f>IF(AJ$2*$O52*COUNT(data4!V3)=0,"",$K52*data4!V3)</f>
        <v/>
      </c>
      <c r="AK52" s="22" t="str">
        <f>IF(AK$2*$O52*COUNT(data4!W3)=0,"",$K52*data4!W3)</f>
        <v/>
      </c>
      <c r="AL52" s="22" t="str">
        <f>IF(AL$2*$O52*COUNT(data4!X3)=0,"",$K52*data4!X3)</f>
        <v/>
      </c>
      <c r="AM52" s="22" t="str">
        <f>IF(AM$2*$O52*COUNT(data4!Y3)=0,"",$K52*data4!Y3)</f>
        <v/>
      </c>
      <c r="AN52" s="22" t="str">
        <f>IF(AN$2*$O52*COUNT(data4!Z3)=0,"",$K52*data4!Z3)</f>
        <v/>
      </c>
      <c r="AO52" s="22" t="str">
        <f>IF(AO$2*$O52*COUNT(data4!AA3)=0,"",$K52*data4!AA3)</f>
        <v/>
      </c>
      <c r="AP52" s="22" t="str">
        <f>IF(AP$2*$O52*COUNT(data4!AB3)=0,"",$K52*data4!AB3)</f>
        <v/>
      </c>
      <c r="AQ52" s="22" t="str">
        <f>IF(AQ$2*$O52*COUNT(data4!AC3)=0,"",$K52*data4!AC3)</f>
        <v/>
      </c>
      <c r="AR52" s="22" t="str">
        <f>IF(AR$2*$O52*COUNT(data4!AD3)=0,"",$K52*data4!AD3)</f>
        <v/>
      </c>
      <c r="AS52" s="22" t="str">
        <f>IF(AS$2*$O52*COUNT(data4!AE3)=0,"",$K52*data4!AE3)</f>
        <v/>
      </c>
      <c r="AT52" s="22" t="str">
        <f>IF(AT$2*$O52*COUNT(data4!AF3)=0,"",$K52*data4!AF3)</f>
        <v/>
      </c>
      <c r="AU52" s="22" t="str">
        <f>IF(AU$2*$O52*COUNT(data4!AG3)=0,"",$K52*data4!AG3)</f>
        <v/>
      </c>
    </row>
    <row r="53" spans="1:47">
      <c r="A53" s="191"/>
      <c r="B53" s="191"/>
      <c r="C53" t="str">
        <f>C41</f>
        <v>Range2</v>
      </c>
      <c r="D53" s="22">
        <f t="shared" si="57"/>
        <v>809.73230397370048</v>
      </c>
      <c r="E53" s="22">
        <f t="shared" si="61"/>
        <v>974.49578086185977</v>
      </c>
      <c r="F53" s="22">
        <f t="shared" si="58"/>
        <v>1139.2592577500191</v>
      </c>
      <c r="G53" s="22">
        <f t="shared" si="62"/>
        <v>109.84231792543949</v>
      </c>
      <c r="I53" s="49">
        <f t="shared" ref="I53:I55" si="66">I52</f>
        <v>1</v>
      </c>
      <c r="J53" s="49">
        <f t="shared" si="63"/>
        <v>6</v>
      </c>
      <c r="K53" s="146">
        <f t="shared" si="59"/>
        <v>1.2180267965895251</v>
      </c>
      <c r="L53" s="123">
        <f t="shared" si="64"/>
        <v>47</v>
      </c>
      <c r="M53" s="130">
        <f t="shared" si="60"/>
        <v>1</v>
      </c>
      <c r="N53" s="108">
        <v>1</v>
      </c>
      <c r="O53" s="110">
        <f t="shared" si="65"/>
        <v>1</v>
      </c>
      <c r="P53" s="22">
        <f>IF(P$2*$O53*COUNT(data4!B4)=0,"",$K53*data4!B4)</f>
        <v>954.10705123862465</v>
      </c>
      <c r="Q53" s="22">
        <f>IF(Q$2*$O53*COUNT(data4!C4)=0,"",$K53*data4!C4)</f>
        <v>1057.7606019303128</v>
      </c>
      <c r="R53" s="22">
        <f>IF(R$2*$O53*COUNT(data4!D4)=0,"",$K53*data4!D4)</f>
        <v>1114.7170850026955</v>
      </c>
      <c r="S53" s="22">
        <f>IF(S$2*$O53*COUNT(data4!E4)=0,"",$K53*data4!E4)</f>
        <v>1007.1512028746437</v>
      </c>
      <c r="T53" s="22">
        <f>IF(T$2*$O53*COUNT(data4!F4)=0,"",$K53*data4!F4)</f>
        <v>903.84149128781405</v>
      </c>
      <c r="U53" s="22">
        <f>IF(U$2*$O53*COUNT(data4!G4)=0,"",$K53*data4!G4)</f>
        <v>809.39725283706764</v>
      </c>
      <c r="V53" s="22" t="str">
        <f>IF(V$2*$O53*COUNT(data4!H4)=0,"",$K53*data4!H4)</f>
        <v/>
      </c>
      <c r="W53" s="22" t="str">
        <f>IF(W$2*$O53*COUNT(data4!I4)=0,"",$K53*data4!I4)</f>
        <v/>
      </c>
      <c r="X53" s="22" t="str">
        <f>IF(X$2*$O53*COUNT(data4!J4)=0,"",$K53*data4!J4)</f>
        <v/>
      </c>
      <c r="Y53" s="22" t="str">
        <f>IF(Y$2*$O53*COUNT(data4!K4)=0,"",$K53*data4!K4)</f>
        <v/>
      </c>
      <c r="Z53" s="22" t="str">
        <f>IF(Z$2*$O53*COUNT(data4!L4)=0,"",$K53*data4!L4)</f>
        <v/>
      </c>
      <c r="AA53" s="22" t="str">
        <f>IF(AA$2*$O53*COUNT(data4!M4)=0,"",$K53*data4!M4)</f>
        <v/>
      </c>
      <c r="AB53" s="22" t="str">
        <f>IF(AB$2*$O53*COUNT(data4!N4)=0,"",$K53*data4!N4)</f>
        <v/>
      </c>
      <c r="AC53" s="22" t="str">
        <f>IF(AC$2*$O53*COUNT(data4!O4)=0,"",$K53*data4!O4)</f>
        <v/>
      </c>
      <c r="AD53" s="22" t="str">
        <f>IF(AD$2*$O53*COUNT(data4!P4)=0,"",$K53*data4!P4)</f>
        <v/>
      </c>
      <c r="AE53" s="22" t="str">
        <f>IF(AE$2*$O53*COUNT(data4!Q4)=0,"",$K53*data4!Q4)</f>
        <v/>
      </c>
      <c r="AF53" s="22" t="str">
        <f>IF(AF$2*$O53*COUNT(data4!R4)=0,"",$K53*data4!R4)</f>
        <v/>
      </c>
      <c r="AG53" s="22" t="str">
        <f>IF(AG$2*$O53*COUNT(data4!S4)=0,"",$K53*data4!S4)</f>
        <v/>
      </c>
      <c r="AH53" s="22" t="str">
        <f>IF(AH$2*$O53*COUNT(data4!T4)=0,"",$K53*data4!T4)</f>
        <v/>
      </c>
      <c r="AI53" s="22" t="str">
        <f>IF(AI$2*$O53*COUNT(data4!U4)=0,"",$K53*data4!U4)</f>
        <v/>
      </c>
      <c r="AJ53" s="22" t="str">
        <f>IF(AJ$2*$O53*COUNT(data4!V4)=0,"",$K53*data4!V4)</f>
        <v/>
      </c>
      <c r="AK53" s="22" t="str">
        <f>IF(AK$2*$O53*COUNT(data4!W4)=0,"",$K53*data4!W4)</f>
        <v/>
      </c>
      <c r="AL53" s="22" t="str">
        <f>IF(AL$2*$O53*COUNT(data4!X4)=0,"",$K53*data4!X4)</f>
        <v/>
      </c>
      <c r="AM53" s="22" t="str">
        <f>IF(AM$2*$O53*COUNT(data4!Y4)=0,"",$K53*data4!Y4)</f>
        <v/>
      </c>
      <c r="AN53" s="22" t="str">
        <f>IF(AN$2*$O53*COUNT(data4!Z4)=0,"",$K53*data4!Z4)</f>
        <v/>
      </c>
      <c r="AO53" s="22" t="str">
        <f>IF(AO$2*$O53*COUNT(data4!AA4)=0,"",$K53*data4!AA4)</f>
        <v/>
      </c>
      <c r="AP53" s="22" t="str">
        <f>IF(AP$2*$O53*COUNT(data4!AB4)=0,"",$K53*data4!AB4)</f>
        <v/>
      </c>
      <c r="AQ53" s="22" t="str">
        <f>IF(AQ$2*$O53*COUNT(data4!AC4)=0,"",$K53*data4!AC4)</f>
        <v/>
      </c>
      <c r="AR53" s="22" t="str">
        <f>IF(AR$2*$O53*COUNT(data4!AD4)=0,"",$K53*data4!AD4)</f>
        <v/>
      </c>
      <c r="AS53" s="22" t="str">
        <f>IF(AS$2*$O53*COUNT(data4!AE4)=0,"",$K53*data4!AE4)</f>
        <v/>
      </c>
      <c r="AT53" s="22" t="str">
        <f>IF(AT$2*$O53*COUNT(data4!AF4)=0,"",$K53*data4!AF4)</f>
        <v/>
      </c>
      <c r="AU53" s="22" t="str">
        <f>IF(AU$2*$O53*COUNT(data4!AG4)=0,"",$K53*data4!AG4)</f>
        <v/>
      </c>
    </row>
    <row r="54" spans="1:47">
      <c r="A54" s="191"/>
      <c r="B54" s="191"/>
      <c r="C54" t="str">
        <f>C42</f>
        <v>Range3</v>
      </c>
      <c r="D54" s="22">
        <f t="shared" si="57"/>
        <v>810.45695725749715</v>
      </c>
      <c r="E54" s="22">
        <f t="shared" si="61"/>
        <v>971.04499921490094</v>
      </c>
      <c r="F54" s="22">
        <f t="shared" si="58"/>
        <v>1131.6330411723047</v>
      </c>
      <c r="G54" s="22">
        <f t="shared" si="62"/>
        <v>107.05869463826917</v>
      </c>
      <c r="I54" s="49">
        <f t="shared" si="66"/>
        <v>1</v>
      </c>
      <c r="J54" s="49">
        <f t="shared" si="63"/>
        <v>6</v>
      </c>
      <c r="K54" s="146">
        <f t="shared" si="59"/>
        <v>1.2180267965895251</v>
      </c>
      <c r="L54" s="123">
        <f t="shared" si="64"/>
        <v>48</v>
      </c>
      <c r="M54" s="130">
        <f t="shared" si="60"/>
        <v>1</v>
      </c>
      <c r="N54" s="108">
        <v>1</v>
      </c>
      <c r="O54" s="110">
        <f t="shared" si="65"/>
        <v>1</v>
      </c>
      <c r="P54" s="22">
        <f>IF(P$2*$O54*COUNT(data4!B5)=0,"",$K54*data4!B5)</f>
        <v>931.15346775212038</v>
      </c>
      <c r="Q54" s="22">
        <f>IF(Q$2*$O54*COUNT(data4!C5)=0,"",$K54*data4!C5)</f>
        <v>1041.9997607994985</v>
      </c>
      <c r="R54" s="22">
        <f>IF(R$2*$O54*COUNT(data4!D5)=0,"",$K54*data4!D5)</f>
        <v>1110.9906125419309</v>
      </c>
      <c r="S54" s="22">
        <f>IF(S$2*$O54*COUNT(data4!E5)=0,"",$K54*data4!E5)</f>
        <v>1021.9269914347821</v>
      </c>
      <c r="T54" s="22">
        <f>IF(T$2*$O54*COUNT(data4!F5)=0,"",$K54*data4!F5)</f>
        <v>904.20391629023266</v>
      </c>
      <c r="U54" s="22">
        <f>IF(U$2*$O54*COUNT(data4!G5)=0,"",$K54*data4!G5)</f>
        <v>815.99524647084013</v>
      </c>
      <c r="V54" s="22" t="str">
        <f>IF(V$2*$O54*COUNT(data4!H5)=0,"",$K54*data4!H5)</f>
        <v/>
      </c>
      <c r="W54" s="22" t="str">
        <f>IF(W$2*$O54*COUNT(data4!I5)=0,"",$K54*data4!I5)</f>
        <v/>
      </c>
      <c r="X54" s="22" t="str">
        <f>IF(X$2*$O54*COUNT(data4!J5)=0,"",$K54*data4!J5)</f>
        <v/>
      </c>
      <c r="Y54" s="22" t="str">
        <f>IF(Y$2*$O54*COUNT(data4!K5)=0,"",$K54*data4!K5)</f>
        <v/>
      </c>
      <c r="Z54" s="22" t="str">
        <f>IF(Z$2*$O54*COUNT(data4!L5)=0,"",$K54*data4!L5)</f>
        <v/>
      </c>
      <c r="AA54" s="22" t="str">
        <f>IF(AA$2*$O54*COUNT(data4!M5)=0,"",$K54*data4!M5)</f>
        <v/>
      </c>
      <c r="AB54" s="22" t="str">
        <f>IF(AB$2*$O54*COUNT(data4!N5)=0,"",$K54*data4!N5)</f>
        <v/>
      </c>
      <c r="AC54" s="22" t="str">
        <f>IF(AC$2*$O54*COUNT(data4!O5)=0,"",$K54*data4!O5)</f>
        <v/>
      </c>
      <c r="AD54" s="22" t="str">
        <f>IF(AD$2*$O54*COUNT(data4!P5)=0,"",$K54*data4!P5)</f>
        <v/>
      </c>
      <c r="AE54" s="22" t="str">
        <f>IF(AE$2*$O54*COUNT(data4!Q5)=0,"",$K54*data4!Q5)</f>
        <v/>
      </c>
      <c r="AF54" s="22" t="str">
        <f>IF(AF$2*$O54*COUNT(data4!R5)=0,"",$K54*data4!R5)</f>
        <v/>
      </c>
      <c r="AG54" s="22" t="str">
        <f>IF(AG$2*$O54*COUNT(data4!S5)=0,"",$K54*data4!S5)</f>
        <v/>
      </c>
      <c r="AH54" s="22" t="str">
        <f>IF(AH$2*$O54*COUNT(data4!T5)=0,"",$K54*data4!T5)</f>
        <v/>
      </c>
      <c r="AI54" s="22" t="str">
        <f>IF(AI$2*$O54*COUNT(data4!U5)=0,"",$K54*data4!U5)</f>
        <v/>
      </c>
      <c r="AJ54" s="22" t="str">
        <f>IF(AJ$2*$O54*COUNT(data4!V5)=0,"",$K54*data4!V5)</f>
        <v/>
      </c>
      <c r="AK54" s="22" t="str">
        <f>IF(AK$2*$O54*COUNT(data4!W5)=0,"",$K54*data4!W5)</f>
        <v/>
      </c>
      <c r="AL54" s="22" t="str">
        <f>IF(AL$2*$O54*COUNT(data4!X5)=0,"",$K54*data4!X5)</f>
        <v/>
      </c>
      <c r="AM54" s="22" t="str">
        <f>IF(AM$2*$O54*COUNT(data4!Y5)=0,"",$K54*data4!Y5)</f>
        <v/>
      </c>
      <c r="AN54" s="22" t="str">
        <f>IF(AN$2*$O54*COUNT(data4!Z5)=0,"",$K54*data4!Z5)</f>
        <v/>
      </c>
      <c r="AO54" s="22" t="str">
        <f>IF(AO$2*$O54*COUNT(data4!AA5)=0,"",$K54*data4!AA5)</f>
        <v/>
      </c>
      <c r="AP54" s="22" t="str">
        <f>IF(AP$2*$O54*COUNT(data4!AB5)=0,"",$K54*data4!AB5)</f>
        <v/>
      </c>
      <c r="AQ54" s="22" t="str">
        <f>IF(AQ$2*$O54*COUNT(data4!AC5)=0,"",$K54*data4!AC5)</f>
        <v/>
      </c>
      <c r="AR54" s="22" t="str">
        <f>IF(AR$2*$O54*COUNT(data4!AD5)=0,"",$K54*data4!AD5)</f>
        <v/>
      </c>
      <c r="AS54" s="22" t="str">
        <f>IF(AS$2*$O54*COUNT(data4!AE5)=0,"",$K54*data4!AE5)</f>
        <v/>
      </c>
      <c r="AT54" s="22" t="str">
        <f>IF(AT$2*$O54*COUNT(data4!AF5)=0,"",$K54*data4!AF5)</f>
        <v/>
      </c>
      <c r="AU54" s="22" t="str">
        <f>IF(AU$2*$O54*COUNT(data4!AG5)=0,"",$K54*data4!AG5)</f>
        <v/>
      </c>
    </row>
    <row r="55" spans="1:47">
      <c r="A55" s="191"/>
      <c r="B55" s="191"/>
      <c r="C55" s="47" t="str">
        <f>C43</f>
        <v>%IR</v>
      </c>
      <c r="D55" s="47">
        <f t="shared" si="57"/>
        <v>1.0742909842906889E-2</v>
      </c>
      <c r="E55" s="47">
        <f>IF(COUNT(P55:AU55)=0,"",AVERAGE(P55:AU55))</f>
        <v>1.1621606861739913E-2</v>
      </c>
      <c r="F55" s="47">
        <f t="shared" si="58"/>
        <v>1.2500303880572938E-2</v>
      </c>
      <c r="G55" s="47">
        <f>IF(COUNT(P55:AU55)=0,"",STDEV(P55:AU55))</f>
        <v>5.8579801255535054E-4</v>
      </c>
      <c r="I55" s="49">
        <f t="shared" si="66"/>
        <v>1</v>
      </c>
      <c r="J55" s="49">
        <f t="shared" si="63"/>
        <v>6</v>
      </c>
      <c r="K55" s="146">
        <f t="shared" si="59"/>
        <v>1.2180267965895251</v>
      </c>
      <c r="L55" s="123">
        <f t="shared" si="64"/>
        <v>49</v>
      </c>
      <c r="M55" s="130">
        <f t="shared" si="60"/>
        <v>1</v>
      </c>
      <c r="N55" s="108">
        <v>1</v>
      </c>
      <c r="O55" s="110">
        <f t="shared" si="65"/>
        <v>1</v>
      </c>
      <c r="P55" s="47">
        <f>IF(P$2*$O55*COUNT(data4!B6)=0,"",$K55*data4!B6)</f>
        <v>1.154184238471191E-2</v>
      </c>
      <c r="Q55" s="47">
        <f>IF(Q$2*$O55*COUNT(data4!C6)=0,"",$K55*data4!C6)</f>
        <v>1.1778812578600924E-2</v>
      </c>
      <c r="R55" s="47">
        <f>IF(R$2*$O55*COUNT(data4!D6)=0,"",$K55*data4!D6)</f>
        <v>1.0556789814036016E-2</v>
      </c>
      <c r="S55" s="47">
        <f>IF(S$2*$O55*COUNT(data4!E6)=0,"",$K55*data4!E6)</f>
        <v>1.1597600077391679E-2</v>
      </c>
      <c r="T55" s="47">
        <f>IF(T$2*$O55*COUNT(data4!F6)=0,"",$K55*data4!F6)</f>
        <v>1.2266692389548891E-2</v>
      </c>
      <c r="U55" s="47">
        <f>IF(U$2*$O55*COUNT(data4!G6)=0,"",$K55*data4!G6)</f>
        <v>1.1987903926150052E-2</v>
      </c>
      <c r="V55" s="47" t="str">
        <f>IF(V$2*$O55*COUNT(data4!H6)=0,"",$K55*data4!H6)</f>
        <v/>
      </c>
      <c r="W55" s="47" t="str">
        <f>IF(W$2*$O55*COUNT(data4!I6)=0,"",$K55*data4!I6)</f>
        <v/>
      </c>
      <c r="X55" s="47" t="str">
        <f>IF(X$2*$O55*COUNT(data4!J6)=0,"",$K55*data4!J6)</f>
        <v/>
      </c>
      <c r="Y55" s="47" t="str">
        <f>IF(Y$2*$O55*COUNT(data4!K6)=0,"",$K55*data4!K6)</f>
        <v/>
      </c>
      <c r="Z55" s="47" t="str">
        <f>IF(Z$2*$O55*COUNT(data4!L6)=0,"",$K55*data4!L6)</f>
        <v/>
      </c>
      <c r="AA55" s="47" t="str">
        <f>IF(AA$2*$O55*COUNT(data4!M6)=0,"",$K55*data4!M6)</f>
        <v/>
      </c>
      <c r="AB55" s="47" t="str">
        <f>IF(AB$2*$O55*COUNT(data4!N6)=0,"",$K55*data4!N6)</f>
        <v/>
      </c>
      <c r="AC55" s="47" t="str">
        <f>IF(AC$2*$O55*COUNT(data4!O6)=0,"",$K55*data4!O6)</f>
        <v/>
      </c>
      <c r="AD55" s="47" t="str">
        <f>IF(AD$2*$O55*COUNT(data4!P6)=0,"",$K55*data4!P6)</f>
        <v/>
      </c>
      <c r="AE55" s="47" t="str">
        <f>IF(AE$2*$O55*COUNT(data4!Q6)=0,"",$K55*data4!Q6)</f>
        <v/>
      </c>
      <c r="AF55" s="47" t="str">
        <f>IF(AF$2*$O55*COUNT(data4!R6)=0,"",$K55*data4!R6)</f>
        <v/>
      </c>
      <c r="AG55" s="47" t="str">
        <f>IF(AG$2*$O55*COUNT(data4!S6)=0,"",$K55*data4!S6)</f>
        <v/>
      </c>
      <c r="AH55" s="47" t="str">
        <f>IF(AH$2*$O55*COUNT(data4!T6)=0,"",$K55*data4!T6)</f>
        <v/>
      </c>
      <c r="AI55" s="47" t="str">
        <f>IF(AI$2*$O55*COUNT(data4!U6)=0,"",$K55*data4!U6)</f>
        <v/>
      </c>
      <c r="AJ55" s="47" t="str">
        <f>IF(AJ$2*$O55*COUNT(data4!V6)=0,"",$K55*data4!V6)</f>
        <v/>
      </c>
      <c r="AK55" s="47" t="str">
        <f>IF(AK$2*$O55*COUNT(data4!W6)=0,"",$K55*data4!W6)</f>
        <v/>
      </c>
      <c r="AL55" s="47" t="str">
        <f>IF(AL$2*$O55*COUNT(data4!X6)=0,"",$K55*data4!X6)</f>
        <v/>
      </c>
      <c r="AM55" s="47" t="str">
        <f>IF(AM$2*$O55*COUNT(data4!Y6)=0,"",$K55*data4!Y6)</f>
        <v/>
      </c>
      <c r="AN55" s="47" t="str">
        <f>IF(AN$2*$O55*COUNT(data4!Z6)=0,"",$K55*data4!Z6)</f>
        <v/>
      </c>
      <c r="AO55" s="47" t="str">
        <f>IF(AO$2*$O55*COUNT(data4!AA6)=0,"",$K55*data4!AA6)</f>
        <v/>
      </c>
      <c r="AP55" s="47" t="str">
        <f>IF(AP$2*$O55*COUNT(data4!AB6)=0,"",$K55*data4!AB6)</f>
        <v/>
      </c>
      <c r="AQ55" s="47" t="str">
        <f>IF(AQ$2*$O55*COUNT(data4!AC6)=0,"",$K55*data4!AC6)</f>
        <v/>
      </c>
      <c r="AR55" s="47" t="str">
        <f>IF(AR$2*$O55*COUNT(data4!AD6)=0,"",$K55*data4!AD6)</f>
        <v/>
      </c>
      <c r="AS55" s="47" t="str">
        <f>IF(AS$2*$O55*COUNT(data4!AE6)=0,"",$K55*data4!AE6)</f>
        <v/>
      </c>
      <c r="AT55" s="47" t="str">
        <f>IF(AT$2*$O55*COUNT(data4!AF6)=0,"",$K55*data4!AF6)</f>
        <v/>
      </c>
      <c r="AU55" s="47" t="str">
        <f>IF(AU$2*$O55*COUNT(data4!AG6)=0,"",$K55*data4!AG6)</f>
        <v/>
      </c>
    </row>
    <row r="56" spans="1:47">
      <c r="A56" s="191"/>
      <c r="B56" s="191" t="str">
        <f>B44</f>
        <v>P1</v>
      </c>
      <c r="C56" s="47" t="str">
        <f t="shared" ref="C56:C61" si="67">C44</f>
        <v>Range1-1</v>
      </c>
      <c r="D56" s="22">
        <f t="shared" si="57"/>
        <v>4076.6440356455037</v>
      </c>
      <c r="E56" s="22">
        <f t="shared" ref="E56:E61" si="68">IF(COUNT(P56:AU56)=0,"",AVERAGE(P56:AU56))</f>
        <v>4336.7326630205489</v>
      </c>
      <c r="F56" s="22">
        <f t="shared" si="58"/>
        <v>4596.8212903955937</v>
      </c>
      <c r="G56" s="22">
        <f t="shared" ref="G56:G61" si="69">IF(COUNT(P56:AU56)=0,"",STDEV(P56:AU56))</f>
        <v>173.39241825003018</v>
      </c>
      <c r="I56" s="49">
        <f>I55+1</f>
        <v>2</v>
      </c>
      <c r="J56" s="49">
        <f t="shared" si="63"/>
        <v>6</v>
      </c>
      <c r="K56" s="146">
        <f t="shared" si="59"/>
        <v>4.8721071863581003</v>
      </c>
      <c r="L56" s="123">
        <f t="shared" si="64"/>
        <v>50</v>
      </c>
      <c r="M56" s="130">
        <f t="shared" si="60"/>
        <v>1</v>
      </c>
      <c r="N56" s="108">
        <v>1</v>
      </c>
      <c r="O56" s="110">
        <f t="shared" si="65"/>
        <v>1</v>
      </c>
      <c r="P56" s="22">
        <f>IF(P$2*$O56*COUNT(data4!B7)=0,"",$K56*data4!B7)</f>
        <v>4352.4547835314452</v>
      </c>
      <c r="Q56" s="22">
        <f>IF(Q$2*$O56*COUNT(data4!C7)=0,"",$K56*data4!C7)</f>
        <v>4481.6453574704665</v>
      </c>
      <c r="R56" s="22">
        <f>IF(R$2*$O56*COUNT(data4!D7)=0,"",$K56*data4!D7)</f>
        <v>4513.6223942223141</v>
      </c>
      <c r="S56" s="22">
        <f>IF(S$2*$O56*COUNT(data4!E7)=0,"",$K56*data4!E7)</f>
        <v>4404.4302460577692</v>
      </c>
      <c r="T56" s="22">
        <f>IF(T$2*$O56*COUNT(data4!F7)=0,"",$K56*data4!F7)</f>
        <v>4208.6278152639843</v>
      </c>
      <c r="U56" s="22">
        <f>IF(U$2*$O56*COUNT(data4!G7)=0,"",$K56*data4!G7)</f>
        <v>4059.6153815773055</v>
      </c>
      <c r="V56" s="22" t="str">
        <f>IF(V$2*$O56*COUNT(data4!H7)=0,"",$K56*data4!H7)</f>
        <v/>
      </c>
      <c r="W56" s="22" t="str">
        <f>IF(W$2*$O56*COUNT(data4!I7)=0,"",$K56*data4!I7)</f>
        <v/>
      </c>
      <c r="X56" s="22" t="str">
        <f>IF(X$2*$O56*COUNT(data4!J7)=0,"",$K56*data4!J7)</f>
        <v/>
      </c>
      <c r="Y56" s="22" t="str">
        <f>IF(Y$2*$O56*COUNT(data4!K7)=0,"",$K56*data4!K7)</f>
        <v/>
      </c>
      <c r="Z56" s="22" t="str">
        <f>IF(Z$2*$O56*COUNT(data4!L7)=0,"",$K56*data4!L7)</f>
        <v/>
      </c>
      <c r="AA56" s="22" t="str">
        <f>IF(AA$2*$O56*COUNT(data4!M7)=0,"",$K56*data4!M7)</f>
        <v/>
      </c>
      <c r="AB56" s="22" t="str">
        <f>IF(AB$2*$O56*COUNT(data4!N7)=0,"",$K56*data4!N7)</f>
        <v/>
      </c>
      <c r="AC56" s="22" t="str">
        <f>IF(AC$2*$O56*COUNT(data4!O7)=0,"",$K56*data4!O7)</f>
        <v/>
      </c>
      <c r="AD56" s="22" t="str">
        <f>IF(AD$2*$O56*COUNT(data4!P7)=0,"",$K56*data4!P7)</f>
        <v/>
      </c>
      <c r="AE56" s="22" t="str">
        <f>IF(AE$2*$O56*COUNT(data4!Q7)=0,"",$K56*data4!Q7)</f>
        <v/>
      </c>
      <c r="AF56" s="22" t="str">
        <f>IF(AF$2*$O56*COUNT(data4!R7)=0,"",$K56*data4!R7)</f>
        <v/>
      </c>
      <c r="AG56" s="22" t="str">
        <f>IF(AG$2*$O56*COUNT(data4!S7)=0,"",$K56*data4!S7)</f>
        <v/>
      </c>
      <c r="AH56" s="22" t="str">
        <f>IF(AH$2*$O56*COUNT(data4!T7)=0,"",$K56*data4!T7)</f>
        <v/>
      </c>
      <c r="AI56" s="22" t="str">
        <f>IF(AI$2*$O56*COUNT(data4!U7)=0,"",$K56*data4!U7)</f>
        <v/>
      </c>
      <c r="AJ56" s="22" t="str">
        <f>IF(AJ$2*$O56*COUNT(data4!V7)=0,"",$K56*data4!V7)</f>
        <v/>
      </c>
      <c r="AK56" s="22" t="str">
        <f>IF(AK$2*$O56*COUNT(data4!W7)=0,"",$K56*data4!W7)</f>
        <v/>
      </c>
      <c r="AL56" s="22" t="str">
        <f>IF(AL$2*$O56*COUNT(data4!X7)=0,"",$K56*data4!X7)</f>
        <v/>
      </c>
      <c r="AM56" s="22" t="str">
        <f>IF(AM$2*$O56*COUNT(data4!Y7)=0,"",$K56*data4!Y7)</f>
        <v/>
      </c>
      <c r="AN56" s="22" t="str">
        <f>IF(AN$2*$O56*COUNT(data4!Z7)=0,"",$K56*data4!Z7)</f>
        <v/>
      </c>
      <c r="AO56" s="22" t="str">
        <f>IF(AO$2*$O56*COUNT(data4!AA7)=0,"",$K56*data4!AA7)</f>
        <v/>
      </c>
      <c r="AP56" s="22" t="str">
        <f>IF(AP$2*$O56*COUNT(data4!AB7)=0,"",$K56*data4!AB7)</f>
        <v/>
      </c>
      <c r="AQ56" s="22" t="str">
        <f>IF(AQ$2*$O56*COUNT(data4!AC7)=0,"",$K56*data4!AC7)</f>
        <v/>
      </c>
      <c r="AR56" s="22" t="str">
        <f>IF(AR$2*$O56*COUNT(data4!AD7)=0,"",$K56*data4!AD7)</f>
        <v/>
      </c>
      <c r="AS56" s="22" t="str">
        <f>IF(AS$2*$O56*COUNT(data4!AE7)=0,"",$K56*data4!AE7)</f>
        <v/>
      </c>
      <c r="AT56" s="22" t="str">
        <f>IF(AT$2*$O56*COUNT(data4!AF7)=0,"",$K56*data4!AF7)</f>
        <v/>
      </c>
      <c r="AU56" s="22" t="str">
        <f>IF(AU$2*$O56*COUNT(data4!AG7)=0,"",$K56*data4!AG7)</f>
        <v/>
      </c>
    </row>
    <row r="57" spans="1:47">
      <c r="A57" s="191"/>
      <c r="B57" s="191"/>
      <c r="C57" s="47" t="str">
        <f t="shared" si="67"/>
        <v>Range2-1</v>
      </c>
      <c r="D57" s="22">
        <f t="shared" si="57"/>
        <v>4077.5226050165925</v>
      </c>
      <c r="E57" s="22">
        <f t="shared" si="68"/>
        <v>4337.9996017042158</v>
      </c>
      <c r="F57" s="22">
        <f t="shared" si="58"/>
        <v>4598.4765983918387</v>
      </c>
      <c r="G57" s="22">
        <f t="shared" si="69"/>
        <v>173.65133112508224</v>
      </c>
      <c r="I57" s="49">
        <f>I56</f>
        <v>2</v>
      </c>
      <c r="J57" s="49">
        <f t="shared" si="63"/>
        <v>6</v>
      </c>
      <c r="K57" s="146">
        <f t="shared" si="59"/>
        <v>4.8721071863581003</v>
      </c>
      <c r="L57" s="123">
        <f t="shared" si="64"/>
        <v>51</v>
      </c>
      <c r="M57" s="130">
        <f t="shared" si="60"/>
        <v>1</v>
      </c>
      <c r="N57" s="108">
        <v>1</v>
      </c>
      <c r="O57" s="110">
        <f t="shared" si="65"/>
        <v>1</v>
      </c>
      <c r="P57" s="22">
        <f>IF(P$2*$O57*COUNT(data4!B8)=0,"",$K57*data4!B8)</f>
        <v>4354.3691309801179</v>
      </c>
      <c r="Q57" s="22">
        <f>IF(Q$2*$O57*COUNT(data4!C8)=0,"",$K57*data4!C8)</f>
        <v>4483.7083920996183</v>
      </c>
      <c r="R57" s="22">
        <f>IF(R$2*$O57*COUNT(data4!D8)=0,"",$K57*data4!D8)</f>
        <v>4513.464414093055</v>
      </c>
      <c r="S57" s="22">
        <f>IF(S$2*$O57*COUNT(data4!E8)=0,"",$K57*data4!E8)</f>
        <v>4406.335300557661</v>
      </c>
      <c r="T57" s="22">
        <f>IF(T$2*$O57*COUNT(data4!F8)=0,"",$K57*data4!F8)</f>
        <v>4210.7187287394763</v>
      </c>
      <c r="U57" s="22">
        <f>IF(U$2*$O57*COUNT(data4!G8)=0,"",$K57*data4!G8)</f>
        <v>4059.401643755366</v>
      </c>
      <c r="V57" s="22" t="str">
        <f>IF(V$2*$O57*COUNT(data4!H8)=0,"",$K57*data4!H8)</f>
        <v/>
      </c>
      <c r="W57" s="22" t="str">
        <f>IF(W$2*$O57*COUNT(data4!I8)=0,"",$K57*data4!I8)</f>
        <v/>
      </c>
      <c r="X57" s="22" t="str">
        <f>IF(X$2*$O57*COUNT(data4!J8)=0,"",$K57*data4!J8)</f>
        <v/>
      </c>
      <c r="Y57" s="22" t="str">
        <f>IF(Y$2*$O57*COUNT(data4!K8)=0,"",$K57*data4!K8)</f>
        <v/>
      </c>
      <c r="Z57" s="22" t="str">
        <f>IF(Z$2*$O57*COUNT(data4!L8)=0,"",$K57*data4!L8)</f>
        <v/>
      </c>
      <c r="AA57" s="22" t="str">
        <f>IF(AA$2*$O57*COUNT(data4!M8)=0,"",$K57*data4!M8)</f>
        <v/>
      </c>
      <c r="AB57" s="22" t="str">
        <f>IF(AB$2*$O57*COUNT(data4!N8)=0,"",$K57*data4!N8)</f>
        <v/>
      </c>
      <c r="AC57" s="22" t="str">
        <f>IF(AC$2*$O57*COUNT(data4!O8)=0,"",$K57*data4!O8)</f>
        <v/>
      </c>
      <c r="AD57" s="22" t="str">
        <f>IF(AD$2*$O57*COUNT(data4!P8)=0,"",$K57*data4!P8)</f>
        <v/>
      </c>
      <c r="AE57" s="22" t="str">
        <f>IF(AE$2*$O57*COUNT(data4!Q8)=0,"",$K57*data4!Q8)</f>
        <v/>
      </c>
      <c r="AF57" s="22" t="str">
        <f>IF(AF$2*$O57*COUNT(data4!R8)=0,"",$K57*data4!R8)</f>
        <v/>
      </c>
      <c r="AG57" s="22" t="str">
        <f>IF(AG$2*$O57*COUNT(data4!S8)=0,"",$K57*data4!S8)</f>
        <v/>
      </c>
      <c r="AH57" s="22" t="str">
        <f>IF(AH$2*$O57*COUNT(data4!T8)=0,"",$K57*data4!T8)</f>
        <v/>
      </c>
      <c r="AI57" s="22" t="str">
        <f>IF(AI$2*$O57*COUNT(data4!U8)=0,"",$K57*data4!U8)</f>
        <v/>
      </c>
      <c r="AJ57" s="22" t="str">
        <f>IF(AJ$2*$O57*COUNT(data4!V8)=0,"",$K57*data4!V8)</f>
        <v/>
      </c>
      <c r="AK57" s="22" t="str">
        <f>IF(AK$2*$O57*COUNT(data4!W8)=0,"",$K57*data4!W8)</f>
        <v/>
      </c>
      <c r="AL57" s="22" t="str">
        <f>IF(AL$2*$O57*COUNT(data4!X8)=0,"",$K57*data4!X8)</f>
        <v/>
      </c>
      <c r="AM57" s="22" t="str">
        <f>IF(AM$2*$O57*COUNT(data4!Y8)=0,"",$K57*data4!Y8)</f>
        <v/>
      </c>
      <c r="AN57" s="22" t="str">
        <f>IF(AN$2*$O57*COUNT(data4!Z8)=0,"",$K57*data4!Z8)</f>
        <v/>
      </c>
      <c r="AO57" s="22" t="str">
        <f>IF(AO$2*$O57*COUNT(data4!AA8)=0,"",$K57*data4!AA8)</f>
        <v/>
      </c>
      <c r="AP57" s="22" t="str">
        <f>IF(AP$2*$O57*COUNT(data4!AB8)=0,"",$K57*data4!AB8)</f>
        <v/>
      </c>
      <c r="AQ57" s="22" t="str">
        <f>IF(AQ$2*$O57*COUNT(data4!AC8)=0,"",$K57*data4!AC8)</f>
        <v/>
      </c>
      <c r="AR57" s="22" t="str">
        <f>IF(AR$2*$O57*COUNT(data4!AD8)=0,"",$K57*data4!AD8)</f>
        <v/>
      </c>
      <c r="AS57" s="22" t="str">
        <f>IF(AS$2*$O57*COUNT(data4!AE8)=0,"",$K57*data4!AE8)</f>
        <v/>
      </c>
      <c r="AT57" s="22" t="str">
        <f>IF(AT$2*$O57*COUNT(data4!AF8)=0,"",$K57*data4!AF8)</f>
        <v/>
      </c>
      <c r="AU57" s="22" t="str">
        <f>IF(AU$2*$O57*COUNT(data4!AG8)=0,"",$K57*data4!AG8)</f>
        <v/>
      </c>
    </row>
    <row r="58" spans="1:47">
      <c r="A58" s="191"/>
      <c r="B58" s="191"/>
      <c r="C58" s="47" t="str">
        <f t="shared" si="67"/>
        <v>Range3-1</v>
      </c>
      <c r="D58" s="22">
        <f t="shared" si="57"/>
        <v>3239.7326876686438</v>
      </c>
      <c r="E58" s="22">
        <f t="shared" si="68"/>
        <v>3897.5122807092534</v>
      </c>
      <c r="F58" s="22">
        <f t="shared" si="58"/>
        <v>4555.291873749863</v>
      </c>
      <c r="G58" s="22">
        <f t="shared" si="69"/>
        <v>438.51972869373981</v>
      </c>
      <c r="I58" s="49">
        <f t="shared" ref="I58:I60" si="70">I57</f>
        <v>2</v>
      </c>
      <c r="J58" s="49">
        <f t="shared" si="63"/>
        <v>6</v>
      </c>
      <c r="K58" s="146">
        <f t="shared" si="59"/>
        <v>4.8721071863581003</v>
      </c>
      <c r="L58" s="123">
        <f t="shared" si="64"/>
        <v>52</v>
      </c>
      <c r="M58" s="130">
        <f t="shared" si="60"/>
        <v>1</v>
      </c>
      <c r="N58" s="108">
        <v>1</v>
      </c>
      <c r="O58" s="110">
        <f t="shared" si="65"/>
        <v>1</v>
      </c>
      <c r="P58" s="22">
        <f>IF(P$2*$O58*COUNT(data4!B9)=0,"",$K58*data4!B9)</f>
        <v>3817.2088126520152</v>
      </c>
      <c r="Q58" s="22">
        <f>IF(Q$2*$O58*COUNT(data4!C9)=0,"",$K58*data4!C9)</f>
        <v>4229.4440205310975</v>
      </c>
      <c r="R58" s="22">
        <f>IF(R$2*$O58*COUNT(data4!D9)=0,"",$K58*data4!D9)</f>
        <v>4457.2699528206285</v>
      </c>
      <c r="S58" s="22">
        <f>IF(S$2*$O58*COUNT(data4!E9)=0,"",$K58*data4!E9)</f>
        <v>4028.2330935473765</v>
      </c>
      <c r="T58" s="22">
        <f>IF(T$2*$O58*COUNT(data4!F9)=0,"",$K58*data4!F9)</f>
        <v>3614.43667027326</v>
      </c>
      <c r="U58" s="22">
        <f>IF(U$2*$O58*COUNT(data4!G9)=0,"",$K58*data4!G9)</f>
        <v>3238.481134431147</v>
      </c>
      <c r="V58" s="22" t="str">
        <f>IF(V$2*$O58*COUNT(data4!H9)=0,"",$K58*data4!H9)</f>
        <v/>
      </c>
      <c r="W58" s="22" t="str">
        <f>IF(W$2*$O58*COUNT(data4!I9)=0,"",$K58*data4!I9)</f>
        <v/>
      </c>
      <c r="X58" s="22" t="str">
        <f>IF(X$2*$O58*COUNT(data4!J9)=0,"",$K58*data4!J9)</f>
        <v/>
      </c>
      <c r="Y58" s="22" t="str">
        <f>IF(Y$2*$O58*COUNT(data4!K9)=0,"",$K58*data4!K9)</f>
        <v/>
      </c>
      <c r="Z58" s="22" t="str">
        <f>IF(Z$2*$O58*COUNT(data4!L9)=0,"",$K58*data4!L9)</f>
        <v/>
      </c>
      <c r="AA58" s="22" t="str">
        <f>IF(AA$2*$O58*COUNT(data4!M9)=0,"",$K58*data4!M9)</f>
        <v/>
      </c>
      <c r="AB58" s="22" t="str">
        <f>IF(AB$2*$O58*COUNT(data4!N9)=0,"",$K58*data4!N9)</f>
        <v/>
      </c>
      <c r="AC58" s="22" t="str">
        <f>IF(AC$2*$O58*COUNT(data4!O9)=0,"",$K58*data4!O9)</f>
        <v/>
      </c>
      <c r="AD58" s="22" t="str">
        <f>IF(AD$2*$O58*COUNT(data4!P9)=0,"",$K58*data4!P9)</f>
        <v/>
      </c>
      <c r="AE58" s="22" t="str">
        <f>IF(AE$2*$O58*COUNT(data4!Q9)=0,"",$K58*data4!Q9)</f>
        <v/>
      </c>
      <c r="AF58" s="22" t="str">
        <f>IF(AF$2*$O58*COUNT(data4!R9)=0,"",$K58*data4!R9)</f>
        <v/>
      </c>
      <c r="AG58" s="22" t="str">
        <f>IF(AG$2*$O58*COUNT(data4!S9)=0,"",$K58*data4!S9)</f>
        <v/>
      </c>
      <c r="AH58" s="22" t="str">
        <f>IF(AH$2*$O58*COUNT(data4!T9)=0,"",$K58*data4!T9)</f>
        <v/>
      </c>
      <c r="AI58" s="22" t="str">
        <f>IF(AI$2*$O58*COUNT(data4!U9)=0,"",$K58*data4!U9)</f>
        <v/>
      </c>
      <c r="AJ58" s="22" t="str">
        <f>IF(AJ$2*$O58*COUNT(data4!V9)=0,"",$K58*data4!V9)</f>
        <v/>
      </c>
      <c r="AK58" s="22" t="str">
        <f>IF(AK$2*$O58*COUNT(data4!W9)=0,"",$K58*data4!W9)</f>
        <v/>
      </c>
      <c r="AL58" s="22" t="str">
        <f>IF(AL$2*$O58*COUNT(data4!X9)=0,"",$K58*data4!X9)</f>
        <v/>
      </c>
      <c r="AM58" s="22" t="str">
        <f>IF(AM$2*$O58*COUNT(data4!Y9)=0,"",$K58*data4!Y9)</f>
        <v/>
      </c>
      <c r="AN58" s="22" t="str">
        <f>IF(AN$2*$O58*COUNT(data4!Z9)=0,"",$K58*data4!Z9)</f>
        <v/>
      </c>
      <c r="AO58" s="22" t="str">
        <f>IF(AO$2*$O58*COUNT(data4!AA9)=0,"",$K58*data4!AA9)</f>
        <v/>
      </c>
      <c r="AP58" s="22" t="str">
        <f>IF(AP$2*$O58*COUNT(data4!AB9)=0,"",$K58*data4!AB9)</f>
        <v/>
      </c>
      <c r="AQ58" s="22" t="str">
        <f>IF(AQ$2*$O58*COUNT(data4!AC9)=0,"",$K58*data4!AC9)</f>
        <v/>
      </c>
      <c r="AR58" s="22" t="str">
        <f>IF(AR$2*$O58*COUNT(data4!AD9)=0,"",$K58*data4!AD9)</f>
        <v/>
      </c>
      <c r="AS58" s="22" t="str">
        <f>IF(AS$2*$O58*COUNT(data4!AE9)=0,"",$K58*data4!AE9)</f>
        <v/>
      </c>
      <c r="AT58" s="22" t="str">
        <f>IF(AT$2*$O58*COUNT(data4!AF9)=0,"",$K58*data4!AF9)</f>
        <v/>
      </c>
      <c r="AU58" s="22" t="str">
        <f>IF(AU$2*$O58*COUNT(data4!AG9)=0,"",$K58*data4!AG9)</f>
        <v/>
      </c>
    </row>
    <row r="59" spans="1:47">
      <c r="A59" s="191"/>
      <c r="B59" s="191" t="str">
        <f>B47</f>
        <v>P2</v>
      </c>
      <c r="C59" s="47" t="str">
        <f t="shared" si="67"/>
        <v>Range2-2</v>
      </c>
      <c r="D59" s="22">
        <f t="shared" si="57"/>
        <v>12957.576867910937</v>
      </c>
      <c r="E59" s="22">
        <f t="shared" si="68"/>
        <v>15591.337745067838</v>
      </c>
      <c r="F59" s="22">
        <f t="shared" si="58"/>
        <v>18225.098622224737</v>
      </c>
      <c r="G59" s="22">
        <f t="shared" si="69"/>
        <v>1755.8405847712672</v>
      </c>
      <c r="I59" s="49">
        <f>I58+1</f>
        <v>3</v>
      </c>
      <c r="J59" s="49">
        <f t="shared" si="63"/>
        <v>6</v>
      </c>
      <c r="K59" s="146">
        <f t="shared" si="59"/>
        <v>19.488428745432401</v>
      </c>
      <c r="L59" s="123">
        <f t="shared" si="64"/>
        <v>53</v>
      </c>
      <c r="M59" s="130">
        <f t="shared" si="60"/>
        <v>1</v>
      </c>
      <c r="N59" s="108">
        <v>1</v>
      </c>
      <c r="O59" s="110">
        <f t="shared" si="65"/>
        <v>1</v>
      </c>
      <c r="P59" s="22">
        <f>IF(P$2*$O59*COUNT(data4!B10)=0,"",$K59*data4!B10)</f>
        <v>15267.199691622787</v>
      </c>
      <c r="Q59" s="22">
        <f>IF(Q$2*$O59*COUNT(data4!C10)=0,"",$K59*data4!C10)</f>
        <v>16926.846000133632</v>
      </c>
      <c r="R59" s="22">
        <f>IF(R$2*$O59*COUNT(data4!D10)=0,"",$K59*data4!D10)</f>
        <v>17832.350929253062</v>
      </c>
      <c r="S59" s="22">
        <f>IF(S$2*$O59*COUNT(data4!E10)=0,"",$K59*data4!E10)</f>
        <v>16109.809943399439</v>
      </c>
      <c r="T59" s="22">
        <f>IF(T$2*$O59*COUNT(data4!F10)=0,"",$K59*data4!F10)</f>
        <v>14456.111122107768</v>
      </c>
      <c r="U59" s="22">
        <f>IF(U$2*$O59*COUNT(data4!G10)=0,"",$K59*data4!G10)</f>
        <v>12955.708783890339</v>
      </c>
      <c r="V59" s="22" t="str">
        <f>IF(V$2*$O59*COUNT(data4!H10)=0,"",$K59*data4!H10)</f>
        <v/>
      </c>
      <c r="W59" s="22" t="str">
        <f>IF(W$2*$O59*COUNT(data4!I10)=0,"",$K59*data4!I10)</f>
        <v/>
      </c>
      <c r="X59" s="22" t="str">
        <f>IF(X$2*$O59*COUNT(data4!J10)=0,"",$K59*data4!J10)</f>
        <v/>
      </c>
      <c r="Y59" s="22" t="str">
        <f>IF(Y$2*$O59*COUNT(data4!K10)=0,"",$K59*data4!K10)</f>
        <v/>
      </c>
      <c r="Z59" s="22" t="str">
        <f>IF(Z$2*$O59*COUNT(data4!L10)=0,"",$K59*data4!L10)</f>
        <v/>
      </c>
      <c r="AA59" s="22" t="str">
        <f>IF(AA$2*$O59*COUNT(data4!M10)=0,"",$K59*data4!M10)</f>
        <v/>
      </c>
      <c r="AB59" s="22" t="str">
        <f>IF(AB$2*$O59*COUNT(data4!N10)=0,"",$K59*data4!N10)</f>
        <v/>
      </c>
      <c r="AC59" s="22" t="str">
        <f>IF(AC$2*$O59*COUNT(data4!O10)=0,"",$K59*data4!O10)</f>
        <v/>
      </c>
      <c r="AD59" s="22" t="str">
        <f>IF(AD$2*$O59*COUNT(data4!P10)=0,"",$K59*data4!P10)</f>
        <v/>
      </c>
      <c r="AE59" s="22" t="str">
        <f>IF(AE$2*$O59*COUNT(data4!Q10)=0,"",$K59*data4!Q10)</f>
        <v/>
      </c>
      <c r="AF59" s="22" t="str">
        <f>IF(AF$2*$O59*COUNT(data4!R10)=0,"",$K59*data4!R10)</f>
        <v/>
      </c>
      <c r="AG59" s="22" t="str">
        <f>IF(AG$2*$O59*COUNT(data4!S10)=0,"",$K59*data4!S10)</f>
        <v/>
      </c>
      <c r="AH59" s="22" t="str">
        <f>IF(AH$2*$O59*COUNT(data4!T10)=0,"",$K59*data4!T10)</f>
        <v/>
      </c>
      <c r="AI59" s="22" t="str">
        <f>IF(AI$2*$O59*COUNT(data4!U10)=0,"",$K59*data4!U10)</f>
        <v/>
      </c>
      <c r="AJ59" s="22" t="str">
        <f>IF(AJ$2*$O59*COUNT(data4!V10)=0,"",$K59*data4!V10)</f>
        <v/>
      </c>
      <c r="AK59" s="22" t="str">
        <f>IF(AK$2*$O59*COUNT(data4!W10)=0,"",$K59*data4!W10)</f>
        <v/>
      </c>
      <c r="AL59" s="22" t="str">
        <f>IF(AL$2*$O59*COUNT(data4!X10)=0,"",$K59*data4!X10)</f>
        <v/>
      </c>
      <c r="AM59" s="22" t="str">
        <f>IF(AM$2*$O59*COUNT(data4!Y10)=0,"",$K59*data4!Y10)</f>
        <v/>
      </c>
      <c r="AN59" s="22" t="str">
        <f>IF(AN$2*$O59*COUNT(data4!Z10)=0,"",$K59*data4!Z10)</f>
        <v/>
      </c>
      <c r="AO59" s="22" t="str">
        <f>IF(AO$2*$O59*COUNT(data4!AA10)=0,"",$K59*data4!AA10)</f>
        <v/>
      </c>
      <c r="AP59" s="22" t="str">
        <f>IF(AP$2*$O59*COUNT(data4!AB10)=0,"",$K59*data4!AB10)</f>
        <v/>
      </c>
      <c r="AQ59" s="22" t="str">
        <f>IF(AQ$2*$O59*COUNT(data4!AC10)=0,"",$K59*data4!AC10)</f>
        <v/>
      </c>
      <c r="AR59" s="22" t="str">
        <f>IF(AR$2*$O59*COUNT(data4!AD10)=0,"",$K59*data4!AD10)</f>
        <v/>
      </c>
      <c r="AS59" s="22" t="str">
        <f>IF(AS$2*$O59*COUNT(data4!AE10)=0,"",$K59*data4!AE10)</f>
        <v/>
      </c>
      <c r="AT59" s="22" t="str">
        <f>IF(AT$2*$O59*COUNT(data4!AF10)=0,"",$K59*data4!AF10)</f>
        <v/>
      </c>
      <c r="AU59" s="22" t="str">
        <f>IF(AU$2*$O59*COUNT(data4!AG10)=0,"",$K59*data4!AG10)</f>
        <v/>
      </c>
    </row>
    <row r="60" spans="1:47">
      <c r="A60" s="191"/>
      <c r="B60" s="191"/>
      <c r="C60" s="47" t="str">
        <f t="shared" si="67"/>
        <v>Range3-2</v>
      </c>
      <c r="D60" s="22">
        <f t="shared" si="57"/>
        <v>12968.896242298948</v>
      </c>
      <c r="E60" s="22">
        <f t="shared" si="68"/>
        <v>15538.20685924321</v>
      </c>
      <c r="F60" s="22">
        <f t="shared" si="58"/>
        <v>18107.517476187473</v>
      </c>
      <c r="G60" s="22">
        <f t="shared" si="69"/>
        <v>1712.8737446295081</v>
      </c>
      <c r="I60" s="49">
        <f t="shared" si="70"/>
        <v>3</v>
      </c>
      <c r="J60" s="49">
        <f t="shared" si="63"/>
        <v>6</v>
      </c>
      <c r="K60" s="146">
        <f t="shared" si="59"/>
        <v>19.488428745432401</v>
      </c>
      <c r="L60" s="123">
        <f t="shared" si="64"/>
        <v>54</v>
      </c>
      <c r="M60" s="130">
        <f t="shared" si="60"/>
        <v>1</v>
      </c>
      <c r="N60" s="108">
        <v>1</v>
      </c>
      <c r="O60" s="110">
        <f t="shared" si="65"/>
        <v>1</v>
      </c>
      <c r="P60" s="22">
        <f>IF(P$2*$O60*COUNT(data4!B11)=0,"",$K60*data4!B11)</f>
        <v>14887.750007039411</v>
      </c>
      <c r="Q60" s="22">
        <f>IF(Q$2*$O60*COUNT(data4!C11)=0,"",$K60*data4!C11)</f>
        <v>16671.996172791976</v>
      </c>
      <c r="R60" s="22">
        <f>IF(R$2*$O60*COUNT(data4!D11)=0,"",$K60*data4!D11)</f>
        <v>17775.849800670894</v>
      </c>
      <c r="S60" s="22">
        <f>IF(S$2*$O60*COUNT(data4!E11)=0,"",$K60*data4!E11)</f>
        <v>16357.968847619524</v>
      </c>
      <c r="T60" s="22">
        <f>IF(T$2*$O60*COUNT(data4!F11)=0,"",$K60*data4!F11)</f>
        <v>14479.752383803989</v>
      </c>
      <c r="U60" s="22">
        <f>IF(U$2*$O60*COUNT(data4!G11)=0,"",$K60*data4!G11)</f>
        <v>13055.923943533442</v>
      </c>
      <c r="V60" s="22" t="str">
        <f>IF(V$2*$O60*COUNT(data4!H11)=0,"",$K60*data4!H11)</f>
        <v/>
      </c>
      <c r="W60" s="22" t="str">
        <f>IF(W$2*$O60*COUNT(data4!I11)=0,"",$K60*data4!I11)</f>
        <v/>
      </c>
      <c r="X60" s="22" t="str">
        <f>IF(X$2*$O60*COUNT(data4!J11)=0,"",$K60*data4!J11)</f>
        <v/>
      </c>
      <c r="Y60" s="22" t="str">
        <f>IF(Y$2*$O60*COUNT(data4!K11)=0,"",$K60*data4!K11)</f>
        <v/>
      </c>
      <c r="Z60" s="22" t="str">
        <f>IF(Z$2*$O60*COUNT(data4!L11)=0,"",$K60*data4!L11)</f>
        <v/>
      </c>
      <c r="AA60" s="22" t="str">
        <f>IF(AA$2*$O60*COUNT(data4!M11)=0,"",$K60*data4!M11)</f>
        <v/>
      </c>
      <c r="AB60" s="22" t="str">
        <f>IF(AB$2*$O60*COUNT(data4!N11)=0,"",$K60*data4!N11)</f>
        <v/>
      </c>
      <c r="AC60" s="22" t="str">
        <f>IF(AC$2*$O60*COUNT(data4!O11)=0,"",$K60*data4!O11)</f>
        <v/>
      </c>
      <c r="AD60" s="22" t="str">
        <f>IF(AD$2*$O60*COUNT(data4!P11)=0,"",$K60*data4!P11)</f>
        <v/>
      </c>
      <c r="AE60" s="22" t="str">
        <f>IF(AE$2*$O60*COUNT(data4!Q11)=0,"",$K60*data4!Q11)</f>
        <v/>
      </c>
      <c r="AF60" s="22" t="str">
        <f>IF(AF$2*$O60*COUNT(data4!R11)=0,"",$K60*data4!R11)</f>
        <v/>
      </c>
      <c r="AG60" s="22" t="str">
        <f>IF(AG$2*$O60*COUNT(data4!S11)=0,"",$K60*data4!S11)</f>
        <v/>
      </c>
      <c r="AH60" s="22" t="str">
        <f>IF(AH$2*$O60*COUNT(data4!T11)=0,"",$K60*data4!T11)</f>
        <v/>
      </c>
      <c r="AI60" s="22" t="str">
        <f>IF(AI$2*$O60*COUNT(data4!U11)=0,"",$K60*data4!U11)</f>
        <v/>
      </c>
      <c r="AJ60" s="22" t="str">
        <f>IF(AJ$2*$O60*COUNT(data4!V11)=0,"",$K60*data4!V11)</f>
        <v/>
      </c>
      <c r="AK60" s="22" t="str">
        <f>IF(AK$2*$O60*COUNT(data4!W11)=0,"",$K60*data4!W11)</f>
        <v/>
      </c>
      <c r="AL60" s="22" t="str">
        <f>IF(AL$2*$O60*COUNT(data4!X11)=0,"",$K60*data4!X11)</f>
        <v/>
      </c>
      <c r="AM60" s="22" t="str">
        <f>IF(AM$2*$O60*COUNT(data4!Y11)=0,"",$K60*data4!Y11)</f>
        <v/>
      </c>
      <c r="AN60" s="22" t="str">
        <f>IF(AN$2*$O60*COUNT(data4!Z11)=0,"",$K60*data4!Z11)</f>
        <v/>
      </c>
      <c r="AO60" s="22" t="str">
        <f>IF(AO$2*$O60*COUNT(data4!AA11)=0,"",$K60*data4!AA11)</f>
        <v/>
      </c>
      <c r="AP60" s="22" t="str">
        <f>IF(AP$2*$O60*COUNT(data4!AB11)=0,"",$K60*data4!AB11)</f>
        <v/>
      </c>
      <c r="AQ60" s="22" t="str">
        <f>IF(AQ$2*$O60*COUNT(data4!AC11)=0,"",$K60*data4!AC11)</f>
        <v/>
      </c>
      <c r="AR60" s="22" t="str">
        <f>IF(AR$2*$O60*COUNT(data4!AD11)=0,"",$K60*data4!AD11)</f>
        <v/>
      </c>
      <c r="AS60" s="22" t="str">
        <f>IF(AS$2*$O60*COUNT(data4!AE11)=0,"",$K60*data4!AE11)</f>
        <v/>
      </c>
      <c r="AT60" s="22" t="str">
        <f>IF(AT$2*$O60*COUNT(data4!AF11)=0,"",$K60*data4!AF11)</f>
        <v/>
      </c>
      <c r="AU60" s="22" t="str">
        <f>IF(AU$2*$O60*COUNT(data4!AG11)=0,"",$K60*data4!AG11)</f>
        <v/>
      </c>
    </row>
    <row r="61" spans="1:47">
      <c r="A61" s="191"/>
      <c r="B61" s="113" t="str">
        <f>B49</f>
        <v>P3</v>
      </c>
      <c r="C61" s="47" t="str">
        <f t="shared" si="67"/>
        <v>Range3-3</v>
      </c>
      <c r="D61" s="22" t="str">
        <f t="shared" si="57"/>
        <v/>
      </c>
      <c r="E61" s="22" t="str">
        <f t="shared" si="68"/>
        <v/>
      </c>
      <c r="F61" s="22" t="str">
        <f t="shared" si="58"/>
        <v/>
      </c>
      <c r="G61" s="22" t="str">
        <f t="shared" si="69"/>
        <v/>
      </c>
      <c r="I61" s="49">
        <f>I60+1</f>
        <v>4</v>
      </c>
      <c r="J61" s="49">
        <f t="shared" si="63"/>
        <v>6</v>
      </c>
      <c r="K61" s="146">
        <f t="shared" si="59"/>
        <v>77.953714981729604</v>
      </c>
      <c r="L61" s="123">
        <f t="shared" si="64"/>
        <v>55</v>
      </c>
      <c r="M61" s="130">
        <f t="shared" si="60"/>
        <v>1</v>
      </c>
      <c r="N61" s="108">
        <v>1</v>
      </c>
      <c r="O61" s="110">
        <f t="shared" si="65"/>
        <v>1</v>
      </c>
      <c r="P61" s="22" t="str">
        <f>IF(P$2*$O61*COUNT(data4!B12)=0,"",$K61*data4!B12)</f>
        <v/>
      </c>
      <c r="Q61" s="22" t="str">
        <f>IF(Q$2*$O61*COUNT(data4!C12)=0,"",$K61*data4!C12)</f>
        <v/>
      </c>
      <c r="R61" s="22" t="str">
        <f>IF(R$2*$O61*COUNT(data4!D12)=0,"",$K61*data4!D12)</f>
        <v/>
      </c>
      <c r="S61" s="22" t="str">
        <f>IF(S$2*$O61*COUNT(data4!E12)=0,"",$K61*data4!E12)</f>
        <v/>
      </c>
      <c r="T61" s="22" t="str">
        <f>IF(T$2*$O61*COUNT(data4!F12)=0,"",$K61*data4!F12)</f>
        <v/>
      </c>
      <c r="U61" s="22" t="str">
        <f>IF(U$2*$O61*COUNT(data4!G12)=0,"",$K61*data4!G12)</f>
        <v/>
      </c>
      <c r="V61" s="22" t="str">
        <f>IF(V$2*$O61*COUNT(data4!H12)=0,"",$K61*data4!H12)</f>
        <v/>
      </c>
      <c r="W61" s="22" t="str">
        <f>IF(W$2*$O61*COUNT(data4!I12)=0,"",$K61*data4!I12)</f>
        <v/>
      </c>
      <c r="X61" s="22" t="str">
        <f>IF(X$2*$O61*COUNT(data4!J12)=0,"",$K61*data4!J12)</f>
        <v/>
      </c>
      <c r="Y61" s="22" t="str">
        <f>IF(Y$2*$O61*COUNT(data4!K12)=0,"",$K61*data4!K12)</f>
        <v/>
      </c>
      <c r="Z61" s="22" t="str">
        <f>IF(Z$2*$O61*COUNT(data4!L12)=0,"",$K61*data4!L12)</f>
        <v/>
      </c>
      <c r="AA61" s="22" t="str">
        <f>IF(AA$2*$O61*COUNT(data4!M12)=0,"",$K61*data4!M12)</f>
        <v/>
      </c>
      <c r="AB61" s="22" t="str">
        <f>IF(AB$2*$O61*COUNT(data4!N12)=0,"",$K61*data4!N12)</f>
        <v/>
      </c>
      <c r="AC61" s="22" t="str">
        <f>IF(AC$2*$O61*COUNT(data4!O12)=0,"",$K61*data4!O12)</f>
        <v/>
      </c>
      <c r="AD61" s="22" t="str">
        <f>IF(AD$2*$O61*COUNT(data4!P12)=0,"",$K61*data4!P12)</f>
        <v/>
      </c>
      <c r="AE61" s="22" t="str">
        <f>IF(AE$2*$O61*COUNT(data4!Q12)=0,"",$K61*data4!Q12)</f>
        <v/>
      </c>
      <c r="AF61" s="22" t="str">
        <f>IF(AF$2*$O61*COUNT(data4!R12)=0,"",$K61*data4!R12)</f>
        <v/>
      </c>
      <c r="AG61" s="22" t="str">
        <f>IF(AG$2*$O61*COUNT(data4!S12)=0,"",$K61*data4!S12)</f>
        <v/>
      </c>
      <c r="AH61" s="22" t="str">
        <f>IF(AH$2*$O61*COUNT(data4!T12)=0,"",$K61*data4!T12)</f>
        <v/>
      </c>
      <c r="AI61" s="22" t="str">
        <f>IF(AI$2*$O61*COUNT(data4!U12)=0,"",$K61*data4!U12)</f>
        <v/>
      </c>
      <c r="AJ61" s="22" t="str">
        <f>IF(AJ$2*$O61*COUNT(data4!V12)=0,"",$K61*data4!V12)</f>
        <v/>
      </c>
      <c r="AK61" s="22" t="str">
        <f>IF(AK$2*$O61*COUNT(data4!W12)=0,"",$K61*data4!W12)</f>
        <v/>
      </c>
      <c r="AL61" s="22" t="str">
        <f>IF(AL$2*$O61*COUNT(data4!X12)=0,"",$K61*data4!X12)</f>
        <v/>
      </c>
      <c r="AM61" s="22" t="str">
        <f>IF(AM$2*$O61*COUNT(data4!Y12)=0,"",$K61*data4!Y12)</f>
        <v/>
      </c>
      <c r="AN61" s="22" t="str">
        <f>IF(AN$2*$O61*COUNT(data4!Z12)=0,"",$K61*data4!Z12)</f>
        <v/>
      </c>
      <c r="AO61" s="22" t="str">
        <f>IF(AO$2*$O61*COUNT(data4!AA12)=0,"",$K61*data4!AA12)</f>
        <v/>
      </c>
      <c r="AP61" s="22" t="str">
        <f>IF(AP$2*$O61*COUNT(data4!AB12)=0,"",$K61*data4!AB12)</f>
        <v/>
      </c>
      <c r="AQ61" s="22" t="str">
        <f>IF(AQ$2*$O61*COUNT(data4!AC12)=0,"",$K61*data4!AC12)</f>
        <v/>
      </c>
      <c r="AR61" s="22" t="str">
        <f>IF(AR$2*$O61*COUNT(data4!AD12)=0,"",$K61*data4!AD12)</f>
        <v/>
      </c>
      <c r="AS61" s="22" t="str">
        <f>IF(AS$2*$O61*COUNT(data4!AE12)=0,"",$K61*data4!AE12)</f>
        <v/>
      </c>
      <c r="AT61" s="22" t="str">
        <f>IF(AT$2*$O61*COUNT(data4!AF12)=0,"",$K61*data4!AF12)</f>
        <v/>
      </c>
      <c r="AU61" s="22" t="str">
        <f>IF(AU$2*$O61*COUNT(data4!AG12)=0,"",$K61*data4!AG12)</f>
        <v/>
      </c>
    </row>
    <row r="62" spans="1:47" s="21" customFormat="1">
      <c r="A62" s="191"/>
      <c r="B62" s="191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</row>
    <row r="63" spans="1:47">
      <c r="A63" s="191" t="str">
        <f>Calculations!AB1</f>
        <v>5500K</v>
      </c>
      <c r="B63" s="191" t="str">
        <f>B51</f>
        <v>P0</v>
      </c>
      <c r="C63" s="47" t="str">
        <f>C51</f>
        <v>Range0</v>
      </c>
      <c r="D63" s="22" t="str">
        <f t="shared" ref="D63:D73" si="71">IF(COUNT(P63:AU63)=0,"",E63-1.5*G63)</f>
        <v/>
      </c>
      <c r="E63" s="22" t="str">
        <f>IF(COUNT(P63:AU63)=0,"",AVERAGE(P63:AU63))</f>
        <v/>
      </c>
      <c r="F63" s="22" t="str">
        <f t="shared" ref="F63:F73" si="72">IF(COUNT(P63:AU63)=0,"",E63+1.5*G63)</f>
        <v/>
      </c>
      <c r="G63" s="22" t="str">
        <f>IF(COUNT(P63:AU63)=0,"",STDEV(P63:AU63))</f>
        <v/>
      </c>
      <c r="I63" s="49">
        <v>1</v>
      </c>
      <c r="J63" s="49">
        <f>J51+1</f>
        <v>7</v>
      </c>
      <c r="K63" s="146">
        <f t="shared" ref="K63:K73" si="73">INDEX(calTable,I63,1)/INDEX(calTable,I63,J63)</f>
        <v>33.444816053511708</v>
      </c>
      <c r="L63" s="49">
        <f>L61+1</f>
        <v>56</v>
      </c>
      <c r="M63" s="130">
        <f t="shared" ref="M63:M73" si="74">INDEX(dataEnable,L63)</f>
        <v>1</v>
      </c>
      <c r="N63" s="108">
        <v>1</v>
      </c>
      <c r="O63" s="110">
        <f>M63*N63</f>
        <v>1</v>
      </c>
      <c r="P63" s="22" t="str">
        <f>IF(P$2*$O63*COUNT(data5!B2)=0,"",$K63*data5!B2)</f>
        <v/>
      </c>
      <c r="Q63" s="22" t="str">
        <f>IF(Q$2*$O63*COUNT(data5!C2)=0,"",$K63*data5!C2)</f>
        <v/>
      </c>
      <c r="R63" s="22" t="str">
        <f>IF(R$2*$O63*COUNT(data5!D2)=0,"",$K63*data5!D2)</f>
        <v/>
      </c>
      <c r="S63" s="22" t="str">
        <f>IF(S$2*$O63*COUNT(data5!E2)=0,"",$K63*data5!E2)</f>
        <v/>
      </c>
      <c r="T63" s="22" t="str">
        <f>IF(T$2*$O63*COUNT(data5!F2)=0,"",$K63*data5!F2)</f>
        <v/>
      </c>
      <c r="U63" s="22" t="str">
        <f>IF(U$2*$O63*COUNT(data5!G2)=0,"",$K63*data5!G2)</f>
        <v/>
      </c>
      <c r="V63" s="22" t="str">
        <f>IF(V$2*$O63*COUNT(data5!H2)=0,"",$K63*data5!H2)</f>
        <v/>
      </c>
      <c r="W63" s="22" t="str">
        <f>IF(W$2*$O63*COUNT(data5!I2)=0,"",$K63*data5!I2)</f>
        <v/>
      </c>
      <c r="X63" s="22" t="str">
        <f>IF(X$2*$O63*COUNT(data5!J2)=0,"",$K63*data5!J2)</f>
        <v/>
      </c>
      <c r="Y63" s="22" t="str">
        <f>IF(Y$2*$O63*COUNT(data5!K2)=0,"",$K63*data5!K2)</f>
        <v/>
      </c>
      <c r="Z63" s="22" t="str">
        <f>IF(Z$2*$O63*COUNT(data5!L2)=0,"",$K63*data5!L2)</f>
        <v/>
      </c>
      <c r="AA63" s="22" t="str">
        <f>IF(AA$2*$O63*COUNT(data5!M2)=0,"",$K63*data5!M2)</f>
        <v/>
      </c>
      <c r="AB63" s="22" t="str">
        <f>IF(AB$2*$O63*COUNT(data5!N2)=0,"",$K63*data5!N2)</f>
        <v/>
      </c>
      <c r="AC63" s="22" t="str">
        <f>IF(AC$2*$O63*COUNT(data5!O2)=0,"",$K63*data5!O2)</f>
        <v/>
      </c>
      <c r="AD63" s="22" t="str">
        <f>IF(AD$2*$O63*COUNT(data5!P2)=0,"",$K63*data5!P2)</f>
        <v/>
      </c>
      <c r="AE63" s="22" t="str">
        <f>IF(AE$2*$O63*COUNT(data5!Q2)=0,"",$K63*data5!Q2)</f>
        <v/>
      </c>
      <c r="AF63" s="22" t="str">
        <f>IF(AF$2*$O63*COUNT(data5!R2)=0,"",$K63*data5!R2)</f>
        <v/>
      </c>
      <c r="AG63" s="22" t="str">
        <f>IF(AG$2*$O63*COUNT(data5!S2)=0,"",$K63*data5!S2)</f>
        <v/>
      </c>
      <c r="AH63" s="22" t="str">
        <f>IF(AH$2*$O63*COUNT(data5!T2)=0,"",$K63*data5!T2)</f>
        <v/>
      </c>
      <c r="AI63" s="22" t="str">
        <f>IF(AI$2*$O63*COUNT(data5!U2)=0,"",$K63*data5!U2)</f>
        <v/>
      </c>
      <c r="AJ63" s="22" t="str">
        <f>IF(AJ$2*$O63*COUNT(data5!V2)=0,"",$K63*data5!V2)</f>
        <v/>
      </c>
      <c r="AK63" s="22" t="str">
        <f>IF(AK$2*$O63*COUNT(data5!W2)=0,"",$K63*data5!W2)</f>
        <v/>
      </c>
      <c r="AL63" s="22" t="str">
        <f>IF(AL$2*$O63*COUNT(data5!X2)=0,"",$K63*data5!X2)</f>
        <v/>
      </c>
      <c r="AM63" s="22" t="str">
        <f>IF(AM$2*$O63*COUNT(data5!Y2)=0,"",$K63*data5!Y2)</f>
        <v/>
      </c>
      <c r="AN63" s="22" t="str">
        <f>IF(AN$2*$O63*COUNT(data5!Z2)=0,"",$K63*data5!Z2)</f>
        <v/>
      </c>
      <c r="AO63" s="22" t="str">
        <f>IF(AO$2*$O63*COUNT(data5!AA2)=0,"",$K63*data5!AA2)</f>
        <v/>
      </c>
      <c r="AP63" s="22" t="str">
        <f>IF(AP$2*$O63*COUNT(data5!AB2)=0,"",$K63*data5!AB2)</f>
        <v/>
      </c>
      <c r="AQ63" s="22" t="str">
        <f>IF(AQ$2*$O63*COUNT(data5!AC2)=0,"",$K63*data5!AC2)</f>
        <v/>
      </c>
      <c r="AR63" s="22" t="str">
        <f>IF(AR$2*$O63*COUNT(data5!AD2)=0,"",$K63*data5!AD2)</f>
        <v/>
      </c>
      <c r="AS63" s="22" t="str">
        <f>IF(AS$2*$O63*COUNT(data5!AE2)=0,"",$K63*data5!AE2)</f>
        <v/>
      </c>
      <c r="AT63" s="22" t="str">
        <f>IF(AT$2*$O63*COUNT(data5!AF2)=0,"",$K63*data5!AF2)</f>
        <v/>
      </c>
      <c r="AU63" s="22" t="str">
        <f>IF(AU$2*$O63*COUNT(data5!AG2)=0,"",$K63*data5!AG2)</f>
        <v/>
      </c>
    </row>
    <row r="64" spans="1:47">
      <c r="A64" s="191"/>
      <c r="B64" s="191"/>
      <c r="C64" s="47" t="str">
        <f>C52</f>
        <v>Range1</v>
      </c>
      <c r="D64" s="22" t="str">
        <f t="shared" si="71"/>
        <v/>
      </c>
      <c r="E64" s="22" t="str">
        <f t="shared" ref="E64:E66" si="75">IF(COUNT(P64:AU64)=0,"",AVERAGE(P64:AU64))</f>
        <v/>
      </c>
      <c r="F64" s="22" t="str">
        <f t="shared" si="72"/>
        <v/>
      </c>
      <c r="G64" s="22" t="str">
        <f t="shared" ref="G64:G66" si="76">IF(COUNT(P64:AU64)=0,"",STDEV(P64:AU64))</f>
        <v/>
      </c>
      <c r="I64" s="49">
        <f>I63</f>
        <v>1</v>
      </c>
      <c r="J64" s="49">
        <f t="shared" ref="J64:J73" si="77">J52+1</f>
        <v>7</v>
      </c>
      <c r="K64" s="146">
        <f t="shared" si="73"/>
        <v>33.444816053511708</v>
      </c>
      <c r="L64" s="123">
        <f t="shared" ref="L64:L73" si="78">L63+1</f>
        <v>57</v>
      </c>
      <c r="M64" s="130">
        <f t="shared" si="74"/>
        <v>1</v>
      </c>
      <c r="N64" s="108">
        <v>1</v>
      </c>
      <c r="O64" s="110">
        <f t="shared" ref="O64:O73" si="79">M64*N64</f>
        <v>1</v>
      </c>
      <c r="P64" s="22" t="str">
        <f>IF(P$2*$O64*COUNT(data5!B3)=0,"",$K64*data5!B3)</f>
        <v/>
      </c>
      <c r="Q64" s="22" t="str">
        <f>IF(Q$2*$O64*COUNT(data5!C3)=0,"",$K64*data5!C3)</f>
        <v/>
      </c>
      <c r="R64" s="22" t="str">
        <f>IF(R$2*$O64*COUNT(data5!D3)=0,"",$K64*data5!D3)</f>
        <v/>
      </c>
      <c r="S64" s="22" t="str">
        <f>IF(S$2*$O64*COUNT(data5!E3)=0,"",$K64*data5!E3)</f>
        <v/>
      </c>
      <c r="T64" s="22" t="str">
        <f>IF(T$2*$O64*COUNT(data5!F3)=0,"",$K64*data5!F3)</f>
        <v/>
      </c>
      <c r="U64" s="22" t="str">
        <f>IF(U$2*$O64*COUNT(data5!G3)=0,"",$K64*data5!G3)</f>
        <v/>
      </c>
      <c r="V64" s="22" t="str">
        <f>IF(V$2*$O64*COUNT(data5!H3)=0,"",$K64*data5!H3)</f>
        <v/>
      </c>
      <c r="W64" s="22" t="str">
        <f>IF(W$2*$O64*COUNT(data5!I3)=0,"",$K64*data5!I3)</f>
        <v/>
      </c>
      <c r="X64" s="22" t="str">
        <f>IF(X$2*$O64*COUNT(data5!J3)=0,"",$K64*data5!J3)</f>
        <v/>
      </c>
      <c r="Y64" s="22" t="str">
        <f>IF(Y$2*$O64*COUNT(data5!K3)=0,"",$K64*data5!K3)</f>
        <v/>
      </c>
      <c r="Z64" s="22" t="str">
        <f>IF(Z$2*$O64*COUNT(data5!L3)=0,"",$K64*data5!L3)</f>
        <v/>
      </c>
      <c r="AA64" s="22" t="str">
        <f>IF(AA$2*$O64*COUNT(data5!M3)=0,"",$K64*data5!M3)</f>
        <v/>
      </c>
      <c r="AB64" s="22" t="str">
        <f>IF(AB$2*$O64*COUNT(data5!N3)=0,"",$K64*data5!N3)</f>
        <v/>
      </c>
      <c r="AC64" s="22" t="str">
        <f>IF(AC$2*$O64*COUNT(data5!O3)=0,"",$K64*data5!O3)</f>
        <v/>
      </c>
      <c r="AD64" s="22" t="str">
        <f>IF(AD$2*$O64*COUNT(data5!P3)=0,"",$K64*data5!P3)</f>
        <v/>
      </c>
      <c r="AE64" s="22" t="str">
        <f>IF(AE$2*$O64*COUNT(data5!Q3)=0,"",$K64*data5!Q3)</f>
        <v/>
      </c>
      <c r="AF64" s="22" t="str">
        <f>IF(AF$2*$O64*COUNT(data5!R3)=0,"",$K64*data5!R3)</f>
        <v/>
      </c>
      <c r="AG64" s="22" t="str">
        <f>IF(AG$2*$O64*COUNT(data5!S3)=0,"",$K64*data5!S3)</f>
        <v/>
      </c>
      <c r="AH64" s="22" t="str">
        <f>IF(AH$2*$O64*COUNT(data5!T3)=0,"",$K64*data5!T3)</f>
        <v/>
      </c>
      <c r="AI64" s="22" t="str">
        <f>IF(AI$2*$O64*COUNT(data5!U3)=0,"",$K64*data5!U3)</f>
        <v/>
      </c>
      <c r="AJ64" s="22" t="str">
        <f>IF(AJ$2*$O64*COUNT(data5!V3)=0,"",$K64*data5!V3)</f>
        <v/>
      </c>
      <c r="AK64" s="22" t="str">
        <f>IF(AK$2*$O64*COUNT(data5!W3)=0,"",$K64*data5!W3)</f>
        <v/>
      </c>
      <c r="AL64" s="22" t="str">
        <f>IF(AL$2*$O64*COUNT(data5!X3)=0,"",$K64*data5!X3)</f>
        <v/>
      </c>
      <c r="AM64" s="22" t="str">
        <f>IF(AM$2*$O64*COUNT(data5!Y3)=0,"",$K64*data5!Y3)</f>
        <v/>
      </c>
      <c r="AN64" s="22" t="str">
        <f>IF(AN$2*$O64*COUNT(data5!Z3)=0,"",$K64*data5!Z3)</f>
        <v/>
      </c>
      <c r="AO64" s="22" t="str">
        <f>IF(AO$2*$O64*COUNT(data5!AA3)=0,"",$K64*data5!AA3)</f>
        <v/>
      </c>
      <c r="AP64" s="22" t="str">
        <f>IF(AP$2*$O64*COUNT(data5!AB3)=0,"",$K64*data5!AB3)</f>
        <v/>
      </c>
      <c r="AQ64" s="22" t="str">
        <f>IF(AQ$2*$O64*COUNT(data5!AC3)=0,"",$K64*data5!AC3)</f>
        <v/>
      </c>
      <c r="AR64" s="22" t="str">
        <f>IF(AR$2*$O64*COUNT(data5!AD3)=0,"",$K64*data5!AD3)</f>
        <v/>
      </c>
      <c r="AS64" s="22" t="str">
        <f>IF(AS$2*$O64*COUNT(data5!AE3)=0,"",$K64*data5!AE3)</f>
        <v/>
      </c>
      <c r="AT64" s="22" t="str">
        <f>IF(AT$2*$O64*COUNT(data5!AF3)=0,"",$K64*data5!AF3)</f>
        <v/>
      </c>
      <c r="AU64" s="22" t="str">
        <f>IF(AU$2*$O64*COUNT(data5!AG3)=0,"",$K64*data5!AG3)</f>
        <v/>
      </c>
    </row>
    <row r="65" spans="1:47">
      <c r="A65" s="191"/>
      <c r="B65" s="191"/>
      <c r="C65" s="47" t="str">
        <f>C53</f>
        <v>Range2</v>
      </c>
      <c r="D65" s="22" t="str">
        <f t="shared" si="71"/>
        <v/>
      </c>
      <c r="E65" s="22" t="str">
        <f t="shared" si="75"/>
        <v/>
      </c>
      <c r="F65" s="22" t="str">
        <f t="shared" si="72"/>
        <v/>
      </c>
      <c r="G65" s="22" t="str">
        <f t="shared" si="76"/>
        <v/>
      </c>
      <c r="I65" s="49">
        <f t="shared" ref="I65:I67" si="80">I64</f>
        <v>1</v>
      </c>
      <c r="J65" s="49">
        <f t="shared" si="77"/>
        <v>7</v>
      </c>
      <c r="K65" s="146">
        <f t="shared" si="73"/>
        <v>33.444816053511708</v>
      </c>
      <c r="L65" s="123">
        <f t="shared" si="78"/>
        <v>58</v>
      </c>
      <c r="M65" s="130">
        <f t="shared" si="74"/>
        <v>1</v>
      </c>
      <c r="N65" s="108">
        <v>1</v>
      </c>
      <c r="O65" s="110">
        <f t="shared" si="79"/>
        <v>1</v>
      </c>
      <c r="P65" s="22" t="str">
        <f>IF(P$2*$O65*COUNT(data5!B4)=0,"",$K65*data5!B4)</f>
        <v/>
      </c>
      <c r="Q65" s="22" t="str">
        <f>IF(Q$2*$O65*COUNT(data5!C4)=0,"",$K65*data5!C4)</f>
        <v/>
      </c>
      <c r="R65" s="22" t="str">
        <f>IF(R$2*$O65*COUNT(data5!D4)=0,"",$K65*data5!D4)</f>
        <v/>
      </c>
      <c r="S65" s="22" t="str">
        <f>IF(S$2*$O65*COUNT(data5!E4)=0,"",$K65*data5!E4)</f>
        <v/>
      </c>
      <c r="T65" s="22" t="str">
        <f>IF(T$2*$O65*COUNT(data5!F4)=0,"",$K65*data5!F4)</f>
        <v/>
      </c>
      <c r="U65" s="22" t="str">
        <f>IF(U$2*$O65*COUNT(data5!G4)=0,"",$K65*data5!G4)</f>
        <v/>
      </c>
      <c r="V65" s="22" t="str">
        <f>IF(V$2*$O65*COUNT(data5!H4)=0,"",$K65*data5!H4)</f>
        <v/>
      </c>
      <c r="W65" s="22" t="str">
        <f>IF(W$2*$O65*COUNT(data5!I4)=0,"",$K65*data5!I4)</f>
        <v/>
      </c>
      <c r="X65" s="22" t="str">
        <f>IF(X$2*$O65*COUNT(data5!J4)=0,"",$K65*data5!J4)</f>
        <v/>
      </c>
      <c r="Y65" s="22" t="str">
        <f>IF(Y$2*$O65*COUNT(data5!K4)=0,"",$K65*data5!K4)</f>
        <v/>
      </c>
      <c r="Z65" s="22" t="str">
        <f>IF(Z$2*$O65*COUNT(data5!L4)=0,"",$K65*data5!L4)</f>
        <v/>
      </c>
      <c r="AA65" s="22" t="str">
        <f>IF(AA$2*$O65*COUNT(data5!M4)=0,"",$K65*data5!M4)</f>
        <v/>
      </c>
      <c r="AB65" s="22" t="str">
        <f>IF(AB$2*$O65*COUNT(data5!N4)=0,"",$K65*data5!N4)</f>
        <v/>
      </c>
      <c r="AC65" s="22" t="str">
        <f>IF(AC$2*$O65*COUNT(data5!O4)=0,"",$K65*data5!O4)</f>
        <v/>
      </c>
      <c r="AD65" s="22" t="str">
        <f>IF(AD$2*$O65*COUNT(data5!P4)=0,"",$K65*data5!P4)</f>
        <v/>
      </c>
      <c r="AE65" s="22" t="str">
        <f>IF(AE$2*$O65*COUNT(data5!Q4)=0,"",$K65*data5!Q4)</f>
        <v/>
      </c>
      <c r="AF65" s="22" t="str">
        <f>IF(AF$2*$O65*COUNT(data5!R4)=0,"",$K65*data5!R4)</f>
        <v/>
      </c>
      <c r="AG65" s="22" t="str">
        <f>IF(AG$2*$O65*COUNT(data5!S4)=0,"",$K65*data5!S4)</f>
        <v/>
      </c>
      <c r="AH65" s="22" t="str">
        <f>IF(AH$2*$O65*COUNT(data5!T4)=0,"",$K65*data5!T4)</f>
        <v/>
      </c>
      <c r="AI65" s="22" t="str">
        <f>IF(AI$2*$O65*COUNT(data5!U4)=0,"",$K65*data5!U4)</f>
        <v/>
      </c>
      <c r="AJ65" s="22" t="str">
        <f>IF(AJ$2*$O65*COUNT(data5!V4)=0,"",$K65*data5!V4)</f>
        <v/>
      </c>
      <c r="AK65" s="22" t="str">
        <f>IF(AK$2*$O65*COUNT(data5!W4)=0,"",$K65*data5!W4)</f>
        <v/>
      </c>
      <c r="AL65" s="22" t="str">
        <f>IF(AL$2*$O65*COUNT(data5!X4)=0,"",$K65*data5!X4)</f>
        <v/>
      </c>
      <c r="AM65" s="22" t="str">
        <f>IF(AM$2*$O65*COUNT(data5!Y4)=0,"",$K65*data5!Y4)</f>
        <v/>
      </c>
      <c r="AN65" s="22" t="str">
        <f>IF(AN$2*$O65*COUNT(data5!Z4)=0,"",$K65*data5!Z4)</f>
        <v/>
      </c>
      <c r="AO65" s="22" t="str">
        <f>IF(AO$2*$O65*COUNT(data5!AA4)=0,"",$K65*data5!AA4)</f>
        <v/>
      </c>
      <c r="AP65" s="22" t="str">
        <f>IF(AP$2*$O65*COUNT(data5!AB4)=0,"",$K65*data5!AB4)</f>
        <v/>
      </c>
      <c r="AQ65" s="22" t="str">
        <f>IF(AQ$2*$O65*COUNT(data5!AC4)=0,"",$K65*data5!AC4)</f>
        <v/>
      </c>
      <c r="AR65" s="22" t="str">
        <f>IF(AR$2*$O65*COUNT(data5!AD4)=0,"",$K65*data5!AD4)</f>
        <v/>
      </c>
      <c r="AS65" s="22" t="str">
        <f>IF(AS$2*$O65*COUNT(data5!AE4)=0,"",$K65*data5!AE4)</f>
        <v/>
      </c>
      <c r="AT65" s="22" t="str">
        <f>IF(AT$2*$O65*COUNT(data5!AF4)=0,"",$K65*data5!AF4)</f>
        <v/>
      </c>
      <c r="AU65" s="22" t="str">
        <f>IF(AU$2*$O65*COUNT(data5!AG4)=0,"",$K65*data5!AG4)</f>
        <v/>
      </c>
    </row>
    <row r="66" spans="1:47">
      <c r="A66" s="191"/>
      <c r="B66" s="191"/>
      <c r="C66" s="47" t="str">
        <f>C54</f>
        <v>Range3</v>
      </c>
      <c r="D66" s="22" t="str">
        <f t="shared" si="71"/>
        <v/>
      </c>
      <c r="E66" s="22" t="str">
        <f t="shared" si="75"/>
        <v/>
      </c>
      <c r="F66" s="22" t="str">
        <f t="shared" si="72"/>
        <v/>
      </c>
      <c r="G66" s="22" t="str">
        <f t="shared" si="76"/>
        <v/>
      </c>
      <c r="I66" s="49">
        <f t="shared" si="80"/>
        <v>1</v>
      </c>
      <c r="J66" s="49">
        <f t="shared" si="77"/>
        <v>7</v>
      </c>
      <c r="K66" s="146">
        <f t="shared" si="73"/>
        <v>33.444816053511708</v>
      </c>
      <c r="L66" s="123">
        <f t="shared" si="78"/>
        <v>59</v>
      </c>
      <c r="M66" s="130">
        <f t="shared" si="74"/>
        <v>1</v>
      </c>
      <c r="N66" s="108">
        <v>1</v>
      </c>
      <c r="O66" s="110">
        <f t="shared" si="79"/>
        <v>1</v>
      </c>
      <c r="P66" s="22" t="str">
        <f>IF(P$2*$O66*COUNT(data5!B5)=0,"",$K66*data5!B5)</f>
        <v/>
      </c>
      <c r="Q66" s="22" t="str">
        <f>IF(Q$2*$O66*COUNT(data5!C5)=0,"",$K66*data5!C5)</f>
        <v/>
      </c>
      <c r="R66" s="22" t="str">
        <f>IF(R$2*$O66*COUNT(data5!D5)=0,"",$K66*data5!D5)</f>
        <v/>
      </c>
      <c r="S66" s="22" t="str">
        <f>IF(S$2*$O66*COUNT(data5!E5)=0,"",$K66*data5!E5)</f>
        <v/>
      </c>
      <c r="T66" s="22" t="str">
        <f>IF(T$2*$O66*COUNT(data5!F5)=0,"",$K66*data5!F5)</f>
        <v/>
      </c>
      <c r="U66" s="22" t="str">
        <f>IF(U$2*$O66*COUNT(data5!G5)=0,"",$K66*data5!G5)</f>
        <v/>
      </c>
      <c r="V66" s="22" t="str">
        <f>IF(V$2*$O66*COUNT(data5!H5)=0,"",$K66*data5!H5)</f>
        <v/>
      </c>
      <c r="W66" s="22" t="str">
        <f>IF(W$2*$O66*COUNT(data5!I5)=0,"",$K66*data5!I5)</f>
        <v/>
      </c>
      <c r="X66" s="22" t="str">
        <f>IF(X$2*$O66*COUNT(data5!J5)=0,"",$K66*data5!J5)</f>
        <v/>
      </c>
      <c r="Y66" s="22" t="str">
        <f>IF(Y$2*$O66*COUNT(data5!K5)=0,"",$K66*data5!K5)</f>
        <v/>
      </c>
      <c r="Z66" s="22" t="str">
        <f>IF(Z$2*$O66*COUNT(data5!L5)=0,"",$K66*data5!L5)</f>
        <v/>
      </c>
      <c r="AA66" s="22" t="str">
        <f>IF(AA$2*$O66*COUNT(data5!M5)=0,"",$K66*data5!M5)</f>
        <v/>
      </c>
      <c r="AB66" s="22" t="str">
        <f>IF(AB$2*$O66*COUNT(data5!N5)=0,"",$K66*data5!N5)</f>
        <v/>
      </c>
      <c r="AC66" s="22" t="str">
        <f>IF(AC$2*$O66*COUNT(data5!O5)=0,"",$K66*data5!O5)</f>
        <v/>
      </c>
      <c r="AD66" s="22" t="str">
        <f>IF(AD$2*$O66*COUNT(data5!P5)=0,"",$K66*data5!P5)</f>
        <v/>
      </c>
      <c r="AE66" s="22" t="str">
        <f>IF(AE$2*$O66*COUNT(data5!Q5)=0,"",$K66*data5!Q5)</f>
        <v/>
      </c>
      <c r="AF66" s="22" t="str">
        <f>IF(AF$2*$O66*COUNT(data5!R5)=0,"",$K66*data5!R5)</f>
        <v/>
      </c>
      <c r="AG66" s="22" t="str">
        <f>IF(AG$2*$O66*COUNT(data5!S5)=0,"",$K66*data5!S5)</f>
        <v/>
      </c>
      <c r="AH66" s="22" t="str">
        <f>IF(AH$2*$O66*COUNT(data5!T5)=0,"",$K66*data5!T5)</f>
        <v/>
      </c>
      <c r="AI66" s="22" t="str">
        <f>IF(AI$2*$O66*COUNT(data5!U5)=0,"",$K66*data5!U5)</f>
        <v/>
      </c>
      <c r="AJ66" s="22" t="str">
        <f>IF(AJ$2*$O66*COUNT(data5!V5)=0,"",$K66*data5!V5)</f>
        <v/>
      </c>
      <c r="AK66" s="22" t="str">
        <f>IF(AK$2*$O66*COUNT(data5!W5)=0,"",$K66*data5!W5)</f>
        <v/>
      </c>
      <c r="AL66" s="22" t="str">
        <f>IF(AL$2*$O66*COUNT(data5!X5)=0,"",$K66*data5!X5)</f>
        <v/>
      </c>
      <c r="AM66" s="22" t="str">
        <f>IF(AM$2*$O66*COUNT(data5!Y5)=0,"",$K66*data5!Y5)</f>
        <v/>
      </c>
      <c r="AN66" s="22" t="str">
        <f>IF(AN$2*$O66*COUNT(data5!Z5)=0,"",$K66*data5!Z5)</f>
        <v/>
      </c>
      <c r="AO66" s="22" t="str">
        <f>IF(AO$2*$O66*COUNT(data5!AA5)=0,"",$K66*data5!AA5)</f>
        <v/>
      </c>
      <c r="AP66" s="22" t="str">
        <f>IF(AP$2*$O66*COUNT(data5!AB5)=0,"",$K66*data5!AB5)</f>
        <v/>
      </c>
      <c r="AQ66" s="22" t="str">
        <f>IF(AQ$2*$O66*COUNT(data5!AC5)=0,"",$K66*data5!AC5)</f>
        <v/>
      </c>
      <c r="AR66" s="22" t="str">
        <f>IF(AR$2*$O66*COUNT(data5!AD5)=0,"",$K66*data5!AD5)</f>
        <v/>
      </c>
      <c r="AS66" s="22" t="str">
        <f>IF(AS$2*$O66*COUNT(data5!AE5)=0,"",$K66*data5!AE5)</f>
        <v/>
      </c>
      <c r="AT66" s="22" t="str">
        <f>IF(AT$2*$O66*COUNT(data5!AF5)=0,"",$K66*data5!AF5)</f>
        <v/>
      </c>
      <c r="AU66" s="22" t="str">
        <f>IF(AU$2*$O66*COUNT(data5!AG5)=0,"",$K66*data5!AG5)</f>
        <v/>
      </c>
    </row>
    <row r="67" spans="1:47">
      <c r="A67" s="191"/>
      <c r="B67" s="191"/>
      <c r="C67" s="47" t="str">
        <f>C55</f>
        <v>%IR</v>
      </c>
      <c r="D67" s="47" t="str">
        <f t="shared" si="71"/>
        <v/>
      </c>
      <c r="E67" s="47" t="str">
        <f>IF(COUNT(P67:AU67)=0,"",AVERAGE(P67:AU67))</f>
        <v/>
      </c>
      <c r="F67" s="47" t="str">
        <f t="shared" si="72"/>
        <v/>
      </c>
      <c r="G67" s="47" t="str">
        <f>IF(COUNT(P67:AU67)=0,"",STDEV(P67:AU67))</f>
        <v/>
      </c>
      <c r="I67" s="49">
        <f t="shared" si="80"/>
        <v>1</v>
      </c>
      <c r="J67" s="49">
        <f t="shared" si="77"/>
        <v>7</v>
      </c>
      <c r="K67" s="146">
        <f t="shared" si="73"/>
        <v>33.444816053511708</v>
      </c>
      <c r="L67" s="123">
        <f t="shared" si="78"/>
        <v>60</v>
      </c>
      <c r="M67" s="130">
        <f t="shared" si="74"/>
        <v>1</v>
      </c>
      <c r="N67" s="108">
        <v>1</v>
      </c>
      <c r="O67" s="110">
        <f t="shared" si="79"/>
        <v>1</v>
      </c>
      <c r="P67" s="47" t="str">
        <f>IF(P$2*$O67*COUNT(data5!B6)=0,"",$K67*data5!B6)</f>
        <v/>
      </c>
      <c r="Q67" s="47" t="str">
        <f>IF(Q$2*$O67*COUNT(data5!C6)=0,"",$K67*data5!C6)</f>
        <v/>
      </c>
      <c r="R67" s="47" t="str">
        <f>IF(R$2*$O67*COUNT(data5!D6)=0,"",$K67*data5!D6)</f>
        <v/>
      </c>
      <c r="S67" s="47" t="str">
        <f>IF(S$2*$O67*COUNT(data5!E6)=0,"",$K67*data5!E6)</f>
        <v/>
      </c>
      <c r="T67" s="47" t="str">
        <f>IF(T$2*$O67*COUNT(data5!F6)=0,"",$K67*data5!F6)</f>
        <v/>
      </c>
      <c r="U67" s="47" t="str">
        <f>IF(U$2*$O67*COUNT(data5!G6)=0,"",$K67*data5!G6)</f>
        <v/>
      </c>
      <c r="V67" s="47" t="str">
        <f>IF(V$2*$O67*COUNT(data5!H6)=0,"",$K67*data5!H6)</f>
        <v/>
      </c>
      <c r="W67" s="47" t="str">
        <f>IF(W$2*$O67*COUNT(data5!I6)=0,"",$K67*data5!I6)</f>
        <v/>
      </c>
      <c r="X67" s="47" t="str">
        <f>IF(X$2*$O67*COUNT(data5!J6)=0,"",$K67*data5!J6)</f>
        <v/>
      </c>
      <c r="Y67" s="47" t="str">
        <f>IF(Y$2*$O67*COUNT(data5!K6)=0,"",$K67*data5!K6)</f>
        <v/>
      </c>
      <c r="Z67" s="47" t="str">
        <f>IF(Z$2*$O67*COUNT(data5!L6)=0,"",$K67*data5!L6)</f>
        <v/>
      </c>
      <c r="AA67" s="47" t="str">
        <f>IF(AA$2*$O67*COUNT(data5!M6)=0,"",$K67*data5!M6)</f>
        <v/>
      </c>
      <c r="AB67" s="47" t="str">
        <f>IF(AB$2*$O67*COUNT(data5!N6)=0,"",$K67*data5!N6)</f>
        <v/>
      </c>
      <c r="AC67" s="47" t="str">
        <f>IF(AC$2*$O67*COUNT(data5!O6)=0,"",$K67*data5!O6)</f>
        <v/>
      </c>
      <c r="AD67" s="47" t="str">
        <f>IF(AD$2*$O67*COUNT(data5!P6)=0,"",$K67*data5!P6)</f>
        <v/>
      </c>
      <c r="AE67" s="47" t="str">
        <f>IF(AE$2*$O67*COUNT(data5!Q6)=0,"",$K67*data5!Q6)</f>
        <v/>
      </c>
      <c r="AF67" s="47" t="str">
        <f>IF(AF$2*$O67*COUNT(data5!R6)=0,"",$K67*data5!R6)</f>
        <v/>
      </c>
      <c r="AG67" s="47" t="str">
        <f>IF(AG$2*$O67*COUNT(data5!S6)=0,"",$K67*data5!S6)</f>
        <v/>
      </c>
      <c r="AH67" s="47" t="str">
        <f>IF(AH$2*$O67*COUNT(data5!T6)=0,"",$K67*data5!T6)</f>
        <v/>
      </c>
      <c r="AI67" s="47" t="str">
        <f>IF(AI$2*$O67*COUNT(data5!U6)=0,"",$K67*data5!U6)</f>
        <v/>
      </c>
      <c r="AJ67" s="47" t="str">
        <f>IF(AJ$2*$O67*COUNT(data5!V6)=0,"",$K67*data5!V6)</f>
        <v/>
      </c>
      <c r="AK67" s="47" t="str">
        <f>IF(AK$2*$O67*COUNT(data5!W6)=0,"",$K67*data5!W6)</f>
        <v/>
      </c>
      <c r="AL67" s="47" t="str">
        <f>IF(AL$2*$O67*COUNT(data5!X6)=0,"",$K67*data5!X6)</f>
        <v/>
      </c>
      <c r="AM67" s="47" t="str">
        <f>IF(AM$2*$O67*COUNT(data5!Y6)=0,"",$K67*data5!Y6)</f>
        <v/>
      </c>
      <c r="AN67" s="47" t="str">
        <f>IF(AN$2*$O67*COUNT(data5!Z6)=0,"",$K67*data5!Z6)</f>
        <v/>
      </c>
      <c r="AO67" s="47" t="str">
        <f>IF(AO$2*$O67*COUNT(data5!AA6)=0,"",$K67*data5!AA6)</f>
        <v/>
      </c>
      <c r="AP67" s="47" t="str">
        <f>IF(AP$2*$O67*COUNT(data5!AB6)=0,"",$K67*data5!AB6)</f>
        <v/>
      </c>
      <c r="AQ67" s="47" t="str">
        <f>IF(AQ$2*$O67*COUNT(data5!AC6)=0,"",$K67*data5!AC6)</f>
        <v/>
      </c>
      <c r="AR67" s="47" t="str">
        <f>IF(AR$2*$O67*COUNT(data5!AD6)=0,"",$K67*data5!AD6)</f>
        <v/>
      </c>
      <c r="AS67" s="47" t="str">
        <f>IF(AS$2*$O67*COUNT(data5!AE6)=0,"",$K67*data5!AE6)</f>
        <v/>
      </c>
      <c r="AT67" s="47" t="str">
        <f>IF(AT$2*$O67*COUNT(data5!AF6)=0,"",$K67*data5!AF6)</f>
        <v/>
      </c>
      <c r="AU67" s="47" t="str">
        <f>IF(AU$2*$O67*COUNT(data5!AG6)=0,"",$K67*data5!AG6)</f>
        <v/>
      </c>
    </row>
    <row r="68" spans="1:47">
      <c r="A68" s="191"/>
      <c r="B68" s="191" t="str">
        <f>B56</f>
        <v>P1</v>
      </c>
      <c r="C68" s="47" t="str">
        <f t="shared" ref="C68:C73" si="81">C56</f>
        <v>Range1-1</v>
      </c>
      <c r="D68" s="22" t="str">
        <f t="shared" si="71"/>
        <v/>
      </c>
      <c r="E68" s="22" t="str">
        <f t="shared" ref="E68:E73" si="82">IF(COUNT(P68:AU68)=0,"",AVERAGE(P68:AU68))</f>
        <v/>
      </c>
      <c r="F68" s="22" t="str">
        <f t="shared" si="72"/>
        <v/>
      </c>
      <c r="G68" s="22" t="str">
        <f t="shared" ref="G68:G73" si="83">IF(COUNT(P68:AU68)=0,"",STDEV(P68:AU68))</f>
        <v/>
      </c>
      <c r="I68" s="49">
        <f>I67+1</f>
        <v>2</v>
      </c>
      <c r="J68" s="49">
        <f t="shared" si="77"/>
        <v>7</v>
      </c>
      <c r="K68" s="146">
        <f t="shared" si="73"/>
        <v>25.125628140703519</v>
      </c>
      <c r="L68" s="123">
        <f t="shared" si="78"/>
        <v>61</v>
      </c>
      <c r="M68" s="130">
        <f t="shared" si="74"/>
        <v>1</v>
      </c>
      <c r="N68" s="108">
        <v>1</v>
      </c>
      <c r="O68" s="110">
        <f t="shared" si="79"/>
        <v>1</v>
      </c>
      <c r="P68" s="22" t="str">
        <f>IF(P$2*$O68*COUNT(data5!B7)=0,"",$K68*data5!B7)</f>
        <v/>
      </c>
      <c r="Q68" s="22" t="str">
        <f>IF(Q$2*$O68*COUNT(data5!C7)=0,"",$K68*data5!C7)</f>
        <v/>
      </c>
      <c r="R68" s="22" t="str">
        <f>IF(R$2*$O68*COUNT(data5!D7)=0,"",$K68*data5!D7)</f>
        <v/>
      </c>
      <c r="S68" s="22" t="str">
        <f>IF(S$2*$O68*COUNT(data5!E7)=0,"",$K68*data5!E7)</f>
        <v/>
      </c>
      <c r="T68" s="22" t="str">
        <f>IF(T$2*$O68*COUNT(data5!F7)=0,"",$K68*data5!F7)</f>
        <v/>
      </c>
      <c r="U68" s="22" t="str">
        <f>IF(U$2*$O68*COUNT(data5!G7)=0,"",$K68*data5!G7)</f>
        <v/>
      </c>
      <c r="V68" s="22" t="str">
        <f>IF(V$2*$O68*COUNT(data5!H7)=0,"",$K68*data5!H7)</f>
        <v/>
      </c>
      <c r="W68" s="22" t="str">
        <f>IF(W$2*$O68*COUNT(data5!I7)=0,"",$K68*data5!I7)</f>
        <v/>
      </c>
      <c r="X68" s="22" t="str">
        <f>IF(X$2*$O68*COUNT(data5!J7)=0,"",$K68*data5!J7)</f>
        <v/>
      </c>
      <c r="Y68" s="22" t="str">
        <f>IF(Y$2*$O68*COUNT(data5!K7)=0,"",$K68*data5!K7)</f>
        <v/>
      </c>
      <c r="Z68" s="22" t="str">
        <f>IF(Z$2*$O68*COUNT(data5!L7)=0,"",$K68*data5!L7)</f>
        <v/>
      </c>
      <c r="AA68" s="22" t="str">
        <f>IF(AA$2*$O68*COUNT(data5!M7)=0,"",$K68*data5!M7)</f>
        <v/>
      </c>
      <c r="AB68" s="22" t="str">
        <f>IF(AB$2*$O68*COUNT(data5!N7)=0,"",$K68*data5!N7)</f>
        <v/>
      </c>
      <c r="AC68" s="22" t="str">
        <f>IF(AC$2*$O68*COUNT(data5!O7)=0,"",$K68*data5!O7)</f>
        <v/>
      </c>
      <c r="AD68" s="22" t="str">
        <f>IF(AD$2*$O68*COUNT(data5!P7)=0,"",$K68*data5!P7)</f>
        <v/>
      </c>
      <c r="AE68" s="22" t="str">
        <f>IF(AE$2*$O68*COUNT(data5!Q7)=0,"",$K68*data5!Q7)</f>
        <v/>
      </c>
      <c r="AF68" s="22" t="str">
        <f>IF(AF$2*$O68*COUNT(data5!R7)=0,"",$K68*data5!R7)</f>
        <v/>
      </c>
      <c r="AG68" s="22" t="str">
        <f>IF(AG$2*$O68*COUNT(data5!S7)=0,"",$K68*data5!S7)</f>
        <v/>
      </c>
      <c r="AH68" s="22" t="str">
        <f>IF(AH$2*$O68*COUNT(data5!T7)=0,"",$K68*data5!T7)</f>
        <v/>
      </c>
      <c r="AI68" s="22" t="str">
        <f>IF(AI$2*$O68*COUNT(data5!U7)=0,"",$K68*data5!U7)</f>
        <v/>
      </c>
      <c r="AJ68" s="22" t="str">
        <f>IF(AJ$2*$O68*COUNT(data5!V7)=0,"",$K68*data5!V7)</f>
        <v/>
      </c>
      <c r="AK68" s="22" t="str">
        <f>IF(AK$2*$O68*COUNT(data5!W7)=0,"",$K68*data5!W7)</f>
        <v/>
      </c>
      <c r="AL68" s="22" t="str">
        <f>IF(AL$2*$O68*COUNT(data5!X7)=0,"",$K68*data5!X7)</f>
        <v/>
      </c>
      <c r="AM68" s="22" t="str">
        <f>IF(AM$2*$O68*COUNT(data5!Y7)=0,"",$K68*data5!Y7)</f>
        <v/>
      </c>
      <c r="AN68" s="22" t="str">
        <f>IF(AN$2*$O68*COUNT(data5!Z7)=0,"",$K68*data5!Z7)</f>
        <v/>
      </c>
      <c r="AO68" s="22" t="str">
        <f>IF(AO$2*$O68*COUNT(data5!AA7)=0,"",$K68*data5!AA7)</f>
        <v/>
      </c>
      <c r="AP68" s="22" t="str">
        <f>IF(AP$2*$O68*COUNT(data5!AB7)=0,"",$K68*data5!AB7)</f>
        <v/>
      </c>
      <c r="AQ68" s="22" t="str">
        <f>IF(AQ$2*$O68*COUNT(data5!AC7)=0,"",$K68*data5!AC7)</f>
        <v/>
      </c>
      <c r="AR68" s="22" t="str">
        <f>IF(AR$2*$O68*COUNT(data5!AD7)=0,"",$K68*data5!AD7)</f>
        <v/>
      </c>
      <c r="AS68" s="22" t="str">
        <f>IF(AS$2*$O68*COUNT(data5!AE7)=0,"",$K68*data5!AE7)</f>
        <v/>
      </c>
      <c r="AT68" s="22" t="str">
        <f>IF(AT$2*$O68*COUNT(data5!AF7)=0,"",$K68*data5!AF7)</f>
        <v/>
      </c>
      <c r="AU68" s="22" t="str">
        <f>IF(AU$2*$O68*COUNT(data5!AG7)=0,"",$K68*data5!AG7)</f>
        <v/>
      </c>
    </row>
    <row r="69" spans="1:47">
      <c r="A69" s="191"/>
      <c r="B69" s="191"/>
      <c r="C69" s="47" t="str">
        <f t="shared" si="81"/>
        <v>Range2-1</v>
      </c>
      <c r="D69" s="22" t="str">
        <f t="shared" si="71"/>
        <v/>
      </c>
      <c r="E69" s="22" t="str">
        <f t="shared" si="82"/>
        <v/>
      </c>
      <c r="F69" s="22" t="str">
        <f t="shared" si="72"/>
        <v/>
      </c>
      <c r="G69" s="22" t="str">
        <f t="shared" si="83"/>
        <v/>
      </c>
      <c r="I69" s="49">
        <f>I68</f>
        <v>2</v>
      </c>
      <c r="J69" s="49">
        <f t="shared" si="77"/>
        <v>7</v>
      </c>
      <c r="K69" s="146">
        <f t="shared" si="73"/>
        <v>25.125628140703519</v>
      </c>
      <c r="L69" s="123">
        <f t="shared" si="78"/>
        <v>62</v>
      </c>
      <c r="M69" s="130">
        <f t="shared" si="74"/>
        <v>1</v>
      </c>
      <c r="N69" s="108">
        <v>1</v>
      </c>
      <c r="O69" s="110">
        <f t="shared" si="79"/>
        <v>1</v>
      </c>
      <c r="P69" s="22" t="str">
        <f>IF(P$2*$O69*COUNT(data5!B8)=0,"",$K69*data5!B8)</f>
        <v/>
      </c>
      <c r="Q69" s="22" t="str">
        <f>IF(Q$2*$O69*COUNT(data5!C8)=0,"",$K69*data5!C8)</f>
        <v/>
      </c>
      <c r="R69" s="22" t="str">
        <f>IF(R$2*$O69*COUNT(data5!D8)=0,"",$K69*data5!D8)</f>
        <v/>
      </c>
      <c r="S69" s="22" t="str">
        <f>IF(S$2*$O69*COUNT(data5!E8)=0,"",$K69*data5!E8)</f>
        <v/>
      </c>
      <c r="T69" s="22" t="str">
        <f>IF(T$2*$O69*COUNT(data5!F8)=0,"",$K69*data5!F8)</f>
        <v/>
      </c>
      <c r="U69" s="22" t="str">
        <f>IF(U$2*$O69*COUNT(data5!G8)=0,"",$K69*data5!G8)</f>
        <v/>
      </c>
      <c r="V69" s="22" t="str">
        <f>IF(V$2*$O69*COUNT(data5!H8)=0,"",$K69*data5!H8)</f>
        <v/>
      </c>
      <c r="W69" s="22" t="str">
        <f>IF(W$2*$O69*COUNT(data5!I8)=0,"",$K69*data5!I8)</f>
        <v/>
      </c>
      <c r="X69" s="22" t="str">
        <f>IF(X$2*$O69*COUNT(data5!J8)=0,"",$K69*data5!J8)</f>
        <v/>
      </c>
      <c r="Y69" s="22" t="str">
        <f>IF(Y$2*$O69*COUNT(data5!K8)=0,"",$K69*data5!K8)</f>
        <v/>
      </c>
      <c r="Z69" s="22" t="str">
        <f>IF(Z$2*$O69*COUNT(data5!L8)=0,"",$K69*data5!L8)</f>
        <v/>
      </c>
      <c r="AA69" s="22" t="str">
        <f>IF(AA$2*$O69*COUNT(data5!M8)=0,"",$K69*data5!M8)</f>
        <v/>
      </c>
      <c r="AB69" s="22" t="str">
        <f>IF(AB$2*$O69*COUNT(data5!N8)=0,"",$K69*data5!N8)</f>
        <v/>
      </c>
      <c r="AC69" s="22" t="str">
        <f>IF(AC$2*$O69*COUNT(data5!O8)=0,"",$K69*data5!O8)</f>
        <v/>
      </c>
      <c r="AD69" s="22" t="str">
        <f>IF(AD$2*$O69*COUNT(data5!P8)=0,"",$K69*data5!P8)</f>
        <v/>
      </c>
      <c r="AE69" s="22" t="str">
        <f>IF(AE$2*$O69*COUNT(data5!Q8)=0,"",$K69*data5!Q8)</f>
        <v/>
      </c>
      <c r="AF69" s="22" t="str">
        <f>IF(AF$2*$O69*COUNT(data5!R8)=0,"",$K69*data5!R8)</f>
        <v/>
      </c>
      <c r="AG69" s="22" t="str">
        <f>IF(AG$2*$O69*COUNT(data5!S8)=0,"",$K69*data5!S8)</f>
        <v/>
      </c>
      <c r="AH69" s="22" t="str">
        <f>IF(AH$2*$O69*COUNT(data5!T8)=0,"",$K69*data5!T8)</f>
        <v/>
      </c>
      <c r="AI69" s="22" t="str">
        <f>IF(AI$2*$O69*COUNT(data5!U8)=0,"",$K69*data5!U8)</f>
        <v/>
      </c>
      <c r="AJ69" s="22" t="str">
        <f>IF(AJ$2*$O69*COUNT(data5!V8)=0,"",$K69*data5!V8)</f>
        <v/>
      </c>
      <c r="AK69" s="22" t="str">
        <f>IF(AK$2*$O69*COUNT(data5!W8)=0,"",$K69*data5!W8)</f>
        <v/>
      </c>
      <c r="AL69" s="22" t="str">
        <f>IF(AL$2*$O69*COUNT(data5!X8)=0,"",$K69*data5!X8)</f>
        <v/>
      </c>
      <c r="AM69" s="22" t="str">
        <f>IF(AM$2*$O69*COUNT(data5!Y8)=0,"",$K69*data5!Y8)</f>
        <v/>
      </c>
      <c r="AN69" s="22" t="str">
        <f>IF(AN$2*$O69*COUNT(data5!Z8)=0,"",$K69*data5!Z8)</f>
        <v/>
      </c>
      <c r="AO69" s="22" t="str">
        <f>IF(AO$2*$O69*COUNT(data5!AA8)=0,"",$K69*data5!AA8)</f>
        <v/>
      </c>
      <c r="AP69" s="22" t="str">
        <f>IF(AP$2*$O69*COUNT(data5!AB8)=0,"",$K69*data5!AB8)</f>
        <v/>
      </c>
      <c r="AQ69" s="22" t="str">
        <f>IF(AQ$2*$O69*COUNT(data5!AC8)=0,"",$K69*data5!AC8)</f>
        <v/>
      </c>
      <c r="AR69" s="22" t="str">
        <f>IF(AR$2*$O69*COUNT(data5!AD8)=0,"",$K69*data5!AD8)</f>
        <v/>
      </c>
      <c r="AS69" s="22" t="str">
        <f>IF(AS$2*$O69*COUNT(data5!AE8)=0,"",$K69*data5!AE8)</f>
        <v/>
      </c>
      <c r="AT69" s="22" t="str">
        <f>IF(AT$2*$O69*COUNT(data5!AF8)=0,"",$K69*data5!AF8)</f>
        <v/>
      </c>
      <c r="AU69" s="22" t="str">
        <f>IF(AU$2*$O69*COUNT(data5!AG8)=0,"",$K69*data5!AG8)</f>
        <v/>
      </c>
    </row>
    <row r="70" spans="1:47">
      <c r="A70" s="191"/>
      <c r="B70" s="191"/>
      <c r="C70" s="47" t="str">
        <f t="shared" si="81"/>
        <v>Range3-1</v>
      </c>
      <c r="D70" s="22" t="str">
        <f t="shared" si="71"/>
        <v/>
      </c>
      <c r="E70" s="22" t="str">
        <f t="shared" si="82"/>
        <v/>
      </c>
      <c r="F70" s="22" t="str">
        <f t="shared" si="72"/>
        <v/>
      </c>
      <c r="G70" s="22" t="str">
        <f t="shared" si="83"/>
        <v/>
      </c>
      <c r="I70" s="49">
        <f t="shared" ref="I70:I72" si="84">I69</f>
        <v>2</v>
      </c>
      <c r="J70" s="49">
        <f t="shared" si="77"/>
        <v>7</v>
      </c>
      <c r="K70" s="146">
        <f t="shared" si="73"/>
        <v>25.125628140703519</v>
      </c>
      <c r="L70" s="123">
        <f t="shared" si="78"/>
        <v>63</v>
      </c>
      <c r="M70" s="130">
        <f t="shared" si="74"/>
        <v>1</v>
      </c>
      <c r="N70" s="108">
        <v>1</v>
      </c>
      <c r="O70" s="110">
        <f t="shared" si="79"/>
        <v>1</v>
      </c>
      <c r="P70" s="22" t="str">
        <f>IF(P$2*$O70*COUNT(data5!B9)=0,"",$K70*data5!B9)</f>
        <v/>
      </c>
      <c r="Q70" s="22" t="str">
        <f>IF(Q$2*$O70*COUNT(data5!C9)=0,"",$K70*data5!C9)</f>
        <v/>
      </c>
      <c r="R70" s="22" t="str">
        <f>IF(R$2*$O70*COUNT(data5!D9)=0,"",$K70*data5!D9)</f>
        <v/>
      </c>
      <c r="S70" s="22" t="str">
        <f>IF(S$2*$O70*COUNT(data5!E9)=0,"",$K70*data5!E9)</f>
        <v/>
      </c>
      <c r="T70" s="22" t="str">
        <f>IF(T$2*$O70*COUNT(data5!F9)=0,"",$K70*data5!F9)</f>
        <v/>
      </c>
      <c r="U70" s="22" t="str">
        <f>IF(U$2*$O70*COUNT(data5!G9)=0,"",$K70*data5!G9)</f>
        <v/>
      </c>
      <c r="V70" s="22" t="str">
        <f>IF(V$2*$O70*COUNT(data5!H9)=0,"",$K70*data5!H9)</f>
        <v/>
      </c>
      <c r="W70" s="22" t="str">
        <f>IF(W$2*$O70*COUNT(data5!I9)=0,"",$K70*data5!I9)</f>
        <v/>
      </c>
      <c r="X70" s="22" t="str">
        <f>IF(X$2*$O70*COUNT(data5!J9)=0,"",$K70*data5!J9)</f>
        <v/>
      </c>
      <c r="Y70" s="22" t="str">
        <f>IF(Y$2*$O70*COUNT(data5!K9)=0,"",$K70*data5!K9)</f>
        <v/>
      </c>
      <c r="Z70" s="22" t="str">
        <f>IF(Z$2*$O70*COUNT(data5!L9)=0,"",$K70*data5!L9)</f>
        <v/>
      </c>
      <c r="AA70" s="22" t="str">
        <f>IF(AA$2*$O70*COUNT(data5!M9)=0,"",$K70*data5!M9)</f>
        <v/>
      </c>
      <c r="AB70" s="22" t="str">
        <f>IF(AB$2*$O70*COUNT(data5!N9)=0,"",$K70*data5!N9)</f>
        <v/>
      </c>
      <c r="AC70" s="22" t="str">
        <f>IF(AC$2*$O70*COUNT(data5!O9)=0,"",$K70*data5!O9)</f>
        <v/>
      </c>
      <c r="AD70" s="22" t="str">
        <f>IF(AD$2*$O70*COUNT(data5!P9)=0,"",$K70*data5!P9)</f>
        <v/>
      </c>
      <c r="AE70" s="22" t="str">
        <f>IF(AE$2*$O70*COUNT(data5!Q9)=0,"",$K70*data5!Q9)</f>
        <v/>
      </c>
      <c r="AF70" s="22" t="str">
        <f>IF(AF$2*$O70*COUNT(data5!R9)=0,"",$K70*data5!R9)</f>
        <v/>
      </c>
      <c r="AG70" s="22" t="str">
        <f>IF(AG$2*$O70*COUNT(data5!S9)=0,"",$K70*data5!S9)</f>
        <v/>
      </c>
      <c r="AH70" s="22" t="str">
        <f>IF(AH$2*$O70*COUNT(data5!T9)=0,"",$K70*data5!T9)</f>
        <v/>
      </c>
      <c r="AI70" s="22" t="str">
        <f>IF(AI$2*$O70*COUNT(data5!U9)=0,"",$K70*data5!U9)</f>
        <v/>
      </c>
      <c r="AJ70" s="22" t="str">
        <f>IF(AJ$2*$O70*COUNT(data5!V9)=0,"",$K70*data5!V9)</f>
        <v/>
      </c>
      <c r="AK70" s="22" t="str">
        <f>IF(AK$2*$O70*COUNT(data5!W9)=0,"",$K70*data5!W9)</f>
        <v/>
      </c>
      <c r="AL70" s="22" t="str">
        <f>IF(AL$2*$O70*COUNT(data5!X9)=0,"",$K70*data5!X9)</f>
        <v/>
      </c>
      <c r="AM70" s="22" t="str">
        <f>IF(AM$2*$O70*COUNT(data5!Y9)=0,"",$K70*data5!Y9)</f>
        <v/>
      </c>
      <c r="AN70" s="22" t="str">
        <f>IF(AN$2*$O70*COUNT(data5!Z9)=0,"",$K70*data5!Z9)</f>
        <v/>
      </c>
      <c r="AO70" s="22" t="str">
        <f>IF(AO$2*$O70*COUNT(data5!AA9)=0,"",$K70*data5!AA9)</f>
        <v/>
      </c>
      <c r="AP70" s="22" t="str">
        <f>IF(AP$2*$O70*COUNT(data5!AB9)=0,"",$K70*data5!AB9)</f>
        <v/>
      </c>
      <c r="AQ70" s="22" t="str">
        <f>IF(AQ$2*$O70*COUNT(data5!AC9)=0,"",$K70*data5!AC9)</f>
        <v/>
      </c>
      <c r="AR70" s="22" t="str">
        <f>IF(AR$2*$O70*COUNT(data5!AD9)=0,"",$K70*data5!AD9)</f>
        <v/>
      </c>
      <c r="AS70" s="22" t="str">
        <f>IF(AS$2*$O70*COUNT(data5!AE9)=0,"",$K70*data5!AE9)</f>
        <v/>
      </c>
      <c r="AT70" s="22" t="str">
        <f>IF(AT$2*$O70*COUNT(data5!AF9)=0,"",$K70*data5!AF9)</f>
        <v/>
      </c>
      <c r="AU70" s="22" t="str">
        <f>IF(AU$2*$O70*COUNT(data5!AG9)=0,"",$K70*data5!AG9)</f>
        <v/>
      </c>
    </row>
    <row r="71" spans="1:47">
      <c r="A71" s="191"/>
      <c r="B71" s="191" t="str">
        <f>B59</f>
        <v>P2</v>
      </c>
      <c r="C71" s="47" t="str">
        <f t="shared" si="81"/>
        <v>Range2-2</v>
      </c>
      <c r="D71" s="22" t="str">
        <f t="shared" si="71"/>
        <v/>
      </c>
      <c r="E71" s="22" t="str">
        <f t="shared" si="82"/>
        <v/>
      </c>
      <c r="F71" s="22" t="str">
        <f t="shared" si="72"/>
        <v/>
      </c>
      <c r="G71" s="22" t="str">
        <f t="shared" si="83"/>
        <v/>
      </c>
      <c r="I71" s="49">
        <f>I70+1</f>
        <v>3</v>
      </c>
      <c r="J71" s="49">
        <f t="shared" si="77"/>
        <v>7</v>
      </c>
      <c r="K71" s="146">
        <f t="shared" si="73"/>
        <v>14.401440144014401</v>
      </c>
      <c r="L71" s="123">
        <f t="shared" si="78"/>
        <v>64</v>
      </c>
      <c r="M71" s="130">
        <f t="shared" si="74"/>
        <v>1</v>
      </c>
      <c r="N71" s="108">
        <v>1</v>
      </c>
      <c r="O71" s="110">
        <f t="shared" si="79"/>
        <v>1</v>
      </c>
      <c r="P71" s="22" t="str">
        <f>IF(P$2*$O71*COUNT(data5!B10)=0,"",$K71*data5!B10)</f>
        <v/>
      </c>
      <c r="Q71" s="22" t="str">
        <f>IF(Q$2*$O71*COUNT(data5!C10)=0,"",$K71*data5!C10)</f>
        <v/>
      </c>
      <c r="R71" s="22" t="str">
        <f>IF(R$2*$O71*COUNT(data5!D10)=0,"",$K71*data5!D10)</f>
        <v/>
      </c>
      <c r="S71" s="22" t="str">
        <f>IF(S$2*$O71*COUNT(data5!E10)=0,"",$K71*data5!E10)</f>
        <v/>
      </c>
      <c r="T71" s="22" t="str">
        <f>IF(T$2*$O71*COUNT(data5!F10)=0,"",$K71*data5!F10)</f>
        <v/>
      </c>
      <c r="U71" s="22" t="str">
        <f>IF(U$2*$O71*COUNT(data5!G10)=0,"",$K71*data5!G10)</f>
        <v/>
      </c>
      <c r="V71" s="22" t="str">
        <f>IF(V$2*$O71*COUNT(data5!H10)=0,"",$K71*data5!H10)</f>
        <v/>
      </c>
      <c r="W71" s="22" t="str">
        <f>IF(W$2*$O71*COUNT(data5!I10)=0,"",$K71*data5!I10)</f>
        <v/>
      </c>
      <c r="X71" s="22" t="str">
        <f>IF(X$2*$O71*COUNT(data5!J10)=0,"",$K71*data5!J10)</f>
        <v/>
      </c>
      <c r="Y71" s="22" t="str">
        <f>IF(Y$2*$O71*COUNT(data5!K10)=0,"",$K71*data5!K10)</f>
        <v/>
      </c>
      <c r="Z71" s="22" t="str">
        <f>IF(Z$2*$O71*COUNT(data5!L10)=0,"",$K71*data5!L10)</f>
        <v/>
      </c>
      <c r="AA71" s="22" t="str">
        <f>IF(AA$2*$O71*COUNT(data5!M10)=0,"",$K71*data5!M10)</f>
        <v/>
      </c>
      <c r="AB71" s="22" t="str">
        <f>IF(AB$2*$O71*COUNT(data5!N10)=0,"",$K71*data5!N10)</f>
        <v/>
      </c>
      <c r="AC71" s="22" t="str">
        <f>IF(AC$2*$O71*COUNT(data5!O10)=0,"",$K71*data5!O10)</f>
        <v/>
      </c>
      <c r="AD71" s="22" t="str">
        <f>IF(AD$2*$O71*COUNT(data5!P10)=0,"",$K71*data5!P10)</f>
        <v/>
      </c>
      <c r="AE71" s="22" t="str">
        <f>IF(AE$2*$O71*COUNT(data5!Q10)=0,"",$K71*data5!Q10)</f>
        <v/>
      </c>
      <c r="AF71" s="22" t="str">
        <f>IF(AF$2*$O71*COUNT(data5!R10)=0,"",$K71*data5!R10)</f>
        <v/>
      </c>
      <c r="AG71" s="22" t="str">
        <f>IF(AG$2*$O71*COUNT(data5!S10)=0,"",$K71*data5!S10)</f>
        <v/>
      </c>
      <c r="AH71" s="22" t="str">
        <f>IF(AH$2*$O71*COUNT(data5!T10)=0,"",$K71*data5!T10)</f>
        <v/>
      </c>
      <c r="AI71" s="22" t="str">
        <f>IF(AI$2*$O71*COUNT(data5!U10)=0,"",$K71*data5!U10)</f>
        <v/>
      </c>
      <c r="AJ71" s="22" t="str">
        <f>IF(AJ$2*$O71*COUNT(data5!V10)=0,"",$K71*data5!V10)</f>
        <v/>
      </c>
      <c r="AK71" s="22" t="str">
        <f>IF(AK$2*$O71*COUNT(data5!W10)=0,"",$K71*data5!W10)</f>
        <v/>
      </c>
      <c r="AL71" s="22" t="str">
        <f>IF(AL$2*$O71*COUNT(data5!X10)=0,"",$K71*data5!X10)</f>
        <v/>
      </c>
      <c r="AM71" s="22" t="str">
        <f>IF(AM$2*$O71*COUNT(data5!Y10)=0,"",$K71*data5!Y10)</f>
        <v/>
      </c>
      <c r="AN71" s="22" t="str">
        <f>IF(AN$2*$O71*COUNT(data5!Z10)=0,"",$K71*data5!Z10)</f>
        <v/>
      </c>
      <c r="AO71" s="22" t="str">
        <f>IF(AO$2*$O71*COUNT(data5!AA10)=0,"",$K71*data5!AA10)</f>
        <v/>
      </c>
      <c r="AP71" s="22" t="str">
        <f>IF(AP$2*$O71*COUNT(data5!AB10)=0,"",$K71*data5!AB10)</f>
        <v/>
      </c>
      <c r="AQ71" s="22" t="str">
        <f>IF(AQ$2*$O71*COUNT(data5!AC10)=0,"",$K71*data5!AC10)</f>
        <v/>
      </c>
      <c r="AR71" s="22" t="str">
        <f>IF(AR$2*$O71*COUNT(data5!AD10)=0,"",$K71*data5!AD10)</f>
        <v/>
      </c>
      <c r="AS71" s="22" t="str">
        <f>IF(AS$2*$O71*COUNT(data5!AE10)=0,"",$K71*data5!AE10)</f>
        <v/>
      </c>
      <c r="AT71" s="22" t="str">
        <f>IF(AT$2*$O71*COUNT(data5!AF10)=0,"",$K71*data5!AF10)</f>
        <v/>
      </c>
      <c r="AU71" s="22" t="str">
        <f>IF(AU$2*$O71*COUNT(data5!AG10)=0,"",$K71*data5!AG10)</f>
        <v/>
      </c>
    </row>
    <row r="72" spans="1:47">
      <c r="A72" s="191"/>
      <c r="B72" s="191"/>
      <c r="C72" s="47" t="str">
        <f t="shared" si="81"/>
        <v>Range3-2</v>
      </c>
      <c r="D72" s="22" t="str">
        <f t="shared" si="71"/>
        <v/>
      </c>
      <c r="E72" s="22" t="str">
        <f t="shared" si="82"/>
        <v/>
      </c>
      <c r="F72" s="22" t="str">
        <f t="shared" si="72"/>
        <v/>
      </c>
      <c r="G72" s="22" t="str">
        <f t="shared" si="83"/>
        <v/>
      </c>
      <c r="I72" s="49">
        <f t="shared" si="84"/>
        <v>3</v>
      </c>
      <c r="J72" s="49">
        <f t="shared" si="77"/>
        <v>7</v>
      </c>
      <c r="K72" s="146">
        <f t="shared" si="73"/>
        <v>14.401440144014401</v>
      </c>
      <c r="L72" s="123">
        <f t="shared" si="78"/>
        <v>65</v>
      </c>
      <c r="M72" s="130">
        <f t="shared" si="74"/>
        <v>1</v>
      </c>
      <c r="N72" s="108">
        <v>1</v>
      </c>
      <c r="O72" s="110">
        <f t="shared" si="79"/>
        <v>1</v>
      </c>
      <c r="P72" s="22" t="str">
        <f>IF(P$2*$O72*COUNT(data5!B11)=0,"",$K72*data5!B11)</f>
        <v/>
      </c>
      <c r="Q72" s="22" t="str">
        <f>IF(Q$2*$O72*COUNT(data5!C11)=0,"",$K72*data5!C11)</f>
        <v/>
      </c>
      <c r="R72" s="22" t="str">
        <f>IF(R$2*$O72*COUNT(data5!D11)=0,"",$K72*data5!D11)</f>
        <v/>
      </c>
      <c r="S72" s="22" t="str">
        <f>IF(S$2*$O72*COUNT(data5!E11)=0,"",$K72*data5!E11)</f>
        <v/>
      </c>
      <c r="T72" s="22" t="str">
        <f>IF(T$2*$O72*COUNT(data5!F11)=0,"",$K72*data5!F11)</f>
        <v/>
      </c>
      <c r="U72" s="22" t="str">
        <f>IF(U$2*$O72*COUNT(data5!G11)=0,"",$K72*data5!G11)</f>
        <v/>
      </c>
      <c r="V72" s="22" t="str">
        <f>IF(V$2*$O72*COUNT(data5!H11)=0,"",$K72*data5!H11)</f>
        <v/>
      </c>
      <c r="W72" s="22" t="str">
        <f>IF(W$2*$O72*COUNT(data5!I11)=0,"",$K72*data5!I11)</f>
        <v/>
      </c>
      <c r="X72" s="22" t="str">
        <f>IF(X$2*$O72*COUNT(data5!J11)=0,"",$K72*data5!J11)</f>
        <v/>
      </c>
      <c r="Y72" s="22" t="str">
        <f>IF(Y$2*$O72*COUNT(data5!K11)=0,"",$K72*data5!K11)</f>
        <v/>
      </c>
      <c r="Z72" s="22" t="str">
        <f>IF(Z$2*$O72*COUNT(data5!L11)=0,"",$K72*data5!L11)</f>
        <v/>
      </c>
      <c r="AA72" s="22" t="str">
        <f>IF(AA$2*$O72*COUNT(data5!M11)=0,"",$K72*data5!M11)</f>
        <v/>
      </c>
      <c r="AB72" s="22" t="str">
        <f>IF(AB$2*$O72*COUNT(data5!N11)=0,"",$K72*data5!N11)</f>
        <v/>
      </c>
      <c r="AC72" s="22" t="str">
        <f>IF(AC$2*$O72*COUNT(data5!O11)=0,"",$K72*data5!O11)</f>
        <v/>
      </c>
      <c r="AD72" s="22" t="str">
        <f>IF(AD$2*$O72*COUNT(data5!P11)=0,"",$K72*data5!P11)</f>
        <v/>
      </c>
      <c r="AE72" s="22" t="str">
        <f>IF(AE$2*$O72*COUNT(data5!Q11)=0,"",$K72*data5!Q11)</f>
        <v/>
      </c>
      <c r="AF72" s="22" t="str">
        <f>IF(AF$2*$O72*COUNT(data5!R11)=0,"",$K72*data5!R11)</f>
        <v/>
      </c>
      <c r="AG72" s="22" t="str">
        <f>IF(AG$2*$O72*COUNT(data5!S11)=0,"",$K72*data5!S11)</f>
        <v/>
      </c>
      <c r="AH72" s="22" t="str">
        <f>IF(AH$2*$O72*COUNT(data5!T11)=0,"",$K72*data5!T11)</f>
        <v/>
      </c>
      <c r="AI72" s="22" t="str">
        <f>IF(AI$2*$O72*COUNT(data5!U11)=0,"",$K72*data5!U11)</f>
        <v/>
      </c>
      <c r="AJ72" s="22" t="str">
        <f>IF(AJ$2*$O72*COUNT(data5!V11)=0,"",$K72*data5!V11)</f>
        <v/>
      </c>
      <c r="AK72" s="22" t="str">
        <f>IF(AK$2*$O72*COUNT(data5!W11)=0,"",$K72*data5!W11)</f>
        <v/>
      </c>
      <c r="AL72" s="22" t="str">
        <f>IF(AL$2*$O72*COUNT(data5!X11)=0,"",$K72*data5!X11)</f>
        <v/>
      </c>
      <c r="AM72" s="22" t="str">
        <f>IF(AM$2*$O72*COUNT(data5!Y11)=0,"",$K72*data5!Y11)</f>
        <v/>
      </c>
      <c r="AN72" s="22" t="str">
        <f>IF(AN$2*$O72*COUNT(data5!Z11)=0,"",$K72*data5!Z11)</f>
        <v/>
      </c>
      <c r="AO72" s="22" t="str">
        <f>IF(AO$2*$O72*COUNT(data5!AA11)=0,"",$K72*data5!AA11)</f>
        <v/>
      </c>
      <c r="AP72" s="22" t="str">
        <f>IF(AP$2*$O72*COUNT(data5!AB11)=0,"",$K72*data5!AB11)</f>
        <v/>
      </c>
      <c r="AQ72" s="22" t="str">
        <f>IF(AQ$2*$O72*COUNT(data5!AC11)=0,"",$K72*data5!AC11)</f>
        <v/>
      </c>
      <c r="AR72" s="22" t="str">
        <f>IF(AR$2*$O72*COUNT(data5!AD11)=0,"",$K72*data5!AD11)</f>
        <v/>
      </c>
      <c r="AS72" s="22" t="str">
        <f>IF(AS$2*$O72*COUNT(data5!AE11)=0,"",$K72*data5!AE11)</f>
        <v/>
      </c>
      <c r="AT72" s="22" t="str">
        <f>IF(AT$2*$O72*COUNT(data5!AF11)=0,"",$K72*data5!AF11)</f>
        <v/>
      </c>
      <c r="AU72" s="22" t="str">
        <f>IF(AU$2*$O72*COUNT(data5!AG11)=0,"",$K72*data5!AG11)</f>
        <v/>
      </c>
    </row>
    <row r="73" spans="1:47">
      <c r="A73" s="191"/>
      <c r="B73" s="113" t="str">
        <f>B61</f>
        <v>P3</v>
      </c>
      <c r="C73" s="47" t="str">
        <f t="shared" si="81"/>
        <v>Range3-3</v>
      </c>
      <c r="D73" s="22" t="str">
        <f t="shared" si="71"/>
        <v/>
      </c>
      <c r="E73" s="22" t="str">
        <f t="shared" si="82"/>
        <v/>
      </c>
      <c r="F73" s="22" t="str">
        <f t="shared" si="72"/>
        <v/>
      </c>
      <c r="G73" s="22" t="str">
        <f t="shared" si="83"/>
        <v/>
      </c>
      <c r="I73" s="49">
        <f>I72+1</f>
        <v>4</v>
      </c>
      <c r="J73" s="49">
        <f t="shared" si="77"/>
        <v>7</v>
      </c>
      <c r="K73" s="146">
        <f t="shared" si="73"/>
        <v>30.418250950570343</v>
      </c>
      <c r="L73" s="123">
        <f t="shared" si="78"/>
        <v>66</v>
      </c>
      <c r="M73" s="130">
        <f t="shared" si="74"/>
        <v>1</v>
      </c>
      <c r="N73" s="108">
        <v>1</v>
      </c>
      <c r="O73" s="110">
        <f t="shared" si="79"/>
        <v>1</v>
      </c>
      <c r="P73" s="22" t="str">
        <f>IF(P$2*$O73*COUNT(data5!B12)=0,"",$K73*data5!B12)</f>
        <v/>
      </c>
      <c r="Q73" s="22" t="str">
        <f>IF(Q$2*$O73*COUNT(data5!C12)=0,"",$K73*data5!C12)</f>
        <v/>
      </c>
      <c r="R73" s="22" t="str">
        <f>IF(R$2*$O73*COUNT(data5!D12)=0,"",$K73*data5!D12)</f>
        <v/>
      </c>
      <c r="S73" s="22" t="str">
        <f>IF(S$2*$O73*COUNT(data5!E12)=0,"",$K73*data5!E12)</f>
        <v/>
      </c>
      <c r="T73" s="22" t="str">
        <f>IF(T$2*$O73*COUNT(data5!F12)=0,"",$K73*data5!F12)</f>
        <v/>
      </c>
      <c r="U73" s="22" t="str">
        <f>IF(U$2*$O73*COUNT(data5!G12)=0,"",$K73*data5!G12)</f>
        <v/>
      </c>
      <c r="V73" s="22" t="str">
        <f>IF(V$2*$O73*COUNT(data5!H12)=0,"",$K73*data5!H12)</f>
        <v/>
      </c>
      <c r="W73" s="22" t="str">
        <f>IF(W$2*$O73*COUNT(data5!I12)=0,"",$K73*data5!I12)</f>
        <v/>
      </c>
      <c r="X73" s="22" t="str">
        <f>IF(X$2*$O73*COUNT(data5!J12)=0,"",$K73*data5!J12)</f>
        <v/>
      </c>
      <c r="Y73" s="22" t="str">
        <f>IF(Y$2*$O73*COUNT(data5!K12)=0,"",$K73*data5!K12)</f>
        <v/>
      </c>
      <c r="Z73" s="22" t="str">
        <f>IF(Z$2*$O73*COUNT(data5!L12)=0,"",$K73*data5!L12)</f>
        <v/>
      </c>
      <c r="AA73" s="22" t="str">
        <f>IF(AA$2*$O73*COUNT(data5!M12)=0,"",$K73*data5!M12)</f>
        <v/>
      </c>
      <c r="AB73" s="22" t="str">
        <f>IF(AB$2*$O73*COUNT(data5!N12)=0,"",$K73*data5!N12)</f>
        <v/>
      </c>
      <c r="AC73" s="22" t="str">
        <f>IF(AC$2*$O73*COUNT(data5!O12)=0,"",$K73*data5!O12)</f>
        <v/>
      </c>
      <c r="AD73" s="22" t="str">
        <f>IF(AD$2*$O73*COUNT(data5!P12)=0,"",$K73*data5!P12)</f>
        <v/>
      </c>
      <c r="AE73" s="22" t="str">
        <f>IF(AE$2*$O73*COUNT(data5!Q12)=0,"",$K73*data5!Q12)</f>
        <v/>
      </c>
      <c r="AF73" s="22" t="str">
        <f>IF(AF$2*$O73*COUNT(data5!R12)=0,"",$K73*data5!R12)</f>
        <v/>
      </c>
      <c r="AG73" s="22" t="str">
        <f>IF(AG$2*$O73*COUNT(data5!S12)=0,"",$K73*data5!S12)</f>
        <v/>
      </c>
      <c r="AH73" s="22" t="str">
        <f>IF(AH$2*$O73*COUNT(data5!T12)=0,"",$K73*data5!T12)</f>
        <v/>
      </c>
      <c r="AI73" s="22" t="str">
        <f>IF(AI$2*$O73*COUNT(data5!U12)=0,"",$K73*data5!U12)</f>
        <v/>
      </c>
      <c r="AJ73" s="22" t="str">
        <f>IF(AJ$2*$O73*COUNT(data5!V12)=0,"",$K73*data5!V12)</f>
        <v/>
      </c>
      <c r="AK73" s="22" t="str">
        <f>IF(AK$2*$O73*COUNT(data5!W12)=0,"",$K73*data5!W12)</f>
        <v/>
      </c>
      <c r="AL73" s="22" t="str">
        <f>IF(AL$2*$O73*COUNT(data5!X12)=0,"",$K73*data5!X12)</f>
        <v/>
      </c>
      <c r="AM73" s="22" t="str">
        <f>IF(AM$2*$O73*COUNT(data5!Y12)=0,"",$K73*data5!Y12)</f>
        <v/>
      </c>
      <c r="AN73" s="22" t="str">
        <f>IF(AN$2*$O73*COUNT(data5!Z12)=0,"",$K73*data5!Z12)</f>
        <v/>
      </c>
      <c r="AO73" s="22" t="str">
        <f>IF(AO$2*$O73*COUNT(data5!AA12)=0,"",$K73*data5!AA12)</f>
        <v/>
      </c>
      <c r="AP73" s="22" t="str">
        <f>IF(AP$2*$O73*COUNT(data5!AB12)=0,"",$K73*data5!AB12)</f>
        <v/>
      </c>
      <c r="AQ73" s="22" t="str">
        <f>IF(AQ$2*$O73*COUNT(data5!AC12)=0,"",$K73*data5!AC12)</f>
        <v/>
      </c>
      <c r="AR73" s="22" t="str">
        <f>IF(AR$2*$O73*COUNT(data5!AD12)=0,"",$K73*data5!AD12)</f>
        <v/>
      </c>
      <c r="AS73" s="22" t="str">
        <f>IF(AS$2*$O73*COUNT(data5!AE12)=0,"",$K73*data5!AE12)</f>
        <v/>
      </c>
      <c r="AT73" s="22" t="str">
        <f>IF(AT$2*$O73*COUNT(data5!AF12)=0,"",$K73*data5!AF12)</f>
        <v/>
      </c>
      <c r="AU73" s="22" t="str">
        <f>IF(AU$2*$O73*COUNT(data5!AG12)=0,"",$K73*data5!AG12)</f>
        <v/>
      </c>
    </row>
    <row r="74" spans="1:47" s="21" customFormat="1">
      <c r="A74" s="191"/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</row>
    <row r="75" spans="1:47">
      <c r="A75" s="191" t="str">
        <f>Calculations!AG1</f>
        <v>6500K</v>
      </c>
      <c r="B75" s="191" t="str">
        <f>B63</f>
        <v>P0</v>
      </c>
      <c r="C75" s="47" t="str">
        <f>C63</f>
        <v>Range0</v>
      </c>
      <c r="D75" s="22" t="str">
        <f t="shared" ref="D75:D85" si="85">IF(COUNT(P75:AU75)=0,"",E75-1.5*G75)</f>
        <v/>
      </c>
      <c r="E75" s="22" t="str">
        <f>IF(COUNT(P75:AU75)=0,"",AVERAGE(P75:AU75))</f>
        <v/>
      </c>
      <c r="F75" s="22" t="str">
        <f t="shared" ref="F75:F85" si="86">IF(COUNT(P75:AU75)=0,"",E75+1.5*G75)</f>
        <v/>
      </c>
      <c r="G75" s="22" t="str">
        <f>IF(COUNT(P75:AU75)=0,"",STDEV(P75:AU75))</f>
        <v/>
      </c>
      <c r="I75" s="49">
        <v>1</v>
      </c>
      <c r="J75" s="49">
        <f>J63+1</f>
        <v>8</v>
      </c>
      <c r="K75" s="146">
        <f t="shared" ref="K75:K85" si="87">INDEX(calTable,I75,1)/INDEX(calTable,I75,J75)</f>
        <v>31.05590062111801</v>
      </c>
      <c r="L75" s="49">
        <f>L73+1</f>
        <v>67</v>
      </c>
      <c r="M75" s="130">
        <f t="shared" ref="M75:M85" si="88">INDEX(dataEnable,L75)</f>
        <v>1</v>
      </c>
      <c r="N75" s="108">
        <v>1</v>
      </c>
      <c r="O75" s="110">
        <f>M75*N75</f>
        <v>1</v>
      </c>
      <c r="P75" s="22" t="str">
        <f>IF(P$2*$O75*COUNT(data6!B2)=0,"",$K75*data6!B2)</f>
        <v/>
      </c>
      <c r="Q75" s="22" t="str">
        <f>IF(Q$2*$O75*COUNT(data6!C2)=0,"",$K75*data6!C2)</f>
        <v/>
      </c>
      <c r="R75" s="22" t="str">
        <f>IF(R$2*$O75*COUNT(data6!D2)=0,"",$K75*data6!D2)</f>
        <v/>
      </c>
      <c r="S75" s="22" t="str">
        <f>IF(S$2*$O75*COUNT(data6!E2)=0,"",$K75*data6!E2)</f>
        <v/>
      </c>
      <c r="T75" s="22" t="str">
        <f>IF(T$2*$O75*COUNT(data6!F2)=0,"",$K75*data6!F2)</f>
        <v/>
      </c>
      <c r="U75" s="22" t="str">
        <f>IF(U$2*$O75*COUNT(data6!G2)=0,"",$K75*data6!G2)</f>
        <v/>
      </c>
      <c r="V75" s="22" t="str">
        <f>IF(V$2*$O75*COUNT(data6!H2)=0,"",$K75*data6!H2)</f>
        <v/>
      </c>
      <c r="W75" s="22" t="str">
        <f>IF(W$2*$O75*COUNT(data6!I2)=0,"",$K75*data6!I2)</f>
        <v/>
      </c>
      <c r="X75" s="22" t="str">
        <f>IF(X$2*$O75*COUNT(data6!J2)=0,"",$K75*data6!J2)</f>
        <v/>
      </c>
      <c r="Y75" s="22" t="str">
        <f>IF(Y$2*$O75*COUNT(data6!K2)=0,"",$K75*data6!K2)</f>
        <v/>
      </c>
      <c r="Z75" s="22" t="str">
        <f>IF(Z$2*$O75*COUNT(data6!L2)=0,"",$K75*data6!L2)</f>
        <v/>
      </c>
      <c r="AA75" s="22" t="str">
        <f>IF(AA$2*$O75*COUNT(data6!M2)=0,"",$K75*data6!M2)</f>
        <v/>
      </c>
      <c r="AB75" s="22" t="str">
        <f>IF(AB$2*$O75*COUNT(data6!N2)=0,"",$K75*data6!N2)</f>
        <v/>
      </c>
      <c r="AC75" s="22" t="str">
        <f>IF(AC$2*$O75*COUNT(data6!O2)=0,"",$K75*data6!O2)</f>
        <v/>
      </c>
      <c r="AD75" s="22" t="str">
        <f>IF(AD$2*$O75*COUNT(data6!P2)=0,"",$K75*data6!P2)</f>
        <v/>
      </c>
      <c r="AE75" s="22" t="str">
        <f>IF(AE$2*$O75*COUNT(data6!Q2)=0,"",$K75*data6!Q2)</f>
        <v/>
      </c>
      <c r="AF75" s="22" t="str">
        <f>IF(AF$2*$O75*COUNT(data6!R2)=0,"",$K75*data6!R2)</f>
        <v/>
      </c>
      <c r="AG75" s="22" t="str">
        <f>IF(AG$2*$O75*COUNT(data6!S2)=0,"",$K75*data6!S2)</f>
        <v/>
      </c>
      <c r="AH75" s="22" t="str">
        <f>IF(AH$2*$O75*COUNT(data6!T2)=0,"",$K75*data6!T2)</f>
        <v/>
      </c>
      <c r="AI75" s="22" t="str">
        <f>IF(AI$2*$O75*COUNT(data6!U2)=0,"",$K75*data6!U2)</f>
        <v/>
      </c>
      <c r="AJ75" s="22" t="str">
        <f>IF(AJ$2*$O75*COUNT(data6!V2)=0,"",$K75*data6!V2)</f>
        <v/>
      </c>
      <c r="AK75" s="22" t="str">
        <f>IF(AK$2*$O75*COUNT(data6!W2)=0,"",$K75*data6!W2)</f>
        <v/>
      </c>
      <c r="AL75" s="22" t="str">
        <f>IF(AL$2*$O75*COUNT(data6!X2)=0,"",$K75*data6!X2)</f>
        <v/>
      </c>
      <c r="AM75" s="22" t="str">
        <f>IF(AM$2*$O75*COUNT(data6!Y2)=0,"",$K75*data6!Y2)</f>
        <v/>
      </c>
      <c r="AN75" s="22" t="str">
        <f>IF(AN$2*$O75*COUNT(data6!Z2)=0,"",$K75*data6!Z2)</f>
        <v/>
      </c>
      <c r="AO75" s="22" t="str">
        <f>IF(AO$2*$O75*COUNT(data6!AA2)=0,"",$K75*data6!AA2)</f>
        <v/>
      </c>
      <c r="AP75" s="22" t="str">
        <f>IF(AP$2*$O75*COUNT(data6!AB2)=0,"",$K75*data6!AB2)</f>
        <v/>
      </c>
      <c r="AQ75" s="22" t="str">
        <f>IF(AQ$2*$O75*COUNT(data6!AC2)=0,"",$K75*data6!AC2)</f>
        <v/>
      </c>
      <c r="AR75" s="22" t="str">
        <f>IF(AR$2*$O75*COUNT(data6!AD2)=0,"",$K75*data6!AD2)</f>
        <v/>
      </c>
      <c r="AS75" s="22" t="str">
        <f>IF(AS$2*$O75*COUNT(data6!AE2)=0,"",$K75*data6!AE2)</f>
        <v/>
      </c>
      <c r="AT75" s="22" t="str">
        <f>IF(AT$2*$O75*COUNT(data6!AF2)=0,"",$K75*data6!AF2)</f>
        <v/>
      </c>
      <c r="AU75" s="22" t="str">
        <f>IF(AU$2*$O75*COUNT(data6!AG2)=0,"",$K75*data6!AG2)</f>
        <v/>
      </c>
    </row>
    <row r="76" spans="1:47">
      <c r="A76" s="191"/>
      <c r="B76" s="191"/>
      <c r="C76" s="47" t="str">
        <f>C64</f>
        <v>Range1</v>
      </c>
      <c r="D76" s="22" t="str">
        <f t="shared" si="85"/>
        <v/>
      </c>
      <c r="E76" s="22" t="str">
        <f t="shared" ref="E76:E78" si="89">IF(COUNT(P76:AU76)=0,"",AVERAGE(P76:AU76))</f>
        <v/>
      </c>
      <c r="F76" s="22" t="str">
        <f t="shared" si="86"/>
        <v/>
      </c>
      <c r="G76" s="22" t="str">
        <f t="shared" ref="G76:G78" si="90">IF(COUNT(P76:AU76)=0,"",STDEV(P76:AU76))</f>
        <v/>
      </c>
      <c r="I76" s="49">
        <f>I75</f>
        <v>1</v>
      </c>
      <c r="J76" s="49">
        <f t="shared" ref="J76:J85" si="91">J64+1</f>
        <v>8</v>
      </c>
      <c r="K76" s="146">
        <f t="shared" si="87"/>
        <v>31.05590062111801</v>
      </c>
      <c r="L76" s="123">
        <f t="shared" ref="L76:L85" si="92">L75+1</f>
        <v>68</v>
      </c>
      <c r="M76" s="130">
        <f t="shared" si="88"/>
        <v>1</v>
      </c>
      <c r="N76" s="108">
        <v>1</v>
      </c>
      <c r="O76" s="110">
        <f t="shared" ref="O76:O85" si="93">M76*N76</f>
        <v>1</v>
      </c>
      <c r="P76" s="22" t="str">
        <f>IF(P$2*$O76*COUNT(data6!B3)=0,"",$K76*data6!B3)</f>
        <v/>
      </c>
      <c r="Q76" s="22" t="str">
        <f>IF(Q$2*$O76*COUNT(data6!C3)=0,"",$K76*data6!C3)</f>
        <v/>
      </c>
      <c r="R76" s="22" t="str">
        <f>IF(R$2*$O76*COUNT(data6!D3)=0,"",$K76*data6!D3)</f>
        <v/>
      </c>
      <c r="S76" s="22" t="str">
        <f>IF(S$2*$O76*COUNT(data6!E3)=0,"",$K76*data6!E3)</f>
        <v/>
      </c>
      <c r="T76" s="22" t="str">
        <f>IF(T$2*$O76*COUNT(data6!F3)=0,"",$K76*data6!F3)</f>
        <v/>
      </c>
      <c r="U76" s="22" t="str">
        <f>IF(U$2*$O76*COUNT(data6!G3)=0,"",$K76*data6!G3)</f>
        <v/>
      </c>
      <c r="V76" s="22" t="str">
        <f>IF(V$2*$O76*COUNT(data6!H3)=0,"",$K76*data6!H3)</f>
        <v/>
      </c>
      <c r="W76" s="22" t="str">
        <f>IF(W$2*$O76*COUNT(data6!I3)=0,"",$K76*data6!I3)</f>
        <v/>
      </c>
      <c r="X76" s="22" t="str">
        <f>IF(X$2*$O76*COUNT(data6!J3)=0,"",$K76*data6!J3)</f>
        <v/>
      </c>
      <c r="Y76" s="22" t="str">
        <f>IF(Y$2*$O76*COUNT(data6!K3)=0,"",$K76*data6!K3)</f>
        <v/>
      </c>
      <c r="Z76" s="22" t="str">
        <f>IF(Z$2*$O76*COUNT(data6!L3)=0,"",$K76*data6!L3)</f>
        <v/>
      </c>
      <c r="AA76" s="22" t="str">
        <f>IF(AA$2*$O76*COUNT(data6!M3)=0,"",$K76*data6!M3)</f>
        <v/>
      </c>
      <c r="AB76" s="22" t="str">
        <f>IF(AB$2*$O76*COUNT(data6!N3)=0,"",$K76*data6!N3)</f>
        <v/>
      </c>
      <c r="AC76" s="22" t="str">
        <f>IF(AC$2*$O76*COUNT(data6!O3)=0,"",$K76*data6!O3)</f>
        <v/>
      </c>
      <c r="AD76" s="22" t="str">
        <f>IF(AD$2*$O76*COUNT(data6!P3)=0,"",$K76*data6!P3)</f>
        <v/>
      </c>
      <c r="AE76" s="22" t="str">
        <f>IF(AE$2*$O76*COUNT(data6!Q3)=0,"",$K76*data6!Q3)</f>
        <v/>
      </c>
      <c r="AF76" s="22" t="str">
        <f>IF(AF$2*$O76*COUNT(data6!R3)=0,"",$K76*data6!R3)</f>
        <v/>
      </c>
      <c r="AG76" s="22" t="str">
        <f>IF(AG$2*$O76*COUNT(data6!S3)=0,"",$K76*data6!S3)</f>
        <v/>
      </c>
      <c r="AH76" s="22" t="str">
        <f>IF(AH$2*$O76*COUNT(data6!T3)=0,"",$K76*data6!T3)</f>
        <v/>
      </c>
      <c r="AI76" s="22" t="str">
        <f>IF(AI$2*$O76*COUNT(data6!U3)=0,"",$K76*data6!U3)</f>
        <v/>
      </c>
      <c r="AJ76" s="22" t="str">
        <f>IF(AJ$2*$O76*COUNT(data6!V3)=0,"",$K76*data6!V3)</f>
        <v/>
      </c>
      <c r="AK76" s="22" t="str">
        <f>IF(AK$2*$O76*COUNT(data6!W3)=0,"",$K76*data6!W3)</f>
        <v/>
      </c>
      <c r="AL76" s="22" t="str">
        <f>IF(AL$2*$O76*COUNT(data6!X3)=0,"",$K76*data6!X3)</f>
        <v/>
      </c>
      <c r="AM76" s="22" t="str">
        <f>IF(AM$2*$O76*COUNT(data6!Y3)=0,"",$K76*data6!Y3)</f>
        <v/>
      </c>
      <c r="AN76" s="22" t="str">
        <f>IF(AN$2*$O76*COUNT(data6!Z3)=0,"",$K76*data6!Z3)</f>
        <v/>
      </c>
      <c r="AO76" s="22" t="str">
        <f>IF(AO$2*$O76*COUNT(data6!AA3)=0,"",$K76*data6!AA3)</f>
        <v/>
      </c>
      <c r="AP76" s="22" t="str">
        <f>IF(AP$2*$O76*COUNT(data6!AB3)=0,"",$K76*data6!AB3)</f>
        <v/>
      </c>
      <c r="AQ76" s="22" t="str">
        <f>IF(AQ$2*$O76*COUNT(data6!AC3)=0,"",$K76*data6!AC3)</f>
        <v/>
      </c>
      <c r="AR76" s="22" t="str">
        <f>IF(AR$2*$O76*COUNT(data6!AD3)=0,"",$K76*data6!AD3)</f>
        <v/>
      </c>
      <c r="AS76" s="22" t="str">
        <f>IF(AS$2*$O76*COUNT(data6!AE3)=0,"",$K76*data6!AE3)</f>
        <v/>
      </c>
      <c r="AT76" s="22" t="str">
        <f>IF(AT$2*$O76*COUNT(data6!AF3)=0,"",$K76*data6!AF3)</f>
        <v/>
      </c>
      <c r="AU76" s="22" t="str">
        <f>IF(AU$2*$O76*COUNT(data6!AG3)=0,"",$K76*data6!AG3)</f>
        <v/>
      </c>
    </row>
    <row r="77" spans="1:47">
      <c r="A77" s="191"/>
      <c r="B77" s="191"/>
      <c r="C77" s="47" t="str">
        <f>C65</f>
        <v>Range2</v>
      </c>
      <c r="D77" s="22" t="str">
        <f t="shared" si="85"/>
        <v/>
      </c>
      <c r="E77" s="22" t="str">
        <f t="shared" si="89"/>
        <v/>
      </c>
      <c r="F77" s="22" t="str">
        <f t="shared" si="86"/>
        <v/>
      </c>
      <c r="G77" s="22" t="str">
        <f t="shared" si="90"/>
        <v/>
      </c>
      <c r="I77" s="49">
        <f t="shared" ref="I77:I79" si="94">I76</f>
        <v>1</v>
      </c>
      <c r="J77" s="49">
        <f t="shared" si="91"/>
        <v>8</v>
      </c>
      <c r="K77" s="146">
        <f t="shared" si="87"/>
        <v>31.05590062111801</v>
      </c>
      <c r="L77" s="123">
        <f t="shared" si="92"/>
        <v>69</v>
      </c>
      <c r="M77" s="130">
        <f t="shared" si="88"/>
        <v>1</v>
      </c>
      <c r="N77" s="108">
        <v>1</v>
      </c>
      <c r="O77" s="110">
        <f t="shared" si="93"/>
        <v>1</v>
      </c>
      <c r="P77" s="22" t="str">
        <f>IF(P$2*$O77*COUNT(data6!B4)=0,"",$K77*data6!B4)</f>
        <v/>
      </c>
      <c r="Q77" s="22" t="str">
        <f>IF(Q$2*$O77*COUNT(data6!C4)=0,"",$K77*data6!C4)</f>
        <v/>
      </c>
      <c r="R77" s="22" t="str">
        <f>IF(R$2*$O77*COUNT(data6!D4)=0,"",$K77*data6!D4)</f>
        <v/>
      </c>
      <c r="S77" s="22" t="str">
        <f>IF(S$2*$O77*COUNT(data6!E4)=0,"",$K77*data6!E4)</f>
        <v/>
      </c>
      <c r="T77" s="22" t="str">
        <f>IF(T$2*$O77*COUNT(data6!F4)=0,"",$K77*data6!F4)</f>
        <v/>
      </c>
      <c r="U77" s="22" t="str">
        <f>IF(U$2*$O77*COUNT(data6!G4)=0,"",$K77*data6!G4)</f>
        <v/>
      </c>
      <c r="V77" s="22" t="str">
        <f>IF(V$2*$O77*COUNT(data6!H4)=0,"",$K77*data6!H4)</f>
        <v/>
      </c>
      <c r="W77" s="22" t="str">
        <f>IF(W$2*$O77*COUNT(data6!I4)=0,"",$K77*data6!I4)</f>
        <v/>
      </c>
      <c r="X77" s="22" t="str">
        <f>IF(X$2*$O77*COUNT(data6!J4)=0,"",$K77*data6!J4)</f>
        <v/>
      </c>
      <c r="Y77" s="22" t="str">
        <f>IF(Y$2*$O77*COUNT(data6!K4)=0,"",$K77*data6!K4)</f>
        <v/>
      </c>
      <c r="Z77" s="22" t="str">
        <f>IF(Z$2*$O77*COUNT(data6!L4)=0,"",$K77*data6!L4)</f>
        <v/>
      </c>
      <c r="AA77" s="22" t="str">
        <f>IF(AA$2*$O77*COUNT(data6!M4)=0,"",$K77*data6!M4)</f>
        <v/>
      </c>
      <c r="AB77" s="22" t="str">
        <f>IF(AB$2*$O77*COUNT(data6!N4)=0,"",$K77*data6!N4)</f>
        <v/>
      </c>
      <c r="AC77" s="22" t="str">
        <f>IF(AC$2*$O77*COUNT(data6!O4)=0,"",$K77*data6!O4)</f>
        <v/>
      </c>
      <c r="AD77" s="22" t="str">
        <f>IF(AD$2*$O77*COUNT(data6!P4)=0,"",$K77*data6!P4)</f>
        <v/>
      </c>
      <c r="AE77" s="22" t="str">
        <f>IF(AE$2*$O77*COUNT(data6!Q4)=0,"",$K77*data6!Q4)</f>
        <v/>
      </c>
      <c r="AF77" s="22" t="str">
        <f>IF(AF$2*$O77*COUNT(data6!R4)=0,"",$K77*data6!R4)</f>
        <v/>
      </c>
      <c r="AG77" s="22" t="str">
        <f>IF(AG$2*$O77*COUNT(data6!S4)=0,"",$K77*data6!S4)</f>
        <v/>
      </c>
      <c r="AH77" s="22" t="str">
        <f>IF(AH$2*$O77*COUNT(data6!T4)=0,"",$K77*data6!T4)</f>
        <v/>
      </c>
      <c r="AI77" s="22" t="str">
        <f>IF(AI$2*$O77*COUNT(data6!U4)=0,"",$K77*data6!U4)</f>
        <v/>
      </c>
      <c r="AJ77" s="22" t="str">
        <f>IF(AJ$2*$O77*COUNT(data6!V4)=0,"",$K77*data6!V4)</f>
        <v/>
      </c>
      <c r="AK77" s="22" t="str">
        <f>IF(AK$2*$O77*COUNT(data6!W4)=0,"",$K77*data6!W4)</f>
        <v/>
      </c>
      <c r="AL77" s="22" t="str">
        <f>IF(AL$2*$O77*COUNT(data6!X4)=0,"",$K77*data6!X4)</f>
        <v/>
      </c>
      <c r="AM77" s="22" t="str">
        <f>IF(AM$2*$O77*COUNT(data6!Y4)=0,"",$K77*data6!Y4)</f>
        <v/>
      </c>
      <c r="AN77" s="22" t="str">
        <f>IF(AN$2*$O77*COUNT(data6!Z4)=0,"",$K77*data6!Z4)</f>
        <v/>
      </c>
      <c r="AO77" s="22" t="str">
        <f>IF(AO$2*$O77*COUNT(data6!AA4)=0,"",$K77*data6!AA4)</f>
        <v/>
      </c>
      <c r="AP77" s="22" t="str">
        <f>IF(AP$2*$O77*COUNT(data6!AB4)=0,"",$K77*data6!AB4)</f>
        <v/>
      </c>
      <c r="AQ77" s="22" t="str">
        <f>IF(AQ$2*$O77*COUNT(data6!AC4)=0,"",$K77*data6!AC4)</f>
        <v/>
      </c>
      <c r="AR77" s="22" t="str">
        <f>IF(AR$2*$O77*COUNT(data6!AD4)=0,"",$K77*data6!AD4)</f>
        <v/>
      </c>
      <c r="AS77" s="22" t="str">
        <f>IF(AS$2*$O77*COUNT(data6!AE4)=0,"",$K77*data6!AE4)</f>
        <v/>
      </c>
      <c r="AT77" s="22" t="str">
        <f>IF(AT$2*$O77*COUNT(data6!AF4)=0,"",$K77*data6!AF4)</f>
        <v/>
      </c>
      <c r="AU77" s="22" t="str">
        <f>IF(AU$2*$O77*COUNT(data6!AG4)=0,"",$K77*data6!AG4)</f>
        <v/>
      </c>
    </row>
    <row r="78" spans="1:47">
      <c r="A78" s="191"/>
      <c r="B78" s="191"/>
      <c r="C78" s="47" t="str">
        <f>C66</f>
        <v>Range3</v>
      </c>
      <c r="D78" s="22" t="str">
        <f t="shared" si="85"/>
        <v/>
      </c>
      <c r="E78" s="22" t="str">
        <f t="shared" si="89"/>
        <v/>
      </c>
      <c r="F78" s="22" t="str">
        <f t="shared" si="86"/>
        <v/>
      </c>
      <c r="G78" s="22" t="str">
        <f t="shared" si="90"/>
        <v/>
      </c>
      <c r="I78" s="49">
        <f t="shared" si="94"/>
        <v>1</v>
      </c>
      <c r="J78" s="49">
        <f t="shared" si="91"/>
        <v>8</v>
      </c>
      <c r="K78" s="146">
        <f t="shared" si="87"/>
        <v>31.05590062111801</v>
      </c>
      <c r="L78" s="123">
        <f t="shared" si="92"/>
        <v>70</v>
      </c>
      <c r="M78" s="130">
        <f t="shared" si="88"/>
        <v>1</v>
      </c>
      <c r="N78" s="108">
        <v>1</v>
      </c>
      <c r="O78" s="110">
        <f t="shared" si="93"/>
        <v>1</v>
      </c>
      <c r="P78" s="22" t="str">
        <f>IF(P$2*$O78*COUNT(data6!B5)=0,"",$K78*data6!B5)</f>
        <v/>
      </c>
      <c r="Q78" s="22" t="str">
        <f>IF(Q$2*$O78*COUNT(data6!C5)=0,"",$K78*data6!C5)</f>
        <v/>
      </c>
      <c r="R78" s="22" t="str">
        <f>IF(R$2*$O78*COUNT(data6!D5)=0,"",$K78*data6!D5)</f>
        <v/>
      </c>
      <c r="S78" s="22" t="str">
        <f>IF(S$2*$O78*COUNT(data6!E5)=0,"",$K78*data6!E5)</f>
        <v/>
      </c>
      <c r="T78" s="22" t="str">
        <f>IF(T$2*$O78*COUNT(data6!F5)=0,"",$K78*data6!F5)</f>
        <v/>
      </c>
      <c r="U78" s="22" t="str">
        <f>IF(U$2*$O78*COUNT(data6!G5)=0,"",$K78*data6!G5)</f>
        <v/>
      </c>
      <c r="V78" s="22" t="str">
        <f>IF(V$2*$O78*COUNT(data6!H5)=0,"",$K78*data6!H5)</f>
        <v/>
      </c>
      <c r="W78" s="22" t="str">
        <f>IF(W$2*$O78*COUNT(data6!I5)=0,"",$K78*data6!I5)</f>
        <v/>
      </c>
      <c r="X78" s="22" t="str">
        <f>IF(X$2*$O78*COUNT(data6!J5)=0,"",$K78*data6!J5)</f>
        <v/>
      </c>
      <c r="Y78" s="22" t="str">
        <f>IF(Y$2*$O78*COUNT(data6!K5)=0,"",$K78*data6!K5)</f>
        <v/>
      </c>
      <c r="Z78" s="22" t="str">
        <f>IF(Z$2*$O78*COUNT(data6!L5)=0,"",$K78*data6!L5)</f>
        <v/>
      </c>
      <c r="AA78" s="22" t="str">
        <f>IF(AA$2*$O78*COUNT(data6!M5)=0,"",$K78*data6!M5)</f>
        <v/>
      </c>
      <c r="AB78" s="22" t="str">
        <f>IF(AB$2*$O78*COUNT(data6!N5)=0,"",$K78*data6!N5)</f>
        <v/>
      </c>
      <c r="AC78" s="22" t="str">
        <f>IF(AC$2*$O78*COUNT(data6!O5)=0,"",$K78*data6!O5)</f>
        <v/>
      </c>
      <c r="AD78" s="22" t="str">
        <f>IF(AD$2*$O78*COUNT(data6!P5)=0,"",$K78*data6!P5)</f>
        <v/>
      </c>
      <c r="AE78" s="22" t="str">
        <f>IF(AE$2*$O78*COUNT(data6!Q5)=0,"",$K78*data6!Q5)</f>
        <v/>
      </c>
      <c r="AF78" s="22" t="str">
        <f>IF(AF$2*$O78*COUNT(data6!R5)=0,"",$K78*data6!R5)</f>
        <v/>
      </c>
      <c r="AG78" s="22" t="str">
        <f>IF(AG$2*$O78*COUNT(data6!S5)=0,"",$K78*data6!S5)</f>
        <v/>
      </c>
      <c r="AH78" s="22" t="str">
        <f>IF(AH$2*$O78*COUNT(data6!T5)=0,"",$K78*data6!T5)</f>
        <v/>
      </c>
      <c r="AI78" s="22" t="str">
        <f>IF(AI$2*$O78*COUNT(data6!U5)=0,"",$K78*data6!U5)</f>
        <v/>
      </c>
      <c r="AJ78" s="22" t="str">
        <f>IF(AJ$2*$O78*COUNT(data6!V5)=0,"",$K78*data6!V5)</f>
        <v/>
      </c>
      <c r="AK78" s="22" t="str">
        <f>IF(AK$2*$O78*COUNT(data6!W5)=0,"",$K78*data6!W5)</f>
        <v/>
      </c>
      <c r="AL78" s="22" t="str">
        <f>IF(AL$2*$O78*COUNT(data6!X5)=0,"",$K78*data6!X5)</f>
        <v/>
      </c>
      <c r="AM78" s="22" t="str">
        <f>IF(AM$2*$O78*COUNT(data6!Y5)=0,"",$K78*data6!Y5)</f>
        <v/>
      </c>
      <c r="AN78" s="22" t="str">
        <f>IF(AN$2*$O78*COUNT(data6!Z5)=0,"",$K78*data6!Z5)</f>
        <v/>
      </c>
      <c r="AO78" s="22" t="str">
        <f>IF(AO$2*$O78*COUNT(data6!AA5)=0,"",$K78*data6!AA5)</f>
        <v/>
      </c>
      <c r="AP78" s="22" t="str">
        <f>IF(AP$2*$O78*COUNT(data6!AB5)=0,"",$K78*data6!AB5)</f>
        <v/>
      </c>
      <c r="AQ78" s="22" t="str">
        <f>IF(AQ$2*$O78*COUNT(data6!AC5)=0,"",$K78*data6!AC5)</f>
        <v/>
      </c>
      <c r="AR78" s="22" t="str">
        <f>IF(AR$2*$O78*COUNT(data6!AD5)=0,"",$K78*data6!AD5)</f>
        <v/>
      </c>
      <c r="AS78" s="22" t="str">
        <f>IF(AS$2*$O78*COUNT(data6!AE5)=0,"",$K78*data6!AE5)</f>
        <v/>
      </c>
      <c r="AT78" s="22" t="str">
        <f>IF(AT$2*$O78*COUNT(data6!AF5)=0,"",$K78*data6!AF5)</f>
        <v/>
      </c>
      <c r="AU78" s="22" t="str">
        <f>IF(AU$2*$O78*COUNT(data6!AG5)=0,"",$K78*data6!AG5)</f>
        <v/>
      </c>
    </row>
    <row r="79" spans="1:47">
      <c r="A79" s="191"/>
      <c r="B79" s="191"/>
      <c r="C79" s="47" t="str">
        <f>C67</f>
        <v>%IR</v>
      </c>
      <c r="D79" s="47" t="str">
        <f t="shared" si="85"/>
        <v/>
      </c>
      <c r="E79" s="47" t="str">
        <f>IF(COUNT(P79:AU79)=0,"",AVERAGE(P79:AU79))</f>
        <v/>
      </c>
      <c r="F79" s="47" t="str">
        <f t="shared" si="86"/>
        <v/>
      </c>
      <c r="G79" s="47" t="str">
        <f>IF(COUNT(P79:AU79)=0,"",STDEV(P79:AU79))</f>
        <v/>
      </c>
      <c r="I79" s="49">
        <f t="shared" si="94"/>
        <v>1</v>
      </c>
      <c r="J79" s="49">
        <f t="shared" si="91"/>
        <v>8</v>
      </c>
      <c r="K79" s="146">
        <f t="shared" si="87"/>
        <v>31.05590062111801</v>
      </c>
      <c r="L79" s="123">
        <f t="shared" si="92"/>
        <v>71</v>
      </c>
      <c r="M79" s="130">
        <f t="shared" si="88"/>
        <v>1</v>
      </c>
      <c r="N79" s="108">
        <v>1</v>
      </c>
      <c r="O79" s="110">
        <f t="shared" si="93"/>
        <v>1</v>
      </c>
      <c r="P79" s="47" t="str">
        <f>IF(P$2*$O79*COUNT(data6!B6)=0,"",$K79*data6!B6)</f>
        <v/>
      </c>
      <c r="Q79" s="47" t="str">
        <f>IF(Q$2*$O79*COUNT(data6!C6)=0,"",$K79*data6!C6)</f>
        <v/>
      </c>
      <c r="R79" s="47" t="str">
        <f>IF(R$2*$O79*COUNT(data6!D6)=0,"",$K79*data6!D6)</f>
        <v/>
      </c>
      <c r="S79" s="47" t="str">
        <f>IF(S$2*$O79*COUNT(data6!E6)=0,"",$K79*data6!E6)</f>
        <v/>
      </c>
      <c r="T79" s="47" t="str">
        <f>IF(T$2*$O79*COUNT(data6!F6)=0,"",$K79*data6!F6)</f>
        <v/>
      </c>
      <c r="U79" s="47" t="str">
        <f>IF(U$2*$O79*COUNT(data6!G6)=0,"",$K79*data6!G6)</f>
        <v/>
      </c>
      <c r="V79" s="47" t="str">
        <f>IF(V$2*$O79*COUNT(data6!H6)=0,"",$K79*data6!H6)</f>
        <v/>
      </c>
      <c r="W79" s="47" t="str">
        <f>IF(W$2*$O79*COUNT(data6!I6)=0,"",$K79*data6!I6)</f>
        <v/>
      </c>
      <c r="X79" s="47" t="str">
        <f>IF(X$2*$O79*COUNT(data6!J6)=0,"",$K79*data6!J6)</f>
        <v/>
      </c>
      <c r="Y79" s="47" t="str">
        <f>IF(Y$2*$O79*COUNT(data6!K6)=0,"",$K79*data6!K6)</f>
        <v/>
      </c>
      <c r="Z79" s="47" t="str">
        <f>IF(Z$2*$O79*COUNT(data6!L6)=0,"",$K79*data6!L6)</f>
        <v/>
      </c>
      <c r="AA79" s="47" t="str">
        <f>IF(AA$2*$O79*COUNT(data6!M6)=0,"",$K79*data6!M6)</f>
        <v/>
      </c>
      <c r="AB79" s="47" t="str">
        <f>IF(AB$2*$O79*COUNT(data6!N6)=0,"",$K79*data6!N6)</f>
        <v/>
      </c>
      <c r="AC79" s="47" t="str">
        <f>IF(AC$2*$O79*COUNT(data6!O6)=0,"",$K79*data6!O6)</f>
        <v/>
      </c>
      <c r="AD79" s="47" t="str">
        <f>IF(AD$2*$O79*COUNT(data6!P6)=0,"",$K79*data6!P6)</f>
        <v/>
      </c>
      <c r="AE79" s="47" t="str">
        <f>IF(AE$2*$O79*COUNT(data6!Q6)=0,"",$K79*data6!Q6)</f>
        <v/>
      </c>
      <c r="AF79" s="47" t="str">
        <f>IF(AF$2*$O79*COUNT(data6!R6)=0,"",$K79*data6!R6)</f>
        <v/>
      </c>
      <c r="AG79" s="47" t="str">
        <f>IF(AG$2*$O79*COUNT(data6!S6)=0,"",$K79*data6!S6)</f>
        <v/>
      </c>
      <c r="AH79" s="47" t="str">
        <f>IF(AH$2*$O79*COUNT(data6!T6)=0,"",$K79*data6!T6)</f>
        <v/>
      </c>
      <c r="AI79" s="47" t="str">
        <f>IF(AI$2*$O79*COUNT(data6!U6)=0,"",$K79*data6!U6)</f>
        <v/>
      </c>
      <c r="AJ79" s="47" t="str">
        <f>IF(AJ$2*$O79*COUNT(data6!V6)=0,"",$K79*data6!V6)</f>
        <v/>
      </c>
      <c r="AK79" s="47" t="str">
        <f>IF(AK$2*$O79*COUNT(data6!W6)=0,"",$K79*data6!W6)</f>
        <v/>
      </c>
      <c r="AL79" s="47" t="str">
        <f>IF(AL$2*$O79*COUNT(data6!X6)=0,"",$K79*data6!X6)</f>
        <v/>
      </c>
      <c r="AM79" s="47" t="str">
        <f>IF(AM$2*$O79*COUNT(data6!Y6)=0,"",$K79*data6!Y6)</f>
        <v/>
      </c>
      <c r="AN79" s="47" t="str">
        <f>IF(AN$2*$O79*COUNT(data6!Z6)=0,"",$K79*data6!Z6)</f>
        <v/>
      </c>
      <c r="AO79" s="47" t="str">
        <f>IF(AO$2*$O79*COUNT(data6!AA6)=0,"",$K79*data6!AA6)</f>
        <v/>
      </c>
      <c r="AP79" s="47" t="str">
        <f>IF(AP$2*$O79*COUNT(data6!AB6)=0,"",$K79*data6!AB6)</f>
        <v/>
      </c>
      <c r="AQ79" s="47" t="str">
        <f>IF(AQ$2*$O79*COUNT(data6!AC6)=0,"",$K79*data6!AC6)</f>
        <v/>
      </c>
      <c r="AR79" s="47" t="str">
        <f>IF(AR$2*$O79*COUNT(data6!AD6)=0,"",$K79*data6!AD6)</f>
        <v/>
      </c>
      <c r="AS79" s="47" t="str">
        <f>IF(AS$2*$O79*COUNT(data6!AE6)=0,"",$K79*data6!AE6)</f>
        <v/>
      </c>
      <c r="AT79" s="47" t="str">
        <f>IF(AT$2*$O79*COUNT(data6!AF6)=0,"",$K79*data6!AF6)</f>
        <v/>
      </c>
      <c r="AU79" s="47" t="str">
        <f>IF(AU$2*$O79*COUNT(data6!AG6)=0,"",$K79*data6!AG6)</f>
        <v/>
      </c>
    </row>
    <row r="80" spans="1:47">
      <c r="A80" s="191"/>
      <c r="B80" s="191" t="str">
        <f>B68</f>
        <v>P1</v>
      </c>
      <c r="C80" s="47" t="str">
        <f t="shared" ref="C80:C85" si="95">C68</f>
        <v>Range1-1</v>
      </c>
      <c r="D80" s="22" t="str">
        <f t="shared" si="85"/>
        <v/>
      </c>
      <c r="E80" s="22" t="str">
        <f t="shared" ref="E80:E85" si="96">IF(COUNT(P80:AU80)=0,"",AVERAGE(P80:AU80))</f>
        <v/>
      </c>
      <c r="F80" s="22" t="str">
        <f t="shared" si="86"/>
        <v/>
      </c>
      <c r="G80" s="22" t="str">
        <f t="shared" ref="G80:G85" si="97">IF(COUNT(P80:AU80)=0,"",STDEV(P80:AU80))</f>
        <v/>
      </c>
      <c r="I80" s="49">
        <f>I79+1</f>
        <v>2</v>
      </c>
      <c r="J80" s="49">
        <f t="shared" si="91"/>
        <v>8</v>
      </c>
      <c r="K80" s="146">
        <f t="shared" si="87"/>
        <v>23.188405797101449</v>
      </c>
      <c r="L80" s="123">
        <f t="shared" si="92"/>
        <v>72</v>
      </c>
      <c r="M80" s="130">
        <f t="shared" si="88"/>
        <v>1</v>
      </c>
      <c r="N80" s="108">
        <v>1</v>
      </c>
      <c r="O80" s="110">
        <f t="shared" si="93"/>
        <v>1</v>
      </c>
      <c r="P80" s="22" t="str">
        <f>IF(P$2*$O80*COUNT(data6!B7)=0,"",$K80*data6!B7)</f>
        <v/>
      </c>
      <c r="Q80" s="22" t="str">
        <f>IF(Q$2*$O80*COUNT(data6!C7)=0,"",$K80*data6!C7)</f>
        <v/>
      </c>
      <c r="R80" s="22" t="str">
        <f>IF(R$2*$O80*COUNT(data6!D7)=0,"",$K80*data6!D7)</f>
        <v/>
      </c>
      <c r="S80" s="22" t="str">
        <f>IF(S$2*$O80*COUNT(data6!E7)=0,"",$K80*data6!E7)</f>
        <v/>
      </c>
      <c r="T80" s="22" t="str">
        <f>IF(T$2*$O80*COUNT(data6!F7)=0,"",$K80*data6!F7)</f>
        <v/>
      </c>
      <c r="U80" s="22" t="str">
        <f>IF(U$2*$O80*COUNT(data6!G7)=0,"",$K80*data6!G7)</f>
        <v/>
      </c>
      <c r="V80" s="22" t="str">
        <f>IF(V$2*$O80*COUNT(data6!H7)=0,"",$K80*data6!H7)</f>
        <v/>
      </c>
      <c r="W80" s="22" t="str">
        <f>IF(W$2*$O80*COUNT(data6!I7)=0,"",$K80*data6!I7)</f>
        <v/>
      </c>
      <c r="X80" s="22" t="str">
        <f>IF(X$2*$O80*COUNT(data6!J7)=0,"",$K80*data6!J7)</f>
        <v/>
      </c>
      <c r="Y80" s="22" t="str">
        <f>IF(Y$2*$O80*COUNT(data6!K7)=0,"",$K80*data6!K7)</f>
        <v/>
      </c>
      <c r="Z80" s="22" t="str">
        <f>IF(Z$2*$O80*COUNT(data6!L7)=0,"",$K80*data6!L7)</f>
        <v/>
      </c>
      <c r="AA80" s="22" t="str">
        <f>IF(AA$2*$O80*COUNT(data6!M7)=0,"",$K80*data6!M7)</f>
        <v/>
      </c>
      <c r="AB80" s="22" t="str">
        <f>IF(AB$2*$O80*COUNT(data6!N7)=0,"",$K80*data6!N7)</f>
        <v/>
      </c>
      <c r="AC80" s="22" t="str">
        <f>IF(AC$2*$O80*COUNT(data6!O7)=0,"",$K80*data6!O7)</f>
        <v/>
      </c>
      <c r="AD80" s="22" t="str">
        <f>IF(AD$2*$O80*COUNT(data6!P7)=0,"",$K80*data6!P7)</f>
        <v/>
      </c>
      <c r="AE80" s="22" t="str">
        <f>IF(AE$2*$O80*COUNT(data6!Q7)=0,"",$K80*data6!Q7)</f>
        <v/>
      </c>
      <c r="AF80" s="22" t="str">
        <f>IF(AF$2*$O80*COUNT(data6!R7)=0,"",$K80*data6!R7)</f>
        <v/>
      </c>
      <c r="AG80" s="22" t="str">
        <f>IF(AG$2*$O80*COUNT(data6!S7)=0,"",$K80*data6!S7)</f>
        <v/>
      </c>
      <c r="AH80" s="22" t="str">
        <f>IF(AH$2*$O80*COUNT(data6!T7)=0,"",$K80*data6!T7)</f>
        <v/>
      </c>
      <c r="AI80" s="22" t="str">
        <f>IF(AI$2*$O80*COUNT(data6!U7)=0,"",$K80*data6!U7)</f>
        <v/>
      </c>
      <c r="AJ80" s="22" t="str">
        <f>IF(AJ$2*$O80*COUNT(data6!V7)=0,"",$K80*data6!V7)</f>
        <v/>
      </c>
      <c r="AK80" s="22" t="str">
        <f>IF(AK$2*$O80*COUNT(data6!W7)=0,"",$K80*data6!W7)</f>
        <v/>
      </c>
      <c r="AL80" s="22" t="str">
        <f>IF(AL$2*$O80*COUNT(data6!X7)=0,"",$K80*data6!X7)</f>
        <v/>
      </c>
      <c r="AM80" s="22" t="str">
        <f>IF(AM$2*$O80*COUNT(data6!Y7)=0,"",$K80*data6!Y7)</f>
        <v/>
      </c>
      <c r="AN80" s="22" t="str">
        <f>IF(AN$2*$O80*COUNT(data6!Z7)=0,"",$K80*data6!Z7)</f>
        <v/>
      </c>
      <c r="AO80" s="22" t="str">
        <f>IF(AO$2*$O80*COUNT(data6!AA7)=0,"",$K80*data6!AA7)</f>
        <v/>
      </c>
      <c r="AP80" s="22" t="str">
        <f>IF(AP$2*$O80*COUNT(data6!AB7)=0,"",$K80*data6!AB7)</f>
        <v/>
      </c>
      <c r="AQ80" s="22" t="str">
        <f>IF(AQ$2*$O80*COUNT(data6!AC7)=0,"",$K80*data6!AC7)</f>
        <v/>
      </c>
      <c r="AR80" s="22" t="str">
        <f>IF(AR$2*$O80*COUNT(data6!AD7)=0,"",$K80*data6!AD7)</f>
        <v/>
      </c>
      <c r="AS80" s="22" t="str">
        <f>IF(AS$2*$O80*COUNT(data6!AE7)=0,"",$K80*data6!AE7)</f>
        <v/>
      </c>
      <c r="AT80" s="22" t="str">
        <f>IF(AT$2*$O80*COUNT(data6!AF7)=0,"",$K80*data6!AF7)</f>
        <v/>
      </c>
      <c r="AU80" s="22" t="str">
        <f>IF(AU$2*$O80*COUNT(data6!AG7)=0,"",$K80*data6!AG7)</f>
        <v/>
      </c>
    </row>
    <row r="81" spans="1:47">
      <c r="A81" s="191"/>
      <c r="B81" s="191"/>
      <c r="C81" s="47" t="str">
        <f t="shared" si="95"/>
        <v>Range2-1</v>
      </c>
      <c r="D81" s="22" t="str">
        <f t="shared" si="85"/>
        <v/>
      </c>
      <c r="E81" s="22" t="str">
        <f t="shared" si="96"/>
        <v/>
      </c>
      <c r="F81" s="22" t="str">
        <f t="shared" si="86"/>
        <v/>
      </c>
      <c r="G81" s="22" t="str">
        <f t="shared" si="97"/>
        <v/>
      </c>
      <c r="I81" s="49">
        <f>I80</f>
        <v>2</v>
      </c>
      <c r="J81" s="49">
        <f t="shared" si="91"/>
        <v>8</v>
      </c>
      <c r="K81" s="146">
        <f t="shared" si="87"/>
        <v>23.188405797101449</v>
      </c>
      <c r="L81" s="123">
        <f t="shared" si="92"/>
        <v>73</v>
      </c>
      <c r="M81" s="130">
        <f t="shared" si="88"/>
        <v>1</v>
      </c>
      <c r="N81" s="108">
        <v>1</v>
      </c>
      <c r="O81" s="110">
        <f t="shared" si="93"/>
        <v>1</v>
      </c>
      <c r="P81" s="22" t="str">
        <f>IF(P$2*$O81*COUNT(data6!B8)=0,"",$K81*data6!B8)</f>
        <v/>
      </c>
      <c r="Q81" s="22" t="str">
        <f>IF(Q$2*$O81*COUNT(data6!C8)=0,"",$K81*data6!C8)</f>
        <v/>
      </c>
      <c r="R81" s="22" t="str">
        <f>IF(R$2*$O81*COUNT(data6!D8)=0,"",$K81*data6!D8)</f>
        <v/>
      </c>
      <c r="S81" s="22" t="str">
        <f>IF(S$2*$O81*COUNT(data6!E8)=0,"",$K81*data6!E8)</f>
        <v/>
      </c>
      <c r="T81" s="22" t="str">
        <f>IF(T$2*$O81*COUNT(data6!F8)=0,"",$K81*data6!F8)</f>
        <v/>
      </c>
      <c r="U81" s="22" t="str">
        <f>IF(U$2*$O81*COUNT(data6!G8)=0,"",$K81*data6!G8)</f>
        <v/>
      </c>
      <c r="V81" s="22" t="str">
        <f>IF(V$2*$O81*COUNT(data6!H8)=0,"",$K81*data6!H8)</f>
        <v/>
      </c>
      <c r="W81" s="22" t="str">
        <f>IF(W$2*$O81*COUNT(data6!I8)=0,"",$K81*data6!I8)</f>
        <v/>
      </c>
      <c r="X81" s="22" t="str">
        <f>IF(X$2*$O81*COUNT(data6!J8)=0,"",$K81*data6!J8)</f>
        <v/>
      </c>
      <c r="Y81" s="22" t="str">
        <f>IF(Y$2*$O81*COUNT(data6!K8)=0,"",$K81*data6!K8)</f>
        <v/>
      </c>
      <c r="Z81" s="22" t="str">
        <f>IF(Z$2*$O81*COUNT(data6!L8)=0,"",$K81*data6!L8)</f>
        <v/>
      </c>
      <c r="AA81" s="22" t="str">
        <f>IF(AA$2*$O81*COUNT(data6!M8)=0,"",$K81*data6!M8)</f>
        <v/>
      </c>
      <c r="AB81" s="22" t="str">
        <f>IF(AB$2*$O81*COUNT(data6!N8)=0,"",$K81*data6!N8)</f>
        <v/>
      </c>
      <c r="AC81" s="22" t="str">
        <f>IF(AC$2*$O81*COUNT(data6!O8)=0,"",$K81*data6!O8)</f>
        <v/>
      </c>
      <c r="AD81" s="22" t="str">
        <f>IF(AD$2*$O81*COUNT(data6!P8)=0,"",$K81*data6!P8)</f>
        <v/>
      </c>
      <c r="AE81" s="22" t="str">
        <f>IF(AE$2*$O81*COUNT(data6!Q8)=0,"",$K81*data6!Q8)</f>
        <v/>
      </c>
      <c r="AF81" s="22" t="str">
        <f>IF(AF$2*$O81*COUNT(data6!R8)=0,"",$K81*data6!R8)</f>
        <v/>
      </c>
      <c r="AG81" s="22" t="str">
        <f>IF(AG$2*$O81*COUNT(data6!S8)=0,"",$K81*data6!S8)</f>
        <v/>
      </c>
      <c r="AH81" s="22" t="str">
        <f>IF(AH$2*$O81*COUNT(data6!T8)=0,"",$K81*data6!T8)</f>
        <v/>
      </c>
      <c r="AI81" s="22" t="str">
        <f>IF(AI$2*$O81*COUNT(data6!U8)=0,"",$K81*data6!U8)</f>
        <v/>
      </c>
      <c r="AJ81" s="22" t="str">
        <f>IF(AJ$2*$O81*COUNT(data6!V8)=0,"",$K81*data6!V8)</f>
        <v/>
      </c>
      <c r="AK81" s="22" t="str">
        <f>IF(AK$2*$O81*COUNT(data6!W8)=0,"",$K81*data6!W8)</f>
        <v/>
      </c>
      <c r="AL81" s="22" t="str">
        <f>IF(AL$2*$O81*COUNT(data6!X8)=0,"",$K81*data6!X8)</f>
        <v/>
      </c>
      <c r="AM81" s="22" t="str">
        <f>IF(AM$2*$O81*COUNT(data6!Y8)=0,"",$K81*data6!Y8)</f>
        <v/>
      </c>
      <c r="AN81" s="22" t="str">
        <f>IF(AN$2*$O81*COUNT(data6!Z8)=0,"",$K81*data6!Z8)</f>
        <v/>
      </c>
      <c r="AO81" s="22" t="str">
        <f>IF(AO$2*$O81*COUNT(data6!AA8)=0,"",$K81*data6!AA8)</f>
        <v/>
      </c>
      <c r="AP81" s="22" t="str">
        <f>IF(AP$2*$O81*COUNT(data6!AB8)=0,"",$K81*data6!AB8)</f>
        <v/>
      </c>
      <c r="AQ81" s="22" t="str">
        <f>IF(AQ$2*$O81*COUNT(data6!AC8)=0,"",$K81*data6!AC8)</f>
        <v/>
      </c>
      <c r="AR81" s="22" t="str">
        <f>IF(AR$2*$O81*COUNT(data6!AD8)=0,"",$K81*data6!AD8)</f>
        <v/>
      </c>
      <c r="AS81" s="22" t="str">
        <f>IF(AS$2*$O81*COUNT(data6!AE8)=0,"",$K81*data6!AE8)</f>
        <v/>
      </c>
      <c r="AT81" s="22" t="str">
        <f>IF(AT$2*$O81*COUNT(data6!AF8)=0,"",$K81*data6!AF8)</f>
        <v/>
      </c>
      <c r="AU81" s="22" t="str">
        <f>IF(AU$2*$O81*COUNT(data6!AG8)=0,"",$K81*data6!AG8)</f>
        <v/>
      </c>
    </row>
    <row r="82" spans="1:47">
      <c r="A82" s="191"/>
      <c r="B82" s="191"/>
      <c r="C82" s="47" t="str">
        <f t="shared" si="95"/>
        <v>Range3-1</v>
      </c>
      <c r="D82" s="22" t="str">
        <f t="shared" si="85"/>
        <v/>
      </c>
      <c r="E82" s="22" t="str">
        <f t="shared" si="96"/>
        <v/>
      </c>
      <c r="F82" s="22" t="str">
        <f t="shared" si="86"/>
        <v/>
      </c>
      <c r="G82" s="22" t="str">
        <f t="shared" si="97"/>
        <v/>
      </c>
      <c r="I82" s="49">
        <f t="shared" ref="I82:I84" si="98">I81</f>
        <v>2</v>
      </c>
      <c r="J82" s="49">
        <f t="shared" si="91"/>
        <v>8</v>
      </c>
      <c r="K82" s="146">
        <f t="shared" si="87"/>
        <v>23.188405797101449</v>
      </c>
      <c r="L82" s="123">
        <f t="shared" si="92"/>
        <v>74</v>
      </c>
      <c r="M82" s="130">
        <f t="shared" si="88"/>
        <v>1</v>
      </c>
      <c r="N82" s="108">
        <v>1</v>
      </c>
      <c r="O82" s="110">
        <f t="shared" si="93"/>
        <v>1</v>
      </c>
      <c r="P82" s="22" t="str">
        <f>IF(P$2*$O82*COUNT(data6!B9)=0,"",$K82*data6!B9)</f>
        <v/>
      </c>
      <c r="Q82" s="22" t="str">
        <f>IF(Q$2*$O82*COUNT(data6!C9)=0,"",$K82*data6!C9)</f>
        <v/>
      </c>
      <c r="R82" s="22" t="str">
        <f>IF(R$2*$O82*COUNT(data6!D9)=0,"",$K82*data6!D9)</f>
        <v/>
      </c>
      <c r="S82" s="22" t="str">
        <f>IF(S$2*$O82*COUNT(data6!E9)=0,"",$K82*data6!E9)</f>
        <v/>
      </c>
      <c r="T82" s="22" t="str">
        <f>IF(T$2*$O82*COUNT(data6!F9)=0,"",$K82*data6!F9)</f>
        <v/>
      </c>
      <c r="U82" s="22" t="str">
        <f>IF(U$2*$O82*COUNT(data6!G9)=0,"",$K82*data6!G9)</f>
        <v/>
      </c>
      <c r="V82" s="22" t="str">
        <f>IF(V$2*$O82*COUNT(data6!H9)=0,"",$K82*data6!H9)</f>
        <v/>
      </c>
      <c r="W82" s="22" t="str">
        <f>IF(W$2*$O82*COUNT(data6!I9)=0,"",$K82*data6!I9)</f>
        <v/>
      </c>
      <c r="X82" s="22" t="str">
        <f>IF(X$2*$O82*COUNT(data6!J9)=0,"",$K82*data6!J9)</f>
        <v/>
      </c>
      <c r="Y82" s="22" t="str">
        <f>IF(Y$2*$O82*COUNT(data6!K9)=0,"",$K82*data6!K9)</f>
        <v/>
      </c>
      <c r="Z82" s="22" t="str">
        <f>IF(Z$2*$O82*COUNT(data6!L9)=0,"",$K82*data6!L9)</f>
        <v/>
      </c>
      <c r="AA82" s="22" t="str">
        <f>IF(AA$2*$O82*COUNT(data6!M9)=0,"",$K82*data6!M9)</f>
        <v/>
      </c>
      <c r="AB82" s="22" t="str">
        <f>IF(AB$2*$O82*COUNT(data6!N9)=0,"",$K82*data6!N9)</f>
        <v/>
      </c>
      <c r="AC82" s="22" t="str">
        <f>IF(AC$2*$O82*COUNT(data6!O9)=0,"",$K82*data6!O9)</f>
        <v/>
      </c>
      <c r="AD82" s="22" t="str">
        <f>IF(AD$2*$O82*COUNT(data6!P9)=0,"",$K82*data6!P9)</f>
        <v/>
      </c>
      <c r="AE82" s="22" t="str">
        <f>IF(AE$2*$O82*COUNT(data6!Q9)=0,"",$K82*data6!Q9)</f>
        <v/>
      </c>
      <c r="AF82" s="22" t="str">
        <f>IF(AF$2*$O82*COUNT(data6!R9)=0,"",$K82*data6!R9)</f>
        <v/>
      </c>
      <c r="AG82" s="22" t="str">
        <f>IF(AG$2*$O82*COUNT(data6!S9)=0,"",$K82*data6!S9)</f>
        <v/>
      </c>
      <c r="AH82" s="22" t="str">
        <f>IF(AH$2*$O82*COUNT(data6!T9)=0,"",$K82*data6!T9)</f>
        <v/>
      </c>
      <c r="AI82" s="22" t="str">
        <f>IF(AI$2*$O82*COUNT(data6!U9)=0,"",$K82*data6!U9)</f>
        <v/>
      </c>
      <c r="AJ82" s="22" t="str">
        <f>IF(AJ$2*$O82*COUNT(data6!V9)=0,"",$K82*data6!V9)</f>
        <v/>
      </c>
      <c r="AK82" s="22" t="str">
        <f>IF(AK$2*$O82*COUNT(data6!W9)=0,"",$K82*data6!W9)</f>
        <v/>
      </c>
      <c r="AL82" s="22" t="str">
        <f>IF(AL$2*$O82*COUNT(data6!X9)=0,"",$K82*data6!X9)</f>
        <v/>
      </c>
      <c r="AM82" s="22" t="str">
        <f>IF(AM$2*$O82*COUNT(data6!Y9)=0,"",$K82*data6!Y9)</f>
        <v/>
      </c>
      <c r="AN82" s="22" t="str">
        <f>IF(AN$2*$O82*COUNT(data6!Z9)=0,"",$K82*data6!Z9)</f>
        <v/>
      </c>
      <c r="AO82" s="22" t="str">
        <f>IF(AO$2*$O82*COUNT(data6!AA9)=0,"",$K82*data6!AA9)</f>
        <v/>
      </c>
      <c r="AP82" s="22" t="str">
        <f>IF(AP$2*$O82*COUNT(data6!AB9)=0,"",$K82*data6!AB9)</f>
        <v/>
      </c>
      <c r="AQ82" s="22" t="str">
        <f>IF(AQ$2*$O82*COUNT(data6!AC9)=0,"",$K82*data6!AC9)</f>
        <v/>
      </c>
      <c r="AR82" s="22" t="str">
        <f>IF(AR$2*$O82*COUNT(data6!AD9)=0,"",$K82*data6!AD9)</f>
        <v/>
      </c>
      <c r="AS82" s="22" t="str">
        <f>IF(AS$2*$O82*COUNT(data6!AE9)=0,"",$K82*data6!AE9)</f>
        <v/>
      </c>
      <c r="AT82" s="22" t="str">
        <f>IF(AT$2*$O82*COUNT(data6!AF9)=0,"",$K82*data6!AF9)</f>
        <v/>
      </c>
      <c r="AU82" s="22" t="str">
        <f>IF(AU$2*$O82*COUNT(data6!AG9)=0,"",$K82*data6!AG9)</f>
        <v/>
      </c>
    </row>
    <row r="83" spans="1:47">
      <c r="A83" s="191"/>
      <c r="B83" s="191" t="str">
        <f>B71</f>
        <v>P2</v>
      </c>
      <c r="C83" s="47" t="str">
        <f t="shared" si="95"/>
        <v>Range2-2</v>
      </c>
      <c r="D83" s="22" t="str">
        <f t="shared" si="85"/>
        <v/>
      </c>
      <c r="E83" s="22" t="str">
        <f t="shared" si="96"/>
        <v/>
      </c>
      <c r="F83" s="22" t="str">
        <f t="shared" si="86"/>
        <v/>
      </c>
      <c r="G83" s="22" t="str">
        <f t="shared" si="97"/>
        <v/>
      </c>
      <c r="I83" s="49">
        <f>I82+1</f>
        <v>3</v>
      </c>
      <c r="J83" s="49">
        <f t="shared" si="91"/>
        <v>8</v>
      </c>
      <c r="K83" s="146">
        <f t="shared" si="87"/>
        <v>13.411567476948868</v>
      </c>
      <c r="L83" s="123">
        <f t="shared" si="92"/>
        <v>75</v>
      </c>
      <c r="M83" s="130">
        <f t="shared" si="88"/>
        <v>1</v>
      </c>
      <c r="N83" s="108">
        <v>1</v>
      </c>
      <c r="O83" s="110">
        <f t="shared" si="93"/>
        <v>1</v>
      </c>
      <c r="P83" s="22" t="str">
        <f>IF(P$2*$O83*COUNT(data6!B10)=0,"",$K83*data6!B10)</f>
        <v/>
      </c>
      <c r="Q83" s="22" t="str">
        <f>IF(Q$2*$O83*COUNT(data6!C10)=0,"",$K83*data6!C10)</f>
        <v/>
      </c>
      <c r="R83" s="22" t="str">
        <f>IF(R$2*$O83*COUNT(data6!D10)=0,"",$K83*data6!D10)</f>
        <v/>
      </c>
      <c r="S83" s="22" t="str">
        <f>IF(S$2*$O83*COUNT(data6!E10)=0,"",$K83*data6!E10)</f>
        <v/>
      </c>
      <c r="T83" s="22" t="str">
        <f>IF(T$2*$O83*COUNT(data6!F10)=0,"",$K83*data6!F10)</f>
        <v/>
      </c>
      <c r="U83" s="22" t="str">
        <f>IF(U$2*$O83*COUNT(data6!G10)=0,"",$K83*data6!G10)</f>
        <v/>
      </c>
      <c r="V83" s="22" t="str">
        <f>IF(V$2*$O83*COUNT(data6!H10)=0,"",$K83*data6!H10)</f>
        <v/>
      </c>
      <c r="W83" s="22" t="str">
        <f>IF(W$2*$O83*COUNT(data6!I10)=0,"",$K83*data6!I10)</f>
        <v/>
      </c>
      <c r="X83" s="22" t="str">
        <f>IF(X$2*$O83*COUNT(data6!J10)=0,"",$K83*data6!J10)</f>
        <v/>
      </c>
      <c r="Y83" s="22" t="str">
        <f>IF(Y$2*$O83*COUNT(data6!K10)=0,"",$K83*data6!K10)</f>
        <v/>
      </c>
      <c r="Z83" s="22" t="str">
        <f>IF(Z$2*$O83*COUNT(data6!L10)=0,"",$K83*data6!L10)</f>
        <v/>
      </c>
      <c r="AA83" s="22" t="str">
        <f>IF(AA$2*$O83*COUNT(data6!M10)=0,"",$K83*data6!M10)</f>
        <v/>
      </c>
      <c r="AB83" s="22" t="str">
        <f>IF(AB$2*$O83*COUNT(data6!N10)=0,"",$K83*data6!N10)</f>
        <v/>
      </c>
      <c r="AC83" s="22" t="str">
        <f>IF(AC$2*$O83*COUNT(data6!O10)=0,"",$K83*data6!O10)</f>
        <v/>
      </c>
      <c r="AD83" s="22" t="str">
        <f>IF(AD$2*$O83*COUNT(data6!P10)=0,"",$K83*data6!P10)</f>
        <v/>
      </c>
      <c r="AE83" s="22" t="str">
        <f>IF(AE$2*$O83*COUNT(data6!Q10)=0,"",$K83*data6!Q10)</f>
        <v/>
      </c>
      <c r="AF83" s="22" t="str">
        <f>IF(AF$2*$O83*COUNT(data6!R10)=0,"",$K83*data6!R10)</f>
        <v/>
      </c>
      <c r="AG83" s="22" t="str">
        <f>IF(AG$2*$O83*COUNT(data6!S10)=0,"",$K83*data6!S10)</f>
        <v/>
      </c>
      <c r="AH83" s="22" t="str">
        <f>IF(AH$2*$O83*COUNT(data6!T10)=0,"",$K83*data6!T10)</f>
        <v/>
      </c>
      <c r="AI83" s="22" t="str">
        <f>IF(AI$2*$O83*COUNT(data6!U10)=0,"",$K83*data6!U10)</f>
        <v/>
      </c>
      <c r="AJ83" s="22" t="str">
        <f>IF(AJ$2*$O83*COUNT(data6!V10)=0,"",$K83*data6!V10)</f>
        <v/>
      </c>
      <c r="AK83" s="22" t="str">
        <f>IF(AK$2*$O83*COUNT(data6!W10)=0,"",$K83*data6!W10)</f>
        <v/>
      </c>
      <c r="AL83" s="22" t="str">
        <f>IF(AL$2*$O83*COUNT(data6!X10)=0,"",$K83*data6!X10)</f>
        <v/>
      </c>
      <c r="AM83" s="22" t="str">
        <f>IF(AM$2*$O83*COUNT(data6!Y10)=0,"",$K83*data6!Y10)</f>
        <v/>
      </c>
      <c r="AN83" s="22" t="str">
        <f>IF(AN$2*$O83*COUNT(data6!Z10)=0,"",$K83*data6!Z10)</f>
        <v/>
      </c>
      <c r="AO83" s="22" t="str">
        <f>IF(AO$2*$O83*COUNT(data6!AA10)=0,"",$K83*data6!AA10)</f>
        <v/>
      </c>
      <c r="AP83" s="22" t="str">
        <f>IF(AP$2*$O83*COUNT(data6!AB10)=0,"",$K83*data6!AB10)</f>
        <v/>
      </c>
      <c r="AQ83" s="22" t="str">
        <f>IF(AQ$2*$O83*COUNT(data6!AC10)=0,"",$K83*data6!AC10)</f>
        <v/>
      </c>
      <c r="AR83" s="22" t="str">
        <f>IF(AR$2*$O83*COUNT(data6!AD10)=0,"",$K83*data6!AD10)</f>
        <v/>
      </c>
      <c r="AS83" s="22" t="str">
        <f>IF(AS$2*$O83*COUNT(data6!AE10)=0,"",$K83*data6!AE10)</f>
        <v/>
      </c>
      <c r="AT83" s="22" t="str">
        <f>IF(AT$2*$O83*COUNT(data6!AF10)=0,"",$K83*data6!AF10)</f>
        <v/>
      </c>
      <c r="AU83" s="22" t="str">
        <f>IF(AU$2*$O83*COUNT(data6!AG10)=0,"",$K83*data6!AG10)</f>
        <v/>
      </c>
    </row>
    <row r="84" spans="1:47">
      <c r="A84" s="191"/>
      <c r="B84" s="191"/>
      <c r="C84" s="47" t="str">
        <f t="shared" si="95"/>
        <v>Range3-2</v>
      </c>
      <c r="D84" s="22" t="str">
        <f t="shared" si="85"/>
        <v/>
      </c>
      <c r="E84" s="22" t="str">
        <f t="shared" si="96"/>
        <v/>
      </c>
      <c r="F84" s="22" t="str">
        <f t="shared" si="86"/>
        <v/>
      </c>
      <c r="G84" s="22" t="str">
        <f t="shared" si="97"/>
        <v/>
      </c>
      <c r="I84" s="49">
        <f t="shared" si="98"/>
        <v>3</v>
      </c>
      <c r="J84" s="49">
        <f t="shared" si="91"/>
        <v>8</v>
      </c>
      <c r="K84" s="146">
        <f t="shared" si="87"/>
        <v>13.411567476948868</v>
      </c>
      <c r="L84" s="123">
        <f t="shared" si="92"/>
        <v>76</v>
      </c>
      <c r="M84" s="130">
        <f t="shared" si="88"/>
        <v>1</v>
      </c>
      <c r="N84" s="108">
        <v>1</v>
      </c>
      <c r="O84" s="110">
        <f t="shared" si="93"/>
        <v>1</v>
      </c>
      <c r="P84" s="22" t="str">
        <f>IF(P$2*$O84*COUNT(data6!B11)=0,"",$K84*data6!B11)</f>
        <v/>
      </c>
      <c r="Q84" s="22" t="str">
        <f>IF(Q$2*$O84*COUNT(data6!C11)=0,"",$K84*data6!C11)</f>
        <v/>
      </c>
      <c r="R84" s="22" t="str">
        <f>IF(R$2*$O84*COUNT(data6!D11)=0,"",$K84*data6!D11)</f>
        <v/>
      </c>
      <c r="S84" s="22" t="str">
        <f>IF(S$2*$O84*COUNT(data6!E11)=0,"",$K84*data6!E11)</f>
        <v/>
      </c>
      <c r="T84" s="22" t="str">
        <f>IF(T$2*$O84*COUNT(data6!F11)=0,"",$K84*data6!F11)</f>
        <v/>
      </c>
      <c r="U84" s="22" t="str">
        <f>IF(U$2*$O84*COUNT(data6!G11)=0,"",$K84*data6!G11)</f>
        <v/>
      </c>
      <c r="V84" s="22" t="str">
        <f>IF(V$2*$O84*COUNT(data6!H11)=0,"",$K84*data6!H11)</f>
        <v/>
      </c>
      <c r="W84" s="22" t="str">
        <f>IF(W$2*$O84*COUNT(data6!I11)=0,"",$K84*data6!I11)</f>
        <v/>
      </c>
      <c r="X84" s="22" t="str">
        <f>IF(X$2*$O84*COUNT(data6!J11)=0,"",$K84*data6!J11)</f>
        <v/>
      </c>
      <c r="Y84" s="22" t="str">
        <f>IF(Y$2*$O84*COUNT(data6!K11)=0,"",$K84*data6!K11)</f>
        <v/>
      </c>
      <c r="Z84" s="22" t="str">
        <f>IF(Z$2*$O84*COUNT(data6!L11)=0,"",$K84*data6!L11)</f>
        <v/>
      </c>
      <c r="AA84" s="22" t="str">
        <f>IF(AA$2*$O84*COUNT(data6!M11)=0,"",$K84*data6!M11)</f>
        <v/>
      </c>
      <c r="AB84" s="22" t="str">
        <f>IF(AB$2*$O84*COUNT(data6!N11)=0,"",$K84*data6!N11)</f>
        <v/>
      </c>
      <c r="AC84" s="22" t="str">
        <f>IF(AC$2*$O84*COUNT(data6!O11)=0,"",$K84*data6!O11)</f>
        <v/>
      </c>
      <c r="AD84" s="22" t="str">
        <f>IF(AD$2*$O84*COUNT(data6!P11)=0,"",$K84*data6!P11)</f>
        <v/>
      </c>
      <c r="AE84" s="22" t="str">
        <f>IF(AE$2*$O84*COUNT(data6!Q11)=0,"",$K84*data6!Q11)</f>
        <v/>
      </c>
      <c r="AF84" s="22" t="str">
        <f>IF(AF$2*$O84*COUNT(data6!R11)=0,"",$K84*data6!R11)</f>
        <v/>
      </c>
      <c r="AG84" s="22" t="str">
        <f>IF(AG$2*$O84*COUNT(data6!S11)=0,"",$K84*data6!S11)</f>
        <v/>
      </c>
      <c r="AH84" s="22" t="str">
        <f>IF(AH$2*$O84*COUNT(data6!T11)=0,"",$K84*data6!T11)</f>
        <v/>
      </c>
      <c r="AI84" s="22" t="str">
        <f>IF(AI$2*$O84*COUNT(data6!U11)=0,"",$K84*data6!U11)</f>
        <v/>
      </c>
      <c r="AJ84" s="22" t="str">
        <f>IF(AJ$2*$O84*COUNT(data6!V11)=0,"",$K84*data6!V11)</f>
        <v/>
      </c>
      <c r="AK84" s="22" t="str">
        <f>IF(AK$2*$O84*COUNT(data6!W11)=0,"",$K84*data6!W11)</f>
        <v/>
      </c>
      <c r="AL84" s="22" t="str">
        <f>IF(AL$2*$O84*COUNT(data6!X11)=0,"",$K84*data6!X11)</f>
        <v/>
      </c>
      <c r="AM84" s="22" t="str">
        <f>IF(AM$2*$O84*COUNT(data6!Y11)=0,"",$K84*data6!Y11)</f>
        <v/>
      </c>
      <c r="AN84" s="22" t="str">
        <f>IF(AN$2*$O84*COUNT(data6!Z11)=0,"",$K84*data6!Z11)</f>
        <v/>
      </c>
      <c r="AO84" s="22" t="str">
        <f>IF(AO$2*$O84*COUNT(data6!AA11)=0,"",$K84*data6!AA11)</f>
        <v/>
      </c>
      <c r="AP84" s="22" t="str">
        <f>IF(AP$2*$O84*COUNT(data6!AB11)=0,"",$K84*data6!AB11)</f>
        <v/>
      </c>
      <c r="AQ84" s="22" t="str">
        <f>IF(AQ$2*$O84*COUNT(data6!AC11)=0,"",$K84*data6!AC11)</f>
        <v/>
      </c>
      <c r="AR84" s="22" t="str">
        <f>IF(AR$2*$O84*COUNT(data6!AD11)=0,"",$K84*data6!AD11)</f>
        <v/>
      </c>
      <c r="AS84" s="22" t="str">
        <f>IF(AS$2*$O84*COUNT(data6!AE11)=0,"",$K84*data6!AE11)</f>
        <v/>
      </c>
      <c r="AT84" s="22" t="str">
        <f>IF(AT$2*$O84*COUNT(data6!AF11)=0,"",$K84*data6!AF11)</f>
        <v/>
      </c>
      <c r="AU84" s="22" t="str">
        <f>IF(AU$2*$O84*COUNT(data6!AG11)=0,"",$K84*data6!AG11)</f>
        <v/>
      </c>
    </row>
    <row r="85" spans="1:47">
      <c r="A85" s="191"/>
      <c r="B85" s="113" t="str">
        <f>B73</f>
        <v>P3</v>
      </c>
      <c r="C85" s="47" t="str">
        <f t="shared" si="95"/>
        <v>Range3-3</v>
      </c>
      <c r="D85" s="22" t="str">
        <f t="shared" si="85"/>
        <v/>
      </c>
      <c r="E85" s="22" t="str">
        <f t="shared" si="96"/>
        <v/>
      </c>
      <c r="F85" s="22" t="str">
        <f t="shared" si="86"/>
        <v/>
      </c>
      <c r="G85" s="22" t="str">
        <f t="shared" si="97"/>
        <v/>
      </c>
      <c r="I85" s="49">
        <f>I84+1</f>
        <v>4</v>
      </c>
      <c r="J85" s="49">
        <f t="shared" si="91"/>
        <v>8</v>
      </c>
      <c r="K85" s="146">
        <f t="shared" si="87"/>
        <v>28.469750889679716</v>
      </c>
      <c r="L85" s="123">
        <f t="shared" si="92"/>
        <v>77</v>
      </c>
      <c r="M85" s="130">
        <f t="shared" si="88"/>
        <v>1</v>
      </c>
      <c r="N85" s="108">
        <v>1</v>
      </c>
      <c r="O85" s="110">
        <f t="shared" si="93"/>
        <v>1</v>
      </c>
      <c r="P85" s="22" t="str">
        <f>IF(P$2*$O85*COUNT(data6!B12)=0,"",$K85*data6!B12)</f>
        <v/>
      </c>
      <c r="Q85" s="22" t="str">
        <f>IF(Q$2*$O85*COUNT(data6!C12)=0,"",$K85*data6!C12)</f>
        <v/>
      </c>
      <c r="R85" s="22" t="str">
        <f>IF(R$2*$O85*COUNT(data6!D12)=0,"",$K85*data6!D12)</f>
        <v/>
      </c>
      <c r="S85" s="22" t="str">
        <f>IF(S$2*$O85*COUNT(data6!E12)=0,"",$K85*data6!E12)</f>
        <v/>
      </c>
      <c r="T85" s="22" t="str">
        <f>IF(T$2*$O85*COUNT(data6!F12)=0,"",$K85*data6!F12)</f>
        <v/>
      </c>
      <c r="U85" s="22" t="str">
        <f>IF(U$2*$O85*COUNT(data6!G12)=0,"",$K85*data6!G12)</f>
        <v/>
      </c>
      <c r="V85" s="22" t="str">
        <f>IF(V$2*$O85*COUNT(data6!H12)=0,"",$K85*data6!H12)</f>
        <v/>
      </c>
      <c r="W85" s="22" t="str">
        <f>IF(W$2*$O85*COUNT(data6!I12)=0,"",$K85*data6!I12)</f>
        <v/>
      </c>
      <c r="X85" s="22" t="str">
        <f>IF(X$2*$O85*COUNT(data6!J12)=0,"",$K85*data6!J12)</f>
        <v/>
      </c>
      <c r="Y85" s="22" t="str">
        <f>IF(Y$2*$O85*COUNT(data6!K12)=0,"",$K85*data6!K12)</f>
        <v/>
      </c>
      <c r="Z85" s="22" t="str">
        <f>IF(Z$2*$O85*COUNT(data6!L12)=0,"",$K85*data6!L12)</f>
        <v/>
      </c>
      <c r="AA85" s="22" t="str">
        <f>IF(AA$2*$O85*COUNT(data6!M12)=0,"",$K85*data6!M12)</f>
        <v/>
      </c>
      <c r="AB85" s="22" t="str">
        <f>IF(AB$2*$O85*COUNT(data6!N12)=0,"",$K85*data6!N12)</f>
        <v/>
      </c>
      <c r="AC85" s="22" t="str">
        <f>IF(AC$2*$O85*COUNT(data6!O12)=0,"",$K85*data6!O12)</f>
        <v/>
      </c>
      <c r="AD85" s="22" t="str">
        <f>IF(AD$2*$O85*COUNT(data6!P12)=0,"",$K85*data6!P12)</f>
        <v/>
      </c>
      <c r="AE85" s="22" t="str">
        <f>IF(AE$2*$O85*COUNT(data6!Q12)=0,"",$K85*data6!Q12)</f>
        <v/>
      </c>
      <c r="AF85" s="22" t="str">
        <f>IF(AF$2*$O85*COUNT(data6!R12)=0,"",$K85*data6!R12)</f>
        <v/>
      </c>
      <c r="AG85" s="22" t="str">
        <f>IF(AG$2*$O85*COUNT(data6!S12)=0,"",$K85*data6!S12)</f>
        <v/>
      </c>
      <c r="AH85" s="22" t="str">
        <f>IF(AH$2*$O85*COUNT(data6!T12)=0,"",$K85*data6!T12)</f>
        <v/>
      </c>
      <c r="AI85" s="22" t="str">
        <f>IF(AI$2*$O85*COUNT(data6!U12)=0,"",$K85*data6!U12)</f>
        <v/>
      </c>
      <c r="AJ85" s="22" t="str">
        <f>IF(AJ$2*$O85*COUNT(data6!V12)=0,"",$K85*data6!V12)</f>
        <v/>
      </c>
      <c r="AK85" s="22" t="str">
        <f>IF(AK$2*$O85*COUNT(data6!W12)=0,"",$K85*data6!W12)</f>
        <v/>
      </c>
      <c r="AL85" s="22" t="str">
        <f>IF(AL$2*$O85*COUNT(data6!X12)=0,"",$K85*data6!X12)</f>
        <v/>
      </c>
      <c r="AM85" s="22" t="str">
        <f>IF(AM$2*$O85*COUNT(data6!Y12)=0,"",$K85*data6!Y12)</f>
        <v/>
      </c>
      <c r="AN85" s="22" t="str">
        <f>IF(AN$2*$O85*COUNT(data6!Z12)=0,"",$K85*data6!Z12)</f>
        <v/>
      </c>
      <c r="AO85" s="22" t="str">
        <f>IF(AO$2*$O85*COUNT(data6!AA12)=0,"",$K85*data6!AA12)</f>
        <v/>
      </c>
      <c r="AP85" s="22" t="str">
        <f>IF(AP$2*$O85*COUNT(data6!AB12)=0,"",$K85*data6!AB12)</f>
        <v/>
      </c>
      <c r="AQ85" s="22" t="str">
        <f>IF(AQ$2*$O85*COUNT(data6!AC12)=0,"",$K85*data6!AC12)</f>
        <v/>
      </c>
      <c r="AR85" s="22" t="str">
        <f>IF(AR$2*$O85*COUNT(data6!AD12)=0,"",$K85*data6!AD12)</f>
        <v/>
      </c>
      <c r="AS85" s="22" t="str">
        <f>IF(AS$2*$O85*COUNT(data6!AE12)=0,"",$K85*data6!AE12)</f>
        <v/>
      </c>
      <c r="AT85" s="22" t="str">
        <f>IF(AT$2*$O85*COUNT(data6!AF12)=0,"",$K85*data6!AF12)</f>
        <v/>
      </c>
      <c r="AU85" s="22" t="str">
        <f>IF(AU$2*$O85*COUNT(data6!AG12)=0,"",$K85*data6!AG12)</f>
        <v/>
      </c>
    </row>
    <row r="86" spans="1:47">
      <c r="A86" s="216" t="s">
        <v>73</v>
      </c>
      <c r="B86" s="216"/>
      <c r="C86" s="216"/>
      <c r="D86" s="216"/>
      <c r="E86" s="216"/>
      <c r="F86" s="216"/>
      <c r="G86" s="216"/>
      <c r="P86" s="66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</row>
    <row r="87" spans="1:47">
      <c r="A87" s="216"/>
      <c r="B87" s="216"/>
      <c r="C87" s="216"/>
      <c r="D87" s="216"/>
      <c r="E87" s="216"/>
      <c r="F87" s="216"/>
      <c r="G87" s="216"/>
      <c r="P87" s="66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</row>
    <row r="88" spans="1:47">
      <c r="A88" s="216"/>
      <c r="B88" s="216"/>
      <c r="C88" s="216"/>
      <c r="D88" s="216"/>
      <c r="E88" s="216"/>
      <c r="F88" s="216"/>
      <c r="G88" s="216"/>
      <c r="P88" s="66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</row>
    <row r="89" spans="1:47">
      <c r="A89" s="191" t="s">
        <v>61</v>
      </c>
      <c r="B89" s="191"/>
      <c r="C89" s="191"/>
      <c r="D89" s="191"/>
      <c r="E89" s="191"/>
      <c r="F89" s="217" t="s">
        <v>62</v>
      </c>
      <c r="G89" s="218"/>
      <c r="P89" s="66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</row>
    <row r="90" spans="1:47">
      <c r="C90" s="26">
        <v>4</v>
      </c>
      <c r="D90" s="26">
        <v>2</v>
      </c>
      <c r="E90" s="26">
        <v>1</v>
      </c>
      <c r="F90" s="7" t="s">
        <v>42</v>
      </c>
      <c r="G90" s="100" t="s">
        <v>43</v>
      </c>
      <c r="P90" s="66"/>
    </row>
    <row r="91" spans="1:47">
      <c r="C91" s="96">
        <f>AVERAGE(F91:F94)</f>
        <v>1820.9299776713392</v>
      </c>
      <c r="D91" s="96">
        <f>AVERAGE(F91:F92)</f>
        <v>1504.7199679945825</v>
      </c>
      <c r="E91" s="99">
        <f>IF(COUNT(F91)&gt;0,useIRcomp*(F91*(nRngPerK=1)+D91*(nRngPerK=2)+C91*(nRngPerK=4)),"")</f>
        <v>0</v>
      </c>
      <c r="F91" s="101">
        <v>1334.9068220047959</v>
      </c>
      <c r="G91" s="102">
        <f>ABS(F107)</f>
        <v>0</v>
      </c>
      <c r="P91" s="204" t="s">
        <v>40</v>
      </c>
      <c r="Q91" s="204"/>
    </row>
    <row r="92" spans="1:47">
      <c r="A92" s="51"/>
      <c r="B92" s="51"/>
      <c r="C92" s="98">
        <f>C91</f>
        <v>1820.9299776713392</v>
      </c>
      <c r="D92" s="97">
        <f>D91</f>
        <v>1504.7199679945825</v>
      </c>
      <c r="E92" s="99">
        <f>IF(COUNT(F92)&gt;0,useIRcomp*(F92*(nRngPerK=1)+D92*(nRngPerK=2)+C92*(nRngPerK=4)),"")</f>
        <v>0</v>
      </c>
      <c r="F92" s="101">
        <v>1674.533113984369</v>
      </c>
      <c r="G92" s="102">
        <f>ABS(F127)</f>
        <v>0</v>
      </c>
      <c r="P92" s="22" t="s">
        <v>37</v>
      </c>
      <c r="Q92" s="49">
        <f>COUNT(data3!B6:AG6)</f>
        <v>0</v>
      </c>
    </row>
    <row r="93" spans="1:47">
      <c r="A93" s="51"/>
      <c r="B93" s="51"/>
      <c r="C93" s="98">
        <f t="shared" ref="C93:C94" si="99">C92</f>
        <v>1820.9299776713392</v>
      </c>
      <c r="D93" s="96">
        <f>AVERAGE(F93:F94)</f>
        <v>2137.1399873480959</v>
      </c>
      <c r="E93" s="99">
        <f>IF(COUNT(F93)&gt;0,useIRcomp*(F93*(nRngPerK=1)+D93*(nRngPerK=2)+C93*(nRngPerK=4)),"")</f>
        <v>0</v>
      </c>
      <c r="F93" s="101">
        <v>1958.2253163455637</v>
      </c>
      <c r="G93" s="102">
        <f>ABS(F159)</f>
        <v>0</v>
      </c>
      <c r="P93" s="22" t="s">
        <v>38</v>
      </c>
      <c r="Q93" s="49">
        <f>Q92-Q94</f>
        <v>0</v>
      </c>
      <c r="R93" s="52" t="e">
        <f>Q93/Q92</f>
        <v>#DIV/0!</v>
      </c>
    </row>
    <row r="94" spans="1:47">
      <c r="A94" s="51"/>
      <c r="B94" s="51"/>
      <c r="C94" s="97">
        <f t="shared" si="99"/>
        <v>1820.9299776713392</v>
      </c>
      <c r="D94" s="97">
        <f>D93</f>
        <v>2137.1399873480959</v>
      </c>
      <c r="E94" s="99">
        <f>IF(COUNT(F94)&gt;0,useIRcomp*(F94*(nRngPerK=1)+D94*(nRngPerK=2)+C94*(nRngPerK=4)),"")</f>
        <v>0</v>
      </c>
      <c r="F94" s="103">
        <v>2316.0546583506284</v>
      </c>
      <c r="G94" s="104">
        <f>ABS(F203)</f>
        <v>0</v>
      </c>
      <c r="P94" s="22" t="s">
        <v>39</v>
      </c>
      <c r="Q94" s="49">
        <f>COUNT(P96:AU96)</f>
        <v>0</v>
      </c>
    </row>
    <row r="95" spans="1:47">
      <c r="A95" s="51"/>
      <c r="B95" s="51"/>
    </row>
    <row r="96" spans="1:47">
      <c r="A96" s="21" t="str">
        <f>A3</f>
        <v>41F02</v>
      </c>
      <c r="B96" s="191" t="str">
        <f>B75</f>
        <v>P0</v>
      </c>
      <c r="C96" s="191" t="str">
        <f>C3</f>
        <v>Range0</v>
      </c>
      <c r="D96" s="22" t="str">
        <f t="shared" ref="D96:D107" si="100">IF(COUNT(P96:AU96)=0,"",E96-1.5*G96)</f>
        <v/>
      </c>
      <c r="E96" s="22" t="str">
        <f t="shared" ref="E96:E105" si="101">IF(COUNT(P96:AU96)=0,"",AVERAGE(P96:AU96))</f>
        <v/>
      </c>
      <c r="F96" s="22" t="str">
        <f t="shared" ref="F96:F107" si="102">IF(COUNT(P96:AU96)=0,"",E96+1.5*G96)</f>
        <v/>
      </c>
      <c r="G96" s="22" t="str">
        <f t="shared" ref="G96:G105" si="103">IF(COUNT(P96:AU96)=0,"",STDEV(P96:AU96))</f>
        <v/>
      </c>
      <c r="H96" s="49">
        <f>Calculations!G6</f>
        <v>3670</v>
      </c>
      <c r="P96" s="22" t="str">
        <f t="shared" ref="P96:AU96" si="104">IF(COUNT(P3)=0,"",P3+_IRM0*P7)</f>
        <v/>
      </c>
      <c r="Q96" s="22" t="str">
        <f t="shared" si="104"/>
        <v/>
      </c>
      <c r="R96" s="22" t="str">
        <f>IF(COUNT(R3)=0,"",R3+_IRM0*R7)</f>
        <v/>
      </c>
      <c r="S96" s="22" t="str">
        <f t="shared" si="104"/>
        <v/>
      </c>
      <c r="T96" s="22" t="str">
        <f t="shared" si="104"/>
        <v/>
      </c>
      <c r="U96" s="22" t="str">
        <f t="shared" si="104"/>
        <v/>
      </c>
      <c r="V96" s="22" t="str">
        <f t="shared" si="104"/>
        <v/>
      </c>
      <c r="W96" s="22" t="str">
        <f t="shared" si="104"/>
        <v/>
      </c>
      <c r="X96" s="22" t="str">
        <f t="shared" si="104"/>
        <v/>
      </c>
      <c r="Y96" s="22" t="str">
        <f t="shared" si="104"/>
        <v/>
      </c>
      <c r="Z96" s="22" t="str">
        <f t="shared" si="104"/>
        <v/>
      </c>
      <c r="AA96" s="22" t="str">
        <f t="shared" si="104"/>
        <v/>
      </c>
      <c r="AB96" s="22" t="str">
        <f t="shared" si="104"/>
        <v/>
      </c>
      <c r="AC96" s="22" t="str">
        <f t="shared" si="104"/>
        <v/>
      </c>
      <c r="AD96" s="22" t="str">
        <f t="shared" si="104"/>
        <v/>
      </c>
      <c r="AE96" s="22" t="str">
        <f t="shared" si="104"/>
        <v/>
      </c>
      <c r="AF96" s="22" t="str">
        <f t="shared" si="104"/>
        <v/>
      </c>
      <c r="AG96" s="22" t="str">
        <f t="shared" si="104"/>
        <v/>
      </c>
      <c r="AH96" s="22" t="str">
        <f t="shared" si="104"/>
        <v/>
      </c>
      <c r="AI96" s="22" t="str">
        <f t="shared" si="104"/>
        <v/>
      </c>
      <c r="AJ96" s="22" t="str">
        <f t="shared" si="104"/>
        <v/>
      </c>
      <c r="AK96" s="22" t="str">
        <f t="shared" si="104"/>
        <v/>
      </c>
      <c r="AL96" s="22" t="str">
        <f t="shared" si="104"/>
        <v/>
      </c>
      <c r="AM96" s="22" t="str">
        <f t="shared" si="104"/>
        <v/>
      </c>
      <c r="AN96" s="22" t="str">
        <f t="shared" si="104"/>
        <v/>
      </c>
      <c r="AO96" s="22" t="str">
        <f t="shared" si="104"/>
        <v/>
      </c>
      <c r="AP96" s="22" t="str">
        <f t="shared" si="104"/>
        <v/>
      </c>
      <c r="AQ96" s="22" t="str">
        <f t="shared" si="104"/>
        <v/>
      </c>
      <c r="AR96" s="22" t="str">
        <f t="shared" si="104"/>
        <v/>
      </c>
      <c r="AS96" s="22" t="str">
        <f t="shared" si="104"/>
        <v/>
      </c>
      <c r="AT96" s="22" t="str">
        <f t="shared" si="104"/>
        <v/>
      </c>
      <c r="AU96" s="22" t="str">
        <f t="shared" si="104"/>
        <v/>
      </c>
    </row>
    <row r="97" spans="1:47">
      <c r="A97" s="21" t="str">
        <f>A15</f>
        <v>55F02</v>
      </c>
      <c r="B97" s="191"/>
      <c r="C97" s="191"/>
      <c r="D97" s="22" t="str">
        <f t="shared" si="100"/>
        <v/>
      </c>
      <c r="E97" s="22" t="str">
        <f t="shared" si="101"/>
        <v/>
      </c>
      <c r="F97" s="22" t="str">
        <f t="shared" si="102"/>
        <v/>
      </c>
      <c r="G97" s="22" t="str">
        <f t="shared" si="103"/>
        <v/>
      </c>
      <c r="H97" s="49">
        <f>Calculations!L6</f>
        <v>4430</v>
      </c>
      <c r="P97" s="22" t="str">
        <f t="shared" ref="P97:AU97" si="105">IF(COUNT(P15)=0,"",P15+_IRM0*P19)</f>
        <v/>
      </c>
      <c r="Q97" s="22" t="str">
        <f t="shared" si="105"/>
        <v/>
      </c>
      <c r="R97" s="22" t="str">
        <f t="shared" si="105"/>
        <v/>
      </c>
      <c r="S97" s="22" t="str">
        <f t="shared" si="105"/>
        <v/>
      </c>
      <c r="T97" s="22" t="str">
        <f t="shared" si="105"/>
        <v/>
      </c>
      <c r="U97" s="22" t="str">
        <f t="shared" si="105"/>
        <v/>
      </c>
      <c r="V97" s="22" t="str">
        <f t="shared" si="105"/>
        <v/>
      </c>
      <c r="W97" s="22" t="str">
        <f t="shared" si="105"/>
        <v/>
      </c>
      <c r="X97" s="22" t="str">
        <f t="shared" si="105"/>
        <v/>
      </c>
      <c r="Y97" s="22" t="str">
        <f t="shared" si="105"/>
        <v/>
      </c>
      <c r="Z97" s="22" t="str">
        <f t="shared" si="105"/>
        <v/>
      </c>
      <c r="AA97" s="22" t="str">
        <f t="shared" si="105"/>
        <v/>
      </c>
      <c r="AB97" s="22" t="str">
        <f t="shared" si="105"/>
        <v/>
      </c>
      <c r="AC97" s="22" t="str">
        <f t="shared" si="105"/>
        <v/>
      </c>
      <c r="AD97" s="22" t="str">
        <f t="shared" si="105"/>
        <v/>
      </c>
      <c r="AE97" s="22" t="str">
        <f t="shared" si="105"/>
        <v/>
      </c>
      <c r="AF97" s="22" t="str">
        <f t="shared" si="105"/>
        <v/>
      </c>
      <c r="AG97" s="22" t="str">
        <f t="shared" si="105"/>
        <v/>
      </c>
      <c r="AH97" s="22" t="str">
        <f t="shared" si="105"/>
        <v/>
      </c>
      <c r="AI97" s="22" t="str">
        <f t="shared" si="105"/>
        <v/>
      </c>
      <c r="AJ97" s="22" t="str">
        <f t="shared" si="105"/>
        <v/>
      </c>
      <c r="AK97" s="22" t="str">
        <f t="shared" si="105"/>
        <v/>
      </c>
      <c r="AL97" s="22" t="str">
        <f t="shared" si="105"/>
        <v/>
      </c>
      <c r="AM97" s="22" t="str">
        <f t="shared" si="105"/>
        <v/>
      </c>
      <c r="AN97" s="22" t="str">
        <f t="shared" si="105"/>
        <v/>
      </c>
      <c r="AO97" s="22" t="str">
        <f t="shared" si="105"/>
        <v/>
      </c>
      <c r="AP97" s="22" t="str">
        <f t="shared" si="105"/>
        <v/>
      </c>
      <c r="AQ97" s="22" t="str">
        <f t="shared" si="105"/>
        <v/>
      </c>
      <c r="AR97" s="22" t="str">
        <f t="shared" si="105"/>
        <v/>
      </c>
      <c r="AS97" s="22" t="str">
        <f t="shared" si="105"/>
        <v/>
      </c>
      <c r="AT97" s="22" t="str">
        <f t="shared" si="105"/>
        <v/>
      </c>
      <c r="AU97" s="22" t="str">
        <f t="shared" si="105"/>
        <v/>
      </c>
    </row>
    <row r="98" spans="1:47">
      <c r="A98" s="21" t="str">
        <f>A27</f>
        <v>65F01</v>
      </c>
      <c r="B98" s="191"/>
      <c r="C98" s="191"/>
      <c r="D98" s="22" t="str">
        <f t="shared" si="100"/>
        <v/>
      </c>
      <c r="E98" s="22" t="str">
        <f t="shared" si="101"/>
        <v/>
      </c>
      <c r="F98" s="22" t="str">
        <f t="shared" si="102"/>
        <v/>
      </c>
      <c r="G98" s="22" t="str">
        <f t="shared" si="103"/>
        <v/>
      </c>
      <c r="H98" s="49">
        <f>Calculations!Q6</f>
        <v>6110</v>
      </c>
      <c r="P98" s="22" t="str">
        <f t="shared" ref="P98:AU98" si="106">IF(COUNT(P27)=0,"",P27+_IRM0*P31)</f>
        <v/>
      </c>
      <c r="Q98" s="22" t="str">
        <f t="shared" si="106"/>
        <v/>
      </c>
      <c r="R98" s="22" t="str">
        <f t="shared" si="106"/>
        <v/>
      </c>
      <c r="S98" s="22" t="str">
        <f t="shared" si="106"/>
        <v/>
      </c>
      <c r="T98" s="22" t="str">
        <f t="shared" si="106"/>
        <v/>
      </c>
      <c r="U98" s="22" t="str">
        <f t="shared" si="106"/>
        <v/>
      </c>
      <c r="V98" s="22" t="str">
        <f t="shared" si="106"/>
        <v/>
      </c>
      <c r="W98" s="22" t="str">
        <f t="shared" si="106"/>
        <v/>
      </c>
      <c r="X98" s="22" t="str">
        <f t="shared" si="106"/>
        <v/>
      </c>
      <c r="Y98" s="22" t="str">
        <f t="shared" si="106"/>
        <v/>
      </c>
      <c r="Z98" s="22" t="str">
        <f t="shared" si="106"/>
        <v/>
      </c>
      <c r="AA98" s="22" t="str">
        <f t="shared" si="106"/>
        <v/>
      </c>
      <c r="AB98" s="22" t="str">
        <f t="shared" si="106"/>
        <v/>
      </c>
      <c r="AC98" s="22" t="str">
        <f t="shared" si="106"/>
        <v/>
      </c>
      <c r="AD98" s="22" t="str">
        <f t="shared" si="106"/>
        <v/>
      </c>
      <c r="AE98" s="22" t="str">
        <f t="shared" si="106"/>
        <v/>
      </c>
      <c r="AF98" s="22" t="str">
        <f t="shared" si="106"/>
        <v/>
      </c>
      <c r="AG98" s="22" t="str">
        <f t="shared" si="106"/>
        <v/>
      </c>
      <c r="AH98" s="22" t="str">
        <f t="shared" si="106"/>
        <v/>
      </c>
      <c r="AI98" s="22" t="str">
        <f t="shared" si="106"/>
        <v/>
      </c>
      <c r="AJ98" s="22" t="str">
        <f t="shared" si="106"/>
        <v/>
      </c>
      <c r="AK98" s="22" t="str">
        <f t="shared" si="106"/>
        <v/>
      </c>
      <c r="AL98" s="22" t="str">
        <f t="shared" si="106"/>
        <v/>
      </c>
      <c r="AM98" s="22" t="str">
        <f t="shared" si="106"/>
        <v/>
      </c>
      <c r="AN98" s="22" t="str">
        <f t="shared" si="106"/>
        <v/>
      </c>
      <c r="AO98" s="22" t="str">
        <f t="shared" si="106"/>
        <v/>
      </c>
      <c r="AP98" s="22" t="str">
        <f t="shared" si="106"/>
        <v/>
      </c>
      <c r="AQ98" s="22" t="str">
        <f t="shared" si="106"/>
        <v/>
      </c>
      <c r="AR98" s="22" t="str">
        <f t="shared" si="106"/>
        <v/>
      </c>
      <c r="AS98" s="22" t="str">
        <f t="shared" si="106"/>
        <v/>
      </c>
      <c r="AT98" s="22" t="str">
        <f t="shared" si="106"/>
        <v/>
      </c>
      <c r="AU98" s="22" t="str">
        <f t="shared" si="106"/>
        <v/>
      </c>
    </row>
    <row r="99" spans="1:47">
      <c r="A99" s="21" t="str">
        <f>A39</f>
        <v>2700K</v>
      </c>
      <c r="B99" s="191"/>
      <c r="C99" s="191"/>
      <c r="D99" s="22" t="str">
        <f t="shared" si="100"/>
        <v/>
      </c>
      <c r="E99" s="22" t="str">
        <f t="shared" si="101"/>
        <v/>
      </c>
      <c r="F99" s="22" t="str">
        <f t="shared" si="102"/>
        <v/>
      </c>
      <c r="G99" s="22" t="str">
        <f t="shared" si="103"/>
        <v/>
      </c>
      <c r="H99" s="49">
        <v>2700</v>
      </c>
      <c r="P99" s="22" t="str">
        <f t="shared" ref="P99:AU99" si="107">IF(COUNT(P39)=0,"",P39+_IRM0*P43)</f>
        <v/>
      </c>
      <c r="Q99" s="22" t="str">
        <f t="shared" si="107"/>
        <v/>
      </c>
      <c r="R99" s="22" t="str">
        <f t="shared" si="107"/>
        <v/>
      </c>
      <c r="S99" s="22" t="str">
        <f t="shared" si="107"/>
        <v/>
      </c>
      <c r="T99" s="22" t="str">
        <f t="shared" si="107"/>
        <v/>
      </c>
      <c r="U99" s="22" t="str">
        <f t="shared" si="107"/>
        <v/>
      </c>
      <c r="V99" s="22" t="str">
        <f t="shared" si="107"/>
        <v/>
      </c>
      <c r="W99" s="22" t="str">
        <f t="shared" si="107"/>
        <v/>
      </c>
      <c r="X99" s="22" t="str">
        <f t="shared" si="107"/>
        <v/>
      </c>
      <c r="Y99" s="22" t="str">
        <f t="shared" si="107"/>
        <v/>
      </c>
      <c r="Z99" s="22" t="str">
        <f t="shared" si="107"/>
        <v/>
      </c>
      <c r="AA99" s="22" t="str">
        <f t="shared" si="107"/>
        <v/>
      </c>
      <c r="AB99" s="22" t="str">
        <f t="shared" si="107"/>
        <v/>
      </c>
      <c r="AC99" s="22" t="str">
        <f t="shared" si="107"/>
        <v/>
      </c>
      <c r="AD99" s="22" t="str">
        <f t="shared" si="107"/>
        <v/>
      </c>
      <c r="AE99" s="22" t="str">
        <f t="shared" si="107"/>
        <v/>
      </c>
      <c r="AF99" s="22" t="str">
        <f t="shared" si="107"/>
        <v/>
      </c>
      <c r="AG99" s="22" t="str">
        <f t="shared" si="107"/>
        <v/>
      </c>
      <c r="AH99" s="22" t="str">
        <f t="shared" si="107"/>
        <v/>
      </c>
      <c r="AI99" s="22" t="str">
        <f t="shared" si="107"/>
        <v/>
      </c>
      <c r="AJ99" s="22" t="str">
        <f t="shared" si="107"/>
        <v/>
      </c>
      <c r="AK99" s="22" t="str">
        <f t="shared" si="107"/>
        <v/>
      </c>
      <c r="AL99" s="22" t="str">
        <f t="shared" si="107"/>
        <v/>
      </c>
      <c r="AM99" s="22" t="str">
        <f t="shared" si="107"/>
        <v/>
      </c>
      <c r="AN99" s="22" t="str">
        <f t="shared" si="107"/>
        <v/>
      </c>
      <c r="AO99" s="22" t="str">
        <f t="shared" si="107"/>
        <v/>
      </c>
      <c r="AP99" s="22" t="str">
        <f t="shared" si="107"/>
        <v/>
      </c>
      <c r="AQ99" s="22" t="str">
        <f t="shared" si="107"/>
        <v/>
      </c>
      <c r="AR99" s="22" t="str">
        <f t="shared" si="107"/>
        <v/>
      </c>
      <c r="AS99" s="22" t="str">
        <f t="shared" si="107"/>
        <v/>
      </c>
      <c r="AT99" s="22" t="str">
        <f t="shared" si="107"/>
        <v/>
      </c>
      <c r="AU99" s="22" t="str">
        <f t="shared" si="107"/>
        <v/>
      </c>
    </row>
    <row r="100" spans="1:47">
      <c r="A100" s="21" t="str">
        <f>A51</f>
        <v>3200K</v>
      </c>
      <c r="B100" s="191"/>
      <c r="C100" s="191"/>
      <c r="D100" s="22">
        <f t="shared" si="100"/>
        <v>989.19047475803916</v>
      </c>
      <c r="E100" s="22">
        <f t="shared" si="101"/>
        <v>1062.823710190595</v>
      </c>
      <c r="F100" s="22">
        <f t="shared" si="102"/>
        <v>1136.4569456231507</v>
      </c>
      <c r="G100" s="22">
        <f t="shared" si="103"/>
        <v>49.088823621703874</v>
      </c>
      <c r="H100" s="49">
        <v>3200</v>
      </c>
      <c r="P100" s="22">
        <f t="shared" ref="P100:AU100" si="108">IF(COUNT(P51)=0,"",P51+_IRM0*P55)</f>
        <v>1088.7845306229149</v>
      </c>
      <c r="Q100" s="22">
        <f t="shared" si="108"/>
        <v>1110.5091216332694</v>
      </c>
      <c r="R100" s="22">
        <f t="shared" si="108"/>
        <v>1105.1459285686342</v>
      </c>
      <c r="S100" s="22">
        <f t="shared" si="108"/>
        <v>1060.2987385658398</v>
      </c>
      <c r="T100" s="22">
        <f t="shared" si="108"/>
        <v>1026.9399564922726</v>
      </c>
      <c r="U100" s="22">
        <f t="shared" si="108"/>
        <v>985.26398526063986</v>
      </c>
      <c r="V100" s="22" t="str">
        <f t="shared" si="108"/>
        <v/>
      </c>
      <c r="W100" s="22" t="str">
        <f t="shared" si="108"/>
        <v/>
      </c>
      <c r="X100" s="22" t="str">
        <f t="shared" si="108"/>
        <v/>
      </c>
      <c r="Y100" s="22" t="str">
        <f t="shared" si="108"/>
        <v/>
      </c>
      <c r="Z100" s="22" t="str">
        <f t="shared" si="108"/>
        <v/>
      </c>
      <c r="AA100" s="22" t="str">
        <f t="shared" si="108"/>
        <v/>
      </c>
      <c r="AB100" s="22" t="str">
        <f t="shared" si="108"/>
        <v/>
      </c>
      <c r="AC100" s="22" t="str">
        <f t="shared" si="108"/>
        <v/>
      </c>
      <c r="AD100" s="22" t="str">
        <f t="shared" si="108"/>
        <v/>
      </c>
      <c r="AE100" s="22" t="str">
        <f t="shared" si="108"/>
        <v/>
      </c>
      <c r="AF100" s="22" t="str">
        <f t="shared" si="108"/>
        <v/>
      </c>
      <c r="AG100" s="22" t="str">
        <f t="shared" si="108"/>
        <v/>
      </c>
      <c r="AH100" s="22" t="str">
        <f t="shared" si="108"/>
        <v/>
      </c>
      <c r="AI100" s="22" t="str">
        <f t="shared" si="108"/>
        <v/>
      </c>
      <c r="AJ100" s="22" t="str">
        <f t="shared" si="108"/>
        <v/>
      </c>
      <c r="AK100" s="22" t="str">
        <f t="shared" si="108"/>
        <v/>
      </c>
      <c r="AL100" s="22" t="str">
        <f t="shared" si="108"/>
        <v/>
      </c>
      <c r="AM100" s="22" t="str">
        <f t="shared" si="108"/>
        <v/>
      </c>
      <c r="AN100" s="22" t="str">
        <f t="shared" si="108"/>
        <v/>
      </c>
      <c r="AO100" s="22" t="str">
        <f t="shared" si="108"/>
        <v/>
      </c>
      <c r="AP100" s="22" t="str">
        <f t="shared" si="108"/>
        <v/>
      </c>
      <c r="AQ100" s="22" t="str">
        <f t="shared" si="108"/>
        <v/>
      </c>
      <c r="AR100" s="22" t="str">
        <f t="shared" si="108"/>
        <v/>
      </c>
      <c r="AS100" s="22" t="str">
        <f t="shared" si="108"/>
        <v/>
      </c>
      <c r="AT100" s="22" t="str">
        <f t="shared" si="108"/>
        <v/>
      </c>
      <c r="AU100" s="22" t="str">
        <f t="shared" si="108"/>
        <v/>
      </c>
    </row>
    <row r="101" spans="1:47">
      <c r="A101" s="21" t="str">
        <f>A63</f>
        <v>5500K</v>
      </c>
      <c r="B101" s="191"/>
      <c r="C101" s="191"/>
      <c r="D101" s="22" t="str">
        <f t="shared" si="100"/>
        <v/>
      </c>
      <c r="E101" s="22" t="str">
        <f t="shared" si="101"/>
        <v/>
      </c>
      <c r="F101" s="22" t="str">
        <f t="shared" si="102"/>
        <v/>
      </c>
      <c r="G101" s="22" t="str">
        <f t="shared" si="103"/>
        <v/>
      </c>
      <c r="H101" s="49">
        <v>5500</v>
      </c>
      <c r="P101" s="22" t="str">
        <f t="shared" ref="P101:AU101" si="109">IF(COUNT(P63)=0,"",P63+_IRM0*P67)</f>
        <v/>
      </c>
      <c r="Q101" s="22" t="str">
        <f t="shared" si="109"/>
        <v/>
      </c>
      <c r="R101" s="22" t="str">
        <f t="shared" si="109"/>
        <v/>
      </c>
      <c r="S101" s="22" t="str">
        <f t="shared" si="109"/>
        <v/>
      </c>
      <c r="T101" s="22" t="str">
        <f t="shared" si="109"/>
        <v/>
      </c>
      <c r="U101" s="22" t="str">
        <f t="shared" si="109"/>
        <v/>
      </c>
      <c r="V101" s="22" t="str">
        <f t="shared" si="109"/>
        <v/>
      </c>
      <c r="W101" s="22" t="str">
        <f t="shared" si="109"/>
        <v/>
      </c>
      <c r="X101" s="22" t="str">
        <f t="shared" si="109"/>
        <v/>
      </c>
      <c r="Y101" s="22" t="str">
        <f t="shared" si="109"/>
        <v/>
      </c>
      <c r="Z101" s="22" t="str">
        <f t="shared" si="109"/>
        <v/>
      </c>
      <c r="AA101" s="22" t="str">
        <f t="shared" si="109"/>
        <v/>
      </c>
      <c r="AB101" s="22" t="str">
        <f t="shared" si="109"/>
        <v/>
      </c>
      <c r="AC101" s="22" t="str">
        <f t="shared" si="109"/>
        <v/>
      </c>
      <c r="AD101" s="22" t="str">
        <f t="shared" si="109"/>
        <v/>
      </c>
      <c r="AE101" s="22" t="str">
        <f t="shared" si="109"/>
        <v/>
      </c>
      <c r="AF101" s="22" t="str">
        <f t="shared" si="109"/>
        <v/>
      </c>
      <c r="AG101" s="22" t="str">
        <f t="shared" si="109"/>
        <v/>
      </c>
      <c r="AH101" s="22" t="str">
        <f t="shared" si="109"/>
        <v/>
      </c>
      <c r="AI101" s="22" t="str">
        <f t="shared" si="109"/>
        <v/>
      </c>
      <c r="AJ101" s="22" t="str">
        <f t="shared" si="109"/>
        <v/>
      </c>
      <c r="AK101" s="22" t="str">
        <f t="shared" si="109"/>
        <v/>
      </c>
      <c r="AL101" s="22" t="str">
        <f t="shared" si="109"/>
        <v/>
      </c>
      <c r="AM101" s="22" t="str">
        <f t="shared" si="109"/>
        <v/>
      </c>
      <c r="AN101" s="22" t="str">
        <f t="shared" si="109"/>
        <v/>
      </c>
      <c r="AO101" s="22" t="str">
        <f t="shared" si="109"/>
        <v/>
      </c>
      <c r="AP101" s="22" t="str">
        <f t="shared" si="109"/>
        <v/>
      </c>
      <c r="AQ101" s="22" t="str">
        <f t="shared" si="109"/>
        <v/>
      </c>
      <c r="AR101" s="22" t="str">
        <f t="shared" si="109"/>
        <v/>
      </c>
      <c r="AS101" s="22" t="str">
        <f t="shared" si="109"/>
        <v/>
      </c>
      <c r="AT101" s="22" t="str">
        <f t="shared" si="109"/>
        <v/>
      </c>
      <c r="AU101" s="22" t="str">
        <f t="shared" si="109"/>
        <v/>
      </c>
    </row>
    <row r="102" spans="1:47">
      <c r="A102" s="21" t="str">
        <f>A75</f>
        <v>6500K</v>
      </c>
      <c r="B102" s="191"/>
      <c r="C102" s="191"/>
      <c r="D102" s="22" t="str">
        <f t="shared" si="100"/>
        <v/>
      </c>
      <c r="E102" s="22" t="str">
        <f t="shared" si="101"/>
        <v/>
      </c>
      <c r="F102" s="22" t="str">
        <f t="shared" si="102"/>
        <v/>
      </c>
      <c r="G102" s="22" t="str">
        <f t="shared" si="103"/>
        <v/>
      </c>
      <c r="H102" s="49">
        <v>6500</v>
      </c>
      <c r="P102" s="22" t="str">
        <f t="shared" ref="P102:AU102" si="110">IF(COUNT(P75)=0,"",P75+_IRM0*P79)</f>
        <v/>
      </c>
      <c r="Q102" s="22" t="str">
        <f t="shared" si="110"/>
        <v/>
      </c>
      <c r="R102" s="22" t="str">
        <f t="shared" si="110"/>
        <v/>
      </c>
      <c r="S102" s="22" t="str">
        <f t="shared" si="110"/>
        <v/>
      </c>
      <c r="T102" s="22" t="str">
        <f t="shared" si="110"/>
        <v/>
      </c>
      <c r="U102" s="22" t="str">
        <f t="shared" si="110"/>
        <v/>
      </c>
      <c r="V102" s="22" t="str">
        <f t="shared" si="110"/>
        <v/>
      </c>
      <c r="W102" s="22" t="str">
        <f t="shared" si="110"/>
        <v/>
      </c>
      <c r="X102" s="22" t="str">
        <f t="shared" si="110"/>
        <v/>
      </c>
      <c r="Y102" s="22" t="str">
        <f t="shared" si="110"/>
        <v/>
      </c>
      <c r="Z102" s="22" t="str">
        <f t="shared" si="110"/>
        <v/>
      </c>
      <c r="AA102" s="22" t="str">
        <f t="shared" si="110"/>
        <v/>
      </c>
      <c r="AB102" s="22" t="str">
        <f t="shared" si="110"/>
        <v/>
      </c>
      <c r="AC102" s="22" t="str">
        <f t="shared" si="110"/>
        <v/>
      </c>
      <c r="AD102" s="22" t="str">
        <f t="shared" si="110"/>
        <v/>
      </c>
      <c r="AE102" s="22" t="str">
        <f t="shared" si="110"/>
        <v/>
      </c>
      <c r="AF102" s="22" t="str">
        <f t="shared" si="110"/>
        <v/>
      </c>
      <c r="AG102" s="22" t="str">
        <f t="shared" si="110"/>
        <v/>
      </c>
      <c r="AH102" s="22" t="str">
        <f t="shared" si="110"/>
        <v/>
      </c>
      <c r="AI102" s="22" t="str">
        <f t="shared" si="110"/>
        <v/>
      </c>
      <c r="AJ102" s="22" t="str">
        <f t="shared" si="110"/>
        <v/>
      </c>
      <c r="AK102" s="22" t="str">
        <f t="shared" si="110"/>
        <v/>
      </c>
      <c r="AL102" s="22" t="str">
        <f t="shared" si="110"/>
        <v/>
      </c>
      <c r="AM102" s="22" t="str">
        <f t="shared" si="110"/>
        <v/>
      </c>
      <c r="AN102" s="22" t="str">
        <f t="shared" si="110"/>
        <v/>
      </c>
      <c r="AO102" s="22" t="str">
        <f t="shared" si="110"/>
        <v/>
      </c>
      <c r="AP102" s="22" t="str">
        <f t="shared" si="110"/>
        <v/>
      </c>
      <c r="AQ102" s="22" t="str">
        <f t="shared" si="110"/>
        <v/>
      </c>
      <c r="AR102" s="22" t="str">
        <f t="shared" si="110"/>
        <v/>
      </c>
      <c r="AS102" s="22" t="str">
        <f t="shared" si="110"/>
        <v/>
      </c>
      <c r="AT102" s="22" t="str">
        <f t="shared" si="110"/>
        <v/>
      </c>
      <c r="AU102" s="22" t="str">
        <f t="shared" si="110"/>
        <v/>
      </c>
    </row>
    <row r="103" spans="1:47">
      <c r="A103" s="21" t="s">
        <v>25</v>
      </c>
      <c r="B103" s="191"/>
      <c r="C103" s="191"/>
      <c r="D103" s="22">
        <f t="shared" si="100"/>
        <v>989.19047475803916</v>
      </c>
      <c r="E103" s="22">
        <f t="shared" si="101"/>
        <v>1062.823710190595</v>
      </c>
      <c r="F103" s="22">
        <f t="shared" si="102"/>
        <v>1136.4569456231507</v>
      </c>
      <c r="G103" s="22">
        <f t="shared" si="103"/>
        <v>49.088823621703874</v>
      </c>
      <c r="P103" s="22">
        <f t="shared" ref="P103" si="111">IF(COUNT(P96:P102)=0,"",MIN(P96:P102))</f>
        <v>1088.7845306229149</v>
      </c>
      <c r="Q103" s="22">
        <f t="shared" ref="Q103:AU103" si="112">IF(COUNT(Q96:Q102)=0,"",MIN(Q96:Q102))</f>
        <v>1110.5091216332694</v>
      </c>
      <c r="R103" s="22">
        <f t="shared" si="112"/>
        <v>1105.1459285686342</v>
      </c>
      <c r="S103" s="22">
        <f t="shared" si="112"/>
        <v>1060.2987385658398</v>
      </c>
      <c r="T103" s="22">
        <f t="shared" si="112"/>
        <v>1026.9399564922726</v>
      </c>
      <c r="U103" s="22">
        <f t="shared" si="112"/>
        <v>985.26398526063986</v>
      </c>
      <c r="V103" s="22" t="str">
        <f t="shared" si="112"/>
        <v/>
      </c>
      <c r="W103" s="22" t="str">
        <f t="shared" si="112"/>
        <v/>
      </c>
      <c r="X103" s="22" t="str">
        <f t="shared" si="112"/>
        <v/>
      </c>
      <c r="Y103" s="22" t="str">
        <f t="shared" si="112"/>
        <v/>
      </c>
      <c r="Z103" s="22" t="str">
        <f t="shared" si="112"/>
        <v/>
      </c>
      <c r="AA103" s="22" t="str">
        <f t="shared" si="112"/>
        <v/>
      </c>
      <c r="AB103" s="22" t="str">
        <f t="shared" si="112"/>
        <v/>
      </c>
      <c r="AC103" s="22" t="str">
        <f t="shared" si="112"/>
        <v/>
      </c>
      <c r="AD103" s="22" t="str">
        <f t="shared" si="112"/>
        <v/>
      </c>
      <c r="AE103" s="22" t="str">
        <f t="shared" si="112"/>
        <v/>
      </c>
      <c r="AF103" s="22" t="str">
        <f t="shared" si="112"/>
        <v/>
      </c>
      <c r="AG103" s="22" t="str">
        <f t="shared" si="112"/>
        <v/>
      </c>
      <c r="AH103" s="22" t="str">
        <f t="shared" si="112"/>
        <v/>
      </c>
      <c r="AI103" s="22" t="str">
        <f t="shared" si="112"/>
        <v/>
      </c>
      <c r="AJ103" s="22" t="str">
        <f t="shared" si="112"/>
        <v/>
      </c>
      <c r="AK103" s="22" t="str">
        <f t="shared" si="112"/>
        <v/>
      </c>
      <c r="AL103" s="22" t="str">
        <f t="shared" si="112"/>
        <v/>
      </c>
      <c r="AM103" s="22" t="str">
        <f t="shared" si="112"/>
        <v/>
      </c>
      <c r="AN103" s="22" t="str">
        <f t="shared" si="112"/>
        <v/>
      </c>
      <c r="AO103" s="22" t="str">
        <f t="shared" si="112"/>
        <v/>
      </c>
      <c r="AP103" s="22" t="str">
        <f t="shared" si="112"/>
        <v/>
      </c>
      <c r="AQ103" s="22" t="str">
        <f t="shared" si="112"/>
        <v/>
      </c>
      <c r="AR103" s="22" t="str">
        <f t="shared" si="112"/>
        <v/>
      </c>
      <c r="AS103" s="22" t="str">
        <f t="shared" si="112"/>
        <v/>
      </c>
      <c r="AT103" s="22" t="str">
        <f t="shared" si="112"/>
        <v/>
      </c>
      <c r="AU103" s="22" t="str">
        <f t="shared" si="112"/>
        <v/>
      </c>
    </row>
    <row r="104" spans="1:47">
      <c r="A104" s="21" t="s">
        <v>24</v>
      </c>
      <c r="B104" s="191"/>
      <c r="C104" s="191"/>
      <c r="D104" s="22">
        <f t="shared" si="100"/>
        <v>989.19047475803916</v>
      </c>
      <c r="E104" s="22">
        <f t="shared" si="101"/>
        <v>1062.823710190595</v>
      </c>
      <c r="F104" s="22">
        <f t="shared" si="102"/>
        <v>1136.4569456231507</v>
      </c>
      <c r="G104" s="22">
        <f t="shared" si="103"/>
        <v>49.088823621703874</v>
      </c>
      <c r="P104" s="22">
        <f t="shared" ref="P104" si="113">IF(COUNT(P96:P102)=0,"",MAX(P96:P102))</f>
        <v>1088.7845306229149</v>
      </c>
      <c r="Q104" s="22">
        <f t="shared" ref="Q104:AU104" si="114">IF(COUNT(Q96:Q102)=0,"",MAX(Q96:Q102))</f>
        <v>1110.5091216332694</v>
      </c>
      <c r="R104" s="22">
        <f t="shared" si="114"/>
        <v>1105.1459285686342</v>
      </c>
      <c r="S104" s="22">
        <f t="shared" si="114"/>
        <v>1060.2987385658398</v>
      </c>
      <c r="T104" s="22">
        <f t="shared" si="114"/>
        <v>1026.9399564922726</v>
      </c>
      <c r="U104" s="22">
        <f t="shared" si="114"/>
        <v>985.26398526063986</v>
      </c>
      <c r="V104" s="22" t="str">
        <f t="shared" si="114"/>
        <v/>
      </c>
      <c r="W104" s="22" t="str">
        <f t="shared" si="114"/>
        <v/>
      </c>
      <c r="X104" s="22" t="str">
        <f t="shared" si="114"/>
        <v/>
      </c>
      <c r="Y104" s="22" t="str">
        <f t="shared" si="114"/>
        <v/>
      </c>
      <c r="Z104" s="22" t="str">
        <f t="shared" si="114"/>
        <v/>
      </c>
      <c r="AA104" s="22" t="str">
        <f t="shared" si="114"/>
        <v/>
      </c>
      <c r="AB104" s="22" t="str">
        <f t="shared" si="114"/>
        <v/>
      </c>
      <c r="AC104" s="22" t="str">
        <f t="shared" si="114"/>
        <v/>
      </c>
      <c r="AD104" s="22" t="str">
        <f t="shared" si="114"/>
        <v/>
      </c>
      <c r="AE104" s="22" t="str">
        <f t="shared" si="114"/>
        <v/>
      </c>
      <c r="AF104" s="22" t="str">
        <f t="shared" si="114"/>
        <v/>
      </c>
      <c r="AG104" s="22" t="str">
        <f t="shared" si="114"/>
        <v/>
      </c>
      <c r="AH104" s="22" t="str">
        <f t="shared" si="114"/>
        <v/>
      </c>
      <c r="AI104" s="22" t="str">
        <f t="shared" si="114"/>
        <v/>
      </c>
      <c r="AJ104" s="22" t="str">
        <f t="shared" si="114"/>
        <v/>
      </c>
      <c r="AK104" s="22" t="str">
        <f t="shared" si="114"/>
        <v/>
      </c>
      <c r="AL104" s="22" t="str">
        <f t="shared" si="114"/>
        <v/>
      </c>
      <c r="AM104" s="22" t="str">
        <f t="shared" si="114"/>
        <v/>
      </c>
      <c r="AN104" s="22" t="str">
        <f t="shared" si="114"/>
        <v/>
      </c>
      <c r="AO104" s="22" t="str">
        <f t="shared" si="114"/>
        <v/>
      </c>
      <c r="AP104" s="22" t="str">
        <f t="shared" si="114"/>
        <v/>
      </c>
      <c r="AQ104" s="22" t="str">
        <f t="shared" si="114"/>
        <v/>
      </c>
      <c r="AR104" s="22" t="str">
        <f t="shared" si="114"/>
        <v/>
      </c>
      <c r="AS104" s="22" t="str">
        <f t="shared" si="114"/>
        <v/>
      </c>
      <c r="AT104" s="22" t="str">
        <f t="shared" si="114"/>
        <v/>
      </c>
      <c r="AU104" s="22" t="str">
        <f t="shared" si="114"/>
        <v/>
      </c>
    </row>
    <row r="105" spans="1:47">
      <c r="A105" s="21" t="s">
        <v>36</v>
      </c>
      <c r="B105" s="191"/>
      <c r="C105" s="191"/>
      <c r="D105" s="22">
        <f t="shared" si="100"/>
        <v>989.19047475803916</v>
      </c>
      <c r="E105" s="22">
        <f t="shared" si="101"/>
        <v>1062.823710190595</v>
      </c>
      <c r="F105" s="22">
        <f t="shared" si="102"/>
        <v>1136.4569456231507</v>
      </c>
      <c r="G105" s="22">
        <f t="shared" si="103"/>
        <v>49.088823621703874</v>
      </c>
      <c r="P105" s="22">
        <f t="shared" ref="P105" si="115">IF(COUNT(P103:P104)=0,"",(P104+P103)/2)</f>
        <v>1088.7845306229149</v>
      </c>
      <c r="Q105" s="22">
        <f t="shared" ref="Q105:AU105" si="116">IF(COUNT(Q103:Q104)=0,"",(Q104+Q103)/2)</f>
        <v>1110.5091216332694</v>
      </c>
      <c r="R105" s="22">
        <f t="shared" si="116"/>
        <v>1105.1459285686342</v>
      </c>
      <c r="S105" s="22">
        <f t="shared" si="116"/>
        <v>1060.2987385658398</v>
      </c>
      <c r="T105" s="22">
        <f t="shared" si="116"/>
        <v>1026.9399564922726</v>
      </c>
      <c r="U105" s="22">
        <f t="shared" si="116"/>
        <v>985.26398526063986</v>
      </c>
      <c r="V105" s="22" t="str">
        <f t="shared" si="116"/>
        <v/>
      </c>
      <c r="W105" s="22" t="str">
        <f t="shared" si="116"/>
        <v/>
      </c>
      <c r="X105" s="22" t="str">
        <f t="shared" si="116"/>
        <v/>
      </c>
      <c r="Y105" s="22" t="str">
        <f t="shared" si="116"/>
        <v/>
      </c>
      <c r="Z105" s="22" t="str">
        <f t="shared" si="116"/>
        <v/>
      </c>
      <c r="AA105" s="22" t="str">
        <f t="shared" si="116"/>
        <v/>
      </c>
      <c r="AB105" s="22" t="str">
        <f t="shared" si="116"/>
        <v/>
      </c>
      <c r="AC105" s="22" t="str">
        <f t="shared" si="116"/>
        <v/>
      </c>
      <c r="AD105" s="22" t="str">
        <f t="shared" si="116"/>
        <v/>
      </c>
      <c r="AE105" s="22" t="str">
        <f t="shared" si="116"/>
        <v/>
      </c>
      <c r="AF105" s="22" t="str">
        <f t="shared" si="116"/>
        <v/>
      </c>
      <c r="AG105" s="22" t="str">
        <f t="shared" si="116"/>
        <v/>
      </c>
      <c r="AH105" s="22" t="str">
        <f t="shared" si="116"/>
        <v/>
      </c>
      <c r="AI105" s="22" t="str">
        <f t="shared" si="116"/>
        <v/>
      </c>
      <c r="AJ105" s="22" t="str">
        <f t="shared" si="116"/>
        <v/>
      </c>
      <c r="AK105" s="22" t="str">
        <f t="shared" si="116"/>
        <v/>
      </c>
      <c r="AL105" s="22" t="str">
        <f t="shared" si="116"/>
        <v/>
      </c>
      <c r="AM105" s="22" t="str">
        <f t="shared" si="116"/>
        <v/>
      </c>
      <c r="AN105" s="22" t="str">
        <f t="shared" si="116"/>
        <v/>
      </c>
      <c r="AO105" s="22" t="str">
        <f t="shared" si="116"/>
        <v/>
      </c>
      <c r="AP105" s="22" t="str">
        <f t="shared" si="116"/>
        <v/>
      </c>
      <c r="AQ105" s="22" t="str">
        <f t="shared" si="116"/>
        <v/>
      </c>
      <c r="AR105" s="22" t="str">
        <f t="shared" si="116"/>
        <v/>
      </c>
      <c r="AS105" s="22" t="str">
        <f t="shared" si="116"/>
        <v/>
      </c>
      <c r="AT105" s="22" t="str">
        <f t="shared" si="116"/>
        <v/>
      </c>
      <c r="AU105" s="22" t="str">
        <f t="shared" si="116"/>
        <v/>
      </c>
    </row>
    <row r="106" spans="1:47">
      <c r="A106" s="21" t="s">
        <v>12</v>
      </c>
      <c r="B106" s="191"/>
      <c r="C106" s="191"/>
      <c r="D106" s="27">
        <f t="shared" si="100"/>
        <v>-1.0809525241957579E-2</v>
      </c>
      <c r="E106" s="27">
        <f>IF(COUNT(P106:AU106)=0,"",AVERAGE(P106:AU106))</f>
        <v>6.2823710190595128E-2</v>
      </c>
      <c r="F106" s="27">
        <f t="shared" si="102"/>
        <v>0.13645694562314784</v>
      </c>
      <c r="G106" s="27">
        <f>IF(COUNT(P106:AU106)=0,"",STDEV(P106:AU106))</f>
        <v>4.9088823621701805E-2</v>
      </c>
      <c r="I106" s="49">
        <v>1</v>
      </c>
      <c r="J106" s="49">
        <v>1</v>
      </c>
      <c r="K106" s="26">
        <f>INDEX(calTable,I106,J106)</f>
        <v>1000</v>
      </c>
      <c r="P106" s="27">
        <f>IF(COUNT(P105)=0,"",P105/$K106-1)</f>
        <v>8.8784530622914914E-2</v>
      </c>
      <c r="Q106" s="27">
        <f t="shared" ref="Q106:AU106" si="117">IF(COUNT(Q105)=0,"",Q105/$K106-1)</f>
        <v>0.11050912163326942</v>
      </c>
      <c r="R106" s="27">
        <f>IF(COUNT(R105)=0,"",R105/$K106-1)</f>
        <v>0.10514592856863425</v>
      </c>
      <c r="S106" s="27">
        <f t="shared" si="117"/>
        <v>6.0298738565839782E-2</v>
      </c>
      <c r="T106" s="27">
        <f t="shared" si="117"/>
        <v>2.6939956492272543E-2</v>
      </c>
      <c r="U106" s="27">
        <f t="shared" si="117"/>
        <v>-1.4736014739360148E-2</v>
      </c>
      <c r="V106" s="27" t="str">
        <f t="shared" si="117"/>
        <v/>
      </c>
      <c r="W106" s="27" t="str">
        <f t="shared" si="117"/>
        <v/>
      </c>
      <c r="X106" s="27" t="str">
        <f t="shared" si="117"/>
        <v/>
      </c>
      <c r="Y106" s="27" t="str">
        <f t="shared" si="117"/>
        <v/>
      </c>
      <c r="Z106" s="27" t="str">
        <f t="shared" si="117"/>
        <v/>
      </c>
      <c r="AA106" s="27" t="str">
        <f t="shared" si="117"/>
        <v/>
      </c>
      <c r="AB106" s="27" t="str">
        <f t="shared" si="117"/>
        <v/>
      </c>
      <c r="AC106" s="27" t="str">
        <f t="shared" si="117"/>
        <v/>
      </c>
      <c r="AD106" s="27" t="str">
        <f t="shared" si="117"/>
        <v/>
      </c>
      <c r="AE106" s="27" t="str">
        <f t="shared" si="117"/>
        <v/>
      </c>
      <c r="AF106" s="27" t="str">
        <f t="shared" si="117"/>
        <v/>
      </c>
      <c r="AG106" s="27" t="str">
        <f t="shared" si="117"/>
        <v/>
      </c>
      <c r="AH106" s="27" t="str">
        <f t="shared" si="117"/>
        <v/>
      </c>
      <c r="AI106" s="27" t="str">
        <f t="shared" si="117"/>
        <v/>
      </c>
      <c r="AJ106" s="27" t="str">
        <f t="shared" si="117"/>
        <v/>
      </c>
      <c r="AK106" s="27" t="str">
        <f t="shared" si="117"/>
        <v/>
      </c>
      <c r="AL106" s="27" t="str">
        <f t="shared" si="117"/>
        <v/>
      </c>
      <c r="AM106" s="27" t="str">
        <f t="shared" si="117"/>
        <v/>
      </c>
      <c r="AN106" s="27" t="str">
        <f t="shared" si="117"/>
        <v/>
      </c>
      <c r="AO106" s="27" t="str">
        <f t="shared" si="117"/>
        <v/>
      </c>
      <c r="AP106" s="27" t="str">
        <f t="shared" si="117"/>
        <v/>
      </c>
      <c r="AQ106" s="27" t="str">
        <f t="shared" si="117"/>
        <v/>
      </c>
      <c r="AR106" s="27" t="str">
        <f t="shared" si="117"/>
        <v/>
      </c>
      <c r="AS106" s="27" t="str">
        <f t="shared" si="117"/>
        <v/>
      </c>
      <c r="AT106" s="27" t="str">
        <f t="shared" si="117"/>
        <v/>
      </c>
      <c r="AU106" s="27" t="str">
        <f t="shared" si="117"/>
        <v/>
      </c>
    </row>
    <row r="107" spans="1:47">
      <c r="A107" s="21" t="s">
        <v>19</v>
      </c>
      <c r="B107" s="191"/>
      <c r="C107" s="191"/>
      <c r="D107" s="27">
        <f t="shared" si="100"/>
        <v>0</v>
      </c>
      <c r="E107" s="27">
        <f>IF(COUNT(P107:AU107)=0,"",AVERAGE(P107:AU107))</f>
        <v>0</v>
      </c>
      <c r="F107" s="30">
        <f t="shared" si="102"/>
        <v>0</v>
      </c>
      <c r="G107" s="27">
        <f>IF(COUNT(P107:AU107)=0,"",STDEV(P107:AU107))</f>
        <v>0</v>
      </c>
      <c r="P107" s="27">
        <f t="shared" ref="P107" si="118">IF(COUNT(P105)=0,"",(P104-P103)/P105)</f>
        <v>0</v>
      </c>
      <c r="Q107" s="27">
        <f t="shared" ref="Q107:AU107" si="119">IF(COUNT(Q105)=0,"",(Q104-Q103)/Q105)</f>
        <v>0</v>
      </c>
      <c r="R107" s="27">
        <f t="shared" si="119"/>
        <v>0</v>
      </c>
      <c r="S107" s="27">
        <f t="shared" si="119"/>
        <v>0</v>
      </c>
      <c r="T107" s="27">
        <f t="shared" si="119"/>
        <v>0</v>
      </c>
      <c r="U107" s="27">
        <f t="shared" si="119"/>
        <v>0</v>
      </c>
      <c r="V107" s="27" t="str">
        <f t="shared" si="119"/>
        <v/>
      </c>
      <c r="W107" s="27" t="str">
        <f t="shared" si="119"/>
        <v/>
      </c>
      <c r="X107" s="27" t="str">
        <f t="shared" si="119"/>
        <v/>
      </c>
      <c r="Y107" s="27" t="str">
        <f t="shared" si="119"/>
        <v/>
      </c>
      <c r="Z107" s="27" t="str">
        <f t="shared" si="119"/>
        <v/>
      </c>
      <c r="AA107" s="27" t="str">
        <f t="shared" si="119"/>
        <v/>
      </c>
      <c r="AB107" s="27" t="str">
        <f t="shared" si="119"/>
        <v/>
      </c>
      <c r="AC107" s="27" t="str">
        <f t="shared" si="119"/>
        <v/>
      </c>
      <c r="AD107" s="27" t="str">
        <f t="shared" si="119"/>
        <v/>
      </c>
      <c r="AE107" s="27" t="str">
        <f t="shared" si="119"/>
        <v/>
      </c>
      <c r="AF107" s="27" t="str">
        <f t="shared" si="119"/>
        <v/>
      </c>
      <c r="AG107" s="27" t="str">
        <f t="shared" si="119"/>
        <v/>
      </c>
      <c r="AH107" s="27" t="str">
        <f t="shared" si="119"/>
        <v/>
      </c>
      <c r="AI107" s="27" t="str">
        <f t="shared" si="119"/>
        <v/>
      </c>
      <c r="AJ107" s="27" t="str">
        <f t="shared" si="119"/>
        <v/>
      </c>
      <c r="AK107" s="27" t="str">
        <f t="shared" si="119"/>
        <v/>
      </c>
      <c r="AL107" s="27" t="str">
        <f t="shared" si="119"/>
        <v/>
      </c>
      <c r="AM107" s="27" t="str">
        <f t="shared" si="119"/>
        <v/>
      </c>
      <c r="AN107" s="27" t="str">
        <f t="shared" si="119"/>
        <v/>
      </c>
      <c r="AO107" s="27" t="str">
        <f t="shared" si="119"/>
        <v/>
      </c>
      <c r="AP107" s="27" t="str">
        <f t="shared" si="119"/>
        <v/>
      </c>
      <c r="AQ107" s="27" t="str">
        <f t="shared" si="119"/>
        <v/>
      </c>
      <c r="AR107" s="27" t="str">
        <f t="shared" si="119"/>
        <v/>
      </c>
      <c r="AS107" s="27" t="str">
        <f t="shared" si="119"/>
        <v/>
      </c>
      <c r="AT107" s="27" t="str">
        <f t="shared" si="119"/>
        <v/>
      </c>
      <c r="AU107" s="27" t="str">
        <f t="shared" si="119"/>
        <v/>
      </c>
    </row>
    <row r="109" spans="1:47">
      <c r="A109" s="124" t="str">
        <f t="shared" ref="A109" si="120">A96</f>
        <v>41F02</v>
      </c>
      <c r="B109" s="191" t="str">
        <f>B96</f>
        <v>P0</v>
      </c>
      <c r="C109" s="191" t="str">
        <f>C4</f>
        <v>Range1</v>
      </c>
      <c r="D109" s="22" t="str">
        <f t="shared" ref="D109:D132" si="121">IF(COUNT(P109:AU109)=0,"",E109-1.5*G109)</f>
        <v/>
      </c>
      <c r="E109" s="22" t="str">
        <f t="shared" ref="E109:E127" si="122">IF(COUNT(P109:AU109)=0,"",AVERAGE(P109:AU109))</f>
        <v/>
      </c>
      <c r="F109" s="22" t="str">
        <f t="shared" ref="F109:F132" si="123">IF(COUNT(P109:AU109)=0,"",E109+1.5*G109)</f>
        <v/>
      </c>
      <c r="G109" s="22" t="str">
        <f t="shared" ref="G109:G127" si="124">IF(COUNT(P109:AU109)=0,"",STDEV(P109:AU109))</f>
        <v/>
      </c>
      <c r="H109" s="125">
        <f t="shared" ref="H109:H115" si="125">H96</f>
        <v>3670</v>
      </c>
      <c r="I109" s="125"/>
      <c r="J109" s="125"/>
      <c r="K109" s="125"/>
      <c r="P109" s="22" t="str">
        <f t="shared" ref="P109:AU109" si="126">IF(COUNT(P4)=0,"",P4+_IRM1*P7)</f>
        <v/>
      </c>
      <c r="Q109" s="22" t="str">
        <f t="shared" si="126"/>
        <v/>
      </c>
      <c r="R109" s="22" t="str">
        <f>IF(COUNT(R4)=0,"",R4+_IRM1*R7)</f>
        <v/>
      </c>
      <c r="S109" s="22" t="str">
        <f t="shared" si="126"/>
        <v/>
      </c>
      <c r="T109" s="22" t="str">
        <f t="shared" si="126"/>
        <v/>
      </c>
      <c r="U109" s="22" t="str">
        <f t="shared" si="126"/>
        <v/>
      </c>
      <c r="V109" s="22" t="str">
        <f t="shared" si="126"/>
        <v/>
      </c>
      <c r="W109" s="22" t="str">
        <f t="shared" si="126"/>
        <v/>
      </c>
      <c r="X109" s="22" t="str">
        <f t="shared" si="126"/>
        <v/>
      </c>
      <c r="Y109" s="22" t="str">
        <f t="shared" si="126"/>
        <v/>
      </c>
      <c r="Z109" s="22" t="str">
        <f t="shared" si="126"/>
        <v/>
      </c>
      <c r="AA109" s="22" t="str">
        <f t="shared" si="126"/>
        <v/>
      </c>
      <c r="AB109" s="22" t="str">
        <f t="shared" si="126"/>
        <v/>
      </c>
      <c r="AC109" s="22" t="str">
        <f t="shared" si="126"/>
        <v/>
      </c>
      <c r="AD109" s="22" t="str">
        <f t="shared" si="126"/>
        <v/>
      </c>
      <c r="AE109" s="22" t="str">
        <f t="shared" si="126"/>
        <v/>
      </c>
      <c r="AF109" s="22" t="str">
        <f t="shared" si="126"/>
        <v/>
      </c>
      <c r="AG109" s="22" t="str">
        <f t="shared" si="126"/>
        <v/>
      </c>
      <c r="AH109" s="22" t="str">
        <f t="shared" si="126"/>
        <v/>
      </c>
      <c r="AI109" s="22" t="str">
        <f t="shared" si="126"/>
        <v/>
      </c>
      <c r="AJ109" s="22" t="str">
        <f t="shared" si="126"/>
        <v/>
      </c>
      <c r="AK109" s="22" t="str">
        <f t="shared" si="126"/>
        <v/>
      </c>
      <c r="AL109" s="22" t="str">
        <f t="shared" si="126"/>
        <v/>
      </c>
      <c r="AM109" s="22" t="str">
        <f t="shared" si="126"/>
        <v/>
      </c>
      <c r="AN109" s="22" t="str">
        <f t="shared" si="126"/>
        <v/>
      </c>
      <c r="AO109" s="22" t="str">
        <f t="shared" si="126"/>
        <v/>
      </c>
      <c r="AP109" s="22" t="str">
        <f t="shared" si="126"/>
        <v/>
      </c>
      <c r="AQ109" s="22" t="str">
        <f t="shared" si="126"/>
        <v/>
      </c>
      <c r="AR109" s="22" t="str">
        <f t="shared" si="126"/>
        <v/>
      </c>
      <c r="AS109" s="22" t="str">
        <f t="shared" si="126"/>
        <v/>
      </c>
      <c r="AT109" s="22" t="str">
        <f t="shared" si="126"/>
        <v/>
      </c>
      <c r="AU109" s="22" t="str">
        <f t="shared" si="126"/>
        <v/>
      </c>
    </row>
    <row r="110" spans="1:47">
      <c r="A110" s="21" t="str">
        <f t="shared" ref="A110:A115" si="127">A97</f>
        <v>55F02</v>
      </c>
      <c r="B110" s="191"/>
      <c r="C110" s="191"/>
      <c r="D110" s="22" t="str">
        <f t="shared" si="121"/>
        <v/>
      </c>
      <c r="E110" s="22" t="str">
        <f t="shared" si="122"/>
        <v/>
      </c>
      <c r="F110" s="22" t="str">
        <f t="shared" si="123"/>
        <v/>
      </c>
      <c r="G110" s="22" t="str">
        <f t="shared" si="124"/>
        <v/>
      </c>
      <c r="H110" s="49">
        <f t="shared" si="125"/>
        <v>4430</v>
      </c>
      <c r="P110" s="22" t="str">
        <f t="shared" ref="P110:AU110" si="128">IF(COUNT(P16)=0,"",P16+_IRM1*P19)</f>
        <v/>
      </c>
      <c r="Q110" s="22" t="str">
        <f t="shared" si="128"/>
        <v/>
      </c>
      <c r="R110" s="22" t="str">
        <f t="shared" si="128"/>
        <v/>
      </c>
      <c r="S110" s="22" t="str">
        <f t="shared" si="128"/>
        <v/>
      </c>
      <c r="T110" s="22" t="str">
        <f t="shared" si="128"/>
        <v/>
      </c>
      <c r="U110" s="22" t="str">
        <f t="shared" si="128"/>
        <v/>
      </c>
      <c r="V110" s="22" t="str">
        <f t="shared" si="128"/>
        <v/>
      </c>
      <c r="W110" s="22" t="str">
        <f t="shared" si="128"/>
        <v/>
      </c>
      <c r="X110" s="22" t="str">
        <f t="shared" si="128"/>
        <v/>
      </c>
      <c r="Y110" s="22" t="str">
        <f t="shared" si="128"/>
        <v/>
      </c>
      <c r="Z110" s="22" t="str">
        <f t="shared" si="128"/>
        <v/>
      </c>
      <c r="AA110" s="22" t="str">
        <f t="shared" si="128"/>
        <v/>
      </c>
      <c r="AB110" s="22" t="str">
        <f t="shared" si="128"/>
        <v/>
      </c>
      <c r="AC110" s="22" t="str">
        <f t="shared" si="128"/>
        <v/>
      </c>
      <c r="AD110" s="22" t="str">
        <f t="shared" si="128"/>
        <v/>
      </c>
      <c r="AE110" s="22" t="str">
        <f t="shared" si="128"/>
        <v/>
      </c>
      <c r="AF110" s="22" t="str">
        <f t="shared" si="128"/>
        <v/>
      </c>
      <c r="AG110" s="22" t="str">
        <f t="shared" si="128"/>
        <v/>
      </c>
      <c r="AH110" s="22" t="str">
        <f t="shared" si="128"/>
        <v/>
      </c>
      <c r="AI110" s="22" t="str">
        <f t="shared" si="128"/>
        <v/>
      </c>
      <c r="AJ110" s="22" t="str">
        <f t="shared" si="128"/>
        <v/>
      </c>
      <c r="AK110" s="22" t="str">
        <f t="shared" si="128"/>
        <v/>
      </c>
      <c r="AL110" s="22" t="str">
        <f t="shared" si="128"/>
        <v/>
      </c>
      <c r="AM110" s="22" t="str">
        <f t="shared" si="128"/>
        <v/>
      </c>
      <c r="AN110" s="22" t="str">
        <f t="shared" si="128"/>
        <v/>
      </c>
      <c r="AO110" s="22" t="str">
        <f t="shared" si="128"/>
        <v/>
      </c>
      <c r="AP110" s="22" t="str">
        <f t="shared" si="128"/>
        <v/>
      </c>
      <c r="AQ110" s="22" t="str">
        <f t="shared" si="128"/>
        <v/>
      </c>
      <c r="AR110" s="22" t="str">
        <f t="shared" si="128"/>
        <v/>
      </c>
      <c r="AS110" s="22" t="str">
        <f t="shared" si="128"/>
        <v/>
      </c>
      <c r="AT110" s="22" t="str">
        <f t="shared" si="128"/>
        <v/>
      </c>
      <c r="AU110" s="22" t="str">
        <f t="shared" si="128"/>
        <v/>
      </c>
    </row>
    <row r="111" spans="1:47">
      <c r="A111" s="21" t="str">
        <f t="shared" si="127"/>
        <v>65F01</v>
      </c>
      <c r="B111" s="191"/>
      <c r="C111" s="191"/>
      <c r="D111" s="22" t="str">
        <f t="shared" si="121"/>
        <v/>
      </c>
      <c r="E111" s="22" t="str">
        <f t="shared" si="122"/>
        <v/>
      </c>
      <c r="F111" s="22" t="str">
        <f t="shared" si="123"/>
        <v/>
      </c>
      <c r="G111" s="22" t="str">
        <f t="shared" si="124"/>
        <v/>
      </c>
      <c r="H111" s="49">
        <f t="shared" si="125"/>
        <v>6110</v>
      </c>
      <c r="P111" s="22" t="str">
        <f t="shared" ref="P111:AU111" si="129">IF(COUNT(P28)=0,"",P28+_IRM1*P31)</f>
        <v/>
      </c>
      <c r="Q111" s="22" t="str">
        <f t="shared" si="129"/>
        <v/>
      </c>
      <c r="R111" s="22" t="str">
        <f t="shared" si="129"/>
        <v/>
      </c>
      <c r="S111" s="22" t="str">
        <f t="shared" si="129"/>
        <v/>
      </c>
      <c r="T111" s="22" t="str">
        <f t="shared" si="129"/>
        <v/>
      </c>
      <c r="U111" s="22" t="str">
        <f t="shared" si="129"/>
        <v/>
      </c>
      <c r="V111" s="22" t="str">
        <f t="shared" si="129"/>
        <v/>
      </c>
      <c r="W111" s="22" t="str">
        <f t="shared" si="129"/>
        <v/>
      </c>
      <c r="X111" s="22" t="str">
        <f t="shared" si="129"/>
        <v/>
      </c>
      <c r="Y111" s="22" t="str">
        <f t="shared" si="129"/>
        <v/>
      </c>
      <c r="Z111" s="22" t="str">
        <f t="shared" si="129"/>
        <v/>
      </c>
      <c r="AA111" s="22" t="str">
        <f t="shared" si="129"/>
        <v/>
      </c>
      <c r="AB111" s="22" t="str">
        <f t="shared" si="129"/>
        <v/>
      </c>
      <c r="AC111" s="22" t="str">
        <f t="shared" si="129"/>
        <v/>
      </c>
      <c r="AD111" s="22" t="str">
        <f t="shared" si="129"/>
        <v/>
      </c>
      <c r="AE111" s="22" t="str">
        <f t="shared" si="129"/>
        <v/>
      </c>
      <c r="AF111" s="22" t="str">
        <f t="shared" si="129"/>
        <v/>
      </c>
      <c r="AG111" s="22" t="str">
        <f t="shared" si="129"/>
        <v/>
      </c>
      <c r="AH111" s="22" t="str">
        <f t="shared" si="129"/>
        <v/>
      </c>
      <c r="AI111" s="22" t="str">
        <f t="shared" si="129"/>
        <v/>
      </c>
      <c r="AJ111" s="22" t="str">
        <f t="shared" si="129"/>
        <v/>
      </c>
      <c r="AK111" s="22" t="str">
        <f t="shared" si="129"/>
        <v/>
      </c>
      <c r="AL111" s="22" t="str">
        <f t="shared" si="129"/>
        <v/>
      </c>
      <c r="AM111" s="22" t="str">
        <f t="shared" si="129"/>
        <v/>
      </c>
      <c r="AN111" s="22" t="str">
        <f t="shared" si="129"/>
        <v/>
      </c>
      <c r="AO111" s="22" t="str">
        <f t="shared" si="129"/>
        <v/>
      </c>
      <c r="AP111" s="22" t="str">
        <f t="shared" si="129"/>
        <v/>
      </c>
      <c r="AQ111" s="22" t="str">
        <f t="shared" si="129"/>
        <v/>
      </c>
      <c r="AR111" s="22" t="str">
        <f t="shared" si="129"/>
        <v/>
      </c>
      <c r="AS111" s="22" t="str">
        <f t="shared" si="129"/>
        <v/>
      </c>
      <c r="AT111" s="22" t="str">
        <f t="shared" si="129"/>
        <v/>
      </c>
      <c r="AU111" s="22" t="str">
        <f t="shared" si="129"/>
        <v/>
      </c>
    </row>
    <row r="112" spans="1:47">
      <c r="A112" s="21" t="str">
        <f t="shared" si="127"/>
        <v>2700K</v>
      </c>
      <c r="B112" s="191"/>
      <c r="C112" s="191"/>
      <c r="D112" s="22" t="str">
        <f t="shared" si="121"/>
        <v/>
      </c>
      <c r="E112" s="22" t="str">
        <f t="shared" si="122"/>
        <v/>
      </c>
      <c r="F112" s="22" t="str">
        <f t="shared" si="123"/>
        <v/>
      </c>
      <c r="G112" s="22" t="str">
        <f t="shared" si="124"/>
        <v/>
      </c>
      <c r="H112" s="49">
        <f t="shared" si="125"/>
        <v>2700</v>
      </c>
      <c r="P112" s="22" t="str">
        <f t="shared" ref="P112:AU112" si="130">IF(COUNT(P40)=0,"",P40+_IRM1*P43)</f>
        <v/>
      </c>
      <c r="Q112" s="22" t="str">
        <f t="shared" si="130"/>
        <v/>
      </c>
      <c r="R112" s="22" t="str">
        <f t="shared" si="130"/>
        <v/>
      </c>
      <c r="S112" s="22" t="str">
        <f t="shared" si="130"/>
        <v/>
      </c>
      <c r="T112" s="22" t="str">
        <f t="shared" si="130"/>
        <v/>
      </c>
      <c r="U112" s="22" t="str">
        <f t="shared" si="130"/>
        <v/>
      </c>
      <c r="V112" s="22" t="str">
        <f t="shared" si="130"/>
        <v/>
      </c>
      <c r="W112" s="22" t="str">
        <f t="shared" si="130"/>
        <v/>
      </c>
      <c r="X112" s="22" t="str">
        <f t="shared" si="130"/>
        <v/>
      </c>
      <c r="Y112" s="22" t="str">
        <f t="shared" si="130"/>
        <v/>
      </c>
      <c r="Z112" s="22" t="str">
        <f t="shared" si="130"/>
        <v/>
      </c>
      <c r="AA112" s="22" t="str">
        <f t="shared" si="130"/>
        <v/>
      </c>
      <c r="AB112" s="22" t="str">
        <f t="shared" si="130"/>
        <v/>
      </c>
      <c r="AC112" s="22" t="str">
        <f t="shared" si="130"/>
        <v/>
      </c>
      <c r="AD112" s="22" t="str">
        <f t="shared" si="130"/>
        <v/>
      </c>
      <c r="AE112" s="22" t="str">
        <f t="shared" si="130"/>
        <v/>
      </c>
      <c r="AF112" s="22" t="str">
        <f t="shared" si="130"/>
        <v/>
      </c>
      <c r="AG112" s="22" t="str">
        <f t="shared" si="130"/>
        <v/>
      </c>
      <c r="AH112" s="22" t="str">
        <f t="shared" si="130"/>
        <v/>
      </c>
      <c r="AI112" s="22" t="str">
        <f t="shared" si="130"/>
        <v/>
      </c>
      <c r="AJ112" s="22" t="str">
        <f t="shared" si="130"/>
        <v/>
      </c>
      <c r="AK112" s="22" t="str">
        <f t="shared" si="130"/>
        <v/>
      </c>
      <c r="AL112" s="22" t="str">
        <f t="shared" si="130"/>
        <v/>
      </c>
      <c r="AM112" s="22" t="str">
        <f t="shared" si="130"/>
        <v/>
      </c>
      <c r="AN112" s="22" t="str">
        <f t="shared" si="130"/>
        <v/>
      </c>
      <c r="AO112" s="22" t="str">
        <f t="shared" si="130"/>
        <v/>
      </c>
      <c r="AP112" s="22" t="str">
        <f t="shared" si="130"/>
        <v/>
      </c>
      <c r="AQ112" s="22" t="str">
        <f t="shared" si="130"/>
        <v/>
      </c>
      <c r="AR112" s="22" t="str">
        <f t="shared" si="130"/>
        <v/>
      </c>
      <c r="AS112" s="22" t="str">
        <f t="shared" si="130"/>
        <v/>
      </c>
      <c r="AT112" s="22" t="str">
        <f t="shared" si="130"/>
        <v/>
      </c>
      <c r="AU112" s="22" t="str">
        <f t="shared" si="130"/>
        <v/>
      </c>
    </row>
    <row r="113" spans="1:47">
      <c r="A113" s="21" t="str">
        <f t="shared" si="127"/>
        <v>3200K</v>
      </c>
      <c r="B113" s="191"/>
      <c r="C113" s="191"/>
      <c r="D113" s="22">
        <f t="shared" si="121"/>
        <v>1019.4055098181449</v>
      </c>
      <c r="E113" s="22">
        <f t="shared" si="122"/>
        <v>1084.5877962332645</v>
      </c>
      <c r="F113" s="22">
        <f t="shared" si="123"/>
        <v>1149.7700826483842</v>
      </c>
      <c r="G113" s="22">
        <f t="shared" si="124"/>
        <v>43.454857610079742</v>
      </c>
      <c r="H113" s="49">
        <f t="shared" si="125"/>
        <v>3200</v>
      </c>
      <c r="P113" s="22">
        <f t="shared" ref="P113:AU113" si="131">IF(COUNT(P52)=0,"",P52+_IRM1*P55)</f>
        <v>1087.9928875487219</v>
      </c>
      <c r="Q113" s="22">
        <f t="shared" si="131"/>
        <v>1121.0781084425789</v>
      </c>
      <c r="R113" s="22">
        <f t="shared" si="131"/>
        <v>1128.9097410268914</v>
      </c>
      <c r="S113" s="22">
        <f t="shared" si="131"/>
        <v>1101.7789770637944</v>
      </c>
      <c r="T113" s="22">
        <f t="shared" si="131"/>
        <v>1052.5472576647544</v>
      </c>
      <c r="U113" s="22">
        <f t="shared" si="131"/>
        <v>1015.2198056528449</v>
      </c>
      <c r="V113" s="22" t="str">
        <f t="shared" si="131"/>
        <v/>
      </c>
      <c r="W113" s="22" t="str">
        <f t="shared" si="131"/>
        <v/>
      </c>
      <c r="X113" s="22" t="str">
        <f t="shared" si="131"/>
        <v/>
      </c>
      <c r="Y113" s="22" t="str">
        <f t="shared" si="131"/>
        <v/>
      </c>
      <c r="Z113" s="22" t="str">
        <f t="shared" si="131"/>
        <v/>
      </c>
      <c r="AA113" s="22" t="str">
        <f t="shared" si="131"/>
        <v/>
      </c>
      <c r="AB113" s="22" t="str">
        <f t="shared" si="131"/>
        <v/>
      </c>
      <c r="AC113" s="22" t="str">
        <f t="shared" si="131"/>
        <v/>
      </c>
      <c r="AD113" s="22" t="str">
        <f t="shared" si="131"/>
        <v/>
      </c>
      <c r="AE113" s="22" t="str">
        <f t="shared" si="131"/>
        <v/>
      </c>
      <c r="AF113" s="22" t="str">
        <f t="shared" si="131"/>
        <v/>
      </c>
      <c r="AG113" s="22" t="str">
        <f t="shared" si="131"/>
        <v/>
      </c>
      <c r="AH113" s="22" t="str">
        <f t="shared" si="131"/>
        <v/>
      </c>
      <c r="AI113" s="22" t="str">
        <f t="shared" si="131"/>
        <v/>
      </c>
      <c r="AJ113" s="22" t="str">
        <f t="shared" si="131"/>
        <v/>
      </c>
      <c r="AK113" s="22" t="str">
        <f t="shared" si="131"/>
        <v/>
      </c>
      <c r="AL113" s="22" t="str">
        <f t="shared" si="131"/>
        <v/>
      </c>
      <c r="AM113" s="22" t="str">
        <f t="shared" si="131"/>
        <v/>
      </c>
      <c r="AN113" s="22" t="str">
        <f t="shared" si="131"/>
        <v/>
      </c>
      <c r="AO113" s="22" t="str">
        <f t="shared" si="131"/>
        <v/>
      </c>
      <c r="AP113" s="22" t="str">
        <f t="shared" si="131"/>
        <v/>
      </c>
      <c r="AQ113" s="22" t="str">
        <f t="shared" si="131"/>
        <v/>
      </c>
      <c r="AR113" s="22" t="str">
        <f t="shared" si="131"/>
        <v/>
      </c>
      <c r="AS113" s="22" t="str">
        <f t="shared" si="131"/>
        <v/>
      </c>
      <c r="AT113" s="22" t="str">
        <f t="shared" si="131"/>
        <v/>
      </c>
      <c r="AU113" s="22" t="str">
        <f t="shared" si="131"/>
        <v/>
      </c>
    </row>
    <row r="114" spans="1:47">
      <c r="A114" s="21" t="str">
        <f t="shared" si="127"/>
        <v>5500K</v>
      </c>
      <c r="B114" s="191"/>
      <c r="C114" s="191"/>
      <c r="D114" s="22" t="str">
        <f t="shared" si="121"/>
        <v/>
      </c>
      <c r="E114" s="22" t="str">
        <f t="shared" si="122"/>
        <v/>
      </c>
      <c r="F114" s="22" t="str">
        <f t="shared" si="123"/>
        <v/>
      </c>
      <c r="G114" s="22" t="str">
        <f t="shared" si="124"/>
        <v/>
      </c>
      <c r="H114" s="49">
        <f t="shared" si="125"/>
        <v>5500</v>
      </c>
      <c r="P114" s="22" t="str">
        <f t="shared" ref="P114:AU114" si="132">IF(COUNT(P64)=0,"",P64+_IRM1*P67)</f>
        <v/>
      </c>
      <c r="Q114" s="22" t="str">
        <f t="shared" si="132"/>
        <v/>
      </c>
      <c r="R114" s="22" t="str">
        <f t="shared" si="132"/>
        <v/>
      </c>
      <c r="S114" s="22" t="str">
        <f t="shared" si="132"/>
        <v/>
      </c>
      <c r="T114" s="22" t="str">
        <f t="shared" si="132"/>
        <v/>
      </c>
      <c r="U114" s="22" t="str">
        <f t="shared" si="132"/>
        <v/>
      </c>
      <c r="V114" s="22" t="str">
        <f t="shared" si="132"/>
        <v/>
      </c>
      <c r="W114" s="22" t="str">
        <f t="shared" si="132"/>
        <v/>
      </c>
      <c r="X114" s="22" t="str">
        <f t="shared" si="132"/>
        <v/>
      </c>
      <c r="Y114" s="22" t="str">
        <f t="shared" si="132"/>
        <v/>
      </c>
      <c r="Z114" s="22" t="str">
        <f t="shared" si="132"/>
        <v/>
      </c>
      <c r="AA114" s="22" t="str">
        <f t="shared" si="132"/>
        <v/>
      </c>
      <c r="AB114" s="22" t="str">
        <f t="shared" si="132"/>
        <v/>
      </c>
      <c r="AC114" s="22" t="str">
        <f t="shared" si="132"/>
        <v/>
      </c>
      <c r="AD114" s="22" t="str">
        <f t="shared" si="132"/>
        <v/>
      </c>
      <c r="AE114" s="22" t="str">
        <f t="shared" si="132"/>
        <v/>
      </c>
      <c r="AF114" s="22" t="str">
        <f t="shared" si="132"/>
        <v/>
      </c>
      <c r="AG114" s="22" t="str">
        <f t="shared" si="132"/>
        <v/>
      </c>
      <c r="AH114" s="22" t="str">
        <f t="shared" si="132"/>
        <v/>
      </c>
      <c r="AI114" s="22" t="str">
        <f t="shared" si="132"/>
        <v/>
      </c>
      <c r="AJ114" s="22" t="str">
        <f t="shared" si="132"/>
        <v/>
      </c>
      <c r="AK114" s="22" t="str">
        <f t="shared" si="132"/>
        <v/>
      </c>
      <c r="AL114" s="22" t="str">
        <f t="shared" si="132"/>
        <v/>
      </c>
      <c r="AM114" s="22" t="str">
        <f t="shared" si="132"/>
        <v/>
      </c>
      <c r="AN114" s="22" t="str">
        <f t="shared" si="132"/>
        <v/>
      </c>
      <c r="AO114" s="22" t="str">
        <f t="shared" si="132"/>
        <v/>
      </c>
      <c r="AP114" s="22" t="str">
        <f t="shared" si="132"/>
        <v/>
      </c>
      <c r="AQ114" s="22" t="str">
        <f t="shared" si="132"/>
        <v/>
      </c>
      <c r="AR114" s="22" t="str">
        <f t="shared" si="132"/>
        <v/>
      </c>
      <c r="AS114" s="22" t="str">
        <f t="shared" si="132"/>
        <v/>
      </c>
      <c r="AT114" s="22" t="str">
        <f t="shared" si="132"/>
        <v/>
      </c>
      <c r="AU114" s="22" t="str">
        <f t="shared" si="132"/>
        <v/>
      </c>
    </row>
    <row r="115" spans="1:47">
      <c r="A115" s="21" t="str">
        <f t="shared" si="127"/>
        <v>6500K</v>
      </c>
      <c r="B115" s="191"/>
      <c r="C115" s="191"/>
      <c r="D115" s="22" t="str">
        <f t="shared" si="121"/>
        <v/>
      </c>
      <c r="E115" s="22" t="str">
        <f t="shared" si="122"/>
        <v/>
      </c>
      <c r="F115" s="22" t="str">
        <f t="shared" si="123"/>
        <v/>
      </c>
      <c r="G115" s="22" t="str">
        <f t="shared" si="124"/>
        <v/>
      </c>
      <c r="H115" s="49">
        <f t="shared" si="125"/>
        <v>6500</v>
      </c>
      <c r="P115" s="22" t="str">
        <f t="shared" ref="P115:AU115" si="133">IF(COUNT(P76)=0,"",P76+_IRM1*P79)</f>
        <v/>
      </c>
      <c r="Q115" s="22" t="str">
        <f t="shared" si="133"/>
        <v/>
      </c>
      <c r="R115" s="22" t="str">
        <f t="shared" si="133"/>
        <v/>
      </c>
      <c r="S115" s="22" t="str">
        <f t="shared" si="133"/>
        <v/>
      </c>
      <c r="T115" s="22" t="str">
        <f t="shared" si="133"/>
        <v/>
      </c>
      <c r="U115" s="22" t="str">
        <f t="shared" si="133"/>
        <v/>
      </c>
      <c r="V115" s="22" t="str">
        <f t="shared" si="133"/>
        <v/>
      </c>
      <c r="W115" s="22" t="str">
        <f t="shared" si="133"/>
        <v/>
      </c>
      <c r="X115" s="22" t="str">
        <f t="shared" si="133"/>
        <v/>
      </c>
      <c r="Y115" s="22" t="str">
        <f t="shared" si="133"/>
        <v/>
      </c>
      <c r="Z115" s="22" t="str">
        <f t="shared" si="133"/>
        <v/>
      </c>
      <c r="AA115" s="22" t="str">
        <f t="shared" si="133"/>
        <v/>
      </c>
      <c r="AB115" s="22" t="str">
        <f t="shared" si="133"/>
        <v/>
      </c>
      <c r="AC115" s="22" t="str">
        <f t="shared" si="133"/>
        <v/>
      </c>
      <c r="AD115" s="22" t="str">
        <f t="shared" si="133"/>
        <v/>
      </c>
      <c r="AE115" s="22" t="str">
        <f t="shared" si="133"/>
        <v/>
      </c>
      <c r="AF115" s="22" t="str">
        <f t="shared" si="133"/>
        <v/>
      </c>
      <c r="AG115" s="22" t="str">
        <f t="shared" si="133"/>
        <v/>
      </c>
      <c r="AH115" s="22" t="str">
        <f t="shared" si="133"/>
        <v/>
      </c>
      <c r="AI115" s="22" t="str">
        <f t="shared" si="133"/>
        <v/>
      </c>
      <c r="AJ115" s="22" t="str">
        <f t="shared" si="133"/>
        <v/>
      </c>
      <c r="AK115" s="22" t="str">
        <f t="shared" si="133"/>
        <v/>
      </c>
      <c r="AL115" s="22" t="str">
        <f t="shared" si="133"/>
        <v/>
      </c>
      <c r="AM115" s="22" t="str">
        <f t="shared" si="133"/>
        <v/>
      </c>
      <c r="AN115" s="22" t="str">
        <f t="shared" si="133"/>
        <v/>
      </c>
      <c r="AO115" s="22" t="str">
        <f t="shared" si="133"/>
        <v/>
      </c>
      <c r="AP115" s="22" t="str">
        <f t="shared" si="133"/>
        <v/>
      </c>
      <c r="AQ115" s="22" t="str">
        <f t="shared" si="133"/>
        <v/>
      </c>
      <c r="AR115" s="22" t="str">
        <f t="shared" si="133"/>
        <v/>
      </c>
      <c r="AS115" s="22" t="str">
        <f t="shared" si="133"/>
        <v/>
      </c>
      <c r="AT115" s="22" t="str">
        <f t="shared" si="133"/>
        <v/>
      </c>
      <c r="AU115" s="22" t="str">
        <f t="shared" si="133"/>
        <v/>
      </c>
    </row>
    <row r="116" spans="1:47">
      <c r="A116" s="21" t="str">
        <f>A109</f>
        <v>41F02</v>
      </c>
      <c r="B116" s="191" t="str">
        <f>B80</f>
        <v>P1</v>
      </c>
      <c r="C116" s="191"/>
      <c r="D116" s="22" t="str">
        <f t="shared" si="121"/>
        <v/>
      </c>
      <c r="E116" s="22" t="str">
        <f t="shared" ref="E116:E122" si="134">IF(COUNT(P116:AU116)=0,"",AVERAGE(P116:AU116))</f>
        <v/>
      </c>
      <c r="F116" s="22" t="str">
        <f t="shared" si="123"/>
        <v/>
      </c>
      <c r="G116" s="22" t="str">
        <f t="shared" ref="G116:G122" si="135">IF(COUNT(P116:AU116)=0,"",STDEV(P116:AU116))</f>
        <v/>
      </c>
      <c r="H116" s="49">
        <f>H109</f>
        <v>3670</v>
      </c>
      <c r="P116" s="22" t="str">
        <f t="shared" ref="P116:AU116" si="136">IF(COUNT(P8)=0,"",P8+_IRM1*P7)</f>
        <v/>
      </c>
      <c r="Q116" s="22" t="str">
        <f t="shared" si="136"/>
        <v/>
      </c>
      <c r="R116" s="22" t="str">
        <f t="shared" si="136"/>
        <v/>
      </c>
      <c r="S116" s="22" t="str">
        <f t="shared" si="136"/>
        <v/>
      </c>
      <c r="T116" s="22" t="str">
        <f t="shared" si="136"/>
        <v/>
      </c>
      <c r="U116" s="22" t="str">
        <f t="shared" si="136"/>
        <v/>
      </c>
      <c r="V116" s="22" t="str">
        <f t="shared" si="136"/>
        <v/>
      </c>
      <c r="W116" s="22" t="str">
        <f t="shared" si="136"/>
        <v/>
      </c>
      <c r="X116" s="22" t="str">
        <f t="shared" si="136"/>
        <v/>
      </c>
      <c r="Y116" s="22" t="str">
        <f t="shared" si="136"/>
        <v/>
      </c>
      <c r="Z116" s="22" t="str">
        <f t="shared" si="136"/>
        <v/>
      </c>
      <c r="AA116" s="22" t="str">
        <f t="shared" si="136"/>
        <v/>
      </c>
      <c r="AB116" s="22" t="str">
        <f t="shared" si="136"/>
        <v/>
      </c>
      <c r="AC116" s="22" t="str">
        <f t="shared" si="136"/>
        <v/>
      </c>
      <c r="AD116" s="22" t="str">
        <f t="shared" si="136"/>
        <v/>
      </c>
      <c r="AE116" s="22" t="str">
        <f t="shared" si="136"/>
        <v/>
      </c>
      <c r="AF116" s="22" t="str">
        <f t="shared" si="136"/>
        <v/>
      </c>
      <c r="AG116" s="22" t="str">
        <f t="shared" si="136"/>
        <v/>
      </c>
      <c r="AH116" s="22" t="str">
        <f t="shared" si="136"/>
        <v/>
      </c>
      <c r="AI116" s="22" t="str">
        <f t="shared" si="136"/>
        <v/>
      </c>
      <c r="AJ116" s="22" t="str">
        <f t="shared" si="136"/>
        <v/>
      </c>
      <c r="AK116" s="22" t="str">
        <f t="shared" si="136"/>
        <v/>
      </c>
      <c r="AL116" s="22" t="str">
        <f t="shared" si="136"/>
        <v/>
      </c>
      <c r="AM116" s="22" t="str">
        <f t="shared" si="136"/>
        <v/>
      </c>
      <c r="AN116" s="22" t="str">
        <f t="shared" si="136"/>
        <v/>
      </c>
      <c r="AO116" s="22" t="str">
        <f t="shared" si="136"/>
        <v/>
      </c>
      <c r="AP116" s="22" t="str">
        <f t="shared" si="136"/>
        <v/>
      </c>
      <c r="AQ116" s="22" t="str">
        <f t="shared" si="136"/>
        <v/>
      </c>
      <c r="AR116" s="22" t="str">
        <f t="shared" si="136"/>
        <v/>
      </c>
      <c r="AS116" s="22" t="str">
        <f t="shared" si="136"/>
        <v/>
      </c>
      <c r="AT116" s="22" t="str">
        <f t="shared" si="136"/>
        <v/>
      </c>
      <c r="AU116" s="22" t="str">
        <f t="shared" si="136"/>
        <v/>
      </c>
    </row>
    <row r="117" spans="1:47">
      <c r="A117" s="21" t="str">
        <f t="shared" ref="A117:A122" si="137">A110</f>
        <v>55F02</v>
      </c>
      <c r="B117" s="191"/>
      <c r="C117" s="191"/>
      <c r="D117" s="22" t="str">
        <f t="shared" si="121"/>
        <v/>
      </c>
      <c r="E117" s="22" t="str">
        <f t="shared" si="134"/>
        <v/>
      </c>
      <c r="F117" s="22" t="str">
        <f t="shared" si="123"/>
        <v/>
      </c>
      <c r="G117" s="22" t="str">
        <f t="shared" si="135"/>
        <v/>
      </c>
      <c r="H117" s="49">
        <f t="shared" ref="H117:H122" si="138">H110</f>
        <v>4430</v>
      </c>
      <c r="P117" s="22" t="str">
        <f t="shared" ref="P117:AU117" si="139">IF(COUNT(P20)=0,"",P20+_IRM1*P19)</f>
        <v/>
      </c>
      <c r="Q117" s="22" t="str">
        <f t="shared" si="139"/>
        <v/>
      </c>
      <c r="R117" s="22" t="str">
        <f t="shared" si="139"/>
        <v/>
      </c>
      <c r="S117" s="22" t="str">
        <f t="shared" si="139"/>
        <v/>
      </c>
      <c r="T117" s="22" t="str">
        <f t="shared" si="139"/>
        <v/>
      </c>
      <c r="U117" s="22" t="str">
        <f t="shared" si="139"/>
        <v/>
      </c>
      <c r="V117" s="22" t="str">
        <f t="shared" si="139"/>
        <v/>
      </c>
      <c r="W117" s="22" t="str">
        <f t="shared" si="139"/>
        <v/>
      </c>
      <c r="X117" s="22" t="str">
        <f t="shared" si="139"/>
        <v/>
      </c>
      <c r="Y117" s="22" t="str">
        <f t="shared" si="139"/>
        <v/>
      </c>
      <c r="Z117" s="22" t="str">
        <f t="shared" si="139"/>
        <v/>
      </c>
      <c r="AA117" s="22" t="str">
        <f t="shared" si="139"/>
        <v/>
      </c>
      <c r="AB117" s="22" t="str">
        <f t="shared" si="139"/>
        <v/>
      </c>
      <c r="AC117" s="22" t="str">
        <f t="shared" si="139"/>
        <v/>
      </c>
      <c r="AD117" s="22" t="str">
        <f t="shared" si="139"/>
        <v/>
      </c>
      <c r="AE117" s="22" t="str">
        <f t="shared" si="139"/>
        <v/>
      </c>
      <c r="AF117" s="22" t="str">
        <f t="shared" si="139"/>
        <v/>
      </c>
      <c r="AG117" s="22" t="str">
        <f t="shared" si="139"/>
        <v/>
      </c>
      <c r="AH117" s="22" t="str">
        <f t="shared" si="139"/>
        <v/>
      </c>
      <c r="AI117" s="22" t="str">
        <f t="shared" si="139"/>
        <v/>
      </c>
      <c r="AJ117" s="22" t="str">
        <f t="shared" si="139"/>
        <v/>
      </c>
      <c r="AK117" s="22" t="str">
        <f t="shared" si="139"/>
        <v/>
      </c>
      <c r="AL117" s="22" t="str">
        <f t="shared" si="139"/>
        <v/>
      </c>
      <c r="AM117" s="22" t="str">
        <f t="shared" si="139"/>
        <v/>
      </c>
      <c r="AN117" s="22" t="str">
        <f t="shared" si="139"/>
        <v/>
      </c>
      <c r="AO117" s="22" t="str">
        <f t="shared" si="139"/>
        <v/>
      </c>
      <c r="AP117" s="22" t="str">
        <f t="shared" si="139"/>
        <v/>
      </c>
      <c r="AQ117" s="22" t="str">
        <f t="shared" si="139"/>
        <v/>
      </c>
      <c r="AR117" s="22" t="str">
        <f t="shared" si="139"/>
        <v/>
      </c>
      <c r="AS117" s="22" t="str">
        <f t="shared" si="139"/>
        <v/>
      </c>
      <c r="AT117" s="22" t="str">
        <f t="shared" si="139"/>
        <v/>
      </c>
      <c r="AU117" s="22" t="str">
        <f t="shared" si="139"/>
        <v/>
      </c>
    </row>
    <row r="118" spans="1:47">
      <c r="A118" s="21" t="str">
        <f t="shared" si="137"/>
        <v>65F01</v>
      </c>
      <c r="B118" s="191"/>
      <c r="C118" s="191"/>
      <c r="D118" s="22" t="str">
        <f t="shared" si="121"/>
        <v/>
      </c>
      <c r="E118" s="22" t="str">
        <f t="shared" si="134"/>
        <v/>
      </c>
      <c r="F118" s="22" t="str">
        <f t="shared" si="123"/>
        <v/>
      </c>
      <c r="G118" s="22" t="str">
        <f t="shared" si="135"/>
        <v/>
      </c>
      <c r="H118" s="49">
        <f t="shared" si="138"/>
        <v>6110</v>
      </c>
      <c r="P118" s="22" t="str">
        <f t="shared" ref="P118:AU118" si="140">IF(COUNT(P32)=0,"",P32+_IRM1*P31)</f>
        <v/>
      </c>
      <c r="Q118" s="22" t="str">
        <f t="shared" si="140"/>
        <v/>
      </c>
      <c r="R118" s="22" t="str">
        <f t="shared" si="140"/>
        <v/>
      </c>
      <c r="S118" s="22" t="str">
        <f t="shared" si="140"/>
        <v/>
      </c>
      <c r="T118" s="22" t="str">
        <f t="shared" si="140"/>
        <v/>
      </c>
      <c r="U118" s="22" t="str">
        <f t="shared" si="140"/>
        <v/>
      </c>
      <c r="V118" s="22" t="str">
        <f t="shared" si="140"/>
        <v/>
      </c>
      <c r="W118" s="22" t="str">
        <f t="shared" si="140"/>
        <v/>
      </c>
      <c r="X118" s="22" t="str">
        <f t="shared" si="140"/>
        <v/>
      </c>
      <c r="Y118" s="22" t="str">
        <f t="shared" si="140"/>
        <v/>
      </c>
      <c r="Z118" s="22" t="str">
        <f t="shared" si="140"/>
        <v/>
      </c>
      <c r="AA118" s="22" t="str">
        <f t="shared" si="140"/>
        <v/>
      </c>
      <c r="AB118" s="22" t="str">
        <f t="shared" si="140"/>
        <v/>
      </c>
      <c r="AC118" s="22" t="str">
        <f t="shared" si="140"/>
        <v/>
      </c>
      <c r="AD118" s="22" t="str">
        <f t="shared" si="140"/>
        <v/>
      </c>
      <c r="AE118" s="22" t="str">
        <f t="shared" si="140"/>
        <v/>
      </c>
      <c r="AF118" s="22" t="str">
        <f t="shared" si="140"/>
        <v/>
      </c>
      <c r="AG118" s="22" t="str">
        <f t="shared" si="140"/>
        <v/>
      </c>
      <c r="AH118" s="22" t="str">
        <f t="shared" si="140"/>
        <v/>
      </c>
      <c r="AI118" s="22" t="str">
        <f t="shared" si="140"/>
        <v/>
      </c>
      <c r="AJ118" s="22" t="str">
        <f t="shared" si="140"/>
        <v/>
      </c>
      <c r="AK118" s="22" t="str">
        <f t="shared" si="140"/>
        <v/>
      </c>
      <c r="AL118" s="22" t="str">
        <f t="shared" si="140"/>
        <v/>
      </c>
      <c r="AM118" s="22" t="str">
        <f t="shared" si="140"/>
        <v/>
      </c>
      <c r="AN118" s="22" t="str">
        <f t="shared" si="140"/>
        <v/>
      </c>
      <c r="AO118" s="22" t="str">
        <f t="shared" si="140"/>
        <v/>
      </c>
      <c r="AP118" s="22" t="str">
        <f t="shared" si="140"/>
        <v/>
      </c>
      <c r="AQ118" s="22" t="str">
        <f t="shared" si="140"/>
        <v/>
      </c>
      <c r="AR118" s="22" t="str">
        <f t="shared" si="140"/>
        <v/>
      </c>
      <c r="AS118" s="22" t="str">
        <f t="shared" si="140"/>
        <v/>
      </c>
      <c r="AT118" s="22" t="str">
        <f t="shared" si="140"/>
        <v/>
      </c>
      <c r="AU118" s="22" t="str">
        <f t="shared" si="140"/>
        <v/>
      </c>
    </row>
    <row r="119" spans="1:47">
      <c r="A119" s="21" t="str">
        <f t="shared" si="137"/>
        <v>2700K</v>
      </c>
      <c r="B119" s="191"/>
      <c r="C119" s="191"/>
      <c r="D119" s="22" t="str">
        <f t="shared" si="121"/>
        <v/>
      </c>
      <c r="E119" s="22" t="str">
        <f t="shared" si="134"/>
        <v/>
      </c>
      <c r="F119" s="22" t="str">
        <f t="shared" si="123"/>
        <v/>
      </c>
      <c r="G119" s="22" t="str">
        <f t="shared" si="135"/>
        <v/>
      </c>
      <c r="H119" s="49">
        <f t="shared" si="138"/>
        <v>2700</v>
      </c>
      <c r="P119" s="22" t="str">
        <f t="shared" ref="P119:AU119" si="141">IF(COUNT(P44)=0,"",P44+_IRM1*P43)</f>
        <v/>
      </c>
      <c r="Q119" s="22" t="str">
        <f t="shared" si="141"/>
        <v/>
      </c>
      <c r="R119" s="22" t="str">
        <f t="shared" si="141"/>
        <v/>
      </c>
      <c r="S119" s="22" t="str">
        <f t="shared" si="141"/>
        <v/>
      </c>
      <c r="T119" s="22" t="str">
        <f t="shared" si="141"/>
        <v/>
      </c>
      <c r="U119" s="22" t="str">
        <f t="shared" si="141"/>
        <v/>
      </c>
      <c r="V119" s="22" t="str">
        <f t="shared" si="141"/>
        <v/>
      </c>
      <c r="W119" s="22" t="str">
        <f t="shared" si="141"/>
        <v/>
      </c>
      <c r="X119" s="22" t="str">
        <f t="shared" si="141"/>
        <v/>
      </c>
      <c r="Y119" s="22" t="str">
        <f t="shared" si="141"/>
        <v/>
      </c>
      <c r="Z119" s="22" t="str">
        <f t="shared" si="141"/>
        <v/>
      </c>
      <c r="AA119" s="22" t="str">
        <f t="shared" si="141"/>
        <v/>
      </c>
      <c r="AB119" s="22" t="str">
        <f t="shared" si="141"/>
        <v/>
      </c>
      <c r="AC119" s="22" t="str">
        <f t="shared" si="141"/>
        <v/>
      </c>
      <c r="AD119" s="22" t="str">
        <f t="shared" si="141"/>
        <v/>
      </c>
      <c r="AE119" s="22" t="str">
        <f t="shared" si="141"/>
        <v/>
      </c>
      <c r="AF119" s="22" t="str">
        <f t="shared" si="141"/>
        <v/>
      </c>
      <c r="AG119" s="22" t="str">
        <f t="shared" si="141"/>
        <v/>
      </c>
      <c r="AH119" s="22" t="str">
        <f t="shared" si="141"/>
        <v/>
      </c>
      <c r="AI119" s="22" t="str">
        <f t="shared" si="141"/>
        <v/>
      </c>
      <c r="AJ119" s="22" t="str">
        <f t="shared" si="141"/>
        <v/>
      </c>
      <c r="AK119" s="22" t="str">
        <f t="shared" si="141"/>
        <v/>
      </c>
      <c r="AL119" s="22" t="str">
        <f t="shared" si="141"/>
        <v/>
      </c>
      <c r="AM119" s="22" t="str">
        <f t="shared" si="141"/>
        <v/>
      </c>
      <c r="AN119" s="22" t="str">
        <f t="shared" si="141"/>
        <v/>
      </c>
      <c r="AO119" s="22" t="str">
        <f t="shared" si="141"/>
        <v/>
      </c>
      <c r="AP119" s="22" t="str">
        <f t="shared" si="141"/>
        <v/>
      </c>
      <c r="AQ119" s="22" t="str">
        <f t="shared" si="141"/>
        <v/>
      </c>
      <c r="AR119" s="22" t="str">
        <f t="shared" si="141"/>
        <v/>
      </c>
      <c r="AS119" s="22" t="str">
        <f t="shared" si="141"/>
        <v/>
      </c>
      <c r="AT119" s="22" t="str">
        <f t="shared" si="141"/>
        <v/>
      </c>
      <c r="AU119" s="22" t="str">
        <f t="shared" si="141"/>
        <v/>
      </c>
    </row>
    <row r="120" spans="1:47">
      <c r="A120" s="21" t="str">
        <f t="shared" si="137"/>
        <v>3200K</v>
      </c>
      <c r="B120" s="191"/>
      <c r="C120" s="191"/>
      <c r="D120" s="22">
        <f t="shared" si="121"/>
        <v>4076.6440356455037</v>
      </c>
      <c r="E120" s="22">
        <f t="shared" si="134"/>
        <v>4336.7326630205489</v>
      </c>
      <c r="F120" s="22">
        <f t="shared" si="123"/>
        <v>4596.8212903955937</v>
      </c>
      <c r="G120" s="22">
        <f t="shared" si="135"/>
        <v>173.39241825003018</v>
      </c>
      <c r="H120" s="49">
        <f t="shared" si="138"/>
        <v>3200</v>
      </c>
      <c r="P120" s="22">
        <f t="shared" ref="P120:AU120" si="142">IF(COUNT(P56)=0,"",P56+_IRM1*P55)</f>
        <v>4352.4547835314452</v>
      </c>
      <c r="Q120" s="22">
        <f t="shared" si="142"/>
        <v>4481.6453574704665</v>
      </c>
      <c r="R120" s="22">
        <f t="shared" si="142"/>
        <v>4513.6223942223141</v>
      </c>
      <c r="S120" s="22">
        <f t="shared" si="142"/>
        <v>4404.4302460577692</v>
      </c>
      <c r="T120" s="22">
        <f t="shared" si="142"/>
        <v>4208.6278152639843</v>
      </c>
      <c r="U120" s="22">
        <f t="shared" si="142"/>
        <v>4059.6153815773055</v>
      </c>
      <c r="V120" s="22" t="str">
        <f t="shared" si="142"/>
        <v/>
      </c>
      <c r="W120" s="22" t="str">
        <f t="shared" si="142"/>
        <v/>
      </c>
      <c r="X120" s="22" t="str">
        <f t="shared" si="142"/>
        <v/>
      </c>
      <c r="Y120" s="22" t="str">
        <f t="shared" si="142"/>
        <v/>
      </c>
      <c r="Z120" s="22" t="str">
        <f t="shared" si="142"/>
        <v/>
      </c>
      <c r="AA120" s="22" t="str">
        <f t="shared" si="142"/>
        <v/>
      </c>
      <c r="AB120" s="22" t="str">
        <f t="shared" si="142"/>
        <v/>
      </c>
      <c r="AC120" s="22" t="str">
        <f t="shared" si="142"/>
        <v/>
      </c>
      <c r="AD120" s="22" t="str">
        <f t="shared" si="142"/>
        <v/>
      </c>
      <c r="AE120" s="22" t="str">
        <f t="shared" si="142"/>
        <v/>
      </c>
      <c r="AF120" s="22" t="str">
        <f t="shared" si="142"/>
        <v/>
      </c>
      <c r="AG120" s="22" t="str">
        <f t="shared" si="142"/>
        <v/>
      </c>
      <c r="AH120" s="22" t="str">
        <f t="shared" si="142"/>
        <v/>
      </c>
      <c r="AI120" s="22" t="str">
        <f t="shared" si="142"/>
        <v/>
      </c>
      <c r="AJ120" s="22" t="str">
        <f t="shared" si="142"/>
        <v/>
      </c>
      <c r="AK120" s="22" t="str">
        <f t="shared" si="142"/>
        <v/>
      </c>
      <c r="AL120" s="22" t="str">
        <f t="shared" si="142"/>
        <v/>
      </c>
      <c r="AM120" s="22" t="str">
        <f t="shared" si="142"/>
        <v/>
      </c>
      <c r="AN120" s="22" t="str">
        <f t="shared" si="142"/>
        <v/>
      </c>
      <c r="AO120" s="22" t="str">
        <f t="shared" si="142"/>
        <v/>
      </c>
      <c r="AP120" s="22" t="str">
        <f t="shared" si="142"/>
        <v/>
      </c>
      <c r="AQ120" s="22" t="str">
        <f t="shared" si="142"/>
        <v/>
      </c>
      <c r="AR120" s="22" t="str">
        <f t="shared" si="142"/>
        <v/>
      </c>
      <c r="AS120" s="22" t="str">
        <f t="shared" si="142"/>
        <v/>
      </c>
      <c r="AT120" s="22" t="str">
        <f t="shared" si="142"/>
        <v/>
      </c>
      <c r="AU120" s="22" t="str">
        <f t="shared" si="142"/>
        <v/>
      </c>
    </row>
    <row r="121" spans="1:47">
      <c r="A121" s="21" t="str">
        <f t="shared" si="137"/>
        <v>5500K</v>
      </c>
      <c r="B121" s="191"/>
      <c r="C121" s="191"/>
      <c r="D121" s="22" t="str">
        <f t="shared" si="121"/>
        <v/>
      </c>
      <c r="E121" s="22" t="str">
        <f t="shared" si="134"/>
        <v/>
      </c>
      <c r="F121" s="22" t="str">
        <f t="shared" si="123"/>
        <v/>
      </c>
      <c r="G121" s="22" t="str">
        <f t="shared" si="135"/>
        <v/>
      </c>
      <c r="H121" s="49">
        <f t="shared" si="138"/>
        <v>5500</v>
      </c>
      <c r="P121" s="22" t="str">
        <f t="shared" ref="P121:AU121" si="143">IF(COUNT(P68)=0,"",P68+_IRM1*P67)</f>
        <v/>
      </c>
      <c r="Q121" s="22" t="str">
        <f t="shared" si="143"/>
        <v/>
      </c>
      <c r="R121" s="22" t="str">
        <f t="shared" si="143"/>
        <v/>
      </c>
      <c r="S121" s="22" t="str">
        <f t="shared" si="143"/>
        <v/>
      </c>
      <c r="T121" s="22" t="str">
        <f t="shared" si="143"/>
        <v/>
      </c>
      <c r="U121" s="22" t="str">
        <f t="shared" si="143"/>
        <v/>
      </c>
      <c r="V121" s="22" t="str">
        <f t="shared" si="143"/>
        <v/>
      </c>
      <c r="W121" s="22" t="str">
        <f t="shared" si="143"/>
        <v/>
      </c>
      <c r="X121" s="22" t="str">
        <f t="shared" si="143"/>
        <v/>
      </c>
      <c r="Y121" s="22" t="str">
        <f t="shared" si="143"/>
        <v/>
      </c>
      <c r="Z121" s="22" t="str">
        <f t="shared" si="143"/>
        <v/>
      </c>
      <c r="AA121" s="22" t="str">
        <f t="shared" si="143"/>
        <v/>
      </c>
      <c r="AB121" s="22" t="str">
        <f t="shared" si="143"/>
        <v/>
      </c>
      <c r="AC121" s="22" t="str">
        <f t="shared" si="143"/>
        <v/>
      </c>
      <c r="AD121" s="22" t="str">
        <f t="shared" si="143"/>
        <v/>
      </c>
      <c r="AE121" s="22" t="str">
        <f t="shared" si="143"/>
        <v/>
      </c>
      <c r="AF121" s="22" t="str">
        <f t="shared" si="143"/>
        <v/>
      </c>
      <c r="AG121" s="22" t="str">
        <f t="shared" si="143"/>
        <v/>
      </c>
      <c r="AH121" s="22" t="str">
        <f t="shared" si="143"/>
        <v/>
      </c>
      <c r="AI121" s="22" t="str">
        <f t="shared" si="143"/>
        <v/>
      </c>
      <c r="AJ121" s="22" t="str">
        <f t="shared" si="143"/>
        <v/>
      </c>
      <c r="AK121" s="22" t="str">
        <f t="shared" si="143"/>
        <v/>
      </c>
      <c r="AL121" s="22" t="str">
        <f t="shared" si="143"/>
        <v/>
      </c>
      <c r="AM121" s="22" t="str">
        <f t="shared" si="143"/>
        <v/>
      </c>
      <c r="AN121" s="22" t="str">
        <f t="shared" si="143"/>
        <v/>
      </c>
      <c r="AO121" s="22" t="str">
        <f t="shared" si="143"/>
        <v/>
      </c>
      <c r="AP121" s="22" t="str">
        <f t="shared" si="143"/>
        <v/>
      </c>
      <c r="AQ121" s="22" t="str">
        <f t="shared" si="143"/>
        <v/>
      </c>
      <c r="AR121" s="22" t="str">
        <f t="shared" si="143"/>
        <v/>
      </c>
      <c r="AS121" s="22" t="str">
        <f t="shared" si="143"/>
        <v/>
      </c>
      <c r="AT121" s="22" t="str">
        <f t="shared" si="143"/>
        <v/>
      </c>
      <c r="AU121" s="22" t="str">
        <f t="shared" si="143"/>
        <v/>
      </c>
    </row>
    <row r="122" spans="1:47">
      <c r="A122" s="21" t="str">
        <f t="shared" si="137"/>
        <v>6500K</v>
      </c>
      <c r="B122" s="191"/>
      <c r="C122" s="191"/>
      <c r="D122" s="22" t="str">
        <f t="shared" si="121"/>
        <v/>
      </c>
      <c r="E122" s="22" t="str">
        <f t="shared" si="134"/>
        <v/>
      </c>
      <c r="F122" s="22" t="str">
        <f t="shared" si="123"/>
        <v/>
      </c>
      <c r="G122" s="22" t="str">
        <f t="shared" si="135"/>
        <v/>
      </c>
      <c r="H122" s="49">
        <f t="shared" si="138"/>
        <v>6500</v>
      </c>
      <c r="P122" s="22" t="str">
        <f t="shared" ref="P122:AU122" si="144">IF(COUNT(P80)=0,"",P80+_IRM1*P79)</f>
        <v/>
      </c>
      <c r="Q122" s="22" t="str">
        <f t="shared" si="144"/>
        <v/>
      </c>
      <c r="R122" s="22" t="str">
        <f t="shared" si="144"/>
        <v/>
      </c>
      <c r="S122" s="22" t="str">
        <f t="shared" si="144"/>
        <v/>
      </c>
      <c r="T122" s="22" t="str">
        <f t="shared" si="144"/>
        <v/>
      </c>
      <c r="U122" s="22" t="str">
        <f t="shared" si="144"/>
        <v/>
      </c>
      <c r="V122" s="22" t="str">
        <f t="shared" si="144"/>
        <v/>
      </c>
      <c r="W122" s="22" t="str">
        <f t="shared" si="144"/>
        <v/>
      </c>
      <c r="X122" s="22" t="str">
        <f t="shared" si="144"/>
        <v/>
      </c>
      <c r="Y122" s="22" t="str">
        <f t="shared" si="144"/>
        <v/>
      </c>
      <c r="Z122" s="22" t="str">
        <f t="shared" si="144"/>
        <v/>
      </c>
      <c r="AA122" s="22" t="str">
        <f t="shared" si="144"/>
        <v/>
      </c>
      <c r="AB122" s="22" t="str">
        <f t="shared" si="144"/>
        <v/>
      </c>
      <c r="AC122" s="22" t="str">
        <f t="shared" si="144"/>
        <v/>
      </c>
      <c r="AD122" s="22" t="str">
        <f t="shared" si="144"/>
        <v/>
      </c>
      <c r="AE122" s="22" t="str">
        <f t="shared" si="144"/>
        <v/>
      </c>
      <c r="AF122" s="22" t="str">
        <f t="shared" si="144"/>
        <v/>
      </c>
      <c r="AG122" s="22" t="str">
        <f t="shared" si="144"/>
        <v/>
      </c>
      <c r="AH122" s="22" t="str">
        <f t="shared" si="144"/>
        <v/>
      </c>
      <c r="AI122" s="22" t="str">
        <f t="shared" si="144"/>
        <v/>
      </c>
      <c r="AJ122" s="22" t="str">
        <f t="shared" si="144"/>
        <v/>
      </c>
      <c r="AK122" s="22" t="str">
        <f t="shared" si="144"/>
        <v/>
      </c>
      <c r="AL122" s="22" t="str">
        <f t="shared" si="144"/>
        <v/>
      </c>
      <c r="AM122" s="22" t="str">
        <f t="shared" si="144"/>
        <v/>
      </c>
      <c r="AN122" s="22" t="str">
        <f t="shared" si="144"/>
        <v/>
      </c>
      <c r="AO122" s="22" t="str">
        <f t="shared" si="144"/>
        <v/>
      </c>
      <c r="AP122" s="22" t="str">
        <f t="shared" si="144"/>
        <v/>
      </c>
      <c r="AQ122" s="22" t="str">
        <f t="shared" si="144"/>
        <v/>
      </c>
      <c r="AR122" s="22" t="str">
        <f t="shared" si="144"/>
        <v/>
      </c>
      <c r="AS122" s="22" t="str">
        <f t="shared" si="144"/>
        <v/>
      </c>
      <c r="AT122" s="22" t="str">
        <f t="shared" si="144"/>
        <v/>
      </c>
      <c r="AU122" s="22" t="str">
        <f t="shared" si="144"/>
        <v/>
      </c>
    </row>
    <row r="123" spans="1:47">
      <c r="A123" s="21" t="str">
        <f>A103</f>
        <v>Min</v>
      </c>
      <c r="B123" s="191" t="str">
        <f>B109</f>
        <v>P0</v>
      </c>
      <c r="C123" s="191"/>
      <c r="D123" s="22">
        <f t="shared" si="121"/>
        <v>1019.4055098181449</v>
      </c>
      <c r="E123" s="22">
        <f t="shared" si="122"/>
        <v>1084.5877962332645</v>
      </c>
      <c r="F123" s="22">
        <f t="shared" si="123"/>
        <v>1149.7700826483842</v>
      </c>
      <c r="G123" s="22">
        <f t="shared" si="124"/>
        <v>43.454857610079742</v>
      </c>
      <c r="P123" s="22">
        <f>IF(COUNT(P109:P115)=0,"",MIN(P109:P115))</f>
        <v>1087.9928875487219</v>
      </c>
      <c r="Q123" s="22">
        <f t="shared" ref="Q123:AU123" si="145">IF(COUNT(Q109:Q115)=0,"",MIN(Q109:Q115))</f>
        <v>1121.0781084425789</v>
      </c>
      <c r="R123" s="22">
        <f>IF(COUNT(R109:R115)=0,"",MIN(R109:R115))</f>
        <v>1128.9097410268914</v>
      </c>
      <c r="S123" s="22">
        <f t="shared" si="145"/>
        <v>1101.7789770637944</v>
      </c>
      <c r="T123" s="22">
        <f t="shared" si="145"/>
        <v>1052.5472576647544</v>
      </c>
      <c r="U123" s="22">
        <f t="shared" si="145"/>
        <v>1015.2198056528449</v>
      </c>
      <c r="V123" s="22" t="str">
        <f t="shared" si="145"/>
        <v/>
      </c>
      <c r="W123" s="22" t="str">
        <f t="shared" si="145"/>
        <v/>
      </c>
      <c r="X123" s="22" t="str">
        <f t="shared" si="145"/>
        <v/>
      </c>
      <c r="Y123" s="22" t="str">
        <f t="shared" si="145"/>
        <v/>
      </c>
      <c r="Z123" s="22" t="str">
        <f t="shared" si="145"/>
        <v/>
      </c>
      <c r="AA123" s="22" t="str">
        <f t="shared" si="145"/>
        <v/>
      </c>
      <c r="AB123" s="22" t="str">
        <f t="shared" si="145"/>
        <v/>
      </c>
      <c r="AC123" s="22" t="str">
        <f t="shared" si="145"/>
        <v/>
      </c>
      <c r="AD123" s="22" t="str">
        <f t="shared" si="145"/>
        <v/>
      </c>
      <c r="AE123" s="22" t="str">
        <f t="shared" si="145"/>
        <v/>
      </c>
      <c r="AF123" s="22" t="str">
        <f t="shared" si="145"/>
        <v/>
      </c>
      <c r="AG123" s="22" t="str">
        <f t="shared" si="145"/>
        <v/>
      </c>
      <c r="AH123" s="22" t="str">
        <f t="shared" si="145"/>
        <v/>
      </c>
      <c r="AI123" s="22" t="str">
        <f t="shared" si="145"/>
        <v/>
      </c>
      <c r="AJ123" s="22" t="str">
        <f t="shared" si="145"/>
        <v/>
      </c>
      <c r="AK123" s="22" t="str">
        <f t="shared" si="145"/>
        <v/>
      </c>
      <c r="AL123" s="22" t="str">
        <f t="shared" si="145"/>
        <v/>
      </c>
      <c r="AM123" s="22" t="str">
        <f t="shared" si="145"/>
        <v/>
      </c>
      <c r="AN123" s="22" t="str">
        <f t="shared" si="145"/>
        <v/>
      </c>
      <c r="AO123" s="22" t="str">
        <f t="shared" si="145"/>
        <v/>
      </c>
      <c r="AP123" s="22" t="str">
        <f t="shared" si="145"/>
        <v/>
      </c>
      <c r="AQ123" s="22" t="str">
        <f t="shared" si="145"/>
        <v/>
      </c>
      <c r="AR123" s="22" t="str">
        <f t="shared" si="145"/>
        <v/>
      </c>
      <c r="AS123" s="22" t="str">
        <f t="shared" si="145"/>
        <v/>
      </c>
      <c r="AT123" s="22" t="str">
        <f t="shared" si="145"/>
        <v/>
      </c>
      <c r="AU123" s="22" t="str">
        <f t="shared" si="145"/>
        <v/>
      </c>
    </row>
    <row r="124" spans="1:47">
      <c r="A124" s="21" t="str">
        <f>A104</f>
        <v>Max</v>
      </c>
      <c r="B124" s="191"/>
      <c r="C124" s="191"/>
      <c r="D124" s="22">
        <f t="shared" si="121"/>
        <v>1019.4055098181449</v>
      </c>
      <c r="E124" s="22">
        <f t="shared" si="122"/>
        <v>1084.5877962332645</v>
      </c>
      <c r="F124" s="22">
        <f t="shared" si="123"/>
        <v>1149.7700826483842</v>
      </c>
      <c r="G124" s="22">
        <f t="shared" si="124"/>
        <v>43.454857610079742</v>
      </c>
      <c r="P124" s="22">
        <f t="shared" ref="P124:AU124" si="146">IF(COUNT(P109:P115)=0,"",MAX(P109:P115))</f>
        <v>1087.9928875487219</v>
      </c>
      <c r="Q124" s="22">
        <f t="shared" si="146"/>
        <v>1121.0781084425789</v>
      </c>
      <c r="R124" s="22">
        <f t="shared" si="146"/>
        <v>1128.9097410268914</v>
      </c>
      <c r="S124" s="22">
        <f t="shared" si="146"/>
        <v>1101.7789770637944</v>
      </c>
      <c r="T124" s="22">
        <f t="shared" si="146"/>
        <v>1052.5472576647544</v>
      </c>
      <c r="U124" s="22">
        <f t="shared" si="146"/>
        <v>1015.2198056528449</v>
      </c>
      <c r="V124" s="22" t="str">
        <f t="shared" si="146"/>
        <v/>
      </c>
      <c r="W124" s="22" t="str">
        <f t="shared" si="146"/>
        <v/>
      </c>
      <c r="X124" s="22" t="str">
        <f t="shared" si="146"/>
        <v/>
      </c>
      <c r="Y124" s="22" t="str">
        <f t="shared" si="146"/>
        <v/>
      </c>
      <c r="Z124" s="22" t="str">
        <f t="shared" si="146"/>
        <v/>
      </c>
      <c r="AA124" s="22" t="str">
        <f t="shared" si="146"/>
        <v/>
      </c>
      <c r="AB124" s="22" t="str">
        <f t="shared" si="146"/>
        <v/>
      </c>
      <c r="AC124" s="22" t="str">
        <f t="shared" si="146"/>
        <v/>
      </c>
      <c r="AD124" s="22" t="str">
        <f t="shared" si="146"/>
        <v/>
      </c>
      <c r="AE124" s="22" t="str">
        <f t="shared" si="146"/>
        <v/>
      </c>
      <c r="AF124" s="22" t="str">
        <f t="shared" si="146"/>
        <v/>
      </c>
      <c r="AG124" s="22" t="str">
        <f t="shared" si="146"/>
        <v/>
      </c>
      <c r="AH124" s="22" t="str">
        <f t="shared" si="146"/>
        <v/>
      </c>
      <c r="AI124" s="22" t="str">
        <f t="shared" si="146"/>
        <v/>
      </c>
      <c r="AJ124" s="22" t="str">
        <f t="shared" si="146"/>
        <v/>
      </c>
      <c r="AK124" s="22" t="str">
        <f t="shared" si="146"/>
        <v/>
      </c>
      <c r="AL124" s="22" t="str">
        <f t="shared" si="146"/>
        <v/>
      </c>
      <c r="AM124" s="22" t="str">
        <f t="shared" si="146"/>
        <v/>
      </c>
      <c r="AN124" s="22" t="str">
        <f t="shared" si="146"/>
        <v/>
      </c>
      <c r="AO124" s="22" t="str">
        <f t="shared" si="146"/>
        <v/>
      </c>
      <c r="AP124" s="22" t="str">
        <f t="shared" si="146"/>
        <v/>
      </c>
      <c r="AQ124" s="22" t="str">
        <f t="shared" si="146"/>
        <v/>
      </c>
      <c r="AR124" s="22" t="str">
        <f t="shared" si="146"/>
        <v/>
      </c>
      <c r="AS124" s="22" t="str">
        <f t="shared" si="146"/>
        <v/>
      </c>
      <c r="AT124" s="22" t="str">
        <f t="shared" si="146"/>
        <v/>
      </c>
      <c r="AU124" s="22" t="str">
        <f t="shared" si="146"/>
        <v/>
      </c>
    </row>
    <row r="125" spans="1:47">
      <c r="A125" s="21" t="str">
        <f>A105</f>
        <v>Median</v>
      </c>
      <c r="B125" s="191"/>
      <c r="C125" s="191"/>
      <c r="D125" s="22">
        <f t="shared" si="121"/>
        <v>1019.4055098181449</v>
      </c>
      <c r="E125" s="22">
        <f t="shared" si="122"/>
        <v>1084.5877962332645</v>
      </c>
      <c r="F125" s="22">
        <f t="shared" si="123"/>
        <v>1149.7700826483842</v>
      </c>
      <c r="G125" s="22">
        <f t="shared" si="124"/>
        <v>43.454857610079742</v>
      </c>
      <c r="P125" s="22">
        <f t="shared" ref="P125:AU125" si="147">IF(COUNT(P123:P124)=0,"",(P124+P123)/2)</f>
        <v>1087.9928875487219</v>
      </c>
      <c r="Q125" s="22">
        <f t="shared" si="147"/>
        <v>1121.0781084425789</v>
      </c>
      <c r="R125" s="22">
        <f t="shared" si="147"/>
        <v>1128.9097410268914</v>
      </c>
      <c r="S125" s="22">
        <f t="shared" si="147"/>
        <v>1101.7789770637944</v>
      </c>
      <c r="T125" s="22">
        <f t="shared" si="147"/>
        <v>1052.5472576647544</v>
      </c>
      <c r="U125" s="22">
        <f t="shared" si="147"/>
        <v>1015.2198056528449</v>
      </c>
      <c r="V125" s="22" t="str">
        <f t="shared" si="147"/>
        <v/>
      </c>
      <c r="W125" s="22" t="str">
        <f t="shared" si="147"/>
        <v/>
      </c>
      <c r="X125" s="22" t="str">
        <f t="shared" si="147"/>
        <v/>
      </c>
      <c r="Y125" s="22" t="str">
        <f t="shared" si="147"/>
        <v/>
      </c>
      <c r="Z125" s="22" t="str">
        <f t="shared" si="147"/>
        <v/>
      </c>
      <c r="AA125" s="22" t="str">
        <f t="shared" si="147"/>
        <v/>
      </c>
      <c r="AB125" s="22" t="str">
        <f t="shared" si="147"/>
        <v/>
      </c>
      <c r="AC125" s="22" t="str">
        <f t="shared" si="147"/>
        <v/>
      </c>
      <c r="AD125" s="22" t="str">
        <f t="shared" si="147"/>
        <v/>
      </c>
      <c r="AE125" s="22" t="str">
        <f t="shared" si="147"/>
        <v/>
      </c>
      <c r="AF125" s="22" t="str">
        <f t="shared" si="147"/>
        <v/>
      </c>
      <c r="AG125" s="22" t="str">
        <f t="shared" si="147"/>
        <v/>
      </c>
      <c r="AH125" s="22" t="str">
        <f t="shared" si="147"/>
        <v/>
      </c>
      <c r="AI125" s="22" t="str">
        <f t="shared" si="147"/>
        <v/>
      </c>
      <c r="AJ125" s="22" t="str">
        <f t="shared" si="147"/>
        <v/>
      </c>
      <c r="AK125" s="22" t="str">
        <f t="shared" si="147"/>
        <v/>
      </c>
      <c r="AL125" s="22" t="str">
        <f t="shared" si="147"/>
        <v/>
      </c>
      <c r="AM125" s="22" t="str">
        <f t="shared" si="147"/>
        <v/>
      </c>
      <c r="AN125" s="22" t="str">
        <f t="shared" si="147"/>
        <v/>
      </c>
      <c r="AO125" s="22" t="str">
        <f t="shared" si="147"/>
        <v/>
      </c>
      <c r="AP125" s="22" t="str">
        <f t="shared" si="147"/>
        <v/>
      </c>
      <c r="AQ125" s="22" t="str">
        <f t="shared" si="147"/>
        <v/>
      </c>
      <c r="AR125" s="22" t="str">
        <f t="shared" si="147"/>
        <v/>
      </c>
      <c r="AS125" s="22" t="str">
        <f t="shared" si="147"/>
        <v/>
      </c>
      <c r="AT125" s="22" t="str">
        <f t="shared" si="147"/>
        <v/>
      </c>
      <c r="AU125" s="22" t="str">
        <f t="shared" si="147"/>
        <v/>
      </c>
    </row>
    <row r="126" spans="1:47">
      <c r="A126" s="21" t="s">
        <v>12</v>
      </c>
      <c r="B126" s="191"/>
      <c r="C126" s="191"/>
      <c r="D126" s="27">
        <f t="shared" si="121"/>
        <v>1.9405509818141389E-2</v>
      </c>
      <c r="E126" s="27">
        <f t="shared" si="122"/>
        <v>8.4587796233264331E-2</v>
      </c>
      <c r="F126" s="27">
        <f t="shared" si="123"/>
        <v>0.14977008264838726</v>
      </c>
      <c r="G126" s="27">
        <f t="shared" si="124"/>
        <v>4.3454857610081964E-2</v>
      </c>
      <c r="I126" s="49">
        <v>1</v>
      </c>
      <c r="J126" s="49">
        <f t="shared" ref="J126" si="148">J106</f>
        <v>1</v>
      </c>
      <c r="K126" s="26">
        <f>INDEX(calTable,I126,J126)</f>
        <v>1000</v>
      </c>
      <c r="P126" s="27">
        <f>IF(COUNT(P125)=0,"",P125/$K126-1)</f>
        <v>8.7992887548721921E-2</v>
      </c>
      <c r="Q126" s="27">
        <f t="shared" ref="Q126:AU126" si="149">IF(COUNT(Q125)=0,"",Q125/$K126-1)</f>
        <v>0.12107810844257894</v>
      </c>
      <c r="R126" s="27">
        <f t="shared" si="149"/>
        <v>0.12890974102689134</v>
      </c>
      <c r="S126" s="27">
        <f t="shared" si="149"/>
        <v>0.10177897706379446</v>
      </c>
      <c r="T126" s="27">
        <f t="shared" si="149"/>
        <v>5.2547257664754321E-2</v>
      </c>
      <c r="U126" s="27">
        <f t="shared" si="149"/>
        <v>1.5219805652844975E-2</v>
      </c>
      <c r="V126" s="27" t="str">
        <f t="shared" si="149"/>
        <v/>
      </c>
      <c r="W126" s="27" t="str">
        <f t="shared" si="149"/>
        <v/>
      </c>
      <c r="X126" s="27" t="str">
        <f t="shared" si="149"/>
        <v/>
      </c>
      <c r="Y126" s="27" t="str">
        <f t="shared" si="149"/>
        <v/>
      </c>
      <c r="Z126" s="27" t="str">
        <f t="shared" si="149"/>
        <v/>
      </c>
      <c r="AA126" s="27" t="str">
        <f t="shared" si="149"/>
        <v/>
      </c>
      <c r="AB126" s="27" t="str">
        <f t="shared" si="149"/>
        <v/>
      </c>
      <c r="AC126" s="27" t="str">
        <f t="shared" si="149"/>
        <v/>
      </c>
      <c r="AD126" s="27" t="str">
        <f t="shared" si="149"/>
        <v/>
      </c>
      <c r="AE126" s="27" t="str">
        <f t="shared" si="149"/>
        <v/>
      </c>
      <c r="AF126" s="27" t="str">
        <f t="shared" si="149"/>
        <v/>
      </c>
      <c r="AG126" s="27" t="str">
        <f t="shared" si="149"/>
        <v/>
      </c>
      <c r="AH126" s="27" t="str">
        <f t="shared" si="149"/>
        <v/>
      </c>
      <c r="AI126" s="27" t="str">
        <f t="shared" si="149"/>
        <v/>
      </c>
      <c r="AJ126" s="27" t="str">
        <f t="shared" si="149"/>
        <v/>
      </c>
      <c r="AK126" s="27" t="str">
        <f t="shared" si="149"/>
        <v/>
      </c>
      <c r="AL126" s="27" t="str">
        <f t="shared" si="149"/>
        <v/>
      </c>
      <c r="AM126" s="27" t="str">
        <f t="shared" si="149"/>
        <v/>
      </c>
      <c r="AN126" s="27" t="str">
        <f t="shared" si="149"/>
        <v/>
      </c>
      <c r="AO126" s="27" t="str">
        <f t="shared" si="149"/>
        <v/>
      </c>
      <c r="AP126" s="27" t="str">
        <f t="shared" si="149"/>
        <v/>
      </c>
      <c r="AQ126" s="27" t="str">
        <f t="shared" si="149"/>
        <v/>
      </c>
      <c r="AR126" s="27" t="str">
        <f t="shared" si="149"/>
        <v/>
      </c>
      <c r="AS126" s="27" t="str">
        <f t="shared" si="149"/>
        <v/>
      </c>
      <c r="AT126" s="27" t="str">
        <f t="shared" si="149"/>
        <v/>
      </c>
      <c r="AU126" s="27" t="str">
        <f t="shared" si="149"/>
        <v/>
      </c>
    </row>
    <row r="127" spans="1:47">
      <c r="A127" s="21" t="str">
        <f>A107</f>
        <v>LS2LS</v>
      </c>
      <c r="B127" s="191"/>
      <c r="C127" s="191"/>
      <c r="D127" s="27">
        <f t="shared" si="121"/>
        <v>0</v>
      </c>
      <c r="E127" s="27">
        <f t="shared" si="122"/>
        <v>0</v>
      </c>
      <c r="F127" s="30">
        <f t="shared" si="123"/>
        <v>0</v>
      </c>
      <c r="G127" s="27">
        <f t="shared" si="124"/>
        <v>0</v>
      </c>
      <c r="P127" s="27">
        <f t="shared" ref="P127:AU127" si="150">IF(COUNT(P125)=0,"",(P124-P123)/P125)</f>
        <v>0</v>
      </c>
      <c r="Q127" s="27">
        <f t="shared" si="150"/>
        <v>0</v>
      </c>
      <c r="R127" s="27">
        <f t="shared" si="150"/>
        <v>0</v>
      </c>
      <c r="S127" s="27">
        <f t="shared" si="150"/>
        <v>0</v>
      </c>
      <c r="T127" s="27">
        <f t="shared" si="150"/>
        <v>0</v>
      </c>
      <c r="U127" s="27">
        <f t="shared" si="150"/>
        <v>0</v>
      </c>
      <c r="V127" s="27" t="str">
        <f t="shared" si="150"/>
        <v/>
      </c>
      <c r="W127" s="27" t="str">
        <f t="shared" si="150"/>
        <v/>
      </c>
      <c r="X127" s="27" t="str">
        <f t="shared" si="150"/>
        <v/>
      </c>
      <c r="Y127" s="27" t="str">
        <f t="shared" si="150"/>
        <v/>
      </c>
      <c r="Z127" s="27" t="str">
        <f t="shared" si="150"/>
        <v/>
      </c>
      <c r="AA127" s="27" t="str">
        <f t="shared" si="150"/>
        <v/>
      </c>
      <c r="AB127" s="27" t="str">
        <f t="shared" si="150"/>
        <v/>
      </c>
      <c r="AC127" s="27" t="str">
        <f t="shared" si="150"/>
        <v/>
      </c>
      <c r="AD127" s="27" t="str">
        <f t="shared" si="150"/>
        <v/>
      </c>
      <c r="AE127" s="27" t="str">
        <f t="shared" si="150"/>
        <v/>
      </c>
      <c r="AF127" s="27" t="str">
        <f t="shared" si="150"/>
        <v/>
      </c>
      <c r="AG127" s="27" t="str">
        <f t="shared" si="150"/>
        <v/>
      </c>
      <c r="AH127" s="27" t="str">
        <f t="shared" si="150"/>
        <v/>
      </c>
      <c r="AI127" s="27" t="str">
        <f t="shared" si="150"/>
        <v/>
      </c>
      <c r="AJ127" s="27" t="str">
        <f t="shared" si="150"/>
        <v/>
      </c>
      <c r="AK127" s="27" t="str">
        <f t="shared" si="150"/>
        <v/>
      </c>
      <c r="AL127" s="27" t="str">
        <f t="shared" si="150"/>
        <v/>
      </c>
      <c r="AM127" s="27" t="str">
        <f t="shared" si="150"/>
        <v/>
      </c>
      <c r="AN127" s="27" t="str">
        <f t="shared" si="150"/>
        <v/>
      </c>
      <c r="AO127" s="27" t="str">
        <f t="shared" si="150"/>
        <v/>
      </c>
      <c r="AP127" s="27" t="str">
        <f t="shared" si="150"/>
        <v/>
      </c>
      <c r="AQ127" s="27" t="str">
        <f t="shared" si="150"/>
        <v/>
      </c>
      <c r="AR127" s="27" t="str">
        <f t="shared" si="150"/>
        <v/>
      </c>
      <c r="AS127" s="27" t="str">
        <f t="shared" si="150"/>
        <v/>
      </c>
      <c r="AT127" s="27" t="str">
        <f t="shared" si="150"/>
        <v/>
      </c>
      <c r="AU127" s="27" t="str">
        <f t="shared" si="150"/>
        <v/>
      </c>
    </row>
    <row r="128" spans="1:47">
      <c r="A128" s="21" t="str">
        <f>A123</f>
        <v>Min</v>
      </c>
      <c r="B128" s="191" t="str">
        <f>B116</f>
        <v>P1</v>
      </c>
      <c r="C128" s="191"/>
      <c r="D128" s="22">
        <f t="shared" si="121"/>
        <v>4076.6440356455037</v>
      </c>
      <c r="E128" s="22">
        <f t="shared" ref="E128:E132" si="151">IF(COUNT(P128:AU128)=0,"",AVERAGE(P128:AU128))</f>
        <v>4336.7326630205489</v>
      </c>
      <c r="F128" s="22">
        <f t="shared" si="123"/>
        <v>4596.8212903955937</v>
      </c>
      <c r="G128" s="22">
        <f t="shared" ref="G128:G132" si="152">IF(COUNT(P128:AU128)=0,"",STDEV(P128:AU128))</f>
        <v>173.39241825003018</v>
      </c>
      <c r="P128" s="22">
        <f>IF(COUNT(P116:P122)=0,"",MIN(P116:P122))</f>
        <v>4352.4547835314452</v>
      </c>
      <c r="Q128" s="22">
        <f>IF(COUNT(Q116:Q122)=0,"",MIN(Q116:Q122))</f>
        <v>4481.6453574704665</v>
      </c>
      <c r="R128" s="22">
        <f t="shared" ref="R128:AU128" si="153">IF(COUNT(R116:R122)=0,"",MIN(R116:R122))</f>
        <v>4513.6223942223141</v>
      </c>
      <c r="S128" s="22">
        <f t="shared" si="153"/>
        <v>4404.4302460577692</v>
      </c>
      <c r="T128" s="22">
        <f t="shared" si="153"/>
        <v>4208.6278152639843</v>
      </c>
      <c r="U128" s="22">
        <f t="shared" si="153"/>
        <v>4059.6153815773055</v>
      </c>
      <c r="V128" s="22" t="str">
        <f t="shared" si="153"/>
        <v/>
      </c>
      <c r="W128" s="22" t="str">
        <f t="shared" si="153"/>
        <v/>
      </c>
      <c r="X128" s="22" t="str">
        <f t="shared" si="153"/>
        <v/>
      </c>
      <c r="Y128" s="22" t="str">
        <f t="shared" si="153"/>
        <v/>
      </c>
      <c r="Z128" s="22" t="str">
        <f t="shared" si="153"/>
        <v/>
      </c>
      <c r="AA128" s="22" t="str">
        <f t="shared" si="153"/>
        <v/>
      </c>
      <c r="AB128" s="22" t="str">
        <f t="shared" si="153"/>
        <v/>
      </c>
      <c r="AC128" s="22" t="str">
        <f t="shared" si="153"/>
        <v/>
      </c>
      <c r="AD128" s="22" t="str">
        <f t="shared" si="153"/>
        <v/>
      </c>
      <c r="AE128" s="22" t="str">
        <f t="shared" si="153"/>
        <v/>
      </c>
      <c r="AF128" s="22" t="str">
        <f t="shared" si="153"/>
        <v/>
      </c>
      <c r="AG128" s="22" t="str">
        <f t="shared" si="153"/>
        <v/>
      </c>
      <c r="AH128" s="22" t="str">
        <f t="shared" si="153"/>
        <v/>
      </c>
      <c r="AI128" s="22" t="str">
        <f t="shared" si="153"/>
        <v/>
      </c>
      <c r="AJ128" s="22" t="str">
        <f t="shared" si="153"/>
        <v/>
      </c>
      <c r="AK128" s="22" t="str">
        <f t="shared" si="153"/>
        <v/>
      </c>
      <c r="AL128" s="22" t="str">
        <f t="shared" si="153"/>
        <v/>
      </c>
      <c r="AM128" s="22" t="str">
        <f t="shared" si="153"/>
        <v/>
      </c>
      <c r="AN128" s="22" t="str">
        <f t="shared" si="153"/>
        <v/>
      </c>
      <c r="AO128" s="22" t="str">
        <f t="shared" si="153"/>
        <v/>
      </c>
      <c r="AP128" s="22" t="str">
        <f t="shared" si="153"/>
        <v/>
      </c>
      <c r="AQ128" s="22" t="str">
        <f t="shared" si="153"/>
        <v/>
      </c>
      <c r="AR128" s="22" t="str">
        <f t="shared" si="153"/>
        <v/>
      </c>
      <c r="AS128" s="22" t="str">
        <f t="shared" si="153"/>
        <v/>
      </c>
      <c r="AT128" s="22" t="str">
        <f t="shared" si="153"/>
        <v/>
      </c>
      <c r="AU128" s="22" t="str">
        <f t="shared" si="153"/>
        <v/>
      </c>
    </row>
    <row r="129" spans="1:47">
      <c r="A129" s="21" t="str">
        <f t="shared" ref="A129:A132" si="154">A124</f>
        <v>Max</v>
      </c>
      <c r="B129" s="191"/>
      <c r="C129" s="191"/>
      <c r="D129" s="22">
        <f t="shared" si="121"/>
        <v>4076.6440356455037</v>
      </c>
      <c r="E129" s="22">
        <f t="shared" si="151"/>
        <v>4336.7326630205489</v>
      </c>
      <c r="F129" s="22">
        <f t="shared" si="123"/>
        <v>4596.8212903955937</v>
      </c>
      <c r="G129" s="22">
        <f t="shared" si="152"/>
        <v>173.39241825003018</v>
      </c>
      <c r="P129" s="22">
        <f>IF(COUNT(P116:P122)=0,"",MAX(P116:P122))</f>
        <v>4352.4547835314452</v>
      </c>
      <c r="Q129" s="22">
        <f>IF(COUNT(Q116:Q122)=0,"",MAX(Q116:Q122))</f>
        <v>4481.6453574704665</v>
      </c>
      <c r="R129" s="22">
        <f t="shared" ref="R129:AU129" si="155">IF(COUNT(R116:R122)=0,"",MAX(R116:R122))</f>
        <v>4513.6223942223141</v>
      </c>
      <c r="S129" s="22">
        <f t="shared" si="155"/>
        <v>4404.4302460577692</v>
      </c>
      <c r="T129" s="22">
        <f t="shared" si="155"/>
        <v>4208.6278152639843</v>
      </c>
      <c r="U129" s="22">
        <f t="shared" si="155"/>
        <v>4059.6153815773055</v>
      </c>
      <c r="V129" s="22" t="str">
        <f t="shared" si="155"/>
        <v/>
      </c>
      <c r="W129" s="22" t="str">
        <f t="shared" si="155"/>
        <v/>
      </c>
      <c r="X129" s="22" t="str">
        <f t="shared" si="155"/>
        <v/>
      </c>
      <c r="Y129" s="22" t="str">
        <f t="shared" si="155"/>
        <v/>
      </c>
      <c r="Z129" s="22" t="str">
        <f t="shared" si="155"/>
        <v/>
      </c>
      <c r="AA129" s="22" t="str">
        <f t="shared" si="155"/>
        <v/>
      </c>
      <c r="AB129" s="22" t="str">
        <f t="shared" si="155"/>
        <v/>
      </c>
      <c r="AC129" s="22" t="str">
        <f t="shared" si="155"/>
        <v/>
      </c>
      <c r="AD129" s="22" t="str">
        <f t="shared" si="155"/>
        <v/>
      </c>
      <c r="AE129" s="22" t="str">
        <f t="shared" si="155"/>
        <v/>
      </c>
      <c r="AF129" s="22" t="str">
        <f t="shared" si="155"/>
        <v/>
      </c>
      <c r="AG129" s="22" t="str">
        <f t="shared" si="155"/>
        <v/>
      </c>
      <c r="AH129" s="22" t="str">
        <f t="shared" si="155"/>
        <v/>
      </c>
      <c r="AI129" s="22" t="str">
        <f t="shared" si="155"/>
        <v/>
      </c>
      <c r="AJ129" s="22" t="str">
        <f t="shared" si="155"/>
        <v/>
      </c>
      <c r="AK129" s="22" t="str">
        <f t="shared" si="155"/>
        <v/>
      </c>
      <c r="AL129" s="22" t="str">
        <f t="shared" si="155"/>
        <v/>
      </c>
      <c r="AM129" s="22" t="str">
        <f t="shared" si="155"/>
        <v/>
      </c>
      <c r="AN129" s="22" t="str">
        <f t="shared" si="155"/>
        <v/>
      </c>
      <c r="AO129" s="22" t="str">
        <f t="shared" si="155"/>
        <v/>
      </c>
      <c r="AP129" s="22" t="str">
        <f t="shared" si="155"/>
        <v/>
      </c>
      <c r="AQ129" s="22" t="str">
        <f t="shared" si="155"/>
        <v/>
      </c>
      <c r="AR129" s="22" t="str">
        <f t="shared" si="155"/>
        <v/>
      </c>
      <c r="AS129" s="22" t="str">
        <f t="shared" si="155"/>
        <v/>
      </c>
      <c r="AT129" s="22" t="str">
        <f t="shared" si="155"/>
        <v/>
      </c>
      <c r="AU129" s="22" t="str">
        <f t="shared" si="155"/>
        <v/>
      </c>
    </row>
    <row r="130" spans="1:47">
      <c r="A130" s="21" t="str">
        <f t="shared" si="154"/>
        <v>Median</v>
      </c>
      <c r="B130" s="191"/>
      <c r="C130" s="191"/>
      <c r="D130" s="22">
        <f t="shared" si="121"/>
        <v>4076.6440356455037</v>
      </c>
      <c r="E130" s="22">
        <f t="shared" si="151"/>
        <v>4336.7326630205489</v>
      </c>
      <c r="F130" s="22">
        <f t="shared" si="123"/>
        <v>4596.8212903955937</v>
      </c>
      <c r="G130" s="22">
        <f t="shared" si="152"/>
        <v>173.39241825003018</v>
      </c>
      <c r="P130" s="22">
        <f>IF(COUNT(P128:P129)=0,"",(P129+P128)/2)</f>
        <v>4352.4547835314452</v>
      </c>
      <c r="Q130" s="22">
        <f t="shared" ref="Q130:AU130" si="156">IF(COUNT(Q128:Q129)=0,"",(Q129+Q128)/2)</f>
        <v>4481.6453574704665</v>
      </c>
      <c r="R130" s="22">
        <f t="shared" si="156"/>
        <v>4513.6223942223141</v>
      </c>
      <c r="S130" s="22">
        <f t="shared" si="156"/>
        <v>4404.4302460577692</v>
      </c>
      <c r="T130" s="22">
        <f t="shared" si="156"/>
        <v>4208.6278152639843</v>
      </c>
      <c r="U130" s="22">
        <f t="shared" si="156"/>
        <v>4059.6153815773055</v>
      </c>
      <c r="V130" s="22" t="str">
        <f t="shared" si="156"/>
        <v/>
      </c>
      <c r="W130" s="22" t="str">
        <f t="shared" si="156"/>
        <v/>
      </c>
      <c r="X130" s="22" t="str">
        <f t="shared" si="156"/>
        <v/>
      </c>
      <c r="Y130" s="22" t="str">
        <f t="shared" si="156"/>
        <v/>
      </c>
      <c r="Z130" s="22" t="str">
        <f t="shared" si="156"/>
        <v/>
      </c>
      <c r="AA130" s="22" t="str">
        <f t="shared" si="156"/>
        <v/>
      </c>
      <c r="AB130" s="22" t="str">
        <f t="shared" si="156"/>
        <v/>
      </c>
      <c r="AC130" s="22" t="str">
        <f t="shared" si="156"/>
        <v/>
      </c>
      <c r="AD130" s="22" t="str">
        <f t="shared" si="156"/>
        <v/>
      </c>
      <c r="AE130" s="22" t="str">
        <f t="shared" si="156"/>
        <v/>
      </c>
      <c r="AF130" s="22" t="str">
        <f t="shared" si="156"/>
        <v/>
      </c>
      <c r="AG130" s="22" t="str">
        <f t="shared" si="156"/>
        <v/>
      </c>
      <c r="AH130" s="22" t="str">
        <f t="shared" si="156"/>
        <v/>
      </c>
      <c r="AI130" s="22" t="str">
        <f t="shared" si="156"/>
        <v/>
      </c>
      <c r="AJ130" s="22" t="str">
        <f t="shared" si="156"/>
        <v/>
      </c>
      <c r="AK130" s="22" t="str">
        <f t="shared" si="156"/>
        <v/>
      </c>
      <c r="AL130" s="22" t="str">
        <f t="shared" si="156"/>
        <v/>
      </c>
      <c r="AM130" s="22" t="str">
        <f t="shared" si="156"/>
        <v/>
      </c>
      <c r="AN130" s="22" t="str">
        <f t="shared" si="156"/>
        <v/>
      </c>
      <c r="AO130" s="22" t="str">
        <f t="shared" si="156"/>
        <v/>
      </c>
      <c r="AP130" s="22" t="str">
        <f t="shared" si="156"/>
        <v/>
      </c>
      <c r="AQ130" s="22" t="str">
        <f t="shared" si="156"/>
        <v/>
      </c>
      <c r="AR130" s="22" t="str">
        <f t="shared" si="156"/>
        <v/>
      </c>
      <c r="AS130" s="22" t="str">
        <f t="shared" si="156"/>
        <v/>
      </c>
      <c r="AT130" s="22" t="str">
        <f t="shared" si="156"/>
        <v/>
      </c>
      <c r="AU130" s="22" t="str">
        <f t="shared" si="156"/>
        <v/>
      </c>
    </row>
    <row r="131" spans="1:47">
      <c r="A131" s="21" t="str">
        <f t="shared" si="154"/>
        <v>Gain Error</v>
      </c>
      <c r="B131" s="191"/>
      <c r="C131" s="191"/>
      <c r="D131" s="27">
        <f t="shared" si="121"/>
        <v>1.9161008911360883E-2</v>
      </c>
      <c r="E131" s="27">
        <f t="shared" si="151"/>
        <v>8.4183165755136888E-2</v>
      </c>
      <c r="F131" s="27">
        <f t="shared" si="123"/>
        <v>0.14920532259891289</v>
      </c>
      <c r="G131" s="27">
        <f t="shared" si="152"/>
        <v>4.3348104562517337E-2</v>
      </c>
      <c r="I131" s="49">
        <f>I8</f>
        <v>2</v>
      </c>
      <c r="J131" s="49">
        <f>J126</f>
        <v>1</v>
      </c>
      <c r="K131" s="26">
        <f>INDEX(calTable,I131,J131)</f>
        <v>4000</v>
      </c>
      <c r="P131" s="27">
        <f>IF(COUNT(P130)=0,"",P130/$K131-1)</f>
        <v>8.811369588286122E-2</v>
      </c>
      <c r="Q131" s="27">
        <f t="shared" ref="Q131:AU131" si="157">IF(COUNT(Q130)=0,"",Q130/$K131-1)</f>
        <v>0.12041133936761672</v>
      </c>
      <c r="R131" s="27">
        <f t="shared" si="157"/>
        <v>0.12840559855557854</v>
      </c>
      <c r="S131" s="27">
        <f t="shared" si="157"/>
        <v>0.10110756151444233</v>
      </c>
      <c r="T131" s="27">
        <f t="shared" si="157"/>
        <v>5.2156953815996054E-2</v>
      </c>
      <c r="U131" s="27">
        <f t="shared" si="157"/>
        <v>1.4903845394326432E-2</v>
      </c>
      <c r="V131" s="27" t="str">
        <f t="shared" si="157"/>
        <v/>
      </c>
      <c r="W131" s="27" t="str">
        <f t="shared" si="157"/>
        <v/>
      </c>
      <c r="X131" s="27" t="str">
        <f t="shared" si="157"/>
        <v/>
      </c>
      <c r="Y131" s="27" t="str">
        <f t="shared" si="157"/>
        <v/>
      </c>
      <c r="Z131" s="27" t="str">
        <f t="shared" si="157"/>
        <v/>
      </c>
      <c r="AA131" s="27" t="str">
        <f t="shared" si="157"/>
        <v/>
      </c>
      <c r="AB131" s="27" t="str">
        <f t="shared" si="157"/>
        <v/>
      </c>
      <c r="AC131" s="27" t="str">
        <f t="shared" si="157"/>
        <v/>
      </c>
      <c r="AD131" s="27" t="str">
        <f t="shared" si="157"/>
        <v/>
      </c>
      <c r="AE131" s="27" t="str">
        <f t="shared" si="157"/>
        <v/>
      </c>
      <c r="AF131" s="27" t="str">
        <f t="shared" si="157"/>
        <v/>
      </c>
      <c r="AG131" s="27" t="str">
        <f t="shared" si="157"/>
        <v/>
      </c>
      <c r="AH131" s="27" t="str">
        <f t="shared" si="157"/>
        <v/>
      </c>
      <c r="AI131" s="27" t="str">
        <f t="shared" si="157"/>
        <v/>
      </c>
      <c r="AJ131" s="27" t="str">
        <f t="shared" si="157"/>
        <v/>
      </c>
      <c r="AK131" s="27" t="str">
        <f t="shared" si="157"/>
        <v/>
      </c>
      <c r="AL131" s="27" t="str">
        <f t="shared" si="157"/>
        <v/>
      </c>
      <c r="AM131" s="27" t="str">
        <f t="shared" si="157"/>
        <v/>
      </c>
      <c r="AN131" s="27" t="str">
        <f t="shared" si="157"/>
        <v/>
      </c>
      <c r="AO131" s="27" t="str">
        <f t="shared" si="157"/>
        <v/>
      </c>
      <c r="AP131" s="27" t="str">
        <f t="shared" si="157"/>
        <v/>
      </c>
      <c r="AQ131" s="27" t="str">
        <f t="shared" si="157"/>
        <v/>
      </c>
      <c r="AR131" s="27" t="str">
        <f t="shared" si="157"/>
        <v/>
      </c>
      <c r="AS131" s="27" t="str">
        <f t="shared" si="157"/>
        <v/>
      </c>
      <c r="AT131" s="27" t="str">
        <f t="shared" si="157"/>
        <v/>
      </c>
      <c r="AU131" s="27" t="str">
        <f t="shared" si="157"/>
        <v/>
      </c>
    </row>
    <row r="132" spans="1:47">
      <c r="A132" s="21" t="str">
        <f t="shared" si="154"/>
        <v>LS2LS</v>
      </c>
      <c r="B132" s="191"/>
      <c r="C132" s="191"/>
      <c r="D132" s="27">
        <f t="shared" si="121"/>
        <v>0</v>
      </c>
      <c r="E132" s="27">
        <f t="shared" si="151"/>
        <v>0</v>
      </c>
      <c r="F132" s="30">
        <f t="shared" si="123"/>
        <v>0</v>
      </c>
      <c r="G132" s="27">
        <f t="shared" si="152"/>
        <v>0</v>
      </c>
      <c r="P132" s="27">
        <f>IF(COUNT(P130)=0,"",(P129-P128)/P130)</f>
        <v>0</v>
      </c>
      <c r="Q132" s="27">
        <f t="shared" ref="Q132:AU132" si="158">IF(COUNT(Q130)=0,"",(Q129-Q128)/Q130)</f>
        <v>0</v>
      </c>
      <c r="R132" s="27">
        <f t="shared" si="158"/>
        <v>0</v>
      </c>
      <c r="S132" s="27">
        <f t="shared" si="158"/>
        <v>0</v>
      </c>
      <c r="T132" s="27">
        <f t="shared" si="158"/>
        <v>0</v>
      </c>
      <c r="U132" s="27">
        <f t="shared" si="158"/>
        <v>0</v>
      </c>
      <c r="V132" s="27" t="str">
        <f t="shared" si="158"/>
        <v/>
      </c>
      <c r="W132" s="27" t="str">
        <f t="shared" si="158"/>
        <v/>
      </c>
      <c r="X132" s="27" t="str">
        <f t="shared" si="158"/>
        <v/>
      </c>
      <c r="Y132" s="27" t="str">
        <f t="shared" si="158"/>
        <v/>
      </c>
      <c r="Z132" s="27" t="str">
        <f t="shared" si="158"/>
        <v/>
      </c>
      <c r="AA132" s="27" t="str">
        <f t="shared" si="158"/>
        <v/>
      </c>
      <c r="AB132" s="27" t="str">
        <f t="shared" si="158"/>
        <v/>
      </c>
      <c r="AC132" s="27" t="str">
        <f t="shared" si="158"/>
        <v/>
      </c>
      <c r="AD132" s="27" t="str">
        <f t="shared" si="158"/>
        <v/>
      </c>
      <c r="AE132" s="27" t="str">
        <f t="shared" si="158"/>
        <v/>
      </c>
      <c r="AF132" s="27" t="str">
        <f t="shared" si="158"/>
        <v/>
      </c>
      <c r="AG132" s="27" t="str">
        <f t="shared" si="158"/>
        <v/>
      </c>
      <c r="AH132" s="27" t="str">
        <f t="shared" si="158"/>
        <v/>
      </c>
      <c r="AI132" s="27" t="str">
        <f t="shared" si="158"/>
        <v/>
      </c>
      <c r="AJ132" s="27" t="str">
        <f t="shared" si="158"/>
        <v/>
      </c>
      <c r="AK132" s="27" t="str">
        <f t="shared" si="158"/>
        <v/>
      </c>
      <c r="AL132" s="27" t="str">
        <f t="shared" si="158"/>
        <v/>
      </c>
      <c r="AM132" s="27" t="str">
        <f t="shared" si="158"/>
        <v/>
      </c>
      <c r="AN132" s="27" t="str">
        <f t="shared" si="158"/>
        <v/>
      </c>
      <c r="AO132" s="27" t="str">
        <f t="shared" si="158"/>
        <v/>
      </c>
      <c r="AP132" s="27" t="str">
        <f t="shared" si="158"/>
        <v/>
      </c>
      <c r="AQ132" s="27" t="str">
        <f t="shared" si="158"/>
        <v/>
      </c>
      <c r="AR132" s="27" t="str">
        <f t="shared" si="158"/>
        <v/>
      </c>
      <c r="AS132" s="27" t="str">
        <f t="shared" si="158"/>
        <v/>
      </c>
      <c r="AT132" s="27" t="str">
        <f t="shared" si="158"/>
        <v/>
      </c>
      <c r="AU132" s="27" t="str">
        <f t="shared" si="158"/>
        <v/>
      </c>
    </row>
    <row r="133" spans="1:47" s="21" customFormat="1"/>
    <row r="134" spans="1:47">
      <c r="A134" s="124" t="str">
        <f>A109</f>
        <v>41F02</v>
      </c>
      <c r="B134" s="191" t="str">
        <f>B109</f>
        <v>P0</v>
      </c>
      <c r="C134" s="191" t="str">
        <f>C5</f>
        <v>Range2</v>
      </c>
      <c r="D134" s="22" t="str">
        <f t="shared" ref="D134:D147" si="159">IF(COUNT(P134:AU134)=0,"",E134-1.5*G134)</f>
        <v/>
      </c>
      <c r="E134" s="22" t="str">
        <f t="shared" ref="E134:E159" si="160">IF(COUNT(P134:AU134)=0,"",AVERAGE(P134:AU134))</f>
        <v/>
      </c>
      <c r="F134" s="22" t="str">
        <f t="shared" ref="F134:F147" si="161">IF(COUNT(P134:AU134)=0,"",E134+1.5*G134)</f>
        <v/>
      </c>
      <c r="G134" s="22" t="str">
        <f t="shared" ref="G134:G159" si="162">IF(COUNT(P134:AU134)=0,"",STDEV(P134:AU134))</f>
        <v/>
      </c>
      <c r="H134" s="125">
        <f t="shared" ref="H134:H140" si="163">H109</f>
        <v>3670</v>
      </c>
      <c r="I134" s="125"/>
      <c r="J134" s="125"/>
      <c r="K134" s="125"/>
      <c r="P134" s="22" t="str">
        <f t="shared" ref="P134:AU134" si="164">IF(COUNT(P5)=0,"",P5+_IRM2*P7)</f>
        <v/>
      </c>
      <c r="Q134" s="22" t="str">
        <f t="shared" si="164"/>
        <v/>
      </c>
      <c r="R134" s="22" t="str">
        <f>IF(COUNT(R5)=0,"",R5+_IRM2*R7)</f>
        <v/>
      </c>
      <c r="S134" s="22" t="str">
        <f t="shared" si="164"/>
        <v/>
      </c>
      <c r="T134" s="22" t="str">
        <f t="shared" si="164"/>
        <v/>
      </c>
      <c r="U134" s="22" t="str">
        <f t="shared" si="164"/>
        <v/>
      </c>
      <c r="V134" s="22" t="str">
        <f t="shared" si="164"/>
        <v/>
      </c>
      <c r="W134" s="22" t="str">
        <f t="shared" si="164"/>
        <v/>
      </c>
      <c r="X134" s="22" t="str">
        <f t="shared" si="164"/>
        <v/>
      </c>
      <c r="Y134" s="22" t="str">
        <f t="shared" si="164"/>
        <v/>
      </c>
      <c r="Z134" s="22" t="str">
        <f t="shared" si="164"/>
        <v/>
      </c>
      <c r="AA134" s="22" t="str">
        <f t="shared" si="164"/>
        <v/>
      </c>
      <c r="AB134" s="22" t="str">
        <f t="shared" si="164"/>
        <v/>
      </c>
      <c r="AC134" s="22" t="str">
        <f t="shared" si="164"/>
        <v/>
      </c>
      <c r="AD134" s="22" t="str">
        <f t="shared" si="164"/>
        <v/>
      </c>
      <c r="AE134" s="22" t="str">
        <f t="shared" si="164"/>
        <v/>
      </c>
      <c r="AF134" s="22" t="str">
        <f t="shared" si="164"/>
        <v/>
      </c>
      <c r="AG134" s="22" t="str">
        <f t="shared" si="164"/>
        <v/>
      </c>
      <c r="AH134" s="22" t="str">
        <f t="shared" si="164"/>
        <v/>
      </c>
      <c r="AI134" s="22" t="str">
        <f t="shared" si="164"/>
        <v/>
      </c>
      <c r="AJ134" s="22" t="str">
        <f t="shared" si="164"/>
        <v/>
      </c>
      <c r="AK134" s="22" t="str">
        <f t="shared" si="164"/>
        <v/>
      </c>
      <c r="AL134" s="22" t="str">
        <f t="shared" si="164"/>
        <v/>
      </c>
      <c r="AM134" s="22" t="str">
        <f t="shared" si="164"/>
        <v/>
      </c>
      <c r="AN134" s="22" t="str">
        <f t="shared" si="164"/>
        <v/>
      </c>
      <c r="AO134" s="22" t="str">
        <f t="shared" si="164"/>
        <v/>
      </c>
      <c r="AP134" s="22" t="str">
        <f t="shared" si="164"/>
        <v/>
      </c>
      <c r="AQ134" s="22" t="str">
        <f t="shared" si="164"/>
        <v/>
      </c>
      <c r="AR134" s="22" t="str">
        <f t="shared" si="164"/>
        <v/>
      </c>
      <c r="AS134" s="22" t="str">
        <f t="shared" si="164"/>
        <v/>
      </c>
      <c r="AT134" s="22" t="str">
        <f t="shared" si="164"/>
        <v/>
      </c>
      <c r="AU134" s="22" t="str">
        <f t="shared" si="164"/>
        <v/>
      </c>
    </row>
    <row r="135" spans="1:47">
      <c r="A135" s="21" t="str">
        <f t="shared" ref="A135:A140" si="165">A110</f>
        <v>55F02</v>
      </c>
      <c r="B135" s="191"/>
      <c r="C135" s="191"/>
      <c r="D135" s="22" t="str">
        <f t="shared" si="159"/>
        <v/>
      </c>
      <c r="E135" s="22" t="str">
        <f t="shared" si="160"/>
        <v/>
      </c>
      <c r="F135" s="22" t="str">
        <f t="shared" si="161"/>
        <v/>
      </c>
      <c r="G135" s="22" t="str">
        <f t="shared" si="162"/>
        <v/>
      </c>
      <c r="H135" s="49">
        <f t="shared" si="163"/>
        <v>4430</v>
      </c>
      <c r="P135" s="22" t="str">
        <f t="shared" ref="P135:AU135" si="166">IF(COUNT(P17)=0,"",P17+_IRM2*P19)</f>
        <v/>
      </c>
      <c r="Q135" s="22" t="str">
        <f t="shared" si="166"/>
        <v/>
      </c>
      <c r="R135" s="22" t="str">
        <f t="shared" si="166"/>
        <v/>
      </c>
      <c r="S135" s="22" t="str">
        <f t="shared" si="166"/>
        <v/>
      </c>
      <c r="T135" s="22" t="str">
        <f t="shared" si="166"/>
        <v/>
      </c>
      <c r="U135" s="22" t="str">
        <f t="shared" si="166"/>
        <v/>
      </c>
      <c r="V135" s="22" t="str">
        <f t="shared" si="166"/>
        <v/>
      </c>
      <c r="W135" s="22" t="str">
        <f t="shared" si="166"/>
        <v/>
      </c>
      <c r="X135" s="22" t="str">
        <f t="shared" si="166"/>
        <v/>
      </c>
      <c r="Y135" s="22" t="str">
        <f t="shared" si="166"/>
        <v/>
      </c>
      <c r="Z135" s="22" t="str">
        <f t="shared" si="166"/>
        <v/>
      </c>
      <c r="AA135" s="22" t="str">
        <f t="shared" si="166"/>
        <v/>
      </c>
      <c r="AB135" s="22" t="str">
        <f t="shared" si="166"/>
        <v/>
      </c>
      <c r="AC135" s="22" t="str">
        <f t="shared" si="166"/>
        <v/>
      </c>
      <c r="AD135" s="22" t="str">
        <f t="shared" si="166"/>
        <v/>
      </c>
      <c r="AE135" s="22" t="str">
        <f t="shared" si="166"/>
        <v/>
      </c>
      <c r="AF135" s="22" t="str">
        <f t="shared" si="166"/>
        <v/>
      </c>
      <c r="AG135" s="22" t="str">
        <f t="shared" si="166"/>
        <v/>
      </c>
      <c r="AH135" s="22" t="str">
        <f t="shared" si="166"/>
        <v/>
      </c>
      <c r="AI135" s="22" t="str">
        <f t="shared" si="166"/>
        <v/>
      </c>
      <c r="AJ135" s="22" t="str">
        <f t="shared" si="166"/>
        <v/>
      </c>
      <c r="AK135" s="22" t="str">
        <f t="shared" si="166"/>
        <v/>
      </c>
      <c r="AL135" s="22" t="str">
        <f t="shared" si="166"/>
        <v/>
      </c>
      <c r="AM135" s="22" t="str">
        <f t="shared" si="166"/>
        <v/>
      </c>
      <c r="AN135" s="22" t="str">
        <f t="shared" si="166"/>
        <v/>
      </c>
      <c r="AO135" s="22" t="str">
        <f t="shared" si="166"/>
        <v/>
      </c>
      <c r="AP135" s="22" t="str">
        <f t="shared" si="166"/>
        <v/>
      </c>
      <c r="AQ135" s="22" t="str">
        <f t="shared" si="166"/>
        <v/>
      </c>
      <c r="AR135" s="22" t="str">
        <f t="shared" si="166"/>
        <v/>
      </c>
      <c r="AS135" s="22" t="str">
        <f t="shared" si="166"/>
        <v/>
      </c>
      <c r="AT135" s="22" t="str">
        <f t="shared" si="166"/>
        <v/>
      </c>
      <c r="AU135" s="22" t="str">
        <f t="shared" si="166"/>
        <v/>
      </c>
    </row>
    <row r="136" spans="1:47">
      <c r="A136" s="21" t="str">
        <f t="shared" si="165"/>
        <v>65F01</v>
      </c>
      <c r="B136" s="191"/>
      <c r="C136" s="191"/>
      <c r="D136" s="22" t="str">
        <f t="shared" si="159"/>
        <v/>
      </c>
      <c r="E136" s="22" t="str">
        <f t="shared" si="160"/>
        <v/>
      </c>
      <c r="F136" s="22" t="str">
        <f t="shared" si="161"/>
        <v/>
      </c>
      <c r="G136" s="22" t="str">
        <f t="shared" si="162"/>
        <v/>
      </c>
      <c r="H136" s="49">
        <f t="shared" si="163"/>
        <v>6110</v>
      </c>
      <c r="P136" s="22" t="str">
        <f t="shared" ref="P136:AU136" si="167">IF(COUNT(P29)=0,"",P29+_IRM2*P31)</f>
        <v/>
      </c>
      <c r="Q136" s="22" t="str">
        <f t="shared" si="167"/>
        <v/>
      </c>
      <c r="R136" s="22" t="str">
        <f t="shared" si="167"/>
        <v/>
      </c>
      <c r="S136" s="22" t="str">
        <f t="shared" si="167"/>
        <v/>
      </c>
      <c r="T136" s="22" t="str">
        <f t="shared" si="167"/>
        <v/>
      </c>
      <c r="U136" s="22" t="str">
        <f t="shared" si="167"/>
        <v/>
      </c>
      <c r="V136" s="22" t="str">
        <f t="shared" si="167"/>
        <v/>
      </c>
      <c r="W136" s="22" t="str">
        <f t="shared" si="167"/>
        <v/>
      </c>
      <c r="X136" s="22" t="str">
        <f t="shared" si="167"/>
        <v/>
      </c>
      <c r="Y136" s="22" t="str">
        <f t="shared" si="167"/>
        <v/>
      </c>
      <c r="Z136" s="22" t="str">
        <f t="shared" si="167"/>
        <v/>
      </c>
      <c r="AA136" s="22" t="str">
        <f t="shared" si="167"/>
        <v/>
      </c>
      <c r="AB136" s="22" t="str">
        <f t="shared" si="167"/>
        <v/>
      </c>
      <c r="AC136" s="22" t="str">
        <f t="shared" si="167"/>
        <v/>
      </c>
      <c r="AD136" s="22" t="str">
        <f t="shared" si="167"/>
        <v/>
      </c>
      <c r="AE136" s="22" t="str">
        <f t="shared" si="167"/>
        <v/>
      </c>
      <c r="AF136" s="22" t="str">
        <f t="shared" si="167"/>
        <v/>
      </c>
      <c r="AG136" s="22" t="str">
        <f t="shared" si="167"/>
        <v/>
      </c>
      <c r="AH136" s="22" t="str">
        <f t="shared" si="167"/>
        <v/>
      </c>
      <c r="AI136" s="22" t="str">
        <f t="shared" si="167"/>
        <v/>
      </c>
      <c r="AJ136" s="22" t="str">
        <f t="shared" si="167"/>
        <v/>
      </c>
      <c r="AK136" s="22" t="str">
        <f t="shared" si="167"/>
        <v/>
      </c>
      <c r="AL136" s="22" t="str">
        <f t="shared" si="167"/>
        <v/>
      </c>
      <c r="AM136" s="22" t="str">
        <f t="shared" si="167"/>
        <v/>
      </c>
      <c r="AN136" s="22" t="str">
        <f t="shared" si="167"/>
        <v/>
      </c>
      <c r="AO136" s="22" t="str">
        <f t="shared" si="167"/>
        <v/>
      </c>
      <c r="AP136" s="22" t="str">
        <f t="shared" si="167"/>
        <v/>
      </c>
      <c r="AQ136" s="22" t="str">
        <f t="shared" si="167"/>
        <v/>
      </c>
      <c r="AR136" s="22" t="str">
        <f t="shared" si="167"/>
        <v/>
      </c>
      <c r="AS136" s="22" t="str">
        <f t="shared" si="167"/>
        <v/>
      </c>
      <c r="AT136" s="22" t="str">
        <f t="shared" si="167"/>
        <v/>
      </c>
      <c r="AU136" s="22" t="str">
        <f t="shared" si="167"/>
        <v/>
      </c>
    </row>
    <row r="137" spans="1:47">
      <c r="A137" s="21" t="str">
        <f t="shared" si="165"/>
        <v>2700K</v>
      </c>
      <c r="B137" s="191"/>
      <c r="C137" s="191"/>
      <c r="D137" s="22" t="str">
        <f t="shared" si="159"/>
        <v/>
      </c>
      <c r="E137" s="22" t="str">
        <f t="shared" si="160"/>
        <v/>
      </c>
      <c r="F137" s="22" t="str">
        <f t="shared" si="161"/>
        <v/>
      </c>
      <c r="G137" s="22" t="str">
        <f t="shared" si="162"/>
        <v/>
      </c>
      <c r="H137" s="49">
        <f t="shared" si="163"/>
        <v>2700</v>
      </c>
      <c r="P137" s="22" t="str">
        <f t="shared" ref="P137:AU137" si="168">IF(COUNT(P41)=0,"",P41+_IRM2*P43)</f>
        <v/>
      </c>
      <c r="Q137" s="22" t="str">
        <f t="shared" si="168"/>
        <v/>
      </c>
      <c r="R137" s="22" t="str">
        <f t="shared" si="168"/>
        <v/>
      </c>
      <c r="S137" s="22" t="str">
        <f t="shared" si="168"/>
        <v/>
      </c>
      <c r="T137" s="22" t="str">
        <f t="shared" si="168"/>
        <v/>
      </c>
      <c r="U137" s="22" t="str">
        <f t="shared" si="168"/>
        <v/>
      </c>
      <c r="V137" s="22" t="str">
        <f t="shared" si="168"/>
        <v/>
      </c>
      <c r="W137" s="22" t="str">
        <f t="shared" si="168"/>
        <v/>
      </c>
      <c r="X137" s="22" t="str">
        <f t="shared" si="168"/>
        <v/>
      </c>
      <c r="Y137" s="22" t="str">
        <f t="shared" si="168"/>
        <v/>
      </c>
      <c r="Z137" s="22" t="str">
        <f t="shared" si="168"/>
        <v/>
      </c>
      <c r="AA137" s="22" t="str">
        <f t="shared" si="168"/>
        <v/>
      </c>
      <c r="AB137" s="22" t="str">
        <f t="shared" si="168"/>
        <v/>
      </c>
      <c r="AC137" s="22" t="str">
        <f t="shared" si="168"/>
        <v/>
      </c>
      <c r="AD137" s="22" t="str">
        <f t="shared" si="168"/>
        <v/>
      </c>
      <c r="AE137" s="22" t="str">
        <f t="shared" si="168"/>
        <v/>
      </c>
      <c r="AF137" s="22" t="str">
        <f t="shared" si="168"/>
        <v/>
      </c>
      <c r="AG137" s="22" t="str">
        <f t="shared" si="168"/>
        <v/>
      </c>
      <c r="AH137" s="22" t="str">
        <f t="shared" si="168"/>
        <v/>
      </c>
      <c r="AI137" s="22" t="str">
        <f t="shared" si="168"/>
        <v/>
      </c>
      <c r="AJ137" s="22" t="str">
        <f t="shared" si="168"/>
        <v/>
      </c>
      <c r="AK137" s="22" t="str">
        <f t="shared" si="168"/>
        <v/>
      </c>
      <c r="AL137" s="22" t="str">
        <f t="shared" si="168"/>
        <v/>
      </c>
      <c r="AM137" s="22" t="str">
        <f t="shared" si="168"/>
        <v/>
      </c>
      <c r="AN137" s="22" t="str">
        <f t="shared" si="168"/>
        <v/>
      </c>
      <c r="AO137" s="22" t="str">
        <f t="shared" si="168"/>
        <v/>
      </c>
      <c r="AP137" s="22" t="str">
        <f t="shared" si="168"/>
        <v/>
      </c>
      <c r="AQ137" s="22" t="str">
        <f t="shared" si="168"/>
        <v/>
      </c>
      <c r="AR137" s="22" t="str">
        <f t="shared" si="168"/>
        <v/>
      </c>
      <c r="AS137" s="22" t="str">
        <f t="shared" si="168"/>
        <v/>
      </c>
      <c r="AT137" s="22" t="str">
        <f t="shared" si="168"/>
        <v/>
      </c>
      <c r="AU137" s="22" t="str">
        <f t="shared" si="168"/>
        <v/>
      </c>
    </row>
    <row r="138" spans="1:47">
      <c r="A138" s="21" t="str">
        <f t="shared" si="165"/>
        <v>3200K</v>
      </c>
      <c r="B138" s="191"/>
      <c r="C138" s="191"/>
      <c r="D138" s="22">
        <f t="shared" si="159"/>
        <v>809.73230397370048</v>
      </c>
      <c r="E138" s="22">
        <f t="shared" si="160"/>
        <v>974.49578086185977</v>
      </c>
      <c r="F138" s="22">
        <f t="shared" si="161"/>
        <v>1139.2592577500191</v>
      </c>
      <c r="G138" s="22">
        <f t="shared" si="162"/>
        <v>109.84231792543949</v>
      </c>
      <c r="H138" s="49">
        <f t="shared" si="163"/>
        <v>3200</v>
      </c>
      <c r="P138" s="22">
        <f t="shared" ref="P138:AU138" si="169">IF(COUNT(P53)=0,"",P53+_IRM2*P55)</f>
        <v>954.10705123862465</v>
      </c>
      <c r="Q138" s="22">
        <f t="shared" si="169"/>
        <v>1057.7606019303128</v>
      </c>
      <c r="R138" s="22">
        <f t="shared" si="169"/>
        <v>1114.7170850026955</v>
      </c>
      <c r="S138" s="22">
        <f t="shared" si="169"/>
        <v>1007.1512028746437</v>
      </c>
      <c r="T138" s="22">
        <f t="shared" si="169"/>
        <v>903.84149128781405</v>
      </c>
      <c r="U138" s="22">
        <f t="shared" si="169"/>
        <v>809.39725283706764</v>
      </c>
      <c r="V138" s="22" t="str">
        <f t="shared" si="169"/>
        <v/>
      </c>
      <c r="W138" s="22" t="str">
        <f t="shared" si="169"/>
        <v/>
      </c>
      <c r="X138" s="22" t="str">
        <f t="shared" si="169"/>
        <v/>
      </c>
      <c r="Y138" s="22" t="str">
        <f t="shared" si="169"/>
        <v/>
      </c>
      <c r="Z138" s="22" t="str">
        <f t="shared" si="169"/>
        <v/>
      </c>
      <c r="AA138" s="22" t="str">
        <f t="shared" si="169"/>
        <v/>
      </c>
      <c r="AB138" s="22" t="str">
        <f t="shared" si="169"/>
        <v/>
      </c>
      <c r="AC138" s="22" t="str">
        <f t="shared" si="169"/>
        <v/>
      </c>
      <c r="AD138" s="22" t="str">
        <f t="shared" si="169"/>
        <v/>
      </c>
      <c r="AE138" s="22" t="str">
        <f t="shared" si="169"/>
        <v/>
      </c>
      <c r="AF138" s="22" t="str">
        <f t="shared" si="169"/>
        <v/>
      </c>
      <c r="AG138" s="22" t="str">
        <f t="shared" si="169"/>
        <v/>
      </c>
      <c r="AH138" s="22" t="str">
        <f t="shared" si="169"/>
        <v/>
      </c>
      <c r="AI138" s="22" t="str">
        <f t="shared" si="169"/>
        <v/>
      </c>
      <c r="AJ138" s="22" t="str">
        <f t="shared" si="169"/>
        <v/>
      </c>
      <c r="AK138" s="22" t="str">
        <f t="shared" si="169"/>
        <v/>
      </c>
      <c r="AL138" s="22" t="str">
        <f t="shared" si="169"/>
        <v/>
      </c>
      <c r="AM138" s="22" t="str">
        <f t="shared" si="169"/>
        <v/>
      </c>
      <c r="AN138" s="22" t="str">
        <f t="shared" si="169"/>
        <v/>
      </c>
      <c r="AO138" s="22" t="str">
        <f t="shared" si="169"/>
        <v/>
      </c>
      <c r="AP138" s="22" t="str">
        <f t="shared" si="169"/>
        <v/>
      </c>
      <c r="AQ138" s="22" t="str">
        <f t="shared" si="169"/>
        <v/>
      </c>
      <c r="AR138" s="22" t="str">
        <f t="shared" si="169"/>
        <v/>
      </c>
      <c r="AS138" s="22" t="str">
        <f t="shared" si="169"/>
        <v/>
      </c>
      <c r="AT138" s="22" t="str">
        <f t="shared" si="169"/>
        <v/>
      </c>
      <c r="AU138" s="22" t="str">
        <f t="shared" si="169"/>
        <v/>
      </c>
    </row>
    <row r="139" spans="1:47">
      <c r="A139" s="21" t="str">
        <f t="shared" si="165"/>
        <v>5500K</v>
      </c>
      <c r="B139" s="191"/>
      <c r="C139" s="191"/>
      <c r="D139" s="22" t="str">
        <f t="shared" si="159"/>
        <v/>
      </c>
      <c r="E139" s="22" t="str">
        <f t="shared" si="160"/>
        <v/>
      </c>
      <c r="F139" s="22" t="str">
        <f t="shared" si="161"/>
        <v/>
      </c>
      <c r="G139" s="22" t="str">
        <f t="shared" si="162"/>
        <v/>
      </c>
      <c r="H139" s="49">
        <f t="shared" si="163"/>
        <v>5500</v>
      </c>
      <c r="P139" s="22" t="str">
        <f t="shared" ref="P139:AU139" si="170">IF(COUNT(P65)=0,"",P65+_IRM2*P67)</f>
        <v/>
      </c>
      <c r="Q139" s="22" t="str">
        <f t="shared" si="170"/>
        <v/>
      </c>
      <c r="R139" s="22" t="str">
        <f t="shared" si="170"/>
        <v/>
      </c>
      <c r="S139" s="22" t="str">
        <f t="shared" si="170"/>
        <v/>
      </c>
      <c r="T139" s="22" t="str">
        <f t="shared" si="170"/>
        <v/>
      </c>
      <c r="U139" s="22" t="str">
        <f t="shared" si="170"/>
        <v/>
      </c>
      <c r="V139" s="22" t="str">
        <f t="shared" si="170"/>
        <v/>
      </c>
      <c r="W139" s="22" t="str">
        <f t="shared" si="170"/>
        <v/>
      </c>
      <c r="X139" s="22" t="str">
        <f t="shared" si="170"/>
        <v/>
      </c>
      <c r="Y139" s="22" t="str">
        <f t="shared" si="170"/>
        <v/>
      </c>
      <c r="Z139" s="22" t="str">
        <f t="shared" si="170"/>
        <v/>
      </c>
      <c r="AA139" s="22" t="str">
        <f t="shared" si="170"/>
        <v/>
      </c>
      <c r="AB139" s="22" t="str">
        <f t="shared" si="170"/>
        <v/>
      </c>
      <c r="AC139" s="22" t="str">
        <f t="shared" si="170"/>
        <v/>
      </c>
      <c r="AD139" s="22" t="str">
        <f t="shared" si="170"/>
        <v/>
      </c>
      <c r="AE139" s="22" t="str">
        <f t="shared" si="170"/>
        <v/>
      </c>
      <c r="AF139" s="22" t="str">
        <f t="shared" si="170"/>
        <v/>
      </c>
      <c r="AG139" s="22" t="str">
        <f t="shared" si="170"/>
        <v/>
      </c>
      <c r="AH139" s="22" t="str">
        <f t="shared" si="170"/>
        <v/>
      </c>
      <c r="AI139" s="22" t="str">
        <f t="shared" si="170"/>
        <v/>
      </c>
      <c r="AJ139" s="22" t="str">
        <f t="shared" si="170"/>
        <v/>
      </c>
      <c r="AK139" s="22" t="str">
        <f t="shared" si="170"/>
        <v/>
      </c>
      <c r="AL139" s="22" t="str">
        <f t="shared" si="170"/>
        <v/>
      </c>
      <c r="AM139" s="22" t="str">
        <f t="shared" si="170"/>
        <v/>
      </c>
      <c r="AN139" s="22" t="str">
        <f t="shared" si="170"/>
        <v/>
      </c>
      <c r="AO139" s="22" t="str">
        <f t="shared" si="170"/>
        <v/>
      </c>
      <c r="AP139" s="22" t="str">
        <f t="shared" si="170"/>
        <v/>
      </c>
      <c r="AQ139" s="22" t="str">
        <f t="shared" si="170"/>
        <v/>
      </c>
      <c r="AR139" s="22" t="str">
        <f t="shared" si="170"/>
        <v/>
      </c>
      <c r="AS139" s="22" t="str">
        <f t="shared" si="170"/>
        <v/>
      </c>
      <c r="AT139" s="22" t="str">
        <f t="shared" si="170"/>
        <v/>
      </c>
      <c r="AU139" s="22" t="str">
        <f t="shared" si="170"/>
        <v/>
      </c>
    </row>
    <row r="140" spans="1:47">
      <c r="A140" s="21" t="str">
        <f t="shared" si="165"/>
        <v>6500K</v>
      </c>
      <c r="B140" s="191"/>
      <c r="C140" s="191"/>
      <c r="D140" s="22" t="str">
        <f t="shared" si="159"/>
        <v/>
      </c>
      <c r="E140" s="22" t="str">
        <f t="shared" si="160"/>
        <v/>
      </c>
      <c r="F140" s="22" t="str">
        <f t="shared" si="161"/>
        <v/>
      </c>
      <c r="G140" s="22" t="str">
        <f t="shared" si="162"/>
        <v/>
      </c>
      <c r="H140" s="49">
        <f t="shared" si="163"/>
        <v>6500</v>
      </c>
      <c r="P140" s="22" t="str">
        <f t="shared" ref="P140:AU140" si="171">IF(COUNT(P77)=0,"",P77+_IRM2*P79)</f>
        <v/>
      </c>
      <c r="Q140" s="22" t="str">
        <f t="shared" si="171"/>
        <v/>
      </c>
      <c r="R140" s="22" t="str">
        <f t="shared" si="171"/>
        <v/>
      </c>
      <c r="S140" s="22" t="str">
        <f t="shared" si="171"/>
        <v/>
      </c>
      <c r="T140" s="22" t="str">
        <f t="shared" si="171"/>
        <v/>
      </c>
      <c r="U140" s="22" t="str">
        <f t="shared" si="171"/>
        <v/>
      </c>
      <c r="V140" s="22" t="str">
        <f t="shared" si="171"/>
        <v/>
      </c>
      <c r="W140" s="22" t="str">
        <f t="shared" si="171"/>
        <v/>
      </c>
      <c r="X140" s="22" t="str">
        <f t="shared" si="171"/>
        <v/>
      </c>
      <c r="Y140" s="22" t="str">
        <f t="shared" si="171"/>
        <v/>
      </c>
      <c r="Z140" s="22" t="str">
        <f t="shared" si="171"/>
        <v/>
      </c>
      <c r="AA140" s="22" t="str">
        <f t="shared" si="171"/>
        <v/>
      </c>
      <c r="AB140" s="22" t="str">
        <f t="shared" si="171"/>
        <v/>
      </c>
      <c r="AC140" s="22" t="str">
        <f t="shared" si="171"/>
        <v/>
      </c>
      <c r="AD140" s="22" t="str">
        <f t="shared" si="171"/>
        <v/>
      </c>
      <c r="AE140" s="22" t="str">
        <f t="shared" si="171"/>
        <v/>
      </c>
      <c r="AF140" s="22" t="str">
        <f t="shared" si="171"/>
        <v/>
      </c>
      <c r="AG140" s="22" t="str">
        <f t="shared" si="171"/>
        <v/>
      </c>
      <c r="AH140" s="22" t="str">
        <f t="shared" si="171"/>
        <v/>
      </c>
      <c r="AI140" s="22" t="str">
        <f t="shared" si="171"/>
        <v/>
      </c>
      <c r="AJ140" s="22" t="str">
        <f t="shared" si="171"/>
        <v/>
      </c>
      <c r="AK140" s="22" t="str">
        <f t="shared" si="171"/>
        <v/>
      </c>
      <c r="AL140" s="22" t="str">
        <f t="shared" si="171"/>
        <v/>
      </c>
      <c r="AM140" s="22" t="str">
        <f t="shared" si="171"/>
        <v/>
      </c>
      <c r="AN140" s="22" t="str">
        <f t="shared" si="171"/>
        <v/>
      </c>
      <c r="AO140" s="22" t="str">
        <f t="shared" si="171"/>
        <v/>
      </c>
      <c r="AP140" s="22" t="str">
        <f t="shared" si="171"/>
        <v/>
      </c>
      <c r="AQ140" s="22" t="str">
        <f t="shared" si="171"/>
        <v/>
      </c>
      <c r="AR140" s="22" t="str">
        <f t="shared" si="171"/>
        <v/>
      </c>
      <c r="AS140" s="22" t="str">
        <f t="shared" si="171"/>
        <v/>
      </c>
      <c r="AT140" s="22" t="str">
        <f t="shared" si="171"/>
        <v/>
      </c>
      <c r="AU140" s="22" t="str">
        <f t="shared" si="171"/>
        <v/>
      </c>
    </row>
    <row r="141" spans="1:47">
      <c r="A141" s="21" t="str">
        <f>A134</f>
        <v>41F02</v>
      </c>
      <c r="B141" s="191" t="str">
        <f>B116</f>
        <v>P1</v>
      </c>
      <c r="C141" s="191"/>
      <c r="D141" s="22" t="str">
        <f t="shared" si="159"/>
        <v/>
      </c>
      <c r="E141" s="22" t="str">
        <f t="shared" ref="E141:E147" si="172">IF(COUNT(P141:AU141)=0,"",AVERAGE(P141:AU141))</f>
        <v/>
      </c>
      <c r="F141" s="22" t="str">
        <f t="shared" si="161"/>
        <v/>
      </c>
      <c r="G141" s="22" t="str">
        <f t="shared" ref="G141:G147" si="173">IF(COUNT(P141:AU141)=0,"",STDEV(P141:AU141))</f>
        <v/>
      </c>
      <c r="H141" s="49">
        <f>H134</f>
        <v>3670</v>
      </c>
      <c r="P141" s="22" t="str">
        <f t="shared" ref="P141:AU141" si="174">IF(COUNT(P9)=0,"",P9+_IRM2*P7)</f>
        <v/>
      </c>
      <c r="Q141" s="22" t="str">
        <f t="shared" si="174"/>
        <v/>
      </c>
      <c r="R141" s="22" t="str">
        <f t="shared" si="174"/>
        <v/>
      </c>
      <c r="S141" s="22" t="str">
        <f t="shared" si="174"/>
        <v/>
      </c>
      <c r="T141" s="22" t="str">
        <f t="shared" si="174"/>
        <v/>
      </c>
      <c r="U141" s="22" t="str">
        <f t="shared" si="174"/>
        <v/>
      </c>
      <c r="V141" s="22" t="str">
        <f t="shared" si="174"/>
        <v/>
      </c>
      <c r="W141" s="22" t="str">
        <f t="shared" si="174"/>
        <v/>
      </c>
      <c r="X141" s="22" t="str">
        <f t="shared" si="174"/>
        <v/>
      </c>
      <c r="Y141" s="22" t="str">
        <f t="shared" si="174"/>
        <v/>
      </c>
      <c r="Z141" s="22" t="str">
        <f t="shared" si="174"/>
        <v/>
      </c>
      <c r="AA141" s="22" t="str">
        <f t="shared" si="174"/>
        <v/>
      </c>
      <c r="AB141" s="22" t="str">
        <f t="shared" si="174"/>
        <v/>
      </c>
      <c r="AC141" s="22" t="str">
        <f t="shared" si="174"/>
        <v/>
      </c>
      <c r="AD141" s="22" t="str">
        <f t="shared" si="174"/>
        <v/>
      </c>
      <c r="AE141" s="22" t="str">
        <f t="shared" si="174"/>
        <v/>
      </c>
      <c r="AF141" s="22" t="str">
        <f t="shared" si="174"/>
        <v/>
      </c>
      <c r="AG141" s="22" t="str">
        <f t="shared" si="174"/>
        <v/>
      </c>
      <c r="AH141" s="22" t="str">
        <f t="shared" si="174"/>
        <v/>
      </c>
      <c r="AI141" s="22" t="str">
        <f t="shared" si="174"/>
        <v/>
      </c>
      <c r="AJ141" s="22" t="str">
        <f t="shared" si="174"/>
        <v/>
      </c>
      <c r="AK141" s="22" t="str">
        <f t="shared" si="174"/>
        <v/>
      </c>
      <c r="AL141" s="22" t="str">
        <f t="shared" si="174"/>
        <v/>
      </c>
      <c r="AM141" s="22" t="str">
        <f t="shared" si="174"/>
        <v/>
      </c>
      <c r="AN141" s="22" t="str">
        <f t="shared" si="174"/>
        <v/>
      </c>
      <c r="AO141" s="22" t="str">
        <f t="shared" si="174"/>
        <v/>
      </c>
      <c r="AP141" s="22" t="str">
        <f t="shared" si="174"/>
        <v/>
      </c>
      <c r="AQ141" s="22" t="str">
        <f t="shared" si="174"/>
        <v/>
      </c>
      <c r="AR141" s="22" t="str">
        <f t="shared" si="174"/>
        <v/>
      </c>
      <c r="AS141" s="22" t="str">
        <f t="shared" si="174"/>
        <v/>
      </c>
      <c r="AT141" s="22" t="str">
        <f t="shared" si="174"/>
        <v/>
      </c>
      <c r="AU141" s="22" t="str">
        <f t="shared" si="174"/>
        <v/>
      </c>
    </row>
    <row r="142" spans="1:47">
      <c r="A142" s="21" t="str">
        <f t="shared" ref="A142:A154" si="175">A135</f>
        <v>55F02</v>
      </c>
      <c r="B142" s="191"/>
      <c r="C142" s="191"/>
      <c r="D142" s="22" t="str">
        <f t="shared" si="159"/>
        <v/>
      </c>
      <c r="E142" s="22" t="str">
        <f t="shared" si="172"/>
        <v/>
      </c>
      <c r="F142" s="22" t="str">
        <f t="shared" si="161"/>
        <v/>
      </c>
      <c r="G142" s="22" t="str">
        <f t="shared" si="173"/>
        <v/>
      </c>
      <c r="H142" s="49">
        <f t="shared" ref="H142:H154" si="176">H135</f>
        <v>4430</v>
      </c>
      <c r="P142" s="22" t="str">
        <f t="shared" ref="P142:AU142" si="177">IF(COUNT(P21)=0,"",P21+_IRM2*P19)</f>
        <v/>
      </c>
      <c r="Q142" s="22" t="str">
        <f t="shared" si="177"/>
        <v/>
      </c>
      <c r="R142" s="22" t="str">
        <f t="shared" si="177"/>
        <v/>
      </c>
      <c r="S142" s="22" t="str">
        <f t="shared" si="177"/>
        <v/>
      </c>
      <c r="T142" s="22" t="str">
        <f t="shared" si="177"/>
        <v/>
      </c>
      <c r="U142" s="22" t="str">
        <f t="shared" si="177"/>
        <v/>
      </c>
      <c r="V142" s="22" t="str">
        <f t="shared" si="177"/>
        <v/>
      </c>
      <c r="W142" s="22" t="str">
        <f t="shared" si="177"/>
        <v/>
      </c>
      <c r="X142" s="22" t="str">
        <f t="shared" si="177"/>
        <v/>
      </c>
      <c r="Y142" s="22" t="str">
        <f t="shared" si="177"/>
        <v/>
      </c>
      <c r="Z142" s="22" t="str">
        <f t="shared" si="177"/>
        <v/>
      </c>
      <c r="AA142" s="22" t="str">
        <f t="shared" si="177"/>
        <v/>
      </c>
      <c r="AB142" s="22" t="str">
        <f t="shared" si="177"/>
        <v/>
      </c>
      <c r="AC142" s="22" t="str">
        <f t="shared" si="177"/>
        <v/>
      </c>
      <c r="AD142" s="22" t="str">
        <f t="shared" si="177"/>
        <v/>
      </c>
      <c r="AE142" s="22" t="str">
        <f t="shared" si="177"/>
        <v/>
      </c>
      <c r="AF142" s="22" t="str">
        <f t="shared" si="177"/>
        <v/>
      </c>
      <c r="AG142" s="22" t="str">
        <f t="shared" si="177"/>
        <v/>
      </c>
      <c r="AH142" s="22" t="str">
        <f t="shared" si="177"/>
        <v/>
      </c>
      <c r="AI142" s="22" t="str">
        <f t="shared" si="177"/>
        <v/>
      </c>
      <c r="AJ142" s="22" t="str">
        <f t="shared" si="177"/>
        <v/>
      </c>
      <c r="AK142" s="22" t="str">
        <f t="shared" si="177"/>
        <v/>
      </c>
      <c r="AL142" s="22" t="str">
        <f t="shared" si="177"/>
        <v/>
      </c>
      <c r="AM142" s="22" t="str">
        <f t="shared" si="177"/>
        <v/>
      </c>
      <c r="AN142" s="22" t="str">
        <f t="shared" si="177"/>
        <v/>
      </c>
      <c r="AO142" s="22" t="str">
        <f t="shared" si="177"/>
        <v/>
      </c>
      <c r="AP142" s="22" t="str">
        <f t="shared" si="177"/>
        <v/>
      </c>
      <c r="AQ142" s="22" t="str">
        <f t="shared" si="177"/>
        <v/>
      </c>
      <c r="AR142" s="22" t="str">
        <f t="shared" si="177"/>
        <v/>
      </c>
      <c r="AS142" s="22" t="str">
        <f t="shared" si="177"/>
        <v/>
      </c>
      <c r="AT142" s="22" t="str">
        <f t="shared" si="177"/>
        <v/>
      </c>
      <c r="AU142" s="22" t="str">
        <f t="shared" si="177"/>
        <v/>
      </c>
    </row>
    <row r="143" spans="1:47">
      <c r="A143" s="21" t="str">
        <f t="shared" si="175"/>
        <v>65F01</v>
      </c>
      <c r="B143" s="191"/>
      <c r="C143" s="191"/>
      <c r="D143" s="22" t="str">
        <f t="shared" si="159"/>
        <v/>
      </c>
      <c r="E143" s="22" t="str">
        <f t="shared" si="172"/>
        <v/>
      </c>
      <c r="F143" s="22" t="str">
        <f t="shared" si="161"/>
        <v/>
      </c>
      <c r="G143" s="22" t="str">
        <f t="shared" si="173"/>
        <v/>
      </c>
      <c r="H143" s="49">
        <f t="shared" si="176"/>
        <v>6110</v>
      </c>
      <c r="P143" s="22" t="str">
        <f t="shared" ref="P143:AU143" si="178">IF(COUNT(P33)=0,"",P33+_IRM2*P31)</f>
        <v/>
      </c>
      <c r="Q143" s="22" t="str">
        <f t="shared" si="178"/>
        <v/>
      </c>
      <c r="R143" s="22" t="str">
        <f t="shared" si="178"/>
        <v/>
      </c>
      <c r="S143" s="22" t="str">
        <f t="shared" si="178"/>
        <v/>
      </c>
      <c r="T143" s="22" t="str">
        <f t="shared" si="178"/>
        <v/>
      </c>
      <c r="U143" s="22" t="str">
        <f t="shared" si="178"/>
        <v/>
      </c>
      <c r="V143" s="22" t="str">
        <f t="shared" si="178"/>
        <v/>
      </c>
      <c r="W143" s="22" t="str">
        <f t="shared" si="178"/>
        <v/>
      </c>
      <c r="X143" s="22" t="str">
        <f t="shared" si="178"/>
        <v/>
      </c>
      <c r="Y143" s="22" t="str">
        <f t="shared" si="178"/>
        <v/>
      </c>
      <c r="Z143" s="22" t="str">
        <f t="shared" si="178"/>
        <v/>
      </c>
      <c r="AA143" s="22" t="str">
        <f t="shared" si="178"/>
        <v/>
      </c>
      <c r="AB143" s="22" t="str">
        <f t="shared" si="178"/>
        <v/>
      </c>
      <c r="AC143" s="22" t="str">
        <f t="shared" si="178"/>
        <v/>
      </c>
      <c r="AD143" s="22" t="str">
        <f t="shared" si="178"/>
        <v/>
      </c>
      <c r="AE143" s="22" t="str">
        <f t="shared" si="178"/>
        <v/>
      </c>
      <c r="AF143" s="22" t="str">
        <f t="shared" si="178"/>
        <v/>
      </c>
      <c r="AG143" s="22" t="str">
        <f t="shared" si="178"/>
        <v/>
      </c>
      <c r="AH143" s="22" t="str">
        <f t="shared" si="178"/>
        <v/>
      </c>
      <c r="AI143" s="22" t="str">
        <f t="shared" si="178"/>
        <v/>
      </c>
      <c r="AJ143" s="22" t="str">
        <f t="shared" si="178"/>
        <v/>
      </c>
      <c r="AK143" s="22" t="str">
        <f t="shared" si="178"/>
        <v/>
      </c>
      <c r="AL143" s="22" t="str">
        <f t="shared" si="178"/>
        <v/>
      </c>
      <c r="AM143" s="22" t="str">
        <f t="shared" si="178"/>
        <v/>
      </c>
      <c r="AN143" s="22" t="str">
        <f t="shared" si="178"/>
        <v/>
      </c>
      <c r="AO143" s="22" t="str">
        <f t="shared" si="178"/>
        <v/>
      </c>
      <c r="AP143" s="22" t="str">
        <f t="shared" si="178"/>
        <v/>
      </c>
      <c r="AQ143" s="22" t="str">
        <f t="shared" si="178"/>
        <v/>
      </c>
      <c r="AR143" s="22" t="str">
        <f t="shared" si="178"/>
        <v/>
      </c>
      <c r="AS143" s="22" t="str">
        <f t="shared" si="178"/>
        <v/>
      </c>
      <c r="AT143" s="22" t="str">
        <f t="shared" si="178"/>
        <v/>
      </c>
      <c r="AU143" s="22" t="str">
        <f t="shared" si="178"/>
        <v/>
      </c>
    </row>
    <row r="144" spans="1:47">
      <c r="A144" s="21" t="str">
        <f t="shared" si="175"/>
        <v>2700K</v>
      </c>
      <c r="B144" s="191"/>
      <c r="C144" s="191"/>
      <c r="D144" s="22" t="str">
        <f t="shared" si="159"/>
        <v/>
      </c>
      <c r="E144" s="22" t="str">
        <f t="shared" si="172"/>
        <v/>
      </c>
      <c r="F144" s="22" t="str">
        <f t="shared" si="161"/>
        <v/>
      </c>
      <c r="G144" s="22" t="str">
        <f t="shared" si="173"/>
        <v/>
      </c>
      <c r="H144" s="49">
        <f t="shared" si="176"/>
        <v>2700</v>
      </c>
      <c r="P144" s="22" t="str">
        <f t="shared" ref="P144:AU144" si="179">IF(COUNT(P45)=0,"",P45+_IRM2*P43)</f>
        <v/>
      </c>
      <c r="Q144" s="22" t="str">
        <f t="shared" si="179"/>
        <v/>
      </c>
      <c r="R144" s="22" t="str">
        <f t="shared" si="179"/>
        <v/>
      </c>
      <c r="S144" s="22" t="str">
        <f t="shared" si="179"/>
        <v/>
      </c>
      <c r="T144" s="22" t="str">
        <f t="shared" si="179"/>
        <v/>
      </c>
      <c r="U144" s="22" t="str">
        <f t="shared" si="179"/>
        <v/>
      </c>
      <c r="V144" s="22" t="str">
        <f t="shared" si="179"/>
        <v/>
      </c>
      <c r="W144" s="22" t="str">
        <f t="shared" si="179"/>
        <v/>
      </c>
      <c r="X144" s="22" t="str">
        <f t="shared" si="179"/>
        <v/>
      </c>
      <c r="Y144" s="22" t="str">
        <f t="shared" si="179"/>
        <v/>
      </c>
      <c r="Z144" s="22" t="str">
        <f t="shared" si="179"/>
        <v/>
      </c>
      <c r="AA144" s="22" t="str">
        <f t="shared" si="179"/>
        <v/>
      </c>
      <c r="AB144" s="22" t="str">
        <f t="shared" si="179"/>
        <v/>
      </c>
      <c r="AC144" s="22" t="str">
        <f t="shared" si="179"/>
        <v/>
      </c>
      <c r="AD144" s="22" t="str">
        <f t="shared" si="179"/>
        <v/>
      </c>
      <c r="AE144" s="22" t="str">
        <f t="shared" si="179"/>
        <v/>
      </c>
      <c r="AF144" s="22" t="str">
        <f t="shared" si="179"/>
        <v/>
      </c>
      <c r="AG144" s="22" t="str">
        <f t="shared" si="179"/>
        <v/>
      </c>
      <c r="AH144" s="22" t="str">
        <f t="shared" si="179"/>
        <v/>
      </c>
      <c r="AI144" s="22" t="str">
        <f t="shared" si="179"/>
        <v/>
      </c>
      <c r="AJ144" s="22" t="str">
        <f t="shared" si="179"/>
        <v/>
      </c>
      <c r="AK144" s="22" t="str">
        <f t="shared" si="179"/>
        <v/>
      </c>
      <c r="AL144" s="22" t="str">
        <f t="shared" si="179"/>
        <v/>
      </c>
      <c r="AM144" s="22" t="str">
        <f t="shared" si="179"/>
        <v/>
      </c>
      <c r="AN144" s="22" t="str">
        <f t="shared" si="179"/>
        <v/>
      </c>
      <c r="AO144" s="22" t="str">
        <f t="shared" si="179"/>
        <v/>
      </c>
      <c r="AP144" s="22" t="str">
        <f t="shared" si="179"/>
        <v/>
      </c>
      <c r="AQ144" s="22" t="str">
        <f t="shared" si="179"/>
        <v/>
      </c>
      <c r="AR144" s="22" t="str">
        <f t="shared" si="179"/>
        <v/>
      </c>
      <c r="AS144" s="22" t="str">
        <f t="shared" si="179"/>
        <v/>
      </c>
      <c r="AT144" s="22" t="str">
        <f t="shared" si="179"/>
        <v/>
      </c>
      <c r="AU144" s="22" t="str">
        <f t="shared" si="179"/>
        <v/>
      </c>
    </row>
    <row r="145" spans="1:47">
      <c r="A145" s="21" t="str">
        <f t="shared" si="175"/>
        <v>3200K</v>
      </c>
      <c r="B145" s="191"/>
      <c r="C145" s="191"/>
      <c r="D145" s="22">
        <f t="shared" si="159"/>
        <v>4077.5226050165925</v>
      </c>
      <c r="E145" s="22">
        <f t="shared" si="172"/>
        <v>4337.9996017042158</v>
      </c>
      <c r="F145" s="22">
        <f t="shared" si="161"/>
        <v>4598.4765983918387</v>
      </c>
      <c r="G145" s="22">
        <f t="shared" si="173"/>
        <v>173.65133112508224</v>
      </c>
      <c r="H145" s="49">
        <f t="shared" si="176"/>
        <v>3200</v>
      </c>
      <c r="P145" s="22">
        <f t="shared" ref="P145:AU145" si="180">IF(COUNT(P57)=0,"",P57+_IRM2*P55)</f>
        <v>4354.3691309801179</v>
      </c>
      <c r="Q145" s="22">
        <f t="shared" si="180"/>
        <v>4483.7083920996183</v>
      </c>
      <c r="R145" s="22">
        <f t="shared" si="180"/>
        <v>4513.464414093055</v>
      </c>
      <c r="S145" s="22">
        <f t="shared" si="180"/>
        <v>4406.335300557661</v>
      </c>
      <c r="T145" s="22">
        <f t="shared" si="180"/>
        <v>4210.7187287394763</v>
      </c>
      <c r="U145" s="22">
        <f t="shared" si="180"/>
        <v>4059.401643755366</v>
      </c>
      <c r="V145" s="22" t="str">
        <f t="shared" si="180"/>
        <v/>
      </c>
      <c r="W145" s="22" t="str">
        <f t="shared" si="180"/>
        <v/>
      </c>
      <c r="X145" s="22" t="str">
        <f t="shared" si="180"/>
        <v/>
      </c>
      <c r="Y145" s="22" t="str">
        <f t="shared" si="180"/>
        <v/>
      </c>
      <c r="Z145" s="22" t="str">
        <f t="shared" si="180"/>
        <v/>
      </c>
      <c r="AA145" s="22" t="str">
        <f t="shared" si="180"/>
        <v/>
      </c>
      <c r="AB145" s="22" t="str">
        <f t="shared" si="180"/>
        <v/>
      </c>
      <c r="AC145" s="22" t="str">
        <f t="shared" si="180"/>
        <v/>
      </c>
      <c r="AD145" s="22" t="str">
        <f t="shared" si="180"/>
        <v/>
      </c>
      <c r="AE145" s="22" t="str">
        <f t="shared" si="180"/>
        <v/>
      </c>
      <c r="AF145" s="22" t="str">
        <f t="shared" si="180"/>
        <v/>
      </c>
      <c r="AG145" s="22" t="str">
        <f t="shared" si="180"/>
        <v/>
      </c>
      <c r="AH145" s="22" t="str">
        <f t="shared" si="180"/>
        <v/>
      </c>
      <c r="AI145" s="22" t="str">
        <f t="shared" si="180"/>
        <v/>
      </c>
      <c r="AJ145" s="22" t="str">
        <f t="shared" si="180"/>
        <v/>
      </c>
      <c r="AK145" s="22" t="str">
        <f t="shared" si="180"/>
        <v/>
      </c>
      <c r="AL145" s="22" t="str">
        <f t="shared" si="180"/>
        <v/>
      </c>
      <c r="AM145" s="22" t="str">
        <f t="shared" si="180"/>
        <v/>
      </c>
      <c r="AN145" s="22" t="str">
        <f t="shared" si="180"/>
        <v/>
      </c>
      <c r="AO145" s="22" t="str">
        <f t="shared" si="180"/>
        <v/>
      </c>
      <c r="AP145" s="22" t="str">
        <f t="shared" si="180"/>
        <v/>
      </c>
      <c r="AQ145" s="22" t="str">
        <f t="shared" si="180"/>
        <v/>
      </c>
      <c r="AR145" s="22" t="str">
        <f t="shared" si="180"/>
        <v/>
      </c>
      <c r="AS145" s="22" t="str">
        <f t="shared" si="180"/>
        <v/>
      </c>
      <c r="AT145" s="22" t="str">
        <f t="shared" si="180"/>
        <v/>
      </c>
      <c r="AU145" s="22" t="str">
        <f t="shared" si="180"/>
        <v/>
      </c>
    </row>
    <row r="146" spans="1:47">
      <c r="A146" s="21" t="str">
        <f t="shared" si="175"/>
        <v>5500K</v>
      </c>
      <c r="B146" s="191"/>
      <c r="C146" s="191"/>
      <c r="D146" s="22" t="str">
        <f t="shared" si="159"/>
        <v/>
      </c>
      <c r="E146" s="22" t="str">
        <f t="shared" si="172"/>
        <v/>
      </c>
      <c r="F146" s="22" t="str">
        <f t="shared" si="161"/>
        <v/>
      </c>
      <c r="G146" s="22" t="str">
        <f t="shared" si="173"/>
        <v/>
      </c>
      <c r="H146" s="49">
        <f t="shared" si="176"/>
        <v>5500</v>
      </c>
      <c r="P146" s="22" t="str">
        <f t="shared" ref="P146:AU146" si="181">IF(COUNT(P69)=0,"",P69+_IRM2*P67)</f>
        <v/>
      </c>
      <c r="Q146" s="22" t="str">
        <f t="shared" si="181"/>
        <v/>
      </c>
      <c r="R146" s="22" t="str">
        <f t="shared" si="181"/>
        <v/>
      </c>
      <c r="S146" s="22" t="str">
        <f t="shared" si="181"/>
        <v/>
      </c>
      <c r="T146" s="22" t="str">
        <f t="shared" si="181"/>
        <v/>
      </c>
      <c r="U146" s="22" t="str">
        <f t="shared" si="181"/>
        <v/>
      </c>
      <c r="V146" s="22" t="str">
        <f t="shared" si="181"/>
        <v/>
      </c>
      <c r="W146" s="22" t="str">
        <f t="shared" si="181"/>
        <v/>
      </c>
      <c r="X146" s="22" t="str">
        <f t="shared" si="181"/>
        <v/>
      </c>
      <c r="Y146" s="22" t="str">
        <f t="shared" si="181"/>
        <v/>
      </c>
      <c r="Z146" s="22" t="str">
        <f t="shared" si="181"/>
        <v/>
      </c>
      <c r="AA146" s="22" t="str">
        <f t="shared" si="181"/>
        <v/>
      </c>
      <c r="AB146" s="22" t="str">
        <f t="shared" si="181"/>
        <v/>
      </c>
      <c r="AC146" s="22" t="str">
        <f t="shared" si="181"/>
        <v/>
      </c>
      <c r="AD146" s="22" t="str">
        <f t="shared" si="181"/>
        <v/>
      </c>
      <c r="AE146" s="22" t="str">
        <f t="shared" si="181"/>
        <v/>
      </c>
      <c r="AF146" s="22" t="str">
        <f t="shared" si="181"/>
        <v/>
      </c>
      <c r="AG146" s="22" t="str">
        <f t="shared" si="181"/>
        <v/>
      </c>
      <c r="AH146" s="22" t="str">
        <f t="shared" si="181"/>
        <v/>
      </c>
      <c r="AI146" s="22" t="str">
        <f t="shared" si="181"/>
        <v/>
      </c>
      <c r="AJ146" s="22" t="str">
        <f t="shared" si="181"/>
        <v/>
      </c>
      <c r="AK146" s="22" t="str">
        <f t="shared" si="181"/>
        <v/>
      </c>
      <c r="AL146" s="22" t="str">
        <f t="shared" si="181"/>
        <v/>
      </c>
      <c r="AM146" s="22" t="str">
        <f t="shared" si="181"/>
        <v/>
      </c>
      <c r="AN146" s="22" t="str">
        <f t="shared" si="181"/>
        <v/>
      </c>
      <c r="AO146" s="22" t="str">
        <f t="shared" si="181"/>
        <v/>
      </c>
      <c r="AP146" s="22" t="str">
        <f t="shared" si="181"/>
        <v/>
      </c>
      <c r="AQ146" s="22" t="str">
        <f t="shared" si="181"/>
        <v/>
      </c>
      <c r="AR146" s="22" t="str">
        <f t="shared" si="181"/>
        <v/>
      </c>
      <c r="AS146" s="22" t="str">
        <f t="shared" si="181"/>
        <v/>
      </c>
      <c r="AT146" s="22" t="str">
        <f t="shared" si="181"/>
        <v/>
      </c>
      <c r="AU146" s="22" t="str">
        <f t="shared" si="181"/>
        <v/>
      </c>
    </row>
    <row r="147" spans="1:47">
      <c r="A147" s="21" t="str">
        <f t="shared" si="175"/>
        <v>6500K</v>
      </c>
      <c r="B147" s="191"/>
      <c r="C147" s="191"/>
      <c r="D147" s="22" t="str">
        <f t="shared" si="159"/>
        <v/>
      </c>
      <c r="E147" s="22" t="str">
        <f t="shared" si="172"/>
        <v/>
      </c>
      <c r="F147" s="22" t="str">
        <f t="shared" si="161"/>
        <v/>
      </c>
      <c r="G147" s="22" t="str">
        <f t="shared" si="173"/>
        <v/>
      </c>
      <c r="H147" s="49">
        <f t="shared" si="176"/>
        <v>6500</v>
      </c>
      <c r="P147" s="22" t="str">
        <f t="shared" ref="P147:AU147" si="182">IF(COUNT(P81)=0,"",P81+_IRM2*P79)</f>
        <v/>
      </c>
      <c r="Q147" s="22" t="str">
        <f t="shared" si="182"/>
        <v/>
      </c>
      <c r="R147" s="22" t="str">
        <f t="shared" si="182"/>
        <v/>
      </c>
      <c r="S147" s="22" t="str">
        <f t="shared" si="182"/>
        <v/>
      </c>
      <c r="T147" s="22" t="str">
        <f t="shared" si="182"/>
        <v/>
      </c>
      <c r="U147" s="22" t="str">
        <f t="shared" si="182"/>
        <v/>
      </c>
      <c r="V147" s="22" t="str">
        <f t="shared" si="182"/>
        <v/>
      </c>
      <c r="W147" s="22" t="str">
        <f t="shared" si="182"/>
        <v/>
      </c>
      <c r="X147" s="22" t="str">
        <f t="shared" si="182"/>
        <v/>
      </c>
      <c r="Y147" s="22" t="str">
        <f t="shared" si="182"/>
        <v/>
      </c>
      <c r="Z147" s="22" t="str">
        <f t="shared" si="182"/>
        <v/>
      </c>
      <c r="AA147" s="22" t="str">
        <f t="shared" si="182"/>
        <v/>
      </c>
      <c r="AB147" s="22" t="str">
        <f t="shared" si="182"/>
        <v/>
      </c>
      <c r="AC147" s="22" t="str">
        <f t="shared" si="182"/>
        <v/>
      </c>
      <c r="AD147" s="22" t="str">
        <f t="shared" si="182"/>
        <v/>
      </c>
      <c r="AE147" s="22" t="str">
        <f t="shared" si="182"/>
        <v/>
      </c>
      <c r="AF147" s="22" t="str">
        <f t="shared" si="182"/>
        <v/>
      </c>
      <c r="AG147" s="22" t="str">
        <f t="shared" si="182"/>
        <v/>
      </c>
      <c r="AH147" s="22" t="str">
        <f t="shared" si="182"/>
        <v/>
      </c>
      <c r="AI147" s="22" t="str">
        <f t="shared" si="182"/>
        <v/>
      </c>
      <c r="AJ147" s="22" t="str">
        <f t="shared" si="182"/>
        <v/>
      </c>
      <c r="AK147" s="22" t="str">
        <f t="shared" si="182"/>
        <v/>
      </c>
      <c r="AL147" s="22" t="str">
        <f t="shared" si="182"/>
        <v/>
      </c>
      <c r="AM147" s="22" t="str">
        <f t="shared" si="182"/>
        <v/>
      </c>
      <c r="AN147" s="22" t="str">
        <f t="shared" si="182"/>
        <v/>
      </c>
      <c r="AO147" s="22" t="str">
        <f t="shared" si="182"/>
        <v/>
      </c>
      <c r="AP147" s="22" t="str">
        <f t="shared" si="182"/>
        <v/>
      </c>
      <c r="AQ147" s="22" t="str">
        <f t="shared" si="182"/>
        <v/>
      </c>
      <c r="AR147" s="22" t="str">
        <f t="shared" si="182"/>
        <v/>
      </c>
      <c r="AS147" s="22" t="str">
        <f t="shared" si="182"/>
        <v/>
      </c>
      <c r="AT147" s="22" t="str">
        <f t="shared" si="182"/>
        <v/>
      </c>
      <c r="AU147" s="22" t="str">
        <f t="shared" si="182"/>
        <v/>
      </c>
    </row>
    <row r="148" spans="1:47">
      <c r="A148" s="21" t="str">
        <f t="shared" si="175"/>
        <v>41F02</v>
      </c>
      <c r="B148" s="191" t="s">
        <v>71</v>
      </c>
      <c r="C148" s="191"/>
      <c r="D148" s="22" t="str">
        <f t="shared" ref="D148:D154" si="183">IF(COUNT(P148:AU148)=0,"",E148-1.5*G148)</f>
        <v/>
      </c>
      <c r="E148" s="22" t="str">
        <f t="shared" ref="E148:E154" si="184">IF(COUNT(P148:AU148)=0,"",AVERAGE(P148:AU148))</f>
        <v/>
      </c>
      <c r="F148" s="22" t="str">
        <f t="shared" ref="F148:F154" si="185">IF(COUNT(P148:AU148)=0,"",E148+1.5*G148)</f>
        <v/>
      </c>
      <c r="G148" s="22" t="str">
        <f t="shared" ref="G148:G154" si="186">IF(COUNT(P148:AU148)=0,"",STDEV(P148:AU148))</f>
        <v/>
      </c>
      <c r="H148" s="49">
        <f t="shared" si="176"/>
        <v>3670</v>
      </c>
      <c r="P148" s="22" t="str">
        <f t="shared" ref="P148:AU148" si="187">IF(COUNT(P11)=0,"",P11+_IRM2*P7)</f>
        <v/>
      </c>
      <c r="Q148" s="22" t="str">
        <f t="shared" si="187"/>
        <v/>
      </c>
      <c r="R148" s="22" t="str">
        <f t="shared" si="187"/>
        <v/>
      </c>
      <c r="S148" s="22" t="str">
        <f t="shared" si="187"/>
        <v/>
      </c>
      <c r="T148" s="22" t="str">
        <f t="shared" si="187"/>
        <v/>
      </c>
      <c r="U148" s="22" t="str">
        <f t="shared" si="187"/>
        <v/>
      </c>
      <c r="V148" s="22" t="str">
        <f t="shared" si="187"/>
        <v/>
      </c>
      <c r="W148" s="22" t="str">
        <f t="shared" si="187"/>
        <v/>
      </c>
      <c r="X148" s="22" t="str">
        <f t="shared" si="187"/>
        <v/>
      </c>
      <c r="Y148" s="22" t="str">
        <f t="shared" si="187"/>
        <v/>
      </c>
      <c r="Z148" s="22" t="str">
        <f t="shared" si="187"/>
        <v/>
      </c>
      <c r="AA148" s="22" t="str">
        <f t="shared" si="187"/>
        <v/>
      </c>
      <c r="AB148" s="22" t="str">
        <f t="shared" si="187"/>
        <v/>
      </c>
      <c r="AC148" s="22" t="str">
        <f t="shared" si="187"/>
        <v/>
      </c>
      <c r="AD148" s="22" t="str">
        <f t="shared" si="187"/>
        <v/>
      </c>
      <c r="AE148" s="22" t="str">
        <f t="shared" si="187"/>
        <v/>
      </c>
      <c r="AF148" s="22" t="str">
        <f t="shared" si="187"/>
        <v/>
      </c>
      <c r="AG148" s="22" t="str">
        <f t="shared" si="187"/>
        <v/>
      </c>
      <c r="AH148" s="22" t="str">
        <f t="shared" si="187"/>
        <v/>
      </c>
      <c r="AI148" s="22" t="str">
        <f t="shared" si="187"/>
        <v/>
      </c>
      <c r="AJ148" s="22" t="str">
        <f t="shared" si="187"/>
        <v/>
      </c>
      <c r="AK148" s="22" t="str">
        <f t="shared" si="187"/>
        <v/>
      </c>
      <c r="AL148" s="22" t="str">
        <f t="shared" si="187"/>
        <v/>
      </c>
      <c r="AM148" s="22" t="str">
        <f t="shared" si="187"/>
        <v/>
      </c>
      <c r="AN148" s="22" t="str">
        <f t="shared" si="187"/>
        <v/>
      </c>
      <c r="AO148" s="22" t="str">
        <f t="shared" si="187"/>
        <v/>
      </c>
      <c r="AP148" s="22" t="str">
        <f t="shared" si="187"/>
        <v/>
      </c>
      <c r="AQ148" s="22" t="str">
        <f t="shared" si="187"/>
        <v/>
      </c>
      <c r="AR148" s="22" t="str">
        <f t="shared" si="187"/>
        <v/>
      </c>
      <c r="AS148" s="22" t="str">
        <f t="shared" si="187"/>
        <v/>
      </c>
      <c r="AT148" s="22" t="str">
        <f t="shared" si="187"/>
        <v/>
      </c>
      <c r="AU148" s="22" t="str">
        <f t="shared" si="187"/>
        <v/>
      </c>
    </row>
    <row r="149" spans="1:47">
      <c r="A149" s="21" t="str">
        <f t="shared" si="175"/>
        <v>55F02</v>
      </c>
      <c r="B149" s="191"/>
      <c r="C149" s="191"/>
      <c r="D149" s="22" t="str">
        <f t="shared" si="183"/>
        <v/>
      </c>
      <c r="E149" s="22" t="str">
        <f t="shared" si="184"/>
        <v/>
      </c>
      <c r="F149" s="22" t="str">
        <f t="shared" si="185"/>
        <v/>
      </c>
      <c r="G149" s="22" t="str">
        <f t="shared" si="186"/>
        <v/>
      </c>
      <c r="H149" s="49">
        <f t="shared" si="176"/>
        <v>4430</v>
      </c>
      <c r="P149" s="22" t="str">
        <f t="shared" ref="P149:AU149" si="188">IF(COUNT(P23)=0,"",P23+_IRM2*P19)</f>
        <v/>
      </c>
      <c r="Q149" s="22" t="str">
        <f t="shared" si="188"/>
        <v/>
      </c>
      <c r="R149" s="22" t="str">
        <f t="shared" si="188"/>
        <v/>
      </c>
      <c r="S149" s="22" t="str">
        <f t="shared" si="188"/>
        <v/>
      </c>
      <c r="T149" s="22" t="str">
        <f t="shared" si="188"/>
        <v/>
      </c>
      <c r="U149" s="22" t="str">
        <f t="shared" si="188"/>
        <v/>
      </c>
      <c r="V149" s="22" t="str">
        <f t="shared" si="188"/>
        <v/>
      </c>
      <c r="W149" s="22" t="str">
        <f t="shared" si="188"/>
        <v/>
      </c>
      <c r="X149" s="22" t="str">
        <f t="shared" si="188"/>
        <v/>
      </c>
      <c r="Y149" s="22" t="str">
        <f t="shared" si="188"/>
        <v/>
      </c>
      <c r="Z149" s="22" t="str">
        <f t="shared" si="188"/>
        <v/>
      </c>
      <c r="AA149" s="22" t="str">
        <f t="shared" si="188"/>
        <v/>
      </c>
      <c r="AB149" s="22" t="str">
        <f t="shared" si="188"/>
        <v/>
      </c>
      <c r="AC149" s="22" t="str">
        <f t="shared" si="188"/>
        <v/>
      </c>
      <c r="AD149" s="22" t="str">
        <f t="shared" si="188"/>
        <v/>
      </c>
      <c r="AE149" s="22" t="str">
        <f t="shared" si="188"/>
        <v/>
      </c>
      <c r="AF149" s="22" t="str">
        <f t="shared" si="188"/>
        <v/>
      </c>
      <c r="AG149" s="22" t="str">
        <f t="shared" si="188"/>
        <v/>
      </c>
      <c r="AH149" s="22" t="str">
        <f t="shared" si="188"/>
        <v/>
      </c>
      <c r="AI149" s="22" t="str">
        <f t="shared" si="188"/>
        <v/>
      </c>
      <c r="AJ149" s="22" t="str">
        <f t="shared" si="188"/>
        <v/>
      </c>
      <c r="AK149" s="22" t="str">
        <f t="shared" si="188"/>
        <v/>
      </c>
      <c r="AL149" s="22" t="str">
        <f t="shared" si="188"/>
        <v/>
      </c>
      <c r="AM149" s="22" t="str">
        <f t="shared" si="188"/>
        <v/>
      </c>
      <c r="AN149" s="22" t="str">
        <f t="shared" si="188"/>
        <v/>
      </c>
      <c r="AO149" s="22" t="str">
        <f t="shared" si="188"/>
        <v/>
      </c>
      <c r="AP149" s="22" t="str">
        <f t="shared" si="188"/>
        <v/>
      </c>
      <c r="AQ149" s="22" t="str">
        <f t="shared" si="188"/>
        <v/>
      </c>
      <c r="AR149" s="22" t="str">
        <f t="shared" si="188"/>
        <v/>
      </c>
      <c r="AS149" s="22" t="str">
        <f t="shared" si="188"/>
        <v/>
      </c>
      <c r="AT149" s="22" t="str">
        <f t="shared" si="188"/>
        <v/>
      </c>
      <c r="AU149" s="22" t="str">
        <f t="shared" si="188"/>
        <v/>
      </c>
    </row>
    <row r="150" spans="1:47">
      <c r="A150" s="21" t="str">
        <f t="shared" si="175"/>
        <v>65F01</v>
      </c>
      <c r="B150" s="191"/>
      <c r="C150" s="191"/>
      <c r="D150" s="22" t="str">
        <f t="shared" si="183"/>
        <v/>
      </c>
      <c r="E150" s="22" t="str">
        <f t="shared" si="184"/>
        <v/>
      </c>
      <c r="F150" s="22" t="str">
        <f t="shared" si="185"/>
        <v/>
      </c>
      <c r="G150" s="22" t="str">
        <f t="shared" si="186"/>
        <v/>
      </c>
      <c r="H150" s="49">
        <f t="shared" si="176"/>
        <v>6110</v>
      </c>
      <c r="P150" s="22" t="str">
        <f t="shared" ref="P150:AU150" si="189">IF(COUNT(P35)=0,"",P35+_IRM2*P31)</f>
        <v/>
      </c>
      <c r="Q150" s="22" t="str">
        <f t="shared" si="189"/>
        <v/>
      </c>
      <c r="R150" s="22" t="str">
        <f t="shared" si="189"/>
        <v/>
      </c>
      <c r="S150" s="22" t="str">
        <f t="shared" si="189"/>
        <v/>
      </c>
      <c r="T150" s="22" t="str">
        <f t="shared" si="189"/>
        <v/>
      </c>
      <c r="U150" s="22" t="str">
        <f t="shared" si="189"/>
        <v/>
      </c>
      <c r="V150" s="22" t="str">
        <f t="shared" si="189"/>
        <v/>
      </c>
      <c r="W150" s="22" t="str">
        <f t="shared" si="189"/>
        <v/>
      </c>
      <c r="X150" s="22" t="str">
        <f t="shared" si="189"/>
        <v/>
      </c>
      <c r="Y150" s="22" t="str">
        <f t="shared" si="189"/>
        <v/>
      </c>
      <c r="Z150" s="22" t="str">
        <f t="shared" si="189"/>
        <v/>
      </c>
      <c r="AA150" s="22" t="str">
        <f t="shared" si="189"/>
        <v/>
      </c>
      <c r="AB150" s="22" t="str">
        <f t="shared" si="189"/>
        <v/>
      </c>
      <c r="AC150" s="22" t="str">
        <f t="shared" si="189"/>
        <v/>
      </c>
      <c r="AD150" s="22" t="str">
        <f t="shared" si="189"/>
        <v/>
      </c>
      <c r="AE150" s="22" t="str">
        <f t="shared" si="189"/>
        <v/>
      </c>
      <c r="AF150" s="22" t="str">
        <f t="shared" si="189"/>
        <v/>
      </c>
      <c r="AG150" s="22" t="str">
        <f t="shared" si="189"/>
        <v/>
      </c>
      <c r="AH150" s="22" t="str">
        <f t="shared" si="189"/>
        <v/>
      </c>
      <c r="AI150" s="22" t="str">
        <f t="shared" si="189"/>
        <v/>
      </c>
      <c r="AJ150" s="22" t="str">
        <f t="shared" si="189"/>
        <v/>
      </c>
      <c r="AK150" s="22" t="str">
        <f t="shared" si="189"/>
        <v/>
      </c>
      <c r="AL150" s="22" t="str">
        <f t="shared" si="189"/>
        <v/>
      </c>
      <c r="AM150" s="22" t="str">
        <f t="shared" si="189"/>
        <v/>
      </c>
      <c r="AN150" s="22" t="str">
        <f t="shared" si="189"/>
        <v/>
      </c>
      <c r="AO150" s="22" t="str">
        <f t="shared" si="189"/>
        <v/>
      </c>
      <c r="AP150" s="22" t="str">
        <f t="shared" si="189"/>
        <v/>
      </c>
      <c r="AQ150" s="22" t="str">
        <f t="shared" si="189"/>
        <v/>
      </c>
      <c r="AR150" s="22" t="str">
        <f t="shared" si="189"/>
        <v/>
      </c>
      <c r="AS150" s="22" t="str">
        <f t="shared" si="189"/>
        <v/>
      </c>
      <c r="AT150" s="22" t="str">
        <f t="shared" si="189"/>
        <v/>
      </c>
      <c r="AU150" s="22" t="str">
        <f t="shared" si="189"/>
        <v/>
      </c>
    </row>
    <row r="151" spans="1:47">
      <c r="A151" s="21" t="str">
        <f t="shared" si="175"/>
        <v>2700K</v>
      </c>
      <c r="B151" s="191"/>
      <c r="C151" s="191"/>
      <c r="D151" s="22" t="str">
        <f t="shared" si="183"/>
        <v/>
      </c>
      <c r="E151" s="22" t="str">
        <f t="shared" si="184"/>
        <v/>
      </c>
      <c r="F151" s="22" t="str">
        <f t="shared" si="185"/>
        <v/>
      </c>
      <c r="G151" s="22" t="str">
        <f t="shared" si="186"/>
        <v/>
      </c>
      <c r="H151" s="49">
        <f t="shared" si="176"/>
        <v>2700</v>
      </c>
      <c r="P151" s="22" t="str">
        <f t="shared" ref="P151:AU151" si="190">IF(COUNT(P47)=0,"",P47+_IRM2*P43)</f>
        <v/>
      </c>
      <c r="Q151" s="22" t="str">
        <f t="shared" si="190"/>
        <v/>
      </c>
      <c r="R151" s="22" t="str">
        <f t="shared" si="190"/>
        <v/>
      </c>
      <c r="S151" s="22" t="str">
        <f t="shared" si="190"/>
        <v/>
      </c>
      <c r="T151" s="22" t="str">
        <f t="shared" si="190"/>
        <v/>
      </c>
      <c r="U151" s="22" t="str">
        <f t="shared" si="190"/>
        <v/>
      </c>
      <c r="V151" s="22" t="str">
        <f t="shared" si="190"/>
        <v/>
      </c>
      <c r="W151" s="22" t="str">
        <f t="shared" si="190"/>
        <v/>
      </c>
      <c r="X151" s="22" t="str">
        <f t="shared" si="190"/>
        <v/>
      </c>
      <c r="Y151" s="22" t="str">
        <f t="shared" si="190"/>
        <v/>
      </c>
      <c r="Z151" s="22" t="str">
        <f t="shared" si="190"/>
        <v/>
      </c>
      <c r="AA151" s="22" t="str">
        <f t="shared" si="190"/>
        <v/>
      </c>
      <c r="AB151" s="22" t="str">
        <f t="shared" si="190"/>
        <v/>
      </c>
      <c r="AC151" s="22" t="str">
        <f t="shared" si="190"/>
        <v/>
      </c>
      <c r="AD151" s="22" t="str">
        <f t="shared" si="190"/>
        <v/>
      </c>
      <c r="AE151" s="22" t="str">
        <f t="shared" si="190"/>
        <v/>
      </c>
      <c r="AF151" s="22" t="str">
        <f t="shared" si="190"/>
        <v/>
      </c>
      <c r="AG151" s="22" t="str">
        <f t="shared" si="190"/>
        <v/>
      </c>
      <c r="AH151" s="22" t="str">
        <f t="shared" si="190"/>
        <v/>
      </c>
      <c r="AI151" s="22" t="str">
        <f t="shared" si="190"/>
        <v/>
      </c>
      <c r="AJ151" s="22" t="str">
        <f t="shared" si="190"/>
        <v/>
      </c>
      <c r="AK151" s="22" t="str">
        <f t="shared" si="190"/>
        <v/>
      </c>
      <c r="AL151" s="22" t="str">
        <f t="shared" si="190"/>
        <v/>
      </c>
      <c r="AM151" s="22" t="str">
        <f t="shared" si="190"/>
        <v/>
      </c>
      <c r="AN151" s="22" t="str">
        <f t="shared" si="190"/>
        <v/>
      </c>
      <c r="AO151" s="22" t="str">
        <f t="shared" si="190"/>
        <v/>
      </c>
      <c r="AP151" s="22" t="str">
        <f t="shared" si="190"/>
        <v/>
      </c>
      <c r="AQ151" s="22" t="str">
        <f t="shared" si="190"/>
        <v/>
      </c>
      <c r="AR151" s="22" t="str">
        <f t="shared" si="190"/>
        <v/>
      </c>
      <c r="AS151" s="22" t="str">
        <f t="shared" si="190"/>
        <v/>
      </c>
      <c r="AT151" s="22" t="str">
        <f t="shared" si="190"/>
        <v/>
      </c>
      <c r="AU151" s="22" t="str">
        <f t="shared" si="190"/>
        <v/>
      </c>
    </row>
    <row r="152" spans="1:47">
      <c r="A152" s="21" t="str">
        <f t="shared" si="175"/>
        <v>3200K</v>
      </c>
      <c r="B152" s="191"/>
      <c r="C152" s="191"/>
      <c r="D152" s="22">
        <f t="shared" si="183"/>
        <v>12957.576867910937</v>
      </c>
      <c r="E152" s="22">
        <f t="shared" si="184"/>
        <v>15591.337745067838</v>
      </c>
      <c r="F152" s="22">
        <f t="shared" si="185"/>
        <v>18225.098622224737</v>
      </c>
      <c r="G152" s="22">
        <f t="shared" si="186"/>
        <v>1755.8405847712672</v>
      </c>
      <c r="H152" s="49">
        <f t="shared" si="176"/>
        <v>3200</v>
      </c>
      <c r="P152" s="22">
        <f t="shared" ref="P152:AU152" si="191">IF(COUNT(P59)=0,"",P59+_IRM2*P55)</f>
        <v>15267.199691622787</v>
      </c>
      <c r="Q152" s="22">
        <f t="shared" si="191"/>
        <v>16926.846000133632</v>
      </c>
      <c r="R152" s="22">
        <f t="shared" si="191"/>
        <v>17832.350929253062</v>
      </c>
      <c r="S152" s="22">
        <f t="shared" si="191"/>
        <v>16109.809943399439</v>
      </c>
      <c r="T152" s="22">
        <f t="shared" si="191"/>
        <v>14456.111122107768</v>
      </c>
      <c r="U152" s="22">
        <f t="shared" si="191"/>
        <v>12955.708783890339</v>
      </c>
      <c r="V152" s="22" t="str">
        <f t="shared" si="191"/>
        <v/>
      </c>
      <c r="W152" s="22" t="str">
        <f t="shared" si="191"/>
        <v/>
      </c>
      <c r="X152" s="22" t="str">
        <f t="shared" si="191"/>
        <v/>
      </c>
      <c r="Y152" s="22" t="str">
        <f t="shared" si="191"/>
        <v/>
      </c>
      <c r="Z152" s="22" t="str">
        <f t="shared" si="191"/>
        <v/>
      </c>
      <c r="AA152" s="22" t="str">
        <f t="shared" si="191"/>
        <v/>
      </c>
      <c r="AB152" s="22" t="str">
        <f t="shared" si="191"/>
        <v/>
      </c>
      <c r="AC152" s="22" t="str">
        <f t="shared" si="191"/>
        <v/>
      </c>
      <c r="AD152" s="22" t="str">
        <f t="shared" si="191"/>
        <v/>
      </c>
      <c r="AE152" s="22" t="str">
        <f t="shared" si="191"/>
        <v/>
      </c>
      <c r="AF152" s="22" t="str">
        <f t="shared" si="191"/>
        <v/>
      </c>
      <c r="AG152" s="22" t="str">
        <f t="shared" si="191"/>
        <v/>
      </c>
      <c r="AH152" s="22" t="str">
        <f t="shared" si="191"/>
        <v/>
      </c>
      <c r="AI152" s="22" t="str">
        <f t="shared" si="191"/>
        <v/>
      </c>
      <c r="AJ152" s="22" t="str">
        <f t="shared" si="191"/>
        <v/>
      </c>
      <c r="AK152" s="22" t="str">
        <f t="shared" si="191"/>
        <v/>
      </c>
      <c r="AL152" s="22" t="str">
        <f t="shared" si="191"/>
        <v/>
      </c>
      <c r="AM152" s="22" t="str">
        <f t="shared" si="191"/>
        <v/>
      </c>
      <c r="AN152" s="22" t="str">
        <f t="shared" si="191"/>
        <v/>
      </c>
      <c r="AO152" s="22" t="str">
        <f t="shared" si="191"/>
        <v/>
      </c>
      <c r="AP152" s="22" t="str">
        <f t="shared" si="191"/>
        <v/>
      </c>
      <c r="AQ152" s="22" t="str">
        <f t="shared" si="191"/>
        <v/>
      </c>
      <c r="AR152" s="22" t="str">
        <f t="shared" si="191"/>
        <v/>
      </c>
      <c r="AS152" s="22" t="str">
        <f t="shared" si="191"/>
        <v/>
      </c>
      <c r="AT152" s="22" t="str">
        <f t="shared" si="191"/>
        <v/>
      </c>
      <c r="AU152" s="22" t="str">
        <f t="shared" si="191"/>
        <v/>
      </c>
    </row>
    <row r="153" spans="1:47">
      <c r="A153" s="21" t="str">
        <f t="shared" si="175"/>
        <v>5500K</v>
      </c>
      <c r="B153" s="191"/>
      <c r="C153" s="191"/>
      <c r="D153" s="22" t="str">
        <f t="shared" si="183"/>
        <v/>
      </c>
      <c r="E153" s="22" t="str">
        <f t="shared" si="184"/>
        <v/>
      </c>
      <c r="F153" s="22" t="str">
        <f t="shared" si="185"/>
        <v/>
      </c>
      <c r="G153" s="22" t="str">
        <f t="shared" si="186"/>
        <v/>
      </c>
      <c r="H153" s="49">
        <f t="shared" si="176"/>
        <v>5500</v>
      </c>
      <c r="P153" s="22" t="str">
        <f t="shared" ref="P153:AU153" si="192">IF(COUNT(P71)=0,"",P71+_IRM2*P67)</f>
        <v/>
      </c>
      <c r="Q153" s="22" t="str">
        <f t="shared" si="192"/>
        <v/>
      </c>
      <c r="R153" s="22" t="str">
        <f t="shared" si="192"/>
        <v/>
      </c>
      <c r="S153" s="22" t="str">
        <f t="shared" si="192"/>
        <v/>
      </c>
      <c r="T153" s="22" t="str">
        <f t="shared" si="192"/>
        <v/>
      </c>
      <c r="U153" s="22" t="str">
        <f t="shared" si="192"/>
        <v/>
      </c>
      <c r="V153" s="22" t="str">
        <f t="shared" si="192"/>
        <v/>
      </c>
      <c r="W153" s="22" t="str">
        <f t="shared" si="192"/>
        <v/>
      </c>
      <c r="X153" s="22" t="str">
        <f t="shared" si="192"/>
        <v/>
      </c>
      <c r="Y153" s="22" t="str">
        <f t="shared" si="192"/>
        <v/>
      </c>
      <c r="Z153" s="22" t="str">
        <f t="shared" si="192"/>
        <v/>
      </c>
      <c r="AA153" s="22" t="str">
        <f t="shared" si="192"/>
        <v/>
      </c>
      <c r="AB153" s="22" t="str">
        <f t="shared" si="192"/>
        <v/>
      </c>
      <c r="AC153" s="22" t="str">
        <f t="shared" si="192"/>
        <v/>
      </c>
      <c r="AD153" s="22" t="str">
        <f t="shared" si="192"/>
        <v/>
      </c>
      <c r="AE153" s="22" t="str">
        <f t="shared" si="192"/>
        <v/>
      </c>
      <c r="AF153" s="22" t="str">
        <f t="shared" si="192"/>
        <v/>
      </c>
      <c r="AG153" s="22" t="str">
        <f t="shared" si="192"/>
        <v/>
      </c>
      <c r="AH153" s="22" t="str">
        <f t="shared" si="192"/>
        <v/>
      </c>
      <c r="AI153" s="22" t="str">
        <f t="shared" si="192"/>
        <v/>
      </c>
      <c r="AJ153" s="22" t="str">
        <f t="shared" si="192"/>
        <v/>
      </c>
      <c r="AK153" s="22" t="str">
        <f t="shared" si="192"/>
        <v/>
      </c>
      <c r="AL153" s="22" t="str">
        <f t="shared" si="192"/>
        <v/>
      </c>
      <c r="AM153" s="22" t="str">
        <f t="shared" si="192"/>
        <v/>
      </c>
      <c r="AN153" s="22" t="str">
        <f t="shared" si="192"/>
        <v/>
      </c>
      <c r="AO153" s="22" t="str">
        <f t="shared" si="192"/>
        <v/>
      </c>
      <c r="AP153" s="22" t="str">
        <f t="shared" si="192"/>
        <v/>
      </c>
      <c r="AQ153" s="22" t="str">
        <f t="shared" si="192"/>
        <v/>
      </c>
      <c r="AR153" s="22" t="str">
        <f t="shared" si="192"/>
        <v/>
      </c>
      <c r="AS153" s="22" t="str">
        <f t="shared" si="192"/>
        <v/>
      </c>
      <c r="AT153" s="22" t="str">
        <f t="shared" si="192"/>
        <v/>
      </c>
      <c r="AU153" s="22" t="str">
        <f t="shared" si="192"/>
        <v/>
      </c>
    </row>
    <row r="154" spans="1:47">
      <c r="A154" s="21" t="str">
        <f t="shared" si="175"/>
        <v>6500K</v>
      </c>
      <c r="B154" s="191"/>
      <c r="C154" s="191"/>
      <c r="D154" s="22" t="str">
        <f t="shared" si="183"/>
        <v/>
      </c>
      <c r="E154" s="22" t="str">
        <f t="shared" si="184"/>
        <v/>
      </c>
      <c r="F154" s="22" t="str">
        <f t="shared" si="185"/>
        <v/>
      </c>
      <c r="G154" s="22" t="str">
        <f t="shared" si="186"/>
        <v/>
      </c>
      <c r="H154" s="49">
        <f t="shared" si="176"/>
        <v>6500</v>
      </c>
      <c r="P154" s="22" t="str">
        <f t="shared" ref="P154:AU154" si="193">IF(COUNT(P83)=0,"",P83+_IRM2*P79)</f>
        <v/>
      </c>
      <c r="Q154" s="22" t="str">
        <f t="shared" si="193"/>
        <v/>
      </c>
      <c r="R154" s="22" t="str">
        <f t="shared" si="193"/>
        <v/>
      </c>
      <c r="S154" s="22" t="str">
        <f t="shared" si="193"/>
        <v/>
      </c>
      <c r="T154" s="22" t="str">
        <f t="shared" si="193"/>
        <v/>
      </c>
      <c r="U154" s="22" t="str">
        <f t="shared" si="193"/>
        <v/>
      </c>
      <c r="V154" s="22" t="str">
        <f t="shared" si="193"/>
        <v/>
      </c>
      <c r="W154" s="22" t="str">
        <f t="shared" si="193"/>
        <v/>
      </c>
      <c r="X154" s="22" t="str">
        <f t="shared" si="193"/>
        <v/>
      </c>
      <c r="Y154" s="22" t="str">
        <f t="shared" si="193"/>
        <v/>
      </c>
      <c r="Z154" s="22" t="str">
        <f t="shared" si="193"/>
        <v/>
      </c>
      <c r="AA154" s="22" t="str">
        <f t="shared" si="193"/>
        <v/>
      </c>
      <c r="AB154" s="22" t="str">
        <f t="shared" si="193"/>
        <v/>
      </c>
      <c r="AC154" s="22" t="str">
        <f t="shared" si="193"/>
        <v/>
      </c>
      <c r="AD154" s="22" t="str">
        <f t="shared" si="193"/>
        <v/>
      </c>
      <c r="AE154" s="22" t="str">
        <f t="shared" si="193"/>
        <v/>
      </c>
      <c r="AF154" s="22" t="str">
        <f t="shared" si="193"/>
        <v/>
      </c>
      <c r="AG154" s="22" t="str">
        <f t="shared" si="193"/>
        <v/>
      </c>
      <c r="AH154" s="22" t="str">
        <f t="shared" si="193"/>
        <v/>
      </c>
      <c r="AI154" s="22" t="str">
        <f t="shared" si="193"/>
        <v/>
      </c>
      <c r="AJ154" s="22" t="str">
        <f t="shared" si="193"/>
        <v/>
      </c>
      <c r="AK154" s="22" t="str">
        <f t="shared" si="193"/>
        <v/>
      </c>
      <c r="AL154" s="22" t="str">
        <f t="shared" si="193"/>
        <v/>
      </c>
      <c r="AM154" s="22" t="str">
        <f t="shared" si="193"/>
        <v/>
      </c>
      <c r="AN154" s="22" t="str">
        <f t="shared" si="193"/>
        <v/>
      </c>
      <c r="AO154" s="22" t="str">
        <f t="shared" si="193"/>
        <v/>
      </c>
      <c r="AP154" s="22" t="str">
        <f t="shared" si="193"/>
        <v/>
      </c>
      <c r="AQ154" s="22" t="str">
        <f t="shared" si="193"/>
        <v/>
      </c>
      <c r="AR154" s="22" t="str">
        <f t="shared" si="193"/>
        <v/>
      </c>
      <c r="AS154" s="22" t="str">
        <f t="shared" si="193"/>
        <v/>
      </c>
      <c r="AT154" s="22" t="str">
        <f t="shared" si="193"/>
        <v/>
      </c>
      <c r="AU154" s="22" t="str">
        <f t="shared" si="193"/>
        <v/>
      </c>
    </row>
    <row r="155" spans="1:47">
      <c r="A155" s="21" t="str">
        <f>A123</f>
        <v>Min</v>
      </c>
      <c r="B155" s="191" t="str">
        <f>B134</f>
        <v>P0</v>
      </c>
      <c r="C155" s="191"/>
      <c r="D155" s="22">
        <f t="shared" ref="D155:D169" si="194">IF(COUNT(P155:AU155)=0,"",E155-1.5*G155)</f>
        <v>809.73230397370048</v>
      </c>
      <c r="E155" s="22">
        <f t="shared" si="160"/>
        <v>974.49578086185977</v>
      </c>
      <c r="F155" s="22">
        <f t="shared" ref="F155:F169" si="195">IF(COUNT(P155:AU155)=0,"",E155+1.5*G155)</f>
        <v>1139.2592577500191</v>
      </c>
      <c r="G155" s="22">
        <f t="shared" si="162"/>
        <v>109.84231792543949</v>
      </c>
      <c r="P155" s="22">
        <f t="shared" ref="P155:AU155" si="196">IF(COUNT(P134:P140)=0,"",MIN(P134:P140))</f>
        <v>954.10705123862465</v>
      </c>
      <c r="Q155" s="22">
        <f t="shared" si="196"/>
        <v>1057.7606019303128</v>
      </c>
      <c r="R155" s="22">
        <f>IF(COUNT(R134:R140)=0,"",MIN(R134:R140))</f>
        <v>1114.7170850026955</v>
      </c>
      <c r="S155" s="22">
        <f t="shared" si="196"/>
        <v>1007.1512028746437</v>
      </c>
      <c r="T155" s="22">
        <f t="shared" si="196"/>
        <v>903.84149128781405</v>
      </c>
      <c r="U155" s="22">
        <f t="shared" si="196"/>
        <v>809.39725283706764</v>
      </c>
      <c r="V155" s="22" t="str">
        <f t="shared" si="196"/>
        <v/>
      </c>
      <c r="W155" s="22" t="str">
        <f t="shared" si="196"/>
        <v/>
      </c>
      <c r="X155" s="22" t="str">
        <f t="shared" si="196"/>
        <v/>
      </c>
      <c r="Y155" s="22" t="str">
        <f t="shared" si="196"/>
        <v/>
      </c>
      <c r="Z155" s="22" t="str">
        <f t="shared" si="196"/>
        <v/>
      </c>
      <c r="AA155" s="22" t="str">
        <f t="shared" si="196"/>
        <v/>
      </c>
      <c r="AB155" s="22" t="str">
        <f t="shared" si="196"/>
        <v/>
      </c>
      <c r="AC155" s="22" t="str">
        <f t="shared" si="196"/>
        <v/>
      </c>
      <c r="AD155" s="22" t="str">
        <f t="shared" si="196"/>
        <v/>
      </c>
      <c r="AE155" s="22" t="str">
        <f t="shared" si="196"/>
        <v/>
      </c>
      <c r="AF155" s="22" t="str">
        <f t="shared" si="196"/>
        <v/>
      </c>
      <c r="AG155" s="22" t="str">
        <f t="shared" si="196"/>
        <v/>
      </c>
      <c r="AH155" s="22" t="str">
        <f t="shared" si="196"/>
        <v/>
      </c>
      <c r="AI155" s="22" t="str">
        <f t="shared" si="196"/>
        <v/>
      </c>
      <c r="AJ155" s="22" t="str">
        <f t="shared" si="196"/>
        <v/>
      </c>
      <c r="AK155" s="22" t="str">
        <f t="shared" si="196"/>
        <v/>
      </c>
      <c r="AL155" s="22" t="str">
        <f t="shared" si="196"/>
        <v/>
      </c>
      <c r="AM155" s="22" t="str">
        <f t="shared" si="196"/>
        <v/>
      </c>
      <c r="AN155" s="22" t="str">
        <f t="shared" si="196"/>
        <v/>
      </c>
      <c r="AO155" s="22" t="str">
        <f t="shared" si="196"/>
        <v/>
      </c>
      <c r="AP155" s="22" t="str">
        <f t="shared" si="196"/>
        <v/>
      </c>
      <c r="AQ155" s="22" t="str">
        <f t="shared" si="196"/>
        <v/>
      </c>
      <c r="AR155" s="22" t="str">
        <f t="shared" si="196"/>
        <v/>
      </c>
      <c r="AS155" s="22" t="str">
        <f t="shared" si="196"/>
        <v/>
      </c>
      <c r="AT155" s="22" t="str">
        <f t="shared" si="196"/>
        <v/>
      </c>
      <c r="AU155" s="22" t="str">
        <f t="shared" si="196"/>
        <v/>
      </c>
    </row>
    <row r="156" spans="1:47">
      <c r="A156" s="21" t="str">
        <f>A124</f>
        <v>Max</v>
      </c>
      <c r="B156" s="191"/>
      <c r="C156" s="191"/>
      <c r="D156" s="22">
        <f t="shared" si="194"/>
        <v>809.73230397370048</v>
      </c>
      <c r="E156" s="22">
        <f t="shared" si="160"/>
        <v>974.49578086185977</v>
      </c>
      <c r="F156" s="22">
        <f t="shared" si="195"/>
        <v>1139.2592577500191</v>
      </c>
      <c r="G156" s="22">
        <f t="shared" si="162"/>
        <v>109.84231792543949</v>
      </c>
      <c r="P156" s="22">
        <f t="shared" ref="P156:AU156" si="197">IF(COUNT(P134:P140)=0,"",MAX(P134:P140))</f>
        <v>954.10705123862465</v>
      </c>
      <c r="Q156" s="22">
        <f t="shared" si="197"/>
        <v>1057.7606019303128</v>
      </c>
      <c r="R156" s="22">
        <f>IF(COUNT(R134:R140)=0,"",MAX(R134:R140))</f>
        <v>1114.7170850026955</v>
      </c>
      <c r="S156" s="22">
        <f t="shared" si="197"/>
        <v>1007.1512028746437</v>
      </c>
      <c r="T156" s="22">
        <f t="shared" si="197"/>
        <v>903.84149128781405</v>
      </c>
      <c r="U156" s="22">
        <f t="shared" si="197"/>
        <v>809.39725283706764</v>
      </c>
      <c r="V156" s="22" t="str">
        <f t="shared" si="197"/>
        <v/>
      </c>
      <c r="W156" s="22" t="str">
        <f t="shared" si="197"/>
        <v/>
      </c>
      <c r="X156" s="22" t="str">
        <f t="shared" si="197"/>
        <v/>
      </c>
      <c r="Y156" s="22" t="str">
        <f t="shared" si="197"/>
        <v/>
      </c>
      <c r="Z156" s="22" t="str">
        <f t="shared" si="197"/>
        <v/>
      </c>
      <c r="AA156" s="22" t="str">
        <f t="shared" si="197"/>
        <v/>
      </c>
      <c r="AB156" s="22" t="str">
        <f t="shared" si="197"/>
        <v/>
      </c>
      <c r="AC156" s="22" t="str">
        <f t="shared" si="197"/>
        <v/>
      </c>
      <c r="AD156" s="22" t="str">
        <f t="shared" si="197"/>
        <v/>
      </c>
      <c r="AE156" s="22" t="str">
        <f t="shared" si="197"/>
        <v/>
      </c>
      <c r="AF156" s="22" t="str">
        <f t="shared" si="197"/>
        <v/>
      </c>
      <c r="AG156" s="22" t="str">
        <f t="shared" si="197"/>
        <v/>
      </c>
      <c r="AH156" s="22" t="str">
        <f t="shared" si="197"/>
        <v/>
      </c>
      <c r="AI156" s="22" t="str">
        <f t="shared" si="197"/>
        <v/>
      </c>
      <c r="AJ156" s="22" t="str">
        <f t="shared" si="197"/>
        <v/>
      </c>
      <c r="AK156" s="22" t="str">
        <f t="shared" si="197"/>
        <v/>
      </c>
      <c r="AL156" s="22" t="str">
        <f t="shared" si="197"/>
        <v/>
      </c>
      <c r="AM156" s="22" t="str">
        <f t="shared" si="197"/>
        <v/>
      </c>
      <c r="AN156" s="22" t="str">
        <f t="shared" si="197"/>
        <v/>
      </c>
      <c r="AO156" s="22" t="str">
        <f t="shared" si="197"/>
        <v/>
      </c>
      <c r="AP156" s="22" t="str">
        <f t="shared" si="197"/>
        <v/>
      </c>
      <c r="AQ156" s="22" t="str">
        <f t="shared" si="197"/>
        <v/>
      </c>
      <c r="AR156" s="22" t="str">
        <f t="shared" si="197"/>
        <v/>
      </c>
      <c r="AS156" s="22" t="str">
        <f t="shared" si="197"/>
        <v/>
      </c>
      <c r="AT156" s="22" t="str">
        <f t="shared" si="197"/>
        <v/>
      </c>
      <c r="AU156" s="22" t="str">
        <f t="shared" si="197"/>
        <v/>
      </c>
    </row>
    <row r="157" spans="1:47">
      <c r="A157" s="21" t="str">
        <f>A125</f>
        <v>Median</v>
      </c>
      <c r="B157" s="191"/>
      <c r="C157" s="191"/>
      <c r="D157" s="22">
        <f t="shared" si="194"/>
        <v>809.73230397370048</v>
      </c>
      <c r="E157" s="22">
        <f t="shared" si="160"/>
        <v>974.49578086185977</v>
      </c>
      <c r="F157" s="22">
        <f t="shared" si="195"/>
        <v>1139.2592577500191</v>
      </c>
      <c r="G157" s="22">
        <f t="shared" si="162"/>
        <v>109.84231792543949</v>
      </c>
      <c r="P157" s="22">
        <f t="shared" ref="P157:AU157" si="198">IF(COUNT(P155:P156)=0,"",(P156+P155)/2)</f>
        <v>954.10705123862465</v>
      </c>
      <c r="Q157" s="22">
        <f t="shared" si="198"/>
        <v>1057.7606019303128</v>
      </c>
      <c r="R157" s="22">
        <f t="shared" si="198"/>
        <v>1114.7170850026955</v>
      </c>
      <c r="S157" s="22">
        <f t="shared" si="198"/>
        <v>1007.1512028746437</v>
      </c>
      <c r="T157" s="22">
        <f t="shared" si="198"/>
        <v>903.84149128781405</v>
      </c>
      <c r="U157" s="22">
        <f t="shared" si="198"/>
        <v>809.39725283706764</v>
      </c>
      <c r="V157" s="22" t="str">
        <f t="shared" si="198"/>
        <v/>
      </c>
      <c r="W157" s="22" t="str">
        <f t="shared" si="198"/>
        <v/>
      </c>
      <c r="X157" s="22" t="str">
        <f t="shared" si="198"/>
        <v/>
      </c>
      <c r="Y157" s="22" t="str">
        <f t="shared" si="198"/>
        <v/>
      </c>
      <c r="Z157" s="22" t="str">
        <f t="shared" si="198"/>
        <v/>
      </c>
      <c r="AA157" s="22" t="str">
        <f t="shared" si="198"/>
        <v/>
      </c>
      <c r="AB157" s="22" t="str">
        <f t="shared" si="198"/>
        <v/>
      </c>
      <c r="AC157" s="22" t="str">
        <f t="shared" si="198"/>
        <v/>
      </c>
      <c r="AD157" s="22" t="str">
        <f t="shared" si="198"/>
        <v/>
      </c>
      <c r="AE157" s="22" t="str">
        <f t="shared" si="198"/>
        <v/>
      </c>
      <c r="AF157" s="22" t="str">
        <f t="shared" si="198"/>
        <v/>
      </c>
      <c r="AG157" s="22" t="str">
        <f t="shared" si="198"/>
        <v/>
      </c>
      <c r="AH157" s="22" t="str">
        <f t="shared" si="198"/>
        <v/>
      </c>
      <c r="AI157" s="22" t="str">
        <f t="shared" si="198"/>
        <v/>
      </c>
      <c r="AJ157" s="22" t="str">
        <f t="shared" si="198"/>
        <v/>
      </c>
      <c r="AK157" s="22" t="str">
        <f t="shared" si="198"/>
        <v/>
      </c>
      <c r="AL157" s="22" t="str">
        <f t="shared" si="198"/>
        <v/>
      </c>
      <c r="AM157" s="22" t="str">
        <f t="shared" si="198"/>
        <v/>
      </c>
      <c r="AN157" s="22" t="str">
        <f t="shared" si="198"/>
        <v/>
      </c>
      <c r="AO157" s="22" t="str">
        <f t="shared" si="198"/>
        <v/>
      </c>
      <c r="AP157" s="22" t="str">
        <f t="shared" si="198"/>
        <v/>
      </c>
      <c r="AQ157" s="22" t="str">
        <f t="shared" si="198"/>
        <v/>
      </c>
      <c r="AR157" s="22" t="str">
        <f t="shared" si="198"/>
        <v/>
      </c>
      <c r="AS157" s="22" t="str">
        <f t="shared" si="198"/>
        <v/>
      </c>
      <c r="AT157" s="22" t="str">
        <f t="shared" si="198"/>
        <v/>
      </c>
      <c r="AU157" s="22" t="str">
        <f t="shared" si="198"/>
        <v/>
      </c>
    </row>
    <row r="158" spans="1:47">
      <c r="A158" s="21" t="s">
        <v>12</v>
      </c>
      <c r="B158" s="191"/>
      <c r="C158" s="191"/>
      <c r="D158" s="27">
        <f t="shared" si="194"/>
        <v>-0.19026769602629978</v>
      </c>
      <c r="E158" s="27">
        <f t="shared" si="160"/>
        <v>-2.5504219138140289E-2</v>
      </c>
      <c r="F158" s="27">
        <f t="shared" si="195"/>
        <v>0.13925925775001918</v>
      </c>
      <c r="G158" s="27">
        <f t="shared" si="162"/>
        <v>0.10984231792543965</v>
      </c>
      <c r="I158" s="49">
        <v>1</v>
      </c>
      <c r="J158" s="49">
        <v>1</v>
      </c>
      <c r="K158" s="26">
        <f>INDEX(calTable,I158,J158)</f>
        <v>1000</v>
      </c>
      <c r="P158" s="27">
        <f t="shared" ref="P158:Q158" si="199">IF(COUNT(P157)=0,"",P157/$K158-1)</f>
        <v>-4.5892948761375396E-2</v>
      </c>
      <c r="Q158" s="27">
        <f t="shared" si="199"/>
        <v>5.7760601930312738E-2</v>
      </c>
      <c r="R158" s="27">
        <f>IF(COUNT(R157)=0,"",R157/$K158-1)</f>
        <v>0.11471708500269551</v>
      </c>
      <c r="S158" s="27">
        <f t="shared" ref="S158:AU158" si="200">IF(COUNT(S157)=0,"",S157/$K158-1)</f>
        <v>7.1512028746436584E-3</v>
      </c>
      <c r="T158" s="27">
        <f t="shared" si="200"/>
        <v>-9.6158508712185897E-2</v>
      </c>
      <c r="U158" s="27">
        <f t="shared" si="200"/>
        <v>-0.19060274716293235</v>
      </c>
      <c r="V158" s="27" t="str">
        <f t="shared" si="200"/>
        <v/>
      </c>
      <c r="W158" s="27" t="str">
        <f t="shared" si="200"/>
        <v/>
      </c>
      <c r="X158" s="27" t="str">
        <f t="shared" si="200"/>
        <v/>
      </c>
      <c r="Y158" s="27" t="str">
        <f t="shared" si="200"/>
        <v/>
      </c>
      <c r="Z158" s="27" t="str">
        <f t="shared" si="200"/>
        <v/>
      </c>
      <c r="AA158" s="27" t="str">
        <f t="shared" si="200"/>
        <v/>
      </c>
      <c r="AB158" s="27" t="str">
        <f t="shared" si="200"/>
        <v/>
      </c>
      <c r="AC158" s="27" t="str">
        <f t="shared" si="200"/>
        <v/>
      </c>
      <c r="AD158" s="27" t="str">
        <f t="shared" si="200"/>
        <v/>
      </c>
      <c r="AE158" s="27" t="str">
        <f t="shared" si="200"/>
        <v/>
      </c>
      <c r="AF158" s="27" t="str">
        <f t="shared" si="200"/>
        <v/>
      </c>
      <c r="AG158" s="27" t="str">
        <f t="shared" si="200"/>
        <v/>
      </c>
      <c r="AH158" s="27" t="str">
        <f t="shared" si="200"/>
        <v/>
      </c>
      <c r="AI158" s="27" t="str">
        <f t="shared" si="200"/>
        <v/>
      </c>
      <c r="AJ158" s="27" t="str">
        <f t="shared" si="200"/>
        <v/>
      </c>
      <c r="AK158" s="27" t="str">
        <f t="shared" si="200"/>
        <v/>
      </c>
      <c r="AL158" s="27" t="str">
        <f t="shared" si="200"/>
        <v/>
      </c>
      <c r="AM158" s="27" t="str">
        <f t="shared" si="200"/>
        <v/>
      </c>
      <c r="AN158" s="27" t="str">
        <f t="shared" si="200"/>
        <v/>
      </c>
      <c r="AO158" s="27" t="str">
        <f t="shared" si="200"/>
        <v/>
      </c>
      <c r="AP158" s="27" t="str">
        <f t="shared" si="200"/>
        <v/>
      </c>
      <c r="AQ158" s="27" t="str">
        <f t="shared" si="200"/>
        <v/>
      </c>
      <c r="AR158" s="27" t="str">
        <f t="shared" si="200"/>
        <v/>
      </c>
      <c r="AS158" s="27" t="str">
        <f t="shared" si="200"/>
        <v/>
      </c>
      <c r="AT158" s="27" t="str">
        <f t="shared" si="200"/>
        <v/>
      </c>
      <c r="AU158" s="27" t="str">
        <f t="shared" si="200"/>
        <v/>
      </c>
    </row>
    <row r="159" spans="1:47">
      <c r="A159" s="21" t="str">
        <f>A127</f>
        <v>LS2LS</v>
      </c>
      <c r="B159" s="191"/>
      <c r="C159" s="191"/>
      <c r="D159" s="27">
        <f t="shared" si="194"/>
        <v>0</v>
      </c>
      <c r="E159" s="27">
        <f t="shared" si="160"/>
        <v>0</v>
      </c>
      <c r="F159" s="30">
        <f t="shared" si="195"/>
        <v>0</v>
      </c>
      <c r="G159" s="27">
        <f t="shared" si="162"/>
        <v>0</v>
      </c>
      <c r="P159" s="27">
        <f t="shared" ref="P159" si="201">IF(COUNT(P157)=0,"",(P156-P155)/P157)</f>
        <v>0</v>
      </c>
      <c r="Q159" s="27">
        <f t="shared" ref="Q159:AU159" si="202">IF(COUNT(Q157)=0,"",(Q156-Q155)/Q157)</f>
        <v>0</v>
      </c>
      <c r="R159" s="27">
        <f t="shared" si="202"/>
        <v>0</v>
      </c>
      <c r="S159" s="27">
        <f t="shared" si="202"/>
        <v>0</v>
      </c>
      <c r="T159" s="27">
        <f t="shared" si="202"/>
        <v>0</v>
      </c>
      <c r="U159" s="27">
        <f t="shared" si="202"/>
        <v>0</v>
      </c>
      <c r="V159" s="27" t="str">
        <f t="shared" si="202"/>
        <v/>
      </c>
      <c r="W159" s="27" t="str">
        <f t="shared" si="202"/>
        <v/>
      </c>
      <c r="X159" s="27" t="str">
        <f t="shared" si="202"/>
        <v/>
      </c>
      <c r="Y159" s="27" t="str">
        <f t="shared" si="202"/>
        <v/>
      </c>
      <c r="Z159" s="27" t="str">
        <f t="shared" si="202"/>
        <v/>
      </c>
      <c r="AA159" s="27" t="str">
        <f t="shared" si="202"/>
        <v/>
      </c>
      <c r="AB159" s="27" t="str">
        <f t="shared" si="202"/>
        <v/>
      </c>
      <c r="AC159" s="27" t="str">
        <f t="shared" si="202"/>
        <v/>
      </c>
      <c r="AD159" s="27" t="str">
        <f t="shared" si="202"/>
        <v/>
      </c>
      <c r="AE159" s="27" t="str">
        <f t="shared" si="202"/>
        <v/>
      </c>
      <c r="AF159" s="27" t="str">
        <f t="shared" si="202"/>
        <v/>
      </c>
      <c r="AG159" s="27" t="str">
        <f t="shared" si="202"/>
        <v/>
      </c>
      <c r="AH159" s="27" t="str">
        <f t="shared" si="202"/>
        <v/>
      </c>
      <c r="AI159" s="27" t="str">
        <f t="shared" si="202"/>
        <v/>
      </c>
      <c r="AJ159" s="27" t="str">
        <f t="shared" si="202"/>
        <v/>
      </c>
      <c r="AK159" s="27" t="str">
        <f t="shared" si="202"/>
        <v/>
      </c>
      <c r="AL159" s="27" t="str">
        <f t="shared" si="202"/>
        <v/>
      </c>
      <c r="AM159" s="27" t="str">
        <f t="shared" si="202"/>
        <v/>
      </c>
      <c r="AN159" s="27" t="str">
        <f t="shared" si="202"/>
        <v/>
      </c>
      <c r="AO159" s="27" t="str">
        <f t="shared" si="202"/>
        <v/>
      </c>
      <c r="AP159" s="27" t="str">
        <f t="shared" si="202"/>
        <v/>
      </c>
      <c r="AQ159" s="27" t="str">
        <f t="shared" si="202"/>
        <v/>
      </c>
      <c r="AR159" s="27" t="str">
        <f t="shared" si="202"/>
        <v/>
      </c>
      <c r="AS159" s="27" t="str">
        <f t="shared" si="202"/>
        <v/>
      </c>
      <c r="AT159" s="27" t="str">
        <f t="shared" si="202"/>
        <v/>
      </c>
      <c r="AU159" s="27" t="str">
        <f t="shared" si="202"/>
        <v/>
      </c>
    </row>
    <row r="160" spans="1:47">
      <c r="A160" s="21" t="str">
        <f>A155</f>
        <v>Min</v>
      </c>
      <c r="B160" s="191" t="str">
        <f>B141</f>
        <v>P1</v>
      </c>
      <c r="C160" s="191"/>
      <c r="D160" s="22">
        <f t="shared" si="194"/>
        <v>4077.5226050165925</v>
      </c>
      <c r="E160" s="22">
        <f t="shared" ref="E160:E164" si="203">IF(COUNT(P160:AU160)=0,"",AVERAGE(P160:AU160))</f>
        <v>4337.9996017042158</v>
      </c>
      <c r="F160" s="22">
        <f t="shared" si="195"/>
        <v>4598.4765983918387</v>
      </c>
      <c r="G160" s="22">
        <f t="shared" ref="G160:G164" si="204">IF(COUNT(P160:AU160)=0,"",STDEV(P160:AU160))</f>
        <v>173.65133112508224</v>
      </c>
      <c r="P160" s="22">
        <f t="shared" ref="P160:Q160" si="205">IF(COUNT(P141:P147)=0,"",MIN(P141:P147))</f>
        <v>4354.3691309801179</v>
      </c>
      <c r="Q160" s="22">
        <f t="shared" si="205"/>
        <v>4483.7083920996183</v>
      </c>
      <c r="R160" s="22">
        <f>IF(COUNT(R141:R147)=0,"",MIN(R141:R147))</f>
        <v>4513.464414093055</v>
      </c>
      <c r="S160" s="22">
        <f t="shared" ref="S160:AU160" si="206">IF(COUNT(S141:S147)=0,"",MIN(S141:S147))</f>
        <v>4406.335300557661</v>
      </c>
      <c r="T160" s="22">
        <f t="shared" si="206"/>
        <v>4210.7187287394763</v>
      </c>
      <c r="U160" s="22">
        <f t="shared" si="206"/>
        <v>4059.401643755366</v>
      </c>
      <c r="V160" s="22" t="str">
        <f t="shared" si="206"/>
        <v/>
      </c>
      <c r="W160" s="22" t="str">
        <f t="shared" si="206"/>
        <v/>
      </c>
      <c r="X160" s="22" t="str">
        <f t="shared" si="206"/>
        <v/>
      </c>
      <c r="Y160" s="22" t="str">
        <f t="shared" si="206"/>
        <v/>
      </c>
      <c r="Z160" s="22" t="str">
        <f t="shared" si="206"/>
        <v/>
      </c>
      <c r="AA160" s="22" t="str">
        <f t="shared" si="206"/>
        <v/>
      </c>
      <c r="AB160" s="22" t="str">
        <f t="shared" si="206"/>
        <v/>
      </c>
      <c r="AC160" s="22" t="str">
        <f t="shared" si="206"/>
        <v/>
      </c>
      <c r="AD160" s="22" t="str">
        <f t="shared" si="206"/>
        <v/>
      </c>
      <c r="AE160" s="22" t="str">
        <f t="shared" si="206"/>
        <v/>
      </c>
      <c r="AF160" s="22" t="str">
        <f t="shared" si="206"/>
        <v/>
      </c>
      <c r="AG160" s="22" t="str">
        <f t="shared" si="206"/>
        <v/>
      </c>
      <c r="AH160" s="22" t="str">
        <f t="shared" si="206"/>
        <v/>
      </c>
      <c r="AI160" s="22" t="str">
        <f t="shared" si="206"/>
        <v/>
      </c>
      <c r="AJ160" s="22" t="str">
        <f t="shared" si="206"/>
        <v/>
      </c>
      <c r="AK160" s="22" t="str">
        <f t="shared" si="206"/>
        <v/>
      </c>
      <c r="AL160" s="22" t="str">
        <f t="shared" si="206"/>
        <v/>
      </c>
      <c r="AM160" s="22" t="str">
        <f t="shared" si="206"/>
        <v/>
      </c>
      <c r="AN160" s="22" t="str">
        <f t="shared" si="206"/>
        <v/>
      </c>
      <c r="AO160" s="22" t="str">
        <f t="shared" si="206"/>
        <v/>
      </c>
      <c r="AP160" s="22" t="str">
        <f t="shared" si="206"/>
        <v/>
      </c>
      <c r="AQ160" s="22" t="str">
        <f t="shared" si="206"/>
        <v/>
      </c>
      <c r="AR160" s="22" t="str">
        <f t="shared" si="206"/>
        <v/>
      </c>
      <c r="AS160" s="22" t="str">
        <f t="shared" si="206"/>
        <v/>
      </c>
      <c r="AT160" s="22" t="str">
        <f t="shared" si="206"/>
        <v/>
      </c>
      <c r="AU160" s="22" t="str">
        <f t="shared" si="206"/>
        <v/>
      </c>
    </row>
    <row r="161" spans="1:47">
      <c r="A161" s="21" t="str">
        <f t="shared" ref="A161:A169" si="207">A156</f>
        <v>Max</v>
      </c>
      <c r="B161" s="191"/>
      <c r="C161" s="191"/>
      <c r="D161" s="22">
        <f t="shared" si="194"/>
        <v>4077.5226050165925</v>
      </c>
      <c r="E161" s="22">
        <f t="shared" si="203"/>
        <v>4337.9996017042158</v>
      </c>
      <c r="F161" s="22">
        <f t="shared" si="195"/>
        <v>4598.4765983918387</v>
      </c>
      <c r="G161" s="22">
        <f t="shared" si="204"/>
        <v>173.65133112508224</v>
      </c>
      <c r="P161" s="22">
        <f t="shared" ref="P161:Q161" si="208">IF(COUNT(P141:P147)=0,"",MAX(P141:P147))</f>
        <v>4354.3691309801179</v>
      </c>
      <c r="Q161" s="22">
        <f t="shared" si="208"/>
        <v>4483.7083920996183</v>
      </c>
      <c r="R161" s="22">
        <f>IF(COUNT(R141:R147)=0,"",MAX(R141:R147))</f>
        <v>4513.464414093055</v>
      </c>
      <c r="S161" s="22">
        <f t="shared" ref="S161:AU161" si="209">IF(COUNT(S141:S147)=0,"",MAX(S141:S147))</f>
        <v>4406.335300557661</v>
      </c>
      <c r="T161" s="22">
        <f t="shared" si="209"/>
        <v>4210.7187287394763</v>
      </c>
      <c r="U161" s="22">
        <f t="shared" si="209"/>
        <v>4059.401643755366</v>
      </c>
      <c r="V161" s="22" t="str">
        <f t="shared" si="209"/>
        <v/>
      </c>
      <c r="W161" s="22" t="str">
        <f t="shared" si="209"/>
        <v/>
      </c>
      <c r="X161" s="22" t="str">
        <f t="shared" si="209"/>
        <v/>
      </c>
      <c r="Y161" s="22" t="str">
        <f t="shared" si="209"/>
        <v/>
      </c>
      <c r="Z161" s="22" t="str">
        <f t="shared" si="209"/>
        <v/>
      </c>
      <c r="AA161" s="22" t="str">
        <f t="shared" si="209"/>
        <v/>
      </c>
      <c r="AB161" s="22" t="str">
        <f t="shared" si="209"/>
        <v/>
      </c>
      <c r="AC161" s="22" t="str">
        <f t="shared" si="209"/>
        <v/>
      </c>
      <c r="AD161" s="22" t="str">
        <f t="shared" si="209"/>
        <v/>
      </c>
      <c r="AE161" s="22" t="str">
        <f t="shared" si="209"/>
        <v/>
      </c>
      <c r="AF161" s="22" t="str">
        <f t="shared" si="209"/>
        <v/>
      </c>
      <c r="AG161" s="22" t="str">
        <f t="shared" si="209"/>
        <v/>
      </c>
      <c r="AH161" s="22" t="str">
        <f t="shared" si="209"/>
        <v/>
      </c>
      <c r="AI161" s="22" t="str">
        <f t="shared" si="209"/>
        <v/>
      </c>
      <c r="AJ161" s="22" t="str">
        <f t="shared" si="209"/>
        <v/>
      </c>
      <c r="AK161" s="22" t="str">
        <f t="shared" si="209"/>
        <v/>
      </c>
      <c r="AL161" s="22" t="str">
        <f t="shared" si="209"/>
        <v/>
      </c>
      <c r="AM161" s="22" t="str">
        <f t="shared" si="209"/>
        <v/>
      </c>
      <c r="AN161" s="22" t="str">
        <f t="shared" si="209"/>
        <v/>
      </c>
      <c r="AO161" s="22" t="str">
        <f t="shared" si="209"/>
        <v/>
      </c>
      <c r="AP161" s="22" t="str">
        <f t="shared" si="209"/>
        <v/>
      </c>
      <c r="AQ161" s="22" t="str">
        <f t="shared" si="209"/>
        <v/>
      </c>
      <c r="AR161" s="22" t="str">
        <f t="shared" si="209"/>
        <v/>
      </c>
      <c r="AS161" s="22" t="str">
        <f t="shared" si="209"/>
        <v/>
      </c>
      <c r="AT161" s="22" t="str">
        <f t="shared" si="209"/>
        <v/>
      </c>
      <c r="AU161" s="22" t="str">
        <f t="shared" si="209"/>
        <v/>
      </c>
    </row>
    <row r="162" spans="1:47">
      <c r="A162" s="21" t="str">
        <f t="shared" si="207"/>
        <v>Median</v>
      </c>
      <c r="B162" s="191"/>
      <c r="C162" s="191"/>
      <c r="D162" s="22">
        <f t="shared" si="194"/>
        <v>4077.5226050165925</v>
      </c>
      <c r="E162" s="22">
        <f t="shared" si="203"/>
        <v>4337.9996017042158</v>
      </c>
      <c r="F162" s="22">
        <f t="shared" si="195"/>
        <v>4598.4765983918387</v>
      </c>
      <c r="G162" s="22">
        <f t="shared" si="204"/>
        <v>173.65133112508224</v>
      </c>
      <c r="P162" s="22">
        <f t="shared" ref="P162:AU162" si="210">IF(COUNT(P160:P161)=0,"",(P161+P160)/2)</f>
        <v>4354.3691309801179</v>
      </c>
      <c r="Q162" s="22">
        <f t="shared" si="210"/>
        <v>4483.7083920996183</v>
      </c>
      <c r="R162" s="22">
        <f t="shared" si="210"/>
        <v>4513.464414093055</v>
      </c>
      <c r="S162" s="22">
        <f t="shared" si="210"/>
        <v>4406.335300557661</v>
      </c>
      <c r="T162" s="22">
        <f t="shared" si="210"/>
        <v>4210.7187287394763</v>
      </c>
      <c r="U162" s="22">
        <f t="shared" si="210"/>
        <v>4059.401643755366</v>
      </c>
      <c r="V162" s="22" t="str">
        <f t="shared" si="210"/>
        <v/>
      </c>
      <c r="W162" s="22" t="str">
        <f t="shared" si="210"/>
        <v/>
      </c>
      <c r="X162" s="22" t="str">
        <f t="shared" si="210"/>
        <v/>
      </c>
      <c r="Y162" s="22" t="str">
        <f t="shared" si="210"/>
        <v/>
      </c>
      <c r="Z162" s="22" t="str">
        <f t="shared" si="210"/>
        <v/>
      </c>
      <c r="AA162" s="22" t="str">
        <f t="shared" si="210"/>
        <v/>
      </c>
      <c r="AB162" s="22" t="str">
        <f t="shared" si="210"/>
        <v/>
      </c>
      <c r="AC162" s="22" t="str">
        <f t="shared" si="210"/>
        <v/>
      </c>
      <c r="AD162" s="22" t="str">
        <f t="shared" si="210"/>
        <v/>
      </c>
      <c r="AE162" s="22" t="str">
        <f t="shared" si="210"/>
        <v/>
      </c>
      <c r="AF162" s="22" t="str">
        <f t="shared" si="210"/>
        <v/>
      </c>
      <c r="AG162" s="22" t="str">
        <f t="shared" si="210"/>
        <v/>
      </c>
      <c r="AH162" s="22" t="str">
        <f t="shared" si="210"/>
        <v/>
      </c>
      <c r="AI162" s="22" t="str">
        <f t="shared" si="210"/>
        <v/>
      </c>
      <c r="AJ162" s="22" t="str">
        <f t="shared" si="210"/>
        <v/>
      </c>
      <c r="AK162" s="22" t="str">
        <f t="shared" si="210"/>
        <v/>
      </c>
      <c r="AL162" s="22" t="str">
        <f t="shared" si="210"/>
        <v/>
      </c>
      <c r="AM162" s="22" t="str">
        <f t="shared" si="210"/>
        <v/>
      </c>
      <c r="AN162" s="22" t="str">
        <f t="shared" si="210"/>
        <v/>
      </c>
      <c r="AO162" s="22" t="str">
        <f t="shared" si="210"/>
        <v/>
      </c>
      <c r="AP162" s="22" t="str">
        <f t="shared" si="210"/>
        <v/>
      </c>
      <c r="AQ162" s="22" t="str">
        <f t="shared" si="210"/>
        <v/>
      </c>
      <c r="AR162" s="22" t="str">
        <f t="shared" si="210"/>
        <v/>
      </c>
      <c r="AS162" s="22" t="str">
        <f t="shared" si="210"/>
        <v/>
      </c>
      <c r="AT162" s="22" t="str">
        <f t="shared" si="210"/>
        <v/>
      </c>
      <c r="AU162" s="22" t="str">
        <f t="shared" si="210"/>
        <v/>
      </c>
    </row>
    <row r="163" spans="1:47">
      <c r="A163" s="21" t="str">
        <f t="shared" si="207"/>
        <v>Gain Error</v>
      </c>
      <c r="B163" s="191"/>
      <c r="C163" s="191"/>
      <c r="D163" s="27">
        <f t="shared" si="194"/>
        <v>1.9380651254144704E-2</v>
      </c>
      <c r="E163" s="27">
        <f t="shared" si="203"/>
        <v>8.4499900426053931E-2</v>
      </c>
      <c r="F163" s="27">
        <f t="shared" si="195"/>
        <v>0.14961914959796316</v>
      </c>
      <c r="G163" s="27">
        <f t="shared" si="204"/>
        <v>4.3412832781272823E-2</v>
      </c>
      <c r="I163" s="49">
        <v>2</v>
      </c>
      <c r="J163" s="49">
        <v>1</v>
      </c>
      <c r="K163" s="26">
        <f>INDEX(calTable,I163,J163)</f>
        <v>4000</v>
      </c>
      <c r="P163" s="27">
        <f t="shared" ref="P163:Q163" si="211">IF(COUNT(P162)=0,"",P162/$K163-1)</f>
        <v>8.8592282745029394E-2</v>
      </c>
      <c r="Q163" s="27">
        <f t="shared" si="211"/>
        <v>0.12092709802490464</v>
      </c>
      <c r="R163" s="27">
        <f>IF(COUNT(R162)=0,"",R162/$K163-1)</f>
        <v>0.12836610352326372</v>
      </c>
      <c r="S163" s="27">
        <f t="shared" ref="S163:AU163" si="212">IF(COUNT(S162)=0,"",S162/$K163-1)</f>
        <v>0.10158382513941522</v>
      </c>
      <c r="T163" s="27">
        <f t="shared" si="212"/>
        <v>5.2679682184869181E-2</v>
      </c>
      <c r="U163" s="27">
        <f t="shared" si="212"/>
        <v>1.485041093884143E-2</v>
      </c>
      <c r="V163" s="27" t="str">
        <f t="shared" si="212"/>
        <v/>
      </c>
      <c r="W163" s="27" t="str">
        <f t="shared" si="212"/>
        <v/>
      </c>
      <c r="X163" s="27" t="str">
        <f t="shared" si="212"/>
        <v/>
      </c>
      <c r="Y163" s="27" t="str">
        <f t="shared" si="212"/>
        <v/>
      </c>
      <c r="Z163" s="27" t="str">
        <f t="shared" si="212"/>
        <v/>
      </c>
      <c r="AA163" s="27" t="str">
        <f t="shared" si="212"/>
        <v/>
      </c>
      <c r="AB163" s="27" t="str">
        <f t="shared" si="212"/>
        <v/>
      </c>
      <c r="AC163" s="27" t="str">
        <f t="shared" si="212"/>
        <v/>
      </c>
      <c r="AD163" s="27" t="str">
        <f t="shared" si="212"/>
        <v/>
      </c>
      <c r="AE163" s="27" t="str">
        <f t="shared" si="212"/>
        <v/>
      </c>
      <c r="AF163" s="27" t="str">
        <f t="shared" si="212"/>
        <v/>
      </c>
      <c r="AG163" s="27" t="str">
        <f t="shared" si="212"/>
        <v/>
      </c>
      <c r="AH163" s="27" t="str">
        <f t="shared" si="212"/>
        <v/>
      </c>
      <c r="AI163" s="27" t="str">
        <f t="shared" si="212"/>
        <v/>
      </c>
      <c r="AJ163" s="27" t="str">
        <f t="shared" si="212"/>
        <v/>
      </c>
      <c r="AK163" s="27" t="str">
        <f t="shared" si="212"/>
        <v/>
      </c>
      <c r="AL163" s="27" t="str">
        <f t="shared" si="212"/>
        <v/>
      </c>
      <c r="AM163" s="27" t="str">
        <f t="shared" si="212"/>
        <v/>
      </c>
      <c r="AN163" s="27" t="str">
        <f t="shared" si="212"/>
        <v/>
      </c>
      <c r="AO163" s="27" t="str">
        <f t="shared" si="212"/>
        <v/>
      </c>
      <c r="AP163" s="27" t="str">
        <f t="shared" si="212"/>
        <v/>
      </c>
      <c r="AQ163" s="27" t="str">
        <f t="shared" si="212"/>
        <v/>
      </c>
      <c r="AR163" s="27" t="str">
        <f t="shared" si="212"/>
        <v/>
      </c>
      <c r="AS163" s="27" t="str">
        <f t="shared" si="212"/>
        <v/>
      </c>
      <c r="AT163" s="27" t="str">
        <f t="shared" si="212"/>
        <v/>
      </c>
      <c r="AU163" s="27" t="str">
        <f t="shared" si="212"/>
        <v/>
      </c>
    </row>
    <row r="164" spans="1:47">
      <c r="A164" s="21" t="str">
        <f t="shared" si="207"/>
        <v>LS2LS</v>
      </c>
      <c r="B164" s="191"/>
      <c r="C164" s="191"/>
      <c r="D164" s="27">
        <f t="shared" si="194"/>
        <v>0</v>
      </c>
      <c r="E164" s="27">
        <f t="shared" si="203"/>
        <v>0</v>
      </c>
      <c r="F164" s="30">
        <f t="shared" si="195"/>
        <v>0</v>
      </c>
      <c r="G164" s="27">
        <f t="shared" si="204"/>
        <v>0</v>
      </c>
      <c r="P164" s="27">
        <f t="shared" ref="P164:AU164" si="213">IF(COUNT(P162)=0,"",(P161-P160)/P162)</f>
        <v>0</v>
      </c>
      <c r="Q164" s="27">
        <f t="shared" si="213"/>
        <v>0</v>
      </c>
      <c r="R164" s="27">
        <f t="shared" si="213"/>
        <v>0</v>
      </c>
      <c r="S164" s="27">
        <f t="shared" si="213"/>
        <v>0</v>
      </c>
      <c r="T164" s="27">
        <f t="shared" si="213"/>
        <v>0</v>
      </c>
      <c r="U164" s="27">
        <f t="shared" si="213"/>
        <v>0</v>
      </c>
      <c r="V164" s="27" t="str">
        <f t="shared" si="213"/>
        <v/>
      </c>
      <c r="W164" s="27" t="str">
        <f t="shared" si="213"/>
        <v/>
      </c>
      <c r="X164" s="27" t="str">
        <f t="shared" si="213"/>
        <v/>
      </c>
      <c r="Y164" s="27" t="str">
        <f t="shared" si="213"/>
        <v/>
      </c>
      <c r="Z164" s="27" t="str">
        <f t="shared" si="213"/>
        <v/>
      </c>
      <c r="AA164" s="27" t="str">
        <f t="shared" si="213"/>
        <v/>
      </c>
      <c r="AB164" s="27" t="str">
        <f t="shared" si="213"/>
        <v/>
      </c>
      <c r="AC164" s="27" t="str">
        <f t="shared" si="213"/>
        <v/>
      </c>
      <c r="AD164" s="27" t="str">
        <f t="shared" si="213"/>
        <v/>
      </c>
      <c r="AE164" s="27" t="str">
        <f t="shared" si="213"/>
        <v/>
      </c>
      <c r="AF164" s="27" t="str">
        <f t="shared" si="213"/>
        <v/>
      </c>
      <c r="AG164" s="27" t="str">
        <f t="shared" si="213"/>
        <v/>
      </c>
      <c r="AH164" s="27" t="str">
        <f t="shared" si="213"/>
        <v/>
      </c>
      <c r="AI164" s="27" t="str">
        <f t="shared" si="213"/>
        <v/>
      </c>
      <c r="AJ164" s="27" t="str">
        <f t="shared" si="213"/>
        <v/>
      </c>
      <c r="AK164" s="27" t="str">
        <f t="shared" si="213"/>
        <v/>
      </c>
      <c r="AL164" s="27" t="str">
        <f t="shared" si="213"/>
        <v/>
      </c>
      <c r="AM164" s="27" t="str">
        <f t="shared" si="213"/>
        <v/>
      </c>
      <c r="AN164" s="27" t="str">
        <f t="shared" si="213"/>
        <v/>
      </c>
      <c r="AO164" s="27" t="str">
        <f t="shared" si="213"/>
        <v/>
      </c>
      <c r="AP164" s="27" t="str">
        <f t="shared" si="213"/>
        <v/>
      </c>
      <c r="AQ164" s="27" t="str">
        <f t="shared" si="213"/>
        <v/>
      </c>
      <c r="AR164" s="27" t="str">
        <f t="shared" si="213"/>
        <v/>
      </c>
      <c r="AS164" s="27" t="str">
        <f t="shared" si="213"/>
        <v/>
      </c>
      <c r="AT164" s="27" t="str">
        <f t="shared" si="213"/>
        <v/>
      </c>
      <c r="AU164" s="27" t="str">
        <f t="shared" si="213"/>
        <v/>
      </c>
    </row>
    <row r="165" spans="1:47">
      <c r="A165" s="21" t="str">
        <f t="shared" si="207"/>
        <v>Min</v>
      </c>
      <c r="B165" s="191" t="str">
        <f>B148</f>
        <v>P2</v>
      </c>
      <c r="C165" s="191"/>
      <c r="D165" s="22">
        <f t="shared" si="194"/>
        <v>12957.576867910937</v>
      </c>
      <c r="E165" s="22">
        <f t="shared" ref="E165:E169" si="214">IF(COUNT(P165:AU165)=0,"",AVERAGE(P165:AU165))</f>
        <v>15591.337745067838</v>
      </c>
      <c r="F165" s="22">
        <f t="shared" si="195"/>
        <v>18225.098622224737</v>
      </c>
      <c r="G165" s="22">
        <f t="shared" ref="G165:G169" si="215">IF(COUNT(P165:AU165)=0,"",STDEV(P165:AU165))</f>
        <v>1755.8405847712672</v>
      </c>
      <c r="P165" s="22">
        <f t="shared" ref="P165:Q165" si="216">IF(COUNT(P148:P154)=0,"",MIN(P148:P154))</f>
        <v>15267.199691622787</v>
      </c>
      <c r="Q165" s="22">
        <f t="shared" si="216"/>
        <v>16926.846000133632</v>
      </c>
      <c r="R165" s="22">
        <f>IF(COUNT(R148:R154)=0,"",MIN(R148:R154))</f>
        <v>17832.350929253062</v>
      </c>
      <c r="S165" s="22">
        <f t="shared" ref="S165:AU165" si="217">IF(COUNT(S148:S154)=0,"",MIN(S148:S154))</f>
        <v>16109.809943399439</v>
      </c>
      <c r="T165" s="22">
        <f t="shared" si="217"/>
        <v>14456.111122107768</v>
      </c>
      <c r="U165" s="22">
        <f t="shared" si="217"/>
        <v>12955.708783890339</v>
      </c>
      <c r="V165" s="22" t="str">
        <f t="shared" si="217"/>
        <v/>
      </c>
      <c r="W165" s="22" t="str">
        <f t="shared" si="217"/>
        <v/>
      </c>
      <c r="X165" s="22" t="str">
        <f t="shared" si="217"/>
        <v/>
      </c>
      <c r="Y165" s="22" t="str">
        <f t="shared" si="217"/>
        <v/>
      </c>
      <c r="Z165" s="22" t="str">
        <f t="shared" si="217"/>
        <v/>
      </c>
      <c r="AA165" s="22" t="str">
        <f t="shared" si="217"/>
        <v/>
      </c>
      <c r="AB165" s="22" t="str">
        <f t="shared" si="217"/>
        <v/>
      </c>
      <c r="AC165" s="22" t="str">
        <f t="shared" si="217"/>
        <v/>
      </c>
      <c r="AD165" s="22" t="str">
        <f t="shared" si="217"/>
        <v/>
      </c>
      <c r="AE165" s="22" t="str">
        <f t="shared" si="217"/>
        <v/>
      </c>
      <c r="AF165" s="22" t="str">
        <f t="shared" si="217"/>
        <v/>
      </c>
      <c r="AG165" s="22" t="str">
        <f t="shared" si="217"/>
        <v/>
      </c>
      <c r="AH165" s="22" t="str">
        <f t="shared" si="217"/>
        <v/>
      </c>
      <c r="AI165" s="22" t="str">
        <f t="shared" si="217"/>
        <v/>
      </c>
      <c r="AJ165" s="22" t="str">
        <f t="shared" si="217"/>
        <v/>
      </c>
      <c r="AK165" s="22" t="str">
        <f t="shared" si="217"/>
        <v/>
      </c>
      <c r="AL165" s="22" t="str">
        <f t="shared" si="217"/>
        <v/>
      </c>
      <c r="AM165" s="22" t="str">
        <f t="shared" si="217"/>
        <v/>
      </c>
      <c r="AN165" s="22" t="str">
        <f t="shared" si="217"/>
        <v/>
      </c>
      <c r="AO165" s="22" t="str">
        <f t="shared" si="217"/>
        <v/>
      </c>
      <c r="AP165" s="22" t="str">
        <f t="shared" si="217"/>
        <v/>
      </c>
      <c r="AQ165" s="22" t="str">
        <f t="shared" si="217"/>
        <v/>
      </c>
      <c r="AR165" s="22" t="str">
        <f t="shared" si="217"/>
        <v/>
      </c>
      <c r="AS165" s="22" t="str">
        <f t="shared" si="217"/>
        <v/>
      </c>
      <c r="AT165" s="22" t="str">
        <f t="shared" si="217"/>
        <v/>
      </c>
      <c r="AU165" s="22" t="str">
        <f t="shared" si="217"/>
        <v/>
      </c>
    </row>
    <row r="166" spans="1:47">
      <c r="A166" s="21" t="str">
        <f t="shared" si="207"/>
        <v>Max</v>
      </c>
      <c r="B166" s="191"/>
      <c r="C166" s="191"/>
      <c r="D166" s="22">
        <f t="shared" si="194"/>
        <v>12957.576867910937</v>
      </c>
      <c r="E166" s="22">
        <f t="shared" si="214"/>
        <v>15591.337745067838</v>
      </c>
      <c r="F166" s="22">
        <f t="shared" si="195"/>
        <v>18225.098622224737</v>
      </c>
      <c r="G166" s="22">
        <f t="shared" si="215"/>
        <v>1755.8405847712672</v>
      </c>
      <c r="P166" s="22">
        <f t="shared" ref="P166:Q166" si="218">IF(COUNT(P148:P154)=0,"",MAX(P148:P154))</f>
        <v>15267.199691622787</v>
      </c>
      <c r="Q166" s="22">
        <f t="shared" si="218"/>
        <v>16926.846000133632</v>
      </c>
      <c r="R166" s="22">
        <f>IF(COUNT(R148:R154)=0,"",MAX(R148:R154))</f>
        <v>17832.350929253062</v>
      </c>
      <c r="S166" s="22">
        <f t="shared" ref="S166:AU166" si="219">IF(COUNT(S148:S154)=0,"",MAX(S148:S154))</f>
        <v>16109.809943399439</v>
      </c>
      <c r="T166" s="22">
        <f t="shared" si="219"/>
        <v>14456.111122107768</v>
      </c>
      <c r="U166" s="22">
        <f t="shared" si="219"/>
        <v>12955.708783890339</v>
      </c>
      <c r="V166" s="22" t="str">
        <f t="shared" si="219"/>
        <v/>
      </c>
      <c r="W166" s="22" t="str">
        <f t="shared" si="219"/>
        <v/>
      </c>
      <c r="X166" s="22" t="str">
        <f t="shared" si="219"/>
        <v/>
      </c>
      <c r="Y166" s="22" t="str">
        <f t="shared" si="219"/>
        <v/>
      </c>
      <c r="Z166" s="22" t="str">
        <f t="shared" si="219"/>
        <v/>
      </c>
      <c r="AA166" s="22" t="str">
        <f t="shared" si="219"/>
        <v/>
      </c>
      <c r="AB166" s="22" t="str">
        <f t="shared" si="219"/>
        <v/>
      </c>
      <c r="AC166" s="22" t="str">
        <f t="shared" si="219"/>
        <v/>
      </c>
      <c r="AD166" s="22" t="str">
        <f t="shared" si="219"/>
        <v/>
      </c>
      <c r="AE166" s="22" t="str">
        <f t="shared" si="219"/>
        <v/>
      </c>
      <c r="AF166" s="22" t="str">
        <f t="shared" si="219"/>
        <v/>
      </c>
      <c r="AG166" s="22" t="str">
        <f t="shared" si="219"/>
        <v/>
      </c>
      <c r="AH166" s="22" t="str">
        <f t="shared" si="219"/>
        <v/>
      </c>
      <c r="AI166" s="22" t="str">
        <f t="shared" si="219"/>
        <v/>
      </c>
      <c r="AJ166" s="22" t="str">
        <f t="shared" si="219"/>
        <v/>
      </c>
      <c r="AK166" s="22" t="str">
        <f t="shared" si="219"/>
        <v/>
      </c>
      <c r="AL166" s="22" t="str">
        <f t="shared" si="219"/>
        <v/>
      </c>
      <c r="AM166" s="22" t="str">
        <f t="shared" si="219"/>
        <v/>
      </c>
      <c r="AN166" s="22" t="str">
        <f t="shared" si="219"/>
        <v/>
      </c>
      <c r="AO166" s="22" t="str">
        <f t="shared" si="219"/>
        <v/>
      </c>
      <c r="AP166" s="22" t="str">
        <f t="shared" si="219"/>
        <v/>
      </c>
      <c r="AQ166" s="22" t="str">
        <f t="shared" si="219"/>
        <v/>
      </c>
      <c r="AR166" s="22" t="str">
        <f t="shared" si="219"/>
        <v/>
      </c>
      <c r="AS166" s="22" t="str">
        <f t="shared" si="219"/>
        <v/>
      </c>
      <c r="AT166" s="22" t="str">
        <f t="shared" si="219"/>
        <v/>
      </c>
      <c r="AU166" s="22" t="str">
        <f t="shared" si="219"/>
        <v/>
      </c>
    </row>
    <row r="167" spans="1:47">
      <c r="A167" s="21" t="str">
        <f t="shared" si="207"/>
        <v>Median</v>
      </c>
      <c r="B167" s="191"/>
      <c r="C167" s="191"/>
      <c r="D167" s="22">
        <f t="shared" si="194"/>
        <v>12957.576867910937</v>
      </c>
      <c r="E167" s="22">
        <f t="shared" si="214"/>
        <v>15591.337745067838</v>
      </c>
      <c r="F167" s="22">
        <f t="shared" si="195"/>
        <v>18225.098622224737</v>
      </c>
      <c r="G167" s="22">
        <f t="shared" si="215"/>
        <v>1755.8405847712672</v>
      </c>
      <c r="P167" s="22">
        <f t="shared" ref="P167:AU167" si="220">IF(COUNT(P165:P166)=0,"",(P166+P165)/2)</f>
        <v>15267.199691622787</v>
      </c>
      <c r="Q167" s="22">
        <f t="shared" si="220"/>
        <v>16926.846000133632</v>
      </c>
      <c r="R167" s="22">
        <f t="shared" si="220"/>
        <v>17832.350929253062</v>
      </c>
      <c r="S167" s="22">
        <f t="shared" si="220"/>
        <v>16109.809943399439</v>
      </c>
      <c r="T167" s="22">
        <f t="shared" si="220"/>
        <v>14456.111122107768</v>
      </c>
      <c r="U167" s="22">
        <f t="shared" si="220"/>
        <v>12955.708783890339</v>
      </c>
      <c r="V167" s="22" t="str">
        <f t="shared" si="220"/>
        <v/>
      </c>
      <c r="W167" s="22" t="str">
        <f t="shared" si="220"/>
        <v/>
      </c>
      <c r="X167" s="22" t="str">
        <f t="shared" si="220"/>
        <v/>
      </c>
      <c r="Y167" s="22" t="str">
        <f t="shared" si="220"/>
        <v/>
      </c>
      <c r="Z167" s="22" t="str">
        <f t="shared" si="220"/>
        <v/>
      </c>
      <c r="AA167" s="22" t="str">
        <f t="shared" si="220"/>
        <v/>
      </c>
      <c r="AB167" s="22" t="str">
        <f t="shared" si="220"/>
        <v/>
      </c>
      <c r="AC167" s="22" t="str">
        <f t="shared" si="220"/>
        <v/>
      </c>
      <c r="AD167" s="22" t="str">
        <f t="shared" si="220"/>
        <v/>
      </c>
      <c r="AE167" s="22" t="str">
        <f t="shared" si="220"/>
        <v/>
      </c>
      <c r="AF167" s="22" t="str">
        <f t="shared" si="220"/>
        <v/>
      </c>
      <c r="AG167" s="22" t="str">
        <f t="shared" si="220"/>
        <v/>
      </c>
      <c r="AH167" s="22" t="str">
        <f t="shared" si="220"/>
        <v/>
      </c>
      <c r="AI167" s="22" t="str">
        <f t="shared" si="220"/>
        <v/>
      </c>
      <c r="AJ167" s="22" t="str">
        <f t="shared" si="220"/>
        <v/>
      </c>
      <c r="AK167" s="22" t="str">
        <f t="shared" si="220"/>
        <v/>
      </c>
      <c r="AL167" s="22" t="str">
        <f t="shared" si="220"/>
        <v/>
      </c>
      <c r="AM167" s="22" t="str">
        <f t="shared" si="220"/>
        <v/>
      </c>
      <c r="AN167" s="22" t="str">
        <f t="shared" si="220"/>
        <v/>
      </c>
      <c r="AO167" s="22" t="str">
        <f t="shared" si="220"/>
        <v/>
      </c>
      <c r="AP167" s="22" t="str">
        <f t="shared" si="220"/>
        <v/>
      </c>
      <c r="AQ167" s="22" t="str">
        <f t="shared" si="220"/>
        <v/>
      </c>
      <c r="AR167" s="22" t="str">
        <f t="shared" si="220"/>
        <v/>
      </c>
      <c r="AS167" s="22" t="str">
        <f t="shared" si="220"/>
        <v/>
      </c>
      <c r="AT167" s="22" t="str">
        <f t="shared" si="220"/>
        <v/>
      </c>
      <c r="AU167" s="22" t="str">
        <f t="shared" si="220"/>
        <v/>
      </c>
    </row>
    <row r="168" spans="1:47">
      <c r="A168" s="21" t="str">
        <f t="shared" si="207"/>
        <v>Gain Error</v>
      </c>
      <c r="B168" s="191"/>
      <c r="C168" s="191"/>
      <c r="D168" s="27">
        <f t="shared" si="194"/>
        <v>-0.19015144575556753</v>
      </c>
      <c r="E168" s="27">
        <f t="shared" si="214"/>
        <v>-2.5541390933260133E-2</v>
      </c>
      <c r="F168" s="27">
        <f t="shared" si="195"/>
        <v>0.13906866388904726</v>
      </c>
      <c r="G168" s="27">
        <f t="shared" si="215"/>
        <v>0.10974003654820494</v>
      </c>
      <c r="I168" s="49">
        <v>3</v>
      </c>
      <c r="J168" s="49">
        <v>1</v>
      </c>
      <c r="K168" s="26">
        <f>INDEX(calTable,I168,J168)</f>
        <v>16000</v>
      </c>
      <c r="P168" s="27">
        <f t="shared" ref="P168:Q168" si="221">IF(COUNT(P167)=0,"",P167/$K168-1)</f>
        <v>-4.5800019273575798E-2</v>
      </c>
      <c r="Q168" s="27">
        <f t="shared" si="221"/>
        <v>5.7927875008352059E-2</v>
      </c>
      <c r="R168" s="27">
        <f>IF(COUNT(R167)=0,"",R167/$K168-1)</f>
        <v>0.11452193307831626</v>
      </c>
      <c r="S168" s="27">
        <f t="shared" ref="S168:AU168" si="222">IF(COUNT(S167)=0,"",S167/$K168-1)</f>
        <v>6.8631214624650383E-3</v>
      </c>
      <c r="T168" s="27">
        <f t="shared" si="222"/>
        <v>-9.6493054868264538E-2</v>
      </c>
      <c r="U168" s="27">
        <f t="shared" si="222"/>
        <v>-0.19026820100685382</v>
      </c>
      <c r="V168" s="27" t="str">
        <f t="shared" si="222"/>
        <v/>
      </c>
      <c r="W168" s="27" t="str">
        <f t="shared" si="222"/>
        <v/>
      </c>
      <c r="X168" s="27" t="str">
        <f t="shared" si="222"/>
        <v/>
      </c>
      <c r="Y168" s="27" t="str">
        <f t="shared" si="222"/>
        <v/>
      </c>
      <c r="Z168" s="27" t="str">
        <f t="shared" si="222"/>
        <v/>
      </c>
      <c r="AA168" s="27" t="str">
        <f t="shared" si="222"/>
        <v/>
      </c>
      <c r="AB168" s="27" t="str">
        <f t="shared" si="222"/>
        <v/>
      </c>
      <c r="AC168" s="27" t="str">
        <f t="shared" si="222"/>
        <v/>
      </c>
      <c r="AD168" s="27" t="str">
        <f t="shared" si="222"/>
        <v/>
      </c>
      <c r="AE168" s="27" t="str">
        <f t="shared" si="222"/>
        <v/>
      </c>
      <c r="AF168" s="27" t="str">
        <f t="shared" si="222"/>
        <v/>
      </c>
      <c r="AG168" s="27" t="str">
        <f t="shared" si="222"/>
        <v/>
      </c>
      <c r="AH168" s="27" t="str">
        <f t="shared" si="222"/>
        <v/>
      </c>
      <c r="AI168" s="27" t="str">
        <f t="shared" si="222"/>
        <v/>
      </c>
      <c r="AJ168" s="27" t="str">
        <f t="shared" si="222"/>
        <v/>
      </c>
      <c r="AK168" s="27" t="str">
        <f t="shared" si="222"/>
        <v/>
      </c>
      <c r="AL168" s="27" t="str">
        <f t="shared" si="222"/>
        <v/>
      </c>
      <c r="AM168" s="27" t="str">
        <f t="shared" si="222"/>
        <v/>
      </c>
      <c r="AN168" s="27" t="str">
        <f t="shared" si="222"/>
        <v/>
      </c>
      <c r="AO168" s="27" t="str">
        <f t="shared" si="222"/>
        <v/>
      </c>
      <c r="AP168" s="27" t="str">
        <f t="shared" si="222"/>
        <v/>
      </c>
      <c r="AQ168" s="27" t="str">
        <f t="shared" si="222"/>
        <v/>
      </c>
      <c r="AR168" s="27" t="str">
        <f t="shared" si="222"/>
        <v/>
      </c>
      <c r="AS168" s="27" t="str">
        <f t="shared" si="222"/>
        <v/>
      </c>
      <c r="AT168" s="27" t="str">
        <f t="shared" si="222"/>
        <v/>
      </c>
      <c r="AU168" s="27" t="str">
        <f t="shared" si="222"/>
        <v/>
      </c>
    </row>
    <row r="169" spans="1:47">
      <c r="A169" s="21" t="str">
        <f t="shared" si="207"/>
        <v>LS2LS</v>
      </c>
      <c r="B169" s="191"/>
      <c r="C169" s="191"/>
      <c r="D169" s="27">
        <f t="shared" si="194"/>
        <v>0</v>
      </c>
      <c r="E169" s="27">
        <f t="shared" si="214"/>
        <v>0</v>
      </c>
      <c r="F169" s="30">
        <f t="shared" si="195"/>
        <v>0</v>
      </c>
      <c r="G169" s="27">
        <f t="shared" si="215"/>
        <v>0</v>
      </c>
      <c r="P169" s="27">
        <f t="shared" ref="P169:AU169" si="223">IF(COUNT(P167)=0,"",(P166-P165)/P167)</f>
        <v>0</v>
      </c>
      <c r="Q169" s="27">
        <f t="shared" si="223"/>
        <v>0</v>
      </c>
      <c r="R169" s="27">
        <f t="shared" si="223"/>
        <v>0</v>
      </c>
      <c r="S169" s="27">
        <f t="shared" si="223"/>
        <v>0</v>
      </c>
      <c r="T169" s="27">
        <f t="shared" si="223"/>
        <v>0</v>
      </c>
      <c r="U169" s="27">
        <f t="shared" si="223"/>
        <v>0</v>
      </c>
      <c r="V169" s="27" t="str">
        <f t="shared" si="223"/>
        <v/>
      </c>
      <c r="W169" s="27" t="str">
        <f t="shared" si="223"/>
        <v/>
      </c>
      <c r="X169" s="27" t="str">
        <f t="shared" si="223"/>
        <v/>
      </c>
      <c r="Y169" s="27" t="str">
        <f t="shared" si="223"/>
        <v/>
      </c>
      <c r="Z169" s="27" t="str">
        <f t="shared" si="223"/>
        <v/>
      </c>
      <c r="AA169" s="27" t="str">
        <f t="shared" si="223"/>
        <v/>
      </c>
      <c r="AB169" s="27" t="str">
        <f t="shared" si="223"/>
        <v/>
      </c>
      <c r="AC169" s="27" t="str">
        <f t="shared" si="223"/>
        <v/>
      </c>
      <c r="AD169" s="27" t="str">
        <f t="shared" si="223"/>
        <v/>
      </c>
      <c r="AE169" s="27" t="str">
        <f t="shared" si="223"/>
        <v/>
      </c>
      <c r="AF169" s="27" t="str">
        <f t="shared" si="223"/>
        <v/>
      </c>
      <c r="AG169" s="27" t="str">
        <f t="shared" si="223"/>
        <v/>
      </c>
      <c r="AH169" s="27" t="str">
        <f t="shared" si="223"/>
        <v/>
      </c>
      <c r="AI169" s="27" t="str">
        <f t="shared" si="223"/>
        <v/>
      </c>
      <c r="AJ169" s="27" t="str">
        <f t="shared" si="223"/>
        <v/>
      </c>
      <c r="AK169" s="27" t="str">
        <f t="shared" si="223"/>
        <v/>
      </c>
      <c r="AL169" s="27" t="str">
        <f t="shared" si="223"/>
        <v/>
      </c>
      <c r="AM169" s="27" t="str">
        <f t="shared" si="223"/>
        <v/>
      </c>
      <c r="AN169" s="27" t="str">
        <f t="shared" si="223"/>
        <v/>
      </c>
      <c r="AO169" s="27" t="str">
        <f t="shared" si="223"/>
        <v/>
      </c>
      <c r="AP169" s="27" t="str">
        <f t="shared" si="223"/>
        <v/>
      </c>
      <c r="AQ169" s="27" t="str">
        <f t="shared" si="223"/>
        <v/>
      </c>
      <c r="AR169" s="27" t="str">
        <f t="shared" si="223"/>
        <v/>
      </c>
      <c r="AS169" s="27" t="str">
        <f t="shared" si="223"/>
        <v/>
      </c>
      <c r="AT169" s="27" t="str">
        <f t="shared" si="223"/>
        <v/>
      </c>
      <c r="AU169" s="27" t="str">
        <f t="shared" si="223"/>
        <v/>
      </c>
    </row>
    <row r="170" spans="1:47" s="21" customFormat="1"/>
    <row r="171" spans="1:47">
      <c r="A171" s="124" t="str">
        <f>A134</f>
        <v>41F02</v>
      </c>
      <c r="B171" s="191" t="str">
        <f>B134</f>
        <v>P0</v>
      </c>
      <c r="C171" s="191" t="str">
        <f>C6</f>
        <v>Range3</v>
      </c>
      <c r="D171" s="22" t="str">
        <f t="shared" ref="D171:D177" si="224">IF(COUNT(P171:AU171)=0,"",E171-1.5*G171)</f>
        <v/>
      </c>
      <c r="E171" s="22" t="str">
        <f t="shared" ref="E171:E203" si="225">IF(COUNT(P171:AU171)=0,"",AVERAGE(P171:AU171))</f>
        <v/>
      </c>
      <c r="F171" s="22" t="str">
        <f t="shared" ref="F171:F177" si="226">IF(COUNT(P171:AU171)=0,"",E171+1.5*G171)</f>
        <v/>
      </c>
      <c r="G171" s="22" t="str">
        <f t="shared" ref="G171:G203" si="227">IF(COUNT(P171:AU171)=0,"",STDEV(P171:AU171))</f>
        <v/>
      </c>
      <c r="H171" s="125">
        <f t="shared" ref="H171:H177" si="228">H134</f>
        <v>3670</v>
      </c>
      <c r="I171" s="125"/>
      <c r="J171" s="125"/>
      <c r="K171" s="125"/>
      <c r="P171" s="22" t="str">
        <f t="shared" ref="P171:AU171" si="229">IF(COUNT(P6)=0,"",P6+_IRM3*P7)</f>
        <v/>
      </c>
      <c r="Q171" s="22" t="str">
        <f t="shared" si="229"/>
        <v/>
      </c>
      <c r="R171" s="22" t="str">
        <f t="shared" si="229"/>
        <v/>
      </c>
      <c r="S171" s="22" t="str">
        <f t="shared" si="229"/>
        <v/>
      </c>
      <c r="T171" s="22" t="str">
        <f t="shared" si="229"/>
        <v/>
      </c>
      <c r="U171" s="22" t="str">
        <f t="shared" si="229"/>
        <v/>
      </c>
      <c r="V171" s="22" t="str">
        <f t="shared" si="229"/>
        <v/>
      </c>
      <c r="W171" s="22" t="str">
        <f t="shared" si="229"/>
        <v/>
      </c>
      <c r="X171" s="22" t="str">
        <f t="shared" si="229"/>
        <v/>
      </c>
      <c r="Y171" s="22" t="str">
        <f t="shared" si="229"/>
        <v/>
      </c>
      <c r="Z171" s="22" t="str">
        <f t="shared" si="229"/>
        <v/>
      </c>
      <c r="AA171" s="22" t="str">
        <f t="shared" si="229"/>
        <v/>
      </c>
      <c r="AB171" s="22" t="str">
        <f t="shared" si="229"/>
        <v/>
      </c>
      <c r="AC171" s="22" t="str">
        <f t="shared" si="229"/>
        <v/>
      </c>
      <c r="AD171" s="22" t="str">
        <f t="shared" si="229"/>
        <v/>
      </c>
      <c r="AE171" s="22" t="str">
        <f t="shared" si="229"/>
        <v/>
      </c>
      <c r="AF171" s="22" t="str">
        <f t="shared" si="229"/>
        <v/>
      </c>
      <c r="AG171" s="22" t="str">
        <f t="shared" si="229"/>
        <v/>
      </c>
      <c r="AH171" s="22" t="str">
        <f t="shared" si="229"/>
        <v/>
      </c>
      <c r="AI171" s="22" t="str">
        <f t="shared" si="229"/>
        <v/>
      </c>
      <c r="AJ171" s="22" t="str">
        <f t="shared" si="229"/>
        <v/>
      </c>
      <c r="AK171" s="22" t="str">
        <f t="shared" si="229"/>
        <v/>
      </c>
      <c r="AL171" s="22" t="str">
        <f t="shared" si="229"/>
        <v/>
      </c>
      <c r="AM171" s="22" t="str">
        <f t="shared" si="229"/>
        <v/>
      </c>
      <c r="AN171" s="22" t="str">
        <f t="shared" si="229"/>
        <v/>
      </c>
      <c r="AO171" s="22" t="str">
        <f t="shared" si="229"/>
        <v/>
      </c>
      <c r="AP171" s="22" t="str">
        <f t="shared" si="229"/>
        <v/>
      </c>
      <c r="AQ171" s="22" t="str">
        <f t="shared" si="229"/>
        <v/>
      </c>
      <c r="AR171" s="22" t="str">
        <f t="shared" si="229"/>
        <v/>
      </c>
      <c r="AS171" s="22" t="str">
        <f t="shared" si="229"/>
        <v/>
      </c>
      <c r="AT171" s="22" t="str">
        <f t="shared" si="229"/>
        <v/>
      </c>
      <c r="AU171" s="22" t="str">
        <f t="shared" si="229"/>
        <v/>
      </c>
    </row>
    <row r="172" spans="1:47">
      <c r="A172" s="21" t="str">
        <f t="shared" ref="A172:A177" si="230">A135</f>
        <v>55F02</v>
      </c>
      <c r="B172" s="191"/>
      <c r="C172" s="191"/>
      <c r="D172" s="22" t="str">
        <f t="shared" si="224"/>
        <v/>
      </c>
      <c r="E172" s="22" t="str">
        <f t="shared" si="225"/>
        <v/>
      </c>
      <c r="F172" s="22" t="str">
        <f t="shared" si="226"/>
        <v/>
      </c>
      <c r="G172" s="22" t="str">
        <f t="shared" si="227"/>
        <v/>
      </c>
      <c r="H172" s="49">
        <f t="shared" si="228"/>
        <v>4430</v>
      </c>
      <c r="P172" s="22" t="str">
        <f t="shared" ref="P172:AU172" si="231">IF(COUNT(P18)=0,"",P18+_IRM3*P19)</f>
        <v/>
      </c>
      <c r="Q172" s="22" t="str">
        <f t="shared" si="231"/>
        <v/>
      </c>
      <c r="R172" s="22" t="str">
        <f t="shared" si="231"/>
        <v/>
      </c>
      <c r="S172" s="22" t="str">
        <f t="shared" si="231"/>
        <v/>
      </c>
      <c r="T172" s="22" t="str">
        <f t="shared" si="231"/>
        <v/>
      </c>
      <c r="U172" s="22" t="str">
        <f t="shared" si="231"/>
        <v/>
      </c>
      <c r="V172" s="22" t="str">
        <f t="shared" si="231"/>
        <v/>
      </c>
      <c r="W172" s="22" t="str">
        <f t="shared" si="231"/>
        <v/>
      </c>
      <c r="X172" s="22" t="str">
        <f t="shared" si="231"/>
        <v/>
      </c>
      <c r="Y172" s="22" t="str">
        <f t="shared" si="231"/>
        <v/>
      </c>
      <c r="Z172" s="22" t="str">
        <f t="shared" si="231"/>
        <v/>
      </c>
      <c r="AA172" s="22" t="str">
        <f t="shared" si="231"/>
        <v/>
      </c>
      <c r="AB172" s="22" t="str">
        <f t="shared" si="231"/>
        <v/>
      </c>
      <c r="AC172" s="22" t="str">
        <f t="shared" si="231"/>
        <v/>
      </c>
      <c r="AD172" s="22" t="str">
        <f t="shared" si="231"/>
        <v/>
      </c>
      <c r="AE172" s="22" t="str">
        <f t="shared" si="231"/>
        <v/>
      </c>
      <c r="AF172" s="22" t="str">
        <f t="shared" si="231"/>
        <v/>
      </c>
      <c r="AG172" s="22" t="str">
        <f t="shared" si="231"/>
        <v/>
      </c>
      <c r="AH172" s="22" t="str">
        <f t="shared" si="231"/>
        <v/>
      </c>
      <c r="AI172" s="22" t="str">
        <f t="shared" si="231"/>
        <v/>
      </c>
      <c r="AJ172" s="22" t="str">
        <f t="shared" si="231"/>
        <v/>
      </c>
      <c r="AK172" s="22" t="str">
        <f t="shared" si="231"/>
        <v/>
      </c>
      <c r="AL172" s="22" t="str">
        <f t="shared" si="231"/>
        <v/>
      </c>
      <c r="AM172" s="22" t="str">
        <f t="shared" si="231"/>
        <v/>
      </c>
      <c r="AN172" s="22" t="str">
        <f t="shared" si="231"/>
        <v/>
      </c>
      <c r="AO172" s="22" t="str">
        <f t="shared" si="231"/>
        <v/>
      </c>
      <c r="AP172" s="22" t="str">
        <f t="shared" si="231"/>
        <v/>
      </c>
      <c r="AQ172" s="22" t="str">
        <f t="shared" si="231"/>
        <v/>
      </c>
      <c r="AR172" s="22" t="str">
        <f t="shared" si="231"/>
        <v/>
      </c>
      <c r="AS172" s="22" t="str">
        <f t="shared" si="231"/>
        <v/>
      </c>
      <c r="AT172" s="22" t="str">
        <f t="shared" si="231"/>
        <v/>
      </c>
      <c r="AU172" s="22" t="str">
        <f t="shared" si="231"/>
        <v/>
      </c>
    </row>
    <row r="173" spans="1:47">
      <c r="A173" s="21" t="str">
        <f t="shared" si="230"/>
        <v>65F01</v>
      </c>
      <c r="B173" s="191"/>
      <c r="C173" s="191"/>
      <c r="D173" s="22" t="str">
        <f t="shared" si="224"/>
        <v/>
      </c>
      <c r="E173" s="22" t="str">
        <f t="shared" si="225"/>
        <v/>
      </c>
      <c r="F173" s="22" t="str">
        <f t="shared" si="226"/>
        <v/>
      </c>
      <c r="G173" s="22" t="str">
        <f t="shared" si="227"/>
        <v/>
      </c>
      <c r="H173" s="49">
        <f t="shared" si="228"/>
        <v>6110</v>
      </c>
      <c r="P173" s="22" t="str">
        <f t="shared" ref="P173:AU173" si="232">IF(COUNT(P30)=0,"",P30+_IRM3*P31)</f>
        <v/>
      </c>
      <c r="Q173" s="22" t="str">
        <f t="shared" si="232"/>
        <v/>
      </c>
      <c r="R173" s="22" t="str">
        <f t="shared" si="232"/>
        <v/>
      </c>
      <c r="S173" s="22" t="str">
        <f t="shared" si="232"/>
        <v/>
      </c>
      <c r="T173" s="22" t="str">
        <f t="shared" si="232"/>
        <v/>
      </c>
      <c r="U173" s="22" t="str">
        <f t="shared" si="232"/>
        <v/>
      </c>
      <c r="V173" s="22" t="str">
        <f t="shared" si="232"/>
        <v/>
      </c>
      <c r="W173" s="22" t="str">
        <f t="shared" si="232"/>
        <v/>
      </c>
      <c r="X173" s="22" t="str">
        <f t="shared" si="232"/>
        <v/>
      </c>
      <c r="Y173" s="22" t="str">
        <f t="shared" si="232"/>
        <v/>
      </c>
      <c r="Z173" s="22" t="str">
        <f t="shared" si="232"/>
        <v/>
      </c>
      <c r="AA173" s="22" t="str">
        <f t="shared" si="232"/>
        <v/>
      </c>
      <c r="AB173" s="22" t="str">
        <f t="shared" si="232"/>
        <v/>
      </c>
      <c r="AC173" s="22" t="str">
        <f t="shared" si="232"/>
        <v/>
      </c>
      <c r="AD173" s="22" t="str">
        <f t="shared" si="232"/>
        <v/>
      </c>
      <c r="AE173" s="22" t="str">
        <f t="shared" si="232"/>
        <v/>
      </c>
      <c r="AF173" s="22" t="str">
        <f t="shared" si="232"/>
        <v/>
      </c>
      <c r="AG173" s="22" t="str">
        <f t="shared" si="232"/>
        <v/>
      </c>
      <c r="AH173" s="22" t="str">
        <f t="shared" si="232"/>
        <v/>
      </c>
      <c r="AI173" s="22" t="str">
        <f t="shared" si="232"/>
        <v/>
      </c>
      <c r="AJ173" s="22" t="str">
        <f t="shared" si="232"/>
        <v/>
      </c>
      <c r="AK173" s="22" t="str">
        <f t="shared" si="232"/>
        <v/>
      </c>
      <c r="AL173" s="22" t="str">
        <f t="shared" si="232"/>
        <v/>
      </c>
      <c r="AM173" s="22" t="str">
        <f t="shared" si="232"/>
        <v/>
      </c>
      <c r="AN173" s="22" t="str">
        <f t="shared" si="232"/>
        <v/>
      </c>
      <c r="AO173" s="22" t="str">
        <f t="shared" si="232"/>
        <v/>
      </c>
      <c r="AP173" s="22" t="str">
        <f t="shared" si="232"/>
        <v/>
      </c>
      <c r="AQ173" s="22" t="str">
        <f t="shared" si="232"/>
        <v/>
      </c>
      <c r="AR173" s="22" t="str">
        <f t="shared" si="232"/>
        <v/>
      </c>
      <c r="AS173" s="22" t="str">
        <f t="shared" si="232"/>
        <v/>
      </c>
      <c r="AT173" s="22" t="str">
        <f t="shared" si="232"/>
        <v/>
      </c>
      <c r="AU173" s="22" t="str">
        <f t="shared" si="232"/>
        <v/>
      </c>
    </row>
    <row r="174" spans="1:47">
      <c r="A174" s="21" t="str">
        <f t="shared" si="230"/>
        <v>2700K</v>
      </c>
      <c r="B174" s="191"/>
      <c r="C174" s="191"/>
      <c r="D174" s="22" t="str">
        <f t="shared" si="224"/>
        <v/>
      </c>
      <c r="E174" s="22" t="str">
        <f t="shared" si="225"/>
        <v/>
      </c>
      <c r="F174" s="22" t="str">
        <f t="shared" si="226"/>
        <v/>
      </c>
      <c r="G174" s="22" t="str">
        <f t="shared" si="227"/>
        <v/>
      </c>
      <c r="H174" s="49">
        <f t="shared" si="228"/>
        <v>2700</v>
      </c>
      <c r="P174" s="22" t="str">
        <f t="shared" ref="P174:AU174" si="233">IF(COUNT(P42)=0,"",P42+_IRM3*P43)</f>
        <v/>
      </c>
      <c r="Q174" s="22" t="str">
        <f t="shared" si="233"/>
        <v/>
      </c>
      <c r="R174" s="22" t="str">
        <f t="shared" si="233"/>
        <v/>
      </c>
      <c r="S174" s="22" t="str">
        <f t="shared" si="233"/>
        <v/>
      </c>
      <c r="T174" s="22" t="str">
        <f t="shared" si="233"/>
        <v/>
      </c>
      <c r="U174" s="22" t="str">
        <f t="shared" si="233"/>
        <v/>
      </c>
      <c r="V174" s="22" t="str">
        <f t="shared" si="233"/>
        <v/>
      </c>
      <c r="W174" s="22" t="str">
        <f t="shared" si="233"/>
        <v/>
      </c>
      <c r="X174" s="22" t="str">
        <f t="shared" si="233"/>
        <v/>
      </c>
      <c r="Y174" s="22" t="str">
        <f t="shared" si="233"/>
        <v/>
      </c>
      <c r="Z174" s="22" t="str">
        <f t="shared" si="233"/>
        <v/>
      </c>
      <c r="AA174" s="22" t="str">
        <f t="shared" si="233"/>
        <v/>
      </c>
      <c r="AB174" s="22" t="str">
        <f t="shared" si="233"/>
        <v/>
      </c>
      <c r="AC174" s="22" t="str">
        <f t="shared" si="233"/>
        <v/>
      </c>
      <c r="AD174" s="22" t="str">
        <f t="shared" si="233"/>
        <v/>
      </c>
      <c r="AE174" s="22" t="str">
        <f t="shared" si="233"/>
        <v/>
      </c>
      <c r="AF174" s="22" t="str">
        <f t="shared" si="233"/>
        <v/>
      </c>
      <c r="AG174" s="22" t="str">
        <f t="shared" si="233"/>
        <v/>
      </c>
      <c r="AH174" s="22" t="str">
        <f t="shared" si="233"/>
        <v/>
      </c>
      <c r="AI174" s="22" t="str">
        <f t="shared" si="233"/>
        <v/>
      </c>
      <c r="AJ174" s="22" t="str">
        <f t="shared" si="233"/>
        <v/>
      </c>
      <c r="AK174" s="22" t="str">
        <f t="shared" si="233"/>
        <v/>
      </c>
      <c r="AL174" s="22" t="str">
        <f t="shared" si="233"/>
        <v/>
      </c>
      <c r="AM174" s="22" t="str">
        <f t="shared" si="233"/>
        <v/>
      </c>
      <c r="AN174" s="22" t="str">
        <f t="shared" si="233"/>
        <v/>
      </c>
      <c r="AO174" s="22" t="str">
        <f t="shared" si="233"/>
        <v/>
      </c>
      <c r="AP174" s="22" t="str">
        <f t="shared" si="233"/>
        <v/>
      </c>
      <c r="AQ174" s="22" t="str">
        <f t="shared" si="233"/>
        <v/>
      </c>
      <c r="AR174" s="22" t="str">
        <f t="shared" si="233"/>
        <v/>
      </c>
      <c r="AS174" s="22" t="str">
        <f t="shared" si="233"/>
        <v/>
      </c>
      <c r="AT174" s="22" t="str">
        <f t="shared" si="233"/>
        <v/>
      </c>
      <c r="AU174" s="22" t="str">
        <f t="shared" si="233"/>
        <v/>
      </c>
    </row>
    <row r="175" spans="1:47">
      <c r="A175" s="21" t="str">
        <f t="shared" si="230"/>
        <v>3200K</v>
      </c>
      <c r="B175" s="191"/>
      <c r="C175" s="191"/>
      <c r="D175" s="22">
        <f t="shared" si="224"/>
        <v>810.45695725749715</v>
      </c>
      <c r="E175" s="22">
        <f t="shared" si="225"/>
        <v>971.04499921490094</v>
      </c>
      <c r="F175" s="22">
        <f t="shared" si="226"/>
        <v>1131.6330411723047</v>
      </c>
      <c r="G175" s="22">
        <f t="shared" si="227"/>
        <v>107.05869463826917</v>
      </c>
      <c r="H175" s="49">
        <f t="shared" si="228"/>
        <v>3200</v>
      </c>
      <c r="P175" s="22">
        <f t="shared" ref="P175:AU175" si="234">IF(COUNT(P54)=0,"",P54+_IRM3*P55)</f>
        <v>931.15346775212038</v>
      </c>
      <c r="Q175" s="22">
        <f t="shared" si="234"/>
        <v>1041.9997607994985</v>
      </c>
      <c r="R175" s="22">
        <f t="shared" si="234"/>
        <v>1110.9906125419309</v>
      </c>
      <c r="S175" s="22">
        <f t="shared" si="234"/>
        <v>1021.9269914347821</v>
      </c>
      <c r="T175" s="22">
        <f t="shared" si="234"/>
        <v>904.20391629023266</v>
      </c>
      <c r="U175" s="22">
        <f t="shared" si="234"/>
        <v>815.99524647084013</v>
      </c>
      <c r="V175" s="22" t="str">
        <f t="shared" si="234"/>
        <v/>
      </c>
      <c r="W175" s="22" t="str">
        <f t="shared" si="234"/>
        <v/>
      </c>
      <c r="X175" s="22" t="str">
        <f t="shared" si="234"/>
        <v/>
      </c>
      <c r="Y175" s="22" t="str">
        <f t="shared" si="234"/>
        <v/>
      </c>
      <c r="Z175" s="22" t="str">
        <f t="shared" si="234"/>
        <v/>
      </c>
      <c r="AA175" s="22" t="str">
        <f t="shared" si="234"/>
        <v/>
      </c>
      <c r="AB175" s="22" t="str">
        <f t="shared" si="234"/>
        <v/>
      </c>
      <c r="AC175" s="22" t="str">
        <f t="shared" si="234"/>
        <v/>
      </c>
      <c r="AD175" s="22" t="str">
        <f t="shared" si="234"/>
        <v/>
      </c>
      <c r="AE175" s="22" t="str">
        <f t="shared" si="234"/>
        <v/>
      </c>
      <c r="AF175" s="22" t="str">
        <f t="shared" si="234"/>
        <v/>
      </c>
      <c r="AG175" s="22" t="str">
        <f t="shared" si="234"/>
        <v/>
      </c>
      <c r="AH175" s="22" t="str">
        <f t="shared" si="234"/>
        <v/>
      </c>
      <c r="AI175" s="22" t="str">
        <f t="shared" si="234"/>
        <v/>
      </c>
      <c r="AJ175" s="22" t="str">
        <f t="shared" si="234"/>
        <v/>
      </c>
      <c r="AK175" s="22" t="str">
        <f t="shared" si="234"/>
        <v/>
      </c>
      <c r="AL175" s="22" t="str">
        <f t="shared" si="234"/>
        <v/>
      </c>
      <c r="AM175" s="22" t="str">
        <f t="shared" si="234"/>
        <v/>
      </c>
      <c r="AN175" s="22" t="str">
        <f t="shared" si="234"/>
        <v/>
      </c>
      <c r="AO175" s="22" t="str">
        <f t="shared" si="234"/>
        <v/>
      </c>
      <c r="AP175" s="22" t="str">
        <f t="shared" si="234"/>
        <v/>
      </c>
      <c r="AQ175" s="22" t="str">
        <f t="shared" si="234"/>
        <v/>
      </c>
      <c r="AR175" s="22" t="str">
        <f t="shared" si="234"/>
        <v/>
      </c>
      <c r="AS175" s="22" t="str">
        <f t="shared" si="234"/>
        <v/>
      </c>
      <c r="AT175" s="22" t="str">
        <f t="shared" si="234"/>
        <v/>
      </c>
      <c r="AU175" s="22" t="str">
        <f t="shared" si="234"/>
        <v/>
      </c>
    </row>
    <row r="176" spans="1:47">
      <c r="A176" s="21" t="str">
        <f t="shared" si="230"/>
        <v>5500K</v>
      </c>
      <c r="B176" s="191"/>
      <c r="C176" s="191"/>
      <c r="D176" s="22" t="str">
        <f t="shared" si="224"/>
        <v/>
      </c>
      <c r="E176" s="22" t="str">
        <f t="shared" si="225"/>
        <v/>
      </c>
      <c r="F176" s="22" t="str">
        <f t="shared" si="226"/>
        <v/>
      </c>
      <c r="G176" s="22" t="str">
        <f t="shared" si="227"/>
        <v/>
      </c>
      <c r="H176" s="49">
        <f t="shared" si="228"/>
        <v>5500</v>
      </c>
      <c r="P176" s="22" t="str">
        <f t="shared" ref="P176:AU176" si="235">IF(COUNT(P66)=0,"",P66+_IRM3*P67)</f>
        <v/>
      </c>
      <c r="Q176" s="22" t="str">
        <f t="shared" si="235"/>
        <v/>
      </c>
      <c r="R176" s="22" t="str">
        <f t="shared" si="235"/>
        <v/>
      </c>
      <c r="S176" s="22" t="str">
        <f t="shared" si="235"/>
        <v/>
      </c>
      <c r="T176" s="22" t="str">
        <f t="shared" si="235"/>
        <v/>
      </c>
      <c r="U176" s="22" t="str">
        <f t="shared" si="235"/>
        <v/>
      </c>
      <c r="V176" s="22" t="str">
        <f t="shared" si="235"/>
        <v/>
      </c>
      <c r="W176" s="22" t="str">
        <f t="shared" si="235"/>
        <v/>
      </c>
      <c r="X176" s="22" t="str">
        <f t="shared" si="235"/>
        <v/>
      </c>
      <c r="Y176" s="22" t="str">
        <f t="shared" si="235"/>
        <v/>
      </c>
      <c r="Z176" s="22" t="str">
        <f t="shared" si="235"/>
        <v/>
      </c>
      <c r="AA176" s="22" t="str">
        <f t="shared" si="235"/>
        <v/>
      </c>
      <c r="AB176" s="22" t="str">
        <f t="shared" si="235"/>
        <v/>
      </c>
      <c r="AC176" s="22" t="str">
        <f t="shared" si="235"/>
        <v/>
      </c>
      <c r="AD176" s="22" t="str">
        <f t="shared" si="235"/>
        <v/>
      </c>
      <c r="AE176" s="22" t="str">
        <f t="shared" si="235"/>
        <v/>
      </c>
      <c r="AF176" s="22" t="str">
        <f t="shared" si="235"/>
        <v/>
      </c>
      <c r="AG176" s="22" t="str">
        <f t="shared" si="235"/>
        <v/>
      </c>
      <c r="AH176" s="22" t="str">
        <f t="shared" si="235"/>
        <v/>
      </c>
      <c r="AI176" s="22" t="str">
        <f t="shared" si="235"/>
        <v/>
      </c>
      <c r="AJ176" s="22" t="str">
        <f t="shared" si="235"/>
        <v/>
      </c>
      <c r="AK176" s="22" t="str">
        <f t="shared" si="235"/>
        <v/>
      </c>
      <c r="AL176" s="22" t="str">
        <f t="shared" si="235"/>
        <v/>
      </c>
      <c r="AM176" s="22" t="str">
        <f t="shared" si="235"/>
        <v/>
      </c>
      <c r="AN176" s="22" t="str">
        <f t="shared" si="235"/>
        <v/>
      </c>
      <c r="AO176" s="22" t="str">
        <f t="shared" si="235"/>
        <v/>
      </c>
      <c r="AP176" s="22" t="str">
        <f t="shared" si="235"/>
        <v/>
      </c>
      <c r="AQ176" s="22" t="str">
        <f t="shared" si="235"/>
        <v/>
      </c>
      <c r="AR176" s="22" t="str">
        <f t="shared" si="235"/>
        <v/>
      </c>
      <c r="AS176" s="22" t="str">
        <f t="shared" si="235"/>
        <v/>
      </c>
      <c r="AT176" s="22" t="str">
        <f t="shared" si="235"/>
        <v/>
      </c>
      <c r="AU176" s="22" t="str">
        <f t="shared" si="235"/>
        <v/>
      </c>
    </row>
    <row r="177" spans="1:47">
      <c r="A177" s="21" t="str">
        <f t="shared" si="230"/>
        <v>6500K</v>
      </c>
      <c r="B177" s="191"/>
      <c r="C177" s="191"/>
      <c r="D177" s="22" t="str">
        <f t="shared" si="224"/>
        <v/>
      </c>
      <c r="E177" s="22" t="str">
        <f t="shared" si="225"/>
        <v/>
      </c>
      <c r="F177" s="22" t="str">
        <f t="shared" si="226"/>
        <v/>
      </c>
      <c r="G177" s="22" t="str">
        <f t="shared" si="227"/>
        <v/>
      </c>
      <c r="H177" s="49">
        <f t="shared" si="228"/>
        <v>6500</v>
      </c>
      <c r="P177" s="22" t="str">
        <f t="shared" ref="P177:AU177" si="236">IF(COUNT(P78)=0,"",P78+_IRM3*P79)</f>
        <v/>
      </c>
      <c r="Q177" s="22" t="str">
        <f t="shared" si="236"/>
        <v/>
      </c>
      <c r="R177" s="22" t="str">
        <f t="shared" si="236"/>
        <v/>
      </c>
      <c r="S177" s="22" t="str">
        <f t="shared" si="236"/>
        <v/>
      </c>
      <c r="T177" s="22" t="str">
        <f t="shared" si="236"/>
        <v/>
      </c>
      <c r="U177" s="22" t="str">
        <f t="shared" si="236"/>
        <v/>
      </c>
      <c r="V177" s="22" t="str">
        <f t="shared" si="236"/>
        <v/>
      </c>
      <c r="W177" s="22" t="str">
        <f t="shared" si="236"/>
        <v/>
      </c>
      <c r="X177" s="22" t="str">
        <f t="shared" si="236"/>
        <v/>
      </c>
      <c r="Y177" s="22" t="str">
        <f t="shared" si="236"/>
        <v/>
      </c>
      <c r="Z177" s="22" t="str">
        <f t="shared" si="236"/>
        <v/>
      </c>
      <c r="AA177" s="22" t="str">
        <f t="shared" si="236"/>
        <v/>
      </c>
      <c r="AB177" s="22" t="str">
        <f t="shared" si="236"/>
        <v/>
      </c>
      <c r="AC177" s="22" t="str">
        <f t="shared" si="236"/>
        <v/>
      </c>
      <c r="AD177" s="22" t="str">
        <f t="shared" si="236"/>
        <v/>
      </c>
      <c r="AE177" s="22" t="str">
        <f t="shared" si="236"/>
        <v/>
      </c>
      <c r="AF177" s="22" t="str">
        <f t="shared" si="236"/>
        <v/>
      </c>
      <c r="AG177" s="22" t="str">
        <f t="shared" si="236"/>
        <v/>
      </c>
      <c r="AH177" s="22" t="str">
        <f t="shared" si="236"/>
        <v/>
      </c>
      <c r="AI177" s="22" t="str">
        <f t="shared" si="236"/>
        <v/>
      </c>
      <c r="AJ177" s="22" t="str">
        <f t="shared" si="236"/>
        <v/>
      </c>
      <c r="AK177" s="22" t="str">
        <f t="shared" si="236"/>
        <v/>
      </c>
      <c r="AL177" s="22" t="str">
        <f t="shared" si="236"/>
        <v/>
      </c>
      <c r="AM177" s="22" t="str">
        <f t="shared" si="236"/>
        <v/>
      </c>
      <c r="AN177" s="22" t="str">
        <f t="shared" si="236"/>
        <v/>
      </c>
      <c r="AO177" s="22" t="str">
        <f t="shared" si="236"/>
        <v/>
      </c>
      <c r="AP177" s="22" t="str">
        <f t="shared" si="236"/>
        <v/>
      </c>
      <c r="AQ177" s="22" t="str">
        <f t="shared" si="236"/>
        <v/>
      </c>
      <c r="AR177" s="22" t="str">
        <f t="shared" si="236"/>
        <v/>
      </c>
      <c r="AS177" s="22" t="str">
        <f t="shared" si="236"/>
        <v/>
      </c>
      <c r="AT177" s="22" t="str">
        <f t="shared" si="236"/>
        <v/>
      </c>
      <c r="AU177" s="22" t="str">
        <f t="shared" si="236"/>
        <v/>
      </c>
    </row>
    <row r="178" spans="1:47">
      <c r="A178" s="21" t="str">
        <f>A171</f>
        <v>41F02</v>
      </c>
      <c r="B178" s="191" t="str">
        <f>B160</f>
        <v>P1</v>
      </c>
      <c r="C178" s="191"/>
      <c r="D178" s="22" t="str">
        <f t="shared" ref="D178:D184" si="237">IF(COUNT(P178:AU178)=0,"",E178-1.5*G178)</f>
        <v/>
      </c>
      <c r="E178" s="22" t="str">
        <f t="shared" ref="E178:E184" si="238">IF(COUNT(P178:AU178)=0,"",AVERAGE(P178:AU178))</f>
        <v/>
      </c>
      <c r="F178" s="22" t="str">
        <f t="shared" ref="F178:F184" si="239">IF(COUNT(P178:AU178)=0,"",E178+1.5*G178)</f>
        <v/>
      </c>
      <c r="G178" s="22" t="str">
        <f t="shared" ref="G178:G184" si="240">IF(COUNT(P178:AU178)=0,"",STDEV(P178:AU178))</f>
        <v/>
      </c>
      <c r="H178" s="49">
        <f>H171</f>
        <v>3670</v>
      </c>
      <c r="P178" s="22" t="str">
        <f t="shared" ref="P178:AU178" si="241">IF(COUNT(P10)=0,"",P10+_IRM3*P7)</f>
        <v/>
      </c>
      <c r="Q178" s="22" t="str">
        <f t="shared" si="241"/>
        <v/>
      </c>
      <c r="R178" s="22" t="str">
        <f t="shared" si="241"/>
        <v/>
      </c>
      <c r="S178" s="22" t="str">
        <f t="shared" si="241"/>
        <v/>
      </c>
      <c r="T178" s="22" t="str">
        <f t="shared" si="241"/>
        <v/>
      </c>
      <c r="U178" s="22" t="str">
        <f t="shared" si="241"/>
        <v/>
      </c>
      <c r="V178" s="22" t="str">
        <f t="shared" si="241"/>
        <v/>
      </c>
      <c r="W178" s="22" t="str">
        <f t="shared" si="241"/>
        <v/>
      </c>
      <c r="X178" s="22" t="str">
        <f t="shared" si="241"/>
        <v/>
      </c>
      <c r="Y178" s="22" t="str">
        <f t="shared" si="241"/>
        <v/>
      </c>
      <c r="Z178" s="22" t="str">
        <f t="shared" si="241"/>
        <v/>
      </c>
      <c r="AA178" s="22" t="str">
        <f t="shared" si="241"/>
        <v/>
      </c>
      <c r="AB178" s="22" t="str">
        <f t="shared" si="241"/>
        <v/>
      </c>
      <c r="AC178" s="22" t="str">
        <f t="shared" si="241"/>
        <v/>
      </c>
      <c r="AD178" s="22" t="str">
        <f t="shared" si="241"/>
        <v/>
      </c>
      <c r="AE178" s="22" t="str">
        <f t="shared" si="241"/>
        <v/>
      </c>
      <c r="AF178" s="22" t="str">
        <f t="shared" si="241"/>
        <v/>
      </c>
      <c r="AG178" s="22" t="str">
        <f t="shared" si="241"/>
        <v/>
      </c>
      <c r="AH178" s="22" t="str">
        <f t="shared" si="241"/>
        <v/>
      </c>
      <c r="AI178" s="22" t="str">
        <f t="shared" si="241"/>
        <v/>
      </c>
      <c r="AJ178" s="22" t="str">
        <f t="shared" si="241"/>
        <v/>
      </c>
      <c r="AK178" s="22" t="str">
        <f t="shared" si="241"/>
        <v/>
      </c>
      <c r="AL178" s="22" t="str">
        <f t="shared" si="241"/>
        <v/>
      </c>
      <c r="AM178" s="22" t="str">
        <f t="shared" si="241"/>
        <v/>
      </c>
      <c r="AN178" s="22" t="str">
        <f t="shared" si="241"/>
        <v/>
      </c>
      <c r="AO178" s="22" t="str">
        <f t="shared" si="241"/>
        <v/>
      </c>
      <c r="AP178" s="22" t="str">
        <f t="shared" si="241"/>
        <v/>
      </c>
      <c r="AQ178" s="22" t="str">
        <f t="shared" si="241"/>
        <v/>
      </c>
      <c r="AR178" s="22" t="str">
        <f t="shared" si="241"/>
        <v/>
      </c>
      <c r="AS178" s="22" t="str">
        <f t="shared" si="241"/>
        <v/>
      </c>
      <c r="AT178" s="22" t="str">
        <f t="shared" si="241"/>
        <v/>
      </c>
      <c r="AU178" s="22" t="str">
        <f t="shared" si="241"/>
        <v/>
      </c>
    </row>
    <row r="179" spans="1:47">
      <c r="A179" s="21" t="str">
        <f t="shared" ref="A179:A198" si="242">A172</f>
        <v>55F02</v>
      </c>
      <c r="B179" s="191"/>
      <c r="C179" s="191"/>
      <c r="D179" s="22" t="str">
        <f t="shared" si="237"/>
        <v/>
      </c>
      <c r="E179" s="22" t="str">
        <f t="shared" si="238"/>
        <v/>
      </c>
      <c r="F179" s="22" t="str">
        <f t="shared" si="239"/>
        <v/>
      </c>
      <c r="G179" s="22" t="str">
        <f t="shared" si="240"/>
        <v/>
      </c>
      <c r="H179" s="49">
        <f t="shared" ref="H179:H198" si="243">H172</f>
        <v>4430</v>
      </c>
      <c r="P179" s="22" t="str">
        <f t="shared" ref="P179:AU179" si="244">IF(COUNT(P22)=0,"",P22+_IRM3*P19)</f>
        <v/>
      </c>
      <c r="Q179" s="22" t="str">
        <f t="shared" si="244"/>
        <v/>
      </c>
      <c r="R179" s="22" t="str">
        <f t="shared" si="244"/>
        <v/>
      </c>
      <c r="S179" s="22" t="str">
        <f t="shared" si="244"/>
        <v/>
      </c>
      <c r="T179" s="22" t="str">
        <f t="shared" si="244"/>
        <v/>
      </c>
      <c r="U179" s="22" t="str">
        <f t="shared" si="244"/>
        <v/>
      </c>
      <c r="V179" s="22" t="str">
        <f t="shared" si="244"/>
        <v/>
      </c>
      <c r="W179" s="22" t="str">
        <f t="shared" si="244"/>
        <v/>
      </c>
      <c r="X179" s="22" t="str">
        <f t="shared" si="244"/>
        <v/>
      </c>
      <c r="Y179" s="22" t="str">
        <f t="shared" si="244"/>
        <v/>
      </c>
      <c r="Z179" s="22" t="str">
        <f t="shared" si="244"/>
        <v/>
      </c>
      <c r="AA179" s="22" t="str">
        <f t="shared" si="244"/>
        <v/>
      </c>
      <c r="AB179" s="22" t="str">
        <f t="shared" si="244"/>
        <v/>
      </c>
      <c r="AC179" s="22" t="str">
        <f t="shared" si="244"/>
        <v/>
      </c>
      <c r="AD179" s="22" t="str">
        <f t="shared" si="244"/>
        <v/>
      </c>
      <c r="AE179" s="22" t="str">
        <f t="shared" si="244"/>
        <v/>
      </c>
      <c r="AF179" s="22" t="str">
        <f t="shared" si="244"/>
        <v/>
      </c>
      <c r="AG179" s="22" t="str">
        <f t="shared" si="244"/>
        <v/>
      </c>
      <c r="AH179" s="22" t="str">
        <f t="shared" si="244"/>
        <v/>
      </c>
      <c r="AI179" s="22" t="str">
        <f t="shared" si="244"/>
        <v/>
      </c>
      <c r="AJ179" s="22" t="str">
        <f t="shared" si="244"/>
        <v/>
      </c>
      <c r="AK179" s="22" t="str">
        <f t="shared" si="244"/>
        <v/>
      </c>
      <c r="AL179" s="22" t="str">
        <f t="shared" si="244"/>
        <v/>
      </c>
      <c r="AM179" s="22" t="str">
        <f t="shared" si="244"/>
        <v/>
      </c>
      <c r="AN179" s="22" t="str">
        <f t="shared" si="244"/>
        <v/>
      </c>
      <c r="AO179" s="22" t="str">
        <f t="shared" si="244"/>
        <v/>
      </c>
      <c r="AP179" s="22" t="str">
        <f t="shared" si="244"/>
        <v/>
      </c>
      <c r="AQ179" s="22" t="str">
        <f t="shared" si="244"/>
        <v/>
      </c>
      <c r="AR179" s="22" t="str">
        <f t="shared" si="244"/>
        <v/>
      </c>
      <c r="AS179" s="22" t="str">
        <f t="shared" si="244"/>
        <v/>
      </c>
      <c r="AT179" s="22" t="str">
        <f t="shared" si="244"/>
        <v/>
      </c>
      <c r="AU179" s="22" t="str">
        <f t="shared" si="244"/>
        <v/>
      </c>
    </row>
    <row r="180" spans="1:47">
      <c r="A180" s="21" t="str">
        <f t="shared" si="242"/>
        <v>65F01</v>
      </c>
      <c r="B180" s="191"/>
      <c r="C180" s="191"/>
      <c r="D180" s="22" t="str">
        <f t="shared" si="237"/>
        <v/>
      </c>
      <c r="E180" s="22" t="str">
        <f t="shared" si="238"/>
        <v/>
      </c>
      <c r="F180" s="22" t="str">
        <f t="shared" si="239"/>
        <v/>
      </c>
      <c r="G180" s="22" t="str">
        <f t="shared" si="240"/>
        <v/>
      </c>
      <c r="H180" s="49">
        <f t="shared" si="243"/>
        <v>6110</v>
      </c>
      <c r="P180" s="22" t="str">
        <f t="shared" ref="P180:AU180" si="245">IF(COUNT(P34)=0,"",P34+_IRM3*P31)</f>
        <v/>
      </c>
      <c r="Q180" s="22" t="str">
        <f t="shared" si="245"/>
        <v/>
      </c>
      <c r="R180" s="22" t="str">
        <f t="shared" si="245"/>
        <v/>
      </c>
      <c r="S180" s="22" t="str">
        <f t="shared" si="245"/>
        <v/>
      </c>
      <c r="T180" s="22" t="str">
        <f t="shared" si="245"/>
        <v/>
      </c>
      <c r="U180" s="22" t="str">
        <f t="shared" si="245"/>
        <v/>
      </c>
      <c r="V180" s="22" t="str">
        <f t="shared" si="245"/>
        <v/>
      </c>
      <c r="W180" s="22" t="str">
        <f t="shared" si="245"/>
        <v/>
      </c>
      <c r="X180" s="22" t="str">
        <f t="shared" si="245"/>
        <v/>
      </c>
      <c r="Y180" s="22" t="str">
        <f t="shared" si="245"/>
        <v/>
      </c>
      <c r="Z180" s="22" t="str">
        <f t="shared" si="245"/>
        <v/>
      </c>
      <c r="AA180" s="22" t="str">
        <f t="shared" si="245"/>
        <v/>
      </c>
      <c r="AB180" s="22" t="str">
        <f t="shared" si="245"/>
        <v/>
      </c>
      <c r="AC180" s="22" t="str">
        <f t="shared" si="245"/>
        <v/>
      </c>
      <c r="AD180" s="22" t="str">
        <f t="shared" si="245"/>
        <v/>
      </c>
      <c r="AE180" s="22" t="str">
        <f t="shared" si="245"/>
        <v/>
      </c>
      <c r="AF180" s="22" t="str">
        <f t="shared" si="245"/>
        <v/>
      </c>
      <c r="AG180" s="22" t="str">
        <f t="shared" si="245"/>
        <v/>
      </c>
      <c r="AH180" s="22" t="str">
        <f t="shared" si="245"/>
        <v/>
      </c>
      <c r="AI180" s="22" t="str">
        <f t="shared" si="245"/>
        <v/>
      </c>
      <c r="AJ180" s="22" t="str">
        <f t="shared" si="245"/>
        <v/>
      </c>
      <c r="AK180" s="22" t="str">
        <f t="shared" si="245"/>
        <v/>
      </c>
      <c r="AL180" s="22" t="str">
        <f t="shared" si="245"/>
        <v/>
      </c>
      <c r="AM180" s="22" t="str">
        <f t="shared" si="245"/>
        <v/>
      </c>
      <c r="AN180" s="22" t="str">
        <f t="shared" si="245"/>
        <v/>
      </c>
      <c r="AO180" s="22" t="str">
        <f t="shared" si="245"/>
        <v/>
      </c>
      <c r="AP180" s="22" t="str">
        <f t="shared" si="245"/>
        <v/>
      </c>
      <c r="AQ180" s="22" t="str">
        <f t="shared" si="245"/>
        <v/>
      </c>
      <c r="AR180" s="22" t="str">
        <f t="shared" si="245"/>
        <v/>
      </c>
      <c r="AS180" s="22" t="str">
        <f t="shared" si="245"/>
        <v/>
      </c>
      <c r="AT180" s="22" t="str">
        <f t="shared" si="245"/>
        <v/>
      </c>
      <c r="AU180" s="22" t="str">
        <f t="shared" si="245"/>
        <v/>
      </c>
    </row>
    <row r="181" spans="1:47">
      <c r="A181" s="21" t="str">
        <f t="shared" si="242"/>
        <v>2700K</v>
      </c>
      <c r="B181" s="191"/>
      <c r="C181" s="191"/>
      <c r="D181" s="22" t="str">
        <f t="shared" si="237"/>
        <v/>
      </c>
      <c r="E181" s="22" t="str">
        <f t="shared" si="238"/>
        <v/>
      </c>
      <c r="F181" s="22" t="str">
        <f t="shared" si="239"/>
        <v/>
      </c>
      <c r="G181" s="22" t="str">
        <f t="shared" si="240"/>
        <v/>
      </c>
      <c r="H181" s="49">
        <f t="shared" si="243"/>
        <v>2700</v>
      </c>
      <c r="P181" s="22" t="str">
        <f t="shared" ref="P181:AU181" si="246">IF(COUNT(P46)=0,"",P46+_IRM3*P43)</f>
        <v/>
      </c>
      <c r="Q181" s="22" t="str">
        <f t="shared" si="246"/>
        <v/>
      </c>
      <c r="R181" s="22" t="str">
        <f t="shared" si="246"/>
        <v/>
      </c>
      <c r="S181" s="22" t="str">
        <f t="shared" si="246"/>
        <v/>
      </c>
      <c r="T181" s="22" t="str">
        <f t="shared" si="246"/>
        <v/>
      </c>
      <c r="U181" s="22" t="str">
        <f t="shared" si="246"/>
        <v/>
      </c>
      <c r="V181" s="22" t="str">
        <f t="shared" si="246"/>
        <v/>
      </c>
      <c r="W181" s="22" t="str">
        <f t="shared" si="246"/>
        <v/>
      </c>
      <c r="X181" s="22" t="str">
        <f t="shared" si="246"/>
        <v/>
      </c>
      <c r="Y181" s="22" t="str">
        <f t="shared" si="246"/>
        <v/>
      </c>
      <c r="Z181" s="22" t="str">
        <f t="shared" si="246"/>
        <v/>
      </c>
      <c r="AA181" s="22" t="str">
        <f t="shared" si="246"/>
        <v/>
      </c>
      <c r="AB181" s="22" t="str">
        <f t="shared" si="246"/>
        <v/>
      </c>
      <c r="AC181" s="22" t="str">
        <f t="shared" si="246"/>
        <v/>
      </c>
      <c r="AD181" s="22" t="str">
        <f t="shared" si="246"/>
        <v/>
      </c>
      <c r="AE181" s="22" t="str">
        <f t="shared" si="246"/>
        <v/>
      </c>
      <c r="AF181" s="22" t="str">
        <f t="shared" si="246"/>
        <v/>
      </c>
      <c r="AG181" s="22" t="str">
        <f t="shared" si="246"/>
        <v/>
      </c>
      <c r="AH181" s="22" t="str">
        <f t="shared" si="246"/>
        <v/>
      </c>
      <c r="AI181" s="22" t="str">
        <f t="shared" si="246"/>
        <v/>
      </c>
      <c r="AJ181" s="22" t="str">
        <f t="shared" si="246"/>
        <v/>
      </c>
      <c r="AK181" s="22" t="str">
        <f t="shared" si="246"/>
        <v/>
      </c>
      <c r="AL181" s="22" t="str">
        <f t="shared" si="246"/>
        <v/>
      </c>
      <c r="AM181" s="22" t="str">
        <f t="shared" si="246"/>
        <v/>
      </c>
      <c r="AN181" s="22" t="str">
        <f t="shared" si="246"/>
        <v/>
      </c>
      <c r="AO181" s="22" t="str">
        <f t="shared" si="246"/>
        <v/>
      </c>
      <c r="AP181" s="22" t="str">
        <f t="shared" si="246"/>
        <v/>
      </c>
      <c r="AQ181" s="22" t="str">
        <f t="shared" si="246"/>
        <v/>
      </c>
      <c r="AR181" s="22" t="str">
        <f t="shared" si="246"/>
        <v/>
      </c>
      <c r="AS181" s="22" t="str">
        <f t="shared" si="246"/>
        <v/>
      </c>
      <c r="AT181" s="22" t="str">
        <f t="shared" si="246"/>
        <v/>
      </c>
      <c r="AU181" s="22" t="str">
        <f t="shared" si="246"/>
        <v/>
      </c>
    </row>
    <row r="182" spans="1:47">
      <c r="A182" s="21" t="str">
        <f t="shared" si="242"/>
        <v>3200K</v>
      </c>
      <c r="B182" s="191"/>
      <c r="C182" s="191"/>
      <c r="D182" s="22">
        <f t="shared" si="237"/>
        <v>3239.7326876686438</v>
      </c>
      <c r="E182" s="22">
        <f t="shared" si="238"/>
        <v>3897.5122807092534</v>
      </c>
      <c r="F182" s="22">
        <f t="shared" si="239"/>
        <v>4555.291873749863</v>
      </c>
      <c r="G182" s="22">
        <f t="shared" si="240"/>
        <v>438.51972869373981</v>
      </c>
      <c r="H182" s="49">
        <f t="shared" si="243"/>
        <v>3200</v>
      </c>
      <c r="P182" s="22">
        <f t="shared" ref="P182:AU182" si="247">IF(COUNT(P58)=0,"",P58+_IRM3*P55)</f>
        <v>3817.2088126520152</v>
      </c>
      <c r="Q182" s="22">
        <f t="shared" si="247"/>
        <v>4229.4440205310975</v>
      </c>
      <c r="R182" s="22">
        <f t="shared" si="247"/>
        <v>4457.2699528206285</v>
      </c>
      <c r="S182" s="22">
        <f t="shared" si="247"/>
        <v>4028.2330935473765</v>
      </c>
      <c r="T182" s="22">
        <f t="shared" si="247"/>
        <v>3614.43667027326</v>
      </c>
      <c r="U182" s="22">
        <f t="shared" si="247"/>
        <v>3238.481134431147</v>
      </c>
      <c r="V182" s="22" t="str">
        <f t="shared" si="247"/>
        <v/>
      </c>
      <c r="W182" s="22" t="str">
        <f t="shared" si="247"/>
        <v/>
      </c>
      <c r="X182" s="22" t="str">
        <f t="shared" si="247"/>
        <v/>
      </c>
      <c r="Y182" s="22" t="str">
        <f t="shared" si="247"/>
        <v/>
      </c>
      <c r="Z182" s="22" t="str">
        <f t="shared" si="247"/>
        <v/>
      </c>
      <c r="AA182" s="22" t="str">
        <f t="shared" si="247"/>
        <v/>
      </c>
      <c r="AB182" s="22" t="str">
        <f t="shared" si="247"/>
        <v/>
      </c>
      <c r="AC182" s="22" t="str">
        <f t="shared" si="247"/>
        <v/>
      </c>
      <c r="AD182" s="22" t="str">
        <f t="shared" si="247"/>
        <v/>
      </c>
      <c r="AE182" s="22" t="str">
        <f t="shared" si="247"/>
        <v/>
      </c>
      <c r="AF182" s="22" t="str">
        <f t="shared" si="247"/>
        <v/>
      </c>
      <c r="AG182" s="22" t="str">
        <f t="shared" si="247"/>
        <v/>
      </c>
      <c r="AH182" s="22" t="str">
        <f t="shared" si="247"/>
        <v/>
      </c>
      <c r="AI182" s="22" t="str">
        <f t="shared" si="247"/>
        <v/>
      </c>
      <c r="AJ182" s="22" t="str">
        <f t="shared" si="247"/>
        <v/>
      </c>
      <c r="AK182" s="22" t="str">
        <f t="shared" si="247"/>
        <v/>
      </c>
      <c r="AL182" s="22" t="str">
        <f t="shared" si="247"/>
        <v/>
      </c>
      <c r="AM182" s="22" t="str">
        <f t="shared" si="247"/>
        <v/>
      </c>
      <c r="AN182" s="22" t="str">
        <f t="shared" si="247"/>
        <v/>
      </c>
      <c r="AO182" s="22" t="str">
        <f t="shared" si="247"/>
        <v/>
      </c>
      <c r="AP182" s="22" t="str">
        <f t="shared" si="247"/>
        <v/>
      </c>
      <c r="AQ182" s="22" t="str">
        <f t="shared" si="247"/>
        <v/>
      </c>
      <c r="AR182" s="22" t="str">
        <f t="shared" si="247"/>
        <v/>
      </c>
      <c r="AS182" s="22" t="str">
        <f t="shared" si="247"/>
        <v/>
      </c>
      <c r="AT182" s="22" t="str">
        <f t="shared" si="247"/>
        <v/>
      </c>
      <c r="AU182" s="22" t="str">
        <f t="shared" si="247"/>
        <v/>
      </c>
    </row>
    <row r="183" spans="1:47">
      <c r="A183" s="21" t="str">
        <f t="shared" si="242"/>
        <v>5500K</v>
      </c>
      <c r="B183" s="191"/>
      <c r="C183" s="191"/>
      <c r="D183" s="22" t="str">
        <f t="shared" si="237"/>
        <v/>
      </c>
      <c r="E183" s="22" t="str">
        <f t="shared" si="238"/>
        <v/>
      </c>
      <c r="F183" s="22" t="str">
        <f t="shared" si="239"/>
        <v/>
      </c>
      <c r="G183" s="22" t="str">
        <f t="shared" si="240"/>
        <v/>
      </c>
      <c r="H183" s="49">
        <f t="shared" si="243"/>
        <v>5500</v>
      </c>
      <c r="P183" s="22" t="str">
        <f t="shared" ref="P183:AU183" si="248">IF(COUNT(P70)=0,"",P70+_IRM3*P67)</f>
        <v/>
      </c>
      <c r="Q183" s="22" t="str">
        <f t="shared" si="248"/>
        <v/>
      </c>
      <c r="R183" s="22" t="str">
        <f t="shared" si="248"/>
        <v/>
      </c>
      <c r="S183" s="22" t="str">
        <f t="shared" si="248"/>
        <v/>
      </c>
      <c r="T183" s="22" t="str">
        <f t="shared" si="248"/>
        <v/>
      </c>
      <c r="U183" s="22" t="str">
        <f t="shared" si="248"/>
        <v/>
      </c>
      <c r="V183" s="22" t="str">
        <f t="shared" si="248"/>
        <v/>
      </c>
      <c r="W183" s="22" t="str">
        <f t="shared" si="248"/>
        <v/>
      </c>
      <c r="X183" s="22" t="str">
        <f t="shared" si="248"/>
        <v/>
      </c>
      <c r="Y183" s="22" t="str">
        <f t="shared" si="248"/>
        <v/>
      </c>
      <c r="Z183" s="22" t="str">
        <f t="shared" si="248"/>
        <v/>
      </c>
      <c r="AA183" s="22" t="str">
        <f t="shared" si="248"/>
        <v/>
      </c>
      <c r="AB183" s="22" t="str">
        <f t="shared" si="248"/>
        <v/>
      </c>
      <c r="AC183" s="22" t="str">
        <f t="shared" si="248"/>
        <v/>
      </c>
      <c r="AD183" s="22" t="str">
        <f t="shared" si="248"/>
        <v/>
      </c>
      <c r="AE183" s="22" t="str">
        <f t="shared" si="248"/>
        <v/>
      </c>
      <c r="AF183" s="22" t="str">
        <f t="shared" si="248"/>
        <v/>
      </c>
      <c r="AG183" s="22" t="str">
        <f t="shared" si="248"/>
        <v/>
      </c>
      <c r="AH183" s="22" t="str">
        <f t="shared" si="248"/>
        <v/>
      </c>
      <c r="AI183" s="22" t="str">
        <f t="shared" si="248"/>
        <v/>
      </c>
      <c r="AJ183" s="22" t="str">
        <f t="shared" si="248"/>
        <v/>
      </c>
      <c r="AK183" s="22" t="str">
        <f t="shared" si="248"/>
        <v/>
      </c>
      <c r="AL183" s="22" t="str">
        <f t="shared" si="248"/>
        <v/>
      </c>
      <c r="AM183" s="22" t="str">
        <f t="shared" si="248"/>
        <v/>
      </c>
      <c r="AN183" s="22" t="str">
        <f t="shared" si="248"/>
        <v/>
      </c>
      <c r="AO183" s="22" t="str">
        <f t="shared" si="248"/>
        <v/>
      </c>
      <c r="AP183" s="22" t="str">
        <f t="shared" si="248"/>
        <v/>
      </c>
      <c r="AQ183" s="22" t="str">
        <f t="shared" si="248"/>
        <v/>
      </c>
      <c r="AR183" s="22" t="str">
        <f t="shared" si="248"/>
        <v/>
      </c>
      <c r="AS183" s="22" t="str">
        <f t="shared" si="248"/>
        <v/>
      </c>
      <c r="AT183" s="22" t="str">
        <f t="shared" si="248"/>
        <v/>
      </c>
      <c r="AU183" s="22" t="str">
        <f t="shared" si="248"/>
        <v/>
      </c>
    </row>
    <row r="184" spans="1:47">
      <c r="A184" s="21" t="str">
        <f t="shared" si="242"/>
        <v>6500K</v>
      </c>
      <c r="B184" s="191"/>
      <c r="C184" s="191"/>
      <c r="D184" s="22" t="str">
        <f t="shared" si="237"/>
        <v/>
      </c>
      <c r="E184" s="22" t="str">
        <f t="shared" si="238"/>
        <v/>
      </c>
      <c r="F184" s="22" t="str">
        <f t="shared" si="239"/>
        <v/>
      </c>
      <c r="G184" s="22" t="str">
        <f t="shared" si="240"/>
        <v/>
      </c>
      <c r="H184" s="49">
        <f t="shared" si="243"/>
        <v>6500</v>
      </c>
      <c r="P184" s="22" t="str">
        <f t="shared" ref="P184:AU184" si="249">IF(COUNT(P82)=0,"",P82+_IRM3*P79)</f>
        <v/>
      </c>
      <c r="Q184" s="22" t="str">
        <f t="shared" si="249"/>
        <v/>
      </c>
      <c r="R184" s="22" t="str">
        <f t="shared" si="249"/>
        <v/>
      </c>
      <c r="S184" s="22" t="str">
        <f t="shared" si="249"/>
        <v/>
      </c>
      <c r="T184" s="22" t="str">
        <f t="shared" si="249"/>
        <v/>
      </c>
      <c r="U184" s="22" t="str">
        <f t="shared" si="249"/>
        <v/>
      </c>
      <c r="V184" s="22" t="str">
        <f t="shared" si="249"/>
        <v/>
      </c>
      <c r="W184" s="22" t="str">
        <f t="shared" si="249"/>
        <v/>
      </c>
      <c r="X184" s="22" t="str">
        <f t="shared" si="249"/>
        <v/>
      </c>
      <c r="Y184" s="22" t="str">
        <f t="shared" si="249"/>
        <v/>
      </c>
      <c r="Z184" s="22" t="str">
        <f t="shared" si="249"/>
        <v/>
      </c>
      <c r="AA184" s="22" t="str">
        <f t="shared" si="249"/>
        <v/>
      </c>
      <c r="AB184" s="22" t="str">
        <f t="shared" si="249"/>
        <v/>
      </c>
      <c r="AC184" s="22" t="str">
        <f t="shared" si="249"/>
        <v/>
      </c>
      <c r="AD184" s="22" t="str">
        <f t="shared" si="249"/>
        <v/>
      </c>
      <c r="AE184" s="22" t="str">
        <f t="shared" si="249"/>
        <v/>
      </c>
      <c r="AF184" s="22" t="str">
        <f t="shared" si="249"/>
        <v/>
      </c>
      <c r="AG184" s="22" t="str">
        <f t="shared" si="249"/>
        <v/>
      </c>
      <c r="AH184" s="22" t="str">
        <f t="shared" si="249"/>
        <v/>
      </c>
      <c r="AI184" s="22" t="str">
        <f t="shared" si="249"/>
        <v/>
      </c>
      <c r="AJ184" s="22" t="str">
        <f t="shared" si="249"/>
        <v/>
      </c>
      <c r="AK184" s="22" t="str">
        <f t="shared" si="249"/>
        <v/>
      </c>
      <c r="AL184" s="22" t="str">
        <f t="shared" si="249"/>
        <v/>
      </c>
      <c r="AM184" s="22" t="str">
        <f t="shared" si="249"/>
        <v/>
      </c>
      <c r="AN184" s="22" t="str">
        <f t="shared" si="249"/>
        <v/>
      </c>
      <c r="AO184" s="22" t="str">
        <f t="shared" si="249"/>
        <v/>
      </c>
      <c r="AP184" s="22" t="str">
        <f t="shared" si="249"/>
        <v/>
      </c>
      <c r="AQ184" s="22" t="str">
        <f t="shared" si="249"/>
        <v/>
      </c>
      <c r="AR184" s="22" t="str">
        <f t="shared" si="249"/>
        <v/>
      </c>
      <c r="AS184" s="22" t="str">
        <f t="shared" si="249"/>
        <v/>
      </c>
      <c r="AT184" s="22" t="str">
        <f t="shared" si="249"/>
        <v/>
      </c>
      <c r="AU184" s="22" t="str">
        <f t="shared" si="249"/>
        <v/>
      </c>
    </row>
    <row r="185" spans="1:47">
      <c r="A185" s="21" t="str">
        <f t="shared" si="242"/>
        <v>41F02</v>
      </c>
      <c r="B185" s="191" t="str">
        <f>B165</f>
        <v>P2</v>
      </c>
      <c r="C185" s="191"/>
      <c r="D185" s="22" t="str">
        <f t="shared" ref="D185:D191" si="250">IF(COUNT(P185:AU185)=0,"",E185-1.5*G185)</f>
        <v/>
      </c>
      <c r="E185" s="22" t="str">
        <f t="shared" ref="E185:E191" si="251">IF(COUNT(P185:AU185)=0,"",AVERAGE(P185:AU185))</f>
        <v/>
      </c>
      <c r="F185" s="22" t="str">
        <f t="shared" ref="F185:F191" si="252">IF(COUNT(P185:AU185)=0,"",E185+1.5*G185)</f>
        <v/>
      </c>
      <c r="G185" s="22" t="str">
        <f t="shared" ref="G185:G191" si="253">IF(COUNT(P185:AU185)=0,"",STDEV(P185:AU185))</f>
        <v/>
      </c>
      <c r="H185" s="49">
        <f t="shared" si="243"/>
        <v>3670</v>
      </c>
      <c r="P185" s="22" t="str">
        <f t="shared" ref="P185:AU185" si="254">IF(COUNT(P12)=0,"",P12+_IRM3*P7)</f>
        <v/>
      </c>
      <c r="Q185" s="22" t="str">
        <f t="shared" si="254"/>
        <v/>
      </c>
      <c r="R185" s="22" t="str">
        <f t="shared" si="254"/>
        <v/>
      </c>
      <c r="S185" s="22" t="str">
        <f t="shared" si="254"/>
        <v/>
      </c>
      <c r="T185" s="22" t="str">
        <f t="shared" si="254"/>
        <v/>
      </c>
      <c r="U185" s="22" t="str">
        <f t="shared" si="254"/>
        <v/>
      </c>
      <c r="V185" s="22" t="str">
        <f t="shared" si="254"/>
        <v/>
      </c>
      <c r="W185" s="22" t="str">
        <f t="shared" si="254"/>
        <v/>
      </c>
      <c r="X185" s="22" t="str">
        <f t="shared" si="254"/>
        <v/>
      </c>
      <c r="Y185" s="22" t="str">
        <f t="shared" si="254"/>
        <v/>
      </c>
      <c r="Z185" s="22" t="str">
        <f t="shared" si="254"/>
        <v/>
      </c>
      <c r="AA185" s="22" t="str">
        <f t="shared" si="254"/>
        <v/>
      </c>
      <c r="AB185" s="22" t="str">
        <f t="shared" si="254"/>
        <v/>
      </c>
      <c r="AC185" s="22" t="str">
        <f t="shared" si="254"/>
        <v/>
      </c>
      <c r="AD185" s="22" t="str">
        <f t="shared" si="254"/>
        <v/>
      </c>
      <c r="AE185" s="22" t="str">
        <f t="shared" si="254"/>
        <v/>
      </c>
      <c r="AF185" s="22" t="str">
        <f t="shared" si="254"/>
        <v/>
      </c>
      <c r="AG185" s="22" t="str">
        <f t="shared" si="254"/>
        <v/>
      </c>
      <c r="AH185" s="22" t="str">
        <f t="shared" si="254"/>
        <v/>
      </c>
      <c r="AI185" s="22" t="str">
        <f t="shared" si="254"/>
        <v/>
      </c>
      <c r="AJ185" s="22" t="str">
        <f t="shared" si="254"/>
        <v/>
      </c>
      <c r="AK185" s="22" t="str">
        <f t="shared" si="254"/>
        <v/>
      </c>
      <c r="AL185" s="22" t="str">
        <f t="shared" si="254"/>
        <v/>
      </c>
      <c r="AM185" s="22" t="str">
        <f t="shared" si="254"/>
        <v/>
      </c>
      <c r="AN185" s="22" t="str">
        <f t="shared" si="254"/>
        <v/>
      </c>
      <c r="AO185" s="22" t="str">
        <f t="shared" si="254"/>
        <v/>
      </c>
      <c r="AP185" s="22" t="str">
        <f t="shared" si="254"/>
        <v/>
      </c>
      <c r="AQ185" s="22" t="str">
        <f t="shared" si="254"/>
        <v/>
      </c>
      <c r="AR185" s="22" t="str">
        <f t="shared" si="254"/>
        <v/>
      </c>
      <c r="AS185" s="22" t="str">
        <f t="shared" si="254"/>
        <v/>
      </c>
      <c r="AT185" s="22" t="str">
        <f t="shared" si="254"/>
        <v/>
      </c>
      <c r="AU185" s="22" t="str">
        <f t="shared" si="254"/>
        <v/>
      </c>
    </row>
    <row r="186" spans="1:47">
      <c r="A186" s="21" t="str">
        <f t="shared" si="242"/>
        <v>55F02</v>
      </c>
      <c r="B186" s="191"/>
      <c r="C186" s="191"/>
      <c r="D186" s="22" t="str">
        <f t="shared" si="250"/>
        <v/>
      </c>
      <c r="E186" s="22" t="str">
        <f t="shared" si="251"/>
        <v/>
      </c>
      <c r="F186" s="22" t="str">
        <f t="shared" si="252"/>
        <v/>
      </c>
      <c r="G186" s="22" t="str">
        <f t="shared" si="253"/>
        <v/>
      </c>
      <c r="H186" s="49">
        <f t="shared" si="243"/>
        <v>4430</v>
      </c>
      <c r="P186" s="22" t="str">
        <f t="shared" ref="P186:AU186" si="255">IF(COUNT(P24)=0,"",P24+_IRM3*P19)</f>
        <v/>
      </c>
      <c r="Q186" s="22" t="str">
        <f t="shared" si="255"/>
        <v/>
      </c>
      <c r="R186" s="22" t="str">
        <f t="shared" si="255"/>
        <v/>
      </c>
      <c r="S186" s="22" t="str">
        <f t="shared" si="255"/>
        <v/>
      </c>
      <c r="T186" s="22" t="str">
        <f t="shared" si="255"/>
        <v/>
      </c>
      <c r="U186" s="22" t="str">
        <f t="shared" si="255"/>
        <v/>
      </c>
      <c r="V186" s="22" t="str">
        <f t="shared" si="255"/>
        <v/>
      </c>
      <c r="W186" s="22" t="str">
        <f t="shared" si="255"/>
        <v/>
      </c>
      <c r="X186" s="22" t="str">
        <f t="shared" si="255"/>
        <v/>
      </c>
      <c r="Y186" s="22" t="str">
        <f t="shared" si="255"/>
        <v/>
      </c>
      <c r="Z186" s="22" t="str">
        <f t="shared" si="255"/>
        <v/>
      </c>
      <c r="AA186" s="22" t="str">
        <f t="shared" si="255"/>
        <v/>
      </c>
      <c r="AB186" s="22" t="str">
        <f t="shared" si="255"/>
        <v/>
      </c>
      <c r="AC186" s="22" t="str">
        <f t="shared" si="255"/>
        <v/>
      </c>
      <c r="AD186" s="22" t="str">
        <f t="shared" si="255"/>
        <v/>
      </c>
      <c r="AE186" s="22" t="str">
        <f t="shared" si="255"/>
        <v/>
      </c>
      <c r="AF186" s="22" t="str">
        <f t="shared" si="255"/>
        <v/>
      </c>
      <c r="AG186" s="22" t="str">
        <f t="shared" si="255"/>
        <v/>
      </c>
      <c r="AH186" s="22" t="str">
        <f t="shared" si="255"/>
        <v/>
      </c>
      <c r="AI186" s="22" t="str">
        <f t="shared" si="255"/>
        <v/>
      </c>
      <c r="AJ186" s="22" t="str">
        <f t="shared" si="255"/>
        <v/>
      </c>
      <c r="AK186" s="22" t="str">
        <f t="shared" si="255"/>
        <v/>
      </c>
      <c r="AL186" s="22" t="str">
        <f t="shared" si="255"/>
        <v/>
      </c>
      <c r="AM186" s="22" t="str">
        <f t="shared" si="255"/>
        <v/>
      </c>
      <c r="AN186" s="22" t="str">
        <f t="shared" si="255"/>
        <v/>
      </c>
      <c r="AO186" s="22" t="str">
        <f t="shared" si="255"/>
        <v/>
      </c>
      <c r="AP186" s="22" t="str">
        <f t="shared" si="255"/>
        <v/>
      </c>
      <c r="AQ186" s="22" t="str">
        <f t="shared" si="255"/>
        <v/>
      </c>
      <c r="AR186" s="22" t="str">
        <f t="shared" si="255"/>
        <v/>
      </c>
      <c r="AS186" s="22" t="str">
        <f t="shared" si="255"/>
        <v/>
      </c>
      <c r="AT186" s="22" t="str">
        <f t="shared" si="255"/>
        <v/>
      </c>
      <c r="AU186" s="22" t="str">
        <f t="shared" si="255"/>
        <v/>
      </c>
    </row>
    <row r="187" spans="1:47">
      <c r="A187" s="21" t="str">
        <f t="shared" si="242"/>
        <v>65F01</v>
      </c>
      <c r="B187" s="191"/>
      <c r="C187" s="191"/>
      <c r="D187" s="22" t="str">
        <f t="shared" si="250"/>
        <v/>
      </c>
      <c r="E187" s="22" t="str">
        <f t="shared" si="251"/>
        <v/>
      </c>
      <c r="F187" s="22" t="str">
        <f t="shared" si="252"/>
        <v/>
      </c>
      <c r="G187" s="22" t="str">
        <f t="shared" si="253"/>
        <v/>
      </c>
      <c r="H187" s="49">
        <f t="shared" si="243"/>
        <v>6110</v>
      </c>
      <c r="P187" s="22" t="str">
        <f t="shared" ref="P187:AU187" si="256">IF(COUNT(P36)=0,"",P36+_IRM3*P31)</f>
        <v/>
      </c>
      <c r="Q187" s="22" t="str">
        <f t="shared" si="256"/>
        <v/>
      </c>
      <c r="R187" s="22" t="str">
        <f t="shared" si="256"/>
        <v/>
      </c>
      <c r="S187" s="22" t="str">
        <f t="shared" si="256"/>
        <v/>
      </c>
      <c r="T187" s="22" t="str">
        <f t="shared" si="256"/>
        <v/>
      </c>
      <c r="U187" s="22" t="str">
        <f t="shared" si="256"/>
        <v/>
      </c>
      <c r="V187" s="22" t="str">
        <f t="shared" si="256"/>
        <v/>
      </c>
      <c r="W187" s="22" t="str">
        <f t="shared" si="256"/>
        <v/>
      </c>
      <c r="X187" s="22" t="str">
        <f t="shared" si="256"/>
        <v/>
      </c>
      <c r="Y187" s="22" t="str">
        <f t="shared" si="256"/>
        <v/>
      </c>
      <c r="Z187" s="22" t="str">
        <f t="shared" si="256"/>
        <v/>
      </c>
      <c r="AA187" s="22" t="str">
        <f t="shared" si="256"/>
        <v/>
      </c>
      <c r="AB187" s="22" t="str">
        <f t="shared" si="256"/>
        <v/>
      </c>
      <c r="AC187" s="22" t="str">
        <f t="shared" si="256"/>
        <v/>
      </c>
      <c r="AD187" s="22" t="str">
        <f t="shared" si="256"/>
        <v/>
      </c>
      <c r="AE187" s="22" t="str">
        <f t="shared" si="256"/>
        <v/>
      </c>
      <c r="AF187" s="22" t="str">
        <f t="shared" si="256"/>
        <v/>
      </c>
      <c r="AG187" s="22" t="str">
        <f t="shared" si="256"/>
        <v/>
      </c>
      <c r="AH187" s="22" t="str">
        <f t="shared" si="256"/>
        <v/>
      </c>
      <c r="AI187" s="22" t="str">
        <f t="shared" si="256"/>
        <v/>
      </c>
      <c r="AJ187" s="22" t="str">
        <f t="shared" si="256"/>
        <v/>
      </c>
      <c r="AK187" s="22" t="str">
        <f t="shared" si="256"/>
        <v/>
      </c>
      <c r="AL187" s="22" t="str">
        <f t="shared" si="256"/>
        <v/>
      </c>
      <c r="AM187" s="22" t="str">
        <f t="shared" si="256"/>
        <v/>
      </c>
      <c r="AN187" s="22" t="str">
        <f t="shared" si="256"/>
        <v/>
      </c>
      <c r="AO187" s="22" t="str">
        <f t="shared" si="256"/>
        <v/>
      </c>
      <c r="AP187" s="22" t="str">
        <f t="shared" si="256"/>
        <v/>
      </c>
      <c r="AQ187" s="22" t="str">
        <f t="shared" si="256"/>
        <v/>
      </c>
      <c r="AR187" s="22" t="str">
        <f t="shared" si="256"/>
        <v/>
      </c>
      <c r="AS187" s="22" t="str">
        <f t="shared" si="256"/>
        <v/>
      </c>
      <c r="AT187" s="22" t="str">
        <f t="shared" si="256"/>
        <v/>
      </c>
      <c r="AU187" s="22" t="str">
        <f t="shared" si="256"/>
        <v/>
      </c>
    </row>
    <row r="188" spans="1:47">
      <c r="A188" s="21" t="str">
        <f t="shared" si="242"/>
        <v>2700K</v>
      </c>
      <c r="B188" s="191"/>
      <c r="C188" s="191"/>
      <c r="D188" s="22" t="str">
        <f t="shared" si="250"/>
        <v/>
      </c>
      <c r="E188" s="22" t="str">
        <f t="shared" si="251"/>
        <v/>
      </c>
      <c r="F188" s="22" t="str">
        <f t="shared" si="252"/>
        <v/>
      </c>
      <c r="G188" s="22" t="str">
        <f t="shared" si="253"/>
        <v/>
      </c>
      <c r="H188" s="49">
        <f t="shared" si="243"/>
        <v>2700</v>
      </c>
      <c r="P188" s="22" t="str">
        <f t="shared" ref="P188:AU188" si="257">IF(COUNT(P48)=0,"",P48+_IRM3*P43)</f>
        <v/>
      </c>
      <c r="Q188" s="22" t="str">
        <f t="shared" si="257"/>
        <v/>
      </c>
      <c r="R188" s="22" t="str">
        <f t="shared" si="257"/>
        <v/>
      </c>
      <c r="S188" s="22" t="str">
        <f t="shared" si="257"/>
        <v/>
      </c>
      <c r="T188" s="22" t="str">
        <f t="shared" si="257"/>
        <v/>
      </c>
      <c r="U188" s="22" t="str">
        <f t="shared" si="257"/>
        <v/>
      </c>
      <c r="V188" s="22" t="str">
        <f t="shared" si="257"/>
        <v/>
      </c>
      <c r="W188" s="22" t="str">
        <f t="shared" si="257"/>
        <v/>
      </c>
      <c r="X188" s="22" t="str">
        <f t="shared" si="257"/>
        <v/>
      </c>
      <c r="Y188" s="22" t="str">
        <f t="shared" si="257"/>
        <v/>
      </c>
      <c r="Z188" s="22" t="str">
        <f t="shared" si="257"/>
        <v/>
      </c>
      <c r="AA188" s="22" t="str">
        <f t="shared" si="257"/>
        <v/>
      </c>
      <c r="AB188" s="22" t="str">
        <f t="shared" si="257"/>
        <v/>
      </c>
      <c r="AC188" s="22" t="str">
        <f t="shared" si="257"/>
        <v/>
      </c>
      <c r="AD188" s="22" t="str">
        <f t="shared" si="257"/>
        <v/>
      </c>
      <c r="AE188" s="22" t="str">
        <f t="shared" si="257"/>
        <v/>
      </c>
      <c r="AF188" s="22" t="str">
        <f t="shared" si="257"/>
        <v/>
      </c>
      <c r="AG188" s="22" t="str">
        <f t="shared" si="257"/>
        <v/>
      </c>
      <c r="AH188" s="22" t="str">
        <f t="shared" si="257"/>
        <v/>
      </c>
      <c r="AI188" s="22" t="str">
        <f t="shared" si="257"/>
        <v/>
      </c>
      <c r="AJ188" s="22" t="str">
        <f t="shared" si="257"/>
        <v/>
      </c>
      <c r="AK188" s="22" t="str">
        <f t="shared" si="257"/>
        <v/>
      </c>
      <c r="AL188" s="22" t="str">
        <f t="shared" si="257"/>
        <v/>
      </c>
      <c r="AM188" s="22" t="str">
        <f t="shared" si="257"/>
        <v/>
      </c>
      <c r="AN188" s="22" t="str">
        <f t="shared" si="257"/>
        <v/>
      </c>
      <c r="AO188" s="22" t="str">
        <f t="shared" si="257"/>
        <v/>
      </c>
      <c r="AP188" s="22" t="str">
        <f t="shared" si="257"/>
        <v/>
      </c>
      <c r="AQ188" s="22" t="str">
        <f t="shared" si="257"/>
        <v/>
      </c>
      <c r="AR188" s="22" t="str">
        <f t="shared" si="257"/>
        <v/>
      </c>
      <c r="AS188" s="22" t="str">
        <f t="shared" si="257"/>
        <v/>
      </c>
      <c r="AT188" s="22" t="str">
        <f t="shared" si="257"/>
        <v/>
      </c>
      <c r="AU188" s="22" t="str">
        <f t="shared" si="257"/>
        <v/>
      </c>
    </row>
    <row r="189" spans="1:47">
      <c r="A189" s="21" t="str">
        <f t="shared" si="242"/>
        <v>3200K</v>
      </c>
      <c r="B189" s="191"/>
      <c r="C189" s="191"/>
      <c r="D189" s="22">
        <f t="shared" si="250"/>
        <v>12968.896242298948</v>
      </c>
      <c r="E189" s="22">
        <f t="shared" si="251"/>
        <v>15538.20685924321</v>
      </c>
      <c r="F189" s="22">
        <f t="shared" si="252"/>
        <v>18107.517476187473</v>
      </c>
      <c r="G189" s="22">
        <f t="shared" si="253"/>
        <v>1712.8737446295081</v>
      </c>
      <c r="H189" s="49">
        <f t="shared" si="243"/>
        <v>3200</v>
      </c>
      <c r="P189" s="22">
        <f t="shared" ref="P189:AU189" si="258">IF(COUNT(P60)=0,"",P60+_IRM3*P55)</f>
        <v>14887.750007039411</v>
      </c>
      <c r="Q189" s="22">
        <f t="shared" si="258"/>
        <v>16671.996172791976</v>
      </c>
      <c r="R189" s="22">
        <f t="shared" si="258"/>
        <v>17775.849800670894</v>
      </c>
      <c r="S189" s="22">
        <f t="shared" si="258"/>
        <v>16357.968847619524</v>
      </c>
      <c r="T189" s="22">
        <f t="shared" si="258"/>
        <v>14479.752383803989</v>
      </c>
      <c r="U189" s="22">
        <f t="shared" si="258"/>
        <v>13055.923943533442</v>
      </c>
      <c r="V189" s="22" t="str">
        <f t="shared" si="258"/>
        <v/>
      </c>
      <c r="W189" s="22" t="str">
        <f t="shared" si="258"/>
        <v/>
      </c>
      <c r="X189" s="22" t="str">
        <f t="shared" si="258"/>
        <v/>
      </c>
      <c r="Y189" s="22" t="str">
        <f t="shared" si="258"/>
        <v/>
      </c>
      <c r="Z189" s="22" t="str">
        <f t="shared" si="258"/>
        <v/>
      </c>
      <c r="AA189" s="22" t="str">
        <f t="shared" si="258"/>
        <v/>
      </c>
      <c r="AB189" s="22" t="str">
        <f t="shared" si="258"/>
        <v/>
      </c>
      <c r="AC189" s="22" t="str">
        <f t="shared" si="258"/>
        <v/>
      </c>
      <c r="AD189" s="22" t="str">
        <f t="shared" si="258"/>
        <v/>
      </c>
      <c r="AE189" s="22" t="str">
        <f t="shared" si="258"/>
        <v/>
      </c>
      <c r="AF189" s="22" t="str">
        <f t="shared" si="258"/>
        <v/>
      </c>
      <c r="AG189" s="22" t="str">
        <f t="shared" si="258"/>
        <v/>
      </c>
      <c r="AH189" s="22" t="str">
        <f t="shared" si="258"/>
        <v/>
      </c>
      <c r="AI189" s="22" t="str">
        <f t="shared" si="258"/>
        <v/>
      </c>
      <c r="AJ189" s="22" t="str">
        <f t="shared" si="258"/>
        <v/>
      </c>
      <c r="AK189" s="22" t="str">
        <f t="shared" si="258"/>
        <v/>
      </c>
      <c r="AL189" s="22" t="str">
        <f t="shared" si="258"/>
        <v/>
      </c>
      <c r="AM189" s="22" t="str">
        <f t="shared" si="258"/>
        <v/>
      </c>
      <c r="AN189" s="22" t="str">
        <f t="shared" si="258"/>
        <v/>
      </c>
      <c r="AO189" s="22" t="str">
        <f t="shared" si="258"/>
        <v/>
      </c>
      <c r="AP189" s="22" t="str">
        <f t="shared" si="258"/>
        <v/>
      </c>
      <c r="AQ189" s="22" t="str">
        <f t="shared" si="258"/>
        <v/>
      </c>
      <c r="AR189" s="22" t="str">
        <f t="shared" si="258"/>
        <v/>
      </c>
      <c r="AS189" s="22" t="str">
        <f t="shared" si="258"/>
        <v/>
      </c>
      <c r="AT189" s="22" t="str">
        <f t="shared" si="258"/>
        <v/>
      </c>
      <c r="AU189" s="22" t="str">
        <f t="shared" si="258"/>
        <v/>
      </c>
    </row>
    <row r="190" spans="1:47">
      <c r="A190" s="21" t="str">
        <f t="shared" si="242"/>
        <v>5500K</v>
      </c>
      <c r="B190" s="191"/>
      <c r="C190" s="191"/>
      <c r="D190" s="22" t="str">
        <f t="shared" si="250"/>
        <v/>
      </c>
      <c r="E190" s="22" t="str">
        <f t="shared" si="251"/>
        <v/>
      </c>
      <c r="F190" s="22" t="str">
        <f t="shared" si="252"/>
        <v/>
      </c>
      <c r="G190" s="22" t="str">
        <f t="shared" si="253"/>
        <v/>
      </c>
      <c r="H190" s="49">
        <f t="shared" si="243"/>
        <v>5500</v>
      </c>
      <c r="P190" s="22" t="str">
        <f t="shared" ref="P190:AU190" si="259">IF(COUNT(P72)=0,"",P72+_IRM3*P67)</f>
        <v/>
      </c>
      <c r="Q190" s="22" t="str">
        <f t="shared" si="259"/>
        <v/>
      </c>
      <c r="R190" s="22" t="str">
        <f t="shared" si="259"/>
        <v/>
      </c>
      <c r="S190" s="22" t="str">
        <f t="shared" si="259"/>
        <v/>
      </c>
      <c r="T190" s="22" t="str">
        <f t="shared" si="259"/>
        <v/>
      </c>
      <c r="U190" s="22" t="str">
        <f t="shared" si="259"/>
        <v/>
      </c>
      <c r="V190" s="22" t="str">
        <f t="shared" si="259"/>
        <v/>
      </c>
      <c r="W190" s="22" t="str">
        <f t="shared" si="259"/>
        <v/>
      </c>
      <c r="X190" s="22" t="str">
        <f t="shared" si="259"/>
        <v/>
      </c>
      <c r="Y190" s="22" t="str">
        <f t="shared" si="259"/>
        <v/>
      </c>
      <c r="Z190" s="22" t="str">
        <f t="shared" si="259"/>
        <v/>
      </c>
      <c r="AA190" s="22" t="str">
        <f t="shared" si="259"/>
        <v/>
      </c>
      <c r="AB190" s="22" t="str">
        <f t="shared" si="259"/>
        <v/>
      </c>
      <c r="AC190" s="22" t="str">
        <f t="shared" si="259"/>
        <v/>
      </c>
      <c r="AD190" s="22" t="str">
        <f t="shared" si="259"/>
        <v/>
      </c>
      <c r="AE190" s="22" t="str">
        <f t="shared" si="259"/>
        <v/>
      </c>
      <c r="AF190" s="22" t="str">
        <f t="shared" si="259"/>
        <v/>
      </c>
      <c r="AG190" s="22" t="str">
        <f t="shared" si="259"/>
        <v/>
      </c>
      <c r="AH190" s="22" t="str">
        <f t="shared" si="259"/>
        <v/>
      </c>
      <c r="AI190" s="22" t="str">
        <f t="shared" si="259"/>
        <v/>
      </c>
      <c r="AJ190" s="22" t="str">
        <f t="shared" si="259"/>
        <v/>
      </c>
      <c r="AK190" s="22" t="str">
        <f t="shared" si="259"/>
        <v/>
      </c>
      <c r="AL190" s="22" t="str">
        <f t="shared" si="259"/>
        <v/>
      </c>
      <c r="AM190" s="22" t="str">
        <f t="shared" si="259"/>
        <v/>
      </c>
      <c r="AN190" s="22" t="str">
        <f t="shared" si="259"/>
        <v/>
      </c>
      <c r="AO190" s="22" t="str">
        <f t="shared" si="259"/>
        <v/>
      </c>
      <c r="AP190" s="22" t="str">
        <f t="shared" si="259"/>
        <v/>
      </c>
      <c r="AQ190" s="22" t="str">
        <f t="shared" si="259"/>
        <v/>
      </c>
      <c r="AR190" s="22" t="str">
        <f t="shared" si="259"/>
        <v/>
      </c>
      <c r="AS190" s="22" t="str">
        <f t="shared" si="259"/>
        <v/>
      </c>
      <c r="AT190" s="22" t="str">
        <f t="shared" si="259"/>
        <v/>
      </c>
      <c r="AU190" s="22" t="str">
        <f t="shared" si="259"/>
        <v/>
      </c>
    </row>
    <row r="191" spans="1:47">
      <c r="A191" s="21" t="str">
        <f t="shared" si="242"/>
        <v>6500K</v>
      </c>
      <c r="B191" s="191"/>
      <c r="C191" s="191"/>
      <c r="D191" s="22" t="str">
        <f t="shared" si="250"/>
        <v/>
      </c>
      <c r="E191" s="22" t="str">
        <f t="shared" si="251"/>
        <v/>
      </c>
      <c r="F191" s="22" t="str">
        <f t="shared" si="252"/>
        <v/>
      </c>
      <c r="G191" s="22" t="str">
        <f t="shared" si="253"/>
        <v/>
      </c>
      <c r="H191" s="49">
        <f t="shared" si="243"/>
        <v>6500</v>
      </c>
      <c r="P191" s="22" t="str">
        <f t="shared" ref="P191:AU191" si="260">IF(COUNT(P84)=0,"",P84+_IRM3*P79)</f>
        <v/>
      </c>
      <c r="Q191" s="22" t="str">
        <f t="shared" si="260"/>
        <v/>
      </c>
      <c r="R191" s="22" t="str">
        <f t="shared" si="260"/>
        <v/>
      </c>
      <c r="S191" s="22" t="str">
        <f t="shared" si="260"/>
        <v/>
      </c>
      <c r="T191" s="22" t="str">
        <f t="shared" si="260"/>
        <v/>
      </c>
      <c r="U191" s="22" t="str">
        <f t="shared" si="260"/>
        <v/>
      </c>
      <c r="V191" s="22" t="str">
        <f t="shared" si="260"/>
        <v/>
      </c>
      <c r="W191" s="22" t="str">
        <f t="shared" si="260"/>
        <v/>
      </c>
      <c r="X191" s="22" t="str">
        <f t="shared" si="260"/>
        <v/>
      </c>
      <c r="Y191" s="22" t="str">
        <f t="shared" si="260"/>
        <v/>
      </c>
      <c r="Z191" s="22" t="str">
        <f t="shared" si="260"/>
        <v/>
      </c>
      <c r="AA191" s="22" t="str">
        <f t="shared" si="260"/>
        <v/>
      </c>
      <c r="AB191" s="22" t="str">
        <f t="shared" si="260"/>
        <v/>
      </c>
      <c r="AC191" s="22" t="str">
        <f t="shared" si="260"/>
        <v/>
      </c>
      <c r="AD191" s="22" t="str">
        <f t="shared" si="260"/>
        <v/>
      </c>
      <c r="AE191" s="22" t="str">
        <f t="shared" si="260"/>
        <v/>
      </c>
      <c r="AF191" s="22" t="str">
        <f t="shared" si="260"/>
        <v/>
      </c>
      <c r="AG191" s="22" t="str">
        <f t="shared" si="260"/>
        <v/>
      </c>
      <c r="AH191" s="22" t="str">
        <f t="shared" si="260"/>
        <v/>
      </c>
      <c r="AI191" s="22" t="str">
        <f t="shared" si="260"/>
        <v/>
      </c>
      <c r="AJ191" s="22" t="str">
        <f t="shared" si="260"/>
        <v/>
      </c>
      <c r="AK191" s="22" t="str">
        <f t="shared" si="260"/>
        <v/>
      </c>
      <c r="AL191" s="22" t="str">
        <f t="shared" si="260"/>
        <v/>
      </c>
      <c r="AM191" s="22" t="str">
        <f t="shared" si="260"/>
        <v/>
      </c>
      <c r="AN191" s="22" t="str">
        <f t="shared" si="260"/>
        <v/>
      </c>
      <c r="AO191" s="22" t="str">
        <f t="shared" si="260"/>
        <v/>
      </c>
      <c r="AP191" s="22" t="str">
        <f t="shared" si="260"/>
        <v/>
      </c>
      <c r="AQ191" s="22" t="str">
        <f t="shared" si="260"/>
        <v/>
      </c>
      <c r="AR191" s="22" t="str">
        <f t="shared" si="260"/>
        <v/>
      </c>
      <c r="AS191" s="22" t="str">
        <f t="shared" si="260"/>
        <v/>
      </c>
      <c r="AT191" s="22" t="str">
        <f t="shared" si="260"/>
        <v/>
      </c>
      <c r="AU191" s="22" t="str">
        <f t="shared" si="260"/>
        <v/>
      </c>
    </row>
    <row r="192" spans="1:47">
      <c r="A192" s="21" t="str">
        <f t="shared" si="242"/>
        <v>41F02</v>
      </c>
      <c r="B192" s="191" t="s">
        <v>72</v>
      </c>
      <c r="C192" s="191"/>
      <c r="D192" s="22" t="str">
        <f t="shared" ref="D192:D198" si="261">IF(COUNT(P192:AU192)=0,"",E192-1.5*G192)</f>
        <v/>
      </c>
      <c r="E192" s="22" t="str">
        <f t="shared" ref="E192:E198" si="262">IF(COUNT(P192:AU192)=0,"",AVERAGE(P192:AU192))</f>
        <v/>
      </c>
      <c r="F192" s="22" t="str">
        <f t="shared" ref="F192:F198" si="263">IF(COUNT(P192:AU192)=0,"",E192+1.5*G192)</f>
        <v/>
      </c>
      <c r="G192" s="22" t="str">
        <f t="shared" ref="G192:G198" si="264">IF(COUNT(P192:AU192)=0,"",STDEV(P192:AU192))</f>
        <v/>
      </c>
      <c r="H192" s="49">
        <f t="shared" si="243"/>
        <v>3670</v>
      </c>
      <c r="P192" s="22" t="str">
        <f t="shared" ref="P192:AU192" si="265">IF(COUNT(P13)=0,"",P13+_IRM3*P7)</f>
        <v/>
      </c>
      <c r="Q192" s="22" t="str">
        <f t="shared" si="265"/>
        <v/>
      </c>
      <c r="R192" s="22" t="str">
        <f t="shared" si="265"/>
        <v/>
      </c>
      <c r="S192" s="22" t="str">
        <f t="shared" si="265"/>
        <v/>
      </c>
      <c r="T192" s="22" t="str">
        <f t="shared" si="265"/>
        <v/>
      </c>
      <c r="U192" s="22" t="str">
        <f t="shared" si="265"/>
        <v/>
      </c>
      <c r="V192" s="22" t="str">
        <f t="shared" si="265"/>
        <v/>
      </c>
      <c r="W192" s="22" t="str">
        <f t="shared" si="265"/>
        <v/>
      </c>
      <c r="X192" s="22" t="str">
        <f t="shared" si="265"/>
        <v/>
      </c>
      <c r="Y192" s="22" t="str">
        <f t="shared" si="265"/>
        <v/>
      </c>
      <c r="Z192" s="22" t="str">
        <f t="shared" si="265"/>
        <v/>
      </c>
      <c r="AA192" s="22" t="str">
        <f t="shared" si="265"/>
        <v/>
      </c>
      <c r="AB192" s="22" t="str">
        <f t="shared" si="265"/>
        <v/>
      </c>
      <c r="AC192" s="22" t="str">
        <f t="shared" si="265"/>
        <v/>
      </c>
      <c r="AD192" s="22" t="str">
        <f t="shared" si="265"/>
        <v/>
      </c>
      <c r="AE192" s="22" t="str">
        <f t="shared" si="265"/>
        <v/>
      </c>
      <c r="AF192" s="22" t="str">
        <f t="shared" si="265"/>
        <v/>
      </c>
      <c r="AG192" s="22" t="str">
        <f t="shared" si="265"/>
        <v/>
      </c>
      <c r="AH192" s="22" t="str">
        <f t="shared" si="265"/>
        <v/>
      </c>
      <c r="AI192" s="22" t="str">
        <f t="shared" si="265"/>
        <v/>
      </c>
      <c r="AJ192" s="22" t="str">
        <f t="shared" si="265"/>
        <v/>
      </c>
      <c r="AK192" s="22" t="str">
        <f t="shared" si="265"/>
        <v/>
      </c>
      <c r="AL192" s="22" t="str">
        <f t="shared" si="265"/>
        <v/>
      </c>
      <c r="AM192" s="22" t="str">
        <f t="shared" si="265"/>
        <v/>
      </c>
      <c r="AN192" s="22" t="str">
        <f t="shared" si="265"/>
        <v/>
      </c>
      <c r="AO192" s="22" t="str">
        <f t="shared" si="265"/>
        <v/>
      </c>
      <c r="AP192" s="22" t="str">
        <f t="shared" si="265"/>
        <v/>
      </c>
      <c r="AQ192" s="22" t="str">
        <f t="shared" si="265"/>
        <v/>
      </c>
      <c r="AR192" s="22" t="str">
        <f t="shared" si="265"/>
        <v/>
      </c>
      <c r="AS192" s="22" t="str">
        <f t="shared" si="265"/>
        <v/>
      </c>
      <c r="AT192" s="22" t="str">
        <f t="shared" si="265"/>
        <v/>
      </c>
      <c r="AU192" s="22" t="str">
        <f t="shared" si="265"/>
        <v/>
      </c>
    </row>
    <row r="193" spans="1:47">
      <c r="A193" s="21" t="str">
        <f t="shared" si="242"/>
        <v>55F02</v>
      </c>
      <c r="B193" s="191"/>
      <c r="C193" s="191"/>
      <c r="D193" s="22" t="str">
        <f t="shared" si="261"/>
        <v/>
      </c>
      <c r="E193" s="22" t="str">
        <f t="shared" si="262"/>
        <v/>
      </c>
      <c r="F193" s="22" t="str">
        <f t="shared" si="263"/>
        <v/>
      </c>
      <c r="G193" s="22" t="str">
        <f t="shared" si="264"/>
        <v/>
      </c>
      <c r="H193" s="49">
        <f t="shared" si="243"/>
        <v>4430</v>
      </c>
      <c r="P193" s="22" t="str">
        <f t="shared" ref="P193:AU193" si="266">IF(COUNT(P25)=0,"",P25+_IRM3*P19)</f>
        <v/>
      </c>
      <c r="Q193" s="22" t="str">
        <f t="shared" si="266"/>
        <v/>
      </c>
      <c r="R193" s="22" t="str">
        <f t="shared" si="266"/>
        <v/>
      </c>
      <c r="S193" s="22" t="str">
        <f t="shared" si="266"/>
        <v/>
      </c>
      <c r="T193" s="22" t="str">
        <f t="shared" si="266"/>
        <v/>
      </c>
      <c r="U193" s="22" t="str">
        <f t="shared" si="266"/>
        <v/>
      </c>
      <c r="V193" s="22" t="str">
        <f t="shared" si="266"/>
        <v/>
      </c>
      <c r="W193" s="22" t="str">
        <f t="shared" si="266"/>
        <v/>
      </c>
      <c r="X193" s="22" t="str">
        <f t="shared" si="266"/>
        <v/>
      </c>
      <c r="Y193" s="22" t="str">
        <f t="shared" si="266"/>
        <v/>
      </c>
      <c r="Z193" s="22" t="str">
        <f t="shared" si="266"/>
        <v/>
      </c>
      <c r="AA193" s="22" t="str">
        <f t="shared" si="266"/>
        <v/>
      </c>
      <c r="AB193" s="22" t="str">
        <f t="shared" si="266"/>
        <v/>
      </c>
      <c r="AC193" s="22" t="str">
        <f t="shared" si="266"/>
        <v/>
      </c>
      <c r="AD193" s="22" t="str">
        <f t="shared" si="266"/>
        <v/>
      </c>
      <c r="AE193" s="22" t="str">
        <f t="shared" si="266"/>
        <v/>
      </c>
      <c r="AF193" s="22" t="str">
        <f t="shared" si="266"/>
        <v/>
      </c>
      <c r="AG193" s="22" t="str">
        <f t="shared" si="266"/>
        <v/>
      </c>
      <c r="AH193" s="22" t="str">
        <f t="shared" si="266"/>
        <v/>
      </c>
      <c r="AI193" s="22" t="str">
        <f t="shared" si="266"/>
        <v/>
      </c>
      <c r="AJ193" s="22" t="str">
        <f t="shared" si="266"/>
        <v/>
      </c>
      <c r="AK193" s="22" t="str">
        <f t="shared" si="266"/>
        <v/>
      </c>
      <c r="AL193" s="22" t="str">
        <f t="shared" si="266"/>
        <v/>
      </c>
      <c r="AM193" s="22" t="str">
        <f t="shared" si="266"/>
        <v/>
      </c>
      <c r="AN193" s="22" t="str">
        <f t="shared" si="266"/>
        <v/>
      </c>
      <c r="AO193" s="22" t="str">
        <f t="shared" si="266"/>
        <v/>
      </c>
      <c r="AP193" s="22" t="str">
        <f t="shared" si="266"/>
        <v/>
      </c>
      <c r="AQ193" s="22" t="str">
        <f t="shared" si="266"/>
        <v/>
      </c>
      <c r="AR193" s="22" t="str">
        <f t="shared" si="266"/>
        <v/>
      </c>
      <c r="AS193" s="22" t="str">
        <f t="shared" si="266"/>
        <v/>
      </c>
      <c r="AT193" s="22" t="str">
        <f t="shared" si="266"/>
        <v/>
      </c>
      <c r="AU193" s="22" t="str">
        <f t="shared" si="266"/>
        <v/>
      </c>
    </row>
    <row r="194" spans="1:47">
      <c r="A194" s="21" t="str">
        <f t="shared" si="242"/>
        <v>65F01</v>
      </c>
      <c r="B194" s="191"/>
      <c r="C194" s="191"/>
      <c r="D194" s="22" t="str">
        <f t="shared" si="261"/>
        <v/>
      </c>
      <c r="E194" s="22" t="str">
        <f t="shared" si="262"/>
        <v/>
      </c>
      <c r="F194" s="22" t="str">
        <f t="shared" si="263"/>
        <v/>
      </c>
      <c r="G194" s="22" t="str">
        <f t="shared" si="264"/>
        <v/>
      </c>
      <c r="H194" s="49">
        <f t="shared" si="243"/>
        <v>6110</v>
      </c>
      <c r="P194" s="22" t="str">
        <f t="shared" ref="P194:AU194" si="267">IF(COUNT(P37)=0,"",P37+_IRM3*P31)</f>
        <v/>
      </c>
      <c r="Q194" s="22" t="str">
        <f t="shared" si="267"/>
        <v/>
      </c>
      <c r="R194" s="22" t="str">
        <f t="shared" si="267"/>
        <v/>
      </c>
      <c r="S194" s="22" t="str">
        <f t="shared" si="267"/>
        <v/>
      </c>
      <c r="T194" s="22" t="str">
        <f t="shared" si="267"/>
        <v/>
      </c>
      <c r="U194" s="22" t="str">
        <f t="shared" si="267"/>
        <v/>
      </c>
      <c r="V194" s="22" t="str">
        <f t="shared" si="267"/>
        <v/>
      </c>
      <c r="W194" s="22" t="str">
        <f t="shared" si="267"/>
        <v/>
      </c>
      <c r="X194" s="22" t="str">
        <f t="shared" si="267"/>
        <v/>
      </c>
      <c r="Y194" s="22" t="str">
        <f t="shared" si="267"/>
        <v/>
      </c>
      <c r="Z194" s="22" t="str">
        <f t="shared" si="267"/>
        <v/>
      </c>
      <c r="AA194" s="22" t="str">
        <f t="shared" si="267"/>
        <v/>
      </c>
      <c r="AB194" s="22" t="str">
        <f t="shared" si="267"/>
        <v/>
      </c>
      <c r="AC194" s="22" t="str">
        <f t="shared" si="267"/>
        <v/>
      </c>
      <c r="AD194" s="22" t="str">
        <f t="shared" si="267"/>
        <v/>
      </c>
      <c r="AE194" s="22" t="str">
        <f t="shared" si="267"/>
        <v/>
      </c>
      <c r="AF194" s="22" t="str">
        <f t="shared" si="267"/>
        <v/>
      </c>
      <c r="AG194" s="22" t="str">
        <f t="shared" si="267"/>
        <v/>
      </c>
      <c r="AH194" s="22" t="str">
        <f t="shared" si="267"/>
        <v/>
      </c>
      <c r="AI194" s="22" t="str">
        <f t="shared" si="267"/>
        <v/>
      </c>
      <c r="AJ194" s="22" t="str">
        <f t="shared" si="267"/>
        <v/>
      </c>
      <c r="AK194" s="22" t="str">
        <f t="shared" si="267"/>
        <v/>
      </c>
      <c r="AL194" s="22" t="str">
        <f t="shared" si="267"/>
        <v/>
      </c>
      <c r="AM194" s="22" t="str">
        <f t="shared" si="267"/>
        <v/>
      </c>
      <c r="AN194" s="22" t="str">
        <f t="shared" si="267"/>
        <v/>
      </c>
      <c r="AO194" s="22" t="str">
        <f t="shared" si="267"/>
        <v/>
      </c>
      <c r="AP194" s="22" t="str">
        <f t="shared" si="267"/>
        <v/>
      </c>
      <c r="AQ194" s="22" t="str">
        <f t="shared" si="267"/>
        <v/>
      </c>
      <c r="AR194" s="22" t="str">
        <f t="shared" si="267"/>
        <v/>
      </c>
      <c r="AS194" s="22" t="str">
        <f t="shared" si="267"/>
        <v/>
      </c>
      <c r="AT194" s="22" t="str">
        <f t="shared" si="267"/>
        <v/>
      </c>
      <c r="AU194" s="22" t="str">
        <f t="shared" si="267"/>
        <v/>
      </c>
    </row>
    <row r="195" spans="1:47">
      <c r="A195" s="21" t="str">
        <f t="shared" si="242"/>
        <v>2700K</v>
      </c>
      <c r="B195" s="191"/>
      <c r="C195" s="191"/>
      <c r="D195" s="22" t="str">
        <f t="shared" si="261"/>
        <v/>
      </c>
      <c r="E195" s="22" t="str">
        <f t="shared" si="262"/>
        <v/>
      </c>
      <c r="F195" s="22" t="str">
        <f t="shared" si="263"/>
        <v/>
      </c>
      <c r="G195" s="22" t="str">
        <f t="shared" si="264"/>
        <v/>
      </c>
      <c r="H195" s="49">
        <f t="shared" si="243"/>
        <v>2700</v>
      </c>
      <c r="P195" s="22" t="str">
        <f t="shared" ref="P195:AU195" si="268">IF(COUNT(P49)=0,"",P49+_IRM3*P43)</f>
        <v/>
      </c>
      <c r="Q195" s="22" t="str">
        <f t="shared" si="268"/>
        <v/>
      </c>
      <c r="R195" s="22" t="str">
        <f t="shared" si="268"/>
        <v/>
      </c>
      <c r="S195" s="22" t="str">
        <f t="shared" si="268"/>
        <v/>
      </c>
      <c r="T195" s="22" t="str">
        <f t="shared" si="268"/>
        <v/>
      </c>
      <c r="U195" s="22" t="str">
        <f t="shared" si="268"/>
        <v/>
      </c>
      <c r="V195" s="22" t="str">
        <f t="shared" si="268"/>
        <v/>
      </c>
      <c r="W195" s="22" t="str">
        <f t="shared" si="268"/>
        <v/>
      </c>
      <c r="X195" s="22" t="str">
        <f t="shared" si="268"/>
        <v/>
      </c>
      <c r="Y195" s="22" t="str">
        <f t="shared" si="268"/>
        <v/>
      </c>
      <c r="Z195" s="22" t="str">
        <f t="shared" si="268"/>
        <v/>
      </c>
      <c r="AA195" s="22" t="str">
        <f t="shared" si="268"/>
        <v/>
      </c>
      <c r="AB195" s="22" t="str">
        <f t="shared" si="268"/>
        <v/>
      </c>
      <c r="AC195" s="22" t="str">
        <f t="shared" si="268"/>
        <v/>
      </c>
      <c r="AD195" s="22" t="str">
        <f t="shared" si="268"/>
        <v/>
      </c>
      <c r="AE195" s="22" t="str">
        <f t="shared" si="268"/>
        <v/>
      </c>
      <c r="AF195" s="22" t="str">
        <f t="shared" si="268"/>
        <v/>
      </c>
      <c r="AG195" s="22" t="str">
        <f t="shared" si="268"/>
        <v/>
      </c>
      <c r="AH195" s="22" t="str">
        <f t="shared" si="268"/>
        <v/>
      </c>
      <c r="AI195" s="22" t="str">
        <f t="shared" si="268"/>
        <v/>
      </c>
      <c r="AJ195" s="22" t="str">
        <f t="shared" si="268"/>
        <v/>
      </c>
      <c r="AK195" s="22" t="str">
        <f t="shared" si="268"/>
        <v/>
      </c>
      <c r="AL195" s="22" t="str">
        <f t="shared" si="268"/>
        <v/>
      </c>
      <c r="AM195" s="22" t="str">
        <f t="shared" si="268"/>
        <v/>
      </c>
      <c r="AN195" s="22" t="str">
        <f t="shared" si="268"/>
        <v/>
      </c>
      <c r="AO195" s="22" t="str">
        <f t="shared" si="268"/>
        <v/>
      </c>
      <c r="AP195" s="22" t="str">
        <f t="shared" si="268"/>
        <v/>
      </c>
      <c r="AQ195" s="22" t="str">
        <f t="shared" si="268"/>
        <v/>
      </c>
      <c r="AR195" s="22" t="str">
        <f t="shared" si="268"/>
        <v/>
      </c>
      <c r="AS195" s="22" t="str">
        <f t="shared" si="268"/>
        <v/>
      </c>
      <c r="AT195" s="22" t="str">
        <f t="shared" si="268"/>
        <v/>
      </c>
      <c r="AU195" s="22" t="str">
        <f t="shared" si="268"/>
        <v/>
      </c>
    </row>
    <row r="196" spans="1:47">
      <c r="A196" s="21" t="str">
        <f t="shared" si="242"/>
        <v>3200K</v>
      </c>
      <c r="B196" s="191"/>
      <c r="C196" s="191"/>
      <c r="D196" s="22" t="str">
        <f t="shared" si="261"/>
        <v/>
      </c>
      <c r="E196" s="22" t="str">
        <f t="shared" si="262"/>
        <v/>
      </c>
      <c r="F196" s="22" t="str">
        <f t="shared" si="263"/>
        <v/>
      </c>
      <c r="G196" s="22" t="str">
        <f t="shared" si="264"/>
        <v/>
      </c>
      <c r="H196" s="49">
        <f t="shared" si="243"/>
        <v>3200</v>
      </c>
      <c r="P196" s="22" t="str">
        <f t="shared" ref="P196:AU196" si="269">IF(COUNT(P61)=0,"",P61+_IRM3*P55)</f>
        <v/>
      </c>
      <c r="Q196" s="22" t="str">
        <f t="shared" si="269"/>
        <v/>
      </c>
      <c r="R196" s="22" t="str">
        <f t="shared" si="269"/>
        <v/>
      </c>
      <c r="S196" s="22" t="str">
        <f t="shared" si="269"/>
        <v/>
      </c>
      <c r="T196" s="22" t="str">
        <f t="shared" si="269"/>
        <v/>
      </c>
      <c r="U196" s="22" t="str">
        <f t="shared" si="269"/>
        <v/>
      </c>
      <c r="V196" s="22" t="str">
        <f t="shared" si="269"/>
        <v/>
      </c>
      <c r="W196" s="22" t="str">
        <f t="shared" si="269"/>
        <v/>
      </c>
      <c r="X196" s="22" t="str">
        <f t="shared" si="269"/>
        <v/>
      </c>
      <c r="Y196" s="22" t="str">
        <f t="shared" si="269"/>
        <v/>
      </c>
      <c r="Z196" s="22" t="str">
        <f t="shared" si="269"/>
        <v/>
      </c>
      <c r="AA196" s="22" t="str">
        <f t="shared" si="269"/>
        <v/>
      </c>
      <c r="AB196" s="22" t="str">
        <f t="shared" si="269"/>
        <v/>
      </c>
      <c r="AC196" s="22" t="str">
        <f t="shared" si="269"/>
        <v/>
      </c>
      <c r="AD196" s="22" t="str">
        <f t="shared" si="269"/>
        <v/>
      </c>
      <c r="AE196" s="22" t="str">
        <f t="shared" si="269"/>
        <v/>
      </c>
      <c r="AF196" s="22" t="str">
        <f t="shared" si="269"/>
        <v/>
      </c>
      <c r="AG196" s="22" t="str">
        <f t="shared" si="269"/>
        <v/>
      </c>
      <c r="AH196" s="22" t="str">
        <f t="shared" si="269"/>
        <v/>
      </c>
      <c r="AI196" s="22" t="str">
        <f t="shared" si="269"/>
        <v/>
      </c>
      <c r="AJ196" s="22" t="str">
        <f t="shared" si="269"/>
        <v/>
      </c>
      <c r="AK196" s="22" t="str">
        <f t="shared" si="269"/>
        <v/>
      </c>
      <c r="AL196" s="22" t="str">
        <f t="shared" si="269"/>
        <v/>
      </c>
      <c r="AM196" s="22" t="str">
        <f t="shared" si="269"/>
        <v/>
      </c>
      <c r="AN196" s="22" t="str">
        <f t="shared" si="269"/>
        <v/>
      </c>
      <c r="AO196" s="22" t="str">
        <f t="shared" si="269"/>
        <v/>
      </c>
      <c r="AP196" s="22" t="str">
        <f t="shared" si="269"/>
        <v/>
      </c>
      <c r="AQ196" s="22" t="str">
        <f t="shared" si="269"/>
        <v/>
      </c>
      <c r="AR196" s="22" t="str">
        <f t="shared" si="269"/>
        <v/>
      </c>
      <c r="AS196" s="22" t="str">
        <f t="shared" si="269"/>
        <v/>
      </c>
      <c r="AT196" s="22" t="str">
        <f t="shared" si="269"/>
        <v/>
      </c>
      <c r="AU196" s="22" t="str">
        <f t="shared" si="269"/>
        <v/>
      </c>
    </row>
    <row r="197" spans="1:47">
      <c r="A197" s="21" t="str">
        <f t="shared" si="242"/>
        <v>5500K</v>
      </c>
      <c r="B197" s="191"/>
      <c r="C197" s="191"/>
      <c r="D197" s="22" t="str">
        <f t="shared" si="261"/>
        <v/>
      </c>
      <c r="E197" s="22" t="str">
        <f t="shared" si="262"/>
        <v/>
      </c>
      <c r="F197" s="22" t="str">
        <f t="shared" si="263"/>
        <v/>
      </c>
      <c r="G197" s="22" t="str">
        <f t="shared" si="264"/>
        <v/>
      </c>
      <c r="H197" s="49">
        <f t="shared" si="243"/>
        <v>5500</v>
      </c>
      <c r="P197" s="22" t="str">
        <f t="shared" ref="P197:AU197" si="270">IF(COUNT(P73)=0,"",P73+_IRM3*P67)</f>
        <v/>
      </c>
      <c r="Q197" s="22" t="str">
        <f t="shared" si="270"/>
        <v/>
      </c>
      <c r="R197" s="22" t="str">
        <f t="shared" si="270"/>
        <v/>
      </c>
      <c r="S197" s="22" t="str">
        <f t="shared" si="270"/>
        <v/>
      </c>
      <c r="T197" s="22" t="str">
        <f t="shared" si="270"/>
        <v/>
      </c>
      <c r="U197" s="22" t="str">
        <f t="shared" si="270"/>
        <v/>
      </c>
      <c r="V197" s="22" t="str">
        <f t="shared" si="270"/>
        <v/>
      </c>
      <c r="W197" s="22" t="str">
        <f t="shared" si="270"/>
        <v/>
      </c>
      <c r="X197" s="22" t="str">
        <f t="shared" si="270"/>
        <v/>
      </c>
      <c r="Y197" s="22" t="str">
        <f t="shared" si="270"/>
        <v/>
      </c>
      <c r="Z197" s="22" t="str">
        <f t="shared" si="270"/>
        <v/>
      </c>
      <c r="AA197" s="22" t="str">
        <f t="shared" si="270"/>
        <v/>
      </c>
      <c r="AB197" s="22" t="str">
        <f t="shared" si="270"/>
        <v/>
      </c>
      <c r="AC197" s="22" t="str">
        <f t="shared" si="270"/>
        <v/>
      </c>
      <c r="AD197" s="22" t="str">
        <f t="shared" si="270"/>
        <v/>
      </c>
      <c r="AE197" s="22" t="str">
        <f t="shared" si="270"/>
        <v/>
      </c>
      <c r="AF197" s="22" t="str">
        <f t="shared" si="270"/>
        <v/>
      </c>
      <c r="AG197" s="22" t="str">
        <f t="shared" si="270"/>
        <v/>
      </c>
      <c r="AH197" s="22" t="str">
        <f t="shared" si="270"/>
        <v/>
      </c>
      <c r="AI197" s="22" t="str">
        <f t="shared" si="270"/>
        <v/>
      </c>
      <c r="AJ197" s="22" t="str">
        <f t="shared" si="270"/>
        <v/>
      </c>
      <c r="AK197" s="22" t="str">
        <f t="shared" si="270"/>
        <v/>
      </c>
      <c r="AL197" s="22" t="str">
        <f t="shared" si="270"/>
        <v/>
      </c>
      <c r="AM197" s="22" t="str">
        <f t="shared" si="270"/>
        <v/>
      </c>
      <c r="AN197" s="22" t="str">
        <f t="shared" si="270"/>
        <v/>
      </c>
      <c r="AO197" s="22" t="str">
        <f t="shared" si="270"/>
        <v/>
      </c>
      <c r="AP197" s="22" t="str">
        <f t="shared" si="270"/>
        <v/>
      </c>
      <c r="AQ197" s="22" t="str">
        <f t="shared" si="270"/>
        <v/>
      </c>
      <c r="AR197" s="22" t="str">
        <f t="shared" si="270"/>
        <v/>
      </c>
      <c r="AS197" s="22" t="str">
        <f t="shared" si="270"/>
        <v/>
      </c>
      <c r="AT197" s="22" t="str">
        <f t="shared" si="270"/>
        <v/>
      </c>
      <c r="AU197" s="22" t="str">
        <f t="shared" si="270"/>
        <v/>
      </c>
    </row>
    <row r="198" spans="1:47">
      <c r="A198" s="21" t="str">
        <f t="shared" si="242"/>
        <v>6500K</v>
      </c>
      <c r="B198" s="191"/>
      <c r="C198" s="191"/>
      <c r="D198" s="22" t="str">
        <f t="shared" si="261"/>
        <v/>
      </c>
      <c r="E198" s="22" t="str">
        <f t="shared" si="262"/>
        <v/>
      </c>
      <c r="F198" s="22" t="str">
        <f t="shared" si="263"/>
        <v/>
      </c>
      <c r="G198" s="22" t="str">
        <f t="shared" si="264"/>
        <v/>
      </c>
      <c r="H198" s="49">
        <f t="shared" si="243"/>
        <v>6500</v>
      </c>
      <c r="P198" s="22" t="str">
        <f t="shared" ref="P198:AU198" si="271">IF(COUNT(P85)=0,"",P85+_IRM3*P79)</f>
        <v/>
      </c>
      <c r="Q198" s="22" t="str">
        <f t="shared" si="271"/>
        <v/>
      </c>
      <c r="R198" s="22" t="str">
        <f t="shared" si="271"/>
        <v/>
      </c>
      <c r="S198" s="22" t="str">
        <f t="shared" si="271"/>
        <v/>
      </c>
      <c r="T198" s="22" t="str">
        <f t="shared" si="271"/>
        <v/>
      </c>
      <c r="U198" s="22" t="str">
        <f t="shared" si="271"/>
        <v/>
      </c>
      <c r="V198" s="22" t="str">
        <f t="shared" si="271"/>
        <v/>
      </c>
      <c r="W198" s="22" t="str">
        <f t="shared" si="271"/>
        <v/>
      </c>
      <c r="X198" s="22" t="str">
        <f t="shared" si="271"/>
        <v/>
      </c>
      <c r="Y198" s="22" t="str">
        <f t="shared" si="271"/>
        <v/>
      </c>
      <c r="Z198" s="22" t="str">
        <f t="shared" si="271"/>
        <v/>
      </c>
      <c r="AA198" s="22" t="str">
        <f t="shared" si="271"/>
        <v/>
      </c>
      <c r="AB198" s="22" t="str">
        <f t="shared" si="271"/>
        <v/>
      </c>
      <c r="AC198" s="22" t="str">
        <f t="shared" si="271"/>
        <v/>
      </c>
      <c r="AD198" s="22" t="str">
        <f t="shared" si="271"/>
        <v/>
      </c>
      <c r="AE198" s="22" t="str">
        <f t="shared" si="271"/>
        <v/>
      </c>
      <c r="AF198" s="22" t="str">
        <f t="shared" si="271"/>
        <v/>
      </c>
      <c r="AG198" s="22" t="str">
        <f t="shared" si="271"/>
        <v/>
      </c>
      <c r="AH198" s="22" t="str">
        <f t="shared" si="271"/>
        <v/>
      </c>
      <c r="AI198" s="22" t="str">
        <f t="shared" si="271"/>
        <v/>
      </c>
      <c r="AJ198" s="22" t="str">
        <f t="shared" si="271"/>
        <v/>
      </c>
      <c r="AK198" s="22" t="str">
        <f t="shared" si="271"/>
        <v/>
      </c>
      <c r="AL198" s="22" t="str">
        <f t="shared" si="271"/>
        <v/>
      </c>
      <c r="AM198" s="22" t="str">
        <f t="shared" si="271"/>
        <v/>
      </c>
      <c r="AN198" s="22" t="str">
        <f t="shared" si="271"/>
        <v/>
      </c>
      <c r="AO198" s="22" t="str">
        <f t="shared" si="271"/>
        <v/>
      </c>
      <c r="AP198" s="22" t="str">
        <f t="shared" si="271"/>
        <v/>
      </c>
      <c r="AQ198" s="22" t="str">
        <f t="shared" si="271"/>
        <v/>
      </c>
      <c r="AR198" s="22" t="str">
        <f t="shared" si="271"/>
        <v/>
      </c>
      <c r="AS198" s="22" t="str">
        <f t="shared" si="271"/>
        <v/>
      </c>
      <c r="AT198" s="22" t="str">
        <f t="shared" si="271"/>
        <v/>
      </c>
      <c r="AU198" s="22" t="str">
        <f t="shared" si="271"/>
        <v/>
      </c>
    </row>
    <row r="199" spans="1:47">
      <c r="A199" s="21" t="str">
        <f t="shared" ref="A199:A201" si="272">A155</f>
        <v>Min</v>
      </c>
      <c r="B199" s="191" t="str">
        <f>B171</f>
        <v>P0</v>
      </c>
      <c r="C199" s="191"/>
      <c r="D199" s="22">
        <f t="shared" ref="D199:D218" si="273">IF(COUNT(P199:AU199)=0,"",E199-1.5*G199)</f>
        <v>810.45695725749715</v>
      </c>
      <c r="E199" s="22">
        <f t="shared" si="225"/>
        <v>971.04499921490094</v>
      </c>
      <c r="F199" s="22">
        <f t="shared" ref="F199:F218" si="274">IF(COUNT(P199:AU199)=0,"",E199+1.5*G199)</f>
        <v>1131.6330411723047</v>
      </c>
      <c r="G199" s="22">
        <f t="shared" si="227"/>
        <v>107.05869463826917</v>
      </c>
      <c r="P199" s="22">
        <f t="shared" ref="P199:AU199" si="275">IF(COUNT(P171:P177)=0,"",MIN(P171:P177))</f>
        <v>931.15346775212038</v>
      </c>
      <c r="Q199" s="22">
        <f t="shared" si="275"/>
        <v>1041.9997607994985</v>
      </c>
      <c r="R199" s="22">
        <f>IF(COUNT(R171:R177)=0,"",MIN(R171:R177))</f>
        <v>1110.9906125419309</v>
      </c>
      <c r="S199" s="22">
        <f t="shared" si="275"/>
        <v>1021.9269914347821</v>
      </c>
      <c r="T199" s="22">
        <f t="shared" si="275"/>
        <v>904.20391629023266</v>
      </c>
      <c r="U199" s="22">
        <f t="shared" si="275"/>
        <v>815.99524647084013</v>
      </c>
      <c r="V199" s="22" t="str">
        <f t="shared" si="275"/>
        <v/>
      </c>
      <c r="W199" s="22" t="str">
        <f t="shared" si="275"/>
        <v/>
      </c>
      <c r="X199" s="22" t="str">
        <f t="shared" si="275"/>
        <v/>
      </c>
      <c r="Y199" s="22" t="str">
        <f t="shared" si="275"/>
        <v/>
      </c>
      <c r="Z199" s="22" t="str">
        <f t="shared" si="275"/>
        <v/>
      </c>
      <c r="AA199" s="22" t="str">
        <f t="shared" si="275"/>
        <v/>
      </c>
      <c r="AB199" s="22" t="str">
        <f t="shared" si="275"/>
        <v/>
      </c>
      <c r="AC199" s="22" t="str">
        <f t="shared" si="275"/>
        <v/>
      </c>
      <c r="AD199" s="22" t="str">
        <f t="shared" si="275"/>
        <v/>
      </c>
      <c r="AE199" s="22" t="str">
        <f t="shared" si="275"/>
        <v/>
      </c>
      <c r="AF199" s="22" t="str">
        <f t="shared" si="275"/>
        <v/>
      </c>
      <c r="AG199" s="22" t="str">
        <f t="shared" si="275"/>
        <v/>
      </c>
      <c r="AH199" s="22" t="str">
        <f t="shared" si="275"/>
        <v/>
      </c>
      <c r="AI199" s="22" t="str">
        <f t="shared" si="275"/>
        <v/>
      </c>
      <c r="AJ199" s="22" t="str">
        <f t="shared" si="275"/>
        <v/>
      </c>
      <c r="AK199" s="22" t="str">
        <f t="shared" si="275"/>
        <v/>
      </c>
      <c r="AL199" s="22" t="str">
        <f t="shared" si="275"/>
        <v/>
      </c>
      <c r="AM199" s="22" t="str">
        <f t="shared" si="275"/>
        <v/>
      </c>
      <c r="AN199" s="22" t="str">
        <f t="shared" si="275"/>
        <v/>
      </c>
      <c r="AO199" s="22" t="str">
        <f t="shared" si="275"/>
        <v/>
      </c>
      <c r="AP199" s="22" t="str">
        <f t="shared" si="275"/>
        <v/>
      </c>
      <c r="AQ199" s="22" t="str">
        <f t="shared" si="275"/>
        <v/>
      </c>
      <c r="AR199" s="22" t="str">
        <f t="shared" si="275"/>
        <v/>
      </c>
      <c r="AS199" s="22" t="str">
        <f t="shared" si="275"/>
        <v/>
      </c>
      <c r="AT199" s="22" t="str">
        <f t="shared" si="275"/>
        <v/>
      </c>
      <c r="AU199" s="22" t="str">
        <f t="shared" si="275"/>
        <v/>
      </c>
    </row>
    <row r="200" spans="1:47">
      <c r="A200" s="21" t="str">
        <f t="shared" si="272"/>
        <v>Max</v>
      </c>
      <c r="B200" s="191"/>
      <c r="C200" s="191"/>
      <c r="D200" s="22">
        <f t="shared" si="273"/>
        <v>810.45695725749715</v>
      </c>
      <c r="E200" s="22">
        <f>IF(COUNT(P200:AU200)=0,"",AVERAGE(P200:AU200))</f>
        <v>971.04499921490094</v>
      </c>
      <c r="F200" s="22">
        <f t="shared" si="274"/>
        <v>1131.6330411723047</v>
      </c>
      <c r="G200" s="22">
        <f t="shared" si="227"/>
        <v>107.05869463826917</v>
      </c>
      <c r="P200" s="22">
        <f t="shared" ref="P200:AU200" si="276">IF(COUNT(P171:P177)=0,"",MAX(P171:P177))</f>
        <v>931.15346775212038</v>
      </c>
      <c r="Q200" s="22">
        <f t="shared" si="276"/>
        <v>1041.9997607994985</v>
      </c>
      <c r="R200" s="22">
        <f t="shared" si="276"/>
        <v>1110.9906125419309</v>
      </c>
      <c r="S200" s="22">
        <f t="shared" si="276"/>
        <v>1021.9269914347821</v>
      </c>
      <c r="T200" s="22">
        <f t="shared" si="276"/>
        <v>904.20391629023266</v>
      </c>
      <c r="U200" s="22">
        <f t="shared" si="276"/>
        <v>815.99524647084013</v>
      </c>
      <c r="V200" s="22" t="str">
        <f t="shared" si="276"/>
        <v/>
      </c>
      <c r="W200" s="22" t="str">
        <f t="shared" si="276"/>
        <v/>
      </c>
      <c r="X200" s="22" t="str">
        <f t="shared" si="276"/>
        <v/>
      </c>
      <c r="Y200" s="22" t="str">
        <f t="shared" si="276"/>
        <v/>
      </c>
      <c r="Z200" s="22" t="str">
        <f t="shared" si="276"/>
        <v/>
      </c>
      <c r="AA200" s="22" t="str">
        <f t="shared" si="276"/>
        <v/>
      </c>
      <c r="AB200" s="22" t="str">
        <f t="shared" si="276"/>
        <v/>
      </c>
      <c r="AC200" s="22" t="str">
        <f t="shared" si="276"/>
        <v/>
      </c>
      <c r="AD200" s="22" t="str">
        <f t="shared" si="276"/>
        <v/>
      </c>
      <c r="AE200" s="22" t="str">
        <f t="shared" si="276"/>
        <v/>
      </c>
      <c r="AF200" s="22" t="str">
        <f t="shared" si="276"/>
        <v/>
      </c>
      <c r="AG200" s="22" t="str">
        <f t="shared" si="276"/>
        <v/>
      </c>
      <c r="AH200" s="22" t="str">
        <f t="shared" si="276"/>
        <v/>
      </c>
      <c r="AI200" s="22" t="str">
        <f t="shared" si="276"/>
        <v/>
      </c>
      <c r="AJ200" s="22" t="str">
        <f t="shared" si="276"/>
        <v/>
      </c>
      <c r="AK200" s="22" t="str">
        <f t="shared" si="276"/>
        <v/>
      </c>
      <c r="AL200" s="22" t="str">
        <f t="shared" si="276"/>
        <v/>
      </c>
      <c r="AM200" s="22" t="str">
        <f t="shared" si="276"/>
        <v/>
      </c>
      <c r="AN200" s="22" t="str">
        <f t="shared" si="276"/>
        <v/>
      </c>
      <c r="AO200" s="22" t="str">
        <f t="shared" si="276"/>
        <v/>
      </c>
      <c r="AP200" s="22" t="str">
        <f t="shared" si="276"/>
        <v/>
      </c>
      <c r="AQ200" s="22" t="str">
        <f t="shared" si="276"/>
        <v/>
      </c>
      <c r="AR200" s="22" t="str">
        <f t="shared" si="276"/>
        <v/>
      </c>
      <c r="AS200" s="22" t="str">
        <f t="shared" si="276"/>
        <v/>
      </c>
      <c r="AT200" s="22" t="str">
        <f t="shared" si="276"/>
        <v/>
      </c>
      <c r="AU200" s="22" t="str">
        <f t="shared" si="276"/>
        <v/>
      </c>
    </row>
    <row r="201" spans="1:47">
      <c r="A201" s="21" t="str">
        <f t="shared" si="272"/>
        <v>Median</v>
      </c>
      <c r="B201" s="191"/>
      <c r="C201" s="191"/>
      <c r="D201" s="22">
        <f t="shared" si="273"/>
        <v>810.45695725749715</v>
      </c>
      <c r="E201" s="22">
        <f t="shared" si="225"/>
        <v>971.04499921490094</v>
      </c>
      <c r="F201" s="22">
        <f t="shared" si="274"/>
        <v>1131.6330411723047</v>
      </c>
      <c r="G201" s="22">
        <f t="shared" si="227"/>
        <v>107.05869463826917</v>
      </c>
      <c r="P201" s="22">
        <f>IF(COUNT(P199:P200)=0,"",(P200+P199)/2)</f>
        <v>931.15346775212038</v>
      </c>
      <c r="Q201" s="22">
        <f t="shared" ref="Q201:AU201" si="277">IF(COUNT(Q199:Q200)=0,"",(Q200+Q199)/2)</f>
        <v>1041.9997607994985</v>
      </c>
      <c r="R201" s="22">
        <f t="shared" si="277"/>
        <v>1110.9906125419309</v>
      </c>
      <c r="S201" s="22">
        <f t="shared" si="277"/>
        <v>1021.9269914347821</v>
      </c>
      <c r="T201" s="22">
        <f t="shared" si="277"/>
        <v>904.20391629023266</v>
      </c>
      <c r="U201" s="22">
        <f t="shared" si="277"/>
        <v>815.99524647084013</v>
      </c>
      <c r="V201" s="22" t="str">
        <f t="shared" si="277"/>
        <v/>
      </c>
      <c r="W201" s="22" t="str">
        <f t="shared" si="277"/>
        <v/>
      </c>
      <c r="X201" s="22" t="str">
        <f t="shared" si="277"/>
        <v/>
      </c>
      <c r="Y201" s="22" t="str">
        <f t="shared" si="277"/>
        <v/>
      </c>
      <c r="Z201" s="22" t="str">
        <f t="shared" si="277"/>
        <v/>
      </c>
      <c r="AA201" s="22" t="str">
        <f t="shared" si="277"/>
        <v/>
      </c>
      <c r="AB201" s="22" t="str">
        <f t="shared" si="277"/>
        <v/>
      </c>
      <c r="AC201" s="22" t="str">
        <f t="shared" si="277"/>
        <v/>
      </c>
      <c r="AD201" s="22" t="str">
        <f t="shared" si="277"/>
        <v/>
      </c>
      <c r="AE201" s="22" t="str">
        <f t="shared" si="277"/>
        <v/>
      </c>
      <c r="AF201" s="22" t="str">
        <f t="shared" si="277"/>
        <v/>
      </c>
      <c r="AG201" s="22" t="str">
        <f t="shared" si="277"/>
        <v/>
      </c>
      <c r="AH201" s="22" t="str">
        <f t="shared" si="277"/>
        <v/>
      </c>
      <c r="AI201" s="22" t="str">
        <f t="shared" si="277"/>
        <v/>
      </c>
      <c r="AJ201" s="22" t="str">
        <f t="shared" si="277"/>
        <v/>
      </c>
      <c r="AK201" s="22" t="str">
        <f t="shared" si="277"/>
        <v/>
      </c>
      <c r="AL201" s="22" t="str">
        <f t="shared" si="277"/>
        <v/>
      </c>
      <c r="AM201" s="22" t="str">
        <f t="shared" si="277"/>
        <v/>
      </c>
      <c r="AN201" s="22" t="str">
        <f t="shared" si="277"/>
        <v/>
      </c>
      <c r="AO201" s="22" t="str">
        <f t="shared" si="277"/>
        <v/>
      </c>
      <c r="AP201" s="22" t="str">
        <f t="shared" si="277"/>
        <v/>
      </c>
      <c r="AQ201" s="22" t="str">
        <f t="shared" si="277"/>
        <v/>
      </c>
      <c r="AR201" s="22" t="str">
        <f t="shared" si="277"/>
        <v/>
      </c>
      <c r="AS201" s="22" t="str">
        <f t="shared" si="277"/>
        <v/>
      </c>
      <c r="AT201" s="22" t="str">
        <f t="shared" si="277"/>
        <v/>
      </c>
      <c r="AU201" s="22" t="str">
        <f t="shared" si="277"/>
        <v/>
      </c>
    </row>
    <row r="202" spans="1:47">
      <c r="A202" s="21" t="s">
        <v>12</v>
      </c>
      <c r="B202" s="191"/>
      <c r="C202" s="191"/>
      <c r="D202" s="27">
        <f t="shared" si="273"/>
        <v>-0.18954304274250536</v>
      </c>
      <c r="E202" s="27">
        <f t="shared" si="225"/>
        <v>-2.8955000785099234E-2</v>
      </c>
      <c r="F202" s="27">
        <f t="shared" si="274"/>
        <v>0.13163304117230687</v>
      </c>
      <c r="G202" s="27">
        <f t="shared" si="227"/>
        <v>0.10705869463827074</v>
      </c>
      <c r="I202" s="49">
        <v>1</v>
      </c>
      <c r="J202" s="49">
        <v>1</v>
      </c>
      <c r="K202" s="26">
        <f>INDEX(calTable,I202,J202)</f>
        <v>1000</v>
      </c>
      <c r="P202" s="27">
        <f t="shared" ref="P202:Q202" si="278">IF(COUNT(P201)=0,"",P201/$K202-1)</f>
        <v>-6.8846532247879622E-2</v>
      </c>
      <c r="Q202" s="27">
        <f t="shared" si="278"/>
        <v>4.1999760799498409E-2</v>
      </c>
      <c r="R202" s="27">
        <f>IF(COUNT(R201)=0,"",R201/$K202-1)</f>
        <v>0.11099061254193088</v>
      </c>
      <c r="S202" s="27">
        <f t="shared" ref="S202:AU202" si="279">IF(COUNT(S201)=0,"",S201/$K202-1)</f>
        <v>2.1926991434782162E-2</v>
      </c>
      <c r="T202" s="27">
        <f t="shared" si="279"/>
        <v>-9.5796083709767332E-2</v>
      </c>
      <c r="U202" s="27">
        <f t="shared" si="279"/>
        <v>-0.1840047535291599</v>
      </c>
      <c r="V202" s="27" t="str">
        <f t="shared" si="279"/>
        <v/>
      </c>
      <c r="W202" s="27" t="str">
        <f t="shared" si="279"/>
        <v/>
      </c>
      <c r="X202" s="27" t="str">
        <f t="shared" si="279"/>
        <v/>
      </c>
      <c r="Y202" s="27" t="str">
        <f t="shared" si="279"/>
        <v/>
      </c>
      <c r="Z202" s="27" t="str">
        <f t="shared" si="279"/>
        <v/>
      </c>
      <c r="AA202" s="27" t="str">
        <f t="shared" si="279"/>
        <v/>
      </c>
      <c r="AB202" s="27" t="str">
        <f t="shared" si="279"/>
        <v/>
      </c>
      <c r="AC202" s="27" t="str">
        <f t="shared" si="279"/>
        <v/>
      </c>
      <c r="AD202" s="27" t="str">
        <f t="shared" si="279"/>
        <v/>
      </c>
      <c r="AE202" s="27" t="str">
        <f t="shared" si="279"/>
        <v/>
      </c>
      <c r="AF202" s="27" t="str">
        <f t="shared" si="279"/>
        <v/>
      </c>
      <c r="AG202" s="27" t="str">
        <f t="shared" si="279"/>
        <v/>
      </c>
      <c r="AH202" s="27" t="str">
        <f t="shared" si="279"/>
        <v/>
      </c>
      <c r="AI202" s="27" t="str">
        <f t="shared" si="279"/>
        <v/>
      </c>
      <c r="AJ202" s="27" t="str">
        <f t="shared" si="279"/>
        <v/>
      </c>
      <c r="AK202" s="27" t="str">
        <f t="shared" si="279"/>
        <v/>
      </c>
      <c r="AL202" s="27" t="str">
        <f t="shared" si="279"/>
        <v/>
      </c>
      <c r="AM202" s="27" t="str">
        <f t="shared" si="279"/>
        <v/>
      </c>
      <c r="AN202" s="27" t="str">
        <f t="shared" si="279"/>
        <v/>
      </c>
      <c r="AO202" s="27" t="str">
        <f t="shared" si="279"/>
        <v/>
      </c>
      <c r="AP202" s="27" t="str">
        <f t="shared" si="279"/>
        <v/>
      </c>
      <c r="AQ202" s="27" t="str">
        <f t="shared" si="279"/>
        <v/>
      </c>
      <c r="AR202" s="27" t="str">
        <f t="shared" si="279"/>
        <v/>
      </c>
      <c r="AS202" s="27" t="str">
        <f t="shared" si="279"/>
        <v/>
      </c>
      <c r="AT202" s="27" t="str">
        <f t="shared" si="279"/>
        <v/>
      </c>
      <c r="AU202" s="27" t="str">
        <f t="shared" si="279"/>
        <v/>
      </c>
    </row>
    <row r="203" spans="1:47">
      <c r="A203" s="21" t="str">
        <f>A159</f>
        <v>LS2LS</v>
      </c>
      <c r="B203" s="191"/>
      <c r="C203" s="191"/>
      <c r="D203" s="27">
        <f t="shared" si="273"/>
        <v>0</v>
      </c>
      <c r="E203" s="27">
        <f t="shared" si="225"/>
        <v>0</v>
      </c>
      <c r="F203" s="30">
        <f t="shared" si="274"/>
        <v>0</v>
      </c>
      <c r="G203" s="27">
        <f t="shared" si="227"/>
        <v>0</v>
      </c>
      <c r="P203" s="27">
        <f>IF(COUNT(P201)=0,"",(P200-P199)/P201)</f>
        <v>0</v>
      </c>
      <c r="Q203" s="27">
        <f t="shared" ref="Q203:AU203" si="280">IF(COUNT(Q201)=0,"",(Q200-Q199)/Q201)</f>
        <v>0</v>
      </c>
      <c r="R203" s="27">
        <f t="shared" si="280"/>
        <v>0</v>
      </c>
      <c r="S203" s="27">
        <f t="shared" si="280"/>
        <v>0</v>
      </c>
      <c r="T203" s="27">
        <f t="shared" si="280"/>
        <v>0</v>
      </c>
      <c r="U203" s="27">
        <f t="shared" si="280"/>
        <v>0</v>
      </c>
      <c r="V203" s="27" t="str">
        <f t="shared" si="280"/>
        <v/>
      </c>
      <c r="W203" s="27" t="str">
        <f t="shared" si="280"/>
        <v/>
      </c>
      <c r="X203" s="27" t="str">
        <f t="shared" si="280"/>
        <v/>
      </c>
      <c r="Y203" s="27" t="str">
        <f t="shared" si="280"/>
        <v/>
      </c>
      <c r="Z203" s="27" t="str">
        <f t="shared" si="280"/>
        <v/>
      </c>
      <c r="AA203" s="27" t="str">
        <f t="shared" si="280"/>
        <v/>
      </c>
      <c r="AB203" s="27" t="str">
        <f t="shared" si="280"/>
        <v/>
      </c>
      <c r="AC203" s="27" t="str">
        <f t="shared" si="280"/>
        <v/>
      </c>
      <c r="AD203" s="27" t="str">
        <f t="shared" si="280"/>
        <v/>
      </c>
      <c r="AE203" s="27" t="str">
        <f t="shared" si="280"/>
        <v/>
      </c>
      <c r="AF203" s="27" t="str">
        <f t="shared" si="280"/>
        <v/>
      </c>
      <c r="AG203" s="27" t="str">
        <f t="shared" si="280"/>
        <v/>
      </c>
      <c r="AH203" s="27" t="str">
        <f t="shared" si="280"/>
        <v/>
      </c>
      <c r="AI203" s="27" t="str">
        <f t="shared" si="280"/>
        <v/>
      </c>
      <c r="AJ203" s="27" t="str">
        <f t="shared" si="280"/>
        <v/>
      </c>
      <c r="AK203" s="27" t="str">
        <f t="shared" si="280"/>
        <v/>
      </c>
      <c r="AL203" s="27" t="str">
        <f t="shared" si="280"/>
        <v/>
      </c>
      <c r="AM203" s="27" t="str">
        <f t="shared" si="280"/>
        <v/>
      </c>
      <c r="AN203" s="27" t="str">
        <f t="shared" si="280"/>
        <v/>
      </c>
      <c r="AO203" s="27" t="str">
        <f t="shared" si="280"/>
        <v/>
      </c>
      <c r="AP203" s="27" t="str">
        <f t="shared" si="280"/>
        <v/>
      </c>
      <c r="AQ203" s="27" t="str">
        <f t="shared" si="280"/>
        <v/>
      </c>
      <c r="AR203" s="27" t="str">
        <f t="shared" si="280"/>
        <v/>
      </c>
      <c r="AS203" s="27" t="str">
        <f t="shared" si="280"/>
        <v/>
      </c>
      <c r="AT203" s="27" t="str">
        <f t="shared" si="280"/>
        <v/>
      </c>
      <c r="AU203" s="27" t="str">
        <f t="shared" si="280"/>
        <v/>
      </c>
    </row>
    <row r="204" spans="1:47">
      <c r="A204" s="21" t="str">
        <f>A199</f>
        <v>Min</v>
      </c>
      <c r="B204" s="191" t="str">
        <f>B178</f>
        <v>P1</v>
      </c>
      <c r="C204" s="191"/>
      <c r="D204" s="22">
        <f t="shared" si="273"/>
        <v>3239.7326876686438</v>
      </c>
      <c r="E204" s="22">
        <f t="shared" ref="E204" si="281">IF(COUNT(P204:AU204)=0,"",AVERAGE(P204:AU204))</f>
        <v>3897.5122807092534</v>
      </c>
      <c r="F204" s="22">
        <f t="shared" si="274"/>
        <v>4555.291873749863</v>
      </c>
      <c r="G204" s="22">
        <f t="shared" ref="G204:G208" si="282">IF(COUNT(P204:AU204)=0,"",STDEV(P204:AU204))</f>
        <v>438.51972869373981</v>
      </c>
      <c r="P204" s="22">
        <f t="shared" ref="P204:Q204" si="283">IF(COUNT(P178:P184)=0,"",MIN(P178:P184))</f>
        <v>3817.2088126520152</v>
      </c>
      <c r="Q204" s="22">
        <f t="shared" si="283"/>
        <v>4229.4440205310975</v>
      </c>
      <c r="R204" s="22">
        <f>IF(COUNT(R178:R184)=0,"",MIN(R178:R184))</f>
        <v>4457.2699528206285</v>
      </c>
      <c r="S204" s="22">
        <f t="shared" ref="S204:AU204" si="284">IF(COUNT(S178:S184)=0,"",MIN(S178:S184))</f>
        <v>4028.2330935473765</v>
      </c>
      <c r="T204" s="22">
        <f t="shared" si="284"/>
        <v>3614.43667027326</v>
      </c>
      <c r="U204" s="22">
        <f t="shared" si="284"/>
        <v>3238.481134431147</v>
      </c>
      <c r="V204" s="22" t="str">
        <f t="shared" si="284"/>
        <v/>
      </c>
      <c r="W204" s="22" t="str">
        <f t="shared" si="284"/>
        <v/>
      </c>
      <c r="X204" s="22" t="str">
        <f t="shared" si="284"/>
        <v/>
      </c>
      <c r="Y204" s="22" t="str">
        <f t="shared" si="284"/>
        <v/>
      </c>
      <c r="Z204" s="22" t="str">
        <f t="shared" si="284"/>
        <v/>
      </c>
      <c r="AA204" s="22" t="str">
        <f t="shared" si="284"/>
        <v/>
      </c>
      <c r="AB204" s="22" t="str">
        <f t="shared" si="284"/>
        <v/>
      </c>
      <c r="AC204" s="22" t="str">
        <f t="shared" si="284"/>
        <v/>
      </c>
      <c r="AD204" s="22" t="str">
        <f t="shared" si="284"/>
        <v/>
      </c>
      <c r="AE204" s="22" t="str">
        <f t="shared" si="284"/>
        <v/>
      </c>
      <c r="AF204" s="22" t="str">
        <f t="shared" si="284"/>
        <v/>
      </c>
      <c r="AG204" s="22" t="str">
        <f t="shared" si="284"/>
        <v/>
      </c>
      <c r="AH204" s="22" t="str">
        <f t="shared" si="284"/>
        <v/>
      </c>
      <c r="AI204" s="22" t="str">
        <f t="shared" si="284"/>
        <v/>
      </c>
      <c r="AJ204" s="22" t="str">
        <f t="shared" si="284"/>
        <v/>
      </c>
      <c r="AK204" s="22" t="str">
        <f t="shared" si="284"/>
        <v/>
      </c>
      <c r="AL204" s="22" t="str">
        <f t="shared" si="284"/>
        <v/>
      </c>
      <c r="AM204" s="22" t="str">
        <f t="shared" si="284"/>
        <v/>
      </c>
      <c r="AN204" s="22" t="str">
        <f t="shared" si="284"/>
        <v/>
      </c>
      <c r="AO204" s="22" t="str">
        <f t="shared" si="284"/>
        <v/>
      </c>
      <c r="AP204" s="22" t="str">
        <f t="shared" si="284"/>
        <v/>
      </c>
      <c r="AQ204" s="22" t="str">
        <f t="shared" si="284"/>
        <v/>
      </c>
      <c r="AR204" s="22" t="str">
        <f t="shared" si="284"/>
        <v/>
      </c>
      <c r="AS204" s="22" t="str">
        <f t="shared" si="284"/>
        <v/>
      </c>
      <c r="AT204" s="22" t="str">
        <f t="shared" si="284"/>
        <v/>
      </c>
      <c r="AU204" s="22" t="str">
        <f t="shared" si="284"/>
        <v/>
      </c>
    </row>
    <row r="205" spans="1:47">
      <c r="A205" s="21" t="str">
        <f t="shared" ref="A205:A218" si="285">A200</f>
        <v>Max</v>
      </c>
      <c r="B205" s="191"/>
      <c r="C205" s="191"/>
      <c r="D205" s="22">
        <f t="shared" si="273"/>
        <v>3239.7326876686438</v>
      </c>
      <c r="E205" s="22">
        <f>IF(COUNT(P205:AU205)=0,"",AVERAGE(P205:AU205))</f>
        <v>3897.5122807092534</v>
      </c>
      <c r="F205" s="22">
        <f t="shared" si="274"/>
        <v>4555.291873749863</v>
      </c>
      <c r="G205" s="22">
        <f t="shared" si="282"/>
        <v>438.51972869373981</v>
      </c>
      <c r="P205" s="22">
        <f t="shared" ref="P205:Q205" si="286">IF(COUNT(P178:P184)=0,"",MAX(P178:P184))</f>
        <v>3817.2088126520152</v>
      </c>
      <c r="Q205" s="22">
        <f t="shared" si="286"/>
        <v>4229.4440205310975</v>
      </c>
      <c r="R205" s="22">
        <f>IF(COUNT(R178:R184)=0,"",MAX(R178:R184))</f>
        <v>4457.2699528206285</v>
      </c>
      <c r="S205" s="22">
        <f t="shared" ref="S205:AU205" si="287">IF(COUNT(S178:S184)=0,"",MAX(S178:S184))</f>
        <v>4028.2330935473765</v>
      </c>
      <c r="T205" s="22">
        <f t="shared" si="287"/>
        <v>3614.43667027326</v>
      </c>
      <c r="U205" s="22">
        <f t="shared" si="287"/>
        <v>3238.481134431147</v>
      </c>
      <c r="V205" s="22" t="str">
        <f t="shared" si="287"/>
        <v/>
      </c>
      <c r="W205" s="22" t="str">
        <f t="shared" si="287"/>
        <v/>
      </c>
      <c r="X205" s="22" t="str">
        <f t="shared" si="287"/>
        <v/>
      </c>
      <c r="Y205" s="22" t="str">
        <f t="shared" si="287"/>
        <v/>
      </c>
      <c r="Z205" s="22" t="str">
        <f t="shared" si="287"/>
        <v/>
      </c>
      <c r="AA205" s="22" t="str">
        <f t="shared" si="287"/>
        <v/>
      </c>
      <c r="AB205" s="22" t="str">
        <f t="shared" si="287"/>
        <v/>
      </c>
      <c r="AC205" s="22" t="str">
        <f t="shared" si="287"/>
        <v/>
      </c>
      <c r="AD205" s="22" t="str">
        <f t="shared" si="287"/>
        <v/>
      </c>
      <c r="AE205" s="22" t="str">
        <f t="shared" si="287"/>
        <v/>
      </c>
      <c r="AF205" s="22" t="str">
        <f t="shared" si="287"/>
        <v/>
      </c>
      <c r="AG205" s="22" t="str">
        <f t="shared" si="287"/>
        <v/>
      </c>
      <c r="AH205" s="22" t="str">
        <f t="shared" si="287"/>
        <v/>
      </c>
      <c r="AI205" s="22" t="str">
        <f t="shared" si="287"/>
        <v/>
      </c>
      <c r="AJ205" s="22" t="str">
        <f t="shared" si="287"/>
        <v/>
      </c>
      <c r="AK205" s="22" t="str">
        <f t="shared" si="287"/>
        <v/>
      </c>
      <c r="AL205" s="22" t="str">
        <f t="shared" si="287"/>
        <v/>
      </c>
      <c r="AM205" s="22" t="str">
        <f t="shared" si="287"/>
        <v/>
      </c>
      <c r="AN205" s="22" t="str">
        <f t="shared" si="287"/>
        <v/>
      </c>
      <c r="AO205" s="22" t="str">
        <f t="shared" si="287"/>
        <v/>
      </c>
      <c r="AP205" s="22" t="str">
        <f t="shared" si="287"/>
        <v/>
      </c>
      <c r="AQ205" s="22" t="str">
        <f t="shared" si="287"/>
        <v/>
      </c>
      <c r="AR205" s="22" t="str">
        <f t="shared" si="287"/>
        <v/>
      </c>
      <c r="AS205" s="22" t="str">
        <f t="shared" si="287"/>
        <v/>
      </c>
      <c r="AT205" s="22" t="str">
        <f t="shared" si="287"/>
        <v/>
      </c>
      <c r="AU205" s="22" t="str">
        <f t="shared" si="287"/>
        <v/>
      </c>
    </row>
    <row r="206" spans="1:47">
      <c r="A206" s="21" t="str">
        <f t="shared" si="285"/>
        <v>Median</v>
      </c>
      <c r="B206" s="191"/>
      <c r="C206" s="191"/>
      <c r="D206" s="22">
        <f t="shared" si="273"/>
        <v>3239.7326876686438</v>
      </c>
      <c r="E206" s="22">
        <f t="shared" ref="E206:E209" si="288">IF(COUNT(P206:AU206)=0,"",AVERAGE(P206:AU206))</f>
        <v>3897.5122807092534</v>
      </c>
      <c r="F206" s="22">
        <f t="shared" si="274"/>
        <v>4555.291873749863</v>
      </c>
      <c r="G206" s="22">
        <f t="shared" si="282"/>
        <v>438.51972869373981</v>
      </c>
      <c r="P206" s="22">
        <f t="shared" ref="P206:AU206" si="289">IF(COUNT(P204:P205)=0,"",(P205+P204)/2)</f>
        <v>3817.2088126520152</v>
      </c>
      <c r="Q206" s="22">
        <f t="shared" si="289"/>
        <v>4229.4440205310975</v>
      </c>
      <c r="R206" s="22">
        <f t="shared" si="289"/>
        <v>4457.2699528206285</v>
      </c>
      <c r="S206" s="22">
        <f t="shared" si="289"/>
        <v>4028.2330935473765</v>
      </c>
      <c r="T206" s="22">
        <f t="shared" si="289"/>
        <v>3614.43667027326</v>
      </c>
      <c r="U206" s="22">
        <f t="shared" si="289"/>
        <v>3238.481134431147</v>
      </c>
      <c r="V206" s="22" t="str">
        <f t="shared" si="289"/>
        <v/>
      </c>
      <c r="W206" s="22" t="str">
        <f t="shared" si="289"/>
        <v/>
      </c>
      <c r="X206" s="22" t="str">
        <f t="shared" si="289"/>
        <v/>
      </c>
      <c r="Y206" s="22" t="str">
        <f t="shared" si="289"/>
        <v/>
      </c>
      <c r="Z206" s="22" t="str">
        <f t="shared" si="289"/>
        <v/>
      </c>
      <c r="AA206" s="22" t="str">
        <f t="shared" si="289"/>
        <v/>
      </c>
      <c r="AB206" s="22" t="str">
        <f t="shared" si="289"/>
        <v/>
      </c>
      <c r="AC206" s="22" t="str">
        <f t="shared" si="289"/>
        <v/>
      </c>
      <c r="AD206" s="22" t="str">
        <f t="shared" si="289"/>
        <v/>
      </c>
      <c r="AE206" s="22" t="str">
        <f t="shared" si="289"/>
        <v/>
      </c>
      <c r="AF206" s="22" t="str">
        <f t="shared" si="289"/>
        <v/>
      </c>
      <c r="AG206" s="22" t="str">
        <f t="shared" si="289"/>
        <v/>
      </c>
      <c r="AH206" s="22" t="str">
        <f t="shared" si="289"/>
        <v/>
      </c>
      <c r="AI206" s="22" t="str">
        <f t="shared" si="289"/>
        <v/>
      </c>
      <c r="AJ206" s="22" t="str">
        <f t="shared" si="289"/>
        <v/>
      </c>
      <c r="AK206" s="22" t="str">
        <f t="shared" si="289"/>
        <v/>
      </c>
      <c r="AL206" s="22" t="str">
        <f t="shared" si="289"/>
        <v/>
      </c>
      <c r="AM206" s="22" t="str">
        <f t="shared" si="289"/>
        <v/>
      </c>
      <c r="AN206" s="22" t="str">
        <f t="shared" si="289"/>
        <v/>
      </c>
      <c r="AO206" s="22" t="str">
        <f t="shared" si="289"/>
        <v/>
      </c>
      <c r="AP206" s="22" t="str">
        <f t="shared" si="289"/>
        <v/>
      </c>
      <c r="AQ206" s="22" t="str">
        <f t="shared" si="289"/>
        <v/>
      </c>
      <c r="AR206" s="22" t="str">
        <f t="shared" si="289"/>
        <v/>
      </c>
      <c r="AS206" s="22" t="str">
        <f t="shared" si="289"/>
        <v/>
      </c>
      <c r="AT206" s="22" t="str">
        <f t="shared" si="289"/>
        <v/>
      </c>
      <c r="AU206" s="22" t="str">
        <f t="shared" si="289"/>
        <v/>
      </c>
    </row>
    <row r="207" spans="1:47">
      <c r="A207" s="21" t="str">
        <f t="shared" si="285"/>
        <v>Gain Error</v>
      </c>
      <c r="B207" s="191"/>
      <c r="C207" s="191"/>
      <c r="D207" s="27">
        <f t="shared" si="273"/>
        <v>-0.19006682808283645</v>
      </c>
      <c r="E207" s="27">
        <f t="shared" si="288"/>
        <v>-2.5621929822686462E-2</v>
      </c>
      <c r="F207" s="27">
        <f t="shared" si="274"/>
        <v>0.13882296843746353</v>
      </c>
      <c r="G207" s="27">
        <f t="shared" si="282"/>
        <v>0.10962993217343332</v>
      </c>
      <c r="I207" s="49">
        <v>2</v>
      </c>
      <c r="J207" s="49">
        <v>1</v>
      </c>
      <c r="K207" s="26">
        <f>INDEX(calTable,I207,J207)</f>
        <v>4000</v>
      </c>
      <c r="P207" s="27">
        <f t="shared" ref="P207:Q207" si="290">IF(COUNT(P206)=0,"",P206/$K207-1)</f>
        <v>-4.5697796836996152E-2</v>
      </c>
      <c r="Q207" s="27">
        <f t="shared" si="290"/>
        <v>5.7361005132774423E-2</v>
      </c>
      <c r="R207" s="27">
        <f>IF(COUNT(R206)=0,"",R206/$K207-1)</f>
        <v>0.11431748820515719</v>
      </c>
      <c r="S207" s="27">
        <f t="shared" ref="S207:AU207" si="291">IF(COUNT(S206)=0,"",S206/$K207-1)</f>
        <v>7.0582733868440606E-3</v>
      </c>
      <c r="T207" s="27">
        <f t="shared" si="291"/>
        <v>-9.6390832431685003E-2</v>
      </c>
      <c r="U207" s="27">
        <f t="shared" si="291"/>
        <v>-0.19037971639221329</v>
      </c>
      <c r="V207" s="27" t="str">
        <f t="shared" si="291"/>
        <v/>
      </c>
      <c r="W207" s="27" t="str">
        <f t="shared" si="291"/>
        <v/>
      </c>
      <c r="X207" s="27" t="str">
        <f t="shared" si="291"/>
        <v/>
      </c>
      <c r="Y207" s="27" t="str">
        <f t="shared" si="291"/>
        <v/>
      </c>
      <c r="Z207" s="27" t="str">
        <f t="shared" si="291"/>
        <v/>
      </c>
      <c r="AA207" s="27" t="str">
        <f t="shared" si="291"/>
        <v/>
      </c>
      <c r="AB207" s="27" t="str">
        <f t="shared" si="291"/>
        <v/>
      </c>
      <c r="AC207" s="27" t="str">
        <f t="shared" si="291"/>
        <v/>
      </c>
      <c r="AD207" s="27" t="str">
        <f t="shared" si="291"/>
        <v/>
      </c>
      <c r="AE207" s="27" t="str">
        <f t="shared" si="291"/>
        <v/>
      </c>
      <c r="AF207" s="27" t="str">
        <f t="shared" si="291"/>
        <v/>
      </c>
      <c r="AG207" s="27" t="str">
        <f t="shared" si="291"/>
        <v/>
      </c>
      <c r="AH207" s="27" t="str">
        <f t="shared" si="291"/>
        <v/>
      </c>
      <c r="AI207" s="27" t="str">
        <f t="shared" si="291"/>
        <v/>
      </c>
      <c r="AJ207" s="27" t="str">
        <f t="shared" si="291"/>
        <v/>
      </c>
      <c r="AK207" s="27" t="str">
        <f t="shared" si="291"/>
        <v/>
      </c>
      <c r="AL207" s="27" t="str">
        <f t="shared" si="291"/>
        <v/>
      </c>
      <c r="AM207" s="27" t="str">
        <f t="shared" si="291"/>
        <v/>
      </c>
      <c r="AN207" s="27" t="str">
        <f t="shared" si="291"/>
        <v/>
      </c>
      <c r="AO207" s="27" t="str">
        <f t="shared" si="291"/>
        <v/>
      </c>
      <c r="AP207" s="27" t="str">
        <f t="shared" si="291"/>
        <v/>
      </c>
      <c r="AQ207" s="27" t="str">
        <f t="shared" si="291"/>
        <v/>
      </c>
      <c r="AR207" s="27" t="str">
        <f t="shared" si="291"/>
        <v/>
      </c>
      <c r="AS207" s="27" t="str">
        <f t="shared" si="291"/>
        <v/>
      </c>
      <c r="AT207" s="27" t="str">
        <f t="shared" si="291"/>
        <v/>
      </c>
      <c r="AU207" s="27" t="str">
        <f t="shared" si="291"/>
        <v/>
      </c>
    </row>
    <row r="208" spans="1:47">
      <c r="A208" s="21" t="str">
        <f t="shared" si="285"/>
        <v>LS2LS</v>
      </c>
      <c r="B208" s="191"/>
      <c r="C208" s="191"/>
      <c r="D208" s="27">
        <f t="shared" si="273"/>
        <v>0</v>
      </c>
      <c r="E208" s="27">
        <f t="shared" si="288"/>
        <v>0</v>
      </c>
      <c r="F208" s="30">
        <f t="shared" si="274"/>
        <v>0</v>
      </c>
      <c r="G208" s="27">
        <f t="shared" si="282"/>
        <v>0</v>
      </c>
      <c r="P208" s="27">
        <f t="shared" ref="P208:AU208" si="292">IF(COUNT(P206)=0,"",(P205-P204)/P206)</f>
        <v>0</v>
      </c>
      <c r="Q208" s="27">
        <f t="shared" si="292"/>
        <v>0</v>
      </c>
      <c r="R208" s="27">
        <f t="shared" si="292"/>
        <v>0</v>
      </c>
      <c r="S208" s="27">
        <f t="shared" si="292"/>
        <v>0</v>
      </c>
      <c r="T208" s="27">
        <f t="shared" si="292"/>
        <v>0</v>
      </c>
      <c r="U208" s="27">
        <f t="shared" si="292"/>
        <v>0</v>
      </c>
      <c r="V208" s="27" t="str">
        <f t="shared" si="292"/>
        <v/>
      </c>
      <c r="W208" s="27" t="str">
        <f t="shared" si="292"/>
        <v/>
      </c>
      <c r="X208" s="27" t="str">
        <f t="shared" si="292"/>
        <v/>
      </c>
      <c r="Y208" s="27" t="str">
        <f t="shared" si="292"/>
        <v/>
      </c>
      <c r="Z208" s="27" t="str">
        <f t="shared" si="292"/>
        <v/>
      </c>
      <c r="AA208" s="27" t="str">
        <f t="shared" si="292"/>
        <v/>
      </c>
      <c r="AB208" s="27" t="str">
        <f t="shared" si="292"/>
        <v/>
      </c>
      <c r="AC208" s="27" t="str">
        <f t="shared" si="292"/>
        <v/>
      </c>
      <c r="AD208" s="27" t="str">
        <f t="shared" si="292"/>
        <v/>
      </c>
      <c r="AE208" s="27" t="str">
        <f t="shared" si="292"/>
        <v/>
      </c>
      <c r="AF208" s="27" t="str">
        <f t="shared" si="292"/>
        <v/>
      </c>
      <c r="AG208" s="27" t="str">
        <f t="shared" si="292"/>
        <v/>
      </c>
      <c r="AH208" s="27" t="str">
        <f t="shared" si="292"/>
        <v/>
      </c>
      <c r="AI208" s="27" t="str">
        <f t="shared" si="292"/>
        <v/>
      </c>
      <c r="AJ208" s="27" t="str">
        <f t="shared" si="292"/>
        <v/>
      </c>
      <c r="AK208" s="27" t="str">
        <f t="shared" si="292"/>
        <v/>
      </c>
      <c r="AL208" s="27" t="str">
        <f t="shared" si="292"/>
        <v/>
      </c>
      <c r="AM208" s="27" t="str">
        <f t="shared" si="292"/>
        <v/>
      </c>
      <c r="AN208" s="27" t="str">
        <f t="shared" si="292"/>
        <v/>
      </c>
      <c r="AO208" s="27" t="str">
        <f t="shared" si="292"/>
        <v/>
      </c>
      <c r="AP208" s="27" t="str">
        <f t="shared" si="292"/>
        <v/>
      </c>
      <c r="AQ208" s="27" t="str">
        <f t="shared" si="292"/>
        <v/>
      </c>
      <c r="AR208" s="27" t="str">
        <f t="shared" si="292"/>
        <v/>
      </c>
      <c r="AS208" s="27" t="str">
        <f t="shared" si="292"/>
        <v/>
      </c>
      <c r="AT208" s="27" t="str">
        <f t="shared" si="292"/>
        <v/>
      </c>
      <c r="AU208" s="27" t="str">
        <f t="shared" si="292"/>
        <v/>
      </c>
    </row>
    <row r="209" spans="1:47">
      <c r="A209" s="21" t="str">
        <f t="shared" si="285"/>
        <v>Min</v>
      </c>
      <c r="B209" s="191" t="str">
        <f>B185</f>
        <v>P2</v>
      </c>
      <c r="C209" s="191"/>
      <c r="D209" s="22">
        <f t="shared" si="273"/>
        <v>12968.896242298948</v>
      </c>
      <c r="E209" s="22">
        <f t="shared" si="288"/>
        <v>15538.20685924321</v>
      </c>
      <c r="F209" s="22">
        <f t="shared" si="274"/>
        <v>18107.517476187473</v>
      </c>
      <c r="G209" s="22">
        <f t="shared" ref="G209:G213" si="293">IF(COUNT(P209:AU209)=0,"",STDEV(P209:AU209))</f>
        <v>1712.8737446295081</v>
      </c>
      <c r="P209" s="22">
        <f t="shared" ref="P209:Q209" si="294">IF(COUNT(P185:P191)=0,"",MIN(P185:P191))</f>
        <v>14887.750007039411</v>
      </c>
      <c r="Q209" s="22">
        <f t="shared" si="294"/>
        <v>16671.996172791976</v>
      </c>
      <c r="R209" s="22">
        <f>IF(COUNT(R185:R191)=0,"",MIN(R185:R191))</f>
        <v>17775.849800670894</v>
      </c>
      <c r="S209" s="22">
        <f t="shared" ref="S209:AU209" si="295">IF(COUNT(S185:S191)=0,"",MIN(S185:S191))</f>
        <v>16357.968847619524</v>
      </c>
      <c r="T209" s="22">
        <f t="shared" si="295"/>
        <v>14479.752383803989</v>
      </c>
      <c r="U209" s="22">
        <f t="shared" si="295"/>
        <v>13055.923943533442</v>
      </c>
      <c r="V209" s="22" t="str">
        <f t="shared" si="295"/>
        <v/>
      </c>
      <c r="W209" s="22" t="str">
        <f t="shared" si="295"/>
        <v/>
      </c>
      <c r="X209" s="22" t="str">
        <f t="shared" si="295"/>
        <v/>
      </c>
      <c r="Y209" s="22" t="str">
        <f t="shared" si="295"/>
        <v/>
      </c>
      <c r="Z209" s="22" t="str">
        <f t="shared" si="295"/>
        <v/>
      </c>
      <c r="AA209" s="22" t="str">
        <f t="shared" si="295"/>
        <v/>
      </c>
      <c r="AB209" s="22" t="str">
        <f t="shared" si="295"/>
        <v/>
      </c>
      <c r="AC209" s="22" t="str">
        <f t="shared" si="295"/>
        <v/>
      </c>
      <c r="AD209" s="22" t="str">
        <f t="shared" si="295"/>
        <v/>
      </c>
      <c r="AE209" s="22" t="str">
        <f t="shared" si="295"/>
        <v/>
      </c>
      <c r="AF209" s="22" t="str">
        <f t="shared" si="295"/>
        <v/>
      </c>
      <c r="AG209" s="22" t="str">
        <f t="shared" si="295"/>
        <v/>
      </c>
      <c r="AH209" s="22" t="str">
        <f t="shared" si="295"/>
        <v/>
      </c>
      <c r="AI209" s="22" t="str">
        <f t="shared" si="295"/>
        <v/>
      </c>
      <c r="AJ209" s="22" t="str">
        <f t="shared" si="295"/>
        <v/>
      </c>
      <c r="AK209" s="22" t="str">
        <f t="shared" si="295"/>
        <v/>
      </c>
      <c r="AL209" s="22" t="str">
        <f t="shared" si="295"/>
        <v/>
      </c>
      <c r="AM209" s="22" t="str">
        <f t="shared" si="295"/>
        <v/>
      </c>
      <c r="AN209" s="22" t="str">
        <f t="shared" si="295"/>
        <v/>
      </c>
      <c r="AO209" s="22" t="str">
        <f t="shared" si="295"/>
        <v/>
      </c>
      <c r="AP209" s="22" t="str">
        <f t="shared" si="295"/>
        <v/>
      </c>
      <c r="AQ209" s="22" t="str">
        <f t="shared" si="295"/>
        <v/>
      </c>
      <c r="AR209" s="22" t="str">
        <f t="shared" si="295"/>
        <v/>
      </c>
      <c r="AS209" s="22" t="str">
        <f t="shared" si="295"/>
        <v/>
      </c>
      <c r="AT209" s="22" t="str">
        <f t="shared" si="295"/>
        <v/>
      </c>
      <c r="AU209" s="22" t="str">
        <f t="shared" si="295"/>
        <v/>
      </c>
    </row>
    <row r="210" spans="1:47">
      <c r="A210" s="21" t="str">
        <f t="shared" si="285"/>
        <v>Max</v>
      </c>
      <c r="B210" s="191"/>
      <c r="C210" s="191"/>
      <c r="D210" s="22">
        <f t="shared" si="273"/>
        <v>12968.896242298948</v>
      </c>
      <c r="E210" s="22">
        <f>IF(COUNT(P210:AU210)=0,"",AVERAGE(P210:AU210))</f>
        <v>15538.20685924321</v>
      </c>
      <c r="F210" s="22">
        <f t="shared" si="274"/>
        <v>18107.517476187473</v>
      </c>
      <c r="G210" s="22">
        <f t="shared" si="293"/>
        <v>1712.8737446295081</v>
      </c>
      <c r="P210" s="22">
        <f t="shared" ref="P210:Q210" si="296">IF(COUNT(P185:P191)=0,"",MAX(P185:P191))</f>
        <v>14887.750007039411</v>
      </c>
      <c r="Q210" s="22">
        <f t="shared" si="296"/>
        <v>16671.996172791976</v>
      </c>
      <c r="R210" s="22">
        <f>IF(COUNT(R185:R191)=0,"",MAX(R185:R191))</f>
        <v>17775.849800670894</v>
      </c>
      <c r="S210" s="22">
        <f t="shared" ref="S210:AU210" si="297">IF(COUNT(S185:S191)=0,"",MAX(S185:S191))</f>
        <v>16357.968847619524</v>
      </c>
      <c r="T210" s="22">
        <f t="shared" si="297"/>
        <v>14479.752383803989</v>
      </c>
      <c r="U210" s="22">
        <f t="shared" si="297"/>
        <v>13055.923943533442</v>
      </c>
      <c r="V210" s="22" t="str">
        <f t="shared" si="297"/>
        <v/>
      </c>
      <c r="W210" s="22" t="str">
        <f t="shared" si="297"/>
        <v/>
      </c>
      <c r="X210" s="22" t="str">
        <f t="shared" si="297"/>
        <v/>
      </c>
      <c r="Y210" s="22" t="str">
        <f t="shared" si="297"/>
        <v/>
      </c>
      <c r="Z210" s="22" t="str">
        <f t="shared" si="297"/>
        <v/>
      </c>
      <c r="AA210" s="22" t="str">
        <f t="shared" si="297"/>
        <v/>
      </c>
      <c r="AB210" s="22" t="str">
        <f t="shared" si="297"/>
        <v/>
      </c>
      <c r="AC210" s="22" t="str">
        <f t="shared" si="297"/>
        <v/>
      </c>
      <c r="AD210" s="22" t="str">
        <f t="shared" si="297"/>
        <v/>
      </c>
      <c r="AE210" s="22" t="str">
        <f t="shared" si="297"/>
        <v/>
      </c>
      <c r="AF210" s="22" t="str">
        <f t="shared" si="297"/>
        <v/>
      </c>
      <c r="AG210" s="22" t="str">
        <f t="shared" si="297"/>
        <v/>
      </c>
      <c r="AH210" s="22" t="str">
        <f t="shared" si="297"/>
        <v/>
      </c>
      <c r="AI210" s="22" t="str">
        <f t="shared" si="297"/>
        <v/>
      </c>
      <c r="AJ210" s="22" t="str">
        <f t="shared" si="297"/>
        <v/>
      </c>
      <c r="AK210" s="22" t="str">
        <f t="shared" si="297"/>
        <v/>
      </c>
      <c r="AL210" s="22" t="str">
        <f t="shared" si="297"/>
        <v/>
      </c>
      <c r="AM210" s="22" t="str">
        <f t="shared" si="297"/>
        <v/>
      </c>
      <c r="AN210" s="22" t="str">
        <f t="shared" si="297"/>
        <v/>
      </c>
      <c r="AO210" s="22" t="str">
        <f t="shared" si="297"/>
        <v/>
      </c>
      <c r="AP210" s="22" t="str">
        <f t="shared" si="297"/>
        <v/>
      </c>
      <c r="AQ210" s="22" t="str">
        <f t="shared" si="297"/>
        <v/>
      </c>
      <c r="AR210" s="22" t="str">
        <f t="shared" si="297"/>
        <v/>
      </c>
      <c r="AS210" s="22" t="str">
        <f t="shared" si="297"/>
        <v/>
      </c>
      <c r="AT210" s="22" t="str">
        <f t="shared" si="297"/>
        <v/>
      </c>
      <c r="AU210" s="22" t="str">
        <f t="shared" si="297"/>
        <v/>
      </c>
    </row>
    <row r="211" spans="1:47">
      <c r="A211" s="21" t="str">
        <f t="shared" si="285"/>
        <v>Median</v>
      </c>
      <c r="B211" s="191"/>
      <c r="C211" s="191"/>
      <c r="D211" s="22">
        <f t="shared" si="273"/>
        <v>12968.896242298948</v>
      </c>
      <c r="E211" s="22">
        <f t="shared" ref="E211:E214" si="298">IF(COUNT(P211:AU211)=0,"",AVERAGE(P211:AU211))</f>
        <v>15538.20685924321</v>
      </c>
      <c r="F211" s="22">
        <f t="shared" si="274"/>
        <v>18107.517476187473</v>
      </c>
      <c r="G211" s="22">
        <f t="shared" si="293"/>
        <v>1712.8737446295081</v>
      </c>
      <c r="P211" s="22">
        <f t="shared" ref="P211:AU211" si="299">IF(COUNT(P209:P210)=0,"",(P210+P209)/2)</f>
        <v>14887.750007039411</v>
      </c>
      <c r="Q211" s="22">
        <f t="shared" si="299"/>
        <v>16671.996172791976</v>
      </c>
      <c r="R211" s="22">
        <f t="shared" si="299"/>
        <v>17775.849800670894</v>
      </c>
      <c r="S211" s="22">
        <f t="shared" si="299"/>
        <v>16357.968847619524</v>
      </c>
      <c r="T211" s="22">
        <f t="shared" si="299"/>
        <v>14479.752383803989</v>
      </c>
      <c r="U211" s="22">
        <f t="shared" si="299"/>
        <v>13055.923943533442</v>
      </c>
      <c r="V211" s="22" t="str">
        <f t="shared" si="299"/>
        <v/>
      </c>
      <c r="W211" s="22" t="str">
        <f t="shared" si="299"/>
        <v/>
      </c>
      <c r="X211" s="22" t="str">
        <f t="shared" si="299"/>
        <v/>
      </c>
      <c r="Y211" s="22" t="str">
        <f t="shared" si="299"/>
        <v/>
      </c>
      <c r="Z211" s="22" t="str">
        <f t="shared" si="299"/>
        <v/>
      </c>
      <c r="AA211" s="22" t="str">
        <f t="shared" si="299"/>
        <v/>
      </c>
      <c r="AB211" s="22" t="str">
        <f t="shared" si="299"/>
        <v/>
      </c>
      <c r="AC211" s="22" t="str">
        <f t="shared" si="299"/>
        <v/>
      </c>
      <c r="AD211" s="22" t="str">
        <f t="shared" si="299"/>
        <v/>
      </c>
      <c r="AE211" s="22" t="str">
        <f t="shared" si="299"/>
        <v/>
      </c>
      <c r="AF211" s="22" t="str">
        <f t="shared" si="299"/>
        <v/>
      </c>
      <c r="AG211" s="22" t="str">
        <f t="shared" si="299"/>
        <v/>
      </c>
      <c r="AH211" s="22" t="str">
        <f t="shared" si="299"/>
        <v/>
      </c>
      <c r="AI211" s="22" t="str">
        <f t="shared" si="299"/>
        <v/>
      </c>
      <c r="AJ211" s="22" t="str">
        <f t="shared" si="299"/>
        <v/>
      </c>
      <c r="AK211" s="22" t="str">
        <f t="shared" si="299"/>
        <v/>
      </c>
      <c r="AL211" s="22" t="str">
        <f t="shared" si="299"/>
        <v/>
      </c>
      <c r="AM211" s="22" t="str">
        <f t="shared" si="299"/>
        <v/>
      </c>
      <c r="AN211" s="22" t="str">
        <f t="shared" si="299"/>
        <v/>
      </c>
      <c r="AO211" s="22" t="str">
        <f t="shared" si="299"/>
        <v/>
      </c>
      <c r="AP211" s="22" t="str">
        <f t="shared" si="299"/>
        <v/>
      </c>
      <c r="AQ211" s="22" t="str">
        <f t="shared" si="299"/>
        <v/>
      </c>
      <c r="AR211" s="22" t="str">
        <f t="shared" si="299"/>
        <v/>
      </c>
      <c r="AS211" s="22" t="str">
        <f t="shared" si="299"/>
        <v/>
      </c>
      <c r="AT211" s="22" t="str">
        <f t="shared" si="299"/>
        <v/>
      </c>
      <c r="AU211" s="22" t="str">
        <f t="shared" si="299"/>
        <v/>
      </c>
    </row>
    <row r="212" spans="1:47">
      <c r="A212" s="21" t="str">
        <f t="shared" si="285"/>
        <v>Gain Error</v>
      </c>
      <c r="B212" s="191"/>
      <c r="C212" s="191"/>
      <c r="D212" s="27">
        <f t="shared" si="273"/>
        <v>-0.1894439848563183</v>
      </c>
      <c r="E212" s="27">
        <f t="shared" si="298"/>
        <v>-2.8862071297299636E-2</v>
      </c>
      <c r="F212" s="27">
        <f t="shared" si="274"/>
        <v>0.13171984226171901</v>
      </c>
      <c r="G212" s="27">
        <f t="shared" si="293"/>
        <v>0.10705460903934577</v>
      </c>
      <c r="I212" s="49">
        <v>3</v>
      </c>
      <c r="J212" s="49">
        <v>1</v>
      </c>
      <c r="K212" s="26">
        <f>INDEX(calTable,I212,J212)</f>
        <v>16000</v>
      </c>
      <c r="P212" s="27">
        <f t="shared" ref="P212:Q212" si="300">IF(COUNT(P211)=0,"",P211/$K212-1)</f>
        <v>-6.9515624560036793E-2</v>
      </c>
      <c r="Q212" s="27">
        <f t="shared" si="300"/>
        <v>4.1999760799498409E-2</v>
      </c>
      <c r="R212" s="27">
        <f>IF(COUNT(R211)=0,"",R211/$K212-1)</f>
        <v>0.11099061254193088</v>
      </c>
      <c r="S212" s="27">
        <f t="shared" ref="S212:AU212" si="301">IF(COUNT(S211)=0,"",S211/$K212-1)</f>
        <v>2.2373052976220276E-2</v>
      </c>
      <c r="T212" s="27">
        <f t="shared" si="301"/>
        <v>-9.5015476012250688E-2</v>
      </c>
      <c r="U212" s="27">
        <f t="shared" si="301"/>
        <v>-0.1840047535291599</v>
      </c>
      <c r="V212" s="27" t="str">
        <f t="shared" si="301"/>
        <v/>
      </c>
      <c r="W212" s="27" t="str">
        <f t="shared" si="301"/>
        <v/>
      </c>
      <c r="X212" s="27" t="str">
        <f t="shared" si="301"/>
        <v/>
      </c>
      <c r="Y212" s="27" t="str">
        <f t="shared" si="301"/>
        <v/>
      </c>
      <c r="Z212" s="27" t="str">
        <f t="shared" si="301"/>
        <v/>
      </c>
      <c r="AA212" s="27" t="str">
        <f t="shared" si="301"/>
        <v/>
      </c>
      <c r="AB212" s="27" t="str">
        <f t="shared" si="301"/>
        <v/>
      </c>
      <c r="AC212" s="27" t="str">
        <f t="shared" si="301"/>
        <v/>
      </c>
      <c r="AD212" s="27" t="str">
        <f t="shared" si="301"/>
        <v/>
      </c>
      <c r="AE212" s="27" t="str">
        <f t="shared" si="301"/>
        <v/>
      </c>
      <c r="AF212" s="27" t="str">
        <f t="shared" si="301"/>
        <v/>
      </c>
      <c r="AG212" s="27" t="str">
        <f t="shared" si="301"/>
        <v/>
      </c>
      <c r="AH212" s="27" t="str">
        <f t="shared" si="301"/>
        <v/>
      </c>
      <c r="AI212" s="27" t="str">
        <f t="shared" si="301"/>
        <v/>
      </c>
      <c r="AJ212" s="27" t="str">
        <f t="shared" si="301"/>
        <v/>
      </c>
      <c r="AK212" s="27" t="str">
        <f t="shared" si="301"/>
        <v/>
      </c>
      <c r="AL212" s="27" t="str">
        <f t="shared" si="301"/>
        <v/>
      </c>
      <c r="AM212" s="27" t="str">
        <f t="shared" si="301"/>
        <v/>
      </c>
      <c r="AN212" s="27" t="str">
        <f t="shared" si="301"/>
        <v/>
      </c>
      <c r="AO212" s="27" t="str">
        <f t="shared" si="301"/>
        <v/>
      </c>
      <c r="AP212" s="27" t="str">
        <f t="shared" si="301"/>
        <v/>
      </c>
      <c r="AQ212" s="27" t="str">
        <f t="shared" si="301"/>
        <v/>
      </c>
      <c r="AR212" s="27" t="str">
        <f t="shared" si="301"/>
        <v/>
      </c>
      <c r="AS212" s="27" t="str">
        <f t="shared" si="301"/>
        <v/>
      </c>
      <c r="AT212" s="27" t="str">
        <f t="shared" si="301"/>
        <v/>
      </c>
      <c r="AU212" s="27" t="str">
        <f t="shared" si="301"/>
        <v/>
      </c>
    </row>
    <row r="213" spans="1:47">
      <c r="A213" s="21" t="str">
        <f t="shared" si="285"/>
        <v>LS2LS</v>
      </c>
      <c r="B213" s="191"/>
      <c r="C213" s="191"/>
      <c r="D213" s="27">
        <f t="shared" si="273"/>
        <v>0</v>
      </c>
      <c r="E213" s="27">
        <f t="shared" si="298"/>
        <v>0</v>
      </c>
      <c r="F213" s="30">
        <f t="shared" si="274"/>
        <v>0</v>
      </c>
      <c r="G213" s="27">
        <f t="shared" si="293"/>
        <v>0</v>
      </c>
      <c r="P213" s="27">
        <f t="shared" ref="P213:AU213" si="302">IF(COUNT(P211)=0,"",(P210-P209)/P211)</f>
        <v>0</v>
      </c>
      <c r="Q213" s="27">
        <f t="shared" si="302"/>
        <v>0</v>
      </c>
      <c r="R213" s="27">
        <f t="shared" si="302"/>
        <v>0</v>
      </c>
      <c r="S213" s="27">
        <f t="shared" si="302"/>
        <v>0</v>
      </c>
      <c r="T213" s="27">
        <f t="shared" si="302"/>
        <v>0</v>
      </c>
      <c r="U213" s="27">
        <f t="shared" si="302"/>
        <v>0</v>
      </c>
      <c r="V213" s="27" t="str">
        <f t="shared" si="302"/>
        <v/>
      </c>
      <c r="W213" s="27" t="str">
        <f t="shared" si="302"/>
        <v/>
      </c>
      <c r="X213" s="27" t="str">
        <f t="shared" si="302"/>
        <v/>
      </c>
      <c r="Y213" s="27" t="str">
        <f t="shared" si="302"/>
        <v/>
      </c>
      <c r="Z213" s="27" t="str">
        <f t="shared" si="302"/>
        <v/>
      </c>
      <c r="AA213" s="27" t="str">
        <f t="shared" si="302"/>
        <v/>
      </c>
      <c r="AB213" s="27" t="str">
        <f t="shared" si="302"/>
        <v/>
      </c>
      <c r="AC213" s="27" t="str">
        <f t="shared" si="302"/>
        <v/>
      </c>
      <c r="AD213" s="27" t="str">
        <f t="shared" si="302"/>
        <v/>
      </c>
      <c r="AE213" s="27" t="str">
        <f t="shared" si="302"/>
        <v/>
      </c>
      <c r="AF213" s="27" t="str">
        <f t="shared" si="302"/>
        <v/>
      </c>
      <c r="AG213" s="27" t="str">
        <f t="shared" si="302"/>
        <v/>
      </c>
      <c r="AH213" s="27" t="str">
        <f t="shared" si="302"/>
        <v/>
      </c>
      <c r="AI213" s="27" t="str">
        <f t="shared" si="302"/>
        <v/>
      </c>
      <c r="AJ213" s="27" t="str">
        <f t="shared" si="302"/>
        <v/>
      </c>
      <c r="AK213" s="27" t="str">
        <f t="shared" si="302"/>
        <v/>
      </c>
      <c r="AL213" s="27" t="str">
        <f t="shared" si="302"/>
        <v/>
      </c>
      <c r="AM213" s="27" t="str">
        <f t="shared" si="302"/>
        <v/>
      </c>
      <c r="AN213" s="27" t="str">
        <f t="shared" si="302"/>
        <v/>
      </c>
      <c r="AO213" s="27" t="str">
        <f t="shared" si="302"/>
        <v/>
      </c>
      <c r="AP213" s="27" t="str">
        <f t="shared" si="302"/>
        <v/>
      </c>
      <c r="AQ213" s="27" t="str">
        <f t="shared" si="302"/>
        <v/>
      </c>
      <c r="AR213" s="27" t="str">
        <f t="shared" si="302"/>
        <v/>
      </c>
      <c r="AS213" s="27" t="str">
        <f t="shared" si="302"/>
        <v/>
      </c>
      <c r="AT213" s="27" t="str">
        <f t="shared" si="302"/>
        <v/>
      </c>
      <c r="AU213" s="27" t="str">
        <f t="shared" si="302"/>
        <v/>
      </c>
    </row>
    <row r="214" spans="1:47">
      <c r="A214" s="21" t="str">
        <f t="shared" si="285"/>
        <v>Min</v>
      </c>
      <c r="B214" s="191" t="str">
        <f>B192</f>
        <v>P3</v>
      </c>
      <c r="C214" s="191"/>
      <c r="D214" s="22" t="str">
        <f t="shared" si="273"/>
        <v/>
      </c>
      <c r="E214" s="22" t="str">
        <f t="shared" si="298"/>
        <v/>
      </c>
      <c r="F214" s="22" t="str">
        <f t="shared" si="274"/>
        <v/>
      </c>
      <c r="G214" s="22" t="str">
        <f t="shared" ref="G214:G218" si="303">IF(COUNT(P214:AU214)=0,"",STDEV(P214:AU214))</f>
        <v/>
      </c>
      <c r="P214" s="22" t="str">
        <f t="shared" ref="P214:Q214" si="304">IF(COUNT(P192:P198)=0,"",MIN(P192:P198))</f>
        <v/>
      </c>
      <c r="Q214" s="22" t="str">
        <f t="shared" si="304"/>
        <v/>
      </c>
      <c r="R214" s="22" t="str">
        <f>IF(COUNT(R192:R198)=0,"",MIN(R192:R198))</f>
        <v/>
      </c>
      <c r="S214" s="22" t="str">
        <f t="shared" ref="S214:AU214" si="305">IF(COUNT(S192:S198)=0,"",MIN(S192:S198))</f>
        <v/>
      </c>
      <c r="T214" s="22" t="str">
        <f t="shared" si="305"/>
        <v/>
      </c>
      <c r="U214" s="22" t="str">
        <f t="shared" si="305"/>
        <v/>
      </c>
      <c r="V214" s="22" t="str">
        <f t="shared" si="305"/>
        <v/>
      </c>
      <c r="W214" s="22" t="str">
        <f t="shared" si="305"/>
        <v/>
      </c>
      <c r="X214" s="22" t="str">
        <f t="shared" si="305"/>
        <v/>
      </c>
      <c r="Y214" s="22" t="str">
        <f t="shared" si="305"/>
        <v/>
      </c>
      <c r="Z214" s="22" t="str">
        <f t="shared" si="305"/>
        <v/>
      </c>
      <c r="AA214" s="22" t="str">
        <f t="shared" si="305"/>
        <v/>
      </c>
      <c r="AB214" s="22" t="str">
        <f t="shared" si="305"/>
        <v/>
      </c>
      <c r="AC214" s="22" t="str">
        <f t="shared" si="305"/>
        <v/>
      </c>
      <c r="AD214" s="22" t="str">
        <f t="shared" si="305"/>
        <v/>
      </c>
      <c r="AE214" s="22" t="str">
        <f t="shared" si="305"/>
        <v/>
      </c>
      <c r="AF214" s="22" t="str">
        <f t="shared" si="305"/>
        <v/>
      </c>
      <c r="AG214" s="22" t="str">
        <f t="shared" si="305"/>
        <v/>
      </c>
      <c r="AH214" s="22" t="str">
        <f t="shared" si="305"/>
        <v/>
      </c>
      <c r="AI214" s="22" t="str">
        <f t="shared" si="305"/>
        <v/>
      </c>
      <c r="AJ214" s="22" t="str">
        <f t="shared" si="305"/>
        <v/>
      </c>
      <c r="AK214" s="22" t="str">
        <f t="shared" si="305"/>
        <v/>
      </c>
      <c r="AL214" s="22" t="str">
        <f t="shared" si="305"/>
        <v/>
      </c>
      <c r="AM214" s="22" t="str">
        <f t="shared" si="305"/>
        <v/>
      </c>
      <c r="AN214" s="22" t="str">
        <f t="shared" si="305"/>
        <v/>
      </c>
      <c r="AO214" s="22" t="str">
        <f t="shared" si="305"/>
        <v/>
      </c>
      <c r="AP214" s="22" t="str">
        <f t="shared" si="305"/>
        <v/>
      </c>
      <c r="AQ214" s="22" t="str">
        <f t="shared" si="305"/>
        <v/>
      </c>
      <c r="AR214" s="22" t="str">
        <f t="shared" si="305"/>
        <v/>
      </c>
      <c r="AS214" s="22" t="str">
        <f t="shared" si="305"/>
        <v/>
      </c>
      <c r="AT214" s="22" t="str">
        <f t="shared" si="305"/>
        <v/>
      </c>
      <c r="AU214" s="22" t="str">
        <f t="shared" si="305"/>
        <v/>
      </c>
    </row>
    <row r="215" spans="1:47">
      <c r="A215" s="21" t="str">
        <f t="shared" si="285"/>
        <v>Max</v>
      </c>
      <c r="B215" s="191"/>
      <c r="C215" s="191"/>
      <c r="D215" s="22" t="str">
        <f t="shared" si="273"/>
        <v/>
      </c>
      <c r="E215" s="22" t="str">
        <f>IF(COUNT(P215:AU215)=0,"",AVERAGE(P215:AU215))</f>
        <v/>
      </c>
      <c r="F215" s="22" t="str">
        <f t="shared" si="274"/>
        <v/>
      </c>
      <c r="G215" s="22" t="str">
        <f t="shared" si="303"/>
        <v/>
      </c>
      <c r="P215" s="22" t="str">
        <f t="shared" ref="P215:Q215" si="306">IF(COUNT(P192:P198)=0,"",MAX(P192:P198))</f>
        <v/>
      </c>
      <c r="Q215" s="22" t="str">
        <f t="shared" si="306"/>
        <v/>
      </c>
      <c r="R215" s="22" t="str">
        <f>IF(COUNT(R192:R198)=0,"",MAX(R192:R198))</f>
        <v/>
      </c>
      <c r="S215" s="22" t="str">
        <f t="shared" ref="S215:AU215" si="307">IF(COUNT(S192:S198)=0,"",MAX(S192:S198))</f>
        <v/>
      </c>
      <c r="T215" s="22" t="str">
        <f t="shared" si="307"/>
        <v/>
      </c>
      <c r="U215" s="22" t="str">
        <f t="shared" si="307"/>
        <v/>
      </c>
      <c r="V215" s="22" t="str">
        <f t="shared" si="307"/>
        <v/>
      </c>
      <c r="W215" s="22" t="str">
        <f t="shared" si="307"/>
        <v/>
      </c>
      <c r="X215" s="22" t="str">
        <f t="shared" si="307"/>
        <v/>
      </c>
      <c r="Y215" s="22" t="str">
        <f t="shared" si="307"/>
        <v/>
      </c>
      <c r="Z215" s="22" t="str">
        <f t="shared" si="307"/>
        <v/>
      </c>
      <c r="AA215" s="22" t="str">
        <f t="shared" si="307"/>
        <v/>
      </c>
      <c r="AB215" s="22" t="str">
        <f t="shared" si="307"/>
        <v/>
      </c>
      <c r="AC215" s="22" t="str">
        <f t="shared" si="307"/>
        <v/>
      </c>
      <c r="AD215" s="22" t="str">
        <f t="shared" si="307"/>
        <v/>
      </c>
      <c r="AE215" s="22" t="str">
        <f t="shared" si="307"/>
        <v/>
      </c>
      <c r="AF215" s="22" t="str">
        <f t="shared" si="307"/>
        <v/>
      </c>
      <c r="AG215" s="22" t="str">
        <f t="shared" si="307"/>
        <v/>
      </c>
      <c r="AH215" s="22" t="str">
        <f t="shared" si="307"/>
        <v/>
      </c>
      <c r="AI215" s="22" t="str">
        <f t="shared" si="307"/>
        <v/>
      </c>
      <c r="AJ215" s="22" t="str">
        <f t="shared" si="307"/>
        <v/>
      </c>
      <c r="AK215" s="22" t="str">
        <f t="shared" si="307"/>
        <v/>
      </c>
      <c r="AL215" s="22" t="str">
        <f t="shared" si="307"/>
        <v/>
      </c>
      <c r="AM215" s="22" t="str">
        <f t="shared" si="307"/>
        <v/>
      </c>
      <c r="AN215" s="22" t="str">
        <f t="shared" si="307"/>
        <v/>
      </c>
      <c r="AO215" s="22" t="str">
        <f t="shared" si="307"/>
        <v/>
      </c>
      <c r="AP215" s="22" t="str">
        <f t="shared" si="307"/>
        <v/>
      </c>
      <c r="AQ215" s="22" t="str">
        <f t="shared" si="307"/>
        <v/>
      </c>
      <c r="AR215" s="22" t="str">
        <f t="shared" si="307"/>
        <v/>
      </c>
      <c r="AS215" s="22" t="str">
        <f t="shared" si="307"/>
        <v/>
      </c>
      <c r="AT215" s="22" t="str">
        <f t="shared" si="307"/>
        <v/>
      </c>
      <c r="AU215" s="22" t="str">
        <f t="shared" si="307"/>
        <v/>
      </c>
    </row>
    <row r="216" spans="1:47">
      <c r="A216" s="21" t="str">
        <f t="shared" si="285"/>
        <v>Median</v>
      </c>
      <c r="B216" s="191"/>
      <c r="C216" s="191"/>
      <c r="D216" s="22" t="str">
        <f t="shared" si="273"/>
        <v/>
      </c>
      <c r="E216" s="22" t="str">
        <f t="shared" ref="E216:E218" si="308">IF(COUNT(P216:AU216)=0,"",AVERAGE(P216:AU216))</f>
        <v/>
      </c>
      <c r="F216" s="22" t="str">
        <f t="shared" si="274"/>
        <v/>
      </c>
      <c r="G216" s="22" t="str">
        <f t="shared" si="303"/>
        <v/>
      </c>
      <c r="P216" s="22" t="str">
        <f t="shared" ref="P216:AU216" si="309">IF(COUNT(P214:P215)=0,"",(P215+P214)/2)</f>
        <v/>
      </c>
      <c r="Q216" s="22" t="str">
        <f t="shared" si="309"/>
        <v/>
      </c>
      <c r="R216" s="22" t="str">
        <f t="shared" si="309"/>
        <v/>
      </c>
      <c r="S216" s="22" t="str">
        <f t="shared" si="309"/>
        <v/>
      </c>
      <c r="T216" s="22" t="str">
        <f t="shared" si="309"/>
        <v/>
      </c>
      <c r="U216" s="22" t="str">
        <f t="shared" si="309"/>
        <v/>
      </c>
      <c r="V216" s="22" t="str">
        <f t="shared" si="309"/>
        <v/>
      </c>
      <c r="W216" s="22" t="str">
        <f t="shared" si="309"/>
        <v/>
      </c>
      <c r="X216" s="22" t="str">
        <f t="shared" si="309"/>
        <v/>
      </c>
      <c r="Y216" s="22" t="str">
        <f t="shared" si="309"/>
        <v/>
      </c>
      <c r="Z216" s="22" t="str">
        <f t="shared" si="309"/>
        <v/>
      </c>
      <c r="AA216" s="22" t="str">
        <f t="shared" si="309"/>
        <v/>
      </c>
      <c r="AB216" s="22" t="str">
        <f t="shared" si="309"/>
        <v/>
      </c>
      <c r="AC216" s="22" t="str">
        <f t="shared" si="309"/>
        <v/>
      </c>
      <c r="AD216" s="22" t="str">
        <f t="shared" si="309"/>
        <v/>
      </c>
      <c r="AE216" s="22" t="str">
        <f t="shared" si="309"/>
        <v/>
      </c>
      <c r="AF216" s="22" t="str">
        <f t="shared" si="309"/>
        <v/>
      </c>
      <c r="AG216" s="22" t="str">
        <f t="shared" si="309"/>
        <v/>
      </c>
      <c r="AH216" s="22" t="str">
        <f t="shared" si="309"/>
        <v/>
      </c>
      <c r="AI216" s="22" t="str">
        <f t="shared" si="309"/>
        <v/>
      </c>
      <c r="AJ216" s="22" t="str">
        <f t="shared" si="309"/>
        <v/>
      </c>
      <c r="AK216" s="22" t="str">
        <f t="shared" si="309"/>
        <v/>
      </c>
      <c r="AL216" s="22" t="str">
        <f t="shared" si="309"/>
        <v/>
      </c>
      <c r="AM216" s="22" t="str">
        <f t="shared" si="309"/>
        <v/>
      </c>
      <c r="AN216" s="22" t="str">
        <f t="shared" si="309"/>
        <v/>
      </c>
      <c r="AO216" s="22" t="str">
        <f t="shared" si="309"/>
        <v/>
      </c>
      <c r="AP216" s="22" t="str">
        <f t="shared" si="309"/>
        <v/>
      </c>
      <c r="AQ216" s="22" t="str">
        <f t="shared" si="309"/>
        <v/>
      </c>
      <c r="AR216" s="22" t="str">
        <f t="shared" si="309"/>
        <v/>
      </c>
      <c r="AS216" s="22" t="str">
        <f t="shared" si="309"/>
        <v/>
      </c>
      <c r="AT216" s="22" t="str">
        <f t="shared" si="309"/>
        <v/>
      </c>
      <c r="AU216" s="22" t="str">
        <f t="shared" si="309"/>
        <v/>
      </c>
    </row>
    <row r="217" spans="1:47">
      <c r="A217" s="21" t="str">
        <f t="shared" si="285"/>
        <v>Gain Error</v>
      </c>
      <c r="B217" s="191"/>
      <c r="C217" s="191"/>
      <c r="D217" s="27" t="str">
        <f t="shared" si="273"/>
        <v/>
      </c>
      <c r="E217" s="27" t="str">
        <f t="shared" si="308"/>
        <v/>
      </c>
      <c r="F217" s="27" t="str">
        <f t="shared" si="274"/>
        <v/>
      </c>
      <c r="G217" s="27" t="str">
        <f t="shared" si="303"/>
        <v/>
      </c>
      <c r="I217" s="49">
        <v>4</v>
      </c>
      <c r="J217" s="49">
        <v>1</v>
      </c>
      <c r="K217" s="26">
        <f>INDEX(calTable,I217,J217)</f>
        <v>64000</v>
      </c>
      <c r="P217" s="27" t="str">
        <f t="shared" ref="P217:Q217" si="310">IF(COUNT(P216)=0,"",P216/$K217-1)</f>
        <v/>
      </c>
      <c r="Q217" s="27" t="str">
        <f t="shared" si="310"/>
        <v/>
      </c>
      <c r="R217" s="27" t="str">
        <f>IF(COUNT(R216)=0,"",R216/$K217-1)</f>
        <v/>
      </c>
      <c r="S217" s="27" t="str">
        <f t="shared" ref="S217:AU217" si="311">IF(COUNT(S216)=0,"",S216/$K217-1)</f>
        <v/>
      </c>
      <c r="T217" s="27" t="str">
        <f t="shared" si="311"/>
        <v/>
      </c>
      <c r="U217" s="27" t="str">
        <f t="shared" si="311"/>
        <v/>
      </c>
      <c r="V217" s="27" t="str">
        <f t="shared" si="311"/>
        <v/>
      </c>
      <c r="W217" s="27" t="str">
        <f t="shared" si="311"/>
        <v/>
      </c>
      <c r="X217" s="27" t="str">
        <f t="shared" si="311"/>
        <v/>
      </c>
      <c r="Y217" s="27" t="str">
        <f t="shared" si="311"/>
        <v/>
      </c>
      <c r="Z217" s="27" t="str">
        <f t="shared" si="311"/>
        <v/>
      </c>
      <c r="AA217" s="27" t="str">
        <f t="shared" si="311"/>
        <v/>
      </c>
      <c r="AB217" s="27" t="str">
        <f t="shared" si="311"/>
        <v/>
      </c>
      <c r="AC217" s="27" t="str">
        <f t="shared" si="311"/>
        <v/>
      </c>
      <c r="AD217" s="27" t="str">
        <f t="shared" si="311"/>
        <v/>
      </c>
      <c r="AE217" s="27" t="str">
        <f t="shared" si="311"/>
        <v/>
      </c>
      <c r="AF217" s="27" t="str">
        <f t="shared" si="311"/>
        <v/>
      </c>
      <c r="AG217" s="27" t="str">
        <f t="shared" si="311"/>
        <v/>
      </c>
      <c r="AH217" s="27" t="str">
        <f t="shared" si="311"/>
        <v/>
      </c>
      <c r="AI217" s="27" t="str">
        <f t="shared" si="311"/>
        <v/>
      </c>
      <c r="AJ217" s="27" t="str">
        <f t="shared" si="311"/>
        <v/>
      </c>
      <c r="AK217" s="27" t="str">
        <f t="shared" si="311"/>
        <v/>
      </c>
      <c r="AL217" s="27" t="str">
        <f t="shared" si="311"/>
        <v/>
      </c>
      <c r="AM217" s="27" t="str">
        <f t="shared" si="311"/>
        <v/>
      </c>
      <c r="AN217" s="27" t="str">
        <f t="shared" si="311"/>
        <v/>
      </c>
      <c r="AO217" s="27" t="str">
        <f t="shared" si="311"/>
        <v/>
      </c>
      <c r="AP217" s="27" t="str">
        <f t="shared" si="311"/>
        <v/>
      </c>
      <c r="AQ217" s="27" t="str">
        <f t="shared" si="311"/>
        <v/>
      </c>
      <c r="AR217" s="27" t="str">
        <f t="shared" si="311"/>
        <v/>
      </c>
      <c r="AS217" s="27" t="str">
        <f t="shared" si="311"/>
        <v/>
      </c>
      <c r="AT217" s="27" t="str">
        <f t="shared" si="311"/>
        <v/>
      </c>
      <c r="AU217" s="27" t="str">
        <f t="shared" si="311"/>
        <v/>
      </c>
    </row>
    <row r="218" spans="1:47">
      <c r="A218" s="21" t="str">
        <f t="shared" si="285"/>
        <v>LS2LS</v>
      </c>
      <c r="B218" s="191"/>
      <c r="C218" s="191"/>
      <c r="D218" s="27" t="str">
        <f t="shared" si="273"/>
        <v/>
      </c>
      <c r="E218" s="27" t="str">
        <f t="shared" si="308"/>
        <v/>
      </c>
      <c r="F218" s="30" t="str">
        <f t="shared" si="274"/>
        <v/>
      </c>
      <c r="G218" s="27" t="str">
        <f t="shared" si="303"/>
        <v/>
      </c>
      <c r="P218" s="27" t="str">
        <f t="shared" ref="P218:AU218" si="312">IF(COUNT(P216)=0,"",(P215-P214)/P216)</f>
        <v/>
      </c>
      <c r="Q218" s="27" t="str">
        <f t="shared" si="312"/>
        <v/>
      </c>
      <c r="R218" s="27" t="str">
        <f t="shared" si="312"/>
        <v/>
      </c>
      <c r="S218" s="27" t="str">
        <f t="shared" si="312"/>
        <v/>
      </c>
      <c r="T218" s="27" t="str">
        <f t="shared" si="312"/>
        <v/>
      </c>
      <c r="U218" s="27" t="str">
        <f t="shared" si="312"/>
        <v/>
      </c>
      <c r="V218" s="27" t="str">
        <f t="shared" si="312"/>
        <v/>
      </c>
      <c r="W218" s="27" t="str">
        <f t="shared" si="312"/>
        <v/>
      </c>
      <c r="X218" s="27" t="str">
        <f t="shared" si="312"/>
        <v/>
      </c>
      <c r="Y218" s="27" t="str">
        <f t="shared" si="312"/>
        <v/>
      </c>
      <c r="Z218" s="27" t="str">
        <f t="shared" si="312"/>
        <v/>
      </c>
      <c r="AA218" s="27" t="str">
        <f t="shared" si="312"/>
        <v/>
      </c>
      <c r="AB218" s="27" t="str">
        <f t="shared" si="312"/>
        <v/>
      </c>
      <c r="AC218" s="27" t="str">
        <f t="shared" si="312"/>
        <v/>
      </c>
      <c r="AD218" s="27" t="str">
        <f t="shared" si="312"/>
        <v/>
      </c>
      <c r="AE218" s="27" t="str">
        <f t="shared" si="312"/>
        <v/>
      </c>
      <c r="AF218" s="27" t="str">
        <f t="shared" si="312"/>
        <v/>
      </c>
      <c r="AG218" s="27" t="str">
        <f t="shared" si="312"/>
        <v/>
      </c>
      <c r="AH218" s="27" t="str">
        <f t="shared" si="312"/>
        <v/>
      </c>
      <c r="AI218" s="27" t="str">
        <f t="shared" si="312"/>
        <v/>
      </c>
      <c r="AJ218" s="27" t="str">
        <f t="shared" si="312"/>
        <v/>
      </c>
      <c r="AK218" s="27" t="str">
        <f t="shared" si="312"/>
        <v/>
      </c>
      <c r="AL218" s="27" t="str">
        <f t="shared" si="312"/>
        <v/>
      </c>
      <c r="AM218" s="27" t="str">
        <f t="shared" si="312"/>
        <v/>
      </c>
      <c r="AN218" s="27" t="str">
        <f t="shared" si="312"/>
        <v/>
      </c>
      <c r="AO218" s="27" t="str">
        <f t="shared" si="312"/>
        <v/>
      </c>
      <c r="AP218" s="27" t="str">
        <f t="shared" si="312"/>
        <v/>
      </c>
      <c r="AQ218" s="27" t="str">
        <f t="shared" si="312"/>
        <v/>
      </c>
      <c r="AR218" s="27" t="str">
        <f t="shared" si="312"/>
        <v/>
      </c>
      <c r="AS218" s="27" t="str">
        <f t="shared" si="312"/>
        <v/>
      </c>
      <c r="AT218" s="27" t="str">
        <f t="shared" si="312"/>
        <v/>
      </c>
      <c r="AU218" s="27" t="str">
        <f t="shared" si="312"/>
        <v/>
      </c>
    </row>
    <row r="219" spans="1:47" ht="15.75" thickBot="1"/>
    <row r="220" spans="1:47">
      <c r="A220" s="21" t="s">
        <v>12</v>
      </c>
      <c r="E220" s="27">
        <f>MEDIAN(E106,E126,E158,E202)</f>
        <v>1.8659745526227418E-2</v>
      </c>
      <c r="F220" s="94" t="s">
        <v>59</v>
      </c>
    </row>
    <row r="221" spans="1:47" ht="15.75" thickBot="1">
      <c r="A221" s="21" t="s">
        <v>45</v>
      </c>
      <c r="E221" s="27">
        <f>MAX(E106,E126,E158,E202)-E220</f>
        <v>6.5928050707036917E-2</v>
      </c>
      <c r="F221" s="95">
        <f>1/(1+E220*gainCorrect)</f>
        <v>0.98168206252561008</v>
      </c>
    </row>
    <row r="222" spans="1:47">
      <c r="A222" s="50">
        <f>MAX(F107,F127,F159,F203)</f>
        <v>0</v>
      </c>
      <c r="B222" s="50"/>
      <c r="C222" s="212" t="str">
        <f>"±"&amp;INT(A222/2*1000)/10&amp;"%"</f>
        <v>±0%</v>
      </c>
      <c r="D222" s="212"/>
      <c r="E222" s="212"/>
      <c r="F222" s="212"/>
      <c r="P222" s="215" t="s">
        <v>64</v>
      </c>
      <c r="Q222" s="215"/>
      <c r="R222" s="215"/>
      <c r="S222" s="215"/>
      <c r="T222" s="215"/>
      <c r="U222" s="215"/>
      <c r="V222" s="215"/>
      <c r="W222" s="215"/>
      <c r="X222" s="215"/>
      <c r="Y222" s="215"/>
      <c r="Z222" s="215"/>
      <c r="AA222" s="215"/>
      <c r="AB222" s="215"/>
      <c r="AC222" s="215"/>
      <c r="AD222" s="215"/>
      <c r="AE222" s="215"/>
      <c r="AF222" s="215"/>
      <c r="AG222" s="215"/>
      <c r="AH222" s="215"/>
      <c r="AI222" s="215"/>
      <c r="AJ222" s="215"/>
      <c r="AK222" s="215"/>
      <c r="AL222" s="215"/>
      <c r="AM222" s="215"/>
      <c r="AN222" s="215"/>
      <c r="AO222" s="215"/>
      <c r="AP222" s="215"/>
      <c r="AQ222" s="215"/>
      <c r="AR222" s="215"/>
      <c r="AS222" s="215"/>
      <c r="AT222" s="215"/>
      <c r="AU222" s="215"/>
    </row>
    <row r="223" spans="1:47" ht="26.25">
      <c r="A223" s="214" t="s">
        <v>19</v>
      </c>
      <c r="B223" s="115"/>
      <c r="C223" s="212"/>
      <c r="D223" s="212"/>
      <c r="E223" s="212"/>
      <c r="F223" s="212"/>
      <c r="P223" s="215"/>
      <c r="Q223" s="215"/>
      <c r="R223" s="215"/>
      <c r="S223" s="215"/>
      <c r="T223" s="215"/>
      <c r="U223" s="215"/>
      <c r="V223" s="215"/>
      <c r="W223" s="215"/>
      <c r="X223" s="215"/>
      <c r="Y223" s="215"/>
      <c r="Z223" s="215"/>
      <c r="AA223" s="215"/>
      <c r="AB223" s="215"/>
      <c r="AC223" s="215"/>
      <c r="AD223" s="215"/>
      <c r="AE223" s="215"/>
      <c r="AF223" s="215"/>
      <c r="AG223" s="215"/>
      <c r="AH223" s="215"/>
      <c r="AI223" s="215"/>
      <c r="AJ223" s="215"/>
      <c r="AK223" s="215"/>
      <c r="AL223" s="215"/>
      <c r="AM223" s="215"/>
      <c r="AN223" s="215"/>
      <c r="AO223" s="215"/>
      <c r="AP223" s="215"/>
      <c r="AQ223" s="215"/>
      <c r="AR223" s="215"/>
      <c r="AS223" s="215"/>
      <c r="AT223" s="215"/>
      <c r="AU223" s="215"/>
    </row>
    <row r="224" spans="1:47" ht="26.25">
      <c r="A224" s="214"/>
      <c r="B224" s="115"/>
      <c r="C224" s="212"/>
      <c r="D224" s="212"/>
      <c r="E224" s="212"/>
      <c r="F224" s="212"/>
      <c r="P224" s="215"/>
      <c r="Q224" s="215"/>
      <c r="R224" s="215"/>
      <c r="S224" s="215"/>
      <c r="T224" s="215"/>
      <c r="U224" s="215"/>
      <c r="V224" s="215"/>
      <c r="W224" s="215"/>
      <c r="X224" s="215"/>
      <c r="Y224" s="215"/>
      <c r="Z224" s="215"/>
      <c r="AA224" s="215"/>
      <c r="AB224" s="215"/>
      <c r="AC224" s="215"/>
      <c r="AD224" s="215"/>
      <c r="AE224" s="215"/>
      <c r="AF224" s="215"/>
      <c r="AG224" s="215"/>
      <c r="AH224" s="215"/>
      <c r="AI224" s="215"/>
      <c r="AJ224" s="215"/>
      <c r="AK224" s="215"/>
      <c r="AL224" s="215"/>
      <c r="AM224" s="215"/>
      <c r="AN224" s="215"/>
      <c r="AO224" s="215"/>
      <c r="AP224" s="215"/>
      <c r="AQ224" s="215"/>
      <c r="AR224" s="215"/>
      <c r="AS224" s="215"/>
      <c r="AT224" s="215"/>
      <c r="AU224" s="215"/>
    </row>
    <row r="225" spans="1:47">
      <c r="E225" s="27"/>
      <c r="P225" s="26">
        <f t="shared" ref="P225:AU225" si="313">P1</f>
        <v>0</v>
      </c>
      <c r="Q225" s="26">
        <f t="shared" si="313"/>
        <v>1</v>
      </c>
      <c r="R225" s="26">
        <f t="shared" si="313"/>
        <v>2</v>
      </c>
      <c r="S225" s="26">
        <f t="shared" si="313"/>
        <v>3</v>
      </c>
      <c r="T225" s="26">
        <f t="shared" si="313"/>
        <v>4</v>
      </c>
      <c r="U225" s="26">
        <f t="shared" si="313"/>
        <v>5</v>
      </c>
      <c r="V225" s="26">
        <f t="shared" si="313"/>
        <v>6</v>
      </c>
      <c r="W225" s="26">
        <f t="shared" si="313"/>
        <v>7</v>
      </c>
      <c r="X225" s="26">
        <f t="shared" si="313"/>
        <v>8</v>
      </c>
      <c r="Y225" s="26">
        <f t="shared" si="313"/>
        <v>9</v>
      </c>
      <c r="Z225" s="26">
        <f t="shared" si="313"/>
        <v>10</v>
      </c>
      <c r="AA225" s="26">
        <f t="shared" si="313"/>
        <v>11</v>
      </c>
      <c r="AB225" s="26">
        <f t="shared" si="313"/>
        <v>12</v>
      </c>
      <c r="AC225" s="26">
        <f t="shared" si="313"/>
        <v>13</v>
      </c>
      <c r="AD225" s="26">
        <f t="shared" si="313"/>
        <v>14</v>
      </c>
      <c r="AE225" s="26">
        <f t="shared" si="313"/>
        <v>15</v>
      </c>
      <c r="AF225" s="26">
        <f t="shared" si="313"/>
        <v>16</v>
      </c>
      <c r="AG225" s="26">
        <f t="shared" si="313"/>
        <v>17</v>
      </c>
      <c r="AH225" s="26">
        <f t="shared" si="313"/>
        <v>18</v>
      </c>
      <c r="AI225" s="26">
        <f t="shared" si="313"/>
        <v>19</v>
      </c>
      <c r="AJ225" s="26">
        <f t="shared" si="313"/>
        <v>20</v>
      </c>
      <c r="AK225" s="26">
        <f t="shared" si="313"/>
        <v>21</v>
      </c>
      <c r="AL225" s="26">
        <f t="shared" si="313"/>
        <v>22</v>
      </c>
      <c r="AM225" s="26">
        <f t="shared" si="313"/>
        <v>23</v>
      </c>
      <c r="AN225" s="26">
        <f t="shared" si="313"/>
        <v>24</v>
      </c>
      <c r="AO225" s="26">
        <f t="shared" si="313"/>
        <v>25</v>
      </c>
      <c r="AP225" s="26">
        <f t="shared" si="313"/>
        <v>26</v>
      </c>
      <c r="AQ225" s="26">
        <f t="shared" si="313"/>
        <v>27</v>
      </c>
      <c r="AR225" s="26">
        <f t="shared" si="313"/>
        <v>28</v>
      </c>
      <c r="AS225" s="26">
        <f t="shared" si="313"/>
        <v>29</v>
      </c>
      <c r="AT225" s="26">
        <f t="shared" si="313"/>
        <v>30</v>
      </c>
      <c r="AU225" s="26">
        <f t="shared" si="313"/>
        <v>31</v>
      </c>
    </row>
    <row r="226" spans="1:47">
      <c r="A226" s="213" t="s">
        <v>44</v>
      </c>
      <c r="B226" s="213"/>
      <c r="C226" s="213"/>
      <c r="D226" s="213"/>
      <c r="E226" s="213"/>
      <c r="F226" s="213"/>
      <c r="G226" s="213"/>
      <c r="H226" s="213"/>
      <c r="I226" s="213"/>
      <c r="J226" s="213"/>
      <c r="K226" s="213"/>
      <c r="L226" s="213"/>
      <c r="M226" s="213"/>
      <c r="N226" s="213"/>
      <c r="O226" s="213"/>
      <c r="P226" s="26">
        <v>1</v>
      </c>
      <c r="Q226" s="26">
        <v>1</v>
      </c>
      <c r="R226" s="26">
        <v>1</v>
      </c>
      <c r="S226" s="26">
        <v>1</v>
      </c>
      <c r="T226" s="26">
        <v>1</v>
      </c>
      <c r="U226" s="26">
        <v>1</v>
      </c>
      <c r="V226" s="26">
        <v>1</v>
      </c>
      <c r="W226" s="26">
        <v>1</v>
      </c>
      <c r="X226" s="26">
        <v>1</v>
      </c>
      <c r="Y226" s="26">
        <v>1</v>
      </c>
      <c r="Z226" s="26">
        <v>1</v>
      </c>
      <c r="AA226" s="26">
        <v>1</v>
      </c>
      <c r="AB226" s="26">
        <v>1</v>
      </c>
      <c r="AC226" s="26">
        <v>1</v>
      </c>
      <c r="AD226" s="26">
        <v>1</v>
      </c>
      <c r="AE226" s="26">
        <v>1</v>
      </c>
      <c r="AF226" s="26">
        <v>1</v>
      </c>
      <c r="AG226" s="26">
        <v>1</v>
      </c>
      <c r="AH226" s="26">
        <v>1</v>
      </c>
      <c r="AI226" s="26">
        <v>1</v>
      </c>
      <c r="AJ226" s="26">
        <v>1</v>
      </c>
      <c r="AK226" s="26">
        <v>1</v>
      </c>
      <c r="AL226" s="26">
        <v>1</v>
      </c>
      <c r="AM226" s="26">
        <v>1</v>
      </c>
      <c r="AN226" s="26">
        <v>1</v>
      </c>
      <c r="AO226" s="26">
        <v>1</v>
      </c>
      <c r="AP226" s="26">
        <v>1</v>
      </c>
      <c r="AQ226" s="26">
        <v>1</v>
      </c>
      <c r="AR226" s="26">
        <v>1</v>
      </c>
      <c r="AS226" s="26">
        <v>1</v>
      </c>
      <c r="AT226" s="26">
        <v>1</v>
      </c>
      <c r="AU226" s="26">
        <v>1</v>
      </c>
    </row>
    <row r="227" spans="1:47">
      <c r="A227" s="21" t="str">
        <f t="shared" ref="A227:A233" si="314">A96</f>
        <v>41F02</v>
      </c>
      <c r="B227" s="191" t="str">
        <f>B199</f>
        <v>P0</v>
      </c>
      <c r="C227" s="191" t="str">
        <f>C96</f>
        <v>Range0</v>
      </c>
      <c r="D227" s="22" t="str">
        <f t="shared" ref="D227:D233" si="315">IF(COUNT(P227:AU227)=0,"",E227-1.5*G227)</f>
        <v/>
      </c>
      <c r="E227" s="22" t="str">
        <f t="shared" ref="E227:E232" si="316">IF(COUNT(P227:AU227)=0,"",AVERAGE(P227:AU227))</f>
        <v/>
      </c>
      <c r="F227" s="22" t="str">
        <f t="shared" ref="F227:F233" si="317">IF(COUNT(P227:AU227)=0,"",E227+1.5*G227)</f>
        <v/>
      </c>
      <c r="G227" s="22" t="str">
        <f t="shared" ref="G227:G232" si="318">IF(COUNT(P227:AU227)=0,"",STDEV(P227:AU227))</f>
        <v/>
      </c>
      <c r="H227" s="21">
        <f t="shared" ref="H227:H233" si="319">H96</f>
        <v>3670</v>
      </c>
      <c r="I227" s="21"/>
      <c r="J227" s="21"/>
      <c r="K227" s="21"/>
      <c r="P227" s="22" t="str">
        <f t="shared" ref="P227:AU227" si="320">IF(COUNT(P96)=1,GC*P96,"")</f>
        <v/>
      </c>
      <c r="Q227" s="22" t="str">
        <f t="shared" si="320"/>
        <v/>
      </c>
      <c r="R227" s="22" t="str">
        <f>IF(COUNT(R96)=1,GC*R96,"")</f>
        <v/>
      </c>
      <c r="S227" s="22" t="str">
        <f t="shared" si="320"/>
        <v/>
      </c>
      <c r="T227" s="22" t="str">
        <f t="shared" si="320"/>
        <v/>
      </c>
      <c r="U227" s="22" t="str">
        <f t="shared" si="320"/>
        <v/>
      </c>
      <c r="V227" s="22" t="str">
        <f t="shared" si="320"/>
        <v/>
      </c>
      <c r="W227" s="22" t="str">
        <f t="shared" si="320"/>
        <v/>
      </c>
      <c r="X227" s="22" t="str">
        <f t="shared" si="320"/>
        <v/>
      </c>
      <c r="Y227" s="22" t="str">
        <f t="shared" si="320"/>
        <v/>
      </c>
      <c r="Z227" s="22" t="str">
        <f t="shared" si="320"/>
        <v/>
      </c>
      <c r="AA227" s="22" t="str">
        <f t="shared" si="320"/>
        <v/>
      </c>
      <c r="AB227" s="22" t="str">
        <f t="shared" si="320"/>
        <v/>
      </c>
      <c r="AC227" s="22" t="str">
        <f t="shared" si="320"/>
        <v/>
      </c>
      <c r="AD227" s="22" t="str">
        <f t="shared" si="320"/>
        <v/>
      </c>
      <c r="AE227" s="22" t="str">
        <f t="shared" si="320"/>
        <v/>
      </c>
      <c r="AF227" s="22" t="str">
        <f t="shared" si="320"/>
        <v/>
      </c>
      <c r="AG227" s="22" t="str">
        <f t="shared" si="320"/>
        <v/>
      </c>
      <c r="AH227" s="22" t="str">
        <f t="shared" si="320"/>
        <v/>
      </c>
      <c r="AI227" s="22" t="str">
        <f t="shared" si="320"/>
        <v/>
      </c>
      <c r="AJ227" s="22" t="str">
        <f t="shared" si="320"/>
        <v/>
      </c>
      <c r="AK227" s="22" t="str">
        <f t="shared" si="320"/>
        <v/>
      </c>
      <c r="AL227" s="22" t="str">
        <f t="shared" si="320"/>
        <v/>
      </c>
      <c r="AM227" s="22" t="str">
        <f t="shared" si="320"/>
        <v/>
      </c>
      <c r="AN227" s="22" t="str">
        <f t="shared" si="320"/>
        <v/>
      </c>
      <c r="AO227" s="22" t="str">
        <f t="shared" si="320"/>
        <v/>
      </c>
      <c r="AP227" s="22" t="str">
        <f t="shared" si="320"/>
        <v/>
      </c>
      <c r="AQ227" s="22" t="str">
        <f t="shared" si="320"/>
        <v/>
      </c>
      <c r="AR227" s="22" t="str">
        <f t="shared" si="320"/>
        <v/>
      </c>
      <c r="AS227" s="22" t="str">
        <f t="shared" si="320"/>
        <v/>
      </c>
      <c r="AT227" s="22" t="str">
        <f t="shared" si="320"/>
        <v/>
      </c>
      <c r="AU227" s="22" t="str">
        <f t="shared" si="320"/>
        <v/>
      </c>
    </row>
    <row r="228" spans="1:47">
      <c r="A228" s="21" t="str">
        <f t="shared" si="314"/>
        <v>55F02</v>
      </c>
      <c r="B228" s="191"/>
      <c r="C228" s="191"/>
      <c r="D228" s="22" t="str">
        <f t="shared" si="315"/>
        <v/>
      </c>
      <c r="E228" s="22" t="str">
        <f t="shared" si="316"/>
        <v/>
      </c>
      <c r="F228" s="22" t="str">
        <f t="shared" si="317"/>
        <v/>
      </c>
      <c r="G228" s="22" t="str">
        <f t="shared" si="318"/>
        <v/>
      </c>
      <c r="H228" s="21">
        <f t="shared" si="319"/>
        <v>4430</v>
      </c>
      <c r="I228" s="21"/>
      <c r="J228" s="21"/>
      <c r="K228" s="21"/>
      <c r="P228" s="22" t="str">
        <f t="shared" ref="P228:AU228" si="321">IF(COUNT(P97)=1,GC*P97,"")</f>
        <v/>
      </c>
      <c r="Q228" s="22" t="str">
        <f t="shared" si="321"/>
        <v/>
      </c>
      <c r="R228" s="22" t="str">
        <f t="shared" si="321"/>
        <v/>
      </c>
      <c r="S228" s="22" t="str">
        <f t="shared" si="321"/>
        <v/>
      </c>
      <c r="T228" s="22" t="str">
        <f t="shared" si="321"/>
        <v/>
      </c>
      <c r="U228" s="22" t="str">
        <f t="shared" si="321"/>
        <v/>
      </c>
      <c r="V228" s="22" t="str">
        <f t="shared" si="321"/>
        <v/>
      </c>
      <c r="W228" s="22" t="str">
        <f t="shared" si="321"/>
        <v/>
      </c>
      <c r="X228" s="22" t="str">
        <f t="shared" si="321"/>
        <v/>
      </c>
      <c r="Y228" s="22" t="str">
        <f t="shared" si="321"/>
        <v/>
      </c>
      <c r="Z228" s="22" t="str">
        <f t="shared" si="321"/>
        <v/>
      </c>
      <c r="AA228" s="22" t="str">
        <f t="shared" si="321"/>
        <v/>
      </c>
      <c r="AB228" s="22" t="str">
        <f t="shared" si="321"/>
        <v/>
      </c>
      <c r="AC228" s="22" t="str">
        <f t="shared" si="321"/>
        <v/>
      </c>
      <c r="AD228" s="22" t="str">
        <f t="shared" si="321"/>
        <v/>
      </c>
      <c r="AE228" s="22" t="str">
        <f t="shared" si="321"/>
        <v/>
      </c>
      <c r="AF228" s="22" t="str">
        <f t="shared" si="321"/>
        <v/>
      </c>
      <c r="AG228" s="22" t="str">
        <f t="shared" si="321"/>
        <v/>
      </c>
      <c r="AH228" s="22" t="str">
        <f t="shared" si="321"/>
        <v/>
      </c>
      <c r="AI228" s="22" t="str">
        <f t="shared" si="321"/>
        <v/>
      </c>
      <c r="AJ228" s="22" t="str">
        <f t="shared" si="321"/>
        <v/>
      </c>
      <c r="AK228" s="22" t="str">
        <f t="shared" si="321"/>
        <v/>
      </c>
      <c r="AL228" s="22" t="str">
        <f t="shared" si="321"/>
        <v/>
      </c>
      <c r="AM228" s="22" t="str">
        <f t="shared" si="321"/>
        <v/>
      </c>
      <c r="AN228" s="22" t="str">
        <f t="shared" si="321"/>
        <v/>
      </c>
      <c r="AO228" s="22" t="str">
        <f t="shared" si="321"/>
        <v/>
      </c>
      <c r="AP228" s="22" t="str">
        <f t="shared" si="321"/>
        <v/>
      </c>
      <c r="AQ228" s="22" t="str">
        <f t="shared" si="321"/>
        <v/>
      </c>
      <c r="AR228" s="22" t="str">
        <f t="shared" si="321"/>
        <v/>
      </c>
      <c r="AS228" s="22" t="str">
        <f t="shared" si="321"/>
        <v/>
      </c>
      <c r="AT228" s="22" t="str">
        <f t="shared" si="321"/>
        <v/>
      </c>
      <c r="AU228" s="22" t="str">
        <f t="shared" si="321"/>
        <v/>
      </c>
    </row>
    <row r="229" spans="1:47">
      <c r="A229" s="21" t="str">
        <f t="shared" si="314"/>
        <v>65F01</v>
      </c>
      <c r="B229" s="191"/>
      <c r="C229" s="191"/>
      <c r="D229" s="22" t="str">
        <f t="shared" si="315"/>
        <v/>
      </c>
      <c r="E229" s="22" t="str">
        <f t="shared" si="316"/>
        <v/>
      </c>
      <c r="F229" s="22" t="str">
        <f t="shared" si="317"/>
        <v/>
      </c>
      <c r="G229" s="22" t="str">
        <f t="shared" si="318"/>
        <v/>
      </c>
      <c r="H229" s="21">
        <f t="shared" si="319"/>
        <v>6110</v>
      </c>
      <c r="I229" s="21"/>
      <c r="J229" s="21"/>
      <c r="K229" s="21"/>
      <c r="P229" s="22" t="str">
        <f t="shared" ref="P229:AU229" si="322">IF(COUNT(P98)=1,GC*P98,"")</f>
        <v/>
      </c>
      <c r="Q229" s="22" t="str">
        <f t="shared" si="322"/>
        <v/>
      </c>
      <c r="R229" s="22" t="str">
        <f t="shared" si="322"/>
        <v/>
      </c>
      <c r="S229" s="22" t="str">
        <f t="shared" si="322"/>
        <v/>
      </c>
      <c r="T229" s="22" t="str">
        <f t="shared" si="322"/>
        <v/>
      </c>
      <c r="U229" s="22" t="str">
        <f t="shared" si="322"/>
        <v/>
      </c>
      <c r="V229" s="22" t="str">
        <f t="shared" si="322"/>
        <v/>
      </c>
      <c r="W229" s="22" t="str">
        <f t="shared" si="322"/>
        <v/>
      </c>
      <c r="X229" s="22" t="str">
        <f t="shared" si="322"/>
        <v/>
      </c>
      <c r="Y229" s="22" t="str">
        <f t="shared" si="322"/>
        <v/>
      </c>
      <c r="Z229" s="22" t="str">
        <f t="shared" si="322"/>
        <v/>
      </c>
      <c r="AA229" s="22" t="str">
        <f t="shared" si="322"/>
        <v/>
      </c>
      <c r="AB229" s="22" t="str">
        <f t="shared" si="322"/>
        <v/>
      </c>
      <c r="AC229" s="22" t="str">
        <f t="shared" si="322"/>
        <v/>
      </c>
      <c r="AD229" s="22" t="str">
        <f t="shared" si="322"/>
        <v/>
      </c>
      <c r="AE229" s="22" t="str">
        <f t="shared" si="322"/>
        <v/>
      </c>
      <c r="AF229" s="22" t="str">
        <f t="shared" si="322"/>
        <v/>
      </c>
      <c r="AG229" s="22" t="str">
        <f t="shared" si="322"/>
        <v/>
      </c>
      <c r="AH229" s="22" t="str">
        <f t="shared" si="322"/>
        <v/>
      </c>
      <c r="AI229" s="22" t="str">
        <f t="shared" si="322"/>
        <v/>
      </c>
      <c r="AJ229" s="22" t="str">
        <f t="shared" si="322"/>
        <v/>
      </c>
      <c r="AK229" s="22" t="str">
        <f t="shared" si="322"/>
        <v/>
      </c>
      <c r="AL229" s="22" t="str">
        <f t="shared" si="322"/>
        <v/>
      </c>
      <c r="AM229" s="22" t="str">
        <f t="shared" si="322"/>
        <v/>
      </c>
      <c r="AN229" s="22" t="str">
        <f t="shared" si="322"/>
        <v/>
      </c>
      <c r="AO229" s="22" t="str">
        <f t="shared" si="322"/>
        <v/>
      </c>
      <c r="AP229" s="22" t="str">
        <f t="shared" si="322"/>
        <v/>
      </c>
      <c r="AQ229" s="22" t="str">
        <f t="shared" si="322"/>
        <v/>
      </c>
      <c r="AR229" s="22" t="str">
        <f t="shared" si="322"/>
        <v/>
      </c>
      <c r="AS229" s="22" t="str">
        <f t="shared" si="322"/>
        <v/>
      </c>
      <c r="AT229" s="22" t="str">
        <f t="shared" si="322"/>
        <v/>
      </c>
      <c r="AU229" s="22" t="str">
        <f t="shared" si="322"/>
        <v/>
      </c>
    </row>
    <row r="230" spans="1:47">
      <c r="A230" s="21" t="str">
        <f t="shared" si="314"/>
        <v>2700K</v>
      </c>
      <c r="B230" s="191"/>
      <c r="C230" s="191"/>
      <c r="D230" s="22" t="str">
        <f t="shared" si="315"/>
        <v/>
      </c>
      <c r="E230" s="22" t="str">
        <f t="shared" si="316"/>
        <v/>
      </c>
      <c r="F230" s="22" t="str">
        <f t="shared" si="317"/>
        <v/>
      </c>
      <c r="G230" s="22" t="str">
        <f t="shared" si="318"/>
        <v/>
      </c>
      <c r="H230" s="21">
        <f t="shared" si="319"/>
        <v>2700</v>
      </c>
      <c r="I230" s="21"/>
      <c r="J230" s="21"/>
      <c r="K230" s="21"/>
      <c r="P230" s="22" t="str">
        <f t="shared" ref="P230:AU230" si="323">IF(COUNT(P99)=1,GC*P99,"")</f>
        <v/>
      </c>
      <c r="Q230" s="22" t="str">
        <f t="shared" si="323"/>
        <v/>
      </c>
      <c r="R230" s="22" t="str">
        <f t="shared" si="323"/>
        <v/>
      </c>
      <c r="S230" s="22" t="str">
        <f t="shared" si="323"/>
        <v/>
      </c>
      <c r="T230" s="22" t="str">
        <f t="shared" si="323"/>
        <v/>
      </c>
      <c r="U230" s="22" t="str">
        <f t="shared" si="323"/>
        <v/>
      </c>
      <c r="V230" s="22" t="str">
        <f t="shared" si="323"/>
        <v/>
      </c>
      <c r="W230" s="22" t="str">
        <f t="shared" si="323"/>
        <v/>
      </c>
      <c r="X230" s="22" t="str">
        <f t="shared" si="323"/>
        <v/>
      </c>
      <c r="Y230" s="22" t="str">
        <f t="shared" si="323"/>
        <v/>
      </c>
      <c r="Z230" s="22" t="str">
        <f t="shared" si="323"/>
        <v/>
      </c>
      <c r="AA230" s="22" t="str">
        <f t="shared" si="323"/>
        <v/>
      </c>
      <c r="AB230" s="22" t="str">
        <f t="shared" si="323"/>
        <v/>
      </c>
      <c r="AC230" s="22" t="str">
        <f t="shared" si="323"/>
        <v/>
      </c>
      <c r="AD230" s="22" t="str">
        <f t="shared" si="323"/>
        <v/>
      </c>
      <c r="AE230" s="22" t="str">
        <f t="shared" si="323"/>
        <v/>
      </c>
      <c r="AF230" s="22" t="str">
        <f t="shared" si="323"/>
        <v/>
      </c>
      <c r="AG230" s="22" t="str">
        <f t="shared" si="323"/>
        <v/>
      </c>
      <c r="AH230" s="22" t="str">
        <f t="shared" si="323"/>
        <v/>
      </c>
      <c r="AI230" s="22" t="str">
        <f t="shared" si="323"/>
        <v/>
      </c>
      <c r="AJ230" s="22" t="str">
        <f t="shared" si="323"/>
        <v/>
      </c>
      <c r="AK230" s="22" t="str">
        <f t="shared" si="323"/>
        <v/>
      </c>
      <c r="AL230" s="22" t="str">
        <f t="shared" si="323"/>
        <v/>
      </c>
      <c r="AM230" s="22" t="str">
        <f t="shared" si="323"/>
        <v/>
      </c>
      <c r="AN230" s="22" t="str">
        <f t="shared" si="323"/>
        <v/>
      </c>
      <c r="AO230" s="22" t="str">
        <f t="shared" si="323"/>
        <v/>
      </c>
      <c r="AP230" s="22" t="str">
        <f t="shared" si="323"/>
        <v/>
      </c>
      <c r="AQ230" s="22" t="str">
        <f t="shared" si="323"/>
        <v/>
      </c>
      <c r="AR230" s="22" t="str">
        <f t="shared" si="323"/>
        <v/>
      </c>
      <c r="AS230" s="22" t="str">
        <f t="shared" si="323"/>
        <v/>
      </c>
      <c r="AT230" s="22" t="str">
        <f t="shared" si="323"/>
        <v/>
      </c>
      <c r="AU230" s="22" t="str">
        <f t="shared" si="323"/>
        <v/>
      </c>
    </row>
    <row r="231" spans="1:47">
      <c r="A231" s="21" t="str">
        <f t="shared" si="314"/>
        <v>3200K</v>
      </c>
      <c r="B231" s="191"/>
      <c r="C231" s="191"/>
      <c r="D231" s="22">
        <f t="shared" si="315"/>
        <v>971.07054549115969</v>
      </c>
      <c r="E231" s="22">
        <f t="shared" si="316"/>
        <v>1043.3549719210246</v>
      </c>
      <c r="F231" s="22">
        <f t="shared" si="317"/>
        <v>1115.6393983508895</v>
      </c>
      <c r="G231" s="22">
        <f t="shared" si="318"/>
        <v>48.189617619909939</v>
      </c>
      <c r="H231" s="21">
        <f t="shared" si="319"/>
        <v>3200</v>
      </c>
      <c r="I231" s="21"/>
      <c r="J231" s="21"/>
      <c r="K231" s="21"/>
      <c r="P231" s="22">
        <f t="shared" ref="P231:AU231" si="324">IF(COUNT(P100)=1,GC*P100,"")</f>
        <v>1068.8402436678814</v>
      </c>
      <c r="Q231" s="22">
        <f t="shared" si="324"/>
        <v>1090.1668849784514</v>
      </c>
      <c r="R231" s="22">
        <f t="shared" si="324"/>
        <v>1084.9019345490374</v>
      </c>
      <c r="S231" s="22">
        <f t="shared" si="324"/>
        <v>1040.8762525686163</v>
      </c>
      <c r="T231" s="22">
        <f t="shared" si="324"/>
        <v>1008.1285345792944</v>
      </c>
      <c r="U231" s="22">
        <f t="shared" si="324"/>
        <v>967.21598118286727</v>
      </c>
      <c r="V231" s="22" t="str">
        <f t="shared" si="324"/>
        <v/>
      </c>
      <c r="W231" s="22" t="str">
        <f t="shared" si="324"/>
        <v/>
      </c>
      <c r="X231" s="22" t="str">
        <f t="shared" si="324"/>
        <v/>
      </c>
      <c r="Y231" s="22" t="str">
        <f t="shared" si="324"/>
        <v/>
      </c>
      <c r="Z231" s="22" t="str">
        <f t="shared" si="324"/>
        <v/>
      </c>
      <c r="AA231" s="22" t="str">
        <f t="shared" si="324"/>
        <v/>
      </c>
      <c r="AB231" s="22" t="str">
        <f t="shared" si="324"/>
        <v/>
      </c>
      <c r="AC231" s="22" t="str">
        <f t="shared" si="324"/>
        <v/>
      </c>
      <c r="AD231" s="22" t="str">
        <f t="shared" si="324"/>
        <v/>
      </c>
      <c r="AE231" s="22" t="str">
        <f t="shared" si="324"/>
        <v/>
      </c>
      <c r="AF231" s="22" t="str">
        <f t="shared" si="324"/>
        <v/>
      </c>
      <c r="AG231" s="22" t="str">
        <f t="shared" si="324"/>
        <v/>
      </c>
      <c r="AH231" s="22" t="str">
        <f t="shared" si="324"/>
        <v/>
      </c>
      <c r="AI231" s="22" t="str">
        <f t="shared" si="324"/>
        <v/>
      </c>
      <c r="AJ231" s="22" t="str">
        <f t="shared" si="324"/>
        <v/>
      </c>
      <c r="AK231" s="22" t="str">
        <f t="shared" si="324"/>
        <v/>
      </c>
      <c r="AL231" s="22" t="str">
        <f t="shared" si="324"/>
        <v/>
      </c>
      <c r="AM231" s="22" t="str">
        <f t="shared" si="324"/>
        <v/>
      </c>
      <c r="AN231" s="22" t="str">
        <f t="shared" si="324"/>
        <v/>
      </c>
      <c r="AO231" s="22" t="str">
        <f t="shared" si="324"/>
        <v/>
      </c>
      <c r="AP231" s="22" t="str">
        <f t="shared" si="324"/>
        <v/>
      </c>
      <c r="AQ231" s="22" t="str">
        <f t="shared" si="324"/>
        <v/>
      </c>
      <c r="AR231" s="22" t="str">
        <f t="shared" si="324"/>
        <v/>
      </c>
      <c r="AS231" s="22" t="str">
        <f t="shared" si="324"/>
        <v/>
      </c>
      <c r="AT231" s="22" t="str">
        <f t="shared" si="324"/>
        <v/>
      </c>
      <c r="AU231" s="22" t="str">
        <f t="shared" si="324"/>
        <v/>
      </c>
    </row>
    <row r="232" spans="1:47">
      <c r="A232" s="21" t="str">
        <f t="shared" si="314"/>
        <v>5500K</v>
      </c>
      <c r="B232" s="191"/>
      <c r="C232" s="191"/>
      <c r="D232" s="22" t="str">
        <f t="shared" si="315"/>
        <v/>
      </c>
      <c r="E232" s="22" t="str">
        <f t="shared" si="316"/>
        <v/>
      </c>
      <c r="F232" s="22" t="str">
        <f t="shared" si="317"/>
        <v/>
      </c>
      <c r="G232" s="22" t="str">
        <f t="shared" si="318"/>
        <v/>
      </c>
      <c r="H232" s="21">
        <f t="shared" si="319"/>
        <v>5500</v>
      </c>
      <c r="I232" s="21"/>
      <c r="J232" s="21"/>
      <c r="K232" s="21"/>
      <c r="P232" s="22" t="str">
        <f t="shared" ref="P232:AU232" si="325">IF(COUNT(P101)=1,GC*P101,"")</f>
        <v/>
      </c>
      <c r="Q232" s="22" t="str">
        <f t="shared" si="325"/>
        <v/>
      </c>
      <c r="R232" s="22" t="str">
        <f t="shared" si="325"/>
        <v/>
      </c>
      <c r="S232" s="22" t="str">
        <f t="shared" si="325"/>
        <v/>
      </c>
      <c r="T232" s="22" t="str">
        <f t="shared" si="325"/>
        <v/>
      </c>
      <c r="U232" s="22" t="str">
        <f t="shared" si="325"/>
        <v/>
      </c>
      <c r="V232" s="22" t="str">
        <f t="shared" si="325"/>
        <v/>
      </c>
      <c r="W232" s="22" t="str">
        <f t="shared" si="325"/>
        <v/>
      </c>
      <c r="X232" s="22" t="str">
        <f t="shared" si="325"/>
        <v/>
      </c>
      <c r="Y232" s="22" t="str">
        <f t="shared" si="325"/>
        <v/>
      </c>
      <c r="Z232" s="22" t="str">
        <f t="shared" si="325"/>
        <v/>
      </c>
      <c r="AA232" s="22" t="str">
        <f t="shared" si="325"/>
        <v/>
      </c>
      <c r="AB232" s="22" t="str">
        <f t="shared" si="325"/>
        <v/>
      </c>
      <c r="AC232" s="22" t="str">
        <f t="shared" si="325"/>
        <v/>
      </c>
      <c r="AD232" s="22" t="str">
        <f t="shared" si="325"/>
        <v/>
      </c>
      <c r="AE232" s="22" t="str">
        <f t="shared" si="325"/>
        <v/>
      </c>
      <c r="AF232" s="22" t="str">
        <f t="shared" si="325"/>
        <v/>
      </c>
      <c r="AG232" s="22" t="str">
        <f t="shared" si="325"/>
        <v/>
      </c>
      <c r="AH232" s="22" t="str">
        <f t="shared" si="325"/>
        <v/>
      </c>
      <c r="AI232" s="22" t="str">
        <f t="shared" si="325"/>
        <v/>
      </c>
      <c r="AJ232" s="22" t="str">
        <f t="shared" si="325"/>
        <v/>
      </c>
      <c r="AK232" s="22" t="str">
        <f t="shared" si="325"/>
        <v/>
      </c>
      <c r="AL232" s="22" t="str">
        <f t="shared" si="325"/>
        <v/>
      </c>
      <c r="AM232" s="22" t="str">
        <f t="shared" si="325"/>
        <v/>
      </c>
      <c r="AN232" s="22" t="str">
        <f t="shared" si="325"/>
        <v/>
      </c>
      <c r="AO232" s="22" t="str">
        <f t="shared" si="325"/>
        <v/>
      </c>
      <c r="AP232" s="22" t="str">
        <f t="shared" si="325"/>
        <v/>
      </c>
      <c r="AQ232" s="22" t="str">
        <f t="shared" si="325"/>
        <v/>
      </c>
      <c r="AR232" s="22" t="str">
        <f t="shared" si="325"/>
        <v/>
      </c>
      <c r="AS232" s="22" t="str">
        <f t="shared" si="325"/>
        <v/>
      </c>
      <c r="AT232" s="22" t="str">
        <f t="shared" si="325"/>
        <v/>
      </c>
      <c r="AU232" s="22" t="str">
        <f t="shared" si="325"/>
        <v/>
      </c>
    </row>
    <row r="233" spans="1:47">
      <c r="A233" s="21" t="str">
        <f t="shared" si="314"/>
        <v>6500K</v>
      </c>
      <c r="B233" s="191"/>
      <c r="C233" s="191"/>
      <c r="D233" s="22" t="str">
        <f t="shared" si="315"/>
        <v/>
      </c>
      <c r="E233" s="22" t="str">
        <f t="shared" ref="E233" si="326">IF(COUNT(P233:AU233)=0,"",AVERAGE(P233:AU233))</f>
        <v/>
      </c>
      <c r="F233" s="22" t="str">
        <f t="shared" si="317"/>
        <v/>
      </c>
      <c r="G233" s="22" t="str">
        <f t="shared" ref="G233" si="327">IF(COUNT(P233:AU233)=0,"",STDEV(P233:AU233))</f>
        <v/>
      </c>
      <c r="H233" s="21">
        <f t="shared" si="319"/>
        <v>6500</v>
      </c>
      <c r="I233" s="21"/>
      <c r="J233" s="21"/>
      <c r="K233" s="21"/>
      <c r="P233" s="22" t="str">
        <f t="shared" ref="P233:AU233" si="328">IF(COUNT(P102)=1,GC*P102,"")</f>
        <v/>
      </c>
      <c r="Q233" s="22" t="str">
        <f t="shared" si="328"/>
        <v/>
      </c>
      <c r="R233" s="22" t="str">
        <f t="shared" si="328"/>
        <v/>
      </c>
      <c r="S233" s="22" t="str">
        <f t="shared" si="328"/>
        <v/>
      </c>
      <c r="T233" s="22" t="str">
        <f t="shared" si="328"/>
        <v/>
      </c>
      <c r="U233" s="22" t="str">
        <f t="shared" si="328"/>
        <v/>
      </c>
      <c r="V233" s="22" t="str">
        <f t="shared" si="328"/>
        <v/>
      </c>
      <c r="W233" s="22" t="str">
        <f t="shared" si="328"/>
        <v/>
      </c>
      <c r="X233" s="22" t="str">
        <f t="shared" si="328"/>
        <v/>
      </c>
      <c r="Y233" s="22" t="str">
        <f t="shared" si="328"/>
        <v/>
      </c>
      <c r="Z233" s="22" t="str">
        <f t="shared" si="328"/>
        <v/>
      </c>
      <c r="AA233" s="22" t="str">
        <f t="shared" si="328"/>
        <v/>
      </c>
      <c r="AB233" s="22" t="str">
        <f t="shared" si="328"/>
        <v/>
      </c>
      <c r="AC233" s="22" t="str">
        <f t="shared" si="328"/>
        <v/>
      </c>
      <c r="AD233" s="22" t="str">
        <f t="shared" si="328"/>
        <v/>
      </c>
      <c r="AE233" s="22" t="str">
        <f t="shared" si="328"/>
        <v/>
      </c>
      <c r="AF233" s="22" t="str">
        <f t="shared" si="328"/>
        <v/>
      </c>
      <c r="AG233" s="22" t="str">
        <f t="shared" si="328"/>
        <v/>
      </c>
      <c r="AH233" s="22" t="str">
        <f t="shared" si="328"/>
        <v/>
      </c>
      <c r="AI233" s="22" t="str">
        <f t="shared" si="328"/>
        <v/>
      </c>
      <c r="AJ233" s="22" t="str">
        <f t="shared" si="328"/>
        <v/>
      </c>
      <c r="AK233" s="22" t="str">
        <f t="shared" si="328"/>
        <v/>
      </c>
      <c r="AL233" s="22" t="str">
        <f t="shared" si="328"/>
        <v/>
      </c>
      <c r="AM233" s="22" t="str">
        <f t="shared" si="328"/>
        <v/>
      </c>
      <c r="AN233" s="22" t="str">
        <f t="shared" si="328"/>
        <v/>
      </c>
      <c r="AO233" s="22" t="str">
        <f t="shared" si="328"/>
        <v/>
      </c>
      <c r="AP233" s="22" t="str">
        <f t="shared" si="328"/>
        <v/>
      </c>
      <c r="AQ233" s="22" t="str">
        <f t="shared" si="328"/>
        <v/>
      </c>
      <c r="AR233" s="22" t="str">
        <f t="shared" si="328"/>
        <v/>
      </c>
      <c r="AS233" s="22" t="str">
        <f t="shared" si="328"/>
        <v/>
      </c>
      <c r="AT233" s="22" t="str">
        <f t="shared" si="328"/>
        <v/>
      </c>
      <c r="AU233" s="22" t="str">
        <f t="shared" si="328"/>
        <v/>
      </c>
    </row>
    <row r="234" spans="1:47">
      <c r="E234" s="27"/>
    </row>
    <row r="235" spans="1:47">
      <c r="A235" s="21" t="str">
        <f>A109</f>
        <v>41F02</v>
      </c>
      <c r="B235" s="191" t="str">
        <f>B227</f>
        <v>P0</v>
      </c>
      <c r="C235" s="191" t="str">
        <f>C109</f>
        <v>Range1</v>
      </c>
      <c r="D235" s="22" t="str">
        <f t="shared" ref="D235:D241" si="329">IF(COUNT(P235:AU235)=0,"",E235-1.5*G235)</f>
        <v/>
      </c>
      <c r="E235" s="22" t="str">
        <f t="shared" ref="E235:E241" si="330">IF(COUNT(P235:AU235)=0,"",AVERAGE(P235:AU235))</f>
        <v/>
      </c>
      <c r="F235" s="22" t="str">
        <f t="shared" ref="F235:F241" si="331">IF(COUNT(P235:AU235)=0,"",E235+1.5*G235)</f>
        <v/>
      </c>
      <c r="G235" s="22" t="str">
        <f t="shared" ref="G235:G241" si="332">IF(COUNT(P235:AU235)=0,"",STDEV(P235:AU235))</f>
        <v/>
      </c>
      <c r="H235" s="21">
        <f t="shared" ref="H235:H241" si="333">H109</f>
        <v>3670</v>
      </c>
      <c r="I235" s="21"/>
      <c r="J235" s="21"/>
      <c r="K235" s="21"/>
      <c r="P235" s="22" t="str">
        <f t="shared" ref="P235:AU235" si="334">IF(COUNT(P109)=1,GC*P109,"")</f>
        <v/>
      </c>
      <c r="Q235" s="22" t="str">
        <f t="shared" si="334"/>
        <v/>
      </c>
      <c r="R235" s="22" t="str">
        <f t="shared" si="334"/>
        <v/>
      </c>
      <c r="S235" s="22" t="str">
        <f t="shared" si="334"/>
        <v/>
      </c>
      <c r="T235" s="22" t="str">
        <f t="shared" si="334"/>
        <v/>
      </c>
      <c r="U235" s="22" t="str">
        <f t="shared" si="334"/>
        <v/>
      </c>
      <c r="V235" s="22" t="str">
        <f t="shared" si="334"/>
        <v/>
      </c>
      <c r="W235" s="22" t="str">
        <f t="shared" si="334"/>
        <v/>
      </c>
      <c r="X235" s="22" t="str">
        <f t="shared" si="334"/>
        <v/>
      </c>
      <c r="Y235" s="22" t="str">
        <f t="shared" si="334"/>
        <v/>
      </c>
      <c r="Z235" s="22" t="str">
        <f t="shared" si="334"/>
        <v/>
      </c>
      <c r="AA235" s="22" t="str">
        <f t="shared" si="334"/>
        <v/>
      </c>
      <c r="AB235" s="22" t="str">
        <f t="shared" si="334"/>
        <v/>
      </c>
      <c r="AC235" s="22" t="str">
        <f t="shared" si="334"/>
        <v/>
      </c>
      <c r="AD235" s="22" t="str">
        <f t="shared" si="334"/>
        <v/>
      </c>
      <c r="AE235" s="22" t="str">
        <f t="shared" si="334"/>
        <v/>
      </c>
      <c r="AF235" s="22" t="str">
        <f t="shared" si="334"/>
        <v/>
      </c>
      <c r="AG235" s="22" t="str">
        <f t="shared" si="334"/>
        <v/>
      </c>
      <c r="AH235" s="22" t="str">
        <f t="shared" si="334"/>
        <v/>
      </c>
      <c r="AI235" s="22" t="str">
        <f t="shared" si="334"/>
        <v/>
      </c>
      <c r="AJ235" s="22" t="str">
        <f t="shared" si="334"/>
        <v/>
      </c>
      <c r="AK235" s="22" t="str">
        <f t="shared" si="334"/>
        <v/>
      </c>
      <c r="AL235" s="22" t="str">
        <f t="shared" si="334"/>
        <v/>
      </c>
      <c r="AM235" s="22" t="str">
        <f t="shared" si="334"/>
        <v/>
      </c>
      <c r="AN235" s="22" t="str">
        <f t="shared" si="334"/>
        <v/>
      </c>
      <c r="AO235" s="22" t="str">
        <f t="shared" si="334"/>
        <v/>
      </c>
      <c r="AP235" s="22" t="str">
        <f t="shared" si="334"/>
        <v/>
      </c>
      <c r="AQ235" s="22" t="str">
        <f t="shared" si="334"/>
        <v/>
      </c>
      <c r="AR235" s="22" t="str">
        <f t="shared" si="334"/>
        <v/>
      </c>
      <c r="AS235" s="22" t="str">
        <f t="shared" si="334"/>
        <v/>
      </c>
      <c r="AT235" s="22" t="str">
        <f t="shared" si="334"/>
        <v/>
      </c>
      <c r="AU235" s="22" t="str">
        <f t="shared" si="334"/>
        <v/>
      </c>
    </row>
    <row r="236" spans="1:47">
      <c r="A236" s="21" t="str">
        <f t="shared" ref="A236:A241" si="335">A110</f>
        <v>55F02</v>
      </c>
      <c r="B236" s="191"/>
      <c r="C236" s="191"/>
      <c r="D236" s="22" t="str">
        <f t="shared" si="329"/>
        <v/>
      </c>
      <c r="E236" s="22" t="str">
        <f t="shared" si="330"/>
        <v/>
      </c>
      <c r="F236" s="22" t="str">
        <f t="shared" si="331"/>
        <v/>
      </c>
      <c r="G236" s="22" t="str">
        <f t="shared" si="332"/>
        <v/>
      </c>
      <c r="H236" s="160">
        <f t="shared" si="333"/>
        <v>4430</v>
      </c>
      <c r="I236" s="21"/>
      <c r="J236" s="21"/>
      <c r="K236" s="21"/>
      <c r="P236" s="22" t="str">
        <f t="shared" ref="P236:AU236" si="336">IF(COUNT(P110)=1,GC*P110,"")</f>
        <v/>
      </c>
      <c r="Q236" s="22" t="str">
        <f t="shared" si="336"/>
        <v/>
      </c>
      <c r="R236" s="22" t="str">
        <f t="shared" si="336"/>
        <v/>
      </c>
      <c r="S236" s="22" t="str">
        <f t="shared" si="336"/>
        <v/>
      </c>
      <c r="T236" s="22" t="str">
        <f t="shared" si="336"/>
        <v/>
      </c>
      <c r="U236" s="22" t="str">
        <f t="shared" si="336"/>
        <v/>
      </c>
      <c r="V236" s="22" t="str">
        <f t="shared" si="336"/>
        <v/>
      </c>
      <c r="W236" s="22" t="str">
        <f t="shared" si="336"/>
        <v/>
      </c>
      <c r="X236" s="22" t="str">
        <f t="shared" si="336"/>
        <v/>
      </c>
      <c r="Y236" s="22" t="str">
        <f t="shared" si="336"/>
        <v/>
      </c>
      <c r="Z236" s="22" t="str">
        <f t="shared" si="336"/>
        <v/>
      </c>
      <c r="AA236" s="22" t="str">
        <f t="shared" si="336"/>
        <v/>
      </c>
      <c r="AB236" s="22" t="str">
        <f t="shared" si="336"/>
        <v/>
      </c>
      <c r="AC236" s="22" t="str">
        <f t="shared" si="336"/>
        <v/>
      </c>
      <c r="AD236" s="22" t="str">
        <f t="shared" si="336"/>
        <v/>
      </c>
      <c r="AE236" s="22" t="str">
        <f t="shared" si="336"/>
        <v/>
      </c>
      <c r="AF236" s="22" t="str">
        <f t="shared" si="336"/>
        <v/>
      </c>
      <c r="AG236" s="22" t="str">
        <f t="shared" si="336"/>
        <v/>
      </c>
      <c r="AH236" s="22" t="str">
        <f t="shared" si="336"/>
        <v/>
      </c>
      <c r="AI236" s="22" t="str">
        <f t="shared" si="336"/>
        <v/>
      </c>
      <c r="AJ236" s="22" t="str">
        <f t="shared" si="336"/>
        <v/>
      </c>
      <c r="AK236" s="22" t="str">
        <f t="shared" si="336"/>
        <v/>
      </c>
      <c r="AL236" s="22" t="str">
        <f t="shared" si="336"/>
        <v/>
      </c>
      <c r="AM236" s="22" t="str">
        <f t="shared" si="336"/>
        <v/>
      </c>
      <c r="AN236" s="22" t="str">
        <f t="shared" si="336"/>
        <v/>
      </c>
      <c r="AO236" s="22" t="str">
        <f t="shared" si="336"/>
        <v/>
      </c>
      <c r="AP236" s="22" t="str">
        <f t="shared" si="336"/>
        <v/>
      </c>
      <c r="AQ236" s="22" t="str">
        <f t="shared" si="336"/>
        <v/>
      </c>
      <c r="AR236" s="22" t="str">
        <f t="shared" si="336"/>
        <v/>
      </c>
      <c r="AS236" s="22" t="str">
        <f t="shared" si="336"/>
        <v/>
      </c>
      <c r="AT236" s="22" t="str">
        <f t="shared" si="336"/>
        <v/>
      </c>
      <c r="AU236" s="22" t="str">
        <f t="shared" si="336"/>
        <v/>
      </c>
    </row>
    <row r="237" spans="1:47">
      <c r="A237" s="21" t="str">
        <f t="shared" si="335"/>
        <v>65F01</v>
      </c>
      <c r="B237" s="191"/>
      <c r="C237" s="191"/>
      <c r="D237" s="22" t="str">
        <f t="shared" si="329"/>
        <v/>
      </c>
      <c r="E237" s="22" t="str">
        <f t="shared" si="330"/>
        <v/>
      </c>
      <c r="F237" s="22" t="str">
        <f t="shared" si="331"/>
        <v/>
      </c>
      <c r="G237" s="22" t="str">
        <f t="shared" si="332"/>
        <v/>
      </c>
      <c r="H237" s="21">
        <f t="shared" si="333"/>
        <v>6110</v>
      </c>
      <c r="I237" s="21"/>
      <c r="J237" s="21"/>
      <c r="K237" s="21"/>
      <c r="P237" s="22" t="str">
        <f t="shared" ref="P237:AU237" si="337">IF(COUNT(P111)=1,GC*P111,"")</f>
        <v/>
      </c>
      <c r="Q237" s="22" t="str">
        <f t="shared" si="337"/>
        <v/>
      </c>
      <c r="R237" s="22" t="str">
        <f t="shared" si="337"/>
        <v/>
      </c>
      <c r="S237" s="22" t="str">
        <f t="shared" si="337"/>
        <v/>
      </c>
      <c r="T237" s="22" t="str">
        <f t="shared" si="337"/>
        <v/>
      </c>
      <c r="U237" s="22" t="str">
        <f t="shared" si="337"/>
        <v/>
      </c>
      <c r="V237" s="22" t="str">
        <f t="shared" si="337"/>
        <v/>
      </c>
      <c r="W237" s="22" t="str">
        <f t="shared" si="337"/>
        <v/>
      </c>
      <c r="X237" s="22" t="str">
        <f t="shared" si="337"/>
        <v/>
      </c>
      <c r="Y237" s="22" t="str">
        <f t="shared" si="337"/>
        <v/>
      </c>
      <c r="Z237" s="22" t="str">
        <f t="shared" si="337"/>
        <v/>
      </c>
      <c r="AA237" s="22" t="str">
        <f t="shared" si="337"/>
        <v/>
      </c>
      <c r="AB237" s="22" t="str">
        <f t="shared" si="337"/>
        <v/>
      </c>
      <c r="AC237" s="22" t="str">
        <f t="shared" si="337"/>
        <v/>
      </c>
      <c r="AD237" s="22" t="str">
        <f t="shared" si="337"/>
        <v/>
      </c>
      <c r="AE237" s="22" t="str">
        <f t="shared" si="337"/>
        <v/>
      </c>
      <c r="AF237" s="22" t="str">
        <f t="shared" si="337"/>
        <v/>
      </c>
      <c r="AG237" s="22" t="str">
        <f t="shared" si="337"/>
        <v/>
      </c>
      <c r="AH237" s="22" t="str">
        <f t="shared" si="337"/>
        <v/>
      </c>
      <c r="AI237" s="22" t="str">
        <f t="shared" si="337"/>
        <v/>
      </c>
      <c r="AJ237" s="22" t="str">
        <f t="shared" si="337"/>
        <v/>
      </c>
      <c r="AK237" s="22" t="str">
        <f t="shared" si="337"/>
        <v/>
      </c>
      <c r="AL237" s="22" t="str">
        <f t="shared" si="337"/>
        <v/>
      </c>
      <c r="AM237" s="22" t="str">
        <f t="shared" si="337"/>
        <v/>
      </c>
      <c r="AN237" s="22" t="str">
        <f t="shared" si="337"/>
        <v/>
      </c>
      <c r="AO237" s="22" t="str">
        <f t="shared" si="337"/>
        <v/>
      </c>
      <c r="AP237" s="22" t="str">
        <f t="shared" si="337"/>
        <v/>
      </c>
      <c r="AQ237" s="22" t="str">
        <f t="shared" si="337"/>
        <v/>
      </c>
      <c r="AR237" s="22" t="str">
        <f t="shared" si="337"/>
        <v/>
      </c>
      <c r="AS237" s="22" t="str">
        <f t="shared" si="337"/>
        <v/>
      </c>
      <c r="AT237" s="22" t="str">
        <f t="shared" si="337"/>
        <v/>
      </c>
      <c r="AU237" s="22" t="str">
        <f t="shared" si="337"/>
        <v/>
      </c>
    </row>
    <row r="238" spans="1:47">
      <c r="A238" s="21" t="str">
        <f t="shared" si="335"/>
        <v>2700K</v>
      </c>
      <c r="B238" s="191"/>
      <c r="C238" s="191"/>
      <c r="D238" s="22" t="str">
        <f t="shared" si="329"/>
        <v/>
      </c>
      <c r="E238" s="22" t="str">
        <f t="shared" si="330"/>
        <v/>
      </c>
      <c r="F238" s="22" t="str">
        <f t="shared" si="331"/>
        <v/>
      </c>
      <c r="G238" s="22" t="str">
        <f t="shared" si="332"/>
        <v/>
      </c>
      <c r="H238" s="21">
        <f t="shared" si="333"/>
        <v>2700</v>
      </c>
      <c r="I238" s="21"/>
      <c r="J238" s="21"/>
      <c r="K238" s="21"/>
      <c r="P238" s="22" t="str">
        <f t="shared" ref="P238:AU238" si="338">IF(COUNT(P112)=1,GC*P112,"")</f>
        <v/>
      </c>
      <c r="Q238" s="22" t="str">
        <f t="shared" si="338"/>
        <v/>
      </c>
      <c r="R238" s="22" t="str">
        <f t="shared" si="338"/>
        <v/>
      </c>
      <c r="S238" s="22" t="str">
        <f t="shared" si="338"/>
        <v/>
      </c>
      <c r="T238" s="22" t="str">
        <f t="shared" si="338"/>
        <v/>
      </c>
      <c r="U238" s="22" t="str">
        <f t="shared" si="338"/>
        <v/>
      </c>
      <c r="V238" s="22" t="str">
        <f t="shared" si="338"/>
        <v/>
      </c>
      <c r="W238" s="22" t="str">
        <f t="shared" si="338"/>
        <v/>
      </c>
      <c r="X238" s="22" t="str">
        <f t="shared" si="338"/>
        <v/>
      </c>
      <c r="Y238" s="22" t="str">
        <f t="shared" si="338"/>
        <v/>
      </c>
      <c r="Z238" s="22" t="str">
        <f t="shared" si="338"/>
        <v/>
      </c>
      <c r="AA238" s="22" t="str">
        <f t="shared" si="338"/>
        <v/>
      </c>
      <c r="AB238" s="22" t="str">
        <f t="shared" si="338"/>
        <v/>
      </c>
      <c r="AC238" s="22" t="str">
        <f t="shared" si="338"/>
        <v/>
      </c>
      <c r="AD238" s="22" t="str">
        <f t="shared" si="338"/>
        <v/>
      </c>
      <c r="AE238" s="22" t="str">
        <f t="shared" si="338"/>
        <v/>
      </c>
      <c r="AF238" s="22" t="str">
        <f t="shared" si="338"/>
        <v/>
      </c>
      <c r="AG238" s="22" t="str">
        <f t="shared" si="338"/>
        <v/>
      </c>
      <c r="AH238" s="22" t="str">
        <f t="shared" si="338"/>
        <v/>
      </c>
      <c r="AI238" s="22" t="str">
        <f t="shared" si="338"/>
        <v/>
      </c>
      <c r="AJ238" s="22" t="str">
        <f t="shared" si="338"/>
        <v/>
      </c>
      <c r="AK238" s="22" t="str">
        <f t="shared" si="338"/>
        <v/>
      </c>
      <c r="AL238" s="22" t="str">
        <f t="shared" si="338"/>
        <v/>
      </c>
      <c r="AM238" s="22" t="str">
        <f t="shared" si="338"/>
        <v/>
      </c>
      <c r="AN238" s="22" t="str">
        <f t="shared" si="338"/>
        <v/>
      </c>
      <c r="AO238" s="22" t="str">
        <f t="shared" si="338"/>
        <v/>
      </c>
      <c r="AP238" s="22" t="str">
        <f t="shared" si="338"/>
        <v/>
      </c>
      <c r="AQ238" s="22" t="str">
        <f t="shared" si="338"/>
        <v/>
      </c>
      <c r="AR238" s="22" t="str">
        <f t="shared" si="338"/>
        <v/>
      </c>
      <c r="AS238" s="22" t="str">
        <f t="shared" si="338"/>
        <v/>
      </c>
      <c r="AT238" s="22" t="str">
        <f t="shared" si="338"/>
        <v/>
      </c>
      <c r="AU238" s="22" t="str">
        <f t="shared" si="338"/>
        <v/>
      </c>
    </row>
    <row r="239" spans="1:47">
      <c r="A239" s="21" t="str">
        <f t="shared" si="335"/>
        <v>3200K</v>
      </c>
      <c r="B239" s="191"/>
      <c r="C239" s="191"/>
      <c r="D239" s="22">
        <f t="shared" si="329"/>
        <v>1000.7321034282356</v>
      </c>
      <c r="E239" s="22">
        <f t="shared" si="330"/>
        <v>1064.7203847963769</v>
      </c>
      <c r="F239" s="22">
        <f t="shared" si="331"/>
        <v>1128.7086661645183</v>
      </c>
      <c r="G239" s="22">
        <f t="shared" si="332"/>
        <v>42.658854245427563</v>
      </c>
      <c r="H239" s="21">
        <f t="shared" si="333"/>
        <v>3200</v>
      </c>
      <c r="I239" s="21"/>
      <c r="J239" s="21"/>
      <c r="K239" s="21"/>
      <c r="P239" s="22">
        <f t="shared" ref="P239:AU239" si="339">IF(COUNT(P113)=1,GC*P113,"")</f>
        <v>1068.0631018620236</v>
      </c>
      <c r="Q239" s="22">
        <f t="shared" si="339"/>
        <v>1100.5422697482204</v>
      </c>
      <c r="R239" s="22">
        <f t="shared" si="339"/>
        <v>1108.2304429765311</v>
      </c>
      <c r="S239" s="22">
        <f t="shared" si="339"/>
        <v>1081.5966586513425</v>
      </c>
      <c r="T239" s="22">
        <f t="shared" si="339"/>
        <v>1033.266762810011</v>
      </c>
      <c r="U239" s="22">
        <f t="shared" si="339"/>
        <v>996.6230727301338</v>
      </c>
      <c r="V239" s="22" t="str">
        <f t="shared" si="339"/>
        <v/>
      </c>
      <c r="W239" s="22" t="str">
        <f t="shared" si="339"/>
        <v/>
      </c>
      <c r="X239" s="22" t="str">
        <f t="shared" si="339"/>
        <v/>
      </c>
      <c r="Y239" s="22" t="str">
        <f t="shared" si="339"/>
        <v/>
      </c>
      <c r="Z239" s="22" t="str">
        <f t="shared" si="339"/>
        <v/>
      </c>
      <c r="AA239" s="22" t="str">
        <f t="shared" si="339"/>
        <v/>
      </c>
      <c r="AB239" s="22" t="str">
        <f t="shared" si="339"/>
        <v/>
      </c>
      <c r="AC239" s="22" t="str">
        <f t="shared" si="339"/>
        <v/>
      </c>
      <c r="AD239" s="22" t="str">
        <f t="shared" si="339"/>
        <v/>
      </c>
      <c r="AE239" s="22" t="str">
        <f t="shared" si="339"/>
        <v/>
      </c>
      <c r="AF239" s="22" t="str">
        <f t="shared" si="339"/>
        <v/>
      </c>
      <c r="AG239" s="22" t="str">
        <f t="shared" si="339"/>
        <v/>
      </c>
      <c r="AH239" s="22" t="str">
        <f t="shared" si="339"/>
        <v/>
      </c>
      <c r="AI239" s="22" t="str">
        <f t="shared" si="339"/>
        <v/>
      </c>
      <c r="AJ239" s="22" t="str">
        <f t="shared" si="339"/>
        <v/>
      </c>
      <c r="AK239" s="22" t="str">
        <f t="shared" si="339"/>
        <v/>
      </c>
      <c r="AL239" s="22" t="str">
        <f t="shared" si="339"/>
        <v/>
      </c>
      <c r="AM239" s="22" t="str">
        <f t="shared" si="339"/>
        <v/>
      </c>
      <c r="AN239" s="22" t="str">
        <f t="shared" si="339"/>
        <v/>
      </c>
      <c r="AO239" s="22" t="str">
        <f t="shared" si="339"/>
        <v/>
      </c>
      <c r="AP239" s="22" t="str">
        <f t="shared" si="339"/>
        <v/>
      </c>
      <c r="AQ239" s="22" t="str">
        <f t="shared" si="339"/>
        <v/>
      </c>
      <c r="AR239" s="22" t="str">
        <f t="shared" si="339"/>
        <v/>
      </c>
      <c r="AS239" s="22" t="str">
        <f t="shared" si="339"/>
        <v/>
      </c>
      <c r="AT239" s="22" t="str">
        <f t="shared" si="339"/>
        <v/>
      </c>
      <c r="AU239" s="22" t="str">
        <f t="shared" si="339"/>
        <v/>
      </c>
    </row>
    <row r="240" spans="1:47">
      <c r="A240" s="21" t="str">
        <f t="shared" si="335"/>
        <v>5500K</v>
      </c>
      <c r="B240" s="191"/>
      <c r="C240" s="191"/>
      <c r="D240" s="22" t="str">
        <f t="shared" si="329"/>
        <v/>
      </c>
      <c r="E240" s="22" t="str">
        <f t="shared" si="330"/>
        <v/>
      </c>
      <c r="F240" s="22" t="str">
        <f t="shared" si="331"/>
        <v/>
      </c>
      <c r="G240" s="22" t="str">
        <f t="shared" si="332"/>
        <v/>
      </c>
      <c r="H240" s="21">
        <f t="shared" si="333"/>
        <v>5500</v>
      </c>
      <c r="I240" s="21"/>
      <c r="J240" s="21"/>
      <c r="K240" s="21"/>
      <c r="P240" s="22" t="str">
        <f t="shared" ref="P240:AU240" si="340">IF(COUNT(P114)=1,GC*P114,"")</f>
        <v/>
      </c>
      <c r="Q240" s="22" t="str">
        <f t="shared" si="340"/>
        <v/>
      </c>
      <c r="R240" s="22" t="str">
        <f t="shared" si="340"/>
        <v/>
      </c>
      <c r="S240" s="22" t="str">
        <f t="shared" si="340"/>
        <v/>
      </c>
      <c r="T240" s="22" t="str">
        <f t="shared" si="340"/>
        <v/>
      </c>
      <c r="U240" s="22" t="str">
        <f t="shared" si="340"/>
        <v/>
      </c>
      <c r="V240" s="22" t="str">
        <f t="shared" si="340"/>
        <v/>
      </c>
      <c r="W240" s="22" t="str">
        <f t="shared" si="340"/>
        <v/>
      </c>
      <c r="X240" s="22" t="str">
        <f t="shared" si="340"/>
        <v/>
      </c>
      <c r="Y240" s="22" t="str">
        <f t="shared" si="340"/>
        <v/>
      </c>
      <c r="Z240" s="22" t="str">
        <f t="shared" si="340"/>
        <v/>
      </c>
      <c r="AA240" s="22" t="str">
        <f t="shared" si="340"/>
        <v/>
      </c>
      <c r="AB240" s="22" t="str">
        <f t="shared" si="340"/>
        <v/>
      </c>
      <c r="AC240" s="22" t="str">
        <f t="shared" si="340"/>
        <v/>
      </c>
      <c r="AD240" s="22" t="str">
        <f t="shared" si="340"/>
        <v/>
      </c>
      <c r="AE240" s="22" t="str">
        <f t="shared" si="340"/>
        <v/>
      </c>
      <c r="AF240" s="22" t="str">
        <f t="shared" si="340"/>
        <v/>
      </c>
      <c r="AG240" s="22" t="str">
        <f t="shared" si="340"/>
        <v/>
      </c>
      <c r="AH240" s="22" t="str">
        <f t="shared" si="340"/>
        <v/>
      </c>
      <c r="AI240" s="22" t="str">
        <f t="shared" si="340"/>
        <v/>
      </c>
      <c r="AJ240" s="22" t="str">
        <f t="shared" si="340"/>
        <v/>
      </c>
      <c r="AK240" s="22" t="str">
        <f t="shared" si="340"/>
        <v/>
      </c>
      <c r="AL240" s="22" t="str">
        <f t="shared" si="340"/>
        <v/>
      </c>
      <c r="AM240" s="22" t="str">
        <f t="shared" si="340"/>
        <v/>
      </c>
      <c r="AN240" s="22" t="str">
        <f t="shared" si="340"/>
        <v/>
      </c>
      <c r="AO240" s="22" t="str">
        <f t="shared" si="340"/>
        <v/>
      </c>
      <c r="AP240" s="22" t="str">
        <f t="shared" si="340"/>
        <v/>
      </c>
      <c r="AQ240" s="22" t="str">
        <f t="shared" si="340"/>
        <v/>
      </c>
      <c r="AR240" s="22" t="str">
        <f t="shared" si="340"/>
        <v/>
      </c>
      <c r="AS240" s="22" t="str">
        <f t="shared" si="340"/>
        <v/>
      </c>
      <c r="AT240" s="22" t="str">
        <f t="shared" si="340"/>
        <v/>
      </c>
      <c r="AU240" s="22" t="str">
        <f t="shared" si="340"/>
        <v/>
      </c>
    </row>
    <row r="241" spans="1:47">
      <c r="A241" s="21" t="str">
        <f t="shared" si="335"/>
        <v>6500K</v>
      </c>
      <c r="B241" s="191"/>
      <c r="C241" s="191"/>
      <c r="D241" s="22" t="str">
        <f t="shared" si="329"/>
        <v/>
      </c>
      <c r="E241" s="22" t="str">
        <f t="shared" si="330"/>
        <v/>
      </c>
      <c r="F241" s="22" t="str">
        <f t="shared" si="331"/>
        <v/>
      </c>
      <c r="G241" s="22" t="str">
        <f t="shared" si="332"/>
        <v/>
      </c>
      <c r="H241" s="21">
        <f t="shared" si="333"/>
        <v>6500</v>
      </c>
      <c r="I241" s="21"/>
      <c r="J241" s="21"/>
      <c r="K241" s="21"/>
      <c r="P241" s="22" t="str">
        <f t="shared" ref="P241:AU241" si="341">IF(COUNT(P115)=1,GC*P115,"")</f>
        <v/>
      </c>
      <c r="Q241" s="22" t="str">
        <f t="shared" si="341"/>
        <v/>
      </c>
      <c r="R241" s="22" t="str">
        <f t="shared" si="341"/>
        <v/>
      </c>
      <c r="S241" s="22" t="str">
        <f t="shared" si="341"/>
        <v/>
      </c>
      <c r="T241" s="22" t="str">
        <f t="shared" si="341"/>
        <v/>
      </c>
      <c r="U241" s="22" t="str">
        <f t="shared" si="341"/>
        <v/>
      </c>
      <c r="V241" s="22" t="str">
        <f t="shared" si="341"/>
        <v/>
      </c>
      <c r="W241" s="22" t="str">
        <f t="shared" si="341"/>
        <v/>
      </c>
      <c r="X241" s="22" t="str">
        <f t="shared" si="341"/>
        <v/>
      </c>
      <c r="Y241" s="22" t="str">
        <f t="shared" si="341"/>
        <v/>
      </c>
      <c r="Z241" s="22" t="str">
        <f t="shared" si="341"/>
        <v/>
      </c>
      <c r="AA241" s="22" t="str">
        <f t="shared" si="341"/>
        <v/>
      </c>
      <c r="AB241" s="22" t="str">
        <f t="shared" si="341"/>
        <v/>
      </c>
      <c r="AC241" s="22" t="str">
        <f t="shared" si="341"/>
        <v/>
      </c>
      <c r="AD241" s="22" t="str">
        <f t="shared" si="341"/>
        <v/>
      </c>
      <c r="AE241" s="22" t="str">
        <f t="shared" si="341"/>
        <v/>
      </c>
      <c r="AF241" s="22" t="str">
        <f t="shared" si="341"/>
        <v/>
      </c>
      <c r="AG241" s="22" t="str">
        <f t="shared" si="341"/>
        <v/>
      </c>
      <c r="AH241" s="22" t="str">
        <f t="shared" si="341"/>
        <v/>
      </c>
      <c r="AI241" s="22" t="str">
        <f t="shared" si="341"/>
        <v/>
      </c>
      <c r="AJ241" s="22" t="str">
        <f t="shared" si="341"/>
        <v/>
      </c>
      <c r="AK241" s="22" t="str">
        <f t="shared" si="341"/>
        <v/>
      </c>
      <c r="AL241" s="22" t="str">
        <f t="shared" si="341"/>
        <v/>
      </c>
      <c r="AM241" s="22" t="str">
        <f t="shared" si="341"/>
        <v/>
      </c>
      <c r="AN241" s="22" t="str">
        <f t="shared" si="341"/>
        <v/>
      </c>
      <c r="AO241" s="22" t="str">
        <f t="shared" si="341"/>
        <v/>
      </c>
      <c r="AP241" s="22" t="str">
        <f t="shared" si="341"/>
        <v/>
      </c>
      <c r="AQ241" s="22" t="str">
        <f t="shared" si="341"/>
        <v/>
      </c>
      <c r="AR241" s="22" t="str">
        <f t="shared" si="341"/>
        <v/>
      </c>
      <c r="AS241" s="22" t="str">
        <f t="shared" si="341"/>
        <v/>
      </c>
      <c r="AT241" s="22" t="str">
        <f t="shared" si="341"/>
        <v/>
      </c>
      <c r="AU241" s="22" t="str">
        <f t="shared" si="341"/>
        <v/>
      </c>
    </row>
    <row r="242" spans="1:47">
      <c r="A242" s="21" t="str">
        <f>A235</f>
        <v>41F02</v>
      </c>
      <c r="B242" s="191" t="str">
        <f>B204</f>
        <v>P1</v>
      </c>
      <c r="C242" s="191"/>
      <c r="D242" s="22" t="str">
        <f t="shared" ref="D242:D248" si="342">IF(COUNT(P242:AU242)=0,"",E242-1.5*G242)</f>
        <v/>
      </c>
      <c r="E242" s="22" t="str">
        <f t="shared" ref="E242:E248" si="343">IF(COUNT(P242:AU242)=0,"",AVERAGE(P242:AU242))</f>
        <v/>
      </c>
      <c r="F242" s="22" t="str">
        <f t="shared" ref="F242:F248" si="344">IF(COUNT(P242:AU242)=0,"",E242+1.5*G242)</f>
        <v/>
      </c>
      <c r="G242" s="22" t="str">
        <f t="shared" ref="G242:G248" si="345">IF(COUNT(P242:AU242)=0,"",STDEV(P242:AU242))</f>
        <v/>
      </c>
      <c r="H242" s="21">
        <f>H235</f>
        <v>3670</v>
      </c>
      <c r="I242" s="21"/>
      <c r="J242" s="21"/>
      <c r="K242" s="21"/>
      <c r="P242" s="22" t="str">
        <f t="shared" ref="P242:AU242" si="346">IF(COUNT(P116)=1,GC*P116,"")</f>
        <v/>
      </c>
      <c r="Q242" s="22" t="str">
        <f t="shared" si="346"/>
        <v/>
      </c>
      <c r="R242" s="22" t="str">
        <f t="shared" si="346"/>
        <v/>
      </c>
      <c r="S242" s="22" t="str">
        <f t="shared" si="346"/>
        <v/>
      </c>
      <c r="T242" s="22" t="str">
        <f t="shared" si="346"/>
        <v/>
      </c>
      <c r="U242" s="22" t="str">
        <f t="shared" si="346"/>
        <v/>
      </c>
      <c r="V242" s="22" t="str">
        <f t="shared" si="346"/>
        <v/>
      </c>
      <c r="W242" s="22" t="str">
        <f t="shared" si="346"/>
        <v/>
      </c>
      <c r="X242" s="22" t="str">
        <f t="shared" si="346"/>
        <v/>
      </c>
      <c r="Y242" s="22" t="str">
        <f t="shared" si="346"/>
        <v/>
      </c>
      <c r="Z242" s="22" t="str">
        <f t="shared" si="346"/>
        <v/>
      </c>
      <c r="AA242" s="22" t="str">
        <f t="shared" si="346"/>
        <v/>
      </c>
      <c r="AB242" s="22" t="str">
        <f t="shared" si="346"/>
        <v/>
      </c>
      <c r="AC242" s="22" t="str">
        <f t="shared" si="346"/>
        <v/>
      </c>
      <c r="AD242" s="22" t="str">
        <f t="shared" si="346"/>
        <v/>
      </c>
      <c r="AE242" s="22" t="str">
        <f t="shared" si="346"/>
        <v/>
      </c>
      <c r="AF242" s="22" t="str">
        <f t="shared" si="346"/>
        <v/>
      </c>
      <c r="AG242" s="22" t="str">
        <f t="shared" si="346"/>
        <v/>
      </c>
      <c r="AH242" s="22" t="str">
        <f t="shared" si="346"/>
        <v/>
      </c>
      <c r="AI242" s="22" t="str">
        <f t="shared" si="346"/>
        <v/>
      </c>
      <c r="AJ242" s="22" t="str">
        <f t="shared" si="346"/>
        <v/>
      </c>
      <c r="AK242" s="22" t="str">
        <f t="shared" si="346"/>
        <v/>
      </c>
      <c r="AL242" s="22" t="str">
        <f t="shared" si="346"/>
        <v/>
      </c>
      <c r="AM242" s="22" t="str">
        <f t="shared" si="346"/>
        <v/>
      </c>
      <c r="AN242" s="22" t="str">
        <f t="shared" si="346"/>
        <v/>
      </c>
      <c r="AO242" s="22" t="str">
        <f t="shared" si="346"/>
        <v/>
      </c>
      <c r="AP242" s="22" t="str">
        <f t="shared" si="346"/>
        <v/>
      </c>
      <c r="AQ242" s="22" t="str">
        <f t="shared" si="346"/>
        <v/>
      </c>
      <c r="AR242" s="22" t="str">
        <f t="shared" si="346"/>
        <v/>
      </c>
      <c r="AS242" s="22" t="str">
        <f t="shared" si="346"/>
        <v/>
      </c>
      <c r="AT242" s="22" t="str">
        <f t="shared" si="346"/>
        <v/>
      </c>
      <c r="AU242" s="22" t="str">
        <f t="shared" si="346"/>
        <v/>
      </c>
    </row>
    <row r="243" spans="1:47">
      <c r="A243" s="21" t="str">
        <f t="shared" ref="A243:A248" si="347">A236</f>
        <v>55F02</v>
      </c>
      <c r="B243" s="191"/>
      <c r="C243" s="191"/>
      <c r="D243" s="22" t="str">
        <f t="shared" si="342"/>
        <v/>
      </c>
      <c r="E243" s="22" t="str">
        <f t="shared" si="343"/>
        <v/>
      </c>
      <c r="F243" s="22" t="str">
        <f t="shared" si="344"/>
        <v/>
      </c>
      <c r="G243" s="22" t="str">
        <f t="shared" si="345"/>
        <v/>
      </c>
      <c r="H243" s="21">
        <f t="shared" ref="H243:H248" si="348">H236</f>
        <v>4430</v>
      </c>
      <c r="I243" s="21"/>
      <c r="J243" s="21"/>
      <c r="K243" s="21"/>
      <c r="P243" s="22" t="str">
        <f t="shared" ref="P243:AU243" si="349">IF(COUNT(P117)=1,GC*P117,"")</f>
        <v/>
      </c>
      <c r="Q243" s="22" t="str">
        <f t="shared" si="349"/>
        <v/>
      </c>
      <c r="R243" s="22" t="str">
        <f t="shared" si="349"/>
        <v/>
      </c>
      <c r="S243" s="22" t="str">
        <f t="shared" si="349"/>
        <v/>
      </c>
      <c r="T243" s="22" t="str">
        <f t="shared" si="349"/>
        <v/>
      </c>
      <c r="U243" s="22" t="str">
        <f t="shared" si="349"/>
        <v/>
      </c>
      <c r="V243" s="22" t="str">
        <f t="shared" si="349"/>
        <v/>
      </c>
      <c r="W243" s="22" t="str">
        <f t="shared" si="349"/>
        <v/>
      </c>
      <c r="X243" s="22" t="str">
        <f t="shared" si="349"/>
        <v/>
      </c>
      <c r="Y243" s="22" t="str">
        <f t="shared" si="349"/>
        <v/>
      </c>
      <c r="Z243" s="22" t="str">
        <f t="shared" si="349"/>
        <v/>
      </c>
      <c r="AA243" s="22" t="str">
        <f t="shared" si="349"/>
        <v/>
      </c>
      <c r="AB243" s="22" t="str">
        <f t="shared" si="349"/>
        <v/>
      </c>
      <c r="AC243" s="22" t="str">
        <f t="shared" si="349"/>
        <v/>
      </c>
      <c r="AD243" s="22" t="str">
        <f t="shared" si="349"/>
        <v/>
      </c>
      <c r="AE243" s="22" t="str">
        <f t="shared" si="349"/>
        <v/>
      </c>
      <c r="AF243" s="22" t="str">
        <f t="shared" si="349"/>
        <v/>
      </c>
      <c r="AG243" s="22" t="str">
        <f t="shared" si="349"/>
        <v/>
      </c>
      <c r="AH243" s="22" t="str">
        <f t="shared" si="349"/>
        <v/>
      </c>
      <c r="AI243" s="22" t="str">
        <f t="shared" si="349"/>
        <v/>
      </c>
      <c r="AJ243" s="22" t="str">
        <f t="shared" si="349"/>
        <v/>
      </c>
      <c r="AK243" s="22" t="str">
        <f t="shared" si="349"/>
        <v/>
      </c>
      <c r="AL243" s="22" t="str">
        <f t="shared" si="349"/>
        <v/>
      </c>
      <c r="AM243" s="22" t="str">
        <f t="shared" si="349"/>
        <v/>
      </c>
      <c r="AN243" s="22" t="str">
        <f t="shared" si="349"/>
        <v/>
      </c>
      <c r="AO243" s="22" t="str">
        <f t="shared" si="349"/>
        <v/>
      </c>
      <c r="AP243" s="22" t="str">
        <f t="shared" si="349"/>
        <v/>
      </c>
      <c r="AQ243" s="22" t="str">
        <f t="shared" si="349"/>
        <v/>
      </c>
      <c r="AR243" s="22" t="str">
        <f t="shared" si="349"/>
        <v/>
      </c>
      <c r="AS243" s="22" t="str">
        <f t="shared" si="349"/>
        <v/>
      </c>
      <c r="AT243" s="22" t="str">
        <f t="shared" si="349"/>
        <v/>
      </c>
      <c r="AU243" s="22" t="str">
        <f t="shared" si="349"/>
        <v/>
      </c>
    </row>
    <row r="244" spans="1:47">
      <c r="A244" s="21" t="str">
        <f t="shared" si="347"/>
        <v>65F01</v>
      </c>
      <c r="B244" s="191"/>
      <c r="C244" s="191"/>
      <c r="D244" s="22" t="str">
        <f t="shared" si="342"/>
        <v/>
      </c>
      <c r="E244" s="22" t="str">
        <f t="shared" si="343"/>
        <v/>
      </c>
      <c r="F244" s="22" t="str">
        <f t="shared" si="344"/>
        <v/>
      </c>
      <c r="G244" s="22" t="str">
        <f t="shared" si="345"/>
        <v/>
      </c>
      <c r="H244" s="21">
        <f t="shared" si="348"/>
        <v>6110</v>
      </c>
      <c r="I244" s="21"/>
      <c r="J244" s="21"/>
      <c r="K244" s="21"/>
      <c r="P244" s="22" t="str">
        <f t="shared" ref="P244:AU244" si="350">IF(COUNT(P118)=1,GC*P118,"")</f>
        <v/>
      </c>
      <c r="Q244" s="22" t="str">
        <f t="shared" si="350"/>
        <v/>
      </c>
      <c r="R244" s="22" t="str">
        <f t="shared" si="350"/>
        <v/>
      </c>
      <c r="S244" s="22" t="str">
        <f t="shared" si="350"/>
        <v/>
      </c>
      <c r="T244" s="22" t="str">
        <f t="shared" si="350"/>
        <v/>
      </c>
      <c r="U244" s="22" t="str">
        <f t="shared" si="350"/>
        <v/>
      </c>
      <c r="V244" s="22" t="str">
        <f t="shared" si="350"/>
        <v/>
      </c>
      <c r="W244" s="22" t="str">
        <f t="shared" si="350"/>
        <v/>
      </c>
      <c r="X244" s="22" t="str">
        <f t="shared" si="350"/>
        <v/>
      </c>
      <c r="Y244" s="22" t="str">
        <f t="shared" si="350"/>
        <v/>
      </c>
      <c r="Z244" s="22" t="str">
        <f t="shared" si="350"/>
        <v/>
      </c>
      <c r="AA244" s="22" t="str">
        <f t="shared" si="350"/>
        <v/>
      </c>
      <c r="AB244" s="22" t="str">
        <f t="shared" si="350"/>
        <v/>
      </c>
      <c r="AC244" s="22" t="str">
        <f t="shared" si="350"/>
        <v/>
      </c>
      <c r="AD244" s="22" t="str">
        <f t="shared" si="350"/>
        <v/>
      </c>
      <c r="AE244" s="22" t="str">
        <f t="shared" si="350"/>
        <v/>
      </c>
      <c r="AF244" s="22" t="str">
        <f t="shared" si="350"/>
        <v/>
      </c>
      <c r="AG244" s="22" t="str">
        <f t="shared" si="350"/>
        <v/>
      </c>
      <c r="AH244" s="22" t="str">
        <f t="shared" si="350"/>
        <v/>
      </c>
      <c r="AI244" s="22" t="str">
        <f t="shared" si="350"/>
        <v/>
      </c>
      <c r="AJ244" s="22" t="str">
        <f t="shared" si="350"/>
        <v/>
      </c>
      <c r="AK244" s="22" t="str">
        <f t="shared" si="350"/>
        <v/>
      </c>
      <c r="AL244" s="22" t="str">
        <f t="shared" si="350"/>
        <v/>
      </c>
      <c r="AM244" s="22" t="str">
        <f t="shared" si="350"/>
        <v/>
      </c>
      <c r="AN244" s="22" t="str">
        <f t="shared" si="350"/>
        <v/>
      </c>
      <c r="AO244" s="22" t="str">
        <f t="shared" si="350"/>
        <v/>
      </c>
      <c r="AP244" s="22" t="str">
        <f t="shared" si="350"/>
        <v/>
      </c>
      <c r="AQ244" s="22" t="str">
        <f t="shared" si="350"/>
        <v/>
      </c>
      <c r="AR244" s="22" t="str">
        <f t="shared" si="350"/>
        <v/>
      </c>
      <c r="AS244" s="22" t="str">
        <f t="shared" si="350"/>
        <v/>
      </c>
      <c r="AT244" s="22" t="str">
        <f t="shared" si="350"/>
        <v/>
      </c>
      <c r="AU244" s="22" t="str">
        <f t="shared" si="350"/>
        <v/>
      </c>
    </row>
    <row r="245" spans="1:47">
      <c r="A245" s="21" t="str">
        <f t="shared" si="347"/>
        <v>2700K</v>
      </c>
      <c r="B245" s="191"/>
      <c r="C245" s="191"/>
      <c r="D245" s="22" t="str">
        <f t="shared" si="342"/>
        <v/>
      </c>
      <c r="E245" s="22" t="str">
        <f t="shared" si="343"/>
        <v/>
      </c>
      <c r="F245" s="22" t="str">
        <f t="shared" si="344"/>
        <v/>
      </c>
      <c r="G245" s="22" t="str">
        <f t="shared" si="345"/>
        <v/>
      </c>
      <c r="H245" s="21">
        <f t="shared" si="348"/>
        <v>2700</v>
      </c>
      <c r="I245" s="21"/>
      <c r="J245" s="21"/>
      <c r="K245" s="21"/>
      <c r="P245" s="22" t="str">
        <f t="shared" ref="P245:AU245" si="351">IF(COUNT(P119)=1,GC*P119,"")</f>
        <v/>
      </c>
      <c r="Q245" s="22" t="str">
        <f t="shared" si="351"/>
        <v/>
      </c>
      <c r="R245" s="22" t="str">
        <f t="shared" si="351"/>
        <v/>
      </c>
      <c r="S245" s="22" t="str">
        <f t="shared" si="351"/>
        <v/>
      </c>
      <c r="T245" s="22" t="str">
        <f t="shared" si="351"/>
        <v/>
      </c>
      <c r="U245" s="22" t="str">
        <f t="shared" si="351"/>
        <v/>
      </c>
      <c r="V245" s="22" t="str">
        <f t="shared" si="351"/>
        <v/>
      </c>
      <c r="W245" s="22" t="str">
        <f t="shared" si="351"/>
        <v/>
      </c>
      <c r="X245" s="22" t="str">
        <f t="shared" si="351"/>
        <v/>
      </c>
      <c r="Y245" s="22" t="str">
        <f t="shared" si="351"/>
        <v/>
      </c>
      <c r="Z245" s="22" t="str">
        <f t="shared" si="351"/>
        <v/>
      </c>
      <c r="AA245" s="22" t="str">
        <f t="shared" si="351"/>
        <v/>
      </c>
      <c r="AB245" s="22" t="str">
        <f t="shared" si="351"/>
        <v/>
      </c>
      <c r="AC245" s="22" t="str">
        <f t="shared" si="351"/>
        <v/>
      </c>
      <c r="AD245" s="22" t="str">
        <f t="shared" si="351"/>
        <v/>
      </c>
      <c r="AE245" s="22" t="str">
        <f t="shared" si="351"/>
        <v/>
      </c>
      <c r="AF245" s="22" t="str">
        <f t="shared" si="351"/>
        <v/>
      </c>
      <c r="AG245" s="22" t="str">
        <f t="shared" si="351"/>
        <v/>
      </c>
      <c r="AH245" s="22" t="str">
        <f t="shared" si="351"/>
        <v/>
      </c>
      <c r="AI245" s="22" t="str">
        <f t="shared" si="351"/>
        <v/>
      </c>
      <c r="AJ245" s="22" t="str">
        <f t="shared" si="351"/>
        <v/>
      </c>
      <c r="AK245" s="22" t="str">
        <f t="shared" si="351"/>
        <v/>
      </c>
      <c r="AL245" s="22" t="str">
        <f t="shared" si="351"/>
        <v/>
      </c>
      <c r="AM245" s="22" t="str">
        <f t="shared" si="351"/>
        <v/>
      </c>
      <c r="AN245" s="22" t="str">
        <f t="shared" si="351"/>
        <v/>
      </c>
      <c r="AO245" s="22" t="str">
        <f t="shared" si="351"/>
        <v/>
      </c>
      <c r="AP245" s="22" t="str">
        <f t="shared" si="351"/>
        <v/>
      </c>
      <c r="AQ245" s="22" t="str">
        <f t="shared" si="351"/>
        <v/>
      </c>
      <c r="AR245" s="22" t="str">
        <f t="shared" si="351"/>
        <v/>
      </c>
      <c r="AS245" s="22" t="str">
        <f t="shared" si="351"/>
        <v/>
      </c>
      <c r="AT245" s="22" t="str">
        <f t="shared" si="351"/>
        <v/>
      </c>
      <c r="AU245" s="22" t="str">
        <f t="shared" si="351"/>
        <v/>
      </c>
    </row>
    <row r="246" spans="1:47">
      <c r="A246" s="21" t="str">
        <f t="shared" si="347"/>
        <v>3200K</v>
      </c>
      <c r="B246" s="191"/>
      <c r="C246" s="191"/>
      <c r="D246" s="22">
        <f t="shared" si="342"/>
        <v>4001.9683250951171</v>
      </c>
      <c r="E246" s="22">
        <f t="shared" si="343"/>
        <v>4257.2926652561919</v>
      </c>
      <c r="F246" s="22">
        <f t="shared" si="344"/>
        <v>4512.6170054172671</v>
      </c>
      <c r="G246" s="22">
        <f t="shared" si="345"/>
        <v>170.21622677404989</v>
      </c>
      <c r="H246" s="21">
        <f t="shared" si="348"/>
        <v>3200</v>
      </c>
      <c r="I246" s="21"/>
      <c r="J246" s="21"/>
      <c r="K246" s="21"/>
      <c r="P246" s="22">
        <f t="shared" ref="P246:AU246" si="352">IF(COUNT(P120)=1,GC*P120,"")</f>
        <v>4272.7267889466066</v>
      </c>
      <c r="Q246" s="22">
        <f t="shared" si="352"/>
        <v>4399.5508580299329</v>
      </c>
      <c r="R246" s="22">
        <f t="shared" si="352"/>
        <v>4430.9421414219432</v>
      </c>
      <c r="S246" s="22">
        <f t="shared" si="352"/>
        <v>4323.7501682001712</v>
      </c>
      <c r="T246" s="22">
        <f t="shared" si="352"/>
        <v>4131.5344340910005</v>
      </c>
      <c r="U246" s="22">
        <f t="shared" si="352"/>
        <v>3985.2516008475009</v>
      </c>
      <c r="V246" s="22" t="str">
        <f t="shared" si="352"/>
        <v/>
      </c>
      <c r="W246" s="22" t="str">
        <f t="shared" si="352"/>
        <v/>
      </c>
      <c r="X246" s="22" t="str">
        <f t="shared" si="352"/>
        <v/>
      </c>
      <c r="Y246" s="22" t="str">
        <f t="shared" si="352"/>
        <v/>
      </c>
      <c r="Z246" s="22" t="str">
        <f t="shared" si="352"/>
        <v/>
      </c>
      <c r="AA246" s="22" t="str">
        <f t="shared" si="352"/>
        <v/>
      </c>
      <c r="AB246" s="22" t="str">
        <f t="shared" si="352"/>
        <v/>
      </c>
      <c r="AC246" s="22" t="str">
        <f t="shared" si="352"/>
        <v/>
      </c>
      <c r="AD246" s="22" t="str">
        <f t="shared" si="352"/>
        <v/>
      </c>
      <c r="AE246" s="22" t="str">
        <f t="shared" si="352"/>
        <v/>
      </c>
      <c r="AF246" s="22" t="str">
        <f t="shared" si="352"/>
        <v/>
      </c>
      <c r="AG246" s="22" t="str">
        <f t="shared" si="352"/>
        <v/>
      </c>
      <c r="AH246" s="22" t="str">
        <f t="shared" si="352"/>
        <v/>
      </c>
      <c r="AI246" s="22" t="str">
        <f t="shared" si="352"/>
        <v/>
      </c>
      <c r="AJ246" s="22" t="str">
        <f t="shared" si="352"/>
        <v/>
      </c>
      <c r="AK246" s="22" t="str">
        <f t="shared" si="352"/>
        <v/>
      </c>
      <c r="AL246" s="22" t="str">
        <f t="shared" si="352"/>
        <v/>
      </c>
      <c r="AM246" s="22" t="str">
        <f t="shared" si="352"/>
        <v/>
      </c>
      <c r="AN246" s="22" t="str">
        <f t="shared" si="352"/>
        <v/>
      </c>
      <c r="AO246" s="22" t="str">
        <f t="shared" si="352"/>
        <v/>
      </c>
      <c r="AP246" s="22" t="str">
        <f t="shared" si="352"/>
        <v/>
      </c>
      <c r="AQ246" s="22" t="str">
        <f t="shared" si="352"/>
        <v/>
      </c>
      <c r="AR246" s="22" t="str">
        <f t="shared" si="352"/>
        <v/>
      </c>
      <c r="AS246" s="22" t="str">
        <f t="shared" si="352"/>
        <v/>
      </c>
      <c r="AT246" s="22" t="str">
        <f t="shared" si="352"/>
        <v/>
      </c>
      <c r="AU246" s="22" t="str">
        <f t="shared" si="352"/>
        <v/>
      </c>
    </row>
    <row r="247" spans="1:47">
      <c r="A247" s="21" t="str">
        <f t="shared" si="347"/>
        <v>5500K</v>
      </c>
      <c r="B247" s="191"/>
      <c r="C247" s="191"/>
      <c r="D247" s="22" t="str">
        <f t="shared" si="342"/>
        <v/>
      </c>
      <c r="E247" s="22" t="str">
        <f t="shared" si="343"/>
        <v/>
      </c>
      <c r="F247" s="22" t="str">
        <f t="shared" si="344"/>
        <v/>
      </c>
      <c r="G247" s="22" t="str">
        <f t="shared" si="345"/>
        <v/>
      </c>
      <c r="H247" s="21">
        <f t="shared" si="348"/>
        <v>5500</v>
      </c>
      <c r="I247" s="21"/>
      <c r="J247" s="21"/>
      <c r="K247" s="21"/>
      <c r="P247" s="22" t="str">
        <f t="shared" ref="P247:AU247" si="353">IF(COUNT(P121)=1,GC*P121,"")</f>
        <v/>
      </c>
      <c r="Q247" s="22" t="str">
        <f t="shared" si="353"/>
        <v/>
      </c>
      <c r="R247" s="22" t="str">
        <f t="shared" si="353"/>
        <v/>
      </c>
      <c r="S247" s="22" t="str">
        <f t="shared" si="353"/>
        <v/>
      </c>
      <c r="T247" s="22" t="str">
        <f t="shared" si="353"/>
        <v/>
      </c>
      <c r="U247" s="22" t="str">
        <f t="shared" si="353"/>
        <v/>
      </c>
      <c r="V247" s="22" t="str">
        <f t="shared" si="353"/>
        <v/>
      </c>
      <c r="W247" s="22" t="str">
        <f t="shared" si="353"/>
        <v/>
      </c>
      <c r="X247" s="22" t="str">
        <f t="shared" si="353"/>
        <v/>
      </c>
      <c r="Y247" s="22" t="str">
        <f t="shared" si="353"/>
        <v/>
      </c>
      <c r="Z247" s="22" t="str">
        <f t="shared" si="353"/>
        <v/>
      </c>
      <c r="AA247" s="22" t="str">
        <f t="shared" si="353"/>
        <v/>
      </c>
      <c r="AB247" s="22" t="str">
        <f t="shared" si="353"/>
        <v/>
      </c>
      <c r="AC247" s="22" t="str">
        <f t="shared" si="353"/>
        <v/>
      </c>
      <c r="AD247" s="22" t="str">
        <f t="shared" si="353"/>
        <v/>
      </c>
      <c r="AE247" s="22" t="str">
        <f t="shared" si="353"/>
        <v/>
      </c>
      <c r="AF247" s="22" t="str">
        <f t="shared" si="353"/>
        <v/>
      </c>
      <c r="AG247" s="22" t="str">
        <f t="shared" si="353"/>
        <v/>
      </c>
      <c r="AH247" s="22" t="str">
        <f t="shared" si="353"/>
        <v/>
      </c>
      <c r="AI247" s="22" t="str">
        <f t="shared" si="353"/>
        <v/>
      </c>
      <c r="AJ247" s="22" t="str">
        <f t="shared" si="353"/>
        <v/>
      </c>
      <c r="AK247" s="22" t="str">
        <f t="shared" si="353"/>
        <v/>
      </c>
      <c r="AL247" s="22" t="str">
        <f t="shared" si="353"/>
        <v/>
      </c>
      <c r="AM247" s="22" t="str">
        <f t="shared" si="353"/>
        <v/>
      </c>
      <c r="AN247" s="22" t="str">
        <f t="shared" si="353"/>
        <v/>
      </c>
      <c r="AO247" s="22" t="str">
        <f t="shared" si="353"/>
        <v/>
      </c>
      <c r="AP247" s="22" t="str">
        <f t="shared" si="353"/>
        <v/>
      </c>
      <c r="AQ247" s="22" t="str">
        <f t="shared" si="353"/>
        <v/>
      </c>
      <c r="AR247" s="22" t="str">
        <f t="shared" si="353"/>
        <v/>
      </c>
      <c r="AS247" s="22" t="str">
        <f t="shared" si="353"/>
        <v/>
      </c>
      <c r="AT247" s="22" t="str">
        <f t="shared" si="353"/>
        <v/>
      </c>
      <c r="AU247" s="22" t="str">
        <f t="shared" si="353"/>
        <v/>
      </c>
    </row>
    <row r="248" spans="1:47">
      <c r="A248" s="21" t="str">
        <f t="shared" si="347"/>
        <v>6500K</v>
      </c>
      <c r="B248" s="191"/>
      <c r="C248" s="191"/>
      <c r="D248" s="22" t="str">
        <f t="shared" si="342"/>
        <v/>
      </c>
      <c r="E248" s="22" t="str">
        <f t="shared" si="343"/>
        <v/>
      </c>
      <c r="F248" s="22" t="str">
        <f t="shared" si="344"/>
        <v/>
      </c>
      <c r="G248" s="22" t="str">
        <f t="shared" si="345"/>
        <v/>
      </c>
      <c r="H248" s="21">
        <f t="shared" si="348"/>
        <v>6500</v>
      </c>
      <c r="I248" s="21"/>
      <c r="J248" s="21"/>
      <c r="K248" s="21"/>
      <c r="P248" s="22" t="str">
        <f t="shared" ref="P248:AU248" si="354">IF(COUNT(P122)=1,GC*P122,"")</f>
        <v/>
      </c>
      <c r="Q248" s="22" t="str">
        <f t="shared" si="354"/>
        <v/>
      </c>
      <c r="R248" s="22" t="str">
        <f t="shared" si="354"/>
        <v/>
      </c>
      <c r="S248" s="22" t="str">
        <f t="shared" si="354"/>
        <v/>
      </c>
      <c r="T248" s="22" t="str">
        <f t="shared" si="354"/>
        <v/>
      </c>
      <c r="U248" s="22" t="str">
        <f t="shared" si="354"/>
        <v/>
      </c>
      <c r="V248" s="22" t="str">
        <f t="shared" si="354"/>
        <v/>
      </c>
      <c r="W248" s="22" t="str">
        <f t="shared" si="354"/>
        <v/>
      </c>
      <c r="X248" s="22" t="str">
        <f t="shared" si="354"/>
        <v/>
      </c>
      <c r="Y248" s="22" t="str">
        <f t="shared" si="354"/>
        <v/>
      </c>
      <c r="Z248" s="22" t="str">
        <f t="shared" si="354"/>
        <v/>
      </c>
      <c r="AA248" s="22" t="str">
        <f t="shared" si="354"/>
        <v/>
      </c>
      <c r="AB248" s="22" t="str">
        <f t="shared" si="354"/>
        <v/>
      </c>
      <c r="AC248" s="22" t="str">
        <f t="shared" si="354"/>
        <v/>
      </c>
      <c r="AD248" s="22" t="str">
        <f t="shared" si="354"/>
        <v/>
      </c>
      <c r="AE248" s="22" t="str">
        <f t="shared" si="354"/>
        <v/>
      </c>
      <c r="AF248" s="22" t="str">
        <f t="shared" si="354"/>
        <v/>
      </c>
      <c r="AG248" s="22" t="str">
        <f t="shared" si="354"/>
        <v/>
      </c>
      <c r="AH248" s="22" t="str">
        <f t="shared" si="354"/>
        <v/>
      </c>
      <c r="AI248" s="22" t="str">
        <f t="shared" si="354"/>
        <v/>
      </c>
      <c r="AJ248" s="22" t="str">
        <f t="shared" si="354"/>
        <v/>
      </c>
      <c r="AK248" s="22" t="str">
        <f t="shared" si="354"/>
        <v/>
      </c>
      <c r="AL248" s="22" t="str">
        <f t="shared" si="354"/>
        <v/>
      </c>
      <c r="AM248" s="22" t="str">
        <f t="shared" si="354"/>
        <v/>
      </c>
      <c r="AN248" s="22" t="str">
        <f t="shared" si="354"/>
        <v/>
      </c>
      <c r="AO248" s="22" t="str">
        <f t="shared" si="354"/>
        <v/>
      </c>
      <c r="AP248" s="22" t="str">
        <f t="shared" si="354"/>
        <v/>
      </c>
      <c r="AQ248" s="22" t="str">
        <f t="shared" si="354"/>
        <v/>
      </c>
      <c r="AR248" s="22" t="str">
        <f t="shared" si="354"/>
        <v/>
      </c>
      <c r="AS248" s="22" t="str">
        <f t="shared" si="354"/>
        <v/>
      </c>
      <c r="AT248" s="22" t="str">
        <f t="shared" si="354"/>
        <v/>
      </c>
      <c r="AU248" s="22" t="str">
        <f t="shared" si="354"/>
        <v/>
      </c>
    </row>
    <row r="249" spans="1:47">
      <c r="E249" s="27"/>
    </row>
    <row r="250" spans="1:47">
      <c r="A250" s="21" t="str">
        <f>A134</f>
        <v>41F02</v>
      </c>
      <c r="B250" s="191" t="str">
        <f>B235</f>
        <v>P0</v>
      </c>
      <c r="C250" s="191" t="str">
        <f>C134</f>
        <v>Range2</v>
      </c>
      <c r="D250" s="22" t="str">
        <f t="shared" ref="D250:D256" si="355">IF(COUNT(P250:AU250)=0,"",E250-1.5*G250)</f>
        <v/>
      </c>
      <c r="E250" s="22" t="str">
        <f t="shared" ref="E250:E256" si="356">IF(COUNT(P250:AU250)=0,"",AVERAGE(P250:AU250))</f>
        <v/>
      </c>
      <c r="F250" s="22" t="str">
        <f t="shared" ref="F250:F256" si="357">IF(COUNT(P250:AU250)=0,"",E250+1.5*G250)</f>
        <v/>
      </c>
      <c r="G250" s="22" t="str">
        <f t="shared" ref="G250:G256" si="358">IF(COUNT(P250:AU250)=0,"",STDEV(P250:AU250))</f>
        <v/>
      </c>
      <c r="H250" s="21">
        <f>H134</f>
        <v>3670</v>
      </c>
      <c r="I250" s="21"/>
      <c r="J250" s="21"/>
      <c r="K250" s="21"/>
      <c r="P250" s="22" t="str">
        <f t="shared" ref="P250:AU250" si="359">IF(COUNT(P134)=1,GC*P134,"")</f>
        <v/>
      </c>
      <c r="Q250" s="22" t="str">
        <f t="shared" si="359"/>
        <v/>
      </c>
      <c r="R250" s="22" t="str">
        <f t="shared" si="359"/>
        <v/>
      </c>
      <c r="S250" s="22" t="str">
        <f t="shared" si="359"/>
        <v/>
      </c>
      <c r="T250" s="22" t="str">
        <f t="shared" si="359"/>
        <v/>
      </c>
      <c r="U250" s="22" t="str">
        <f t="shared" si="359"/>
        <v/>
      </c>
      <c r="V250" s="22" t="str">
        <f t="shared" si="359"/>
        <v/>
      </c>
      <c r="W250" s="22" t="str">
        <f t="shared" si="359"/>
        <v/>
      </c>
      <c r="X250" s="22" t="str">
        <f t="shared" si="359"/>
        <v/>
      </c>
      <c r="Y250" s="22" t="str">
        <f t="shared" si="359"/>
        <v/>
      </c>
      <c r="Z250" s="22" t="str">
        <f t="shared" si="359"/>
        <v/>
      </c>
      <c r="AA250" s="22" t="str">
        <f t="shared" si="359"/>
        <v/>
      </c>
      <c r="AB250" s="22" t="str">
        <f t="shared" si="359"/>
        <v/>
      </c>
      <c r="AC250" s="22" t="str">
        <f t="shared" si="359"/>
        <v/>
      </c>
      <c r="AD250" s="22" t="str">
        <f t="shared" si="359"/>
        <v/>
      </c>
      <c r="AE250" s="22" t="str">
        <f t="shared" si="359"/>
        <v/>
      </c>
      <c r="AF250" s="22" t="str">
        <f t="shared" si="359"/>
        <v/>
      </c>
      <c r="AG250" s="22" t="str">
        <f t="shared" si="359"/>
        <v/>
      </c>
      <c r="AH250" s="22" t="str">
        <f t="shared" si="359"/>
        <v/>
      </c>
      <c r="AI250" s="22" t="str">
        <f t="shared" si="359"/>
        <v/>
      </c>
      <c r="AJ250" s="22" t="str">
        <f t="shared" si="359"/>
        <v/>
      </c>
      <c r="AK250" s="22" t="str">
        <f t="shared" si="359"/>
        <v/>
      </c>
      <c r="AL250" s="22" t="str">
        <f t="shared" si="359"/>
        <v/>
      </c>
      <c r="AM250" s="22" t="str">
        <f t="shared" si="359"/>
        <v/>
      </c>
      <c r="AN250" s="22" t="str">
        <f t="shared" si="359"/>
        <v/>
      </c>
      <c r="AO250" s="22" t="str">
        <f t="shared" si="359"/>
        <v/>
      </c>
      <c r="AP250" s="22" t="str">
        <f t="shared" si="359"/>
        <v/>
      </c>
      <c r="AQ250" s="22" t="str">
        <f t="shared" si="359"/>
        <v/>
      </c>
      <c r="AR250" s="22" t="str">
        <f t="shared" si="359"/>
        <v/>
      </c>
      <c r="AS250" s="22" t="str">
        <f t="shared" si="359"/>
        <v/>
      </c>
      <c r="AT250" s="22" t="str">
        <f t="shared" si="359"/>
        <v/>
      </c>
      <c r="AU250" s="22" t="str">
        <f t="shared" si="359"/>
        <v/>
      </c>
    </row>
    <row r="251" spans="1:47">
      <c r="A251" s="21" t="str">
        <f t="shared" ref="A251:A256" si="360">A135</f>
        <v>55F02</v>
      </c>
      <c r="B251" s="191"/>
      <c r="C251" s="191"/>
      <c r="D251" s="22" t="str">
        <f t="shared" si="355"/>
        <v/>
      </c>
      <c r="E251" s="22" t="str">
        <f t="shared" si="356"/>
        <v/>
      </c>
      <c r="F251" s="22" t="str">
        <f t="shared" si="357"/>
        <v/>
      </c>
      <c r="G251" s="22" t="str">
        <f t="shared" si="358"/>
        <v/>
      </c>
      <c r="H251" s="21">
        <f t="shared" ref="H251:H270" si="361">H135</f>
        <v>4430</v>
      </c>
      <c r="I251" s="21"/>
      <c r="J251" s="21"/>
      <c r="K251" s="21"/>
      <c r="P251" s="22" t="str">
        <f t="shared" ref="P251:AU251" si="362">IF(COUNT(P135)=1,GC*P135,"")</f>
        <v/>
      </c>
      <c r="Q251" s="22" t="str">
        <f t="shared" si="362"/>
        <v/>
      </c>
      <c r="R251" s="22" t="str">
        <f t="shared" si="362"/>
        <v/>
      </c>
      <c r="S251" s="22" t="str">
        <f t="shared" si="362"/>
        <v/>
      </c>
      <c r="T251" s="22" t="str">
        <f t="shared" si="362"/>
        <v/>
      </c>
      <c r="U251" s="22" t="str">
        <f t="shared" si="362"/>
        <v/>
      </c>
      <c r="V251" s="22" t="str">
        <f t="shared" si="362"/>
        <v/>
      </c>
      <c r="W251" s="22" t="str">
        <f t="shared" si="362"/>
        <v/>
      </c>
      <c r="X251" s="22" t="str">
        <f t="shared" si="362"/>
        <v/>
      </c>
      <c r="Y251" s="22" t="str">
        <f t="shared" si="362"/>
        <v/>
      </c>
      <c r="Z251" s="22" t="str">
        <f t="shared" si="362"/>
        <v/>
      </c>
      <c r="AA251" s="22" t="str">
        <f t="shared" si="362"/>
        <v/>
      </c>
      <c r="AB251" s="22" t="str">
        <f t="shared" si="362"/>
        <v/>
      </c>
      <c r="AC251" s="22" t="str">
        <f t="shared" si="362"/>
        <v/>
      </c>
      <c r="AD251" s="22" t="str">
        <f t="shared" si="362"/>
        <v/>
      </c>
      <c r="AE251" s="22" t="str">
        <f t="shared" si="362"/>
        <v/>
      </c>
      <c r="AF251" s="22" t="str">
        <f t="shared" si="362"/>
        <v/>
      </c>
      <c r="AG251" s="22" t="str">
        <f t="shared" si="362"/>
        <v/>
      </c>
      <c r="AH251" s="22" t="str">
        <f t="shared" si="362"/>
        <v/>
      </c>
      <c r="AI251" s="22" t="str">
        <f t="shared" si="362"/>
        <v/>
      </c>
      <c r="AJ251" s="22" t="str">
        <f t="shared" si="362"/>
        <v/>
      </c>
      <c r="AK251" s="22" t="str">
        <f t="shared" si="362"/>
        <v/>
      </c>
      <c r="AL251" s="22" t="str">
        <f t="shared" si="362"/>
        <v/>
      </c>
      <c r="AM251" s="22" t="str">
        <f t="shared" si="362"/>
        <v/>
      </c>
      <c r="AN251" s="22" t="str">
        <f t="shared" si="362"/>
        <v/>
      </c>
      <c r="AO251" s="22" t="str">
        <f t="shared" si="362"/>
        <v/>
      </c>
      <c r="AP251" s="22" t="str">
        <f t="shared" si="362"/>
        <v/>
      </c>
      <c r="AQ251" s="22" t="str">
        <f t="shared" si="362"/>
        <v/>
      </c>
      <c r="AR251" s="22" t="str">
        <f t="shared" si="362"/>
        <v/>
      </c>
      <c r="AS251" s="22" t="str">
        <f t="shared" si="362"/>
        <v/>
      </c>
      <c r="AT251" s="22" t="str">
        <f t="shared" si="362"/>
        <v/>
      </c>
      <c r="AU251" s="22" t="str">
        <f t="shared" si="362"/>
        <v/>
      </c>
    </row>
    <row r="252" spans="1:47">
      <c r="A252" s="21" t="str">
        <f t="shared" si="360"/>
        <v>65F01</v>
      </c>
      <c r="B252" s="191"/>
      <c r="C252" s="191"/>
      <c r="D252" s="22" t="str">
        <f t="shared" si="355"/>
        <v/>
      </c>
      <c r="E252" s="22" t="str">
        <f t="shared" si="356"/>
        <v/>
      </c>
      <c r="F252" s="22" t="str">
        <f t="shared" si="357"/>
        <v/>
      </c>
      <c r="G252" s="22" t="str">
        <f t="shared" si="358"/>
        <v/>
      </c>
      <c r="H252" s="21">
        <f t="shared" si="361"/>
        <v>6110</v>
      </c>
      <c r="I252" s="21"/>
      <c r="J252" s="21"/>
      <c r="K252" s="21"/>
      <c r="P252" s="22" t="str">
        <f t="shared" ref="P252:AU252" si="363">IF(COUNT(P136)=1,GC*P136,"")</f>
        <v/>
      </c>
      <c r="Q252" s="22" t="str">
        <f t="shared" si="363"/>
        <v/>
      </c>
      <c r="R252" s="22" t="str">
        <f t="shared" si="363"/>
        <v/>
      </c>
      <c r="S252" s="22" t="str">
        <f t="shared" si="363"/>
        <v/>
      </c>
      <c r="T252" s="22" t="str">
        <f t="shared" si="363"/>
        <v/>
      </c>
      <c r="U252" s="22" t="str">
        <f t="shared" si="363"/>
        <v/>
      </c>
      <c r="V252" s="22" t="str">
        <f t="shared" si="363"/>
        <v/>
      </c>
      <c r="W252" s="22" t="str">
        <f t="shared" si="363"/>
        <v/>
      </c>
      <c r="X252" s="22" t="str">
        <f t="shared" si="363"/>
        <v/>
      </c>
      <c r="Y252" s="22" t="str">
        <f t="shared" si="363"/>
        <v/>
      </c>
      <c r="Z252" s="22" t="str">
        <f t="shared" si="363"/>
        <v/>
      </c>
      <c r="AA252" s="22" t="str">
        <f t="shared" si="363"/>
        <v/>
      </c>
      <c r="AB252" s="22" t="str">
        <f t="shared" si="363"/>
        <v/>
      </c>
      <c r="AC252" s="22" t="str">
        <f t="shared" si="363"/>
        <v/>
      </c>
      <c r="AD252" s="22" t="str">
        <f t="shared" si="363"/>
        <v/>
      </c>
      <c r="AE252" s="22" t="str">
        <f t="shared" si="363"/>
        <v/>
      </c>
      <c r="AF252" s="22" t="str">
        <f t="shared" si="363"/>
        <v/>
      </c>
      <c r="AG252" s="22" t="str">
        <f t="shared" si="363"/>
        <v/>
      </c>
      <c r="AH252" s="22" t="str">
        <f t="shared" si="363"/>
        <v/>
      </c>
      <c r="AI252" s="22" t="str">
        <f t="shared" si="363"/>
        <v/>
      </c>
      <c r="AJ252" s="22" t="str">
        <f t="shared" si="363"/>
        <v/>
      </c>
      <c r="AK252" s="22" t="str">
        <f t="shared" si="363"/>
        <v/>
      </c>
      <c r="AL252" s="22" t="str">
        <f t="shared" si="363"/>
        <v/>
      </c>
      <c r="AM252" s="22" t="str">
        <f t="shared" si="363"/>
        <v/>
      </c>
      <c r="AN252" s="22" t="str">
        <f t="shared" si="363"/>
        <v/>
      </c>
      <c r="AO252" s="22" t="str">
        <f t="shared" si="363"/>
        <v/>
      </c>
      <c r="AP252" s="22" t="str">
        <f t="shared" si="363"/>
        <v/>
      </c>
      <c r="AQ252" s="22" t="str">
        <f t="shared" si="363"/>
        <v/>
      </c>
      <c r="AR252" s="22" t="str">
        <f t="shared" si="363"/>
        <v/>
      </c>
      <c r="AS252" s="22" t="str">
        <f t="shared" si="363"/>
        <v/>
      </c>
      <c r="AT252" s="22" t="str">
        <f t="shared" si="363"/>
        <v/>
      </c>
      <c r="AU252" s="22" t="str">
        <f t="shared" si="363"/>
        <v/>
      </c>
    </row>
    <row r="253" spans="1:47">
      <c r="A253" s="21" t="str">
        <f t="shared" si="360"/>
        <v>2700K</v>
      </c>
      <c r="B253" s="191"/>
      <c r="C253" s="191"/>
      <c r="D253" s="22" t="str">
        <f t="shared" si="355"/>
        <v/>
      </c>
      <c r="E253" s="22" t="str">
        <f t="shared" si="356"/>
        <v/>
      </c>
      <c r="F253" s="22" t="str">
        <f t="shared" si="357"/>
        <v/>
      </c>
      <c r="G253" s="22" t="str">
        <f t="shared" si="358"/>
        <v/>
      </c>
      <c r="H253" s="21">
        <f t="shared" si="361"/>
        <v>2700</v>
      </c>
      <c r="I253" s="21"/>
      <c r="J253" s="21"/>
      <c r="K253" s="21"/>
      <c r="P253" s="22" t="str">
        <f t="shared" ref="P253:AU253" si="364">IF(COUNT(P137)=1,GC*P137,"")</f>
        <v/>
      </c>
      <c r="Q253" s="22" t="str">
        <f t="shared" si="364"/>
        <v/>
      </c>
      <c r="R253" s="22" t="str">
        <f t="shared" si="364"/>
        <v/>
      </c>
      <c r="S253" s="22" t="str">
        <f t="shared" si="364"/>
        <v/>
      </c>
      <c r="T253" s="22" t="str">
        <f t="shared" si="364"/>
        <v/>
      </c>
      <c r="U253" s="22" t="str">
        <f t="shared" si="364"/>
        <v/>
      </c>
      <c r="V253" s="22" t="str">
        <f t="shared" si="364"/>
        <v/>
      </c>
      <c r="W253" s="22" t="str">
        <f t="shared" si="364"/>
        <v/>
      </c>
      <c r="X253" s="22" t="str">
        <f t="shared" si="364"/>
        <v/>
      </c>
      <c r="Y253" s="22" t="str">
        <f t="shared" si="364"/>
        <v/>
      </c>
      <c r="Z253" s="22" t="str">
        <f t="shared" si="364"/>
        <v/>
      </c>
      <c r="AA253" s="22" t="str">
        <f t="shared" si="364"/>
        <v/>
      </c>
      <c r="AB253" s="22" t="str">
        <f t="shared" si="364"/>
        <v/>
      </c>
      <c r="AC253" s="22" t="str">
        <f t="shared" si="364"/>
        <v/>
      </c>
      <c r="AD253" s="22" t="str">
        <f t="shared" si="364"/>
        <v/>
      </c>
      <c r="AE253" s="22" t="str">
        <f t="shared" si="364"/>
        <v/>
      </c>
      <c r="AF253" s="22" t="str">
        <f t="shared" si="364"/>
        <v/>
      </c>
      <c r="AG253" s="22" t="str">
        <f t="shared" si="364"/>
        <v/>
      </c>
      <c r="AH253" s="22" t="str">
        <f t="shared" si="364"/>
        <v/>
      </c>
      <c r="AI253" s="22" t="str">
        <f t="shared" si="364"/>
        <v/>
      </c>
      <c r="AJ253" s="22" t="str">
        <f t="shared" si="364"/>
        <v/>
      </c>
      <c r="AK253" s="22" t="str">
        <f t="shared" si="364"/>
        <v/>
      </c>
      <c r="AL253" s="22" t="str">
        <f t="shared" si="364"/>
        <v/>
      </c>
      <c r="AM253" s="22" t="str">
        <f t="shared" si="364"/>
        <v/>
      </c>
      <c r="AN253" s="22" t="str">
        <f t="shared" si="364"/>
        <v/>
      </c>
      <c r="AO253" s="22" t="str">
        <f t="shared" si="364"/>
        <v/>
      </c>
      <c r="AP253" s="22" t="str">
        <f t="shared" si="364"/>
        <v/>
      </c>
      <c r="AQ253" s="22" t="str">
        <f t="shared" si="364"/>
        <v/>
      </c>
      <c r="AR253" s="22" t="str">
        <f t="shared" si="364"/>
        <v/>
      </c>
      <c r="AS253" s="22" t="str">
        <f t="shared" si="364"/>
        <v/>
      </c>
      <c r="AT253" s="22" t="str">
        <f t="shared" si="364"/>
        <v/>
      </c>
      <c r="AU253" s="22" t="str">
        <f t="shared" si="364"/>
        <v/>
      </c>
    </row>
    <row r="254" spans="1:47">
      <c r="A254" s="21" t="str">
        <f t="shared" si="360"/>
        <v>3200K</v>
      </c>
      <c r="B254" s="191"/>
      <c r="C254" s="191"/>
      <c r="D254" s="22">
        <f t="shared" si="355"/>
        <v>794.89967825851454</v>
      </c>
      <c r="E254" s="22">
        <f t="shared" si="356"/>
        <v>956.64502807897532</v>
      </c>
      <c r="F254" s="22">
        <f t="shared" si="357"/>
        <v>1118.3903778994361</v>
      </c>
      <c r="G254" s="22">
        <f t="shared" si="358"/>
        <v>107.83023321364053</v>
      </c>
      <c r="H254" s="21">
        <f t="shared" si="361"/>
        <v>3200</v>
      </c>
      <c r="I254" s="21"/>
      <c r="J254" s="21"/>
      <c r="K254" s="21"/>
      <c r="P254" s="22">
        <f t="shared" ref="P254:AU254" si="365">IF(COUNT(P138)=1,GC*P138,"")</f>
        <v>936.62977793016103</v>
      </c>
      <c r="Q254" s="22">
        <f t="shared" si="365"/>
        <v>1038.3846093612804</v>
      </c>
      <c r="R254" s="22">
        <f t="shared" si="365"/>
        <v>1094.297767137982</v>
      </c>
      <c r="S254" s="22">
        <f t="shared" si="365"/>
        <v>988.70227011312932</v>
      </c>
      <c r="T254" s="22">
        <f t="shared" si="365"/>
        <v>887.28497936364454</v>
      </c>
      <c r="U254" s="22">
        <f t="shared" si="365"/>
        <v>794.57076456765526</v>
      </c>
      <c r="V254" s="22" t="str">
        <f t="shared" si="365"/>
        <v/>
      </c>
      <c r="W254" s="22" t="str">
        <f t="shared" si="365"/>
        <v/>
      </c>
      <c r="X254" s="22" t="str">
        <f t="shared" si="365"/>
        <v/>
      </c>
      <c r="Y254" s="22" t="str">
        <f t="shared" si="365"/>
        <v/>
      </c>
      <c r="Z254" s="22" t="str">
        <f t="shared" si="365"/>
        <v/>
      </c>
      <c r="AA254" s="22" t="str">
        <f t="shared" si="365"/>
        <v/>
      </c>
      <c r="AB254" s="22" t="str">
        <f t="shared" si="365"/>
        <v/>
      </c>
      <c r="AC254" s="22" t="str">
        <f t="shared" si="365"/>
        <v/>
      </c>
      <c r="AD254" s="22" t="str">
        <f t="shared" si="365"/>
        <v/>
      </c>
      <c r="AE254" s="22" t="str">
        <f t="shared" si="365"/>
        <v/>
      </c>
      <c r="AF254" s="22" t="str">
        <f t="shared" si="365"/>
        <v/>
      </c>
      <c r="AG254" s="22" t="str">
        <f t="shared" si="365"/>
        <v/>
      </c>
      <c r="AH254" s="22" t="str">
        <f t="shared" si="365"/>
        <v/>
      </c>
      <c r="AI254" s="22" t="str">
        <f t="shared" si="365"/>
        <v/>
      </c>
      <c r="AJ254" s="22" t="str">
        <f t="shared" si="365"/>
        <v/>
      </c>
      <c r="AK254" s="22" t="str">
        <f t="shared" si="365"/>
        <v/>
      </c>
      <c r="AL254" s="22" t="str">
        <f t="shared" si="365"/>
        <v/>
      </c>
      <c r="AM254" s="22" t="str">
        <f t="shared" si="365"/>
        <v/>
      </c>
      <c r="AN254" s="22" t="str">
        <f t="shared" si="365"/>
        <v/>
      </c>
      <c r="AO254" s="22" t="str">
        <f t="shared" si="365"/>
        <v/>
      </c>
      <c r="AP254" s="22" t="str">
        <f t="shared" si="365"/>
        <v/>
      </c>
      <c r="AQ254" s="22" t="str">
        <f t="shared" si="365"/>
        <v/>
      </c>
      <c r="AR254" s="22" t="str">
        <f t="shared" si="365"/>
        <v/>
      </c>
      <c r="AS254" s="22" t="str">
        <f t="shared" si="365"/>
        <v/>
      </c>
      <c r="AT254" s="22" t="str">
        <f t="shared" si="365"/>
        <v/>
      </c>
      <c r="AU254" s="22" t="str">
        <f t="shared" si="365"/>
        <v/>
      </c>
    </row>
    <row r="255" spans="1:47">
      <c r="A255" s="21" t="str">
        <f t="shared" si="360"/>
        <v>5500K</v>
      </c>
      <c r="B255" s="191"/>
      <c r="C255" s="191"/>
      <c r="D255" s="22" t="str">
        <f t="shared" si="355"/>
        <v/>
      </c>
      <c r="E255" s="22" t="str">
        <f t="shared" si="356"/>
        <v/>
      </c>
      <c r="F255" s="22" t="str">
        <f t="shared" si="357"/>
        <v/>
      </c>
      <c r="G255" s="22" t="str">
        <f t="shared" si="358"/>
        <v/>
      </c>
      <c r="H255" s="21">
        <f t="shared" si="361"/>
        <v>5500</v>
      </c>
      <c r="I255" s="21"/>
      <c r="J255" s="21"/>
      <c r="K255" s="21"/>
      <c r="P255" s="22" t="str">
        <f t="shared" ref="P255:AU255" si="366">IF(COUNT(P139)=1,GC*P139,"")</f>
        <v/>
      </c>
      <c r="Q255" s="22" t="str">
        <f t="shared" si="366"/>
        <v/>
      </c>
      <c r="R255" s="22" t="str">
        <f t="shared" si="366"/>
        <v/>
      </c>
      <c r="S255" s="22" t="str">
        <f t="shared" si="366"/>
        <v/>
      </c>
      <c r="T255" s="22" t="str">
        <f t="shared" si="366"/>
        <v/>
      </c>
      <c r="U255" s="22" t="str">
        <f t="shared" si="366"/>
        <v/>
      </c>
      <c r="V255" s="22" t="str">
        <f t="shared" si="366"/>
        <v/>
      </c>
      <c r="W255" s="22" t="str">
        <f t="shared" si="366"/>
        <v/>
      </c>
      <c r="X255" s="22" t="str">
        <f t="shared" si="366"/>
        <v/>
      </c>
      <c r="Y255" s="22" t="str">
        <f t="shared" si="366"/>
        <v/>
      </c>
      <c r="Z255" s="22" t="str">
        <f t="shared" si="366"/>
        <v/>
      </c>
      <c r="AA255" s="22" t="str">
        <f t="shared" si="366"/>
        <v/>
      </c>
      <c r="AB255" s="22" t="str">
        <f t="shared" si="366"/>
        <v/>
      </c>
      <c r="AC255" s="22" t="str">
        <f t="shared" si="366"/>
        <v/>
      </c>
      <c r="AD255" s="22" t="str">
        <f t="shared" si="366"/>
        <v/>
      </c>
      <c r="AE255" s="22" t="str">
        <f t="shared" si="366"/>
        <v/>
      </c>
      <c r="AF255" s="22" t="str">
        <f t="shared" si="366"/>
        <v/>
      </c>
      <c r="AG255" s="22" t="str">
        <f t="shared" si="366"/>
        <v/>
      </c>
      <c r="AH255" s="22" t="str">
        <f t="shared" si="366"/>
        <v/>
      </c>
      <c r="AI255" s="22" t="str">
        <f t="shared" si="366"/>
        <v/>
      </c>
      <c r="AJ255" s="22" t="str">
        <f t="shared" si="366"/>
        <v/>
      </c>
      <c r="AK255" s="22" t="str">
        <f t="shared" si="366"/>
        <v/>
      </c>
      <c r="AL255" s="22" t="str">
        <f t="shared" si="366"/>
        <v/>
      </c>
      <c r="AM255" s="22" t="str">
        <f t="shared" si="366"/>
        <v/>
      </c>
      <c r="AN255" s="22" t="str">
        <f t="shared" si="366"/>
        <v/>
      </c>
      <c r="AO255" s="22" t="str">
        <f t="shared" si="366"/>
        <v/>
      </c>
      <c r="AP255" s="22" t="str">
        <f t="shared" si="366"/>
        <v/>
      </c>
      <c r="AQ255" s="22" t="str">
        <f t="shared" si="366"/>
        <v/>
      </c>
      <c r="AR255" s="22" t="str">
        <f t="shared" si="366"/>
        <v/>
      </c>
      <c r="AS255" s="22" t="str">
        <f t="shared" si="366"/>
        <v/>
      </c>
      <c r="AT255" s="22" t="str">
        <f t="shared" si="366"/>
        <v/>
      </c>
      <c r="AU255" s="22" t="str">
        <f t="shared" si="366"/>
        <v/>
      </c>
    </row>
    <row r="256" spans="1:47">
      <c r="A256" s="21" t="str">
        <f t="shared" si="360"/>
        <v>6500K</v>
      </c>
      <c r="B256" s="191"/>
      <c r="C256" s="191"/>
      <c r="D256" s="22" t="str">
        <f t="shared" si="355"/>
        <v/>
      </c>
      <c r="E256" s="22" t="str">
        <f t="shared" si="356"/>
        <v/>
      </c>
      <c r="F256" s="22" t="str">
        <f t="shared" si="357"/>
        <v/>
      </c>
      <c r="G256" s="22" t="str">
        <f t="shared" si="358"/>
        <v/>
      </c>
      <c r="H256" s="21">
        <f t="shared" si="361"/>
        <v>6500</v>
      </c>
      <c r="I256" s="21"/>
      <c r="J256" s="21"/>
      <c r="K256" s="21"/>
      <c r="P256" s="22" t="str">
        <f t="shared" ref="P256:AU256" si="367">IF(COUNT(P140)=1,GC*P140,"")</f>
        <v/>
      </c>
      <c r="Q256" s="22" t="str">
        <f t="shared" si="367"/>
        <v/>
      </c>
      <c r="R256" s="22" t="str">
        <f t="shared" si="367"/>
        <v/>
      </c>
      <c r="S256" s="22" t="str">
        <f t="shared" si="367"/>
        <v/>
      </c>
      <c r="T256" s="22" t="str">
        <f t="shared" si="367"/>
        <v/>
      </c>
      <c r="U256" s="22" t="str">
        <f t="shared" si="367"/>
        <v/>
      </c>
      <c r="V256" s="22" t="str">
        <f t="shared" si="367"/>
        <v/>
      </c>
      <c r="W256" s="22" t="str">
        <f t="shared" si="367"/>
        <v/>
      </c>
      <c r="X256" s="22" t="str">
        <f t="shared" si="367"/>
        <v/>
      </c>
      <c r="Y256" s="22" t="str">
        <f t="shared" si="367"/>
        <v/>
      </c>
      <c r="Z256" s="22" t="str">
        <f t="shared" si="367"/>
        <v/>
      </c>
      <c r="AA256" s="22" t="str">
        <f t="shared" si="367"/>
        <v/>
      </c>
      <c r="AB256" s="22" t="str">
        <f t="shared" si="367"/>
        <v/>
      </c>
      <c r="AC256" s="22" t="str">
        <f t="shared" si="367"/>
        <v/>
      </c>
      <c r="AD256" s="22" t="str">
        <f t="shared" si="367"/>
        <v/>
      </c>
      <c r="AE256" s="22" t="str">
        <f t="shared" si="367"/>
        <v/>
      </c>
      <c r="AF256" s="22" t="str">
        <f t="shared" si="367"/>
        <v/>
      </c>
      <c r="AG256" s="22" t="str">
        <f t="shared" si="367"/>
        <v/>
      </c>
      <c r="AH256" s="22" t="str">
        <f t="shared" si="367"/>
        <v/>
      </c>
      <c r="AI256" s="22" t="str">
        <f t="shared" si="367"/>
        <v/>
      </c>
      <c r="AJ256" s="22" t="str">
        <f t="shared" si="367"/>
        <v/>
      </c>
      <c r="AK256" s="22" t="str">
        <f t="shared" si="367"/>
        <v/>
      </c>
      <c r="AL256" s="22" t="str">
        <f t="shared" si="367"/>
        <v/>
      </c>
      <c r="AM256" s="22" t="str">
        <f t="shared" si="367"/>
        <v/>
      </c>
      <c r="AN256" s="22" t="str">
        <f t="shared" si="367"/>
        <v/>
      </c>
      <c r="AO256" s="22" t="str">
        <f t="shared" si="367"/>
        <v/>
      </c>
      <c r="AP256" s="22" t="str">
        <f t="shared" si="367"/>
        <v/>
      </c>
      <c r="AQ256" s="22" t="str">
        <f t="shared" si="367"/>
        <v/>
      </c>
      <c r="AR256" s="22" t="str">
        <f t="shared" si="367"/>
        <v/>
      </c>
      <c r="AS256" s="22" t="str">
        <f t="shared" si="367"/>
        <v/>
      </c>
      <c r="AT256" s="22" t="str">
        <f t="shared" si="367"/>
        <v/>
      </c>
      <c r="AU256" s="22" t="str">
        <f t="shared" si="367"/>
        <v/>
      </c>
    </row>
    <row r="257" spans="1:47">
      <c r="A257" s="21" t="str">
        <f>A250</f>
        <v>41F02</v>
      </c>
      <c r="B257" s="191" t="str">
        <f>B242</f>
        <v>P1</v>
      </c>
      <c r="C257" s="191"/>
      <c r="D257" s="22" t="str">
        <f t="shared" ref="D257:D270" si="368">IF(COUNT(P257:AU257)=0,"",E257-1.5*G257)</f>
        <v/>
      </c>
      <c r="E257" s="22" t="str">
        <f t="shared" ref="E257:E270" si="369">IF(COUNT(P257:AU257)=0,"",AVERAGE(P257:AU257))</f>
        <v/>
      </c>
      <c r="F257" s="22" t="str">
        <f t="shared" ref="F257:F270" si="370">IF(COUNT(P257:AU257)=0,"",E257+1.5*G257)</f>
        <v/>
      </c>
      <c r="G257" s="22" t="str">
        <f t="shared" ref="G257:G270" si="371">IF(COUNT(P257:AU257)=0,"",STDEV(P257:AU257))</f>
        <v/>
      </c>
      <c r="H257" s="21">
        <f t="shared" si="361"/>
        <v>3670</v>
      </c>
      <c r="I257" s="21"/>
      <c r="J257" s="21"/>
      <c r="K257" s="21"/>
      <c r="P257" s="22" t="str">
        <f t="shared" ref="P257:AU257" si="372">IF(COUNT(P141)=1,GC*P141,"")</f>
        <v/>
      </c>
      <c r="Q257" s="22" t="str">
        <f t="shared" si="372"/>
        <v/>
      </c>
      <c r="R257" s="22" t="str">
        <f t="shared" si="372"/>
        <v/>
      </c>
      <c r="S257" s="22" t="str">
        <f t="shared" si="372"/>
        <v/>
      </c>
      <c r="T257" s="22" t="str">
        <f t="shared" si="372"/>
        <v/>
      </c>
      <c r="U257" s="22" t="str">
        <f t="shared" si="372"/>
        <v/>
      </c>
      <c r="V257" s="22" t="str">
        <f t="shared" si="372"/>
        <v/>
      </c>
      <c r="W257" s="22" t="str">
        <f t="shared" si="372"/>
        <v/>
      </c>
      <c r="X257" s="22" t="str">
        <f t="shared" si="372"/>
        <v/>
      </c>
      <c r="Y257" s="22" t="str">
        <f t="shared" si="372"/>
        <v/>
      </c>
      <c r="Z257" s="22" t="str">
        <f t="shared" si="372"/>
        <v/>
      </c>
      <c r="AA257" s="22" t="str">
        <f t="shared" si="372"/>
        <v/>
      </c>
      <c r="AB257" s="22" t="str">
        <f t="shared" si="372"/>
        <v/>
      </c>
      <c r="AC257" s="22" t="str">
        <f t="shared" si="372"/>
        <v/>
      </c>
      <c r="AD257" s="22" t="str">
        <f t="shared" si="372"/>
        <v/>
      </c>
      <c r="AE257" s="22" t="str">
        <f t="shared" si="372"/>
        <v/>
      </c>
      <c r="AF257" s="22" t="str">
        <f t="shared" si="372"/>
        <v/>
      </c>
      <c r="AG257" s="22" t="str">
        <f t="shared" si="372"/>
        <v/>
      </c>
      <c r="AH257" s="22" t="str">
        <f t="shared" si="372"/>
        <v/>
      </c>
      <c r="AI257" s="22" t="str">
        <f t="shared" si="372"/>
        <v/>
      </c>
      <c r="AJ257" s="22" t="str">
        <f t="shared" si="372"/>
        <v/>
      </c>
      <c r="AK257" s="22" t="str">
        <f t="shared" si="372"/>
        <v/>
      </c>
      <c r="AL257" s="22" t="str">
        <f t="shared" si="372"/>
        <v/>
      </c>
      <c r="AM257" s="22" t="str">
        <f t="shared" si="372"/>
        <v/>
      </c>
      <c r="AN257" s="22" t="str">
        <f t="shared" si="372"/>
        <v/>
      </c>
      <c r="AO257" s="22" t="str">
        <f t="shared" si="372"/>
        <v/>
      </c>
      <c r="AP257" s="22" t="str">
        <f t="shared" si="372"/>
        <v/>
      </c>
      <c r="AQ257" s="22" t="str">
        <f t="shared" si="372"/>
        <v/>
      </c>
      <c r="AR257" s="22" t="str">
        <f t="shared" si="372"/>
        <v/>
      </c>
      <c r="AS257" s="22" t="str">
        <f t="shared" si="372"/>
        <v/>
      </c>
      <c r="AT257" s="22" t="str">
        <f t="shared" si="372"/>
        <v/>
      </c>
      <c r="AU257" s="22" t="str">
        <f t="shared" si="372"/>
        <v/>
      </c>
    </row>
    <row r="258" spans="1:47">
      <c r="A258" s="21" t="str">
        <f t="shared" ref="A258:A270" si="373">A251</f>
        <v>55F02</v>
      </c>
      <c r="B258" s="191"/>
      <c r="C258" s="191"/>
      <c r="D258" s="22" t="str">
        <f t="shared" si="368"/>
        <v/>
      </c>
      <c r="E258" s="22" t="str">
        <f t="shared" si="369"/>
        <v/>
      </c>
      <c r="F258" s="22" t="str">
        <f t="shared" si="370"/>
        <v/>
      </c>
      <c r="G258" s="22" t="str">
        <f t="shared" si="371"/>
        <v/>
      </c>
      <c r="H258" s="21">
        <f t="shared" si="361"/>
        <v>4430</v>
      </c>
      <c r="I258" s="21"/>
      <c r="J258" s="21"/>
      <c r="K258" s="21"/>
      <c r="P258" s="22" t="str">
        <f t="shared" ref="P258:AU258" si="374">IF(COUNT(P142)=1,GC*P142,"")</f>
        <v/>
      </c>
      <c r="Q258" s="22" t="str">
        <f t="shared" si="374"/>
        <v/>
      </c>
      <c r="R258" s="22" t="str">
        <f t="shared" si="374"/>
        <v/>
      </c>
      <c r="S258" s="22" t="str">
        <f t="shared" si="374"/>
        <v/>
      </c>
      <c r="T258" s="22" t="str">
        <f t="shared" si="374"/>
        <v/>
      </c>
      <c r="U258" s="22" t="str">
        <f t="shared" si="374"/>
        <v/>
      </c>
      <c r="V258" s="22" t="str">
        <f t="shared" si="374"/>
        <v/>
      </c>
      <c r="W258" s="22" t="str">
        <f t="shared" si="374"/>
        <v/>
      </c>
      <c r="X258" s="22" t="str">
        <f t="shared" si="374"/>
        <v/>
      </c>
      <c r="Y258" s="22" t="str">
        <f t="shared" si="374"/>
        <v/>
      </c>
      <c r="Z258" s="22" t="str">
        <f t="shared" si="374"/>
        <v/>
      </c>
      <c r="AA258" s="22" t="str">
        <f t="shared" si="374"/>
        <v/>
      </c>
      <c r="AB258" s="22" t="str">
        <f t="shared" si="374"/>
        <v/>
      </c>
      <c r="AC258" s="22" t="str">
        <f t="shared" si="374"/>
        <v/>
      </c>
      <c r="AD258" s="22" t="str">
        <f t="shared" si="374"/>
        <v/>
      </c>
      <c r="AE258" s="22" t="str">
        <f t="shared" si="374"/>
        <v/>
      </c>
      <c r="AF258" s="22" t="str">
        <f t="shared" si="374"/>
        <v/>
      </c>
      <c r="AG258" s="22" t="str">
        <f t="shared" si="374"/>
        <v/>
      </c>
      <c r="AH258" s="22" t="str">
        <f t="shared" si="374"/>
        <v/>
      </c>
      <c r="AI258" s="22" t="str">
        <f t="shared" si="374"/>
        <v/>
      </c>
      <c r="AJ258" s="22" t="str">
        <f t="shared" si="374"/>
        <v/>
      </c>
      <c r="AK258" s="22" t="str">
        <f t="shared" si="374"/>
        <v/>
      </c>
      <c r="AL258" s="22" t="str">
        <f t="shared" si="374"/>
        <v/>
      </c>
      <c r="AM258" s="22" t="str">
        <f t="shared" si="374"/>
        <v/>
      </c>
      <c r="AN258" s="22" t="str">
        <f t="shared" si="374"/>
        <v/>
      </c>
      <c r="AO258" s="22" t="str">
        <f t="shared" si="374"/>
        <v/>
      </c>
      <c r="AP258" s="22" t="str">
        <f t="shared" si="374"/>
        <v/>
      </c>
      <c r="AQ258" s="22" t="str">
        <f t="shared" si="374"/>
        <v/>
      </c>
      <c r="AR258" s="22" t="str">
        <f t="shared" si="374"/>
        <v/>
      </c>
      <c r="AS258" s="22" t="str">
        <f t="shared" si="374"/>
        <v/>
      </c>
      <c r="AT258" s="22" t="str">
        <f t="shared" si="374"/>
        <v/>
      </c>
      <c r="AU258" s="22" t="str">
        <f t="shared" si="374"/>
        <v/>
      </c>
    </row>
    <row r="259" spans="1:47">
      <c r="A259" s="21" t="str">
        <f t="shared" si="373"/>
        <v>65F01</v>
      </c>
      <c r="B259" s="191"/>
      <c r="C259" s="191"/>
      <c r="D259" s="22" t="str">
        <f t="shared" si="368"/>
        <v/>
      </c>
      <c r="E259" s="22" t="str">
        <f t="shared" si="369"/>
        <v/>
      </c>
      <c r="F259" s="22" t="str">
        <f t="shared" si="370"/>
        <v/>
      </c>
      <c r="G259" s="22" t="str">
        <f t="shared" si="371"/>
        <v/>
      </c>
      <c r="H259" s="21">
        <f t="shared" si="361"/>
        <v>6110</v>
      </c>
      <c r="I259" s="21"/>
      <c r="J259" s="21"/>
      <c r="K259" s="21"/>
      <c r="P259" s="22" t="str">
        <f t="shared" ref="P259:AU259" si="375">IF(COUNT(P143)=1,GC*P143,"")</f>
        <v/>
      </c>
      <c r="Q259" s="22" t="str">
        <f t="shared" si="375"/>
        <v/>
      </c>
      <c r="R259" s="22" t="str">
        <f t="shared" si="375"/>
        <v/>
      </c>
      <c r="S259" s="22" t="str">
        <f t="shared" si="375"/>
        <v/>
      </c>
      <c r="T259" s="22" t="str">
        <f t="shared" si="375"/>
        <v/>
      </c>
      <c r="U259" s="22" t="str">
        <f t="shared" si="375"/>
        <v/>
      </c>
      <c r="V259" s="22" t="str">
        <f t="shared" si="375"/>
        <v/>
      </c>
      <c r="W259" s="22" t="str">
        <f t="shared" si="375"/>
        <v/>
      </c>
      <c r="X259" s="22" t="str">
        <f t="shared" si="375"/>
        <v/>
      </c>
      <c r="Y259" s="22" t="str">
        <f t="shared" si="375"/>
        <v/>
      </c>
      <c r="Z259" s="22" t="str">
        <f t="shared" si="375"/>
        <v/>
      </c>
      <c r="AA259" s="22" t="str">
        <f t="shared" si="375"/>
        <v/>
      </c>
      <c r="AB259" s="22" t="str">
        <f t="shared" si="375"/>
        <v/>
      </c>
      <c r="AC259" s="22" t="str">
        <f t="shared" si="375"/>
        <v/>
      </c>
      <c r="AD259" s="22" t="str">
        <f t="shared" si="375"/>
        <v/>
      </c>
      <c r="AE259" s="22" t="str">
        <f t="shared" si="375"/>
        <v/>
      </c>
      <c r="AF259" s="22" t="str">
        <f t="shared" si="375"/>
        <v/>
      </c>
      <c r="AG259" s="22" t="str">
        <f t="shared" si="375"/>
        <v/>
      </c>
      <c r="AH259" s="22" t="str">
        <f t="shared" si="375"/>
        <v/>
      </c>
      <c r="AI259" s="22" t="str">
        <f t="shared" si="375"/>
        <v/>
      </c>
      <c r="AJ259" s="22" t="str">
        <f t="shared" si="375"/>
        <v/>
      </c>
      <c r="AK259" s="22" t="str">
        <f t="shared" si="375"/>
        <v/>
      </c>
      <c r="AL259" s="22" t="str">
        <f t="shared" si="375"/>
        <v/>
      </c>
      <c r="AM259" s="22" t="str">
        <f t="shared" si="375"/>
        <v/>
      </c>
      <c r="AN259" s="22" t="str">
        <f t="shared" si="375"/>
        <v/>
      </c>
      <c r="AO259" s="22" t="str">
        <f t="shared" si="375"/>
        <v/>
      </c>
      <c r="AP259" s="22" t="str">
        <f t="shared" si="375"/>
        <v/>
      </c>
      <c r="AQ259" s="22" t="str">
        <f t="shared" si="375"/>
        <v/>
      </c>
      <c r="AR259" s="22" t="str">
        <f t="shared" si="375"/>
        <v/>
      </c>
      <c r="AS259" s="22" t="str">
        <f t="shared" si="375"/>
        <v/>
      </c>
      <c r="AT259" s="22" t="str">
        <f t="shared" si="375"/>
        <v/>
      </c>
      <c r="AU259" s="22" t="str">
        <f t="shared" si="375"/>
        <v/>
      </c>
    </row>
    <row r="260" spans="1:47">
      <c r="A260" s="21" t="str">
        <f t="shared" si="373"/>
        <v>2700K</v>
      </c>
      <c r="B260" s="191"/>
      <c r="C260" s="191"/>
      <c r="D260" s="22" t="str">
        <f t="shared" si="368"/>
        <v/>
      </c>
      <c r="E260" s="22" t="str">
        <f t="shared" si="369"/>
        <v/>
      </c>
      <c r="F260" s="22" t="str">
        <f t="shared" si="370"/>
        <v/>
      </c>
      <c r="G260" s="22" t="str">
        <f t="shared" si="371"/>
        <v/>
      </c>
      <c r="H260" s="21">
        <f t="shared" si="361"/>
        <v>2700</v>
      </c>
      <c r="I260" s="21"/>
      <c r="J260" s="21"/>
      <c r="K260" s="21"/>
      <c r="P260" s="22" t="str">
        <f t="shared" ref="P260:AU260" si="376">IF(COUNT(P144)=1,GC*P144,"")</f>
        <v/>
      </c>
      <c r="Q260" s="22" t="str">
        <f t="shared" si="376"/>
        <v/>
      </c>
      <c r="R260" s="22" t="str">
        <f t="shared" si="376"/>
        <v/>
      </c>
      <c r="S260" s="22" t="str">
        <f t="shared" si="376"/>
        <v/>
      </c>
      <c r="T260" s="22" t="str">
        <f t="shared" si="376"/>
        <v/>
      </c>
      <c r="U260" s="22" t="str">
        <f t="shared" si="376"/>
        <v/>
      </c>
      <c r="V260" s="22" t="str">
        <f t="shared" si="376"/>
        <v/>
      </c>
      <c r="W260" s="22" t="str">
        <f t="shared" si="376"/>
        <v/>
      </c>
      <c r="X260" s="22" t="str">
        <f t="shared" si="376"/>
        <v/>
      </c>
      <c r="Y260" s="22" t="str">
        <f t="shared" si="376"/>
        <v/>
      </c>
      <c r="Z260" s="22" t="str">
        <f t="shared" si="376"/>
        <v/>
      </c>
      <c r="AA260" s="22" t="str">
        <f t="shared" si="376"/>
        <v/>
      </c>
      <c r="AB260" s="22" t="str">
        <f t="shared" si="376"/>
        <v/>
      </c>
      <c r="AC260" s="22" t="str">
        <f t="shared" si="376"/>
        <v/>
      </c>
      <c r="AD260" s="22" t="str">
        <f t="shared" si="376"/>
        <v/>
      </c>
      <c r="AE260" s="22" t="str">
        <f t="shared" si="376"/>
        <v/>
      </c>
      <c r="AF260" s="22" t="str">
        <f t="shared" si="376"/>
        <v/>
      </c>
      <c r="AG260" s="22" t="str">
        <f t="shared" si="376"/>
        <v/>
      </c>
      <c r="AH260" s="22" t="str">
        <f t="shared" si="376"/>
        <v/>
      </c>
      <c r="AI260" s="22" t="str">
        <f t="shared" si="376"/>
        <v/>
      </c>
      <c r="AJ260" s="22" t="str">
        <f t="shared" si="376"/>
        <v/>
      </c>
      <c r="AK260" s="22" t="str">
        <f t="shared" si="376"/>
        <v/>
      </c>
      <c r="AL260" s="22" t="str">
        <f t="shared" si="376"/>
        <v/>
      </c>
      <c r="AM260" s="22" t="str">
        <f t="shared" si="376"/>
        <v/>
      </c>
      <c r="AN260" s="22" t="str">
        <f t="shared" si="376"/>
        <v/>
      </c>
      <c r="AO260" s="22" t="str">
        <f t="shared" si="376"/>
        <v/>
      </c>
      <c r="AP260" s="22" t="str">
        <f t="shared" si="376"/>
        <v/>
      </c>
      <c r="AQ260" s="22" t="str">
        <f t="shared" si="376"/>
        <v/>
      </c>
      <c r="AR260" s="22" t="str">
        <f t="shared" si="376"/>
        <v/>
      </c>
      <c r="AS260" s="22" t="str">
        <f t="shared" si="376"/>
        <v/>
      </c>
      <c r="AT260" s="22" t="str">
        <f t="shared" si="376"/>
        <v/>
      </c>
      <c r="AU260" s="22" t="str">
        <f t="shared" si="376"/>
        <v/>
      </c>
    </row>
    <row r="261" spans="1:47">
      <c r="A261" s="21" t="str">
        <f t="shared" si="373"/>
        <v>3200K</v>
      </c>
      <c r="B261" s="191"/>
      <c r="C261" s="191"/>
      <c r="D261" s="22">
        <f t="shared" si="368"/>
        <v>4002.8308008874337</v>
      </c>
      <c r="E261" s="22">
        <f t="shared" si="369"/>
        <v>4258.536396236269</v>
      </c>
      <c r="F261" s="22">
        <f t="shared" si="370"/>
        <v>4514.2419915851042</v>
      </c>
      <c r="G261" s="22">
        <f t="shared" si="371"/>
        <v>170.47039689922343</v>
      </c>
      <c r="H261" s="21">
        <f t="shared" si="361"/>
        <v>3200</v>
      </c>
      <c r="I261" s="21"/>
      <c r="J261" s="21"/>
      <c r="K261" s="21"/>
      <c r="P261" s="22">
        <f t="shared" ref="P261:AU261" si="377">IF(COUNT(P145)=1,GC*P145,"")</f>
        <v>4274.6060694984108</v>
      </c>
      <c r="Q261" s="22">
        <f t="shared" si="377"/>
        <v>4401.5761021197404</v>
      </c>
      <c r="R261" s="22">
        <f t="shared" si="377"/>
        <v>4430.7870551628148</v>
      </c>
      <c r="S261" s="22">
        <f t="shared" si="377"/>
        <v>4325.6203260308484</v>
      </c>
      <c r="T261" s="22">
        <f t="shared" si="377"/>
        <v>4133.5870463441843</v>
      </c>
      <c r="U261" s="22">
        <f t="shared" si="377"/>
        <v>3985.0417782616196</v>
      </c>
      <c r="V261" s="22" t="str">
        <f t="shared" si="377"/>
        <v/>
      </c>
      <c r="W261" s="22" t="str">
        <f t="shared" si="377"/>
        <v/>
      </c>
      <c r="X261" s="22" t="str">
        <f t="shared" si="377"/>
        <v/>
      </c>
      <c r="Y261" s="22" t="str">
        <f t="shared" si="377"/>
        <v/>
      </c>
      <c r="Z261" s="22" t="str">
        <f t="shared" si="377"/>
        <v/>
      </c>
      <c r="AA261" s="22" t="str">
        <f t="shared" si="377"/>
        <v/>
      </c>
      <c r="AB261" s="22" t="str">
        <f t="shared" si="377"/>
        <v/>
      </c>
      <c r="AC261" s="22" t="str">
        <f t="shared" si="377"/>
        <v/>
      </c>
      <c r="AD261" s="22" t="str">
        <f t="shared" si="377"/>
        <v/>
      </c>
      <c r="AE261" s="22" t="str">
        <f t="shared" si="377"/>
        <v/>
      </c>
      <c r="AF261" s="22" t="str">
        <f t="shared" si="377"/>
        <v/>
      </c>
      <c r="AG261" s="22" t="str">
        <f t="shared" si="377"/>
        <v/>
      </c>
      <c r="AH261" s="22" t="str">
        <f t="shared" si="377"/>
        <v/>
      </c>
      <c r="AI261" s="22" t="str">
        <f t="shared" si="377"/>
        <v/>
      </c>
      <c r="AJ261" s="22" t="str">
        <f t="shared" si="377"/>
        <v/>
      </c>
      <c r="AK261" s="22" t="str">
        <f t="shared" si="377"/>
        <v/>
      </c>
      <c r="AL261" s="22" t="str">
        <f t="shared" si="377"/>
        <v/>
      </c>
      <c r="AM261" s="22" t="str">
        <f t="shared" si="377"/>
        <v/>
      </c>
      <c r="AN261" s="22" t="str">
        <f t="shared" si="377"/>
        <v/>
      </c>
      <c r="AO261" s="22" t="str">
        <f t="shared" si="377"/>
        <v/>
      </c>
      <c r="AP261" s="22" t="str">
        <f t="shared" si="377"/>
        <v/>
      </c>
      <c r="AQ261" s="22" t="str">
        <f t="shared" si="377"/>
        <v/>
      </c>
      <c r="AR261" s="22" t="str">
        <f t="shared" si="377"/>
        <v/>
      </c>
      <c r="AS261" s="22" t="str">
        <f t="shared" si="377"/>
        <v/>
      </c>
      <c r="AT261" s="22" t="str">
        <f t="shared" si="377"/>
        <v/>
      </c>
      <c r="AU261" s="22" t="str">
        <f t="shared" si="377"/>
        <v/>
      </c>
    </row>
    <row r="262" spans="1:47">
      <c r="A262" s="21" t="str">
        <f t="shared" si="373"/>
        <v>5500K</v>
      </c>
      <c r="B262" s="191"/>
      <c r="C262" s="191"/>
      <c r="D262" s="22" t="str">
        <f t="shared" si="368"/>
        <v/>
      </c>
      <c r="E262" s="22" t="str">
        <f t="shared" si="369"/>
        <v/>
      </c>
      <c r="F262" s="22" t="str">
        <f t="shared" si="370"/>
        <v/>
      </c>
      <c r="G262" s="22" t="str">
        <f t="shared" si="371"/>
        <v/>
      </c>
      <c r="H262" s="21">
        <f t="shared" si="361"/>
        <v>5500</v>
      </c>
      <c r="I262" s="21"/>
      <c r="J262" s="21"/>
      <c r="K262" s="21"/>
      <c r="P262" s="22" t="str">
        <f t="shared" ref="P262:AU262" si="378">IF(COUNT(P146)=1,GC*P146,"")</f>
        <v/>
      </c>
      <c r="Q262" s="22" t="str">
        <f t="shared" si="378"/>
        <v/>
      </c>
      <c r="R262" s="22" t="str">
        <f t="shared" si="378"/>
        <v/>
      </c>
      <c r="S262" s="22" t="str">
        <f t="shared" si="378"/>
        <v/>
      </c>
      <c r="T262" s="22" t="str">
        <f t="shared" si="378"/>
        <v/>
      </c>
      <c r="U262" s="22" t="str">
        <f t="shared" si="378"/>
        <v/>
      </c>
      <c r="V262" s="22" t="str">
        <f t="shared" si="378"/>
        <v/>
      </c>
      <c r="W262" s="22" t="str">
        <f t="shared" si="378"/>
        <v/>
      </c>
      <c r="X262" s="22" t="str">
        <f t="shared" si="378"/>
        <v/>
      </c>
      <c r="Y262" s="22" t="str">
        <f t="shared" si="378"/>
        <v/>
      </c>
      <c r="Z262" s="22" t="str">
        <f t="shared" si="378"/>
        <v/>
      </c>
      <c r="AA262" s="22" t="str">
        <f t="shared" si="378"/>
        <v/>
      </c>
      <c r="AB262" s="22" t="str">
        <f t="shared" si="378"/>
        <v/>
      </c>
      <c r="AC262" s="22" t="str">
        <f t="shared" si="378"/>
        <v/>
      </c>
      <c r="AD262" s="22" t="str">
        <f t="shared" si="378"/>
        <v/>
      </c>
      <c r="AE262" s="22" t="str">
        <f t="shared" si="378"/>
        <v/>
      </c>
      <c r="AF262" s="22" t="str">
        <f t="shared" si="378"/>
        <v/>
      </c>
      <c r="AG262" s="22" t="str">
        <f t="shared" si="378"/>
        <v/>
      </c>
      <c r="AH262" s="22" t="str">
        <f t="shared" si="378"/>
        <v/>
      </c>
      <c r="AI262" s="22" t="str">
        <f t="shared" si="378"/>
        <v/>
      </c>
      <c r="AJ262" s="22" t="str">
        <f t="shared" si="378"/>
        <v/>
      </c>
      <c r="AK262" s="22" t="str">
        <f t="shared" si="378"/>
        <v/>
      </c>
      <c r="AL262" s="22" t="str">
        <f t="shared" si="378"/>
        <v/>
      </c>
      <c r="AM262" s="22" t="str">
        <f t="shared" si="378"/>
        <v/>
      </c>
      <c r="AN262" s="22" t="str">
        <f t="shared" si="378"/>
        <v/>
      </c>
      <c r="AO262" s="22" t="str">
        <f t="shared" si="378"/>
        <v/>
      </c>
      <c r="AP262" s="22" t="str">
        <f t="shared" si="378"/>
        <v/>
      </c>
      <c r="AQ262" s="22" t="str">
        <f t="shared" si="378"/>
        <v/>
      </c>
      <c r="AR262" s="22" t="str">
        <f t="shared" si="378"/>
        <v/>
      </c>
      <c r="AS262" s="22" t="str">
        <f t="shared" si="378"/>
        <v/>
      </c>
      <c r="AT262" s="22" t="str">
        <f t="shared" si="378"/>
        <v/>
      </c>
      <c r="AU262" s="22" t="str">
        <f t="shared" si="378"/>
        <v/>
      </c>
    </row>
    <row r="263" spans="1:47">
      <c r="A263" s="21" t="str">
        <f t="shared" si="373"/>
        <v>6500K</v>
      </c>
      <c r="B263" s="191"/>
      <c r="C263" s="191"/>
      <c r="D263" s="22" t="str">
        <f t="shared" si="368"/>
        <v/>
      </c>
      <c r="E263" s="22" t="str">
        <f t="shared" si="369"/>
        <v/>
      </c>
      <c r="F263" s="22" t="str">
        <f t="shared" si="370"/>
        <v/>
      </c>
      <c r="G263" s="22" t="str">
        <f t="shared" si="371"/>
        <v/>
      </c>
      <c r="H263" s="21">
        <f t="shared" si="361"/>
        <v>6500</v>
      </c>
      <c r="I263" s="21"/>
      <c r="J263" s="21"/>
      <c r="K263" s="21"/>
      <c r="P263" s="22" t="str">
        <f t="shared" ref="P263:AU263" si="379">IF(COUNT(P147)=1,GC*P147,"")</f>
        <v/>
      </c>
      <c r="Q263" s="22" t="str">
        <f t="shared" si="379"/>
        <v/>
      </c>
      <c r="R263" s="22" t="str">
        <f t="shared" si="379"/>
        <v/>
      </c>
      <c r="S263" s="22" t="str">
        <f t="shared" si="379"/>
        <v/>
      </c>
      <c r="T263" s="22" t="str">
        <f t="shared" si="379"/>
        <v/>
      </c>
      <c r="U263" s="22" t="str">
        <f t="shared" si="379"/>
        <v/>
      </c>
      <c r="V263" s="22" t="str">
        <f t="shared" si="379"/>
        <v/>
      </c>
      <c r="W263" s="22" t="str">
        <f t="shared" si="379"/>
        <v/>
      </c>
      <c r="X263" s="22" t="str">
        <f t="shared" si="379"/>
        <v/>
      </c>
      <c r="Y263" s="22" t="str">
        <f t="shared" si="379"/>
        <v/>
      </c>
      <c r="Z263" s="22" t="str">
        <f t="shared" si="379"/>
        <v/>
      </c>
      <c r="AA263" s="22" t="str">
        <f t="shared" si="379"/>
        <v/>
      </c>
      <c r="AB263" s="22" t="str">
        <f t="shared" si="379"/>
        <v/>
      </c>
      <c r="AC263" s="22" t="str">
        <f t="shared" si="379"/>
        <v/>
      </c>
      <c r="AD263" s="22" t="str">
        <f t="shared" si="379"/>
        <v/>
      </c>
      <c r="AE263" s="22" t="str">
        <f t="shared" si="379"/>
        <v/>
      </c>
      <c r="AF263" s="22" t="str">
        <f t="shared" si="379"/>
        <v/>
      </c>
      <c r="AG263" s="22" t="str">
        <f t="shared" si="379"/>
        <v/>
      </c>
      <c r="AH263" s="22" t="str">
        <f t="shared" si="379"/>
        <v/>
      </c>
      <c r="AI263" s="22" t="str">
        <f t="shared" si="379"/>
        <v/>
      </c>
      <c r="AJ263" s="22" t="str">
        <f t="shared" si="379"/>
        <v/>
      </c>
      <c r="AK263" s="22" t="str">
        <f t="shared" si="379"/>
        <v/>
      </c>
      <c r="AL263" s="22" t="str">
        <f t="shared" si="379"/>
        <v/>
      </c>
      <c r="AM263" s="22" t="str">
        <f t="shared" si="379"/>
        <v/>
      </c>
      <c r="AN263" s="22" t="str">
        <f t="shared" si="379"/>
        <v/>
      </c>
      <c r="AO263" s="22" t="str">
        <f t="shared" si="379"/>
        <v/>
      </c>
      <c r="AP263" s="22" t="str">
        <f t="shared" si="379"/>
        <v/>
      </c>
      <c r="AQ263" s="22" t="str">
        <f t="shared" si="379"/>
        <v/>
      </c>
      <c r="AR263" s="22" t="str">
        <f t="shared" si="379"/>
        <v/>
      </c>
      <c r="AS263" s="22" t="str">
        <f t="shared" si="379"/>
        <v/>
      </c>
      <c r="AT263" s="22" t="str">
        <f t="shared" si="379"/>
        <v/>
      </c>
      <c r="AU263" s="22" t="str">
        <f t="shared" si="379"/>
        <v/>
      </c>
    </row>
    <row r="264" spans="1:47">
      <c r="A264" s="21" t="str">
        <f t="shared" si="373"/>
        <v>41F02</v>
      </c>
      <c r="B264" s="191" t="str">
        <f>B209</f>
        <v>P2</v>
      </c>
      <c r="C264" s="191"/>
      <c r="D264" s="22" t="str">
        <f t="shared" si="368"/>
        <v/>
      </c>
      <c r="E264" s="22" t="str">
        <f t="shared" si="369"/>
        <v/>
      </c>
      <c r="F264" s="22" t="str">
        <f t="shared" si="370"/>
        <v/>
      </c>
      <c r="G264" s="22" t="str">
        <f t="shared" si="371"/>
        <v/>
      </c>
      <c r="H264" s="21">
        <f t="shared" si="361"/>
        <v>3670</v>
      </c>
      <c r="I264" s="21"/>
      <c r="J264" s="21"/>
      <c r="K264" s="21"/>
      <c r="P264" s="22" t="str">
        <f t="shared" ref="P264:AU264" si="380">IF(COUNT(P148)=1,GC*P148,"")</f>
        <v/>
      </c>
      <c r="Q264" s="22" t="str">
        <f t="shared" si="380"/>
        <v/>
      </c>
      <c r="R264" s="22" t="str">
        <f t="shared" si="380"/>
        <v/>
      </c>
      <c r="S264" s="22" t="str">
        <f t="shared" si="380"/>
        <v/>
      </c>
      <c r="T264" s="22" t="str">
        <f t="shared" si="380"/>
        <v/>
      </c>
      <c r="U264" s="22" t="str">
        <f t="shared" si="380"/>
        <v/>
      </c>
      <c r="V264" s="22" t="str">
        <f t="shared" si="380"/>
        <v/>
      </c>
      <c r="W264" s="22" t="str">
        <f t="shared" si="380"/>
        <v/>
      </c>
      <c r="X264" s="22" t="str">
        <f t="shared" si="380"/>
        <v/>
      </c>
      <c r="Y264" s="22" t="str">
        <f t="shared" si="380"/>
        <v/>
      </c>
      <c r="Z264" s="22" t="str">
        <f t="shared" si="380"/>
        <v/>
      </c>
      <c r="AA264" s="22" t="str">
        <f t="shared" si="380"/>
        <v/>
      </c>
      <c r="AB264" s="22" t="str">
        <f t="shared" si="380"/>
        <v/>
      </c>
      <c r="AC264" s="22" t="str">
        <f t="shared" si="380"/>
        <v/>
      </c>
      <c r="AD264" s="22" t="str">
        <f t="shared" si="380"/>
        <v/>
      </c>
      <c r="AE264" s="22" t="str">
        <f t="shared" si="380"/>
        <v/>
      </c>
      <c r="AF264" s="22" t="str">
        <f t="shared" si="380"/>
        <v/>
      </c>
      <c r="AG264" s="22" t="str">
        <f t="shared" si="380"/>
        <v/>
      </c>
      <c r="AH264" s="22" t="str">
        <f t="shared" si="380"/>
        <v/>
      </c>
      <c r="AI264" s="22" t="str">
        <f t="shared" si="380"/>
        <v/>
      </c>
      <c r="AJ264" s="22" t="str">
        <f t="shared" si="380"/>
        <v/>
      </c>
      <c r="AK264" s="22" t="str">
        <f t="shared" si="380"/>
        <v/>
      </c>
      <c r="AL264" s="22" t="str">
        <f t="shared" si="380"/>
        <v/>
      </c>
      <c r="AM264" s="22" t="str">
        <f t="shared" si="380"/>
        <v/>
      </c>
      <c r="AN264" s="22" t="str">
        <f t="shared" si="380"/>
        <v/>
      </c>
      <c r="AO264" s="22" t="str">
        <f t="shared" si="380"/>
        <v/>
      </c>
      <c r="AP264" s="22" t="str">
        <f t="shared" si="380"/>
        <v/>
      </c>
      <c r="AQ264" s="22" t="str">
        <f t="shared" si="380"/>
        <v/>
      </c>
      <c r="AR264" s="22" t="str">
        <f t="shared" si="380"/>
        <v/>
      </c>
      <c r="AS264" s="22" t="str">
        <f t="shared" si="380"/>
        <v/>
      </c>
      <c r="AT264" s="22" t="str">
        <f t="shared" si="380"/>
        <v/>
      </c>
      <c r="AU264" s="22" t="str">
        <f t="shared" si="380"/>
        <v/>
      </c>
    </row>
    <row r="265" spans="1:47">
      <c r="A265" s="21" t="str">
        <f t="shared" si="373"/>
        <v>55F02</v>
      </c>
      <c r="B265" s="191"/>
      <c r="C265" s="191"/>
      <c r="D265" s="22" t="str">
        <f t="shared" si="368"/>
        <v/>
      </c>
      <c r="E265" s="22" t="str">
        <f t="shared" si="369"/>
        <v/>
      </c>
      <c r="F265" s="22" t="str">
        <f t="shared" si="370"/>
        <v/>
      </c>
      <c r="G265" s="22" t="str">
        <f t="shared" si="371"/>
        <v/>
      </c>
      <c r="H265" s="21">
        <f t="shared" si="361"/>
        <v>4430</v>
      </c>
      <c r="I265" s="21"/>
      <c r="J265" s="21"/>
      <c r="K265" s="21"/>
      <c r="P265" s="22" t="str">
        <f t="shared" ref="P265:AU265" si="381">IF(COUNT(P149)=1,GC*P149,"")</f>
        <v/>
      </c>
      <c r="Q265" s="22" t="str">
        <f t="shared" si="381"/>
        <v/>
      </c>
      <c r="R265" s="22" t="str">
        <f t="shared" si="381"/>
        <v/>
      </c>
      <c r="S265" s="22" t="str">
        <f t="shared" si="381"/>
        <v/>
      </c>
      <c r="T265" s="22" t="str">
        <f t="shared" si="381"/>
        <v/>
      </c>
      <c r="U265" s="22" t="str">
        <f t="shared" si="381"/>
        <v/>
      </c>
      <c r="V265" s="22" t="str">
        <f t="shared" si="381"/>
        <v/>
      </c>
      <c r="W265" s="22" t="str">
        <f t="shared" si="381"/>
        <v/>
      </c>
      <c r="X265" s="22" t="str">
        <f t="shared" si="381"/>
        <v/>
      </c>
      <c r="Y265" s="22" t="str">
        <f t="shared" si="381"/>
        <v/>
      </c>
      <c r="Z265" s="22" t="str">
        <f t="shared" si="381"/>
        <v/>
      </c>
      <c r="AA265" s="22" t="str">
        <f t="shared" si="381"/>
        <v/>
      </c>
      <c r="AB265" s="22" t="str">
        <f t="shared" si="381"/>
        <v/>
      </c>
      <c r="AC265" s="22" t="str">
        <f t="shared" si="381"/>
        <v/>
      </c>
      <c r="AD265" s="22" t="str">
        <f t="shared" si="381"/>
        <v/>
      </c>
      <c r="AE265" s="22" t="str">
        <f t="shared" si="381"/>
        <v/>
      </c>
      <c r="AF265" s="22" t="str">
        <f t="shared" si="381"/>
        <v/>
      </c>
      <c r="AG265" s="22" t="str">
        <f t="shared" si="381"/>
        <v/>
      </c>
      <c r="AH265" s="22" t="str">
        <f t="shared" si="381"/>
        <v/>
      </c>
      <c r="AI265" s="22" t="str">
        <f t="shared" si="381"/>
        <v/>
      </c>
      <c r="AJ265" s="22" t="str">
        <f t="shared" si="381"/>
        <v/>
      </c>
      <c r="AK265" s="22" t="str">
        <f t="shared" si="381"/>
        <v/>
      </c>
      <c r="AL265" s="22" t="str">
        <f t="shared" si="381"/>
        <v/>
      </c>
      <c r="AM265" s="22" t="str">
        <f t="shared" si="381"/>
        <v/>
      </c>
      <c r="AN265" s="22" t="str">
        <f t="shared" si="381"/>
        <v/>
      </c>
      <c r="AO265" s="22" t="str">
        <f t="shared" si="381"/>
        <v/>
      </c>
      <c r="AP265" s="22" t="str">
        <f t="shared" si="381"/>
        <v/>
      </c>
      <c r="AQ265" s="22" t="str">
        <f t="shared" si="381"/>
        <v/>
      </c>
      <c r="AR265" s="22" t="str">
        <f t="shared" si="381"/>
        <v/>
      </c>
      <c r="AS265" s="22" t="str">
        <f t="shared" si="381"/>
        <v/>
      </c>
      <c r="AT265" s="22" t="str">
        <f t="shared" si="381"/>
        <v/>
      </c>
      <c r="AU265" s="22" t="str">
        <f t="shared" si="381"/>
        <v/>
      </c>
    </row>
    <row r="266" spans="1:47">
      <c r="A266" s="21" t="str">
        <f t="shared" si="373"/>
        <v>65F01</v>
      </c>
      <c r="B266" s="191"/>
      <c r="C266" s="191"/>
      <c r="D266" s="22" t="str">
        <f t="shared" si="368"/>
        <v/>
      </c>
      <c r="E266" s="22" t="str">
        <f t="shared" si="369"/>
        <v/>
      </c>
      <c r="F266" s="22" t="str">
        <f t="shared" si="370"/>
        <v/>
      </c>
      <c r="G266" s="22" t="str">
        <f t="shared" si="371"/>
        <v/>
      </c>
      <c r="H266" s="21">
        <f t="shared" si="361"/>
        <v>6110</v>
      </c>
      <c r="I266" s="21"/>
      <c r="J266" s="21"/>
      <c r="K266" s="21"/>
      <c r="P266" s="22" t="str">
        <f t="shared" ref="P266:AU266" si="382">IF(COUNT(P150)=1,GC*P150,"")</f>
        <v/>
      </c>
      <c r="Q266" s="22" t="str">
        <f t="shared" si="382"/>
        <v/>
      </c>
      <c r="R266" s="22" t="str">
        <f t="shared" si="382"/>
        <v/>
      </c>
      <c r="S266" s="22" t="str">
        <f t="shared" si="382"/>
        <v/>
      </c>
      <c r="T266" s="22" t="str">
        <f t="shared" si="382"/>
        <v/>
      </c>
      <c r="U266" s="22" t="str">
        <f t="shared" si="382"/>
        <v/>
      </c>
      <c r="V266" s="22" t="str">
        <f t="shared" si="382"/>
        <v/>
      </c>
      <c r="W266" s="22" t="str">
        <f t="shared" si="382"/>
        <v/>
      </c>
      <c r="X266" s="22" t="str">
        <f t="shared" si="382"/>
        <v/>
      </c>
      <c r="Y266" s="22" t="str">
        <f t="shared" si="382"/>
        <v/>
      </c>
      <c r="Z266" s="22" t="str">
        <f t="shared" si="382"/>
        <v/>
      </c>
      <c r="AA266" s="22" t="str">
        <f t="shared" si="382"/>
        <v/>
      </c>
      <c r="AB266" s="22" t="str">
        <f t="shared" si="382"/>
        <v/>
      </c>
      <c r="AC266" s="22" t="str">
        <f t="shared" si="382"/>
        <v/>
      </c>
      <c r="AD266" s="22" t="str">
        <f t="shared" si="382"/>
        <v/>
      </c>
      <c r="AE266" s="22" t="str">
        <f t="shared" si="382"/>
        <v/>
      </c>
      <c r="AF266" s="22" t="str">
        <f t="shared" si="382"/>
        <v/>
      </c>
      <c r="AG266" s="22" t="str">
        <f t="shared" si="382"/>
        <v/>
      </c>
      <c r="AH266" s="22" t="str">
        <f t="shared" si="382"/>
        <v/>
      </c>
      <c r="AI266" s="22" t="str">
        <f t="shared" si="382"/>
        <v/>
      </c>
      <c r="AJ266" s="22" t="str">
        <f t="shared" si="382"/>
        <v/>
      </c>
      <c r="AK266" s="22" t="str">
        <f t="shared" si="382"/>
        <v/>
      </c>
      <c r="AL266" s="22" t="str">
        <f t="shared" si="382"/>
        <v/>
      </c>
      <c r="AM266" s="22" t="str">
        <f t="shared" si="382"/>
        <v/>
      </c>
      <c r="AN266" s="22" t="str">
        <f t="shared" si="382"/>
        <v/>
      </c>
      <c r="AO266" s="22" t="str">
        <f t="shared" si="382"/>
        <v/>
      </c>
      <c r="AP266" s="22" t="str">
        <f t="shared" si="382"/>
        <v/>
      </c>
      <c r="AQ266" s="22" t="str">
        <f t="shared" si="382"/>
        <v/>
      </c>
      <c r="AR266" s="22" t="str">
        <f t="shared" si="382"/>
        <v/>
      </c>
      <c r="AS266" s="22" t="str">
        <f t="shared" si="382"/>
        <v/>
      </c>
      <c r="AT266" s="22" t="str">
        <f t="shared" si="382"/>
        <v/>
      </c>
      <c r="AU266" s="22" t="str">
        <f t="shared" si="382"/>
        <v/>
      </c>
    </row>
    <row r="267" spans="1:47">
      <c r="A267" s="21" t="str">
        <f t="shared" si="373"/>
        <v>2700K</v>
      </c>
      <c r="B267" s="191"/>
      <c r="C267" s="191"/>
      <c r="D267" s="22" t="str">
        <f t="shared" si="368"/>
        <v/>
      </c>
      <c r="E267" s="22" t="str">
        <f t="shared" si="369"/>
        <v/>
      </c>
      <c r="F267" s="22" t="str">
        <f t="shared" si="370"/>
        <v/>
      </c>
      <c r="G267" s="22" t="str">
        <f t="shared" si="371"/>
        <v/>
      </c>
      <c r="H267" s="21">
        <f t="shared" si="361"/>
        <v>2700</v>
      </c>
      <c r="I267" s="21"/>
      <c r="J267" s="21"/>
      <c r="K267" s="21"/>
      <c r="P267" s="22" t="str">
        <f t="shared" ref="P267:AU267" si="383">IF(COUNT(P151)=1,GC*P151,"")</f>
        <v/>
      </c>
      <c r="Q267" s="22" t="str">
        <f t="shared" si="383"/>
        <v/>
      </c>
      <c r="R267" s="22" t="str">
        <f t="shared" si="383"/>
        <v/>
      </c>
      <c r="S267" s="22" t="str">
        <f t="shared" si="383"/>
        <v/>
      </c>
      <c r="T267" s="22" t="str">
        <f t="shared" si="383"/>
        <v/>
      </c>
      <c r="U267" s="22" t="str">
        <f t="shared" si="383"/>
        <v/>
      </c>
      <c r="V267" s="22" t="str">
        <f t="shared" si="383"/>
        <v/>
      </c>
      <c r="W267" s="22" t="str">
        <f t="shared" si="383"/>
        <v/>
      </c>
      <c r="X267" s="22" t="str">
        <f t="shared" si="383"/>
        <v/>
      </c>
      <c r="Y267" s="22" t="str">
        <f t="shared" si="383"/>
        <v/>
      </c>
      <c r="Z267" s="22" t="str">
        <f t="shared" si="383"/>
        <v/>
      </c>
      <c r="AA267" s="22" t="str">
        <f t="shared" si="383"/>
        <v/>
      </c>
      <c r="AB267" s="22" t="str">
        <f t="shared" si="383"/>
        <v/>
      </c>
      <c r="AC267" s="22" t="str">
        <f t="shared" si="383"/>
        <v/>
      </c>
      <c r="AD267" s="22" t="str">
        <f t="shared" si="383"/>
        <v/>
      </c>
      <c r="AE267" s="22" t="str">
        <f t="shared" si="383"/>
        <v/>
      </c>
      <c r="AF267" s="22" t="str">
        <f t="shared" si="383"/>
        <v/>
      </c>
      <c r="AG267" s="22" t="str">
        <f t="shared" si="383"/>
        <v/>
      </c>
      <c r="AH267" s="22" t="str">
        <f t="shared" si="383"/>
        <v/>
      </c>
      <c r="AI267" s="22" t="str">
        <f t="shared" si="383"/>
        <v/>
      </c>
      <c r="AJ267" s="22" t="str">
        <f t="shared" si="383"/>
        <v/>
      </c>
      <c r="AK267" s="22" t="str">
        <f t="shared" si="383"/>
        <v/>
      </c>
      <c r="AL267" s="22" t="str">
        <f t="shared" si="383"/>
        <v/>
      </c>
      <c r="AM267" s="22" t="str">
        <f t="shared" si="383"/>
        <v/>
      </c>
      <c r="AN267" s="22" t="str">
        <f t="shared" si="383"/>
        <v/>
      </c>
      <c r="AO267" s="22" t="str">
        <f t="shared" si="383"/>
        <v/>
      </c>
      <c r="AP267" s="22" t="str">
        <f t="shared" si="383"/>
        <v/>
      </c>
      <c r="AQ267" s="22" t="str">
        <f t="shared" si="383"/>
        <v/>
      </c>
      <c r="AR267" s="22" t="str">
        <f t="shared" si="383"/>
        <v/>
      </c>
      <c r="AS267" s="22" t="str">
        <f t="shared" si="383"/>
        <v/>
      </c>
      <c r="AT267" s="22" t="str">
        <f t="shared" si="383"/>
        <v/>
      </c>
      <c r="AU267" s="22" t="str">
        <f t="shared" si="383"/>
        <v/>
      </c>
    </row>
    <row r="268" spans="1:47">
      <c r="A268" s="21" t="str">
        <f t="shared" si="373"/>
        <v>3200K</v>
      </c>
      <c r="B268" s="191"/>
      <c r="C268" s="191"/>
      <c r="D268" s="22">
        <f t="shared" si="368"/>
        <v>12720.220785024907</v>
      </c>
      <c r="E268" s="22">
        <f t="shared" si="369"/>
        <v>15305.736595111588</v>
      </c>
      <c r="F268" s="22">
        <f t="shared" si="370"/>
        <v>17891.252405198269</v>
      </c>
      <c r="G268" s="22">
        <f t="shared" si="371"/>
        <v>1723.6772067244535</v>
      </c>
      <c r="H268" s="21">
        <f t="shared" si="361"/>
        <v>3200</v>
      </c>
      <c r="I268" s="21"/>
      <c r="J268" s="21"/>
      <c r="K268" s="21"/>
      <c r="P268" s="22">
        <f t="shared" ref="P268:AU268" si="384">IF(COUNT(P152)=1,GC*P152,"")</f>
        <v>14987.536082262615</v>
      </c>
      <c r="Q268" s="22">
        <f t="shared" si="384"/>
        <v>16616.781093464557</v>
      </c>
      <c r="R268" s="22">
        <f t="shared" si="384"/>
        <v>17505.699039909625</v>
      </c>
      <c r="S268" s="22">
        <f t="shared" si="384"/>
        <v>15814.711452131944</v>
      </c>
      <c r="T268" s="22">
        <f t="shared" si="384"/>
        <v>14191.304982450165</v>
      </c>
      <c r="U268" s="22">
        <f t="shared" si="384"/>
        <v>12718.386920450632</v>
      </c>
      <c r="V268" s="22" t="str">
        <f t="shared" si="384"/>
        <v/>
      </c>
      <c r="W268" s="22" t="str">
        <f t="shared" si="384"/>
        <v/>
      </c>
      <c r="X268" s="22" t="str">
        <f t="shared" si="384"/>
        <v/>
      </c>
      <c r="Y268" s="22" t="str">
        <f t="shared" si="384"/>
        <v/>
      </c>
      <c r="Z268" s="22" t="str">
        <f t="shared" si="384"/>
        <v/>
      </c>
      <c r="AA268" s="22" t="str">
        <f t="shared" si="384"/>
        <v/>
      </c>
      <c r="AB268" s="22" t="str">
        <f t="shared" si="384"/>
        <v/>
      </c>
      <c r="AC268" s="22" t="str">
        <f t="shared" si="384"/>
        <v/>
      </c>
      <c r="AD268" s="22" t="str">
        <f t="shared" si="384"/>
        <v/>
      </c>
      <c r="AE268" s="22" t="str">
        <f t="shared" si="384"/>
        <v/>
      </c>
      <c r="AF268" s="22" t="str">
        <f t="shared" si="384"/>
        <v/>
      </c>
      <c r="AG268" s="22" t="str">
        <f t="shared" si="384"/>
        <v/>
      </c>
      <c r="AH268" s="22" t="str">
        <f t="shared" si="384"/>
        <v/>
      </c>
      <c r="AI268" s="22" t="str">
        <f t="shared" si="384"/>
        <v/>
      </c>
      <c r="AJ268" s="22" t="str">
        <f t="shared" si="384"/>
        <v/>
      </c>
      <c r="AK268" s="22" t="str">
        <f t="shared" si="384"/>
        <v/>
      </c>
      <c r="AL268" s="22" t="str">
        <f t="shared" si="384"/>
        <v/>
      </c>
      <c r="AM268" s="22" t="str">
        <f t="shared" si="384"/>
        <v/>
      </c>
      <c r="AN268" s="22" t="str">
        <f t="shared" si="384"/>
        <v/>
      </c>
      <c r="AO268" s="22" t="str">
        <f t="shared" si="384"/>
        <v/>
      </c>
      <c r="AP268" s="22" t="str">
        <f t="shared" si="384"/>
        <v/>
      </c>
      <c r="AQ268" s="22" t="str">
        <f t="shared" si="384"/>
        <v/>
      </c>
      <c r="AR268" s="22" t="str">
        <f t="shared" si="384"/>
        <v/>
      </c>
      <c r="AS268" s="22" t="str">
        <f t="shared" si="384"/>
        <v/>
      </c>
      <c r="AT268" s="22" t="str">
        <f t="shared" si="384"/>
        <v/>
      </c>
      <c r="AU268" s="22" t="str">
        <f t="shared" si="384"/>
        <v/>
      </c>
    </row>
    <row r="269" spans="1:47">
      <c r="A269" s="21" t="str">
        <f t="shared" si="373"/>
        <v>5500K</v>
      </c>
      <c r="B269" s="191"/>
      <c r="C269" s="191"/>
      <c r="D269" s="22" t="str">
        <f t="shared" si="368"/>
        <v/>
      </c>
      <c r="E269" s="22" t="str">
        <f t="shared" si="369"/>
        <v/>
      </c>
      <c r="F269" s="22" t="str">
        <f t="shared" si="370"/>
        <v/>
      </c>
      <c r="G269" s="22" t="str">
        <f t="shared" si="371"/>
        <v/>
      </c>
      <c r="H269" s="21">
        <f t="shared" si="361"/>
        <v>5500</v>
      </c>
      <c r="I269" s="21"/>
      <c r="J269" s="21"/>
      <c r="K269" s="21"/>
      <c r="P269" s="22" t="str">
        <f t="shared" ref="P269:AU269" si="385">IF(COUNT(P153)=1,GC*P153,"")</f>
        <v/>
      </c>
      <c r="Q269" s="22" t="str">
        <f t="shared" si="385"/>
        <v/>
      </c>
      <c r="R269" s="22" t="str">
        <f t="shared" si="385"/>
        <v/>
      </c>
      <c r="S269" s="22" t="str">
        <f t="shared" si="385"/>
        <v/>
      </c>
      <c r="T269" s="22" t="str">
        <f t="shared" si="385"/>
        <v/>
      </c>
      <c r="U269" s="22" t="str">
        <f t="shared" si="385"/>
        <v/>
      </c>
      <c r="V269" s="22" t="str">
        <f t="shared" si="385"/>
        <v/>
      </c>
      <c r="W269" s="22" t="str">
        <f t="shared" si="385"/>
        <v/>
      </c>
      <c r="X269" s="22" t="str">
        <f t="shared" si="385"/>
        <v/>
      </c>
      <c r="Y269" s="22" t="str">
        <f t="shared" si="385"/>
        <v/>
      </c>
      <c r="Z269" s="22" t="str">
        <f t="shared" si="385"/>
        <v/>
      </c>
      <c r="AA269" s="22" t="str">
        <f t="shared" si="385"/>
        <v/>
      </c>
      <c r="AB269" s="22" t="str">
        <f t="shared" si="385"/>
        <v/>
      </c>
      <c r="AC269" s="22" t="str">
        <f t="shared" si="385"/>
        <v/>
      </c>
      <c r="AD269" s="22" t="str">
        <f t="shared" si="385"/>
        <v/>
      </c>
      <c r="AE269" s="22" t="str">
        <f t="shared" si="385"/>
        <v/>
      </c>
      <c r="AF269" s="22" t="str">
        <f t="shared" si="385"/>
        <v/>
      </c>
      <c r="AG269" s="22" t="str">
        <f t="shared" si="385"/>
        <v/>
      </c>
      <c r="AH269" s="22" t="str">
        <f t="shared" si="385"/>
        <v/>
      </c>
      <c r="AI269" s="22" t="str">
        <f t="shared" si="385"/>
        <v/>
      </c>
      <c r="AJ269" s="22" t="str">
        <f t="shared" si="385"/>
        <v/>
      </c>
      <c r="AK269" s="22" t="str">
        <f t="shared" si="385"/>
        <v/>
      </c>
      <c r="AL269" s="22" t="str">
        <f t="shared" si="385"/>
        <v/>
      </c>
      <c r="AM269" s="22" t="str">
        <f t="shared" si="385"/>
        <v/>
      </c>
      <c r="AN269" s="22" t="str">
        <f t="shared" si="385"/>
        <v/>
      </c>
      <c r="AO269" s="22" t="str">
        <f t="shared" si="385"/>
        <v/>
      </c>
      <c r="AP269" s="22" t="str">
        <f t="shared" si="385"/>
        <v/>
      </c>
      <c r="AQ269" s="22" t="str">
        <f t="shared" si="385"/>
        <v/>
      </c>
      <c r="AR269" s="22" t="str">
        <f t="shared" si="385"/>
        <v/>
      </c>
      <c r="AS269" s="22" t="str">
        <f t="shared" si="385"/>
        <v/>
      </c>
      <c r="AT269" s="22" t="str">
        <f t="shared" si="385"/>
        <v/>
      </c>
      <c r="AU269" s="22" t="str">
        <f t="shared" si="385"/>
        <v/>
      </c>
    </row>
    <row r="270" spans="1:47">
      <c r="A270" s="21" t="str">
        <f t="shared" si="373"/>
        <v>6500K</v>
      </c>
      <c r="B270" s="191"/>
      <c r="C270" s="191"/>
      <c r="D270" s="22" t="str">
        <f t="shared" si="368"/>
        <v/>
      </c>
      <c r="E270" s="22" t="str">
        <f t="shared" si="369"/>
        <v/>
      </c>
      <c r="F270" s="22" t="str">
        <f t="shared" si="370"/>
        <v/>
      </c>
      <c r="G270" s="22" t="str">
        <f t="shared" si="371"/>
        <v/>
      </c>
      <c r="H270" s="21">
        <f t="shared" si="361"/>
        <v>6500</v>
      </c>
      <c r="I270" s="21"/>
      <c r="J270" s="21"/>
      <c r="K270" s="21"/>
      <c r="P270" s="22" t="str">
        <f t="shared" ref="P270:AU270" si="386">IF(COUNT(P154)=1,GC*P154,"")</f>
        <v/>
      </c>
      <c r="Q270" s="22" t="str">
        <f t="shared" si="386"/>
        <v/>
      </c>
      <c r="R270" s="22" t="str">
        <f t="shared" si="386"/>
        <v/>
      </c>
      <c r="S270" s="22" t="str">
        <f t="shared" si="386"/>
        <v/>
      </c>
      <c r="T270" s="22" t="str">
        <f t="shared" si="386"/>
        <v/>
      </c>
      <c r="U270" s="22" t="str">
        <f t="shared" si="386"/>
        <v/>
      </c>
      <c r="V270" s="22" t="str">
        <f t="shared" si="386"/>
        <v/>
      </c>
      <c r="W270" s="22" t="str">
        <f t="shared" si="386"/>
        <v/>
      </c>
      <c r="X270" s="22" t="str">
        <f t="shared" si="386"/>
        <v/>
      </c>
      <c r="Y270" s="22" t="str">
        <f t="shared" si="386"/>
        <v/>
      </c>
      <c r="Z270" s="22" t="str">
        <f t="shared" si="386"/>
        <v/>
      </c>
      <c r="AA270" s="22" t="str">
        <f t="shared" si="386"/>
        <v/>
      </c>
      <c r="AB270" s="22" t="str">
        <f t="shared" si="386"/>
        <v/>
      </c>
      <c r="AC270" s="22" t="str">
        <f t="shared" si="386"/>
        <v/>
      </c>
      <c r="AD270" s="22" t="str">
        <f t="shared" si="386"/>
        <v/>
      </c>
      <c r="AE270" s="22" t="str">
        <f t="shared" si="386"/>
        <v/>
      </c>
      <c r="AF270" s="22" t="str">
        <f t="shared" si="386"/>
        <v/>
      </c>
      <c r="AG270" s="22" t="str">
        <f t="shared" si="386"/>
        <v/>
      </c>
      <c r="AH270" s="22" t="str">
        <f t="shared" si="386"/>
        <v/>
      </c>
      <c r="AI270" s="22" t="str">
        <f t="shared" si="386"/>
        <v/>
      </c>
      <c r="AJ270" s="22" t="str">
        <f t="shared" si="386"/>
        <v/>
      </c>
      <c r="AK270" s="22" t="str">
        <f t="shared" si="386"/>
        <v/>
      </c>
      <c r="AL270" s="22" t="str">
        <f t="shared" si="386"/>
        <v/>
      </c>
      <c r="AM270" s="22" t="str">
        <f t="shared" si="386"/>
        <v/>
      </c>
      <c r="AN270" s="22" t="str">
        <f t="shared" si="386"/>
        <v/>
      </c>
      <c r="AO270" s="22" t="str">
        <f t="shared" si="386"/>
        <v/>
      </c>
      <c r="AP270" s="22" t="str">
        <f t="shared" si="386"/>
        <v/>
      </c>
      <c r="AQ270" s="22" t="str">
        <f t="shared" si="386"/>
        <v/>
      </c>
      <c r="AR270" s="22" t="str">
        <f t="shared" si="386"/>
        <v/>
      </c>
      <c r="AS270" s="22" t="str">
        <f t="shared" si="386"/>
        <v/>
      </c>
      <c r="AT270" s="22" t="str">
        <f t="shared" si="386"/>
        <v/>
      </c>
      <c r="AU270" s="22" t="str">
        <f t="shared" si="386"/>
        <v/>
      </c>
    </row>
    <row r="271" spans="1:47">
      <c r="E271" s="27"/>
    </row>
    <row r="272" spans="1:47">
      <c r="A272" s="21" t="str">
        <f>A171</f>
        <v>41F02</v>
      </c>
      <c r="B272" s="191" t="str">
        <f>B250</f>
        <v>P0</v>
      </c>
      <c r="C272" s="191" t="str">
        <f>C171</f>
        <v>Range3</v>
      </c>
      <c r="D272" s="22" t="str">
        <f t="shared" ref="D272:D278" si="387">IF(COUNT(P272:AU272)=0,"",E272-1.5*G272)</f>
        <v/>
      </c>
      <c r="E272" s="22" t="str">
        <f t="shared" ref="E272:E278" si="388">IF(COUNT(P272:AU272)=0,"",AVERAGE(P272:AU272))</f>
        <v/>
      </c>
      <c r="F272" s="22" t="str">
        <f t="shared" ref="F272:F278" si="389">IF(COUNT(P272:AU272)=0,"",E272+1.5*G272)</f>
        <v/>
      </c>
      <c r="G272" s="22" t="str">
        <f t="shared" ref="G272:G278" si="390">IF(COUNT(P272:AU272)=0,"",STDEV(P272:AU272))</f>
        <v/>
      </c>
      <c r="H272" s="21">
        <f>H171</f>
        <v>3670</v>
      </c>
      <c r="I272" s="21"/>
      <c r="J272" s="21"/>
      <c r="K272" s="21"/>
      <c r="P272" s="22" t="str">
        <f t="shared" ref="P272:AU272" si="391">IF(COUNT(P171)=1,GC*P171,"")</f>
        <v/>
      </c>
      <c r="Q272" s="22" t="str">
        <f t="shared" si="391"/>
        <v/>
      </c>
      <c r="R272" s="22" t="str">
        <f t="shared" si="391"/>
        <v/>
      </c>
      <c r="S272" s="22" t="str">
        <f t="shared" si="391"/>
        <v/>
      </c>
      <c r="T272" s="22" t="str">
        <f t="shared" si="391"/>
        <v/>
      </c>
      <c r="U272" s="22" t="str">
        <f t="shared" si="391"/>
        <v/>
      </c>
      <c r="V272" s="22" t="str">
        <f t="shared" si="391"/>
        <v/>
      </c>
      <c r="W272" s="22" t="str">
        <f t="shared" si="391"/>
        <v/>
      </c>
      <c r="X272" s="22" t="str">
        <f t="shared" si="391"/>
        <v/>
      </c>
      <c r="Y272" s="22" t="str">
        <f t="shared" si="391"/>
        <v/>
      </c>
      <c r="Z272" s="22" t="str">
        <f t="shared" si="391"/>
        <v/>
      </c>
      <c r="AA272" s="22" t="str">
        <f t="shared" si="391"/>
        <v/>
      </c>
      <c r="AB272" s="22" t="str">
        <f t="shared" si="391"/>
        <v/>
      </c>
      <c r="AC272" s="22" t="str">
        <f t="shared" si="391"/>
        <v/>
      </c>
      <c r="AD272" s="22" t="str">
        <f t="shared" si="391"/>
        <v/>
      </c>
      <c r="AE272" s="22" t="str">
        <f t="shared" si="391"/>
        <v/>
      </c>
      <c r="AF272" s="22" t="str">
        <f t="shared" si="391"/>
        <v/>
      </c>
      <c r="AG272" s="22" t="str">
        <f t="shared" si="391"/>
        <v/>
      </c>
      <c r="AH272" s="22" t="str">
        <f t="shared" si="391"/>
        <v/>
      </c>
      <c r="AI272" s="22" t="str">
        <f t="shared" si="391"/>
        <v/>
      </c>
      <c r="AJ272" s="22" t="str">
        <f t="shared" si="391"/>
        <v/>
      </c>
      <c r="AK272" s="22" t="str">
        <f t="shared" si="391"/>
        <v/>
      </c>
      <c r="AL272" s="22" t="str">
        <f t="shared" si="391"/>
        <v/>
      </c>
      <c r="AM272" s="22" t="str">
        <f t="shared" si="391"/>
        <v/>
      </c>
      <c r="AN272" s="22" t="str">
        <f t="shared" si="391"/>
        <v/>
      </c>
      <c r="AO272" s="22" t="str">
        <f t="shared" si="391"/>
        <v/>
      </c>
      <c r="AP272" s="22" t="str">
        <f t="shared" si="391"/>
        <v/>
      </c>
      <c r="AQ272" s="22" t="str">
        <f t="shared" si="391"/>
        <v/>
      </c>
      <c r="AR272" s="22" t="str">
        <f t="shared" si="391"/>
        <v/>
      </c>
      <c r="AS272" s="22" t="str">
        <f t="shared" si="391"/>
        <v/>
      </c>
      <c r="AT272" s="22" t="str">
        <f t="shared" si="391"/>
        <v/>
      </c>
      <c r="AU272" s="22" t="str">
        <f t="shared" si="391"/>
        <v/>
      </c>
    </row>
    <row r="273" spans="1:47">
      <c r="A273" s="21" t="str">
        <f t="shared" ref="A273:A278" si="392">A172</f>
        <v>55F02</v>
      </c>
      <c r="B273" s="191"/>
      <c r="C273" s="191"/>
      <c r="D273" s="22" t="str">
        <f t="shared" si="387"/>
        <v/>
      </c>
      <c r="E273" s="22" t="str">
        <f t="shared" si="388"/>
        <v/>
      </c>
      <c r="F273" s="22" t="str">
        <f t="shared" si="389"/>
        <v/>
      </c>
      <c r="G273" s="22" t="str">
        <f t="shared" si="390"/>
        <v/>
      </c>
      <c r="H273" s="21">
        <f t="shared" ref="H273:H299" si="393">H172</f>
        <v>4430</v>
      </c>
      <c r="I273" s="21"/>
      <c r="J273" s="21"/>
      <c r="K273" s="21"/>
      <c r="P273" s="22" t="str">
        <f t="shared" ref="P273:AU273" si="394">IF(COUNT(P172)=1,GC*P172,"")</f>
        <v/>
      </c>
      <c r="Q273" s="22" t="str">
        <f t="shared" si="394"/>
        <v/>
      </c>
      <c r="R273" s="22" t="str">
        <f t="shared" si="394"/>
        <v/>
      </c>
      <c r="S273" s="22" t="str">
        <f t="shared" si="394"/>
        <v/>
      </c>
      <c r="T273" s="22" t="str">
        <f t="shared" si="394"/>
        <v/>
      </c>
      <c r="U273" s="22" t="str">
        <f t="shared" si="394"/>
        <v/>
      </c>
      <c r="V273" s="22" t="str">
        <f t="shared" si="394"/>
        <v/>
      </c>
      <c r="W273" s="22" t="str">
        <f t="shared" si="394"/>
        <v/>
      </c>
      <c r="X273" s="22" t="str">
        <f t="shared" si="394"/>
        <v/>
      </c>
      <c r="Y273" s="22" t="str">
        <f t="shared" si="394"/>
        <v/>
      </c>
      <c r="Z273" s="22" t="str">
        <f t="shared" si="394"/>
        <v/>
      </c>
      <c r="AA273" s="22" t="str">
        <f t="shared" si="394"/>
        <v/>
      </c>
      <c r="AB273" s="22" t="str">
        <f t="shared" si="394"/>
        <v/>
      </c>
      <c r="AC273" s="22" t="str">
        <f t="shared" si="394"/>
        <v/>
      </c>
      <c r="AD273" s="22" t="str">
        <f t="shared" si="394"/>
        <v/>
      </c>
      <c r="AE273" s="22" t="str">
        <f t="shared" si="394"/>
        <v/>
      </c>
      <c r="AF273" s="22" t="str">
        <f t="shared" si="394"/>
        <v/>
      </c>
      <c r="AG273" s="22" t="str">
        <f t="shared" si="394"/>
        <v/>
      </c>
      <c r="AH273" s="22" t="str">
        <f t="shared" si="394"/>
        <v/>
      </c>
      <c r="AI273" s="22" t="str">
        <f t="shared" si="394"/>
        <v/>
      </c>
      <c r="AJ273" s="22" t="str">
        <f t="shared" si="394"/>
        <v/>
      </c>
      <c r="AK273" s="22" t="str">
        <f t="shared" si="394"/>
        <v/>
      </c>
      <c r="AL273" s="22" t="str">
        <f t="shared" si="394"/>
        <v/>
      </c>
      <c r="AM273" s="22" t="str">
        <f t="shared" si="394"/>
        <v/>
      </c>
      <c r="AN273" s="22" t="str">
        <f t="shared" si="394"/>
        <v/>
      </c>
      <c r="AO273" s="22" t="str">
        <f t="shared" si="394"/>
        <v/>
      </c>
      <c r="AP273" s="22" t="str">
        <f t="shared" si="394"/>
        <v/>
      </c>
      <c r="AQ273" s="22" t="str">
        <f t="shared" si="394"/>
        <v/>
      </c>
      <c r="AR273" s="22" t="str">
        <f t="shared" si="394"/>
        <v/>
      </c>
      <c r="AS273" s="22" t="str">
        <f t="shared" si="394"/>
        <v/>
      </c>
      <c r="AT273" s="22" t="str">
        <f t="shared" si="394"/>
        <v/>
      </c>
      <c r="AU273" s="22" t="str">
        <f t="shared" si="394"/>
        <v/>
      </c>
    </row>
    <row r="274" spans="1:47">
      <c r="A274" s="21" t="str">
        <f t="shared" si="392"/>
        <v>65F01</v>
      </c>
      <c r="B274" s="191"/>
      <c r="C274" s="191"/>
      <c r="D274" s="22" t="str">
        <f t="shared" si="387"/>
        <v/>
      </c>
      <c r="E274" s="22" t="str">
        <f t="shared" si="388"/>
        <v/>
      </c>
      <c r="F274" s="22" t="str">
        <f t="shared" si="389"/>
        <v/>
      </c>
      <c r="G274" s="22" t="str">
        <f t="shared" si="390"/>
        <v/>
      </c>
      <c r="H274" s="21">
        <f t="shared" si="393"/>
        <v>6110</v>
      </c>
      <c r="I274" s="21"/>
      <c r="J274" s="21"/>
      <c r="K274" s="21"/>
      <c r="P274" s="22" t="str">
        <f t="shared" ref="P274:AU274" si="395">IF(COUNT(P173)=1,GC*P173,"")</f>
        <v/>
      </c>
      <c r="Q274" s="22" t="str">
        <f t="shared" si="395"/>
        <v/>
      </c>
      <c r="R274" s="22" t="str">
        <f t="shared" si="395"/>
        <v/>
      </c>
      <c r="S274" s="22" t="str">
        <f t="shared" si="395"/>
        <v/>
      </c>
      <c r="T274" s="22" t="str">
        <f t="shared" si="395"/>
        <v/>
      </c>
      <c r="U274" s="22" t="str">
        <f t="shared" si="395"/>
        <v/>
      </c>
      <c r="V274" s="22" t="str">
        <f t="shared" si="395"/>
        <v/>
      </c>
      <c r="W274" s="22" t="str">
        <f t="shared" si="395"/>
        <v/>
      </c>
      <c r="X274" s="22" t="str">
        <f t="shared" si="395"/>
        <v/>
      </c>
      <c r="Y274" s="22" t="str">
        <f t="shared" si="395"/>
        <v/>
      </c>
      <c r="Z274" s="22" t="str">
        <f t="shared" si="395"/>
        <v/>
      </c>
      <c r="AA274" s="22" t="str">
        <f t="shared" si="395"/>
        <v/>
      </c>
      <c r="AB274" s="22" t="str">
        <f t="shared" si="395"/>
        <v/>
      </c>
      <c r="AC274" s="22" t="str">
        <f t="shared" si="395"/>
        <v/>
      </c>
      <c r="AD274" s="22" t="str">
        <f t="shared" si="395"/>
        <v/>
      </c>
      <c r="AE274" s="22" t="str">
        <f t="shared" si="395"/>
        <v/>
      </c>
      <c r="AF274" s="22" t="str">
        <f t="shared" si="395"/>
        <v/>
      </c>
      <c r="AG274" s="22" t="str">
        <f t="shared" si="395"/>
        <v/>
      </c>
      <c r="AH274" s="22" t="str">
        <f t="shared" si="395"/>
        <v/>
      </c>
      <c r="AI274" s="22" t="str">
        <f t="shared" si="395"/>
        <v/>
      </c>
      <c r="AJ274" s="22" t="str">
        <f t="shared" si="395"/>
        <v/>
      </c>
      <c r="AK274" s="22" t="str">
        <f t="shared" si="395"/>
        <v/>
      </c>
      <c r="AL274" s="22" t="str">
        <f t="shared" si="395"/>
        <v/>
      </c>
      <c r="AM274" s="22" t="str">
        <f t="shared" si="395"/>
        <v/>
      </c>
      <c r="AN274" s="22" t="str">
        <f t="shared" si="395"/>
        <v/>
      </c>
      <c r="AO274" s="22" t="str">
        <f t="shared" si="395"/>
        <v/>
      </c>
      <c r="AP274" s="22" t="str">
        <f t="shared" si="395"/>
        <v/>
      </c>
      <c r="AQ274" s="22" t="str">
        <f t="shared" si="395"/>
        <v/>
      </c>
      <c r="AR274" s="22" t="str">
        <f t="shared" si="395"/>
        <v/>
      </c>
      <c r="AS274" s="22" t="str">
        <f t="shared" si="395"/>
        <v/>
      </c>
      <c r="AT274" s="22" t="str">
        <f t="shared" si="395"/>
        <v/>
      </c>
      <c r="AU274" s="22" t="str">
        <f t="shared" si="395"/>
        <v/>
      </c>
    </row>
    <row r="275" spans="1:47">
      <c r="A275" s="21" t="str">
        <f t="shared" si="392"/>
        <v>2700K</v>
      </c>
      <c r="B275" s="191"/>
      <c r="C275" s="191"/>
      <c r="D275" s="22" t="str">
        <f t="shared" si="387"/>
        <v/>
      </c>
      <c r="E275" s="22" t="str">
        <f t="shared" si="388"/>
        <v/>
      </c>
      <c r="F275" s="22" t="str">
        <f t="shared" si="389"/>
        <v/>
      </c>
      <c r="G275" s="22" t="str">
        <f t="shared" si="390"/>
        <v/>
      </c>
      <c r="H275" s="21">
        <f t="shared" si="393"/>
        <v>2700</v>
      </c>
      <c r="I275" s="21"/>
      <c r="J275" s="21"/>
      <c r="K275" s="21"/>
      <c r="P275" s="22" t="str">
        <f t="shared" ref="P275:AU275" si="396">IF(COUNT(P174)=1,GC*P174,"")</f>
        <v/>
      </c>
      <c r="Q275" s="22" t="str">
        <f t="shared" si="396"/>
        <v/>
      </c>
      <c r="R275" s="22" t="str">
        <f t="shared" si="396"/>
        <v/>
      </c>
      <c r="S275" s="22" t="str">
        <f t="shared" si="396"/>
        <v/>
      </c>
      <c r="T275" s="22" t="str">
        <f t="shared" si="396"/>
        <v/>
      </c>
      <c r="U275" s="22" t="str">
        <f t="shared" si="396"/>
        <v/>
      </c>
      <c r="V275" s="22" t="str">
        <f t="shared" si="396"/>
        <v/>
      </c>
      <c r="W275" s="22" t="str">
        <f t="shared" si="396"/>
        <v/>
      </c>
      <c r="X275" s="22" t="str">
        <f t="shared" si="396"/>
        <v/>
      </c>
      <c r="Y275" s="22" t="str">
        <f t="shared" si="396"/>
        <v/>
      </c>
      <c r="Z275" s="22" t="str">
        <f t="shared" si="396"/>
        <v/>
      </c>
      <c r="AA275" s="22" t="str">
        <f t="shared" si="396"/>
        <v/>
      </c>
      <c r="AB275" s="22" t="str">
        <f t="shared" si="396"/>
        <v/>
      </c>
      <c r="AC275" s="22" t="str">
        <f t="shared" si="396"/>
        <v/>
      </c>
      <c r="AD275" s="22" t="str">
        <f t="shared" si="396"/>
        <v/>
      </c>
      <c r="AE275" s="22" t="str">
        <f t="shared" si="396"/>
        <v/>
      </c>
      <c r="AF275" s="22" t="str">
        <f t="shared" si="396"/>
        <v/>
      </c>
      <c r="AG275" s="22" t="str">
        <f t="shared" si="396"/>
        <v/>
      </c>
      <c r="AH275" s="22" t="str">
        <f t="shared" si="396"/>
        <v/>
      </c>
      <c r="AI275" s="22" t="str">
        <f t="shared" si="396"/>
        <v/>
      </c>
      <c r="AJ275" s="22" t="str">
        <f t="shared" si="396"/>
        <v/>
      </c>
      <c r="AK275" s="22" t="str">
        <f t="shared" si="396"/>
        <v/>
      </c>
      <c r="AL275" s="22" t="str">
        <f t="shared" si="396"/>
        <v/>
      </c>
      <c r="AM275" s="22" t="str">
        <f t="shared" si="396"/>
        <v/>
      </c>
      <c r="AN275" s="22" t="str">
        <f t="shared" si="396"/>
        <v/>
      </c>
      <c r="AO275" s="22" t="str">
        <f t="shared" si="396"/>
        <v/>
      </c>
      <c r="AP275" s="22" t="str">
        <f t="shared" si="396"/>
        <v/>
      </c>
      <c r="AQ275" s="22" t="str">
        <f t="shared" si="396"/>
        <v/>
      </c>
      <c r="AR275" s="22" t="str">
        <f t="shared" si="396"/>
        <v/>
      </c>
      <c r="AS275" s="22" t="str">
        <f t="shared" si="396"/>
        <v/>
      </c>
      <c r="AT275" s="22" t="str">
        <f t="shared" si="396"/>
        <v/>
      </c>
      <c r="AU275" s="22" t="str">
        <f t="shared" si="396"/>
        <v/>
      </c>
    </row>
    <row r="276" spans="1:47">
      <c r="A276" s="21" t="str">
        <f t="shared" si="392"/>
        <v>3200K</v>
      </c>
      <c r="B276" s="191"/>
      <c r="C276" s="191"/>
      <c r="D276" s="22">
        <f t="shared" si="387"/>
        <v>795.61105738876802</v>
      </c>
      <c r="E276" s="22">
        <f t="shared" si="388"/>
        <v>953.25745763446321</v>
      </c>
      <c r="F276" s="22">
        <f t="shared" si="389"/>
        <v>1110.9038578801583</v>
      </c>
      <c r="G276" s="22">
        <f t="shared" si="390"/>
        <v>105.0976001637968</v>
      </c>
      <c r="H276" s="21">
        <f t="shared" si="393"/>
        <v>3200</v>
      </c>
      <c r="I276" s="21"/>
      <c r="J276" s="21"/>
      <c r="K276" s="21"/>
      <c r="P276" s="22">
        <f t="shared" ref="P276:AU276" si="397">IF(COUNT(P175)=1,GC*P175,"")</f>
        <v>914.09665675077565</v>
      </c>
      <c r="Q276" s="22">
        <f t="shared" si="397"/>
        <v>1022.912474332844</v>
      </c>
      <c r="R276" s="22">
        <f t="shared" si="397"/>
        <v>1090.6395559667537</v>
      </c>
      <c r="S276" s="22">
        <f t="shared" si="397"/>
        <v>1003.2073967022883</v>
      </c>
      <c r="T276" s="22">
        <f t="shared" si="397"/>
        <v>887.64076548752962</v>
      </c>
      <c r="U276" s="22">
        <f t="shared" si="397"/>
        <v>801.04789656658784</v>
      </c>
      <c r="V276" s="22" t="str">
        <f t="shared" si="397"/>
        <v/>
      </c>
      <c r="W276" s="22" t="str">
        <f t="shared" si="397"/>
        <v/>
      </c>
      <c r="X276" s="22" t="str">
        <f t="shared" si="397"/>
        <v/>
      </c>
      <c r="Y276" s="22" t="str">
        <f t="shared" si="397"/>
        <v/>
      </c>
      <c r="Z276" s="22" t="str">
        <f t="shared" si="397"/>
        <v/>
      </c>
      <c r="AA276" s="22" t="str">
        <f t="shared" si="397"/>
        <v/>
      </c>
      <c r="AB276" s="22" t="str">
        <f t="shared" si="397"/>
        <v/>
      </c>
      <c r="AC276" s="22" t="str">
        <f t="shared" si="397"/>
        <v/>
      </c>
      <c r="AD276" s="22" t="str">
        <f t="shared" si="397"/>
        <v/>
      </c>
      <c r="AE276" s="22" t="str">
        <f t="shared" si="397"/>
        <v/>
      </c>
      <c r="AF276" s="22" t="str">
        <f t="shared" si="397"/>
        <v/>
      </c>
      <c r="AG276" s="22" t="str">
        <f t="shared" si="397"/>
        <v/>
      </c>
      <c r="AH276" s="22" t="str">
        <f t="shared" si="397"/>
        <v/>
      </c>
      <c r="AI276" s="22" t="str">
        <f t="shared" si="397"/>
        <v/>
      </c>
      <c r="AJ276" s="22" t="str">
        <f t="shared" si="397"/>
        <v/>
      </c>
      <c r="AK276" s="22" t="str">
        <f t="shared" si="397"/>
        <v/>
      </c>
      <c r="AL276" s="22" t="str">
        <f t="shared" si="397"/>
        <v/>
      </c>
      <c r="AM276" s="22" t="str">
        <f t="shared" si="397"/>
        <v/>
      </c>
      <c r="AN276" s="22" t="str">
        <f t="shared" si="397"/>
        <v/>
      </c>
      <c r="AO276" s="22" t="str">
        <f t="shared" si="397"/>
        <v/>
      </c>
      <c r="AP276" s="22" t="str">
        <f t="shared" si="397"/>
        <v/>
      </c>
      <c r="AQ276" s="22" t="str">
        <f t="shared" si="397"/>
        <v/>
      </c>
      <c r="AR276" s="22" t="str">
        <f t="shared" si="397"/>
        <v/>
      </c>
      <c r="AS276" s="22" t="str">
        <f t="shared" si="397"/>
        <v/>
      </c>
      <c r="AT276" s="22" t="str">
        <f t="shared" si="397"/>
        <v/>
      </c>
      <c r="AU276" s="22" t="str">
        <f t="shared" si="397"/>
        <v/>
      </c>
    </row>
    <row r="277" spans="1:47">
      <c r="A277" s="21" t="str">
        <f t="shared" si="392"/>
        <v>5500K</v>
      </c>
      <c r="B277" s="191"/>
      <c r="C277" s="191"/>
      <c r="D277" s="22" t="str">
        <f t="shared" si="387"/>
        <v/>
      </c>
      <c r="E277" s="22" t="str">
        <f t="shared" si="388"/>
        <v/>
      </c>
      <c r="F277" s="22" t="str">
        <f t="shared" si="389"/>
        <v/>
      </c>
      <c r="G277" s="22" t="str">
        <f t="shared" si="390"/>
        <v/>
      </c>
      <c r="H277" s="21">
        <f t="shared" si="393"/>
        <v>5500</v>
      </c>
      <c r="I277" s="21"/>
      <c r="J277" s="21"/>
      <c r="K277" s="21"/>
      <c r="P277" s="22" t="str">
        <f t="shared" ref="P277:AU277" si="398">IF(COUNT(P176)=1,GC*P176,"")</f>
        <v/>
      </c>
      <c r="Q277" s="22" t="str">
        <f t="shared" si="398"/>
        <v/>
      </c>
      <c r="R277" s="22" t="str">
        <f t="shared" si="398"/>
        <v/>
      </c>
      <c r="S277" s="22" t="str">
        <f t="shared" si="398"/>
        <v/>
      </c>
      <c r="T277" s="22" t="str">
        <f t="shared" si="398"/>
        <v/>
      </c>
      <c r="U277" s="22" t="str">
        <f t="shared" si="398"/>
        <v/>
      </c>
      <c r="V277" s="22" t="str">
        <f t="shared" si="398"/>
        <v/>
      </c>
      <c r="W277" s="22" t="str">
        <f t="shared" si="398"/>
        <v/>
      </c>
      <c r="X277" s="22" t="str">
        <f t="shared" si="398"/>
        <v/>
      </c>
      <c r="Y277" s="22" t="str">
        <f t="shared" si="398"/>
        <v/>
      </c>
      <c r="Z277" s="22" t="str">
        <f t="shared" si="398"/>
        <v/>
      </c>
      <c r="AA277" s="22" t="str">
        <f t="shared" si="398"/>
        <v/>
      </c>
      <c r="AB277" s="22" t="str">
        <f t="shared" si="398"/>
        <v/>
      </c>
      <c r="AC277" s="22" t="str">
        <f t="shared" si="398"/>
        <v/>
      </c>
      <c r="AD277" s="22" t="str">
        <f t="shared" si="398"/>
        <v/>
      </c>
      <c r="AE277" s="22" t="str">
        <f t="shared" si="398"/>
        <v/>
      </c>
      <c r="AF277" s="22" t="str">
        <f t="shared" si="398"/>
        <v/>
      </c>
      <c r="AG277" s="22" t="str">
        <f t="shared" si="398"/>
        <v/>
      </c>
      <c r="AH277" s="22" t="str">
        <f t="shared" si="398"/>
        <v/>
      </c>
      <c r="AI277" s="22" t="str">
        <f t="shared" si="398"/>
        <v/>
      </c>
      <c r="AJ277" s="22" t="str">
        <f t="shared" si="398"/>
        <v/>
      </c>
      <c r="AK277" s="22" t="str">
        <f t="shared" si="398"/>
        <v/>
      </c>
      <c r="AL277" s="22" t="str">
        <f t="shared" si="398"/>
        <v/>
      </c>
      <c r="AM277" s="22" t="str">
        <f t="shared" si="398"/>
        <v/>
      </c>
      <c r="AN277" s="22" t="str">
        <f t="shared" si="398"/>
        <v/>
      </c>
      <c r="AO277" s="22" t="str">
        <f t="shared" si="398"/>
        <v/>
      </c>
      <c r="AP277" s="22" t="str">
        <f t="shared" si="398"/>
        <v/>
      </c>
      <c r="AQ277" s="22" t="str">
        <f t="shared" si="398"/>
        <v/>
      </c>
      <c r="AR277" s="22" t="str">
        <f t="shared" si="398"/>
        <v/>
      </c>
      <c r="AS277" s="22" t="str">
        <f t="shared" si="398"/>
        <v/>
      </c>
      <c r="AT277" s="22" t="str">
        <f t="shared" si="398"/>
        <v/>
      </c>
      <c r="AU277" s="22" t="str">
        <f t="shared" si="398"/>
        <v/>
      </c>
    </row>
    <row r="278" spans="1:47">
      <c r="A278" s="21" t="str">
        <f t="shared" si="392"/>
        <v>6500K</v>
      </c>
      <c r="B278" s="191"/>
      <c r="C278" s="191"/>
      <c r="D278" s="22" t="str">
        <f t="shared" si="387"/>
        <v/>
      </c>
      <c r="E278" s="22" t="str">
        <f t="shared" si="388"/>
        <v/>
      </c>
      <c r="F278" s="22" t="str">
        <f t="shared" si="389"/>
        <v/>
      </c>
      <c r="G278" s="22" t="str">
        <f t="shared" si="390"/>
        <v/>
      </c>
      <c r="H278" s="21">
        <f t="shared" si="393"/>
        <v>6500</v>
      </c>
      <c r="I278" s="21"/>
      <c r="J278" s="21"/>
      <c r="K278" s="21"/>
      <c r="P278" s="22" t="str">
        <f t="shared" ref="P278:AU278" si="399">IF(COUNT(P177)=1,GC*P177,"")</f>
        <v/>
      </c>
      <c r="Q278" s="22" t="str">
        <f t="shared" si="399"/>
        <v/>
      </c>
      <c r="R278" s="22" t="str">
        <f t="shared" si="399"/>
        <v/>
      </c>
      <c r="S278" s="22" t="str">
        <f t="shared" si="399"/>
        <v/>
      </c>
      <c r="T278" s="22" t="str">
        <f t="shared" si="399"/>
        <v/>
      </c>
      <c r="U278" s="22" t="str">
        <f t="shared" si="399"/>
        <v/>
      </c>
      <c r="V278" s="22" t="str">
        <f t="shared" si="399"/>
        <v/>
      </c>
      <c r="W278" s="22" t="str">
        <f t="shared" si="399"/>
        <v/>
      </c>
      <c r="X278" s="22" t="str">
        <f t="shared" si="399"/>
        <v/>
      </c>
      <c r="Y278" s="22" t="str">
        <f t="shared" si="399"/>
        <v/>
      </c>
      <c r="Z278" s="22" t="str">
        <f t="shared" si="399"/>
        <v/>
      </c>
      <c r="AA278" s="22" t="str">
        <f t="shared" si="399"/>
        <v/>
      </c>
      <c r="AB278" s="22" t="str">
        <f t="shared" si="399"/>
        <v/>
      </c>
      <c r="AC278" s="22" t="str">
        <f t="shared" si="399"/>
        <v/>
      </c>
      <c r="AD278" s="22" t="str">
        <f t="shared" si="399"/>
        <v/>
      </c>
      <c r="AE278" s="22" t="str">
        <f t="shared" si="399"/>
        <v/>
      </c>
      <c r="AF278" s="22" t="str">
        <f t="shared" si="399"/>
        <v/>
      </c>
      <c r="AG278" s="22" t="str">
        <f t="shared" si="399"/>
        <v/>
      </c>
      <c r="AH278" s="22" t="str">
        <f t="shared" si="399"/>
        <v/>
      </c>
      <c r="AI278" s="22" t="str">
        <f t="shared" si="399"/>
        <v/>
      </c>
      <c r="AJ278" s="22" t="str">
        <f t="shared" si="399"/>
        <v/>
      </c>
      <c r="AK278" s="22" t="str">
        <f t="shared" si="399"/>
        <v/>
      </c>
      <c r="AL278" s="22" t="str">
        <f t="shared" si="399"/>
        <v/>
      </c>
      <c r="AM278" s="22" t="str">
        <f t="shared" si="399"/>
        <v/>
      </c>
      <c r="AN278" s="22" t="str">
        <f t="shared" si="399"/>
        <v/>
      </c>
      <c r="AO278" s="22" t="str">
        <f t="shared" si="399"/>
        <v/>
      </c>
      <c r="AP278" s="22" t="str">
        <f t="shared" si="399"/>
        <v/>
      </c>
      <c r="AQ278" s="22" t="str">
        <f t="shared" si="399"/>
        <v/>
      </c>
      <c r="AR278" s="22" t="str">
        <f t="shared" si="399"/>
        <v/>
      </c>
      <c r="AS278" s="22" t="str">
        <f t="shared" si="399"/>
        <v/>
      </c>
      <c r="AT278" s="22" t="str">
        <f t="shared" si="399"/>
        <v/>
      </c>
      <c r="AU278" s="22" t="str">
        <f t="shared" si="399"/>
        <v/>
      </c>
    </row>
    <row r="279" spans="1:47">
      <c r="A279" s="21" t="str">
        <f>A272</f>
        <v>41F02</v>
      </c>
      <c r="B279" s="191" t="str">
        <f>B257</f>
        <v>P1</v>
      </c>
      <c r="C279" s="191"/>
      <c r="D279" s="22" t="str">
        <f t="shared" ref="D279:D299" si="400">IF(COUNT(P279:AU279)=0,"",E279-1.5*G279)</f>
        <v/>
      </c>
      <c r="E279" s="22" t="str">
        <f t="shared" ref="E279:E299" si="401">IF(COUNT(P279:AU279)=0,"",AVERAGE(P279:AU279))</f>
        <v/>
      </c>
      <c r="F279" s="22" t="str">
        <f t="shared" ref="F279:F299" si="402">IF(COUNT(P279:AU279)=0,"",E279+1.5*G279)</f>
        <v/>
      </c>
      <c r="G279" s="22" t="str">
        <f t="shared" ref="G279:G299" si="403">IF(COUNT(P279:AU279)=0,"",STDEV(P279:AU279))</f>
        <v/>
      </c>
      <c r="H279" s="21">
        <f t="shared" si="393"/>
        <v>3670</v>
      </c>
      <c r="I279" s="21"/>
      <c r="J279" s="21"/>
      <c r="K279" s="21"/>
      <c r="P279" s="22" t="str">
        <f t="shared" ref="P279:AU279" si="404">IF(COUNT(P178)=1,GC*P178,"")</f>
        <v/>
      </c>
      <c r="Q279" s="22" t="str">
        <f t="shared" si="404"/>
        <v/>
      </c>
      <c r="R279" s="22" t="str">
        <f t="shared" si="404"/>
        <v/>
      </c>
      <c r="S279" s="22" t="str">
        <f t="shared" si="404"/>
        <v/>
      </c>
      <c r="T279" s="22" t="str">
        <f t="shared" si="404"/>
        <v/>
      </c>
      <c r="U279" s="22" t="str">
        <f t="shared" si="404"/>
        <v/>
      </c>
      <c r="V279" s="22" t="str">
        <f t="shared" si="404"/>
        <v/>
      </c>
      <c r="W279" s="22" t="str">
        <f t="shared" si="404"/>
        <v/>
      </c>
      <c r="X279" s="22" t="str">
        <f t="shared" si="404"/>
        <v/>
      </c>
      <c r="Y279" s="22" t="str">
        <f t="shared" si="404"/>
        <v/>
      </c>
      <c r="Z279" s="22" t="str">
        <f t="shared" si="404"/>
        <v/>
      </c>
      <c r="AA279" s="22" t="str">
        <f t="shared" si="404"/>
        <v/>
      </c>
      <c r="AB279" s="22" t="str">
        <f t="shared" si="404"/>
        <v/>
      </c>
      <c r="AC279" s="22" t="str">
        <f t="shared" si="404"/>
        <v/>
      </c>
      <c r="AD279" s="22" t="str">
        <f t="shared" si="404"/>
        <v/>
      </c>
      <c r="AE279" s="22" t="str">
        <f t="shared" si="404"/>
        <v/>
      </c>
      <c r="AF279" s="22" t="str">
        <f t="shared" si="404"/>
        <v/>
      </c>
      <c r="AG279" s="22" t="str">
        <f t="shared" si="404"/>
        <v/>
      </c>
      <c r="AH279" s="22" t="str">
        <f t="shared" si="404"/>
        <v/>
      </c>
      <c r="AI279" s="22" t="str">
        <f t="shared" si="404"/>
        <v/>
      </c>
      <c r="AJ279" s="22" t="str">
        <f t="shared" si="404"/>
        <v/>
      </c>
      <c r="AK279" s="22" t="str">
        <f t="shared" si="404"/>
        <v/>
      </c>
      <c r="AL279" s="22" t="str">
        <f t="shared" si="404"/>
        <v/>
      </c>
      <c r="AM279" s="22" t="str">
        <f t="shared" si="404"/>
        <v/>
      </c>
      <c r="AN279" s="22" t="str">
        <f t="shared" si="404"/>
        <v/>
      </c>
      <c r="AO279" s="22" t="str">
        <f t="shared" si="404"/>
        <v/>
      </c>
      <c r="AP279" s="22" t="str">
        <f t="shared" si="404"/>
        <v/>
      </c>
      <c r="AQ279" s="22" t="str">
        <f t="shared" si="404"/>
        <v/>
      </c>
      <c r="AR279" s="22" t="str">
        <f t="shared" si="404"/>
        <v/>
      </c>
      <c r="AS279" s="22" t="str">
        <f t="shared" si="404"/>
        <v/>
      </c>
      <c r="AT279" s="22" t="str">
        <f t="shared" si="404"/>
        <v/>
      </c>
      <c r="AU279" s="22" t="str">
        <f t="shared" si="404"/>
        <v/>
      </c>
    </row>
    <row r="280" spans="1:47">
      <c r="A280" s="21" t="str">
        <f t="shared" ref="A280:A299" si="405">A273</f>
        <v>55F02</v>
      </c>
      <c r="B280" s="191"/>
      <c r="C280" s="191"/>
      <c r="D280" s="22" t="str">
        <f t="shared" si="400"/>
        <v/>
      </c>
      <c r="E280" s="22" t="str">
        <f t="shared" si="401"/>
        <v/>
      </c>
      <c r="F280" s="22" t="str">
        <f t="shared" si="402"/>
        <v/>
      </c>
      <c r="G280" s="22" t="str">
        <f t="shared" si="403"/>
        <v/>
      </c>
      <c r="H280" s="21">
        <f t="shared" si="393"/>
        <v>4430</v>
      </c>
      <c r="I280" s="21"/>
      <c r="J280" s="21"/>
      <c r="K280" s="21"/>
      <c r="P280" s="22" t="str">
        <f t="shared" ref="P280:AU280" si="406">IF(COUNT(P179)=1,GC*P179,"")</f>
        <v/>
      </c>
      <c r="Q280" s="22" t="str">
        <f t="shared" si="406"/>
        <v/>
      </c>
      <c r="R280" s="22" t="str">
        <f t="shared" si="406"/>
        <v/>
      </c>
      <c r="S280" s="22" t="str">
        <f t="shared" si="406"/>
        <v/>
      </c>
      <c r="T280" s="22" t="str">
        <f t="shared" si="406"/>
        <v/>
      </c>
      <c r="U280" s="22" t="str">
        <f t="shared" si="406"/>
        <v/>
      </c>
      <c r="V280" s="22" t="str">
        <f t="shared" si="406"/>
        <v/>
      </c>
      <c r="W280" s="22" t="str">
        <f t="shared" si="406"/>
        <v/>
      </c>
      <c r="X280" s="22" t="str">
        <f t="shared" si="406"/>
        <v/>
      </c>
      <c r="Y280" s="22" t="str">
        <f t="shared" si="406"/>
        <v/>
      </c>
      <c r="Z280" s="22" t="str">
        <f t="shared" si="406"/>
        <v/>
      </c>
      <c r="AA280" s="22" t="str">
        <f t="shared" si="406"/>
        <v/>
      </c>
      <c r="AB280" s="22" t="str">
        <f t="shared" si="406"/>
        <v/>
      </c>
      <c r="AC280" s="22" t="str">
        <f t="shared" si="406"/>
        <v/>
      </c>
      <c r="AD280" s="22" t="str">
        <f t="shared" si="406"/>
        <v/>
      </c>
      <c r="AE280" s="22" t="str">
        <f t="shared" si="406"/>
        <v/>
      </c>
      <c r="AF280" s="22" t="str">
        <f t="shared" si="406"/>
        <v/>
      </c>
      <c r="AG280" s="22" t="str">
        <f t="shared" si="406"/>
        <v/>
      </c>
      <c r="AH280" s="22" t="str">
        <f t="shared" si="406"/>
        <v/>
      </c>
      <c r="AI280" s="22" t="str">
        <f t="shared" si="406"/>
        <v/>
      </c>
      <c r="AJ280" s="22" t="str">
        <f t="shared" si="406"/>
        <v/>
      </c>
      <c r="AK280" s="22" t="str">
        <f t="shared" si="406"/>
        <v/>
      </c>
      <c r="AL280" s="22" t="str">
        <f t="shared" si="406"/>
        <v/>
      </c>
      <c r="AM280" s="22" t="str">
        <f t="shared" si="406"/>
        <v/>
      </c>
      <c r="AN280" s="22" t="str">
        <f t="shared" si="406"/>
        <v/>
      </c>
      <c r="AO280" s="22" t="str">
        <f t="shared" si="406"/>
        <v/>
      </c>
      <c r="AP280" s="22" t="str">
        <f t="shared" si="406"/>
        <v/>
      </c>
      <c r="AQ280" s="22" t="str">
        <f t="shared" si="406"/>
        <v/>
      </c>
      <c r="AR280" s="22" t="str">
        <f t="shared" si="406"/>
        <v/>
      </c>
      <c r="AS280" s="22" t="str">
        <f t="shared" si="406"/>
        <v/>
      </c>
      <c r="AT280" s="22" t="str">
        <f t="shared" si="406"/>
        <v/>
      </c>
      <c r="AU280" s="22" t="str">
        <f t="shared" si="406"/>
        <v/>
      </c>
    </row>
    <row r="281" spans="1:47">
      <c r="A281" s="21" t="str">
        <f t="shared" si="405"/>
        <v>65F01</v>
      </c>
      <c r="B281" s="191"/>
      <c r="C281" s="191"/>
      <c r="D281" s="22" t="str">
        <f t="shared" si="400"/>
        <v/>
      </c>
      <c r="E281" s="22" t="str">
        <f t="shared" si="401"/>
        <v/>
      </c>
      <c r="F281" s="22" t="str">
        <f t="shared" si="402"/>
        <v/>
      </c>
      <c r="G281" s="22" t="str">
        <f t="shared" si="403"/>
        <v/>
      </c>
      <c r="H281" s="21">
        <f t="shared" si="393"/>
        <v>6110</v>
      </c>
      <c r="I281" s="21"/>
      <c r="J281" s="21"/>
      <c r="K281" s="21"/>
      <c r="P281" s="22" t="str">
        <f t="shared" ref="P281:AU281" si="407">IF(COUNT(P180)=1,GC*P180,"")</f>
        <v/>
      </c>
      <c r="Q281" s="22" t="str">
        <f t="shared" si="407"/>
        <v/>
      </c>
      <c r="R281" s="22" t="str">
        <f t="shared" si="407"/>
        <v/>
      </c>
      <c r="S281" s="22" t="str">
        <f t="shared" si="407"/>
        <v/>
      </c>
      <c r="T281" s="22" t="str">
        <f t="shared" si="407"/>
        <v/>
      </c>
      <c r="U281" s="22" t="str">
        <f t="shared" si="407"/>
        <v/>
      </c>
      <c r="V281" s="22" t="str">
        <f t="shared" si="407"/>
        <v/>
      </c>
      <c r="W281" s="22" t="str">
        <f t="shared" si="407"/>
        <v/>
      </c>
      <c r="X281" s="22" t="str">
        <f t="shared" si="407"/>
        <v/>
      </c>
      <c r="Y281" s="22" t="str">
        <f t="shared" si="407"/>
        <v/>
      </c>
      <c r="Z281" s="22" t="str">
        <f t="shared" si="407"/>
        <v/>
      </c>
      <c r="AA281" s="22" t="str">
        <f t="shared" si="407"/>
        <v/>
      </c>
      <c r="AB281" s="22" t="str">
        <f t="shared" si="407"/>
        <v/>
      </c>
      <c r="AC281" s="22" t="str">
        <f t="shared" si="407"/>
        <v/>
      </c>
      <c r="AD281" s="22" t="str">
        <f t="shared" si="407"/>
        <v/>
      </c>
      <c r="AE281" s="22" t="str">
        <f t="shared" si="407"/>
        <v/>
      </c>
      <c r="AF281" s="22" t="str">
        <f t="shared" si="407"/>
        <v/>
      </c>
      <c r="AG281" s="22" t="str">
        <f t="shared" si="407"/>
        <v/>
      </c>
      <c r="AH281" s="22" t="str">
        <f t="shared" si="407"/>
        <v/>
      </c>
      <c r="AI281" s="22" t="str">
        <f t="shared" si="407"/>
        <v/>
      </c>
      <c r="AJ281" s="22" t="str">
        <f t="shared" si="407"/>
        <v/>
      </c>
      <c r="AK281" s="22" t="str">
        <f t="shared" si="407"/>
        <v/>
      </c>
      <c r="AL281" s="22" t="str">
        <f t="shared" si="407"/>
        <v/>
      </c>
      <c r="AM281" s="22" t="str">
        <f t="shared" si="407"/>
        <v/>
      </c>
      <c r="AN281" s="22" t="str">
        <f t="shared" si="407"/>
        <v/>
      </c>
      <c r="AO281" s="22" t="str">
        <f t="shared" si="407"/>
        <v/>
      </c>
      <c r="AP281" s="22" t="str">
        <f t="shared" si="407"/>
        <v/>
      </c>
      <c r="AQ281" s="22" t="str">
        <f t="shared" si="407"/>
        <v/>
      </c>
      <c r="AR281" s="22" t="str">
        <f t="shared" si="407"/>
        <v/>
      </c>
      <c r="AS281" s="22" t="str">
        <f t="shared" si="407"/>
        <v/>
      </c>
      <c r="AT281" s="22" t="str">
        <f t="shared" si="407"/>
        <v/>
      </c>
      <c r="AU281" s="22" t="str">
        <f t="shared" si="407"/>
        <v/>
      </c>
    </row>
    <row r="282" spans="1:47">
      <c r="A282" s="21" t="str">
        <f t="shared" si="405"/>
        <v>2700K</v>
      </c>
      <c r="B282" s="191"/>
      <c r="C282" s="191"/>
      <c r="D282" s="22" t="str">
        <f t="shared" si="400"/>
        <v/>
      </c>
      <c r="E282" s="22" t="str">
        <f t="shared" si="401"/>
        <v/>
      </c>
      <c r="F282" s="22" t="str">
        <f t="shared" si="402"/>
        <v/>
      </c>
      <c r="G282" s="22" t="str">
        <f t="shared" si="403"/>
        <v/>
      </c>
      <c r="H282" s="21">
        <f t="shared" si="393"/>
        <v>2700</v>
      </c>
      <c r="I282" s="21"/>
      <c r="J282" s="21"/>
      <c r="K282" s="21"/>
      <c r="P282" s="22" t="str">
        <f t="shared" ref="P282:AU282" si="408">IF(COUNT(P181)=1,GC*P181,"")</f>
        <v/>
      </c>
      <c r="Q282" s="22" t="str">
        <f t="shared" si="408"/>
        <v/>
      </c>
      <c r="R282" s="22" t="str">
        <f t="shared" si="408"/>
        <v/>
      </c>
      <c r="S282" s="22" t="str">
        <f t="shared" si="408"/>
        <v/>
      </c>
      <c r="T282" s="22" t="str">
        <f t="shared" si="408"/>
        <v/>
      </c>
      <c r="U282" s="22" t="str">
        <f t="shared" si="408"/>
        <v/>
      </c>
      <c r="V282" s="22" t="str">
        <f t="shared" si="408"/>
        <v/>
      </c>
      <c r="W282" s="22" t="str">
        <f t="shared" si="408"/>
        <v/>
      </c>
      <c r="X282" s="22" t="str">
        <f t="shared" si="408"/>
        <v/>
      </c>
      <c r="Y282" s="22" t="str">
        <f t="shared" si="408"/>
        <v/>
      </c>
      <c r="Z282" s="22" t="str">
        <f t="shared" si="408"/>
        <v/>
      </c>
      <c r="AA282" s="22" t="str">
        <f t="shared" si="408"/>
        <v/>
      </c>
      <c r="AB282" s="22" t="str">
        <f t="shared" si="408"/>
        <v/>
      </c>
      <c r="AC282" s="22" t="str">
        <f t="shared" si="408"/>
        <v/>
      </c>
      <c r="AD282" s="22" t="str">
        <f t="shared" si="408"/>
        <v/>
      </c>
      <c r="AE282" s="22" t="str">
        <f t="shared" si="408"/>
        <v/>
      </c>
      <c r="AF282" s="22" t="str">
        <f t="shared" si="408"/>
        <v/>
      </c>
      <c r="AG282" s="22" t="str">
        <f t="shared" si="408"/>
        <v/>
      </c>
      <c r="AH282" s="22" t="str">
        <f t="shared" si="408"/>
        <v/>
      </c>
      <c r="AI282" s="22" t="str">
        <f t="shared" si="408"/>
        <v/>
      </c>
      <c r="AJ282" s="22" t="str">
        <f t="shared" si="408"/>
        <v/>
      </c>
      <c r="AK282" s="22" t="str">
        <f t="shared" si="408"/>
        <v/>
      </c>
      <c r="AL282" s="22" t="str">
        <f t="shared" si="408"/>
        <v/>
      </c>
      <c r="AM282" s="22" t="str">
        <f t="shared" si="408"/>
        <v/>
      </c>
      <c r="AN282" s="22" t="str">
        <f t="shared" si="408"/>
        <v/>
      </c>
      <c r="AO282" s="22" t="str">
        <f t="shared" si="408"/>
        <v/>
      </c>
      <c r="AP282" s="22" t="str">
        <f t="shared" si="408"/>
        <v/>
      </c>
      <c r="AQ282" s="22" t="str">
        <f t="shared" si="408"/>
        <v/>
      </c>
      <c r="AR282" s="22" t="str">
        <f t="shared" si="408"/>
        <v/>
      </c>
      <c r="AS282" s="22" t="str">
        <f t="shared" si="408"/>
        <v/>
      </c>
      <c r="AT282" s="22" t="str">
        <f t="shared" si="408"/>
        <v/>
      </c>
      <c r="AU282" s="22" t="str">
        <f t="shared" si="408"/>
        <v/>
      </c>
    </row>
    <row r="283" spans="1:47">
      <c r="A283" s="21" t="str">
        <f t="shared" si="405"/>
        <v>3200K</v>
      </c>
      <c r="B283" s="191"/>
      <c r="C283" s="191"/>
      <c r="D283" s="22">
        <f t="shared" si="400"/>
        <v>3180.3874668622038</v>
      </c>
      <c r="E283" s="22">
        <f t="shared" si="401"/>
        <v>3826.1178944455551</v>
      </c>
      <c r="F283" s="22">
        <f t="shared" si="402"/>
        <v>4471.8483220289063</v>
      </c>
      <c r="G283" s="22">
        <f t="shared" si="403"/>
        <v>430.48695172223427</v>
      </c>
      <c r="H283" s="21">
        <f t="shared" si="393"/>
        <v>3200</v>
      </c>
      <c r="I283" s="21"/>
      <c r="J283" s="21"/>
      <c r="K283" s="21"/>
      <c r="P283" s="22">
        <f t="shared" ref="P283:AU283" si="409">IF(COUNT(P182)=1,GC*P182,"")</f>
        <v>3747.2854202951653</v>
      </c>
      <c r="Q283" s="22">
        <f t="shared" si="409"/>
        <v>4151.9693294115768</v>
      </c>
      <c r="R283" s="22">
        <f t="shared" si="409"/>
        <v>4375.6219605183833</v>
      </c>
      <c r="S283" s="22">
        <f t="shared" si="409"/>
        <v>3954.4441716075075</v>
      </c>
      <c r="T283" s="22">
        <f t="shared" si="409"/>
        <v>3548.2276453420523</v>
      </c>
      <c r="U283" s="22">
        <f t="shared" si="409"/>
        <v>3179.1588394986461</v>
      </c>
      <c r="V283" s="22" t="str">
        <f t="shared" si="409"/>
        <v/>
      </c>
      <c r="W283" s="22" t="str">
        <f t="shared" si="409"/>
        <v/>
      </c>
      <c r="X283" s="22" t="str">
        <f t="shared" si="409"/>
        <v/>
      </c>
      <c r="Y283" s="22" t="str">
        <f t="shared" si="409"/>
        <v/>
      </c>
      <c r="Z283" s="22" t="str">
        <f t="shared" si="409"/>
        <v/>
      </c>
      <c r="AA283" s="22" t="str">
        <f t="shared" si="409"/>
        <v/>
      </c>
      <c r="AB283" s="22" t="str">
        <f t="shared" si="409"/>
        <v/>
      </c>
      <c r="AC283" s="22" t="str">
        <f t="shared" si="409"/>
        <v/>
      </c>
      <c r="AD283" s="22" t="str">
        <f t="shared" si="409"/>
        <v/>
      </c>
      <c r="AE283" s="22" t="str">
        <f t="shared" si="409"/>
        <v/>
      </c>
      <c r="AF283" s="22" t="str">
        <f t="shared" si="409"/>
        <v/>
      </c>
      <c r="AG283" s="22" t="str">
        <f t="shared" si="409"/>
        <v/>
      </c>
      <c r="AH283" s="22" t="str">
        <f t="shared" si="409"/>
        <v/>
      </c>
      <c r="AI283" s="22" t="str">
        <f t="shared" si="409"/>
        <v/>
      </c>
      <c r="AJ283" s="22" t="str">
        <f t="shared" si="409"/>
        <v/>
      </c>
      <c r="AK283" s="22" t="str">
        <f t="shared" si="409"/>
        <v/>
      </c>
      <c r="AL283" s="22" t="str">
        <f t="shared" si="409"/>
        <v/>
      </c>
      <c r="AM283" s="22" t="str">
        <f t="shared" si="409"/>
        <v/>
      </c>
      <c r="AN283" s="22" t="str">
        <f t="shared" si="409"/>
        <v/>
      </c>
      <c r="AO283" s="22" t="str">
        <f t="shared" si="409"/>
        <v/>
      </c>
      <c r="AP283" s="22" t="str">
        <f t="shared" si="409"/>
        <v/>
      </c>
      <c r="AQ283" s="22" t="str">
        <f t="shared" si="409"/>
        <v/>
      </c>
      <c r="AR283" s="22" t="str">
        <f t="shared" si="409"/>
        <v/>
      </c>
      <c r="AS283" s="22" t="str">
        <f t="shared" si="409"/>
        <v/>
      </c>
      <c r="AT283" s="22" t="str">
        <f t="shared" si="409"/>
        <v/>
      </c>
      <c r="AU283" s="22" t="str">
        <f t="shared" si="409"/>
        <v/>
      </c>
    </row>
    <row r="284" spans="1:47">
      <c r="A284" s="21" t="str">
        <f t="shared" si="405"/>
        <v>5500K</v>
      </c>
      <c r="B284" s="191"/>
      <c r="C284" s="191"/>
      <c r="D284" s="22" t="str">
        <f t="shared" si="400"/>
        <v/>
      </c>
      <c r="E284" s="22" t="str">
        <f t="shared" si="401"/>
        <v/>
      </c>
      <c r="F284" s="22" t="str">
        <f t="shared" si="402"/>
        <v/>
      </c>
      <c r="G284" s="22" t="str">
        <f t="shared" si="403"/>
        <v/>
      </c>
      <c r="H284" s="21">
        <f t="shared" si="393"/>
        <v>5500</v>
      </c>
      <c r="I284" s="21"/>
      <c r="J284" s="21"/>
      <c r="K284" s="21"/>
      <c r="P284" s="22" t="str">
        <f t="shared" ref="P284:AU284" si="410">IF(COUNT(P183)=1,GC*P183,"")</f>
        <v/>
      </c>
      <c r="Q284" s="22" t="str">
        <f t="shared" si="410"/>
        <v/>
      </c>
      <c r="R284" s="22" t="str">
        <f t="shared" si="410"/>
        <v/>
      </c>
      <c r="S284" s="22" t="str">
        <f t="shared" si="410"/>
        <v/>
      </c>
      <c r="T284" s="22" t="str">
        <f t="shared" si="410"/>
        <v/>
      </c>
      <c r="U284" s="22" t="str">
        <f t="shared" si="410"/>
        <v/>
      </c>
      <c r="V284" s="22" t="str">
        <f t="shared" si="410"/>
        <v/>
      </c>
      <c r="W284" s="22" t="str">
        <f t="shared" si="410"/>
        <v/>
      </c>
      <c r="X284" s="22" t="str">
        <f t="shared" si="410"/>
        <v/>
      </c>
      <c r="Y284" s="22" t="str">
        <f t="shared" si="410"/>
        <v/>
      </c>
      <c r="Z284" s="22" t="str">
        <f t="shared" si="410"/>
        <v/>
      </c>
      <c r="AA284" s="22" t="str">
        <f t="shared" si="410"/>
        <v/>
      </c>
      <c r="AB284" s="22" t="str">
        <f t="shared" si="410"/>
        <v/>
      </c>
      <c r="AC284" s="22" t="str">
        <f t="shared" si="410"/>
        <v/>
      </c>
      <c r="AD284" s="22" t="str">
        <f t="shared" si="410"/>
        <v/>
      </c>
      <c r="AE284" s="22" t="str">
        <f t="shared" si="410"/>
        <v/>
      </c>
      <c r="AF284" s="22" t="str">
        <f t="shared" si="410"/>
        <v/>
      </c>
      <c r="AG284" s="22" t="str">
        <f t="shared" si="410"/>
        <v/>
      </c>
      <c r="AH284" s="22" t="str">
        <f t="shared" si="410"/>
        <v/>
      </c>
      <c r="AI284" s="22" t="str">
        <f t="shared" si="410"/>
        <v/>
      </c>
      <c r="AJ284" s="22" t="str">
        <f t="shared" si="410"/>
        <v/>
      </c>
      <c r="AK284" s="22" t="str">
        <f t="shared" si="410"/>
        <v/>
      </c>
      <c r="AL284" s="22" t="str">
        <f t="shared" si="410"/>
        <v/>
      </c>
      <c r="AM284" s="22" t="str">
        <f t="shared" si="410"/>
        <v/>
      </c>
      <c r="AN284" s="22" t="str">
        <f t="shared" si="410"/>
        <v/>
      </c>
      <c r="AO284" s="22" t="str">
        <f t="shared" si="410"/>
        <v/>
      </c>
      <c r="AP284" s="22" t="str">
        <f t="shared" si="410"/>
        <v/>
      </c>
      <c r="AQ284" s="22" t="str">
        <f t="shared" si="410"/>
        <v/>
      </c>
      <c r="AR284" s="22" t="str">
        <f t="shared" si="410"/>
        <v/>
      </c>
      <c r="AS284" s="22" t="str">
        <f t="shared" si="410"/>
        <v/>
      </c>
      <c r="AT284" s="22" t="str">
        <f t="shared" si="410"/>
        <v/>
      </c>
      <c r="AU284" s="22" t="str">
        <f t="shared" si="410"/>
        <v/>
      </c>
    </row>
    <row r="285" spans="1:47">
      <c r="A285" s="21" t="str">
        <f t="shared" si="405"/>
        <v>6500K</v>
      </c>
      <c r="B285" s="191"/>
      <c r="C285" s="191"/>
      <c r="D285" s="22" t="str">
        <f t="shared" si="400"/>
        <v/>
      </c>
      <c r="E285" s="22" t="str">
        <f t="shared" si="401"/>
        <v/>
      </c>
      <c r="F285" s="22" t="str">
        <f t="shared" si="402"/>
        <v/>
      </c>
      <c r="G285" s="22" t="str">
        <f t="shared" si="403"/>
        <v/>
      </c>
      <c r="H285" s="21">
        <f t="shared" si="393"/>
        <v>6500</v>
      </c>
      <c r="I285" s="21"/>
      <c r="J285" s="21"/>
      <c r="K285" s="21"/>
      <c r="P285" s="22" t="str">
        <f t="shared" ref="P285:AU285" si="411">IF(COUNT(P184)=1,GC*P184,"")</f>
        <v/>
      </c>
      <c r="Q285" s="22" t="str">
        <f t="shared" si="411"/>
        <v/>
      </c>
      <c r="R285" s="22" t="str">
        <f t="shared" si="411"/>
        <v/>
      </c>
      <c r="S285" s="22" t="str">
        <f t="shared" si="411"/>
        <v/>
      </c>
      <c r="T285" s="22" t="str">
        <f t="shared" si="411"/>
        <v/>
      </c>
      <c r="U285" s="22" t="str">
        <f t="shared" si="411"/>
        <v/>
      </c>
      <c r="V285" s="22" t="str">
        <f t="shared" si="411"/>
        <v/>
      </c>
      <c r="W285" s="22" t="str">
        <f t="shared" si="411"/>
        <v/>
      </c>
      <c r="X285" s="22" t="str">
        <f t="shared" si="411"/>
        <v/>
      </c>
      <c r="Y285" s="22" t="str">
        <f t="shared" si="411"/>
        <v/>
      </c>
      <c r="Z285" s="22" t="str">
        <f t="shared" si="411"/>
        <v/>
      </c>
      <c r="AA285" s="22" t="str">
        <f t="shared" si="411"/>
        <v/>
      </c>
      <c r="AB285" s="22" t="str">
        <f t="shared" si="411"/>
        <v/>
      </c>
      <c r="AC285" s="22" t="str">
        <f t="shared" si="411"/>
        <v/>
      </c>
      <c r="AD285" s="22" t="str">
        <f t="shared" si="411"/>
        <v/>
      </c>
      <c r="AE285" s="22" t="str">
        <f t="shared" si="411"/>
        <v/>
      </c>
      <c r="AF285" s="22" t="str">
        <f t="shared" si="411"/>
        <v/>
      </c>
      <c r="AG285" s="22" t="str">
        <f t="shared" si="411"/>
        <v/>
      </c>
      <c r="AH285" s="22" t="str">
        <f t="shared" si="411"/>
        <v/>
      </c>
      <c r="AI285" s="22" t="str">
        <f t="shared" si="411"/>
        <v/>
      </c>
      <c r="AJ285" s="22" t="str">
        <f t="shared" si="411"/>
        <v/>
      </c>
      <c r="AK285" s="22" t="str">
        <f t="shared" si="411"/>
        <v/>
      </c>
      <c r="AL285" s="22" t="str">
        <f t="shared" si="411"/>
        <v/>
      </c>
      <c r="AM285" s="22" t="str">
        <f t="shared" si="411"/>
        <v/>
      </c>
      <c r="AN285" s="22" t="str">
        <f t="shared" si="411"/>
        <v/>
      </c>
      <c r="AO285" s="22" t="str">
        <f t="shared" si="411"/>
        <v/>
      </c>
      <c r="AP285" s="22" t="str">
        <f t="shared" si="411"/>
        <v/>
      </c>
      <c r="AQ285" s="22" t="str">
        <f t="shared" si="411"/>
        <v/>
      </c>
      <c r="AR285" s="22" t="str">
        <f t="shared" si="411"/>
        <v/>
      </c>
      <c r="AS285" s="22" t="str">
        <f t="shared" si="411"/>
        <v/>
      </c>
      <c r="AT285" s="22" t="str">
        <f t="shared" si="411"/>
        <v/>
      </c>
      <c r="AU285" s="22" t="str">
        <f t="shared" si="411"/>
        <v/>
      </c>
    </row>
    <row r="286" spans="1:47">
      <c r="A286" s="21" t="str">
        <f t="shared" si="405"/>
        <v>41F02</v>
      </c>
      <c r="B286" s="191" t="str">
        <f>B264</f>
        <v>P2</v>
      </c>
      <c r="C286" s="191"/>
      <c r="D286" s="22" t="str">
        <f t="shared" si="400"/>
        <v/>
      </c>
      <c r="E286" s="22" t="str">
        <f t="shared" si="401"/>
        <v/>
      </c>
      <c r="F286" s="22" t="str">
        <f t="shared" si="402"/>
        <v/>
      </c>
      <c r="G286" s="22" t="str">
        <f t="shared" si="403"/>
        <v/>
      </c>
      <c r="H286" s="21">
        <f t="shared" si="393"/>
        <v>3670</v>
      </c>
      <c r="I286" s="21"/>
      <c r="J286" s="21"/>
      <c r="K286" s="21"/>
      <c r="P286" s="22" t="str">
        <f t="shared" ref="P286:AU286" si="412">IF(COUNT(P185)=1,GC*P185,"")</f>
        <v/>
      </c>
      <c r="Q286" s="22" t="str">
        <f t="shared" si="412"/>
        <v/>
      </c>
      <c r="R286" s="22" t="str">
        <f t="shared" si="412"/>
        <v/>
      </c>
      <c r="S286" s="22" t="str">
        <f t="shared" si="412"/>
        <v/>
      </c>
      <c r="T286" s="22" t="str">
        <f t="shared" si="412"/>
        <v/>
      </c>
      <c r="U286" s="22" t="str">
        <f t="shared" si="412"/>
        <v/>
      </c>
      <c r="V286" s="22" t="str">
        <f t="shared" si="412"/>
        <v/>
      </c>
      <c r="W286" s="22" t="str">
        <f t="shared" si="412"/>
        <v/>
      </c>
      <c r="X286" s="22" t="str">
        <f t="shared" si="412"/>
        <v/>
      </c>
      <c r="Y286" s="22" t="str">
        <f t="shared" si="412"/>
        <v/>
      </c>
      <c r="Z286" s="22" t="str">
        <f t="shared" si="412"/>
        <v/>
      </c>
      <c r="AA286" s="22" t="str">
        <f t="shared" si="412"/>
        <v/>
      </c>
      <c r="AB286" s="22" t="str">
        <f t="shared" si="412"/>
        <v/>
      </c>
      <c r="AC286" s="22" t="str">
        <f t="shared" si="412"/>
        <v/>
      </c>
      <c r="AD286" s="22" t="str">
        <f t="shared" si="412"/>
        <v/>
      </c>
      <c r="AE286" s="22" t="str">
        <f t="shared" si="412"/>
        <v/>
      </c>
      <c r="AF286" s="22" t="str">
        <f t="shared" si="412"/>
        <v/>
      </c>
      <c r="AG286" s="22" t="str">
        <f t="shared" si="412"/>
        <v/>
      </c>
      <c r="AH286" s="22" t="str">
        <f t="shared" si="412"/>
        <v/>
      </c>
      <c r="AI286" s="22" t="str">
        <f t="shared" si="412"/>
        <v/>
      </c>
      <c r="AJ286" s="22" t="str">
        <f t="shared" si="412"/>
        <v/>
      </c>
      <c r="AK286" s="22" t="str">
        <f t="shared" si="412"/>
        <v/>
      </c>
      <c r="AL286" s="22" t="str">
        <f t="shared" si="412"/>
        <v/>
      </c>
      <c r="AM286" s="22" t="str">
        <f t="shared" si="412"/>
        <v/>
      </c>
      <c r="AN286" s="22" t="str">
        <f t="shared" si="412"/>
        <v/>
      </c>
      <c r="AO286" s="22" t="str">
        <f t="shared" si="412"/>
        <v/>
      </c>
      <c r="AP286" s="22" t="str">
        <f t="shared" si="412"/>
        <v/>
      </c>
      <c r="AQ286" s="22" t="str">
        <f t="shared" si="412"/>
        <v/>
      </c>
      <c r="AR286" s="22" t="str">
        <f t="shared" si="412"/>
        <v/>
      </c>
      <c r="AS286" s="22" t="str">
        <f t="shared" si="412"/>
        <v/>
      </c>
      <c r="AT286" s="22" t="str">
        <f t="shared" si="412"/>
        <v/>
      </c>
      <c r="AU286" s="22" t="str">
        <f t="shared" si="412"/>
        <v/>
      </c>
    </row>
    <row r="287" spans="1:47">
      <c r="A287" s="21" t="str">
        <f t="shared" si="405"/>
        <v>55F02</v>
      </c>
      <c r="B287" s="191"/>
      <c r="C287" s="191"/>
      <c r="D287" s="22" t="str">
        <f t="shared" si="400"/>
        <v/>
      </c>
      <c r="E287" s="22" t="str">
        <f t="shared" si="401"/>
        <v/>
      </c>
      <c r="F287" s="22" t="str">
        <f t="shared" si="402"/>
        <v/>
      </c>
      <c r="G287" s="22" t="str">
        <f t="shared" si="403"/>
        <v/>
      </c>
      <c r="H287" s="21">
        <f t="shared" si="393"/>
        <v>4430</v>
      </c>
      <c r="I287" s="21"/>
      <c r="J287" s="21"/>
      <c r="K287" s="21"/>
      <c r="P287" s="22" t="str">
        <f t="shared" ref="P287:AU287" si="413">IF(COUNT(P186)=1,GC*P186,"")</f>
        <v/>
      </c>
      <c r="Q287" s="22" t="str">
        <f t="shared" si="413"/>
        <v/>
      </c>
      <c r="R287" s="22" t="str">
        <f t="shared" si="413"/>
        <v/>
      </c>
      <c r="S287" s="22" t="str">
        <f t="shared" si="413"/>
        <v/>
      </c>
      <c r="T287" s="22" t="str">
        <f t="shared" si="413"/>
        <v/>
      </c>
      <c r="U287" s="22" t="str">
        <f t="shared" si="413"/>
        <v/>
      </c>
      <c r="V287" s="22" t="str">
        <f t="shared" si="413"/>
        <v/>
      </c>
      <c r="W287" s="22" t="str">
        <f t="shared" si="413"/>
        <v/>
      </c>
      <c r="X287" s="22" t="str">
        <f t="shared" si="413"/>
        <v/>
      </c>
      <c r="Y287" s="22" t="str">
        <f t="shared" si="413"/>
        <v/>
      </c>
      <c r="Z287" s="22" t="str">
        <f t="shared" si="413"/>
        <v/>
      </c>
      <c r="AA287" s="22" t="str">
        <f t="shared" si="413"/>
        <v/>
      </c>
      <c r="AB287" s="22" t="str">
        <f t="shared" si="413"/>
        <v/>
      </c>
      <c r="AC287" s="22" t="str">
        <f t="shared" si="413"/>
        <v/>
      </c>
      <c r="AD287" s="22" t="str">
        <f t="shared" si="413"/>
        <v/>
      </c>
      <c r="AE287" s="22" t="str">
        <f t="shared" si="413"/>
        <v/>
      </c>
      <c r="AF287" s="22" t="str">
        <f t="shared" si="413"/>
        <v/>
      </c>
      <c r="AG287" s="22" t="str">
        <f t="shared" si="413"/>
        <v/>
      </c>
      <c r="AH287" s="22" t="str">
        <f t="shared" si="413"/>
        <v/>
      </c>
      <c r="AI287" s="22" t="str">
        <f t="shared" si="413"/>
        <v/>
      </c>
      <c r="AJ287" s="22" t="str">
        <f t="shared" si="413"/>
        <v/>
      </c>
      <c r="AK287" s="22" t="str">
        <f t="shared" si="413"/>
        <v/>
      </c>
      <c r="AL287" s="22" t="str">
        <f t="shared" si="413"/>
        <v/>
      </c>
      <c r="AM287" s="22" t="str">
        <f t="shared" si="413"/>
        <v/>
      </c>
      <c r="AN287" s="22" t="str">
        <f t="shared" si="413"/>
        <v/>
      </c>
      <c r="AO287" s="22" t="str">
        <f t="shared" si="413"/>
        <v/>
      </c>
      <c r="AP287" s="22" t="str">
        <f t="shared" si="413"/>
        <v/>
      </c>
      <c r="AQ287" s="22" t="str">
        <f t="shared" si="413"/>
        <v/>
      </c>
      <c r="AR287" s="22" t="str">
        <f t="shared" si="413"/>
        <v/>
      </c>
      <c r="AS287" s="22" t="str">
        <f t="shared" si="413"/>
        <v/>
      </c>
      <c r="AT287" s="22" t="str">
        <f t="shared" si="413"/>
        <v/>
      </c>
      <c r="AU287" s="22" t="str">
        <f t="shared" si="413"/>
        <v/>
      </c>
    </row>
    <row r="288" spans="1:47">
      <c r="A288" s="21" t="str">
        <f t="shared" si="405"/>
        <v>65F01</v>
      </c>
      <c r="B288" s="191"/>
      <c r="C288" s="191"/>
      <c r="D288" s="22" t="str">
        <f t="shared" si="400"/>
        <v/>
      </c>
      <c r="E288" s="22" t="str">
        <f t="shared" si="401"/>
        <v/>
      </c>
      <c r="F288" s="22" t="str">
        <f t="shared" si="402"/>
        <v/>
      </c>
      <c r="G288" s="22" t="str">
        <f t="shared" si="403"/>
        <v/>
      </c>
      <c r="H288" s="21">
        <f t="shared" si="393"/>
        <v>6110</v>
      </c>
      <c r="I288" s="21"/>
      <c r="J288" s="21"/>
      <c r="K288" s="21"/>
      <c r="P288" s="22" t="str">
        <f t="shared" ref="P288:AU288" si="414">IF(COUNT(P187)=1,GC*P187,"")</f>
        <v/>
      </c>
      <c r="Q288" s="22" t="str">
        <f t="shared" si="414"/>
        <v/>
      </c>
      <c r="R288" s="22" t="str">
        <f t="shared" si="414"/>
        <v/>
      </c>
      <c r="S288" s="22" t="str">
        <f t="shared" si="414"/>
        <v/>
      </c>
      <c r="T288" s="22" t="str">
        <f t="shared" si="414"/>
        <v/>
      </c>
      <c r="U288" s="22" t="str">
        <f t="shared" si="414"/>
        <v/>
      </c>
      <c r="V288" s="22" t="str">
        <f t="shared" si="414"/>
        <v/>
      </c>
      <c r="W288" s="22" t="str">
        <f t="shared" si="414"/>
        <v/>
      </c>
      <c r="X288" s="22" t="str">
        <f t="shared" si="414"/>
        <v/>
      </c>
      <c r="Y288" s="22" t="str">
        <f t="shared" si="414"/>
        <v/>
      </c>
      <c r="Z288" s="22" t="str">
        <f t="shared" si="414"/>
        <v/>
      </c>
      <c r="AA288" s="22" t="str">
        <f t="shared" si="414"/>
        <v/>
      </c>
      <c r="AB288" s="22" t="str">
        <f t="shared" si="414"/>
        <v/>
      </c>
      <c r="AC288" s="22" t="str">
        <f t="shared" si="414"/>
        <v/>
      </c>
      <c r="AD288" s="22" t="str">
        <f t="shared" si="414"/>
        <v/>
      </c>
      <c r="AE288" s="22" t="str">
        <f t="shared" si="414"/>
        <v/>
      </c>
      <c r="AF288" s="22" t="str">
        <f t="shared" si="414"/>
        <v/>
      </c>
      <c r="AG288" s="22" t="str">
        <f t="shared" si="414"/>
        <v/>
      </c>
      <c r="AH288" s="22" t="str">
        <f t="shared" si="414"/>
        <v/>
      </c>
      <c r="AI288" s="22" t="str">
        <f t="shared" si="414"/>
        <v/>
      </c>
      <c r="AJ288" s="22" t="str">
        <f t="shared" si="414"/>
        <v/>
      </c>
      <c r="AK288" s="22" t="str">
        <f t="shared" si="414"/>
        <v/>
      </c>
      <c r="AL288" s="22" t="str">
        <f t="shared" si="414"/>
        <v/>
      </c>
      <c r="AM288" s="22" t="str">
        <f t="shared" si="414"/>
        <v/>
      </c>
      <c r="AN288" s="22" t="str">
        <f t="shared" si="414"/>
        <v/>
      </c>
      <c r="AO288" s="22" t="str">
        <f t="shared" si="414"/>
        <v/>
      </c>
      <c r="AP288" s="22" t="str">
        <f t="shared" si="414"/>
        <v/>
      </c>
      <c r="AQ288" s="22" t="str">
        <f t="shared" si="414"/>
        <v/>
      </c>
      <c r="AR288" s="22" t="str">
        <f t="shared" si="414"/>
        <v/>
      </c>
      <c r="AS288" s="22" t="str">
        <f t="shared" si="414"/>
        <v/>
      </c>
      <c r="AT288" s="22" t="str">
        <f t="shared" si="414"/>
        <v/>
      </c>
      <c r="AU288" s="22" t="str">
        <f t="shared" si="414"/>
        <v/>
      </c>
    </row>
    <row r="289" spans="1:47">
      <c r="A289" s="21" t="str">
        <f t="shared" si="405"/>
        <v>2700K</v>
      </c>
      <c r="B289" s="191"/>
      <c r="C289" s="191"/>
      <c r="D289" s="22" t="str">
        <f t="shared" si="400"/>
        <v/>
      </c>
      <c r="E289" s="22" t="str">
        <f t="shared" si="401"/>
        <v/>
      </c>
      <c r="F289" s="22" t="str">
        <f t="shared" si="402"/>
        <v/>
      </c>
      <c r="G289" s="22" t="str">
        <f t="shared" si="403"/>
        <v/>
      </c>
      <c r="H289" s="21">
        <f t="shared" si="393"/>
        <v>2700</v>
      </c>
      <c r="I289" s="21"/>
      <c r="J289" s="21"/>
      <c r="K289" s="21"/>
      <c r="P289" s="22" t="str">
        <f t="shared" ref="P289:AU289" si="415">IF(COUNT(P188)=1,GC*P188,"")</f>
        <v/>
      </c>
      <c r="Q289" s="22" t="str">
        <f t="shared" si="415"/>
        <v/>
      </c>
      <c r="R289" s="22" t="str">
        <f t="shared" si="415"/>
        <v/>
      </c>
      <c r="S289" s="22" t="str">
        <f t="shared" si="415"/>
        <v/>
      </c>
      <c r="T289" s="22" t="str">
        <f t="shared" si="415"/>
        <v/>
      </c>
      <c r="U289" s="22" t="str">
        <f t="shared" si="415"/>
        <v/>
      </c>
      <c r="V289" s="22" t="str">
        <f t="shared" si="415"/>
        <v/>
      </c>
      <c r="W289" s="22" t="str">
        <f t="shared" si="415"/>
        <v/>
      </c>
      <c r="X289" s="22" t="str">
        <f t="shared" si="415"/>
        <v/>
      </c>
      <c r="Y289" s="22" t="str">
        <f t="shared" si="415"/>
        <v/>
      </c>
      <c r="Z289" s="22" t="str">
        <f t="shared" si="415"/>
        <v/>
      </c>
      <c r="AA289" s="22" t="str">
        <f t="shared" si="415"/>
        <v/>
      </c>
      <c r="AB289" s="22" t="str">
        <f t="shared" si="415"/>
        <v/>
      </c>
      <c r="AC289" s="22" t="str">
        <f t="shared" si="415"/>
        <v/>
      </c>
      <c r="AD289" s="22" t="str">
        <f t="shared" si="415"/>
        <v/>
      </c>
      <c r="AE289" s="22" t="str">
        <f t="shared" si="415"/>
        <v/>
      </c>
      <c r="AF289" s="22" t="str">
        <f t="shared" si="415"/>
        <v/>
      </c>
      <c r="AG289" s="22" t="str">
        <f t="shared" si="415"/>
        <v/>
      </c>
      <c r="AH289" s="22" t="str">
        <f t="shared" si="415"/>
        <v/>
      </c>
      <c r="AI289" s="22" t="str">
        <f t="shared" si="415"/>
        <v/>
      </c>
      <c r="AJ289" s="22" t="str">
        <f t="shared" si="415"/>
        <v/>
      </c>
      <c r="AK289" s="22" t="str">
        <f t="shared" si="415"/>
        <v/>
      </c>
      <c r="AL289" s="22" t="str">
        <f t="shared" si="415"/>
        <v/>
      </c>
      <c r="AM289" s="22" t="str">
        <f t="shared" si="415"/>
        <v/>
      </c>
      <c r="AN289" s="22" t="str">
        <f t="shared" si="415"/>
        <v/>
      </c>
      <c r="AO289" s="22" t="str">
        <f t="shared" si="415"/>
        <v/>
      </c>
      <c r="AP289" s="22" t="str">
        <f t="shared" si="415"/>
        <v/>
      </c>
      <c r="AQ289" s="22" t="str">
        <f t="shared" si="415"/>
        <v/>
      </c>
      <c r="AR289" s="22" t="str">
        <f t="shared" si="415"/>
        <v/>
      </c>
      <c r="AS289" s="22" t="str">
        <f t="shared" si="415"/>
        <v/>
      </c>
      <c r="AT289" s="22" t="str">
        <f t="shared" si="415"/>
        <v/>
      </c>
      <c r="AU289" s="22" t="str">
        <f t="shared" si="415"/>
        <v/>
      </c>
    </row>
    <row r="290" spans="1:47">
      <c r="A290" s="21" t="str">
        <f t="shared" si="405"/>
        <v>3200K</v>
      </c>
      <c r="B290" s="191"/>
      <c r="C290" s="191"/>
      <c r="D290" s="22">
        <f t="shared" si="400"/>
        <v>12731.332811820655</v>
      </c>
      <c r="E290" s="22">
        <f t="shared" si="401"/>
        <v>15253.578957531454</v>
      </c>
      <c r="F290" s="22">
        <f t="shared" si="402"/>
        <v>17775.825103242252</v>
      </c>
      <c r="G290" s="22">
        <f t="shared" si="403"/>
        <v>1681.4974304738662</v>
      </c>
      <c r="H290" s="21">
        <f t="shared" si="393"/>
        <v>3200</v>
      </c>
      <c r="I290" s="21"/>
      <c r="J290" s="21"/>
      <c r="K290" s="21"/>
      <c r="P290" s="22">
        <f t="shared" ref="P290:AU290" si="416">IF(COUNT(P189)=1,GC*P189,"")</f>
        <v>14615.037133276115</v>
      </c>
      <c r="Q290" s="22">
        <f t="shared" si="416"/>
        <v>16366.599589325504</v>
      </c>
      <c r="R290" s="22">
        <f t="shared" si="416"/>
        <v>17450.23289546806</v>
      </c>
      <c r="S290" s="22">
        <f t="shared" si="416"/>
        <v>16058.324597060811</v>
      </c>
      <c r="T290" s="22">
        <f t="shared" si="416"/>
        <v>14214.513184992818</v>
      </c>
      <c r="U290" s="22">
        <f t="shared" si="416"/>
        <v>12816.766345065405</v>
      </c>
      <c r="V290" s="22" t="str">
        <f t="shared" si="416"/>
        <v/>
      </c>
      <c r="W290" s="22" t="str">
        <f t="shared" si="416"/>
        <v/>
      </c>
      <c r="X290" s="22" t="str">
        <f t="shared" si="416"/>
        <v/>
      </c>
      <c r="Y290" s="22" t="str">
        <f t="shared" si="416"/>
        <v/>
      </c>
      <c r="Z290" s="22" t="str">
        <f t="shared" si="416"/>
        <v/>
      </c>
      <c r="AA290" s="22" t="str">
        <f t="shared" si="416"/>
        <v/>
      </c>
      <c r="AB290" s="22" t="str">
        <f t="shared" si="416"/>
        <v/>
      </c>
      <c r="AC290" s="22" t="str">
        <f t="shared" si="416"/>
        <v/>
      </c>
      <c r="AD290" s="22" t="str">
        <f t="shared" si="416"/>
        <v/>
      </c>
      <c r="AE290" s="22" t="str">
        <f t="shared" si="416"/>
        <v/>
      </c>
      <c r="AF290" s="22" t="str">
        <f t="shared" si="416"/>
        <v/>
      </c>
      <c r="AG290" s="22" t="str">
        <f t="shared" si="416"/>
        <v/>
      </c>
      <c r="AH290" s="22" t="str">
        <f t="shared" si="416"/>
        <v/>
      </c>
      <c r="AI290" s="22" t="str">
        <f t="shared" si="416"/>
        <v/>
      </c>
      <c r="AJ290" s="22" t="str">
        <f t="shared" si="416"/>
        <v/>
      </c>
      <c r="AK290" s="22" t="str">
        <f t="shared" si="416"/>
        <v/>
      </c>
      <c r="AL290" s="22" t="str">
        <f t="shared" si="416"/>
        <v/>
      </c>
      <c r="AM290" s="22" t="str">
        <f t="shared" si="416"/>
        <v/>
      </c>
      <c r="AN290" s="22" t="str">
        <f t="shared" si="416"/>
        <v/>
      </c>
      <c r="AO290" s="22" t="str">
        <f t="shared" si="416"/>
        <v/>
      </c>
      <c r="AP290" s="22" t="str">
        <f t="shared" si="416"/>
        <v/>
      </c>
      <c r="AQ290" s="22" t="str">
        <f t="shared" si="416"/>
        <v/>
      </c>
      <c r="AR290" s="22" t="str">
        <f t="shared" si="416"/>
        <v/>
      </c>
      <c r="AS290" s="22" t="str">
        <f t="shared" si="416"/>
        <v/>
      </c>
      <c r="AT290" s="22" t="str">
        <f t="shared" si="416"/>
        <v/>
      </c>
      <c r="AU290" s="22" t="str">
        <f t="shared" si="416"/>
        <v/>
      </c>
    </row>
    <row r="291" spans="1:47">
      <c r="A291" s="21" t="str">
        <f t="shared" si="405"/>
        <v>5500K</v>
      </c>
      <c r="B291" s="191"/>
      <c r="C291" s="191"/>
      <c r="D291" s="22" t="str">
        <f t="shared" si="400"/>
        <v/>
      </c>
      <c r="E291" s="22" t="str">
        <f t="shared" si="401"/>
        <v/>
      </c>
      <c r="F291" s="22" t="str">
        <f t="shared" si="402"/>
        <v/>
      </c>
      <c r="G291" s="22" t="str">
        <f t="shared" si="403"/>
        <v/>
      </c>
      <c r="H291" s="21">
        <f t="shared" si="393"/>
        <v>5500</v>
      </c>
      <c r="I291" s="21"/>
      <c r="J291" s="21"/>
      <c r="K291" s="21"/>
      <c r="P291" s="22" t="str">
        <f t="shared" ref="P291:AU291" si="417">IF(COUNT(P190)=1,GC*P190,"")</f>
        <v/>
      </c>
      <c r="Q291" s="22" t="str">
        <f t="shared" si="417"/>
        <v/>
      </c>
      <c r="R291" s="22" t="str">
        <f t="shared" si="417"/>
        <v/>
      </c>
      <c r="S291" s="22" t="str">
        <f t="shared" si="417"/>
        <v/>
      </c>
      <c r="T291" s="22" t="str">
        <f t="shared" si="417"/>
        <v/>
      </c>
      <c r="U291" s="22" t="str">
        <f t="shared" si="417"/>
        <v/>
      </c>
      <c r="V291" s="22" t="str">
        <f t="shared" si="417"/>
        <v/>
      </c>
      <c r="W291" s="22" t="str">
        <f t="shared" si="417"/>
        <v/>
      </c>
      <c r="X291" s="22" t="str">
        <f t="shared" si="417"/>
        <v/>
      </c>
      <c r="Y291" s="22" t="str">
        <f t="shared" si="417"/>
        <v/>
      </c>
      <c r="Z291" s="22" t="str">
        <f t="shared" si="417"/>
        <v/>
      </c>
      <c r="AA291" s="22" t="str">
        <f t="shared" si="417"/>
        <v/>
      </c>
      <c r="AB291" s="22" t="str">
        <f t="shared" si="417"/>
        <v/>
      </c>
      <c r="AC291" s="22" t="str">
        <f t="shared" si="417"/>
        <v/>
      </c>
      <c r="AD291" s="22" t="str">
        <f t="shared" si="417"/>
        <v/>
      </c>
      <c r="AE291" s="22" t="str">
        <f t="shared" si="417"/>
        <v/>
      </c>
      <c r="AF291" s="22" t="str">
        <f t="shared" si="417"/>
        <v/>
      </c>
      <c r="AG291" s="22" t="str">
        <f t="shared" si="417"/>
        <v/>
      </c>
      <c r="AH291" s="22" t="str">
        <f t="shared" si="417"/>
        <v/>
      </c>
      <c r="AI291" s="22" t="str">
        <f t="shared" si="417"/>
        <v/>
      </c>
      <c r="AJ291" s="22" t="str">
        <f t="shared" si="417"/>
        <v/>
      </c>
      <c r="AK291" s="22" t="str">
        <f t="shared" si="417"/>
        <v/>
      </c>
      <c r="AL291" s="22" t="str">
        <f t="shared" si="417"/>
        <v/>
      </c>
      <c r="AM291" s="22" t="str">
        <f t="shared" si="417"/>
        <v/>
      </c>
      <c r="AN291" s="22" t="str">
        <f t="shared" si="417"/>
        <v/>
      </c>
      <c r="AO291" s="22" t="str">
        <f t="shared" si="417"/>
        <v/>
      </c>
      <c r="AP291" s="22" t="str">
        <f t="shared" si="417"/>
        <v/>
      </c>
      <c r="AQ291" s="22" t="str">
        <f t="shared" si="417"/>
        <v/>
      </c>
      <c r="AR291" s="22" t="str">
        <f t="shared" si="417"/>
        <v/>
      </c>
      <c r="AS291" s="22" t="str">
        <f t="shared" si="417"/>
        <v/>
      </c>
      <c r="AT291" s="22" t="str">
        <f t="shared" si="417"/>
        <v/>
      </c>
      <c r="AU291" s="22" t="str">
        <f t="shared" si="417"/>
        <v/>
      </c>
    </row>
    <row r="292" spans="1:47">
      <c r="A292" s="21" t="str">
        <f t="shared" si="405"/>
        <v>6500K</v>
      </c>
      <c r="B292" s="191"/>
      <c r="C292" s="191"/>
      <c r="D292" s="22" t="str">
        <f t="shared" si="400"/>
        <v/>
      </c>
      <c r="E292" s="22" t="str">
        <f t="shared" si="401"/>
        <v/>
      </c>
      <c r="F292" s="22" t="str">
        <f t="shared" si="402"/>
        <v/>
      </c>
      <c r="G292" s="22" t="str">
        <f t="shared" si="403"/>
        <v/>
      </c>
      <c r="H292" s="21">
        <f t="shared" si="393"/>
        <v>6500</v>
      </c>
      <c r="I292" s="21"/>
      <c r="J292" s="21"/>
      <c r="K292" s="21"/>
      <c r="P292" s="22" t="str">
        <f t="shared" ref="P292:AU292" si="418">IF(COUNT(P191)=1,GC*P191,"")</f>
        <v/>
      </c>
      <c r="Q292" s="22" t="str">
        <f t="shared" si="418"/>
        <v/>
      </c>
      <c r="R292" s="22" t="str">
        <f t="shared" si="418"/>
        <v/>
      </c>
      <c r="S292" s="22" t="str">
        <f t="shared" si="418"/>
        <v/>
      </c>
      <c r="T292" s="22" t="str">
        <f t="shared" si="418"/>
        <v/>
      </c>
      <c r="U292" s="22" t="str">
        <f t="shared" si="418"/>
        <v/>
      </c>
      <c r="V292" s="22" t="str">
        <f t="shared" si="418"/>
        <v/>
      </c>
      <c r="W292" s="22" t="str">
        <f t="shared" si="418"/>
        <v/>
      </c>
      <c r="X292" s="22" t="str">
        <f t="shared" si="418"/>
        <v/>
      </c>
      <c r="Y292" s="22" t="str">
        <f t="shared" si="418"/>
        <v/>
      </c>
      <c r="Z292" s="22" t="str">
        <f t="shared" si="418"/>
        <v/>
      </c>
      <c r="AA292" s="22" t="str">
        <f t="shared" si="418"/>
        <v/>
      </c>
      <c r="AB292" s="22" t="str">
        <f t="shared" si="418"/>
        <v/>
      </c>
      <c r="AC292" s="22" t="str">
        <f t="shared" si="418"/>
        <v/>
      </c>
      <c r="AD292" s="22" t="str">
        <f t="shared" si="418"/>
        <v/>
      </c>
      <c r="AE292" s="22" t="str">
        <f t="shared" si="418"/>
        <v/>
      </c>
      <c r="AF292" s="22" t="str">
        <f t="shared" si="418"/>
        <v/>
      </c>
      <c r="AG292" s="22" t="str">
        <f t="shared" si="418"/>
        <v/>
      </c>
      <c r="AH292" s="22" t="str">
        <f t="shared" si="418"/>
        <v/>
      </c>
      <c r="AI292" s="22" t="str">
        <f t="shared" si="418"/>
        <v/>
      </c>
      <c r="AJ292" s="22" t="str">
        <f t="shared" si="418"/>
        <v/>
      </c>
      <c r="AK292" s="22" t="str">
        <f t="shared" si="418"/>
        <v/>
      </c>
      <c r="AL292" s="22" t="str">
        <f t="shared" si="418"/>
        <v/>
      </c>
      <c r="AM292" s="22" t="str">
        <f t="shared" si="418"/>
        <v/>
      </c>
      <c r="AN292" s="22" t="str">
        <f t="shared" si="418"/>
        <v/>
      </c>
      <c r="AO292" s="22" t="str">
        <f t="shared" si="418"/>
        <v/>
      </c>
      <c r="AP292" s="22" t="str">
        <f t="shared" si="418"/>
        <v/>
      </c>
      <c r="AQ292" s="22" t="str">
        <f t="shared" si="418"/>
        <v/>
      </c>
      <c r="AR292" s="22" t="str">
        <f t="shared" si="418"/>
        <v/>
      </c>
      <c r="AS292" s="22" t="str">
        <f t="shared" si="418"/>
        <v/>
      </c>
      <c r="AT292" s="22" t="str">
        <f t="shared" si="418"/>
        <v/>
      </c>
      <c r="AU292" s="22" t="str">
        <f t="shared" si="418"/>
        <v/>
      </c>
    </row>
    <row r="293" spans="1:47">
      <c r="A293" s="21" t="str">
        <f t="shared" si="405"/>
        <v>41F02</v>
      </c>
      <c r="B293" s="191" t="str">
        <f>B214</f>
        <v>P3</v>
      </c>
      <c r="C293" s="191"/>
      <c r="D293" s="22" t="str">
        <f t="shared" si="400"/>
        <v/>
      </c>
      <c r="E293" s="22" t="str">
        <f t="shared" si="401"/>
        <v/>
      </c>
      <c r="F293" s="22" t="str">
        <f t="shared" si="402"/>
        <v/>
      </c>
      <c r="G293" s="22" t="str">
        <f t="shared" si="403"/>
        <v/>
      </c>
      <c r="H293" s="21">
        <f t="shared" si="393"/>
        <v>3670</v>
      </c>
      <c r="I293" s="21"/>
      <c r="J293" s="21"/>
      <c r="K293" s="21"/>
      <c r="P293" s="22" t="str">
        <f t="shared" ref="P293:AU293" si="419">IF(COUNT(P192)=1,GC*P192,"")</f>
        <v/>
      </c>
      <c r="Q293" s="22" t="str">
        <f t="shared" si="419"/>
        <v/>
      </c>
      <c r="R293" s="22" t="str">
        <f t="shared" si="419"/>
        <v/>
      </c>
      <c r="S293" s="22" t="str">
        <f t="shared" si="419"/>
        <v/>
      </c>
      <c r="T293" s="22" t="str">
        <f t="shared" si="419"/>
        <v/>
      </c>
      <c r="U293" s="22" t="str">
        <f t="shared" si="419"/>
        <v/>
      </c>
      <c r="V293" s="22" t="str">
        <f t="shared" si="419"/>
        <v/>
      </c>
      <c r="W293" s="22" t="str">
        <f t="shared" si="419"/>
        <v/>
      </c>
      <c r="X293" s="22" t="str">
        <f t="shared" si="419"/>
        <v/>
      </c>
      <c r="Y293" s="22" t="str">
        <f t="shared" si="419"/>
        <v/>
      </c>
      <c r="Z293" s="22" t="str">
        <f t="shared" si="419"/>
        <v/>
      </c>
      <c r="AA293" s="22" t="str">
        <f t="shared" si="419"/>
        <v/>
      </c>
      <c r="AB293" s="22" t="str">
        <f t="shared" si="419"/>
        <v/>
      </c>
      <c r="AC293" s="22" t="str">
        <f t="shared" si="419"/>
        <v/>
      </c>
      <c r="AD293" s="22" t="str">
        <f t="shared" si="419"/>
        <v/>
      </c>
      <c r="AE293" s="22" t="str">
        <f t="shared" si="419"/>
        <v/>
      </c>
      <c r="AF293" s="22" t="str">
        <f t="shared" si="419"/>
        <v/>
      </c>
      <c r="AG293" s="22" t="str">
        <f t="shared" si="419"/>
        <v/>
      </c>
      <c r="AH293" s="22" t="str">
        <f t="shared" si="419"/>
        <v/>
      </c>
      <c r="AI293" s="22" t="str">
        <f t="shared" si="419"/>
        <v/>
      </c>
      <c r="AJ293" s="22" t="str">
        <f t="shared" si="419"/>
        <v/>
      </c>
      <c r="AK293" s="22" t="str">
        <f t="shared" si="419"/>
        <v/>
      </c>
      <c r="AL293" s="22" t="str">
        <f t="shared" si="419"/>
        <v/>
      </c>
      <c r="AM293" s="22" t="str">
        <f t="shared" si="419"/>
        <v/>
      </c>
      <c r="AN293" s="22" t="str">
        <f t="shared" si="419"/>
        <v/>
      </c>
      <c r="AO293" s="22" t="str">
        <f t="shared" si="419"/>
        <v/>
      </c>
      <c r="AP293" s="22" t="str">
        <f t="shared" si="419"/>
        <v/>
      </c>
      <c r="AQ293" s="22" t="str">
        <f t="shared" si="419"/>
        <v/>
      </c>
      <c r="AR293" s="22" t="str">
        <f t="shared" si="419"/>
        <v/>
      </c>
      <c r="AS293" s="22" t="str">
        <f t="shared" si="419"/>
        <v/>
      </c>
      <c r="AT293" s="22" t="str">
        <f t="shared" si="419"/>
        <v/>
      </c>
      <c r="AU293" s="22" t="str">
        <f t="shared" si="419"/>
        <v/>
      </c>
    </row>
    <row r="294" spans="1:47">
      <c r="A294" s="21" t="str">
        <f t="shared" si="405"/>
        <v>55F02</v>
      </c>
      <c r="B294" s="191"/>
      <c r="C294" s="191"/>
      <c r="D294" s="22" t="str">
        <f t="shared" si="400"/>
        <v/>
      </c>
      <c r="E294" s="22" t="str">
        <f t="shared" si="401"/>
        <v/>
      </c>
      <c r="F294" s="22" t="str">
        <f t="shared" si="402"/>
        <v/>
      </c>
      <c r="G294" s="22" t="str">
        <f t="shared" si="403"/>
        <v/>
      </c>
      <c r="H294" s="21">
        <f t="shared" si="393"/>
        <v>4430</v>
      </c>
      <c r="I294" s="21"/>
      <c r="J294" s="21"/>
      <c r="K294" s="21"/>
      <c r="P294" s="22" t="str">
        <f t="shared" ref="P294:AU294" si="420">IF(COUNT(P193)=1,GC*P193,"")</f>
        <v/>
      </c>
      <c r="Q294" s="22" t="str">
        <f t="shared" si="420"/>
        <v/>
      </c>
      <c r="R294" s="22" t="str">
        <f t="shared" si="420"/>
        <v/>
      </c>
      <c r="S294" s="22" t="str">
        <f t="shared" si="420"/>
        <v/>
      </c>
      <c r="T294" s="22" t="str">
        <f t="shared" si="420"/>
        <v/>
      </c>
      <c r="U294" s="22" t="str">
        <f t="shared" si="420"/>
        <v/>
      </c>
      <c r="V294" s="22" t="str">
        <f t="shared" si="420"/>
        <v/>
      </c>
      <c r="W294" s="22" t="str">
        <f t="shared" si="420"/>
        <v/>
      </c>
      <c r="X294" s="22" t="str">
        <f t="shared" si="420"/>
        <v/>
      </c>
      <c r="Y294" s="22" t="str">
        <f t="shared" si="420"/>
        <v/>
      </c>
      <c r="Z294" s="22" t="str">
        <f t="shared" si="420"/>
        <v/>
      </c>
      <c r="AA294" s="22" t="str">
        <f t="shared" si="420"/>
        <v/>
      </c>
      <c r="AB294" s="22" t="str">
        <f t="shared" si="420"/>
        <v/>
      </c>
      <c r="AC294" s="22" t="str">
        <f t="shared" si="420"/>
        <v/>
      </c>
      <c r="AD294" s="22" t="str">
        <f t="shared" si="420"/>
        <v/>
      </c>
      <c r="AE294" s="22" t="str">
        <f t="shared" si="420"/>
        <v/>
      </c>
      <c r="AF294" s="22" t="str">
        <f t="shared" si="420"/>
        <v/>
      </c>
      <c r="AG294" s="22" t="str">
        <f t="shared" si="420"/>
        <v/>
      </c>
      <c r="AH294" s="22" t="str">
        <f t="shared" si="420"/>
        <v/>
      </c>
      <c r="AI294" s="22" t="str">
        <f t="shared" si="420"/>
        <v/>
      </c>
      <c r="AJ294" s="22" t="str">
        <f t="shared" si="420"/>
        <v/>
      </c>
      <c r="AK294" s="22" t="str">
        <f t="shared" si="420"/>
        <v/>
      </c>
      <c r="AL294" s="22" t="str">
        <f t="shared" si="420"/>
        <v/>
      </c>
      <c r="AM294" s="22" t="str">
        <f t="shared" si="420"/>
        <v/>
      </c>
      <c r="AN294" s="22" t="str">
        <f t="shared" si="420"/>
        <v/>
      </c>
      <c r="AO294" s="22" t="str">
        <f t="shared" si="420"/>
        <v/>
      </c>
      <c r="AP294" s="22" t="str">
        <f t="shared" si="420"/>
        <v/>
      </c>
      <c r="AQ294" s="22" t="str">
        <f t="shared" si="420"/>
        <v/>
      </c>
      <c r="AR294" s="22" t="str">
        <f t="shared" si="420"/>
        <v/>
      </c>
      <c r="AS294" s="22" t="str">
        <f t="shared" si="420"/>
        <v/>
      </c>
      <c r="AT294" s="22" t="str">
        <f t="shared" si="420"/>
        <v/>
      </c>
      <c r="AU294" s="22" t="str">
        <f t="shared" si="420"/>
        <v/>
      </c>
    </row>
    <row r="295" spans="1:47">
      <c r="A295" s="21" t="str">
        <f t="shared" si="405"/>
        <v>65F01</v>
      </c>
      <c r="B295" s="191"/>
      <c r="C295" s="191"/>
      <c r="D295" s="22" t="str">
        <f t="shared" si="400"/>
        <v/>
      </c>
      <c r="E295" s="22" t="str">
        <f t="shared" si="401"/>
        <v/>
      </c>
      <c r="F295" s="22" t="str">
        <f t="shared" si="402"/>
        <v/>
      </c>
      <c r="G295" s="22" t="str">
        <f t="shared" si="403"/>
        <v/>
      </c>
      <c r="H295" s="21">
        <f t="shared" si="393"/>
        <v>6110</v>
      </c>
      <c r="I295" s="21"/>
      <c r="J295" s="21"/>
      <c r="K295" s="21"/>
      <c r="P295" s="22" t="str">
        <f t="shared" ref="P295:AU295" si="421">IF(COUNT(P194)=1,GC*P194,"")</f>
        <v/>
      </c>
      <c r="Q295" s="22" t="str">
        <f t="shared" si="421"/>
        <v/>
      </c>
      <c r="R295" s="22" t="str">
        <f t="shared" si="421"/>
        <v/>
      </c>
      <c r="S295" s="22" t="str">
        <f t="shared" si="421"/>
        <v/>
      </c>
      <c r="T295" s="22" t="str">
        <f t="shared" si="421"/>
        <v/>
      </c>
      <c r="U295" s="22" t="str">
        <f t="shared" si="421"/>
        <v/>
      </c>
      <c r="V295" s="22" t="str">
        <f t="shared" si="421"/>
        <v/>
      </c>
      <c r="W295" s="22" t="str">
        <f t="shared" si="421"/>
        <v/>
      </c>
      <c r="X295" s="22" t="str">
        <f t="shared" si="421"/>
        <v/>
      </c>
      <c r="Y295" s="22" t="str">
        <f t="shared" si="421"/>
        <v/>
      </c>
      <c r="Z295" s="22" t="str">
        <f t="shared" si="421"/>
        <v/>
      </c>
      <c r="AA295" s="22" t="str">
        <f t="shared" si="421"/>
        <v/>
      </c>
      <c r="AB295" s="22" t="str">
        <f t="shared" si="421"/>
        <v/>
      </c>
      <c r="AC295" s="22" t="str">
        <f t="shared" si="421"/>
        <v/>
      </c>
      <c r="AD295" s="22" t="str">
        <f t="shared" si="421"/>
        <v/>
      </c>
      <c r="AE295" s="22" t="str">
        <f t="shared" si="421"/>
        <v/>
      </c>
      <c r="AF295" s="22" t="str">
        <f t="shared" si="421"/>
        <v/>
      </c>
      <c r="AG295" s="22" t="str">
        <f t="shared" si="421"/>
        <v/>
      </c>
      <c r="AH295" s="22" t="str">
        <f t="shared" si="421"/>
        <v/>
      </c>
      <c r="AI295" s="22" t="str">
        <f t="shared" si="421"/>
        <v/>
      </c>
      <c r="AJ295" s="22" t="str">
        <f t="shared" si="421"/>
        <v/>
      </c>
      <c r="AK295" s="22" t="str">
        <f t="shared" si="421"/>
        <v/>
      </c>
      <c r="AL295" s="22" t="str">
        <f t="shared" si="421"/>
        <v/>
      </c>
      <c r="AM295" s="22" t="str">
        <f t="shared" si="421"/>
        <v/>
      </c>
      <c r="AN295" s="22" t="str">
        <f t="shared" si="421"/>
        <v/>
      </c>
      <c r="AO295" s="22" t="str">
        <f t="shared" si="421"/>
        <v/>
      </c>
      <c r="AP295" s="22" t="str">
        <f t="shared" si="421"/>
        <v/>
      </c>
      <c r="AQ295" s="22" t="str">
        <f t="shared" si="421"/>
        <v/>
      </c>
      <c r="AR295" s="22" t="str">
        <f t="shared" si="421"/>
        <v/>
      </c>
      <c r="AS295" s="22" t="str">
        <f t="shared" si="421"/>
        <v/>
      </c>
      <c r="AT295" s="22" t="str">
        <f t="shared" si="421"/>
        <v/>
      </c>
      <c r="AU295" s="22" t="str">
        <f t="shared" si="421"/>
        <v/>
      </c>
    </row>
    <row r="296" spans="1:47">
      <c r="A296" s="21" t="str">
        <f t="shared" si="405"/>
        <v>2700K</v>
      </c>
      <c r="B296" s="191"/>
      <c r="C296" s="191"/>
      <c r="D296" s="22" t="str">
        <f t="shared" si="400"/>
        <v/>
      </c>
      <c r="E296" s="22" t="str">
        <f t="shared" si="401"/>
        <v/>
      </c>
      <c r="F296" s="22" t="str">
        <f t="shared" si="402"/>
        <v/>
      </c>
      <c r="G296" s="22" t="str">
        <f t="shared" si="403"/>
        <v/>
      </c>
      <c r="H296" s="21">
        <f t="shared" si="393"/>
        <v>2700</v>
      </c>
      <c r="I296" s="21"/>
      <c r="J296" s="21"/>
      <c r="K296" s="21"/>
      <c r="P296" s="22" t="str">
        <f t="shared" ref="P296:AU296" si="422">IF(COUNT(P195)=1,GC*P195,"")</f>
        <v/>
      </c>
      <c r="Q296" s="22" t="str">
        <f t="shared" si="422"/>
        <v/>
      </c>
      <c r="R296" s="22" t="str">
        <f t="shared" si="422"/>
        <v/>
      </c>
      <c r="S296" s="22" t="str">
        <f t="shared" si="422"/>
        <v/>
      </c>
      <c r="T296" s="22" t="str">
        <f t="shared" si="422"/>
        <v/>
      </c>
      <c r="U296" s="22" t="str">
        <f t="shared" si="422"/>
        <v/>
      </c>
      <c r="V296" s="22" t="str">
        <f t="shared" si="422"/>
        <v/>
      </c>
      <c r="W296" s="22" t="str">
        <f t="shared" si="422"/>
        <v/>
      </c>
      <c r="X296" s="22" t="str">
        <f t="shared" si="422"/>
        <v/>
      </c>
      <c r="Y296" s="22" t="str">
        <f t="shared" si="422"/>
        <v/>
      </c>
      <c r="Z296" s="22" t="str">
        <f t="shared" si="422"/>
        <v/>
      </c>
      <c r="AA296" s="22" t="str">
        <f t="shared" si="422"/>
        <v/>
      </c>
      <c r="AB296" s="22" t="str">
        <f t="shared" si="422"/>
        <v/>
      </c>
      <c r="AC296" s="22" t="str">
        <f t="shared" si="422"/>
        <v/>
      </c>
      <c r="AD296" s="22" t="str">
        <f t="shared" si="422"/>
        <v/>
      </c>
      <c r="AE296" s="22" t="str">
        <f t="shared" si="422"/>
        <v/>
      </c>
      <c r="AF296" s="22" t="str">
        <f t="shared" si="422"/>
        <v/>
      </c>
      <c r="AG296" s="22" t="str">
        <f t="shared" si="422"/>
        <v/>
      </c>
      <c r="AH296" s="22" t="str">
        <f t="shared" si="422"/>
        <v/>
      </c>
      <c r="AI296" s="22" t="str">
        <f t="shared" si="422"/>
        <v/>
      </c>
      <c r="AJ296" s="22" t="str">
        <f t="shared" si="422"/>
        <v/>
      </c>
      <c r="AK296" s="22" t="str">
        <f t="shared" si="422"/>
        <v/>
      </c>
      <c r="AL296" s="22" t="str">
        <f t="shared" si="422"/>
        <v/>
      </c>
      <c r="AM296" s="22" t="str">
        <f t="shared" si="422"/>
        <v/>
      </c>
      <c r="AN296" s="22" t="str">
        <f t="shared" si="422"/>
        <v/>
      </c>
      <c r="AO296" s="22" t="str">
        <f t="shared" si="422"/>
        <v/>
      </c>
      <c r="AP296" s="22" t="str">
        <f t="shared" si="422"/>
        <v/>
      </c>
      <c r="AQ296" s="22" t="str">
        <f t="shared" si="422"/>
        <v/>
      </c>
      <c r="AR296" s="22" t="str">
        <f t="shared" si="422"/>
        <v/>
      </c>
      <c r="AS296" s="22" t="str">
        <f t="shared" si="422"/>
        <v/>
      </c>
      <c r="AT296" s="22" t="str">
        <f t="shared" si="422"/>
        <v/>
      </c>
      <c r="AU296" s="22" t="str">
        <f t="shared" si="422"/>
        <v/>
      </c>
    </row>
    <row r="297" spans="1:47">
      <c r="A297" s="21" t="str">
        <f t="shared" si="405"/>
        <v>3200K</v>
      </c>
      <c r="B297" s="191"/>
      <c r="C297" s="191"/>
      <c r="D297" s="22" t="str">
        <f t="shared" si="400"/>
        <v/>
      </c>
      <c r="E297" s="22" t="str">
        <f t="shared" si="401"/>
        <v/>
      </c>
      <c r="F297" s="22" t="str">
        <f t="shared" si="402"/>
        <v/>
      </c>
      <c r="G297" s="22" t="str">
        <f t="shared" si="403"/>
        <v/>
      </c>
      <c r="H297" s="21">
        <f t="shared" si="393"/>
        <v>3200</v>
      </c>
      <c r="I297" s="21"/>
      <c r="J297" s="21"/>
      <c r="K297" s="21"/>
      <c r="P297" s="22" t="str">
        <f t="shared" ref="P297:AU297" si="423">IF(COUNT(P196)=1,GC*P196,"")</f>
        <v/>
      </c>
      <c r="Q297" s="22" t="str">
        <f t="shared" si="423"/>
        <v/>
      </c>
      <c r="R297" s="22" t="str">
        <f t="shared" si="423"/>
        <v/>
      </c>
      <c r="S297" s="22" t="str">
        <f t="shared" si="423"/>
        <v/>
      </c>
      <c r="T297" s="22" t="str">
        <f t="shared" si="423"/>
        <v/>
      </c>
      <c r="U297" s="22" t="str">
        <f t="shared" si="423"/>
        <v/>
      </c>
      <c r="V297" s="22" t="str">
        <f t="shared" si="423"/>
        <v/>
      </c>
      <c r="W297" s="22" t="str">
        <f t="shared" si="423"/>
        <v/>
      </c>
      <c r="X297" s="22" t="str">
        <f t="shared" si="423"/>
        <v/>
      </c>
      <c r="Y297" s="22" t="str">
        <f t="shared" si="423"/>
        <v/>
      </c>
      <c r="Z297" s="22" t="str">
        <f t="shared" si="423"/>
        <v/>
      </c>
      <c r="AA297" s="22" t="str">
        <f t="shared" si="423"/>
        <v/>
      </c>
      <c r="AB297" s="22" t="str">
        <f t="shared" si="423"/>
        <v/>
      </c>
      <c r="AC297" s="22" t="str">
        <f t="shared" si="423"/>
        <v/>
      </c>
      <c r="AD297" s="22" t="str">
        <f t="shared" si="423"/>
        <v/>
      </c>
      <c r="AE297" s="22" t="str">
        <f t="shared" si="423"/>
        <v/>
      </c>
      <c r="AF297" s="22" t="str">
        <f t="shared" si="423"/>
        <v/>
      </c>
      <c r="AG297" s="22" t="str">
        <f t="shared" si="423"/>
        <v/>
      </c>
      <c r="AH297" s="22" t="str">
        <f t="shared" si="423"/>
        <v/>
      </c>
      <c r="AI297" s="22" t="str">
        <f t="shared" si="423"/>
        <v/>
      </c>
      <c r="AJ297" s="22" t="str">
        <f t="shared" si="423"/>
        <v/>
      </c>
      <c r="AK297" s="22" t="str">
        <f t="shared" si="423"/>
        <v/>
      </c>
      <c r="AL297" s="22" t="str">
        <f t="shared" si="423"/>
        <v/>
      </c>
      <c r="AM297" s="22" t="str">
        <f t="shared" si="423"/>
        <v/>
      </c>
      <c r="AN297" s="22" t="str">
        <f t="shared" si="423"/>
        <v/>
      </c>
      <c r="AO297" s="22" t="str">
        <f t="shared" si="423"/>
        <v/>
      </c>
      <c r="AP297" s="22" t="str">
        <f t="shared" si="423"/>
        <v/>
      </c>
      <c r="AQ297" s="22" t="str">
        <f t="shared" si="423"/>
        <v/>
      </c>
      <c r="AR297" s="22" t="str">
        <f t="shared" si="423"/>
        <v/>
      </c>
      <c r="AS297" s="22" t="str">
        <f t="shared" si="423"/>
        <v/>
      </c>
      <c r="AT297" s="22" t="str">
        <f t="shared" si="423"/>
        <v/>
      </c>
      <c r="AU297" s="22" t="str">
        <f t="shared" si="423"/>
        <v/>
      </c>
    </row>
    <row r="298" spans="1:47">
      <c r="A298" s="21" t="str">
        <f t="shared" si="405"/>
        <v>5500K</v>
      </c>
      <c r="B298" s="191"/>
      <c r="C298" s="191"/>
      <c r="D298" s="22" t="str">
        <f t="shared" si="400"/>
        <v/>
      </c>
      <c r="E298" s="22" t="str">
        <f t="shared" si="401"/>
        <v/>
      </c>
      <c r="F298" s="22" t="str">
        <f t="shared" si="402"/>
        <v/>
      </c>
      <c r="G298" s="22" t="str">
        <f t="shared" si="403"/>
        <v/>
      </c>
      <c r="H298" s="21">
        <f t="shared" si="393"/>
        <v>5500</v>
      </c>
      <c r="I298" s="21"/>
      <c r="J298" s="21"/>
      <c r="K298" s="21"/>
      <c r="P298" s="22" t="str">
        <f t="shared" ref="P298:AU298" si="424">IF(COUNT(P197)=1,GC*P197,"")</f>
        <v/>
      </c>
      <c r="Q298" s="22" t="str">
        <f t="shared" si="424"/>
        <v/>
      </c>
      <c r="R298" s="22" t="str">
        <f t="shared" si="424"/>
        <v/>
      </c>
      <c r="S298" s="22" t="str">
        <f t="shared" si="424"/>
        <v/>
      </c>
      <c r="T298" s="22" t="str">
        <f t="shared" si="424"/>
        <v/>
      </c>
      <c r="U298" s="22" t="str">
        <f t="shared" si="424"/>
        <v/>
      </c>
      <c r="V298" s="22" t="str">
        <f t="shared" si="424"/>
        <v/>
      </c>
      <c r="W298" s="22" t="str">
        <f t="shared" si="424"/>
        <v/>
      </c>
      <c r="X298" s="22" t="str">
        <f t="shared" si="424"/>
        <v/>
      </c>
      <c r="Y298" s="22" t="str">
        <f t="shared" si="424"/>
        <v/>
      </c>
      <c r="Z298" s="22" t="str">
        <f t="shared" si="424"/>
        <v/>
      </c>
      <c r="AA298" s="22" t="str">
        <f t="shared" si="424"/>
        <v/>
      </c>
      <c r="AB298" s="22" t="str">
        <f t="shared" si="424"/>
        <v/>
      </c>
      <c r="AC298" s="22" t="str">
        <f t="shared" si="424"/>
        <v/>
      </c>
      <c r="AD298" s="22" t="str">
        <f t="shared" si="424"/>
        <v/>
      </c>
      <c r="AE298" s="22" t="str">
        <f t="shared" si="424"/>
        <v/>
      </c>
      <c r="AF298" s="22" t="str">
        <f t="shared" si="424"/>
        <v/>
      </c>
      <c r="AG298" s="22" t="str">
        <f t="shared" si="424"/>
        <v/>
      </c>
      <c r="AH298" s="22" t="str">
        <f t="shared" si="424"/>
        <v/>
      </c>
      <c r="AI298" s="22" t="str">
        <f t="shared" si="424"/>
        <v/>
      </c>
      <c r="AJ298" s="22" t="str">
        <f t="shared" si="424"/>
        <v/>
      </c>
      <c r="AK298" s="22" t="str">
        <f t="shared" si="424"/>
        <v/>
      </c>
      <c r="AL298" s="22" t="str">
        <f t="shared" si="424"/>
        <v/>
      </c>
      <c r="AM298" s="22" t="str">
        <f t="shared" si="424"/>
        <v/>
      </c>
      <c r="AN298" s="22" t="str">
        <f t="shared" si="424"/>
        <v/>
      </c>
      <c r="AO298" s="22" t="str">
        <f t="shared" si="424"/>
        <v/>
      </c>
      <c r="AP298" s="22" t="str">
        <f t="shared" si="424"/>
        <v/>
      </c>
      <c r="AQ298" s="22" t="str">
        <f t="shared" si="424"/>
        <v/>
      </c>
      <c r="AR298" s="22" t="str">
        <f t="shared" si="424"/>
        <v/>
      </c>
      <c r="AS298" s="22" t="str">
        <f t="shared" si="424"/>
        <v/>
      </c>
      <c r="AT298" s="22" t="str">
        <f t="shared" si="424"/>
        <v/>
      </c>
      <c r="AU298" s="22" t="str">
        <f t="shared" si="424"/>
        <v/>
      </c>
    </row>
    <row r="299" spans="1:47">
      <c r="A299" s="21" t="str">
        <f t="shared" si="405"/>
        <v>6500K</v>
      </c>
      <c r="B299" s="191"/>
      <c r="C299" s="191"/>
      <c r="D299" s="22" t="str">
        <f t="shared" si="400"/>
        <v/>
      </c>
      <c r="E299" s="22" t="str">
        <f t="shared" si="401"/>
        <v/>
      </c>
      <c r="F299" s="22" t="str">
        <f t="shared" si="402"/>
        <v/>
      </c>
      <c r="G299" s="22" t="str">
        <f t="shared" si="403"/>
        <v/>
      </c>
      <c r="H299" s="21">
        <f t="shared" si="393"/>
        <v>6500</v>
      </c>
      <c r="I299" s="21"/>
      <c r="J299" s="21"/>
      <c r="K299" s="21"/>
      <c r="P299" s="22" t="str">
        <f t="shared" ref="P299:AU299" si="425">IF(COUNT(P198)=1,GC*P198,"")</f>
        <v/>
      </c>
      <c r="Q299" s="22" t="str">
        <f t="shared" si="425"/>
        <v/>
      </c>
      <c r="R299" s="22" t="str">
        <f t="shared" si="425"/>
        <v/>
      </c>
      <c r="S299" s="22" t="str">
        <f t="shared" si="425"/>
        <v/>
      </c>
      <c r="T299" s="22" t="str">
        <f t="shared" si="425"/>
        <v/>
      </c>
      <c r="U299" s="22" t="str">
        <f t="shared" si="425"/>
        <v/>
      </c>
      <c r="V299" s="22" t="str">
        <f t="shared" si="425"/>
        <v/>
      </c>
      <c r="W299" s="22" t="str">
        <f t="shared" si="425"/>
        <v/>
      </c>
      <c r="X299" s="22" t="str">
        <f t="shared" si="425"/>
        <v/>
      </c>
      <c r="Y299" s="22" t="str">
        <f t="shared" si="425"/>
        <v/>
      </c>
      <c r="Z299" s="22" t="str">
        <f t="shared" si="425"/>
        <v/>
      </c>
      <c r="AA299" s="22" t="str">
        <f t="shared" si="425"/>
        <v/>
      </c>
      <c r="AB299" s="22" t="str">
        <f t="shared" si="425"/>
        <v/>
      </c>
      <c r="AC299" s="22" t="str">
        <f t="shared" si="425"/>
        <v/>
      </c>
      <c r="AD299" s="22" t="str">
        <f t="shared" si="425"/>
        <v/>
      </c>
      <c r="AE299" s="22" t="str">
        <f t="shared" si="425"/>
        <v/>
      </c>
      <c r="AF299" s="22" t="str">
        <f t="shared" si="425"/>
        <v/>
      </c>
      <c r="AG299" s="22" t="str">
        <f t="shared" si="425"/>
        <v/>
      </c>
      <c r="AH299" s="22" t="str">
        <f t="shared" si="425"/>
        <v/>
      </c>
      <c r="AI299" s="22" t="str">
        <f t="shared" si="425"/>
        <v/>
      </c>
      <c r="AJ299" s="22" t="str">
        <f t="shared" si="425"/>
        <v/>
      </c>
      <c r="AK299" s="22" t="str">
        <f t="shared" si="425"/>
        <v/>
      </c>
      <c r="AL299" s="22" t="str">
        <f t="shared" si="425"/>
        <v/>
      </c>
      <c r="AM299" s="22" t="str">
        <f t="shared" si="425"/>
        <v/>
      </c>
      <c r="AN299" s="22" t="str">
        <f t="shared" si="425"/>
        <v/>
      </c>
      <c r="AO299" s="22" t="str">
        <f t="shared" si="425"/>
        <v/>
      </c>
      <c r="AP299" s="22" t="str">
        <f t="shared" si="425"/>
        <v/>
      </c>
      <c r="AQ299" s="22" t="str">
        <f t="shared" si="425"/>
        <v/>
      </c>
      <c r="AR299" s="22" t="str">
        <f t="shared" si="425"/>
        <v/>
      </c>
      <c r="AS299" s="22" t="str">
        <f t="shared" si="425"/>
        <v/>
      </c>
      <c r="AT299" s="22" t="str">
        <f t="shared" si="425"/>
        <v/>
      </c>
      <c r="AU299" s="22" t="str">
        <f t="shared" si="425"/>
        <v/>
      </c>
    </row>
    <row r="300" spans="1:47">
      <c r="E300" s="27"/>
    </row>
    <row r="301" spans="1:47">
      <c r="E301" s="27"/>
    </row>
    <row r="302" spans="1:47">
      <c r="E302" s="27"/>
    </row>
    <row r="303" spans="1:47">
      <c r="E303" s="27"/>
    </row>
    <row r="304" spans="1:47">
      <c r="E304" s="27"/>
    </row>
    <row r="305" spans="5:39">
      <c r="E305" s="27"/>
    </row>
    <row r="306" spans="5:39">
      <c r="E306" s="27"/>
    </row>
    <row r="308" spans="5:39">
      <c r="O308" s="3">
        <f>G107/2</f>
        <v>0</v>
      </c>
      <c r="P308" s="3"/>
      <c r="Q308" s="204" t="str">
        <f>partNumber&amp;" "&amp;C96&amp;" LS2LS =+/-"&amp;INT(F107*500)/10&amp;"%"</f>
        <v>38-New Mold Range0 LS2LS =+/-0%</v>
      </c>
      <c r="R308" s="204"/>
      <c r="S308" s="204"/>
      <c r="T308" s="204"/>
      <c r="U308" s="204"/>
      <c r="V308" s="204"/>
      <c r="W308" s="204"/>
      <c r="X308" s="204"/>
      <c r="Y308" s="204"/>
      <c r="Z308" s="204"/>
      <c r="AB308" s="27">
        <f>G159/2</f>
        <v>0</v>
      </c>
      <c r="AD308" s="204" t="str">
        <f>partNumber&amp;" "&amp;C134&amp;" LS2LS =+/-"&amp;INT(F159*500)/10&amp;"%"</f>
        <v>38-New Mold Range2 LS2LS =+/-0%</v>
      </c>
      <c r="AE308" s="204"/>
      <c r="AF308" s="204"/>
      <c r="AG308" s="204"/>
      <c r="AH308" s="204"/>
      <c r="AI308" s="204"/>
      <c r="AJ308" s="204"/>
      <c r="AK308" s="204"/>
      <c r="AL308" s="204"/>
      <c r="AM308" s="204"/>
    </row>
    <row r="309" spans="5:39">
      <c r="O309" s="3">
        <f>D107</f>
        <v>0</v>
      </c>
      <c r="P309" s="24">
        <f t="shared" ref="P309:P314" si="426">HISTOGRAM(P$107:AU$107,O$309:O$314,O309)</f>
        <v>0</v>
      </c>
      <c r="AB309" s="27">
        <f>D159</f>
        <v>0</v>
      </c>
      <c r="AC309" s="24">
        <f t="shared" ref="AC309:AC314" si="427">HISTOGRAM(P$159:AU$159,AB$309:AB$314,AB309)</f>
        <v>0</v>
      </c>
    </row>
    <row r="310" spans="5:39">
      <c r="O310" s="3">
        <f>O309+O$308</f>
        <v>0</v>
      </c>
      <c r="P310" s="24">
        <f t="shared" si="426"/>
        <v>0</v>
      </c>
      <c r="AB310" s="27">
        <f>AB309+AB$308</f>
        <v>0</v>
      </c>
      <c r="AC310" s="24">
        <f t="shared" si="427"/>
        <v>0</v>
      </c>
    </row>
    <row r="311" spans="5:39">
      <c r="O311" s="3">
        <f>O310+O$308</f>
        <v>0</v>
      </c>
      <c r="P311" s="24">
        <f t="shared" si="426"/>
        <v>0</v>
      </c>
      <c r="AB311" s="27">
        <f t="shared" ref="AB311:AB314" si="428">AB310+AB$308</f>
        <v>0</v>
      </c>
      <c r="AC311" s="24">
        <f t="shared" si="427"/>
        <v>0</v>
      </c>
    </row>
    <row r="312" spans="5:39">
      <c r="O312" s="3">
        <f>O311+O$308</f>
        <v>0</v>
      </c>
      <c r="P312" s="24">
        <f t="shared" si="426"/>
        <v>0</v>
      </c>
      <c r="AB312" s="27">
        <f t="shared" si="428"/>
        <v>0</v>
      </c>
      <c r="AC312" s="24">
        <f t="shared" si="427"/>
        <v>0</v>
      </c>
    </row>
    <row r="313" spans="5:39">
      <c r="O313" s="3">
        <f>O312+O$308</f>
        <v>0</v>
      </c>
      <c r="P313" s="24">
        <f t="shared" si="426"/>
        <v>0</v>
      </c>
      <c r="AB313" s="27">
        <f t="shared" si="428"/>
        <v>0</v>
      </c>
      <c r="AC313" s="24">
        <f t="shared" si="427"/>
        <v>0</v>
      </c>
    </row>
    <row r="314" spans="5:39">
      <c r="O314" s="3">
        <f>O313+O$308</f>
        <v>0</v>
      </c>
      <c r="P314" s="24">
        <f t="shared" si="426"/>
        <v>0</v>
      </c>
      <c r="AB314" s="27">
        <f t="shared" si="428"/>
        <v>0</v>
      </c>
      <c r="AC314" s="24">
        <f t="shared" si="427"/>
        <v>0</v>
      </c>
    </row>
    <row r="324" spans="15:39">
      <c r="O324" s="3">
        <f>G127/2</f>
        <v>0</v>
      </c>
      <c r="P324" s="3"/>
      <c r="Q324" s="204" t="str">
        <f>partNumber&amp;" "&amp;C109&amp;" LS2LS =+/-"&amp;INT(F127*500)/10&amp;"%"</f>
        <v>38-New Mold Range1 LS2LS =+/-0%</v>
      </c>
      <c r="R324" s="204"/>
      <c r="S324" s="204"/>
      <c r="T324" s="204"/>
      <c r="U324" s="204"/>
      <c r="V324" s="204"/>
      <c r="W324" s="204"/>
      <c r="X324" s="204"/>
      <c r="Y324" s="204"/>
      <c r="Z324" s="204"/>
      <c r="AB324" s="27">
        <f>G203/2</f>
        <v>0</v>
      </c>
      <c r="AD324" s="204" t="str">
        <f>partNumber&amp;" "&amp;C171&amp;" LS2LS =+/-"&amp;INT(F203*500)/10&amp;"%"</f>
        <v>38-New Mold Range3 LS2LS =+/-0%</v>
      </c>
      <c r="AE324" s="204"/>
      <c r="AF324" s="204"/>
      <c r="AG324" s="204"/>
      <c r="AH324" s="204"/>
      <c r="AI324" s="204"/>
      <c r="AJ324" s="204"/>
      <c r="AK324" s="204"/>
      <c r="AL324" s="204"/>
      <c r="AM324" s="204"/>
    </row>
    <row r="325" spans="15:39">
      <c r="O325" s="3">
        <f>D127</f>
        <v>0</v>
      </c>
      <c r="P325" s="24">
        <f t="shared" ref="P325:P330" si="429">HISTOGRAM(P$127:AU$127,O$325:O$330,O325)</f>
        <v>0</v>
      </c>
      <c r="AB325" s="27">
        <f>D203</f>
        <v>0</v>
      </c>
      <c r="AC325" s="24">
        <f t="shared" ref="AC325:AC330" si="430">HISTOGRAM(P$203:AU$203,AB$325:AB$330,AB325)</f>
        <v>0</v>
      </c>
    </row>
    <row r="326" spans="15:39">
      <c r="O326" s="3">
        <f>O325+O$324</f>
        <v>0</v>
      </c>
      <c r="P326" s="24">
        <f t="shared" si="429"/>
        <v>0</v>
      </c>
      <c r="AB326" s="27">
        <f>AB325+AB$324</f>
        <v>0</v>
      </c>
      <c r="AC326" s="24">
        <f t="shared" si="430"/>
        <v>0</v>
      </c>
    </row>
    <row r="327" spans="15:39">
      <c r="O327" s="3">
        <f>O326+O$324</f>
        <v>0</v>
      </c>
      <c r="P327" s="24">
        <f t="shared" si="429"/>
        <v>0</v>
      </c>
      <c r="AB327" s="27">
        <f t="shared" ref="AB327:AB330" si="431">AB326+AB$324</f>
        <v>0</v>
      </c>
      <c r="AC327" s="24">
        <f t="shared" si="430"/>
        <v>0</v>
      </c>
    </row>
    <row r="328" spans="15:39">
      <c r="O328" s="3">
        <f>O327+O$324</f>
        <v>0</v>
      </c>
      <c r="P328" s="24">
        <f t="shared" si="429"/>
        <v>0</v>
      </c>
      <c r="AB328" s="27">
        <f t="shared" si="431"/>
        <v>0</v>
      </c>
      <c r="AC328" s="24">
        <f t="shared" si="430"/>
        <v>0</v>
      </c>
    </row>
    <row r="329" spans="15:39">
      <c r="O329" s="3">
        <f>O328+O$324</f>
        <v>0</v>
      </c>
      <c r="P329" s="24">
        <f t="shared" si="429"/>
        <v>0</v>
      </c>
      <c r="AB329" s="27">
        <f t="shared" si="431"/>
        <v>0</v>
      </c>
      <c r="AC329" s="24">
        <f t="shared" si="430"/>
        <v>0</v>
      </c>
    </row>
    <row r="330" spans="15:39">
      <c r="O330" s="3">
        <f>O329+O$324</f>
        <v>0</v>
      </c>
      <c r="P330" s="24">
        <f t="shared" si="429"/>
        <v>0</v>
      </c>
      <c r="AB330" s="27">
        <f t="shared" si="431"/>
        <v>0</v>
      </c>
      <c r="AC330" s="24">
        <f t="shared" si="430"/>
        <v>0</v>
      </c>
    </row>
    <row r="340" spans="16:39">
      <c r="Q340" s="204" t="str">
        <f>partNumber&amp;" "&amp;C96&amp;" "&amp;Summary!A1</f>
        <v>38-New Mold Range0 1000 Lux Nominal</v>
      </c>
      <c r="R340" s="204"/>
      <c r="S340" s="204"/>
      <c r="T340" s="204"/>
      <c r="U340" s="204"/>
      <c r="V340" s="204"/>
      <c r="W340" s="204"/>
      <c r="X340" s="204"/>
      <c r="Y340" s="204"/>
      <c r="Z340" s="204"/>
      <c r="AD340" s="204" t="str">
        <f>partNumber&amp;" "&amp;C134&amp;" "&amp;Summary!A29</f>
        <v>38-New Mold Range2 16000 Lux Nominal</v>
      </c>
      <c r="AE340" s="204"/>
      <c r="AF340" s="204"/>
      <c r="AG340" s="204"/>
      <c r="AH340" s="204"/>
      <c r="AI340" s="204"/>
      <c r="AJ340" s="204"/>
      <c r="AK340" s="204"/>
      <c r="AL340" s="204"/>
      <c r="AM340" s="204"/>
    </row>
    <row r="341" spans="16:39">
      <c r="P341" s="22">
        <f>lux_0</f>
        <v>1000</v>
      </c>
    </row>
    <row r="342" spans="16:39">
      <c r="P342" s="22">
        <f>lux_1</f>
        <v>4000</v>
      </c>
    </row>
    <row r="343" spans="16:39">
      <c r="P343" s="22">
        <f>lux_2</f>
        <v>16000</v>
      </c>
    </row>
    <row r="344" spans="16:39">
      <c r="P344" s="22">
        <f>lux_3</f>
        <v>64000</v>
      </c>
    </row>
    <row r="356" spans="17:39">
      <c r="Q356" s="204" t="str">
        <f>partNumber&amp;" "&amp;C109&amp;" "&amp;Summary!A15</f>
        <v>38-New Mold Range1 4000 Lux Nominal</v>
      </c>
      <c r="R356" s="204"/>
      <c r="S356" s="204"/>
      <c r="T356" s="204"/>
      <c r="U356" s="204"/>
      <c r="V356" s="204"/>
      <c r="W356" s="204"/>
      <c r="X356" s="204"/>
      <c r="Y356" s="204"/>
      <c r="Z356" s="204"/>
      <c r="AD356" s="204" t="str">
        <f>partNumber&amp;" "&amp;C171&amp;" "&amp;Summary!A43</f>
        <v>38-New Mold Range3 64000 Lux Nominal</v>
      </c>
      <c r="AE356" s="204"/>
      <c r="AF356" s="204"/>
      <c r="AG356" s="204"/>
      <c r="AH356" s="204"/>
      <c r="AI356" s="204"/>
      <c r="AJ356" s="204"/>
      <c r="AK356" s="204"/>
      <c r="AL356" s="204"/>
      <c r="AM356" s="204"/>
    </row>
  </sheetData>
  <mergeCells count="90">
    <mergeCell ref="B279:B285"/>
    <mergeCell ref="B286:B292"/>
    <mergeCell ref="B293:B299"/>
    <mergeCell ref="C272:C299"/>
    <mergeCell ref="B250:B256"/>
    <mergeCell ref="B272:B278"/>
    <mergeCell ref="B204:B208"/>
    <mergeCell ref="B209:B213"/>
    <mergeCell ref="B214:B218"/>
    <mergeCell ref="C171:C218"/>
    <mergeCell ref="B235:B241"/>
    <mergeCell ref="B227:B233"/>
    <mergeCell ref="C227:C233"/>
    <mergeCell ref="C235:C248"/>
    <mergeCell ref="B160:B164"/>
    <mergeCell ref="B165:B169"/>
    <mergeCell ref="C134:C169"/>
    <mergeCell ref="B171:B177"/>
    <mergeCell ref="B199:B203"/>
    <mergeCell ref="B178:B184"/>
    <mergeCell ref="B185:B191"/>
    <mergeCell ref="B192:B198"/>
    <mergeCell ref="B134:B140"/>
    <mergeCell ref="B155:B159"/>
    <mergeCell ref="B141:B147"/>
    <mergeCell ref="B148:B154"/>
    <mergeCell ref="C109:C132"/>
    <mergeCell ref="B128:B132"/>
    <mergeCell ref="A75:A85"/>
    <mergeCell ref="B75:B79"/>
    <mergeCell ref="B80:B82"/>
    <mergeCell ref="B83:B84"/>
    <mergeCell ref="B109:B115"/>
    <mergeCell ref="B123:B127"/>
    <mergeCell ref="B116:B122"/>
    <mergeCell ref="B96:B107"/>
    <mergeCell ref="A86:G88"/>
    <mergeCell ref="F89:G89"/>
    <mergeCell ref="C96:C107"/>
    <mergeCell ref="A51:A61"/>
    <mergeCell ref="B51:B55"/>
    <mergeCell ref="B56:B58"/>
    <mergeCell ref="B59:B60"/>
    <mergeCell ref="A63:A73"/>
    <mergeCell ref="B63:B67"/>
    <mergeCell ref="B68:B70"/>
    <mergeCell ref="B71:B72"/>
    <mergeCell ref="A50:AU50"/>
    <mergeCell ref="B44:B46"/>
    <mergeCell ref="B47:B48"/>
    <mergeCell ref="A15:A25"/>
    <mergeCell ref="B15:B19"/>
    <mergeCell ref="B20:B22"/>
    <mergeCell ref="B23:B24"/>
    <mergeCell ref="B27:B31"/>
    <mergeCell ref="A27:A37"/>
    <mergeCell ref="B32:B34"/>
    <mergeCell ref="B35:B36"/>
    <mergeCell ref="AD356:AM356"/>
    <mergeCell ref="Q356:Z356"/>
    <mergeCell ref="C222:F224"/>
    <mergeCell ref="Q308:Z308"/>
    <mergeCell ref="Q324:Z324"/>
    <mergeCell ref="AD308:AM308"/>
    <mergeCell ref="AD324:AM324"/>
    <mergeCell ref="AD340:AM340"/>
    <mergeCell ref="Q340:Z340"/>
    <mergeCell ref="A226:O226"/>
    <mergeCell ref="A223:A224"/>
    <mergeCell ref="P222:AU224"/>
    <mergeCell ref="B242:B248"/>
    <mergeCell ref="B257:B263"/>
    <mergeCell ref="B264:B270"/>
    <mergeCell ref="C250:C270"/>
    <mergeCell ref="I1:K1"/>
    <mergeCell ref="P91:Q91"/>
    <mergeCell ref="A89:E89"/>
    <mergeCell ref="A62:AU62"/>
    <mergeCell ref="A74:AU74"/>
    <mergeCell ref="A14:AU14"/>
    <mergeCell ref="L2:O2"/>
    <mergeCell ref="A1:C2"/>
    <mergeCell ref="B3:B7"/>
    <mergeCell ref="B8:B10"/>
    <mergeCell ref="B11:B12"/>
    <mergeCell ref="A3:A13"/>
    <mergeCell ref="A39:A49"/>
    <mergeCell ref="B39:B43"/>
    <mergeCell ref="A26:AU26"/>
    <mergeCell ref="A38:AU38"/>
  </mergeCells>
  <conditionalFormatting sqref="N3:O7 P2:AU2 O3:O13 N15:O19 O15:O25 N27:O31 O27:O37 N39:O43 O39:O49 N51:O55 O51:O61 N63:O67 O63:O73 N75:O79 O75:O85 M15:M25 M3:M13 M27:M37 M39:M49 M51:M61 M63:M73 M75:M85 N8:N13 N20:N25 N32:N37 N44:N49 N56:N61 N68:N73 N80:N85">
    <cfRule type="cellIs" dxfId="58" priority="176" operator="equal">
      <formula>0</formula>
    </cfRule>
    <cfRule type="cellIs" dxfId="57" priority="177" operator="equal">
      <formula>1</formula>
    </cfRule>
  </conditionalFormatting>
  <conditionalFormatting sqref="P226:AU226">
    <cfRule type="cellIs" dxfId="56" priority="111" operator="equal">
      <formula>0</formula>
    </cfRule>
  </conditionalFormatting>
  <conditionalFormatting sqref="P227:AU227">
    <cfRule type="top10" dxfId="55" priority="118" percent="1" bottom="1" rank="10"/>
    <cfRule type="top10" dxfId="54" priority="119" percent="1" rank="10"/>
  </conditionalFormatting>
  <conditionalFormatting sqref="P228:AU228">
    <cfRule type="top10" dxfId="53" priority="109" percent="1" bottom="1" rank="10"/>
    <cfRule type="top10" dxfId="52" priority="110" percent="1" rank="10"/>
  </conditionalFormatting>
  <conditionalFormatting sqref="P229:AU229">
    <cfRule type="top10" dxfId="51" priority="107" percent="1" bottom="1" rank="10"/>
    <cfRule type="top10" dxfId="50" priority="108" percent="1" rank="10"/>
  </conditionalFormatting>
  <conditionalFormatting sqref="P230:AU230">
    <cfRule type="top10" dxfId="49" priority="105" percent="1" bottom="1" rank="10"/>
    <cfRule type="top10" dxfId="48" priority="106" percent="1" rank="10"/>
  </conditionalFormatting>
  <conditionalFormatting sqref="P231:AU231">
    <cfRule type="top10" dxfId="47" priority="103" percent="1" bottom="1" rank="10"/>
    <cfRule type="top10" dxfId="46" priority="104" percent="1" rank="10"/>
  </conditionalFormatting>
  <conditionalFormatting sqref="P232:AU232">
    <cfRule type="top10" dxfId="45" priority="101" percent="1" bottom="1" rank="10"/>
    <cfRule type="top10" dxfId="44" priority="102" percent="1" rank="10"/>
  </conditionalFormatting>
  <conditionalFormatting sqref="P233:AU233">
    <cfRule type="top10" dxfId="43" priority="99" percent="1" bottom="1" rank="10"/>
    <cfRule type="top10" dxfId="42" priority="100" percent="1" rank="10"/>
  </conditionalFormatting>
  <conditionalFormatting sqref="P236:AU236">
    <cfRule type="top10" dxfId="41" priority="53" percent="1" bottom="1" rank="10"/>
    <cfRule type="top10" dxfId="40" priority="54" percent="1" rank="10"/>
  </conditionalFormatting>
  <conditionalFormatting sqref="P237:AU237">
    <cfRule type="top10" dxfId="39" priority="51" percent="1" bottom="1" rank="10"/>
    <cfRule type="top10" dxfId="38" priority="52" percent="1" rank="10"/>
  </conditionalFormatting>
  <conditionalFormatting sqref="P238:AU238">
    <cfRule type="top10" dxfId="37" priority="49" percent="1" bottom="1" rank="10"/>
    <cfRule type="top10" dxfId="36" priority="50" percent="1" rank="10"/>
  </conditionalFormatting>
  <conditionalFormatting sqref="P239:AU239">
    <cfRule type="top10" dxfId="35" priority="47" percent="1" bottom="1" rank="10"/>
    <cfRule type="top10" dxfId="34" priority="48" percent="1" rank="10"/>
  </conditionalFormatting>
  <conditionalFormatting sqref="P240:AU240">
    <cfRule type="top10" dxfId="33" priority="45" percent="1" bottom="1" rank="10"/>
    <cfRule type="top10" dxfId="32" priority="46" percent="1" rank="10"/>
  </conditionalFormatting>
  <conditionalFormatting sqref="P241:AU248">
    <cfRule type="top10" dxfId="31" priority="43" percent="1" bottom="1" rank="10"/>
    <cfRule type="top10" dxfId="30" priority="44" percent="1" rank="10"/>
  </conditionalFormatting>
  <conditionalFormatting sqref="P251:AU251">
    <cfRule type="top10" dxfId="29" priority="39" percent="1" bottom="1" rank="10"/>
    <cfRule type="top10" dxfId="28" priority="40" percent="1" rank="10"/>
  </conditionalFormatting>
  <conditionalFormatting sqref="P252:AU252">
    <cfRule type="top10" dxfId="27" priority="37" percent="1" bottom="1" rank="10"/>
    <cfRule type="top10" dxfId="26" priority="38" percent="1" rank="10"/>
  </conditionalFormatting>
  <conditionalFormatting sqref="P253:AU253">
    <cfRule type="top10" dxfId="25" priority="35" percent="1" bottom="1" rank="10"/>
    <cfRule type="top10" dxfId="24" priority="36" percent="1" rank="10"/>
  </conditionalFormatting>
  <conditionalFormatting sqref="P254:AU254">
    <cfRule type="top10" dxfId="23" priority="33" percent="1" bottom="1" rank="10"/>
    <cfRule type="top10" dxfId="22" priority="34" percent="1" rank="10"/>
  </conditionalFormatting>
  <conditionalFormatting sqref="P255:AU255">
    <cfRule type="top10" dxfId="21" priority="31" percent="1" bottom="1" rank="10"/>
    <cfRule type="top10" dxfId="20" priority="32" percent="1" rank="10"/>
  </conditionalFormatting>
  <conditionalFormatting sqref="P256:AU270">
    <cfRule type="top10" dxfId="19" priority="29" percent="1" bottom="1" rank="10"/>
    <cfRule type="top10" dxfId="18" priority="30" percent="1" rank="10"/>
  </conditionalFormatting>
  <conditionalFormatting sqref="P273:AU273">
    <cfRule type="top10" dxfId="17" priority="25" percent="1" bottom="1" rank="10"/>
    <cfRule type="top10" dxfId="16" priority="26" percent="1" rank="10"/>
  </conditionalFormatting>
  <conditionalFormatting sqref="P274:AU274">
    <cfRule type="top10" dxfId="15" priority="23" percent="1" bottom="1" rank="10"/>
    <cfRule type="top10" dxfId="14" priority="24" percent="1" rank="10"/>
  </conditionalFormatting>
  <conditionalFormatting sqref="P275:AU275">
    <cfRule type="top10" dxfId="13" priority="21" percent="1" bottom="1" rank="10"/>
    <cfRule type="top10" dxfId="12" priority="22" percent="1" rank="10"/>
  </conditionalFormatting>
  <conditionalFormatting sqref="P276:AU276">
    <cfRule type="top10" dxfId="11" priority="19" percent="1" bottom="1" rank="10"/>
    <cfRule type="top10" dxfId="10" priority="20" percent="1" rank="10"/>
  </conditionalFormatting>
  <conditionalFormatting sqref="P277:AU277">
    <cfRule type="top10" dxfId="9" priority="17" percent="1" bottom="1" rank="10"/>
    <cfRule type="top10" dxfId="8" priority="18" percent="1" rank="10"/>
  </conditionalFormatting>
  <conditionalFormatting sqref="P278:AU299">
    <cfRule type="top10" dxfId="7" priority="15" percent="1" bottom="1" rank="10"/>
    <cfRule type="top10" dxfId="6" priority="16" percent="1" rank="10"/>
  </conditionalFormatting>
  <conditionalFormatting sqref="P235:AU235">
    <cfRule type="top10" dxfId="5" priority="237" percent="1" bottom="1" rank="10"/>
    <cfRule type="top10" dxfId="4" priority="238" percent="1" rank="10"/>
  </conditionalFormatting>
  <conditionalFormatting sqref="P250:AU250">
    <cfRule type="top10" dxfId="3" priority="324" percent="1" bottom="1" rank="10"/>
    <cfRule type="top10" dxfId="2" priority="325" percent="1" rank="10"/>
  </conditionalFormatting>
  <conditionalFormatting sqref="P272:AU272">
    <cfRule type="top10" dxfId="1" priority="423" percent="1" bottom="1" rank="10"/>
    <cfRule type="top10" dxfId="0" priority="424" percent="1" rank="10"/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K34"/>
  <sheetViews>
    <sheetView zoomScale="70" zoomScaleNormal="70" workbookViewId="0">
      <selection sqref="A1:B2"/>
    </sheetView>
    <sheetView workbookViewId="1">
      <selection sqref="A1:B2"/>
    </sheetView>
  </sheetViews>
  <sheetFormatPr defaultRowHeight="15"/>
  <cols>
    <col min="2" max="2" width="9.7109375" bestFit="1" customWidth="1"/>
    <col min="3" max="7" width="9.140625" style="1"/>
  </cols>
  <sheetData>
    <row r="1" spans="1:37">
      <c r="A1" s="221" t="s">
        <v>12</v>
      </c>
      <c r="B1" s="222"/>
      <c r="C1" s="199" t="s">
        <v>0</v>
      </c>
      <c r="D1" s="219"/>
      <c r="E1" s="219"/>
      <c r="F1" s="219"/>
      <c r="G1" s="220"/>
      <c r="H1" s="199" t="s">
        <v>5</v>
      </c>
      <c r="I1" s="219"/>
      <c r="J1" s="219"/>
      <c r="K1" s="219"/>
      <c r="L1" s="220"/>
      <c r="M1" s="225" t="s">
        <v>20</v>
      </c>
      <c r="N1" s="226"/>
      <c r="O1" s="226"/>
      <c r="P1" s="226"/>
      <c r="Q1" s="226"/>
      <c r="R1" s="199" t="str">
        <f>V6&amp;"K"</f>
        <v>2700K</v>
      </c>
      <c r="S1" s="219"/>
      <c r="T1" s="219"/>
      <c r="U1" s="219"/>
      <c r="V1" s="219"/>
      <c r="W1" s="199" t="str">
        <f>AA6&amp;"K"</f>
        <v>3200K</v>
      </c>
      <c r="X1" s="219"/>
      <c r="Y1" s="219"/>
      <c r="Z1" s="219"/>
      <c r="AA1" s="220"/>
      <c r="AB1" s="219" t="str">
        <f>AF6&amp;"K"</f>
        <v>5500K</v>
      </c>
      <c r="AC1" s="219"/>
      <c r="AD1" s="219"/>
      <c r="AE1" s="219"/>
      <c r="AF1" s="220"/>
      <c r="AG1" s="199" t="str">
        <f>AK6&amp;"K"</f>
        <v>6500K</v>
      </c>
      <c r="AH1" s="219"/>
      <c r="AI1" s="219"/>
      <c r="AJ1" s="219"/>
      <c r="AK1" s="220"/>
    </row>
    <row r="2" spans="1:37">
      <c r="A2" s="221"/>
      <c r="B2" s="222"/>
      <c r="C2" s="4" t="s">
        <v>11</v>
      </c>
      <c r="D2" s="5" t="s">
        <v>3</v>
      </c>
      <c r="E2" s="5" t="s">
        <v>10</v>
      </c>
      <c r="F2" s="5" t="s">
        <v>4</v>
      </c>
      <c r="G2" s="6" t="str">
        <f>data0!A1</f>
        <v>data0</v>
      </c>
      <c r="H2" s="17" t="str">
        <f>C2</f>
        <v>X - 1.5σ</v>
      </c>
      <c r="I2" s="18" t="str">
        <f t="shared" ref="I2:K2" si="0">D2</f>
        <v>AVERAGE</v>
      </c>
      <c r="J2" s="18" t="str">
        <f t="shared" si="0"/>
        <v>X + 1.5σ</v>
      </c>
      <c r="K2" s="18" t="str">
        <f t="shared" si="0"/>
        <v>STDEV</v>
      </c>
      <c r="L2" s="19" t="str">
        <f>data1!A1</f>
        <v>data1</v>
      </c>
      <c r="M2" s="53" t="str">
        <f>H2</f>
        <v>X - 1.5σ</v>
      </c>
      <c r="N2" s="54" t="str">
        <f t="shared" ref="N2" si="1">I2</f>
        <v>AVERAGE</v>
      </c>
      <c r="O2" s="54" t="str">
        <f t="shared" ref="O2" si="2">J2</f>
        <v>X + 1.5σ</v>
      </c>
      <c r="P2" s="54" t="str">
        <f t="shared" ref="P2" si="3">K2</f>
        <v>STDEV</v>
      </c>
      <c r="Q2" s="54" t="str">
        <f>data2!A1</f>
        <v>data2</v>
      </c>
      <c r="R2" s="17" t="str">
        <f>M2</f>
        <v>X - 1.5σ</v>
      </c>
      <c r="S2" s="18" t="str">
        <f t="shared" ref="S2" si="4">N2</f>
        <v>AVERAGE</v>
      </c>
      <c r="T2" s="18" t="str">
        <f t="shared" ref="T2" si="5">O2</f>
        <v>X + 1.5σ</v>
      </c>
      <c r="U2" s="18" t="str">
        <f t="shared" ref="U2" si="6">P2</f>
        <v>STDEV</v>
      </c>
      <c r="V2" s="18" t="str">
        <f>data3!A1</f>
        <v>data3</v>
      </c>
      <c r="W2" s="17" t="str">
        <f>R2</f>
        <v>X - 1.5σ</v>
      </c>
      <c r="X2" s="18" t="str">
        <f t="shared" ref="X2" si="7">S2</f>
        <v>AVERAGE</v>
      </c>
      <c r="Y2" s="18" t="str">
        <f t="shared" ref="Y2" si="8">T2</f>
        <v>X + 1.5σ</v>
      </c>
      <c r="Z2" s="18" t="str">
        <f t="shared" ref="Z2" si="9">U2</f>
        <v>STDEV</v>
      </c>
      <c r="AA2" s="19" t="str">
        <f>data4!A1</f>
        <v>data4</v>
      </c>
      <c r="AB2" s="54" t="str">
        <f>W2</f>
        <v>X - 1.5σ</v>
      </c>
      <c r="AC2" s="54" t="str">
        <f t="shared" ref="AC2" si="10">X2</f>
        <v>AVERAGE</v>
      </c>
      <c r="AD2" s="54" t="str">
        <f t="shared" ref="AD2" si="11">Y2</f>
        <v>X + 1.5σ</v>
      </c>
      <c r="AE2" s="54" t="str">
        <f t="shared" ref="AE2" si="12">Z2</f>
        <v>STDEV</v>
      </c>
      <c r="AF2" s="55" t="str">
        <f>data5!A1</f>
        <v>data5</v>
      </c>
      <c r="AG2" s="53" t="str">
        <f>AB2</f>
        <v>X - 1.5σ</v>
      </c>
      <c r="AH2" s="54" t="str">
        <f t="shared" ref="AH2" si="13">AC2</f>
        <v>AVERAGE</v>
      </c>
      <c r="AI2" s="54" t="str">
        <f t="shared" ref="AI2" si="14">AD2</f>
        <v>X + 1.5σ</v>
      </c>
      <c r="AJ2" s="54" t="str">
        <f t="shared" ref="AJ2" si="15">AE2</f>
        <v>STDEV</v>
      </c>
      <c r="AK2" s="55" t="str">
        <f>data6!A1</f>
        <v>data6</v>
      </c>
    </row>
    <row r="3" spans="1:37">
      <c r="A3" s="191" t="s">
        <v>21</v>
      </c>
      <c r="B3" t="str">
        <f>data0!A2</f>
        <v>Range0</v>
      </c>
      <c r="C3" s="7" t="str">
        <f>IF(D3&lt;&gt;"",D3-1.5*F3,"")</f>
        <v/>
      </c>
      <c r="D3" s="8" t="str">
        <f>IF(data0!AJ2&gt;0,data0!AH2,"")</f>
        <v/>
      </c>
      <c r="E3" s="8" t="str">
        <f>IF(D3&lt;&gt;"",D3+1.5*F3,"")</f>
        <v/>
      </c>
      <c r="F3" s="8" t="str">
        <f>IF(data0!AJ2&gt;0,data0!AI2,"")</f>
        <v/>
      </c>
      <c r="G3" s="6" t="s">
        <v>1</v>
      </c>
      <c r="H3" s="7" t="str">
        <f>IF(I3&lt;&gt;"",I3-1.5*K3,"")</f>
        <v/>
      </c>
      <c r="I3" s="8" t="str">
        <f>IF(data1!AJ2&gt;0,data1!AH2,"")</f>
        <v/>
      </c>
      <c r="J3" s="8" t="str">
        <f>IF(I3&lt;&gt;"",I3+1.5*K3,"")</f>
        <v/>
      </c>
      <c r="K3" s="8" t="str">
        <f>IF(data1!AJ2&gt;0,data1!AI2,"")</f>
        <v/>
      </c>
      <c r="L3" s="6" t="s">
        <v>1</v>
      </c>
      <c r="M3" s="7" t="str">
        <f>IF(N3&lt;&gt;"",N3-1.5*P3,"")</f>
        <v/>
      </c>
      <c r="N3" s="57" t="str">
        <f>IF(data2!AJ2&gt;0,data2!AH2,"")</f>
        <v/>
      </c>
      <c r="O3" s="8" t="str">
        <f>IF(N3&lt;&gt;"",N3+1.5*P3,"")</f>
        <v/>
      </c>
      <c r="P3" s="57" t="str">
        <f>IF(data2!AJ2&gt;0,data2!AI2,"")</f>
        <v/>
      </c>
      <c r="Q3" s="60" t="s">
        <v>1</v>
      </c>
      <c r="R3" s="7" t="str">
        <f>IF(S3&lt;&gt;"",S3-1.5*U3,"")</f>
        <v/>
      </c>
      <c r="S3" s="8" t="str">
        <f>IF(data3!AJ2&gt;0,data3!AH2,"")</f>
        <v/>
      </c>
      <c r="T3" s="8" t="str">
        <f>IF(S3&lt;&gt;"",S3+1.5*U3,"")</f>
        <v/>
      </c>
      <c r="U3" s="8" t="str">
        <f>IF(data3!AJ2&gt;0,data3!AI2,"")</f>
        <v/>
      </c>
      <c r="V3" s="5" t="s">
        <v>1</v>
      </c>
      <c r="W3" s="7">
        <f>IF(X3&lt;&gt;"",X3-1.5*Z3,"")</f>
        <v>812.1253797763535</v>
      </c>
      <c r="X3" s="8">
        <f>IF(data4!AJ2&gt;0,data4!AH2,"")</f>
        <v>872.57826606647859</v>
      </c>
      <c r="Y3" s="8">
        <f>IF(X3&lt;&gt;"",X3+1.5*Z3,"")</f>
        <v>933.03115235660368</v>
      </c>
      <c r="Z3" s="8">
        <f>IF(data4!AJ2&gt;0,data4!AI2,"")</f>
        <v>40.301924193416717</v>
      </c>
      <c r="AA3" s="6" t="s">
        <v>1</v>
      </c>
      <c r="AB3" s="7" t="str">
        <f>IF(AC3&lt;&gt;"",AC3-1.5*AE3,"")</f>
        <v/>
      </c>
      <c r="AC3" s="57" t="str">
        <f>IF(data5!AJ2&gt;0,data5!AH2,"")</f>
        <v/>
      </c>
      <c r="AD3" s="8" t="str">
        <f>IF(AC3&lt;&gt;"",AC3+1.5*AE3,"")</f>
        <v/>
      </c>
      <c r="AE3" s="57" t="str">
        <f>IF(data5!AJ2&gt;0,data5!AI2,"")</f>
        <v/>
      </c>
      <c r="AF3" s="58" t="s">
        <v>1</v>
      </c>
      <c r="AG3" s="7" t="str">
        <f>IF(AH3&lt;&gt;"",AH3-1.5*AJ3,"")</f>
        <v/>
      </c>
      <c r="AH3" s="57" t="str">
        <f>IF(data6!AJ2&gt;0,data6!AH2,"")</f>
        <v/>
      </c>
      <c r="AI3" s="8" t="str">
        <f>IF(AH3&lt;&gt;"",AH3+1.5*AJ3,"")</f>
        <v/>
      </c>
      <c r="AJ3" s="57" t="str">
        <f>IF(data6!AJ2&gt;0,data6!AI2,"")</f>
        <v/>
      </c>
      <c r="AK3" s="58" t="s">
        <v>1</v>
      </c>
    </row>
    <row r="4" spans="1:37">
      <c r="A4" s="191"/>
      <c r="B4" t="str">
        <f>data0!A3</f>
        <v>Range1</v>
      </c>
      <c r="C4" s="7" t="str">
        <f t="shared" ref="C4:C8" si="16">IF(D4&lt;&gt;"",D4-1.5*F4,"")</f>
        <v/>
      </c>
      <c r="D4" s="8" t="str">
        <f>IF(data0!AJ3&gt;0,data0!AH3,"")</f>
        <v/>
      </c>
      <c r="E4" s="8" t="str">
        <f t="shared" ref="E4:E8" si="17">IF(D4&lt;&gt;"",D4+1.5*F4,"")</f>
        <v/>
      </c>
      <c r="F4" s="8" t="str">
        <f>IF(data0!AJ3&gt;0,data0!AI3,"")</f>
        <v/>
      </c>
      <c r="G4" s="106">
        <f>Parameters!E10</f>
        <v>48.5</v>
      </c>
      <c r="H4" s="7" t="str">
        <f t="shared" ref="H4:H8" si="18">IF(I4&lt;&gt;"",I4-1.5*K4,"")</f>
        <v/>
      </c>
      <c r="I4" s="8" t="str">
        <f>IF(data1!AJ3&gt;0,data1!AH3,"")</f>
        <v/>
      </c>
      <c r="J4" s="8" t="str">
        <f t="shared" ref="J4:J8" si="19">IF(I4&lt;&gt;"",I4+1.5*K4,"")</f>
        <v/>
      </c>
      <c r="K4" s="8" t="str">
        <f>IF(data1!AJ3&gt;0,data1!AI3,"")</f>
        <v/>
      </c>
      <c r="L4" s="106">
        <v>166</v>
      </c>
      <c r="M4" s="7" t="str">
        <f t="shared" ref="M4:M8" si="20">IF(N4&lt;&gt;"",N4-1.5*P4,"")</f>
        <v/>
      </c>
      <c r="N4" s="57" t="str">
        <f>IF(data2!AJ3&gt;0,data2!AH3,"")</f>
        <v/>
      </c>
      <c r="O4" s="8" t="str">
        <f t="shared" ref="O4:O8" si="21">IF(N4&lt;&gt;"",N4+1.5*P4,"")</f>
        <v/>
      </c>
      <c r="P4" s="57" t="str">
        <f>IF(data2!AJ3&gt;0,data2!AI3,"")</f>
        <v/>
      </c>
      <c r="Q4" s="106">
        <v>199.6</v>
      </c>
      <c r="R4" s="7" t="str">
        <f t="shared" ref="R4:R8" si="22">IF(S4&lt;&gt;"",S4-1.5*U4,"")</f>
        <v/>
      </c>
      <c r="S4" s="8" t="str">
        <f>IF(data3!AJ3&gt;0,data3!AH3,"")</f>
        <v/>
      </c>
      <c r="T4" s="8" t="str">
        <f t="shared" ref="T4:T8" si="23">IF(S4&lt;&gt;"",S4+1.5*U4,"")</f>
        <v/>
      </c>
      <c r="U4" s="8" t="str">
        <f>IF(data3!AJ3&gt;0,data3!AI3,"")</f>
        <v/>
      </c>
      <c r="V4" s="106">
        <f>Parameters!H10</f>
        <v>35.5</v>
      </c>
      <c r="W4" s="7">
        <f t="shared" ref="W4:W8" si="24">IF(X4&lt;&gt;"",X4-1.5*Z4,"")</f>
        <v>836.93192356069255</v>
      </c>
      <c r="X4" s="8">
        <f>IF(data4!AJ3&gt;0,data4!AH3,"")</f>
        <v>890.44658070750995</v>
      </c>
      <c r="Y4" s="8">
        <f t="shared" ref="Y4:Y8" si="25">IF(X4&lt;&gt;"",X4+1.5*Z4,"")</f>
        <v>943.96123785432735</v>
      </c>
      <c r="Z4" s="8">
        <f>IF(data4!AJ3&gt;0,data4!AI3,"")</f>
        <v>35.67643809787829</v>
      </c>
      <c r="AA4" s="106">
        <f>Parameters!I10</f>
        <v>821</v>
      </c>
      <c r="AB4" s="57" t="str">
        <f t="shared" ref="AB4:AB8" si="26">IF(AC4&lt;&gt;"",AC4-1.5*AE4,"")</f>
        <v/>
      </c>
      <c r="AC4" s="57" t="str">
        <f>IF(data5!AJ3&gt;0,data5!AH3,"")</f>
        <v/>
      </c>
      <c r="AD4" s="57" t="str">
        <f t="shared" ref="AD4:AD8" si="27">IF(AC4&lt;&gt;"",AC4+1.5*AE4,"")</f>
        <v/>
      </c>
      <c r="AE4" s="57" t="str">
        <f>IF(data5!AJ3&gt;0,data5!AI3,"")</f>
        <v/>
      </c>
      <c r="AF4" s="106">
        <v>544</v>
      </c>
      <c r="AG4" s="56" t="str">
        <f t="shared" ref="AG4:AG8" si="28">IF(AH4&lt;&gt;"",AH4-1.5*AJ4,"")</f>
        <v/>
      </c>
      <c r="AH4" s="57" t="str">
        <f>IF(data6!AJ3&gt;0,data6!AH3,"")</f>
        <v/>
      </c>
      <c r="AI4" s="57" t="str">
        <f t="shared" ref="AI4:AI8" si="29">IF(AH4&lt;&gt;"",AH4+1.5*AJ4,"")</f>
        <v/>
      </c>
      <c r="AJ4" s="57" t="str">
        <f>IF(data6!AJ3&gt;0,data6!AI3,"")</f>
        <v/>
      </c>
      <c r="AK4" s="106">
        <v>520</v>
      </c>
    </row>
    <row r="5" spans="1:37">
      <c r="A5" s="191"/>
      <c r="B5" t="str">
        <f>data0!A4</f>
        <v>Range2</v>
      </c>
      <c r="C5" s="7" t="str">
        <f t="shared" si="16"/>
        <v/>
      </c>
      <c r="D5" s="8" t="str">
        <f>IF(data0!AJ4&gt;0,data0!AH4,"")</f>
        <v/>
      </c>
      <c r="E5" s="8" t="str">
        <f t="shared" si="17"/>
        <v/>
      </c>
      <c r="F5" s="8" t="str">
        <f>IF(data0!AJ4&gt;0,data0!AI4,"")</f>
        <v/>
      </c>
      <c r="G5" s="6" t="s">
        <v>2</v>
      </c>
      <c r="H5" s="7" t="str">
        <f t="shared" si="18"/>
        <v/>
      </c>
      <c r="I5" s="8" t="str">
        <f>IF(data1!AJ4&gt;0,data1!AH4,"")</f>
        <v/>
      </c>
      <c r="J5" s="8" t="str">
        <f t="shared" si="19"/>
        <v/>
      </c>
      <c r="K5" s="8" t="str">
        <f>IF(data1!AJ4&gt;0,data1!AI4,"")</f>
        <v/>
      </c>
      <c r="L5" s="6" t="s">
        <v>2</v>
      </c>
      <c r="M5" s="7" t="str">
        <f t="shared" si="20"/>
        <v/>
      </c>
      <c r="N5" s="57" t="str">
        <f>IF(data2!AJ4&gt;0,data2!AH4,"")</f>
        <v/>
      </c>
      <c r="O5" s="8" t="str">
        <f t="shared" si="21"/>
        <v/>
      </c>
      <c r="P5" s="57" t="str">
        <f>IF(data2!AJ4&gt;0,data2!AI4,"")</f>
        <v/>
      </c>
      <c r="Q5" s="60" t="s">
        <v>2</v>
      </c>
      <c r="R5" s="7" t="str">
        <f t="shared" si="22"/>
        <v/>
      </c>
      <c r="S5" s="8" t="str">
        <f>IF(data3!AJ4&gt;0,data3!AH4,"")</f>
        <v/>
      </c>
      <c r="T5" s="8" t="str">
        <f t="shared" si="23"/>
        <v/>
      </c>
      <c r="U5" s="8" t="str">
        <f>IF(data3!AJ4&gt;0,data3!AI4,"")</f>
        <v/>
      </c>
      <c r="V5" s="5" t="s">
        <v>46</v>
      </c>
      <c r="W5" s="7">
        <f t="shared" si="24"/>
        <v>664.79022156240865</v>
      </c>
      <c r="X5" s="8">
        <f>IF(data4!AJ4&gt;0,data4!AH4,"")</f>
        <v>800.06103608758679</v>
      </c>
      <c r="Y5" s="8">
        <f t="shared" si="25"/>
        <v>935.33185061276492</v>
      </c>
      <c r="Z5" s="8">
        <f>IF(data4!AJ4&gt;0,data4!AI4,"")</f>
        <v>90.180543016785407</v>
      </c>
      <c r="AA5" s="6" t="s">
        <v>46</v>
      </c>
      <c r="AB5" s="57" t="str">
        <f t="shared" si="26"/>
        <v/>
      </c>
      <c r="AC5" s="57" t="str">
        <f>IF(data5!AJ4&gt;0,data5!AH4,"")</f>
        <v/>
      </c>
      <c r="AD5" s="57" t="str">
        <f t="shared" si="27"/>
        <v/>
      </c>
      <c r="AE5" s="57" t="str">
        <f>IF(data5!AJ4&gt;0,data5!AI4,"")</f>
        <v/>
      </c>
      <c r="AF5" s="58" t="s">
        <v>46</v>
      </c>
      <c r="AG5" s="56" t="str">
        <f t="shared" si="28"/>
        <v/>
      </c>
      <c r="AH5" s="57" t="str">
        <f>IF(data6!AJ4&gt;0,data6!AH4,"")</f>
        <v/>
      </c>
      <c r="AI5" s="57" t="str">
        <f t="shared" si="29"/>
        <v/>
      </c>
      <c r="AJ5" s="57" t="str">
        <f>IF(data6!AJ4&gt;0,data6!AI4,"")</f>
        <v/>
      </c>
      <c r="AK5" s="58" t="s">
        <v>46</v>
      </c>
    </row>
    <row r="6" spans="1:37">
      <c r="A6" s="191"/>
      <c r="B6" t="str">
        <f>data0!A5</f>
        <v>Range3</v>
      </c>
      <c r="C6" s="7" t="str">
        <f t="shared" si="16"/>
        <v/>
      </c>
      <c r="D6" s="8" t="str">
        <f>IF(data0!AJ5&gt;0,data0!AH5,"")</f>
        <v/>
      </c>
      <c r="E6" s="8" t="str">
        <f t="shared" si="17"/>
        <v/>
      </c>
      <c r="F6" s="8" t="str">
        <f>IF(data0!AJ5&gt;0,data0!AI5,"")</f>
        <v/>
      </c>
      <c r="G6" s="6">
        <v>3670</v>
      </c>
      <c r="H6" s="7" t="str">
        <f t="shared" si="18"/>
        <v/>
      </c>
      <c r="I6" s="8" t="str">
        <f>IF(data1!AJ5&gt;0,data1!AH5,"")</f>
        <v/>
      </c>
      <c r="J6" s="8" t="str">
        <f>IF(I6&lt;&gt;"",I6+1.5*K6,"")</f>
        <v/>
      </c>
      <c r="K6" s="8" t="str">
        <f>IF(data1!AJ5&gt;0,data1!AI5,"")</f>
        <v/>
      </c>
      <c r="L6" s="6">
        <v>4430</v>
      </c>
      <c r="M6" s="7" t="str">
        <f t="shared" si="20"/>
        <v/>
      </c>
      <c r="N6" s="57" t="str">
        <f>IF(data2!AJ5&gt;0,data2!AH5,"")</f>
        <v/>
      </c>
      <c r="O6" s="8" t="str">
        <f t="shared" si="21"/>
        <v/>
      </c>
      <c r="P6" s="57" t="str">
        <f>IF(data2!AJ5&gt;0,data2!AI5,"")</f>
        <v/>
      </c>
      <c r="Q6" s="60">
        <v>6110</v>
      </c>
      <c r="R6" s="7" t="str">
        <f t="shared" si="22"/>
        <v/>
      </c>
      <c r="S6" s="8" t="str">
        <f>IF(data3!AJ5&gt;0,data3!AH5,"")</f>
        <v/>
      </c>
      <c r="T6" s="8" t="str">
        <f t="shared" si="23"/>
        <v/>
      </c>
      <c r="U6" s="8" t="str">
        <f>IF(data3!AJ5&gt;0,data3!AI5,"")</f>
        <v/>
      </c>
      <c r="V6" s="5">
        <v>2700</v>
      </c>
      <c r="W6" s="7">
        <f t="shared" si="24"/>
        <v>665.38516190840437</v>
      </c>
      <c r="X6" s="8">
        <f>IF(data4!AJ5&gt;0,data4!AH5,"")</f>
        <v>797.22794435543358</v>
      </c>
      <c r="Y6" s="8">
        <f t="shared" si="25"/>
        <v>929.07072680246279</v>
      </c>
      <c r="Z6" s="8">
        <f>IF(data4!AJ5&gt;0,data4!AI5,"")</f>
        <v>87.895188298019491</v>
      </c>
      <c r="AA6" s="6">
        <v>3200</v>
      </c>
      <c r="AB6" s="57" t="str">
        <f t="shared" si="26"/>
        <v/>
      </c>
      <c r="AC6" s="57" t="str">
        <f>IF(data5!AJ5&gt;0,data5!AH5,"")</f>
        <v/>
      </c>
      <c r="AD6" s="57" t="str">
        <f t="shared" si="27"/>
        <v/>
      </c>
      <c r="AE6" s="57" t="str">
        <f>IF(data5!AJ5&gt;0,data5!AI5,"")</f>
        <v/>
      </c>
      <c r="AF6" s="58">
        <v>5500</v>
      </c>
      <c r="AG6" s="56" t="str">
        <f t="shared" si="28"/>
        <v/>
      </c>
      <c r="AH6" s="57" t="str">
        <f>IF(data6!AJ5&gt;0,data6!AH5,"")</f>
        <v/>
      </c>
      <c r="AI6" s="57" t="str">
        <f t="shared" si="29"/>
        <v/>
      </c>
      <c r="AJ6" s="57" t="str">
        <f>IF(data6!AJ5&gt;0,data6!AI5,"")</f>
        <v/>
      </c>
      <c r="AK6" s="58">
        <v>6500</v>
      </c>
    </row>
    <row r="7" spans="1:37">
      <c r="A7" s="191"/>
      <c r="B7" t="s">
        <v>35</v>
      </c>
      <c r="C7" s="45" t="str">
        <f t="shared" si="16"/>
        <v/>
      </c>
      <c r="D7" s="44" t="str">
        <f>IF(data0!AJ6&gt;0,data0!AH6,"")</f>
        <v/>
      </c>
      <c r="E7" s="44" t="str">
        <f t="shared" si="17"/>
        <v/>
      </c>
      <c r="F7" s="44" t="str">
        <f>IF(data0!AJ6&gt;0,data0!AI6,"")</f>
        <v/>
      </c>
      <c r="G7" s="6">
        <f>lux</f>
        <v>100</v>
      </c>
      <c r="H7" s="45" t="str">
        <f t="shared" si="18"/>
        <v/>
      </c>
      <c r="I7" s="44" t="str">
        <f>IF(data1!AJ6&gt;0,data1!AH6,"")</f>
        <v/>
      </c>
      <c r="J7" s="44" t="str">
        <f t="shared" si="19"/>
        <v/>
      </c>
      <c r="K7" s="44" t="str">
        <f>IF(data1!AJ6&gt;0,data1!AI6,"")</f>
        <v/>
      </c>
      <c r="L7" s="6">
        <f>lux</f>
        <v>100</v>
      </c>
      <c r="M7" s="45" t="str">
        <f t="shared" si="20"/>
        <v/>
      </c>
      <c r="N7" s="59" t="str">
        <f>IF(data2!AJ6&gt;0,data2!AH6,"")</f>
        <v/>
      </c>
      <c r="O7" s="44" t="str">
        <f t="shared" si="21"/>
        <v/>
      </c>
      <c r="P7" s="59" t="str">
        <f>IF(data2!AJ6&gt;0,data2!AI6,"")</f>
        <v/>
      </c>
      <c r="Q7" s="5">
        <f>lux</f>
        <v>100</v>
      </c>
      <c r="R7" s="45" t="str">
        <f t="shared" si="22"/>
        <v/>
      </c>
      <c r="S7" s="44" t="str">
        <f>IF(data3!AJ6&gt;0,data3!AH6,"")</f>
        <v/>
      </c>
      <c r="T7" s="44" t="str">
        <f t="shared" si="23"/>
        <v/>
      </c>
      <c r="U7" s="44" t="str">
        <f>IF(data3!AJ6&gt;0,data3!AI6,"")</f>
        <v/>
      </c>
      <c r="V7" s="5">
        <f>lux</f>
        <v>100</v>
      </c>
      <c r="W7" s="45">
        <f t="shared" si="24"/>
        <v>8.8199289810265528E-3</v>
      </c>
      <c r="X7" s="44">
        <f>IF(data4!AJ6&gt;0,data4!AH6,"")</f>
        <v>9.5413392334884675E-3</v>
      </c>
      <c r="Y7" s="44">
        <f t="shared" si="25"/>
        <v>1.0262749485950382E-2</v>
      </c>
      <c r="Z7" s="44">
        <f>IF(data4!AJ6&gt;0,data4!AI6,"")</f>
        <v>4.8094016830794312E-4</v>
      </c>
      <c r="AA7" s="6">
        <f>lux</f>
        <v>100</v>
      </c>
      <c r="AB7" s="44" t="str">
        <f t="shared" si="26"/>
        <v/>
      </c>
      <c r="AC7" s="44" t="str">
        <f>IF(data5!AJ6&gt;0,data5!AH6,"")</f>
        <v/>
      </c>
      <c r="AD7" s="44" t="str">
        <f t="shared" si="27"/>
        <v/>
      </c>
      <c r="AE7" s="44" t="str">
        <f>IF(data5!AJ6&gt;0,data5!AI6,"")</f>
        <v/>
      </c>
      <c r="AF7" s="6">
        <f>lux</f>
        <v>100</v>
      </c>
      <c r="AG7" s="45" t="str">
        <f t="shared" si="28"/>
        <v/>
      </c>
      <c r="AH7" s="44" t="str">
        <f>IF(data6!AJ6&gt;0,data6!AH6,"")</f>
        <v/>
      </c>
      <c r="AI7" s="44" t="str">
        <f t="shared" si="29"/>
        <v/>
      </c>
      <c r="AJ7" s="44" t="str">
        <f>IF(data6!AJ6&gt;0,data6!AI6,"")</f>
        <v/>
      </c>
      <c r="AK7" s="6">
        <f>lux</f>
        <v>100</v>
      </c>
    </row>
    <row r="8" spans="1:37">
      <c r="A8" s="191"/>
      <c r="B8" t="s">
        <v>34</v>
      </c>
      <c r="C8" s="7" t="str">
        <f t="shared" si="16"/>
        <v/>
      </c>
      <c r="D8" s="8" t="str">
        <f>IF(data0!AJ14&gt;0,data0!AH14,"")</f>
        <v/>
      </c>
      <c r="E8" s="8" t="str">
        <f t="shared" si="17"/>
        <v/>
      </c>
      <c r="F8" s="8" t="str">
        <f>IF(data0!AJ14&gt;0,data0!AI14,"")</f>
        <v/>
      </c>
      <c r="G8" s="23">
        <f>G7/G4</f>
        <v>2.0618556701030926</v>
      </c>
      <c r="H8" s="7" t="str">
        <f t="shared" si="18"/>
        <v/>
      </c>
      <c r="I8" s="8" t="str">
        <f>IF(data1!AJ14&gt;0,data1!AH14,"")</f>
        <v/>
      </c>
      <c r="J8" s="8" t="str">
        <f t="shared" si="19"/>
        <v/>
      </c>
      <c r="K8" s="8" t="str">
        <f>IF(data1!AJ14&gt;0,data1!AI14,"")</f>
        <v/>
      </c>
      <c r="L8" s="23">
        <f>L7/L4</f>
        <v>0.60240963855421692</v>
      </c>
      <c r="M8" s="7" t="str">
        <f t="shared" si="20"/>
        <v/>
      </c>
      <c r="N8" s="57" t="str">
        <f>IF(data2!AJ14&gt;0,data2!AH14,"")</f>
        <v/>
      </c>
      <c r="O8" s="8" t="str">
        <f t="shared" si="21"/>
        <v/>
      </c>
      <c r="P8" s="57" t="str">
        <f>IF(data2!AJ14&gt;0,data2!AI14,"")</f>
        <v/>
      </c>
      <c r="Q8" s="71">
        <f>Q7/Q4</f>
        <v>0.50100200400801609</v>
      </c>
      <c r="R8" s="7" t="str">
        <f t="shared" si="22"/>
        <v/>
      </c>
      <c r="S8" s="8" t="str">
        <f>IF(data3!AJ14&gt;0,data3!AH14,"")</f>
        <v/>
      </c>
      <c r="T8" s="8" t="str">
        <f t="shared" si="23"/>
        <v/>
      </c>
      <c r="U8" s="8" t="str">
        <f>IF(data3!AJ14&gt;0,data3!AI14,"")</f>
        <v/>
      </c>
      <c r="V8" s="73">
        <f>V7/V4</f>
        <v>2.816901408450704</v>
      </c>
      <c r="W8" s="7">
        <f t="shared" si="24"/>
        <v>64388.76866693575</v>
      </c>
      <c r="X8" s="8">
        <f>IF(data4!AJ14&gt;0,data4!AH14,"")</f>
        <v>84045.898888224488</v>
      </c>
      <c r="Y8" s="8">
        <f t="shared" si="25"/>
        <v>103703.02910951323</v>
      </c>
      <c r="Z8" s="8">
        <f>IF(data4!AJ14&gt;0,data4!AI14,"")</f>
        <v>13104.753480859161</v>
      </c>
      <c r="AA8" s="23">
        <f>AA7/AA4</f>
        <v>0.1218026796589525</v>
      </c>
      <c r="AB8" s="57" t="str">
        <f t="shared" si="26"/>
        <v/>
      </c>
      <c r="AC8" s="57" t="str">
        <f>IF(data5!AJ14&gt;0,data5!AH14,"")</f>
        <v/>
      </c>
      <c r="AD8" s="57" t="str">
        <f t="shared" si="27"/>
        <v/>
      </c>
      <c r="AE8" s="57" t="str">
        <f>IF(data5!AJ14&gt;0,data5!AI14,"")</f>
        <v/>
      </c>
      <c r="AF8" s="61">
        <f>AF7/AF4</f>
        <v>0.18382352941176472</v>
      </c>
      <c r="AG8" s="56" t="str">
        <f t="shared" si="28"/>
        <v/>
      </c>
      <c r="AH8" s="57" t="str">
        <f>IF(data6!AJ14&gt;0,data6!AH14,"")</f>
        <v/>
      </c>
      <c r="AI8" s="57" t="str">
        <f t="shared" si="29"/>
        <v/>
      </c>
      <c r="AJ8" s="57" t="str">
        <f>IF(data6!AJ14&gt;0,data6!AI14,"")</f>
        <v/>
      </c>
      <c r="AK8" s="61">
        <f>AK7/AK4</f>
        <v>0.19230769230769232</v>
      </c>
    </row>
    <row r="9" spans="1:37">
      <c r="A9" s="40"/>
      <c r="B9" s="46"/>
      <c r="C9" s="7"/>
      <c r="D9" s="8"/>
      <c r="E9" s="8"/>
      <c r="F9" s="8"/>
      <c r="G9" s="6"/>
      <c r="H9" s="7"/>
      <c r="I9" s="8"/>
      <c r="J9" s="8"/>
      <c r="K9" s="8"/>
      <c r="L9" s="6"/>
      <c r="M9" s="56"/>
      <c r="N9" s="57"/>
      <c r="O9" s="57"/>
      <c r="P9" s="57"/>
      <c r="Q9" s="60"/>
      <c r="R9" s="7"/>
      <c r="S9" s="8"/>
      <c r="T9" s="8"/>
      <c r="U9" s="8"/>
      <c r="V9" s="5"/>
      <c r="W9" s="7"/>
      <c r="X9" s="8"/>
      <c r="Y9" s="8"/>
      <c r="Z9" s="8"/>
      <c r="AA9" s="6"/>
      <c r="AB9" s="57"/>
      <c r="AC9" s="57"/>
      <c r="AD9" s="57"/>
      <c r="AE9" s="57"/>
      <c r="AF9" s="58"/>
      <c r="AG9" s="56"/>
      <c r="AH9" s="57"/>
      <c r="AI9" s="57"/>
      <c r="AJ9" s="57"/>
      <c r="AK9" s="58"/>
    </row>
    <row r="10" spans="1:37">
      <c r="A10" s="223" t="s">
        <v>12</v>
      </c>
      <c r="B10" s="224"/>
      <c r="C10" s="7"/>
      <c r="D10" s="70" t="str">
        <f>IF(COUNT(D12:D15)&gt;0,(MAX(D12:D15)+MIN(D12:D15))/2,"")</f>
        <v/>
      </c>
      <c r="E10" s="8"/>
      <c r="F10" s="8"/>
      <c r="G10" s="6"/>
      <c r="H10" s="7"/>
      <c r="I10" s="70" t="str">
        <f>IF(COUNT(I12:I15)&gt;0,(MAX(I12:I15)+MIN(I12:I15))/2,"")</f>
        <v/>
      </c>
      <c r="J10" s="8"/>
      <c r="K10" s="8"/>
      <c r="L10" s="6"/>
      <c r="M10" s="7"/>
      <c r="N10" s="70" t="str">
        <f>IF(COUNT(N12:N15)&gt;0,(MAX(N12:N15)+MIN(N12:N15))/2,"")</f>
        <v/>
      </c>
      <c r="O10" s="8"/>
      <c r="P10" s="8"/>
      <c r="Q10" s="5"/>
      <c r="R10" s="7"/>
      <c r="S10" s="70" t="str">
        <f>IF(COUNT(S12:S15)&gt;0,(MAX(S12:S15)+MIN(S12:S15))/2,"")</f>
        <v/>
      </c>
      <c r="T10" s="8"/>
      <c r="U10" s="8"/>
      <c r="V10" s="5"/>
      <c r="W10" s="7"/>
      <c r="X10" s="70">
        <f>IF(COUNT(X12:X15)&gt;0,(MAX(X12:X15)+MIN(X12:X15))/2,"")</f>
        <v>2.7816397724082509E-2</v>
      </c>
      <c r="Y10" s="8"/>
      <c r="Z10" s="8"/>
      <c r="AA10" s="6"/>
      <c r="AB10" s="7"/>
      <c r="AC10" s="70" t="str">
        <f>IF(COUNT(AC12:AC15)&gt;0,(MAX(AC12:AC15)+MIN(AC12:AC15))/2,"")</f>
        <v/>
      </c>
      <c r="AD10" s="8"/>
      <c r="AE10" s="8"/>
      <c r="AF10" s="6"/>
      <c r="AG10" s="7"/>
      <c r="AH10" s="70" t="str">
        <f>IF(COUNT(AH12:AH15)&gt;0,MEDIAN(AH12:AH15),"")</f>
        <v/>
      </c>
      <c r="AI10" s="8"/>
      <c r="AJ10" s="8"/>
      <c r="AK10" s="58"/>
    </row>
    <row r="11" spans="1:37">
      <c r="A11" s="223" t="s">
        <v>47</v>
      </c>
      <c r="B11" s="224"/>
      <c r="C11" s="4"/>
      <c r="D11" s="70" t="str">
        <f>IF(D10&lt;&gt;"",MAX(D12:D15)-D10,"")</f>
        <v/>
      </c>
      <c r="E11" s="5"/>
      <c r="F11" s="5"/>
      <c r="G11" s="19"/>
      <c r="H11" s="4"/>
      <c r="I11" s="70" t="str">
        <f>IF(I10&lt;&gt;"",MAX(I12:I15)-I10,"")</f>
        <v/>
      </c>
      <c r="J11" s="5"/>
      <c r="K11" s="5"/>
      <c r="M11" s="4"/>
      <c r="N11" s="70" t="str">
        <f>IF(N10&lt;&gt;"",MAX(N12:N15)-N10,"")</f>
        <v/>
      </c>
      <c r="O11" s="5"/>
      <c r="P11" s="5"/>
      <c r="Q11" s="18"/>
      <c r="R11" s="4"/>
      <c r="S11" s="70" t="str">
        <f>IF(S10&lt;&gt;"",MAX(S12:S15)-S10,"")</f>
        <v/>
      </c>
      <c r="T11" s="5"/>
      <c r="U11" s="5"/>
      <c r="V11" s="18"/>
      <c r="W11" s="4"/>
      <c r="X11" s="70">
        <f>IF(X10&lt;&gt;"",MAX(X12:X15)-X10,"")</f>
        <v>5.677139850918167E-2</v>
      </c>
      <c r="Y11" s="5"/>
      <c r="Z11" s="5"/>
      <c r="AA11" s="19"/>
      <c r="AB11" s="4"/>
      <c r="AC11" s="70" t="str">
        <f>IF(AC10&lt;&gt;"",MAX(AC12:AC15)-AC10,"")</f>
        <v/>
      </c>
      <c r="AD11" s="5"/>
      <c r="AE11" s="5"/>
      <c r="AF11" s="19"/>
      <c r="AG11" s="4"/>
      <c r="AH11" s="18"/>
      <c r="AI11" s="5"/>
      <c r="AJ11" s="5"/>
      <c r="AK11" s="19"/>
    </row>
    <row r="12" spans="1:37">
      <c r="B12" t="str">
        <f>B3</f>
        <v>Range0</v>
      </c>
      <c r="C12" s="9" t="str">
        <f>IF(C3&lt;&gt;"",C3/$G$4-1,"")</f>
        <v/>
      </c>
      <c r="D12" s="10" t="str">
        <f t="shared" ref="D12:E12" si="30">IF(D3&lt;&gt;"",D3/$G$4-1,"")</f>
        <v/>
      </c>
      <c r="E12" s="10" t="str">
        <f t="shared" si="30"/>
        <v/>
      </c>
      <c r="F12" s="10" t="str">
        <f>IF(F3&lt;&gt;"",F3/$G$4,"")</f>
        <v/>
      </c>
      <c r="G12" s="19"/>
      <c r="H12" s="9" t="str">
        <f>IF(H3&lt;&gt;"",H3/$L$4-1,"")</f>
        <v/>
      </c>
      <c r="I12" s="10" t="str">
        <f t="shared" ref="I12:J12" si="31">IF(I3&lt;&gt;"",I3/$L$4-1,"")</f>
        <v/>
      </c>
      <c r="J12" s="10" t="str">
        <f t="shared" si="31"/>
        <v/>
      </c>
      <c r="K12" s="10" t="str">
        <f>IF(K3&lt;&gt;"",K3/$L$4,"")</f>
        <v/>
      </c>
      <c r="M12" s="9" t="str">
        <f>IF(M3&lt;&gt;"",M3/$Q$4-1,"")</f>
        <v/>
      </c>
      <c r="N12" s="10" t="str">
        <f t="shared" ref="N12:O12" si="32">IF(N3&lt;&gt;"",N3/$Q$4-1,"")</f>
        <v/>
      </c>
      <c r="O12" s="10" t="str">
        <f t="shared" si="32"/>
        <v/>
      </c>
      <c r="P12" s="10" t="str">
        <f>IF(P3&lt;&gt;"",P3/$Q$4,"")</f>
        <v/>
      </c>
      <c r="Q12" s="18"/>
      <c r="R12" s="9" t="str">
        <f>IF(R3&lt;&gt;"",R3/$V$4-1,"")</f>
        <v/>
      </c>
      <c r="S12" s="10" t="str">
        <f t="shared" ref="S12:T12" si="33">IF(S3&lt;&gt;"",S3/$V$4-1,"")</f>
        <v/>
      </c>
      <c r="T12" s="10" t="str">
        <f t="shared" si="33"/>
        <v/>
      </c>
      <c r="U12" s="10" t="str">
        <f>IF(U3&lt;&gt;"",U3/$V$4,"")</f>
        <v/>
      </c>
      <c r="V12" s="18"/>
      <c r="W12" s="9">
        <f>IF(W3&lt;&gt;"",W3/$AA$4-1,"")</f>
        <v>-1.0809525241956774E-2</v>
      </c>
      <c r="X12" s="10">
        <f t="shared" ref="X12:Y12" si="34">IF(X3&lt;&gt;"",X3/$AA$4-1,"")</f>
        <v>6.2823710190595072E-2</v>
      </c>
      <c r="Y12" s="10">
        <f t="shared" si="34"/>
        <v>0.13645694562314703</v>
      </c>
      <c r="Z12" s="10">
        <f>IF(Z3&lt;&gt;"",Z3/$AA$4,"")</f>
        <v>4.9088823621701236E-2</v>
      </c>
      <c r="AA12" s="19"/>
      <c r="AB12" s="9" t="str">
        <f>IF(AB3&lt;&gt;"",AB3/$AF$4-1,"")</f>
        <v/>
      </c>
      <c r="AC12" s="10" t="str">
        <f t="shared" ref="AC12:AD12" si="35">IF(AC3&lt;&gt;"",AC3/$AF$4-1,"")</f>
        <v/>
      </c>
      <c r="AD12" s="10" t="str">
        <f t="shared" si="35"/>
        <v/>
      </c>
      <c r="AE12" s="10" t="str">
        <f>IF(AE3&lt;&gt;"",AE3/$AF$4,"")</f>
        <v/>
      </c>
      <c r="AF12" s="19"/>
      <c r="AG12" s="9" t="str">
        <f>IF(AG3&lt;&gt;"",AG3/$AK$4-1,"")</f>
        <v/>
      </c>
      <c r="AH12" s="10" t="str">
        <f t="shared" ref="AH12:AI12" si="36">IF(AH3&lt;&gt;"",AH3/$AK$4-1,"")</f>
        <v/>
      </c>
      <c r="AI12" s="10" t="str">
        <f t="shared" si="36"/>
        <v/>
      </c>
      <c r="AJ12" s="10" t="str">
        <f>IF(AJ3&lt;&gt;"",AJ3/$AK$4,"")</f>
        <v/>
      </c>
      <c r="AK12" s="19"/>
    </row>
    <row r="13" spans="1:37">
      <c r="B13" t="str">
        <f t="shared" ref="B13:B15" si="37">B4</f>
        <v>Range1</v>
      </c>
      <c r="C13" s="9" t="str">
        <f t="shared" ref="C13:E13" si="38">IF(C4&lt;&gt;"",C4/$G$4-1,"")</f>
        <v/>
      </c>
      <c r="D13" s="10" t="str">
        <f t="shared" si="38"/>
        <v/>
      </c>
      <c r="E13" s="10" t="str">
        <f t="shared" si="38"/>
        <v/>
      </c>
      <c r="F13" s="10" t="str">
        <f t="shared" ref="F13:F15" si="39">IF(F4&lt;&gt;"",F4/$G$4,"")</f>
        <v/>
      </c>
      <c r="G13" s="6"/>
      <c r="H13" s="9" t="str">
        <f t="shared" ref="H13:J13" si="40">IF(H4&lt;&gt;"",H4/$L$4-1,"")</f>
        <v/>
      </c>
      <c r="I13" s="10" t="str">
        <f t="shared" si="40"/>
        <v/>
      </c>
      <c r="J13" s="10" t="str">
        <f t="shared" si="40"/>
        <v/>
      </c>
      <c r="K13" s="10" t="str">
        <f t="shared" ref="K13:K15" si="41">IF(K4&lt;&gt;"",K4/$L$4,"")</f>
        <v/>
      </c>
      <c r="L13" s="6"/>
      <c r="M13" s="9" t="str">
        <f t="shared" ref="M13:O13" si="42">IF(M4&lt;&gt;"",M4/$Q$4-1,"")</f>
        <v/>
      </c>
      <c r="N13" s="10" t="str">
        <f t="shared" si="42"/>
        <v/>
      </c>
      <c r="O13" s="10" t="str">
        <f t="shared" si="42"/>
        <v/>
      </c>
      <c r="P13" s="10" t="str">
        <f>IF(P4&lt;&gt;"",P4/$Q$4,"")</f>
        <v/>
      </c>
      <c r="Q13" s="5"/>
      <c r="R13" s="9" t="str">
        <f t="shared" ref="R13:T13" si="43">IF(R4&lt;&gt;"",R4/$V$4-1,"")</f>
        <v/>
      </c>
      <c r="S13" s="10" t="str">
        <f t="shared" si="43"/>
        <v/>
      </c>
      <c r="T13" s="10" t="str">
        <f t="shared" si="43"/>
        <v/>
      </c>
      <c r="U13" s="10" t="str">
        <f t="shared" ref="U13:U15" si="44">IF(U4&lt;&gt;"",U4/$V$4,"")</f>
        <v/>
      </c>
      <c r="V13" s="5"/>
      <c r="W13" s="9">
        <f t="shared" ref="W13:Y13" si="45">IF(W4&lt;&gt;"",W4/$AA$4-1,"")</f>
        <v>1.9405509818139599E-2</v>
      </c>
      <c r="X13" s="10">
        <f t="shared" si="45"/>
        <v>8.4587796233264179E-2</v>
      </c>
      <c r="Y13" s="10">
        <f t="shared" si="45"/>
        <v>0.14977008264838898</v>
      </c>
      <c r="Z13" s="10">
        <f t="shared" ref="Z13:Z15" si="46">IF(Z4&lt;&gt;"",Z4/$AA$4,"")</f>
        <v>4.3454857610083178E-2</v>
      </c>
      <c r="AA13" s="6"/>
      <c r="AB13" s="9" t="str">
        <f t="shared" ref="AB13:AD13" si="47">IF(AB4&lt;&gt;"",AB4/$AF$4-1,"")</f>
        <v/>
      </c>
      <c r="AC13" s="10" t="str">
        <f t="shared" si="47"/>
        <v/>
      </c>
      <c r="AD13" s="10" t="str">
        <f t="shared" si="47"/>
        <v/>
      </c>
      <c r="AE13" s="10" t="str">
        <f t="shared" ref="AE13:AE15" si="48">IF(AE4&lt;&gt;"",AE4/$AF$4,"")</f>
        <v/>
      </c>
      <c r="AF13" s="6"/>
      <c r="AG13" s="9" t="str">
        <f t="shared" ref="AG13:AI13" si="49">IF(AG4&lt;&gt;"",AG4/$AK$4-1,"")</f>
        <v/>
      </c>
      <c r="AH13" s="10" t="str">
        <f t="shared" si="49"/>
        <v/>
      </c>
      <c r="AI13" s="10" t="str">
        <f t="shared" si="49"/>
        <v/>
      </c>
      <c r="AJ13" s="10" t="str">
        <f t="shared" ref="AJ13:AJ15" si="50">IF(AJ4&lt;&gt;"",AJ4/$AK$4,"")</f>
        <v/>
      </c>
      <c r="AK13" s="58"/>
    </row>
    <row r="14" spans="1:37">
      <c r="B14" t="str">
        <f t="shared" si="37"/>
        <v>Range2</v>
      </c>
      <c r="C14" s="9" t="str">
        <f t="shared" ref="C14:E14" si="51">IF(C5&lt;&gt;"",C5/$G$4-1,"")</f>
        <v/>
      </c>
      <c r="D14" s="10" t="str">
        <f t="shared" si="51"/>
        <v/>
      </c>
      <c r="E14" s="10" t="str">
        <f t="shared" si="51"/>
        <v/>
      </c>
      <c r="F14" s="10" t="str">
        <f t="shared" si="39"/>
        <v/>
      </c>
      <c r="G14" s="6"/>
      <c r="H14" s="9" t="str">
        <f t="shared" ref="H14:J14" si="52">IF(H5&lt;&gt;"",H5/$L$4-1,"")</f>
        <v/>
      </c>
      <c r="I14" s="10" t="str">
        <f t="shared" si="52"/>
        <v/>
      </c>
      <c r="J14" s="10" t="str">
        <f t="shared" si="52"/>
        <v/>
      </c>
      <c r="K14" s="10" t="str">
        <f t="shared" si="41"/>
        <v/>
      </c>
      <c r="L14" s="6"/>
      <c r="M14" s="9" t="str">
        <f t="shared" ref="M14:O14" si="53">IF(M5&lt;&gt;"",M5/$Q$4-1,"")</f>
        <v/>
      </c>
      <c r="N14" s="10" t="str">
        <f t="shared" si="53"/>
        <v/>
      </c>
      <c r="O14" s="10" t="str">
        <f t="shared" si="53"/>
        <v/>
      </c>
      <c r="P14" s="10" t="str">
        <f t="shared" ref="P14:P15" si="54">IF(P5&lt;&gt;"",P5/$Q$4,"")</f>
        <v/>
      </c>
      <c r="Q14" s="5"/>
      <c r="R14" s="9" t="str">
        <f t="shared" ref="R14:T14" si="55">IF(R5&lt;&gt;"",R5/$V$4-1,"")</f>
        <v/>
      </c>
      <c r="S14" s="10" t="str">
        <f t="shared" si="55"/>
        <v/>
      </c>
      <c r="T14" s="10" t="str">
        <f t="shared" si="55"/>
        <v/>
      </c>
      <c r="U14" s="10" t="str">
        <f t="shared" si="44"/>
        <v/>
      </c>
      <c r="V14" s="5"/>
      <c r="W14" s="9">
        <f t="shared" ref="W14:Y14" si="56">IF(W5&lt;&gt;"",W5/$AA$4-1,"")</f>
        <v>-0.19026769602629889</v>
      </c>
      <c r="X14" s="10">
        <f t="shared" si="56"/>
        <v>-2.5504219138140383E-2</v>
      </c>
      <c r="Y14" s="10">
        <f t="shared" si="56"/>
        <v>0.13925925775001824</v>
      </c>
      <c r="Z14" s="10">
        <f t="shared" si="46"/>
        <v>0.10984231792543898</v>
      </c>
      <c r="AA14" s="6"/>
      <c r="AB14" s="9" t="str">
        <f t="shared" ref="AB14:AD14" si="57">IF(AB5&lt;&gt;"",AB5/$AF$4-1,"")</f>
        <v/>
      </c>
      <c r="AC14" s="10" t="str">
        <f t="shared" si="57"/>
        <v/>
      </c>
      <c r="AD14" s="10" t="str">
        <f t="shared" si="57"/>
        <v/>
      </c>
      <c r="AE14" s="10" t="str">
        <f t="shared" si="48"/>
        <v/>
      </c>
      <c r="AF14" s="6"/>
      <c r="AG14" s="9" t="str">
        <f t="shared" ref="AG14:AI14" si="58">IF(AG5&lt;&gt;"",AG5/$AK$4-1,"")</f>
        <v/>
      </c>
      <c r="AH14" s="10" t="str">
        <f t="shared" si="58"/>
        <v/>
      </c>
      <c r="AI14" s="10" t="str">
        <f t="shared" si="58"/>
        <v/>
      </c>
      <c r="AJ14" s="10" t="str">
        <f t="shared" si="50"/>
        <v/>
      </c>
      <c r="AK14" s="58"/>
    </row>
    <row r="15" spans="1:37">
      <c r="B15" t="str">
        <f t="shared" si="37"/>
        <v>Range3</v>
      </c>
      <c r="C15" s="11" t="str">
        <f t="shared" ref="C15:E15" si="59">IF(C6&lt;&gt;"",C6/$G$4-1,"")</f>
        <v/>
      </c>
      <c r="D15" s="12" t="str">
        <f t="shared" si="59"/>
        <v/>
      </c>
      <c r="E15" s="12" t="str">
        <f t="shared" si="59"/>
        <v/>
      </c>
      <c r="F15" s="12" t="str">
        <f t="shared" si="39"/>
        <v/>
      </c>
      <c r="G15" s="13"/>
      <c r="H15" s="11" t="str">
        <f t="shared" ref="H15:J15" si="60">IF(H6&lt;&gt;"",H6/$L$4-1,"")</f>
        <v/>
      </c>
      <c r="I15" s="12" t="str">
        <f t="shared" si="60"/>
        <v/>
      </c>
      <c r="J15" s="12" t="str">
        <f t="shared" si="60"/>
        <v/>
      </c>
      <c r="K15" s="12" t="str">
        <f t="shared" si="41"/>
        <v/>
      </c>
      <c r="L15" s="13"/>
      <c r="M15" s="11" t="str">
        <f t="shared" ref="M15:O15" si="61">IF(M6&lt;&gt;"",M6/$Q$4-1,"")</f>
        <v/>
      </c>
      <c r="N15" s="12" t="str">
        <f t="shared" si="61"/>
        <v/>
      </c>
      <c r="O15" s="12" t="str">
        <f t="shared" si="61"/>
        <v/>
      </c>
      <c r="P15" s="12" t="str">
        <f t="shared" si="54"/>
        <v/>
      </c>
      <c r="Q15" s="72"/>
      <c r="R15" s="11" t="str">
        <f t="shared" ref="R15:T15" si="62">IF(R6&lt;&gt;"",R6/$V$4-1,"")</f>
        <v/>
      </c>
      <c r="S15" s="12" t="str">
        <f t="shared" si="62"/>
        <v/>
      </c>
      <c r="T15" s="12" t="str">
        <f t="shared" si="62"/>
        <v/>
      </c>
      <c r="U15" s="12" t="str">
        <f t="shared" si="44"/>
        <v/>
      </c>
      <c r="V15" s="72"/>
      <c r="W15" s="11">
        <f t="shared" ref="W15:Y15" si="63">IF(W6&lt;&gt;"",W6/$AA$4-1,"")</f>
        <v>-0.18954304274250378</v>
      </c>
      <c r="X15" s="12">
        <f t="shared" si="63"/>
        <v>-2.8955000785099161E-2</v>
      </c>
      <c r="Y15" s="12">
        <f t="shared" si="63"/>
        <v>0.13163304117230545</v>
      </c>
      <c r="Z15" s="12">
        <f t="shared" si="46"/>
        <v>0.10705869463826978</v>
      </c>
      <c r="AA15" s="13"/>
      <c r="AB15" s="11" t="str">
        <f t="shared" ref="AB15:AD15" si="64">IF(AB6&lt;&gt;"",AB6/$AF$4-1,"")</f>
        <v/>
      </c>
      <c r="AC15" s="12" t="str">
        <f t="shared" si="64"/>
        <v/>
      </c>
      <c r="AD15" s="12" t="str">
        <f t="shared" si="64"/>
        <v/>
      </c>
      <c r="AE15" s="12" t="str">
        <f t="shared" si="48"/>
        <v/>
      </c>
      <c r="AF15" s="13"/>
      <c r="AG15" s="11" t="str">
        <f t="shared" ref="AG15:AI15" si="65">IF(AG6&lt;&gt;"",AG6/$AK$4-1,"")</f>
        <v/>
      </c>
      <c r="AH15" s="12" t="str">
        <f t="shared" si="65"/>
        <v/>
      </c>
      <c r="AI15" s="12" t="str">
        <f t="shared" si="65"/>
        <v/>
      </c>
      <c r="AJ15" s="12" t="str">
        <f t="shared" si="50"/>
        <v/>
      </c>
      <c r="AK15" s="62"/>
    </row>
    <row r="16" spans="1:37">
      <c r="A16" s="221" t="s">
        <v>19</v>
      </c>
      <c r="B16" s="221"/>
      <c r="C16" s="10"/>
      <c r="D16" s="10"/>
      <c r="E16" s="10"/>
      <c r="F16" s="10"/>
      <c r="G16" s="5"/>
      <c r="H16" s="10"/>
      <c r="I16" s="10"/>
      <c r="J16" s="10"/>
      <c r="K16" s="10"/>
      <c r="L16" s="5"/>
      <c r="M16" s="3"/>
      <c r="N16" s="3"/>
      <c r="O16" s="3"/>
      <c r="P16" s="3"/>
      <c r="Q16" s="1"/>
      <c r="R16" s="3"/>
      <c r="S16" s="3"/>
      <c r="T16" s="3"/>
      <c r="U16" s="3"/>
      <c r="V16" s="1"/>
      <c r="W16" s="3"/>
      <c r="X16" s="3"/>
      <c r="Y16" s="3"/>
      <c r="Z16" s="3"/>
      <c r="AA16" s="1"/>
      <c r="AB16" s="3"/>
      <c r="AC16" s="3"/>
      <c r="AD16" s="3"/>
      <c r="AE16" s="3"/>
      <c r="AF16" s="1"/>
    </row>
    <row r="17" spans="1:36">
      <c r="A17" s="221"/>
      <c r="B17" s="221"/>
    </row>
    <row r="18" spans="1:36">
      <c r="C18" s="20" t="str">
        <f>B12</f>
        <v>Range0</v>
      </c>
      <c r="D18" s="15" t="str">
        <f>H1</f>
        <v>55F02</v>
      </c>
      <c r="E18" s="15" t="str">
        <f>M1</f>
        <v>65F01</v>
      </c>
      <c r="F18" s="15" t="str">
        <f>R1</f>
        <v>2700K</v>
      </c>
      <c r="G18" s="15" t="str">
        <f>W1</f>
        <v>3200K</v>
      </c>
      <c r="H18" s="14" t="str">
        <f>AB1</f>
        <v>5500K</v>
      </c>
      <c r="I18" t="str">
        <f>AG1</f>
        <v>6500K</v>
      </c>
      <c r="K18" s="20" t="str">
        <f>B13</f>
        <v>Range1</v>
      </c>
      <c r="L18" s="1" t="str">
        <f t="shared" ref="L18:Q18" si="66">D18</f>
        <v>55F02</v>
      </c>
      <c r="M18" s="1" t="str">
        <f t="shared" si="66"/>
        <v>65F01</v>
      </c>
      <c r="N18" s="1" t="str">
        <f t="shared" si="66"/>
        <v>2700K</v>
      </c>
      <c r="O18" s="1" t="str">
        <f t="shared" si="66"/>
        <v>3200K</v>
      </c>
      <c r="P18" s="1" t="str">
        <f t="shared" si="66"/>
        <v>5500K</v>
      </c>
      <c r="Q18" s="1" t="str">
        <f t="shared" si="66"/>
        <v>6500K</v>
      </c>
      <c r="S18" s="20" t="str">
        <f>B14</f>
        <v>Range2</v>
      </c>
      <c r="T18" s="1" t="str">
        <f t="shared" ref="T18:Y18" si="67">L18</f>
        <v>55F02</v>
      </c>
      <c r="U18" s="1" t="str">
        <f t="shared" si="67"/>
        <v>65F01</v>
      </c>
      <c r="V18" s="1" t="str">
        <f t="shared" si="67"/>
        <v>2700K</v>
      </c>
      <c r="W18" s="1" t="str">
        <f t="shared" si="67"/>
        <v>3200K</v>
      </c>
      <c r="X18" s="1" t="str">
        <f t="shared" si="67"/>
        <v>5500K</v>
      </c>
      <c r="Y18" s="1" t="str">
        <f t="shared" si="67"/>
        <v>6500K</v>
      </c>
      <c r="AA18" s="20" t="str">
        <f>B15</f>
        <v>Range3</v>
      </c>
      <c r="AB18" s="1" t="str">
        <f t="shared" ref="AB18:AG18" si="68">T18</f>
        <v>55F02</v>
      </c>
      <c r="AC18" s="1" t="str">
        <f t="shared" si="68"/>
        <v>65F01</v>
      </c>
      <c r="AD18" s="1" t="str">
        <f t="shared" si="68"/>
        <v>2700K</v>
      </c>
      <c r="AE18" s="1" t="str">
        <f t="shared" si="68"/>
        <v>3200K</v>
      </c>
      <c r="AF18" s="1" t="str">
        <f t="shared" si="68"/>
        <v>5500K</v>
      </c>
      <c r="AG18" s="1" t="str">
        <f t="shared" si="68"/>
        <v>6500K</v>
      </c>
    </row>
    <row r="19" spans="1:36">
      <c r="A19" s="27"/>
      <c r="C19" t="str">
        <f>C1</f>
        <v>41F02</v>
      </c>
      <c r="D19" s="16" t="e">
        <f>$D12-I12</f>
        <v>#VALUE!</v>
      </c>
      <c r="E19" s="16" t="e">
        <f>$D12-N12</f>
        <v>#VALUE!</v>
      </c>
      <c r="F19" s="16" t="e">
        <f>$D12-S12</f>
        <v>#VALUE!</v>
      </c>
      <c r="G19" s="16" t="e">
        <f>$D12-X12</f>
        <v>#VALUE!</v>
      </c>
      <c r="H19" s="16" t="e">
        <f>$D12-AC12</f>
        <v>#VALUE!</v>
      </c>
      <c r="I19" s="16" t="e">
        <f>$D12-AH12</f>
        <v>#VALUE!</v>
      </c>
      <c r="K19" t="str">
        <f t="shared" ref="K19:K24" si="69">C19</f>
        <v>41F02</v>
      </c>
      <c r="L19" s="16" t="e">
        <f>$D13-I13</f>
        <v>#VALUE!</v>
      </c>
      <c r="M19" s="16" t="e">
        <f>$D13-N13</f>
        <v>#VALUE!</v>
      </c>
      <c r="N19" s="16" t="e">
        <f>$D13-S13</f>
        <v>#VALUE!</v>
      </c>
      <c r="O19" s="16" t="e">
        <f>$D13-X13</f>
        <v>#VALUE!</v>
      </c>
      <c r="P19" s="16" t="e">
        <f>$D13-AC13</f>
        <v>#VALUE!</v>
      </c>
      <c r="Q19" s="16" t="e">
        <f>$D13-AH13</f>
        <v>#VALUE!</v>
      </c>
      <c r="S19" t="str">
        <f t="shared" ref="S19:S24" si="70">K19</f>
        <v>41F02</v>
      </c>
      <c r="T19" s="16" t="e">
        <f>$D14-I14</f>
        <v>#VALUE!</v>
      </c>
      <c r="U19" s="16" t="e">
        <f>$D14-N14</f>
        <v>#VALUE!</v>
      </c>
      <c r="V19" s="16" t="e">
        <f>$D14-S14</f>
        <v>#VALUE!</v>
      </c>
      <c r="W19" s="16" t="e">
        <f>$D14-X14</f>
        <v>#VALUE!</v>
      </c>
      <c r="X19" s="16" t="e">
        <f>$D14-AC14</f>
        <v>#VALUE!</v>
      </c>
      <c r="Y19" s="16" t="e">
        <f>$D14-AH14</f>
        <v>#VALUE!</v>
      </c>
      <c r="AA19" t="str">
        <f t="shared" ref="AA19:AA24" si="71">S19</f>
        <v>41F02</v>
      </c>
      <c r="AB19" s="16" t="e">
        <f>$D15-I15</f>
        <v>#VALUE!</v>
      </c>
      <c r="AC19" s="16" t="e">
        <f>$D15-N15</f>
        <v>#VALUE!</v>
      </c>
      <c r="AD19" s="16" t="e">
        <f>$D15-S15</f>
        <v>#VALUE!</v>
      </c>
      <c r="AE19" s="16" t="e">
        <f>$D15-X15</f>
        <v>#VALUE!</v>
      </c>
      <c r="AF19" s="16" t="e">
        <f>$D15-AC15</f>
        <v>#VALUE!</v>
      </c>
      <c r="AG19" s="16" t="e">
        <f>$D15-AH15</f>
        <v>#VALUE!</v>
      </c>
    </row>
    <row r="20" spans="1:36">
      <c r="C20" t="str">
        <f>H1</f>
        <v>55F02</v>
      </c>
      <c r="D20" s="15"/>
      <c r="E20" s="16" t="e">
        <f>$I12-N12</f>
        <v>#VALUE!</v>
      </c>
      <c r="F20" s="16" t="e">
        <f>$I12-S12</f>
        <v>#VALUE!</v>
      </c>
      <c r="G20" s="16" t="e">
        <f>$I12-X12</f>
        <v>#VALUE!</v>
      </c>
      <c r="H20" s="16" t="e">
        <f>$I12-AC12</f>
        <v>#VALUE!</v>
      </c>
      <c r="I20" s="16" t="e">
        <f>$I12-AH12</f>
        <v>#VALUE!</v>
      </c>
      <c r="K20" t="str">
        <f t="shared" si="69"/>
        <v>55F02</v>
      </c>
      <c r="L20" s="15"/>
      <c r="M20" s="16" t="e">
        <f>$I13-N13</f>
        <v>#VALUE!</v>
      </c>
      <c r="N20" s="16" t="e">
        <f>$I13-S13</f>
        <v>#VALUE!</v>
      </c>
      <c r="O20" s="16" t="e">
        <f>$I13-X13</f>
        <v>#VALUE!</v>
      </c>
      <c r="P20" s="16" t="e">
        <f>$I13-AC13</f>
        <v>#VALUE!</v>
      </c>
      <c r="Q20" s="16" t="e">
        <f>$I13-AH13</f>
        <v>#VALUE!</v>
      </c>
      <c r="S20" t="str">
        <f t="shared" si="70"/>
        <v>55F02</v>
      </c>
      <c r="T20" s="15"/>
      <c r="U20" s="16" t="e">
        <f>$I14-N14</f>
        <v>#VALUE!</v>
      </c>
      <c r="V20" s="16" t="e">
        <f>$I14-S14</f>
        <v>#VALUE!</v>
      </c>
      <c r="W20" s="16" t="e">
        <f>$I14-X14</f>
        <v>#VALUE!</v>
      </c>
      <c r="X20" s="16" t="e">
        <f>$I14-AC14</f>
        <v>#VALUE!</v>
      </c>
      <c r="Y20" s="16" t="e">
        <f>$I14-AH14</f>
        <v>#VALUE!</v>
      </c>
      <c r="AA20" t="str">
        <f t="shared" si="71"/>
        <v>55F02</v>
      </c>
      <c r="AB20" s="15"/>
      <c r="AC20" s="16" t="e">
        <f>$I15-N15</f>
        <v>#VALUE!</v>
      </c>
      <c r="AD20" s="16" t="e">
        <f>$I15-S15</f>
        <v>#VALUE!</v>
      </c>
      <c r="AE20" s="16" t="e">
        <f>$I15-X15</f>
        <v>#VALUE!</v>
      </c>
      <c r="AF20" s="16" t="e">
        <f>$I15-AC15</f>
        <v>#VALUE!</v>
      </c>
      <c r="AG20" s="16" t="e">
        <f>$I15-AH15</f>
        <v>#VALUE!</v>
      </c>
    </row>
    <row r="21" spans="1:36">
      <c r="C21" t="str">
        <f>M1</f>
        <v>65F01</v>
      </c>
      <c r="D21" s="15"/>
      <c r="E21" s="15"/>
      <c r="F21" s="16" t="e">
        <f>$N12-S12</f>
        <v>#VALUE!</v>
      </c>
      <c r="G21" s="16" t="e">
        <f>$N12-X12</f>
        <v>#VALUE!</v>
      </c>
      <c r="H21" s="16" t="e">
        <f>$N12-AC12</f>
        <v>#VALUE!</v>
      </c>
      <c r="I21" s="16" t="e">
        <f>$N12-AH12</f>
        <v>#VALUE!</v>
      </c>
      <c r="K21" t="str">
        <f t="shared" si="69"/>
        <v>65F01</v>
      </c>
      <c r="L21" s="15"/>
      <c r="M21" s="15"/>
      <c r="N21" s="16" t="e">
        <f>$N13-S13</f>
        <v>#VALUE!</v>
      </c>
      <c r="O21" s="16" t="e">
        <f>$N13-X13</f>
        <v>#VALUE!</v>
      </c>
      <c r="P21" s="16" t="e">
        <f>$N13-AC13</f>
        <v>#VALUE!</v>
      </c>
      <c r="Q21" s="16" t="e">
        <f>$N13-AH13</f>
        <v>#VALUE!</v>
      </c>
      <c r="S21" t="str">
        <f t="shared" si="70"/>
        <v>65F01</v>
      </c>
      <c r="T21" s="15"/>
      <c r="U21" s="15"/>
      <c r="V21" s="16" t="e">
        <f>$N14-S14</f>
        <v>#VALUE!</v>
      </c>
      <c r="W21" s="16" t="e">
        <f>$N14-X14</f>
        <v>#VALUE!</v>
      </c>
      <c r="X21" s="16" t="e">
        <f>$N14-AC14</f>
        <v>#VALUE!</v>
      </c>
      <c r="Y21" s="16" t="e">
        <f>$N14-AH14</f>
        <v>#VALUE!</v>
      </c>
      <c r="AA21" t="str">
        <f t="shared" si="71"/>
        <v>65F01</v>
      </c>
      <c r="AB21" s="15"/>
      <c r="AC21" s="15"/>
      <c r="AD21" s="16" t="e">
        <f>$N15-S15</f>
        <v>#VALUE!</v>
      </c>
      <c r="AE21" s="16" t="e">
        <f>$N15-X15</f>
        <v>#VALUE!</v>
      </c>
      <c r="AF21" s="16" t="e">
        <f>$N15-AC15</f>
        <v>#VALUE!</v>
      </c>
      <c r="AG21" s="16" t="e">
        <f>$N15-AH15</f>
        <v>#VALUE!</v>
      </c>
    </row>
    <row r="22" spans="1:36">
      <c r="C22" t="str">
        <f>R1</f>
        <v>2700K</v>
      </c>
      <c r="D22" s="15"/>
      <c r="E22" s="15"/>
      <c r="F22" s="15"/>
      <c r="G22" s="16" t="e">
        <f>$S12-X12</f>
        <v>#VALUE!</v>
      </c>
      <c r="H22" s="16" t="e">
        <f>$S12-AC12</f>
        <v>#VALUE!</v>
      </c>
      <c r="I22" s="16" t="e">
        <f>$S12-AH12</f>
        <v>#VALUE!</v>
      </c>
      <c r="K22" t="str">
        <f t="shared" si="69"/>
        <v>2700K</v>
      </c>
      <c r="L22" s="15"/>
      <c r="M22" s="15"/>
      <c r="N22" s="15"/>
      <c r="O22" s="16" t="e">
        <f>$S13-X13</f>
        <v>#VALUE!</v>
      </c>
      <c r="P22" s="16" t="e">
        <f>$S13-AC13</f>
        <v>#VALUE!</v>
      </c>
      <c r="Q22" s="16" t="e">
        <f>$S13-AH13</f>
        <v>#VALUE!</v>
      </c>
      <c r="S22" t="str">
        <f t="shared" si="70"/>
        <v>2700K</v>
      </c>
      <c r="T22" s="15"/>
      <c r="U22" s="15"/>
      <c r="V22" s="15"/>
      <c r="W22" s="16" t="e">
        <f>$S14-X14</f>
        <v>#VALUE!</v>
      </c>
      <c r="X22" s="16" t="e">
        <f>$S14-AC14</f>
        <v>#VALUE!</v>
      </c>
      <c r="Y22" s="16" t="e">
        <f>$S14-AH14</f>
        <v>#VALUE!</v>
      </c>
      <c r="AA22" t="str">
        <f t="shared" si="71"/>
        <v>2700K</v>
      </c>
      <c r="AB22" s="15"/>
      <c r="AC22" s="15"/>
      <c r="AD22" s="15"/>
      <c r="AE22" s="16" t="e">
        <f>$S15-X15</f>
        <v>#VALUE!</v>
      </c>
      <c r="AF22" s="16" t="e">
        <f>$S15-AC15</f>
        <v>#VALUE!</v>
      </c>
      <c r="AG22" s="16" t="e">
        <f>$S15-AH15</f>
        <v>#VALUE!</v>
      </c>
    </row>
    <row r="23" spans="1:36">
      <c r="C23" t="str">
        <f>W1</f>
        <v>3200K</v>
      </c>
      <c r="D23" s="15"/>
      <c r="E23" s="15"/>
      <c r="F23" s="15"/>
      <c r="G23" s="15"/>
      <c r="H23" s="16" t="e">
        <f>$X12-AC12</f>
        <v>#VALUE!</v>
      </c>
      <c r="I23" s="16" t="e">
        <f>$X12-AH12</f>
        <v>#VALUE!</v>
      </c>
      <c r="K23" t="str">
        <f t="shared" si="69"/>
        <v>3200K</v>
      </c>
      <c r="L23" s="15"/>
      <c r="M23" s="15"/>
      <c r="N23" s="15"/>
      <c r="O23" s="15"/>
      <c r="P23" s="16" t="e">
        <f>$X13-AC13</f>
        <v>#VALUE!</v>
      </c>
      <c r="Q23" s="16" t="e">
        <f>$X13-AH13</f>
        <v>#VALUE!</v>
      </c>
      <c r="S23" t="str">
        <f t="shared" si="70"/>
        <v>3200K</v>
      </c>
      <c r="T23" s="15"/>
      <c r="U23" s="15"/>
      <c r="V23" s="15"/>
      <c r="W23" s="15"/>
      <c r="X23" s="16" t="e">
        <f>$X14-AC14</f>
        <v>#VALUE!</v>
      </c>
      <c r="Y23" s="16" t="e">
        <f>$X14-AH14</f>
        <v>#VALUE!</v>
      </c>
      <c r="AA23" t="str">
        <f t="shared" si="71"/>
        <v>3200K</v>
      </c>
      <c r="AB23" s="15"/>
      <c r="AC23" s="15"/>
      <c r="AD23" s="15"/>
      <c r="AE23" s="15"/>
      <c r="AF23" s="16" t="e">
        <f>$X15-AC15</f>
        <v>#VALUE!</v>
      </c>
      <c r="AG23" s="16" t="e">
        <f>$X15-AH15</f>
        <v>#VALUE!</v>
      </c>
    </row>
    <row r="24" spans="1:36">
      <c r="C24" t="str">
        <f>AB1</f>
        <v>5500K</v>
      </c>
      <c r="D24" s="15"/>
      <c r="E24" s="15"/>
      <c r="F24" s="15"/>
      <c r="G24" s="15"/>
      <c r="H24" s="15"/>
      <c r="I24" s="16" t="e">
        <f>$AC12-AH12</f>
        <v>#VALUE!</v>
      </c>
      <c r="K24" t="str">
        <f t="shared" si="69"/>
        <v>5500K</v>
      </c>
      <c r="Q24" s="16" t="e">
        <f>$AC13-AH13</f>
        <v>#VALUE!</v>
      </c>
      <c r="S24" t="str">
        <f t="shared" si="70"/>
        <v>5500K</v>
      </c>
      <c r="Y24" s="16" t="e">
        <f>$AC14-AH14</f>
        <v>#VALUE!</v>
      </c>
      <c r="AA24" t="str">
        <f t="shared" si="71"/>
        <v>5500K</v>
      </c>
      <c r="AG24" s="16" t="e">
        <f>$AC15-AH15</f>
        <v>#VALUE!</v>
      </c>
    </row>
    <row r="26" spans="1:36" ht="15" customHeight="1">
      <c r="A26" s="116"/>
      <c r="B26" s="116"/>
      <c r="C26" s="15"/>
      <c r="D26" s="117"/>
      <c r="E26" s="117"/>
      <c r="F26" s="16"/>
      <c r="G26" s="15"/>
      <c r="H26" s="15"/>
      <c r="I26" s="117"/>
      <c r="J26" s="117"/>
      <c r="K26" s="16"/>
      <c r="L26" s="118"/>
      <c r="M26" s="15"/>
      <c r="N26" s="117"/>
      <c r="O26" s="117"/>
      <c r="P26" s="16"/>
      <c r="Q26" s="118"/>
      <c r="R26" s="118"/>
      <c r="S26" s="117"/>
      <c r="T26" s="117"/>
      <c r="U26" s="16"/>
      <c r="V26" s="118"/>
      <c r="W26" s="118"/>
      <c r="X26" s="117"/>
      <c r="Y26" s="117"/>
      <c r="Z26" s="16"/>
      <c r="AA26" s="118"/>
      <c r="AB26" s="118"/>
      <c r="AC26" s="117"/>
      <c r="AD26" s="117"/>
      <c r="AE26" s="16"/>
      <c r="AF26" s="118"/>
      <c r="AG26" s="118"/>
      <c r="AH26" s="117"/>
      <c r="AI26" s="117"/>
      <c r="AJ26" s="16"/>
    </row>
    <row r="27" spans="1:36" ht="15" customHeight="1">
      <c r="A27" s="116"/>
      <c r="B27" s="116"/>
      <c r="C27" s="15"/>
      <c r="D27" s="117"/>
      <c r="E27" s="117"/>
      <c r="F27" s="16"/>
      <c r="G27" s="15"/>
      <c r="H27" s="15"/>
      <c r="I27" s="117"/>
      <c r="J27" s="117"/>
      <c r="K27" s="16"/>
      <c r="L27" s="118"/>
      <c r="M27" s="15"/>
      <c r="N27" s="117"/>
      <c r="O27" s="117"/>
      <c r="P27" s="16"/>
      <c r="Q27" s="118"/>
      <c r="R27" s="118"/>
      <c r="S27" s="117"/>
      <c r="T27" s="117"/>
      <c r="U27" s="16"/>
      <c r="V27" s="118"/>
      <c r="W27" s="118"/>
      <c r="X27" s="117"/>
      <c r="Y27" s="117"/>
      <c r="Z27" s="16"/>
      <c r="AA27" s="118"/>
      <c r="AB27" s="118"/>
      <c r="AC27" s="117"/>
      <c r="AD27" s="117"/>
      <c r="AE27" s="16"/>
      <c r="AF27" s="118"/>
      <c r="AG27" s="118"/>
      <c r="AH27" s="117"/>
      <c r="AI27" s="117"/>
      <c r="AJ27" s="16"/>
    </row>
    <row r="28" spans="1:36" ht="15" customHeight="1">
      <c r="A28" s="116"/>
      <c r="B28" s="116"/>
      <c r="C28" s="119"/>
      <c r="D28" s="117"/>
      <c r="E28" s="117"/>
      <c r="F28" s="16"/>
      <c r="G28" s="15"/>
      <c r="H28" s="15"/>
      <c r="I28" s="117"/>
      <c r="J28" s="117"/>
      <c r="K28" s="16"/>
      <c r="L28" s="118"/>
      <c r="M28" s="15"/>
      <c r="N28" s="117"/>
      <c r="O28" s="117"/>
      <c r="P28" s="16"/>
      <c r="Q28" s="118"/>
      <c r="R28" s="118"/>
      <c r="S28" s="117"/>
      <c r="T28" s="117"/>
      <c r="U28" s="16"/>
      <c r="V28" s="118"/>
      <c r="W28" s="118"/>
      <c r="X28" s="117"/>
      <c r="Y28" s="117"/>
      <c r="Z28" s="16"/>
      <c r="AA28" s="118"/>
      <c r="AB28" s="118"/>
      <c r="AC28" s="117"/>
      <c r="AD28" s="117"/>
      <c r="AE28" s="16"/>
      <c r="AF28" s="118"/>
      <c r="AG28" s="118"/>
      <c r="AH28" s="117"/>
      <c r="AI28" s="117"/>
      <c r="AJ28" s="16"/>
    </row>
    <row r="29" spans="1:36" ht="15" customHeight="1">
      <c r="A29" s="116"/>
      <c r="B29" s="116"/>
      <c r="C29" s="119"/>
      <c r="D29" s="117"/>
      <c r="E29" s="117"/>
      <c r="F29" s="16"/>
      <c r="G29" s="15"/>
      <c r="H29" s="15"/>
      <c r="I29" s="117"/>
      <c r="J29" s="117"/>
      <c r="K29" s="16"/>
      <c r="L29" s="118"/>
      <c r="M29" s="15"/>
      <c r="N29" s="117"/>
      <c r="O29" s="117"/>
      <c r="P29" s="16"/>
      <c r="Q29" s="118"/>
      <c r="R29" s="118"/>
      <c r="S29" s="117"/>
      <c r="T29" s="117"/>
      <c r="U29" s="16"/>
      <c r="V29" s="118"/>
      <c r="W29" s="118"/>
      <c r="X29" s="117"/>
      <c r="Y29" s="117"/>
      <c r="Z29" s="16"/>
      <c r="AA29" s="118"/>
      <c r="AB29" s="118"/>
      <c r="AC29" s="117"/>
      <c r="AD29" s="117"/>
      <c r="AE29" s="16"/>
      <c r="AF29" s="118"/>
      <c r="AG29" s="118"/>
      <c r="AH29" s="117"/>
      <c r="AI29" s="117"/>
      <c r="AJ29" s="16"/>
    </row>
    <row r="30" spans="1:36" ht="15" customHeight="1">
      <c r="A30" s="116"/>
      <c r="B30" s="116"/>
      <c r="C30" s="117"/>
      <c r="D30" s="117"/>
      <c r="E30" s="117"/>
      <c r="F30" s="117"/>
      <c r="G30" s="15"/>
      <c r="H30" s="117"/>
      <c r="I30" s="117"/>
      <c r="J30" s="117"/>
      <c r="K30" s="117"/>
      <c r="L30" s="118"/>
      <c r="M30" s="117"/>
      <c r="N30" s="117"/>
      <c r="O30" s="117"/>
      <c r="P30" s="117"/>
      <c r="Q30" s="118"/>
      <c r="R30" s="117"/>
      <c r="S30" s="117"/>
      <c r="T30" s="117"/>
      <c r="U30" s="117"/>
      <c r="V30" s="118"/>
      <c r="W30" s="117"/>
      <c r="X30" s="117"/>
      <c r="Y30" s="117"/>
      <c r="Z30" s="117"/>
      <c r="AA30" s="118"/>
      <c r="AB30" s="117"/>
      <c r="AC30" s="117"/>
      <c r="AD30" s="117"/>
      <c r="AE30" s="117"/>
      <c r="AF30" s="118"/>
      <c r="AG30" s="117"/>
      <c r="AH30" s="117"/>
      <c r="AI30" s="117"/>
      <c r="AJ30" s="117"/>
    </row>
    <row r="31" spans="1:36" ht="15" customHeight="1">
      <c r="A31" s="116"/>
      <c r="B31" s="116"/>
      <c r="C31" s="117"/>
      <c r="D31" s="117"/>
      <c r="E31" s="117"/>
      <c r="F31" s="117"/>
      <c r="G31" s="15"/>
      <c r="H31" s="117"/>
      <c r="I31" s="117"/>
      <c r="J31" s="117"/>
      <c r="K31" s="117"/>
      <c r="L31" s="118"/>
      <c r="M31" s="117"/>
      <c r="N31" s="117"/>
      <c r="O31" s="117"/>
      <c r="P31" s="117"/>
      <c r="Q31" s="118"/>
      <c r="R31" s="117"/>
      <c r="S31" s="117"/>
      <c r="T31" s="117"/>
      <c r="U31" s="117"/>
      <c r="V31" s="118"/>
      <c r="W31" s="117"/>
      <c r="X31" s="117"/>
      <c r="Y31" s="117"/>
      <c r="Z31" s="117"/>
      <c r="AA31" s="118"/>
      <c r="AB31" s="117"/>
      <c r="AC31" s="117"/>
      <c r="AD31" s="117"/>
      <c r="AE31" s="117"/>
      <c r="AF31" s="118"/>
      <c r="AG31" s="117"/>
      <c r="AH31" s="117"/>
      <c r="AI31" s="117"/>
      <c r="AJ31" s="117"/>
    </row>
    <row r="32" spans="1:36" ht="15" customHeight="1">
      <c r="A32" s="116"/>
      <c r="B32" s="116"/>
      <c r="C32" s="117"/>
      <c r="D32" s="117"/>
      <c r="E32" s="117"/>
      <c r="F32" s="117"/>
      <c r="G32" s="15"/>
      <c r="H32" s="117"/>
      <c r="I32" s="117"/>
      <c r="J32" s="117"/>
      <c r="K32" s="117"/>
      <c r="L32" s="118"/>
      <c r="M32" s="117"/>
      <c r="N32" s="117"/>
      <c r="O32" s="117"/>
      <c r="P32" s="117"/>
      <c r="Q32" s="118"/>
      <c r="R32" s="117"/>
      <c r="S32" s="117"/>
      <c r="T32" s="117"/>
      <c r="U32" s="117"/>
      <c r="V32" s="118"/>
      <c r="W32" s="117"/>
      <c r="X32" s="117"/>
      <c r="Y32" s="117"/>
      <c r="Z32" s="117"/>
      <c r="AA32" s="118"/>
      <c r="AB32" s="117"/>
      <c r="AC32" s="117"/>
      <c r="AD32" s="117"/>
      <c r="AE32" s="117"/>
      <c r="AF32" s="118"/>
      <c r="AG32" s="117"/>
      <c r="AH32" s="117"/>
      <c r="AI32" s="117"/>
      <c r="AJ32" s="117"/>
    </row>
    <row r="33" spans="1:36" ht="15" customHeight="1">
      <c r="A33" s="116"/>
      <c r="B33" s="116"/>
      <c r="C33" s="117"/>
      <c r="D33" s="117"/>
      <c r="E33" s="117"/>
      <c r="F33" s="117"/>
      <c r="G33" s="15"/>
      <c r="H33" s="117"/>
      <c r="I33" s="117"/>
      <c r="J33" s="117"/>
      <c r="K33" s="117"/>
      <c r="L33" s="118"/>
      <c r="M33" s="117"/>
      <c r="N33" s="117"/>
      <c r="O33" s="117"/>
      <c r="P33" s="117"/>
      <c r="Q33" s="118"/>
      <c r="R33" s="117"/>
      <c r="S33" s="117"/>
      <c r="T33" s="117"/>
      <c r="U33" s="117"/>
      <c r="V33" s="118"/>
      <c r="W33" s="117"/>
      <c r="X33" s="117"/>
      <c r="Y33" s="117"/>
      <c r="Z33" s="117"/>
      <c r="AA33" s="118"/>
      <c r="AB33" s="117"/>
      <c r="AC33" s="117"/>
      <c r="AD33" s="117"/>
      <c r="AE33" s="117"/>
      <c r="AF33" s="118"/>
      <c r="AG33" s="117"/>
      <c r="AH33" s="117"/>
      <c r="AI33" s="117"/>
      <c r="AJ33" s="117"/>
    </row>
    <row r="34" spans="1:36">
      <c r="C34" s="43"/>
      <c r="D34" s="43"/>
      <c r="E34" s="43"/>
      <c r="F34" s="43"/>
      <c r="H34" s="22"/>
      <c r="I34" s="22"/>
      <c r="J34" s="22"/>
      <c r="K34" s="22"/>
      <c r="R34" s="22"/>
      <c r="S34" s="22"/>
      <c r="T34" s="22"/>
      <c r="U34" s="22"/>
      <c r="W34" s="22"/>
      <c r="X34" s="22"/>
      <c r="Y34" s="22"/>
      <c r="Z34" s="22"/>
      <c r="AB34" s="22"/>
      <c r="AC34" s="22"/>
      <c r="AD34" s="22"/>
      <c r="AE34" s="22"/>
    </row>
  </sheetData>
  <mergeCells count="12">
    <mergeCell ref="AG1:AK1"/>
    <mergeCell ref="W1:AA1"/>
    <mergeCell ref="AB1:AF1"/>
    <mergeCell ref="A16:B17"/>
    <mergeCell ref="A1:B2"/>
    <mergeCell ref="A10:B10"/>
    <mergeCell ref="C1:G1"/>
    <mergeCell ref="H1:L1"/>
    <mergeCell ref="M1:Q1"/>
    <mergeCell ref="R1:V1"/>
    <mergeCell ref="A3:A8"/>
    <mergeCell ref="A11:B1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17"/>
  <sheetViews>
    <sheetView zoomScale="70" zoomScaleNormal="70" workbookViewId="0">
      <selection activeCell="B2" sqref="B2:AG12"/>
    </sheetView>
    <sheetView workbookViewId="1"/>
  </sheetViews>
  <sheetFormatPr defaultRowHeight="15"/>
  <cols>
    <col min="1" max="1" width="9.140625" style="1" bestFit="1" customWidth="1"/>
    <col min="2" max="36" width="7.85546875" style="1" customWidth="1"/>
    <col min="37" max="16384" width="9.140625" style="1"/>
  </cols>
  <sheetData>
    <row r="1" spans="1:36">
      <c r="A1" s="1" t="s">
        <v>13</v>
      </c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3</v>
      </c>
      <c r="AI1" s="1" t="s">
        <v>4</v>
      </c>
      <c r="AJ1" s="1" t="s">
        <v>32</v>
      </c>
    </row>
    <row r="2" spans="1:36">
      <c r="A2" s="1" t="s">
        <v>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2" t="e">
        <f>AVERAGE(B2:AG2)</f>
        <v>#DIV/0!</v>
      </c>
      <c r="AI2" s="2" t="e">
        <f>STDEV(B2:AG2)</f>
        <v>#DIV/0!</v>
      </c>
      <c r="AJ2" s="41">
        <f>MAX(B2:AG2)</f>
        <v>0</v>
      </c>
    </row>
    <row r="3" spans="1:36">
      <c r="A3" s="1" t="s">
        <v>7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2" t="e">
        <f t="shared" ref="AH3" si="1">AVERAGE(B3:AG3)</f>
        <v>#DIV/0!</v>
      </c>
      <c r="AI3" s="2" t="e">
        <f t="shared" ref="AI3" si="2">STDEV(B3:AG3)</f>
        <v>#DIV/0!</v>
      </c>
      <c r="AJ3" s="41">
        <f t="shared" ref="AJ3" si="3">MAX(B3:AG3)</f>
        <v>0</v>
      </c>
    </row>
    <row r="4" spans="1:36">
      <c r="A4" s="1" t="s">
        <v>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2" t="e">
        <f>AVERAGE(B4:AG4)</f>
        <v>#DIV/0!</v>
      </c>
      <c r="AI4" s="2" t="e">
        <f>STDEV(B4:AG4)</f>
        <v>#DIV/0!</v>
      </c>
      <c r="AJ4" s="41">
        <f>MAX(B4:AG4)</f>
        <v>0</v>
      </c>
    </row>
    <row r="5" spans="1:36">
      <c r="A5" s="1" t="s">
        <v>9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2" t="e">
        <f>AVERAGE(B5:AG5)</f>
        <v>#DIV/0!</v>
      </c>
      <c r="AI5" s="2" t="e">
        <f>STDEV(B5:AG5)</f>
        <v>#DIV/0!</v>
      </c>
      <c r="AJ5" s="41">
        <f>MAX(B5:AG5)</f>
        <v>0</v>
      </c>
    </row>
    <row r="6" spans="1:36">
      <c r="A6" s="1" t="s">
        <v>35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" t="e">
        <f>AVERAGE(B6:AG6)</f>
        <v>#DIV/0!</v>
      </c>
      <c r="AI6" s="3" t="e">
        <f>STDEV(B6:AG6)</f>
        <v>#DIV/0!</v>
      </c>
      <c r="AJ6" s="3">
        <f>MAX(B6:AG6)</f>
        <v>0</v>
      </c>
    </row>
    <row r="7" spans="1:36" s="112" customFormat="1">
      <c r="A7" s="112" t="str">
        <f>A3&amp;"-1"</f>
        <v>Range1-1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 t="e">
        <f t="shared" ref="AH7:AH12" si="4">AVERAGE(B7:AG7)</f>
        <v>#DIV/0!</v>
      </c>
      <c r="AI7" s="114" t="e">
        <f t="shared" ref="AI7:AI12" si="5">STDEV(B7:AG7)</f>
        <v>#DIV/0!</v>
      </c>
      <c r="AJ7" s="114">
        <f t="shared" ref="AJ7:AJ12" si="6">MAX(B7:AG7)</f>
        <v>0</v>
      </c>
    </row>
    <row r="8" spans="1:36" s="112" customFormat="1">
      <c r="A8" s="112" t="str">
        <f>A4&amp;"-1"</f>
        <v>Range2-1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 t="e">
        <f t="shared" si="4"/>
        <v>#DIV/0!</v>
      </c>
      <c r="AI8" s="114" t="e">
        <f t="shared" si="5"/>
        <v>#DIV/0!</v>
      </c>
      <c r="AJ8" s="114">
        <f t="shared" si="6"/>
        <v>0</v>
      </c>
    </row>
    <row r="9" spans="1:36" s="112" customFormat="1">
      <c r="A9" s="112" t="str">
        <f>A5&amp;"-1"</f>
        <v>Range3-1</v>
      </c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 t="e">
        <f t="shared" si="4"/>
        <v>#DIV/0!</v>
      </c>
      <c r="AI9" s="114" t="e">
        <f t="shared" si="5"/>
        <v>#DIV/0!</v>
      </c>
      <c r="AJ9" s="114">
        <f t="shared" si="6"/>
        <v>0</v>
      </c>
    </row>
    <row r="10" spans="1:36" s="112" customFormat="1">
      <c r="A10" s="112" t="str">
        <f>A4&amp;"-2"</f>
        <v>Range2-2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 t="e">
        <f t="shared" si="4"/>
        <v>#DIV/0!</v>
      </c>
      <c r="AI10" s="114" t="e">
        <f t="shared" si="5"/>
        <v>#DIV/0!</v>
      </c>
      <c r="AJ10" s="114">
        <f t="shared" si="6"/>
        <v>0</v>
      </c>
    </row>
    <row r="11" spans="1:36" s="112" customFormat="1">
      <c r="A11" s="112" t="str">
        <f>A5&amp;"-2"</f>
        <v>Range3-2</v>
      </c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 t="e">
        <f t="shared" si="4"/>
        <v>#DIV/0!</v>
      </c>
      <c r="AI11" s="114" t="e">
        <f t="shared" si="5"/>
        <v>#DIV/0!</v>
      </c>
      <c r="AJ11" s="114">
        <f t="shared" si="6"/>
        <v>0</v>
      </c>
    </row>
    <row r="12" spans="1:36" s="112" customFormat="1">
      <c r="A12" s="112" t="str">
        <f>A5&amp;"-3"</f>
        <v>Range3-3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 t="e">
        <f t="shared" si="4"/>
        <v>#DIV/0!</v>
      </c>
      <c r="AI12" s="114" t="e">
        <f t="shared" si="5"/>
        <v>#DIV/0!</v>
      </c>
      <c r="AJ12" s="114">
        <f t="shared" si="6"/>
        <v>0</v>
      </c>
    </row>
    <row r="13" spans="1:36" s="112" customFormat="1">
      <c r="B13" s="114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H13" s="114"/>
      <c r="AI13" s="114"/>
      <c r="AJ13" s="114"/>
    </row>
    <row r="14" spans="1:36">
      <c r="A14" s="1" t="s">
        <v>34</v>
      </c>
      <c r="B14" s="68" t="str">
        <f t="shared" ref="B14:AG14" si="7">IF(B6&lt;&gt;0,B5/B6,"")</f>
        <v/>
      </c>
      <c r="C14" s="68" t="str">
        <f t="shared" si="7"/>
        <v/>
      </c>
      <c r="D14" s="68" t="str">
        <f t="shared" si="7"/>
        <v/>
      </c>
      <c r="E14" s="68" t="str">
        <f t="shared" si="7"/>
        <v/>
      </c>
      <c r="F14" s="68" t="str">
        <f t="shared" si="7"/>
        <v/>
      </c>
      <c r="G14" s="68" t="str">
        <f t="shared" si="7"/>
        <v/>
      </c>
      <c r="H14" s="68" t="str">
        <f t="shared" si="7"/>
        <v/>
      </c>
      <c r="I14" s="68" t="str">
        <f t="shared" si="7"/>
        <v/>
      </c>
      <c r="J14" s="68" t="str">
        <f t="shared" si="7"/>
        <v/>
      </c>
      <c r="K14" s="68" t="str">
        <f t="shared" si="7"/>
        <v/>
      </c>
      <c r="L14" s="68" t="str">
        <f t="shared" si="7"/>
        <v/>
      </c>
      <c r="M14" s="68" t="str">
        <f t="shared" si="7"/>
        <v/>
      </c>
      <c r="N14" s="68" t="str">
        <f t="shared" si="7"/>
        <v/>
      </c>
      <c r="O14" s="68" t="str">
        <f t="shared" si="7"/>
        <v/>
      </c>
      <c r="P14" s="68" t="str">
        <f t="shared" si="7"/>
        <v/>
      </c>
      <c r="Q14" s="68" t="str">
        <f t="shared" si="7"/>
        <v/>
      </c>
      <c r="R14" s="161" t="str">
        <f t="shared" ref="R14" si="8">IF(R6&lt;&gt;0,R5/R6,"")</f>
        <v/>
      </c>
      <c r="S14" s="68" t="str">
        <f t="shared" si="7"/>
        <v/>
      </c>
      <c r="T14" s="68" t="str">
        <f t="shared" si="7"/>
        <v/>
      </c>
      <c r="U14" s="68" t="str">
        <f t="shared" si="7"/>
        <v/>
      </c>
      <c r="V14" s="68" t="str">
        <f t="shared" si="7"/>
        <v/>
      </c>
      <c r="W14" s="68" t="str">
        <f t="shared" si="7"/>
        <v/>
      </c>
      <c r="X14" s="68" t="str">
        <f t="shared" si="7"/>
        <v/>
      </c>
      <c r="Y14" s="68" t="str">
        <f t="shared" si="7"/>
        <v/>
      </c>
      <c r="Z14" s="68" t="str">
        <f t="shared" si="7"/>
        <v/>
      </c>
      <c r="AA14" s="68" t="str">
        <f t="shared" si="7"/>
        <v/>
      </c>
      <c r="AB14" s="68" t="str">
        <f t="shared" si="7"/>
        <v/>
      </c>
      <c r="AC14" s="68" t="str">
        <f t="shared" si="7"/>
        <v/>
      </c>
      <c r="AD14" s="68" t="str">
        <f t="shared" si="7"/>
        <v/>
      </c>
      <c r="AE14" s="68" t="str">
        <f t="shared" si="7"/>
        <v/>
      </c>
      <c r="AF14" s="68" t="str">
        <f t="shared" si="7"/>
        <v/>
      </c>
      <c r="AG14" s="68" t="str">
        <f t="shared" si="7"/>
        <v/>
      </c>
      <c r="AH14" s="42" t="e">
        <f>AVERAGE(B14:AG14)</f>
        <v>#DIV/0!</v>
      </c>
      <c r="AI14" s="42" t="e">
        <f>STDEV(B14:AG14)</f>
        <v>#DIV/0!</v>
      </c>
      <c r="AJ14" s="42">
        <f>MAX(B14:AG14)</f>
        <v>0</v>
      </c>
    </row>
    <row r="15" spans="1:36" s="112" customFormat="1" ht="15.75">
      <c r="A15" s="122" t="s">
        <v>66</v>
      </c>
      <c r="B15" s="69" t="e">
        <f t="shared" ref="B15:S15" si="9">2*(B3-B2)/(B3+B2)</f>
        <v>#DIV/0!</v>
      </c>
      <c r="C15" s="69" t="e">
        <f t="shared" si="9"/>
        <v>#DIV/0!</v>
      </c>
      <c r="D15" s="69" t="e">
        <f t="shared" si="9"/>
        <v>#DIV/0!</v>
      </c>
      <c r="E15" s="69" t="e">
        <f t="shared" si="9"/>
        <v>#DIV/0!</v>
      </c>
      <c r="F15" s="69" t="e">
        <f t="shared" si="9"/>
        <v>#DIV/0!</v>
      </c>
      <c r="G15" s="69" t="e">
        <f t="shared" si="9"/>
        <v>#DIV/0!</v>
      </c>
      <c r="H15" s="69" t="e">
        <f t="shared" si="9"/>
        <v>#DIV/0!</v>
      </c>
      <c r="I15" s="69" t="e">
        <f t="shared" si="9"/>
        <v>#DIV/0!</v>
      </c>
      <c r="J15" s="69" t="e">
        <f t="shared" si="9"/>
        <v>#DIV/0!</v>
      </c>
      <c r="K15" s="69" t="e">
        <f t="shared" si="9"/>
        <v>#DIV/0!</v>
      </c>
      <c r="L15" s="69" t="e">
        <f t="shared" si="9"/>
        <v>#DIV/0!</v>
      </c>
      <c r="M15" s="69" t="e">
        <f t="shared" si="9"/>
        <v>#DIV/0!</v>
      </c>
      <c r="N15" s="69" t="e">
        <f t="shared" si="9"/>
        <v>#DIV/0!</v>
      </c>
      <c r="O15" s="69" t="e">
        <f t="shared" si="9"/>
        <v>#DIV/0!</v>
      </c>
      <c r="P15" s="69" t="e">
        <f t="shared" si="9"/>
        <v>#DIV/0!</v>
      </c>
      <c r="Q15" s="69" t="e">
        <f t="shared" si="9"/>
        <v>#DIV/0!</v>
      </c>
      <c r="R15" s="69" t="e">
        <f t="shared" ref="R15" si="10">2*(R3-R2)/(R3+R2)</f>
        <v>#DIV/0!</v>
      </c>
      <c r="S15" s="69" t="e">
        <f t="shared" si="9"/>
        <v>#DIV/0!</v>
      </c>
      <c r="T15" s="69" t="e">
        <f t="shared" ref="T15" si="11">2*(T3-T2)/(T3+T2)</f>
        <v>#DIV/0!</v>
      </c>
      <c r="U15" s="69" t="e">
        <f t="shared" ref="U15:AG15" si="12">2*(U3-U2)/(U3+U2)</f>
        <v>#DIV/0!</v>
      </c>
      <c r="V15" s="69" t="e">
        <f t="shared" si="12"/>
        <v>#DIV/0!</v>
      </c>
      <c r="W15" s="69" t="e">
        <f t="shared" si="12"/>
        <v>#DIV/0!</v>
      </c>
      <c r="X15" s="69" t="e">
        <f t="shared" si="12"/>
        <v>#DIV/0!</v>
      </c>
      <c r="Y15" s="69" t="e">
        <f t="shared" si="12"/>
        <v>#DIV/0!</v>
      </c>
      <c r="Z15" s="69" t="e">
        <f t="shared" si="12"/>
        <v>#DIV/0!</v>
      </c>
      <c r="AA15" s="69" t="e">
        <f t="shared" si="12"/>
        <v>#DIV/0!</v>
      </c>
      <c r="AB15" s="69" t="e">
        <f t="shared" si="12"/>
        <v>#DIV/0!</v>
      </c>
      <c r="AC15" s="69" t="e">
        <f t="shared" si="12"/>
        <v>#DIV/0!</v>
      </c>
      <c r="AD15" s="69" t="e">
        <f t="shared" si="12"/>
        <v>#DIV/0!</v>
      </c>
      <c r="AE15" s="69" t="e">
        <f t="shared" si="12"/>
        <v>#DIV/0!</v>
      </c>
      <c r="AF15" s="69" t="e">
        <f t="shared" si="12"/>
        <v>#DIV/0!</v>
      </c>
      <c r="AG15" s="69" t="e">
        <f t="shared" si="12"/>
        <v>#DIV/0!</v>
      </c>
      <c r="AH15" s="69" t="e">
        <f t="shared" ref="AH15:AH17" si="13">AVERAGE(B15:AG15)</f>
        <v>#DIV/0!</v>
      </c>
      <c r="AI15" s="69" t="e">
        <f t="shared" ref="AI15:AI17" si="14">STDEV(B15:AG15)</f>
        <v>#DIV/0!</v>
      </c>
      <c r="AJ15" s="69" t="e">
        <f t="shared" ref="AJ15:AJ17" si="15">MAX(B15:AG15)</f>
        <v>#DIV/0!</v>
      </c>
    </row>
    <row r="16" spans="1:36" s="112" customFormat="1" ht="15.75">
      <c r="A16" s="122" t="s">
        <v>67</v>
      </c>
      <c r="B16" s="69" t="e">
        <f t="shared" ref="B16:S16" si="16">2*(B8-B7)/(B8+B7)</f>
        <v>#DIV/0!</v>
      </c>
      <c r="C16" s="69" t="e">
        <f t="shared" si="16"/>
        <v>#DIV/0!</v>
      </c>
      <c r="D16" s="69" t="e">
        <f t="shared" si="16"/>
        <v>#DIV/0!</v>
      </c>
      <c r="E16" s="69" t="e">
        <f t="shared" si="16"/>
        <v>#DIV/0!</v>
      </c>
      <c r="F16" s="69" t="e">
        <f t="shared" si="16"/>
        <v>#DIV/0!</v>
      </c>
      <c r="G16" s="69" t="e">
        <f t="shared" si="16"/>
        <v>#DIV/0!</v>
      </c>
      <c r="H16" s="69" t="e">
        <f t="shared" si="16"/>
        <v>#DIV/0!</v>
      </c>
      <c r="I16" s="69" t="e">
        <f t="shared" si="16"/>
        <v>#DIV/0!</v>
      </c>
      <c r="J16" s="69" t="e">
        <f t="shared" si="16"/>
        <v>#DIV/0!</v>
      </c>
      <c r="K16" s="69" t="e">
        <f t="shared" si="16"/>
        <v>#DIV/0!</v>
      </c>
      <c r="L16" s="69" t="e">
        <f t="shared" si="16"/>
        <v>#DIV/0!</v>
      </c>
      <c r="M16" s="69" t="e">
        <f t="shared" si="16"/>
        <v>#DIV/0!</v>
      </c>
      <c r="N16" s="69" t="e">
        <f t="shared" si="16"/>
        <v>#DIV/0!</v>
      </c>
      <c r="O16" s="69" t="e">
        <f t="shared" si="16"/>
        <v>#DIV/0!</v>
      </c>
      <c r="P16" s="69" t="e">
        <f t="shared" si="16"/>
        <v>#DIV/0!</v>
      </c>
      <c r="Q16" s="69" t="e">
        <f t="shared" si="16"/>
        <v>#DIV/0!</v>
      </c>
      <c r="R16" s="69" t="e">
        <f t="shared" ref="R16" si="17">2*(R8-R7)/(R8+R7)</f>
        <v>#DIV/0!</v>
      </c>
      <c r="S16" s="69" t="e">
        <f t="shared" si="16"/>
        <v>#DIV/0!</v>
      </c>
      <c r="T16" s="69" t="e">
        <f t="shared" ref="T16" si="18">2*(T8-T7)/(T8+T7)</f>
        <v>#DIV/0!</v>
      </c>
      <c r="U16" s="69" t="e">
        <f t="shared" ref="U16:AG16" si="19">2*(U8-U7)/(U8+U7)</f>
        <v>#DIV/0!</v>
      </c>
      <c r="V16" s="69" t="e">
        <f t="shared" si="19"/>
        <v>#DIV/0!</v>
      </c>
      <c r="W16" s="69" t="e">
        <f t="shared" si="19"/>
        <v>#DIV/0!</v>
      </c>
      <c r="X16" s="69" t="e">
        <f t="shared" si="19"/>
        <v>#DIV/0!</v>
      </c>
      <c r="Y16" s="69" t="e">
        <f t="shared" si="19"/>
        <v>#DIV/0!</v>
      </c>
      <c r="Z16" s="69" t="e">
        <f t="shared" si="19"/>
        <v>#DIV/0!</v>
      </c>
      <c r="AA16" s="69" t="e">
        <f t="shared" si="19"/>
        <v>#DIV/0!</v>
      </c>
      <c r="AB16" s="69" t="e">
        <f t="shared" si="19"/>
        <v>#DIV/0!</v>
      </c>
      <c r="AC16" s="69" t="e">
        <f t="shared" si="19"/>
        <v>#DIV/0!</v>
      </c>
      <c r="AD16" s="69" t="e">
        <f t="shared" si="19"/>
        <v>#DIV/0!</v>
      </c>
      <c r="AE16" s="69" t="e">
        <f t="shared" si="19"/>
        <v>#DIV/0!</v>
      </c>
      <c r="AF16" s="69" t="e">
        <f t="shared" si="19"/>
        <v>#DIV/0!</v>
      </c>
      <c r="AG16" s="69" t="e">
        <f t="shared" si="19"/>
        <v>#DIV/0!</v>
      </c>
      <c r="AH16" s="69" t="e">
        <f t="shared" si="13"/>
        <v>#DIV/0!</v>
      </c>
      <c r="AI16" s="69" t="e">
        <f t="shared" si="14"/>
        <v>#DIV/0!</v>
      </c>
      <c r="AJ16" s="69" t="e">
        <f t="shared" si="15"/>
        <v>#DIV/0!</v>
      </c>
    </row>
    <row r="17" spans="1:36" s="112" customFormat="1" ht="15.75">
      <c r="A17" s="122" t="s">
        <v>68</v>
      </c>
      <c r="B17" s="69" t="e">
        <f t="shared" ref="B17:S17" si="20">2*(B11-B10)/(B11+B10)</f>
        <v>#DIV/0!</v>
      </c>
      <c r="C17" s="69" t="e">
        <f t="shared" si="20"/>
        <v>#DIV/0!</v>
      </c>
      <c r="D17" s="69" t="e">
        <f t="shared" si="20"/>
        <v>#DIV/0!</v>
      </c>
      <c r="E17" s="69" t="e">
        <f t="shared" si="20"/>
        <v>#DIV/0!</v>
      </c>
      <c r="F17" s="69" t="e">
        <f t="shared" si="20"/>
        <v>#DIV/0!</v>
      </c>
      <c r="G17" s="69" t="e">
        <f t="shared" si="20"/>
        <v>#DIV/0!</v>
      </c>
      <c r="H17" s="69" t="e">
        <f t="shared" si="20"/>
        <v>#DIV/0!</v>
      </c>
      <c r="I17" s="69" t="e">
        <f t="shared" si="20"/>
        <v>#DIV/0!</v>
      </c>
      <c r="J17" s="69" t="e">
        <f t="shared" si="20"/>
        <v>#DIV/0!</v>
      </c>
      <c r="K17" s="69" t="e">
        <f t="shared" si="20"/>
        <v>#DIV/0!</v>
      </c>
      <c r="L17" s="69" t="e">
        <f t="shared" si="20"/>
        <v>#DIV/0!</v>
      </c>
      <c r="M17" s="69" t="e">
        <f t="shared" si="20"/>
        <v>#DIV/0!</v>
      </c>
      <c r="N17" s="69" t="e">
        <f t="shared" si="20"/>
        <v>#DIV/0!</v>
      </c>
      <c r="O17" s="69" t="e">
        <f t="shared" si="20"/>
        <v>#DIV/0!</v>
      </c>
      <c r="P17" s="69" t="e">
        <f t="shared" si="20"/>
        <v>#DIV/0!</v>
      </c>
      <c r="Q17" s="69" t="e">
        <f t="shared" si="20"/>
        <v>#DIV/0!</v>
      </c>
      <c r="R17" s="69" t="e">
        <f t="shared" ref="R17" si="21">2*(R11-R10)/(R11+R10)</f>
        <v>#DIV/0!</v>
      </c>
      <c r="S17" s="69" t="e">
        <f t="shared" si="20"/>
        <v>#DIV/0!</v>
      </c>
      <c r="T17" s="69" t="e">
        <f t="shared" ref="T17" si="22">2*(T11-T10)/(T11+T10)</f>
        <v>#DIV/0!</v>
      </c>
      <c r="U17" s="69" t="e">
        <f t="shared" ref="U17:AG17" si="23">2*(U11-U10)/(U11+U10)</f>
        <v>#DIV/0!</v>
      </c>
      <c r="V17" s="69" t="e">
        <f t="shared" si="23"/>
        <v>#DIV/0!</v>
      </c>
      <c r="W17" s="69" t="e">
        <f t="shared" si="23"/>
        <v>#DIV/0!</v>
      </c>
      <c r="X17" s="69" t="e">
        <f t="shared" si="23"/>
        <v>#DIV/0!</v>
      </c>
      <c r="Y17" s="69" t="e">
        <f t="shared" si="23"/>
        <v>#DIV/0!</v>
      </c>
      <c r="Z17" s="69" t="e">
        <f t="shared" si="23"/>
        <v>#DIV/0!</v>
      </c>
      <c r="AA17" s="69" t="e">
        <f t="shared" si="23"/>
        <v>#DIV/0!</v>
      </c>
      <c r="AB17" s="69" t="e">
        <f t="shared" si="23"/>
        <v>#DIV/0!</v>
      </c>
      <c r="AC17" s="69" t="e">
        <f t="shared" si="23"/>
        <v>#DIV/0!</v>
      </c>
      <c r="AD17" s="69" t="e">
        <f t="shared" si="23"/>
        <v>#DIV/0!</v>
      </c>
      <c r="AE17" s="69" t="e">
        <f t="shared" si="23"/>
        <v>#DIV/0!</v>
      </c>
      <c r="AF17" s="69" t="e">
        <f t="shared" si="23"/>
        <v>#DIV/0!</v>
      </c>
      <c r="AG17" s="69" t="e">
        <f t="shared" si="23"/>
        <v>#DIV/0!</v>
      </c>
      <c r="AH17" s="69" t="e">
        <f t="shared" si="13"/>
        <v>#DIV/0!</v>
      </c>
      <c r="AI17" s="69" t="e">
        <f t="shared" si="14"/>
        <v>#DIV/0!</v>
      </c>
      <c r="AJ17" s="69" t="e">
        <f t="shared" si="15"/>
        <v>#DIV/0!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J17"/>
  <sheetViews>
    <sheetView zoomScale="70" zoomScaleNormal="70" workbookViewId="0">
      <selection activeCell="B2" sqref="B2:AG12"/>
    </sheetView>
    <sheetView workbookViewId="1"/>
  </sheetViews>
  <sheetFormatPr defaultRowHeight="15"/>
  <cols>
    <col min="1" max="1" width="9.140625" style="1" bestFit="1" customWidth="1"/>
    <col min="2" max="36" width="7.85546875" style="1" customWidth="1"/>
    <col min="37" max="16384" width="9.140625" style="1"/>
  </cols>
  <sheetData>
    <row r="1" spans="1:36">
      <c r="A1" s="1" t="s">
        <v>14</v>
      </c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3</v>
      </c>
      <c r="AI1" s="1" t="s">
        <v>4</v>
      </c>
      <c r="AJ1" s="1" t="s">
        <v>32</v>
      </c>
    </row>
    <row r="2" spans="1:36">
      <c r="A2" s="1" t="s">
        <v>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2" t="e">
        <f>AVERAGE(B2:AG2)</f>
        <v>#DIV/0!</v>
      </c>
      <c r="AI2" s="2" t="e">
        <f>STDEV(B2:AG2)</f>
        <v>#DIV/0!</v>
      </c>
      <c r="AJ2" s="41">
        <f>MAX(B2:AG2)</f>
        <v>0</v>
      </c>
    </row>
    <row r="3" spans="1:36">
      <c r="A3" s="1" t="s">
        <v>7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2" t="e">
        <f t="shared" ref="AH3:AH17" si="1">AVERAGE(B3:AG3)</f>
        <v>#DIV/0!</v>
      </c>
      <c r="AI3" s="2" t="e">
        <f t="shared" ref="AI3:AI17" si="2">STDEV(B3:AG3)</f>
        <v>#DIV/0!</v>
      </c>
      <c r="AJ3" s="41">
        <f t="shared" ref="AJ3:AJ17" si="3">MAX(B3:AG3)</f>
        <v>0</v>
      </c>
    </row>
    <row r="4" spans="1:36">
      <c r="A4" s="1" t="s">
        <v>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2" t="e">
        <f>AVERAGE(B4:AG4)</f>
        <v>#DIV/0!</v>
      </c>
      <c r="AI4" s="2" t="e">
        <f>STDEV(B4:AG4)</f>
        <v>#DIV/0!</v>
      </c>
      <c r="AJ4" s="41">
        <f>MAX(B4:AG4)</f>
        <v>0</v>
      </c>
    </row>
    <row r="5" spans="1:36">
      <c r="A5" s="1" t="s">
        <v>9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2" t="e">
        <f>AVERAGE(B5:AG5)</f>
        <v>#DIV/0!</v>
      </c>
      <c r="AI5" s="2" t="e">
        <f>STDEV(B5:AG5)</f>
        <v>#DIV/0!</v>
      </c>
      <c r="AJ5" s="41">
        <f>MAX(B5:AG5)</f>
        <v>0</v>
      </c>
    </row>
    <row r="6" spans="1:36">
      <c r="A6" s="1" t="s">
        <v>33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" t="e">
        <f>AVERAGE(B6:AG6)</f>
        <v>#DIV/0!</v>
      </c>
      <c r="AI6" s="3" t="e">
        <f>STDEV(B6:AG6)</f>
        <v>#DIV/0!</v>
      </c>
      <c r="AJ6" s="3">
        <f>MAX(B6:AG6)</f>
        <v>0</v>
      </c>
    </row>
    <row r="7" spans="1:36" s="112" customFormat="1">
      <c r="A7" s="112" t="str">
        <f>A3&amp;"-1"</f>
        <v>Range1-1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 t="e">
        <f t="shared" ref="AH7:AH12" si="4">AVERAGE(B7:AG7)</f>
        <v>#DIV/0!</v>
      </c>
      <c r="AI7" s="114" t="e">
        <f t="shared" ref="AI7:AI12" si="5">STDEV(B7:AG7)</f>
        <v>#DIV/0!</v>
      </c>
      <c r="AJ7" s="114">
        <f t="shared" ref="AJ7:AJ12" si="6">MAX(B7:AG7)</f>
        <v>0</v>
      </c>
    </row>
    <row r="8" spans="1:36" s="112" customFormat="1">
      <c r="A8" s="112" t="str">
        <f>A4&amp;"-1"</f>
        <v>Range2-1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 t="e">
        <f t="shared" si="4"/>
        <v>#DIV/0!</v>
      </c>
      <c r="AI8" s="114" t="e">
        <f t="shared" si="5"/>
        <v>#DIV/0!</v>
      </c>
      <c r="AJ8" s="114">
        <f t="shared" si="6"/>
        <v>0</v>
      </c>
    </row>
    <row r="9" spans="1:36" s="112" customFormat="1">
      <c r="A9" s="112" t="str">
        <f>A5&amp;"-1"</f>
        <v>Range3-1</v>
      </c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 t="e">
        <f t="shared" si="4"/>
        <v>#DIV/0!</v>
      </c>
      <c r="AI9" s="114" t="e">
        <f t="shared" si="5"/>
        <v>#DIV/0!</v>
      </c>
      <c r="AJ9" s="114">
        <f t="shared" si="6"/>
        <v>0</v>
      </c>
    </row>
    <row r="10" spans="1:36" s="112" customFormat="1">
      <c r="A10" s="112" t="str">
        <f>A4&amp;"-2"</f>
        <v>Range2-2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 t="e">
        <f t="shared" si="4"/>
        <v>#DIV/0!</v>
      </c>
      <c r="AI10" s="114" t="e">
        <f t="shared" si="5"/>
        <v>#DIV/0!</v>
      </c>
      <c r="AJ10" s="114">
        <f t="shared" si="6"/>
        <v>0</v>
      </c>
    </row>
    <row r="11" spans="1:36" s="112" customFormat="1">
      <c r="A11" s="112" t="str">
        <f>A5&amp;"-2"</f>
        <v>Range3-2</v>
      </c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 t="e">
        <f t="shared" si="4"/>
        <v>#DIV/0!</v>
      </c>
      <c r="AI11" s="114" t="e">
        <f t="shared" si="5"/>
        <v>#DIV/0!</v>
      </c>
      <c r="AJ11" s="114">
        <f t="shared" si="6"/>
        <v>0</v>
      </c>
    </row>
    <row r="12" spans="1:36" s="112" customFormat="1">
      <c r="A12" s="112" t="str">
        <f>A5&amp;"-3"</f>
        <v>Range3-3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 t="e">
        <f t="shared" si="4"/>
        <v>#DIV/0!</v>
      </c>
      <c r="AI12" s="114" t="e">
        <f t="shared" si="5"/>
        <v>#DIV/0!</v>
      </c>
      <c r="AJ12" s="114">
        <f t="shared" si="6"/>
        <v>0</v>
      </c>
    </row>
    <row r="14" spans="1:36">
      <c r="A14" s="1" t="s">
        <v>34</v>
      </c>
      <c r="B14" s="68" t="str">
        <f t="shared" ref="B14:AG14" si="7">IF(B6&lt;&gt;0,B5/B6,"")</f>
        <v/>
      </c>
      <c r="C14" s="68" t="str">
        <f t="shared" si="7"/>
        <v/>
      </c>
      <c r="D14" s="68" t="str">
        <f t="shared" si="7"/>
        <v/>
      </c>
      <c r="E14" s="68" t="str">
        <f t="shared" si="7"/>
        <v/>
      </c>
      <c r="F14" s="68" t="str">
        <f t="shared" si="7"/>
        <v/>
      </c>
      <c r="G14" s="68" t="str">
        <f t="shared" si="7"/>
        <v/>
      </c>
      <c r="H14" s="68" t="str">
        <f t="shared" si="7"/>
        <v/>
      </c>
      <c r="I14" s="68" t="str">
        <f t="shared" si="7"/>
        <v/>
      </c>
      <c r="J14" s="68" t="str">
        <f t="shared" si="7"/>
        <v/>
      </c>
      <c r="K14" s="68" t="str">
        <f t="shared" si="7"/>
        <v/>
      </c>
      <c r="L14" s="68" t="str">
        <f t="shared" si="7"/>
        <v/>
      </c>
      <c r="M14" s="68" t="str">
        <f t="shared" si="7"/>
        <v/>
      </c>
      <c r="N14" s="68" t="str">
        <f t="shared" si="7"/>
        <v/>
      </c>
      <c r="O14" s="68" t="str">
        <f t="shared" si="7"/>
        <v/>
      </c>
      <c r="P14" s="68" t="str">
        <f t="shared" si="7"/>
        <v/>
      </c>
      <c r="Q14" s="68" t="str">
        <f t="shared" si="7"/>
        <v/>
      </c>
      <c r="R14" s="68" t="str">
        <f t="shared" si="7"/>
        <v/>
      </c>
      <c r="S14" s="68" t="str">
        <f t="shared" si="7"/>
        <v/>
      </c>
      <c r="T14" s="68" t="str">
        <f t="shared" si="7"/>
        <v/>
      </c>
      <c r="U14" s="68" t="str">
        <f t="shared" si="7"/>
        <v/>
      </c>
      <c r="V14" s="68" t="str">
        <f t="shared" si="7"/>
        <v/>
      </c>
      <c r="W14" s="68" t="str">
        <f t="shared" si="7"/>
        <v/>
      </c>
      <c r="X14" s="68" t="str">
        <f t="shared" si="7"/>
        <v/>
      </c>
      <c r="Y14" s="68" t="str">
        <f t="shared" si="7"/>
        <v/>
      </c>
      <c r="Z14" s="68" t="str">
        <f t="shared" si="7"/>
        <v/>
      </c>
      <c r="AA14" s="68" t="str">
        <f t="shared" si="7"/>
        <v/>
      </c>
      <c r="AB14" s="68" t="str">
        <f t="shared" si="7"/>
        <v/>
      </c>
      <c r="AC14" s="68" t="str">
        <f t="shared" si="7"/>
        <v/>
      </c>
      <c r="AD14" s="68" t="str">
        <f t="shared" si="7"/>
        <v/>
      </c>
      <c r="AE14" s="68" t="str">
        <f t="shared" si="7"/>
        <v/>
      </c>
      <c r="AF14" s="68" t="str">
        <f t="shared" si="7"/>
        <v/>
      </c>
      <c r="AG14" s="68" t="str">
        <f t="shared" si="7"/>
        <v/>
      </c>
      <c r="AH14" s="42" t="e">
        <f t="shared" si="1"/>
        <v>#DIV/0!</v>
      </c>
      <c r="AI14" s="42" t="e">
        <f t="shared" si="2"/>
        <v>#DIV/0!</v>
      </c>
      <c r="AJ14" s="42">
        <f t="shared" si="3"/>
        <v>0</v>
      </c>
    </row>
    <row r="15" spans="1:36" ht="15.75">
      <c r="A15" s="122" t="s">
        <v>66</v>
      </c>
      <c r="B15" s="69" t="e">
        <f t="shared" ref="B15:S15" si="8">2*(B3-B2)/(B3+B2)</f>
        <v>#DIV/0!</v>
      </c>
      <c r="C15" s="69" t="e">
        <f t="shared" si="8"/>
        <v>#DIV/0!</v>
      </c>
      <c r="D15" s="69" t="e">
        <f t="shared" si="8"/>
        <v>#DIV/0!</v>
      </c>
      <c r="E15" s="69" t="e">
        <f t="shared" si="8"/>
        <v>#DIV/0!</v>
      </c>
      <c r="F15" s="69" t="e">
        <f t="shared" si="8"/>
        <v>#DIV/0!</v>
      </c>
      <c r="G15" s="69" t="e">
        <f t="shared" si="8"/>
        <v>#DIV/0!</v>
      </c>
      <c r="H15" s="69" t="e">
        <f t="shared" si="8"/>
        <v>#DIV/0!</v>
      </c>
      <c r="I15" s="69" t="e">
        <f t="shared" si="8"/>
        <v>#DIV/0!</v>
      </c>
      <c r="J15" s="69" t="e">
        <f t="shared" si="8"/>
        <v>#DIV/0!</v>
      </c>
      <c r="K15" s="69" t="e">
        <f t="shared" si="8"/>
        <v>#DIV/0!</v>
      </c>
      <c r="L15" s="69" t="e">
        <f t="shared" si="8"/>
        <v>#DIV/0!</v>
      </c>
      <c r="M15" s="69" t="e">
        <f t="shared" si="8"/>
        <v>#DIV/0!</v>
      </c>
      <c r="N15" s="69" t="e">
        <f t="shared" si="8"/>
        <v>#DIV/0!</v>
      </c>
      <c r="O15" s="69" t="e">
        <f t="shared" si="8"/>
        <v>#DIV/0!</v>
      </c>
      <c r="P15" s="69" t="e">
        <f t="shared" si="8"/>
        <v>#DIV/0!</v>
      </c>
      <c r="Q15" s="69" t="e">
        <f t="shared" si="8"/>
        <v>#DIV/0!</v>
      </c>
      <c r="R15" s="69" t="e">
        <f t="shared" si="8"/>
        <v>#DIV/0!</v>
      </c>
      <c r="S15" s="69" t="e">
        <f t="shared" si="8"/>
        <v>#DIV/0!</v>
      </c>
      <c r="T15" s="69" t="e">
        <f t="shared" ref="T15" si="9">2*(T3-T2)/(T3+T2)</f>
        <v>#DIV/0!</v>
      </c>
      <c r="U15" s="69" t="e">
        <f t="shared" ref="U15:AG15" si="10">2*(U3-U2)/(U3+U2)</f>
        <v>#DIV/0!</v>
      </c>
      <c r="V15" s="69" t="e">
        <f t="shared" si="10"/>
        <v>#DIV/0!</v>
      </c>
      <c r="W15" s="69" t="e">
        <f t="shared" si="10"/>
        <v>#DIV/0!</v>
      </c>
      <c r="X15" s="69" t="e">
        <f t="shared" si="10"/>
        <v>#DIV/0!</v>
      </c>
      <c r="Y15" s="69" t="e">
        <f t="shared" si="10"/>
        <v>#DIV/0!</v>
      </c>
      <c r="Z15" s="69" t="e">
        <f t="shared" si="10"/>
        <v>#DIV/0!</v>
      </c>
      <c r="AA15" s="69" t="e">
        <f t="shared" si="10"/>
        <v>#DIV/0!</v>
      </c>
      <c r="AB15" s="69" t="e">
        <f t="shared" si="10"/>
        <v>#DIV/0!</v>
      </c>
      <c r="AC15" s="69" t="e">
        <f t="shared" si="10"/>
        <v>#DIV/0!</v>
      </c>
      <c r="AD15" s="69" t="e">
        <f t="shared" si="10"/>
        <v>#DIV/0!</v>
      </c>
      <c r="AE15" s="69" t="e">
        <f t="shared" si="10"/>
        <v>#DIV/0!</v>
      </c>
      <c r="AF15" s="69" t="e">
        <f t="shared" si="10"/>
        <v>#DIV/0!</v>
      </c>
      <c r="AG15" s="69" t="e">
        <f t="shared" si="10"/>
        <v>#DIV/0!</v>
      </c>
      <c r="AH15" s="69" t="e">
        <f t="shared" si="1"/>
        <v>#DIV/0!</v>
      </c>
      <c r="AI15" s="69" t="e">
        <f t="shared" si="2"/>
        <v>#DIV/0!</v>
      </c>
      <c r="AJ15" s="69" t="e">
        <f t="shared" si="3"/>
        <v>#DIV/0!</v>
      </c>
    </row>
    <row r="16" spans="1:36" ht="15.75">
      <c r="A16" s="122" t="s">
        <v>67</v>
      </c>
      <c r="B16" s="69" t="e">
        <f t="shared" ref="B16:S16" si="11">2*(B8-B7)/(B8+B7)</f>
        <v>#DIV/0!</v>
      </c>
      <c r="C16" s="69" t="e">
        <f t="shared" si="11"/>
        <v>#DIV/0!</v>
      </c>
      <c r="D16" s="69" t="e">
        <f t="shared" si="11"/>
        <v>#DIV/0!</v>
      </c>
      <c r="E16" s="69" t="e">
        <f t="shared" si="11"/>
        <v>#DIV/0!</v>
      </c>
      <c r="F16" s="69" t="e">
        <f t="shared" si="11"/>
        <v>#DIV/0!</v>
      </c>
      <c r="G16" s="69" t="e">
        <f t="shared" si="11"/>
        <v>#DIV/0!</v>
      </c>
      <c r="H16" s="69" t="e">
        <f t="shared" si="11"/>
        <v>#DIV/0!</v>
      </c>
      <c r="I16" s="69" t="e">
        <f t="shared" si="11"/>
        <v>#DIV/0!</v>
      </c>
      <c r="J16" s="69" t="e">
        <f t="shared" si="11"/>
        <v>#DIV/0!</v>
      </c>
      <c r="K16" s="69" t="e">
        <f t="shared" si="11"/>
        <v>#DIV/0!</v>
      </c>
      <c r="L16" s="69" t="e">
        <f t="shared" si="11"/>
        <v>#DIV/0!</v>
      </c>
      <c r="M16" s="69" t="e">
        <f t="shared" si="11"/>
        <v>#DIV/0!</v>
      </c>
      <c r="N16" s="69" t="e">
        <f t="shared" si="11"/>
        <v>#DIV/0!</v>
      </c>
      <c r="O16" s="69" t="e">
        <f t="shared" si="11"/>
        <v>#DIV/0!</v>
      </c>
      <c r="P16" s="69" t="e">
        <f t="shared" si="11"/>
        <v>#DIV/0!</v>
      </c>
      <c r="Q16" s="69" t="e">
        <f t="shared" si="11"/>
        <v>#DIV/0!</v>
      </c>
      <c r="R16" s="69" t="e">
        <f t="shared" si="11"/>
        <v>#DIV/0!</v>
      </c>
      <c r="S16" s="69" t="e">
        <f t="shared" si="11"/>
        <v>#DIV/0!</v>
      </c>
      <c r="T16" s="69" t="e">
        <f t="shared" ref="T16" si="12">2*(T8-T7)/(T8+T7)</f>
        <v>#DIV/0!</v>
      </c>
      <c r="U16" s="69" t="e">
        <f t="shared" ref="U16:AG16" si="13">2*(U8-U7)/(U8+U7)</f>
        <v>#DIV/0!</v>
      </c>
      <c r="V16" s="69" t="e">
        <f t="shared" si="13"/>
        <v>#DIV/0!</v>
      </c>
      <c r="W16" s="69" t="e">
        <f t="shared" si="13"/>
        <v>#DIV/0!</v>
      </c>
      <c r="X16" s="69" t="e">
        <f t="shared" si="13"/>
        <v>#DIV/0!</v>
      </c>
      <c r="Y16" s="69" t="e">
        <f t="shared" si="13"/>
        <v>#DIV/0!</v>
      </c>
      <c r="Z16" s="69" t="e">
        <f t="shared" si="13"/>
        <v>#DIV/0!</v>
      </c>
      <c r="AA16" s="69" t="e">
        <f t="shared" si="13"/>
        <v>#DIV/0!</v>
      </c>
      <c r="AB16" s="69" t="e">
        <f t="shared" si="13"/>
        <v>#DIV/0!</v>
      </c>
      <c r="AC16" s="69" t="e">
        <f t="shared" si="13"/>
        <v>#DIV/0!</v>
      </c>
      <c r="AD16" s="69" t="e">
        <f t="shared" si="13"/>
        <v>#DIV/0!</v>
      </c>
      <c r="AE16" s="69" t="e">
        <f t="shared" si="13"/>
        <v>#DIV/0!</v>
      </c>
      <c r="AF16" s="69" t="e">
        <f t="shared" si="13"/>
        <v>#DIV/0!</v>
      </c>
      <c r="AG16" s="69" t="e">
        <f t="shared" si="13"/>
        <v>#DIV/0!</v>
      </c>
      <c r="AH16" s="69" t="e">
        <f t="shared" si="1"/>
        <v>#DIV/0!</v>
      </c>
      <c r="AI16" s="69" t="e">
        <f t="shared" si="2"/>
        <v>#DIV/0!</v>
      </c>
      <c r="AJ16" s="69" t="e">
        <f t="shared" si="3"/>
        <v>#DIV/0!</v>
      </c>
    </row>
    <row r="17" spans="1:36" ht="15.75">
      <c r="A17" s="122" t="s">
        <v>68</v>
      </c>
      <c r="B17" s="69" t="e">
        <f t="shared" ref="B17:S17" si="14">2*(B11-B10)/(B11+B10)</f>
        <v>#DIV/0!</v>
      </c>
      <c r="C17" s="69" t="e">
        <f t="shared" si="14"/>
        <v>#DIV/0!</v>
      </c>
      <c r="D17" s="69" t="e">
        <f t="shared" si="14"/>
        <v>#DIV/0!</v>
      </c>
      <c r="E17" s="69" t="e">
        <f t="shared" si="14"/>
        <v>#DIV/0!</v>
      </c>
      <c r="F17" s="69" t="e">
        <f t="shared" si="14"/>
        <v>#DIV/0!</v>
      </c>
      <c r="G17" s="69" t="e">
        <f t="shared" si="14"/>
        <v>#DIV/0!</v>
      </c>
      <c r="H17" s="69" t="e">
        <f t="shared" si="14"/>
        <v>#DIV/0!</v>
      </c>
      <c r="I17" s="69" t="e">
        <f t="shared" si="14"/>
        <v>#DIV/0!</v>
      </c>
      <c r="J17" s="69" t="e">
        <f t="shared" si="14"/>
        <v>#DIV/0!</v>
      </c>
      <c r="K17" s="69" t="e">
        <f t="shared" si="14"/>
        <v>#DIV/0!</v>
      </c>
      <c r="L17" s="69" t="e">
        <f t="shared" si="14"/>
        <v>#DIV/0!</v>
      </c>
      <c r="M17" s="69" t="e">
        <f t="shared" si="14"/>
        <v>#DIV/0!</v>
      </c>
      <c r="N17" s="69" t="e">
        <f t="shared" si="14"/>
        <v>#DIV/0!</v>
      </c>
      <c r="O17" s="69" t="e">
        <f t="shared" si="14"/>
        <v>#DIV/0!</v>
      </c>
      <c r="P17" s="69" t="e">
        <f t="shared" si="14"/>
        <v>#DIV/0!</v>
      </c>
      <c r="Q17" s="69" t="e">
        <f t="shared" si="14"/>
        <v>#DIV/0!</v>
      </c>
      <c r="R17" s="69" t="e">
        <f t="shared" si="14"/>
        <v>#DIV/0!</v>
      </c>
      <c r="S17" s="69" t="e">
        <f t="shared" si="14"/>
        <v>#DIV/0!</v>
      </c>
      <c r="T17" s="69" t="e">
        <f t="shared" ref="T17" si="15">2*(T11-T10)/(T11+T10)</f>
        <v>#DIV/0!</v>
      </c>
      <c r="U17" s="69" t="e">
        <f t="shared" ref="U17:AG17" si="16">2*(U11-U10)/(U11+U10)</f>
        <v>#DIV/0!</v>
      </c>
      <c r="V17" s="69" t="e">
        <f t="shared" si="16"/>
        <v>#DIV/0!</v>
      </c>
      <c r="W17" s="69" t="e">
        <f t="shared" si="16"/>
        <v>#DIV/0!</v>
      </c>
      <c r="X17" s="69" t="e">
        <f t="shared" si="16"/>
        <v>#DIV/0!</v>
      </c>
      <c r="Y17" s="69" t="e">
        <f t="shared" si="16"/>
        <v>#DIV/0!</v>
      </c>
      <c r="Z17" s="69" t="e">
        <f t="shared" si="16"/>
        <v>#DIV/0!</v>
      </c>
      <c r="AA17" s="69" t="e">
        <f t="shared" si="16"/>
        <v>#DIV/0!</v>
      </c>
      <c r="AB17" s="69" t="e">
        <f t="shared" si="16"/>
        <v>#DIV/0!</v>
      </c>
      <c r="AC17" s="69" t="e">
        <f t="shared" si="16"/>
        <v>#DIV/0!</v>
      </c>
      <c r="AD17" s="69" t="e">
        <f t="shared" si="16"/>
        <v>#DIV/0!</v>
      </c>
      <c r="AE17" s="69" t="e">
        <f t="shared" si="16"/>
        <v>#DIV/0!</v>
      </c>
      <c r="AF17" s="69" t="e">
        <f t="shared" si="16"/>
        <v>#DIV/0!</v>
      </c>
      <c r="AG17" s="69" t="e">
        <f t="shared" si="16"/>
        <v>#DIV/0!</v>
      </c>
      <c r="AH17" s="69" t="e">
        <f t="shared" si="1"/>
        <v>#DIV/0!</v>
      </c>
      <c r="AI17" s="69" t="e">
        <f t="shared" si="2"/>
        <v>#DIV/0!</v>
      </c>
      <c r="AJ17" s="69" t="e">
        <f t="shared" si="3"/>
        <v>#DIV/0!</v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J17"/>
  <sheetViews>
    <sheetView zoomScale="70" zoomScaleNormal="70" workbookViewId="0">
      <selection activeCell="B2" sqref="B2:AG12"/>
    </sheetView>
    <sheetView workbookViewId="1"/>
  </sheetViews>
  <sheetFormatPr defaultRowHeight="15"/>
  <cols>
    <col min="1" max="1" width="9.5703125" style="1" bestFit="1" customWidth="1"/>
    <col min="2" max="36" width="7.85546875" style="1" customWidth="1"/>
    <col min="37" max="16384" width="9.140625" style="1"/>
  </cols>
  <sheetData>
    <row r="1" spans="1:36">
      <c r="A1" s="1" t="s">
        <v>15</v>
      </c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3</v>
      </c>
      <c r="AI1" s="1" t="s">
        <v>4</v>
      </c>
      <c r="AJ1" s="1" t="s">
        <v>32</v>
      </c>
    </row>
    <row r="2" spans="1:36">
      <c r="A2" s="112" t="s">
        <v>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2" t="e">
        <f>AVERAGE(B2:AG2)</f>
        <v>#DIV/0!</v>
      </c>
      <c r="AI2" s="2" t="e">
        <f>STDEV(B2:AG2)</f>
        <v>#DIV/0!</v>
      </c>
      <c r="AJ2" s="41">
        <f>MAX(B2:AG2)</f>
        <v>0</v>
      </c>
    </row>
    <row r="3" spans="1:36">
      <c r="A3" s="112" t="s">
        <v>7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2" t="e">
        <f t="shared" ref="AH3:AH17" si="1">AVERAGE(B3:AG3)</f>
        <v>#DIV/0!</v>
      </c>
      <c r="AI3" s="2" t="e">
        <f t="shared" ref="AI3:AI17" si="2">STDEV(B3:AG3)</f>
        <v>#DIV/0!</v>
      </c>
      <c r="AJ3" s="41">
        <f t="shared" ref="AJ3:AJ17" si="3">MAX(B3:AG3)</f>
        <v>0</v>
      </c>
    </row>
    <row r="4" spans="1:36">
      <c r="A4" s="112" t="s">
        <v>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2" t="e">
        <f>AVERAGE(B4:AG4)</f>
        <v>#DIV/0!</v>
      </c>
      <c r="AI4" s="2" t="e">
        <f>STDEV(B4:AG4)</f>
        <v>#DIV/0!</v>
      </c>
      <c r="AJ4" s="41">
        <f>MAX(B4:AG4)</f>
        <v>0</v>
      </c>
    </row>
    <row r="5" spans="1:36">
      <c r="A5" s="112" t="s">
        <v>9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2" t="e">
        <f>AVERAGE(B5:AG5)</f>
        <v>#DIV/0!</v>
      </c>
      <c r="AI5" s="2" t="e">
        <f>STDEV(B5:AG5)</f>
        <v>#DIV/0!</v>
      </c>
      <c r="AJ5" s="41">
        <f>MAX(B5:AG5)</f>
        <v>0</v>
      </c>
    </row>
    <row r="6" spans="1:36">
      <c r="A6" s="112" t="s">
        <v>33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" t="e">
        <f>AVERAGE(B6:AG6)</f>
        <v>#DIV/0!</v>
      </c>
      <c r="AI6" s="3" t="e">
        <f>STDEV(B6:AG6)</f>
        <v>#DIV/0!</v>
      </c>
      <c r="AJ6" s="3">
        <f>MAX(B6:AG6)</f>
        <v>0</v>
      </c>
    </row>
    <row r="7" spans="1:36" s="112" customFormat="1">
      <c r="A7" s="112" t="str">
        <f>A3&amp;"-1"</f>
        <v>Range1-1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 t="e">
        <f t="shared" ref="AH7:AH12" si="4">AVERAGE(B7:AG7)</f>
        <v>#DIV/0!</v>
      </c>
      <c r="AI7" s="114" t="e">
        <f t="shared" ref="AI7:AI12" si="5">STDEV(B7:AG7)</f>
        <v>#DIV/0!</v>
      </c>
      <c r="AJ7" s="114">
        <f t="shared" ref="AJ7:AJ12" si="6">MAX(B7:AG7)</f>
        <v>0</v>
      </c>
    </row>
    <row r="8" spans="1:36" s="112" customFormat="1">
      <c r="A8" s="112" t="str">
        <f>A4&amp;"-1"</f>
        <v>Range2-1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 t="e">
        <f t="shared" si="4"/>
        <v>#DIV/0!</v>
      </c>
      <c r="AI8" s="114" t="e">
        <f t="shared" si="5"/>
        <v>#DIV/0!</v>
      </c>
      <c r="AJ8" s="114">
        <f t="shared" si="6"/>
        <v>0</v>
      </c>
    </row>
    <row r="9" spans="1:36" s="112" customFormat="1">
      <c r="A9" s="112" t="str">
        <f>A5&amp;"-1"</f>
        <v>Range3-1</v>
      </c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 t="e">
        <f t="shared" si="4"/>
        <v>#DIV/0!</v>
      </c>
      <c r="AI9" s="114" t="e">
        <f t="shared" si="5"/>
        <v>#DIV/0!</v>
      </c>
      <c r="AJ9" s="114">
        <f t="shared" si="6"/>
        <v>0</v>
      </c>
    </row>
    <row r="10" spans="1:36" s="112" customFormat="1">
      <c r="A10" s="112" t="str">
        <f>A4&amp;"-2"</f>
        <v>Range2-2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 t="e">
        <f t="shared" si="4"/>
        <v>#DIV/0!</v>
      </c>
      <c r="AI10" s="114" t="e">
        <f t="shared" si="5"/>
        <v>#DIV/0!</v>
      </c>
      <c r="AJ10" s="114">
        <f t="shared" si="6"/>
        <v>0</v>
      </c>
    </row>
    <row r="11" spans="1:36" s="112" customFormat="1">
      <c r="A11" s="112" t="str">
        <f>A5&amp;"-2"</f>
        <v>Range3-2</v>
      </c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 t="e">
        <f t="shared" si="4"/>
        <v>#DIV/0!</v>
      </c>
      <c r="AI11" s="114" t="e">
        <f t="shared" si="5"/>
        <v>#DIV/0!</v>
      </c>
      <c r="AJ11" s="114">
        <f t="shared" si="6"/>
        <v>0</v>
      </c>
    </row>
    <row r="12" spans="1:36" s="112" customFormat="1">
      <c r="A12" s="112" t="str">
        <f>A5&amp;"-3"</f>
        <v>Range3-3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 t="e">
        <f t="shared" si="4"/>
        <v>#DIV/0!</v>
      </c>
      <c r="AI12" s="114" t="e">
        <f t="shared" si="5"/>
        <v>#DIV/0!</v>
      </c>
      <c r="AJ12" s="114">
        <f t="shared" si="6"/>
        <v>0</v>
      </c>
    </row>
    <row r="14" spans="1:36">
      <c r="A14" s="112" t="s">
        <v>34</v>
      </c>
      <c r="B14" s="68" t="str">
        <f t="shared" ref="B14:AG14" si="7">IF(B6&lt;&gt;0,B5/B6,"")</f>
        <v/>
      </c>
      <c r="C14" s="68" t="str">
        <f t="shared" si="7"/>
        <v/>
      </c>
      <c r="D14" s="68" t="str">
        <f t="shared" si="7"/>
        <v/>
      </c>
      <c r="E14" s="68" t="str">
        <f t="shared" si="7"/>
        <v/>
      </c>
      <c r="F14" s="68" t="str">
        <f t="shared" si="7"/>
        <v/>
      </c>
      <c r="G14" s="68" t="str">
        <f t="shared" si="7"/>
        <v/>
      </c>
      <c r="H14" s="68" t="str">
        <f t="shared" si="7"/>
        <v/>
      </c>
      <c r="I14" s="68" t="str">
        <f t="shared" si="7"/>
        <v/>
      </c>
      <c r="J14" s="68" t="str">
        <f t="shared" si="7"/>
        <v/>
      </c>
      <c r="K14" s="68" t="str">
        <f t="shared" si="7"/>
        <v/>
      </c>
      <c r="L14" s="68" t="str">
        <f t="shared" si="7"/>
        <v/>
      </c>
      <c r="M14" s="68" t="str">
        <f t="shared" si="7"/>
        <v/>
      </c>
      <c r="N14" s="68" t="str">
        <f t="shared" si="7"/>
        <v/>
      </c>
      <c r="O14" s="68" t="str">
        <f t="shared" si="7"/>
        <v/>
      </c>
      <c r="P14" s="68" t="str">
        <f t="shared" si="7"/>
        <v/>
      </c>
      <c r="Q14" s="68" t="str">
        <f t="shared" si="7"/>
        <v/>
      </c>
      <c r="R14" s="68" t="str">
        <f t="shared" si="7"/>
        <v/>
      </c>
      <c r="S14" s="68" t="str">
        <f t="shared" si="7"/>
        <v/>
      </c>
      <c r="T14" s="68" t="str">
        <f t="shared" si="7"/>
        <v/>
      </c>
      <c r="U14" s="68" t="str">
        <f t="shared" si="7"/>
        <v/>
      </c>
      <c r="V14" s="68" t="str">
        <f t="shared" si="7"/>
        <v/>
      </c>
      <c r="W14" s="68" t="str">
        <f t="shared" si="7"/>
        <v/>
      </c>
      <c r="X14" s="68" t="str">
        <f t="shared" si="7"/>
        <v/>
      </c>
      <c r="Y14" s="68" t="str">
        <f t="shared" si="7"/>
        <v/>
      </c>
      <c r="Z14" s="68" t="str">
        <f t="shared" si="7"/>
        <v/>
      </c>
      <c r="AA14" s="68" t="str">
        <f t="shared" si="7"/>
        <v/>
      </c>
      <c r="AB14" s="68" t="str">
        <f t="shared" si="7"/>
        <v/>
      </c>
      <c r="AC14" s="68" t="str">
        <f t="shared" si="7"/>
        <v/>
      </c>
      <c r="AD14" s="68" t="str">
        <f t="shared" si="7"/>
        <v/>
      </c>
      <c r="AE14" s="68" t="str">
        <f t="shared" si="7"/>
        <v/>
      </c>
      <c r="AF14" s="68" t="str">
        <f t="shared" si="7"/>
        <v/>
      </c>
      <c r="AG14" s="68" t="str">
        <f t="shared" si="7"/>
        <v/>
      </c>
      <c r="AH14" s="42" t="e">
        <f t="shared" si="1"/>
        <v>#DIV/0!</v>
      </c>
      <c r="AI14" s="42" t="e">
        <f t="shared" si="2"/>
        <v>#DIV/0!</v>
      </c>
      <c r="AJ14" s="42">
        <f t="shared" si="3"/>
        <v>0</v>
      </c>
    </row>
    <row r="15" spans="1:36" ht="15.75">
      <c r="A15" s="122" t="s">
        <v>66</v>
      </c>
      <c r="B15" s="69" t="e">
        <f t="shared" ref="B15:S15" si="8">2*(B3-B2)/(B3+B2)</f>
        <v>#DIV/0!</v>
      </c>
      <c r="C15" s="69" t="e">
        <f t="shared" si="8"/>
        <v>#DIV/0!</v>
      </c>
      <c r="D15" s="69" t="e">
        <f t="shared" si="8"/>
        <v>#DIV/0!</v>
      </c>
      <c r="E15" s="69" t="e">
        <f t="shared" si="8"/>
        <v>#DIV/0!</v>
      </c>
      <c r="F15" s="69" t="e">
        <f t="shared" si="8"/>
        <v>#DIV/0!</v>
      </c>
      <c r="G15" s="69" t="e">
        <f t="shared" si="8"/>
        <v>#DIV/0!</v>
      </c>
      <c r="H15" s="69" t="e">
        <f t="shared" si="8"/>
        <v>#DIV/0!</v>
      </c>
      <c r="I15" s="69" t="e">
        <f t="shared" si="8"/>
        <v>#DIV/0!</v>
      </c>
      <c r="J15" s="69" t="e">
        <f t="shared" si="8"/>
        <v>#DIV/0!</v>
      </c>
      <c r="K15" s="69" t="e">
        <f t="shared" si="8"/>
        <v>#DIV/0!</v>
      </c>
      <c r="L15" s="69" t="e">
        <f t="shared" si="8"/>
        <v>#DIV/0!</v>
      </c>
      <c r="M15" s="69" t="e">
        <f t="shared" si="8"/>
        <v>#DIV/0!</v>
      </c>
      <c r="N15" s="69" t="e">
        <f t="shared" si="8"/>
        <v>#DIV/0!</v>
      </c>
      <c r="O15" s="69" t="e">
        <f t="shared" si="8"/>
        <v>#DIV/0!</v>
      </c>
      <c r="P15" s="69" t="e">
        <f t="shared" si="8"/>
        <v>#DIV/0!</v>
      </c>
      <c r="Q15" s="69" t="e">
        <f t="shared" si="8"/>
        <v>#DIV/0!</v>
      </c>
      <c r="R15" s="69" t="e">
        <f t="shared" si="8"/>
        <v>#DIV/0!</v>
      </c>
      <c r="S15" s="69" t="e">
        <f t="shared" si="8"/>
        <v>#DIV/0!</v>
      </c>
      <c r="T15" s="69" t="e">
        <f t="shared" ref="T15" si="9">2*(T3-T2)/(T3+T2)</f>
        <v>#DIV/0!</v>
      </c>
      <c r="U15" s="69" t="e">
        <f t="shared" ref="U15:AG15" si="10">2*(U3-U2)/(U3+U2)</f>
        <v>#DIV/0!</v>
      </c>
      <c r="V15" s="69" t="e">
        <f t="shared" si="10"/>
        <v>#DIV/0!</v>
      </c>
      <c r="W15" s="69" t="e">
        <f t="shared" si="10"/>
        <v>#DIV/0!</v>
      </c>
      <c r="X15" s="69" t="e">
        <f t="shared" si="10"/>
        <v>#DIV/0!</v>
      </c>
      <c r="Y15" s="69" t="e">
        <f t="shared" si="10"/>
        <v>#DIV/0!</v>
      </c>
      <c r="Z15" s="69" t="e">
        <f t="shared" si="10"/>
        <v>#DIV/0!</v>
      </c>
      <c r="AA15" s="69" t="e">
        <f t="shared" si="10"/>
        <v>#DIV/0!</v>
      </c>
      <c r="AB15" s="69" t="e">
        <f t="shared" si="10"/>
        <v>#DIV/0!</v>
      </c>
      <c r="AC15" s="69" t="e">
        <f t="shared" si="10"/>
        <v>#DIV/0!</v>
      </c>
      <c r="AD15" s="69" t="e">
        <f t="shared" si="10"/>
        <v>#DIV/0!</v>
      </c>
      <c r="AE15" s="69" t="e">
        <f t="shared" si="10"/>
        <v>#DIV/0!</v>
      </c>
      <c r="AF15" s="69" t="e">
        <f t="shared" si="10"/>
        <v>#DIV/0!</v>
      </c>
      <c r="AG15" s="69" t="e">
        <f t="shared" si="10"/>
        <v>#DIV/0!</v>
      </c>
      <c r="AH15" s="69" t="e">
        <f t="shared" si="1"/>
        <v>#DIV/0!</v>
      </c>
      <c r="AI15" s="69" t="e">
        <f t="shared" si="2"/>
        <v>#DIV/0!</v>
      </c>
      <c r="AJ15" s="69" t="e">
        <f t="shared" si="3"/>
        <v>#DIV/0!</v>
      </c>
    </row>
    <row r="16" spans="1:36" ht="15.75">
      <c r="A16" s="122" t="s">
        <v>67</v>
      </c>
      <c r="B16" s="69" t="e">
        <f t="shared" ref="B16:S16" si="11">2*(B8-B7)/(B8+B7)</f>
        <v>#DIV/0!</v>
      </c>
      <c r="C16" s="69" t="e">
        <f t="shared" si="11"/>
        <v>#DIV/0!</v>
      </c>
      <c r="D16" s="69" t="e">
        <f t="shared" si="11"/>
        <v>#DIV/0!</v>
      </c>
      <c r="E16" s="69" t="e">
        <f t="shared" si="11"/>
        <v>#DIV/0!</v>
      </c>
      <c r="F16" s="69" t="e">
        <f t="shared" si="11"/>
        <v>#DIV/0!</v>
      </c>
      <c r="G16" s="69" t="e">
        <f t="shared" si="11"/>
        <v>#DIV/0!</v>
      </c>
      <c r="H16" s="69" t="e">
        <f t="shared" si="11"/>
        <v>#DIV/0!</v>
      </c>
      <c r="I16" s="69" t="e">
        <f t="shared" si="11"/>
        <v>#DIV/0!</v>
      </c>
      <c r="J16" s="69" t="e">
        <f t="shared" si="11"/>
        <v>#DIV/0!</v>
      </c>
      <c r="K16" s="69" t="e">
        <f t="shared" si="11"/>
        <v>#DIV/0!</v>
      </c>
      <c r="L16" s="69" t="e">
        <f t="shared" si="11"/>
        <v>#DIV/0!</v>
      </c>
      <c r="M16" s="69" t="e">
        <f t="shared" si="11"/>
        <v>#DIV/0!</v>
      </c>
      <c r="N16" s="69" t="e">
        <f t="shared" si="11"/>
        <v>#DIV/0!</v>
      </c>
      <c r="O16" s="69" t="e">
        <f t="shared" si="11"/>
        <v>#DIV/0!</v>
      </c>
      <c r="P16" s="69" t="e">
        <f t="shared" si="11"/>
        <v>#DIV/0!</v>
      </c>
      <c r="Q16" s="69" t="e">
        <f t="shared" si="11"/>
        <v>#DIV/0!</v>
      </c>
      <c r="R16" s="69" t="e">
        <f t="shared" si="11"/>
        <v>#DIV/0!</v>
      </c>
      <c r="S16" s="69" t="e">
        <f t="shared" si="11"/>
        <v>#DIV/0!</v>
      </c>
      <c r="T16" s="69" t="e">
        <f t="shared" ref="T16" si="12">2*(T8-T7)/(T8+T7)</f>
        <v>#DIV/0!</v>
      </c>
      <c r="U16" s="69" t="e">
        <f t="shared" ref="U16:AG16" si="13">2*(U8-U7)/(U8+U7)</f>
        <v>#DIV/0!</v>
      </c>
      <c r="V16" s="69" t="e">
        <f t="shared" si="13"/>
        <v>#DIV/0!</v>
      </c>
      <c r="W16" s="69" t="e">
        <f t="shared" si="13"/>
        <v>#DIV/0!</v>
      </c>
      <c r="X16" s="69" t="e">
        <f t="shared" si="13"/>
        <v>#DIV/0!</v>
      </c>
      <c r="Y16" s="69" t="e">
        <f t="shared" si="13"/>
        <v>#DIV/0!</v>
      </c>
      <c r="Z16" s="69" t="e">
        <f t="shared" si="13"/>
        <v>#DIV/0!</v>
      </c>
      <c r="AA16" s="69" t="e">
        <f t="shared" si="13"/>
        <v>#DIV/0!</v>
      </c>
      <c r="AB16" s="69" t="e">
        <f t="shared" si="13"/>
        <v>#DIV/0!</v>
      </c>
      <c r="AC16" s="69" t="e">
        <f t="shared" si="13"/>
        <v>#DIV/0!</v>
      </c>
      <c r="AD16" s="69" t="e">
        <f t="shared" si="13"/>
        <v>#DIV/0!</v>
      </c>
      <c r="AE16" s="69" t="e">
        <f t="shared" si="13"/>
        <v>#DIV/0!</v>
      </c>
      <c r="AF16" s="69" t="e">
        <f t="shared" si="13"/>
        <v>#DIV/0!</v>
      </c>
      <c r="AG16" s="69" t="e">
        <f t="shared" si="13"/>
        <v>#DIV/0!</v>
      </c>
      <c r="AH16" s="69" t="e">
        <f t="shared" si="1"/>
        <v>#DIV/0!</v>
      </c>
      <c r="AI16" s="69" t="e">
        <f t="shared" si="2"/>
        <v>#DIV/0!</v>
      </c>
      <c r="AJ16" s="69" t="e">
        <f t="shared" si="3"/>
        <v>#DIV/0!</v>
      </c>
    </row>
    <row r="17" spans="1:36" ht="15.75">
      <c r="A17" s="122" t="s">
        <v>68</v>
      </c>
      <c r="B17" s="69" t="e">
        <f t="shared" ref="B17:S17" si="14">2*(B11-B10)/(B11+B10)</f>
        <v>#DIV/0!</v>
      </c>
      <c r="C17" s="69" t="e">
        <f t="shared" si="14"/>
        <v>#DIV/0!</v>
      </c>
      <c r="D17" s="69" t="e">
        <f t="shared" si="14"/>
        <v>#DIV/0!</v>
      </c>
      <c r="E17" s="69" t="e">
        <f t="shared" si="14"/>
        <v>#DIV/0!</v>
      </c>
      <c r="F17" s="69" t="e">
        <f t="shared" si="14"/>
        <v>#DIV/0!</v>
      </c>
      <c r="G17" s="69" t="e">
        <f t="shared" si="14"/>
        <v>#DIV/0!</v>
      </c>
      <c r="H17" s="69" t="e">
        <f t="shared" si="14"/>
        <v>#DIV/0!</v>
      </c>
      <c r="I17" s="69" t="e">
        <f t="shared" si="14"/>
        <v>#DIV/0!</v>
      </c>
      <c r="J17" s="69" t="e">
        <f t="shared" si="14"/>
        <v>#DIV/0!</v>
      </c>
      <c r="K17" s="69" t="e">
        <f t="shared" si="14"/>
        <v>#DIV/0!</v>
      </c>
      <c r="L17" s="69" t="e">
        <f t="shared" si="14"/>
        <v>#DIV/0!</v>
      </c>
      <c r="M17" s="69" t="e">
        <f t="shared" si="14"/>
        <v>#DIV/0!</v>
      </c>
      <c r="N17" s="69" t="e">
        <f t="shared" si="14"/>
        <v>#DIV/0!</v>
      </c>
      <c r="O17" s="69" t="e">
        <f t="shared" si="14"/>
        <v>#DIV/0!</v>
      </c>
      <c r="P17" s="69" t="e">
        <f t="shared" si="14"/>
        <v>#DIV/0!</v>
      </c>
      <c r="Q17" s="69" t="e">
        <f t="shared" si="14"/>
        <v>#DIV/0!</v>
      </c>
      <c r="R17" s="69" t="e">
        <f t="shared" si="14"/>
        <v>#DIV/0!</v>
      </c>
      <c r="S17" s="69" t="e">
        <f t="shared" si="14"/>
        <v>#DIV/0!</v>
      </c>
      <c r="T17" s="69" t="e">
        <f t="shared" ref="T17" si="15">2*(T11-T10)/(T11+T10)</f>
        <v>#DIV/0!</v>
      </c>
      <c r="U17" s="69" t="e">
        <f t="shared" ref="U17:AG17" si="16">2*(U11-U10)/(U11+U10)</f>
        <v>#DIV/0!</v>
      </c>
      <c r="V17" s="69" t="e">
        <f t="shared" si="16"/>
        <v>#DIV/0!</v>
      </c>
      <c r="W17" s="69" t="e">
        <f t="shared" si="16"/>
        <v>#DIV/0!</v>
      </c>
      <c r="X17" s="69" t="e">
        <f t="shared" si="16"/>
        <v>#DIV/0!</v>
      </c>
      <c r="Y17" s="69" t="e">
        <f t="shared" si="16"/>
        <v>#DIV/0!</v>
      </c>
      <c r="Z17" s="69" t="e">
        <f t="shared" si="16"/>
        <v>#DIV/0!</v>
      </c>
      <c r="AA17" s="69" t="e">
        <f t="shared" si="16"/>
        <v>#DIV/0!</v>
      </c>
      <c r="AB17" s="69" t="e">
        <f t="shared" si="16"/>
        <v>#DIV/0!</v>
      </c>
      <c r="AC17" s="69" t="e">
        <f t="shared" si="16"/>
        <v>#DIV/0!</v>
      </c>
      <c r="AD17" s="69" t="e">
        <f t="shared" si="16"/>
        <v>#DIV/0!</v>
      </c>
      <c r="AE17" s="69" t="e">
        <f t="shared" si="16"/>
        <v>#DIV/0!</v>
      </c>
      <c r="AF17" s="69" t="e">
        <f t="shared" si="16"/>
        <v>#DIV/0!</v>
      </c>
      <c r="AG17" s="69" t="e">
        <f t="shared" si="16"/>
        <v>#DIV/0!</v>
      </c>
      <c r="AH17" s="69" t="e">
        <f t="shared" si="1"/>
        <v>#DIV/0!</v>
      </c>
      <c r="AI17" s="69" t="e">
        <f t="shared" si="2"/>
        <v>#DIV/0!</v>
      </c>
      <c r="AJ17" s="69" t="e">
        <f t="shared" si="3"/>
        <v>#DIV/0!</v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J17"/>
  <sheetViews>
    <sheetView zoomScale="70" zoomScaleNormal="70" workbookViewId="0">
      <selection activeCell="B2" sqref="B2:AG12"/>
    </sheetView>
    <sheetView workbookViewId="1"/>
  </sheetViews>
  <sheetFormatPr defaultRowHeight="15"/>
  <cols>
    <col min="1" max="1" width="9.5703125" style="1" bestFit="1" customWidth="1"/>
    <col min="2" max="33" width="6.5703125" style="1" customWidth="1"/>
    <col min="34" max="16384" width="9.140625" style="1"/>
  </cols>
  <sheetData>
    <row r="1" spans="1:36">
      <c r="A1" s="1" t="s">
        <v>16</v>
      </c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3</v>
      </c>
      <c r="AI1" s="1" t="s">
        <v>4</v>
      </c>
      <c r="AJ1" s="1" t="s">
        <v>32</v>
      </c>
    </row>
    <row r="2" spans="1:36">
      <c r="A2" s="112" t="s">
        <v>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2" t="e">
        <f>AVERAGE(B2:AG2)</f>
        <v>#DIV/0!</v>
      </c>
      <c r="AI2" s="2" t="e">
        <f>STDEV(B2:AG2)</f>
        <v>#DIV/0!</v>
      </c>
      <c r="AJ2" s="41">
        <f>MAX(B2:AG2)</f>
        <v>0</v>
      </c>
    </row>
    <row r="3" spans="1:36">
      <c r="A3" s="112" t="s">
        <v>7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2" t="e">
        <f t="shared" ref="AH3" si="1">AVERAGE(B3:AG3)</f>
        <v>#DIV/0!</v>
      </c>
      <c r="AI3" s="2" t="e">
        <f t="shared" ref="AI3" si="2">STDEV(B3:AG3)</f>
        <v>#DIV/0!</v>
      </c>
      <c r="AJ3" s="41">
        <f t="shared" ref="AJ3" si="3">MAX(B3:AG3)</f>
        <v>0</v>
      </c>
    </row>
    <row r="4" spans="1:36">
      <c r="A4" s="112" t="s">
        <v>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2" t="e">
        <f>AVERAGE(B4:AG4)</f>
        <v>#DIV/0!</v>
      </c>
      <c r="AI4" s="2" t="e">
        <f>STDEV(B4:AG4)</f>
        <v>#DIV/0!</v>
      </c>
      <c r="AJ4" s="41">
        <f>MAX(B4:AG4)</f>
        <v>0</v>
      </c>
    </row>
    <row r="5" spans="1:36">
      <c r="A5" s="112" t="s">
        <v>9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2" t="e">
        <f>AVERAGE(B5:AG5)</f>
        <v>#DIV/0!</v>
      </c>
      <c r="AI5" s="2" t="e">
        <f>STDEV(B5:AG5)</f>
        <v>#DIV/0!</v>
      </c>
      <c r="AJ5" s="41">
        <f>MAX(B5:AG5)</f>
        <v>0</v>
      </c>
    </row>
    <row r="6" spans="1:36">
      <c r="A6" s="112" t="s">
        <v>33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" t="e">
        <f t="shared" ref="AH6:AH12" si="4">AVERAGE(B6:AG6)</f>
        <v>#DIV/0!</v>
      </c>
      <c r="AI6" s="3" t="e">
        <f t="shared" ref="AI6:AI12" si="5">STDEV(B6:AG6)</f>
        <v>#DIV/0!</v>
      </c>
      <c r="AJ6" s="3">
        <f t="shared" ref="AJ6:AJ12" si="6">MAX(B6:AG6)</f>
        <v>0</v>
      </c>
    </row>
    <row r="7" spans="1:36" s="112" customFormat="1">
      <c r="A7" s="112" t="str">
        <f>A3&amp;"-1"</f>
        <v>Range1-1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 t="e">
        <f t="shared" si="4"/>
        <v>#DIV/0!</v>
      </c>
      <c r="AI7" s="114" t="e">
        <f t="shared" si="5"/>
        <v>#DIV/0!</v>
      </c>
      <c r="AJ7" s="114">
        <f t="shared" si="6"/>
        <v>0</v>
      </c>
    </row>
    <row r="8" spans="1:36" s="112" customFormat="1">
      <c r="A8" s="112" t="str">
        <f>A4&amp;"-1"</f>
        <v>Range2-1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 t="e">
        <f t="shared" si="4"/>
        <v>#DIV/0!</v>
      </c>
      <c r="AI8" s="114" t="e">
        <f t="shared" si="5"/>
        <v>#DIV/0!</v>
      </c>
      <c r="AJ8" s="114">
        <f t="shared" si="6"/>
        <v>0</v>
      </c>
    </row>
    <row r="9" spans="1:36" s="112" customFormat="1">
      <c r="A9" s="112" t="str">
        <f>A4&amp;"-2"</f>
        <v>Range2-2</v>
      </c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 t="e">
        <f t="shared" si="4"/>
        <v>#DIV/0!</v>
      </c>
      <c r="AI9" s="114" t="e">
        <f t="shared" si="5"/>
        <v>#DIV/0!</v>
      </c>
      <c r="AJ9" s="114">
        <f t="shared" si="6"/>
        <v>0</v>
      </c>
    </row>
    <row r="10" spans="1:36" s="112" customFormat="1">
      <c r="A10" s="112" t="str">
        <f>A5&amp;"-1"</f>
        <v>Range3-1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 t="e">
        <f t="shared" si="4"/>
        <v>#DIV/0!</v>
      </c>
      <c r="AI10" s="114" t="e">
        <f t="shared" si="5"/>
        <v>#DIV/0!</v>
      </c>
      <c r="AJ10" s="114">
        <f t="shared" si="6"/>
        <v>0</v>
      </c>
    </row>
    <row r="11" spans="1:36" s="112" customFormat="1">
      <c r="A11" s="112" t="str">
        <f>A5&amp;"-2"</f>
        <v>Range3-2</v>
      </c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 t="e">
        <f t="shared" si="4"/>
        <v>#DIV/0!</v>
      </c>
      <c r="AI11" s="114" t="e">
        <f t="shared" si="5"/>
        <v>#DIV/0!</v>
      </c>
      <c r="AJ11" s="114">
        <f t="shared" si="6"/>
        <v>0</v>
      </c>
    </row>
    <row r="12" spans="1:36" s="112" customFormat="1">
      <c r="A12" s="112" t="str">
        <f>A5&amp;"-3"</f>
        <v>Range3-3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 t="e">
        <f t="shared" si="4"/>
        <v>#DIV/0!</v>
      </c>
      <c r="AI12" s="114" t="e">
        <f t="shared" si="5"/>
        <v>#DIV/0!</v>
      </c>
      <c r="AJ12" s="114">
        <f t="shared" si="6"/>
        <v>0</v>
      </c>
    </row>
    <row r="14" spans="1:36">
      <c r="A14" s="112" t="s">
        <v>34</v>
      </c>
      <c r="B14" s="68" t="str">
        <f t="shared" ref="B14:AG14" si="7">IF(B6&lt;&gt;0,B5/B6,"")</f>
        <v/>
      </c>
      <c r="C14" s="68" t="str">
        <f t="shared" si="7"/>
        <v/>
      </c>
      <c r="D14" s="68" t="str">
        <f t="shared" si="7"/>
        <v/>
      </c>
      <c r="E14" s="68" t="str">
        <f t="shared" si="7"/>
        <v/>
      </c>
      <c r="F14" s="68" t="str">
        <f t="shared" si="7"/>
        <v/>
      </c>
      <c r="G14" s="68" t="str">
        <f t="shared" si="7"/>
        <v/>
      </c>
      <c r="H14" s="68" t="str">
        <f t="shared" si="7"/>
        <v/>
      </c>
      <c r="I14" s="68" t="str">
        <f t="shared" si="7"/>
        <v/>
      </c>
      <c r="J14" s="68" t="str">
        <f t="shared" si="7"/>
        <v/>
      </c>
      <c r="K14" s="68" t="str">
        <f t="shared" si="7"/>
        <v/>
      </c>
      <c r="L14" s="68" t="str">
        <f t="shared" si="7"/>
        <v/>
      </c>
      <c r="M14" s="68" t="str">
        <f t="shared" si="7"/>
        <v/>
      </c>
      <c r="N14" s="68" t="str">
        <f t="shared" si="7"/>
        <v/>
      </c>
      <c r="O14" s="68" t="str">
        <f t="shared" si="7"/>
        <v/>
      </c>
      <c r="P14" s="68" t="str">
        <f t="shared" si="7"/>
        <v/>
      </c>
      <c r="Q14" s="68" t="str">
        <f t="shared" si="7"/>
        <v/>
      </c>
      <c r="R14" s="68" t="str">
        <f t="shared" si="7"/>
        <v/>
      </c>
      <c r="S14" s="68" t="str">
        <f t="shared" si="7"/>
        <v/>
      </c>
      <c r="T14" s="68" t="str">
        <f t="shared" si="7"/>
        <v/>
      </c>
      <c r="U14" s="68" t="str">
        <f t="shared" si="7"/>
        <v/>
      </c>
      <c r="V14" s="68" t="str">
        <f t="shared" si="7"/>
        <v/>
      </c>
      <c r="W14" s="68" t="str">
        <f t="shared" si="7"/>
        <v/>
      </c>
      <c r="X14" s="68" t="str">
        <f t="shared" si="7"/>
        <v/>
      </c>
      <c r="Y14" s="68" t="str">
        <f t="shared" si="7"/>
        <v/>
      </c>
      <c r="Z14" s="68" t="str">
        <f t="shared" si="7"/>
        <v/>
      </c>
      <c r="AA14" s="68" t="str">
        <f t="shared" si="7"/>
        <v/>
      </c>
      <c r="AB14" s="68" t="str">
        <f t="shared" si="7"/>
        <v/>
      </c>
      <c r="AC14" s="68" t="str">
        <f t="shared" si="7"/>
        <v/>
      </c>
      <c r="AD14" s="68" t="str">
        <f t="shared" si="7"/>
        <v/>
      </c>
      <c r="AE14" s="68" t="str">
        <f t="shared" si="7"/>
        <v/>
      </c>
      <c r="AF14" s="68" t="str">
        <f t="shared" si="7"/>
        <v/>
      </c>
      <c r="AG14" s="68" t="str">
        <f t="shared" si="7"/>
        <v/>
      </c>
      <c r="AH14" s="42" t="e">
        <f t="shared" ref="AH14:AH17" si="8">AVERAGE(B14:AG14)</f>
        <v>#DIV/0!</v>
      </c>
      <c r="AI14" s="42" t="e">
        <f t="shared" ref="AI14:AI17" si="9">STDEV(B14:AG14)</f>
        <v>#DIV/0!</v>
      </c>
      <c r="AJ14" s="42">
        <f t="shared" ref="AJ14:AJ17" si="10">MAX(B14:AG14)</f>
        <v>0</v>
      </c>
    </row>
    <row r="15" spans="1:36" ht="15.75">
      <c r="A15" s="122" t="s">
        <v>66</v>
      </c>
      <c r="B15" s="69" t="e">
        <f t="shared" ref="B15:S15" si="11">2*(B3-B2)/(B3+B2)</f>
        <v>#DIV/0!</v>
      </c>
      <c r="C15" s="69" t="e">
        <f t="shared" si="11"/>
        <v>#DIV/0!</v>
      </c>
      <c r="D15" s="69" t="e">
        <f t="shared" si="11"/>
        <v>#DIV/0!</v>
      </c>
      <c r="E15" s="69" t="e">
        <f t="shared" si="11"/>
        <v>#DIV/0!</v>
      </c>
      <c r="F15" s="69" t="e">
        <f t="shared" si="11"/>
        <v>#DIV/0!</v>
      </c>
      <c r="G15" s="69" t="e">
        <f t="shared" si="11"/>
        <v>#DIV/0!</v>
      </c>
      <c r="H15" s="69" t="e">
        <f t="shared" si="11"/>
        <v>#DIV/0!</v>
      </c>
      <c r="I15" s="69" t="e">
        <f t="shared" si="11"/>
        <v>#DIV/0!</v>
      </c>
      <c r="J15" s="69" t="e">
        <f t="shared" si="11"/>
        <v>#DIV/0!</v>
      </c>
      <c r="K15" s="69" t="e">
        <f t="shared" si="11"/>
        <v>#DIV/0!</v>
      </c>
      <c r="L15" s="69" t="e">
        <f t="shared" si="11"/>
        <v>#DIV/0!</v>
      </c>
      <c r="M15" s="69" t="e">
        <f t="shared" si="11"/>
        <v>#DIV/0!</v>
      </c>
      <c r="N15" s="69" t="e">
        <f t="shared" si="11"/>
        <v>#DIV/0!</v>
      </c>
      <c r="O15" s="69" t="e">
        <f t="shared" si="11"/>
        <v>#DIV/0!</v>
      </c>
      <c r="P15" s="69" t="e">
        <f t="shared" si="11"/>
        <v>#DIV/0!</v>
      </c>
      <c r="Q15" s="69" t="e">
        <f t="shared" si="11"/>
        <v>#DIV/0!</v>
      </c>
      <c r="R15" s="69" t="e">
        <f t="shared" si="11"/>
        <v>#DIV/0!</v>
      </c>
      <c r="S15" s="69" t="e">
        <f t="shared" si="11"/>
        <v>#DIV/0!</v>
      </c>
      <c r="T15" s="69" t="e">
        <f t="shared" ref="T15" si="12">2*(T3-T2)/(T3+T2)</f>
        <v>#DIV/0!</v>
      </c>
      <c r="U15" s="69" t="e">
        <f t="shared" ref="U15:AG15" si="13">2*(U3-U2)/(U3+U2)</f>
        <v>#DIV/0!</v>
      </c>
      <c r="V15" s="69" t="e">
        <f t="shared" si="13"/>
        <v>#DIV/0!</v>
      </c>
      <c r="W15" s="69" t="e">
        <f t="shared" si="13"/>
        <v>#DIV/0!</v>
      </c>
      <c r="X15" s="69" t="e">
        <f t="shared" si="13"/>
        <v>#DIV/0!</v>
      </c>
      <c r="Y15" s="69" t="e">
        <f t="shared" si="13"/>
        <v>#DIV/0!</v>
      </c>
      <c r="Z15" s="69" t="e">
        <f t="shared" si="13"/>
        <v>#DIV/0!</v>
      </c>
      <c r="AA15" s="69" t="e">
        <f t="shared" si="13"/>
        <v>#DIV/0!</v>
      </c>
      <c r="AB15" s="69" t="e">
        <f t="shared" si="13"/>
        <v>#DIV/0!</v>
      </c>
      <c r="AC15" s="69" t="e">
        <f t="shared" si="13"/>
        <v>#DIV/0!</v>
      </c>
      <c r="AD15" s="69" t="e">
        <f t="shared" si="13"/>
        <v>#DIV/0!</v>
      </c>
      <c r="AE15" s="69" t="e">
        <f t="shared" si="13"/>
        <v>#DIV/0!</v>
      </c>
      <c r="AF15" s="69" t="e">
        <f t="shared" si="13"/>
        <v>#DIV/0!</v>
      </c>
      <c r="AG15" s="69" t="e">
        <f t="shared" si="13"/>
        <v>#DIV/0!</v>
      </c>
      <c r="AH15" s="69" t="e">
        <f t="shared" si="8"/>
        <v>#DIV/0!</v>
      </c>
      <c r="AI15" s="69" t="e">
        <f t="shared" si="9"/>
        <v>#DIV/0!</v>
      </c>
      <c r="AJ15" s="69" t="e">
        <f t="shared" si="10"/>
        <v>#DIV/0!</v>
      </c>
    </row>
    <row r="16" spans="1:36" ht="15.75">
      <c r="A16" s="122" t="s">
        <v>67</v>
      </c>
      <c r="B16" s="69" t="e">
        <f t="shared" ref="B16:S16" si="14">2*(B8-B7)/(B8+B7)</f>
        <v>#DIV/0!</v>
      </c>
      <c r="C16" s="69" t="e">
        <f t="shared" si="14"/>
        <v>#DIV/0!</v>
      </c>
      <c r="D16" s="69" t="e">
        <f t="shared" si="14"/>
        <v>#DIV/0!</v>
      </c>
      <c r="E16" s="69" t="e">
        <f t="shared" si="14"/>
        <v>#DIV/0!</v>
      </c>
      <c r="F16" s="69" t="e">
        <f t="shared" si="14"/>
        <v>#DIV/0!</v>
      </c>
      <c r="G16" s="69" t="e">
        <f t="shared" si="14"/>
        <v>#DIV/0!</v>
      </c>
      <c r="H16" s="69" t="e">
        <f t="shared" si="14"/>
        <v>#DIV/0!</v>
      </c>
      <c r="I16" s="69" t="e">
        <f t="shared" si="14"/>
        <v>#DIV/0!</v>
      </c>
      <c r="J16" s="69" t="e">
        <f t="shared" si="14"/>
        <v>#DIV/0!</v>
      </c>
      <c r="K16" s="69" t="e">
        <f t="shared" si="14"/>
        <v>#DIV/0!</v>
      </c>
      <c r="L16" s="69" t="e">
        <f t="shared" si="14"/>
        <v>#DIV/0!</v>
      </c>
      <c r="M16" s="69" t="e">
        <f t="shared" si="14"/>
        <v>#DIV/0!</v>
      </c>
      <c r="N16" s="69" t="e">
        <f t="shared" si="14"/>
        <v>#DIV/0!</v>
      </c>
      <c r="O16" s="69" t="e">
        <f t="shared" si="14"/>
        <v>#DIV/0!</v>
      </c>
      <c r="P16" s="69" t="e">
        <f t="shared" si="14"/>
        <v>#DIV/0!</v>
      </c>
      <c r="Q16" s="69" t="e">
        <f t="shared" si="14"/>
        <v>#DIV/0!</v>
      </c>
      <c r="R16" s="69" t="e">
        <f t="shared" si="14"/>
        <v>#DIV/0!</v>
      </c>
      <c r="S16" s="69" t="e">
        <f t="shared" si="14"/>
        <v>#DIV/0!</v>
      </c>
      <c r="T16" s="69" t="e">
        <f t="shared" ref="T16" si="15">2*(T8-T7)/(T8+T7)</f>
        <v>#DIV/0!</v>
      </c>
      <c r="U16" s="69" t="e">
        <f t="shared" ref="U16:AG16" si="16">2*(U8-U7)/(U8+U7)</f>
        <v>#DIV/0!</v>
      </c>
      <c r="V16" s="69" t="e">
        <f t="shared" si="16"/>
        <v>#DIV/0!</v>
      </c>
      <c r="W16" s="69" t="e">
        <f t="shared" si="16"/>
        <v>#DIV/0!</v>
      </c>
      <c r="X16" s="69" t="e">
        <f t="shared" si="16"/>
        <v>#DIV/0!</v>
      </c>
      <c r="Y16" s="69" t="e">
        <f t="shared" si="16"/>
        <v>#DIV/0!</v>
      </c>
      <c r="Z16" s="69" t="e">
        <f t="shared" si="16"/>
        <v>#DIV/0!</v>
      </c>
      <c r="AA16" s="69" t="e">
        <f t="shared" si="16"/>
        <v>#DIV/0!</v>
      </c>
      <c r="AB16" s="69" t="e">
        <f t="shared" si="16"/>
        <v>#DIV/0!</v>
      </c>
      <c r="AC16" s="69" t="e">
        <f t="shared" si="16"/>
        <v>#DIV/0!</v>
      </c>
      <c r="AD16" s="69" t="e">
        <f t="shared" si="16"/>
        <v>#DIV/0!</v>
      </c>
      <c r="AE16" s="69" t="e">
        <f t="shared" si="16"/>
        <v>#DIV/0!</v>
      </c>
      <c r="AF16" s="69" t="e">
        <f t="shared" si="16"/>
        <v>#DIV/0!</v>
      </c>
      <c r="AG16" s="69" t="e">
        <f t="shared" si="16"/>
        <v>#DIV/0!</v>
      </c>
      <c r="AH16" s="69" t="e">
        <f t="shared" si="8"/>
        <v>#DIV/0!</v>
      </c>
      <c r="AI16" s="69" t="e">
        <f t="shared" si="9"/>
        <v>#DIV/0!</v>
      </c>
      <c r="AJ16" s="69" t="e">
        <f t="shared" si="10"/>
        <v>#DIV/0!</v>
      </c>
    </row>
    <row r="17" spans="1:36" ht="15.75">
      <c r="A17" s="122" t="s">
        <v>68</v>
      </c>
      <c r="B17" s="69" t="e">
        <f t="shared" ref="B17:S17" si="17">2*(B11-B10)/(B11+B10)</f>
        <v>#DIV/0!</v>
      </c>
      <c r="C17" s="69" t="e">
        <f t="shared" si="17"/>
        <v>#DIV/0!</v>
      </c>
      <c r="D17" s="69" t="e">
        <f t="shared" si="17"/>
        <v>#DIV/0!</v>
      </c>
      <c r="E17" s="69" t="e">
        <f t="shared" si="17"/>
        <v>#DIV/0!</v>
      </c>
      <c r="F17" s="69" t="e">
        <f t="shared" si="17"/>
        <v>#DIV/0!</v>
      </c>
      <c r="G17" s="69" t="e">
        <f t="shared" si="17"/>
        <v>#DIV/0!</v>
      </c>
      <c r="H17" s="69" t="e">
        <f t="shared" si="17"/>
        <v>#DIV/0!</v>
      </c>
      <c r="I17" s="69" t="e">
        <f t="shared" si="17"/>
        <v>#DIV/0!</v>
      </c>
      <c r="J17" s="69" t="e">
        <f t="shared" si="17"/>
        <v>#DIV/0!</v>
      </c>
      <c r="K17" s="69" t="e">
        <f t="shared" si="17"/>
        <v>#DIV/0!</v>
      </c>
      <c r="L17" s="69" t="e">
        <f t="shared" si="17"/>
        <v>#DIV/0!</v>
      </c>
      <c r="M17" s="69" t="e">
        <f t="shared" si="17"/>
        <v>#DIV/0!</v>
      </c>
      <c r="N17" s="69" t="e">
        <f t="shared" si="17"/>
        <v>#DIV/0!</v>
      </c>
      <c r="O17" s="69" t="e">
        <f t="shared" si="17"/>
        <v>#DIV/0!</v>
      </c>
      <c r="P17" s="69" t="e">
        <f t="shared" si="17"/>
        <v>#DIV/0!</v>
      </c>
      <c r="Q17" s="69" t="e">
        <f t="shared" si="17"/>
        <v>#DIV/0!</v>
      </c>
      <c r="R17" s="69" t="e">
        <f t="shared" si="17"/>
        <v>#DIV/0!</v>
      </c>
      <c r="S17" s="69" t="e">
        <f t="shared" si="17"/>
        <v>#DIV/0!</v>
      </c>
      <c r="T17" s="69" t="e">
        <f t="shared" ref="T17" si="18">2*(T11-T10)/(T11+T10)</f>
        <v>#DIV/0!</v>
      </c>
      <c r="U17" s="69" t="e">
        <f t="shared" ref="U17:AG17" si="19">2*(U11-U10)/(U11+U10)</f>
        <v>#DIV/0!</v>
      </c>
      <c r="V17" s="69" t="e">
        <f t="shared" si="19"/>
        <v>#DIV/0!</v>
      </c>
      <c r="W17" s="69" t="e">
        <f t="shared" si="19"/>
        <v>#DIV/0!</v>
      </c>
      <c r="X17" s="69" t="e">
        <f t="shared" si="19"/>
        <v>#DIV/0!</v>
      </c>
      <c r="Y17" s="69" t="e">
        <f t="shared" si="19"/>
        <v>#DIV/0!</v>
      </c>
      <c r="Z17" s="69" t="e">
        <f t="shared" si="19"/>
        <v>#DIV/0!</v>
      </c>
      <c r="AA17" s="69" t="e">
        <f t="shared" si="19"/>
        <v>#DIV/0!</v>
      </c>
      <c r="AB17" s="69" t="e">
        <f t="shared" si="19"/>
        <v>#DIV/0!</v>
      </c>
      <c r="AC17" s="69" t="e">
        <f t="shared" si="19"/>
        <v>#DIV/0!</v>
      </c>
      <c r="AD17" s="69" t="e">
        <f t="shared" si="19"/>
        <v>#DIV/0!</v>
      </c>
      <c r="AE17" s="69" t="e">
        <f t="shared" si="19"/>
        <v>#DIV/0!</v>
      </c>
      <c r="AF17" s="69" t="e">
        <f t="shared" si="19"/>
        <v>#DIV/0!</v>
      </c>
      <c r="AG17" s="69" t="e">
        <f t="shared" si="19"/>
        <v>#DIV/0!</v>
      </c>
      <c r="AH17" s="69" t="e">
        <f t="shared" si="8"/>
        <v>#DIV/0!</v>
      </c>
      <c r="AI17" s="69" t="e">
        <f t="shared" si="9"/>
        <v>#DIV/0!</v>
      </c>
      <c r="AJ17" s="69" t="e">
        <f t="shared" si="10"/>
        <v>#DIV/0!</v>
      </c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AJ17"/>
  <sheetViews>
    <sheetView zoomScale="70" zoomScaleNormal="70" workbookViewId="0">
      <selection activeCell="B2" sqref="B2:AG12"/>
    </sheetView>
    <sheetView tabSelected="1" zoomScale="80" zoomScaleNormal="80" workbookViewId="1"/>
  </sheetViews>
  <sheetFormatPr defaultRowHeight="15"/>
  <cols>
    <col min="1" max="1" width="9.5703125" style="1" bestFit="1" customWidth="1"/>
    <col min="2" max="36" width="7.5703125" style="1" customWidth="1"/>
    <col min="37" max="16384" width="9.140625" style="1"/>
  </cols>
  <sheetData>
    <row r="1" spans="1:36">
      <c r="A1" s="1" t="s">
        <v>17</v>
      </c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3</v>
      </c>
      <c r="AI1" s="1" t="s">
        <v>4</v>
      </c>
      <c r="AJ1" s="1" t="s">
        <v>32</v>
      </c>
    </row>
    <row r="2" spans="1:36">
      <c r="A2" s="112" t="s">
        <v>6</v>
      </c>
      <c r="B2" s="107">
        <v>893.89209964141298</v>
      </c>
      <c r="C2" s="107">
        <v>911.72798886091402</v>
      </c>
      <c r="D2" s="107">
        <v>907.32480735484853</v>
      </c>
      <c r="E2" s="107">
        <v>870.50526436255439</v>
      </c>
      <c r="F2" s="107">
        <v>843.11770428015564</v>
      </c>
      <c r="G2" s="107">
        <v>808.9017318989853</v>
      </c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2">
        <f>AVERAGE(B2:AG2)</f>
        <v>872.57826606647859</v>
      </c>
      <c r="AI2" s="2">
        <f>STDEV(B2:AG2)</f>
        <v>40.301924193416717</v>
      </c>
      <c r="AJ2" s="41">
        <f>MAX(B2:AG2)</f>
        <v>911.72798886091402</v>
      </c>
    </row>
    <row r="3" spans="1:36">
      <c r="A3" s="112" t="s">
        <v>7</v>
      </c>
      <c r="B3" s="107">
        <v>893.24216067750058</v>
      </c>
      <c r="C3" s="107">
        <v>920.40512703135721</v>
      </c>
      <c r="D3" s="107">
        <v>926.83489738307776</v>
      </c>
      <c r="E3" s="107">
        <v>904.56054016937514</v>
      </c>
      <c r="F3" s="107">
        <v>864.14129854276337</v>
      </c>
      <c r="G3" s="107">
        <v>833.49546044098565</v>
      </c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2">
        <f t="shared" ref="AH3:AH17" si="1">AVERAGE(B3:AG3)</f>
        <v>890.44658070750995</v>
      </c>
      <c r="AI3" s="2">
        <f t="shared" ref="AI3:AI17" si="2">STDEV(B3:AG3)</f>
        <v>35.67643809787829</v>
      </c>
      <c r="AJ3" s="41">
        <f t="shared" ref="AJ3:AJ17" si="3">MAX(B3:AG3)</f>
        <v>926.83489738307776</v>
      </c>
    </row>
    <row r="4" spans="1:36">
      <c r="A4" s="112" t="s">
        <v>8</v>
      </c>
      <c r="B4" s="107">
        <v>783.32188906691079</v>
      </c>
      <c r="C4" s="107">
        <v>868.42145418478674</v>
      </c>
      <c r="D4" s="107">
        <v>915.18272678721291</v>
      </c>
      <c r="E4" s="107">
        <v>826.87113756008239</v>
      </c>
      <c r="F4" s="107">
        <v>742.0538643472953</v>
      </c>
      <c r="G4" s="107">
        <v>664.51514457923247</v>
      </c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2">
        <f>AVERAGE(B4:AG4)</f>
        <v>800.06103608758679</v>
      </c>
      <c r="AI4" s="2">
        <f>STDEV(B4:AG4)</f>
        <v>90.180543016785407</v>
      </c>
      <c r="AJ4" s="41">
        <f>MAX(B4:AG4)</f>
        <v>915.18272678721291</v>
      </c>
    </row>
    <row r="5" spans="1:36">
      <c r="A5" s="112" t="s">
        <v>9</v>
      </c>
      <c r="B5" s="107">
        <v>764.47699702449074</v>
      </c>
      <c r="C5" s="107">
        <v>855.48180361638822</v>
      </c>
      <c r="D5" s="107">
        <v>912.12329289692525</v>
      </c>
      <c r="E5" s="107">
        <v>839.00205996795603</v>
      </c>
      <c r="F5" s="107">
        <v>742.35141527428095</v>
      </c>
      <c r="G5" s="107">
        <v>669.93209735255971</v>
      </c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2">
        <f>AVERAGE(B5:AG5)</f>
        <v>797.22794435543358</v>
      </c>
      <c r="AI5" s="2">
        <f>STDEV(B5:AG5)</f>
        <v>87.895188298019491</v>
      </c>
      <c r="AJ5" s="41">
        <f>MAX(B5:AG5)</f>
        <v>912.12329289692525</v>
      </c>
    </row>
    <row r="6" spans="1:36">
      <c r="A6" s="112" t="s">
        <v>33</v>
      </c>
      <c r="B6" s="69">
        <v>9.4758525978484772E-3</v>
      </c>
      <c r="C6" s="69">
        <v>9.6704051270313576E-3</v>
      </c>
      <c r="D6" s="69">
        <v>8.667124437323568E-3</v>
      </c>
      <c r="E6" s="69">
        <v>9.521629663538568E-3</v>
      </c>
      <c r="F6" s="69">
        <v>1.0070954451819639E-2</v>
      </c>
      <c r="G6" s="69">
        <v>9.8420691233691918E-3</v>
      </c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">
        <f>AVERAGE(B6:AG6)</f>
        <v>9.5413392334884675E-3</v>
      </c>
      <c r="AI6" s="3">
        <f>STDEV(B6:AG6)</f>
        <v>4.8094016830794312E-4</v>
      </c>
      <c r="AJ6" s="3">
        <f>MAX(B6:AG6)</f>
        <v>1.0070954451819639E-2</v>
      </c>
    </row>
    <row r="7" spans="1:36" s="112" customFormat="1">
      <c r="A7" s="112" t="str">
        <f>A3&amp;"-1"</f>
        <v>Range1-1</v>
      </c>
      <c r="B7" s="114">
        <v>893.34134431982909</v>
      </c>
      <c r="C7" s="114">
        <v>919.85770962081324</v>
      </c>
      <c r="D7" s="114">
        <v>926.42099641412983</v>
      </c>
      <c r="E7" s="114">
        <v>904.00930800335698</v>
      </c>
      <c r="F7" s="114">
        <v>863.82085908293277</v>
      </c>
      <c r="G7" s="114">
        <v>833.23605706874184</v>
      </c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>
        <f t="shared" ref="AH7:AH12" si="4">AVERAGE(B7:AG7)</f>
        <v>890.11437908496737</v>
      </c>
      <c r="AI7" s="114">
        <f t="shared" ref="AI7:AI12" si="5">STDEV(B7:AG7)</f>
        <v>35.58879384582378</v>
      </c>
      <c r="AJ7" s="114">
        <f t="shared" ref="AJ7:AJ12" si="6">MAX(B7:AG7)</f>
        <v>926.42099641412983</v>
      </c>
    </row>
    <row r="8" spans="1:36" s="112" customFormat="1">
      <c r="A8" s="112" t="str">
        <f>A4&amp;"-1"</f>
        <v>Range2-1</v>
      </c>
      <c r="B8" s="114">
        <v>893.73426413366906</v>
      </c>
      <c r="C8" s="114">
        <v>920.28114747844666</v>
      </c>
      <c r="D8" s="114">
        <v>926.3885709925994</v>
      </c>
      <c r="E8" s="114">
        <v>904.40032043945985</v>
      </c>
      <c r="F8" s="114">
        <v>864.25001907377737</v>
      </c>
      <c r="G8" s="114">
        <v>833.19218738078882</v>
      </c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>
        <f t="shared" si="4"/>
        <v>890.37441824979021</v>
      </c>
      <c r="AI8" s="114">
        <f t="shared" si="5"/>
        <v>35.641935713425795</v>
      </c>
      <c r="AJ8" s="114">
        <f t="shared" si="6"/>
        <v>926.3885709925994</v>
      </c>
    </row>
    <row r="9" spans="1:36" s="112" customFormat="1">
      <c r="A9" s="112" t="str">
        <f>A4&amp;"-2"</f>
        <v>Range2-2</v>
      </c>
      <c r="B9" s="114">
        <v>783.48210879682608</v>
      </c>
      <c r="C9" s="114">
        <v>868.09338521400775</v>
      </c>
      <c r="D9" s="114">
        <v>914.85465781643393</v>
      </c>
      <c r="E9" s="114">
        <v>826.79484245059894</v>
      </c>
      <c r="F9" s="114">
        <v>741.86312657358656</v>
      </c>
      <c r="G9" s="114">
        <v>664.69825284199283</v>
      </c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>
        <f t="shared" si="4"/>
        <v>799.96439561557429</v>
      </c>
      <c r="AI9" s="114">
        <f t="shared" si="5"/>
        <v>90.006174314389128</v>
      </c>
      <c r="AJ9" s="114">
        <f t="shared" si="6"/>
        <v>914.85465781643393</v>
      </c>
    </row>
    <row r="10" spans="1:36" s="112" customFormat="1">
      <c r="A10" s="112" t="str">
        <f>A5&amp;"-1"</f>
        <v>Range3-1</v>
      </c>
      <c r="B10" s="114">
        <v>783.39818417639424</v>
      </c>
      <c r="C10" s="114">
        <v>868.55878538185698</v>
      </c>
      <c r="D10" s="114">
        <v>915.02250705729762</v>
      </c>
      <c r="E10" s="114">
        <v>826.63462272068364</v>
      </c>
      <c r="F10" s="114">
        <v>741.77920195315482</v>
      </c>
      <c r="G10" s="114">
        <v>664.78980697337295</v>
      </c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>
        <f t="shared" si="4"/>
        <v>800.03051804379345</v>
      </c>
      <c r="AI10" s="114">
        <f t="shared" si="5"/>
        <v>90.096570006076178</v>
      </c>
      <c r="AJ10" s="114">
        <f t="shared" si="6"/>
        <v>915.02250705729762</v>
      </c>
    </row>
    <row r="11" spans="1:36" s="112" customFormat="1">
      <c r="A11" s="112" t="str">
        <f>A5&amp;"-2"</f>
        <v>Range3-2</v>
      </c>
      <c r="B11" s="114">
        <v>763.92767223620967</v>
      </c>
      <c r="C11" s="114">
        <v>855.48180361638822</v>
      </c>
      <c r="D11" s="114">
        <v>912.12329289692525</v>
      </c>
      <c r="E11" s="114">
        <v>839.36827649347674</v>
      </c>
      <c r="F11" s="114">
        <v>742.99229419394214</v>
      </c>
      <c r="G11" s="114">
        <v>669.93209735255971</v>
      </c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>
        <f t="shared" si="4"/>
        <v>797.30423946491703</v>
      </c>
      <c r="AI11" s="114">
        <f t="shared" si="5"/>
        <v>87.89183402130115</v>
      </c>
      <c r="AJ11" s="114">
        <f t="shared" si="6"/>
        <v>912.12329289692525</v>
      </c>
    </row>
    <row r="12" spans="1:36" s="112" customFormat="1">
      <c r="A12" s="112" t="str">
        <f>A5&amp;"-3"</f>
        <v>Range3-3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 t="e">
        <f t="shared" si="4"/>
        <v>#DIV/0!</v>
      </c>
      <c r="AI12" s="114" t="e">
        <f t="shared" si="5"/>
        <v>#DIV/0!</v>
      </c>
      <c r="AJ12" s="114">
        <f t="shared" si="6"/>
        <v>0</v>
      </c>
    </row>
    <row r="14" spans="1:36">
      <c r="A14" s="112" t="s">
        <v>34</v>
      </c>
      <c r="B14" s="68">
        <f t="shared" ref="B14:AG14" si="7">IF(B6&lt;&gt;0,B5/B6,"")</f>
        <v>80676.328502415461</v>
      </c>
      <c r="C14" s="68">
        <f t="shared" si="7"/>
        <v>88463.905325443789</v>
      </c>
      <c r="D14" s="68">
        <f t="shared" si="7"/>
        <v>105239.4366197183</v>
      </c>
      <c r="E14" s="68">
        <f t="shared" si="7"/>
        <v>88115.38461538461</v>
      </c>
      <c r="F14" s="68">
        <f t="shared" si="7"/>
        <v>73712.121212121216</v>
      </c>
      <c r="G14" s="68">
        <f t="shared" si="7"/>
        <v>68068.217054263572</v>
      </c>
      <c r="H14" s="68" t="str">
        <f t="shared" si="7"/>
        <v/>
      </c>
      <c r="I14" s="68" t="str">
        <f t="shared" si="7"/>
        <v/>
      </c>
      <c r="J14" s="68" t="str">
        <f t="shared" si="7"/>
        <v/>
      </c>
      <c r="K14" s="68" t="str">
        <f t="shared" si="7"/>
        <v/>
      </c>
      <c r="L14" s="68" t="str">
        <f t="shared" si="7"/>
        <v/>
      </c>
      <c r="M14" s="68" t="str">
        <f t="shared" si="7"/>
        <v/>
      </c>
      <c r="N14" s="68" t="str">
        <f t="shared" si="7"/>
        <v/>
      </c>
      <c r="O14" s="68" t="str">
        <f t="shared" si="7"/>
        <v/>
      </c>
      <c r="P14" s="68" t="str">
        <f t="shared" si="7"/>
        <v/>
      </c>
      <c r="Q14" s="68" t="str">
        <f t="shared" si="7"/>
        <v/>
      </c>
      <c r="R14" s="68" t="str">
        <f t="shared" si="7"/>
        <v/>
      </c>
      <c r="S14" s="68" t="str">
        <f t="shared" si="7"/>
        <v/>
      </c>
      <c r="T14" s="68" t="str">
        <f t="shared" si="7"/>
        <v/>
      </c>
      <c r="U14" s="68" t="str">
        <f t="shared" si="7"/>
        <v/>
      </c>
      <c r="V14" s="68" t="str">
        <f t="shared" si="7"/>
        <v/>
      </c>
      <c r="W14" s="68" t="str">
        <f t="shared" si="7"/>
        <v/>
      </c>
      <c r="X14" s="68" t="str">
        <f t="shared" si="7"/>
        <v/>
      </c>
      <c r="Y14" s="68" t="str">
        <f t="shared" si="7"/>
        <v/>
      </c>
      <c r="Z14" s="68" t="str">
        <f t="shared" si="7"/>
        <v/>
      </c>
      <c r="AA14" s="68" t="str">
        <f t="shared" si="7"/>
        <v/>
      </c>
      <c r="AB14" s="68" t="str">
        <f t="shared" si="7"/>
        <v/>
      </c>
      <c r="AC14" s="68" t="str">
        <f t="shared" si="7"/>
        <v/>
      </c>
      <c r="AD14" s="68" t="str">
        <f t="shared" si="7"/>
        <v/>
      </c>
      <c r="AE14" s="68" t="str">
        <f t="shared" si="7"/>
        <v/>
      </c>
      <c r="AF14" s="68" t="str">
        <f t="shared" si="7"/>
        <v/>
      </c>
      <c r="AG14" s="68" t="str">
        <f t="shared" si="7"/>
        <v/>
      </c>
      <c r="AH14" s="42">
        <f t="shared" si="1"/>
        <v>84045.898888224488</v>
      </c>
      <c r="AI14" s="42">
        <f t="shared" si="2"/>
        <v>13104.753480859161</v>
      </c>
      <c r="AJ14" s="42">
        <f t="shared" si="3"/>
        <v>105239.4366197183</v>
      </c>
    </row>
    <row r="15" spans="1:36" ht="15.75">
      <c r="A15" s="122" t="s">
        <v>66</v>
      </c>
      <c r="B15" s="69">
        <f t="shared" ref="B15:S15" si="8">2*(B3-B2)/(B3+B2)</f>
        <v>-7.2735325861463061E-4</v>
      </c>
      <c r="C15" s="69">
        <f t="shared" si="8"/>
        <v>9.4721700024698405E-3</v>
      </c>
      <c r="D15" s="69">
        <f t="shared" si="8"/>
        <v>2.1274145296978842E-2</v>
      </c>
      <c r="E15" s="69">
        <f t="shared" si="8"/>
        <v>3.8370719237421011E-2</v>
      </c>
      <c r="F15" s="69">
        <f t="shared" si="8"/>
        <v>2.4628476672661423E-2</v>
      </c>
      <c r="G15" s="69">
        <f t="shared" si="8"/>
        <v>2.9948575967742554E-2</v>
      </c>
      <c r="H15" s="69" t="e">
        <f t="shared" si="8"/>
        <v>#DIV/0!</v>
      </c>
      <c r="I15" s="69" t="e">
        <f t="shared" si="8"/>
        <v>#DIV/0!</v>
      </c>
      <c r="J15" s="69" t="e">
        <f t="shared" si="8"/>
        <v>#DIV/0!</v>
      </c>
      <c r="K15" s="69" t="e">
        <f t="shared" si="8"/>
        <v>#DIV/0!</v>
      </c>
      <c r="L15" s="69" t="e">
        <f t="shared" si="8"/>
        <v>#DIV/0!</v>
      </c>
      <c r="M15" s="69" t="e">
        <f t="shared" si="8"/>
        <v>#DIV/0!</v>
      </c>
      <c r="N15" s="69" t="e">
        <f t="shared" si="8"/>
        <v>#DIV/0!</v>
      </c>
      <c r="O15" s="69" t="e">
        <f t="shared" si="8"/>
        <v>#DIV/0!</v>
      </c>
      <c r="P15" s="69" t="e">
        <f t="shared" si="8"/>
        <v>#DIV/0!</v>
      </c>
      <c r="Q15" s="69" t="e">
        <f t="shared" si="8"/>
        <v>#DIV/0!</v>
      </c>
      <c r="R15" s="69" t="e">
        <f t="shared" si="8"/>
        <v>#DIV/0!</v>
      </c>
      <c r="S15" s="69" t="e">
        <f t="shared" si="8"/>
        <v>#DIV/0!</v>
      </c>
      <c r="T15" s="69" t="e">
        <f t="shared" ref="T15" si="9">2*(T3-T2)/(T3+T2)</f>
        <v>#DIV/0!</v>
      </c>
      <c r="U15" s="69" t="e">
        <f t="shared" ref="U15:AG15" si="10">2*(U3-U2)/(U3+U2)</f>
        <v>#DIV/0!</v>
      </c>
      <c r="V15" s="69" t="e">
        <f t="shared" si="10"/>
        <v>#DIV/0!</v>
      </c>
      <c r="W15" s="69" t="e">
        <f t="shared" si="10"/>
        <v>#DIV/0!</v>
      </c>
      <c r="X15" s="69" t="e">
        <f t="shared" si="10"/>
        <v>#DIV/0!</v>
      </c>
      <c r="Y15" s="69" t="e">
        <f t="shared" si="10"/>
        <v>#DIV/0!</v>
      </c>
      <c r="Z15" s="69" t="e">
        <f t="shared" si="10"/>
        <v>#DIV/0!</v>
      </c>
      <c r="AA15" s="69" t="e">
        <f t="shared" si="10"/>
        <v>#DIV/0!</v>
      </c>
      <c r="AB15" s="69" t="e">
        <f t="shared" si="10"/>
        <v>#DIV/0!</v>
      </c>
      <c r="AC15" s="69" t="e">
        <f t="shared" si="10"/>
        <v>#DIV/0!</v>
      </c>
      <c r="AD15" s="69" t="e">
        <f t="shared" si="10"/>
        <v>#DIV/0!</v>
      </c>
      <c r="AE15" s="69" t="e">
        <f t="shared" si="10"/>
        <v>#DIV/0!</v>
      </c>
      <c r="AF15" s="69" t="e">
        <f t="shared" si="10"/>
        <v>#DIV/0!</v>
      </c>
      <c r="AG15" s="69" t="e">
        <f t="shared" si="10"/>
        <v>#DIV/0!</v>
      </c>
      <c r="AH15" s="69" t="e">
        <f t="shared" si="1"/>
        <v>#DIV/0!</v>
      </c>
      <c r="AI15" s="69" t="e">
        <f t="shared" si="2"/>
        <v>#DIV/0!</v>
      </c>
      <c r="AJ15" s="69" t="e">
        <f t="shared" si="3"/>
        <v>#DIV/0!</v>
      </c>
    </row>
    <row r="16" spans="1:36" ht="15.75">
      <c r="A16" s="122" t="s">
        <v>67</v>
      </c>
      <c r="B16" s="69">
        <f t="shared" ref="B16:S16" si="11">2*(B8-B7)/(B8+B7)</f>
        <v>4.3973496362584508E-4</v>
      </c>
      <c r="C16" s="69">
        <f t="shared" si="11"/>
        <v>4.6022380974108815E-4</v>
      </c>
      <c r="D16" s="69">
        <f t="shared" si="11"/>
        <v>-3.5001353728778066E-5</v>
      </c>
      <c r="E16" s="69">
        <f t="shared" si="11"/>
        <v>4.3243790560832366E-4</v>
      </c>
      <c r="F16" s="69">
        <f t="shared" si="11"/>
        <v>4.9669257930249971E-4</v>
      </c>
      <c r="G16" s="69">
        <f t="shared" si="11"/>
        <v>-5.2651157467042628E-5</v>
      </c>
      <c r="H16" s="69" t="e">
        <f t="shared" si="11"/>
        <v>#DIV/0!</v>
      </c>
      <c r="I16" s="69" t="e">
        <f t="shared" si="11"/>
        <v>#DIV/0!</v>
      </c>
      <c r="J16" s="69" t="e">
        <f t="shared" si="11"/>
        <v>#DIV/0!</v>
      </c>
      <c r="K16" s="69" t="e">
        <f t="shared" si="11"/>
        <v>#DIV/0!</v>
      </c>
      <c r="L16" s="69" t="e">
        <f t="shared" si="11"/>
        <v>#DIV/0!</v>
      </c>
      <c r="M16" s="69" t="e">
        <f t="shared" si="11"/>
        <v>#DIV/0!</v>
      </c>
      <c r="N16" s="69" t="e">
        <f t="shared" si="11"/>
        <v>#DIV/0!</v>
      </c>
      <c r="O16" s="69" t="e">
        <f t="shared" si="11"/>
        <v>#DIV/0!</v>
      </c>
      <c r="P16" s="69" t="e">
        <f t="shared" si="11"/>
        <v>#DIV/0!</v>
      </c>
      <c r="Q16" s="69" t="e">
        <f t="shared" si="11"/>
        <v>#DIV/0!</v>
      </c>
      <c r="R16" s="69" t="e">
        <f t="shared" si="11"/>
        <v>#DIV/0!</v>
      </c>
      <c r="S16" s="69" t="e">
        <f t="shared" si="11"/>
        <v>#DIV/0!</v>
      </c>
      <c r="T16" s="69" t="e">
        <f t="shared" ref="T16" si="12">2*(T8-T7)/(T8+T7)</f>
        <v>#DIV/0!</v>
      </c>
      <c r="U16" s="69" t="e">
        <f t="shared" ref="U16:AG16" si="13">2*(U8-U7)/(U8+U7)</f>
        <v>#DIV/0!</v>
      </c>
      <c r="V16" s="69" t="e">
        <f t="shared" si="13"/>
        <v>#DIV/0!</v>
      </c>
      <c r="W16" s="69" t="e">
        <f t="shared" si="13"/>
        <v>#DIV/0!</v>
      </c>
      <c r="X16" s="69" t="e">
        <f t="shared" si="13"/>
        <v>#DIV/0!</v>
      </c>
      <c r="Y16" s="69" t="e">
        <f t="shared" si="13"/>
        <v>#DIV/0!</v>
      </c>
      <c r="Z16" s="69" t="e">
        <f t="shared" si="13"/>
        <v>#DIV/0!</v>
      </c>
      <c r="AA16" s="69" t="e">
        <f t="shared" si="13"/>
        <v>#DIV/0!</v>
      </c>
      <c r="AB16" s="69" t="e">
        <f t="shared" si="13"/>
        <v>#DIV/0!</v>
      </c>
      <c r="AC16" s="69" t="e">
        <f t="shared" si="13"/>
        <v>#DIV/0!</v>
      </c>
      <c r="AD16" s="69" t="e">
        <f t="shared" si="13"/>
        <v>#DIV/0!</v>
      </c>
      <c r="AE16" s="69" t="e">
        <f t="shared" si="13"/>
        <v>#DIV/0!</v>
      </c>
      <c r="AF16" s="69" t="e">
        <f t="shared" si="13"/>
        <v>#DIV/0!</v>
      </c>
      <c r="AG16" s="69" t="e">
        <f t="shared" si="13"/>
        <v>#DIV/0!</v>
      </c>
      <c r="AH16" s="69" t="e">
        <f t="shared" si="1"/>
        <v>#DIV/0!</v>
      </c>
      <c r="AI16" s="69" t="e">
        <f t="shared" si="2"/>
        <v>#DIV/0!</v>
      </c>
      <c r="AJ16" s="69" t="e">
        <f t="shared" si="3"/>
        <v>#DIV/0!</v>
      </c>
    </row>
    <row r="17" spans="1:36" ht="15.75">
      <c r="A17" s="122" t="s">
        <v>68</v>
      </c>
      <c r="B17" s="69">
        <f t="shared" ref="B17:S17" si="14">2*(B11-B10)/(B11+B10)</f>
        <v>-2.516666009230396E-2</v>
      </c>
      <c r="C17" s="69">
        <f t="shared" si="14"/>
        <v>-1.5170155330353499E-2</v>
      </c>
      <c r="D17" s="69">
        <f t="shared" si="14"/>
        <v>-3.1734896694560481E-3</v>
      </c>
      <c r="E17" s="69">
        <f t="shared" si="14"/>
        <v>1.5286472525107205E-2</v>
      </c>
      <c r="F17" s="69">
        <f t="shared" si="14"/>
        <v>1.634045701894505E-3</v>
      </c>
      <c r="G17" s="69">
        <f t="shared" si="14"/>
        <v>7.7054109361960974E-3</v>
      </c>
      <c r="H17" s="69" t="e">
        <f t="shared" si="14"/>
        <v>#DIV/0!</v>
      </c>
      <c r="I17" s="69" t="e">
        <f t="shared" si="14"/>
        <v>#DIV/0!</v>
      </c>
      <c r="J17" s="69" t="e">
        <f t="shared" si="14"/>
        <v>#DIV/0!</v>
      </c>
      <c r="K17" s="69" t="e">
        <f t="shared" si="14"/>
        <v>#DIV/0!</v>
      </c>
      <c r="L17" s="69" t="e">
        <f t="shared" si="14"/>
        <v>#DIV/0!</v>
      </c>
      <c r="M17" s="69" t="e">
        <f t="shared" si="14"/>
        <v>#DIV/0!</v>
      </c>
      <c r="N17" s="69" t="e">
        <f t="shared" si="14"/>
        <v>#DIV/0!</v>
      </c>
      <c r="O17" s="69" t="e">
        <f t="shared" si="14"/>
        <v>#DIV/0!</v>
      </c>
      <c r="P17" s="69" t="e">
        <f t="shared" si="14"/>
        <v>#DIV/0!</v>
      </c>
      <c r="Q17" s="69" t="e">
        <f t="shared" si="14"/>
        <v>#DIV/0!</v>
      </c>
      <c r="R17" s="69" t="e">
        <f t="shared" si="14"/>
        <v>#DIV/0!</v>
      </c>
      <c r="S17" s="69" t="e">
        <f t="shared" si="14"/>
        <v>#DIV/0!</v>
      </c>
      <c r="T17" s="69" t="e">
        <f t="shared" ref="T17" si="15">2*(T11-T10)/(T11+T10)</f>
        <v>#DIV/0!</v>
      </c>
      <c r="U17" s="69" t="e">
        <f t="shared" ref="U17:AG17" si="16">2*(U11-U10)/(U11+U10)</f>
        <v>#DIV/0!</v>
      </c>
      <c r="V17" s="69" t="e">
        <f t="shared" si="16"/>
        <v>#DIV/0!</v>
      </c>
      <c r="W17" s="69" t="e">
        <f t="shared" si="16"/>
        <v>#DIV/0!</v>
      </c>
      <c r="X17" s="69" t="e">
        <f t="shared" si="16"/>
        <v>#DIV/0!</v>
      </c>
      <c r="Y17" s="69" t="e">
        <f t="shared" si="16"/>
        <v>#DIV/0!</v>
      </c>
      <c r="Z17" s="69" t="e">
        <f t="shared" si="16"/>
        <v>#DIV/0!</v>
      </c>
      <c r="AA17" s="69" t="e">
        <f t="shared" si="16"/>
        <v>#DIV/0!</v>
      </c>
      <c r="AB17" s="69" t="e">
        <f t="shared" si="16"/>
        <v>#DIV/0!</v>
      </c>
      <c r="AC17" s="69" t="e">
        <f t="shared" si="16"/>
        <v>#DIV/0!</v>
      </c>
      <c r="AD17" s="69" t="e">
        <f t="shared" si="16"/>
        <v>#DIV/0!</v>
      </c>
      <c r="AE17" s="69" t="e">
        <f t="shared" si="16"/>
        <v>#DIV/0!</v>
      </c>
      <c r="AF17" s="69" t="e">
        <f t="shared" si="16"/>
        <v>#DIV/0!</v>
      </c>
      <c r="AG17" s="69" t="e">
        <f t="shared" si="16"/>
        <v>#DIV/0!</v>
      </c>
      <c r="AH17" s="69" t="e">
        <f t="shared" si="1"/>
        <v>#DIV/0!</v>
      </c>
      <c r="AI17" s="69" t="e">
        <f t="shared" si="2"/>
        <v>#DIV/0!</v>
      </c>
      <c r="AJ17" s="69" t="e">
        <f t="shared" si="3"/>
        <v>#DIV/0!</v>
      </c>
    </row>
  </sheetData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AJ17"/>
  <sheetViews>
    <sheetView zoomScale="70" zoomScaleNormal="70" workbookViewId="0">
      <selection activeCell="B2" sqref="B2:AG12"/>
    </sheetView>
    <sheetView workbookViewId="1"/>
  </sheetViews>
  <sheetFormatPr defaultRowHeight="15"/>
  <cols>
    <col min="1" max="1" width="9.5703125" style="1" bestFit="1" customWidth="1"/>
    <col min="2" max="36" width="7.5703125" style="1" customWidth="1"/>
    <col min="37" max="16384" width="9.140625" style="1"/>
  </cols>
  <sheetData>
    <row r="1" spans="1:36">
      <c r="A1" s="1" t="s">
        <v>18</v>
      </c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3</v>
      </c>
      <c r="AI1" s="1" t="s">
        <v>4</v>
      </c>
      <c r="AJ1" s="1" t="s">
        <v>32</v>
      </c>
    </row>
    <row r="2" spans="1:36">
      <c r="A2" s="112" t="s">
        <v>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2" t="e">
        <f>AVERAGE(B2:AG2)</f>
        <v>#DIV/0!</v>
      </c>
      <c r="AI2" s="2" t="e">
        <f>STDEV(B2:AG2)</f>
        <v>#DIV/0!</v>
      </c>
      <c r="AJ2" s="41">
        <f>MAX(B2:AG2)</f>
        <v>0</v>
      </c>
    </row>
    <row r="3" spans="1:36">
      <c r="A3" s="112" t="s">
        <v>7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2" t="e">
        <f t="shared" ref="AH3:AH17" si="1">AVERAGE(B3:AG3)</f>
        <v>#DIV/0!</v>
      </c>
      <c r="AI3" s="2" t="e">
        <f t="shared" ref="AI3:AI17" si="2">STDEV(B3:AG3)</f>
        <v>#DIV/0!</v>
      </c>
      <c r="AJ3" s="41">
        <f t="shared" ref="AJ3:AJ17" si="3">MAX(B3:AG3)</f>
        <v>0</v>
      </c>
    </row>
    <row r="4" spans="1:36">
      <c r="A4" s="112" t="s">
        <v>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2" t="e">
        <f>AVERAGE(B4:AG4)</f>
        <v>#DIV/0!</v>
      </c>
      <c r="AI4" s="2" t="e">
        <f>STDEV(B4:AG4)</f>
        <v>#DIV/0!</v>
      </c>
      <c r="AJ4" s="41">
        <f>MAX(B4:AG4)</f>
        <v>0</v>
      </c>
    </row>
    <row r="5" spans="1:36">
      <c r="A5" s="112" t="s">
        <v>9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2" t="e">
        <f>AVERAGE(B5:AG5)</f>
        <v>#DIV/0!</v>
      </c>
      <c r="AI5" s="2" t="e">
        <f>STDEV(B5:AG5)</f>
        <v>#DIV/0!</v>
      </c>
      <c r="AJ5" s="41">
        <f>MAX(B5:AG5)</f>
        <v>0</v>
      </c>
    </row>
    <row r="6" spans="1:36">
      <c r="A6" s="112" t="s">
        <v>33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" t="e">
        <f>AVERAGE(B6:AG6)</f>
        <v>#DIV/0!</v>
      </c>
      <c r="AI6" s="3" t="e">
        <f>STDEV(B6:AG6)</f>
        <v>#DIV/0!</v>
      </c>
      <c r="AJ6" s="3">
        <f>MAX(B6:AG6)</f>
        <v>0</v>
      </c>
    </row>
    <row r="7" spans="1:36" s="112" customFormat="1">
      <c r="A7" s="112" t="str">
        <f>A3&amp;"-1"</f>
        <v>Range1-1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 t="e">
        <f t="shared" ref="AH7:AH12" si="4">AVERAGE(B7:AG7)</f>
        <v>#DIV/0!</v>
      </c>
      <c r="AI7" s="114" t="e">
        <f t="shared" ref="AI7:AI12" si="5">STDEV(B7:AG7)</f>
        <v>#DIV/0!</v>
      </c>
      <c r="AJ7" s="114">
        <f t="shared" ref="AJ7:AJ12" si="6">MAX(B7:AG7)</f>
        <v>0</v>
      </c>
    </row>
    <row r="8" spans="1:36" s="112" customFormat="1">
      <c r="A8" s="112" t="str">
        <f>A4&amp;"-1"</f>
        <v>Range2-1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 t="e">
        <f t="shared" si="4"/>
        <v>#DIV/0!</v>
      </c>
      <c r="AI8" s="114" t="e">
        <f t="shared" si="5"/>
        <v>#DIV/0!</v>
      </c>
      <c r="AJ8" s="114">
        <f t="shared" si="6"/>
        <v>0</v>
      </c>
    </row>
    <row r="9" spans="1:36" s="112" customFormat="1">
      <c r="A9" s="112" t="str">
        <f>A4&amp;"-2"</f>
        <v>Range2-2</v>
      </c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 t="e">
        <f t="shared" si="4"/>
        <v>#DIV/0!</v>
      </c>
      <c r="AI9" s="114" t="e">
        <f t="shared" si="5"/>
        <v>#DIV/0!</v>
      </c>
      <c r="AJ9" s="114">
        <f t="shared" si="6"/>
        <v>0</v>
      </c>
    </row>
    <row r="10" spans="1:36" s="112" customFormat="1">
      <c r="A10" s="112" t="str">
        <f>A5&amp;"-1"</f>
        <v>Range3-1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 t="e">
        <f t="shared" si="4"/>
        <v>#DIV/0!</v>
      </c>
      <c r="AI10" s="114" t="e">
        <f t="shared" si="5"/>
        <v>#DIV/0!</v>
      </c>
      <c r="AJ10" s="114">
        <f t="shared" si="6"/>
        <v>0</v>
      </c>
    </row>
    <row r="11" spans="1:36" s="112" customFormat="1">
      <c r="A11" s="112" t="str">
        <f>A5&amp;"-2"</f>
        <v>Range3-2</v>
      </c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 t="e">
        <f t="shared" si="4"/>
        <v>#DIV/0!</v>
      </c>
      <c r="AI11" s="114" t="e">
        <f t="shared" si="5"/>
        <v>#DIV/0!</v>
      </c>
      <c r="AJ11" s="114">
        <f t="shared" si="6"/>
        <v>0</v>
      </c>
    </row>
    <row r="12" spans="1:36" s="112" customFormat="1">
      <c r="A12" s="112" t="str">
        <f>A5&amp;"-3"</f>
        <v>Range3-3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 t="e">
        <f t="shared" si="4"/>
        <v>#DIV/0!</v>
      </c>
      <c r="AI12" s="114" t="e">
        <f t="shared" si="5"/>
        <v>#DIV/0!</v>
      </c>
      <c r="AJ12" s="114">
        <f t="shared" si="6"/>
        <v>0</v>
      </c>
    </row>
    <row r="14" spans="1:36">
      <c r="A14" s="112" t="s">
        <v>34</v>
      </c>
      <c r="B14" s="68" t="str">
        <f t="shared" ref="B14:AG14" si="7">IF(B6&lt;&gt;0,B5/B6,"")</f>
        <v/>
      </c>
      <c r="C14" s="68" t="str">
        <f t="shared" si="7"/>
        <v/>
      </c>
      <c r="D14" s="68" t="str">
        <f t="shared" si="7"/>
        <v/>
      </c>
      <c r="E14" s="68" t="str">
        <f t="shared" si="7"/>
        <v/>
      </c>
      <c r="F14" s="68" t="str">
        <f t="shared" si="7"/>
        <v/>
      </c>
      <c r="G14" s="68" t="str">
        <f t="shared" si="7"/>
        <v/>
      </c>
      <c r="H14" s="68" t="str">
        <f t="shared" si="7"/>
        <v/>
      </c>
      <c r="I14" s="68" t="str">
        <f t="shared" si="7"/>
        <v/>
      </c>
      <c r="J14" s="68" t="str">
        <f t="shared" si="7"/>
        <v/>
      </c>
      <c r="K14" s="68" t="str">
        <f t="shared" si="7"/>
        <v/>
      </c>
      <c r="L14" s="68" t="str">
        <f t="shared" si="7"/>
        <v/>
      </c>
      <c r="M14" s="68" t="str">
        <f t="shared" si="7"/>
        <v/>
      </c>
      <c r="N14" s="68" t="str">
        <f t="shared" si="7"/>
        <v/>
      </c>
      <c r="O14" s="68" t="str">
        <f t="shared" si="7"/>
        <v/>
      </c>
      <c r="P14" s="68" t="str">
        <f t="shared" si="7"/>
        <v/>
      </c>
      <c r="Q14" s="68" t="str">
        <f t="shared" si="7"/>
        <v/>
      </c>
      <c r="R14" s="68" t="str">
        <f t="shared" si="7"/>
        <v/>
      </c>
      <c r="S14" s="68" t="str">
        <f t="shared" si="7"/>
        <v/>
      </c>
      <c r="T14" s="68" t="str">
        <f t="shared" si="7"/>
        <v/>
      </c>
      <c r="U14" s="68" t="str">
        <f t="shared" si="7"/>
        <v/>
      </c>
      <c r="V14" s="68" t="str">
        <f t="shared" si="7"/>
        <v/>
      </c>
      <c r="W14" s="68" t="str">
        <f t="shared" si="7"/>
        <v/>
      </c>
      <c r="X14" s="68" t="str">
        <f t="shared" si="7"/>
        <v/>
      </c>
      <c r="Y14" s="68" t="str">
        <f t="shared" si="7"/>
        <v/>
      </c>
      <c r="Z14" s="68" t="str">
        <f t="shared" si="7"/>
        <v/>
      </c>
      <c r="AA14" s="68" t="str">
        <f t="shared" si="7"/>
        <v/>
      </c>
      <c r="AB14" s="68" t="str">
        <f t="shared" si="7"/>
        <v/>
      </c>
      <c r="AC14" s="68" t="str">
        <f t="shared" si="7"/>
        <v/>
      </c>
      <c r="AD14" s="68" t="str">
        <f t="shared" si="7"/>
        <v/>
      </c>
      <c r="AE14" s="68" t="str">
        <f t="shared" si="7"/>
        <v/>
      </c>
      <c r="AF14" s="68" t="str">
        <f t="shared" si="7"/>
        <v/>
      </c>
      <c r="AG14" s="68" t="str">
        <f t="shared" si="7"/>
        <v/>
      </c>
      <c r="AH14" s="42" t="e">
        <f t="shared" si="1"/>
        <v>#DIV/0!</v>
      </c>
      <c r="AI14" s="42" t="e">
        <f t="shared" si="2"/>
        <v>#DIV/0!</v>
      </c>
      <c r="AJ14" s="42">
        <f t="shared" si="3"/>
        <v>0</v>
      </c>
    </row>
    <row r="15" spans="1:36" ht="15.75">
      <c r="A15" s="122" t="s">
        <v>66</v>
      </c>
      <c r="B15" s="69" t="e">
        <f t="shared" ref="B15:S15" si="8">2*(B3-B2)/(B3+B2)</f>
        <v>#DIV/0!</v>
      </c>
      <c r="C15" s="69" t="e">
        <f t="shared" si="8"/>
        <v>#DIV/0!</v>
      </c>
      <c r="D15" s="69" t="e">
        <f t="shared" si="8"/>
        <v>#DIV/0!</v>
      </c>
      <c r="E15" s="69" t="e">
        <f t="shared" si="8"/>
        <v>#DIV/0!</v>
      </c>
      <c r="F15" s="69" t="e">
        <f t="shared" si="8"/>
        <v>#DIV/0!</v>
      </c>
      <c r="G15" s="69" t="e">
        <f t="shared" si="8"/>
        <v>#DIV/0!</v>
      </c>
      <c r="H15" s="69" t="e">
        <f t="shared" si="8"/>
        <v>#DIV/0!</v>
      </c>
      <c r="I15" s="69" t="e">
        <f t="shared" si="8"/>
        <v>#DIV/0!</v>
      </c>
      <c r="J15" s="69" t="e">
        <f t="shared" si="8"/>
        <v>#DIV/0!</v>
      </c>
      <c r="K15" s="69" t="e">
        <f t="shared" si="8"/>
        <v>#DIV/0!</v>
      </c>
      <c r="L15" s="69" t="e">
        <f t="shared" si="8"/>
        <v>#DIV/0!</v>
      </c>
      <c r="M15" s="69" t="e">
        <f t="shared" si="8"/>
        <v>#DIV/0!</v>
      </c>
      <c r="N15" s="69" t="e">
        <f t="shared" si="8"/>
        <v>#DIV/0!</v>
      </c>
      <c r="O15" s="69" t="e">
        <f t="shared" si="8"/>
        <v>#DIV/0!</v>
      </c>
      <c r="P15" s="69" t="e">
        <f t="shared" si="8"/>
        <v>#DIV/0!</v>
      </c>
      <c r="Q15" s="69" t="e">
        <f t="shared" si="8"/>
        <v>#DIV/0!</v>
      </c>
      <c r="R15" s="69" t="e">
        <f t="shared" si="8"/>
        <v>#DIV/0!</v>
      </c>
      <c r="S15" s="69" t="e">
        <f t="shared" si="8"/>
        <v>#DIV/0!</v>
      </c>
      <c r="T15" s="69" t="e">
        <f t="shared" ref="T15" si="9">2*(T3-T2)/(T3+T2)</f>
        <v>#DIV/0!</v>
      </c>
      <c r="U15" s="69" t="e">
        <f t="shared" ref="U15:AG15" si="10">2*(U3-U2)/(U3+U2)</f>
        <v>#DIV/0!</v>
      </c>
      <c r="V15" s="69" t="e">
        <f t="shared" si="10"/>
        <v>#DIV/0!</v>
      </c>
      <c r="W15" s="69" t="e">
        <f t="shared" si="10"/>
        <v>#DIV/0!</v>
      </c>
      <c r="X15" s="69" t="e">
        <f t="shared" si="10"/>
        <v>#DIV/0!</v>
      </c>
      <c r="Y15" s="69" t="e">
        <f t="shared" si="10"/>
        <v>#DIV/0!</v>
      </c>
      <c r="Z15" s="69" t="e">
        <f t="shared" si="10"/>
        <v>#DIV/0!</v>
      </c>
      <c r="AA15" s="69" t="e">
        <f t="shared" si="10"/>
        <v>#DIV/0!</v>
      </c>
      <c r="AB15" s="69" t="e">
        <f t="shared" si="10"/>
        <v>#DIV/0!</v>
      </c>
      <c r="AC15" s="69" t="e">
        <f t="shared" si="10"/>
        <v>#DIV/0!</v>
      </c>
      <c r="AD15" s="69" t="e">
        <f t="shared" si="10"/>
        <v>#DIV/0!</v>
      </c>
      <c r="AE15" s="69" t="e">
        <f t="shared" si="10"/>
        <v>#DIV/0!</v>
      </c>
      <c r="AF15" s="69" t="e">
        <f t="shared" si="10"/>
        <v>#DIV/0!</v>
      </c>
      <c r="AG15" s="69" t="e">
        <f t="shared" si="10"/>
        <v>#DIV/0!</v>
      </c>
      <c r="AH15" s="69" t="e">
        <f t="shared" si="1"/>
        <v>#DIV/0!</v>
      </c>
      <c r="AI15" s="69" t="e">
        <f t="shared" si="2"/>
        <v>#DIV/0!</v>
      </c>
      <c r="AJ15" s="69" t="e">
        <f t="shared" si="3"/>
        <v>#DIV/0!</v>
      </c>
    </row>
    <row r="16" spans="1:36" ht="15.75">
      <c r="A16" s="122" t="s">
        <v>67</v>
      </c>
      <c r="B16" s="69" t="e">
        <f t="shared" ref="B16:S16" si="11">2*(B8-B7)/(B8+B7)</f>
        <v>#DIV/0!</v>
      </c>
      <c r="C16" s="69" t="e">
        <f t="shared" si="11"/>
        <v>#DIV/0!</v>
      </c>
      <c r="D16" s="69" t="e">
        <f t="shared" si="11"/>
        <v>#DIV/0!</v>
      </c>
      <c r="E16" s="69" t="e">
        <f t="shared" si="11"/>
        <v>#DIV/0!</v>
      </c>
      <c r="F16" s="69" t="e">
        <f t="shared" si="11"/>
        <v>#DIV/0!</v>
      </c>
      <c r="G16" s="69" t="e">
        <f t="shared" si="11"/>
        <v>#DIV/0!</v>
      </c>
      <c r="H16" s="69" t="e">
        <f t="shared" si="11"/>
        <v>#DIV/0!</v>
      </c>
      <c r="I16" s="69" t="e">
        <f t="shared" si="11"/>
        <v>#DIV/0!</v>
      </c>
      <c r="J16" s="69" t="e">
        <f t="shared" si="11"/>
        <v>#DIV/0!</v>
      </c>
      <c r="K16" s="69" t="e">
        <f t="shared" si="11"/>
        <v>#DIV/0!</v>
      </c>
      <c r="L16" s="69" t="e">
        <f t="shared" si="11"/>
        <v>#DIV/0!</v>
      </c>
      <c r="M16" s="69" t="e">
        <f t="shared" si="11"/>
        <v>#DIV/0!</v>
      </c>
      <c r="N16" s="69" t="e">
        <f t="shared" si="11"/>
        <v>#DIV/0!</v>
      </c>
      <c r="O16" s="69" t="e">
        <f t="shared" si="11"/>
        <v>#DIV/0!</v>
      </c>
      <c r="P16" s="69" t="e">
        <f t="shared" si="11"/>
        <v>#DIV/0!</v>
      </c>
      <c r="Q16" s="69" t="e">
        <f t="shared" si="11"/>
        <v>#DIV/0!</v>
      </c>
      <c r="R16" s="69" t="e">
        <f t="shared" si="11"/>
        <v>#DIV/0!</v>
      </c>
      <c r="S16" s="69" t="e">
        <f t="shared" si="11"/>
        <v>#DIV/0!</v>
      </c>
      <c r="T16" s="69" t="e">
        <f t="shared" ref="T16" si="12">2*(T8-T7)/(T8+T7)</f>
        <v>#DIV/0!</v>
      </c>
      <c r="U16" s="69" t="e">
        <f t="shared" ref="U16:AG16" si="13">2*(U8-U7)/(U8+U7)</f>
        <v>#DIV/0!</v>
      </c>
      <c r="V16" s="69" t="e">
        <f t="shared" si="13"/>
        <v>#DIV/0!</v>
      </c>
      <c r="W16" s="69" t="e">
        <f t="shared" si="13"/>
        <v>#DIV/0!</v>
      </c>
      <c r="X16" s="69" t="e">
        <f t="shared" si="13"/>
        <v>#DIV/0!</v>
      </c>
      <c r="Y16" s="69" t="e">
        <f t="shared" si="13"/>
        <v>#DIV/0!</v>
      </c>
      <c r="Z16" s="69" t="e">
        <f t="shared" si="13"/>
        <v>#DIV/0!</v>
      </c>
      <c r="AA16" s="69" t="e">
        <f t="shared" si="13"/>
        <v>#DIV/0!</v>
      </c>
      <c r="AB16" s="69" t="e">
        <f t="shared" si="13"/>
        <v>#DIV/0!</v>
      </c>
      <c r="AC16" s="69" t="e">
        <f t="shared" si="13"/>
        <v>#DIV/0!</v>
      </c>
      <c r="AD16" s="69" t="e">
        <f t="shared" si="13"/>
        <v>#DIV/0!</v>
      </c>
      <c r="AE16" s="69" t="e">
        <f t="shared" si="13"/>
        <v>#DIV/0!</v>
      </c>
      <c r="AF16" s="69" t="e">
        <f t="shared" si="13"/>
        <v>#DIV/0!</v>
      </c>
      <c r="AG16" s="69" t="e">
        <f t="shared" si="13"/>
        <v>#DIV/0!</v>
      </c>
      <c r="AH16" s="69" t="e">
        <f t="shared" si="1"/>
        <v>#DIV/0!</v>
      </c>
      <c r="AI16" s="69" t="e">
        <f t="shared" si="2"/>
        <v>#DIV/0!</v>
      </c>
      <c r="AJ16" s="69" t="e">
        <f t="shared" si="3"/>
        <v>#DIV/0!</v>
      </c>
    </row>
    <row r="17" spans="1:36" ht="15.75">
      <c r="A17" s="122" t="s">
        <v>68</v>
      </c>
      <c r="B17" s="69" t="e">
        <f t="shared" ref="B17:S17" si="14">2*(B11-B10)/(B11+B10)</f>
        <v>#DIV/0!</v>
      </c>
      <c r="C17" s="69" t="e">
        <f t="shared" si="14"/>
        <v>#DIV/0!</v>
      </c>
      <c r="D17" s="69" t="e">
        <f t="shared" si="14"/>
        <v>#DIV/0!</v>
      </c>
      <c r="E17" s="69" t="e">
        <f t="shared" si="14"/>
        <v>#DIV/0!</v>
      </c>
      <c r="F17" s="69" t="e">
        <f t="shared" si="14"/>
        <v>#DIV/0!</v>
      </c>
      <c r="G17" s="69" t="e">
        <f t="shared" si="14"/>
        <v>#DIV/0!</v>
      </c>
      <c r="H17" s="69" t="e">
        <f t="shared" si="14"/>
        <v>#DIV/0!</v>
      </c>
      <c r="I17" s="69" t="e">
        <f t="shared" si="14"/>
        <v>#DIV/0!</v>
      </c>
      <c r="J17" s="69" t="e">
        <f t="shared" si="14"/>
        <v>#DIV/0!</v>
      </c>
      <c r="K17" s="69" t="e">
        <f t="shared" si="14"/>
        <v>#DIV/0!</v>
      </c>
      <c r="L17" s="69" t="e">
        <f t="shared" si="14"/>
        <v>#DIV/0!</v>
      </c>
      <c r="M17" s="69" t="e">
        <f t="shared" si="14"/>
        <v>#DIV/0!</v>
      </c>
      <c r="N17" s="69" t="e">
        <f t="shared" si="14"/>
        <v>#DIV/0!</v>
      </c>
      <c r="O17" s="69" t="e">
        <f t="shared" si="14"/>
        <v>#DIV/0!</v>
      </c>
      <c r="P17" s="69" t="e">
        <f t="shared" si="14"/>
        <v>#DIV/0!</v>
      </c>
      <c r="Q17" s="69" t="e">
        <f t="shared" si="14"/>
        <v>#DIV/0!</v>
      </c>
      <c r="R17" s="69" t="e">
        <f t="shared" si="14"/>
        <v>#DIV/0!</v>
      </c>
      <c r="S17" s="69" t="e">
        <f t="shared" si="14"/>
        <v>#DIV/0!</v>
      </c>
      <c r="T17" s="69" t="e">
        <f t="shared" ref="T17" si="15">2*(T11-T10)/(T11+T10)</f>
        <v>#DIV/0!</v>
      </c>
      <c r="U17" s="69" t="e">
        <f t="shared" ref="U17:AG17" si="16">2*(U11-U10)/(U11+U10)</f>
        <v>#DIV/0!</v>
      </c>
      <c r="V17" s="69" t="e">
        <f t="shared" si="16"/>
        <v>#DIV/0!</v>
      </c>
      <c r="W17" s="69" t="e">
        <f t="shared" si="16"/>
        <v>#DIV/0!</v>
      </c>
      <c r="X17" s="69" t="e">
        <f t="shared" si="16"/>
        <v>#DIV/0!</v>
      </c>
      <c r="Y17" s="69" t="e">
        <f t="shared" si="16"/>
        <v>#DIV/0!</v>
      </c>
      <c r="Z17" s="69" t="e">
        <f t="shared" si="16"/>
        <v>#DIV/0!</v>
      </c>
      <c r="AA17" s="69" t="e">
        <f t="shared" si="16"/>
        <v>#DIV/0!</v>
      </c>
      <c r="AB17" s="69" t="e">
        <f t="shared" si="16"/>
        <v>#DIV/0!</v>
      </c>
      <c r="AC17" s="69" t="e">
        <f t="shared" si="16"/>
        <v>#DIV/0!</v>
      </c>
      <c r="AD17" s="69" t="e">
        <f t="shared" si="16"/>
        <v>#DIV/0!</v>
      </c>
      <c r="AE17" s="69" t="e">
        <f t="shared" si="16"/>
        <v>#DIV/0!</v>
      </c>
      <c r="AF17" s="69" t="e">
        <f t="shared" si="16"/>
        <v>#DIV/0!</v>
      </c>
      <c r="AG17" s="69" t="e">
        <f t="shared" si="16"/>
        <v>#DIV/0!</v>
      </c>
      <c r="AH17" s="69" t="e">
        <f t="shared" si="1"/>
        <v>#DIV/0!</v>
      </c>
      <c r="AI17" s="69" t="e">
        <f t="shared" si="2"/>
        <v>#DIV/0!</v>
      </c>
      <c r="AJ17" s="69" t="e">
        <f t="shared" si="3"/>
        <v>#DIV/0!</v>
      </c>
    </row>
  </sheetData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AJ17"/>
  <sheetViews>
    <sheetView zoomScale="70" zoomScaleNormal="70" workbookViewId="0">
      <selection activeCell="B2" sqref="B2:AG12"/>
    </sheetView>
    <sheetView workbookViewId="1"/>
  </sheetViews>
  <sheetFormatPr defaultRowHeight="15"/>
  <cols>
    <col min="1" max="1" width="9.5703125" style="1" bestFit="1" customWidth="1"/>
    <col min="2" max="36" width="7.5703125" style="1" customWidth="1"/>
    <col min="37" max="16384" width="9.140625" style="1"/>
  </cols>
  <sheetData>
    <row r="1" spans="1:36">
      <c r="A1" s="1" t="s">
        <v>31</v>
      </c>
      <c r="B1" s="1">
        <v>0</v>
      </c>
      <c r="C1" s="1">
        <f>B1+1</f>
        <v>1</v>
      </c>
      <c r="D1" s="1">
        <f t="shared" ref="D1:AG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  <c r="R1" s="1">
        <f t="shared" si="0"/>
        <v>16</v>
      </c>
      <c r="S1" s="1">
        <f t="shared" si="0"/>
        <v>17</v>
      </c>
      <c r="T1" s="1">
        <f t="shared" si="0"/>
        <v>18</v>
      </c>
      <c r="U1" s="1">
        <f t="shared" si="0"/>
        <v>19</v>
      </c>
      <c r="V1" s="1">
        <f t="shared" si="0"/>
        <v>20</v>
      </c>
      <c r="W1" s="1">
        <f t="shared" si="0"/>
        <v>21</v>
      </c>
      <c r="X1" s="1">
        <f t="shared" si="0"/>
        <v>22</v>
      </c>
      <c r="Y1" s="1">
        <f t="shared" si="0"/>
        <v>23</v>
      </c>
      <c r="Z1" s="1">
        <f t="shared" si="0"/>
        <v>24</v>
      </c>
      <c r="AA1" s="1">
        <f t="shared" si="0"/>
        <v>25</v>
      </c>
      <c r="AB1" s="1">
        <f t="shared" si="0"/>
        <v>26</v>
      </c>
      <c r="AC1" s="1">
        <f t="shared" si="0"/>
        <v>27</v>
      </c>
      <c r="AD1" s="1">
        <f t="shared" si="0"/>
        <v>28</v>
      </c>
      <c r="AE1" s="1">
        <f t="shared" si="0"/>
        <v>29</v>
      </c>
      <c r="AF1" s="1">
        <f t="shared" si="0"/>
        <v>30</v>
      </c>
      <c r="AG1" s="1">
        <f t="shared" si="0"/>
        <v>31</v>
      </c>
      <c r="AH1" s="1" t="s">
        <v>3</v>
      </c>
      <c r="AI1" s="1" t="s">
        <v>4</v>
      </c>
      <c r="AJ1" s="1" t="s">
        <v>32</v>
      </c>
    </row>
    <row r="2" spans="1:36">
      <c r="A2" s="112" t="s">
        <v>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39" t="e">
        <f>AVERAGE(B2:AG2)</f>
        <v>#DIV/0!</v>
      </c>
      <c r="AI2" s="39" t="e">
        <f>STDEV(B2:AG2)</f>
        <v>#DIV/0!</v>
      </c>
      <c r="AJ2" s="41">
        <f>MAX(B2:AG2)</f>
        <v>0</v>
      </c>
    </row>
    <row r="3" spans="1:36">
      <c r="A3" s="112" t="s">
        <v>7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39" t="e">
        <f t="shared" ref="AH3:AH17" si="1">AVERAGE(B3:AG3)</f>
        <v>#DIV/0!</v>
      </c>
      <c r="AI3" s="39" t="e">
        <f t="shared" ref="AI3:AI17" si="2">STDEV(B3:AG3)</f>
        <v>#DIV/0!</v>
      </c>
      <c r="AJ3" s="41">
        <f t="shared" ref="AJ3:AJ17" si="3">MAX(B3:AG3)</f>
        <v>0</v>
      </c>
    </row>
    <row r="4" spans="1:36">
      <c r="A4" s="112" t="s">
        <v>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39" t="e">
        <f>AVERAGE(B4:AG4)</f>
        <v>#DIV/0!</v>
      </c>
      <c r="AI4" s="39" t="e">
        <f>STDEV(B4:AG4)</f>
        <v>#DIV/0!</v>
      </c>
      <c r="AJ4" s="41">
        <f>MAX(B4:AG4)</f>
        <v>0</v>
      </c>
    </row>
    <row r="5" spans="1:36">
      <c r="A5" s="112" t="s">
        <v>9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39" t="e">
        <f>AVERAGE(B5:AG5)</f>
        <v>#DIV/0!</v>
      </c>
      <c r="AI5" s="39" t="e">
        <f>STDEV(B5:AG5)</f>
        <v>#DIV/0!</v>
      </c>
      <c r="AJ5" s="41">
        <f>MAX(B5:AG5)</f>
        <v>0</v>
      </c>
    </row>
    <row r="6" spans="1:36">
      <c r="A6" s="112" t="s">
        <v>33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" t="e">
        <f>AVERAGE(B6:AG6)</f>
        <v>#DIV/0!</v>
      </c>
      <c r="AI6" s="3" t="e">
        <f>STDEV(B6:AG6)</f>
        <v>#DIV/0!</v>
      </c>
      <c r="AJ6" s="3">
        <f>MAX(B6:AG6)</f>
        <v>0</v>
      </c>
    </row>
    <row r="7" spans="1:36" s="112" customFormat="1">
      <c r="A7" s="112" t="str">
        <f>A3&amp;"-1"</f>
        <v>Range1-1</v>
      </c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 t="e">
        <f t="shared" ref="AH7:AH12" si="4">AVERAGE(B7:AG7)</f>
        <v>#DIV/0!</v>
      </c>
      <c r="AI7" s="114" t="e">
        <f t="shared" ref="AI7:AI12" si="5">STDEV(B7:AG7)</f>
        <v>#DIV/0!</v>
      </c>
      <c r="AJ7" s="114">
        <f t="shared" ref="AJ7:AJ12" si="6">MAX(B7:AG7)</f>
        <v>0</v>
      </c>
    </row>
    <row r="8" spans="1:36" s="112" customFormat="1">
      <c r="A8" s="112" t="str">
        <f>A4&amp;"-1"</f>
        <v>Range2-1</v>
      </c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 t="e">
        <f t="shared" si="4"/>
        <v>#DIV/0!</v>
      </c>
      <c r="AI8" s="114" t="e">
        <f t="shared" si="5"/>
        <v>#DIV/0!</v>
      </c>
      <c r="AJ8" s="114">
        <f t="shared" si="6"/>
        <v>0</v>
      </c>
    </row>
    <row r="9" spans="1:36" s="112" customFormat="1">
      <c r="A9" s="112" t="str">
        <f>A4&amp;"-2"</f>
        <v>Range2-2</v>
      </c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 t="e">
        <f t="shared" si="4"/>
        <v>#DIV/0!</v>
      </c>
      <c r="AI9" s="114" t="e">
        <f t="shared" si="5"/>
        <v>#DIV/0!</v>
      </c>
      <c r="AJ9" s="114">
        <f t="shared" si="6"/>
        <v>0</v>
      </c>
    </row>
    <row r="10" spans="1:36" s="112" customFormat="1">
      <c r="A10" s="112" t="str">
        <f>A5&amp;"-1"</f>
        <v>Range3-1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 t="e">
        <f t="shared" si="4"/>
        <v>#DIV/0!</v>
      </c>
      <c r="AI10" s="114" t="e">
        <f t="shared" si="5"/>
        <v>#DIV/0!</v>
      </c>
      <c r="AJ10" s="114">
        <f t="shared" si="6"/>
        <v>0</v>
      </c>
    </row>
    <row r="11" spans="1:36" s="112" customFormat="1">
      <c r="A11" s="112" t="str">
        <f>A5&amp;"-2"</f>
        <v>Range3-2</v>
      </c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 t="e">
        <f t="shared" si="4"/>
        <v>#DIV/0!</v>
      </c>
      <c r="AI11" s="114" t="e">
        <f t="shared" si="5"/>
        <v>#DIV/0!</v>
      </c>
      <c r="AJ11" s="114">
        <f t="shared" si="6"/>
        <v>0</v>
      </c>
    </row>
    <row r="12" spans="1:36" s="112" customFormat="1">
      <c r="A12" s="112" t="str">
        <f>A5&amp;"-3"</f>
        <v>Range3-3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 t="e">
        <f t="shared" si="4"/>
        <v>#DIV/0!</v>
      </c>
      <c r="AI12" s="114" t="e">
        <f t="shared" si="5"/>
        <v>#DIV/0!</v>
      </c>
      <c r="AJ12" s="114">
        <f t="shared" si="6"/>
        <v>0</v>
      </c>
    </row>
    <row r="14" spans="1:36">
      <c r="A14" s="112" t="s">
        <v>34</v>
      </c>
      <c r="B14" s="68" t="str">
        <f t="shared" ref="B14:AG14" si="7">IF(B6&lt;&gt;0,B5/B6,"")</f>
        <v/>
      </c>
      <c r="C14" s="68" t="str">
        <f t="shared" si="7"/>
        <v/>
      </c>
      <c r="D14" s="68" t="str">
        <f t="shared" si="7"/>
        <v/>
      </c>
      <c r="E14" s="68" t="str">
        <f t="shared" si="7"/>
        <v/>
      </c>
      <c r="F14" s="68" t="str">
        <f t="shared" si="7"/>
        <v/>
      </c>
      <c r="G14" s="68" t="str">
        <f t="shared" si="7"/>
        <v/>
      </c>
      <c r="H14" s="68" t="str">
        <f t="shared" si="7"/>
        <v/>
      </c>
      <c r="I14" s="68" t="str">
        <f t="shared" si="7"/>
        <v/>
      </c>
      <c r="J14" s="68" t="str">
        <f t="shared" si="7"/>
        <v/>
      </c>
      <c r="K14" s="68" t="str">
        <f t="shared" si="7"/>
        <v/>
      </c>
      <c r="L14" s="68" t="str">
        <f t="shared" si="7"/>
        <v/>
      </c>
      <c r="M14" s="68" t="str">
        <f t="shared" si="7"/>
        <v/>
      </c>
      <c r="N14" s="68" t="str">
        <f t="shared" si="7"/>
        <v/>
      </c>
      <c r="O14" s="68" t="str">
        <f t="shared" si="7"/>
        <v/>
      </c>
      <c r="P14" s="68" t="str">
        <f t="shared" si="7"/>
        <v/>
      </c>
      <c r="Q14" s="68" t="str">
        <f t="shared" si="7"/>
        <v/>
      </c>
      <c r="R14" s="68" t="str">
        <f t="shared" si="7"/>
        <v/>
      </c>
      <c r="S14" s="68" t="str">
        <f t="shared" si="7"/>
        <v/>
      </c>
      <c r="T14" s="68" t="str">
        <f t="shared" si="7"/>
        <v/>
      </c>
      <c r="U14" s="68" t="str">
        <f t="shared" si="7"/>
        <v/>
      </c>
      <c r="V14" s="68" t="str">
        <f t="shared" si="7"/>
        <v/>
      </c>
      <c r="W14" s="68" t="str">
        <f t="shared" si="7"/>
        <v/>
      </c>
      <c r="X14" s="68" t="str">
        <f t="shared" si="7"/>
        <v/>
      </c>
      <c r="Y14" s="68" t="str">
        <f t="shared" si="7"/>
        <v/>
      </c>
      <c r="Z14" s="68" t="str">
        <f t="shared" si="7"/>
        <v/>
      </c>
      <c r="AA14" s="68" t="str">
        <f t="shared" si="7"/>
        <v/>
      </c>
      <c r="AB14" s="68" t="str">
        <f t="shared" si="7"/>
        <v/>
      </c>
      <c r="AC14" s="68" t="str">
        <f t="shared" si="7"/>
        <v/>
      </c>
      <c r="AD14" s="68" t="str">
        <f t="shared" si="7"/>
        <v/>
      </c>
      <c r="AE14" s="68" t="str">
        <f t="shared" si="7"/>
        <v/>
      </c>
      <c r="AF14" s="68" t="str">
        <f t="shared" si="7"/>
        <v/>
      </c>
      <c r="AG14" s="68" t="str">
        <f t="shared" si="7"/>
        <v/>
      </c>
      <c r="AH14" s="42" t="e">
        <f t="shared" si="1"/>
        <v>#DIV/0!</v>
      </c>
      <c r="AI14" s="42" t="e">
        <f t="shared" si="2"/>
        <v>#DIV/0!</v>
      </c>
      <c r="AJ14" s="42">
        <f t="shared" si="3"/>
        <v>0</v>
      </c>
    </row>
    <row r="15" spans="1:36" ht="15.75">
      <c r="A15" s="122" t="s">
        <v>66</v>
      </c>
      <c r="B15" s="69" t="e">
        <f t="shared" ref="B15:S15" si="8">2*(B3-B2)/(B3+B2)</f>
        <v>#DIV/0!</v>
      </c>
      <c r="C15" s="69" t="e">
        <f t="shared" si="8"/>
        <v>#DIV/0!</v>
      </c>
      <c r="D15" s="69" t="e">
        <f t="shared" si="8"/>
        <v>#DIV/0!</v>
      </c>
      <c r="E15" s="69" t="e">
        <f t="shared" si="8"/>
        <v>#DIV/0!</v>
      </c>
      <c r="F15" s="69" t="e">
        <f t="shared" si="8"/>
        <v>#DIV/0!</v>
      </c>
      <c r="G15" s="69" t="e">
        <f t="shared" si="8"/>
        <v>#DIV/0!</v>
      </c>
      <c r="H15" s="69" t="e">
        <f t="shared" si="8"/>
        <v>#DIV/0!</v>
      </c>
      <c r="I15" s="69" t="e">
        <f t="shared" si="8"/>
        <v>#DIV/0!</v>
      </c>
      <c r="J15" s="69" t="e">
        <f t="shared" si="8"/>
        <v>#DIV/0!</v>
      </c>
      <c r="K15" s="69" t="e">
        <f t="shared" si="8"/>
        <v>#DIV/0!</v>
      </c>
      <c r="L15" s="69" t="e">
        <f t="shared" si="8"/>
        <v>#DIV/0!</v>
      </c>
      <c r="M15" s="69" t="e">
        <f t="shared" si="8"/>
        <v>#DIV/0!</v>
      </c>
      <c r="N15" s="69" t="e">
        <f t="shared" si="8"/>
        <v>#DIV/0!</v>
      </c>
      <c r="O15" s="69" t="e">
        <f t="shared" si="8"/>
        <v>#DIV/0!</v>
      </c>
      <c r="P15" s="69" t="e">
        <f t="shared" si="8"/>
        <v>#DIV/0!</v>
      </c>
      <c r="Q15" s="69" t="e">
        <f t="shared" si="8"/>
        <v>#DIV/0!</v>
      </c>
      <c r="R15" s="69" t="e">
        <f t="shared" si="8"/>
        <v>#DIV/0!</v>
      </c>
      <c r="S15" s="69" t="e">
        <f t="shared" si="8"/>
        <v>#DIV/0!</v>
      </c>
      <c r="T15" s="69" t="e">
        <f t="shared" ref="T15" si="9">2*(T3-T2)/(T3+T2)</f>
        <v>#DIV/0!</v>
      </c>
      <c r="U15" s="69" t="e">
        <f t="shared" ref="U15:AG15" si="10">2*(U3-U2)/(U3+U2)</f>
        <v>#DIV/0!</v>
      </c>
      <c r="V15" s="69" t="e">
        <f t="shared" si="10"/>
        <v>#DIV/0!</v>
      </c>
      <c r="W15" s="69" t="e">
        <f t="shared" si="10"/>
        <v>#DIV/0!</v>
      </c>
      <c r="X15" s="69" t="e">
        <f t="shared" si="10"/>
        <v>#DIV/0!</v>
      </c>
      <c r="Y15" s="69" t="e">
        <f t="shared" si="10"/>
        <v>#DIV/0!</v>
      </c>
      <c r="Z15" s="69" t="e">
        <f t="shared" si="10"/>
        <v>#DIV/0!</v>
      </c>
      <c r="AA15" s="69" t="e">
        <f t="shared" si="10"/>
        <v>#DIV/0!</v>
      </c>
      <c r="AB15" s="69" t="e">
        <f t="shared" si="10"/>
        <v>#DIV/0!</v>
      </c>
      <c r="AC15" s="69" t="e">
        <f t="shared" si="10"/>
        <v>#DIV/0!</v>
      </c>
      <c r="AD15" s="69" t="e">
        <f t="shared" si="10"/>
        <v>#DIV/0!</v>
      </c>
      <c r="AE15" s="69" t="e">
        <f t="shared" si="10"/>
        <v>#DIV/0!</v>
      </c>
      <c r="AF15" s="69" t="e">
        <f t="shared" si="10"/>
        <v>#DIV/0!</v>
      </c>
      <c r="AG15" s="69" t="e">
        <f t="shared" si="10"/>
        <v>#DIV/0!</v>
      </c>
      <c r="AH15" s="69" t="e">
        <f t="shared" si="1"/>
        <v>#DIV/0!</v>
      </c>
      <c r="AI15" s="69" t="e">
        <f t="shared" si="2"/>
        <v>#DIV/0!</v>
      </c>
      <c r="AJ15" s="69" t="e">
        <f t="shared" si="3"/>
        <v>#DIV/0!</v>
      </c>
    </row>
    <row r="16" spans="1:36" ht="15.75">
      <c r="A16" s="122" t="s">
        <v>67</v>
      </c>
      <c r="B16" s="69" t="e">
        <f t="shared" ref="B16:S16" si="11">2*(B8-B7)/(B8+B7)</f>
        <v>#DIV/0!</v>
      </c>
      <c r="C16" s="69" t="e">
        <f t="shared" si="11"/>
        <v>#DIV/0!</v>
      </c>
      <c r="D16" s="69" t="e">
        <f t="shared" si="11"/>
        <v>#DIV/0!</v>
      </c>
      <c r="E16" s="69" t="e">
        <f t="shared" si="11"/>
        <v>#DIV/0!</v>
      </c>
      <c r="F16" s="69" t="e">
        <f t="shared" si="11"/>
        <v>#DIV/0!</v>
      </c>
      <c r="G16" s="69" t="e">
        <f t="shared" si="11"/>
        <v>#DIV/0!</v>
      </c>
      <c r="H16" s="69" t="e">
        <f t="shared" si="11"/>
        <v>#DIV/0!</v>
      </c>
      <c r="I16" s="69" t="e">
        <f t="shared" si="11"/>
        <v>#DIV/0!</v>
      </c>
      <c r="J16" s="69" t="e">
        <f t="shared" si="11"/>
        <v>#DIV/0!</v>
      </c>
      <c r="K16" s="69" t="e">
        <f t="shared" si="11"/>
        <v>#DIV/0!</v>
      </c>
      <c r="L16" s="69" t="e">
        <f t="shared" si="11"/>
        <v>#DIV/0!</v>
      </c>
      <c r="M16" s="69" t="e">
        <f t="shared" si="11"/>
        <v>#DIV/0!</v>
      </c>
      <c r="N16" s="69" t="e">
        <f t="shared" si="11"/>
        <v>#DIV/0!</v>
      </c>
      <c r="O16" s="69" t="e">
        <f t="shared" si="11"/>
        <v>#DIV/0!</v>
      </c>
      <c r="P16" s="69" t="e">
        <f t="shared" si="11"/>
        <v>#DIV/0!</v>
      </c>
      <c r="Q16" s="69" t="e">
        <f t="shared" si="11"/>
        <v>#DIV/0!</v>
      </c>
      <c r="R16" s="69" t="e">
        <f t="shared" si="11"/>
        <v>#DIV/0!</v>
      </c>
      <c r="S16" s="69" t="e">
        <f t="shared" si="11"/>
        <v>#DIV/0!</v>
      </c>
      <c r="T16" s="69" t="e">
        <f t="shared" ref="T16" si="12">2*(T8-T7)/(T8+T7)</f>
        <v>#DIV/0!</v>
      </c>
      <c r="U16" s="69" t="e">
        <f t="shared" ref="U16:AG16" si="13">2*(U8-U7)/(U8+U7)</f>
        <v>#DIV/0!</v>
      </c>
      <c r="V16" s="69" t="e">
        <f t="shared" si="13"/>
        <v>#DIV/0!</v>
      </c>
      <c r="W16" s="69" t="e">
        <f t="shared" si="13"/>
        <v>#DIV/0!</v>
      </c>
      <c r="X16" s="69" t="e">
        <f t="shared" si="13"/>
        <v>#DIV/0!</v>
      </c>
      <c r="Y16" s="69" t="e">
        <f t="shared" si="13"/>
        <v>#DIV/0!</v>
      </c>
      <c r="Z16" s="69" t="e">
        <f t="shared" si="13"/>
        <v>#DIV/0!</v>
      </c>
      <c r="AA16" s="69" t="e">
        <f t="shared" si="13"/>
        <v>#DIV/0!</v>
      </c>
      <c r="AB16" s="69" t="e">
        <f t="shared" si="13"/>
        <v>#DIV/0!</v>
      </c>
      <c r="AC16" s="69" t="e">
        <f t="shared" si="13"/>
        <v>#DIV/0!</v>
      </c>
      <c r="AD16" s="69" t="e">
        <f t="shared" si="13"/>
        <v>#DIV/0!</v>
      </c>
      <c r="AE16" s="69" t="e">
        <f t="shared" si="13"/>
        <v>#DIV/0!</v>
      </c>
      <c r="AF16" s="69" t="e">
        <f t="shared" si="13"/>
        <v>#DIV/0!</v>
      </c>
      <c r="AG16" s="69" t="e">
        <f t="shared" si="13"/>
        <v>#DIV/0!</v>
      </c>
      <c r="AH16" s="69" t="e">
        <f t="shared" si="1"/>
        <v>#DIV/0!</v>
      </c>
      <c r="AI16" s="69" t="e">
        <f t="shared" si="2"/>
        <v>#DIV/0!</v>
      </c>
      <c r="AJ16" s="69" t="e">
        <f t="shared" si="3"/>
        <v>#DIV/0!</v>
      </c>
    </row>
    <row r="17" spans="1:36" ht="15.75">
      <c r="A17" s="122" t="s">
        <v>68</v>
      </c>
      <c r="B17" s="69" t="e">
        <f t="shared" ref="B17:S17" si="14">2*(B11-B10)/(B11+B10)</f>
        <v>#DIV/0!</v>
      </c>
      <c r="C17" s="69" t="e">
        <f t="shared" si="14"/>
        <v>#DIV/0!</v>
      </c>
      <c r="D17" s="69" t="e">
        <f t="shared" si="14"/>
        <v>#DIV/0!</v>
      </c>
      <c r="E17" s="69" t="e">
        <f t="shared" si="14"/>
        <v>#DIV/0!</v>
      </c>
      <c r="F17" s="69" t="e">
        <f t="shared" si="14"/>
        <v>#DIV/0!</v>
      </c>
      <c r="G17" s="69" t="e">
        <f t="shared" si="14"/>
        <v>#DIV/0!</v>
      </c>
      <c r="H17" s="69" t="e">
        <f t="shared" si="14"/>
        <v>#DIV/0!</v>
      </c>
      <c r="I17" s="69" t="e">
        <f t="shared" si="14"/>
        <v>#DIV/0!</v>
      </c>
      <c r="J17" s="69" t="e">
        <f t="shared" si="14"/>
        <v>#DIV/0!</v>
      </c>
      <c r="K17" s="69" t="e">
        <f t="shared" si="14"/>
        <v>#DIV/0!</v>
      </c>
      <c r="L17" s="69" t="e">
        <f t="shared" si="14"/>
        <v>#DIV/0!</v>
      </c>
      <c r="M17" s="69" t="e">
        <f t="shared" si="14"/>
        <v>#DIV/0!</v>
      </c>
      <c r="N17" s="69" t="e">
        <f t="shared" si="14"/>
        <v>#DIV/0!</v>
      </c>
      <c r="O17" s="69" t="e">
        <f t="shared" si="14"/>
        <v>#DIV/0!</v>
      </c>
      <c r="P17" s="69" t="e">
        <f t="shared" si="14"/>
        <v>#DIV/0!</v>
      </c>
      <c r="Q17" s="69" t="e">
        <f t="shared" si="14"/>
        <v>#DIV/0!</v>
      </c>
      <c r="R17" s="69" t="e">
        <f t="shared" si="14"/>
        <v>#DIV/0!</v>
      </c>
      <c r="S17" s="69" t="e">
        <f t="shared" si="14"/>
        <v>#DIV/0!</v>
      </c>
      <c r="T17" s="69" t="e">
        <f t="shared" ref="T17" si="15">2*(T11-T10)/(T11+T10)</f>
        <v>#DIV/0!</v>
      </c>
      <c r="U17" s="69" t="e">
        <f t="shared" ref="U17:AG17" si="16">2*(U11-U10)/(U11+U10)</f>
        <v>#DIV/0!</v>
      </c>
      <c r="V17" s="69" t="e">
        <f t="shared" si="16"/>
        <v>#DIV/0!</v>
      </c>
      <c r="W17" s="69" t="e">
        <f t="shared" si="16"/>
        <v>#DIV/0!</v>
      </c>
      <c r="X17" s="69" t="e">
        <f t="shared" si="16"/>
        <v>#DIV/0!</v>
      </c>
      <c r="Y17" s="69" t="e">
        <f t="shared" si="16"/>
        <v>#DIV/0!</v>
      </c>
      <c r="Z17" s="69" t="e">
        <f t="shared" si="16"/>
        <v>#DIV/0!</v>
      </c>
      <c r="AA17" s="69" t="e">
        <f t="shared" si="16"/>
        <v>#DIV/0!</v>
      </c>
      <c r="AB17" s="69" t="e">
        <f t="shared" si="16"/>
        <v>#DIV/0!</v>
      </c>
      <c r="AC17" s="69" t="e">
        <f t="shared" si="16"/>
        <v>#DIV/0!</v>
      </c>
      <c r="AD17" s="69" t="e">
        <f t="shared" si="16"/>
        <v>#DIV/0!</v>
      </c>
      <c r="AE17" s="69" t="e">
        <f t="shared" si="16"/>
        <v>#DIV/0!</v>
      </c>
      <c r="AF17" s="69" t="e">
        <f t="shared" si="16"/>
        <v>#DIV/0!</v>
      </c>
      <c r="AG17" s="69" t="e">
        <f t="shared" si="16"/>
        <v>#DIV/0!</v>
      </c>
      <c r="AH17" s="69" t="e">
        <f t="shared" si="1"/>
        <v>#DIV/0!</v>
      </c>
      <c r="AI17" s="69" t="e">
        <f t="shared" si="2"/>
        <v>#DIV/0!</v>
      </c>
      <c r="AJ17" s="69" t="e">
        <f t="shared" si="3"/>
        <v>#DIV/0!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size="36" baseType="lpstr">
      <vt:lpstr>Summary</vt:lpstr>
      <vt:lpstr>Parameters</vt:lpstr>
      <vt:lpstr>Scaled</vt:lpstr>
      <vt:lpstr>Calculations</vt:lpstr>
      <vt:lpstr>data0</vt:lpstr>
      <vt:lpstr>data1</vt:lpstr>
      <vt:lpstr>data2</vt:lpstr>
      <vt:lpstr>data3</vt:lpstr>
      <vt:lpstr>data4</vt:lpstr>
      <vt:lpstr>data5</vt:lpstr>
      <vt:lpstr>data6</vt:lpstr>
      <vt:lpstr>_IRM0</vt:lpstr>
      <vt:lpstr>_IRM1</vt:lpstr>
      <vt:lpstr>_IRM2</vt:lpstr>
      <vt:lpstr>_IRM3</vt:lpstr>
      <vt:lpstr>calTable</vt:lpstr>
      <vt:lpstr>comp38</vt:lpstr>
      <vt:lpstr>dataEnable</vt:lpstr>
      <vt:lpstr>gainCorrect</vt:lpstr>
      <vt:lpstr>GC</vt:lpstr>
      <vt:lpstr>lux</vt:lpstr>
      <vt:lpstr>lux_0</vt:lpstr>
      <vt:lpstr>lux_1</vt:lpstr>
      <vt:lpstr>lux_2</vt:lpstr>
      <vt:lpstr>lux_3</vt:lpstr>
      <vt:lpstr>nRngPerK</vt:lpstr>
      <vt:lpstr>partNumber</vt:lpstr>
      <vt:lpstr>removeFliers</vt:lpstr>
      <vt:lpstr>rng0Fw</vt:lpstr>
      <vt:lpstr>rng1Fw</vt:lpstr>
      <vt:lpstr>rng2Fw</vt:lpstr>
      <vt:lpstr>rng3Fw</vt:lpstr>
      <vt:lpstr>useFilterWheels</vt:lpstr>
      <vt:lpstr>useIRcomp</vt:lpstr>
      <vt:lpstr>xOffset</vt:lpstr>
      <vt:lpstr>yOffset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2013-09-05T18:56:33Z</dcterms:modified>
</cp:coreProperties>
</file>