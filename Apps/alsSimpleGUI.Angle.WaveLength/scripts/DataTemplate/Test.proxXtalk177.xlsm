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VSROOT\ALS_(ambient_light_sensors)\Software\Workspaces.devel\Apps\alsSimpleGUI.Angle.WaveLength\scripts\DataTemplate\"/>
    </mc:Choice>
  </mc:AlternateContent>
  <bookViews>
    <workbookView xWindow="-15" yWindow="10560" windowWidth="38460" windowHeight="10605"/>
  </bookViews>
  <sheets>
    <sheet name="Summary" sheetId="1" r:id="rId1"/>
    <sheet name="data0" sheetId="2" r:id="rId2"/>
    <sheet name="data1" sheetId="7" r:id="rId3"/>
    <sheet name="data2" sheetId="8" r:id="rId4"/>
    <sheet name="data3" sheetId="9" r:id="rId5"/>
    <sheet name="data4" sheetId="10" r:id="rId6"/>
    <sheet name="data5" sheetId="11" r:id="rId7"/>
  </sheets>
  <calcPr calcId="152511"/>
</workbook>
</file>

<file path=xl/calcChain.xml><?xml version="1.0" encoding="utf-8"?>
<calcChain xmlns="http://schemas.openxmlformats.org/spreadsheetml/2006/main">
  <c r="U3" i="1" l="1"/>
  <c r="R3" i="1"/>
  <c r="O3" i="1"/>
  <c r="L3" i="1"/>
  <c r="I3" i="1"/>
  <c r="AO9" i="11" l="1"/>
  <c r="AM9" i="11"/>
  <c r="AK9" i="11"/>
  <c r="AI9" i="11"/>
  <c r="AO8" i="11"/>
  <c r="AM8" i="11"/>
  <c r="AK8" i="11"/>
  <c r="AI8" i="11"/>
  <c r="AO7" i="11"/>
  <c r="AM7" i="11"/>
  <c r="AK7" i="11"/>
  <c r="AI7" i="11"/>
  <c r="AO6" i="11"/>
  <c r="AM6" i="11"/>
  <c r="AK6" i="11"/>
  <c r="AI6" i="11"/>
  <c r="AO5" i="11"/>
  <c r="AM5" i="11"/>
  <c r="AK5" i="11"/>
  <c r="AI5" i="11"/>
  <c r="AL5" i="11" l="1"/>
  <c r="AL6" i="11"/>
  <c r="AL7" i="11"/>
  <c r="AL8" i="11"/>
  <c r="AL9" i="11"/>
  <c r="AN5" i="11"/>
  <c r="AN6" i="11"/>
  <c r="AN7" i="11"/>
  <c r="AN8" i="11"/>
  <c r="AN9" i="11"/>
  <c r="AO4" i="11"/>
  <c r="AM4" i="11"/>
  <c r="AK4" i="11"/>
  <c r="AI4" i="11"/>
  <c r="AO3" i="11"/>
  <c r="AM3" i="11"/>
  <c r="AK3" i="11"/>
  <c r="AI3" i="11"/>
  <c r="AN3" i="11" l="1"/>
  <c r="AL4" i="11"/>
  <c r="AL3" i="11"/>
  <c r="AN4" i="11"/>
  <c r="A3" i="11"/>
  <c r="AO2" i="11"/>
  <c r="AM2" i="11"/>
  <c r="AK2" i="11"/>
  <c r="AI2" i="11"/>
  <c r="AN2" i="11" l="1"/>
  <c r="AL2" i="11"/>
  <c r="C1" i="11"/>
  <c r="AO9" i="10"/>
  <c r="AM9" i="10"/>
  <c r="AK9" i="10"/>
  <c r="AI9" i="10"/>
  <c r="AO8" i="10"/>
  <c r="AM8" i="10"/>
  <c r="AK8" i="10"/>
  <c r="AI8" i="10"/>
  <c r="AO7" i="10"/>
  <c r="AM7" i="10"/>
  <c r="AK7" i="10"/>
  <c r="AI7" i="10"/>
  <c r="AO6" i="10"/>
  <c r="AM6" i="10"/>
  <c r="AK6" i="10"/>
  <c r="AI6" i="10"/>
  <c r="AO5" i="10"/>
  <c r="AM5" i="10"/>
  <c r="AK5" i="10"/>
  <c r="AI5" i="10"/>
  <c r="AO4" i="10"/>
  <c r="AM4" i="10"/>
  <c r="AK4" i="10"/>
  <c r="AI4" i="10"/>
  <c r="AO3" i="10"/>
  <c r="AM3" i="10"/>
  <c r="AK3" i="10"/>
  <c r="AI3" i="10"/>
  <c r="A3" i="10"/>
  <c r="AO2" i="10"/>
  <c r="AM2" i="10"/>
  <c r="AK2" i="10"/>
  <c r="AI2" i="10"/>
  <c r="C1" i="10"/>
  <c r="AO9" i="9"/>
  <c r="AM9" i="9"/>
  <c r="AK9" i="9"/>
  <c r="AI9" i="9"/>
  <c r="AO8" i="9"/>
  <c r="AM8" i="9"/>
  <c r="AK8" i="9"/>
  <c r="AI8" i="9"/>
  <c r="AO7" i="9"/>
  <c r="AM7" i="9"/>
  <c r="AK7" i="9"/>
  <c r="AI7" i="9"/>
  <c r="AO6" i="9"/>
  <c r="AM6" i="9"/>
  <c r="AK6" i="9"/>
  <c r="AI6" i="9"/>
  <c r="AO5" i="9"/>
  <c r="AM5" i="9"/>
  <c r="AK5" i="9"/>
  <c r="AI5" i="9"/>
  <c r="AO4" i="9"/>
  <c r="AM4" i="9"/>
  <c r="AK4" i="9"/>
  <c r="AI4" i="9"/>
  <c r="AO3" i="9"/>
  <c r="AM3" i="9"/>
  <c r="AK3" i="9"/>
  <c r="AI3" i="9"/>
  <c r="A3" i="9"/>
  <c r="AO2" i="9"/>
  <c r="AM2" i="9"/>
  <c r="AK2" i="9"/>
  <c r="AI2" i="9"/>
  <c r="C1" i="9"/>
  <c r="AO9" i="8"/>
  <c r="AM9" i="8"/>
  <c r="AK9" i="8"/>
  <c r="AI9" i="8"/>
  <c r="AO8" i="8"/>
  <c r="AM8" i="8"/>
  <c r="AK8" i="8"/>
  <c r="AI8" i="8"/>
  <c r="AO7" i="8"/>
  <c r="AM7" i="8"/>
  <c r="AK7" i="8"/>
  <c r="AI7" i="8"/>
  <c r="AO6" i="8"/>
  <c r="AM6" i="8"/>
  <c r="AK6" i="8"/>
  <c r="AI6" i="8"/>
  <c r="AO5" i="8"/>
  <c r="AM5" i="8"/>
  <c r="AK5" i="8"/>
  <c r="AI5" i="8"/>
  <c r="AO4" i="8"/>
  <c r="AM4" i="8"/>
  <c r="AK4" i="8"/>
  <c r="AI4" i="8"/>
  <c r="AO3" i="8"/>
  <c r="AM3" i="8"/>
  <c r="AK3" i="8"/>
  <c r="AI3" i="8"/>
  <c r="A3" i="8"/>
  <c r="AO2" i="8"/>
  <c r="AM2" i="8"/>
  <c r="AK2" i="8"/>
  <c r="AI2" i="8"/>
  <c r="C1" i="8"/>
  <c r="AO9" i="7"/>
  <c r="AM9" i="7"/>
  <c r="AK9" i="7"/>
  <c r="AI9" i="7"/>
  <c r="AO8" i="7"/>
  <c r="AM8" i="7"/>
  <c r="AK8" i="7"/>
  <c r="AI8" i="7"/>
  <c r="AO7" i="7"/>
  <c r="AM7" i="7"/>
  <c r="AK7" i="7"/>
  <c r="AI7" i="7"/>
  <c r="AO6" i="7"/>
  <c r="AM6" i="7"/>
  <c r="AK6" i="7"/>
  <c r="AI6" i="7"/>
  <c r="AO5" i="7"/>
  <c r="AM5" i="7"/>
  <c r="AK5" i="7"/>
  <c r="AI5" i="7"/>
  <c r="AO4" i="7"/>
  <c r="AM4" i="7"/>
  <c r="AK4" i="7"/>
  <c r="AI4" i="7"/>
  <c r="AO3" i="7"/>
  <c r="AM3" i="7"/>
  <c r="AK3" i="7"/>
  <c r="AI3" i="7"/>
  <c r="A3" i="7"/>
  <c r="AO2" i="7"/>
  <c r="AM2" i="7"/>
  <c r="AK2" i="7"/>
  <c r="AI2" i="7"/>
  <c r="C1" i="7"/>
  <c r="AO9" i="2"/>
  <c r="AM9" i="2"/>
  <c r="AK9" i="2"/>
  <c r="AI9" i="2"/>
  <c r="AO8" i="2"/>
  <c r="AM8" i="2"/>
  <c r="AK8" i="2"/>
  <c r="AI8" i="2"/>
  <c r="AO7" i="2"/>
  <c r="AM7" i="2"/>
  <c r="AK7" i="2"/>
  <c r="AI7" i="2"/>
  <c r="AO6" i="2"/>
  <c r="AM6" i="2"/>
  <c r="AK6" i="2"/>
  <c r="AI6" i="2"/>
  <c r="AO5" i="2"/>
  <c r="AM5" i="2"/>
  <c r="AK5" i="2"/>
  <c r="AI5" i="2"/>
  <c r="AO4" i="2"/>
  <c r="AM4" i="2"/>
  <c r="AK4" i="2"/>
  <c r="AI4" i="2"/>
  <c r="AO3" i="2"/>
  <c r="AM3" i="2"/>
  <c r="AK3" i="2"/>
  <c r="AI3" i="2"/>
  <c r="A3" i="2"/>
  <c r="A4" i="2" s="1"/>
  <c r="AO2" i="2"/>
  <c r="AM2" i="2"/>
  <c r="AK2" i="2"/>
  <c r="AI2" i="2"/>
  <c r="AL2" i="2" s="1"/>
  <c r="D1" i="2"/>
  <c r="C1" i="2"/>
  <c r="AN4" i="2" l="1"/>
  <c r="AN8" i="2"/>
  <c r="AN6" i="2"/>
  <c r="AN9" i="7"/>
  <c r="AN5" i="7"/>
  <c r="AN7" i="7"/>
  <c r="AN3" i="7"/>
  <c r="AN2" i="7"/>
  <c r="AN6" i="9"/>
  <c r="AN8" i="9"/>
  <c r="AN4" i="9"/>
  <c r="AN8" i="10"/>
  <c r="AN4" i="10"/>
  <c r="AN6" i="10"/>
  <c r="AN9" i="8"/>
  <c r="AN5" i="8"/>
  <c r="AN7" i="8"/>
  <c r="AN3" i="8"/>
  <c r="AN2" i="8"/>
  <c r="AN2" i="10"/>
  <c r="AN5" i="10"/>
  <c r="AN9" i="10"/>
  <c r="AN3" i="10"/>
  <c r="AN7" i="10"/>
  <c r="AN3" i="9"/>
  <c r="AN7" i="9"/>
  <c r="AN2" i="9"/>
  <c r="AN5" i="9"/>
  <c r="AN9" i="9"/>
  <c r="AN6" i="8"/>
  <c r="AN4" i="8"/>
  <c r="AN8" i="8"/>
  <c r="AN6" i="7"/>
  <c r="AN4" i="7"/>
  <c r="AN8" i="7"/>
  <c r="AN5" i="2"/>
  <c r="AN9" i="2"/>
  <c r="AN7" i="2"/>
  <c r="AN2" i="2"/>
  <c r="AL3" i="2"/>
  <c r="AN3" i="2"/>
  <c r="AL4" i="2"/>
  <c r="AL5" i="2"/>
  <c r="AL6" i="2"/>
  <c r="AL7" i="2"/>
  <c r="AL8" i="2"/>
  <c r="AL9" i="2"/>
  <c r="AL2" i="7"/>
  <c r="AL3" i="7"/>
  <c r="AL4" i="7"/>
  <c r="AL5" i="7"/>
  <c r="AL6" i="7"/>
  <c r="AL7" i="7"/>
  <c r="AL8" i="7"/>
  <c r="AL9" i="7"/>
  <c r="AL2" i="8"/>
  <c r="AL3" i="8"/>
  <c r="AL4" i="8"/>
  <c r="AL5" i="8"/>
  <c r="AL6" i="8"/>
  <c r="AL7" i="8"/>
  <c r="AL8" i="8"/>
  <c r="AL9" i="8"/>
  <c r="AL2" i="9"/>
  <c r="AL3" i="9"/>
  <c r="AL4" i="9"/>
  <c r="AL5" i="9"/>
  <c r="AL6" i="9"/>
  <c r="AL7" i="9"/>
  <c r="AL8" i="9"/>
  <c r="AL9" i="9"/>
  <c r="AL2" i="10"/>
  <c r="AL3" i="10"/>
  <c r="AL4" i="10"/>
  <c r="AL5" i="10"/>
  <c r="AL6" i="10"/>
  <c r="AL7" i="10"/>
  <c r="AL8" i="10"/>
  <c r="AL9" i="10"/>
  <c r="Q29" i="1" l="1"/>
  <c r="Q28" i="1"/>
  <c r="Q27" i="1"/>
  <c r="W15" i="1" l="1"/>
  <c r="T15" i="1"/>
  <c r="Q15" i="1"/>
  <c r="L15" i="1"/>
  <c r="I15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D13" i="1"/>
  <c r="C13" i="1"/>
  <c r="B13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D12" i="1"/>
  <c r="C12" i="1"/>
  <c r="B12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D11" i="1"/>
  <c r="C11" i="1"/>
  <c r="B11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D10" i="1"/>
  <c r="C10" i="1"/>
  <c r="B10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D9" i="1"/>
  <c r="C9" i="1"/>
  <c r="B9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D8" i="1"/>
  <c r="C8" i="1"/>
  <c r="B8" i="1"/>
  <c r="W7" i="1"/>
  <c r="W18" i="1" s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W6" i="1"/>
  <c r="V6" i="1"/>
  <c r="U6" i="1"/>
  <c r="T6" i="1"/>
  <c r="S6" i="1"/>
  <c r="R6" i="1"/>
  <c r="Q6" i="1" s="1"/>
  <c r="P6" i="1" s="1"/>
  <c r="O6" i="1" s="1"/>
  <c r="N6" i="1"/>
  <c r="M6" i="1"/>
  <c r="L6" i="1"/>
  <c r="K6" i="1"/>
  <c r="J6" i="1"/>
  <c r="I6" i="1"/>
  <c r="H6" i="1"/>
  <c r="G6" i="1"/>
  <c r="F6" i="1"/>
  <c r="H5" i="1"/>
  <c r="G5" i="1"/>
  <c r="F5" i="1"/>
  <c r="O2" i="1"/>
  <c r="R2" i="1" s="1"/>
  <c r="U2" i="1" s="1"/>
  <c r="E2" i="1"/>
  <c r="J20" i="1" l="1"/>
  <c r="V18" i="1"/>
  <c r="U18" i="1"/>
  <c r="T18" i="1" s="1"/>
  <c r="S18" i="1" s="1"/>
  <c r="R18" i="1" s="1"/>
  <c r="Q18" i="1" s="1"/>
  <c r="P18" i="1" s="1"/>
  <c r="O18" i="1" s="1"/>
  <c r="E8" i="1"/>
  <c r="E10" i="1"/>
  <c r="E12" i="1"/>
  <c r="R15" i="1"/>
  <c r="O28" i="1"/>
  <c r="G20" i="1"/>
  <c r="E9" i="1"/>
  <c r="E11" i="1"/>
  <c r="E13" i="1"/>
  <c r="O15" i="1"/>
  <c r="O27" i="1"/>
  <c r="U15" i="1"/>
  <c r="O29" i="1"/>
  <c r="M21" i="1"/>
  <c r="J21" i="1" s="1"/>
  <c r="G21" i="1" s="1"/>
  <c r="F17" i="1" s="1"/>
  <c r="B7" i="1" s="1"/>
  <c r="M20" i="1"/>
  <c r="N15" i="1"/>
  <c r="F16" i="1" l="1"/>
  <c r="B6" i="1" s="1"/>
  <c r="F22" i="1"/>
  <c r="I16" i="1"/>
  <c r="L22" i="1"/>
  <c r="I22" i="1" s="1"/>
  <c r="AH9" i="11"/>
  <c r="AH9" i="10"/>
  <c r="AH9" i="9"/>
  <c r="AH9" i="8"/>
  <c r="AH9" i="7"/>
  <c r="AH9" i="2"/>
  <c r="N24" i="1"/>
  <c r="AH5" i="11"/>
  <c r="AJ5" i="11" s="1"/>
  <c r="AH5" i="10"/>
  <c r="AH5" i="9"/>
  <c r="AH5" i="8"/>
  <c r="AH5" i="7"/>
  <c r="AH5" i="2"/>
  <c r="N20" i="1"/>
  <c r="AH8" i="11"/>
  <c r="AH8" i="10"/>
  <c r="AH8" i="9"/>
  <c r="AH8" i="8"/>
  <c r="AH8" i="7"/>
  <c r="AH8" i="2"/>
  <c r="N23" i="1"/>
  <c r="AH4" i="11"/>
  <c r="AH4" i="10"/>
  <c r="AH4" i="9"/>
  <c r="AH4" i="8"/>
  <c r="AH4" i="7"/>
  <c r="AH4" i="2"/>
  <c r="AJ4" i="2" s="1"/>
  <c r="N19" i="1"/>
  <c r="L16" i="1"/>
  <c r="AH7" i="11"/>
  <c r="AH7" i="10"/>
  <c r="AH7" i="9"/>
  <c r="AH7" i="8"/>
  <c r="AH7" i="7"/>
  <c r="AH7" i="2"/>
  <c r="N22" i="1"/>
  <c r="AH6" i="11"/>
  <c r="AH6" i="10"/>
  <c r="AH6" i="9"/>
  <c r="AH6" i="8"/>
  <c r="AH6" i="7"/>
  <c r="AH6" i="2"/>
  <c r="N21" i="1"/>
  <c r="L17" i="1"/>
  <c r="D7" i="1" s="1"/>
  <c r="I17" i="1"/>
  <c r="C7" i="1" s="1"/>
  <c r="C6" i="1"/>
  <c r="D6" i="1"/>
  <c r="L5" i="1"/>
  <c r="I5" i="1" s="1"/>
  <c r="O5" i="1"/>
  <c r="O16" i="1" s="1"/>
  <c r="N5" i="1"/>
  <c r="M5" i="1"/>
  <c r="K5" i="1"/>
  <c r="J5" i="1"/>
  <c r="P5" i="1" s="1"/>
  <c r="Q5" i="1"/>
  <c r="Q16" i="1" s="1"/>
  <c r="Q19" i="1"/>
  <c r="P19" i="1"/>
  <c r="O19" i="1"/>
  <c r="D1" i="10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E1" i="9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D1" i="9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E1" i="8"/>
  <c r="F1" i="8" s="1"/>
  <c r="D1" i="8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E1" i="7"/>
  <c r="F1" i="7" s="1"/>
  <c r="D1" i="7"/>
  <c r="E1" i="1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D1" i="11"/>
  <c r="W17" i="1"/>
  <c r="V17" i="1"/>
  <c r="U17" i="1"/>
  <c r="T17" i="1"/>
  <c r="S17" i="1"/>
  <c r="R17" i="1"/>
  <c r="Q17" i="1"/>
  <c r="P17" i="1"/>
  <c r="O17" i="1"/>
  <c r="P16" i="1" l="1"/>
  <c r="S5" i="1"/>
  <c r="V5" i="1" s="1"/>
  <c r="V16" i="1" s="1"/>
  <c r="E6" i="1"/>
  <c r="E7" i="1"/>
  <c r="AH3" i="10" s="1"/>
  <c r="AJ3" i="10" s="1"/>
  <c r="S16" i="1"/>
  <c r="AJ6" i="2"/>
  <c r="AJ6" i="8"/>
  <c r="AJ6" i="10"/>
  <c r="AJ7" i="7"/>
  <c r="AJ7" i="9"/>
  <c r="AJ7" i="11"/>
  <c r="A4" i="7"/>
  <c r="AJ4" i="7"/>
  <c r="A4" i="9"/>
  <c r="AJ4" i="9"/>
  <c r="A4" i="11"/>
  <c r="A5" i="11" s="1"/>
  <c r="AJ4" i="11"/>
  <c r="AJ8" i="2"/>
  <c r="AJ8" i="8"/>
  <c r="AJ8" i="10"/>
  <c r="A5" i="7"/>
  <c r="AJ5" i="7"/>
  <c r="A5" i="9"/>
  <c r="AJ5" i="9"/>
  <c r="AJ9" i="2"/>
  <c r="AJ9" i="8"/>
  <c r="AJ9" i="10"/>
  <c r="T5" i="1"/>
  <c r="R5" i="1"/>
  <c r="A6" i="7"/>
  <c r="A7" i="7" s="1"/>
  <c r="A8" i="7" s="1"/>
  <c r="A9" i="7" s="1"/>
  <c r="AJ6" i="7"/>
  <c r="A6" i="9"/>
  <c r="A7" i="9" s="1"/>
  <c r="A8" i="9" s="1"/>
  <c r="A9" i="9" s="1"/>
  <c r="AJ6" i="9"/>
  <c r="A6" i="11"/>
  <c r="A7" i="11" s="1"/>
  <c r="A8" i="11" s="1"/>
  <c r="A9" i="11" s="1"/>
  <c r="AJ6" i="11"/>
  <c r="AJ7" i="2"/>
  <c r="AJ7" i="8"/>
  <c r="AJ7" i="10"/>
  <c r="A4" i="8"/>
  <c r="AJ4" i="8"/>
  <c r="A4" i="10"/>
  <c r="AJ4" i="10"/>
  <c r="AJ8" i="7"/>
  <c r="AJ8" i="9"/>
  <c r="AJ8" i="11"/>
  <c r="A5" i="2"/>
  <c r="A6" i="2" s="1"/>
  <c r="A7" i="2" s="1"/>
  <c r="A8" i="2" s="1"/>
  <c r="A9" i="2" s="1"/>
  <c r="AJ5" i="2"/>
  <c r="A5" i="8"/>
  <c r="A6" i="8" s="1"/>
  <c r="A7" i="8" s="1"/>
  <c r="A8" i="8" s="1"/>
  <c r="A9" i="8" s="1"/>
  <c r="AJ5" i="8"/>
  <c r="A5" i="10"/>
  <c r="A6" i="10" s="1"/>
  <c r="A7" i="10" s="1"/>
  <c r="A8" i="10" s="1"/>
  <c r="A9" i="10" s="1"/>
  <c r="AJ5" i="10"/>
  <c r="AJ9" i="7"/>
  <c r="AJ9" i="9"/>
  <c r="AJ9" i="11"/>
  <c r="L32" i="1" l="1"/>
  <c r="M32" i="1" s="1"/>
  <c r="V14" i="1"/>
  <c r="I25" i="1"/>
  <c r="J25" i="1" s="1"/>
  <c r="AH2" i="9"/>
  <c r="AJ2" i="9" s="1"/>
  <c r="S14" i="1"/>
  <c r="L29" i="1"/>
  <c r="M29" i="1" s="1"/>
  <c r="F28" i="1"/>
  <c r="G28" i="1" s="1"/>
  <c r="T14" i="1"/>
  <c r="Q14" i="1"/>
  <c r="I27" i="1"/>
  <c r="J27" i="1" s="1"/>
  <c r="L31" i="1"/>
  <c r="M31" i="1" s="1"/>
  <c r="F25" i="1"/>
  <c r="G25" i="1" s="1"/>
  <c r="F30" i="1"/>
  <c r="G30" i="1" s="1"/>
  <c r="I28" i="1"/>
  <c r="J28" i="1" s="1"/>
  <c r="I29" i="1"/>
  <c r="J29" i="1" s="1"/>
  <c r="I31" i="1"/>
  <c r="J31" i="1" s="1"/>
  <c r="I32" i="1"/>
  <c r="J32" i="1" s="1"/>
  <c r="F27" i="1"/>
  <c r="G27" i="1" s="1"/>
  <c r="F29" i="1"/>
  <c r="G29" i="1" s="1"/>
  <c r="F32" i="1"/>
  <c r="G32" i="1" s="1"/>
  <c r="I30" i="1"/>
  <c r="J30" i="1" s="1"/>
  <c r="P14" i="1"/>
  <c r="AH2" i="11"/>
  <c r="AJ2" i="11" s="1"/>
  <c r="AH2" i="7"/>
  <c r="AJ2" i="7" s="1"/>
  <c r="F31" i="1"/>
  <c r="G31" i="1" s="1"/>
  <c r="N17" i="1"/>
  <c r="AH2" i="10"/>
  <c r="AJ2" i="10" s="1"/>
  <c r="L30" i="1"/>
  <c r="M30" i="1" s="1"/>
  <c r="L28" i="1"/>
  <c r="M28" i="1" s="1"/>
  <c r="W14" i="1"/>
  <c r="V23" i="1" s="1"/>
  <c r="U23" i="1" s="1"/>
  <c r="L27" i="1"/>
  <c r="M27" i="1" s="1"/>
  <c r="L25" i="1"/>
  <c r="M25" i="1" s="1"/>
  <c r="AH2" i="8"/>
  <c r="AJ2" i="8" s="1"/>
  <c r="AH2" i="2"/>
  <c r="AJ2" i="2" s="1"/>
  <c r="I26" i="1"/>
  <c r="J26" i="1" s="1"/>
  <c r="F26" i="1"/>
  <c r="G26" i="1" s="1"/>
  <c r="AH3" i="7"/>
  <c r="AJ3" i="7" s="1"/>
  <c r="N18" i="1"/>
  <c r="AH3" i="11"/>
  <c r="AJ3" i="11" s="1"/>
  <c r="L26" i="1"/>
  <c r="M26" i="1" s="1"/>
  <c r="AH3" i="8"/>
  <c r="AJ3" i="8" s="1"/>
  <c r="AH3" i="2"/>
  <c r="AJ3" i="2" s="1"/>
  <c r="AH3" i="9"/>
  <c r="AJ3" i="9" s="1"/>
  <c r="W5" i="1"/>
  <c r="W16" i="1" s="1"/>
  <c r="T16" i="1"/>
  <c r="R16" i="1"/>
  <c r="U5" i="1"/>
  <c r="U16" i="1" s="1"/>
  <c r="S23" i="1" l="1"/>
  <c r="T23" i="1" s="1"/>
  <c r="P20" i="1"/>
  <c r="O20" i="1" s="1"/>
  <c r="S24" i="1"/>
  <c r="T24" i="1" s="1"/>
  <c r="R28" i="1" s="1"/>
  <c r="S28" i="1" s="1"/>
  <c r="W23" i="1"/>
  <c r="V20" i="1"/>
  <c r="W20" i="1" s="1"/>
  <c r="S22" i="1"/>
  <c r="R22" i="1" s="1"/>
  <c r="P24" i="1"/>
  <c r="Q24" i="1" s="1"/>
  <c r="R27" i="1" s="1"/>
  <c r="S27" i="1" s="1"/>
  <c r="V22" i="1"/>
  <c r="U22" i="1" s="1"/>
  <c r="V21" i="1"/>
  <c r="V24" i="1"/>
  <c r="W24" i="1" s="1"/>
  <c r="R29" i="1" s="1"/>
  <c r="S29" i="1" s="1"/>
  <c r="P21" i="1"/>
  <c r="O21" i="1" s="1"/>
  <c r="V19" i="1"/>
  <c r="P22" i="1"/>
  <c r="Q22" i="1" s="1"/>
  <c r="S21" i="1"/>
  <c r="R21" i="1" s="1"/>
  <c r="S19" i="1"/>
  <c r="T19" i="1" s="1"/>
  <c r="S20" i="1"/>
  <c r="T20" i="1" s="1"/>
  <c r="P23" i="1"/>
  <c r="Q23" i="1" s="1"/>
  <c r="W22" i="1"/>
  <c r="R24" i="1"/>
  <c r="R23" i="1" l="1"/>
  <c r="Q20" i="1"/>
  <c r="T22" i="1"/>
  <c r="R20" i="1"/>
  <c r="T21" i="1"/>
  <c r="U24" i="1"/>
  <c r="Q21" i="1"/>
  <c r="U20" i="1"/>
  <c r="O24" i="1"/>
  <c r="O22" i="1"/>
  <c r="R19" i="1"/>
  <c r="W21" i="1"/>
  <c r="U21" i="1"/>
  <c r="W19" i="1"/>
  <c r="U19" i="1"/>
  <c r="O23" i="1"/>
  <c r="T28" i="1"/>
  <c r="U28" i="1" s="1"/>
  <c r="V28" i="1"/>
  <c r="V27" i="1"/>
  <c r="T27" i="1"/>
  <c r="U27" i="1" s="1"/>
  <c r="V29" i="1"/>
  <c r="V31" i="1" s="1"/>
  <c r="T29" i="1"/>
  <c r="U29" i="1" s="1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</calcChain>
</file>

<file path=xl/sharedStrings.xml><?xml version="1.0" encoding="utf-8"?>
<sst xmlns="http://schemas.openxmlformats.org/spreadsheetml/2006/main" count="83" uniqueCount="37">
  <si>
    <t>min</t>
  </si>
  <si>
    <t>avg</t>
  </si>
  <si>
    <t>max</t>
  </si>
  <si>
    <t>std</t>
  </si>
  <si>
    <r>
      <t>+1.5</t>
    </r>
    <r>
      <rPr>
        <sz val="11"/>
        <color theme="1"/>
        <rFont val="Calibri"/>
        <family val="2"/>
      </rPr>
      <t>σ</t>
    </r>
  </si>
  <si>
    <r>
      <t>-1.5</t>
    </r>
    <r>
      <rPr>
        <sz val="11"/>
        <color theme="1"/>
        <rFont val="Calibri"/>
        <family val="2"/>
      </rPr>
      <t>σ</t>
    </r>
  </si>
  <si>
    <t>IRDR</t>
  </si>
  <si>
    <t>No Glass</t>
  </si>
  <si>
    <t>Transmission=</t>
  </si>
  <si>
    <t>Reference</t>
  </si>
  <si>
    <t>Design</t>
  </si>
  <si>
    <t>NG</t>
  </si>
  <si>
    <t>m</t>
  </si>
  <si>
    <t>b</t>
  </si>
  <si>
    <t>data4</t>
  </si>
  <si>
    <t>data0</t>
  </si>
  <si>
    <t>data1</t>
  </si>
  <si>
    <t>data2</t>
  </si>
  <si>
    <t>data3</t>
  </si>
  <si>
    <t>NG Hi Current</t>
  </si>
  <si>
    <t>Clear Hi Current</t>
  </si>
  <si>
    <t>NG Calc</t>
  </si>
  <si>
    <t>Clr Calc</t>
  </si>
  <si>
    <t>%/val</t>
  </si>
  <si>
    <t>Vis Xmit</t>
  </si>
  <si>
    <t xml:space="preserve">IR Xmit </t>
  </si>
  <si>
    <t>SenseX</t>
  </si>
  <si>
    <t>xTalk</t>
  </si>
  <si>
    <t>xRange</t>
  </si>
  <si>
    <t>Res (10%)</t>
  </si>
  <si>
    <t>Step</t>
  </si>
  <si>
    <t>sig/xTalk</t>
  </si>
  <si>
    <t>10x Glass</t>
  </si>
  <si>
    <t>data5</t>
  </si>
  <si>
    <t>10x Calc</t>
  </si>
  <si>
    <t>SNR</t>
  </si>
  <si>
    <r>
      <t>18%Grey,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10%(cm)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</si>
</sst>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%"/>
    <numFmt numFmtId="167" formatCode="0.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left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2" fontId="0" fillId="3" borderId="0" xfId="0" applyNumberForma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horizontal="center" vertical="center"/>
    </xf>
    <xf numFmtId="167" fontId="1" fillId="5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Measured + Extrapolated</a:t>
            </a:r>
          </a:p>
        </c:rich>
      </c:tx>
      <c:layout>
        <c:manualLayout>
          <c:xMode val="edge"/>
          <c:yMode val="edge"/>
          <c:x val="0.19627077865266837"/>
          <c:y val="7.407407407407407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100%</c:v>
                </c:pt>
              </c:strCache>
            </c:strRef>
          </c:tx>
          <c:xVal>
            <c:numRef>
              <c:f>Summary!$E$6:$E$13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Summary!$J$6:$J$13</c:f>
              <c:numCache>
                <c:formatCode>0.00</c:formatCode>
                <c:ptCount val="8"/>
                <c:pt idx="0">
                  <c:v>0</c:v>
                </c:pt>
                <c:pt idx="1">
                  <c:v>0.01</c:v>
                </c:pt>
                <c:pt idx="2">
                  <c:v>2.7142857142857142E-2</c:v>
                </c:pt>
                <c:pt idx="3">
                  <c:v>3.7142857142857144E-2</c:v>
                </c:pt>
                <c:pt idx="4">
                  <c:v>4.5714285714285714E-2</c:v>
                </c:pt>
                <c:pt idx="5">
                  <c:v>5.1428571428571428E-2</c:v>
                </c:pt>
                <c:pt idx="6">
                  <c:v>6.5714285714285711E-2</c:v>
                </c:pt>
                <c:pt idx="7">
                  <c:v>8.2857142857142865E-2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Summary!$Q$2</c:f>
              <c:strCache>
                <c:ptCount val="1"/>
                <c:pt idx="0">
                  <c:v>60%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Summary!$P$17:$P$24</c:f>
              <c:numCache>
                <c:formatCode>0.00</c:formatCode>
                <c:ptCount val="8"/>
                <c:pt idx="0">
                  <c:v>0.59799999999999998</c:v>
                </c:pt>
                <c:pt idx="1">
                  <c:v>1.7899999999999998</c:v>
                </c:pt>
                <c:pt idx="2">
                  <c:v>2.8960000000000004</c:v>
                </c:pt>
                <c:pt idx="3">
                  <c:v>3.4530896377650819</c:v>
                </c:pt>
                <c:pt idx="4">
                  <c:v>4.0012781265956905</c:v>
                </c:pt>
                <c:pt idx="5">
                  <c:v>4.2144625389187045</c:v>
                </c:pt>
                <c:pt idx="6">
                  <c:v>4.9758354400723279</c:v>
                </c:pt>
                <c:pt idx="7">
                  <c:v>5.7372083412259505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Summary!$T$2</c:f>
              <c:strCache>
                <c:ptCount val="1"/>
                <c:pt idx="0">
                  <c:v>30%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Summary!$S$17:$S$24</c:f>
              <c:numCache>
                <c:formatCode>0.00</c:formatCode>
                <c:ptCount val="8"/>
                <c:pt idx="0">
                  <c:v>0.80500000000000005</c:v>
                </c:pt>
                <c:pt idx="1">
                  <c:v>2.3650000000000002</c:v>
                </c:pt>
                <c:pt idx="2">
                  <c:v>3.8803637651300544</c:v>
                </c:pt>
                <c:pt idx="3">
                  <c:v>4.6139112799381925</c:v>
                </c:pt>
                <c:pt idx="4">
                  <c:v>5.3474587947463306</c:v>
                </c:pt>
                <c:pt idx="5">
                  <c:v>5.6327272727272728</c:v>
                </c:pt>
                <c:pt idx="6">
                  <c:v>6.651543265516354</c:v>
                </c:pt>
                <c:pt idx="7">
                  <c:v>7.6703592583054352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Summary!$W$2</c:f>
              <c:strCache>
                <c:ptCount val="1"/>
                <c:pt idx="0">
                  <c:v>5%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Summary!$V$17:$V$24</c:f>
              <c:numCache>
                <c:formatCode>0.00</c:formatCode>
                <c:ptCount val="8"/>
                <c:pt idx="0">
                  <c:v>0.502</c:v>
                </c:pt>
                <c:pt idx="1">
                  <c:v>1.4740000000000002</c:v>
                </c:pt>
                <c:pt idx="2">
                  <c:v>2.4181881921194956</c:v>
                </c:pt>
                <c:pt idx="3">
                  <c:v>2.8752447205768741</c:v>
                </c:pt>
                <c:pt idx="4">
                  <c:v>3.332301249034253</c:v>
                </c:pt>
                <c:pt idx="5">
                  <c:v>3.5100454545454554</c:v>
                </c:pt>
                <c:pt idx="6">
                  <c:v>4.1448461885140366</c:v>
                </c:pt>
                <c:pt idx="7">
                  <c:v>4.7796469224826179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Summary!$F$2</c:f>
              <c:strCache>
                <c:ptCount val="1"/>
                <c:pt idx="0">
                  <c:v>No Glass</c:v>
                </c:pt>
              </c:strCache>
            </c:strRef>
          </c:tx>
          <c:xVal>
            <c:numRef>
              <c:f>Summary!$E$6:$E$13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Summary!$G$6:$G$13</c:f>
              <c:numCache>
                <c:formatCode>0.00</c:formatCode>
                <c:ptCount val="8"/>
                <c:pt idx="0">
                  <c:v>0</c:v>
                </c:pt>
                <c:pt idx="1">
                  <c:v>1.4285714285714286E-3</c:v>
                </c:pt>
                <c:pt idx="2">
                  <c:v>4.2857142857142859E-3</c:v>
                </c:pt>
                <c:pt idx="3">
                  <c:v>7.1428571428571435E-3</c:v>
                </c:pt>
                <c:pt idx="4">
                  <c:v>7.1428571428571435E-3</c:v>
                </c:pt>
                <c:pt idx="5">
                  <c:v>7.1428571428571435E-3</c:v>
                </c:pt>
                <c:pt idx="6">
                  <c:v>1.2857142857142855E-2</c:v>
                </c:pt>
                <c:pt idx="7">
                  <c:v>1.1428571428571427E-2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Summary!$L$2</c:f>
              <c:strCache>
                <c:ptCount val="1"/>
                <c:pt idx="0">
                  <c:v>10x Glass</c:v>
                </c:pt>
              </c:strCache>
            </c:strRef>
          </c:tx>
          <c:xVal>
            <c:numRef>
              <c:f>Summary!$E$6:$E$13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Summary!$M$6:$M$13</c:f>
              <c:numCache>
                <c:formatCode>0.00</c:formatCode>
                <c:ptCount val="8"/>
                <c:pt idx="0">
                  <c:v>2.7142857142857142E-2</c:v>
                </c:pt>
                <c:pt idx="1">
                  <c:v>0.09</c:v>
                </c:pt>
                <c:pt idx="2">
                  <c:v>0.15</c:v>
                </c:pt>
                <c:pt idx="3">
                  <c:v>0.18142857142857144</c:v>
                </c:pt>
                <c:pt idx="4">
                  <c:v>0.21285714285714286</c:v>
                </c:pt>
                <c:pt idx="5">
                  <c:v>0.21857142857142858</c:v>
                </c:pt>
                <c:pt idx="6">
                  <c:v>0.26428571428571429</c:v>
                </c:pt>
                <c:pt idx="7">
                  <c:v>0.30285714285714288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62784"/>
        <c:axId val="222160040"/>
      </c:scatterChart>
      <c:valAx>
        <c:axId val="222162784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0040"/>
        <c:crosses val="autoZero"/>
        <c:crossBetween val="midCat"/>
      </c:valAx>
      <c:valAx>
        <c:axId val="222160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(xFSR)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2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No Glass</a:t>
            </a:r>
          </a:p>
        </c:rich>
      </c:tx>
      <c:layout>
        <c:manualLayout>
          <c:xMode val="edge"/>
          <c:yMode val="edge"/>
          <c:x val="0.34036762454116176"/>
          <c:y val="6.4864872752849884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data4!$AL$1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data4!$AL$2:$AL$9</c:f>
              <c:numCache>
                <c:formatCode>0.00</c:formatCode>
                <c:ptCount val="8"/>
                <c:pt idx="0">
                  <c:v>0</c:v>
                </c:pt>
                <c:pt idx="1">
                  <c:v>-4.2408956665669802E-3</c:v>
                </c:pt>
                <c:pt idx="2">
                  <c:v>-7.5162226013273615E-3</c:v>
                </c:pt>
                <c:pt idx="3">
                  <c:v>-1.1660637972983117E-2</c:v>
                </c:pt>
                <c:pt idx="4">
                  <c:v>-1.1660637972983117E-2</c:v>
                </c:pt>
                <c:pt idx="5">
                  <c:v>-1.1660637972983117E-2</c:v>
                </c:pt>
                <c:pt idx="6">
                  <c:v>-5.9463522586974092E-3</c:v>
                </c:pt>
                <c:pt idx="7">
                  <c:v>-8.7492098454650565E-3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data4!$AM$1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data4!$AM$2:$AM$9</c:f>
              <c:numCache>
                <c:formatCode>0.00</c:formatCode>
                <c:ptCount val="8"/>
                <c:pt idx="0">
                  <c:v>0</c:v>
                </c:pt>
                <c:pt idx="1">
                  <c:v>1.4285714285714286E-3</c:v>
                </c:pt>
                <c:pt idx="2">
                  <c:v>4.2857142857142859E-3</c:v>
                </c:pt>
                <c:pt idx="3">
                  <c:v>7.1428571428571435E-3</c:v>
                </c:pt>
                <c:pt idx="4">
                  <c:v>7.1428571428571435E-3</c:v>
                </c:pt>
                <c:pt idx="5">
                  <c:v>7.1428571428571435E-3</c:v>
                </c:pt>
                <c:pt idx="6">
                  <c:v>1.2857142857142855E-2</c:v>
                </c:pt>
                <c:pt idx="7">
                  <c:v>1.1428571428571427E-2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data4!$AN$1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data4!$AN$2:$AN$9</c:f>
              <c:numCache>
                <c:formatCode>0.00</c:formatCode>
                <c:ptCount val="8"/>
                <c:pt idx="0">
                  <c:v>0</c:v>
                </c:pt>
                <c:pt idx="1">
                  <c:v>7.0980385237098369E-3</c:v>
                </c:pt>
                <c:pt idx="2">
                  <c:v>1.6087651172755933E-2</c:v>
                </c:pt>
                <c:pt idx="3">
                  <c:v>2.5946352258697403E-2</c:v>
                </c:pt>
                <c:pt idx="4">
                  <c:v>2.5946352258697403E-2</c:v>
                </c:pt>
                <c:pt idx="5">
                  <c:v>2.5946352258697403E-2</c:v>
                </c:pt>
                <c:pt idx="6">
                  <c:v>3.1660637972983116E-2</c:v>
                </c:pt>
                <c:pt idx="7">
                  <c:v>3.1606352702607907E-2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62000"/>
        <c:axId val="222160432"/>
      </c:scatterChart>
      <c:valAx>
        <c:axId val="222162000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0432"/>
        <c:crosses val="autoZero"/>
        <c:crossBetween val="midCat"/>
      </c:valAx>
      <c:valAx>
        <c:axId val="22216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(xFSR)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crossAx val="222162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Clear Glass (100% transmission)</a:t>
            </a:r>
          </a:p>
        </c:rich>
      </c:tx>
      <c:layout>
        <c:manualLayout>
          <c:xMode val="edge"/>
          <c:yMode val="edge"/>
          <c:x val="0.18627014744380621"/>
          <c:y val="6.9498077949482151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data0!$AL$1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data0!$AL$2:$AL$9</c:f>
              <c:numCache>
                <c:formatCode>0.00</c:formatCode>
                <c:ptCount val="8"/>
                <c:pt idx="0">
                  <c:v>0</c:v>
                </c:pt>
                <c:pt idx="1">
                  <c:v>-1.5980762113533158E-2</c:v>
                </c:pt>
                <c:pt idx="2">
                  <c:v>-3.7499013409992947E-2</c:v>
                </c:pt>
                <c:pt idx="3">
                  <c:v>-4.4426569902889776E-2</c:v>
                </c:pt>
                <c:pt idx="4">
                  <c:v>-5.2973533768595336E-2</c:v>
                </c:pt>
                <c:pt idx="5">
                  <c:v>-5.7232106174427429E-2</c:v>
                </c:pt>
                <c:pt idx="6">
                  <c:v>-7.5757569134251981E-2</c:v>
                </c:pt>
                <c:pt idx="7">
                  <c:v>-0.10242256846757676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data0!$AM$1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data0!$AM$2:$AM$9</c:f>
              <c:numCache>
                <c:formatCode>0.00</c:formatCode>
                <c:ptCount val="8"/>
                <c:pt idx="0">
                  <c:v>0</c:v>
                </c:pt>
                <c:pt idx="1">
                  <c:v>0.01</c:v>
                </c:pt>
                <c:pt idx="2">
                  <c:v>2.7142857142857142E-2</c:v>
                </c:pt>
                <c:pt idx="3">
                  <c:v>3.7142857142857144E-2</c:v>
                </c:pt>
                <c:pt idx="4">
                  <c:v>4.5714285714285714E-2</c:v>
                </c:pt>
                <c:pt idx="5">
                  <c:v>5.1428571428571428E-2</c:v>
                </c:pt>
                <c:pt idx="6">
                  <c:v>6.5714285714285711E-2</c:v>
                </c:pt>
                <c:pt idx="7">
                  <c:v>8.2857142857142865E-2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data0!$AN$1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data0!$AN$2:$AN$9</c:f>
              <c:numCache>
                <c:formatCode>0.00</c:formatCode>
                <c:ptCount val="8"/>
                <c:pt idx="0">
                  <c:v>0</c:v>
                </c:pt>
                <c:pt idx="1">
                  <c:v>3.5980762113533162E-2</c:v>
                </c:pt>
                <c:pt idx="2">
                  <c:v>9.1784727695707224E-2</c:v>
                </c:pt>
                <c:pt idx="3">
                  <c:v>0.11871228418860406</c:v>
                </c:pt>
                <c:pt idx="4">
                  <c:v>0.14440210519716676</c:v>
                </c:pt>
                <c:pt idx="5">
                  <c:v>0.16008924903157029</c:v>
                </c:pt>
                <c:pt idx="6">
                  <c:v>0.20718614056282342</c:v>
                </c:pt>
                <c:pt idx="7">
                  <c:v>0.26813685418186251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63960"/>
        <c:axId val="222162392"/>
      </c:scatterChart>
      <c:valAx>
        <c:axId val="222163960"/>
        <c:scaling>
          <c:orientation val="minMax"/>
          <c:max val="20"/>
          <c:min val="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2392"/>
        <c:crosses val="autoZero"/>
        <c:crossBetween val="midCat"/>
      </c:valAx>
      <c:valAx>
        <c:axId val="222162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(xFSR)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3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Summary!$O$15:$Q$15</c:f>
          <c:strCache>
            <c:ptCount val="3"/>
            <c:pt idx="0">
              <c:v>Transmission=</c:v>
            </c:pt>
            <c:pt idx="2">
              <c:v>60%</c:v>
            </c:pt>
          </c:strCache>
        </c:strRef>
      </c:tx>
      <c:layout>
        <c:manualLayout>
          <c:xMode val="edge"/>
          <c:yMode val="edge"/>
          <c:x val="0.33902777777777893"/>
          <c:y val="4.6296296296296377E-2"/>
        </c:manualLayout>
      </c:layout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Summary!$O$16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Summary!$O$17:$O$24</c:f>
              <c:numCache>
                <c:formatCode>0.00</c:formatCode>
                <c:ptCount val="8"/>
                <c:pt idx="0">
                  <c:v>0.4880795742366314</c:v>
                </c:pt>
                <c:pt idx="1">
                  <c:v>1.5282510745007727</c:v>
                </c:pt>
                <c:pt idx="2">
                  <c:v>2.5007564042264576</c:v>
                </c:pt>
                <c:pt idx="3">
                  <c:v>2.9818149261080964</c:v>
                </c:pt>
                <c:pt idx="4">
                  <c:v>3.4551871202263174</c:v>
                </c:pt>
                <c:pt idx="5">
                  <c:v>3.6392763068278473</c:v>
                </c:pt>
                <c:pt idx="6">
                  <c:v>4.2967376875475995</c:v>
                </c:pt>
                <c:pt idx="7">
                  <c:v>4.95419906826735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Summary!$P$16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Summary!$P$17:$P$24</c:f>
              <c:numCache>
                <c:formatCode>0.00</c:formatCode>
                <c:ptCount val="8"/>
                <c:pt idx="0">
                  <c:v>0.59799999999999998</c:v>
                </c:pt>
                <c:pt idx="1">
                  <c:v>1.7899999999999998</c:v>
                </c:pt>
                <c:pt idx="2">
                  <c:v>2.8960000000000004</c:v>
                </c:pt>
                <c:pt idx="3">
                  <c:v>3.4530896377650819</c:v>
                </c:pt>
                <c:pt idx="4">
                  <c:v>4.0012781265956905</c:v>
                </c:pt>
                <c:pt idx="5">
                  <c:v>4.2144625389187045</c:v>
                </c:pt>
                <c:pt idx="6">
                  <c:v>4.9758354400723279</c:v>
                </c:pt>
                <c:pt idx="7">
                  <c:v>5.7372083412259505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Summary!$Q$16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Summary!$N$17:$N$24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 formatCode="General">
                  <c:v>10.7</c:v>
                </c:pt>
                <c:pt idx="3" formatCode="General">
                  <c:v>12.5</c:v>
                </c:pt>
                <c:pt idx="4" formatCode="General">
                  <c:v>14.3</c:v>
                </c:pt>
                <c:pt idx="5" formatCode="General">
                  <c:v>15</c:v>
                </c:pt>
                <c:pt idx="6" formatCode="General">
                  <c:v>17.5</c:v>
                </c:pt>
                <c:pt idx="7" formatCode="General">
                  <c:v>20</c:v>
                </c:pt>
              </c:numCache>
            </c:numRef>
          </c:xVal>
          <c:yVal>
            <c:numRef>
              <c:f>Summary!$Q$17:$Q$24</c:f>
              <c:numCache>
                <c:formatCode>0.00</c:formatCode>
                <c:ptCount val="8"/>
                <c:pt idx="0">
                  <c:v>0.70792042576336855</c:v>
                </c:pt>
                <c:pt idx="1">
                  <c:v>2.0517489254992269</c:v>
                </c:pt>
                <c:pt idx="2">
                  <c:v>3.2912435957735431</c:v>
                </c:pt>
                <c:pt idx="3">
                  <c:v>3.9243643494220679</c:v>
                </c:pt>
                <c:pt idx="4">
                  <c:v>4.5473691329650645</c:v>
                </c:pt>
                <c:pt idx="5">
                  <c:v>4.7896487710095625</c:v>
                </c:pt>
                <c:pt idx="6">
                  <c:v>5.6549331925970572</c:v>
                </c:pt>
                <c:pt idx="7">
                  <c:v>6.5202176141845509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67096"/>
        <c:axId val="222165136"/>
      </c:scatterChart>
      <c:valAx>
        <c:axId val="222167096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5136"/>
        <c:crosses val="autoZero"/>
        <c:crossBetween val="midCat"/>
      </c:valAx>
      <c:valAx>
        <c:axId val="22216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(xFSR)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7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Summary!$L$2</c:f>
          <c:strCache>
            <c:ptCount val="1"/>
            <c:pt idx="0">
              <c:v>10x Glass</c:v>
            </c:pt>
          </c:strCache>
        </c:strRef>
      </c:tx>
      <c:layout>
        <c:manualLayout>
          <c:xMode val="edge"/>
          <c:yMode val="edge"/>
          <c:x val="0.32657516394183256"/>
          <c:y val="7.4131283146114155E-2"/>
        </c:manualLayout>
      </c:layout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data5!$AL$1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data5!$AL$2:$AL$9</c:f>
              <c:numCache>
                <c:formatCode>0.00</c:formatCode>
                <c:ptCount val="8"/>
                <c:pt idx="0">
                  <c:v>1.9823606595743143E-2</c:v>
                </c:pt>
                <c:pt idx="1">
                  <c:v>7.7752551286084104E-2</c:v>
                </c:pt>
                <c:pt idx="2">
                  <c:v>0.12401923788646686</c:v>
                </c:pt>
                <c:pt idx="3">
                  <c:v>0.15346175435649731</c:v>
                </c:pt>
                <c:pt idx="4">
                  <c:v>0.17250158030907015</c:v>
                </c:pt>
                <c:pt idx="5">
                  <c:v>0.1732156918103212</c:v>
                </c:pt>
                <c:pt idx="6">
                  <c:v>0.22024839245200481</c:v>
                </c:pt>
                <c:pt idx="7">
                  <c:v>0.24897234510702274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data5!$AM$1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data5!$AM$2:$AM$9</c:f>
              <c:numCache>
                <c:formatCode>0.00</c:formatCode>
                <c:ptCount val="8"/>
                <c:pt idx="0">
                  <c:v>2.7142857142857142E-2</c:v>
                </c:pt>
                <c:pt idx="1">
                  <c:v>0.09</c:v>
                </c:pt>
                <c:pt idx="2">
                  <c:v>0.15</c:v>
                </c:pt>
                <c:pt idx="3">
                  <c:v>0.18142857142857144</c:v>
                </c:pt>
                <c:pt idx="4">
                  <c:v>0.21285714285714286</c:v>
                </c:pt>
                <c:pt idx="5">
                  <c:v>0.21857142857142858</c:v>
                </c:pt>
                <c:pt idx="6">
                  <c:v>0.26428571428571429</c:v>
                </c:pt>
                <c:pt idx="7">
                  <c:v>0.30285714285714288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data5!$AN$1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data5!$AN$2:$AN$9</c:f>
              <c:numCache>
                <c:formatCode>0.00</c:formatCode>
                <c:ptCount val="8"/>
                <c:pt idx="0">
                  <c:v>3.4462107689971141E-2</c:v>
                </c:pt>
                <c:pt idx="1">
                  <c:v>0.10224744871391589</c:v>
                </c:pt>
                <c:pt idx="2">
                  <c:v>0.17598076211353311</c:v>
                </c:pt>
                <c:pt idx="3">
                  <c:v>0.20939538850064557</c:v>
                </c:pt>
                <c:pt idx="4">
                  <c:v>0.25321270540521557</c:v>
                </c:pt>
                <c:pt idx="5">
                  <c:v>0.26392716533253596</c:v>
                </c:pt>
                <c:pt idx="6">
                  <c:v>0.3083230361194238</c:v>
                </c:pt>
                <c:pt idx="7">
                  <c:v>0.356741940607263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66704"/>
        <c:axId val="279167872"/>
      </c:scatterChart>
      <c:valAx>
        <c:axId val="222166704"/>
        <c:scaling>
          <c:orientation val="minMax"/>
          <c:max val="2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79167872"/>
        <c:crosses val="autoZero"/>
        <c:crossBetween val="midCat"/>
      </c:valAx>
      <c:valAx>
        <c:axId val="279167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(xFSR)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22166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Clear Glass (100% transmission)</a:t>
            </a:r>
          </a:p>
        </c:rich>
      </c:tx>
      <c:layout>
        <c:manualLayout>
          <c:xMode val="edge"/>
          <c:yMode val="edge"/>
          <c:x val="0.18627014744380621"/>
          <c:y val="6.9498077949482123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data0!$AL$1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data0!$AL$2:$AL$9</c:f>
              <c:numCache>
                <c:formatCode>0.00</c:formatCode>
                <c:ptCount val="8"/>
                <c:pt idx="0">
                  <c:v>0</c:v>
                </c:pt>
                <c:pt idx="1">
                  <c:v>-1.5980762113533158E-2</c:v>
                </c:pt>
                <c:pt idx="2">
                  <c:v>-3.7499013409992947E-2</c:v>
                </c:pt>
                <c:pt idx="3">
                  <c:v>-4.4426569902889776E-2</c:v>
                </c:pt>
                <c:pt idx="4">
                  <c:v>-5.2973533768595336E-2</c:v>
                </c:pt>
                <c:pt idx="5">
                  <c:v>-5.7232106174427429E-2</c:v>
                </c:pt>
                <c:pt idx="6">
                  <c:v>-7.5757569134251981E-2</c:v>
                </c:pt>
                <c:pt idx="7">
                  <c:v>-0.10242256846757676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data0!$AM$1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data0!$AM$2:$AM$9</c:f>
              <c:numCache>
                <c:formatCode>0.00</c:formatCode>
                <c:ptCount val="8"/>
                <c:pt idx="0">
                  <c:v>0</c:v>
                </c:pt>
                <c:pt idx="1">
                  <c:v>0.01</c:v>
                </c:pt>
                <c:pt idx="2">
                  <c:v>2.7142857142857142E-2</c:v>
                </c:pt>
                <c:pt idx="3">
                  <c:v>3.7142857142857144E-2</c:v>
                </c:pt>
                <c:pt idx="4">
                  <c:v>4.5714285714285714E-2</c:v>
                </c:pt>
                <c:pt idx="5">
                  <c:v>5.1428571428571428E-2</c:v>
                </c:pt>
                <c:pt idx="6">
                  <c:v>6.5714285714285711E-2</c:v>
                </c:pt>
                <c:pt idx="7">
                  <c:v>8.2857142857142865E-2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data0!$AN$1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data0!$AH$2:$AH$9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data0!$AN$2:$AN$9</c:f>
              <c:numCache>
                <c:formatCode>0.00</c:formatCode>
                <c:ptCount val="8"/>
                <c:pt idx="0">
                  <c:v>0</c:v>
                </c:pt>
                <c:pt idx="1">
                  <c:v>3.5980762113533162E-2</c:v>
                </c:pt>
                <c:pt idx="2">
                  <c:v>9.1784727695707224E-2</c:v>
                </c:pt>
                <c:pt idx="3">
                  <c:v>0.11871228418860406</c:v>
                </c:pt>
                <c:pt idx="4">
                  <c:v>0.14440210519716676</c:v>
                </c:pt>
                <c:pt idx="5">
                  <c:v>0.16008924903157029</c:v>
                </c:pt>
                <c:pt idx="6">
                  <c:v>0.20718614056282342</c:v>
                </c:pt>
                <c:pt idx="7">
                  <c:v>0.26813685418186251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3560"/>
        <c:axId val="279164736"/>
      </c:scatterChart>
      <c:valAx>
        <c:axId val="279163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279164736"/>
        <c:crosses val="autoZero"/>
        <c:crossBetween val="midCat"/>
      </c:valAx>
      <c:valAx>
        <c:axId val="27916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(%FSR)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79163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data1!$AL$1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data1!$AH$2:$AH$9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data1!$AL$2:$AL$9</c:f>
              <c:numCache>
                <c:formatCode>0.00</c:formatCode>
                <c:ptCount val="8"/>
                <c:pt idx="0">
                  <c:v>0.4880795742366314</c:v>
                </c:pt>
                <c:pt idx="1">
                  <c:v>1.5282510745007727</c:v>
                </c:pt>
                <c:pt idx="2">
                  <c:v>2.5007564042264576</c:v>
                </c:pt>
                <c:pt idx="3">
                  <c:v>2.9701172018086086</c:v>
                </c:pt>
                <c:pt idx="4">
                  <c:v>3.4895105634850587</c:v>
                </c:pt>
                <c:pt idx="5">
                  <c:v>3.6950242235710986</c:v>
                </c:pt>
                <c:pt idx="6">
                  <c:v>4.3364149124613238</c:v>
                </c:pt>
                <c:pt idx="7">
                  <c:v>4.8800544374754296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data1!$AM$1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data1!$AH$2:$AH$9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data1!$AM$2:$AM$9</c:f>
              <c:numCache>
                <c:formatCode>0.00</c:formatCode>
                <c:ptCount val="8"/>
                <c:pt idx="0">
                  <c:v>0.59799999999999998</c:v>
                </c:pt>
                <c:pt idx="1">
                  <c:v>1.7899999999999998</c:v>
                </c:pt>
                <c:pt idx="2">
                  <c:v>2.8960000000000004</c:v>
                </c:pt>
                <c:pt idx="3">
                  <c:v>3.45</c:v>
                </c:pt>
                <c:pt idx="4">
                  <c:v>4.0220000000000002</c:v>
                </c:pt>
                <c:pt idx="5">
                  <c:v>4.242</c:v>
                </c:pt>
                <c:pt idx="6">
                  <c:v>4.952</c:v>
                </c:pt>
                <c:pt idx="7">
                  <c:v>5.6240000000000006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data1!$AN$1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data1!$AH$2:$AH$9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data1!$AN$2:$AN$9</c:f>
              <c:numCache>
                <c:formatCode>0.00</c:formatCode>
                <c:ptCount val="8"/>
                <c:pt idx="0">
                  <c:v>0.70792042576336855</c:v>
                </c:pt>
                <c:pt idx="1">
                  <c:v>2.0517489254992269</c:v>
                </c:pt>
                <c:pt idx="2">
                  <c:v>3.2912435957735431</c:v>
                </c:pt>
                <c:pt idx="3">
                  <c:v>3.9298827981913917</c:v>
                </c:pt>
                <c:pt idx="4">
                  <c:v>4.5544894365149418</c:v>
                </c:pt>
                <c:pt idx="5">
                  <c:v>4.7889757764289014</c:v>
                </c:pt>
                <c:pt idx="6">
                  <c:v>5.5675850875386761</c:v>
                </c:pt>
                <c:pt idx="7">
                  <c:v>6.3679455625245716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4344"/>
        <c:axId val="279168264"/>
      </c:scatterChart>
      <c:valAx>
        <c:axId val="27916434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279168264"/>
        <c:crosses val="autoZero"/>
        <c:crossBetween val="midCat"/>
      </c:valAx>
      <c:valAx>
        <c:axId val="2791682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9164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data2!$AL$1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data2!$AH$2:$AH$9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data2!$AL$2:$AL$9</c:f>
              <c:numCache>
                <c:formatCode>0.00</c:formatCode>
                <c:ptCount val="8"/>
                <c:pt idx="0">
                  <c:v>0.43808720382085342</c:v>
                </c:pt>
                <c:pt idx="1">
                  <c:v>1.3780729510242413</c:v>
                </c:pt>
                <c:pt idx="2">
                  <c:v>2.2673154869984309</c:v>
                </c:pt>
                <c:pt idx="3">
                  <c:v>2.6911641015243148</c:v>
                </c:pt>
                <c:pt idx="4">
                  <c:v>3.1525014898694206</c:v>
                </c:pt>
                <c:pt idx="5">
                  <c:v>3.3405281525719355</c:v>
                </c:pt>
                <c:pt idx="6">
                  <c:v>3.9227156904713789</c:v>
                </c:pt>
                <c:pt idx="7">
                  <c:v>4.4782392487887872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data2!$AM$1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data2!$AH$2:$AH$9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data2!$AM$2:$AM$9</c:f>
              <c:numCache>
                <c:formatCode>0.00</c:formatCode>
                <c:ptCount val="8"/>
                <c:pt idx="0">
                  <c:v>0.80500000000000005</c:v>
                </c:pt>
                <c:pt idx="1">
                  <c:v>2.3650000000000002</c:v>
                </c:pt>
                <c:pt idx="2">
                  <c:v>3.8425000000000002</c:v>
                </c:pt>
                <c:pt idx="3">
                  <c:v>4.5374999999999996</c:v>
                </c:pt>
                <c:pt idx="4">
                  <c:v>5.25</c:v>
                </c:pt>
                <c:pt idx="5">
                  <c:v>5.5649999999999995</c:v>
                </c:pt>
                <c:pt idx="6">
                  <c:v>6.5449999999999999</c:v>
                </c:pt>
                <c:pt idx="7">
                  <c:v>7.4750000000000005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data2!$AN$1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data2!$AH$2:$AH$9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data2!$AN$2:$AN$9</c:f>
              <c:numCache>
                <c:formatCode>0.00</c:formatCode>
                <c:ptCount val="8"/>
                <c:pt idx="0">
                  <c:v>1.1719127961791467</c:v>
                </c:pt>
                <c:pt idx="1">
                  <c:v>3.3519270489757593</c:v>
                </c:pt>
                <c:pt idx="2">
                  <c:v>5.4176845130015696</c:v>
                </c:pt>
                <c:pt idx="3">
                  <c:v>6.3838358984756844</c:v>
                </c:pt>
                <c:pt idx="4">
                  <c:v>7.3474985101305794</c:v>
                </c:pt>
                <c:pt idx="5">
                  <c:v>7.7894718474280635</c:v>
                </c:pt>
                <c:pt idx="6">
                  <c:v>9.1672843095286218</c:v>
                </c:pt>
                <c:pt idx="7">
                  <c:v>10.471760751211214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6696"/>
        <c:axId val="279165128"/>
      </c:scatterChart>
      <c:valAx>
        <c:axId val="27916669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279165128"/>
        <c:crosses val="autoZero"/>
        <c:crossBetween val="midCat"/>
      </c:valAx>
      <c:valAx>
        <c:axId val="2791651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9166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data3!$AL$1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data3!$AH$2:$AH$9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data3!$AL$2:$AL$9</c:f>
              <c:numCache>
                <c:formatCode>0.00</c:formatCode>
                <c:ptCount val="8"/>
                <c:pt idx="0">
                  <c:v>0.41754587043844449</c:v>
                </c:pt>
                <c:pt idx="1">
                  <c:v>1.2931893255363502</c:v>
                </c:pt>
                <c:pt idx="2">
                  <c:v>2.1270168544645562</c:v>
                </c:pt>
                <c:pt idx="3">
                  <c:v>2.5189836799203933</c:v>
                </c:pt>
                <c:pt idx="4">
                  <c:v>2.9579427420090472</c:v>
                </c:pt>
                <c:pt idx="5">
                  <c:v>3.1132790653368545</c:v>
                </c:pt>
                <c:pt idx="6">
                  <c:v>3.6881165693563229</c:v>
                </c:pt>
                <c:pt idx="7">
                  <c:v>4.2349360131174851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data3!$AM$1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data3!$AH$2:$AH$9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data3!$AM$2:$AM$9</c:f>
              <c:numCache>
                <c:formatCode>0.00</c:formatCode>
                <c:ptCount val="8"/>
                <c:pt idx="0">
                  <c:v>0.502</c:v>
                </c:pt>
                <c:pt idx="1">
                  <c:v>1.4740000000000002</c:v>
                </c:pt>
                <c:pt idx="2">
                  <c:v>2.3940000000000001</c:v>
                </c:pt>
                <c:pt idx="3">
                  <c:v>2.8560000000000003</c:v>
                </c:pt>
                <c:pt idx="4">
                  <c:v>3.3160000000000003</c:v>
                </c:pt>
                <c:pt idx="5">
                  <c:v>3.5100000000000002</c:v>
                </c:pt>
                <c:pt idx="6">
                  <c:v>4.1319999999999997</c:v>
                </c:pt>
                <c:pt idx="7">
                  <c:v>4.6959999999999997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data3!$AN$1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data3!$AH$2:$AH$9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data3!$AN$2:$AN$9</c:f>
              <c:numCache>
                <c:formatCode>0.00</c:formatCode>
                <c:ptCount val="8"/>
                <c:pt idx="0">
                  <c:v>0.58645412956155551</c:v>
                </c:pt>
                <c:pt idx="1">
                  <c:v>1.6548106744636502</c:v>
                </c:pt>
                <c:pt idx="2">
                  <c:v>2.660983145535444</c:v>
                </c:pt>
                <c:pt idx="3">
                  <c:v>3.1930163200796073</c:v>
                </c:pt>
                <c:pt idx="4">
                  <c:v>3.6740572579909534</c:v>
                </c:pt>
                <c:pt idx="5">
                  <c:v>3.906720934663146</c:v>
                </c:pt>
                <c:pt idx="6">
                  <c:v>4.5758834306436764</c:v>
                </c:pt>
                <c:pt idx="7">
                  <c:v>5.1570639868825143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5520"/>
        <c:axId val="279162776"/>
      </c:scatterChart>
      <c:valAx>
        <c:axId val="27916552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279162776"/>
        <c:crosses val="autoZero"/>
        <c:crossBetween val="midCat"/>
      </c:valAx>
      <c:valAx>
        <c:axId val="279162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79165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No Glass</a:t>
            </a:r>
          </a:p>
        </c:rich>
      </c:tx>
      <c:layout>
        <c:manualLayout>
          <c:xMode val="edge"/>
          <c:yMode val="edge"/>
          <c:x val="0.34036762454116176"/>
          <c:y val="6.4864872752849884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data4!$AL$1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data4!$AL$2:$AL$9</c:f>
              <c:numCache>
                <c:formatCode>0.00</c:formatCode>
                <c:ptCount val="8"/>
                <c:pt idx="0">
                  <c:v>0</c:v>
                </c:pt>
                <c:pt idx="1">
                  <c:v>-4.2408956665669802E-3</c:v>
                </c:pt>
                <c:pt idx="2">
                  <c:v>-7.5162226013273615E-3</c:v>
                </c:pt>
                <c:pt idx="3">
                  <c:v>-1.1660637972983117E-2</c:v>
                </c:pt>
                <c:pt idx="4">
                  <c:v>-1.1660637972983117E-2</c:v>
                </c:pt>
                <c:pt idx="5">
                  <c:v>-1.1660637972983117E-2</c:v>
                </c:pt>
                <c:pt idx="6">
                  <c:v>-5.9463522586974092E-3</c:v>
                </c:pt>
                <c:pt idx="7">
                  <c:v>-8.7492098454650565E-3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data4!$AM$1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data4!$AM$2:$AM$9</c:f>
              <c:numCache>
                <c:formatCode>0.00</c:formatCode>
                <c:ptCount val="8"/>
                <c:pt idx="0">
                  <c:v>0</c:v>
                </c:pt>
                <c:pt idx="1">
                  <c:v>1.4285714285714286E-3</c:v>
                </c:pt>
                <c:pt idx="2">
                  <c:v>4.2857142857142859E-3</c:v>
                </c:pt>
                <c:pt idx="3">
                  <c:v>7.1428571428571435E-3</c:v>
                </c:pt>
                <c:pt idx="4">
                  <c:v>7.1428571428571435E-3</c:v>
                </c:pt>
                <c:pt idx="5">
                  <c:v>7.1428571428571435E-3</c:v>
                </c:pt>
                <c:pt idx="6">
                  <c:v>1.2857142857142855E-2</c:v>
                </c:pt>
                <c:pt idx="7">
                  <c:v>1.1428571428571427E-2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data4!$AN$1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data4!$AH$2:$AH$9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data4!$AN$2:$AN$9</c:f>
              <c:numCache>
                <c:formatCode>0.00</c:formatCode>
                <c:ptCount val="8"/>
                <c:pt idx="0">
                  <c:v>0</c:v>
                </c:pt>
                <c:pt idx="1">
                  <c:v>7.0980385237098369E-3</c:v>
                </c:pt>
                <c:pt idx="2">
                  <c:v>1.6087651172755933E-2</c:v>
                </c:pt>
                <c:pt idx="3">
                  <c:v>2.5946352258697403E-2</c:v>
                </c:pt>
                <c:pt idx="4">
                  <c:v>2.5946352258697403E-2</c:v>
                </c:pt>
                <c:pt idx="5">
                  <c:v>2.5946352258697403E-2</c:v>
                </c:pt>
                <c:pt idx="6">
                  <c:v>3.1660637972983116E-2</c:v>
                </c:pt>
                <c:pt idx="7">
                  <c:v>3.1606352702607907E-2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6304"/>
        <c:axId val="224916392"/>
      </c:scatterChart>
      <c:valAx>
        <c:axId val="279166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IRDR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224916392"/>
        <c:crosses val="autoZero"/>
        <c:crossBetween val="midCat"/>
      </c:valAx>
      <c:valAx>
        <c:axId val="224916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xTalk (%FSR)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79166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data5!$AL$1</c:f>
              <c:strCache>
                <c:ptCount val="1"/>
                <c:pt idx="0">
                  <c:v>-1.5σ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data5!$AL$2:$AL$9</c:f>
              <c:numCache>
                <c:formatCode>0.00</c:formatCode>
                <c:ptCount val="8"/>
                <c:pt idx="0">
                  <c:v>1.9823606595743143E-2</c:v>
                </c:pt>
                <c:pt idx="1">
                  <c:v>7.7752551286084104E-2</c:v>
                </c:pt>
                <c:pt idx="2">
                  <c:v>0.12401923788646686</c:v>
                </c:pt>
                <c:pt idx="3">
                  <c:v>0.15346175435649731</c:v>
                </c:pt>
                <c:pt idx="4">
                  <c:v>0.17250158030907015</c:v>
                </c:pt>
                <c:pt idx="5">
                  <c:v>0.1732156918103212</c:v>
                </c:pt>
                <c:pt idx="6">
                  <c:v>0.22024839245200481</c:v>
                </c:pt>
                <c:pt idx="7">
                  <c:v>0.24897234510702274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data5!$AM$1</c:f>
              <c:strCache>
                <c:ptCount val="1"/>
                <c:pt idx="0">
                  <c:v>avg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data5!$AM$2:$AM$9</c:f>
              <c:numCache>
                <c:formatCode>0.00</c:formatCode>
                <c:ptCount val="8"/>
                <c:pt idx="0">
                  <c:v>2.7142857142857142E-2</c:v>
                </c:pt>
                <c:pt idx="1">
                  <c:v>0.09</c:v>
                </c:pt>
                <c:pt idx="2">
                  <c:v>0.15</c:v>
                </c:pt>
                <c:pt idx="3">
                  <c:v>0.18142857142857144</c:v>
                </c:pt>
                <c:pt idx="4">
                  <c:v>0.21285714285714286</c:v>
                </c:pt>
                <c:pt idx="5">
                  <c:v>0.21857142857142858</c:v>
                </c:pt>
                <c:pt idx="6">
                  <c:v>0.26428571428571429</c:v>
                </c:pt>
                <c:pt idx="7">
                  <c:v>0.30285714285714288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data5!$AN$1</c:f>
              <c:strCache>
                <c:ptCount val="1"/>
                <c:pt idx="0">
                  <c:v>+1.5σ</c:v>
                </c:pt>
              </c:strCache>
            </c:strRef>
          </c:tx>
          <c:xVal>
            <c:numRef>
              <c:f>data5!$AH$2:$AH$9</c:f>
              <c:numCache>
                <c:formatCode>0.0</c:formatCode>
                <c:ptCount val="8"/>
                <c:pt idx="0">
                  <c:v>3.1535838981310325</c:v>
                </c:pt>
                <c:pt idx="1">
                  <c:v>6.9815567878414448</c:v>
                </c:pt>
                <c:pt idx="2">
                  <c:v>10.7</c:v>
                </c:pt>
                <c:pt idx="3">
                  <c:v>12.5</c:v>
                </c:pt>
                <c:pt idx="4">
                  <c:v>14.3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</c:numCache>
            </c:numRef>
          </c:xVal>
          <c:yVal>
            <c:numRef>
              <c:f>data5!$AN$2:$AN$9</c:f>
              <c:numCache>
                <c:formatCode>0.00</c:formatCode>
                <c:ptCount val="8"/>
                <c:pt idx="0">
                  <c:v>3.4462107689971141E-2</c:v>
                </c:pt>
                <c:pt idx="1">
                  <c:v>0.10224744871391589</c:v>
                </c:pt>
                <c:pt idx="2">
                  <c:v>0.17598076211353311</c:v>
                </c:pt>
                <c:pt idx="3">
                  <c:v>0.20939538850064557</c:v>
                </c:pt>
                <c:pt idx="4">
                  <c:v>0.25321270540521557</c:v>
                </c:pt>
                <c:pt idx="5">
                  <c:v>0.26392716533253596</c:v>
                </c:pt>
                <c:pt idx="6">
                  <c:v>0.3083230361194238</c:v>
                </c:pt>
                <c:pt idx="7">
                  <c:v>0.356741940607263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16784"/>
        <c:axId val="224922272"/>
      </c:scatterChart>
      <c:valAx>
        <c:axId val="22491678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224922272"/>
        <c:crosses val="autoZero"/>
        <c:crossBetween val="midCat"/>
      </c:valAx>
      <c:valAx>
        <c:axId val="2249222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4916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17</xdr:row>
      <xdr:rowOff>9525</xdr:rowOff>
    </xdr:from>
    <xdr:to>
      <xdr:col>31</xdr:col>
      <xdr:colOff>304800</xdr:colOff>
      <xdr:row>31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0</xdr:colOff>
      <xdr:row>1</xdr:row>
      <xdr:rowOff>0</xdr:rowOff>
    </xdr:from>
    <xdr:to>
      <xdr:col>39</xdr:col>
      <xdr:colOff>281517</xdr:colOff>
      <xdr:row>16</xdr:row>
      <xdr:rowOff>74083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</xdr:row>
      <xdr:rowOff>0</xdr:rowOff>
    </xdr:from>
    <xdr:to>
      <xdr:col>31</xdr:col>
      <xdr:colOff>281516</xdr:colOff>
      <xdr:row>16</xdr:row>
      <xdr:rowOff>74083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0</xdr:colOff>
      <xdr:row>32</xdr:row>
      <xdr:rowOff>0</xdr:rowOff>
    </xdr:from>
    <xdr:to>
      <xdr:col>31</xdr:col>
      <xdr:colOff>304800</xdr:colOff>
      <xdr:row>46</xdr:row>
      <xdr:rowOff>97367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39</xdr:col>
      <xdr:colOff>251884</xdr:colOff>
      <xdr:row>31</xdr:row>
      <xdr:rowOff>52916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148166</xdr:colOff>
      <xdr:row>23</xdr:row>
      <xdr:rowOff>74083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148166</xdr:colOff>
      <xdr:row>23</xdr:row>
      <xdr:rowOff>74083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148166</xdr:colOff>
      <xdr:row>23</xdr:row>
      <xdr:rowOff>74083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148167</xdr:colOff>
      <xdr:row>23</xdr:row>
      <xdr:rowOff>74083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148167</xdr:colOff>
      <xdr:row>23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148167</xdr:colOff>
      <xdr:row>23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2"/>
  <sheetViews>
    <sheetView tabSelected="1" zoomScale="70" zoomScaleNormal="70" workbookViewId="0">
      <selection activeCell="P31" sqref="P31"/>
    </sheetView>
  </sheetViews>
  <sheetFormatPr defaultRowHeight="15" x14ac:dyDescent="0.25"/>
  <cols>
    <col min="1" max="3" width="9.140625" style="1"/>
    <col min="4" max="4" width="9.140625" style="4"/>
    <col min="5" max="8" width="9.140625" style="1" customWidth="1"/>
    <col min="9" max="11" width="9.140625" style="1"/>
    <col min="12" max="14" width="9.140625" style="4"/>
    <col min="15" max="21" width="9.140625" style="1"/>
    <col min="22" max="22" width="10.28515625" style="1" bestFit="1" customWidth="1"/>
    <col min="23" max="16384" width="9.140625" style="1"/>
  </cols>
  <sheetData>
    <row r="1" spans="1:27" x14ac:dyDescent="0.25">
      <c r="A1" s="24" t="s">
        <v>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27" s="23" customFormat="1" x14ac:dyDescent="0.25">
      <c r="A2" s="24"/>
      <c r="B2" s="24"/>
      <c r="C2" s="24"/>
      <c r="D2" s="24"/>
      <c r="E2" s="24" t="str">
        <f>data0!AH1</f>
        <v>IRDR</v>
      </c>
      <c r="F2" s="24" t="s">
        <v>7</v>
      </c>
      <c r="G2" s="24"/>
      <c r="H2" s="24"/>
      <c r="I2" s="24" t="s">
        <v>8</v>
      </c>
      <c r="J2" s="24"/>
      <c r="K2" s="5">
        <v>1</v>
      </c>
      <c r="L2" s="24" t="s">
        <v>32</v>
      </c>
      <c r="M2" s="24"/>
      <c r="N2" s="24"/>
      <c r="O2" s="24" t="str">
        <f>I2</f>
        <v>Transmission=</v>
      </c>
      <c r="P2" s="24"/>
      <c r="Q2" s="5">
        <v>0.6</v>
      </c>
      <c r="R2" s="24" t="str">
        <f>O2</f>
        <v>Transmission=</v>
      </c>
      <c r="S2" s="24"/>
      <c r="T2" s="5">
        <v>0.3</v>
      </c>
      <c r="U2" s="24" t="str">
        <f>R2</f>
        <v>Transmission=</v>
      </c>
      <c r="V2" s="24"/>
      <c r="W2" s="5">
        <v>0.05</v>
      </c>
    </row>
    <row r="3" spans="1:27" s="23" customFormat="1" x14ac:dyDescent="0.25">
      <c r="A3" s="24"/>
      <c r="B3" s="24"/>
      <c r="C3" s="24"/>
      <c r="D3" s="24"/>
      <c r="E3" s="24"/>
      <c r="F3" s="24" t="s">
        <v>36</v>
      </c>
      <c r="G3" s="24"/>
      <c r="H3" s="11">
        <v>6.5</v>
      </c>
      <c r="I3" s="24" t="str">
        <f>F3</f>
        <v>18%Grey,Δ10%(cm)</v>
      </c>
      <c r="J3" s="24"/>
      <c r="K3" s="11">
        <v>5.7</v>
      </c>
      <c r="L3" s="24" t="str">
        <f>I3</f>
        <v>18%Grey,Δ10%(cm)</v>
      </c>
      <c r="M3" s="24"/>
      <c r="N3" s="11">
        <v>5</v>
      </c>
      <c r="O3" s="24" t="str">
        <f>L3</f>
        <v>18%Grey,Δ10%(cm)</v>
      </c>
      <c r="P3" s="24"/>
      <c r="Q3" s="11">
        <v>3.3</v>
      </c>
      <c r="R3" s="24" t="str">
        <f>O3</f>
        <v>18%Grey,Δ10%(cm)</v>
      </c>
      <c r="S3" s="24"/>
      <c r="T3" s="11">
        <v>1.2</v>
      </c>
      <c r="U3" s="24" t="str">
        <f>R3</f>
        <v>18%Grey,Δ10%(cm)</v>
      </c>
      <c r="V3" s="24"/>
      <c r="W3" s="11">
        <v>1</v>
      </c>
    </row>
    <row r="4" spans="1:27" x14ac:dyDescent="0.25">
      <c r="A4" s="24"/>
      <c r="B4" s="24"/>
      <c r="C4" s="24"/>
      <c r="D4" s="24"/>
      <c r="E4" s="24"/>
      <c r="F4" s="24" t="s">
        <v>14</v>
      </c>
      <c r="G4" s="24"/>
      <c r="H4" s="24"/>
      <c r="I4" s="24" t="s">
        <v>15</v>
      </c>
      <c r="J4" s="24"/>
      <c r="K4" s="24"/>
      <c r="L4" s="24" t="s">
        <v>33</v>
      </c>
      <c r="M4" s="24"/>
      <c r="N4" s="24"/>
      <c r="O4" s="24" t="s">
        <v>16</v>
      </c>
      <c r="P4" s="24"/>
      <c r="Q4" s="24"/>
      <c r="R4" s="24" t="s">
        <v>17</v>
      </c>
      <c r="S4" s="24"/>
      <c r="T4" s="24"/>
      <c r="U4" s="24" t="s">
        <v>18</v>
      </c>
      <c r="V4" s="24"/>
      <c r="W4" s="24"/>
    </row>
    <row r="5" spans="1:27" x14ac:dyDescent="0.25">
      <c r="A5" s="1" t="s">
        <v>10</v>
      </c>
      <c r="B5" s="1" t="s">
        <v>21</v>
      </c>
      <c r="C5" s="1" t="s">
        <v>22</v>
      </c>
      <c r="D5" s="4" t="s">
        <v>34</v>
      </c>
      <c r="E5" s="1" t="s">
        <v>34</v>
      </c>
      <c r="F5" s="1" t="str">
        <f>data0!AL1</f>
        <v>-1.5σ</v>
      </c>
      <c r="G5" s="1" t="str">
        <f>data0!AM1</f>
        <v>avg</v>
      </c>
      <c r="H5" s="1" t="str">
        <f>data0!AN1</f>
        <v>+1.5σ</v>
      </c>
      <c r="I5" s="4" t="str">
        <f>L5</f>
        <v>-1.5σ</v>
      </c>
      <c r="J5" s="4" t="str">
        <f>M5</f>
        <v>avg</v>
      </c>
      <c r="K5" s="4" t="str">
        <f>N5</f>
        <v>+1.5σ</v>
      </c>
      <c r="L5" s="4" t="str">
        <f t="shared" ref="L5:Q5" si="0">F5</f>
        <v>-1.5σ</v>
      </c>
      <c r="M5" s="4" t="str">
        <f t="shared" si="0"/>
        <v>avg</v>
      </c>
      <c r="N5" s="4" t="str">
        <f t="shared" si="0"/>
        <v>+1.5σ</v>
      </c>
      <c r="O5" s="4" t="str">
        <f t="shared" si="0"/>
        <v>-1.5σ</v>
      </c>
      <c r="P5" s="4" t="str">
        <f t="shared" si="0"/>
        <v>avg</v>
      </c>
      <c r="Q5" s="4" t="str">
        <f t="shared" si="0"/>
        <v>+1.5σ</v>
      </c>
      <c r="R5" s="4" t="str">
        <f t="shared" ref="R5:W5" si="1">O5</f>
        <v>-1.5σ</v>
      </c>
      <c r="S5" s="4" t="str">
        <f t="shared" si="1"/>
        <v>avg</v>
      </c>
      <c r="T5" s="4" t="str">
        <f t="shared" si="1"/>
        <v>+1.5σ</v>
      </c>
      <c r="U5" s="4" t="str">
        <f t="shared" si="1"/>
        <v>-1.5σ</v>
      </c>
      <c r="V5" s="4" t="str">
        <f t="shared" si="1"/>
        <v>avg</v>
      </c>
      <c r="W5" s="4" t="str">
        <f t="shared" si="1"/>
        <v>+1.5σ</v>
      </c>
    </row>
    <row r="6" spans="1:27" x14ac:dyDescent="0.25">
      <c r="A6" s="15">
        <v>3.6</v>
      </c>
      <c r="B6" s="11">
        <f>F16</f>
        <v>5.1944444444444402</v>
      </c>
      <c r="C6" s="11">
        <f>I16</f>
        <v>6.3408506429277969</v>
      </c>
      <c r="D6" s="11">
        <f>L16</f>
        <v>3.1535838981310325</v>
      </c>
      <c r="E6" s="11">
        <f>A6*(E$5=A$5)+B6*(E$5=B$5)+C6*(E$5=C$5)+D6*(E$5=D$5)</f>
        <v>3.1535838981310325</v>
      </c>
      <c r="F6" s="2">
        <f>data4!AL2</f>
        <v>0</v>
      </c>
      <c r="G6" s="2">
        <f>data4!AM2</f>
        <v>0</v>
      </c>
      <c r="H6" s="2">
        <f>data4!AN2</f>
        <v>0</v>
      </c>
      <c r="I6" s="2">
        <f>data0!AL2</f>
        <v>0</v>
      </c>
      <c r="J6" s="2">
        <f>data0!AM2</f>
        <v>0</v>
      </c>
      <c r="K6" s="2">
        <f>data0!AN2</f>
        <v>0</v>
      </c>
      <c r="L6" s="2">
        <f>data5!AL2</f>
        <v>1.9823606595743143E-2</v>
      </c>
      <c r="M6" s="2">
        <f>data5!AM2</f>
        <v>2.7142857142857142E-2</v>
      </c>
      <c r="N6" s="2">
        <f>data5!AN2</f>
        <v>3.4462107689971141E-2</v>
      </c>
      <c r="O6" s="2">
        <f>data1!AL2</f>
        <v>0.4880795742366314</v>
      </c>
      <c r="P6" s="2">
        <f>data1!AM2</f>
        <v>0.59799999999999998</v>
      </c>
      <c r="Q6" s="2">
        <f>data1!AN2</f>
        <v>0.70792042576336855</v>
      </c>
      <c r="R6" s="2">
        <f>data2!AL2</f>
        <v>0.43808720382085342</v>
      </c>
      <c r="S6" s="2">
        <f>data2!AM2</f>
        <v>0.80500000000000005</v>
      </c>
      <c r="T6" s="2">
        <f>data2!AN2</f>
        <v>1.1719127961791467</v>
      </c>
      <c r="U6" s="2">
        <f>data3!AL2</f>
        <v>0.41754587043844449</v>
      </c>
      <c r="V6" s="2">
        <f>data3!AM2</f>
        <v>0.502</v>
      </c>
      <c r="W6" s="2">
        <f>data3!AN2</f>
        <v>0.58645412956155551</v>
      </c>
    </row>
    <row r="7" spans="1:27" x14ac:dyDescent="0.25">
      <c r="A7" s="16">
        <v>7.1</v>
      </c>
      <c r="B7" s="12">
        <f>F17</f>
        <v>6.8753968253968214</v>
      </c>
      <c r="C7" s="12">
        <f>I17</f>
        <v>8.0168150346191922</v>
      </c>
      <c r="D7" s="12">
        <f>L17</f>
        <v>6.9815567878414448</v>
      </c>
      <c r="E7" s="12">
        <f t="shared" ref="E7:E13" si="2">A7*(E$5=A$5)+B7*(E$5=B$5)+C7*(E$5=C$5)+D7*(E$5=D$5)</f>
        <v>6.9815567878414448</v>
      </c>
      <c r="F7" s="10">
        <f>data4!AL3</f>
        <v>-4.2408956665669802E-3</v>
      </c>
      <c r="G7" s="10">
        <f>data4!AM3</f>
        <v>1.4285714285714286E-3</v>
      </c>
      <c r="H7" s="10">
        <f>data4!AN3</f>
        <v>7.0980385237098369E-3</v>
      </c>
      <c r="I7" s="10">
        <f>data0!AL3</f>
        <v>-1.5980762113533158E-2</v>
      </c>
      <c r="J7" s="10">
        <f>data0!AM3</f>
        <v>0.01</v>
      </c>
      <c r="K7" s="10">
        <f>data0!AN3</f>
        <v>3.5980762113533162E-2</v>
      </c>
      <c r="L7" s="10">
        <f>data5!AL3</f>
        <v>7.7752551286084104E-2</v>
      </c>
      <c r="M7" s="10">
        <f>data5!AM3</f>
        <v>0.09</v>
      </c>
      <c r="N7" s="10">
        <f>data5!AN3</f>
        <v>0.10224744871391589</v>
      </c>
      <c r="O7" s="10">
        <f>data1!AL3</f>
        <v>1.5282510745007727</v>
      </c>
      <c r="P7" s="10">
        <f>data1!AM3</f>
        <v>1.7899999999999998</v>
      </c>
      <c r="Q7" s="10">
        <f>data1!AN3</f>
        <v>2.0517489254992269</v>
      </c>
      <c r="R7" s="10">
        <f>data2!AL3</f>
        <v>1.3780729510242413</v>
      </c>
      <c r="S7" s="10">
        <f>data2!AM3</f>
        <v>2.3650000000000002</v>
      </c>
      <c r="T7" s="10">
        <f>data2!AN3</f>
        <v>3.3519270489757593</v>
      </c>
      <c r="U7" s="10">
        <f>data3!AL3</f>
        <v>1.2931893255363502</v>
      </c>
      <c r="V7" s="10">
        <f>data3!AM3</f>
        <v>1.4740000000000002</v>
      </c>
      <c r="W7" s="10">
        <f>data3!AN3</f>
        <v>1.6548106744636502</v>
      </c>
      <c r="X7" s="2"/>
      <c r="Y7" s="2"/>
      <c r="Z7" s="2"/>
      <c r="AA7" s="2"/>
    </row>
    <row r="8" spans="1:27" x14ac:dyDescent="0.25">
      <c r="A8" s="15">
        <v>10.7</v>
      </c>
      <c r="B8" s="11">
        <f t="shared" ref="B8:B13" si="3">A8</f>
        <v>10.7</v>
      </c>
      <c r="C8" s="11">
        <f t="shared" ref="C8:C13" si="4">A8</f>
        <v>10.7</v>
      </c>
      <c r="D8" s="11">
        <f t="shared" ref="D8:D13" si="5">A8</f>
        <v>10.7</v>
      </c>
      <c r="E8" s="11">
        <f t="shared" si="2"/>
        <v>10.7</v>
      </c>
      <c r="F8" s="2">
        <f>data4!AL4</f>
        <v>-7.5162226013273615E-3</v>
      </c>
      <c r="G8" s="2">
        <f>data4!AM4</f>
        <v>4.2857142857142859E-3</v>
      </c>
      <c r="H8" s="2">
        <f>data4!AN4</f>
        <v>1.6087651172755933E-2</v>
      </c>
      <c r="I8" s="2">
        <f>data0!AL4</f>
        <v>-3.7499013409992947E-2</v>
      </c>
      <c r="J8" s="2">
        <f>data0!AM4</f>
        <v>2.7142857142857142E-2</v>
      </c>
      <c r="K8" s="2">
        <f>data0!AN4</f>
        <v>9.1784727695707224E-2</v>
      </c>
      <c r="L8" s="2">
        <f>data5!AL4</f>
        <v>0.12401923788646686</v>
      </c>
      <c r="M8" s="2">
        <f>data5!AM4</f>
        <v>0.15</v>
      </c>
      <c r="N8" s="2">
        <f>data5!AN4</f>
        <v>0.17598076211353311</v>
      </c>
      <c r="O8" s="2">
        <f>data1!AL4</f>
        <v>2.5007564042264576</v>
      </c>
      <c r="P8" s="2">
        <f>data1!AM4</f>
        <v>2.8960000000000004</v>
      </c>
      <c r="Q8" s="2">
        <f>data1!AN4</f>
        <v>3.2912435957735431</v>
      </c>
      <c r="R8" s="7">
        <f>data2!AL4</f>
        <v>2.2673154869984309</v>
      </c>
      <c r="S8" s="7">
        <f>data2!AM4</f>
        <v>3.8425000000000002</v>
      </c>
      <c r="T8" s="7">
        <f>data2!AN4</f>
        <v>5.4176845130015696</v>
      </c>
      <c r="U8" s="7">
        <f>data3!AL4</f>
        <v>2.1270168544645562</v>
      </c>
      <c r="V8" s="7">
        <f>data3!AM4</f>
        <v>2.3940000000000001</v>
      </c>
      <c r="W8" s="7">
        <f>data3!AN4</f>
        <v>2.660983145535444</v>
      </c>
      <c r="X8" s="2"/>
      <c r="Y8" s="2"/>
    </row>
    <row r="9" spans="1:27" x14ac:dyDescent="0.25">
      <c r="A9" s="15">
        <v>12.5</v>
      </c>
      <c r="B9" s="1">
        <f t="shared" si="3"/>
        <v>12.5</v>
      </c>
      <c r="C9" s="11">
        <f t="shared" si="4"/>
        <v>12.5</v>
      </c>
      <c r="D9" s="11">
        <f t="shared" si="5"/>
        <v>12.5</v>
      </c>
      <c r="E9" s="11">
        <f t="shared" si="2"/>
        <v>12.5</v>
      </c>
      <c r="F9" s="2">
        <f>data4!AL5</f>
        <v>-1.1660637972983117E-2</v>
      </c>
      <c r="G9" s="2">
        <f>data4!AM5</f>
        <v>7.1428571428571435E-3</v>
      </c>
      <c r="H9" s="2">
        <f>data4!AN5</f>
        <v>2.5946352258697403E-2</v>
      </c>
      <c r="I9" s="2">
        <f>data0!AL5</f>
        <v>-4.4426569902889776E-2</v>
      </c>
      <c r="J9" s="2">
        <f>data0!AM5</f>
        <v>3.7142857142857144E-2</v>
      </c>
      <c r="K9" s="2">
        <f>data0!AN5</f>
        <v>0.11871228418860406</v>
      </c>
      <c r="L9" s="2">
        <f>data5!AL5</f>
        <v>0.15346175435649731</v>
      </c>
      <c r="M9" s="2">
        <f>data5!AM5</f>
        <v>0.18142857142857144</v>
      </c>
      <c r="N9" s="2">
        <f>data5!AN5</f>
        <v>0.20939538850064557</v>
      </c>
      <c r="O9" s="7">
        <f>data1!AL5</f>
        <v>2.9701172018086086</v>
      </c>
      <c r="P9" s="7">
        <f>data1!AM5</f>
        <v>3.45</v>
      </c>
      <c r="Q9" s="7">
        <f>data1!AN5</f>
        <v>3.9298827981913917</v>
      </c>
      <c r="R9" s="7">
        <f>data2!AL5</f>
        <v>2.6911641015243148</v>
      </c>
      <c r="S9" s="7">
        <f>data2!AM5</f>
        <v>4.5374999999999996</v>
      </c>
      <c r="T9" s="7">
        <f>data2!AN5</f>
        <v>6.3838358984756844</v>
      </c>
      <c r="U9" s="7">
        <f>data3!AL5</f>
        <v>2.5189836799203933</v>
      </c>
      <c r="V9" s="7">
        <f>data3!AM5</f>
        <v>2.8560000000000003</v>
      </c>
      <c r="W9" s="7">
        <f>data3!AN5</f>
        <v>3.1930163200796073</v>
      </c>
      <c r="X9" s="2"/>
      <c r="Y9" s="2"/>
    </row>
    <row r="10" spans="1:27" x14ac:dyDescent="0.25">
      <c r="A10" s="15">
        <v>14.3</v>
      </c>
      <c r="B10" s="1">
        <f t="shared" si="3"/>
        <v>14.3</v>
      </c>
      <c r="C10" s="11">
        <f t="shared" si="4"/>
        <v>14.3</v>
      </c>
      <c r="D10" s="11">
        <f t="shared" si="5"/>
        <v>14.3</v>
      </c>
      <c r="E10" s="11">
        <f t="shared" si="2"/>
        <v>14.3</v>
      </c>
      <c r="F10" s="2">
        <f>data4!AL6</f>
        <v>-1.1660637972983117E-2</v>
      </c>
      <c r="G10" s="2">
        <f>data4!AM6</f>
        <v>7.1428571428571435E-3</v>
      </c>
      <c r="H10" s="2">
        <f>data4!AN6</f>
        <v>2.5946352258697403E-2</v>
      </c>
      <c r="I10" s="2">
        <f>data0!AL6</f>
        <v>-5.2973533768595336E-2</v>
      </c>
      <c r="J10" s="2">
        <f>data0!AM6</f>
        <v>4.5714285714285714E-2</v>
      </c>
      <c r="K10" s="2">
        <f>data0!AN6</f>
        <v>0.14440210519716676</v>
      </c>
      <c r="L10" s="2">
        <f>data5!AL6</f>
        <v>0.17250158030907015</v>
      </c>
      <c r="M10" s="2">
        <f>data5!AM6</f>
        <v>0.21285714285714286</v>
      </c>
      <c r="N10" s="2">
        <f>data5!AN6</f>
        <v>0.25321270540521557</v>
      </c>
      <c r="O10" s="7">
        <f>data1!AL6</f>
        <v>3.4895105634850587</v>
      </c>
      <c r="P10" s="7">
        <f>data1!AM6</f>
        <v>4.0220000000000002</v>
      </c>
      <c r="Q10" s="7">
        <f>data1!AN6</f>
        <v>4.5544894365149418</v>
      </c>
      <c r="R10" s="7">
        <f>data2!AL6</f>
        <v>3.1525014898694206</v>
      </c>
      <c r="S10" s="7">
        <f>data2!AM6</f>
        <v>5.25</v>
      </c>
      <c r="T10" s="7">
        <f>data2!AN6</f>
        <v>7.3474985101305794</v>
      </c>
      <c r="U10" s="7">
        <f>data3!AL6</f>
        <v>2.9579427420090472</v>
      </c>
      <c r="V10" s="7">
        <f>data3!AM6</f>
        <v>3.3160000000000003</v>
      </c>
      <c r="W10" s="7">
        <f>data3!AN6</f>
        <v>3.6740572579909534</v>
      </c>
      <c r="X10" s="2"/>
    </row>
    <row r="11" spans="1:27" x14ac:dyDescent="0.25">
      <c r="A11" s="15">
        <v>15</v>
      </c>
      <c r="B11" s="1">
        <f t="shared" si="3"/>
        <v>15</v>
      </c>
      <c r="C11" s="11">
        <f t="shared" si="4"/>
        <v>15</v>
      </c>
      <c r="D11" s="11">
        <f t="shared" si="5"/>
        <v>15</v>
      </c>
      <c r="E11" s="11">
        <f t="shared" si="2"/>
        <v>15</v>
      </c>
      <c r="F11" s="2">
        <f>data4!AL7</f>
        <v>-1.1660637972983117E-2</v>
      </c>
      <c r="G11" s="2">
        <f>data4!AM7</f>
        <v>7.1428571428571435E-3</v>
      </c>
      <c r="H11" s="2">
        <f>data4!AN7</f>
        <v>2.5946352258697403E-2</v>
      </c>
      <c r="I11" s="2">
        <f>data0!AL7</f>
        <v>-5.7232106174427429E-2</v>
      </c>
      <c r="J11" s="2">
        <f>data0!AM7</f>
        <v>5.1428571428571428E-2</v>
      </c>
      <c r="K11" s="2">
        <f>data0!AN7</f>
        <v>0.16008924903157029</v>
      </c>
      <c r="L11" s="2">
        <f>data5!AL7</f>
        <v>0.1732156918103212</v>
      </c>
      <c r="M11" s="2">
        <f>data5!AM7</f>
        <v>0.21857142857142858</v>
      </c>
      <c r="N11" s="2">
        <f>data5!AN7</f>
        <v>0.26392716533253596</v>
      </c>
      <c r="O11" s="7">
        <f>data1!AL7</f>
        <v>3.6950242235710986</v>
      </c>
      <c r="P11" s="7">
        <f>data1!AM7</f>
        <v>4.242</v>
      </c>
      <c r="Q11" s="7">
        <f>data1!AN7</f>
        <v>4.7889757764289014</v>
      </c>
      <c r="R11" s="7">
        <f>data2!AL7</f>
        <v>3.3405281525719355</v>
      </c>
      <c r="S11" s="7">
        <f>data2!AM7</f>
        <v>5.5649999999999995</v>
      </c>
      <c r="T11" s="7">
        <f>data2!AN7</f>
        <v>7.7894718474280635</v>
      </c>
      <c r="U11" s="7">
        <f>data3!AL7</f>
        <v>3.1132790653368545</v>
      </c>
      <c r="V11" s="7">
        <f>data3!AM7</f>
        <v>3.5100000000000002</v>
      </c>
      <c r="W11" s="7">
        <f>data3!AN7</f>
        <v>3.906720934663146</v>
      </c>
      <c r="X11" s="2"/>
    </row>
    <row r="12" spans="1:27" x14ac:dyDescent="0.25">
      <c r="A12" s="15">
        <v>17.5</v>
      </c>
      <c r="B12" s="1">
        <f t="shared" si="3"/>
        <v>17.5</v>
      </c>
      <c r="C12" s="11">
        <f t="shared" si="4"/>
        <v>17.5</v>
      </c>
      <c r="D12" s="11">
        <f t="shared" si="5"/>
        <v>17.5</v>
      </c>
      <c r="E12" s="11">
        <f t="shared" si="2"/>
        <v>17.5</v>
      </c>
      <c r="F12" s="2">
        <f>data4!AL8</f>
        <v>-5.9463522586974092E-3</v>
      </c>
      <c r="G12" s="2">
        <f>data4!AM8</f>
        <v>1.2857142857142855E-2</v>
      </c>
      <c r="H12" s="2">
        <f>data4!AN8</f>
        <v>3.1660637972983116E-2</v>
      </c>
      <c r="I12" s="2">
        <f>data0!AL8</f>
        <v>-7.5757569134251981E-2</v>
      </c>
      <c r="J12" s="2">
        <f>data0!AM8</f>
        <v>6.5714285714285711E-2</v>
      </c>
      <c r="K12" s="2">
        <f>data0!AN8</f>
        <v>0.20718614056282342</v>
      </c>
      <c r="L12" s="2">
        <f>data5!AL8</f>
        <v>0.22024839245200481</v>
      </c>
      <c r="M12" s="2">
        <f>data5!AM8</f>
        <v>0.26428571428571429</v>
      </c>
      <c r="N12" s="2">
        <f>data5!AN8</f>
        <v>0.3083230361194238</v>
      </c>
      <c r="O12" s="7">
        <f>data1!AL8</f>
        <v>4.3364149124613238</v>
      </c>
      <c r="P12" s="7">
        <f>data1!AM8</f>
        <v>4.952</v>
      </c>
      <c r="Q12" s="7">
        <f>data1!AN8</f>
        <v>5.5675850875386761</v>
      </c>
      <c r="R12" s="7">
        <f>data2!AL8</f>
        <v>3.9227156904713789</v>
      </c>
      <c r="S12" s="7">
        <f>data2!AM8</f>
        <v>6.5449999999999999</v>
      </c>
      <c r="T12" s="7">
        <f>data2!AN8</f>
        <v>9.1672843095286218</v>
      </c>
      <c r="U12" s="7">
        <f>data3!AL8</f>
        <v>3.6881165693563229</v>
      </c>
      <c r="V12" s="7">
        <f>data3!AM8</f>
        <v>4.1319999999999997</v>
      </c>
      <c r="W12" s="7">
        <f>data3!AN8</f>
        <v>4.5758834306436764</v>
      </c>
      <c r="X12" s="2"/>
    </row>
    <row r="13" spans="1:27" x14ac:dyDescent="0.25">
      <c r="A13" s="15">
        <v>20</v>
      </c>
      <c r="B13" s="1">
        <f t="shared" si="3"/>
        <v>20</v>
      </c>
      <c r="C13" s="11">
        <f t="shared" si="4"/>
        <v>20</v>
      </c>
      <c r="D13" s="11">
        <f t="shared" si="5"/>
        <v>20</v>
      </c>
      <c r="E13" s="11">
        <f t="shared" si="2"/>
        <v>20</v>
      </c>
      <c r="F13" s="2">
        <f>data4!AL9</f>
        <v>-8.7492098454650565E-3</v>
      </c>
      <c r="G13" s="2">
        <f>data4!AM9</f>
        <v>1.1428571428571427E-2</v>
      </c>
      <c r="H13" s="2">
        <f>data4!AN9</f>
        <v>3.1606352702607907E-2</v>
      </c>
      <c r="I13" s="2">
        <f>data0!AL9</f>
        <v>-0.10242256846757676</v>
      </c>
      <c r="J13" s="2">
        <f>data0!AM9</f>
        <v>8.2857142857142865E-2</v>
      </c>
      <c r="K13" s="2">
        <f>data0!AN9</f>
        <v>0.26813685418186251</v>
      </c>
      <c r="L13" s="2">
        <f>data5!AL9</f>
        <v>0.24897234510702274</v>
      </c>
      <c r="M13" s="2">
        <f>data5!AM9</f>
        <v>0.30285714285714288</v>
      </c>
      <c r="N13" s="2">
        <f>data5!AN9</f>
        <v>0.356741940607263</v>
      </c>
      <c r="O13" s="7">
        <f>data1!AL9</f>
        <v>4.8800544374754296</v>
      </c>
      <c r="P13" s="7">
        <f>data1!AM9</f>
        <v>5.6240000000000006</v>
      </c>
      <c r="Q13" s="7">
        <f>data1!AN9</f>
        <v>6.3679455625245716</v>
      </c>
      <c r="R13" s="7">
        <f>data2!AL9</f>
        <v>4.4782392487887872</v>
      </c>
      <c r="S13" s="7">
        <f>data2!AM9</f>
        <v>7.4750000000000005</v>
      </c>
      <c r="T13" s="7">
        <f>data2!AN9</f>
        <v>10.471760751211214</v>
      </c>
      <c r="U13" s="7">
        <f>data3!AL9</f>
        <v>4.2349360131174851</v>
      </c>
      <c r="V13" s="7">
        <f>data3!AM9</f>
        <v>4.6959999999999997</v>
      </c>
      <c r="W13" s="7">
        <f>data3!AN9</f>
        <v>5.1570639868825143</v>
      </c>
      <c r="X13" s="2"/>
    </row>
    <row r="14" spans="1:27" x14ac:dyDescent="0.25">
      <c r="I14" s="8"/>
      <c r="J14" s="8"/>
      <c r="K14" s="8"/>
      <c r="P14" s="13">
        <f>SLOPE(P6:P8,$E6:$E8)</f>
        <v>0.3045491604614492</v>
      </c>
      <c r="Q14" s="13">
        <f>INTERCEPT(P6:P8,$E6:$E8)</f>
        <v>-0.35377486800303326</v>
      </c>
      <c r="S14" s="13">
        <f>SLOPE(S6:S7,$E6:$E7)</f>
        <v>0.40752639711563227</v>
      </c>
      <c r="T14" s="13">
        <f>INTERCEPT(S6:S7,$E6:$E7)</f>
        <v>-0.48016868400721058</v>
      </c>
      <c r="V14" s="13">
        <f>SLOPE(V6:V7,$E6:$E7)</f>
        <v>0.25392029358743246</v>
      </c>
      <c r="W14" s="13">
        <f>INTERCEPT(V6:V7,$E6:$E7)</f>
        <v>-0.2987589492660313</v>
      </c>
    </row>
    <row r="15" spans="1:27" x14ac:dyDescent="0.25">
      <c r="F15" s="1" t="s">
        <v>11</v>
      </c>
      <c r="G15" s="5"/>
      <c r="I15" s="5">
        <f>K2</f>
        <v>1</v>
      </c>
      <c r="J15" s="5"/>
      <c r="L15" s="5" t="str">
        <f>L2</f>
        <v>10x Glass</v>
      </c>
      <c r="M15" s="5"/>
      <c r="N15" s="1" t="str">
        <f>E2</f>
        <v>IRDR</v>
      </c>
      <c r="O15" s="25" t="str">
        <f>O2</f>
        <v>Transmission=</v>
      </c>
      <c r="P15" s="25"/>
      <c r="Q15" s="6">
        <f>Q2</f>
        <v>0.6</v>
      </c>
      <c r="R15" s="25" t="str">
        <f>R2</f>
        <v>Transmission=</v>
      </c>
      <c r="S15" s="25"/>
      <c r="T15" s="6">
        <f>T2</f>
        <v>0.3</v>
      </c>
      <c r="U15" s="25" t="str">
        <f>U2</f>
        <v>Transmission=</v>
      </c>
      <c r="V15" s="25"/>
      <c r="W15" s="6">
        <f>W2</f>
        <v>0.05</v>
      </c>
    </row>
    <row r="16" spans="1:27" x14ac:dyDescent="0.25">
      <c r="F16" s="11">
        <f>(G6-$G$21)/$G$20</f>
        <v>5.1944444444444402</v>
      </c>
      <c r="I16" s="11">
        <f>(J6-$J$21)/$J$20</f>
        <v>6.3408506429277969</v>
      </c>
      <c r="L16" s="11">
        <f>(M6-$M$21)/$M$20</f>
        <v>3.1535838981310325</v>
      </c>
      <c r="N16" s="1"/>
      <c r="O16" s="1" t="str">
        <f t="shared" ref="O16:W16" si="6">O5</f>
        <v>-1.5σ</v>
      </c>
      <c r="P16" s="1" t="str">
        <f t="shared" si="6"/>
        <v>avg</v>
      </c>
      <c r="Q16" s="1" t="str">
        <f t="shared" si="6"/>
        <v>+1.5σ</v>
      </c>
      <c r="R16" s="1" t="str">
        <f t="shared" si="6"/>
        <v>-1.5σ</v>
      </c>
      <c r="S16" s="1" t="str">
        <f t="shared" si="6"/>
        <v>avg</v>
      </c>
      <c r="T16" s="1" t="str">
        <f t="shared" si="6"/>
        <v>+1.5σ</v>
      </c>
      <c r="U16" s="1" t="str">
        <f t="shared" si="6"/>
        <v>-1.5σ</v>
      </c>
      <c r="V16" s="1" t="str">
        <f t="shared" si="6"/>
        <v>avg</v>
      </c>
      <c r="W16" s="1" t="str">
        <f t="shared" si="6"/>
        <v>+1.5σ</v>
      </c>
    </row>
    <row r="17" spans="6:23" x14ac:dyDescent="0.25">
      <c r="F17" s="11">
        <f>(G7-$G$21)/$G$20</f>
        <v>6.8753968253968214</v>
      </c>
      <c r="I17" s="11">
        <f>(J7-$J$21)/$J$20</f>
        <v>8.0168150346191922</v>
      </c>
      <c r="L17" s="11">
        <f>(M7-$M$21)/$M$20</f>
        <v>6.9815567878414448</v>
      </c>
      <c r="N17" s="11">
        <f t="shared" ref="N17:N24" si="7">E6</f>
        <v>3.1535838981310325</v>
      </c>
      <c r="O17" s="2">
        <f t="shared" ref="O17:W19" si="8">O6</f>
        <v>0.4880795742366314</v>
      </c>
      <c r="P17" s="2">
        <f t="shared" si="8"/>
        <v>0.59799999999999998</v>
      </c>
      <c r="Q17" s="2">
        <f t="shared" si="8"/>
        <v>0.70792042576336855</v>
      </c>
      <c r="R17" s="2">
        <f t="shared" si="8"/>
        <v>0.43808720382085342</v>
      </c>
      <c r="S17" s="2">
        <f t="shared" si="8"/>
        <v>0.80500000000000005</v>
      </c>
      <c r="T17" s="2">
        <f t="shared" si="8"/>
        <v>1.1719127961791467</v>
      </c>
      <c r="U17" s="2">
        <f t="shared" si="8"/>
        <v>0.41754587043844449</v>
      </c>
      <c r="V17" s="2">
        <f t="shared" si="8"/>
        <v>0.502</v>
      </c>
      <c r="W17" s="2">
        <f t="shared" si="8"/>
        <v>0.58645412956155551</v>
      </c>
    </row>
    <row r="18" spans="6:23" x14ac:dyDescent="0.25">
      <c r="F18" s="11"/>
      <c r="I18" s="11"/>
      <c r="L18" s="11"/>
      <c r="N18" s="11">
        <f t="shared" si="7"/>
        <v>6.9815567878414448</v>
      </c>
      <c r="O18" s="2">
        <f t="shared" si="8"/>
        <v>1.5282510745007727</v>
      </c>
      <c r="P18" s="2">
        <f t="shared" si="8"/>
        <v>1.7899999999999998</v>
      </c>
      <c r="Q18" s="2">
        <f t="shared" si="8"/>
        <v>2.0517489254992269</v>
      </c>
      <c r="R18" s="2">
        <f t="shared" si="8"/>
        <v>1.3780729510242413</v>
      </c>
      <c r="S18" s="2">
        <f t="shared" si="8"/>
        <v>2.3650000000000002</v>
      </c>
      <c r="T18" s="2">
        <f t="shared" si="8"/>
        <v>3.3519270489757593</v>
      </c>
      <c r="U18" s="2">
        <f t="shared" si="8"/>
        <v>1.2931893255363502</v>
      </c>
      <c r="V18" s="2">
        <f t="shared" si="8"/>
        <v>1.4740000000000002</v>
      </c>
      <c r="W18" s="2">
        <f t="shared" si="8"/>
        <v>1.6548106744636502</v>
      </c>
    </row>
    <row r="19" spans="6:23" x14ac:dyDescent="0.25">
      <c r="F19" s="24" t="s">
        <v>19</v>
      </c>
      <c r="G19" s="24"/>
      <c r="I19" s="24" t="s">
        <v>20</v>
      </c>
      <c r="J19" s="24"/>
      <c r="L19" s="24" t="s">
        <v>20</v>
      </c>
      <c r="M19" s="24"/>
      <c r="N19" s="1">
        <f t="shared" si="7"/>
        <v>10.7</v>
      </c>
      <c r="O19" s="2">
        <f t="shared" si="8"/>
        <v>2.5007564042264576</v>
      </c>
      <c r="P19" s="2">
        <f t="shared" si="8"/>
        <v>2.8960000000000004</v>
      </c>
      <c r="Q19" s="2">
        <f t="shared" si="8"/>
        <v>3.2912435957735431</v>
      </c>
      <c r="R19" s="9">
        <f t="shared" ref="R19:R24" si="9">S19*(1-(T$18-S$18)/S$18)</f>
        <v>2.2610673762622873</v>
      </c>
      <c r="S19" s="9">
        <f t="shared" ref="S19:S24" si="10">S$14*$N19+T$14</f>
        <v>3.8803637651300544</v>
      </c>
      <c r="T19" s="9">
        <f t="shared" ref="T19:T24" si="11">S19*(1+(T$18-S$18)/S$18)</f>
        <v>5.499660153997822</v>
      </c>
      <c r="U19" s="9">
        <f t="shared" ref="U19:U24" si="12">V19*(1-(W$18-V$18)/V$18)</f>
        <v>2.1215570944280708</v>
      </c>
      <c r="V19" s="9">
        <f t="shared" ref="V19:V24" si="13">V$14*$N19+W$14</f>
        <v>2.4181881921194956</v>
      </c>
      <c r="W19" s="9">
        <f t="shared" ref="W19:W24" si="14">V19*(1+(W$18-V$18)/V$18)</f>
        <v>2.7148192898109205</v>
      </c>
    </row>
    <row r="20" spans="6:23" x14ac:dyDescent="0.25">
      <c r="F20" s="1" t="s">
        <v>12</v>
      </c>
      <c r="G20" s="13">
        <f>SLOPE(G8:G13,$A8:$A13)</f>
        <v>8.4985835694050959E-4</v>
      </c>
      <c r="I20" s="1" t="s">
        <v>12</v>
      </c>
      <c r="J20" s="13">
        <f>SLOPE(J8:J13,A8:A13)</f>
        <v>5.9667138810198311E-3</v>
      </c>
      <c r="L20" s="4" t="s">
        <v>12</v>
      </c>
      <c r="M20" s="13">
        <f>SLOPE(M8:M13,$A8:$A13)</f>
        <v>1.642047753945771E-2</v>
      </c>
      <c r="N20" s="1">
        <f t="shared" si="7"/>
        <v>12.5</v>
      </c>
      <c r="O20" s="9">
        <f>P20*(1-(Q$19-P$19)/P$19)</f>
        <v>2.9818149261080964</v>
      </c>
      <c r="P20" s="9">
        <f>P$14*$N20+Q$14</f>
        <v>3.4530896377650819</v>
      </c>
      <c r="Q20" s="9">
        <f>P20*(1+(Q$19-P$19)/P$19)</f>
        <v>3.9243643494220679</v>
      </c>
      <c r="R20" s="9">
        <f t="shared" si="9"/>
        <v>2.6885016208492423</v>
      </c>
      <c r="S20" s="9">
        <f t="shared" si="10"/>
        <v>4.6139112799381925</v>
      </c>
      <c r="T20" s="9">
        <f t="shared" si="11"/>
        <v>6.5393209390271423</v>
      </c>
      <c r="U20" s="9">
        <f t="shared" si="12"/>
        <v>2.5225480196436632</v>
      </c>
      <c r="V20" s="9">
        <f t="shared" si="13"/>
        <v>2.8752447205768741</v>
      </c>
      <c r="W20" s="9">
        <f t="shared" si="14"/>
        <v>3.227941421510085</v>
      </c>
    </row>
    <row r="21" spans="6:23" x14ac:dyDescent="0.25">
      <c r="F21" s="1" t="s">
        <v>13</v>
      </c>
      <c r="G21" s="13">
        <f>INTERCEPT(G8:G13,$A8:$A13)</f>
        <v>-4.4145420207743098E-3</v>
      </c>
      <c r="I21" s="1" t="s">
        <v>13</v>
      </c>
      <c r="J21" s="13">
        <f>INTERCEPT(J8:J13,A8:A13)</f>
        <v>-3.7834041548630806E-2</v>
      </c>
      <c r="L21" s="4" t="s">
        <v>13</v>
      </c>
      <c r="M21" s="13">
        <f>INTERCEPT(M8:M13,$A8:$A13)</f>
        <v>-2.4640496425198971E-2</v>
      </c>
      <c r="N21" s="1">
        <f t="shared" si="7"/>
        <v>14.3</v>
      </c>
      <c r="O21" s="9">
        <f>P21*(1-(Q$19-P$19)/P$19)</f>
        <v>3.4551871202263174</v>
      </c>
      <c r="P21" s="9">
        <f>P$14*N21+Q$14</f>
        <v>4.0012781265956905</v>
      </c>
      <c r="Q21" s="9">
        <f>P21*(1+(Q$19-P$19)/P$19)</f>
        <v>4.5473691329650645</v>
      </c>
      <c r="R21" s="9">
        <f t="shared" si="9"/>
        <v>3.1159358654361977</v>
      </c>
      <c r="S21" s="9">
        <f t="shared" si="10"/>
        <v>5.3474587947463306</v>
      </c>
      <c r="T21" s="9">
        <f t="shared" si="11"/>
        <v>7.5789817240564634</v>
      </c>
      <c r="U21" s="9">
        <f t="shared" si="12"/>
        <v>2.9235389448592555</v>
      </c>
      <c r="V21" s="9">
        <f t="shared" si="13"/>
        <v>3.332301249034253</v>
      </c>
      <c r="W21" s="9">
        <f t="shared" si="14"/>
        <v>3.7410635532092504</v>
      </c>
    </row>
    <row r="22" spans="6:23" x14ac:dyDescent="0.25">
      <c r="F22" s="24" t="str">
        <f>"y= "&amp;ROUND(G20,3)&amp;"x"&amp;ROUND(G21,3)</f>
        <v>y= 0.001x-0.004</v>
      </c>
      <c r="G22" s="24"/>
      <c r="I22" s="24" t="str">
        <f>"y= "&amp;ROUND(J20,3)&amp;"x"&amp;ROUND(J21,3)</f>
        <v>y= 0.006x-0.038</v>
      </c>
      <c r="J22" s="24"/>
      <c r="L22" s="24" t="str">
        <f>"y= "&amp;ROUND(M20,3)&amp;"x"&amp;ROUND(M21,3)</f>
        <v>y= 0.016x-0.025</v>
      </c>
      <c r="M22" s="24"/>
      <c r="N22" s="1">
        <f t="shared" si="7"/>
        <v>15</v>
      </c>
      <c r="O22" s="9">
        <f>P22*(1-(Q$19-P$19)/P$19)</f>
        <v>3.6392763068278473</v>
      </c>
      <c r="P22" s="9">
        <f>P$14*N22+Q$14</f>
        <v>4.2144625389187045</v>
      </c>
      <c r="Q22" s="9">
        <f>P22*(1+(Q$19-P$19)/P$19)</f>
        <v>4.7896487710095625</v>
      </c>
      <c r="R22" s="9">
        <f t="shared" si="9"/>
        <v>3.2821602938866801</v>
      </c>
      <c r="S22" s="9">
        <f t="shared" si="10"/>
        <v>5.6327272727272728</v>
      </c>
      <c r="T22" s="9">
        <f t="shared" si="11"/>
        <v>7.983294251567866</v>
      </c>
      <c r="U22" s="9">
        <f t="shared" si="12"/>
        <v>3.0794798602208746</v>
      </c>
      <c r="V22" s="9">
        <f t="shared" si="13"/>
        <v>3.5100454545454554</v>
      </c>
      <c r="W22" s="9">
        <f t="shared" si="14"/>
        <v>3.9406110488700361</v>
      </c>
    </row>
    <row r="23" spans="6:23" x14ac:dyDescent="0.25">
      <c r="N23" s="1">
        <f t="shared" si="7"/>
        <v>17.5</v>
      </c>
      <c r="O23" s="9">
        <f>P23*(1-(Q$19-P$19)/P$19)</f>
        <v>4.2967376875475995</v>
      </c>
      <c r="P23" s="9">
        <f>P$14*N23+Q$14</f>
        <v>4.9758354400723279</v>
      </c>
      <c r="Q23" s="9">
        <f>P23*(1+(Q$19-P$19)/P$19)</f>
        <v>5.6549331925970572</v>
      </c>
      <c r="R23" s="9">
        <f t="shared" si="9"/>
        <v>3.8758189669241183</v>
      </c>
      <c r="S23" s="9">
        <f t="shared" si="10"/>
        <v>6.651543265516354</v>
      </c>
      <c r="T23" s="9">
        <f t="shared" si="11"/>
        <v>9.4272675641085897</v>
      </c>
      <c r="U23" s="9">
        <f t="shared" si="12"/>
        <v>3.6364117007980861</v>
      </c>
      <c r="V23" s="9">
        <f t="shared" si="13"/>
        <v>4.1448461885140366</v>
      </c>
      <c r="W23" s="9">
        <f t="shared" si="14"/>
        <v>4.6532806762299872</v>
      </c>
    </row>
    <row r="24" spans="6:23" x14ac:dyDescent="0.25">
      <c r="N24" s="1">
        <f t="shared" si="7"/>
        <v>20</v>
      </c>
      <c r="O24" s="9">
        <f>P24*(1-(Q$19-P$19)/P$19)</f>
        <v>4.95419906826735</v>
      </c>
      <c r="P24" s="9">
        <f>P$14*N24+Q$14</f>
        <v>5.7372083412259505</v>
      </c>
      <c r="Q24" s="9">
        <f>P24*(1+(Q$19-P$19)/P$19)</f>
        <v>6.5202176141845509</v>
      </c>
      <c r="R24" s="9">
        <f t="shared" si="9"/>
        <v>4.4694776399615561</v>
      </c>
      <c r="S24" s="9">
        <f t="shared" si="10"/>
        <v>7.6703592583054352</v>
      </c>
      <c r="T24" s="9">
        <f t="shared" si="11"/>
        <v>10.871240876649313</v>
      </c>
      <c r="U24" s="9">
        <f t="shared" si="12"/>
        <v>4.1933435413752971</v>
      </c>
      <c r="V24" s="9">
        <f t="shared" si="13"/>
        <v>4.7796469224826179</v>
      </c>
      <c r="W24" s="9">
        <f t="shared" si="14"/>
        <v>5.3659503035899387</v>
      </c>
    </row>
    <row r="25" spans="6:23" x14ac:dyDescent="0.25">
      <c r="F25" s="2">
        <f t="shared" ref="F25:F32" si="15">SLOPE($G$6:$G$13,$E$6:$E$13)*E6+INTERCEPT($G$6:$G$13,$E$6:$E$13)</f>
        <v>-8.3300048660688757E-4</v>
      </c>
      <c r="G25" s="14" t="e">
        <f t="shared" ref="G25:G32" si="16">F25/G6-1</f>
        <v>#DIV/0!</v>
      </c>
      <c r="I25" s="2">
        <f t="shared" ref="I25:I32" si="17">SLOPE($J$6:$J$13,$E$6:$E$13)*$E6+INTERCEPT($J$6:$J$13,$E$6:$E$13)</f>
        <v>-6.483979117511085E-3</v>
      </c>
      <c r="J25" s="14" t="e">
        <f t="shared" ref="J25:J32" si="18">I25/J6-1</f>
        <v>#DIV/0!</v>
      </c>
      <c r="L25" s="2">
        <f t="shared" ref="L25:L32" si="19">SLOPE($M$6:$M$13,$E$6:$E$13)*$E6+INTERCEPT($M$6:$M$13,$E$6:$E$13)</f>
        <v>2.7142857142857142E-2</v>
      </c>
      <c r="M25" s="14">
        <f t="shared" ref="M25:M32" si="20">L25/M6-1</f>
        <v>0</v>
      </c>
    </row>
    <row r="26" spans="6:23" x14ac:dyDescent="0.25">
      <c r="F26" s="2">
        <f t="shared" si="15"/>
        <v>2.1357257783672905E-3</v>
      </c>
      <c r="G26" s="14">
        <f t="shared" si="16"/>
        <v>0.49500804485710348</v>
      </c>
      <c r="I26" s="2">
        <f t="shared" si="17"/>
        <v>1.2519924075710634E-2</v>
      </c>
      <c r="J26" s="14">
        <f t="shared" si="18"/>
        <v>0.25199240757106334</v>
      </c>
      <c r="L26" s="2">
        <f t="shared" si="19"/>
        <v>0.09</v>
      </c>
      <c r="M26" s="14">
        <f t="shared" si="20"/>
        <v>0</v>
      </c>
      <c r="O26" s="1" t="s">
        <v>24</v>
      </c>
      <c r="P26" s="1" t="s">
        <v>25</v>
      </c>
      <c r="Q26" s="1" t="s">
        <v>26</v>
      </c>
      <c r="R26" s="1" t="s">
        <v>27</v>
      </c>
      <c r="S26" s="1" t="s">
        <v>28</v>
      </c>
      <c r="T26" s="1" t="s">
        <v>29</v>
      </c>
      <c r="U26" s="1" t="s">
        <v>30</v>
      </c>
      <c r="V26" s="1" t="s">
        <v>31</v>
      </c>
    </row>
    <row r="27" spans="6:23" x14ac:dyDescent="0.25">
      <c r="F27" s="2">
        <f t="shared" si="15"/>
        <v>5.0195079646055945E-3</v>
      </c>
      <c r="G27" s="14">
        <f t="shared" si="16"/>
        <v>0.17121852507463875</v>
      </c>
      <c r="I27" s="2">
        <f t="shared" si="17"/>
        <v>3.098006913663854E-2</v>
      </c>
      <c r="J27" s="14">
        <f t="shared" si="18"/>
        <v>0.14137096819194617</v>
      </c>
      <c r="L27" s="2">
        <f t="shared" si="19"/>
        <v>0.15105861324699851</v>
      </c>
      <c r="M27" s="14">
        <f t="shared" si="20"/>
        <v>7.0574216466567918E-3</v>
      </c>
      <c r="O27" s="5">
        <f>Q15</f>
        <v>0.6</v>
      </c>
      <c r="P27" s="5">
        <v>0.65</v>
      </c>
      <c r="Q27" s="11">
        <f>1/P27^2</f>
        <v>2.3668639053254434</v>
      </c>
      <c r="R27" s="2">
        <f>Q24</f>
        <v>6.5202176141845509</v>
      </c>
      <c r="S27" s="11">
        <f>Q27*R27</f>
        <v>15.432467725880592</v>
      </c>
      <c r="T27" s="1">
        <f>ROUND(LOG(S27*10)/LOG(2)+0.5,0)</f>
        <v>8</v>
      </c>
      <c r="U27" s="11">
        <f>256*S27/2^T27</f>
        <v>15.432467725880592</v>
      </c>
      <c r="V27" s="17">
        <f>10%/S27</f>
        <v>6.4798450757358643E-3</v>
      </c>
    </row>
    <row r="28" spans="6:23" ht="15.75" thickBot="1" x14ac:dyDescent="0.3">
      <c r="F28" s="2">
        <f t="shared" si="15"/>
        <v>6.4154706401296051E-3</v>
      </c>
      <c r="G28" s="14">
        <f t="shared" si="16"/>
        <v>-0.10183411038185541</v>
      </c>
      <c r="I28" s="2">
        <f t="shared" si="17"/>
        <v>3.9916137059101513E-2</v>
      </c>
      <c r="J28" s="14">
        <f t="shared" si="18"/>
        <v>7.4665228514271487E-2</v>
      </c>
      <c r="L28" s="2">
        <f t="shared" si="19"/>
        <v>0.1806154728180224</v>
      </c>
      <c r="M28" s="14">
        <f t="shared" si="20"/>
        <v>-4.4816458849159524E-3</v>
      </c>
      <c r="O28" s="5">
        <f>T15</f>
        <v>0.3</v>
      </c>
      <c r="P28" s="5">
        <v>0.4</v>
      </c>
      <c r="Q28" s="11">
        <f>1/P28^2</f>
        <v>6.2499999999999991</v>
      </c>
      <c r="R28" s="2">
        <f>T24</f>
        <v>10.871240876649313</v>
      </c>
      <c r="S28" s="11">
        <f>Q28*R28</f>
        <v>67.945255479058204</v>
      </c>
      <c r="T28" s="1">
        <f>ROUND(LOG(S28*10)/LOG(2)+0.5,0)</f>
        <v>10</v>
      </c>
      <c r="U28" s="11">
        <f>256*S28/2^T28</f>
        <v>16.986313869764551</v>
      </c>
      <c r="V28" s="17">
        <f>10%/S28</f>
        <v>1.4717731104980771E-3</v>
      </c>
    </row>
    <row r="29" spans="6:23" ht="15.75" thickBot="1" x14ac:dyDescent="0.3">
      <c r="F29" s="2">
        <f t="shared" si="15"/>
        <v>7.8114333156536139E-3</v>
      </c>
      <c r="G29" s="14">
        <f t="shared" si="16"/>
        <v>9.3600664191505922E-2</v>
      </c>
      <c r="I29" s="2">
        <f t="shared" si="17"/>
        <v>4.8852204981564486E-2</v>
      </c>
      <c r="J29" s="14">
        <f t="shared" si="18"/>
        <v>6.8641983971723164E-2</v>
      </c>
      <c r="L29" s="2">
        <f t="shared" si="19"/>
        <v>0.21017233238904631</v>
      </c>
      <c r="M29" s="14">
        <f t="shared" si="20"/>
        <v>-1.261320354139317E-2</v>
      </c>
      <c r="O29" s="5">
        <f>W15</f>
        <v>0.05</v>
      </c>
      <c r="P29" s="5">
        <v>0.35</v>
      </c>
      <c r="Q29" s="11">
        <f>1/P29^2</f>
        <v>8.1632653061224509</v>
      </c>
      <c r="R29" s="2">
        <f>W24</f>
        <v>5.3659503035899387</v>
      </c>
      <c r="S29" s="18">
        <f>Q29*R29</f>
        <v>43.803675947672978</v>
      </c>
      <c r="T29" s="19">
        <f>ROUND(LOG(S29*10)/LOG(2)+0.5,0)</f>
        <v>9</v>
      </c>
      <c r="U29" s="20">
        <f>256*S29/2^T29</f>
        <v>21.901837973836489</v>
      </c>
      <c r="V29" s="21">
        <f>10%/S29</f>
        <v>2.2829134276186789E-3</v>
      </c>
    </row>
    <row r="30" spans="6:23" x14ac:dyDescent="0.25">
      <c r="F30" s="2">
        <f t="shared" si="15"/>
        <v>8.3543076894685066E-3</v>
      </c>
      <c r="G30" s="14">
        <f t="shared" si="16"/>
        <v>0.16960307652559092</v>
      </c>
      <c r="I30" s="2">
        <f t="shared" si="17"/>
        <v>5.2327342506966752E-2</v>
      </c>
      <c r="J30" s="14">
        <f t="shared" si="18"/>
        <v>1.7476104302131201E-2</v>
      </c>
      <c r="L30" s="2">
        <f t="shared" si="19"/>
        <v>0.22166666666666668</v>
      </c>
      <c r="M30" s="14">
        <f t="shared" si="20"/>
        <v>1.4161220043573008E-2</v>
      </c>
    </row>
    <row r="31" spans="6:23" x14ac:dyDescent="0.25">
      <c r="F31" s="2">
        <f t="shared" si="15"/>
        <v>1.0293144738807408E-2</v>
      </c>
      <c r="G31" s="14">
        <f t="shared" si="16"/>
        <v>-0.19942207587053484</v>
      </c>
      <c r="I31" s="2">
        <f t="shared" si="17"/>
        <v>6.4738547954831999E-2</v>
      </c>
      <c r="J31" s="14">
        <f t="shared" si="18"/>
        <v>-1.4848183296034767E-2</v>
      </c>
      <c r="L31" s="2">
        <f t="shared" si="19"/>
        <v>0.26271786051531099</v>
      </c>
      <c r="M31" s="14">
        <f t="shared" si="20"/>
        <v>-5.9324196717962518E-3</v>
      </c>
      <c r="U31" s="22" t="s">
        <v>35</v>
      </c>
      <c r="V31" s="1" t="str">
        <f>ROUND(20*LOG(V29)-20,0)&amp;"dB"</f>
        <v>-73dB</v>
      </c>
    </row>
    <row r="32" spans="6:23" x14ac:dyDescent="0.25">
      <c r="F32" s="2">
        <f t="shared" si="15"/>
        <v>1.223198178814631E-2</v>
      </c>
      <c r="G32" s="14">
        <f t="shared" si="16"/>
        <v>7.0298406462802276E-2</v>
      </c>
      <c r="I32" s="2">
        <f t="shared" si="17"/>
        <v>7.7149753402697224E-2</v>
      </c>
      <c r="J32" s="14">
        <f t="shared" si="18"/>
        <v>-6.8882286519171498E-2</v>
      </c>
      <c r="L32" s="2">
        <f t="shared" si="19"/>
        <v>0.30376905436395529</v>
      </c>
      <c r="M32" s="14">
        <f t="shared" si="20"/>
        <v>3.0110285602296116E-3</v>
      </c>
    </row>
  </sheetData>
  <mergeCells count="30">
    <mergeCell ref="I3:J3"/>
    <mergeCell ref="F3:G3"/>
    <mergeCell ref="O3:P3"/>
    <mergeCell ref="R3:S3"/>
    <mergeCell ref="U3:V3"/>
    <mergeCell ref="A1:N1"/>
    <mergeCell ref="A2:D4"/>
    <mergeCell ref="U4:W4"/>
    <mergeCell ref="E2:E4"/>
    <mergeCell ref="U2:V2"/>
    <mergeCell ref="F4:H4"/>
    <mergeCell ref="I4:K4"/>
    <mergeCell ref="O4:Q4"/>
    <mergeCell ref="R4:T4"/>
    <mergeCell ref="F2:H2"/>
    <mergeCell ref="O2:P2"/>
    <mergeCell ref="R2:S2"/>
    <mergeCell ref="I2:J2"/>
    <mergeCell ref="L2:N2"/>
    <mergeCell ref="L4:N4"/>
    <mergeCell ref="L3:M3"/>
    <mergeCell ref="I22:J22"/>
    <mergeCell ref="O15:P15"/>
    <mergeCell ref="R15:S15"/>
    <mergeCell ref="U15:V15"/>
    <mergeCell ref="F22:G22"/>
    <mergeCell ref="L19:M19"/>
    <mergeCell ref="L22:M22"/>
    <mergeCell ref="F19:G19"/>
    <mergeCell ref="I19:J19"/>
  </mergeCells>
  <dataValidations disablePrompts="1" count="1">
    <dataValidation type="list" allowBlank="1" showInputMessage="1" showErrorMessage="1" sqref="E5">
      <formula1>$A$5:$D$5</formula1>
    </dataValidation>
  </dataValidations>
  <pageMargins left="0.7" right="0.7" top="0.75" bottom="0.75" header="0.3" footer="0.3"/>
  <pageSetup orientation="portrait" r:id="rId1"/>
  <ignoredErrors>
    <ignoredError sqref="J20:J21 G20:G21 M20:M21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9"/>
  <sheetViews>
    <sheetView zoomScale="80" zoomScaleNormal="80" workbookViewId="0">
      <selection activeCell="B2" sqref="B2:AG9"/>
    </sheetView>
  </sheetViews>
  <sheetFormatPr defaultRowHeight="15" x14ac:dyDescent="0.25"/>
  <cols>
    <col min="1" max="1" width="2" style="1" bestFit="1" customWidth="1"/>
    <col min="2" max="17" width="6" style="1" bestFit="1" customWidth="1"/>
    <col min="18" max="41" width="6" style="1" customWidth="1"/>
    <col min="42" max="16384" width="9.140625" style="1"/>
  </cols>
  <sheetData>
    <row r="1" spans="1:41" x14ac:dyDescent="0.25"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6</v>
      </c>
      <c r="AI1" s="1" t="s">
        <v>3</v>
      </c>
      <c r="AJ1" s="1" t="s">
        <v>23</v>
      </c>
      <c r="AK1" s="1" t="s">
        <v>0</v>
      </c>
      <c r="AL1" s="3" t="s">
        <v>5</v>
      </c>
      <c r="AM1" s="1" t="s">
        <v>1</v>
      </c>
      <c r="AN1" s="3" t="s">
        <v>4</v>
      </c>
      <c r="AO1" s="1" t="s">
        <v>2</v>
      </c>
    </row>
    <row r="2" spans="1:41" x14ac:dyDescent="0.25">
      <c r="A2" s="1">
        <v>0</v>
      </c>
      <c r="B2" s="2"/>
      <c r="C2" s="2"/>
      <c r="D2" s="2"/>
      <c r="E2" s="2">
        <v>0</v>
      </c>
      <c r="F2" s="2">
        <v>0</v>
      </c>
      <c r="G2" s="2">
        <v>0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</v>
      </c>
      <c r="AB2" s="2"/>
      <c r="AC2" s="2">
        <v>0</v>
      </c>
      <c r="AD2" s="2"/>
      <c r="AE2" s="2">
        <v>0</v>
      </c>
      <c r="AF2" s="2">
        <v>0</v>
      </c>
      <c r="AG2" s="2"/>
      <c r="AH2" s="11">
        <f>Summary!E6</f>
        <v>3.1535838981310325</v>
      </c>
      <c r="AI2" s="2">
        <f>STDEV(B2:AG2)</f>
        <v>0</v>
      </c>
      <c r="AJ2" s="14">
        <f>AI2/AH2</f>
        <v>0</v>
      </c>
      <c r="AK2" s="2">
        <f>MIN(B2:AG2)</f>
        <v>0</v>
      </c>
      <c r="AL2" s="2">
        <f>AM2-1.5*AI2</f>
        <v>0</v>
      </c>
      <c r="AM2" s="2">
        <f>AVERAGE(B2:AG2)</f>
        <v>0</v>
      </c>
      <c r="AN2" s="2">
        <f>AM2+1.5*AI2</f>
        <v>0</v>
      </c>
      <c r="AO2" s="2">
        <f>MAX(B2:AG2)</f>
        <v>0</v>
      </c>
    </row>
    <row r="3" spans="1:41" x14ac:dyDescent="0.25">
      <c r="A3" s="1">
        <f>A2+1</f>
        <v>1</v>
      </c>
      <c r="B3" s="2"/>
      <c r="C3" s="2"/>
      <c r="D3" s="2"/>
      <c r="E3" s="2">
        <v>0</v>
      </c>
      <c r="F3" s="2">
        <v>0</v>
      </c>
      <c r="G3" s="2">
        <v>0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0.03</v>
      </c>
      <c r="AB3" s="2"/>
      <c r="AC3" s="2">
        <v>0.04</v>
      </c>
      <c r="AD3" s="2"/>
      <c r="AE3" s="2">
        <v>0</v>
      </c>
      <c r="AF3" s="2">
        <v>0</v>
      </c>
      <c r="AG3" s="2"/>
      <c r="AH3" s="11">
        <f>Summary!E7</f>
        <v>6.9815567878414448</v>
      </c>
      <c r="AI3" s="2">
        <f t="shared" ref="AI3:AI9" si="1">STDEV(B3:AG3)</f>
        <v>1.7320508075688773E-2</v>
      </c>
      <c r="AJ3" s="14">
        <f t="shared" ref="AJ3:AJ9" si="2">AI3/AH3</f>
        <v>2.4808948207444034E-3</v>
      </c>
      <c r="AK3" s="2">
        <f t="shared" ref="AK3:AK9" si="3">MIN(B3:AG3)</f>
        <v>0</v>
      </c>
      <c r="AL3" s="2">
        <f t="shared" ref="AL3:AL9" si="4">AM3-1.5*AI3</f>
        <v>-1.5980762113533158E-2</v>
      </c>
      <c r="AM3" s="2">
        <f t="shared" ref="AM3:AM9" si="5">AVERAGE(B3:AG3)</f>
        <v>0.01</v>
      </c>
      <c r="AN3" s="2">
        <f t="shared" ref="AN3:AN9" si="6">AM3+1.5*AI3</f>
        <v>3.5980762113533162E-2</v>
      </c>
      <c r="AO3" s="2">
        <f t="shared" ref="AO3:AO9" si="7">MAX(B3:AG3)</f>
        <v>0.04</v>
      </c>
    </row>
    <row r="4" spans="1:41" x14ac:dyDescent="0.25">
      <c r="A4" s="1">
        <f t="shared" ref="A4:A9" si="8">A3+1</f>
        <v>2</v>
      </c>
      <c r="B4" s="2"/>
      <c r="C4" s="2"/>
      <c r="D4" s="2"/>
      <c r="E4" s="2">
        <v>0</v>
      </c>
      <c r="F4" s="2">
        <v>0</v>
      </c>
      <c r="G4" s="2">
        <v>0.01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0.09</v>
      </c>
      <c r="AB4" s="2"/>
      <c r="AC4" s="2">
        <v>0.09</v>
      </c>
      <c r="AD4" s="2"/>
      <c r="AE4" s="2">
        <v>0</v>
      </c>
      <c r="AF4" s="2">
        <v>0</v>
      </c>
      <c r="AG4" s="2"/>
      <c r="AH4" s="11">
        <f>Summary!E8</f>
        <v>10.7</v>
      </c>
      <c r="AI4" s="2">
        <f t="shared" si="1"/>
        <v>4.3094580368566726E-2</v>
      </c>
      <c r="AJ4" s="14">
        <f t="shared" si="2"/>
        <v>4.027530875566984E-3</v>
      </c>
      <c r="AK4" s="2">
        <f t="shared" si="3"/>
        <v>0</v>
      </c>
      <c r="AL4" s="2">
        <f t="shared" si="4"/>
        <v>-3.7499013409992947E-2</v>
      </c>
      <c r="AM4" s="2">
        <f t="shared" si="5"/>
        <v>2.7142857142857142E-2</v>
      </c>
      <c r="AN4" s="2">
        <f t="shared" si="6"/>
        <v>9.1784727695707224E-2</v>
      </c>
      <c r="AO4" s="2">
        <f t="shared" si="7"/>
        <v>0.09</v>
      </c>
    </row>
    <row r="5" spans="1:41" x14ac:dyDescent="0.25">
      <c r="A5" s="1">
        <f t="shared" si="8"/>
        <v>3</v>
      </c>
      <c r="B5" s="2"/>
      <c r="C5" s="2"/>
      <c r="D5" s="2"/>
      <c r="E5" s="2">
        <v>0</v>
      </c>
      <c r="F5" s="2">
        <v>0</v>
      </c>
      <c r="G5" s="2">
        <v>0.02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0.13</v>
      </c>
      <c r="AB5" s="2"/>
      <c r="AC5" s="2">
        <v>0.1</v>
      </c>
      <c r="AD5" s="2"/>
      <c r="AE5" s="2">
        <v>0.01</v>
      </c>
      <c r="AF5" s="2">
        <v>0</v>
      </c>
      <c r="AG5" s="2"/>
      <c r="AH5" s="11">
        <f>Summary!E9</f>
        <v>12.5</v>
      </c>
      <c r="AI5" s="2">
        <f t="shared" si="1"/>
        <v>5.4379618030497949E-2</v>
      </c>
      <c r="AJ5" s="14">
        <f t="shared" si="2"/>
        <v>4.3503694424398363E-3</v>
      </c>
      <c r="AK5" s="2">
        <f t="shared" si="3"/>
        <v>0</v>
      </c>
      <c r="AL5" s="2">
        <f t="shared" si="4"/>
        <v>-4.4426569902889776E-2</v>
      </c>
      <c r="AM5" s="2">
        <f t="shared" si="5"/>
        <v>3.7142857142857144E-2</v>
      </c>
      <c r="AN5" s="2">
        <f t="shared" si="6"/>
        <v>0.11871228418860406</v>
      </c>
      <c r="AO5" s="2">
        <f t="shared" si="7"/>
        <v>0.13</v>
      </c>
    </row>
    <row r="6" spans="1:41" x14ac:dyDescent="0.25">
      <c r="A6" s="1">
        <f t="shared" si="8"/>
        <v>4</v>
      </c>
      <c r="B6" s="2"/>
      <c r="C6" s="2"/>
      <c r="D6" s="2"/>
      <c r="E6" s="2">
        <v>0.01</v>
      </c>
      <c r="F6" s="2">
        <v>0</v>
      </c>
      <c r="G6" s="2">
        <v>0.02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0.16</v>
      </c>
      <c r="AB6" s="2"/>
      <c r="AC6" s="2">
        <v>0.12</v>
      </c>
      <c r="AD6" s="2"/>
      <c r="AE6" s="2">
        <v>0.01</v>
      </c>
      <c r="AF6" s="2">
        <v>0</v>
      </c>
      <c r="AG6" s="2"/>
      <c r="AH6" s="11">
        <f>Summary!E10</f>
        <v>14.3</v>
      </c>
      <c r="AI6" s="2">
        <f t="shared" si="1"/>
        <v>6.5791879655254029E-2</v>
      </c>
      <c r="AJ6" s="14">
        <f t="shared" si="2"/>
        <v>4.6008307451226591E-3</v>
      </c>
      <c r="AK6" s="2">
        <f t="shared" si="3"/>
        <v>0</v>
      </c>
      <c r="AL6" s="2">
        <f t="shared" si="4"/>
        <v>-5.2973533768595336E-2</v>
      </c>
      <c r="AM6" s="2">
        <f t="shared" si="5"/>
        <v>4.5714285714285714E-2</v>
      </c>
      <c r="AN6" s="2">
        <f t="shared" si="6"/>
        <v>0.14440210519716676</v>
      </c>
      <c r="AO6" s="2">
        <f t="shared" si="7"/>
        <v>0.16</v>
      </c>
    </row>
    <row r="7" spans="1:41" x14ac:dyDescent="0.25">
      <c r="A7" s="1">
        <f t="shared" si="8"/>
        <v>5</v>
      </c>
      <c r="B7" s="2"/>
      <c r="C7" s="2"/>
      <c r="D7" s="2"/>
      <c r="E7" s="2">
        <v>0.01</v>
      </c>
      <c r="F7" s="2">
        <v>0.01</v>
      </c>
      <c r="G7" s="2">
        <v>0.02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0.18</v>
      </c>
      <c r="AB7" s="2"/>
      <c r="AC7" s="2">
        <v>0.13</v>
      </c>
      <c r="AD7" s="2"/>
      <c r="AE7" s="2">
        <v>0.01</v>
      </c>
      <c r="AF7" s="2">
        <v>0</v>
      </c>
      <c r="AG7" s="2"/>
      <c r="AH7" s="11">
        <f>Summary!E11</f>
        <v>15</v>
      </c>
      <c r="AI7" s="2">
        <f t="shared" si="1"/>
        <v>7.2440451735332576E-2</v>
      </c>
      <c r="AJ7" s="14">
        <f t="shared" si="2"/>
        <v>4.8293634490221716E-3</v>
      </c>
      <c r="AK7" s="2">
        <f t="shared" si="3"/>
        <v>0</v>
      </c>
      <c r="AL7" s="2">
        <f t="shared" si="4"/>
        <v>-5.7232106174427429E-2</v>
      </c>
      <c r="AM7" s="2">
        <f t="shared" si="5"/>
        <v>5.1428571428571428E-2</v>
      </c>
      <c r="AN7" s="2">
        <f t="shared" si="6"/>
        <v>0.16008924903157029</v>
      </c>
      <c r="AO7" s="2">
        <f t="shared" si="7"/>
        <v>0.18</v>
      </c>
    </row>
    <row r="8" spans="1:41" x14ac:dyDescent="0.25">
      <c r="A8" s="1">
        <f t="shared" si="8"/>
        <v>6</v>
      </c>
      <c r="B8" s="2"/>
      <c r="C8" s="2"/>
      <c r="D8" s="2"/>
      <c r="E8" s="2">
        <v>0.01</v>
      </c>
      <c r="F8" s="2">
        <v>0.01</v>
      </c>
      <c r="G8" s="2">
        <v>0.03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0.25</v>
      </c>
      <c r="AB8" s="2"/>
      <c r="AC8" s="2">
        <v>0.14000000000000001</v>
      </c>
      <c r="AD8" s="2"/>
      <c r="AE8" s="2">
        <v>0.02</v>
      </c>
      <c r="AF8" s="2">
        <v>0</v>
      </c>
      <c r="AG8" s="2"/>
      <c r="AH8" s="11">
        <f>Summary!E12</f>
        <v>17.5</v>
      </c>
      <c r="AI8" s="2">
        <f t="shared" si="1"/>
        <v>9.4314569899025133E-2</v>
      </c>
      <c r="AJ8" s="14">
        <f t="shared" si="2"/>
        <v>5.3894039942300074E-3</v>
      </c>
      <c r="AK8" s="2">
        <f t="shared" si="3"/>
        <v>0</v>
      </c>
      <c r="AL8" s="2">
        <f t="shared" si="4"/>
        <v>-7.5757569134251981E-2</v>
      </c>
      <c r="AM8" s="2">
        <f t="shared" si="5"/>
        <v>6.5714285714285711E-2</v>
      </c>
      <c r="AN8" s="2">
        <f t="shared" si="6"/>
        <v>0.20718614056282342</v>
      </c>
      <c r="AO8" s="2">
        <f t="shared" si="7"/>
        <v>0.25</v>
      </c>
    </row>
    <row r="9" spans="1:41" x14ac:dyDescent="0.25">
      <c r="A9" s="1">
        <f t="shared" si="8"/>
        <v>7</v>
      </c>
      <c r="B9" s="2"/>
      <c r="C9" s="2"/>
      <c r="D9" s="2"/>
      <c r="E9" s="2">
        <v>0.02</v>
      </c>
      <c r="F9" s="2">
        <v>0.01</v>
      </c>
      <c r="G9" s="2">
        <v>0.03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0.33</v>
      </c>
      <c r="AB9" s="2"/>
      <c r="AC9" s="2">
        <v>0.17</v>
      </c>
      <c r="AD9" s="2"/>
      <c r="AE9" s="2">
        <v>0.02</v>
      </c>
      <c r="AF9" s="2">
        <v>0</v>
      </c>
      <c r="AG9" s="2"/>
      <c r="AH9" s="11">
        <f>Summary!E13</f>
        <v>20</v>
      </c>
      <c r="AI9" s="2">
        <f t="shared" si="1"/>
        <v>0.12351980754981308</v>
      </c>
      <c r="AJ9" s="14">
        <f t="shared" si="2"/>
        <v>6.1759903774906543E-3</v>
      </c>
      <c r="AK9" s="2">
        <f t="shared" si="3"/>
        <v>0</v>
      </c>
      <c r="AL9" s="2">
        <f t="shared" si="4"/>
        <v>-0.10242256846757676</v>
      </c>
      <c r="AM9" s="2">
        <f t="shared" si="5"/>
        <v>8.2857142857142865E-2</v>
      </c>
      <c r="AN9" s="2">
        <f t="shared" si="6"/>
        <v>0.26813685418186251</v>
      </c>
      <c r="AO9" s="2">
        <f t="shared" si="7"/>
        <v>0.33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9"/>
  <sheetViews>
    <sheetView zoomScale="80" zoomScaleNormal="80" workbookViewId="0">
      <selection activeCell="E2" sqref="E2:E9"/>
    </sheetView>
  </sheetViews>
  <sheetFormatPr defaultRowHeight="15" x14ac:dyDescent="0.25"/>
  <cols>
    <col min="1" max="1" width="2" style="1" bestFit="1" customWidth="1"/>
    <col min="2" max="17" width="6" style="1" bestFit="1" customWidth="1"/>
    <col min="18" max="41" width="6" style="1" customWidth="1"/>
    <col min="42" max="16384" width="9.140625" style="1"/>
  </cols>
  <sheetData>
    <row r="1" spans="1:41" x14ac:dyDescent="0.25"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6</v>
      </c>
      <c r="AI1" s="1" t="s">
        <v>3</v>
      </c>
      <c r="AJ1" s="1" t="s">
        <v>23</v>
      </c>
      <c r="AK1" s="1" t="s">
        <v>0</v>
      </c>
      <c r="AL1" s="3" t="s">
        <v>5</v>
      </c>
      <c r="AM1" s="1" t="s">
        <v>1</v>
      </c>
      <c r="AN1" s="3" t="s">
        <v>4</v>
      </c>
      <c r="AO1" s="1" t="s">
        <v>2</v>
      </c>
    </row>
    <row r="2" spans="1:41" x14ac:dyDescent="0.25">
      <c r="A2" s="1">
        <v>0</v>
      </c>
      <c r="B2" s="2"/>
      <c r="C2" s="2"/>
      <c r="D2" s="2"/>
      <c r="E2" s="2"/>
      <c r="F2" s="2">
        <v>0.56000000000000005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0.5</v>
      </c>
      <c r="AB2" s="2"/>
      <c r="AC2" s="2">
        <v>0.67</v>
      </c>
      <c r="AD2" s="2"/>
      <c r="AE2" s="2">
        <v>0.67</v>
      </c>
      <c r="AF2" s="2">
        <v>0.59</v>
      </c>
      <c r="AG2" s="2"/>
      <c r="AH2" s="11">
        <f>Summary!E6</f>
        <v>3.1535838981310325</v>
      </c>
      <c r="AI2" s="2">
        <f>STDEV(B2:AG2)</f>
        <v>7.3280283842245705E-2</v>
      </c>
      <c r="AJ2" s="14">
        <f>AI2/AH2</f>
        <v>2.3237144217306275E-2</v>
      </c>
      <c r="AK2" s="2">
        <f>MIN(B2:AG2)</f>
        <v>0.5</v>
      </c>
      <c r="AL2" s="2">
        <f>AM2-1.5*AI2</f>
        <v>0.4880795742366314</v>
      </c>
      <c r="AM2" s="2">
        <f>AVERAGE(B2:AG2)</f>
        <v>0.59799999999999998</v>
      </c>
      <c r="AN2" s="2">
        <f>AM2+1.5*AI2</f>
        <v>0.70792042576336855</v>
      </c>
      <c r="AO2" s="2">
        <f>MAX(B2:AG2)</f>
        <v>0.67</v>
      </c>
    </row>
    <row r="3" spans="1:41" x14ac:dyDescent="0.25">
      <c r="A3" s="1">
        <f>A2+1</f>
        <v>1</v>
      </c>
      <c r="B3" s="2"/>
      <c r="C3" s="2"/>
      <c r="D3" s="2"/>
      <c r="E3" s="2"/>
      <c r="F3" s="2">
        <v>1.67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1.61</v>
      </c>
      <c r="AB3" s="2"/>
      <c r="AC3" s="2">
        <v>1.89</v>
      </c>
      <c r="AD3" s="2"/>
      <c r="AE3" s="2">
        <v>2.04</v>
      </c>
      <c r="AF3" s="2">
        <v>1.74</v>
      </c>
      <c r="AG3" s="2"/>
      <c r="AH3" s="11">
        <f>Summary!E7</f>
        <v>6.9815567878414448</v>
      </c>
      <c r="AI3" s="2">
        <f t="shared" ref="AI3:AI9" si="1">STDEV(B3:AG3)</f>
        <v>0.17449928366615147</v>
      </c>
      <c r="AJ3" s="14">
        <f t="shared" ref="AJ3:AJ9" si="2">AI3/AH3</f>
        <v>2.4994322751917784E-2</v>
      </c>
      <c r="AK3" s="2">
        <f t="shared" ref="AK3:AK9" si="3">MIN(B3:AG3)</f>
        <v>1.61</v>
      </c>
      <c r="AL3" s="2">
        <f t="shared" ref="AL3:AL9" si="4">AM3-1.5*AI3</f>
        <v>1.5282510745007727</v>
      </c>
      <c r="AM3" s="2">
        <f t="shared" ref="AM3:AM9" si="5">AVERAGE(B3:AG3)</f>
        <v>1.7899999999999998</v>
      </c>
      <c r="AN3" s="2">
        <f t="shared" ref="AN3:AN9" si="6">AM3+1.5*AI3</f>
        <v>2.0517489254992269</v>
      </c>
      <c r="AO3" s="2">
        <f t="shared" ref="AO3:AO9" si="7">MAX(B3:AG3)</f>
        <v>2.04</v>
      </c>
    </row>
    <row r="4" spans="1:41" x14ac:dyDescent="0.25">
      <c r="A4" s="1">
        <f t="shared" ref="A4:A9" si="8">A3+1</f>
        <v>2</v>
      </c>
      <c r="B4" s="2"/>
      <c r="C4" s="2"/>
      <c r="D4" s="2"/>
      <c r="E4" s="2"/>
      <c r="F4" s="2">
        <v>2.7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2.66</v>
      </c>
      <c r="AB4" s="2"/>
      <c r="AC4" s="2">
        <v>3.01</v>
      </c>
      <c r="AD4" s="2"/>
      <c r="AE4" s="2">
        <v>3.3</v>
      </c>
      <c r="AF4" s="2">
        <v>2.81</v>
      </c>
      <c r="AG4" s="2"/>
      <c r="AH4" s="11">
        <f>Summary!E8</f>
        <v>10.7</v>
      </c>
      <c r="AI4" s="2">
        <f t="shared" si="1"/>
        <v>0.2634957305156953</v>
      </c>
      <c r="AJ4" s="14">
        <f t="shared" si="2"/>
        <v>2.4625769207074329E-2</v>
      </c>
      <c r="AK4" s="2">
        <f t="shared" si="3"/>
        <v>2.66</v>
      </c>
      <c r="AL4" s="2">
        <f t="shared" si="4"/>
        <v>2.5007564042264576</v>
      </c>
      <c r="AM4" s="2">
        <f t="shared" si="5"/>
        <v>2.8960000000000004</v>
      </c>
      <c r="AN4" s="2">
        <f t="shared" si="6"/>
        <v>3.2912435957735431</v>
      </c>
      <c r="AO4" s="2">
        <f t="shared" si="7"/>
        <v>3.3</v>
      </c>
    </row>
    <row r="5" spans="1:41" x14ac:dyDescent="0.25">
      <c r="A5" s="1">
        <f t="shared" si="8"/>
        <v>3</v>
      </c>
      <c r="B5" s="2"/>
      <c r="C5" s="2"/>
      <c r="D5" s="2"/>
      <c r="E5" s="2"/>
      <c r="F5" s="2">
        <v>3.25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3.2</v>
      </c>
      <c r="AB5" s="2"/>
      <c r="AC5" s="2">
        <v>3.57</v>
      </c>
      <c r="AD5" s="2"/>
      <c r="AE5" s="2">
        <v>3.96</v>
      </c>
      <c r="AF5" s="2">
        <v>3.27</v>
      </c>
      <c r="AG5" s="2"/>
      <c r="AH5" s="11">
        <f>Summary!E9</f>
        <v>12.5</v>
      </c>
      <c r="AI5" s="2">
        <f t="shared" si="1"/>
        <v>0.31992186546092777</v>
      </c>
      <c r="AJ5" s="14">
        <f t="shared" si="2"/>
        <v>2.5593749236874221E-2</v>
      </c>
      <c r="AK5" s="2">
        <f t="shared" si="3"/>
        <v>3.2</v>
      </c>
      <c r="AL5" s="2">
        <f t="shared" si="4"/>
        <v>2.9701172018086086</v>
      </c>
      <c r="AM5" s="2">
        <f t="shared" si="5"/>
        <v>3.45</v>
      </c>
      <c r="AN5" s="2">
        <f t="shared" si="6"/>
        <v>3.9298827981913917</v>
      </c>
      <c r="AO5" s="2">
        <f t="shared" si="7"/>
        <v>3.96</v>
      </c>
    </row>
    <row r="6" spans="1:41" x14ac:dyDescent="0.25">
      <c r="A6" s="1">
        <f t="shared" si="8"/>
        <v>4</v>
      </c>
      <c r="B6" s="2"/>
      <c r="C6" s="2"/>
      <c r="D6" s="2"/>
      <c r="E6" s="2"/>
      <c r="F6" s="2">
        <v>3.75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3.74</v>
      </c>
      <c r="AB6" s="2"/>
      <c r="AC6" s="2">
        <v>4.16</v>
      </c>
      <c r="AD6" s="2"/>
      <c r="AE6" s="2">
        <v>4.58</v>
      </c>
      <c r="AF6" s="2">
        <v>3.88</v>
      </c>
      <c r="AG6" s="2"/>
      <c r="AH6" s="11">
        <f>Summary!E10</f>
        <v>14.3</v>
      </c>
      <c r="AI6" s="2">
        <f t="shared" si="1"/>
        <v>0.3549929576766277</v>
      </c>
      <c r="AJ6" s="14">
        <f t="shared" si="2"/>
        <v>2.4824682355008929E-2</v>
      </c>
      <c r="AK6" s="2">
        <f t="shared" si="3"/>
        <v>3.74</v>
      </c>
      <c r="AL6" s="2">
        <f t="shared" si="4"/>
        <v>3.4895105634850587</v>
      </c>
      <c r="AM6" s="2">
        <f t="shared" si="5"/>
        <v>4.0220000000000002</v>
      </c>
      <c r="AN6" s="2">
        <f t="shared" si="6"/>
        <v>4.5544894365149418</v>
      </c>
      <c r="AO6" s="2">
        <f t="shared" si="7"/>
        <v>4.58</v>
      </c>
    </row>
    <row r="7" spans="1:41" x14ac:dyDescent="0.25">
      <c r="A7" s="1">
        <f t="shared" si="8"/>
        <v>5</v>
      </c>
      <c r="B7" s="2"/>
      <c r="C7" s="2"/>
      <c r="D7" s="2"/>
      <c r="E7" s="2"/>
      <c r="F7" s="2">
        <v>3.99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3.94</v>
      </c>
      <c r="AB7" s="2"/>
      <c r="AC7" s="2">
        <v>4.4000000000000004</v>
      </c>
      <c r="AD7" s="2"/>
      <c r="AE7" s="2">
        <v>4.8099999999999996</v>
      </c>
      <c r="AF7" s="2">
        <v>4.07</v>
      </c>
      <c r="AG7" s="2"/>
      <c r="AH7" s="11">
        <f>Summary!E11</f>
        <v>15</v>
      </c>
      <c r="AI7" s="2">
        <f t="shared" si="1"/>
        <v>0.36465051761926776</v>
      </c>
      <c r="AJ7" s="14">
        <f t="shared" si="2"/>
        <v>2.4310034507951182E-2</v>
      </c>
      <c r="AK7" s="2">
        <f t="shared" si="3"/>
        <v>3.94</v>
      </c>
      <c r="AL7" s="2">
        <f t="shared" si="4"/>
        <v>3.6950242235710986</v>
      </c>
      <c r="AM7" s="2">
        <f t="shared" si="5"/>
        <v>4.242</v>
      </c>
      <c r="AN7" s="2">
        <f t="shared" si="6"/>
        <v>4.7889757764289014</v>
      </c>
      <c r="AO7" s="2">
        <f t="shared" si="7"/>
        <v>4.8099999999999996</v>
      </c>
    </row>
    <row r="8" spans="1:41" x14ac:dyDescent="0.25">
      <c r="A8" s="1">
        <f t="shared" si="8"/>
        <v>6</v>
      </c>
      <c r="B8" s="2"/>
      <c r="C8" s="2"/>
      <c r="D8" s="2"/>
      <c r="E8" s="2"/>
      <c r="F8" s="2">
        <v>4.6500000000000004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4.67</v>
      </c>
      <c r="AB8" s="2"/>
      <c r="AC8" s="2">
        <v>5.01</v>
      </c>
      <c r="AD8" s="2"/>
      <c r="AE8" s="2">
        <v>5.64</v>
      </c>
      <c r="AF8" s="2">
        <v>4.79</v>
      </c>
      <c r="AG8" s="2"/>
      <c r="AH8" s="11">
        <f>Summary!E12</f>
        <v>17.5</v>
      </c>
      <c r="AI8" s="2">
        <f t="shared" si="1"/>
        <v>0.41039005835911746</v>
      </c>
      <c r="AJ8" s="14">
        <f t="shared" si="2"/>
        <v>2.3450860477663853E-2</v>
      </c>
      <c r="AK8" s="2">
        <f t="shared" si="3"/>
        <v>4.6500000000000004</v>
      </c>
      <c r="AL8" s="2">
        <f t="shared" si="4"/>
        <v>4.3364149124613238</v>
      </c>
      <c r="AM8" s="2">
        <f t="shared" si="5"/>
        <v>4.952</v>
      </c>
      <c r="AN8" s="2">
        <f t="shared" si="6"/>
        <v>5.5675850875386761</v>
      </c>
      <c r="AO8" s="2">
        <f t="shared" si="7"/>
        <v>5.64</v>
      </c>
    </row>
    <row r="9" spans="1:41" x14ac:dyDescent="0.25">
      <c r="A9" s="1">
        <f t="shared" si="8"/>
        <v>7</v>
      </c>
      <c r="B9" s="2"/>
      <c r="C9" s="2"/>
      <c r="D9" s="2"/>
      <c r="E9" s="2"/>
      <c r="F9" s="2">
        <v>5.29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5.33</v>
      </c>
      <c r="AB9" s="2"/>
      <c r="AC9" s="2">
        <v>5.73</v>
      </c>
      <c r="AD9" s="2"/>
      <c r="AE9" s="2">
        <v>6.45</v>
      </c>
      <c r="AF9" s="2">
        <v>5.32</v>
      </c>
      <c r="AG9" s="2"/>
      <c r="AH9" s="11">
        <f>Summary!E13</f>
        <v>20</v>
      </c>
      <c r="AI9" s="2">
        <f t="shared" si="1"/>
        <v>0.49596370834971387</v>
      </c>
      <c r="AJ9" s="14">
        <f t="shared" si="2"/>
        <v>2.4798185417485692E-2</v>
      </c>
      <c r="AK9" s="2">
        <f t="shared" si="3"/>
        <v>5.29</v>
      </c>
      <c r="AL9" s="2">
        <f t="shared" si="4"/>
        <v>4.8800544374754296</v>
      </c>
      <c r="AM9" s="2">
        <f t="shared" si="5"/>
        <v>5.6240000000000006</v>
      </c>
      <c r="AN9" s="2">
        <f t="shared" si="6"/>
        <v>6.3679455625245716</v>
      </c>
      <c r="AO9" s="2">
        <f t="shared" si="7"/>
        <v>6.45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"/>
  <sheetViews>
    <sheetView zoomScale="70" zoomScaleNormal="70" workbookViewId="0">
      <selection activeCell="U7" sqref="U7"/>
    </sheetView>
  </sheetViews>
  <sheetFormatPr defaultRowHeight="15" x14ac:dyDescent="0.25"/>
  <cols>
    <col min="1" max="1" width="2" style="1" bestFit="1" customWidth="1"/>
    <col min="2" max="17" width="6" style="1" bestFit="1" customWidth="1"/>
    <col min="18" max="41" width="6" style="1" customWidth="1"/>
    <col min="42" max="16384" width="9.140625" style="1"/>
  </cols>
  <sheetData>
    <row r="1" spans="1:41" x14ac:dyDescent="0.25"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6</v>
      </c>
      <c r="AI1" s="1" t="s">
        <v>3</v>
      </c>
      <c r="AJ1" s="1" t="s">
        <v>23</v>
      </c>
      <c r="AK1" s="1" t="s">
        <v>0</v>
      </c>
      <c r="AL1" s="3" t="s">
        <v>5</v>
      </c>
      <c r="AM1" s="1" t="s">
        <v>1</v>
      </c>
      <c r="AN1" s="3" t="s">
        <v>4</v>
      </c>
      <c r="AO1" s="1" t="s">
        <v>2</v>
      </c>
    </row>
    <row r="2" spans="1:41" x14ac:dyDescent="0.25">
      <c r="A2" s="1">
        <v>0</v>
      </c>
      <c r="B2" s="2"/>
      <c r="C2" s="2"/>
      <c r="D2" s="2"/>
      <c r="E2" s="2"/>
      <c r="F2" s="2">
        <v>0.92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0.44</v>
      </c>
      <c r="AB2" s="2"/>
      <c r="AC2" s="2">
        <v>0.96</v>
      </c>
      <c r="AD2" s="2"/>
      <c r="AE2" s="2">
        <v>0.9</v>
      </c>
      <c r="AF2" s="2"/>
      <c r="AG2" s="2"/>
      <c r="AH2" s="11">
        <f>Summary!E6</f>
        <v>3.1535838981310325</v>
      </c>
      <c r="AI2" s="2">
        <f>STDEV(B2:AG2)</f>
        <v>0.24460853078609773</v>
      </c>
      <c r="AJ2" s="14">
        <f>AI2/AH2</f>
        <v>7.7565252324843709E-2</v>
      </c>
      <c r="AK2" s="2">
        <f>MIN(B2:AG2)</f>
        <v>0.44</v>
      </c>
      <c r="AL2" s="2">
        <f>AM2-1.5*AI2</f>
        <v>0.43808720382085342</v>
      </c>
      <c r="AM2" s="2">
        <f>AVERAGE(B2:AG2)</f>
        <v>0.80500000000000005</v>
      </c>
      <c r="AN2" s="2">
        <f>AM2+1.5*AI2</f>
        <v>1.1719127961791467</v>
      </c>
      <c r="AO2" s="2">
        <f>MAX(B2:AG2)</f>
        <v>0.96</v>
      </c>
    </row>
    <row r="3" spans="1:41" x14ac:dyDescent="0.25">
      <c r="A3" s="1">
        <f>A2+1</f>
        <v>1</v>
      </c>
      <c r="B3" s="2"/>
      <c r="C3" s="2"/>
      <c r="D3" s="2"/>
      <c r="E3" s="2"/>
      <c r="F3" s="2">
        <v>2.74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1.38</v>
      </c>
      <c r="AB3" s="2"/>
      <c r="AC3" s="2">
        <v>2.64</v>
      </c>
      <c r="AD3" s="2"/>
      <c r="AE3" s="2">
        <v>2.7</v>
      </c>
      <c r="AF3" s="2"/>
      <c r="AG3" s="2"/>
      <c r="AH3" s="11">
        <f>Summary!E7</f>
        <v>6.9815567878414448</v>
      </c>
      <c r="AI3" s="2">
        <f t="shared" ref="AI3:AI9" si="1">STDEV(B3:AG3)</f>
        <v>0.6579513659838393</v>
      </c>
      <c r="AJ3" s="14">
        <f t="shared" ref="AJ3:AJ9" si="2">AI3/AH3</f>
        <v>9.4241354181875028E-2</v>
      </c>
      <c r="AK3" s="2">
        <f t="shared" ref="AK3:AK9" si="3">MIN(B3:AG3)</f>
        <v>1.38</v>
      </c>
      <c r="AL3" s="2">
        <f t="shared" ref="AL3:AL9" si="4">AM3-1.5*AI3</f>
        <v>1.3780729510242413</v>
      </c>
      <c r="AM3" s="2">
        <f t="shared" ref="AM3:AM9" si="5">AVERAGE(B3:AG3)</f>
        <v>2.3650000000000002</v>
      </c>
      <c r="AN3" s="2">
        <f t="shared" ref="AN3:AN9" si="6">AM3+1.5*AI3</f>
        <v>3.3519270489757593</v>
      </c>
      <c r="AO3" s="2">
        <f t="shared" ref="AO3:AO9" si="7">MAX(B3:AG3)</f>
        <v>2.74</v>
      </c>
    </row>
    <row r="4" spans="1:41" x14ac:dyDescent="0.25">
      <c r="A4" s="1">
        <f t="shared" ref="A4:A9" si="8">A3+1</f>
        <v>2</v>
      </c>
      <c r="B4" s="2"/>
      <c r="C4" s="2"/>
      <c r="D4" s="2"/>
      <c r="E4" s="2"/>
      <c r="F4" s="2">
        <v>4.41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2.27</v>
      </c>
      <c r="AB4" s="2"/>
      <c r="AC4" s="2">
        <v>4.28</v>
      </c>
      <c r="AD4" s="2"/>
      <c r="AE4" s="2">
        <v>4.41</v>
      </c>
      <c r="AF4" s="2"/>
      <c r="AG4" s="2"/>
      <c r="AH4" s="11">
        <f>Summary!E8</f>
        <v>10.7</v>
      </c>
      <c r="AI4" s="2">
        <f t="shared" si="1"/>
        <v>1.0501230086677129</v>
      </c>
      <c r="AJ4" s="14">
        <f t="shared" si="2"/>
        <v>9.8142337258664766E-2</v>
      </c>
      <c r="AK4" s="2">
        <f t="shared" si="3"/>
        <v>2.27</v>
      </c>
      <c r="AL4" s="2">
        <f t="shared" si="4"/>
        <v>2.2673154869984309</v>
      </c>
      <c r="AM4" s="2">
        <f t="shared" si="5"/>
        <v>3.8425000000000002</v>
      </c>
      <c r="AN4" s="2">
        <f t="shared" si="6"/>
        <v>5.4176845130015696</v>
      </c>
      <c r="AO4" s="2">
        <f t="shared" si="7"/>
        <v>4.41</v>
      </c>
    </row>
    <row r="5" spans="1:41" x14ac:dyDescent="0.25">
      <c r="A5" s="1">
        <f t="shared" si="8"/>
        <v>3</v>
      </c>
      <c r="B5" s="2"/>
      <c r="C5" s="2"/>
      <c r="D5" s="2"/>
      <c r="E5" s="2"/>
      <c r="F5" s="2">
        <v>5.23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2.7</v>
      </c>
      <c r="AB5" s="2"/>
      <c r="AC5" s="2">
        <v>4.9800000000000004</v>
      </c>
      <c r="AD5" s="2"/>
      <c r="AE5" s="2">
        <v>5.24</v>
      </c>
      <c r="AF5" s="2"/>
      <c r="AG5" s="2"/>
      <c r="AH5" s="11">
        <f>Summary!E9</f>
        <v>12.5</v>
      </c>
      <c r="AI5" s="2">
        <f t="shared" si="1"/>
        <v>1.2308905989837897</v>
      </c>
      <c r="AJ5" s="14">
        <f t="shared" si="2"/>
        <v>9.8471247918703181E-2</v>
      </c>
      <c r="AK5" s="2">
        <f t="shared" si="3"/>
        <v>2.7</v>
      </c>
      <c r="AL5" s="2">
        <f t="shared" si="4"/>
        <v>2.6911641015243148</v>
      </c>
      <c r="AM5" s="2">
        <f t="shared" si="5"/>
        <v>4.5374999999999996</v>
      </c>
      <c r="AN5" s="2">
        <f t="shared" si="6"/>
        <v>6.3838358984756844</v>
      </c>
      <c r="AO5" s="2">
        <f t="shared" si="7"/>
        <v>5.24</v>
      </c>
    </row>
    <row r="6" spans="1:41" x14ac:dyDescent="0.25">
      <c r="A6" s="1">
        <f t="shared" si="8"/>
        <v>4</v>
      </c>
      <c r="B6" s="2"/>
      <c r="C6" s="2"/>
      <c r="D6" s="2"/>
      <c r="E6" s="2"/>
      <c r="F6" s="2">
        <v>6.02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3.16</v>
      </c>
      <c r="AB6" s="2"/>
      <c r="AC6" s="2">
        <v>5.78</v>
      </c>
      <c r="AD6" s="2"/>
      <c r="AE6" s="2">
        <v>6.04</v>
      </c>
      <c r="AF6" s="2"/>
      <c r="AG6" s="2"/>
      <c r="AH6" s="11">
        <f>Summary!E10</f>
        <v>14.3</v>
      </c>
      <c r="AI6" s="2">
        <f t="shared" si="1"/>
        <v>1.3983323400870529</v>
      </c>
      <c r="AJ6" s="14">
        <f t="shared" si="2"/>
        <v>9.7785478327765935E-2</v>
      </c>
      <c r="AK6" s="2">
        <f t="shared" si="3"/>
        <v>3.16</v>
      </c>
      <c r="AL6" s="2">
        <f t="shared" si="4"/>
        <v>3.1525014898694206</v>
      </c>
      <c r="AM6" s="2">
        <f t="shared" si="5"/>
        <v>5.25</v>
      </c>
      <c r="AN6" s="2">
        <f t="shared" si="6"/>
        <v>7.3474985101305794</v>
      </c>
      <c r="AO6" s="2">
        <f t="shared" si="7"/>
        <v>6.04</v>
      </c>
    </row>
    <row r="7" spans="1:41" x14ac:dyDescent="0.25">
      <c r="A7" s="1">
        <f t="shared" si="8"/>
        <v>5</v>
      </c>
      <c r="B7" s="2"/>
      <c r="C7" s="2"/>
      <c r="D7" s="2"/>
      <c r="E7" s="2"/>
      <c r="F7" s="2">
        <v>6.4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3.35</v>
      </c>
      <c r="AB7" s="2"/>
      <c r="AC7" s="2">
        <v>6.11</v>
      </c>
      <c r="AD7" s="2"/>
      <c r="AE7" s="2">
        <v>6.4</v>
      </c>
      <c r="AF7" s="2"/>
      <c r="AG7" s="2"/>
      <c r="AH7" s="11">
        <f>Summary!E11</f>
        <v>15</v>
      </c>
      <c r="AI7" s="2">
        <f t="shared" si="1"/>
        <v>1.4829812316187094</v>
      </c>
      <c r="AJ7" s="14">
        <f t="shared" si="2"/>
        <v>9.8865415441247301E-2</v>
      </c>
      <c r="AK7" s="2">
        <f t="shared" si="3"/>
        <v>3.35</v>
      </c>
      <c r="AL7" s="2">
        <f t="shared" si="4"/>
        <v>3.3405281525719355</v>
      </c>
      <c r="AM7" s="2">
        <f t="shared" si="5"/>
        <v>5.5649999999999995</v>
      </c>
      <c r="AN7" s="2">
        <f t="shared" si="6"/>
        <v>7.7894718474280635</v>
      </c>
      <c r="AO7" s="2">
        <f t="shared" si="7"/>
        <v>6.4</v>
      </c>
    </row>
    <row r="8" spans="1:41" x14ac:dyDescent="0.25">
      <c r="A8" s="1">
        <f t="shared" si="8"/>
        <v>6</v>
      </c>
      <c r="B8" s="2"/>
      <c r="C8" s="2"/>
      <c r="D8" s="2"/>
      <c r="E8" s="2"/>
      <c r="F8" s="2">
        <v>7.56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3.94</v>
      </c>
      <c r="AB8" s="2"/>
      <c r="AC8" s="2">
        <v>7.13</v>
      </c>
      <c r="AD8" s="2"/>
      <c r="AE8" s="2">
        <v>7.55</v>
      </c>
      <c r="AF8" s="2"/>
      <c r="AG8" s="2"/>
      <c r="AH8" s="11">
        <f>Summary!E12</f>
        <v>17.5</v>
      </c>
      <c r="AI8" s="2">
        <f t="shared" si="1"/>
        <v>1.7481895396857472</v>
      </c>
      <c r="AJ8" s="14">
        <f t="shared" si="2"/>
        <v>9.9896545124899844E-2</v>
      </c>
      <c r="AK8" s="2">
        <f t="shared" si="3"/>
        <v>3.94</v>
      </c>
      <c r="AL8" s="2">
        <f t="shared" si="4"/>
        <v>3.9227156904713789</v>
      </c>
      <c r="AM8" s="2">
        <f t="shared" si="5"/>
        <v>6.5449999999999999</v>
      </c>
      <c r="AN8" s="2">
        <f t="shared" si="6"/>
        <v>9.1672843095286218</v>
      </c>
      <c r="AO8" s="2">
        <f t="shared" si="7"/>
        <v>7.56</v>
      </c>
    </row>
    <row r="9" spans="1:41" x14ac:dyDescent="0.25">
      <c r="A9" s="1">
        <f t="shared" si="8"/>
        <v>7</v>
      </c>
      <c r="B9" s="2"/>
      <c r="C9" s="2"/>
      <c r="D9" s="2"/>
      <c r="E9" s="2"/>
      <c r="F9" s="2">
        <v>8.6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4.49</v>
      </c>
      <c r="AB9" s="2"/>
      <c r="AC9" s="2">
        <v>8.2200000000000006</v>
      </c>
      <c r="AD9" s="2"/>
      <c r="AE9" s="2">
        <v>8.59</v>
      </c>
      <c r="AF9" s="2"/>
      <c r="AG9" s="2"/>
      <c r="AH9" s="11">
        <f>Summary!E13</f>
        <v>20</v>
      </c>
      <c r="AI9" s="2">
        <f t="shared" si="1"/>
        <v>1.9978405008074756</v>
      </c>
      <c r="AJ9" s="14">
        <f t="shared" si="2"/>
        <v>9.9892025040373783E-2</v>
      </c>
      <c r="AK9" s="2">
        <f t="shared" si="3"/>
        <v>4.49</v>
      </c>
      <c r="AL9" s="2">
        <f t="shared" si="4"/>
        <v>4.4782392487887872</v>
      </c>
      <c r="AM9" s="2">
        <f t="shared" si="5"/>
        <v>7.4750000000000005</v>
      </c>
      <c r="AN9" s="2">
        <f t="shared" si="6"/>
        <v>10.471760751211214</v>
      </c>
      <c r="AO9" s="2">
        <f t="shared" si="7"/>
        <v>8.6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9"/>
  <sheetViews>
    <sheetView zoomScale="80" zoomScaleNormal="80" workbookViewId="0">
      <selection activeCell="E2" sqref="E2:E9"/>
    </sheetView>
  </sheetViews>
  <sheetFormatPr defaultRowHeight="15" x14ac:dyDescent="0.25"/>
  <cols>
    <col min="1" max="1" width="2" style="1" bestFit="1" customWidth="1"/>
    <col min="2" max="17" width="6" style="1" bestFit="1" customWidth="1"/>
    <col min="18" max="41" width="6" style="1" customWidth="1"/>
    <col min="42" max="16384" width="9.140625" style="1"/>
  </cols>
  <sheetData>
    <row r="1" spans="1:41" x14ac:dyDescent="0.25"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6</v>
      </c>
      <c r="AI1" s="1" t="s">
        <v>3</v>
      </c>
      <c r="AJ1" s="1" t="s">
        <v>23</v>
      </c>
      <c r="AK1" s="1" t="s">
        <v>0</v>
      </c>
      <c r="AL1" s="3" t="s">
        <v>5</v>
      </c>
      <c r="AM1" s="1" t="s">
        <v>1</v>
      </c>
      <c r="AN1" s="3" t="s">
        <v>4</v>
      </c>
      <c r="AO1" s="1" t="s">
        <v>2</v>
      </c>
    </row>
    <row r="2" spans="1:41" x14ac:dyDescent="0.25">
      <c r="A2" s="1">
        <v>0</v>
      </c>
      <c r="B2" s="2"/>
      <c r="C2" s="2"/>
      <c r="D2" s="2"/>
      <c r="E2" s="2"/>
      <c r="F2" s="2">
        <v>0.52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0.41</v>
      </c>
      <c r="AB2" s="2"/>
      <c r="AC2" s="2">
        <v>0.55000000000000004</v>
      </c>
      <c r="AD2" s="2"/>
      <c r="AE2" s="2">
        <v>0.54</v>
      </c>
      <c r="AF2" s="2">
        <v>0.49</v>
      </c>
      <c r="AG2" s="2"/>
      <c r="AH2" s="11">
        <f>Summary!E6</f>
        <v>3.1535838981310325</v>
      </c>
      <c r="AI2" s="2">
        <f>STDEV(B2:AG2)</f>
        <v>5.6302753041037018E-2</v>
      </c>
      <c r="AJ2" s="14">
        <f>AI2/AH2</f>
        <v>1.7853577028473785E-2</v>
      </c>
      <c r="AK2" s="2">
        <f>MIN(B2:AG2)</f>
        <v>0.41</v>
      </c>
      <c r="AL2" s="2">
        <f>AM2-1.5*AI2</f>
        <v>0.41754587043844449</v>
      </c>
      <c r="AM2" s="2">
        <f>AVERAGE(B2:AG2)</f>
        <v>0.502</v>
      </c>
      <c r="AN2" s="2">
        <f>AM2+1.5*AI2</f>
        <v>0.58645412956155551</v>
      </c>
      <c r="AO2" s="2">
        <f>MAX(B2:AG2)</f>
        <v>0.55000000000000004</v>
      </c>
    </row>
    <row r="3" spans="1:41" x14ac:dyDescent="0.25">
      <c r="A3" s="1">
        <f>A2+1</f>
        <v>1</v>
      </c>
      <c r="B3" s="2"/>
      <c r="C3" s="2"/>
      <c r="D3" s="2"/>
      <c r="E3" s="2"/>
      <c r="F3" s="2">
        <v>1.54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1.29</v>
      </c>
      <c r="AB3" s="2"/>
      <c r="AC3" s="2">
        <v>1.49</v>
      </c>
      <c r="AD3" s="2"/>
      <c r="AE3" s="2">
        <v>1.61</v>
      </c>
      <c r="AF3" s="2">
        <v>1.44</v>
      </c>
      <c r="AG3" s="2"/>
      <c r="AH3" s="11">
        <f>Summary!E7</f>
        <v>6.9815567878414448</v>
      </c>
      <c r="AI3" s="2">
        <f t="shared" ref="AI3:AI9" si="1">STDEV(B3:AG3)</f>
        <v>0.12054044964243332</v>
      </c>
      <c r="AJ3" s="14">
        <f t="shared" ref="AJ3:AJ9" si="2">AI3/AH3</f>
        <v>1.7265554561177173E-2</v>
      </c>
      <c r="AK3" s="2">
        <f t="shared" ref="AK3:AK9" si="3">MIN(B3:AG3)</f>
        <v>1.29</v>
      </c>
      <c r="AL3" s="2">
        <f t="shared" ref="AL3:AL9" si="4">AM3-1.5*AI3</f>
        <v>1.2931893255363502</v>
      </c>
      <c r="AM3" s="2">
        <f t="shared" ref="AM3:AM9" si="5">AVERAGE(B3:AG3)</f>
        <v>1.4740000000000002</v>
      </c>
      <c r="AN3" s="2">
        <f t="shared" ref="AN3:AN9" si="6">AM3+1.5*AI3</f>
        <v>1.6548106744636502</v>
      </c>
      <c r="AO3" s="2">
        <f t="shared" ref="AO3:AO9" si="7">MAX(B3:AG3)</f>
        <v>1.61</v>
      </c>
    </row>
    <row r="4" spans="1:41" x14ac:dyDescent="0.25">
      <c r="A4" s="1">
        <f t="shared" ref="A4:A9" si="8">A3+1</f>
        <v>2</v>
      </c>
      <c r="B4" s="2"/>
      <c r="C4" s="2"/>
      <c r="D4" s="2"/>
      <c r="E4" s="2"/>
      <c r="F4" s="2">
        <v>2.5099999999999998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2.15</v>
      </c>
      <c r="AB4" s="2"/>
      <c r="AC4" s="2">
        <v>2.39</v>
      </c>
      <c r="AD4" s="2"/>
      <c r="AE4" s="2">
        <v>2.61</v>
      </c>
      <c r="AF4" s="2">
        <v>2.31</v>
      </c>
      <c r="AG4" s="2"/>
      <c r="AH4" s="11">
        <f>Summary!E8</f>
        <v>10.7</v>
      </c>
      <c r="AI4" s="2">
        <f t="shared" si="1"/>
        <v>0.17798876369029587</v>
      </c>
      <c r="AJ4" s="14">
        <f t="shared" si="2"/>
        <v>1.6634463896289333E-2</v>
      </c>
      <c r="AK4" s="2">
        <f t="shared" si="3"/>
        <v>2.15</v>
      </c>
      <c r="AL4" s="2">
        <f t="shared" si="4"/>
        <v>2.1270168544645562</v>
      </c>
      <c r="AM4" s="2">
        <f t="shared" si="5"/>
        <v>2.3940000000000001</v>
      </c>
      <c r="AN4" s="2">
        <f t="shared" si="6"/>
        <v>2.660983145535444</v>
      </c>
      <c r="AO4" s="2">
        <f t="shared" si="7"/>
        <v>2.61</v>
      </c>
    </row>
    <row r="5" spans="1:41" x14ac:dyDescent="0.25">
      <c r="A5" s="1">
        <f t="shared" si="8"/>
        <v>3</v>
      </c>
      <c r="B5" s="2"/>
      <c r="C5" s="2"/>
      <c r="D5" s="2"/>
      <c r="E5" s="2"/>
      <c r="F5" s="2">
        <v>2.99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2.58</v>
      </c>
      <c r="AB5" s="2"/>
      <c r="AC5" s="2">
        <v>2.85</v>
      </c>
      <c r="AD5" s="2"/>
      <c r="AE5" s="2">
        <v>3.15</v>
      </c>
      <c r="AF5" s="2">
        <v>2.71</v>
      </c>
      <c r="AG5" s="2"/>
      <c r="AH5" s="11">
        <f>Summary!E9</f>
        <v>12.5</v>
      </c>
      <c r="AI5" s="2">
        <f t="shared" si="1"/>
        <v>0.22467754671973789</v>
      </c>
      <c r="AJ5" s="14">
        <f t="shared" si="2"/>
        <v>1.797420373757903E-2</v>
      </c>
      <c r="AK5" s="2">
        <f t="shared" si="3"/>
        <v>2.58</v>
      </c>
      <c r="AL5" s="2">
        <f t="shared" si="4"/>
        <v>2.5189836799203933</v>
      </c>
      <c r="AM5" s="2">
        <f t="shared" si="5"/>
        <v>2.8560000000000003</v>
      </c>
      <c r="AN5" s="2">
        <f t="shared" si="6"/>
        <v>3.1930163200796073</v>
      </c>
      <c r="AO5" s="2">
        <f t="shared" si="7"/>
        <v>3.15</v>
      </c>
    </row>
    <row r="6" spans="1:41" x14ac:dyDescent="0.25">
      <c r="A6" s="1">
        <f t="shared" si="8"/>
        <v>4</v>
      </c>
      <c r="B6" s="2"/>
      <c r="C6" s="2"/>
      <c r="D6" s="2"/>
      <c r="E6" s="2"/>
      <c r="F6" s="2">
        <v>3.47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2.99</v>
      </c>
      <c r="AB6" s="2"/>
      <c r="AC6" s="2">
        <v>3.3</v>
      </c>
      <c r="AD6" s="2"/>
      <c r="AE6" s="2">
        <v>3.61</v>
      </c>
      <c r="AF6" s="2">
        <v>3.21</v>
      </c>
      <c r="AG6" s="2"/>
      <c r="AH6" s="11">
        <f>Summary!E10</f>
        <v>14.3</v>
      </c>
      <c r="AI6" s="2">
        <f t="shared" si="1"/>
        <v>0.23870483866063535</v>
      </c>
      <c r="AJ6" s="14">
        <f t="shared" si="2"/>
        <v>1.669264606018429E-2</v>
      </c>
      <c r="AK6" s="2">
        <f t="shared" si="3"/>
        <v>2.99</v>
      </c>
      <c r="AL6" s="2">
        <f t="shared" si="4"/>
        <v>2.9579427420090472</v>
      </c>
      <c r="AM6" s="2">
        <f t="shared" si="5"/>
        <v>3.3160000000000003</v>
      </c>
      <c r="AN6" s="2">
        <f t="shared" si="6"/>
        <v>3.6740572579909534</v>
      </c>
      <c r="AO6" s="2">
        <f t="shared" si="7"/>
        <v>3.61</v>
      </c>
    </row>
    <row r="7" spans="1:41" x14ac:dyDescent="0.25">
      <c r="A7" s="1">
        <f t="shared" si="8"/>
        <v>5</v>
      </c>
      <c r="B7" s="2"/>
      <c r="C7" s="2"/>
      <c r="D7" s="2"/>
      <c r="E7" s="2"/>
      <c r="F7" s="2">
        <v>3.69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3.16</v>
      </c>
      <c r="AB7" s="2"/>
      <c r="AC7" s="2">
        <v>3.51</v>
      </c>
      <c r="AD7" s="2"/>
      <c r="AE7" s="2">
        <v>3.83</v>
      </c>
      <c r="AF7" s="2">
        <v>3.36</v>
      </c>
      <c r="AG7" s="2"/>
      <c r="AH7" s="11">
        <f>Summary!E11</f>
        <v>15</v>
      </c>
      <c r="AI7" s="2">
        <f t="shared" si="1"/>
        <v>0.26448062310876386</v>
      </c>
      <c r="AJ7" s="14">
        <f t="shared" si="2"/>
        <v>1.7632041540584256E-2</v>
      </c>
      <c r="AK7" s="2">
        <f t="shared" si="3"/>
        <v>3.16</v>
      </c>
      <c r="AL7" s="2">
        <f t="shared" si="4"/>
        <v>3.1132790653368545</v>
      </c>
      <c r="AM7" s="2">
        <f t="shared" si="5"/>
        <v>3.5100000000000002</v>
      </c>
      <c r="AN7" s="2">
        <f t="shared" si="6"/>
        <v>3.906720934663146</v>
      </c>
      <c r="AO7" s="2">
        <f t="shared" si="7"/>
        <v>3.83</v>
      </c>
    </row>
    <row r="8" spans="1:41" x14ac:dyDescent="0.25">
      <c r="A8" s="1">
        <f t="shared" si="8"/>
        <v>6</v>
      </c>
      <c r="B8" s="2"/>
      <c r="C8" s="2"/>
      <c r="D8" s="2"/>
      <c r="E8" s="2"/>
      <c r="F8" s="2">
        <v>4.33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3.75</v>
      </c>
      <c r="AB8" s="2"/>
      <c r="AC8" s="2">
        <v>4.12</v>
      </c>
      <c r="AD8" s="2"/>
      <c r="AE8" s="2">
        <v>4.5</v>
      </c>
      <c r="AF8" s="2">
        <v>3.96</v>
      </c>
      <c r="AG8" s="2"/>
      <c r="AH8" s="11">
        <f>Summary!E12</f>
        <v>17.5</v>
      </c>
      <c r="AI8" s="2">
        <f t="shared" si="1"/>
        <v>0.29592228709578466</v>
      </c>
      <c r="AJ8" s="14">
        <f t="shared" si="2"/>
        <v>1.690984497690198E-2</v>
      </c>
      <c r="AK8" s="2">
        <f t="shared" si="3"/>
        <v>3.75</v>
      </c>
      <c r="AL8" s="2">
        <f t="shared" si="4"/>
        <v>3.6881165693563229</v>
      </c>
      <c r="AM8" s="2">
        <f t="shared" si="5"/>
        <v>4.1319999999999997</v>
      </c>
      <c r="AN8" s="2">
        <f t="shared" si="6"/>
        <v>4.5758834306436764</v>
      </c>
      <c r="AO8" s="2">
        <f t="shared" si="7"/>
        <v>4.5</v>
      </c>
    </row>
    <row r="9" spans="1:41" x14ac:dyDescent="0.25">
      <c r="A9" s="1">
        <f t="shared" si="8"/>
        <v>7</v>
      </c>
      <c r="B9" s="2"/>
      <c r="C9" s="2"/>
      <c r="D9" s="2"/>
      <c r="E9" s="2"/>
      <c r="F9" s="2">
        <v>4.87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4.29</v>
      </c>
      <c r="AB9" s="2"/>
      <c r="AC9" s="2">
        <v>4.7</v>
      </c>
      <c r="AD9" s="2"/>
      <c r="AE9" s="2">
        <v>5.09</v>
      </c>
      <c r="AF9" s="2">
        <v>4.53</v>
      </c>
      <c r="AG9" s="2"/>
      <c r="AH9" s="11">
        <f>Summary!E13</f>
        <v>20</v>
      </c>
      <c r="AI9" s="2">
        <f t="shared" si="1"/>
        <v>0.30737599125500997</v>
      </c>
      <c r="AJ9" s="14">
        <f t="shared" si="2"/>
        <v>1.5368799562750498E-2</v>
      </c>
      <c r="AK9" s="2">
        <f t="shared" si="3"/>
        <v>4.29</v>
      </c>
      <c r="AL9" s="2">
        <f t="shared" si="4"/>
        <v>4.2349360131174851</v>
      </c>
      <c r="AM9" s="2">
        <f t="shared" si="5"/>
        <v>4.6959999999999997</v>
      </c>
      <c r="AN9" s="2">
        <f t="shared" si="6"/>
        <v>5.1570639868825143</v>
      </c>
      <c r="AO9" s="2">
        <f t="shared" si="7"/>
        <v>5.09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9"/>
  <sheetViews>
    <sheetView zoomScale="80" zoomScaleNormal="80" workbookViewId="0">
      <selection activeCell="B2" sqref="B2:AG9"/>
    </sheetView>
  </sheetViews>
  <sheetFormatPr defaultRowHeight="15" x14ac:dyDescent="0.25"/>
  <cols>
    <col min="1" max="1" width="2" style="1" bestFit="1" customWidth="1"/>
    <col min="2" max="17" width="6" style="1" bestFit="1" customWidth="1"/>
    <col min="18" max="41" width="6" style="1" customWidth="1"/>
    <col min="42" max="16384" width="9.140625" style="1"/>
  </cols>
  <sheetData>
    <row r="1" spans="1:41" x14ac:dyDescent="0.25"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6</v>
      </c>
      <c r="AI1" s="1" t="s">
        <v>3</v>
      </c>
      <c r="AJ1" s="1" t="s">
        <v>23</v>
      </c>
      <c r="AK1" s="1" t="s">
        <v>0</v>
      </c>
      <c r="AL1" s="3" t="s">
        <v>5</v>
      </c>
      <c r="AM1" s="1" t="s">
        <v>1</v>
      </c>
      <c r="AN1" s="3" t="s">
        <v>4</v>
      </c>
      <c r="AO1" s="1" t="s">
        <v>2</v>
      </c>
    </row>
    <row r="2" spans="1:41" x14ac:dyDescent="0.25">
      <c r="A2" s="1">
        <v>0</v>
      </c>
      <c r="B2" s="2"/>
      <c r="C2" s="2"/>
      <c r="D2" s="2"/>
      <c r="E2" s="2">
        <v>0</v>
      </c>
      <c r="F2" s="2">
        <v>0</v>
      </c>
      <c r="G2" s="2">
        <v>0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</v>
      </c>
      <c r="AB2" s="2"/>
      <c r="AC2" s="2">
        <v>0</v>
      </c>
      <c r="AD2" s="2"/>
      <c r="AE2" s="2">
        <v>0</v>
      </c>
      <c r="AF2" s="2">
        <v>0</v>
      </c>
      <c r="AG2" s="2"/>
      <c r="AH2" s="11">
        <f>Summary!E6</f>
        <v>3.1535838981310325</v>
      </c>
      <c r="AI2" s="2">
        <f>STDEV(B2:AG2)</f>
        <v>0</v>
      </c>
      <c r="AJ2" s="14">
        <f>AI2/AH2</f>
        <v>0</v>
      </c>
      <c r="AK2" s="2">
        <f>MIN(B2:AG2)</f>
        <v>0</v>
      </c>
      <c r="AL2" s="2">
        <f>AM2-1.5*AI2</f>
        <v>0</v>
      </c>
      <c r="AM2" s="2">
        <f>AVERAGE(B2:AG2)</f>
        <v>0</v>
      </c>
      <c r="AN2" s="2">
        <f>AM2+1.5*AI2</f>
        <v>0</v>
      </c>
      <c r="AO2" s="2">
        <f>MAX(B2:AG2)</f>
        <v>0</v>
      </c>
    </row>
    <row r="3" spans="1:41" x14ac:dyDescent="0.25">
      <c r="A3" s="1">
        <f>A2+1</f>
        <v>1</v>
      </c>
      <c r="B3" s="2"/>
      <c r="C3" s="2"/>
      <c r="D3" s="2"/>
      <c r="E3" s="2">
        <v>0</v>
      </c>
      <c r="F3" s="2">
        <v>0.01</v>
      </c>
      <c r="G3" s="2">
        <v>0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0</v>
      </c>
      <c r="AB3" s="2"/>
      <c r="AC3" s="2">
        <v>0</v>
      </c>
      <c r="AD3" s="2"/>
      <c r="AE3" s="2">
        <v>0</v>
      </c>
      <c r="AF3" s="2">
        <v>0</v>
      </c>
      <c r="AG3" s="2"/>
      <c r="AH3" s="11">
        <f>Summary!E7</f>
        <v>6.9815567878414448</v>
      </c>
      <c r="AI3" s="2">
        <f t="shared" ref="AI3:AI9" si="1">STDEV(B3:AG3)</f>
        <v>3.7796447300922722E-3</v>
      </c>
      <c r="AJ3" s="14">
        <f t="shared" ref="AJ3:AJ9" si="2">AI3/AH3</f>
        <v>5.4137563368024421E-4</v>
      </c>
      <c r="AK3" s="2">
        <f t="shared" ref="AK3:AK9" si="3">MIN(B3:AG3)</f>
        <v>0</v>
      </c>
      <c r="AL3" s="2">
        <f t="shared" ref="AL3:AL9" si="4">AM3-1.5*AI3</f>
        <v>-4.2408956665669802E-3</v>
      </c>
      <c r="AM3" s="2">
        <f t="shared" ref="AM3:AM9" si="5">AVERAGE(B3:AG3)</f>
        <v>1.4285714285714286E-3</v>
      </c>
      <c r="AN3" s="2">
        <f t="shared" ref="AN3:AN9" si="6">AM3+1.5*AI3</f>
        <v>7.0980385237098369E-3</v>
      </c>
      <c r="AO3" s="2">
        <f t="shared" ref="AO3:AO9" si="7">MAX(B3:AG3)</f>
        <v>0.01</v>
      </c>
    </row>
    <row r="4" spans="1:41" x14ac:dyDescent="0.25">
      <c r="A4" s="1">
        <f t="shared" ref="A4:A9" si="8">A3+1</f>
        <v>2</v>
      </c>
      <c r="B4" s="2"/>
      <c r="C4" s="2"/>
      <c r="D4" s="2"/>
      <c r="E4" s="2">
        <v>0.01</v>
      </c>
      <c r="F4" s="2">
        <v>0.02</v>
      </c>
      <c r="G4" s="2">
        <v>0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0</v>
      </c>
      <c r="AB4" s="2"/>
      <c r="AC4" s="2">
        <v>0</v>
      </c>
      <c r="AD4" s="2"/>
      <c r="AE4" s="2">
        <v>0</v>
      </c>
      <c r="AF4" s="2">
        <v>0</v>
      </c>
      <c r="AG4" s="2"/>
      <c r="AH4" s="11">
        <f>Summary!E8</f>
        <v>10.7</v>
      </c>
      <c r="AI4" s="2">
        <f t="shared" si="1"/>
        <v>7.8679579246944322E-3</v>
      </c>
      <c r="AJ4" s="14">
        <f t="shared" si="2"/>
        <v>7.3532317053219001E-4</v>
      </c>
      <c r="AK4" s="2">
        <f t="shared" si="3"/>
        <v>0</v>
      </c>
      <c r="AL4" s="2">
        <f t="shared" si="4"/>
        <v>-7.5162226013273615E-3</v>
      </c>
      <c r="AM4" s="2">
        <f t="shared" si="5"/>
        <v>4.2857142857142859E-3</v>
      </c>
      <c r="AN4" s="2">
        <f t="shared" si="6"/>
        <v>1.6087651172755933E-2</v>
      </c>
      <c r="AO4" s="2">
        <f t="shared" si="7"/>
        <v>0.02</v>
      </c>
    </row>
    <row r="5" spans="1:41" x14ac:dyDescent="0.25">
      <c r="A5" s="1">
        <f t="shared" si="8"/>
        <v>3</v>
      </c>
      <c r="B5" s="2"/>
      <c r="C5" s="2"/>
      <c r="D5" s="2"/>
      <c r="E5" s="2">
        <v>0.02</v>
      </c>
      <c r="F5" s="2">
        <v>0.03</v>
      </c>
      <c r="G5" s="2">
        <v>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0</v>
      </c>
      <c r="AB5" s="2"/>
      <c r="AC5" s="2">
        <v>0</v>
      </c>
      <c r="AD5" s="2"/>
      <c r="AE5" s="2">
        <v>0</v>
      </c>
      <c r="AF5" s="2">
        <v>0</v>
      </c>
      <c r="AG5" s="2"/>
      <c r="AH5" s="11">
        <f>Summary!E9</f>
        <v>12.5</v>
      </c>
      <c r="AI5" s="2">
        <f t="shared" si="1"/>
        <v>1.2535663410560173E-2</v>
      </c>
      <c r="AJ5" s="14">
        <f t="shared" si="2"/>
        <v>1.0028530728448139E-3</v>
      </c>
      <c r="AK5" s="2">
        <f t="shared" si="3"/>
        <v>0</v>
      </c>
      <c r="AL5" s="2">
        <f t="shared" si="4"/>
        <v>-1.1660637972983117E-2</v>
      </c>
      <c r="AM5" s="2">
        <f t="shared" si="5"/>
        <v>7.1428571428571435E-3</v>
      </c>
      <c r="AN5" s="2">
        <f t="shared" si="6"/>
        <v>2.5946352258697403E-2</v>
      </c>
      <c r="AO5" s="2">
        <f t="shared" si="7"/>
        <v>0.03</v>
      </c>
    </row>
    <row r="6" spans="1:41" x14ac:dyDescent="0.25">
      <c r="A6" s="1">
        <f t="shared" si="8"/>
        <v>4</v>
      </c>
      <c r="B6" s="2"/>
      <c r="C6" s="2"/>
      <c r="D6" s="2"/>
      <c r="E6" s="2">
        <v>0.02</v>
      </c>
      <c r="F6" s="2">
        <v>0.03</v>
      </c>
      <c r="G6" s="2">
        <v>0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0</v>
      </c>
      <c r="AB6" s="2"/>
      <c r="AC6" s="2">
        <v>0</v>
      </c>
      <c r="AD6" s="2"/>
      <c r="AE6" s="2">
        <v>0</v>
      </c>
      <c r="AF6" s="2">
        <v>0</v>
      </c>
      <c r="AG6" s="2"/>
      <c r="AH6" s="11">
        <f>Summary!E10</f>
        <v>14.3</v>
      </c>
      <c r="AI6" s="2">
        <f t="shared" si="1"/>
        <v>1.2535663410560173E-2</v>
      </c>
      <c r="AJ6" s="14">
        <f t="shared" si="2"/>
        <v>8.7661981892029185E-4</v>
      </c>
      <c r="AK6" s="2">
        <f t="shared" si="3"/>
        <v>0</v>
      </c>
      <c r="AL6" s="2">
        <f t="shared" si="4"/>
        <v>-1.1660637972983117E-2</v>
      </c>
      <c r="AM6" s="2">
        <f t="shared" si="5"/>
        <v>7.1428571428571435E-3</v>
      </c>
      <c r="AN6" s="2">
        <f t="shared" si="6"/>
        <v>2.5946352258697403E-2</v>
      </c>
      <c r="AO6" s="2">
        <f t="shared" si="7"/>
        <v>0.03</v>
      </c>
    </row>
    <row r="7" spans="1:41" x14ac:dyDescent="0.25">
      <c r="A7" s="1">
        <f t="shared" si="8"/>
        <v>5</v>
      </c>
      <c r="B7" s="2"/>
      <c r="C7" s="2"/>
      <c r="D7" s="2"/>
      <c r="E7" s="2">
        <v>0.02</v>
      </c>
      <c r="F7" s="2">
        <v>0.03</v>
      </c>
      <c r="G7" s="2">
        <v>0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0</v>
      </c>
      <c r="AB7" s="2"/>
      <c r="AC7" s="2">
        <v>0</v>
      </c>
      <c r="AD7" s="2"/>
      <c r="AE7" s="2">
        <v>0</v>
      </c>
      <c r="AF7" s="2">
        <v>0</v>
      </c>
      <c r="AG7" s="2"/>
      <c r="AH7" s="11">
        <f>Summary!E11</f>
        <v>15</v>
      </c>
      <c r="AI7" s="2">
        <f t="shared" si="1"/>
        <v>1.2535663410560173E-2</v>
      </c>
      <c r="AJ7" s="14">
        <f t="shared" si="2"/>
        <v>8.3571089403734484E-4</v>
      </c>
      <c r="AK7" s="2">
        <f t="shared" si="3"/>
        <v>0</v>
      </c>
      <c r="AL7" s="2">
        <f t="shared" si="4"/>
        <v>-1.1660637972983117E-2</v>
      </c>
      <c r="AM7" s="2">
        <f t="shared" si="5"/>
        <v>7.1428571428571435E-3</v>
      </c>
      <c r="AN7" s="2">
        <f t="shared" si="6"/>
        <v>2.5946352258697403E-2</v>
      </c>
      <c r="AO7" s="2">
        <f t="shared" si="7"/>
        <v>0.03</v>
      </c>
    </row>
    <row r="8" spans="1:41" x14ac:dyDescent="0.25">
      <c r="A8" s="1">
        <f t="shared" si="8"/>
        <v>6</v>
      </c>
      <c r="B8" s="2"/>
      <c r="C8" s="2"/>
      <c r="D8" s="2"/>
      <c r="E8" s="2">
        <v>0.03</v>
      </c>
      <c r="F8" s="2">
        <v>0.03</v>
      </c>
      <c r="G8" s="2">
        <v>0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0.01</v>
      </c>
      <c r="AB8" s="2"/>
      <c r="AC8" s="2">
        <v>0.01</v>
      </c>
      <c r="AD8" s="2"/>
      <c r="AE8" s="2">
        <v>0</v>
      </c>
      <c r="AF8" s="2">
        <v>0.01</v>
      </c>
      <c r="AG8" s="2"/>
      <c r="AH8" s="11">
        <f>Summary!E12</f>
        <v>17.5</v>
      </c>
      <c r="AI8" s="2">
        <f t="shared" si="1"/>
        <v>1.2535663410560177E-2</v>
      </c>
      <c r="AJ8" s="14">
        <f t="shared" si="2"/>
        <v>7.1632362346058149E-4</v>
      </c>
      <c r="AK8" s="2">
        <f t="shared" si="3"/>
        <v>0</v>
      </c>
      <c r="AL8" s="2">
        <f t="shared" si="4"/>
        <v>-5.9463522586974092E-3</v>
      </c>
      <c r="AM8" s="2">
        <f t="shared" si="5"/>
        <v>1.2857142857142855E-2</v>
      </c>
      <c r="AN8" s="2">
        <f t="shared" si="6"/>
        <v>3.1660637972983116E-2</v>
      </c>
      <c r="AO8" s="2">
        <f t="shared" si="7"/>
        <v>0.03</v>
      </c>
    </row>
    <row r="9" spans="1:41" x14ac:dyDescent="0.25">
      <c r="A9" s="1">
        <f t="shared" si="8"/>
        <v>7</v>
      </c>
      <c r="B9" s="2"/>
      <c r="C9" s="2"/>
      <c r="D9" s="2"/>
      <c r="E9" s="2">
        <v>0.03</v>
      </c>
      <c r="F9" s="2">
        <v>0.03</v>
      </c>
      <c r="G9" s="2">
        <v>0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0.01</v>
      </c>
      <c r="AB9" s="2"/>
      <c r="AC9" s="2">
        <v>0.01</v>
      </c>
      <c r="AD9" s="2"/>
      <c r="AE9" s="2">
        <v>0</v>
      </c>
      <c r="AF9" s="2">
        <v>0</v>
      </c>
      <c r="AG9" s="2"/>
      <c r="AH9" s="11">
        <f>Summary!E13</f>
        <v>20</v>
      </c>
      <c r="AI9" s="2">
        <f t="shared" si="1"/>
        <v>1.3451854182690988E-2</v>
      </c>
      <c r="AJ9" s="14">
        <f t="shared" si="2"/>
        <v>6.7259270913454944E-4</v>
      </c>
      <c r="AK9" s="2">
        <f t="shared" si="3"/>
        <v>0</v>
      </c>
      <c r="AL9" s="2">
        <f t="shared" si="4"/>
        <v>-8.7492098454650565E-3</v>
      </c>
      <c r="AM9" s="2">
        <f t="shared" si="5"/>
        <v>1.1428571428571427E-2</v>
      </c>
      <c r="AN9" s="2">
        <f t="shared" si="6"/>
        <v>3.1606352702607907E-2</v>
      </c>
      <c r="AO9" s="2">
        <f t="shared" si="7"/>
        <v>0.03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9"/>
  <sheetViews>
    <sheetView zoomScale="80" zoomScaleNormal="80" workbookViewId="0">
      <selection activeCell="B2" sqref="B2:AG9"/>
    </sheetView>
  </sheetViews>
  <sheetFormatPr defaultRowHeight="15" x14ac:dyDescent="0.25"/>
  <cols>
    <col min="1" max="1" width="2" style="4" bestFit="1" customWidth="1"/>
    <col min="2" max="17" width="6" style="4" bestFit="1" customWidth="1"/>
    <col min="18" max="41" width="6" style="4" customWidth="1"/>
    <col min="42" max="16384" width="9.140625" style="4"/>
  </cols>
  <sheetData>
    <row r="1" spans="1:41" x14ac:dyDescent="0.25">
      <c r="B1" s="4">
        <v>0</v>
      </c>
      <c r="C1" s="4">
        <f>B1+1</f>
        <v>1</v>
      </c>
      <c r="D1" s="4">
        <f t="shared" ref="D1:AG1" si="0">C1+1</f>
        <v>2</v>
      </c>
      <c r="E1" s="4">
        <f t="shared" si="0"/>
        <v>3</v>
      </c>
      <c r="F1" s="4">
        <f t="shared" si="0"/>
        <v>4</v>
      </c>
      <c r="G1" s="4">
        <f t="shared" si="0"/>
        <v>5</v>
      </c>
      <c r="H1" s="4">
        <f t="shared" si="0"/>
        <v>6</v>
      </c>
      <c r="I1" s="4">
        <f t="shared" si="0"/>
        <v>7</v>
      </c>
      <c r="J1" s="4">
        <f t="shared" si="0"/>
        <v>8</v>
      </c>
      <c r="K1" s="4">
        <f t="shared" si="0"/>
        <v>9</v>
      </c>
      <c r="L1" s="4">
        <f t="shared" si="0"/>
        <v>10</v>
      </c>
      <c r="M1" s="4">
        <f t="shared" si="0"/>
        <v>11</v>
      </c>
      <c r="N1" s="4">
        <f t="shared" si="0"/>
        <v>12</v>
      </c>
      <c r="O1" s="4">
        <f t="shared" si="0"/>
        <v>13</v>
      </c>
      <c r="P1" s="4">
        <f t="shared" si="0"/>
        <v>14</v>
      </c>
      <c r="Q1" s="4">
        <f t="shared" si="0"/>
        <v>15</v>
      </c>
      <c r="R1" s="4">
        <f t="shared" si="0"/>
        <v>16</v>
      </c>
      <c r="S1" s="4">
        <f t="shared" si="0"/>
        <v>17</v>
      </c>
      <c r="T1" s="4">
        <f t="shared" si="0"/>
        <v>18</v>
      </c>
      <c r="U1" s="4">
        <f t="shared" si="0"/>
        <v>19</v>
      </c>
      <c r="V1" s="4">
        <f t="shared" si="0"/>
        <v>20</v>
      </c>
      <c r="W1" s="4">
        <f t="shared" si="0"/>
        <v>21</v>
      </c>
      <c r="X1" s="4">
        <f t="shared" si="0"/>
        <v>22</v>
      </c>
      <c r="Y1" s="4">
        <f t="shared" si="0"/>
        <v>23</v>
      </c>
      <c r="Z1" s="4">
        <f t="shared" si="0"/>
        <v>24</v>
      </c>
      <c r="AA1" s="4">
        <f t="shared" si="0"/>
        <v>25</v>
      </c>
      <c r="AB1" s="4">
        <f t="shared" si="0"/>
        <v>26</v>
      </c>
      <c r="AC1" s="4">
        <f t="shared" si="0"/>
        <v>27</v>
      </c>
      <c r="AD1" s="4">
        <f t="shared" si="0"/>
        <v>28</v>
      </c>
      <c r="AE1" s="4">
        <f t="shared" si="0"/>
        <v>29</v>
      </c>
      <c r="AF1" s="4">
        <f t="shared" si="0"/>
        <v>30</v>
      </c>
      <c r="AG1" s="4">
        <f t="shared" si="0"/>
        <v>31</v>
      </c>
      <c r="AH1" s="4" t="s">
        <v>6</v>
      </c>
      <c r="AI1" s="4" t="s">
        <v>3</v>
      </c>
      <c r="AJ1" s="4" t="s">
        <v>23</v>
      </c>
      <c r="AK1" s="4" t="s">
        <v>0</v>
      </c>
      <c r="AL1" s="3" t="s">
        <v>5</v>
      </c>
      <c r="AM1" s="4" t="s">
        <v>1</v>
      </c>
      <c r="AN1" s="3" t="s">
        <v>4</v>
      </c>
      <c r="AO1" s="4" t="s">
        <v>2</v>
      </c>
    </row>
    <row r="2" spans="1:41" x14ac:dyDescent="0.25">
      <c r="A2" s="4">
        <v>0</v>
      </c>
      <c r="B2" s="2"/>
      <c r="C2" s="2"/>
      <c r="D2" s="2"/>
      <c r="E2" s="2">
        <v>0.03</v>
      </c>
      <c r="F2" s="2">
        <v>0.03</v>
      </c>
      <c r="G2" s="2">
        <v>0.03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>
        <v>0.02</v>
      </c>
      <c r="AB2" s="2"/>
      <c r="AC2" s="2">
        <v>0.03</v>
      </c>
      <c r="AD2" s="2"/>
      <c r="AE2" s="2">
        <v>0.02</v>
      </c>
      <c r="AF2" s="2">
        <v>0.03</v>
      </c>
      <c r="AG2" s="2"/>
      <c r="AH2" s="11">
        <f>Summary!E6</f>
        <v>3.1535838981310325</v>
      </c>
      <c r="AI2" s="2">
        <f>STDEV(B2:AG2)</f>
        <v>4.879500364742665E-3</v>
      </c>
      <c r="AJ2" s="14">
        <f>AI2/AH2</f>
        <v>1.547287315753513E-3</v>
      </c>
      <c r="AK2" s="2">
        <f>MIN(B2:AG2)</f>
        <v>0.02</v>
      </c>
      <c r="AL2" s="2">
        <f>AM2-1.5*AI2</f>
        <v>1.9823606595743143E-2</v>
      </c>
      <c r="AM2" s="2">
        <f>AVERAGE(B2:AG2)</f>
        <v>2.7142857142857142E-2</v>
      </c>
      <c r="AN2" s="2">
        <f>AM2+1.5*AI2</f>
        <v>3.4462107689971141E-2</v>
      </c>
      <c r="AO2" s="2">
        <f>MAX(B2:AG2)</f>
        <v>0.03</v>
      </c>
    </row>
    <row r="3" spans="1:41" x14ac:dyDescent="0.25">
      <c r="A3" s="4">
        <f>A2+1</f>
        <v>1</v>
      </c>
      <c r="B3" s="2"/>
      <c r="C3" s="2"/>
      <c r="D3" s="2"/>
      <c r="E3" s="2">
        <v>0.08</v>
      </c>
      <c r="F3" s="2">
        <v>0.1</v>
      </c>
      <c r="G3" s="2">
        <v>0.09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>
        <v>0.08</v>
      </c>
      <c r="AB3" s="2"/>
      <c r="AC3" s="2">
        <v>0.1</v>
      </c>
      <c r="AD3" s="2"/>
      <c r="AE3" s="2">
        <v>0.09</v>
      </c>
      <c r="AF3" s="2">
        <v>0.09</v>
      </c>
      <c r="AG3" s="2"/>
      <c r="AH3" s="11">
        <f>Summary!E7</f>
        <v>6.9815567878414448</v>
      </c>
      <c r="AI3" s="2">
        <f t="shared" ref="AI3:AI9" si="1">STDEV(B3:AG3)</f>
        <v>8.164965809277263E-3</v>
      </c>
      <c r="AJ3" s="14">
        <f t="shared" ref="AJ3:AJ9" si="2">AI3/AH3</f>
        <v>1.1695050341059682E-3</v>
      </c>
      <c r="AK3" s="2">
        <f t="shared" ref="AK3:AK9" si="3">MIN(B3:AG3)</f>
        <v>0.08</v>
      </c>
      <c r="AL3" s="2">
        <f t="shared" ref="AL3:AL9" si="4">AM3-1.5*AI3</f>
        <v>7.7752551286084104E-2</v>
      </c>
      <c r="AM3" s="2">
        <f t="shared" ref="AM3:AM9" si="5">AVERAGE(B3:AG3)</f>
        <v>0.09</v>
      </c>
      <c r="AN3" s="2">
        <f t="shared" ref="AN3:AN9" si="6">AM3+1.5*AI3</f>
        <v>0.10224744871391589</v>
      </c>
      <c r="AO3" s="2">
        <f t="shared" ref="AO3:AO9" si="7">MAX(B3:AG3)</f>
        <v>0.1</v>
      </c>
    </row>
    <row r="4" spans="1:41" x14ac:dyDescent="0.25">
      <c r="A4" s="4">
        <f t="shared" ref="A4:A9" si="8">A3+1</f>
        <v>2</v>
      </c>
      <c r="B4" s="2"/>
      <c r="C4" s="2"/>
      <c r="D4" s="2"/>
      <c r="E4" s="2">
        <v>0.14000000000000001</v>
      </c>
      <c r="F4" s="2">
        <v>0.18</v>
      </c>
      <c r="G4" s="2">
        <v>0.16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>
        <v>0.13</v>
      </c>
      <c r="AB4" s="2"/>
      <c r="AC4" s="2">
        <v>0.16</v>
      </c>
      <c r="AD4" s="2"/>
      <c r="AE4" s="2">
        <v>0.14000000000000001</v>
      </c>
      <c r="AF4" s="2">
        <v>0.14000000000000001</v>
      </c>
      <c r="AG4" s="2"/>
      <c r="AH4" s="11">
        <f>Summary!E8</f>
        <v>10.7</v>
      </c>
      <c r="AI4" s="2">
        <f t="shared" si="1"/>
        <v>1.7320508075688752E-2</v>
      </c>
      <c r="AJ4" s="14">
        <f t="shared" si="2"/>
        <v>1.6187390724942761E-3</v>
      </c>
      <c r="AK4" s="2">
        <f t="shared" si="3"/>
        <v>0.13</v>
      </c>
      <c r="AL4" s="2">
        <f t="shared" si="4"/>
        <v>0.12401923788646686</v>
      </c>
      <c r="AM4" s="2">
        <f t="shared" si="5"/>
        <v>0.15</v>
      </c>
      <c r="AN4" s="2">
        <f t="shared" si="6"/>
        <v>0.17598076211353311</v>
      </c>
      <c r="AO4" s="2">
        <f t="shared" si="7"/>
        <v>0.18</v>
      </c>
    </row>
    <row r="5" spans="1:41" x14ac:dyDescent="0.25">
      <c r="A5" s="4">
        <f t="shared" si="8"/>
        <v>3</v>
      </c>
      <c r="B5" s="2"/>
      <c r="C5" s="2"/>
      <c r="D5" s="2"/>
      <c r="E5" s="2">
        <v>0.17</v>
      </c>
      <c r="F5" s="2">
        <v>0.22</v>
      </c>
      <c r="G5" s="2">
        <v>0.18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>
        <v>0.16</v>
      </c>
      <c r="AB5" s="2"/>
      <c r="AC5" s="2">
        <v>0.18</v>
      </c>
      <c r="AD5" s="2"/>
      <c r="AE5" s="2">
        <v>0.18</v>
      </c>
      <c r="AF5" s="2">
        <v>0.18</v>
      </c>
      <c r="AG5" s="2"/>
      <c r="AH5" s="11">
        <f>Summary!E9</f>
        <v>12.5</v>
      </c>
      <c r="AI5" s="2">
        <f t="shared" si="1"/>
        <v>1.8644544714716087E-2</v>
      </c>
      <c r="AJ5" s="14">
        <f t="shared" si="2"/>
        <v>1.4915635771772871E-3</v>
      </c>
      <c r="AK5" s="2">
        <f t="shared" si="3"/>
        <v>0.16</v>
      </c>
      <c r="AL5" s="2">
        <f t="shared" si="4"/>
        <v>0.15346175435649731</v>
      </c>
      <c r="AM5" s="2">
        <f t="shared" si="5"/>
        <v>0.18142857142857144</v>
      </c>
      <c r="AN5" s="2">
        <f t="shared" si="6"/>
        <v>0.20939538850064557</v>
      </c>
      <c r="AO5" s="2">
        <f t="shared" si="7"/>
        <v>0.22</v>
      </c>
    </row>
    <row r="6" spans="1:41" x14ac:dyDescent="0.25">
      <c r="A6" s="4">
        <f t="shared" si="8"/>
        <v>4</v>
      </c>
      <c r="B6" s="2"/>
      <c r="C6" s="2"/>
      <c r="D6" s="2"/>
      <c r="E6" s="2">
        <v>0.19</v>
      </c>
      <c r="F6" s="2">
        <v>0.27</v>
      </c>
      <c r="G6" s="2">
        <v>0.21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>
        <v>0.19</v>
      </c>
      <c r="AB6" s="2"/>
      <c r="AC6" s="2">
        <v>0.21</v>
      </c>
      <c r="AD6" s="2"/>
      <c r="AE6" s="2">
        <v>0.21</v>
      </c>
      <c r="AF6" s="2">
        <v>0.21</v>
      </c>
      <c r="AG6" s="2"/>
      <c r="AH6" s="11">
        <f>Summary!E10</f>
        <v>14.3</v>
      </c>
      <c r="AI6" s="2">
        <f t="shared" si="1"/>
        <v>2.6903708365381817E-2</v>
      </c>
      <c r="AJ6" s="14">
        <f t="shared" si="2"/>
        <v>1.8813782073693578E-3</v>
      </c>
      <c r="AK6" s="2">
        <f t="shared" si="3"/>
        <v>0.19</v>
      </c>
      <c r="AL6" s="2">
        <f t="shared" si="4"/>
        <v>0.17250158030907015</v>
      </c>
      <c r="AM6" s="2">
        <f t="shared" si="5"/>
        <v>0.21285714285714286</v>
      </c>
      <c r="AN6" s="2">
        <f t="shared" si="6"/>
        <v>0.25321270540521557</v>
      </c>
      <c r="AO6" s="2">
        <f t="shared" si="7"/>
        <v>0.27</v>
      </c>
    </row>
    <row r="7" spans="1:41" x14ac:dyDescent="0.25">
      <c r="A7" s="4">
        <f t="shared" si="8"/>
        <v>5</v>
      </c>
      <c r="B7" s="2"/>
      <c r="C7" s="2"/>
      <c r="D7" s="2"/>
      <c r="E7" s="2">
        <v>0.2</v>
      </c>
      <c r="F7" s="2">
        <v>0.28000000000000003</v>
      </c>
      <c r="G7" s="2">
        <v>0.21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>
        <v>0.2</v>
      </c>
      <c r="AB7" s="2"/>
      <c r="AC7" s="2">
        <v>0.22</v>
      </c>
      <c r="AD7" s="2"/>
      <c r="AE7" s="2">
        <v>0.23</v>
      </c>
      <c r="AF7" s="2">
        <v>0.19</v>
      </c>
      <c r="AG7" s="2"/>
      <c r="AH7" s="11">
        <f>Summary!E11</f>
        <v>15</v>
      </c>
      <c r="AI7" s="2">
        <f t="shared" si="1"/>
        <v>3.0237157840738261E-2</v>
      </c>
      <c r="AJ7" s="14">
        <f t="shared" si="2"/>
        <v>2.0158105227158839E-3</v>
      </c>
      <c r="AK7" s="2">
        <f t="shared" si="3"/>
        <v>0.19</v>
      </c>
      <c r="AL7" s="2">
        <f t="shared" si="4"/>
        <v>0.1732156918103212</v>
      </c>
      <c r="AM7" s="2">
        <f t="shared" si="5"/>
        <v>0.21857142857142858</v>
      </c>
      <c r="AN7" s="2">
        <f t="shared" si="6"/>
        <v>0.26392716533253596</v>
      </c>
      <c r="AO7" s="2">
        <f t="shared" si="7"/>
        <v>0.28000000000000003</v>
      </c>
    </row>
    <row r="8" spans="1:41" x14ac:dyDescent="0.25">
      <c r="A8" s="4">
        <f t="shared" si="8"/>
        <v>6</v>
      </c>
      <c r="B8" s="2"/>
      <c r="C8" s="2"/>
      <c r="D8" s="2"/>
      <c r="E8" s="2">
        <v>0.24</v>
      </c>
      <c r="F8" s="2">
        <v>0.32</v>
      </c>
      <c r="G8" s="2">
        <v>0.27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0.23</v>
      </c>
      <c r="AB8" s="2"/>
      <c r="AC8" s="2">
        <v>0.27</v>
      </c>
      <c r="AD8" s="2"/>
      <c r="AE8" s="2">
        <v>0.27</v>
      </c>
      <c r="AF8" s="2">
        <v>0.25</v>
      </c>
      <c r="AG8" s="2"/>
      <c r="AH8" s="11">
        <f>Summary!E12</f>
        <v>17.5</v>
      </c>
      <c r="AI8" s="2">
        <f t="shared" si="1"/>
        <v>2.9358214555806322E-2</v>
      </c>
      <c r="AJ8" s="14">
        <f t="shared" si="2"/>
        <v>1.6776122603317897E-3</v>
      </c>
      <c r="AK8" s="2">
        <f t="shared" si="3"/>
        <v>0.23</v>
      </c>
      <c r="AL8" s="2">
        <f t="shared" si="4"/>
        <v>0.22024839245200481</v>
      </c>
      <c r="AM8" s="2">
        <f t="shared" si="5"/>
        <v>0.26428571428571429</v>
      </c>
      <c r="AN8" s="2">
        <f t="shared" si="6"/>
        <v>0.3083230361194238</v>
      </c>
      <c r="AO8" s="2">
        <f t="shared" si="7"/>
        <v>0.32</v>
      </c>
    </row>
    <row r="9" spans="1:41" x14ac:dyDescent="0.25">
      <c r="A9" s="4">
        <f t="shared" si="8"/>
        <v>7</v>
      </c>
      <c r="B9" s="2"/>
      <c r="C9" s="2"/>
      <c r="D9" s="2"/>
      <c r="E9" s="2">
        <v>0.28000000000000003</v>
      </c>
      <c r="F9" s="2">
        <v>0.38</v>
      </c>
      <c r="G9" s="2">
        <v>0.3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>
        <v>0.27</v>
      </c>
      <c r="AB9" s="2"/>
      <c r="AC9" s="2">
        <v>0.3</v>
      </c>
      <c r="AD9" s="2"/>
      <c r="AE9" s="2">
        <v>0.3</v>
      </c>
      <c r="AF9" s="2">
        <v>0.28999999999999998</v>
      </c>
      <c r="AG9" s="2"/>
      <c r="AH9" s="11">
        <f>Summary!E13</f>
        <v>20</v>
      </c>
      <c r="AI9" s="2">
        <f t="shared" si="1"/>
        <v>3.5923198500080092E-2</v>
      </c>
      <c r="AJ9" s="14">
        <f t="shared" si="2"/>
        <v>1.7961599250040047E-3</v>
      </c>
      <c r="AK9" s="2">
        <f t="shared" si="3"/>
        <v>0.27</v>
      </c>
      <c r="AL9" s="2">
        <f t="shared" si="4"/>
        <v>0.24897234510702274</v>
      </c>
      <c r="AM9" s="2">
        <f t="shared" si="5"/>
        <v>0.30285714285714288</v>
      </c>
      <c r="AN9" s="2">
        <f t="shared" si="6"/>
        <v>0.356741940607263</v>
      </c>
      <c r="AO9" s="2">
        <f t="shared" si="7"/>
        <v>0.38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data0</vt:lpstr>
      <vt:lpstr>data1</vt:lpstr>
      <vt:lpstr>data2</vt:lpstr>
      <vt:lpstr>data3</vt:lpstr>
      <vt:lpstr>data4</vt:lpstr>
      <vt:lpstr>data5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Jim Getchell</cp:lastModifiedBy>
  <dcterms:created xsi:type="dcterms:W3CDTF">2006-09-16T00:00:00Z</dcterms:created>
  <dcterms:modified xsi:type="dcterms:W3CDTF">2015-05-04T22:57:56Z</dcterms:modified>
</cp:coreProperties>
</file>