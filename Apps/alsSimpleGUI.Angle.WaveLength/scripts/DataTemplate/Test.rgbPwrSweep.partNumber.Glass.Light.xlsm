
<file path=[Content_Types].xml><?xml version="1.0" encoding="utf-8"?>
<Types xmlns="http://schemas.openxmlformats.org/package/2006/content-types"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17.xml" ContentType="application/vnd.openxmlformats-officedocument.drawingml.chartshapes+xml"/>
  <Override PartName="/xl/drawings/drawing28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ml.chartshapes+xml"/>
  <Override PartName="/xl/drawings/drawing15.xml" ContentType="application/vnd.openxmlformats-officedocument.drawingml.chartshapes+xml"/>
  <Override PartName="/xl/charts/chart29.xml" ContentType="application/vnd.openxmlformats-officedocument.drawingml.chart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worksheets/sheet3.xml" ContentType="application/vnd.openxmlformats-officedocument.spreadsheetml.workshee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22.xml" ContentType="application/vnd.openxmlformats-officedocument.drawingml.chartshapes+xml"/>
  <Override PartName="/xl/drawings/drawing24.xml" ContentType="application/vnd.openxmlformats-officedocument.drawing+xml"/>
  <Override PartName="/xl/charts/chart27.xml" ContentType="application/vnd.openxmlformats-officedocument.drawingml.chart+xml"/>
  <Override PartName="/xl/charts/chart36.xml" ContentType="application/vnd.openxmlformats-officedocument.drawingml.chart+xml"/>
  <Override PartName="/xl/charts/chart38.xml" ContentType="application/vnd.openxmlformats-officedocument.drawingml.chart+xml"/>
  <Override PartName="/xl/charts/chart47.xml" ContentType="application/vnd.openxmlformats-officedocument.drawingml.chart+xml"/>
  <Override PartName="/xl/charts/chart56.xml" ContentType="application/vnd.openxmlformats-officedocument.drawingml.chart+xml"/>
  <Override PartName="/xl/worksheets/sheet1.xml" ContentType="application/vnd.openxmlformats-officedocument.spreadsheetml.workshee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20.xml" ContentType="application/vnd.openxmlformats-officedocument.drawingml.chartshapes+xml"/>
  <Override PartName="/xl/charts/chart25.xml" ContentType="application/vnd.openxmlformats-officedocument.drawingml.chart+xml"/>
  <Override PartName="/xl/charts/chart34.xml" ContentType="application/vnd.openxmlformats-officedocument.drawingml.chart+xml"/>
  <Override PartName="/xl/charts/chart45.xml" ContentType="application/vnd.openxmlformats-officedocument.drawingml.chart+xml"/>
  <Override PartName="/xl/charts/chart54.xml" ContentType="application/vnd.openxmlformats-officedocument.drawingml.chart+xml"/>
  <Override PartName="/xl/sharedStrings.xml" ContentType="application/vnd.openxmlformats-officedocument.spreadsheetml.sharedStrings+xml"/>
  <Override PartName="/xl/charts/chart14.xml" ContentType="application/vnd.openxmlformats-officedocument.drawingml.chart+xml"/>
  <Override PartName="/xl/charts/chart23.xml" ContentType="application/vnd.openxmlformats-officedocument.drawingml.chart+xml"/>
  <Override PartName="/xl/charts/chart32.xml" ContentType="application/vnd.openxmlformats-officedocument.drawingml.chart+xml"/>
  <Override PartName="/xl/charts/chart43.xml" ContentType="application/vnd.openxmlformats-officedocument.drawingml.chart+xml"/>
  <Override PartName="/xl/charts/chart52.xml" ContentType="application/vnd.openxmlformats-officedocument.drawingml.char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30.xml" ContentType="application/vnd.openxmlformats-officedocument.drawingml.chart+xml"/>
  <Override PartName="/xl/charts/chart41.xml" ContentType="application/vnd.openxmlformats-officedocument.drawingml.chart+xml"/>
  <Override PartName="/xl/charts/chart50.xml" ContentType="application/vnd.openxmlformats-officedocument.drawingml.char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16.xml" ContentType="application/vnd.openxmlformats-officedocument.drawingml.chartshapes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chart48.xml" ContentType="application/vnd.openxmlformats-officedocument.drawingml.chart+xml"/>
  <Override PartName="/xl/charts/chart57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23.xml" ContentType="application/vnd.openxmlformats-officedocument.drawingml.chartshapes+xml"/>
  <Override PartName="/xl/charts/chart28.xml" ContentType="application/vnd.openxmlformats-officedocument.drawingml.chart+xml"/>
  <Override PartName="/xl/charts/chart37.xml" ContentType="application/vnd.openxmlformats-officedocument.drawingml.chart+xml"/>
  <Override PartName="/xl/charts/chart46.xml" ContentType="application/vnd.openxmlformats-officedocument.drawingml.chart+xml"/>
  <Override PartName="/xl/charts/chart55.xml" ContentType="application/vnd.openxmlformats-officedocument.drawingml.chart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charts/chart17.xml" ContentType="application/vnd.openxmlformats-officedocument.drawingml.chart+xml"/>
  <Override PartName="/xl/drawings/drawing21.xml" ContentType="application/vnd.openxmlformats-officedocument.drawingml.chartshapes+xml"/>
  <Override PartName="/xl/charts/chart26.xml" ContentType="application/vnd.openxmlformats-officedocument.drawingml.chart+xml"/>
  <Override PartName="/xl/charts/chart35.xml" ContentType="application/vnd.openxmlformats-officedocument.drawingml.chart+xml"/>
  <Override PartName="/xl/charts/chart44.xml" ContentType="application/vnd.openxmlformats-officedocument.drawingml.chart+xml"/>
  <Override PartName="/xl/charts/chart53.xml" ContentType="application/vnd.openxmlformats-officedocument.drawingml.chart+xml"/>
  <Override PartName="/xl/calcChain.xml" ContentType="application/vnd.openxmlformats-officedocument.spreadsheetml.calcChain+xml"/>
  <Override PartName="/xl/drawings/drawing10.xml" ContentType="application/vnd.openxmlformats-officedocument.drawingml.chartshapes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hart24.xml" ContentType="application/vnd.openxmlformats-officedocument.drawingml.chart+xml"/>
  <Override PartName="/xl/charts/chart33.xml" ContentType="application/vnd.openxmlformats-officedocument.drawingml.chart+xml"/>
  <Override PartName="/xl/charts/chart42.xml" ContentType="application/vnd.openxmlformats-officedocument.drawingml.chart+xml"/>
  <Override PartName="/xl/charts/chart51.xml" ContentType="application/vnd.openxmlformats-officedocument.drawingml.char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31.xml" ContentType="application/vnd.openxmlformats-officedocument.drawingml.chart+xml"/>
  <Override PartName="/xl/charts/chart40.xml" ContentType="application/vnd.openxmlformats-officedocument.drawingml.chart+xml"/>
  <Override PartName="/docProps/core.xml" ContentType="application/vnd.openxmlformats-package.core-properties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theme/theme1.xml" ContentType="application/vnd.openxmlformats-officedocument.theme+xml"/>
  <Override PartName="/xl/drawings/drawing8.xml" ContentType="application/vnd.openxmlformats-officedocument.drawingml.chartshapes+xml"/>
  <Override PartName="/xl/drawings/drawing19.xml" ContentType="application/vnd.openxmlformats-officedocument.drawingml.chartshap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-15" yWindow="-15" windowWidth="18450" windowHeight="12435" tabRatio="827" activeTab="4"/>
  </bookViews>
  <sheets>
    <sheet name="Summary" sheetId="12" r:id="rId1"/>
    <sheet name="range0" sheetId="18" r:id="rId2"/>
    <sheet name="range1" sheetId="16" r:id="rId3"/>
    <sheet name="data0" sheetId="3" r:id="rId4"/>
    <sheet name="data1" sheetId="4" r:id="rId5"/>
    <sheet name="data2" sheetId="5" r:id="rId6"/>
    <sheet name="data4" sheetId="7" r:id="rId7"/>
    <sheet name="data5" sheetId="14" r:id="rId8"/>
  </sheets>
  <functionGroups/>
  <definedNames>
    <definedName name="Comp38">Summary!$I$8</definedName>
    <definedName name="Lux">Summary!$I$5</definedName>
    <definedName name="Ninput">Summary!$I$11</definedName>
    <definedName name="partNumber">Summary!$H$9</definedName>
    <definedName name="range0">Summary!$I$12</definedName>
    <definedName name="range1">Summary!$I$13</definedName>
    <definedName name="useDutAvg">Summary!$I$14</definedName>
  </definedNames>
  <calcPr calcId="125725" calcMode="manual"/>
</workbook>
</file>

<file path=xl/calcChain.xml><?xml version="1.0" encoding="utf-8"?>
<calcChain xmlns="http://schemas.openxmlformats.org/spreadsheetml/2006/main">
  <c r="C15" i="12"/>
  <c r="C14"/>
  <c r="C17" s="1"/>
  <c r="C13"/>
  <c r="C16" s="1"/>
  <c r="C12"/>
  <c r="P1" i="18"/>
  <c r="A167"/>
  <c r="C166"/>
  <c r="B166"/>
  <c r="B165"/>
  <c r="A131"/>
  <c r="C130"/>
  <c r="B130"/>
  <c r="B129"/>
  <c r="A99"/>
  <c r="F98"/>
  <c r="E98"/>
  <c r="D98"/>
  <c r="C98"/>
  <c r="B98"/>
  <c r="B97"/>
  <c r="L95"/>
  <c r="F73"/>
  <c r="F72"/>
  <c r="F71"/>
  <c r="F70"/>
  <c r="F69"/>
  <c r="F68"/>
  <c r="F67"/>
  <c r="F66"/>
  <c r="F65"/>
  <c r="A65"/>
  <c r="P64"/>
  <c r="C64"/>
  <c r="B64"/>
  <c r="B63"/>
  <c r="A34"/>
  <c r="V33"/>
  <c r="Y33" s="1"/>
  <c r="AB33" s="1"/>
  <c r="AE33" s="1"/>
  <c r="AH33" s="1"/>
  <c r="AK33" s="1"/>
  <c r="AN33" s="1"/>
  <c r="AQ33" s="1"/>
  <c r="AT33" s="1"/>
  <c r="AW33" s="1"/>
  <c r="AZ33" s="1"/>
  <c r="BC33" s="1"/>
  <c r="BF33" s="1"/>
  <c r="BI33" s="1"/>
  <c r="BL33" s="1"/>
  <c r="BO33" s="1"/>
  <c r="BR33" s="1"/>
  <c r="BU33" s="1"/>
  <c r="BX33" s="1"/>
  <c r="CA33" s="1"/>
  <c r="CD33" s="1"/>
  <c r="CG33" s="1"/>
  <c r="CJ33" s="1"/>
  <c r="CM33" s="1"/>
  <c r="CP33" s="1"/>
  <c r="CS33" s="1"/>
  <c r="CV33" s="1"/>
  <c r="CY33" s="1"/>
  <c r="DB33" s="1"/>
  <c r="DE33" s="1"/>
  <c r="DH33" s="1"/>
  <c r="U33"/>
  <c r="X33" s="1"/>
  <c r="AA33" s="1"/>
  <c r="AD33" s="1"/>
  <c r="AG33" s="1"/>
  <c r="AJ33" s="1"/>
  <c r="AM33" s="1"/>
  <c r="AP33" s="1"/>
  <c r="AS33" s="1"/>
  <c r="AV33" s="1"/>
  <c r="AY33" s="1"/>
  <c r="BB33" s="1"/>
  <c r="BE33" s="1"/>
  <c r="BH33" s="1"/>
  <c r="BK33" s="1"/>
  <c r="BN33" s="1"/>
  <c r="BQ33" s="1"/>
  <c r="BT33" s="1"/>
  <c r="BW33" s="1"/>
  <c r="BZ33" s="1"/>
  <c r="CC33" s="1"/>
  <c r="CF33" s="1"/>
  <c r="CI33" s="1"/>
  <c r="CL33" s="1"/>
  <c r="CO33" s="1"/>
  <c r="CR33" s="1"/>
  <c r="CU33" s="1"/>
  <c r="CX33" s="1"/>
  <c r="DA33" s="1"/>
  <c r="DD33" s="1"/>
  <c r="DG33" s="1"/>
  <c r="T33"/>
  <c r="W33" s="1"/>
  <c r="Z33" s="1"/>
  <c r="AC33" s="1"/>
  <c r="AF33" s="1"/>
  <c r="AI33" s="1"/>
  <c r="AL33" s="1"/>
  <c r="AO33" s="1"/>
  <c r="AR33" s="1"/>
  <c r="AU33" s="1"/>
  <c r="AX33" s="1"/>
  <c r="BA33" s="1"/>
  <c r="BD33" s="1"/>
  <c r="BG33" s="1"/>
  <c r="BJ33" s="1"/>
  <c r="BM33" s="1"/>
  <c r="BP33" s="1"/>
  <c r="BS33" s="1"/>
  <c r="BV33" s="1"/>
  <c r="BY33" s="1"/>
  <c r="CB33" s="1"/>
  <c r="CE33" s="1"/>
  <c r="CH33" s="1"/>
  <c r="CK33" s="1"/>
  <c r="CN33" s="1"/>
  <c r="CQ33" s="1"/>
  <c r="CT33" s="1"/>
  <c r="CW33" s="1"/>
  <c r="CZ33" s="1"/>
  <c r="DC33" s="1"/>
  <c r="DF33" s="1"/>
  <c r="P33"/>
  <c r="C33"/>
  <c r="B33"/>
  <c r="T32"/>
  <c r="B32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A5"/>
  <c r="C4"/>
  <c r="A4"/>
  <c r="AV2"/>
  <c r="CB2" s="1"/>
  <c r="DH2" s="1"/>
  <c r="AU2"/>
  <c r="CA2" s="1"/>
  <c r="DG2" s="1"/>
  <c r="AT2"/>
  <c r="BZ2" s="1"/>
  <c r="DF2" s="1"/>
  <c r="AS2"/>
  <c r="BY2" s="1"/>
  <c r="DE2" s="1"/>
  <c r="AR2"/>
  <c r="BX2" s="1"/>
  <c r="DD2" s="1"/>
  <c r="AQ2"/>
  <c r="BW2" s="1"/>
  <c r="DC2" s="1"/>
  <c r="AP2"/>
  <c r="BV2" s="1"/>
  <c r="DB2" s="1"/>
  <c r="AO2"/>
  <c r="BU2" s="1"/>
  <c r="DA2" s="1"/>
  <c r="AN2"/>
  <c r="BT2" s="1"/>
  <c r="CZ2" s="1"/>
  <c r="AM2"/>
  <c r="BS2" s="1"/>
  <c r="CY2" s="1"/>
  <c r="AL2"/>
  <c r="BR2" s="1"/>
  <c r="CX2" s="1"/>
  <c r="AK2"/>
  <c r="BQ2" s="1"/>
  <c r="CW2" s="1"/>
  <c r="AJ2"/>
  <c r="BP2" s="1"/>
  <c r="CV2" s="1"/>
  <c r="AI2"/>
  <c r="BO2" s="1"/>
  <c r="CU2" s="1"/>
  <c r="AH2"/>
  <c r="BN2" s="1"/>
  <c r="CT2" s="1"/>
  <c r="AG2"/>
  <c r="BM2" s="1"/>
  <c r="CS2" s="1"/>
  <c r="AF2"/>
  <c r="BL2" s="1"/>
  <c r="CR2" s="1"/>
  <c r="AE2"/>
  <c r="BK2" s="1"/>
  <c r="CQ2" s="1"/>
  <c r="AD2"/>
  <c r="BJ2" s="1"/>
  <c r="CP2" s="1"/>
  <c r="AC2"/>
  <c r="BI2" s="1"/>
  <c r="CO2" s="1"/>
  <c r="AB2"/>
  <c r="BH2" s="1"/>
  <c r="CN2" s="1"/>
  <c r="AA2"/>
  <c r="BG2" s="1"/>
  <c r="CM2" s="1"/>
  <c r="Z2"/>
  <c r="BF2" s="1"/>
  <c r="CL2" s="1"/>
  <c r="Y2"/>
  <c r="BE2" s="1"/>
  <c r="CK2" s="1"/>
  <c r="X2"/>
  <c r="BD2" s="1"/>
  <c r="CJ2" s="1"/>
  <c r="W2"/>
  <c r="BC2" s="1"/>
  <c r="CI2" s="1"/>
  <c r="V2"/>
  <c r="BB2" s="1"/>
  <c r="CH2" s="1"/>
  <c r="U2"/>
  <c r="BA2" s="1"/>
  <c r="CG2" s="1"/>
  <c r="T2"/>
  <c r="AZ2" s="1"/>
  <c r="CF2" s="1"/>
  <c r="S2"/>
  <c r="AY2" s="1"/>
  <c r="CE2" s="1"/>
  <c r="R2"/>
  <c r="AX2" s="1"/>
  <c r="CD2" s="1"/>
  <c r="Q2"/>
  <c r="AW2" s="1"/>
  <c r="CC2" s="1"/>
  <c r="K2"/>
  <c r="O2" s="1"/>
  <c r="O98" s="1"/>
  <c r="J2"/>
  <c r="J98" s="1"/>
  <c r="I2"/>
  <c r="I98" s="1"/>
  <c r="H2"/>
  <c r="H98" s="1"/>
  <c r="L95" i="16"/>
  <c r="F98"/>
  <c r="E98"/>
  <c r="D98"/>
  <c r="P64"/>
  <c r="F73"/>
  <c r="F72"/>
  <c r="F71"/>
  <c r="F70"/>
  <c r="F69"/>
  <c r="F68"/>
  <c r="F67"/>
  <c r="F66"/>
  <c r="F65"/>
  <c r="A167"/>
  <c r="B165"/>
  <c r="C166"/>
  <c r="B166"/>
  <c r="DC130" i="18"/>
  <c r="CW130"/>
  <c r="CQ130"/>
  <c r="CK130"/>
  <c r="CE130"/>
  <c r="BV130"/>
  <c r="BM130"/>
  <c r="BG130"/>
  <c r="BA130"/>
  <c r="AU130"/>
  <c r="AO130"/>
  <c r="AI130"/>
  <c r="Z130"/>
  <c r="T130"/>
  <c r="DF130"/>
  <c r="CZ130"/>
  <c r="CT130"/>
  <c r="CN130"/>
  <c r="CH130"/>
  <c r="BY130"/>
  <c r="BP130"/>
  <c r="BJ130"/>
  <c r="BD130"/>
  <c r="AX130"/>
  <c r="AR130"/>
  <c r="AL130"/>
  <c r="AC130"/>
  <c r="W130"/>
  <c r="Q130"/>
  <c r="C101" l="1"/>
  <c r="C67"/>
  <c r="C36"/>
  <c r="C71"/>
  <c r="C40"/>
  <c r="C75"/>
  <c r="C44"/>
  <c r="A101"/>
  <c r="A67"/>
  <c r="A36"/>
  <c r="A6"/>
  <c r="C69"/>
  <c r="C38"/>
  <c r="C73"/>
  <c r="C42"/>
  <c r="L2"/>
  <c r="L98" s="1"/>
  <c r="N2"/>
  <c r="N98" s="1"/>
  <c r="M2"/>
  <c r="M98" s="1"/>
  <c r="C77"/>
  <c r="C46"/>
  <c r="C79"/>
  <c r="C48"/>
  <c r="C81"/>
  <c r="C50"/>
  <c r="C83"/>
  <c r="C52"/>
  <c r="C85"/>
  <c r="C54"/>
  <c r="C87"/>
  <c r="C56"/>
  <c r="C89"/>
  <c r="C58"/>
  <c r="A100"/>
  <c r="A66"/>
  <c r="A35"/>
  <c r="C100"/>
  <c r="C66"/>
  <c r="C35"/>
  <c r="C102"/>
  <c r="C68"/>
  <c r="C37"/>
  <c r="C70"/>
  <c r="C39"/>
  <c r="C72"/>
  <c r="C41"/>
  <c r="C74"/>
  <c r="C43"/>
  <c r="C76"/>
  <c r="C45"/>
  <c r="C78"/>
  <c r="C47"/>
  <c r="C80"/>
  <c r="C49"/>
  <c r="C82"/>
  <c r="C51"/>
  <c r="C84"/>
  <c r="C53"/>
  <c r="C86"/>
  <c r="C55"/>
  <c r="C88"/>
  <c r="C57"/>
  <c r="W32"/>
  <c r="H166"/>
  <c r="J160"/>
  <c r="I166"/>
  <c r="K160"/>
  <c r="J166"/>
  <c r="L160"/>
  <c r="K166"/>
  <c r="M160"/>
  <c r="L166"/>
  <c r="L130"/>
  <c r="M166"/>
  <c r="M130"/>
  <c r="N166"/>
  <c r="N130"/>
  <c r="O166"/>
  <c r="O130"/>
  <c r="A168"/>
  <c r="A132"/>
  <c r="C168"/>
  <c r="C132"/>
  <c r="A169"/>
  <c r="A133"/>
  <c r="C169"/>
  <c r="C133"/>
  <c r="A170"/>
  <c r="A134"/>
  <c r="C170"/>
  <c r="C134"/>
  <c r="C171"/>
  <c r="C135"/>
  <c r="C103"/>
  <c r="C172"/>
  <c r="C136"/>
  <c r="C104"/>
  <c r="C173"/>
  <c r="C137"/>
  <c r="C105"/>
  <c r="C174"/>
  <c r="C138"/>
  <c r="C106"/>
  <c r="C175"/>
  <c r="C139"/>
  <c r="C107"/>
  <c r="C176"/>
  <c r="C140"/>
  <c r="C108"/>
  <c r="C177"/>
  <c r="C141"/>
  <c r="C109"/>
  <c r="C178"/>
  <c r="C142"/>
  <c r="C110"/>
  <c r="C179"/>
  <c r="C143"/>
  <c r="C111"/>
  <c r="C180"/>
  <c r="C144"/>
  <c r="C112"/>
  <c r="C181"/>
  <c r="C145"/>
  <c r="C113"/>
  <c r="C182"/>
  <c r="C146"/>
  <c r="C114"/>
  <c r="C183"/>
  <c r="C147"/>
  <c r="C115"/>
  <c r="C184"/>
  <c r="C148"/>
  <c r="C116"/>
  <c r="C185"/>
  <c r="C149"/>
  <c r="C117"/>
  <c r="C186"/>
  <c r="C150"/>
  <c r="C118"/>
  <c r="C187"/>
  <c r="C151"/>
  <c r="C119"/>
  <c r="C188"/>
  <c r="C152"/>
  <c r="C120"/>
  <c r="C189"/>
  <c r="C153"/>
  <c r="C121"/>
  <c r="C190"/>
  <c r="C154"/>
  <c r="C122"/>
  <c r="C191"/>
  <c r="C155"/>
  <c r="C123"/>
  <c r="B63" i="16"/>
  <c r="C64"/>
  <c r="B64"/>
  <c r="A65"/>
  <c r="P33"/>
  <c r="A34"/>
  <c r="C33"/>
  <c r="B32"/>
  <c r="B33"/>
  <c r="L26" i="7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4"/>
  <c r="L3"/>
  <c r="L2"/>
  <c r="A131" i="16"/>
  <c r="B129"/>
  <c r="C130"/>
  <c r="B130"/>
  <c r="A99"/>
  <c r="C98"/>
  <c r="B98"/>
  <c r="B97"/>
  <c r="V33"/>
  <c r="Y33" s="1"/>
  <c r="AB33" s="1"/>
  <c r="AE33" s="1"/>
  <c r="AH33" s="1"/>
  <c r="AK33" s="1"/>
  <c r="AN33" s="1"/>
  <c r="AQ33" s="1"/>
  <c r="AT33" s="1"/>
  <c r="AW33" s="1"/>
  <c r="AZ33" s="1"/>
  <c r="BC33" s="1"/>
  <c r="BF33" s="1"/>
  <c r="BI33" s="1"/>
  <c r="BL33" s="1"/>
  <c r="BO33" s="1"/>
  <c r="BR33" s="1"/>
  <c r="BU33" s="1"/>
  <c r="BX33" s="1"/>
  <c r="CA33" s="1"/>
  <c r="CD33" s="1"/>
  <c r="CG33" s="1"/>
  <c r="CJ33" s="1"/>
  <c r="CM33" s="1"/>
  <c r="CP33" s="1"/>
  <c r="CS33" s="1"/>
  <c r="CV33" s="1"/>
  <c r="CY33" s="1"/>
  <c r="DB33" s="1"/>
  <c r="DE33" s="1"/>
  <c r="DH33" s="1"/>
  <c r="U33"/>
  <c r="X33" s="1"/>
  <c r="AA33" s="1"/>
  <c r="AD33" s="1"/>
  <c r="AG33" s="1"/>
  <c r="AJ33" s="1"/>
  <c r="AM33" s="1"/>
  <c r="AP33" s="1"/>
  <c r="AS33" s="1"/>
  <c r="AV33" s="1"/>
  <c r="AY33" s="1"/>
  <c r="BB33" s="1"/>
  <c r="BE33" s="1"/>
  <c r="BH33" s="1"/>
  <c r="BK33" s="1"/>
  <c r="BN33" s="1"/>
  <c r="BQ33" s="1"/>
  <c r="BT33" s="1"/>
  <c r="BW33" s="1"/>
  <c r="BZ33" s="1"/>
  <c r="CC33" s="1"/>
  <c r="CF33" s="1"/>
  <c r="CI33" s="1"/>
  <c r="CL33" s="1"/>
  <c r="CO33" s="1"/>
  <c r="CR33" s="1"/>
  <c r="CU33" s="1"/>
  <c r="CX33" s="1"/>
  <c r="DA33" s="1"/>
  <c r="DD33" s="1"/>
  <c r="DG33" s="1"/>
  <c r="T33"/>
  <c r="W33" s="1"/>
  <c r="Z33" s="1"/>
  <c r="AC33" s="1"/>
  <c r="AF33" s="1"/>
  <c r="AI33" s="1"/>
  <c r="AL33" s="1"/>
  <c r="AO33" s="1"/>
  <c r="AR33" s="1"/>
  <c r="AU33" s="1"/>
  <c r="AX33" s="1"/>
  <c r="BA33" s="1"/>
  <c r="BD33" s="1"/>
  <c r="BG33" s="1"/>
  <c r="BJ33" s="1"/>
  <c r="BM33" s="1"/>
  <c r="BP33" s="1"/>
  <c r="BS33" s="1"/>
  <c r="BV33" s="1"/>
  <c r="BY33" s="1"/>
  <c r="CB33" s="1"/>
  <c r="CE33" s="1"/>
  <c r="CH33" s="1"/>
  <c r="CK33" s="1"/>
  <c r="CN33" s="1"/>
  <c r="CQ33" s="1"/>
  <c r="CT33" s="1"/>
  <c r="CW33" s="1"/>
  <c r="CZ33" s="1"/>
  <c r="DC33" s="1"/>
  <c r="DF33" s="1"/>
  <c r="T32"/>
  <c r="W32" s="1"/>
  <c r="Z32" s="1"/>
  <c r="CN130"/>
  <c r="BJ130"/>
  <c r="AL130"/>
  <c r="DC130"/>
  <c r="DF130"/>
  <c r="CH130"/>
  <c r="BD130"/>
  <c r="AC130"/>
  <c r="CW130"/>
  <c r="BV130"/>
  <c r="AU130"/>
  <c r="T130"/>
  <c r="BM130"/>
  <c r="AO130"/>
  <c r="Z130"/>
  <c r="CZ130"/>
  <c r="BY130"/>
  <c r="AX130"/>
  <c r="W130"/>
  <c r="CQ130"/>
  <c r="CT130"/>
  <c r="BP130"/>
  <c r="AR130"/>
  <c r="Q130"/>
  <c r="CK130"/>
  <c r="BG130"/>
  <c r="AI130"/>
  <c r="CE130"/>
  <c r="BA130"/>
  <c r="A102" i="18" l="1"/>
  <c r="A68"/>
  <c r="A37"/>
  <c r="A7"/>
  <c r="Z32"/>
  <c r="H97"/>
  <c r="AC32" i="16"/>
  <c r="AC32" i="18" l="1"/>
  <c r="A69"/>
  <c r="A38"/>
  <c r="A8"/>
  <c r="A135"/>
  <c r="A171"/>
  <c r="A103"/>
  <c r="AF32" i="16"/>
  <c r="AI32" s="1"/>
  <c r="AF32" i="18" l="1"/>
  <c r="AI32" s="1"/>
  <c r="A70"/>
  <c r="A39"/>
  <c r="A9"/>
  <c r="A172"/>
  <c r="A104"/>
  <c r="A136"/>
  <c r="AL32" i="16"/>
  <c r="A71" i="18" l="1"/>
  <c r="A40"/>
  <c r="A10"/>
  <c r="A137"/>
  <c r="A173"/>
  <c r="A105"/>
  <c r="AL32"/>
  <c r="AO32" i="16"/>
  <c r="AO32" i="18" l="1"/>
  <c r="A72"/>
  <c r="A41"/>
  <c r="A11"/>
  <c r="A174"/>
  <c r="A106"/>
  <c r="A138"/>
  <c r="AR32" i="16"/>
  <c r="AR32" i="18" l="1"/>
  <c r="A73"/>
  <c r="A42"/>
  <c r="A12"/>
  <c r="A139"/>
  <c r="A175"/>
  <c r="A107"/>
  <c r="AU32" i="16"/>
  <c r="A74" i="18" l="1"/>
  <c r="A43"/>
  <c r="A13"/>
  <c r="A176"/>
  <c r="A108"/>
  <c r="A140"/>
  <c r="AU32"/>
  <c r="AX32" i="16"/>
  <c r="A75" i="18" l="1"/>
  <c r="A44"/>
  <c r="A14"/>
  <c r="A141"/>
  <c r="A177"/>
  <c r="A109"/>
  <c r="AX32"/>
  <c r="BA32" i="16"/>
  <c r="BA32" i="18" l="1"/>
  <c r="A76"/>
  <c r="A45"/>
  <c r="A15"/>
  <c r="A178"/>
  <c r="A110"/>
  <c r="A142"/>
  <c r="BD32" i="16"/>
  <c r="A77" i="18" l="1"/>
  <c r="A46"/>
  <c r="A16"/>
  <c r="A143"/>
  <c r="A179"/>
  <c r="A111"/>
  <c r="BD32"/>
  <c r="BG32" i="16"/>
  <c r="BG32" i="18" l="1"/>
  <c r="A78"/>
  <c r="A47"/>
  <c r="A17"/>
  <c r="A180"/>
  <c r="A112"/>
  <c r="A144"/>
  <c r="BJ32" i="16"/>
  <c r="BJ32" i="18" l="1"/>
  <c r="A79"/>
  <c r="A48"/>
  <c r="A18"/>
  <c r="A145"/>
  <c r="A181"/>
  <c r="A113"/>
  <c r="BM32" i="16"/>
  <c r="BM32" i="18" l="1"/>
  <c r="A80"/>
  <c r="A49"/>
  <c r="A19"/>
  <c r="A182"/>
  <c r="A114"/>
  <c r="A146"/>
  <c r="BP32" i="16"/>
  <c r="BP32" i="18" l="1"/>
  <c r="A81"/>
  <c r="A50"/>
  <c r="A20"/>
  <c r="A147"/>
  <c r="A183"/>
  <c r="A115"/>
  <c r="BS32" i="16"/>
  <c r="BV32" s="1"/>
  <c r="BS32" i="18" l="1"/>
  <c r="BV32" s="1"/>
  <c r="A82"/>
  <c r="A51"/>
  <c r="A21"/>
  <c r="A184"/>
  <c r="A116"/>
  <c r="A148"/>
  <c r="BY32" i="16"/>
  <c r="BY32" i="18" l="1"/>
  <c r="A83"/>
  <c r="A52"/>
  <c r="A22"/>
  <c r="A149"/>
  <c r="A185"/>
  <c r="A117"/>
  <c r="CB32" i="16"/>
  <c r="CE32" s="1"/>
  <c r="CB32" i="18" l="1"/>
  <c r="CE32" s="1"/>
  <c r="A84"/>
  <c r="A53"/>
  <c r="A23"/>
  <c r="A186"/>
  <c r="A118"/>
  <c r="A150"/>
  <c r="CH32" i="16"/>
  <c r="A85" i="18" l="1"/>
  <c r="A54"/>
  <c r="A24"/>
  <c r="A151"/>
  <c r="A187"/>
  <c r="A119"/>
  <c r="CH32"/>
  <c r="CK32" i="16"/>
  <c r="CK32" i="18" l="1"/>
  <c r="A86"/>
  <c r="A55"/>
  <c r="A25"/>
  <c r="A188"/>
  <c r="A120"/>
  <c r="A152"/>
  <c r="CN32" i="16"/>
  <c r="CN32" i="18" l="1"/>
  <c r="A87"/>
  <c r="A56"/>
  <c r="A26"/>
  <c r="A153"/>
  <c r="A189"/>
  <c r="A121"/>
  <c r="CQ32" i="16"/>
  <c r="CQ32" i="18" l="1"/>
  <c r="A88"/>
  <c r="A57"/>
  <c r="A27"/>
  <c r="A190"/>
  <c r="A122"/>
  <c r="A154"/>
  <c r="CT32" i="16"/>
  <c r="CT32" i="18" l="1"/>
  <c r="A89"/>
  <c r="A58"/>
  <c r="A155"/>
  <c r="A191"/>
  <c r="A123"/>
  <c r="CW32" i="16"/>
  <c r="CW32" i="18" l="1"/>
  <c r="CZ32" i="16"/>
  <c r="CZ32" i="18" l="1"/>
  <c r="DC32" i="16"/>
  <c r="DC32" i="18" l="1"/>
  <c r="DF32" i="16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A4"/>
  <c r="AV2"/>
  <c r="CB2" s="1"/>
  <c r="DH2" s="1"/>
  <c r="AU2"/>
  <c r="CA2" s="1"/>
  <c r="DG2" s="1"/>
  <c r="AT2"/>
  <c r="BZ2" s="1"/>
  <c r="DF2" s="1"/>
  <c r="AS2"/>
  <c r="BY2" s="1"/>
  <c r="DE2" s="1"/>
  <c r="AR2"/>
  <c r="BX2" s="1"/>
  <c r="DD2" s="1"/>
  <c r="AQ2"/>
  <c r="BW2" s="1"/>
  <c r="DC2" s="1"/>
  <c r="AP2"/>
  <c r="BV2" s="1"/>
  <c r="DB2" s="1"/>
  <c r="AO2"/>
  <c r="BU2" s="1"/>
  <c r="DA2" s="1"/>
  <c r="AN2"/>
  <c r="BT2" s="1"/>
  <c r="CZ2" s="1"/>
  <c r="AM2"/>
  <c r="BS2" s="1"/>
  <c r="CY2" s="1"/>
  <c r="AL2"/>
  <c r="BR2" s="1"/>
  <c r="CX2" s="1"/>
  <c r="AK2"/>
  <c r="BQ2" s="1"/>
  <c r="CW2" s="1"/>
  <c r="AJ2"/>
  <c r="BP2" s="1"/>
  <c r="CV2" s="1"/>
  <c r="AI2"/>
  <c r="BO2" s="1"/>
  <c r="CU2" s="1"/>
  <c r="AH2"/>
  <c r="BN2" s="1"/>
  <c r="CT2" s="1"/>
  <c r="AG2"/>
  <c r="BM2" s="1"/>
  <c r="CS2" s="1"/>
  <c r="AF2"/>
  <c r="BL2" s="1"/>
  <c r="CR2" s="1"/>
  <c r="AE2"/>
  <c r="BK2" s="1"/>
  <c r="CQ2" s="1"/>
  <c r="AD2"/>
  <c r="BJ2" s="1"/>
  <c r="CP2" s="1"/>
  <c r="AC2"/>
  <c r="BI2" s="1"/>
  <c r="CO2" s="1"/>
  <c r="AB2"/>
  <c r="BH2" s="1"/>
  <c r="CN2" s="1"/>
  <c r="AA2"/>
  <c r="BG2" s="1"/>
  <c r="CM2" s="1"/>
  <c r="Z2"/>
  <c r="BF2" s="1"/>
  <c r="CL2" s="1"/>
  <c r="Y2"/>
  <c r="BE2" s="1"/>
  <c r="CK2" s="1"/>
  <c r="X2"/>
  <c r="BD2" s="1"/>
  <c r="CJ2" s="1"/>
  <c r="W2"/>
  <c r="BC2" s="1"/>
  <c r="CI2" s="1"/>
  <c r="V2"/>
  <c r="BB2" s="1"/>
  <c r="CH2" s="1"/>
  <c r="U2"/>
  <c r="BA2" s="1"/>
  <c r="CG2" s="1"/>
  <c r="T2"/>
  <c r="AZ2" s="1"/>
  <c r="CF2" s="1"/>
  <c r="S2"/>
  <c r="AY2" s="1"/>
  <c r="CE2" s="1"/>
  <c r="R2"/>
  <c r="AX2" s="1"/>
  <c r="CD2" s="1"/>
  <c r="Q2"/>
  <c r="AW2" s="1"/>
  <c r="CC2" s="1"/>
  <c r="K2"/>
  <c r="J2"/>
  <c r="I2"/>
  <c r="H2"/>
  <c r="DF32" i="18" l="1"/>
  <c r="M2" i="16"/>
  <c r="M166" s="1"/>
  <c r="K160"/>
  <c r="I166"/>
  <c r="I98"/>
  <c r="O2"/>
  <c r="O166" s="1"/>
  <c r="M160"/>
  <c r="K166"/>
  <c r="L2"/>
  <c r="L166" s="1"/>
  <c r="H98"/>
  <c r="J160"/>
  <c r="H166"/>
  <c r="N2"/>
  <c r="N166" s="1"/>
  <c r="J98"/>
  <c r="L160"/>
  <c r="J166"/>
  <c r="A66"/>
  <c r="A168"/>
  <c r="C67"/>
  <c r="C169"/>
  <c r="C69"/>
  <c r="C171"/>
  <c r="C70"/>
  <c r="C172"/>
  <c r="C72"/>
  <c r="C174"/>
  <c r="C74"/>
  <c r="C176"/>
  <c r="C77"/>
  <c r="C179"/>
  <c r="C79"/>
  <c r="C181"/>
  <c r="C80"/>
  <c r="C182"/>
  <c r="C82"/>
  <c r="C184"/>
  <c r="C84"/>
  <c r="C186"/>
  <c r="C86"/>
  <c r="C188"/>
  <c r="C88"/>
  <c r="C190"/>
  <c r="C66"/>
  <c r="C168"/>
  <c r="C68"/>
  <c r="C170"/>
  <c r="C71"/>
  <c r="C173"/>
  <c r="C73"/>
  <c r="C175"/>
  <c r="C75"/>
  <c r="C177"/>
  <c r="C76"/>
  <c r="C178"/>
  <c r="C78"/>
  <c r="C180"/>
  <c r="C81"/>
  <c r="C183"/>
  <c r="C83"/>
  <c r="C185"/>
  <c r="C85"/>
  <c r="C187"/>
  <c r="C87"/>
  <c r="C189"/>
  <c r="C89"/>
  <c r="C191"/>
  <c r="L98"/>
  <c r="L130"/>
  <c r="N98"/>
  <c r="N130"/>
  <c r="M98"/>
  <c r="M130"/>
  <c r="O98"/>
  <c r="O130"/>
  <c r="A35"/>
  <c r="A132"/>
  <c r="A100"/>
  <c r="A5"/>
  <c r="A169" s="1"/>
  <c r="C100"/>
  <c r="C132"/>
  <c r="C35"/>
  <c r="C101"/>
  <c r="C133"/>
  <c r="C36"/>
  <c r="C103"/>
  <c r="C135"/>
  <c r="C38"/>
  <c r="C104"/>
  <c r="C136"/>
  <c r="C39"/>
  <c r="C106"/>
  <c r="C138"/>
  <c r="C41"/>
  <c r="C108"/>
  <c r="C140"/>
  <c r="C43"/>
  <c r="C111"/>
  <c r="C143"/>
  <c r="C46"/>
  <c r="C113"/>
  <c r="C145"/>
  <c r="C48"/>
  <c r="C114"/>
  <c r="C146"/>
  <c r="C49"/>
  <c r="C116"/>
  <c r="C148"/>
  <c r="C51"/>
  <c r="C118"/>
  <c r="C150"/>
  <c r="C53"/>
  <c r="C120"/>
  <c r="C152"/>
  <c r="C55"/>
  <c r="C122"/>
  <c r="C154"/>
  <c r="C57"/>
  <c r="C102"/>
  <c r="C134"/>
  <c r="C37"/>
  <c r="C105"/>
  <c r="C137"/>
  <c r="C40"/>
  <c r="C107"/>
  <c r="C139"/>
  <c r="C42"/>
  <c r="C109"/>
  <c r="C141"/>
  <c r="C44"/>
  <c r="C110"/>
  <c r="C142"/>
  <c r="C45"/>
  <c r="C112"/>
  <c r="C144"/>
  <c r="C47"/>
  <c r="C115"/>
  <c r="C147"/>
  <c r="C50"/>
  <c r="C117"/>
  <c r="C149"/>
  <c r="C52"/>
  <c r="C119"/>
  <c r="C151"/>
  <c r="C54"/>
  <c r="C121"/>
  <c r="C153"/>
  <c r="C56"/>
  <c r="C123"/>
  <c r="C155"/>
  <c r="C58"/>
  <c r="D71" i="3"/>
  <c r="S18" i="18" s="1"/>
  <c r="W49"/>
  <c r="H96" l="1"/>
  <c r="P1" i="16"/>
  <c r="H97"/>
  <c r="A6"/>
  <c r="A67"/>
  <c r="A37"/>
  <c r="A36"/>
  <c r="A133"/>
  <c r="A101"/>
  <c r="A84" i="5"/>
  <c r="A83"/>
  <c r="A58"/>
  <c r="A86" s="1"/>
  <c r="A57"/>
  <c r="A85" s="1"/>
  <c r="C55"/>
  <c r="C83" s="1"/>
  <c r="B55"/>
  <c r="B83" s="1"/>
  <c r="A84" i="4"/>
  <c r="A83"/>
  <c r="A58"/>
  <c r="A86" s="1"/>
  <c r="A57"/>
  <c r="A85" s="1"/>
  <c r="C55"/>
  <c r="C83" s="1"/>
  <c r="B55"/>
  <c r="B83" s="1"/>
  <c r="Q55" i="3"/>
  <c r="Q76" s="1"/>
  <c r="AF23" i="18" s="1"/>
  <c r="O108" i="3"/>
  <c r="AD27" i="16" s="1"/>
  <c r="N108" i="3"/>
  <c r="AC27" i="16" s="1"/>
  <c r="M108" i="3"/>
  <c r="AB27" i="16" s="1"/>
  <c r="L108" i="3"/>
  <c r="AA27" i="16" s="1"/>
  <c r="K108" i="3"/>
  <c r="Z27" i="16" s="1"/>
  <c r="J108" i="3"/>
  <c r="Y27" i="16" s="1"/>
  <c r="I108" i="3"/>
  <c r="X27" i="16" s="1"/>
  <c r="H108" i="3"/>
  <c r="W27" i="16" s="1"/>
  <c r="G108" i="3"/>
  <c r="F108"/>
  <c r="U27" i="16" s="1"/>
  <c r="E108" i="3"/>
  <c r="T27" i="16" s="1"/>
  <c r="D108" i="3"/>
  <c r="S27" i="16" s="1"/>
  <c r="C108" i="3"/>
  <c r="R27" i="16" s="1"/>
  <c r="B108" i="3"/>
  <c r="Q27" i="16" s="1"/>
  <c r="O107" i="3"/>
  <c r="AD26" i="16" s="1"/>
  <c r="N107" i="3"/>
  <c r="AC26" i="16" s="1"/>
  <c r="M107" i="3"/>
  <c r="AB26" i="16" s="1"/>
  <c r="L107" i="3"/>
  <c r="AA26" i="16" s="1"/>
  <c r="K107" i="3"/>
  <c r="Z26" i="16" s="1"/>
  <c r="J107" i="3"/>
  <c r="Y26" i="16" s="1"/>
  <c r="I107" i="3"/>
  <c r="X26" i="16" s="1"/>
  <c r="H107" i="3"/>
  <c r="W26" i="16" s="1"/>
  <c r="G107" i="3"/>
  <c r="F107"/>
  <c r="U26" i="16" s="1"/>
  <c r="E107" i="3"/>
  <c r="T26" i="16" s="1"/>
  <c r="D107" i="3"/>
  <c r="S26" i="16" s="1"/>
  <c r="C107" i="3"/>
  <c r="R26" i="16" s="1"/>
  <c r="B107" i="3"/>
  <c r="Q26" i="16" s="1"/>
  <c r="O106" i="3"/>
  <c r="AD25" i="16" s="1"/>
  <c r="N106" i="3"/>
  <c r="AC25" i="16" s="1"/>
  <c r="M106" i="3"/>
  <c r="AB25" i="16" s="1"/>
  <c r="L106" i="3"/>
  <c r="AA25" i="16" s="1"/>
  <c r="K106" i="3"/>
  <c r="Z25" i="16" s="1"/>
  <c r="J106" i="3"/>
  <c r="Y25" i="16" s="1"/>
  <c r="I106" i="3"/>
  <c r="X25" i="16" s="1"/>
  <c r="H106" i="3"/>
  <c r="W25" i="16" s="1"/>
  <c r="G106" i="3"/>
  <c r="F106"/>
  <c r="U25" i="16" s="1"/>
  <c r="E106" i="3"/>
  <c r="T25" i="16" s="1"/>
  <c r="D106" i="3"/>
  <c r="S25" i="16" s="1"/>
  <c r="C106" i="3"/>
  <c r="R25" i="16" s="1"/>
  <c r="B106" i="3"/>
  <c r="Q25" i="16" s="1"/>
  <c r="O105" i="3"/>
  <c r="AD24" i="16" s="1"/>
  <c r="N105" i="3"/>
  <c r="AC24" i="16" s="1"/>
  <c r="M105" i="3"/>
  <c r="AB24" i="16" s="1"/>
  <c r="L105" i="3"/>
  <c r="AA24" i="16" s="1"/>
  <c r="K105" i="3"/>
  <c r="Z24" i="16" s="1"/>
  <c r="J105" i="3"/>
  <c r="Y24" i="16" s="1"/>
  <c r="I105" i="3"/>
  <c r="X24" i="16" s="1"/>
  <c r="H105" i="3"/>
  <c r="W24" i="16" s="1"/>
  <c r="G105" i="3"/>
  <c r="F105"/>
  <c r="U24" i="16" s="1"/>
  <c r="E105" i="3"/>
  <c r="T24" i="16" s="1"/>
  <c r="D105" i="3"/>
  <c r="S24" i="16" s="1"/>
  <c r="C105" i="3"/>
  <c r="R24" i="16" s="1"/>
  <c r="B105" i="3"/>
  <c r="Q24" i="16" s="1"/>
  <c r="O104" i="3"/>
  <c r="AD23" i="16" s="1"/>
  <c r="N104" i="3"/>
  <c r="AC23" i="16" s="1"/>
  <c r="M104" i="3"/>
  <c r="AB23" i="16" s="1"/>
  <c r="L104" i="3"/>
  <c r="AA23" i="16" s="1"/>
  <c r="K104" i="3"/>
  <c r="Z23" i="16" s="1"/>
  <c r="J104" i="3"/>
  <c r="Y23" i="16" s="1"/>
  <c r="I104" i="3"/>
  <c r="X23" i="16" s="1"/>
  <c r="H104" i="3"/>
  <c r="W23" i="16" s="1"/>
  <c r="G104" i="3"/>
  <c r="F104"/>
  <c r="U23" i="16" s="1"/>
  <c r="E104" i="3"/>
  <c r="T23" i="16" s="1"/>
  <c r="D104" i="3"/>
  <c r="S23" i="16" s="1"/>
  <c r="C104" i="3"/>
  <c r="R23" i="16" s="1"/>
  <c r="B104" i="3"/>
  <c r="Q23" i="16" s="1"/>
  <c r="O103" i="3"/>
  <c r="AD22" i="16" s="1"/>
  <c r="N103" i="3"/>
  <c r="AC22" i="16" s="1"/>
  <c r="M103" i="3"/>
  <c r="AB22" i="16" s="1"/>
  <c r="L103" i="3"/>
  <c r="AA22" i="16" s="1"/>
  <c r="K103" i="3"/>
  <c r="Z22" i="16" s="1"/>
  <c r="J103" i="3"/>
  <c r="Y22" i="16" s="1"/>
  <c r="I103" i="3"/>
  <c r="X22" i="16" s="1"/>
  <c r="H103" i="3"/>
  <c r="W22" i="16" s="1"/>
  <c r="G103" i="3"/>
  <c r="F103"/>
  <c r="U22" i="16" s="1"/>
  <c r="E103" i="3"/>
  <c r="T22" i="16" s="1"/>
  <c r="D103" i="3"/>
  <c r="S22" i="16" s="1"/>
  <c r="C103" i="3"/>
  <c r="R22" i="16" s="1"/>
  <c r="B103" i="3"/>
  <c r="Q22" i="16" s="1"/>
  <c r="O102" i="3"/>
  <c r="AD21" i="16" s="1"/>
  <c r="N102" i="3"/>
  <c r="AC21" i="16" s="1"/>
  <c r="M102" i="3"/>
  <c r="AB21" i="16" s="1"/>
  <c r="L102" i="3"/>
  <c r="AA21" i="16" s="1"/>
  <c r="K102" i="3"/>
  <c r="Z21" i="16" s="1"/>
  <c r="J102" i="3"/>
  <c r="Y21" i="16" s="1"/>
  <c r="I102" i="3"/>
  <c r="X21" i="16" s="1"/>
  <c r="H102" i="3"/>
  <c r="W21" i="16" s="1"/>
  <c r="G102" i="3"/>
  <c r="F102"/>
  <c r="U21" i="16" s="1"/>
  <c r="E102" i="3"/>
  <c r="T21" i="16" s="1"/>
  <c r="D102" i="3"/>
  <c r="S21" i="16" s="1"/>
  <c r="C102" i="3"/>
  <c r="R21" i="16" s="1"/>
  <c r="B102" i="3"/>
  <c r="Q21" i="16" s="1"/>
  <c r="O101" i="3"/>
  <c r="AD20" i="16" s="1"/>
  <c r="N101" i="3"/>
  <c r="AC20" i="16" s="1"/>
  <c r="M101" i="3"/>
  <c r="AB20" i="16" s="1"/>
  <c r="L101" i="3"/>
  <c r="AA20" i="16" s="1"/>
  <c r="K101" i="3"/>
  <c r="Z20" i="16" s="1"/>
  <c r="J101" i="3"/>
  <c r="Y20" i="16" s="1"/>
  <c r="I101" i="3"/>
  <c r="X20" i="16" s="1"/>
  <c r="H101" i="3"/>
  <c r="W20" i="16" s="1"/>
  <c r="G101" i="3"/>
  <c r="F101"/>
  <c r="U20" i="16" s="1"/>
  <c r="E101" i="3"/>
  <c r="T20" i="16" s="1"/>
  <c r="D101" i="3"/>
  <c r="S20" i="16" s="1"/>
  <c r="C101" i="3"/>
  <c r="R20" i="16" s="1"/>
  <c r="B101" i="3"/>
  <c r="Q20" i="16" s="1"/>
  <c r="O100" i="3"/>
  <c r="AD19" i="16" s="1"/>
  <c r="N100" i="3"/>
  <c r="AC19" i="16" s="1"/>
  <c r="M100" i="3"/>
  <c r="AB19" i="16" s="1"/>
  <c r="L100" i="3"/>
  <c r="AA19" i="16" s="1"/>
  <c r="K100" i="3"/>
  <c r="Z19" i="16" s="1"/>
  <c r="J100" i="3"/>
  <c r="Y19" i="16" s="1"/>
  <c r="I100" i="3"/>
  <c r="X19" i="16" s="1"/>
  <c r="H100" i="3"/>
  <c r="W19" i="16" s="1"/>
  <c r="G100" i="3"/>
  <c r="F100"/>
  <c r="U19" i="16" s="1"/>
  <c r="E100" i="3"/>
  <c r="T19" i="16" s="1"/>
  <c r="D100" i="3"/>
  <c r="S19" i="16" s="1"/>
  <c r="C100" i="3"/>
  <c r="R19" i="16" s="1"/>
  <c r="B100" i="3"/>
  <c r="Q19" i="16" s="1"/>
  <c r="O99" i="3"/>
  <c r="AD18" i="16" s="1"/>
  <c r="N99" i="3"/>
  <c r="AC18" i="16" s="1"/>
  <c r="M99" i="3"/>
  <c r="AB18" i="16" s="1"/>
  <c r="L99" i="3"/>
  <c r="AA18" i="16" s="1"/>
  <c r="K99" i="3"/>
  <c r="Z18" i="16" s="1"/>
  <c r="J99" i="3"/>
  <c r="Y18" i="16" s="1"/>
  <c r="I99" i="3"/>
  <c r="X18" i="16" s="1"/>
  <c r="H99" i="3"/>
  <c r="W18" i="16" s="1"/>
  <c r="G99" i="3"/>
  <c r="F99"/>
  <c r="U18" i="16" s="1"/>
  <c r="E99" i="3"/>
  <c r="T18" i="16" s="1"/>
  <c r="D99" i="3"/>
  <c r="S18" i="16" s="1"/>
  <c r="C99" i="3"/>
  <c r="R18" i="16" s="1"/>
  <c r="B99" i="3"/>
  <c r="Q18" i="16" s="1"/>
  <c r="O98" i="3"/>
  <c r="AD17" i="16" s="1"/>
  <c r="N98" i="3"/>
  <c r="AC17" i="16" s="1"/>
  <c r="M98" i="3"/>
  <c r="AB17" i="16" s="1"/>
  <c r="L98" i="3"/>
  <c r="AA17" i="16" s="1"/>
  <c r="K98" i="3"/>
  <c r="Z17" i="16" s="1"/>
  <c r="J98" i="3"/>
  <c r="Y17" i="16" s="1"/>
  <c r="I98" i="3"/>
  <c r="X17" i="16" s="1"/>
  <c r="H98" i="3"/>
  <c r="W17" i="16" s="1"/>
  <c r="G98" i="3"/>
  <c r="F98"/>
  <c r="U17" i="16" s="1"/>
  <c r="E98" i="3"/>
  <c r="T17" i="16" s="1"/>
  <c r="D98" i="3"/>
  <c r="S17" i="16" s="1"/>
  <c r="C98" i="3"/>
  <c r="R17" i="16" s="1"/>
  <c r="B98" i="3"/>
  <c r="Q17" i="16" s="1"/>
  <c r="O97" i="3"/>
  <c r="AD16" i="16" s="1"/>
  <c r="N97" i="3"/>
  <c r="AC16" i="16" s="1"/>
  <c r="M97" i="3"/>
  <c r="AB16" i="16" s="1"/>
  <c r="L97" i="3"/>
  <c r="AA16" i="16" s="1"/>
  <c r="K97" i="3"/>
  <c r="Z16" i="16" s="1"/>
  <c r="J97" i="3"/>
  <c r="Y16" i="16" s="1"/>
  <c r="I97" i="3"/>
  <c r="X16" i="16" s="1"/>
  <c r="H97" i="3"/>
  <c r="W16" i="16" s="1"/>
  <c r="G97" i="3"/>
  <c r="F97"/>
  <c r="U16" i="16" s="1"/>
  <c r="E97" i="3"/>
  <c r="T16" i="16" s="1"/>
  <c r="D97" i="3"/>
  <c r="S16" i="16" s="1"/>
  <c r="C97" i="3"/>
  <c r="R16" i="16" s="1"/>
  <c r="B97" i="3"/>
  <c r="Q16" i="16" s="1"/>
  <c r="O96" i="3"/>
  <c r="AD15" i="16" s="1"/>
  <c r="N96" i="3"/>
  <c r="AC15" i="16" s="1"/>
  <c r="M96" i="3"/>
  <c r="AB15" i="16" s="1"/>
  <c r="L96" i="3"/>
  <c r="AA15" i="16" s="1"/>
  <c r="K96" i="3"/>
  <c r="Z15" i="16" s="1"/>
  <c r="J96" i="3"/>
  <c r="Y15" i="16" s="1"/>
  <c r="I96" i="3"/>
  <c r="X15" i="16" s="1"/>
  <c r="H96" i="3"/>
  <c r="W15" i="16" s="1"/>
  <c r="G96" i="3"/>
  <c r="F96"/>
  <c r="U15" i="16" s="1"/>
  <c r="E96" i="3"/>
  <c r="T15" i="16" s="1"/>
  <c r="D96" i="3"/>
  <c r="S15" i="16" s="1"/>
  <c r="C96" i="3"/>
  <c r="R15" i="16" s="1"/>
  <c r="B96" i="3"/>
  <c r="Q15" i="16" s="1"/>
  <c r="O95" i="3"/>
  <c r="AD14" i="16" s="1"/>
  <c r="N95" i="3"/>
  <c r="AC14" i="16" s="1"/>
  <c r="M95" i="3"/>
  <c r="AB14" i="16" s="1"/>
  <c r="L95" i="3"/>
  <c r="AA14" i="16" s="1"/>
  <c r="K95" i="3"/>
  <c r="Z14" i="16" s="1"/>
  <c r="J95" i="3"/>
  <c r="Y14" i="16" s="1"/>
  <c r="I95" i="3"/>
  <c r="X14" i="16" s="1"/>
  <c r="H95" i="3"/>
  <c r="W14" i="16" s="1"/>
  <c r="G95" i="3"/>
  <c r="F95"/>
  <c r="U14" i="16" s="1"/>
  <c r="E95" i="3"/>
  <c r="T14" i="16" s="1"/>
  <c r="D95" i="3"/>
  <c r="S14" i="16" s="1"/>
  <c r="C95" i="3"/>
  <c r="R14" i="16" s="1"/>
  <c r="B95" i="3"/>
  <c r="Q14" i="16" s="1"/>
  <c r="O94" i="3"/>
  <c r="AD13" i="16" s="1"/>
  <c r="N94" i="3"/>
  <c r="AC13" i="16" s="1"/>
  <c r="M94" i="3"/>
  <c r="AB13" i="16" s="1"/>
  <c r="L94" i="3"/>
  <c r="AA13" i="16" s="1"/>
  <c r="K94" i="3"/>
  <c r="Z13" i="16" s="1"/>
  <c r="J94" i="3"/>
  <c r="Y13" i="16" s="1"/>
  <c r="I94" i="3"/>
  <c r="X13" i="16" s="1"/>
  <c r="H94" i="3"/>
  <c r="W13" i="16" s="1"/>
  <c r="G94" i="3"/>
  <c r="F94"/>
  <c r="U13" i="16" s="1"/>
  <c r="E94" i="3"/>
  <c r="T13" i="16" s="1"/>
  <c r="D94" i="3"/>
  <c r="S13" i="16" s="1"/>
  <c r="C94" i="3"/>
  <c r="R13" i="16" s="1"/>
  <c r="B94" i="3"/>
  <c r="Q13" i="16" s="1"/>
  <c r="O93" i="3"/>
  <c r="AD12" i="16" s="1"/>
  <c r="N93" i="3"/>
  <c r="AC12" i="16" s="1"/>
  <c r="M93" i="3"/>
  <c r="AB12" i="16" s="1"/>
  <c r="L93" i="3"/>
  <c r="AA12" i="16" s="1"/>
  <c r="K93" i="3"/>
  <c r="Z12" i="16" s="1"/>
  <c r="J93" i="3"/>
  <c r="Y12" i="16" s="1"/>
  <c r="I93" i="3"/>
  <c r="X12" i="16" s="1"/>
  <c r="H93" i="3"/>
  <c r="W12" i="16" s="1"/>
  <c r="G93" i="3"/>
  <c r="F93"/>
  <c r="U12" i="16" s="1"/>
  <c r="E93" i="3"/>
  <c r="T12" i="16" s="1"/>
  <c r="D93" i="3"/>
  <c r="S12" i="16" s="1"/>
  <c r="C93" i="3"/>
  <c r="R12" i="16" s="1"/>
  <c r="B93" i="3"/>
  <c r="Q12" i="16" s="1"/>
  <c r="O92" i="3"/>
  <c r="AD11" i="16" s="1"/>
  <c r="N92" i="3"/>
  <c r="AC11" i="16" s="1"/>
  <c r="M92" i="3"/>
  <c r="AB11" i="16" s="1"/>
  <c r="L92" i="3"/>
  <c r="AA11" i="16" s="1"/>
  <c r="K92" i="3"/>
  <c r="Z11" i="16" s="1"/>
  <c r="J92" i="3"/>
  <c r="Y11" i="16" s="1"/>
  <c r="I92" i="3"/>
  <c r="X11" i="16" s="1"/>
  <c r="H92" i="3"/>
  <c r="W11" i="16" s="1"/>
  <c r="G92" i="3"/>
  <c r="F92"/>
  <c r="U11" i="16" s="1"/>
  <c r="E92" i="3"/>
  <c r="T11" i="16" s="1"/>
  <c r="D92" i="3"/>
  <c r="S11" i="16" s="1"/>
  <c r="C92" i="3"/>
  <c r="R11" i="16" s="1"/>
  <c r="B92" i="3"/>
  <c r="Q11" i="16" s="1"/>
  <c r="O91" i="3"/>
  <c r="AD10" i="16" s="1"/>
  <c r="N91" i="3"/>
  <c r="AC10" i="16" s="1"/>
  <c r="M91" i="3"/>
  <c r="AB10" i="16" s="1"/>
  <c r="L91" i="3"/>
  <c r="AA10" i="16" s="1"/>
  <c r="K91" i="3"/>
  <c r="Z10" i="16" s="1"/>
  <c r="J91" i="3"/>
  <c r="Y10" i="16" s="1"/>
  <c r="I91" i="3"/>
  <c r="X10" i="16" s="1"/>
  <c r="H91" i="3"/>
  <c r="W10" i="16" s="1"/>
  <c r="G91" i="3"/>
  <c r="F91"/>
  <c r="U10" i="16" s="1"/>
  <c r="E91" i="3"/>
  <c r="T10" i="16" s="1"/>
  <c r="D91" i="3"/>
  <c r="S10" i="16" s="1"/>
  <c r="C91" i="3"/>
  <c r="R10" i="16" s="1"/>
  <c r="B91" i="3"/>
  <c r="Q10" i="16" s="1"/>
  <c r="O90" i="3"/>
  <c r="AD9" i="16" s="1"/>
  <c r="N90" i="3"/>
  <c r="AC9" i="16" s="1"/>
  <c r="M90" i="3"/>
  <c r="AB9" i="16" s="1"/>
  <c r="L90" i="3"/>
  <c r="AA9" i="16" s="1"/>
  <c r="K90" i="3"/>
  <c r="Z9" i="16" s="1"/>
  <c r="J90" i="3"/>
  <c r="Y9" i="16" s="1"/>
  <c r="I90" i="3"/>
  <c r="X9" i="16" s="1"/>
  <c r="H90" i="3"/>
  <c r="W9" i="16" s="1"/>
  <c r="G90" i="3"/>
  <c r="F90"/>
  <c r="U9" i="16" s="1"/>
  <c r="E90" i="3"/>
  <c r="T9" i="16" s="1"/>
  <c r="D90" i="3"/>
  <c r="S9" i="16" s="1"/>
  <c r="C90" i="3"/>
  <c r="R9" i="16" s="1"/>
  <c r="B90" i="3"/>
  <c r="Q9" i="16" s="1"/>
  <c r="O89" i="3"/>
  <c r="AD8" i="16" s="1"/>
  <c r="N89" i="3"/>
  <c r="AC8" i="16" s="1"/>
  <c r="M89" i="3"/>
  <c r="AB8" i="16" s="1"/>
  <c r="L89" i="3"/>
  <c r="AA8" i="16" s="1"/>
  <c r="K89" i="3"/>
  <c r="Z8" i="16" s="1"/>
  <c r="J89" i="3"/>
  <c r="Y8" i="16" s="1"/>
  <c r="I89" i="3"/>
  <c r="X8" i="16" s="1"/>
  <c r="H89" i="3"/>
  <c r="W8" i="16" s="1"/>
  <c r="G89" i="3"/>
  <c r="F89"/>
  <c r="U8" i="16" s="1"/>
  <c r="E89" i="3"/>
  <c r="T8" i="16" s="1"/>
  <c r="D89" i="3"/>
  <c r="S8" i="16" s="1"/>
  <c r="C89" i="3"/>
  <c r="R8" i="16" s="1"/>
  <c r="B89" i="3"/>
  <c r="Q8" i="16" s="1"/>
  <c r="O88" i="3"/>
  <c r="AD7" i="16" s="1"/>
  <c r="N88" i="3"/>
  <c r="AC7" i="16" s="1"/>
  <c r="M88" i="3"/>
  <c r="AB7" i="16" s="1"/>
  <c r="L88" i="3"/>
  <c r="AA7" i="16" s="1"/>
  <c r="K88" i="3"/>
  <c r="Z7" i="16" s="1"/>
  <c r="J88" i="3"/>
  <c r="Y7" i="16" s="1"/>
  <c r="I88" i="3"/>
  <c r="X7" i="16" s="1"/>
  <c r="H88" i="3"/>
  <c r="W7" i="16" s="1"/>
  <c r="G88" i="3"/>
  <c r="F88"/>
  <c r="U7" i="16" s="1"/>
  <c r="E88" i="3"/>
  <c r="T7" i="16" s="1"/>
  <c r="D88" i="3"/>
  <c r="S7" i="16" s="1"/>
  <c r="C88" i="3"/>
  <c r="R7" i="16" s="1"/>
  <c r="B88" i="3"/>
  <c r="Q7" i="16" s="1"/>
  <c r="O87" i="3"/>
  <c r="AD6" i="16" s="1"/>
  <c r="N87" i="3"/>
  <c r="AC6" i="16" s="1"/>
  <c r="M87" i="3"/>
  <c r="AB6" i="16" s="1"/>
  <c r="L87" i="3"/>
  <c r="AA6" i="16" s="1"/>
  <c r="K87" i="3"/>
  <c r="Z6" i="16" s="1"/>
  <c r="J87" i="3"/>
  <c r="Y6" i="16" s="1"/>
  <c r="I87" i="3"/>
  <c r="X6" i="16" s="1"/>
  <c r="H87" i="3"/>
  <c r="W6" i="16" s="1"/>
  <c r="G87" i="3"/>
  <c r="F87"/>
  <c r="U6" i="16" s="1"/>
  <c r="E87" i="3"/>
  <c r="T6" i="16" s="1"/>
  <c r="D87" i="3"/>
  <c r="S6" i="16" s="1"/>
  <c r="C87" i="3"/>
  <c r="R6" i="16" s="1"/>
  <c r="B87" i="3"/>
  <c r="Q6" i="16" s="1"/>
  <c r="O86" i="3"/>
  <c r="AD5" i="16" s="1"/>
  <c r="N86" i="3"/>
  <c r="AC5" i="16" s="1"/>
  <c r="M86" i="3"/>
  <c r="AB5" i="16" s="1"/>
  <c r="L86" i="3"/>
  <c r="AA5" i="16" s="1"/>
  <c r="K86" i="3"/>
  <c r="Z5" i="16" s="1"/>
  <c r="J86" i="3"/>
  <c r="Y5" i="16" s="1"/>
  <c r="I86" i="3"/>
  <c r="X5" i="16" s="1"/>
  <c r="H86" i="3"/>
  <c r="W5" i="16" s="1"/>
  <c r="G86" i="3"/>
  <c r="F86"/>
  <c r="U5" i="16" s="1"/>
  <c r="E86" i="3"/>
  <c r="T5" i="16" s="1"/>
  <c r="D86" i="3"/>
  <c r="S5" i="16" s="1"/>
  <c r="C86" i="3"/>
  <c r="R5" i="16" s="1"/>
  <c r="B86" i="3"/>
  <c r="Q5" i="16" s="1"/>
  <c r="O85" i="3"/>
  <c r="AD4" i="16" s="1"/>
  <c r="N85" i="3"/>
  <c r="AC4" i="16" s="1"/>
  <c r="M85" i="3"/>
  <c r="AB4" i="16" s="1"/>
  <c r="L85" i="3"/>
  <c r="AA4" i="16" s="1"/>
  <c r="K85" i="3"/>
  <c r="Z4" i="16" s="1"/>
  <c r="J85" i="3"/>
  <c r="Y4" i="16" s="1"/>
  <c r="I85" i="3"/>
  <c r="X4" i="16" s="1"/>
  <c r="H85" i="3"/>
  <c r="W4" i="16" s="1"/>
  <c r="G85" i="3"/>
  <c r="F85"/>
  <c r="U4" i="16" s="1"/>
  <c r="E85" i="3"/>
  <c r="T4" i="16" s="1"/>
  <c r="D85" i="3"/>
  <c r="S4" i="16" s="1"/>
  <c r="C85" i="3"/>
  <c r="R4" i="16" s="1"/>
  <c r="B85" i="3"/>
  <c r="Q4" i="16" s="1"/>
  <c r="O84" i="3"/>
  <c r="AD3" i="16" s="1"/>
  <c r="N84" i="3"/>
  <c r="AC3" i="16" s="1"/>
  <c r="M84" i="3"/>
  <c r="AB3" i="16" s="1"/>
  <c r="L84" i="3"/>
  <c r="AA3" i="16" s="1"/>
  <c r="K84" i="3"/>
  <c r="Z3" i="16" s="1"/>
  <c r="J84" i="3"/>
  <c r="Y3" i="16" s="1"/>
  <c r="I84" i="3"/>
  <c r="X3" i="16" s="1"/>
  <c r="H84" i="3"/>
  <c r="W3" i="16" s="1"/>
  <c r="G84" i="3"/>
  <c r="F84"/>
  <c r="U3" i="16" s="1"/>
  <c r="E84" i="3"/>
  <c r="T3" i="16" s="1"/>
  <c r="D84" i="3"/>
  <c r="S3" i="16" s="1"/>
  <c r="C84" i="3"/>
  <c r="R3" i="16" s="1"/>
  <c r="B84" i="3"/>
  <c r="Q3" i="16" s="1"/>
  <c r="P83" i="3"/>
  <c r="P107" s="1"/>
  <c r="AE26" i="16" s="1"/>
  <c r="O83" i="3"/>
  <c r="N83"/>
  <c r="M83"/>
  <c r="L83"/>
  <c r="K83"/>
  <c r="J83"/>
  <c r="I83"/>
  <c r="H83"/>
  <c r="G83"/>
  <c r="F83"/>
  <c r="E83"/>
  <c r="D83"/>
  <c r="C83"/>
  <c r="B83"/>
  <c r="A83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P80"/>
  <c r="AE27" i="18" s="1"/>
  <c r="O80" i="3"/>
  <c r="AD27" i="18" s="1"/>
  <c r="N80" i="3"/>
  <c r="AC27" i="18" s="1"/>
  <c r="M80" i="3"/>
  <c r="AB27" i="18" s="1"/>
  <c r="L80" i="3"/>
  <c r="AA27" i="18" s="1"/>
  <c r="K80" i="3"/>
  <c r="Z27" i="18" s="1"/>
  <c r="J80" i="3"/>
  <c r="Y27" i="18" s="1"/>
  <c r="I80" i="3"/>
  <c r="X27" i="18" s="1"/>
  <c r="H80" i="3"/>
  <c r="W27" i="18" s="1"/>
  <c r="G80" i="3"/>
  <c r="F80"/>
  <c r="U27" i="18" s="1"/>
  <c r="E80" i="3"/>
  <c r="T27" i="18" s="1"/>
  <c r="D80" i="3"/>
  <c r="S27" i="18" s="1"/>
  <c r="C80" i="3"/>
  <c r="R27" i="18" s="1"/>
  <c r="B80" i="3"/>
  <c r="Q27" i="18" s="1"/>
  <c r="P79" i="3"/>
  <c r="AE26" i="18" s="1"/>
  <c r="O79" i="3"/>
  <c r="AD26" i="18" s="1"/>
  <c r="N79" i="3"/>
  <c r="AC26" i="18" s="1"/>
  <c r="M79" i="3"/>
  <c r="AB26" i="18" s="1"/>
  <c r="L79" i="3"/>
  <c r="AA26" i="18" s="1"/>
  <c r="K79" i="3"/>
  <c r="Z26" i="18" s="1"/>
  <c r="J79" i="3"/>
  <c r="Y26" i="18" s="1"/>
  <c r="I79" i="3"/>
  <c r="X26" i="18" s="1"/>
  <c r="H79" i="3"/>
  <c r="W26" i="18" s="1"/>
  <c r="G79" i="3"/>
  <c r="F79"/>
  <c r="U26" i="18" s="1"/>
  <c r="E79" i="3"/>
  <c r="T26" i="18" s="1"/>
  <c r="D79" i="3"/>
  <c r="S26" i="18" s="1"/>
  <c r="C79" i="3"/>
  <c r="R26" i="18" s="1"/>
  <c r="B79" i="3"/>
  <c r="Q26" i="18" s="1"/>
  <c r="P78" i="3"/>
  <c r="AE25" i="18" s="1"/>
  <c r="O78" i="3"/>
  <c r="AD25" i="18" s="1"/>
  <c r="N78" i="3"/>
  <c r="AC25" i="18" s="1"/>
  <c r="M78" i="3"/>
  <c r="AB25" i="18" s="1"/>
  <c r="L78" i="3"/>
  <c r="AA25" i="18" s="1"/>
  <c r="K78" i="3"/>
  <c r="Z25" i="18" s="1"/>
  <c r="J78" i="3"/>
  <c r="Y25" i="18" s="1"/>
  <c r="I78" i="3"/>
  <c r="X25" i="18" s="1"/>
  <c r="H78" i="3"/>
  <c r="W25" i="18" s="1"/>
  <c r="G78" i="3"/>
  <c r="F78"/>
  <c r="U25" i="18" s="1"/>
  <c r="E78" i="3"/>
  <c r="T25" i="18" s="1"/>
  <c r="D78" i="3"/>
  <c r="S25" i="18" s="1"/>
  <c r="C78" i="3"/>
  <c r="R25" i="18" s="1"/>
  <c r="B78" i="3"/>
  <c r="Q25" i="18" s="1"/>
  <c r="P77" i="3"/>
  <c r="AE24" i="18" s="1"/>
  <c r="O77" i="3"/>
  <c r="AD24" i="18" s="1"/>
  <c r="N77" i="3"/>
  <c r="AC24" i="18" s="1"/>
  <c r="M77" i="3"/>
  <c r="AB24" i="18" s="1"/>
  <c r="L77" i="3"/>
  <c r="AA24" i="18" s="1"/>
  <c r="K77" i="3"/>
  <c r="Z24" i="18" s="1"/>
  <c r="J77" i="3"/>
  <c r="Y24" i="18" s="1"/>
  <c r="I77" i="3"/>
  <c r="X24" i="18" s="1"/>
  <c r="H77" i="3"/>
  <c r="W24" i="18" s="1"/>
  <c r="G77" i="3"/>
  <c r="F77"/>
  <c r="U24" i="18" s="1"/>
  <c r="E77" i="3"/>
  <c r="T24" i="18" s="1"/>
  <c r="D77" i="3"/>
  <c r="S24" i="18" s="1"/>
  <c r="C77" i="3"/>
  <c r="R24" i="18" s="1"/>
  <c r="B77" i="3"/>
  <c r="Q24" i="18" s="1"/>
  <c r="P76" i="3"/>
  <c r="AE23" i="18" s="1"/>
  <c r="O76" i="3"/>
  <c r="AD23" i="18" s="1"/>
  <c r="N76" i="3"/>
  <c r="AC23" i="18" s="1"/>
  <c r="M76" i="3"/>
  <c r="AB23" i="18" s="1"/>
  <c r="L76" i="3"/>
  <c r="AA23" i="18" s="1"/>
  <c r="K76" i="3"/>
  <c r="Z23" i="18" s="1"/>
  <c r="J76" i="3"/>
  <c r="Y23" i="18" s="1"/>
  <c r="I76" i="3"/>
  <c r="X23" i="18" s="1"/>
  <c r="H76" i="3"/>
  <c r="W23" i="18" s="1"/>
  <c r="G76" i="3"/>
  <c r="F76"/>
  <c r="U23" i="18" s="1"/>
  <c r="E76" i="3"/>
  <c r="T23" i="18" s="1"/>
  <c r="D76" i="3"/>
  <c r="S23" i="18" s="1"/>
  <c r="C76" i="3"/>
  <c r="R23" i="18" s="1"/>
  <c r="B76" i="3"/>
  <c r="Q23" i="18" s="1"/>
  <c r="P75" i="3"/>
  <c r="AE22" i="18" s="1"/>
  <c r="O75" i="3"/>
  <c r="AD22" i="18" s="1"/>
  <c r="N75" i="3"/>
  <c r="AC22" i="18" s="1"/>
  <c r="M75" i="3"/>
  <c r="AB22" i="18" s="1"/>
  <c r="L75" i="3"/>
  <c r="AA22" i="18" s="1"/>
  <c r="K75" i="3"/>
  <c r="Z22" i="18" s="1"/>
  <c r="J75" i="3"/>
  <c r="Y22" i="18" s="1"/>
  <c r="I75" i="3"/>
  <c r="X22" i="18" s="1"/>
  <c r="H75" i="3"/>
  <c r="W22" i="18" s="1"/>
  <c r="G75" i="3"/>
  <c r="F75"/>
  <c r="U22" i="18" s="1"/>
  <c r="E75" i="3"/>
  <c r="T22" i="18" s="1"/>
  <c r="D75" i="3"/>
  <c r="S22" i="18" s="1"/>
  <c r="C75" i="3"/>
  <c r="R22" i="18" s="1"/>
  <c r="B75" i="3"/>
  <c r="Q22" i="18" s="1"/>
  <c r="P74" i="3"/>
  <c r="AE21" i="18" s="1"/>
  <c r="O74" i="3"/>
  <c r="AD21" i="18" s="1"/>
  <c r="N74" i="3"/>
  <c r="AC21" i="18" s="1"/>
  <c r="M74" i="3"/>
  <c r="AB21" i="18" s="1"/>
  <c r="L74" i="3"/>
  <c r="AA21" i="18" s="1"/>
  <c r="K74" i="3"/>
  <c r="Z21" i="18" s="1"/>
  <c r="J74" i="3"/>
  <c r="Y21" i="18" s="1"/>
  <c r="I74" i="3"/>
  <c r="X21" i="18" s="1"/>
  <c r="H74" i="3"/>
  <c r="W21" i="18" s="1"/>
  <c r="G74" i="3"/>
  <c r="F74"/>
  <c r="U21" i="18" s="1"/>
  <c r="E74" i="3"/>
  <c r="T21" i="18" s="1"/>
  <c r="D74" i="3"/>
  <c r="S21" i="18" s="1"/>
  <c r="C74" i="3"/>
  <c r="R21" i="18" s="1"/>
  <c r="B74" i="3"/>
  <c r="Q21" i="18" s="1"/>
  <c r="P73" i="3"/>
  <c r="AE20" i="18" s="1"/>
  <c r="O73" i="3"/>
  <c r="AD20" i="18" s="1"/>
  <c r="N73" i="3"/>
  <c r="AC20" i="18" s="1"/>
  <c r="M73" i="3"/>
  <c r="AB20" i="18" s="1"/>
  <c r="L73" i="3"/>
  <c r="AA20" i="18" s="1"/>
  <c r="K73" i="3"/>
  <c r="Z20" i="18" s="1"/>
  <c r="J73" i="3"/>
  <c r="Y20" i="18" s="1"/>
  <c r="I73" i="3"/>
  <c r="X20" i="18" s="1"/>
  <c r="H73" i="3"/>
  <c r="W20" i="18" s="1"/>
  <c r="G73" i="3"/>
  <c r="F73"/>
  <c r="U20" i="18" s="1"/>
  <c r="E73" i="3"/>
  <c r="T20" i="18" s="1"/>
  <c r="D73" i="3"/>
  <c r="S20" i="18" s="1"/>
  <c r="C73" i="3"/>
  <c r="R20" i="18" s="1"/>
  <c r="B73" i="3"/>
  <c r="Q20" i="18" s="1"/>
  <c r="P72" i="3"/>
  <c r="AE19" i="18" s="1"/>
  <c r="O72" i="3"/>
  <c r="AD19" i="18" s="1"/>
  <c r="N72" i="3"/>
  <c r="AC19" i="18" s="1"/>
  <c r="M72" i="3"/>
  <c r="AB19" i="18" s="1"/>
  <c r="L72" i="3"/>
  <c r="AA19" i="18" s="1"/>
  <c r="K72" i="3"/>
  <c r="Z19" i="18" s="1"/>
  <c r="J72" i="3"/>
  <c r="Y19" i="18" s="1"/>
  <c r="I72" i="3"/>
  <c r="X19" i="18" s="1"/>
  <c r="H72" i="3"/>
  <c r="W19" i="18" s="1"/>
  <c r="G72" i="3"/>
  <c r="F72"/>
  <c r="U19" i="18" s="1"/>
  <c r="E72" i="3"/>
  <c r="T19" i="18" s="1"/>
  <c r="D72" i="3"/>
  <c r="S19" i="18" s="1"/>
  <c r="C72" i="3"/>
  <c r="R19" i="18" s="1"/>
  <c r="B72" i="3"/>
  <c r="Q19" i="18" s="1"/>
  <c r="P71" i="3"/>
  <c r="AE18" i="18" s="1"/>
  <c r="O71" i="3"/>
  <c r="AD18" i="18" s="1"/>
  <c r="N71" i="3"/>
  <c r="AC18" i="18" s="1"/>
  <c r="M71" i="3"/>
  <c r="AB18" i="18" s="1"/>
  <c r="L71" i="3"/>
  <c r="AA18" i="18" s="1"/>
  <c r="K71" i="3"/>
  <c r="Z18" i="18" s="1"/>
  <c r="J71" i="3"/>
  <c r="Y18" i="18" s="1"/>
  <c r="I71" i="3"/>
  <c r="X18" i="18" s="1"/>
  <c r="H71" i="3"/>
  <c r="W18" i="18" s="1"/>
  <c r="G71" i="3"/>
  <c r="F71"/>
  <c r="U18" i="18" s="1"/>
  <c r="E71" i="3"/>
  <c r="T18" i="18" s="1"/>
  <c r="C71" i="3"/>
  <c r="R18" i="18" s="1"/>
  <c r="B71" i="3"/>
  <c r="Q18" i="18" s="1"/>
  <c r="P70" i="3"/>
  <c r="AE17" i="18" s="1"/>
  <c r="O70" i="3"/>
  <c r="AD17" i="18" s="1"/>
  <c r="N70" i="3"/>
  <c r="AC17" i="18" s="1"/>
  <c r="M70" i="3"/>
  <c r="AB17" i="18" s="1"/>
  <c r="L70" i="3"/>
  <c r="AA17" i="18" s="1"/>
  <c r="K70" i="3"/>
  <c r="Z17" i="18" s="1"/>
  <c r="J70" i="3"/>
  <c r="Y17" i="18" s="1"/>
  <c r="I70" i="3"/>
  <c r="X17" i="18" s="1"/>
  <c r="H70" i="3"/>
  <c r="W17" i="18" s="1"/>
  <c r="G70" i="3"/>
  <c r="F70"/>
  <c r="U17" i="18" s="1"/>
  <c r="E70" i="3"/>
  <c r="T17" i="18" s="1"/>
  <c r="D70" i="3"/>
  <c r="S17" i="18" s="1"/>
  <c r="C70" i="3"/>
  <c r="R17" i="18" s="1"/>
  <c r="B70" i="3"/>
  <c r="Q17" i="18" s="1"/>
  <c r="P69" i="3"/>
  <c r="AE16" i="18" s="1"/>
  <c r="O69" i="3"/>
  <c r="AD16" i="18" s="1"/>
  <c r="N69" i="3"/>
  <c r="AC16" i="18" s="1"/>
  <c r="M69" i="3"/>
  <c r="AB16" i="18" s="1"/>
  <c r="L69" i="3"/>
  <c r="AA16" i="18" s="1"/>
  <c r="K69" i="3"/>
  <c r="Z16" i="18" s="1"/>
  <c r="J69" i="3"/>
  <c r="Y16" i="18" s="1"/>
  <c r="I69" i="3"/>
  <c r="X16" i="18" s="1"/>
  <c r="H69" i="3"/>
  <c r="W16" i="18" s="1"/>
  <c r="G69" i="3"/>
  <c r="F69"/>
  <c r="U16" i="18" s="1"/>
  <c r="E69" i="3"/>
  <c r="T16" i="18" s="1"/>
  <c r="D69" i="3"/>
  <c r="S16" i="18" s="1"/>
  <c r="C69" i="3"/>
  <c r="R16" i="18" s="1"/>
  <c r="B69" i="3"/>
  <c r="Q16" i="18" s="1"/>
  <c r="P68" i="3"/>
  <c r="AE15" i="18" s="1"/>
  <c r="O68" i="3"/>
  <c r="AD15" i="18" s="1"/>
  <c r="N68" i="3"/>
  <c r="AC15" i="18" s="1"/>
  <c r="M68" i="3"/>
  <c r="AB15" i="18" s="1"/>
  <c r="L68" i="3"/>
  <c r="AA15" i="18" s="1"/>
  <c r="K68" i="3"/>
  <c r="Z15" i="18" s="1"/>
  <c r="J68" i="3"/>
  <c r="Y15" i="18" s="1"/>
  <c r="I68" i="3"/>
  <c r="X15" i="18" s="1"/>
  <c r="H68" i="3"/>
  <c r="W15" i="18" s="1"/>
  <c r="G68" i="3"/>
  <c r="F68"/>
  <c r="U15" i="18" s="1"/>
  <c r="E68" i="3"/>
  <c r="T15" i="18" s="1"/>
  <c r="D68" i="3"/>
  <c r="S15" i="18" s="1"/>
  <c r="C68" i="3"/>
  <c r="R15" i="18" s="1"/>
  <c r="B68" i="3"/>
  <c r="Q15" i="18" s="1"/>
  <c r="P67" i="3"/>
  <c r="AE14" i="18" s="1"/>
  <c r="O67" i="3"/>
  <c r="AD14" i="18" s="1"/>
  <c r="N67" i="3"/>
  <c r="AC14" i="18" s="1"/>
  <c r="M67" i="3"/>
  <c r="AB14" i="18" s="1"/>
  <c r="L67" i="3"/>
  <c r="AA14" i="18" s="1"/>
  <c r="K67" i="3"/>
  <c r="Z14" i="18" s="1"/>
  <c r="J67" i="3"/>
  <c r="Y14" i="18" s="1"/>
  <c r="I67" i="3"/>
  <c r="X14" i="18" s="1"/>
  <c r="H67" i="3"/>
  <c r="W14" i="18" s="1"/>
  <c r="G67" i="3"/>
  <c r="F67"/>
  <c r="U14" i="18" s="1"/>
  <c r="E67" i="3"/>
  <c r="T14" i="18" s="1"/>
  <c r="D67" i="3"/>
  <c r="S14" i="18" s="1"/>
  <c r="C67" i="3"/>
  <c r="R14" i="18" s="1"/>
  <c r="B67" i="3"/>
  <c r="Q14" i="18" s="1"/>
  <c r="P66" i="3"/>
  <c r="AE13" i="18" s="1"/>
  <c r="O66" i="3"/>
  <c r="AD13" i="18" s="1"/>
  <c r="N66" i="3"/>
  <c r="AC13" i="18" s="1"/>
  <c r="M66" i="3"/>
  <c r="AB13" i="18" s="1"/>
  <c r="L66" i="3"/>
  <c r="AA13" i="18" s="1"/>
  <c r="K66" i="3"/>
  <c r="Z13" i="18" s="1"/>
  <c r="J66" i="3"/>
  <c r="Y13" i="18" s="1"/>
  <c r="I66" i="3"/>
  <c r="X13" i="18" s="1"/>
  <c r="H66" i="3"/>
  <c r="W13" i="18" s="1"/>
  <c r="G66" i="3"/>
  <c r="F66"/>
  <c r="U13" i="18" s="1"/>
  <c r="E66" i="3"/>
  <c r="T13" i="18" s="1"/>
  <c r="D66" i="3"/>
  <c r="S13" i="18" s="1"/>
  <c r="C66" i="3"/>
  <c r="R13" i="18" s="1"/>
  <c r="B66" i="3"/>
  <c r="Q13" i="18" s="1"/>
  <c r="P65" i="3"/>
  <c r="AE12" i="18" s="1"/>
  <c r="O65" i="3"/>
  <c r="AD12" i="18" s="1"/>
  <c r="N65" i="3"/>
  <c r="AC12" i="18" s="1"/>
  <c r="M65" i="3"/>
  <c r="AB12" i="18" s="1"/>
  <c r="L65" i="3"/>
  <c r="AA12" i="18" s="1"/>
  <c r="K65" i="3"/>
  <c r="Z12" i="18" s="1"/>
  <c r="J65" i="3"/>
  <c r="Y12" i="18" s="1"/>
  <c r="I65" i="3"/>
  <c r="X12" i="18" s="1"/>
  <c r="H65" i="3"/>
  <c r="W12" i="18" s="1"/>
  <c r="G65" i="3"/>
  <c r="F65"/>
  <c r="U12" i="18" s="1"/>
  <c r="E65" i="3"/>
  <c r="T12" i="18" s="1"/>
  <c r="D65" i="3"/>
  <c r="S12" i="18" s="1"/>
  <c r="C65" i="3"/>
  <c r="R12" i="18" s="1"/>
  <c r="B65" i="3"/>
  <c r="Q12" i="18" s="1"/>
  <c r="P64" i="3"/>
  <c r="AE11" i="18" s="1"/>
  <c r="O64" i="3"/>
  <c r="AD11" i="18" s="1"/>
  <c r="N64" i="3"/>
  <c r="AC11" i="18" s="1"/>
  <c r="M64" i="3"/>
  <c r="AB11" i="18" s="1"/>
  <c r="L64" i="3"/>
  <c r="AA11" i="18" s="1"/>
  <c r="K64" i="3"/>
  <c r="Z11" i="18" s="1"/>
  <c r="J64" i="3"/>
  <c r="Y11" i="18" s="1"/>
  <c r="I64" i="3"/>
  <c r="X11" i="18" s="1"/>
  <c r="H64" i="3"/>
  <c r="W11" i="18" s="1"/>
  <c r="G64" i="3"/>
  <c r="F64"/>
  <c r="U11" i="18" s="1"/>
  <c r="E64" i="3"/>
  <c r="T11" i="18" s="1"/>
  <c r="D64" i="3"/>
  <c r="S11" i="18" s="1"/>
  <c r="C64" i="3"/>
  <c r="R11" i="18" s="1"/>
  <c r="B64" i="3"/>
  <c r="Q11" i="18" s="1"/>
  <c r="P63" i="3"/>
  <c r="AE10" i="18" s="1"/>
  <c r="O63" i="3"/>
  <c r="AD10" i="18" s="1"/>
  <c r="N63" i="3"/>
  <c r="AC10" i="18" s="1"/>
  <c r="M63" i="3"/>
  <c r="AB10" i="18" s="1"/>
  <c r="L63" i="3"/>
  <c r="AA10" i="18" s="1"/>
  <c r="K63" i="3"/>
  <c r="Z10" i="18" s="1"/>
  <c r="J63" i="3"/>
  <c r="Y10" i="18" s="1"/>
  <c r="I63" i="3"/>
  <c r="X10" i="18" s="1"/>
  <c r="H63" i="3"/>
  <c r="W10" i="18" s="1"/>
  <c r="G63" i="3"/>
  <c r="F63"/>
  <c r="U10" i="18" s="1"/>
  <c r="E63" i="3"/>
  <c r="T10" i="18" s="1"/>
  <c r="D63" i="3"/>
  <c r="S10" i="18" s="1"/>
  <c r="C63" i="3"/>
  <c r="R10" i="18" s="1"/>
  <c r="B63" i="3"/>
  <c r="Q10" i="18" s="1"/>
  <c r="P62" i="3"/>
  <c r="AE9" i="18" s="1"/>
  <c r="O62" i="3"/>
  <c r="AD9" i="18" s="1"/>
  <c r="N62" i="3"/>
  <c r="AC9" i="18" s="1"/>
  <c r="M62" i="3"/>
  <c r="AB9" i="18" s="1"/>
  <c r="L62" i="3"/>
  <c r="AA9" i="18" s="1"/>
  <c r="K62" i="3"/>
  <c r="Z9" i="18" s="1"/>
  <c r="J62" i="3"/>
  <c r="Y9" i="18" s="1"/>
  <c r="I62" i="3"/>
  <c r="X9" i="18" s="1"/>
  <c r="H62" i="3"/>
  <c r="W9" i="18" s="1"/>
  <c r="G62" i="3"/>
  <c r="F62"/>
  <c r="U9" i="18" s="1"/>
  <c r="E62" i="3"/>
  <c r="T9" i="18" s="1"/>
  <c r="D62" i="3"/>
  <c r="S9" i="18" s="1"/>
  <c r="C62" i="3"/>
  <c r="R9" i="18" s="1"/>
  <c r="B62" i="3"/>
  <c r="Q9" i="18" s="1"/>
  <c r="P61" i="3"/>
  <c r="AE8" i="18" s="1"/>
  <c r="O61" i="3"/>
  <c r="AD8" i="18" s="1"/>
  <c r="N61" i="3"/>
  <c r="AC8" i="18" s="1"/>
  <c r="M61" i="3"/>
  <c r="AB8" i="18" s="1"/>
  <c r="L61" i="3"/>
  <c r="AA8" i="18" s="1"/>
  <c r="K61" i="3"/>
  <c r="Z8" i="18" s="1"/>
  <c r="J61" i="3"/>
  <c r="Y8" i="18" s="1"/>
  <c r="I61" i="3"/>
  <c r="X8" i="18" s="1"/>
  <c r="H61" i="3"/>
  <c r="W8" i="18" s="1"/>
  <c r="G61" i="3"/>
  <c r="F61"/>
  <c r="U8" i="18" s="1"/>
  <c r="E61" i="3"/>
  <c r="T8" i="18" s="1"/>
  <c r="D61" i="3"/>
  <c r="S8" i="18" s="1"/>
  <c r="C61" i="3"/>
  <c r="R8" i="18" s="1"/>
  <c r="B61" i="3"/>
  <c r="Q8" i="18" s="1"/>
  <c r="P60" i="3"/>
  <c r="AE7" i="18" s="1"/>
  <c r="O60" i="3"/>
  <c r="AD7" i="18" s="1"/>
  <c r="N60" i="3"/>
  <c r="AC7" i="18" s="1"/>
  <c r="M60" i="3"/>
  <c r="AB7" i="18" s="1"/>
  <c r="L60" i="3"/>
  <c r="AA7" i="18" s="1"/>
  <c r="K60" i="3"/>
  <c r="Z7" i="18" s="1"/>
  <c r="J60" i="3"/>
  <c r="Y7" i="18" s="1"/>
  <c r="I60" i="3"/>
  <c r="X7" i="18" s="1"/>
  <c r="H60" i="3"/>
  <c r="W7" i="18" s="1"/>
  <c r="G60" i="3"/>
  <c r="F60"/>
  <c r="U7" i="18" s="1"/>
  <c r="E60" i="3"/>
  <c r="T7" i="18" s="1"/>
  <c r="D60" i="3"/>
  <c r="S7" i="18" s="1"/>
  <c r="C60" i="3"/>
  <c r="R7" i="18" s="1"/>
  <c r="B60" i="3"/>
  <c r="Q7" i="18" s="1"/>
  <c r="P59" i="3"/>
  <c r="AE6" i="18" s="1"/>
  <c r="O59" i="3"/>
  <c r="AD6" i="18" s="1"/>
  <c r="N59" i="3"/>
  <c r="AC6" i="18" s="1"/>
  <c r="M59" i="3"/>
  <c r="AB6" i="18" s="1"/>
  <c r="L59" i="3"/>
  <c r="AA6" i="18" s="1"/>
  <c r="K59" i="3"/>
  <c r="Z6" i="18" s="1"/>
  <c r="J59" i="3"/>
  <c r="Y6" i="18" s="1"/>
  <c r="I59" i="3"/>
  <c r="X6" i="18" s="1"/>
  <c r="H59" i="3"/>
  <c r="W6" i="18" s="1"/>
  <c r="G59" i="3"/>
  <c r="F59"/>
  <c r="U6" i="18" s="1"/>
  <c r="E59" i="3"/>
  <c r="T6" i="18" s="1"/>
  <c r="D59" i="3"/>
  <c r="S6" i="18" s="1"/>
  <c r="C59" i="3"/>
  <c r="R6" i="18" s="1"/>
  <c r="B59" i="3"/>
  <c r="Q6" i="18" s="1"/>
  <c r="P58" i="3"/>
  <c r="AE5" i="18" s="1"/>
  <c r="O58" i="3"/>
  <c r="AD5" i="18" s="1"/>
  <c r="N58" i="3"/>
  <c r="AC5" i="18" s="1"/>
  <c r="M58" i="3"/>
  <c r="AB5" i="18" s="1"/>
  <c r="L58" i="3"/>
  <c r="AA5" i="18" s="1"/>
  <c r="K58" i="3"/>
  <c r="Z5" i="18" s="1"/>
  <c r="J58" i="3"/>
  <c r="Y5" i="18" s="1"/>
  <c r="I58" i="3"/>
  <c r="X5" i="18" s="1"/>
  <c r="H58" i="3"/>
  <c r="W5" i="18" s="1"/>
  <c r="G58" i="3"/>
  <c r="F58"/>
  <c r="U5" i="18" s="1"/>
  <c r="E58" i="3"/>
  <c r="T5" i="18" s="1"/>
  <c r="D58" i="3"/>
  <c r="S5" i="18" s="1"/>
  <c r="C58" i="3"/>
  <c r="R5" i="18" s="1"/>
  <c r="B58" i="3"/>
  <c r="Q5" i="18" s="1"/>
  <c r="P57" i="3"/>
  <c r="AE4" i="18" s="1"/>
  <c r="O57" i="3"/>
  <c r="AD4" i="18" s="1"/>
  <c r="N57" i="3"/>
  <c r="AC4" i="18" s="1"/>
  <c r="M57" i="3"/>
  <c r="AB4" i="18" s="1"/>
  <c r="L57" i="3"/>
  <c r="AA4" i="18" s="1"/>
  <c r="K57" i="3"/>
  <c r="Z4" i="18" s="1"/>
  <c r="J57" i="3"/>
  <c r="Y4" i="18" s="1"/>
  <c r="I57" i="3"/>
  <c r="X4" i="18" s="1"/>
  <c r="H57" i="3"/>
  <c r="W4" i="18" s="1"/>
  <c r="G57" i="3"/>
  <c r="F57"/>
  <c r="U4" i="18" s="1"/>
  <c r="E57" i="3"/>
  <c r="T4" i="18" s="1"/>
  <c r="D57" i="3"/>
  <c r="S4" i="18" s="1"/>
  <c r="C57" i="3"/>
  <c r="R4" i="18" s="1"/>
  <c r="B57" i="3"/>
  <c r="Q4" i="18" s="1"/>
  <c r="P56" i="3"/>
  <c r="AE3" i="18" s="1"/>
  <c r="O56" i="3"/>
  <c r="AD3" i="18" s="1"/>
  <c r="N56" i="3"/>
  <c r="AC3" i="18" s="1"/>
  <c r="M56" i="3"/>
  <c r="AB3" i="18" s="1"/>
  <c r="L56" i="3"/>
  <c r="AA3" i="18" s="1"/>
  <c r="K56" i="3"/>
  <c r="Z3" i="18" s="1"/>
  <c r="J56" i="3"/>
  <c r="Y3" i="18" s="1"/>
  <c r="I56" i="3"/>
  <c r="X3" i="18" s="1"/>
  <c r="H56" i="3"/>
  <c r="W3" i="18" s="1"/>
  <c r="G56" i="3"/>
  <c r="F56"/>
  <c r="U3" i="18" s="1"/>
  <c r="E56" i="3"/>
  <c r="T3" i="18" s="1"/>
  <c r="D56" i="3"/>
  <c r="S3" i="18" s="1"/>
  <c r="C56" i="3"/>
  <c r="R3" i="18" s="1"/>
  <c r="B56" i="3"/>
  <c r="Q3" i="18" s="1"/>
  <c r="D55" i="3"/>
  <c r="E55" s="1"/>
  <c r="F55" s="1"/>
  <c r="G55" s="1"/>
  <c r="H55" s="1"/>
  <c r="I55" s="1"/>
  <c r="J55" s="1"/>
  <c r="K55" s="1"/>
  <c r="L55" s="1"/>
  <c r="M55" s="1"/>
  <c r="N55" s="1"/>
  <c r="O55" s="1"/>
  <c r="P55" s="1"/>
  <c r="C55"/>
  <c r="B55"/>
  <c r="A58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57"/>
  <c r="A4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3"/>
  <c r="O1" i="14"/>
  <c r="L26"/>
  <c r="M26" s="1"/>
  <c r="L25"/>
  <c r="M25" s="1"/>
  <c r="L24"/>
  <c r="M24" s="1"/>
  <c r="L23"/>
  <c r="M23" s="1"/>
  <c r="L22"/>
  <c r="M22" s="1"/>
  <c r="L21"/>
  <c r="M21" s="1"/>
  <c r="L20"/>
  <c r="M20" s="1"/>
  <c r="L19"/>
  <c r="M19" s="1"/>
  <c r="L18"/>
  <c r="M18" s="1"/>
  <c r="L17"/>
  <c r="M17" s="1"/>
  <c r="L16"/>
  <c r="M16" s="1"/>
  <c r="L15"/>
  <c r="M15" s="1"/>
  <c r="L14"/>
  <c r="M14" s="1"/>
  <c r="L13"/>
  <c r="M13" s="1"/>
  <c r="L12"/>
  <c r="M12" s="1"/>
  <c r="L11"/>
  <c r="M11" s="1"/>
  <c r="L10"/>
  <c r="M10" s="1"/>
  <c r="L9"/>
  <c r="M9" s="1"/>
  <c r="L8"/>
  <c r="M8" s="1"/>
  <c r="L7"/>
  <c r="M7" s="1"/>
  <c r="L6"/>
  <c r="M6" s="1"/>
  <c r="L5"/>
  <c r="M5" s="1"/>
  <c r="L4"/>
  <c r="M4" s="1"/>
  <c r="L3"/>
  <c r="M3" s="1"/>
  <c r="L2"/>
  <c r="C3" i="18" s="1"/>
  <c r="M1" i="14"/>
  <c r="L1"/>
  <c r="K1"/>
  <c r="J1"/>
  <c r="I1"/>
  <c r="H1"/>
  <c r="G1"/>
  <c r="F1"/>
  <c r="E1"/>
  <c r="D1"/>
  <c r="C1"/>
  <c r="B1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/>
  <c r="AG179" i="5"/>
  <c r="AF179"/>
  <c r="AE179"/>
  <c r="AD179"/>
  <c r="AC179"/>
  <c r="AB179"/>
  <c r="AA179"/>
  <c r="Z179"/>
  <c r="Y179"/>
  <c r="X179"/>
  <c r="W179"/>
  <c r="V179"/>
  <c r="U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G178"/>
  <c r="AF178"/>
  <c r="AE178"/>
  <c r="AD178"/>
  <c r="AC178"/>
  <c r="AB178"/>
  <c r="AA178"/>
  <c r="Z178"/>
  <c r="Y178"/>
  <c r="X178"/>
  <c r="W178"/>
  <c r="V178"/>
  <c r="U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G131" i="4"/>
  <c r="AF131"/>
  <c r="AE131"/>
  <c r="AD131"/>
  <c r="AC131"/>
  <c r="AB131"/>
  <c r="AA131"/>
  <c r="Z131"/>
  <c r="Y131"/>
  <c r="X131"/>
  <c r="W131"/>
  <c r="V131"/>
  <c r="U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G132"/>
  <c r="AF132"/>
  <c r="AE132"/>
  <c r="AD132"/>
  <c r="AC132"/>
  <c r="AB132"/>
  <c r="AA132"/>
  <c r="Z132"/>
  <c r="Y132"/>
  <c r="X132"/>
  <c r="W132"/>
  <c r="V132"/>
  <c r="U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G133"/>
  <c r="AF133"/>
  <c r="AE133"/>
  <c r="AD133"/>
  <c r="AC133"/>
  <c r="AB133"/>
  <c r="AA133"/>
  <c r="Z133"/>
  <c r="Y133"/>
  <c r="X133"/>
  <c r="W133"/>
  <c r="V133"/>
  <c r="U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G134"/>
  <c r="AF134"/>
  <c r="AE134"/>
  <c r="AD134"/>
  <c r="AC134"/>
  <c r="AB134"/>
  <c r="AA134"/>
  <c r="Z134"/>
  <c r="Y134"/>
  <c r="X134"/>
  <c r="W134"/>
  <c r="V134"/>
  <c r="U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G135"/>
  <c r="AF135"/>
  <c r="AE135"/>
  <c r="AD135"/>
  <c r="AC135"/>
  <c r="AB135"/>
  <c r="AA135"/>
  <c r="Z135"/>
  <c r="Y135"/>
  <c r="X135"/>
  <c r="W135"/>
  <c r="V135"/>
  <c r="U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G136"/>
  <c r="AF136"/>
  <c r="AE136"/>
  <c r="AD136"/>
  <c r="AC136"/>
  <c r="AB136"/>
  <c r="AA136"/>
  <c r="Z136"/>
  <c r="Y136"/>
  <c r="X136"/>
  <c r="W136"/>
  <c r="V136"/>
  <c r="U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G137"/>
  <c r="AF137"/>
  <c r="AE137"/>
  <c r="AD137"/>
  <c r="AC137"/>
  <c r="AB137"/>
  <c r="AA137"/>
  <c r="Z137"/>
  <c r="Y137"/>
  <c r="X137"/>
  <c r="W137"/>
  <c r="V137"/>
  <c r="U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G138"/>
  <c r="AF138"/>
  <c r="AE138"/>
  <c r="AD138"/>
  <c r="AC138"/>
  <c r="AB138"/>
  <c r="AA138"/>
  <c r="Z138"/>
  <c r="Y138"/>
  <c r="X138"/>
  <c r="W138"/>
  <c r="V138"/>
  <c r="U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G139"/>
  <c r="AF139"/>
  <c r="AE139"/>
  <c r="AD139"/>
  <c r="AC139"/>
  <c r="AB139"/>
  <c r="AA139"/>
  <c r="Z139"/>
  <c r="Y139"/>
  <c r="X139"/>
  <c r="W139"/>
  <c r="V139"/>
  <c r="U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G140"/>
  <c r="AF140"/>
  <c r="AE140"/>
  <c r="AD140"/>
  <c r="AC140"/>
  <c r="AB140"/>
  <c r="AA140"/>
  <c r="Z140"/>
  <c r="Y140"/>
  <c r="X140"/>
  <c r="W140"/>
  <c r="V140"/>
  <c r="U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G141"/>
  <c r="AF141"/>
  <c r="AE141"/>
  <c r="AD141"/>
  <c r="AC141"/>
  <c r="AB141"/>
  <c r="AA141"/>
  <c r="Z141"/>
  <c r="Y141"/>
  <c r="X141"/>
  <c r="W141"/>
  <c r="V141"/>
  <c r="U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G132" i="3"/>
  <c r="AF132"/>
  <c r="AE132"/>
  <c r="AD132"/>
  <c r="AC132"/>
  <c r="AB132"/>
  <c r="AA132"/>
  <c r="Z132"/>
  <c r="Y132"/>
  <c r="X132"/>
  <c r="W132"/>
  <c r="V132"/>
  <c r="U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G133"/>
  <c r="AF133"/>
  <c r="AE133"/>
  <c r="AD133"/>
  <c r="AC133"/>
  <c r="AB133"/>
  <c r="AA133"/>
  <c r="Z133"/>
  <c r="Y133"/>
  <c r="X133"/>
  <c r="W133"/>
  <c r="V133"/>
  <c r="U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G134"/>
  <c r="AF134"/>
  <c r="AE134"/>
  <c r="AD134"/>
  <c r="AC134"/>
  <c r="AB134"/>
  <c r="AA134"/>
  <c r="Z134"/>
  <c r="Y134"/>
  <c r="X134"/>
  <c r="W134"/>
  <c r="V134"/>
  <c r="U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G135"/>
  <c r="AF135"/>
  <c r="AE135"/>
  <c r="AD135"/>
  <c r="AC135"/>
  <c r="AB135"/>
  <c r="AA135"/>
  <c r="Z135"/>
  <c r="Y135"/>
  <c r="X135"/>
  <c r="W135"/>
  <c r="V135"/>
  <c r="U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G144"/>
  <c r="AF144"/>
  <c r="AE144"/>
  <c r="AD144"/>
  <c r="AC144"/>
  <c r="AB144"/>
  <c r="AA144"/>
  <c r="Z144"/>
  <c r="Y144"/>
  <c r="X144"/>
  <c r="W144"/>
  <c r="V144"/>
  <c r="U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G143"/>
  <c r="AF143"/>
  <c r="AE143"/>
  <c r="AD143"/>
  <c r="AC143"/>
  <c r="AB143"/>
  <c r="AA143"/>
  <c r="Z143"/>
  <c r="Y143"/>
  <c r="X143"/>
  <c r="W143"/>
  <c r="V143"/>
  <c r="U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G142"/>
  <c r="AF142"/>
  <c r="AE142"/>
  <c r="AD142"/>
  <c r="AC142"/>
  <c r="AB142"/>
  <c r="AA142"/>
  <c r="Z142"/>
  <c r="Y142"/>
  <c r="X142"/>
  <c r="W142"/>
  <c r="V142"/>
  <c r="U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G141"/>
  <c r="AF141"/>
  <c r="AE141"/>
  <c r="AD141"/>
  <c r="AC141"/>
  <c r="AB141"/>
  <c r="AA141"/>
  <c r="Z141"/>
  <c r="Y141"/>
  <c r="X141"/>
  <c r="W141"/>
  <c r="V141"/>
  <c r="U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G140"/>
  <c r="AF140"/>
  <c r="AE140"/>
  <c r="AD140"/>
  <c r="AC140"/>
  <c r="AB140"/>
  <c r="AA140"/>
  <c r="Z140"/>
  <c r="Y140"/>
  <c r="X140"/>
  <c r="W140"/>
  <c r="V140"/>
  <c r="U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G139"/>
  <c r="AF139"/>
  <c r="AE139"/>
  <c r="AD139"/>
  <c r="AC139"/>
  <c r="AB139"/>
  <c r="AA139"/>
  <c r="Z139"/>
  <c r="Y139"/>
  <c r="X139"/>
  <c r="W139"/>
  <c r="V139"/>
  <c r="U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G138"/>
  <c r="AF138"/>
  <c r="AE138"/>
  <c r="AD138"/>
  <c r="AC138"/>
  <c r="AB138"/>
  <c r="AA138"/>
  <c r="Z138"/>
  <c r="Y138"/>
  <c r="X138"/>
  <c r="W138"/>
  <c r="V138"/>
  <c r="U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G137"/>
  <c r="AF137"/>
  <c r="AE137"/>
  <c r="AD137"/>
  <c r="AC137"/>
  <c r="AB137"/>
  <c r="AA137"/>
  <c r="Z137"/>
  <c r="Y137"/>
  <c r="X137"/>
  <c r="W137"/>
  <c r="V137"/>
  <c r="U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G136"/>
  <c r="AF136"/>
  <c r="AE136"/>
  <c r="AD136"/>
  <c r="AC136"/>
  <c r="AB136"/>
  <c r="AA136"/>
  <c r="Z136"/>
  <c r="Y136"/>
  <c r="X136"/>
  <c r="W136"/>
  <c r="V136"/>
  <c r="U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P116"/>
  <c r="AN116"/>
  <c r="AL116"/>
  <c r="AN115" i="4"/>
  <c r="AL115"/>
  <c r="AN163" i="5"/>
  <c r="AL163"/>
  <c r="AG146" i="3"/>
  <c r="AF146"/>
  <c r="AE146"/>
  <c r="AD146"/>
  <c r="AC146"/>
  <c r="AB146"/>
  <c r="AA146"/>
  <c r="Z146"/>
  <c r="Y146"/>
  <c r="X146"/>
  <c r="W146"/>
  <c r="V146"/>
  <c r="U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G145"/>
  <c r="AF145"/>
  <c r="AE145"/>
  <c r="AD145"/>
  <c r="AC145"/>
  <c r="AB145"/>
  <c r="AA145"/>
  <c r="Z145"/>
  <c r="Y145"/>
  <c r="X145"/>
  <c r="W145"/>
  <c r="V145"/>
  <c r="U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G145" i="4"/>
  <c r="AF145"/>
  <c r="AE145"/>
  <c r="AD145"/>
  <c r="AC145"/>
  <c r="AB145"/>
  <c r="AA145"/>
  <c r="Z145"/>
  <c r="Y145"/>
  <c r="X145"/>
  <c r="W145"/>
  <c r="V145"/>
  <c r="U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G144"/>
  <c r="AF144"/>
  <c r="AE144"/>
  <c r="AD144"/>
  <c r="AC144"/>
  <c r="AB144"/>
  <c r="AA144"/>
  <c r="Z144"/>
  <c r="Y144"/>
  <c r="X144"/>
  <c r="W144"/>
  <c r="V144"/>
  <c r="U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G143"/>
  <c r="AF143"/>
  <c r="AE143"/>
  <c r="AD143"/>
  <c r="AC143"/>
  <c r="AB143"/>
  <c r="AA143"/>
  <c r="Z143"/>
  <c r="Y143"/>
  <c r="X143"/>
  <c r="W143"/>
  <c r="V143"/>
  <c r="U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G142"/>
  <c r="AF142"/>
  <c r="AE142"/>
  <c r="AD142"/>
  <c r="AC142"/>
  <c r="AB142"/>
  <c r="AA142"/>
  <c r="Z142"/>
  <c r="Y142"/>
  <c r="X142"/>
  <c r="W142"/>
  <c r="V142"/>
  <c r="U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G182" i="5"/>
  <c r="AF182"/>
  <c r="AE182"/>
  <c r="AD182"/>
  <c r="AC182"/>
  <c r="AB182"/>
  <c r="AA182"/>
  <c r="Z182"/>
  <c r="Y182"/>
  <c r="X182"/>
  <c r="W182"/>
  <c r="V182"/>
  <c r="U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G181"/>
  <c r="AF181"/>
  <c r="AE181"/>
  <c r="AD181"/>
  <c r="AC181"/>
  <c r="AB181"/>
  <c r="AA181"/>
  <c r="Z181"/>
  <c r="Y181"/>
  <c r="X181"/>
  <c r="W181"/>
  <c r="V181"/>
  <c r="U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G180"/>
  <c r="AF180"/>
  <c r="AE180"/>
  <c r="AD180"/>
  <c r="AC180"/>
  <c r="AB180"/>
  <c r="AA180"/>
  <c r="Z180"/>
  <c r="Y180"/>
  <c r="X180"/>
  <c r="W180"/>
  <c r="V180"/>
  <c r="U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C8" i="12"/>
  <c r="C11" s="1"/>
  <c r="C7"/>
  <c r="C10" s="1"/>
  <c r="C6"/>
  <c r="C9" s="1"/>
  <c r="C65" i="18" l="1"/>
  <c r="C167"/>
  <c r="C99"/>
  <c r="C34"/>
  <c r="C131"/>
  <c r="H96" i="16"/>
  <c r="A68"/>
  <c r="A170"/>
  <c r="A102"/>
  <c r="A7"/>
  <c r="A134"/>
  <c r="A38"/>
  <c r="M2" i="14"/>
  <c r="C3" i="16"/>
  <c r="C167" s="1"/>
  <c r="D55" i="5"/>
  <c r="A59"/>
  <c r="D55" i="4"/>
  <c r="A59"/>
  <c r="P84" i="3"/>
  <c r="AE3" i="16" s="1"/>
  <c r="P86" i="3"/>
  <c r="AE5" i="16" s="1"/>
  <c r="P88" i="3"/>
  <c r="AE7" i="16" s="1"/>
  <c r="P90" i="3"/>
  <c r="AE9" i="16" s="1"/>
  <c r="P92" i="3"/>
  <c r="AE11" i="16" s="1"/>
  <c r="P94" i="3"/>
  <c r="AE13" i="16" s="1"/>
  <c r="P96" i="3"/>
  <c r="AE15" i="16" s="1"/>
  <c r="P98" i="3"/>
  <c r="AE17" i="16" s="1"/>
  <c r="P100" i="3"/>
  <c r="AE19" i="16" s="1"/>
  <c r="P102" i="3"/>
  <c r="AE21" i="16" s="1"/>
  <c r="P104" i="3"/>
  <c r="AE23" i="16" s="1"/>
  <c r="P106" i="3"/>
  <c r="AE25" i="16" s="1"/>
  <c r="P108" i="3"/>
  <c r="AE27" i="16" s="1"/>
  <c r="R55" i="3"/>
  <c r="Q56"/>
  <c r="AF3" i="18" s="1"/>
  <c r="Q58" i="3"/>
  <c r="AF5" i="18" s="1"/>
  <c r="Q60" i="3"/>
  <c r="AF7" i="18" s="1"/>
  <c r="Q62" i="3"/>
  <c r="AF9" i="18" s="1"/>
  <c r="Q64" i="3"/>
  <c r="AF11" i="18" s="1"/>
  <c r="Q66" i="3"/>
  <c r="AF13" i="18" s="1"/>
  <c r="Q68" i="3"/>
  <c r="AF15" i="18" s="1"/>
  <c r="Q70" i="3"/>
  <c r="AF17" i="18" s="1"/>
  <c r="Q72" i="3"/>
  <c r="AF19" i="18" s="1"/>
  <c r="Q74" i="3"/>
  <c r="AF21" i="18" s="1"/>
  <c r="Q83" i="3"/>
  <c r="Q79"/>
  <c r="AF26" i="18" s="1"/>
  <c r="Q77" i="3"/>
  <c r="AF24" i="18" s="1"/>
  <c r="Q80" i="3"/>
  <c r="AF27" i="18" s="1"/>
  <c r="Q78" i="3"/>
  <c r="AF25" i="18" s="1"/>
  <c r="P85" i="3"/>
  <c r="AE4" i="16" s="1"/>
  <c r="P87" i="3"/>
  <c r="AE6" i="16" s="1"/>
  <c r="P89" i="3"/>
  <c r="AE8" i="16" s="1"/>
  <c r="P91" i="3"/>
  <c r="AE10" i="16" s="1"/>
  <c r="P93" i="3"/>
  <c r="AE12" i="16" s="1"/>
  <c r="P95" i="3"/>
  <c r="AE14" i="16" s="1"/>
  <c r="P97" i="3"/>
  <c r="AE16" i="16" s="1"/>
  <c r="P99" i="3"/>
  <c r="AE18" i="16" s="1"/>
  <c r="P101" i="3"/>
  <c r="AE20" i="16" s="1"/>
  <c r="P103" i="3"/>
  <c r="AE22" i="16" s="1"/>
  <c r="P105" i="3"/>
  <c r="AE24" i="16" s="1"/>
  <c r="Q57" i="3"/>
  <c r="AF4" i="18" s="1"/>
  <c r="Q59" i="3"/>
  <c r="AF6" i="18" s="1"/>
  <c r="Q61" i="3"/>
  <c r="AF8" i="18" s="1"/>
  <c r="Q63" i="3"/>
  <c r="AF10" i="18" s="1"/>
  <c r="Q65" i="3"/>
  <c r="AF12" i="18" s="1"/>
  <c r="Q67" i="3"/>
  <c r="AF14" i="18" s="1"/>
  <c r="Q69" i="3"/>
  <c r="AF16" i="18" s="1"/>
  <c r="Q71" i="3"/>
  <c r="AF18" i="18" s="1"/>
  <c r="Q73" i="3"/>
  <c r="AF20" i="18" s="1"/>
  <c r="Q75" i="3"/>
  <c r="AF22" i="18" s="1"/>
  <c r="A27" i="3"/>
  <c r="AG192" i="5"/>
  <c r="AF192"/>
  <c r="AE192"/>
  <c r="AD192"/>
  <c r="AC192"/>
  <c r="AB192"/>
  <c r="AA192"/>
  <c r="Z192"/>
  <c r="Y192"/>
  <c r="X192"/>
  <c r="W192"/>
  <c r="V192"/>
  <c r="U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G191"/>
  <c r="AF191"/>
  <c r="AE191"/>
  <c r="AD191"/>
  <c r="AC191"/>
  <c r="AB191"/>
  <c r="AA191"/>
  <c r="Z191"/>
  <c r="Y191"/>
  <c r="X191"/>
  <c r="W191"/>
  <c r="V191"/>
  <c r="U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G190"/>
  <c r="AF190"/>
  <c r="AE190"/>
  <c r="AD190"/>
  <c r="AC190"/>
  <c r="AB190"/>
  <c r="AA190"/>
  <c r="Z190"/>
  <c r="Y190"/>
  <c r="X190"/>
  <c r="W190"/>
  <c r="V190"/>
  <c r="U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G189"/>
  <c r="AF189"/>
  <c r="AE189"/>
  <c r="AD189"/>
  <c r="AC189"/>
  <c r="AB189"/>
  <c r="AA189"/>
  <c r="Z189"/>
  <c r="Y189"/>
  <c r="X189"/>
  <c r="W189"/>
  <c r="V189"/>
  <c r="U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G188"/>
  <c r="AF188"/>
  <c r="AE188"/>
  <c r="AD188"/>
  <c r="AC188"/>
  <c r="AB188"/>
  <c r="AA188"/>
  <c r="Z188"/>
  <c r="Y188"/>
  <c r="X188"/>
  <c r="W188"/>
  <c r="V188"/>
  <c r="U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G187"/>
  <c r="AF187"/>
  <c r="AE187"/>
  <c r="AD187"/>
  <c r="AC187"/>
  <c r="AB187"/>
  <c r="AA187"/>
  <c r="Z187"/>
  <c r="Y187"/>
  <c r="X187"/>
  <c r="W187"/>
  <c r="V187"/>
  <c r="U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G186"/>
  <c r="AF186"/>
  <c r="AE186"/>
  <c r="AD186"/>
  <c r="AC186"/>
  <c r="AB186"/>
  <c r="AA186"/>
  <c r="Z186"/>
  <c r="Y186"/>
  <c r="X186"/>
  <c r="W186"/>
  <c r="V186"/>
  <c r="U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G185"/>
  <c r="AF185"/>
  <c r="AE185"/>
  <c r="AD185"/>
  <c r="AC185"/>
  <c r="AB185"/>
  <c r="AA185"/>
  <c r="Z185"/>
  <c r="Y185"/>
  <c r="X185"/>
  <c r="W185"/>
  <c r="V185"/>
  <c r="U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G184"/>
  <c r="AF184"/>
  <c r="AE184"/>
  <c r="AD184"/>
  <c r="AC184"/>
  <c r="AB184"/>
  <c r="AA184"/>
  <c r="Z184"/>
  <c r="Y184"/>
  <c r="X184"/>
  <c r="W184"/>
  <c r="V184"/>
  <c r="U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G183"/>
  <c r="AF183"/>
  <c r="AE183"/>
  <c r="AD183"/>
  <c r="AC183"/>
  <c r="AB183"/>
  <c r="AA183"/>
  <c r="Z183"/>
  <c r="Y183"/>
  <c r="X183"/>
  <c r="W183"/>
  <c r="V183"/>
  <c r="U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K210"/>
  <c r="AK238" s="1"/>
  <c r="AJ210"/>
  <c r="AJ238" s="1"/>
  <c r="AI210"/>
  <c r="AI238" s="1"/>
  <c r="AH210"/>
  <c r="AH238" s="1"/>
  <c r="AK203"/>
  <c r="AJ203"/>
  <c r="AI203"/>
  <c r="AH203"/>
  <c r="AG202"/>
  <c r="AF202"/>
  <c r="AE202"/>
  <c r="AD202"/>
  <c r="AC202"/>
  <c r="AB202"/>
  <c r="AA202"/>
  <c r="Z202"/>
  <c r="Y202"/>
  <c r="X202"/>
  <c r="W202"/>
  <c r="V202"/>
  <c r="U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G201"/>
  <c r="AF201"/>
  <c r="AE201"/>
  <c r="AD201"/>
  <c r="AC201"/>
  <c r="AB201"/>
  <c r="AA201"/>
  <c r="Z201"/>
  <c r="Y201"/>
  <c r="X201"/>
  <c r="W201"/>
  <c r="V201"/>
  <c r="U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G200"/>
  <c r="AF200"/>
  <c r="AE200"/>
  <c r="AD200"/>
  <c r="AC200"/>
  <c r="AB200"/>
  <c r="AA200"/>
  <c r="Z200"/>
  <c r="Y200"/>
  <c r="X200"/>
  <c r="W200"/>
  <c r="V200"/>
  <c r="U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G199"/>
  <c r="AF199"/>
  <c r="AE199"/>
  <c r="AD199"/>
  <c r="AC199"/>
  <c r="AB199"/>
  <c r="AA199"/>
  <c r="Z199"/>
  <c r="Y199"/>
  <c r="X199"/>
  <c r="W199"/>
  <c r="V199"/>
  <c r="U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G198"/>
  <c r="AF198"/>
  <c r="AE198"/>
  <c r="AD198"/>
  <c r="AC198"/>
  <c r="AB198"/>
  <c r="AA198"/>
  <c r="Z198"/>
  <c r="Y198"/>
  <c r="X198"/>
  <c r="W198"/>
  <c r="V198"/>
  <c r="U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G197"/>
  <c r="AF197"/>
  <c r="AE197"/>
  <c r="AD197"/>
  <c r="AC197"/>
  <c r="AB197"/>
  <c r="AA197"/>
  <c r="Z197"/>
  <c r="Y197"/>
  <c r="X197"/>
  <c r="W197"/>
  <c r="V197"/>
  <c r="U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G196"/>
  <c r="AF196"/>
  <c r="AE196"/>
  <c r="AD196"/>
  <c r="AC196"/>
  <c r="AB196"/>
  <c r="AA196"/>
  <c r="Z196"/>
  <c r="Y196"/>
  <c r="X196"/>
  <c r="W196"/>
  <c r="V196"/>
  <c r="U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G195"/>
  <c r="AF195"/>
  <c r="AE195"/>
  <c r="AD195"/>
  <c r="AC195"/>
  <c r="AB195"/>
  <c r="AA195"/>
  <c r="Z195"/>
  <c r="Y195"/>
  <c r="X195"/>
  <c r="W195"/>
  <c r="V195"/>
  <c r="U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G194"/>
  <c r="AF194"/>
  <c r="AE194"/>
  <c r="AD194"/>
  <c r="AC194"/>
  <c r="AB194"/>
  <c r="AA194"/>
  <c r="Z194"/>
  <c r="Y194"/>
  <c r="X194"/>
  <c r="W194"/>
  <c r="V194"/>
  <c r="U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G193"/>
  <c r="AF193"/>
  <c r="AE193"/>
  <c r="AD193"/>
  <c r="AC193"/>
  <c r="AB193"/>
  <c r="AA193"/>
  <c r="Z193"/>
  <c r="Y193"/>
  <c r="X193"/>
  <c r="W193"/>
  <c r="V193"/>
  <c r="U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G147" i="4"/>
  <c r="AF147"/>
  <c r="AE147"/>
  <c r="AD147"/>
  <c r="AC147"/>
  <c r="AB147"/>
  <c r="AA147"/>
  <c r="Z147"/>
  <c r="Y147"/>
  <c r="X147"/>
  <c r="W147"/>
  <c r="V147"/>
  <c r="U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G146"/>
  <c r="AF146"/>
  <c r="AE146"/>
  <c r="AD146"/>
  <c r="AC146"/>
  <c r="AB146"/>
  <c r="AA146"/>
  <c r="Z146"/>
  <c r="Y146"/>
  <c r="X146"/>
  <c r="W146"/>
  <c r="V146"/>
  <c r="U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K163"/>
  <c r="AK191" s="1"/>
  <c r="AJ163"/>
  <c r="AJ191" s="1"/>
  <c r="AI163"/>
  <c r="AI191" s="1"/>
  <c r="AH163"/>
  <c r="AH191" s="1"/>
  <c r="AK156"/>
  <c r="AJ156"/>
  <c r="AI156"/>
  <c r="AH156"/>
  <c r="AG155"/>
  <c r="AF155"/>
  <c r="AE155"/>
  <c r="AD155"/>
  <c r="AC155"/>
  <c r="AB155"/>
  <c r="AA155"/>
  <c r="Z155"/>
  <c r="Y155"/>
  <c r="X155"/>
  <c r="W155"/>
  <c r="V155"/>
  <c r="U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G154"/>
  <c r="AF154"/>
  <c r="AE154"/>
  <c r="AD154"/>
  <c r="AC154"/>
  <c r="AB154"/>
  <c r="AA154"/>
  <c r="Z154"/>
  <c r="Y154"/>
  <c r="X154"/>
  <c r="W154"/>
  <c r="V154"/>
  <c r="U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G153"/>
  <c r="AF153"/>
  <c r="AE153"/>
  <c r="AD153"/>
  <c r="AC153"/>
  <c r="AB153"/>
  <c r="AA153"/>
  <c r="Z153"/>
  <c r="Y153"/>
  <c r="X153"/>
  <c r="W153"/>
  <c r="V153"/>
  <c r="U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G152"/>
  <c r="AF152"/>
  <c r="AE152"/>
  <c r="AD152"/>
  <c r="AC152"/>
  <c r="AB152"/>
  <c r="AA152"/>
  <c r="Z152"/>
  <c r="Y152"/>
  <c r="X152"/>
  <c r="W152"/>
  <c r="V152"/>
  <c r="U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G151"/>
  <c r="AF151"/>
  <c r="AE151"/>
  <c r="AD151"/>
  <c r="AC151"/>
  <c r="AB151"/>
  <c r="AA151"/>
  <c r="Z151"/>
  <c r="Y151"/>
  <c r="X151"/>
  <c r="W151"/>
  <c r="V151"/>
  <c r="U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G150"/>
  <c r="AF150"/>
  <c r="AE150"/>
  <c r="AD150"/>
  <c r="AC150"/>
  <c r="AB150"/>
  <c r="AA150"/>
  <c r="Z150"/>
  <c r="Y150"/>
  <c r="X150"/>
  <c r="W150"/>
  <c r="V150"/>
  <c r="U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G149"/>
  <c r="AF149"/>
  <c r="AE149"/>
  <c r="AD149"/>
  <c r="AC149"/>
  <c r="AB149"/>
  <c r="AA149"/>
  <c r="Z149"/>
  <c r="Y149"/>
  <c r="X149"/>
  <c r="W149"/>
  <c r="V149"/>
  <c r="U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G148"/>
  <c r="AF148"/>
  <c r="AE148"/>
  <c r="AD148"/>
  <c r="AC148"/>
  <c r="AB148"/>
  <c r="AA148"/>
  <c r="Z148"/>
  <c r="Y148"/>
  <c r="X148"/>
  <c r="W148"/>
  <c r="V148"/>
  <c r="U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K162" i="3"/>
  <c r="AK189" s="1"/>
  <c r="AJ162"/>
  <c r="AJ189" s="1"/>
  <c r="AI162"/>
  <c r="AI189" s="1"/>
  <c r="AH162"/>
  <c r="AH189" s="1"/>
  <c r="B162"/>
  <c r="B189" s="1"/>
  <c r="AK155"/>
  <c r="AJ155"/>
  <c r="AI155"/>
  <c r="AH155"/>
  <c r="AG154"/>
  <c r="AF154"/>
  <c r="AE154"/>
  <c r="AD154"/>
  <c r="AC154"/>
  <c r="AB154"/>
  <c r="AA154"/>
  <c r="Z154"/>
  <c r="Y154"/>
  <c r="X154"/>
  <c r="W154"/>
  <c r="V154"/>
  <c r="U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G153"/>
  <c r="AF153"/>
  <c r="AE153"/>
  <c r="AD153"/>
  <c r="AC153"/>
  <c r="AB153"/>
  <c r="AA153"/>
  <c r="Z153"/>
  <c r="Y153"/>
  <c r="X153"/>
  <c r="W153"/>
  <c r="V153"/>
  <c r="U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G152"/>
  <c r="AF152"/>
  <c r="AE152"/>
  <c r="AD152"/>
  <c r="AC152"/>
  <c r="AB152"/>
  <c r="AA152"/>
  <c r="Z152"/>
  <c r="Y152"/>
  <c r="X152"/>
  <c r="W152"/>
  <c r="V152"/>
  <c r="U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G151"/>
  <c r="AF151"/>
  <c r="AE151"/>
  <c r="AD151"/>
  <c r="AC151"/>
  <c r="AB151"/>
  <c r="AA151"/>
  <c r="Z151"/>
  <c r="Y151"/>
  <c r="X151"/>
  <c r="W151"/>
  <c r="V151"/>
  <c r="U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G150"/>
  <c r="AF150"/>
  <c r="AE150"/>
  <c r="AD150"/>
  <c r="AC150"/>
  <c r="AB150"/>
  <c r="AA150"/>
  <c r="Z150"/>
  <c r="Y150"/>
  <c r="X150"/>
  <c r="W150"/>
  <c r="V150"/>
  <c r="U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G149"/>
  <c r="AF149"/>
  <c r="AE149"/>
  <c r="AD149"/>
  <c r="AC149"/>
  <c r="AB149"/>
  <c r="AA149"/>
  <c r="Z149"/>
  <c r="Y149"/>
  <c r="X149"/>
  <c r="W149"/>
  <c r="V149"/>
  <c r="U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G148"/>
  <c r="AF148"/>
  <c r="AE148"/>
  <c r="AD148"/>
  <c r="AC148"/>
  <c r="AB148"/>
  <c r="AA148"/>
  <c r="Z148"/>
  <c r="Y148"/>
  <c r="X148"/>
  <c r="W148"/>
  <c r="V148"/>
  <c r="U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G147"/>
  <c r="AF147"/>
  <c r="AE147"/>
  <c r="AD147"/>
  <c r="AC147"/>
  <c r="AB147"/>
  <c r="AA147"/>
  <c r="Z147"/>
  <c r="Y147"/>
  <c r="X147"/>
  <c r="W147"/>
  <c r="V147"/>
  <c r="U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M163" i="5"/>
  <c r="AL26"/>
  <c r="AL25"/>
  <c r="AL24"/>
  <c r="AL23"/>
  <c r="AL22"/>
  <c r="AL21"/>
  <c r="AL20"/>
  <c r="AL19"/>
  <c r="AL18"/>
  <c r="AL17"/>
  <c r="AL16"/>
  <c r="AL15"/>
  <c r="AL14"/>
  <c r="AL13"/>
  <c r="AL12"/>
  <c r="AL11"/>
  <c r="AL10"/>
  <c r="AL9"/>
  <c r="AL8"/>
  <c r="AL7"/>
  <c r="AL6"/>
  <c r="AL5"/>
  <c r="AL4"/>
  <c r="AL3"/>
  <c r="AL2"/>
  <c r="AL26" i="4"/>
  <c r="AL25"/>
  <c r="AL24"/>
  <c r="AL23"/>
  <c r="AL22"/>
  <c r="AL21"/>
  <c r="AL20"/>
  <c r="AL19"/>
  <c r="AL18"/>
  <c r="AL17"/>
  <c r="AL16"/>
  <c r="AL15"/>
  <c r="AL14"/>
  <c r="AL13"/>
  <c r="AL12"/>
  <c r="AL11"/>
  <c r="AL10"/>
  <c r="AL9"/>
  <c r="AL8"/>
  <c r="AL7"/>
  <c r="AL6"/>
  <c r="AL5"/>
  <c r="AL4"/>
  <c r="AL3"/>
  <c r="AL2"/>
  <c r="AM115"/>
  <c r="AL26" i="3"/>
  <c r="AL25"/>
  <c r="AL24"/>
  <c r="AL23"/>
  <c r="AL22"/>
  <c r="AL21"/>
  <c r="AL20"/>
  <c r="AL19"/>
  <c r="AL18"/>
  <c r="AL17"/>
  <c r="AL16"/>
  <c r="AL15"/>
  <c r="AL14"/>
  <c r="AL13"/>
  <c r="AL12"/>
  <c r="AL11"/>
  <c r="AL10"/>
  <c r="AL9"/>
  <c r="AL8"/>
  <c r="AL7"/>
  <c r="AL6"/>
  <c r="AL5"/>
  <c r="AL4"/>
  <c r="AO1" i="5"/>
  <c r="AN1"/>
  <c r="AM1"/>
  <c r="AO1" i="4"/>
  <c r="AN1"/>
  <c r="AM1"/>
  <c r="Q57" i="18"/>
  <c r="Q53"/>
  <c r="Q48"/>
  <c r="Q44"/>
  <c r="Q40"/>
  <c r="Q36"/>
  <c r="BD58"/>
  <c r="AR58"/>
  <c r="Z58"/>
  <c r="BG57"/>
  <c r="AU57"/>
  <c r="AI57"/>
  <c r="W57"/>
  <c r="AX56"/>
  <c r="AL56"/>
  <c r="T56"/>
  <c r="BA55"/>
  <c r="AO55"/>
  <c r="AC55"/>
  <c r="BD54"/>
  <c r="AR54"/>
  <c r="Z54"/>
  <c r="BG53"/>
  <c r="AU53"/>
  <c r="AI53"/>
  <c r="W53"/>
  <c r="AX52"/>
  <c r="AL52"/>
  <c r="T52"/>
  <c r="BA51"/>
  <c r="AO51"/>
  <c r="AC51"/>
  <c r="BD50"/>
  <c r="AR50"/>
  <c r="Z50"/>
  <c r="BG49"/>
  <c r="AU49"/>
  <c r="AI49"/>
  <c r="T49"/>
  <c r="BA48"/>
  <c r="AO48"/>
  <c r="AC48"/>
  <c r="BD47"/>
  <c r="AR47"/>
  <c r="Z47"/>
  <c r="BG46"/>
  <c r="AU46"/>
  <c r="AI46"/>
  <c r="W46"/>
  <c r="AX45"/>
  <c r="AL45"/>
  <c r="T45"/>
  <c r="BA44"/>
  <c r="AO44"/>
  <c r="AC44"/>
  <c r="BD43"/>
  <c r="AR43"/>
  <c r="Z43"/>
  <c r="BG42"/>
  <c r="AU42"/>
  <c r="AI42"/>
  <c r="W42"/>
  <c r="AX41"/>
  <c r="AL41"/>
  <c r="T41"/>
  <c r="BA40"/>
  <c r="AO40"/>
  <c r="AC40"/>
  <c r="BD39"/>
  <c r="AR39"/>
  <c r="Z39"/>
  <c r="BG38"/>
  <c r="AU38"/>
  <c r="AI38"/>
  <c r="W38"/>
  <c r="AX37"/>
  <c r="AL37"/>
  <c r="T37"/>
  <c r="BA36"/>
  <c r="AO36"/>
  <c r="AC36"/>
  <c r="BD35"/>
  <c r="AR35"/>
  <c r="Z35"/>
  <c r="BG34"/>
  <c r="AU34"/>
  <c r="AI34"/>
  <c r="W34"/>
  <c r="AX34"/>
  <c r="AL34"/>
  <c r="Q58"/>
  <c r="Q54"/>
  <c r="Q50"/>
  <c r="Q47"/>
  <c r="Q43"/>
  <c r="Q39"/>
  <c r="Q35"/>
  <c r="BG58"/>
  <c r="AU58"/>
  <c r="AI58"/>
  <c r="W58"/>
  <c r="AX57"/>
  <c r="AL57"/>
  <c r="T57"/>
  <c r="BA56"/>
  <c r="AO56"/>
  <c r="AC56"/>
  <c r="BD55"/>
  <c r="AR55"/>
  <c r="Z55"/>
  <c r="BG54"/>
  <c r="AU54"/>
  <c r="AI54"/>
  <c r="W54"/>
  <c r="AX53"/>
  <c r="AL53"/>
  <c r="T53"/>
  <c r="BA52"/>
  <c r="AO52"/>
  <c r="AC52"/>
  <c r="BD51"/>
  <c r="AR51"/>
  <c r="Z51"/>
  <c r="BG50"/>
  <c r="AU50"/>
  <c r="AI50"/>
  <c r="W50"/>
  <c r="AX49"/>
  <c r="AL49"/>
  <c r="BD48"/>
  <c r="AR48"/>
  <c r="Z48"/>
  <c r="BG47"/>
  <c r="AU47"/>
  <c r="AI47"/>
  <c r="W47"/>
  <c r="AX46"/>
  <c r="AL46"/>
  <c r="T46"/>
  <c r="BA45"/>
  <c r="AO45"/>
  <c r="AC45"/>
  <c r="BD44"/>
  <c r="AR44"/>
  <c r="Z44"/>
  <c r="BG43"/>
  <c r="AU43"/>
  <c r="AI43"/>
  <c r="W43"/>
  <c r="AX42"/>
  <c r="AL42"/>
  <c r="T42"/>
  <c r="BA41"/>
  <c r="AO41"/>
  <c r="AC41"/>
  <c r="BD40"/>
  <c r="AR40"/>
  <c r="Z40"/>
  <c r="BG39"/>
  <c r="AU39"/>
  <c r="AI39"/>
  <c r="W39"/>
  <c r="AX38"/>
  <c r="AL38"/>
  <c r="T38"/>
  <c r="BA37"/>
  <c r="AO37"/>
  <c r="AC37"/>
  <c r="BD36"/>
  <c r="AR36"/>
  <c r="Z36"/>
  <c r="BG35"/>
  <c r="AU35"/>
  <c r="AI35"/>
  <c r="W35"/>
  <c r="AU58" i="16"/>
  <c r="AR57"/>
  <c r="AO56"/>
  <c r="AI54"/>
  <c r="AX58"/>
  <c r="Q56"/>
  <c r="AO55"/>
  <c r="AI52"/>
  <c r="AC51"/>
  <c r="Z58"/>
  <c r="W57"/>
  <c r="T56"/>
  <c r="Q55"/>
  <c r="BD58"/>
  <c r="AI58"/>
  <c r="AC57"/>
  <c r="Z56"/>
  <c r="W55"/>
  <c r="T54"/>
  <c r="AX56"/>
  <c r="BA55"/>
  <c r="W53"/>
  <c r="T52"/>
  <c r="Q51"/>
  <c r="AL57"/>
  <c r="BD55"/>
  <c r="BA54"/>
  <c r="AX53"/>
  <c r="Q58"/>
  <c r="AC56"/>
  <c r="AC53"/>
  <c r="Z52"/>
  <c r="W51"/>
  <c r="AL49"/>
  <c r="BD47"/>
  <c r="BA46"/>
  <c r="AX45"/>
  <c r="AU44"/>
  <c r="Q54"/>
  <c r="AL54"/>
  <c r="Z53"/>
  <c r="W52"/>
  <c r="T50"/>
  <c r="Q49"/>
  <c r="AL47"/>
  <c r="BD45"/>
  <c r="BA44"/>
  <c r="T55"/>
  <c r="AU55"/>
  <c r="Q53"/>
  <c r="AL51"/>
  <c r="Z50"/>
  <c r="W49"/>
  <c r="T48"/>
  <c r="Q47"/>
  <c r="AL45"/>
  <c r="BG57"/>
  <c r="AX54"/>
  <c r="AO53"/>
  <c r="Q50"/>
  <c r="AI50"/>
  <c r="AC49"/>
  <c r="Z48"/>
  <c r="W47"/>
  <c r="T46"/>
  <c r="Q45"/>
  <c r="AO57"/>
  <c r="AC54"/>
  <c r="T53"/>
  <c r="Q52"/>
  <c r="T45"/>
  <c r="W50"/>
  <c r="Z49"/>
  <c r="AU45"/>
  <c r="AC43"/>
  <c r="Z42"/>
  <c r="W41"/>
  <c r="T40"/>
  <c r="Q39"/>
  <c r="AL37"/>
  <c r="BD35"/>
  <c r="Q55" i="18"/>
  <c r="Q51"/>
  <c r="Q46"/>
  <c r="Q42"/>
  <c r="Q38"/>
  <c r="Q34"/>
  <c r="AX58"/>
  <c r="AL58"/>
  <c r="T58"/>
  <c r="BA57"/>
  <c r="AO57"/>
  <c r="AC57"/>
  <c r="BD56"/>
  <c r="AR56"/>
  <c r="Z56"/>
  <c r="BG55"/>
  <c r="AU55"/>
  <c r="AI55"/>
  <c r="W55"/>
  <c r="AX54"/>
  <c r="AL54"/>
  <c r="T54"/>
  <c r="BA53"/>
  <c r="AO53"/>
  <c r="AC53"/>
  <c r="BD52"/>
  <c r="AR52"/>
  <c r="Z52"/>
  <c r="BG51"/>
  <c r="AU51"/>
  <c r="AI51"/>
  <c r="W51"/>
  <c r="AX50"/>
  <c r="AL50"/>
  <c r="T50"/>
  <c r="BA49"/>
  <c r="AO49"/>
  <c r="AC49"/>
  <c r="BG48"/>
  <c r="AU48"/>
  <c r="AI48"/>
  <c r="W48"/>
  <c r="AX47"/>
  <c r="AL47"/>
  <c r="T47"/>
  <c r="BA46"/>
  <c r="AO46"/>
  <c r="AC46"/>
  <c r="BD45"/>
  <c r="AR45"/>
  <c r="Z45"/>
  <c r="BG44"/>
  <c r="AU44"/>
  <c r="AI44"/>
  <c r="W44"/>
  <c r="AX43"/>
  <c r="AL43"/>
  <c r="T43"/>
  <c r="BA42"/>
  <c r="AO42"/>
  <c r="AC42"/>
  <c r="BD41"/>
  <c r="AR41"/>
  <c r="Z41"/>
  <c r="BG40"/>
  <c r="AU40"/>
  <c r="AI40"/>
  <c r="W40"/>
  <c r="AX39"/>
  <c r="AL39"/>
  <c r="T39"/>
  <c r="BA38"/>
  <c r="AO38"/>
  <c r="AC38"/>
  <c r="BD37"/>
  <c r="AR37"/>
  <c r="Z37"/>
  <c r="BG36"/>
  <c r="AU36"/>
  <c r="AI36"/>
  <c r="W36"/>
  <c r="AX35"/>
  <c r="AL35"/>
  <c r="T35"/>
  <c r="BA34"/>
  <c r="AO34"/>
  <c r="AC34"/>
  <c r="BD34"/>
  <c r="AR34"/>
  <c r="Z34"/>
  <c r="Q56"/>
  <c r="Q52"/>
  <c r="Q49"/>
  <c r="Q45"/>
  <c r="Q41"/>
  <c r="Q37"/>
  <c r="BJ54"/>
  <c r="BA58"/>
  <c r="AO58"/>
  <c r="AC58"/>
  <c r="BD57"/>
  <c r="AR57"/>
  <c r="Z57"/>
  <c r="BG56"/>
  <c r="AU56"/>
  <c r="AI56"/>
  <c r="W56"/>
  <c r="AX55"/>
  <c r="AL55"/>
  <c r="T55"/>
  <c r="BA54"/>
  <c r="AO54"/>
  <c r="AC54"/>
  <c r="BD53"/>
  <c r="AR53"/>
  <c r="Z53"/>
  <c r="BG52"/>
  <c r="AU52"/>
  <c r="AI52"/>
  <c r="W52"/>
  <c r="AX51"/>
  <c r="AL51"/>
  <c r="T51"/>
  <c r="BA50"/>
  <c r="AO50"/>
  <c r="AC50"/>
  <c r="BD49"/>
  <c r="AR49"/>
  <c r="Z49"/>
  <c r="AX48"/>
  <c r="AL48"/>
  <c r="T48"/>
  <c r="BA47"/>
  <c r="AO47"/>
  <c r="AC47"/>
  <c r="BD46"/>
  <c r="AR46"/>
  <c r="Z46"/>
  <c r="BG45"/>
  <c r="AU45"/>
  <c r="AI45"/>
  <c r="W45"/>
  <c r="AX44"/>
  <c r="AL44"/>
  <c r="T44"/>
  <c r="BA43"/>
  <c r="AO43"/>
  <c r="AC43"/>
  <c r="BD42"/>
  <c r="AR42"/>
  <c r="Z42"/>
  <c r="BG41"/>
  <c r="AU41"/>
  <c r="AI41"/>
  <c r="W41"/>
  <c r="AX40"/>
  <c r="AL40"/>
  <c r="T40"/>
  <c r="BA39"/>
  <c r="AO39"/>
  <c r="AC39"/>
  <c r="BD38"/>
  <c r="AR38"/>
  <c r="Z38"/>
  <c r="BG37"/>
  <c r="AU37"/>
  <c r="AI37"/>
  <c r="W37"/>
  <c r="AX36"/>
  <c r="AL36"/>
  <c r="T36"/>
  <c r="BA35"/>
  <c r="AO35"/>
  <c r="AC35"/>
  <c r="T34"/>
  <c r="T58" i="16"/>
  <c r="Q57"/>
  <c r="AL55"/>
  <c r="BD53"/>
  <c r="W58"/>
  <c r="AL56"/>
  <c r="AL53"/>
  <c r="BD51"/>
  <c r="BA58"/>
  <c r="AX57"/>
  <c r="AU56"/>
  <c r="AR55"/>
  <c r="AO54"/>
  <c r="AC58"/>
  <c r="BD57"/>
  <c r="BA56"/>
  <c r="AX55"/>
  <c r="AU54"/>
  <c r="AL58"/>
  <c r="W56"/>
  <c r="Z55"/>
  <c r="AU52"/>
  <c r="AR51"/>
  <c r="AO58"/>
  <c r="AI56"/>
  <c r="AC55"/>
  <c r="Z54"/>
  <c r="AR58"/>
  <c r="BD56"/>
  <c r="AI55"/>
  <c r="BA52"/>
  <c r="AX51"/>
  <c r="AO50"/>
  <c r="AI48"/>
  <c r="AC47"/>
  <c r="Z46"/>
  <c r="W45"/>
  <c r="T44"/>
  <c r="AU57"/>
  <c r="BA53"/>
  <c r="AX52"/>
  <c r="AU50"/>
  <c r="AR49"/>
  <c r="AO48"/>
  <c r="AI46"/>
  <c r="AC45"/>
  <c r="Z44"/>
  <c r="AR56"/>
  <c r="AR53"/>
  <c r="AO52"/>
  <c r="BA50"/>
  <c r="AX49"/>
  <c r="AU48"/>
  <c r="AR47"/>
  <c r="AO46"/>
  <c r="AI44"/>
  <c r="AI57"/>
  <c r="W54"/>
  <c r="AL52"/>
  <c r="Q46"/>
  <c r="BD49"/>
  <c r="BA48"/>
  <c r="AX47"/>
  <c r="AU46"/>
  <c r="AR45"/>
  <c r="AO44"/>
  <c r="BD54"/>
  <c r="AU53"/>
  <c r="AR52"/>
  <c r="T49"/>
  <c r="AX50"/>
  <c r="BA49"/>
  <c r="AR46"/>
  <c r="BD43"/>
  <c r="BA42"/>
  <c r="AX41"/>
  <c r="AU40"/>
  <c r="AR39"/>
  <c r="AO38"/>
  <c r="AI36"/>
  <c r="AC35"/>
  <c r="Z34"/>
  <c r="T47"/>
  <c r="AX48"/>
  <c r="BA47"/>
  <c r="AR44"/>
  <c r="BD42"/>
  <c r="BD40"/>
  <c r="AI39"/>
  <c r="W36"/>
  <c r="Z35"/>
  <c r="AC50"/>
  <c r="AX46"/>
  <c r="BA45"/>
  <c r="AL43"/>
  <c r="BD41"/>
  <c r="BA40"/>
  <c r="AX39"/>
  <c r="AU38"/>
  <c r="AR37"/>
  <c r="AO36"/>
  <c r="AI34"/>
  <c r="BD48"/>
  <c r="AI47"/>
  <c r="W44"/>
  <c r="AL42"/>
  <c r="BA57"/>
  <c r="AR54"/>
  <c r="BD52"/>
  <c r="AL50"/>
  <c r="BD46"/>
  <c r="AI45"/>
  <c r="Q43"/>
  <c r="AL41"/>
  <c r="BD39"/>
  <c r="BA38"/>
  <c r="AX37"/>
  <c r="AU36"/>
  <c r="AR35"/>
  <c r="AO34"/>
  <c r="AL48"/>
  <c r="BD44"/>
  <c r="AU43"/>
  <c r="AR42"/>
  <c r="Q40"/>
  <c r="Q34"/>
  <c r="AU39"/>
  <c r="AO35"/>
  <c r="AU49"/>
  <c r="AO45"/>
  <c r="W43"/>
  <c r="T42"/>
  <c r="Q41"/>
  <c r="AL39"/>
  <c r="BD37"/>
  <c r="BA36"/>
  <c r="AX35"/>
  <c r="AU34"/>
  <c r="Q48"/>
  <c r="BA51"/>
  <c r="AR48"/>
  <c r="AL44"/>
  <c r="Z43"/>
  <c r="W42"/>
  <c r="T35"/>
  <c r="AO39"/>
  <c r="AC36"/>
  <c r="AR34"/>
  <c r="AL38"/>
  <c r="AX34"/>
  <c r="Q38"/>
  <c r="Z41"/>
  <c r="AU37"/>
  <c r="W40"/>
  <c r="Z39"/>
  <c r="AU35"/>
  <c r="AC34"/>
  <c r="T37"/>
  <c r="AX38"/>
  <c r="BA37"/>
  <c r="AL34"/>
  <c r="BD38"/>
  <c r="AI37"/>
  <c r="T41"/>
  <c r="W38"/>
  <c r="AO41"/>
  <c r="BA34"/>
  <c r="T51"/>
  <c r="AI51"/>
  <c r="W48"/>
  <c r="Z47"/>
  <c r="AI43"/>
  <c r="AC42"/>
  <c r="AC40"/>
  <c r="AX36"/>
  <c r="BA35"/>
  <c r="BD50"/>
  <c r="AI49"/>
  <c r="W46"/>
  <c r="Z45"/>
  <c r="AI42"/>
  <c r="AC41"/>
  <c r="Z40"/>
  <c r="W39"/>
  <c r="T38"/>
  <c r="Q37"/>
  <c r="AL35"/>
  <c r="AO51"/>
  <c r="AC48"/>
  <c r="AX44"/>
  <c r="AO43"/>
  <c r="T57"/>
  <c r="Z57"/>
  <c r="AI53"/>
  <c r="AC52"/>
  <c r="AO49"/>
  <c r="AC46"/>
  <c r="AR43"/>
  <c r="AO42"/>
  <c r="AI40"/>
  <c r="AC39"/>
  <c r="Z38"/>
  <c r="W37"/>
  <c r="T36"/>
  <c r="Q35"/>
  <c r="AU51"/>
  <c r="AO47"/>
  <c r="AC44"/>
  <c r="T43"/>
  <c r="Q42"/>
  <c r="Q36"/>
  <c r="AR40"/>
  <c r="AL36"/>
  <c r="AR50"/>
  <c r="AL46"/>
  <c r="AX43"/>
  <c r="AU42"/>
  <c r="AR41"/>
  <c r="AO40"/>
  <c r="AI38"/>
  <c r="AC37"/>
  <c r="Z36"/>
  <c r="W35"/>
  <c r="T34"/>
  <c r="Q44"/>
  <c r="Z51"/>
  <c r="AU47"/>
  <c r="BA43"/>
  <c r="AX42"/>
  <c r="T39"/>
  <c r="AL40"/>
  <c r="BD36"/>
  <c r="AI35"/>
  <c r="AU41"/>
  <c r="AO37"/>
  <c r="W34"/>
  <c r="BA41"/>
  <c r="AR38"/>
  <c r="AX40"/>
  <c r="BA39"/>
  <c r="AR36"/>
  <c r="BD34"/>
  <c r="AI41"/>
  <c r="Z37"/>
  <c r="AC38"/>
  <c r="BG34"/>
  <c r="BG42"/>
  <c r="BG50"/>
  <c r="BG58"/>
  <c r="BJ38" i="18"/>
  <c r="BJ46"/>
  <c r="BJ55"/>
  <c r="BG37" i="16"/>
  <c r="BG45"/>
  <c r="BG53"/>
  <c r="BJ39" i="18"/>
  <c r="BJ47"/>
  <c r="BG36" i="16"/>
  <c r="BG44"/>
  <c r="BG52"/>
  <c r="BJ36" i="18"/>
  <c r="BJ44"/>
  <c r="BJ52"/>
  <c r="BJ58"/>
  <c r="BG39" i="16"/>
  <c r="BG47"/>
  <c r="BG55"/>
  <c r="BJ41" i="18"/>
  <c r="BJ49"/>
  <c r="BG38" i="16"/>
  <c r="BG46"/>
  <c r="BG54"/>
  <c r="BJ34" i="18"/>
  <c r="BJ42"/>
  <c r="BJ50"/>
  <c r="BJ56"/>
  <c r="BG41" i="16"/>
  <c r="BG49"/>
  <c r="BJ35" i="18"/>
  <c r="BJ43"/>
  <c r="BJ51"/>
  <c r="BG40" i="16"/>
  <c r="BG48"/>
  <c r="BG56"/>
  <c r="BJ40" i="18"/>
  <c r="BJ48"/>
  <c r="BJ57"/>
  <c r="BG35" i="16"/>
  <c r="BG43"/>
  <c r="BG51"/>
  <c r="BJ37" i="18"/>
  <c r="BJ45"/>
  <c r="BJ53"/>
  <c r="A69" i="16" l="1"/>
  <c r="A171"/>
  <c r="A103"/>
  <c r="C34"/>
  <c r="C65"/>
  <c r="A8"/>
  <c r="A135"/>
  <c r="A39"/>
  <c r="C99"/>
  <c r="C131"/>
  <c r="A87" i="5"/>
  <c r="A60"/>
  <c r="D83"/>
  <c r="E55"/>
  <c r="A87" i="4"/>
  <c r="A60"/>
  <c r="D83"/>
  <c r="E55"/>
  <c r="Q107" i="3"/>
  <c r="AF26" i="16" s="1"/>
  <c r="Q105" i="3"/>
  <c r="AF24" i="16" s="1"/>
  <c r="Q103" i="3"/>
  <c r="AF22" i="16" s="1"/>
  <c r="Q101" i="3"/>
  <c r="AF20" i="16" s="1"/>
  <c r="Q99" i="3"/>
  <c r="AF18" i="16" s="1"/>
  <c r="Q97" i="3"/>
  <c r="AF16" i="16" s="1"/>
  <c r="Q95" i="3"/>
  <c r="AF14" i="16" s="1"/>
  <c r="Q93" i="3"/>
  <c r="AF12" i="16" s="1"/>
  <c r="Q91" i="3"/>
  <c r="AF10" i="16" s="1"/>
  <c r="Q89" i="3"/>
  <c r="AF8" i="16" s="1"/>
  <c r="Q87" i="3"/>
  <c r="AF6" i="16" s="1"/>
  <c r="Q85" i="3"/>
  <c r="AF4" i="16" s="1"/>
  <c r="Q108" i="3"/>
  <c r="AF27" i="16" s="1"/>
  <c r="Q106" i="3"/>
  <c r="AF25" i="16" s="1"/>
  <c r="Q104" i="3"/>
  <c r="AF23" i="16" s="1"/>
  <c r="Q102" i="3"/>
  <c r="AF21" i="16" s="1"/>
  <c r="Q100" i="3"/>
  <c r="AF19" i="16" s="1"/>
  <c r="Q98" i="3"/>
  <c r="AF17" i="16" s="1"/>
  <c r="Q96" i="3"/>
  <c r="AF15" i="16" s="1"/>
  <c r="Q94" i="3"/>
  <c r="AF13" i="16" s="1"/>
  <c r="Q92" i="3"/>
  <c r="AF11" i="16" s="1"/>
  <c r="Q90" i="3"/>
  <c r="AF9" i="16" s="1"/>
  <c r="Q88" i="3"/>
  <c r="AF7" i="16" s="1"/>
  <c r="Q86" i="3"/>
  <c r="AF5" i="16" s="1"/>
  <c r="Q84" i="3"/>
  <c r="AF3" i="16" s="1"/>
  <c r="R80" i="3"/>
  <c r="AG27" i="18" s="1"/>
  <c r="R78" i="3"/>
  <c r="AG25" i="18" s="1"/>
  <c r="R83" i="3"/>
  <c r="R79"/>
  <c r="AG26" i="18" s="1"/>
  <c r="R77" i="3"/>
  <c r="AG24" i="18" s="1"/>
  <c r="R76" i="3"/>
  <c r="AG23" i="18" s="1"/>
  <c r="R74" i="3"/>
  <c r="AG21" i="18" s="1"/>
  <c r="R72" i="3"/>
  <c r="AG19" i="18" s="1"/>
  <c r="R70" i="3"/>
  <c r="AG17" i="18" s="1"/>
  <c r="R68" i="3"/>
  <c r="AG15" i="18" s="1"/>
  <c r="R66" i="3"/>
  <c r="AG13" i="18" s="1"/>
  <c r="R64" i="3"/>
  <c r="AG11" i="18" s="1"/>
  <c r="R62" i="3"/>
  <c r="AG9" i="18" s="1"/>
  <c r="R60" i="3"/>
  <c r="AG7" i="18" s="1"/>
  <c r="R58" i="3"/>
  <c r="AG5" i="18" s="1"/>
  <c r="R56" i="3"/>
  <c r="AG3" i="18" s="1"/>
  <c r="S55" i="3"/>
  <c r="R75"/>
  <c r="AG22" i="18" s="1"/>
  <c r="R73" i="3"/>
  <c r="AG20" i="18" s="1"/>
  <c r="R71" i="3"/>
  <c r="AG18" i="18" s="1"/>
  <c r="R69" i="3"/>
  <c r="AG16" i="18" s="1"/>
  <c r="R67" i="3"/>
  <c r="AG14" i="18" s="1"/>
  <c r="R65" i="3"/>
  <c r="AG12" i="18" s="1"/>
  <c r="R63" i="3"/>
  <c r="AG10" i="18" s="1"/>
  <c r="R61" i="3"/>
  <c r="AG8" i="18" s="1"/>
  <c r="R59" i="3"/>
  <c r="AG6" i="18" s="1"/>
  <c r="R57" i="3"/>
  <c r="AG4" i="18" s="1"/>
  <c r="A28" i="3"/>
  <c r="A27" i="4"/>
  <c r="A27" i="5"/>
  <c r="AD157" i="3"/>
  <c r="AD156" s="1"/>
  <c r="Z157"/>
  <c r="Z156" s="1"/>
  <c r="V157"/>
  <c r="V156" s="1"/>
  <c r="R157"/>
  <c r="R156" s="1"/>
  <c r="N157"/>
  <c r="N156" s="1"/>
  <c r="J157"/>
  <c r="J156" s="1"/>
  <c r="F157"/>
  <c r="F156" s="1"/>
  <c r="B157"/>
  <c r="B156" s="1"/>
  <c r="AE157"/>
  <c r="AE156" s="1"/>
  <c r="AA157"/>
  <c r="AA156" s="1"/>
  <c r="W157"/>
  <c r="W156" s="1"/>
  <c r="S157"/>
  <c r="S156" s="1"/>
  <c r="O157"/>
  <c r="O156" s="1"/>
  <c r="K157"/>
  <c r="K156" s="1"/>
  <c r="G157"/>
  <c r="G156" s="1"/>
  <c r="C157"/>
  <c r="C156" s="1"/>
  <c r="AF157"/>
  <c r="AF156" s="1"/>
  <c r="AB157"/>
  <c r="AB156" s="1"/>
  <c r="X157"/>
  <c r="X156" s="1"/>
  <c r="P157"/>
  <c r="P156" s="1"/>
  <c r="L157"/>
  <c r="L156" s="1"/>
  <c r="H157"/>
  <c r="H156" s="1"/>
  <c r="D157"/>
  <c r="D156" s="1"/>
  <c r="AG157"/>
  <c r="AG156" s="1"/>
  <c r="AC157"/>
  <c r="AC156" s="1"/>
  <c r="Y157"/>
  <c r="Y156" s="1"/>
  <c r="U157"/>
  <c r="U156" s="1"/>
  <c r="Q157"/>
  <c r="Q156" s="1"/>
  <c r="M157"/>
  <c r="M156" s="1"/>
  <c r="I157"/>
  <c r="I156" s="1"/>
  <c r="E157"/>
  <c r="E156" s="1"/>
  <c r="B205" i="5"/>
  <c r="B204" s="1"/>
  <c r="R205"/>
  <c r="R204" s="1"/>
  <c r="V205"/>
  <c r="V204" s="1"/>
  <c r="Z205"/>
  <c r="Z204" s="1"/>
  <c r="AD205"/>
  <c r="AD204" s="1"/>
  <c r="O205"/>
  <c r="O204" s="1"/>
  <c r="Q205"/>
  <c r="Q204" s="1"/>
  <c r="S205"/>
  <c r="S204" s="1"/>
  <c r="U205"/>
  <c r="U204" s="1"/>
  <c r="W205"/>
  <c r="W204" s="1"/>
  <c r="Y205"/>
  <c r="Y204" s="1"/>
  <c r="AA205"/>
  <c r="AA204" s="1"/>
  <c r="AC205"/>
  <c r="AC204" s="1"/>
  <c r="AE205"/>
  <c r="AE204" s="1"/>
  <c r="AG205"/>
  <c r="AG204" s="1"/>
  <c r="AF205"/>
  <c r="AF204" s="1"/>
  <c r="AB205"/>
  <c r="AB204" s="1"/>
  <c r="X205"/>
  <c r="X204" s="1"/>
  <c r="P205"/>
  <c r="P204" s="1"/>
  <c r="C205"/>
  <c r="C204" s="1"/>
  <c r="D205"/>
  <c r="D204" s="1"/>
  <c r="E205"/>
  <c r="E204" s="1"/>
  <c r="N205"/>
  <c r="N204" s="1"/>
  <c r="M205"/>
  <c r="M204" s="1"/>
  <c r="L205"/>
  <c r="L204" s="1"/>
  <c r="K205"/>
  <c r="K204" s="1"/>
  <c r="J205"/>
  <c r="J204" s="1"/>
  <c r="I205"/>
  <c r="I204" s="1"/>
  <c r="H205"/>
  <c r="H204" s="1"/>
  <c r="G205"/>
  <c r="G204" s="1"/>
  <c r="F205"/>
  <c r="F204" s="1"/>
  <c r="C158" i="4"/>
  <c r="C157" s="1"/>
  <c r="G158"/>
  <c r="I158"/>
  <c r="I157" s="1"/>
  <c r="K158"/>
  <c r="K157" s="1"/>
  <c r="M158"/>
  <c r="M157" s="1"/>
  <c r="O158"/>
  <c r="O157" s="1"/>
  <c r="Q158"/>
  <c r="Q157" s="1"/>
  <c r="S158"/>
  <c r="S157" s="1"/>
  <c r="U158"/>
  <c r="U157" s="1"/>
  <c r="W158"/>
  <c r="W157" s="1"/>
  <c r="Y158"/>
  <c r="Y157" s="1"/>
  <c r="AA158"/>
  <c r="AA157" s="1"/>
  <c r="AC158"/>
  <c r="AC157" s="1"/>
  <c r="AE158"/>
  <c r="AE157" s="1"/>
  <c r="AG158"/>
  <c r="B158"/>
  <c r="B157" s="1"/>
  <c r="D158"/>
  <c r="D157" s="1"/>
  <c r="H158"/>
  <c r="H157" s="1"/>
  <c r="L158"/>
  <c r="L157" s="1"/>
  <c r="P158"/>
  <c r="P157" s="1"/>
  <c r="X158"/>
  <c r="X157" s="1"/>
  <c r="AB158"/>
  <c r="AB157" s="1"/>
  <c r="AF158"/>
  <c r="AF157" s="1"/>
  <c r="AD158"/>
  <c r="AD157" s="1"/>
  <c r="Z158"/>
  <c r="Z157" s="1"/>
  <c r="V158"/>
  <c r="V157" s="1"/>
  <c r="R158"/>
  <c r="R157" s="1"/>
  <c r="N158"/>
  <c r="N157" s="1"/>
  <c r="J158"/>
  <c r="J157" s="1"/>
  <c r="F158"/>
  <c r="F157" s="1"/>
  <c r="AG157"/>
  <c r="G157"/>
  <c r="E158"/>
  <c r="E157" s="1"/>
  <c r="BM51" i="18"/>
  <c r="BM43"/>
  <c r="BM35"/>
  <c r="BJ51" i="16"/>
  <c r="BJ43"/>
  <c r="BJ35"/>
  <c r="BJ52"/>
  <c r="BJ44"/>
  <c r="BJ36"/>
  <c r="BM52" i="18"/>
  <c r="BM44"/>
  <c r="BM36"/>
  <c r="BJ53" i="16"/>
  <c r="BJ45"/>
  <c r="BJ37"/>
  <c r="BJ54"/>
  <c r="BJ46"/>
  <c r="BJ38"/>
  <c r="BM56" i="18"/>
  <c r="BM50"/>
  <c r="BM42"/>
  <c r="BM34"/>
  <c r="BM53"/>
  <c r="BM45"/>
  <c r="BM37"/>
  <c r="BM55"/>
  <c r="BM47"/>
  <c r="BM39"/>
  <c r="BJ55" i="16"/>
  <c r="BJ47"/>
  <c r="BJ39"/>
  <c r="BJ56"/>
  <c r="BJ48"/>
  <c r="BJ40"/>
  <c r="BM58" i="18"/>
  <c r="BM48"/>
  <c r="BM40"/>
  <c r="BJ57" i="16"/>
  <c r="BJ49"/>
  <c r="BJ41"/>
  <c r="BJ58"/>
  <c r="BJ50"/>
  <c r="BJ42"/>
  <c r="BJ34"/>
  <c r="BM54" i="18"/>
  <c r="BM46"/>
  <c r="BM38"/>
  <c r="BM57"/>
  <c r="BM49"/>
  <c r="BM41"/>
  <c r="A70" i="16" l="1"/>
  <c r="A172"/>
  <c r="A9"/>
  <c r="A104"/>
  <c r="A136"/>
  <c r="A137"/>
  <c r="E83" i="5"/>
  <c r="F55"/>
  <c r="A61"/>
  <c r="A88"/>
  <c r="E83" i="4"/>
  <c r="F55"/>
  <c r="A61"/>
  <c r="A88"/>
  <c r="S83" i="3"/>
  <c r="S79"/>
  <c r="AH26" i="18" s="1"/>
  <c r="S77" i="3"/>
  <c r="AH24" i="18" s="1"/>
  <c r="S80" i="3"/>
  <c r="AH27" i="18" s="1"/>
  <c r="S78" i="3"/>
  <c r="AH25" i="18" s="1"/>
  <c r="S75" i="3"/>
  <c r="AH22" i="18" s="1"/>
  <c r="S73" i="3"/>
  <c r="AH20" i="18" s="1"/>
  <c r="S71" i="3"/>
  <c r="AH18" i="18" s="1"/>
  <c r="S69" i="3"/>
  <c r="AH16" i="18" s="1"/>
  <c r="S67" i="3"/>
  <c r="AH14" i="18" s="1"/>
  <c r="S65" i="3"/>
  <c r="AH12" i="18" s="1"/>
  <c r="S63" i="3"/>
  <c r="AH10" i="18" s="1"/>
  <c r="S61" i="3"/>
  <c r="AH8" i="18" s="1"/>
  <c r="S59" i="3"/>
  <c r="AH6" i="18" s="1"/>
  <c r="S57" i="3"/>
  <c r="AH4" i="18" s="1"/>
  <c r="S76" i="3"/>
  <c r="AH23" i="18" s="1"/>
  <c r="S74" i="3"/>
  <c r="AH21" i="18" s="1"/>
  <c r="S72" i="3"/>
  <c r="AH19" i="18" s="1"/>
  <c r="S70" i="3"/>
  <c r="AH17" i="18" s="1"/>
  <c r="S68" i="3"/>
  <c r="AH15" i="18" s="1"/>
  <c r="S66" i="3"/>
  <c r="AH13" i="18" s="1"/>
  <c r="S64" i="3"/>
  <c r="AH11" i="18" s="1"/>
  <c r="S62" i="3"/>
  <c r="AH9" i="18" s="1"/>
  <c r="S60" i="3"/>
  <c r="AH7" i="18" s="1"/>
  <c r="S58" i="3"/>
  <c r="AH5" i="18" s="1"/>
  <c r="S56" i="3"/>
  <c r="AH3" i="18" s="1"/>
  <c r="T55" i="3"/>
  <c r="R108"/>
  <c r="AG27" i="16" s="1"/>
  <c r="R106" i="3"/>
  <c r="AG25" i="16" s="1"/>
  <c r="R104" i="3"/>
  <c r="AG23" i="16" s="1"/>
  <c r="R102" i="3"/>
  <c r="AG21" i="16" s="1"/>
  <c r="R100" i="3"/>
  <c r="AG19" i="16" s="1"/>
  <c r="R98" i="3"/>
  <c r="AG17" i="16" s="1"/>
  <c r="R96" i="3"/>
  <c r="AG15" i="16" s="1"/>
  <c r="R94" i="3"/>
  <c r="AG13" i="16" s="1"/>
  <c r="R92" i="3"/>
  <c r="AG11" i="16" s="1"/>
  <c r="R90" i="3"/>
  <c r="AG9" i="16" s="1"/>
  <c r="R88" i="3"/>
  <c r="AG7" i="16" s="1"/>
  <c r="R86" i="3"/>
  <c r="AG5" i="16" s="1"/>
  <c r="R84" i="3"/>
  <c r="AG3" i="16" s="1"/>
  <c r="R107" i="3"/>
  <c r="AG26" i="16" s="1"/>
  <c r="R105" i="3"/>
  <c r="AG24" i="16" s="1"/>
  <c r="R103" i="3"/>
  <c r="AG22" i="16" s="1"/>
  <c r="R101" i="3"/>
  <c r="AG20" i="16" s="1"/>
  <c r="R99" i="3"/>
  <c r="AG18" i="16" s="1"/>
  <c r="R97" i="3"/>
  <c r="AG16" i="16" s="1"/>
  <c r="R95" i="3"/>
  <c r="AG14" i="16" s="1"/>
  <c r="R93" i="3"/>
  <c r="AG12" i="16" s="1"/>
  <c r="R91" i="3"/>
  <c r="AG10" i="16" s="1"/>
  <c r="R89" i="3"/>
  <c r="AG8" i="16" s="1"/>
  <c r="R87" i="3"/>
  <c r="AG6" i="16" s="1"/>
  <c r="R85" i="3"/>
  <c r="AG4" i="16" s="1"/>
  <c r="A29" i="3"/>
  <c r="A28" i="4"/>
  <c r="A28" i="5"/>
  <c r="AJ204"/>
  <c r="AH204"/>
  <c r="AJ205"/>
  <c r="AH205"/>
  <c r="AJ158" i="4"/>
  <c r="AH158"/>
  <c r="AH157" i="3"/>
  <c r="AJ157"/>
  <c r="BP55" i="18"/>
  <c r="BP51"/>
  <c r="BP43"/>
  <c r="BP35"/>
  <c r="BP48"/>
  <c r="BP40"/>
  <c r="BM56" i="16"/>
  <c r="BM48"/>
  <c r="BM40"/>
  <c r="BM57"/>
  <c r="BM49"/>
  <c r="BM41"/>
  <c r="BP57" i="18"/>
  <c r="BP53"/>
  <c r="BP45"/>
  <c r="BP37"/>
  <c r="BP50"/>
  <c r="BP42"/>
  <c r="BP34"/>
  <c r="BM54" i="16"/>
  <c r="BM46"/>
  <c r="BM38"/>
  <c r="BM55"/>
  <c r="BM47"/>
  <c r="BM39"/>
  <c r="BP56" i="18"/>
  <c r="BP47"/>
  <c r="BP39"/>
  <c r="BP52"/>
  <c r="BP44"/>
  <c r="BP36"/>
  <c r="BM52" i="16"/>
  <c r="BM44"/>
  <c r="BM36"/>
  <c r="BM53"/>
  <c r="BM45"/>
  <c r="BM37"/>
  <c r="BP58" i="18"/>
  <c r="BP49"/>
  <c r="BP41"/>
  <c r="BP54"/>
  <c r="BP46"/>
  <c r="BP38"/>
  <c r="BM58" i="16"/>
  <c r="BM50"/>
  <c r="BM42"/>
  <c r="BM34"/>
  <c r="BM51"/>
  <c r="BM43"/>
  <c r="BM35"/>
  <c r="A71" l="1"/>
  <c r="A173"/>
  <c r="A10"/>
  <c r="A105"/>
  <c r="A40"/>
  <c r="A11"/>
  <c r="A89" i="5"/>
  <c r="A62"/>
  <c r="F83"/>
  <c r="G55"/>
  <c r="A89" i="4"/>
  <c r="A62"/>
  <c r="F83"/>
  <c r="G55"/>
  <c r="T80" i="3"/>
  <c r="T78"/>
  <c r="T83"/>
  <c r="T79"/>
  <c r="T77"/>
  <c r="T76"/>
  <c r="T74"/>
  <c r="T72"/>
  <c r="T70"/>
  <c r="T68"/>
  <c r="T66"/>
  <c r="T64"/>
  <c r="T62"/>
  <c r="T60"/>
  <c r="T58"/>
  <c r="T56"/>
  <c r="U55"/>
  <c r="T75"/>
  <c r="T73"/>
  <c r="T71"/>
  <c r="T69"/>
  <c r="T67"/>
  <c r="T65"/>
  <c r="T63"/>
  <c r="T61"/>
  <c r="T59"/>
  <c r="T57"/>
  <c r="S107"/>
  <c r="AH26" i="16" s="1"/>
  <c r="S105" i="3"/>
  <c r="AH24" i="16" s="1"/>
  <c r="S103" i="3"/>
  <c r="AH22" i="16" s="1"/>
  <c r="S101" i="3"/>
  <c r="AH20" i="16" s="1"/>
  <c r="S99" i="3"/>
  <c r="AH18" i="16" s="1"/>
  <c r="S97" i="3"/>
  <c r="AH16" i="16" s="1"/>
  <c r="S95" i="3"/>
  <c r="AH14" i="16" s="1"/>
  <c r="S93" i="3"/>
  <c r="AH12" i="16" s="1"/>
  <c r="S91" i="3"/>
  <c r="AH10" i="16" s="1"/>
  <c r="S89" i="3"/>
  <c r="AH8" i="16" s="1"/>
  <c r="S87" i="3"/>
  <c r="AH6" i="16" s="1"/>
  <c r="S85" i="3"/>
  <c r="AH4" i="16" s="1"/>
  <c r="S108" i="3"/>
  <c r="AH27" i="16" s="1"/>
  <c r="S106" i="3"/>
  <c r="AH25" i="16" s="1"/>
  <c r="S104" i="3"/>
  <c r="AH23" i="16" s="1"/>
  <c r="S102" i="3"/>
  <c r="AH21" i="16" s="1"/>
  <c r="S100" i="3"/>
  <c r="AH19" i="16" s="1"/>
  <c r="S98" i="3"/>
  <c r="AH17" i="16" s="1"/>
  <c r="S96" i="3"/>
  <c r="AH15" i="16" s="1"/>
  <c r="S94" i="3"/>
  <c r="AH13" i="16" s="1"/>
  <c r="S92" i="3"/>
  <c r="AH11" i="16" s="1"/>
  <c r="S90" i="3"/>
  <c r="AH9" i="16" s="1"/>
  <c r="S88" i="3"/>
  <c r="AH7" i="16" s="1"/>
  <c r="S86" i="3"/>
  <c r="AH5" i="16" s="1"/>
  <c r="S84" i="3"/>
  <c r="AH3" i="16" s="1"/>
  <c r="A30" i="3"/>
  <c r="A29" i="5"/>
  <c r="A29" i="4"/>
  <c r="AK204" i="5"/>
  <c r="AI204"/>
  <c r="AI205"/>
  <c r="AK205"/>
  <c r="AJ157" i="4"/>
  <c r="AH157"/>
  <c r="AI158"/>
  <c r="AK158"/>
  <c r="AH156" i="3"/>
  <c r="AJ156"/>
  <c r="AI157"/>
  <c r="AK157"/>
  <c r="BP57" i="16"/>
  <c r="BP49"/>
  <c r="BP41"/>
  <c r="BP58"/>
  <c r="BP50"/>
  <c r="BP42"/>
  <c r="BP34"/>
  <c r="BP51"/>
  <c r="BP43"/>
  <c r="BP35"/>
  <c r="BP52"/>
  <c r="BP44"/>
  <c r="BP36"/>
  <c r="BP53"/>
  <c r="BP45"/>
  <c r="BP37"/>
  <c r="BP54"/>
  <c r="BP46"/>
  <c r="BP38"/>
  <c r="BP55"/>
  <c r="BP47"/>
  <c r="BP39"/>
  <c r="BP56"/>
  <c r="BP48"/>
  <c r="BP40"/>
  <c r="A73" l="1"/>
  <c r="A175"/>
  <c r="A72"/>
  <c r="A174"/>
  <c r="A138"/>
  <c r="A106"/>
  <c r="A41"/>
  <c r="A42"/>
  <c r="A139"/>
  <c r="A107"/>
  <c r="A12"/>
  <c r="G83" i="5"/>
  <c r="H55"/>
  <c r="A63"/>
  <c r="A90"/>
  <c r="G83" i="4"/>
  <c r="H55"/>
  <c r="A63"/>
  <c r="A90"/>
  <c r="U83" i="3"/>
  <c r="U79"/>
  <c r="AJ26" i="18" s="1"/>
  <c r="U77" i="3"/>
  <c r="AJ24" i="18" s="1"/>
  <c r="U80" i="3"/>
  <c r="AJ27" i="18" s="1"/>
  <c r="U78" i="3"/>
  <c r="AJ25" i="18" s="1"/>
  <c r="U75" i="3"/>
  <c r="AJ22" i="18" s="1"/>
  <c r="U73" i="3"/>
  <c r="AJ20" i="18" s="1"/>
  <c r="U71" i="3"/>
  <c r="AJ18" i="18" s="1"/>
  <c r="U69" i="3"/>
  <c r="AJ16" i="18" s="1"/>
  <c r="U67" i="3"/>
  <c r="AJ14" i="18" s="1"/>
  <c r="U65" i="3"/>
  <c r="AJ12" i="18" s="1"/>
  <c r="U63" i="3"/>
  <c r="AJ10" i="18" s="1"/>
  <c r="U61" i="3"/>
  <c r="AJ8" i="18" s="1"/>
  <c r="U59" i="3"/>
  <c r="AJ6" i="18" s="1"/>
  <c r="U57" i="3"/>
  <c r="AJ4" i="18" s="1"/>
  <c r="U76" i="3"/>
  <c r="AJ23" i="18" s="1"/>
  <c r="U74" i="3"/>
  <c r="AJ21" i="18" s="1"/>
  <c r="U72" i="3"/>
  <c r="AJ19" i="18" s="1"/>
  <c r="U70" i="3"/>
  <c r="AJ17" i="18" s="1"/>
  <c r="U68" i="3"/>
  <c r="AJ15" i="18" s="1"/>
  <c r="U66" i="3"/>
  <c r="AJ13" i="18" s="1"/>
  <c r="U64" i="3"/>
  <c r="AJ11" i="18" s="1"/>
  <c r="U62" i="3"/>
  <c r="AJ9" i="18" s="1"/>
  <c r="U60" i="3"/>
  <c r="AJ7" i="18" s="1"/>
  <c r="U58" i="3"/>
  <c r="AJ5" i="18" s="1"/>
  <c r="U56" i="3"/>
  <c r="AJ3" i="18" s="1"/>
  <c r="V55" i="3"/>
  <c r="T108"/>
  <c r="T106"/>
  <c r="T104"/>
  <c r="T102"/>
  <c r="T100"/>
  <c r="T98"/>
  <c r="T96"/>
  <c r="T94"/>
  <c r="T92"/>
  <c r="T90"/>
  <c r="T88"/>
  <c r="T86"/>
  <c r="T84"/>
  <c r="T107"/>
  <c r="T105"/>
  <c r="T103"/>
  <c r="T101"/>
  <c r="T99"/>
  <c r="T97"/>
  <c r="T95"/>
  <c r="T93"/>
  <c r="T91"/>
  <c r="T89"/>
  <c r="T87"/>
  <c r="T85"/>
  <c r="A30" i="5"/>
  <c r="A30" i="4"/>
  <c r="A31" i="3"/>
  <c r="AK157" i="4"/>
  <c r="AI157"/>
  <c r="AI156" i="3"/>
  <c r="AK156"/>
  <c r="BV56" i="18"/>
  <c r="BV47"/>
  <c r="BV39"/>
  <c r="BV52"/>
  <c r="BV44"/>
  <c r="BV36"/>
  <c r="BV58"/>
  <c r="BV49"/>
  <c r="BV41"/>
  <c r="BV54"/>
  <c r="BV46"/>
  <c r="BV38"/>
  <c r="BV55"/>
  <c r="BV51"/>
  <c r="BV43"/>
  <c r="BV35"/>
  <c r="BV48"/>
  <c r="BV40"/>
  <c r="BV57"/>
  <c r="BV53"/>
  <c r="BV45"/>
  <c r="BV37"/>
  <c r="BV50"/>
  <c r="BV42"/>
  <c r="BV34"/>
  <c r="A74" i="16" l="1"/>
  <c r="A176"/>
  <c r="A43"/>
  <c r="A140"/>
  <c r="A108"/>
  <c r="A13"/>
  <c r="A91" i="5"/>
  <c r="A64"/>
  <c r="H83"/>
  <c r="I55"/>
  <c r="A91" i="4"/>
  <c r="A64"/>
  <c r="H83"/>
  <c r="I55"/>
  <c r="V80" i="3"/>
  <c r="AK27" i="18" s="1"/>
  <c r="V78" i="3"/>
  <c r="AK25" i="18" s="1"/>
  <c r="V83" i="3"/>
  <c r="V79"/>
  <c r="AK26" i="18" s="1"/>
  <c r="V77" i="3"/>
  <c r="AK24" i="18" s="1"/>
  <c r="V76" i="3"/>
  <c r="AK23" i="18" s="1"/>
  <c r="V74" i="3"/>
  <c r="AK21" i="18" s="1"/>
  <c r="V72" i="3"/>
  <c r="AK19" i="18" s="1"/>
  <c r="V70" i="3"/>
  <c r="AK17" i="18" s="1"/>
  <c r="V68" i="3"/>
  <c r="AK15" i="18" s="1"/>
  <c r="V66" i="3"/>
  <c r="AK13" i="18" s="1"/>
  <c r="V64" i="3"/>
  <c r="AK11" i="18" s="1"/>
  <c r="V62" i="3"/>
  <c r="AK9" i="18" s="1"/>
  <c r="V60" i="3"/>
  <c r="AK7" i="18" s="1"/>
  <c r="V58" i="3"/>
  <c r="AK5" i="18" s="1"/>
  <c r="V56" i="3"/>
  <c r="AK3" i="18" s="1"/>
  <c r="W55" i="3"/>
  <c r="V75"/>
  <c r="AK22" i="18" s="1"/>
  <c r="V73" i="3"/>
  <c r="AK20" i="18" s="1"/>
  <c r="V71" i="3"/>
  <c r="AK18" i="18" s="1"/>
  <c r="V69" i="3"/>
  <c r="AK16" i="18" s="1"/>
  <c r="V67" i="3"/>
  <c r="AK14" i="18" s="1"/>
  <c r="V65" i="3"/>
  <c r="AK12" i="18" s="1"/>
  <c r="V63" i="3"/>
  <c r="AK10" i="18" s="1"/>
  <c r="V61" i="3"/>
  <c r="AK8" i="18" s="1"/>
  <c r="V59" i="3"/>
  <c r="AK6" i="18" s="1"/>
  <c r="V57" i="3"/>
  <c r="AK4" i="18" s="1"/>
  <c r="U107" i="3"/>
  <c r="AJ26" i="16" s="1"/>
  <c r="U105" i="3"/>
  <c r="AJ24" i="16" s="1"/>
  <c r="U103" i="3"/>
  <c r="AJ22" i="16" s="1"/>
  <c r="U101" i="3"/>
  <c r="AJ20" i="16" s="1"/>
  <c r="U99" i="3"/>
  <c r="AJ18" i="16" s="1"/>
  <c r="U97" i="3"/>
  <c r="AJ16" i="16" s="1"/>
  <c r="U95" i="3"/>
  <c r="AJ14" i="16" s="1"/>
  <c r="U93" i="3"/>
  <c r="AJ12" i="16" s="1"/>
  <c r="U91" i="3"/>
  <c r="AJ10" i="16" s="1"/>
  <c r="U89" i="3"/>
  <c r="AJ8" i="16" s="1"/>
  <c r="U87" i="3"/>
  <c r="AJ6" i="16" s="1"/>
  <c r="U85" i="3"/>
  <c r="AJ4" i="16" s="1"/>
  <c r="U108" i="3"/>
  <c r="AJ27" i="16" s="1"/>
  <c r="U106" i="3"/>
  <c r="AJ25" i="16" s="1"/>
  <c r="U104" i="3"/>
  <c r="AJ23" i="16" s="1"/>
  <c r="U102" i="3"/>
  <c r="AJ21" i="16" s="1"/>
  <c r="U100" i="3"/>
  <c r="AJ19" i="16" s="1"/>
  <c r="U98" i="3"/>
  <c r="AJ17" i="16" s="1"/>
  <c r="U96" i="3"/>
  <c r="AJ15" i="16" s="1"/>
  <c r="U94" i="3"/>
  <c r="AJ13" i="16" s="1"/>
  <c r="U92" i="3"/>
  <c r="AJ11" i="16" s="1"/>
  <c r="U90" i="3"/>
  <c r="AJ9" i="16" s="1"/>
  <c r="U88" i="3"/>
  <c r="AJ7" i="16" s="1"/>
  <c r="U86" i="3"/>
  <c r="AJ5" i="16" s="1"/>
  <c r="U84" i="3"/>
  <c r="AJ3" i="16" s="1"/>
  <c r="A32" i="3"/>
  <c r="A31" i="5"/>
  <c r="A31" i="4"/>
  <c r="AO1" i="3"/>
  <c r="AN1"/>
  <c r="AM1"/>
  <c r="AJ26" i="5"/>
  <c r="AN26" s="1"/>
  <c r="AH26"/>
  <c r="AJ25"/>
  <c r="AN25" s="1"/>
  <c r="AH25"/>
  <c r="AJ24"/>
  <c r="AN24" s="1"/>
  <c r="AH24"/>
  <c r="AJ23"/>
  <c r="AN23" s="1"/>
  <c r="AH23"/>
  <c r="AJ22"/>
  <c r="AN22" s="1"/>
  <c r="AH22"/>
  <c r="AJ21"/>
  <c r="AN21" s="1"/>
  <c r="AH21"/>
  <c r="AJ20"/>
  <c r="AN20" s="1"/>
  <c r="AH20"/>
  <c r="AJ19"/>
  <c r="AN19" s="1"/>
  <c r="AH19"/>
  <c r="AJ18"/>
  <c r="AN18" s="1"/>
  <c r="AH18"/>
  <c r="AJ17"/>
  <c r="AN17" s="1"/>
  <c r="AH17"/>
  <c r="AJ16"/>
  <c r="AN16" s="1"/>
  <c r="AH16"/>
  <c r="AJ15"/>
  <c r="AN15" s="1"/>
  <c r="AH15"/>
  <c r="AJ14"/>
  <c r="AN14" s="1"/>
  <c r="AH14"/>
  <c r="AJ13"/>
  <c r="AN13" s="1"/>
  <c r="AH13"/>
  <c r="AJ12"/>
  <c r="AN12" s="1"/>
  <c r="AH12"/>
  <c r="AJ11"/>
  <c r="AN11" s="1"/>
  <c r="AH11"/>
  <c r="AJ10"/>
  <c r="AN10" s="1"/>
  <c r="AH10"/>
  <c r="AJ9"/>
  <c r="AN9" s="1"/>
  <c r="AH9"/>
  <c r="AJ8"/>
  <c r="AN8" s="1"/>
  <c r="AH8"/>
  <c r="AJ7"/>
  <c r="AN7" s="1"/>
  <c r="AH7"/>
  <c r="AJ6"/>
  <c r="AN6" s="1"/>
  <c r="AH6"/>
  <c r="AJ5"/>
  <c r="AN5" s="1"/>
  <c r="AH5"/>
  <c r="AJ4"/>
  <c r="AN4" s="1"/>
  <c r="AH4"/>
  <c r="AJ3"/>
  <c r="AN3" s="1"/>
  <c r="AH3"/>
  <c r="AJ2"/>
  <c r="AN2" s="1"/>
  <c r="AH2"/>
  <c r="AJ26" i="4"/>
  <c r="AN26" s="1"/>
  <c r="AJ25"/>
  <c r="AN25" s="1"/>
  <c r="AJ24"/>
  <c r="AN24" s="1"/>
  <c r="AJ23"/>
  <c r="AN23" s="1"/>
  <c r="AJ22"/>
  <c r="AN22" s="1"/>
  <c r="AJ21"/>
  <c r="AN21" s="1"/>
  <c r="AJ20"/>
  <c r="AN20" s="1"/>
  <c r="AJ19"/>
  <c r="AN19" s="1"/>
  <c r="AJ18"/>
  <c r="AN18" s="1"/>
  <c r="AJ17"/>
  <c r="AN17" s="1"/>
  <c r="AJ16"/>
  <c r="AN16" s="1"/>
  <c r="AJ15"/>
  <c r="AN15" s="1"/>
  <c r="AJ14"/>
  <c r="AN14" s="1"/>
  <c r="AJ13"/>
  <c r="AN13" s="1"/>
  <c r="AJ12"/>
  <c r="AN12" s="1"/>
  <c r="AJ11"/>
  <c r="AN11" s="1"/>
  <c r="AJ10"/>
  <c r="AN10" s="1"/>
  <c r="AJ9"/>
  <c r="AN9" s="1"/>
  <c r="AJ8"/>
  <c r="AN8" s="1"/>
  <c r="AJ7"/>
  <c r="AN7" s="1"/>
  <c r="AJ6"/>
  <c r="AN6" s="1"/>
  <c r="AJ5"/>
  <c r="AN5" s="1"/>
  <c r="AJ4"/>
  <c r="AN4" s="1"/>
  <c r="AJ3"/>
  <c r="AN3" s="1"/>
  <c r="AJ2"/>
  <c r="AN2" s="1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H4"/>
  <c r="AH3"/>
  <c r="AH2"/>
  <c r="AJ26" i="3"/>
  <c r="AN26" s="1"/>
  <c r="AJ25"/>
  <c r="AN25" s="1"/>
  <c r="AJ24"/>
  <c r="AN24" s="1"/>
  <c r="AJ23"/>
  <c r="AN23" s="1"/>
  <c r="AJ22"/>
  <c r="AN22" s="1"/>
  <c r="AJ21"/>
  <c r="AN21" s="1"/>
  <c r="AJ20"/>
  <c r="AN20" s="1"/>
  <c r="AJ19"/>
  <c r="AN19" s="1"/>
  <c r="AJ18"/>
  <c r="AN18" s="1"/>
  <c r="AJ17"/>
  <c r="AN17" s="1"/>
  <c r="AJ16"/>
  <c r="AN16" s="1"/>
  <c r="AJ15"/>
  <c r="AN15" s="1"/>
  <c r="AJ14"/>
  <c r="AN14" s="1"/>
  <c r="AJ13"/>
  <c r="AN13" s="1"/>
  <c r="AJ12"/>
  <c r="AN12" s="1"/>
  <c r="AJ11"/>
  <c r="AN11" s="1"/>
  <c r="AJ10"/>
  <c r="AN10" s="1"/>
  <c r="AJ9"/>
  <c r="AN9" s="1"/>
  <c r="AJ8"/>
  <c r="AN8" s="1"/>
  <c r="AJ7"/>
  <c r="AN7" s="1"/>
  <c r="AJ6"/>
  <c r="AN6" s="1"/>
  <c r="AJ5"/>
  <c r="AN5" s="1"/>
  <c r="AJ4"/>
  <c r="AN4" s="1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H4"/>
  <c r="B1" i="5"/>
  <c r="B1" i="4"/>
  <c r="C1" i="3"/>
  <c r="C162" s="1"/>
  <c r="C189" s="1"/>
  <c r="BV55" i="16"/>
  <c r="BV43"/>
  <c r="BV52"/>
  <c r="BV44"/>
  <c r="BV38"/>
  <c r="BY58" i="18"/>
  <c r="BY52"/>
  <c r="BY44"/>
  <c r="BY36"/>
  <c r="BY47"/>
  <c r="BY39"/>
  <c r="BV51" i="16"/>
  <c r="BV56"/>
  <c r="BV36"/>
  <c r="BV53"/>
  <c r="BV45"/>
  <c r="BV37"/>
  <c r="BV54"/>
  <c r="BV46"/>
  <c r="BY57" i="18"/>
  <c r="BY50"/>
  <c r="BY42"/>
  <c r="BY34"/>
  <c r="BY49"/>
  <c r="BY41"/>
  <c r="BV47" i="16"/>
  <c r="BV35"/>
  <c r="BV48"/>
  <c r="BV42"/>
  <c r="BV34"/>
  <c r="BY55" i="18"/>
  <c r="BY48"/>
  <c r="BY40"/>
  <c r="BY51"/>
  <c r="BY43"/>
  <c r="BY35"/>
  <c r="BV39" i="16"/>
  <c r="BV40"/>
  <c r="BV57"/>
  <c r="BV49"/>
  <c r="BV41"/>
  <c r="BV58"/>
  <c r="BV50"/>
  <c r="BY56" i="18"/>
  <c r="BY54"/>
  <c r="BY46"/>
  <c r="BY38"/>
  <c r="BY53"/>
  <c r="BY45"/>
  <c r="BY37"/>
  <c r="A75" i="16" l="1"/>
  <c r="A177"/>
  <c r="A44"/>
  <c r="A141"/>
  <c r="A109"/>
  <c r="A14"/>
  <c r="I83" i="5"/>
  <c r="J55"/>
  <c r="A65"/>
  <c r="A92"/>
  <c r="I83" i="4"/>
  <c r="J55"/>
  <c r="A65"/>
  <c r="A92"/>
  <c r="W83" i="3"/>
  <c r="W79"/>
  <c r="W77"/>
  <c r="W80"/>
  <c r="W78"/>
  <c r="W75"/>
  <c r="W73"/>
  <c r="W71"/>
  <c r="W69"/>
  <c r="W67"/>
  <c r="W65"/>
  <c r="W63"/>
  <c r="W61"/>
  <c r="W59"/>
  <c r="W57"/>
  <c r="W76"/>
  <c r="W74"/>
  <c r="W72"/>
  <c r="W70"/>
  <c r="W68"/>
  <c r="W66"/>
  <c r="W64"/>
  <c r="W62"/>
  <c r="W60"/>
  <c r="W58"/>
  <c r="W56"/>
  <c r="X55"/>
  <c r="V108"/>
  <c r="AK27" i="16" s="1"/>
  <c r="V106" i="3"/>
  <c r="AK25" i="16" s="1"/>
  <c r="V104" i="3"/>
  <c r="AK23" i="16" s="1"/>
  <c r="V102" i="3"/>
  <c r="AK21" i="16" s="1"/>
  <c r="V100" i="3"/>
  <c r="AK19" i="16" s="1"/>
  <c r="V98" i="3"/>
  <c r="AK17" i="16" s="1"/>
  <c r="V96" i="3"/>
  <c r="AK15" i="16" s="1"/>
  <c r="V94" i="3"/>
  <c r="AK13" i="16" s="1"/>
  <c r="V92" i="3"/>
  <c r="AK11" i="16" s="1"/>
  <c r="V90" i="3"/>
  <c r="AK9" i="16" s="1"/>
  <c r="V88" i="3"/>
  <c r="AK7" i="16" s="1"/>
  <c r="V86" i="3"/>
  <c r="AK5" i="16" s="1"/>
  <c r="V84" i="3"/>
  <c r="AK3" i="16" s="1"/>
  <c r="V107" i="3"/>
  <c r="AK26" i="16" s="1"/>
  <c r="V105" i="3"/>
  <c r="AK24" i="16" s="1"/>
  <c r="V103" i="3"/>
  <c r="AK22" i="16" s="1"/>
  <c r="V101" i="3"/>
  <c r="AK20" i="16" s="1"/>
  <c r="V99" i="3"/>
  <c r="AK18" i="16" s="1"/>
  <c r="V97" i="3"/>
  <c r="AK16" i="16" s="1"/>
  <c r="V95" i="3"/>
  <c r="AK14" i="16" s="1"/>
  <c r="V93" i="3"/>
  <c r="AK12" i="16" s="1"/>
  <c r="V91" i="3"/>
  <c r="AK10" i="16" s="1"/>
  <c r="V89" i="3"/>
  <c r="AK8" i="16" s="1"/>
  <c r="V87" i="3"/>
  <c r="AK6" i="16" s="1"/>
  <c r="V85" i="3"/>
  <c r="AK4" i="16" s="1"/>
  <c r="A32" i="5"/>
  <c r="A32" i="4"/>
  <c r="A33" i="3"/>
  <c r="D1"/>
  <c r="B210" i="5"/>
  <c r="B238" s="1"/>
  <c r="B163" i="4"/>
  <c r="B191" s="1"/>
  <c r="D1"/>
  <c r="D1" i="5"/>
  <c r="E1" i="3"/>
  <c r="D162"/>
  <c r="D189" s="1"/>
  <c r="C1" i="4"/>
  <c r="C1" i="5"/>
  <c r="AK25"/>
  <c r="AO25" s="1"/>
  <c r="AK21"/>
  <c r="AO21" s="1"/>
  <c r="AK13"/>
  <c r="AO13" s="1"/>
  <c r="AK10"/>
  <c r="AO10" s="1"/>
  <c r="AK4"/>
  <c r="AO4" s="1"/>
  <c r="AK3"/>
  <c r="AO3" s="1"/>
  <c r="AK2"/>
  <c r="AO2" s="1"/>
  <c r="AK26"/>
  <c r="AO26" s="1"/>
  <c r="AK24"/>
  <c r="AO24" s="1"/>
  <c r="AK23"/>
  <c r="AO23" s="1"/>
  <c r="AK22"/>
  <c r="AO22" s="1"/>
  <c r="AK20"/>
  <c r="AO20" s="1"/>
  <c r="AK19"/>
  <c r="AO19" s="1"/>
  <c r="AK18"/>
  <c r="AO18" s="1"/>
  <c r="AK17"/>
  <c r="AO17" s="1"/>
  <c r="AK16"/>
  <c r="AO16" s="1"/>
  <c r="AK15"/>
  <c r="AO15" s="1"/>
  <c r="AK14"/>
  <c r="AO14" s="1"/>
  <c r="AK12"/>
  <c r="AO12" s="1"/>
  <c r="AK11"/>
  <c r="AO11" s="1"/>
  <c r="AK9"/>
  <c r="AO9" s="1"/>
  <c r="AK8"/>
  <c r="AO8" s="1"/>
  <c r="AK7"/>
  <c r="AO7" s="1"/>
  <c r="AK6"/>
  <c r="AO6" s="1"/>
  <c r="AK5"/>
  <c r="AO5" s="1"/>
  <c r="AK25" i="4"/>
  <c r="AO25" s="1"/>
  <c r="AK24"/>
  <c r="AO24" s="1"/>
  <c r="AK23"/>
  <c r="AO23" s="1"/>
  <c r="AK21"/>
  <c r="AO21" s="1"/>
  <c r="AK19"/>
  <c r="AO19" s="1"/>
  <c r="AK17"/>
  <c r="AO17" s="1"/>
  <c r="AK15"/>
  <c r="AO15" s="1"/>
  <c r="AK13"/>
  <c r="AO13" s="1"/>
  <c r="AK11"/>
  <c r="AO11" s="1"/>
  <c r="AK9"/>
  <c r="AO9" s="1"/>
  <c r="AK7"/>
  <c r="AO7" s="1"/>
  <c r="AK5"/>
  <c r="AO5" s="1"/>
  <c r="AK3"/>
  <c r="AO3" s="1"/>
  <c r="AI2" i="5"/>
  <c r="AM2" s="1"/>
  <c r="AI2" i="4"/>
  <c r="AM2" s="1"/>
  <c r="AI4"/>
  <c r="AM4" s="1"/>
  <c r="AI6"/>
  <c r="AM6" s="1"/>
  <c r="AI8"/>
  <c r="AM8" s="1"/>
  <c r="AI10"/>
  <c r="AM10" s="1"/>
  <c r="AI12"/>
  <c r="AM12" s="1"/>
  <c r="AI14"/>
  <c r="AM14" s="1"/>
  <c r="AI16"/>
  <c r="AM16" s="1"/>
  <c r="AI18"/>
  <c r="AM18" s="1"/>
  <c r="AI20"/>
  <c r="AM20" s="1"/>
  <c r="AI22"/>
  <c r="AM22" s="1"/>
  <c r="AI26"/>
  <c r="AM26" s="1"/>
  <c r="AI3"/>
  <c r="AM3" s="1"/>
  <c r="AI5"/>
  <c r="AM5" s="1"/>
  <c r="AI7"/>
  <c r="AM7" s="1"/>
  <c r="AI9"/>
  <c r="AM9" s="1"/>
  <c r="AI11"/>
  <c r="AM11" s="1"/>
  <c r="AI13"/>
  <c r="AM13" s="1"/>
  <c r="AI15"/>
  <c r="AM15" s="1"/>
  <c r="AI17"/>
  <c r="AM17" s="1"/>
  <c r="AI19"/>
  <c r="AM19" s="1"/>
  <c r="AI21"/>
  <c r="AM21" s="1"/>
  <c r="AI23"/>
  <c r="AM23" s="1"/>
  <c r="AI25"/>
  <c r="AM25" s="1"/>
  <c r="AI24"/>
  <c r="AM24" s="1"/>
  <c r="AK4"/>
  <c r="AO4" s="1"/>
  <c r="AK6"/>
  <c r="AO6" s="1"/>
  <c r="AK8"/>
  <c r="AO8" s="1"/>
  <c r="AK10"/>
  <c r="AO10" s="1"/>
  <c r="AK12"/>
  <c r="AO12" s="1"/>
  <c r="AK14"/>
  <c r="AO14" s="1"/>
  <c r="AK16"/>
  <c r="AO16" s="1"/>
  <c r="AK18"/>
  <c r="AO18" s="1"/>
  <c r="AK20"/>
  <c r="AO20" s="1"/>
  <c r="AK22"/>
  <c r="AO22" s="1"/>
  <c r="AK26"/>
  <c r="AO26" s="1"/>
  <c r="AI3" i="5"/>
  <c r="AM3" s="1"/>
  <c r="AI4"/>
  <c r="AM4" s="1"/>
  <c r="AI5"/>
  <c r="AM5" s="1"/>
  <c r="AI6"/>
  <c r="AM6" s="1"/>
  <c r="AI7"/>
  <c r="AM7" s="1"/>
  <c r="AI8"/>
  <c r="AM8" s="1"/>
  <c r="AI9"/>
  <c r="AM9" s="1"/>
  <c r="AI10"/>
  <c r="AM10" s="1"/>
  <c r="AI11"/>
  <c r="AM11" s="1"/>
  <c r="AI12"/>
  <c r="AM12" s="1"/>
  <c r="AI13"/>
  <c r="AM13" s="1"/>
  <c r="AI14"/>
  <c r="AM14" s="1"/>
  <c r="AI15"/>
  <c r="AM15" s="1"/>
  <c r="AI16"/>
  <c r="AM16" s="1"/>
  <c r="AI17"/>
  <c r="AM17" s="1"/>
  <c r="AI18"/>
  <c r="AM18" s="1"/>
  <c r="AI19"/>
  <c r="AM19" s="1"/>
  <c r="AI20"/>
  <c r="AM20" s="1"/>
  <c r="AI21"/>
  <c r="AM21" s="1"/>
  <c r="AI22"/>
  <c r="AM22" s="1"/>
  <c r="AI23"/>
  <c r="AM23" s="1"/>
  <c r="AI24"/>
  <c r="AM24" s="1"/>
  <c r="AI25"/>
  <c r="AM25" s="1"/>
  <c r="AI26"/>
  <c r="AM26" s="1"/>
  <c r="AK2" i="4"/>
  <c r="AO2" s="1"/>
  <c r="AK8" i="3"/>
  <c r="AO8" s="1"/>
  <c r="AI26"/>
  <c r="AM26" s="1"/>
  <c r="AK21"/>
  <c r="AO21" s="1"/>
  <c r="AI20"/>
  <c r="AM20" s="1"/>
  <c r="AK19"/>
  <c r="AO19" s="1"/>
  <c r="AI14"/>
  <c r="AM14" s="1"/>
  <c r="AI6"/>
  <c r="AM6" s="1"/>
  <c r="AI4"/>
  <c r="AM4" s="1"/>
  <c r="AK25"/>
  <c r="AO25" s="1"/>
  <c r="AI24"/>
  <c r="AM24" s="1"/>
  <c r="AK23"/>
  <c r="AO23" s="1"/>
  <c r="AI22"/>
  <c r="AM22" s="1"/>
  <c r="AI18"/>
  <c r="AM18" s="1"/>
  <c r="AK17"/>
  <c r="AO17" s="1"/>
  <c r="AI16"/>
  <c r="AM16" s="1"/>
  <c r="AK15"/>
  <c r="AO15" s="1"/>
  <c r="AK13"/>
  <c r="AO13" s="1"/>
  <c r="AI12"/>
  <c r="AM12" s="1"/>
  <c r="AK11"/>
  <c r="AO11" s="1"/>
  <c r="AI10"/>
  <c r="AM10" s="1"/>
  <c r="AK9"/>
  <c r="AO9" s="1"/>
  <c r="AI8"/>
  <c r="AM8" s="1"/>
  <c r="AK7"/>
  <c r="AO7" s="1"/>
  <c r="AK5"/>
  <c r="AO5" s="1"/>
  <c r="AK26"/>
  <c r="AO26" s="1"/>
  <c r="AI25"/>
  <c r="AM25" s="1"/>
  <c r="AK24"/>
  <c r="AO24" s="1"/>
  <c r="AI23"/>
  <c r="AM23" s="1"/>
  <c r="AK22"/>
  <c r="AO22" s="1"/>
  <c r="AI21"/>
  <c r="AM21" s="1"/>
  <c r="AK20"/>
  <c r="AO20" s="1"/>
  <c r="AI19"/>
  <c r="AM19" s="1"/>
  <c r="AK18"/>
  <c r="AO18" s="1"/>
  <c r="AI17"/>
  <c r="AM17" s="1"/>
  <c r="AK16"/>
  <c r="AO16" s="1"/>
  <c r="AI15"/>
  <c r="AM15" s="1"/>
  <c r="AK14"/>
  <c r="AO14" s="1"/>
  <c r="AI13"/>
  <c r="AM13" s="1"/>
  <c r="AK12"/>
  <c r="AO12" s="1"/>
  <c r="AI11"/>
  <c r="AM11" s="1"/>
  <c r="AK10"/>
  <c r="AO10" s="1"/>
  <c r="AI9"/>
  <c r="AM9" s="1"/>
  <c r="AI7"/>
  <c r="AM7" s="1"/>
  <c r="AK6"/>
  <c r="AO6" s="1"/>
  <c r="AI5"/>
  <c r="AM5" s="1"/>
  <c r="AK4"/>
  <c r="AO4" s="1"/>
  <c r="BY52" i="16"/>
  <c r="BY44"/>
  <c r="BY36"/>
  <c r="BY53"/>
  <c r="BY45"/>
  <c r="BY37"/>
  <c r="BY54"/>
  <c r="BY46"/>
  <c r="BY38"/>
  <c r="BY55"/>
  <c r="BY47"/>
  <c r="BY39"/>
  <c r="BY56"/>
  <c r="BY48"/>
  <c r="BY40"/>
  <c r="BY57"/>
  <c r="BY49"/>
  <c r="BY41"/>
  <c r="BY58"/>
  <c r="BY50"/>
  <c r="BY42"/>
  <c r="BY34"/>
  <c r="BY51"/>
  <c r="BY43"/>
  <c r="BY35"/>
  <c r="A76" l="1"/>
  <c r="A178"/>
  <c r="A45"/>
  <c r="A142"/>
  <c r="A110"/>
  <c r="A15"/>
  <c r="A93" i="5"/>
  <c r="A66"/>
  <c r="J83"/>
  <c r="K55"/>
  <c r="A93" i="4"/>
  <c r="A66"/>
  <c r="J83"/>
  <c r="K55"/>
  <c r="X80" i="3"/>
  <c r="AM27" i="18" s="1"/>
  <c r="X78" i="3"/>
  <c r="AM25" i="18" s="1"/>
  <c r="X83" i="3"/>
  <c r="X79"/>
  <c r="AM26" i="18" s="1"/>
  <c r="X77" i="3"/>
  <c r="AM24" i="18" s="1"/>
  <c r="X76" i="3"/>
  <c r="AM23" i="18" s="1"/>
  <c r="X74" i="3"/>
  <c r="AM21" i="18" s="1"/>
  <c r="X72" i="3"/>
  <c r="AM19" i="18" s="1"/>
  <c r="X70" i="3"/>
  <c r="AM17" i="18" s="1"/>
  <c r="X68" i="3"/>
  <c r="AM15" i="18" s="1"/>
  <c r="X66" i="3"/>
  <c r="AM13" i="18" s="1"/>
  <c r="X64" i="3"/>
  <c r="AM11" i="18" s="1"/>
  <c r="X62" i="3"/>
  <c r="AM9" i="18" s="1"/>
  <c r="X60" i="3"/>
  <c r="AM7" i="18" s="1"/>
  <c r="X58" i="3"/>
  <c r="AM5" i="18" s="1"/>
  <c r="X56" i="3"/>
  <c r="AM3" i="18" s="1"/>
  <c r="Y55" i="3"/>
  <c r="X75"/>
  <c r="AM22" i="18" s="1"/>
  <c r="X73" i="3"/>
  <c r="AM20" i="18" s="1"/>
  <c r="X71" i="3"/>
  <c r="AM18" i="18" s="1"/>
  <c r="X69" i="3"/>
  <c r="AM16" i="18" s="1"/>
  <c r="X67" i="3"/>
  <c r="AM14" i="18" s="1"/>
  <c r="X65" i="3"/>
  <c r="AM12" i="18" s="1"/>
  <c r="X63" i="3"/>
  <c r="AM10" i="18" s="1"/>
  <c r="X61" i="3"/>
  <c r="AM8" i="18" s="1"/>
  <c r="X59" i="3"/>
  <c r="AM6" i="18" s="1"/>
  <c r="X57" i="3"/>
  <c r="AM4" i="18" s="1"/>
  <c r="W107" i="3"/>
  <c r="W105"/>
  <c r="W103"/>
  <c r="W101"/>
  <c r="W99"/>
  <c r="W97"/>
  <c r="W95"/>
  <c r="W93"/>
  <c r="W91"/>
  <c r="W89"/>
  <c r="W87"/>
  <c r="W85"/>
  <c r="W108"/>
  <c r="W106"/>
  <c r="W104"/>
  <c r="W102"/>
  <c r="W100"/>
  <c r="W98"/>
  <c r="W96"/>
  <c r="W94"/>
  <c r="W92"/>
  <c r="W90"/>
  <c r="W88"/>
  <c r="W86"/>
  <c r="W84"/>
  <c r="A34"/>
  <c r="A33" i="5"/>
  <c r="A33" i="4"/>
  <c r="A132" i="3"/>
  <c r="A3" i="5"/>
  <c r="A179" s="1"/>
  <c r="A212" s="1"/>
  <c r="A240" s="1"/>
  <c r="A142" i="3"/>
  <c r="A174" s="1"/>
  <c r="A200" s="1"/>
  <c r="A5" i="5"/>
  <c r="A181" s="1"/>
  <c r="A214" s="1"/>
  <c r="A242" s="1"/>
  <c r="A133" i="3"/>
  <c r="A165" s="1"/>
  <c r="A191" s="1"/>
  <c r="A7" i="5"/>
  <c r="A183" s="1"/>
  <c r="A216" s="1"/>
  <c r="A244" s="1"/>
  <c r="A135" i="3"/>
  <c r="A167" s="1"/>
  <c r="A193" s="1"/>
  <c r="A134"/>
  <c r="A166" s="1"/>
  <c r="A192" s="1"/>
  <c r="A138"/>
  <c r="A170" s="1"/>
  <c r="A196" s="1"/>
  <c r="A15" i="5"/>
  <c r="A191" s="1"/>
  <c r="A224" s="1"/>
  <c r="A252" s="1"/>
  <c r="A143" i="3"/>
  <c r="A175" s="1"/>
  <c r="A201" s="1"/>
  <c r="A136"/>
  <c r="A168" s="1"/>
  <c r="A194" s="1"/>
  <c r="A140"/>
  <c r="A172" s="1"/>
  <c r="A198" s="1"/>
  <c r="A144"/>
  <c r="A176" s="1"/>
  <c r="A202" s="1"/>
  <c r="A13" i="5"/>
  <c r="A189" s="1"/>
  <c r="A222" s="1"/>
  <c r="A250" s="1"/>
  <c r="A141" i="3"/>
  <c r="A173" s="1"/>
  <c r="A199" s="1"/>
  <c r="A146"/>
  <c r="A178" s="1"/>
  <c r="A204" s="1"/>
  <c r="A17" i="5"/>
  <c r="A193" s="1"/>
  <c r="A226" s="1"/>
  <c r="A254" s="1"/>
  <c r="AJ117" i="3"/>
  <c r="AK117"/>
  <c r="A145"/>
  <c r="D210" i="5"/>
  <c r="D238" s="1"/>
  <c r="C210"/>
  <c r="C238" s="1"/>
  <c r="C163" i="4"/>
  <c r="C191" s="1"/>
  <c r="D163"/>
  <c r="D191" s="1"/>
  <c r="F1" i="3"/>
  <c r="E162"/>
  <c r="E189" s="1"/>
  <c r="E1" i="5"/>
  <c r="E1" i="4"/>
  <c r="A25" i="5"/>
  <c r="A201" s="1"/>
  <c r="A234" s="1"/>
  <c r="A262" s="1"/>
  <c r="A153" i="3"/>
  <c r="A185" s="1"/>
  <c r="A211" s="1"/>
  <c r="A23" i="5"/>
  <c r="A199" s="1"/>
  <c r="A232" s="1"/>
  <c r="A260" s="1"/>
  <c r="A151" i="3"/>
  <c r="A183" s="1"/>
  <c r="A209" s="1"/>
  <c r="A148"/>
  <c r="A180" s="1"/>
  <c r="A206" s="1"/>
  <c r="A147"/>
  <c r="A16" i="4"/>
  <c r="A145" s="1"/>
  <c r="A178" s="1"/>
  <c r="A206" s="1"/>
  <c r="A3"/>
  <c r="A132" s="1"/>
  <c r="A165" s="1"/>
  <c r="A193" s="1"/>
  <c r="A2"/>
  <c r="A131" s="1"/>
  <c r="A164" s="1"/>
  <c r="A192" s="1"/>
  <c r="A16" i="5"/>
  <c r="A192" s="1"/>
  <c r="A225" s="1"/>
  <c r="A253" s="1"/>
  <c r="A14"/>
  <c r="A190" s="1"/>
  <c r="A223" s="1"/>
  <c r="A251" s="1"/>
  <c r="A18" i="4"/>
  <c r="A147" s="1"/>
  <c r="A180" s="1"/>
  <c r="A208" s="1"/>
  <c r="A18" i="5"/>
  <c r="A194" s="1"/>
  <c r="A227" s="1"/>
  <c r="A255" s="1"/>
  <c r="A10" i="4"/>
  <c r="A139" s="1"/>
  <c r="A172" s="1"/>
  <c r="A200" s="1"/>
  <c r="A8"/>
  <c r="A137" s="1"/>
  <c r="A170" s="1"/>
  <c r="A198" s="1"/>
  <c r="A8" i="5"/>
  <c r="A184" s="1"/>
  <c r="A217" s="1"/>
  <c r="A245" s="1"/>
  <c r="A23" i="4"/>
  <c r="A152" s="1"/>
  <c r="A185" s="1"/>
  <c r="A213" s="1"/>
  <c r="A15"/>
  <c r="A144" s="1"/>
  <c r="A177" s="1"/>
  <c r="A205" s="1"/>
  <c r="A12"/>
  <c r="A141" s="1"/>
  <c r="A174" s="1"/>
  <c r="A202" s="1"/>
  <c r="A12" i="5"/>
  <c r="A188" s="1"/>
  <c r="A221" s="1"/>
  <c r="A249" s="1"/>
  <c r="A10"/>
  <c r="A186" s="1"/>
  <c r="A219" s="1"/>
  <c r="A247" s="1"/>
  <c r="A25" i="4"/>
  <c r="A154" s="1"/>
  <c r="A187" s="1"/>
  <c r="A215" s="1"/>
  <c r="A20"/>
  <c r="A149" s="1"/>
  <c r="A182" s="1"/>
  <c r="A210" s="1"/>
  <c r="A20" i="5"/>
  <c r="A196" s="1"/>
  <c r="A229" s="1"/>
  <c r="A257" s="1"/>
  <c r="A13" i="4"/>
  <c r="A142" s="1"/>
  <c r="A175" s="1"/>
  <c r="A203" s="1"/>
  <c r="A7"/>
  <c r="A136" s="1"/>
  <c r="A169" s="1"/>
  <c r="A197" s="1"/>
  <c r="A6"/>
  <c r="A135" s="1"/>
  <c r="A168" s="1"/>
  <c r="A196" s="1"/>
  <c r="A4"/>
  <c r="A133" s="1"/>
  <c r="A166" s="1"/>
  <c r="A194" s="1"/>
  <c r="A5"/>
  <c r="A134" s="1"/>
  <c r="A167" s="1"/>
  <c r="A195" s="1"/>
  <c r="A17"/>
  <c r="A146" s="1"/>
  <c r="A179" s="1"/>
  <c r="A207" s="1"/>
  <c r="CE55" i="18"/>
  <c r="CE40"/>
  <c r="CE43"/>
  <c r="CE56"/>
  <c r="CE54"/>
  <c r="CE46"/>
  <c r="CE38"/>
  <c r="CE53"/>
  <c r="CE45"/>
  <c r="CE37"/>
  <c r="CE44"/>
  <c r="CE47"/>
  <c r="CE58"/>
  <c r="CE48"/>
  <c r="CE51"/>
  <c r="CE35"/>
  <c r="CE57"/>
  <c r="CE50"/>
  <c r="CE42"/>
  <c r="CE34"/>
  <c r="CE49"/>
  <c r="CE41"/>
  <c r="CE52"/>
  <c r="CE36"/>
  <c r="CE39"/>
  <c r="A77" i="16" l="1"/>
  <c r="A179"/>
  <c r="A46"/>
  <c r="A143"/>
  <c r="A111"/>
  <c r="A16"/>
  <c r="K83" i="5"/>
  <c r="L55"/>
  <c r="A94"/>
  <c r="A67"/>
  <c r="K83" i="4"/>
  <c r="L55"/>
  <c r="A94"/>
  <c r="A67"/>
  <c r="Y83" i="3"/>
  <c r="Y79"/>
  <c r="AN26" i="18" s="1"/>
  <c r="Y77" i="3"/>
  <c r="AN24" i="18" s="1"/>
  <c r="Y80" i="3"/>
  <c r="AN27" i="18" s="1"/>
  <c r="Y78" i="3"/>
  <c r="AN25" i="18" s="1"/>
  <c r="Y75" i="3"/>
  <c r="AN22" i="18" s="1"/>
  <c r="Y73" i="3"/>
  <c r="AN20" i="18" s="1"/>
  <c r="Y71" i="3"/>
  <c r="AN18" i="18" s="1"/>
  <c r="Y69" i="3"/>
  <c r="AN16" i="18" s="1"/>
  <c r="Y67" i="3"/>
  <c r="AN14" i="18" s="1"/>
  <c r="Y65" i="3"/>
  <c r="AN12" i="18" s="1"/>
  <c r="Y63" i="3"/>
  <c r="AN10" i="18" s="1"/>
  <c r="Y61" i="3"/>
  <c r="AN8" i="18" s="1"/>
  <c r="Y59" i="3"/>
  <c r="AN6" i="18" s="1"/>
  <c r="Y57" i="3"/>
  <c r="AN4" i="18" s="1"/>
  <c r="Y76" i="3"/>
  <c r="AN23" i="18" s="1"/>
  <c r="Y74" i="3"/>
  <c r="AN21" i="18" s="1"/>
  <c r="Y72" i="3"/>
  <c r="AN19" i="18" s="1"/>
  <c r="Y70" i="3"/>
  <c r="AN17" i="18" s="1"/>
  <c r="Y68" i="3"/>
  <c r="AN15" i="18" s="1"/>
  <c r="Y66" i="3"/>
  <c r="AN13" i="18" s="1"/>
  <c r="Y64" i="3"/>
  <c r="AN11" i="18" s="1"/>
  <c r="Y62" i="3"/>
  <c r="AN9" i="18" s="1"/>
  <c r="Y60" i="3"/>
  <c r="AN7" i="18" s="1"/>
  <c r="Y58" i="3"/>
  <c r="AN5" i="18" s="1"/>
  <c r="Y56" i="3"/>
  <c r="AN3" i="18" s="1"/>
  <c r="Z55" i="3"/>
  <c r="X108"/>
  <c r="AM27" i="16" s="1"/>
  <c r="X106" i="3"/>
  <c r="AM25" i="16" s="1"/>
  <c r="X104" i="3"/>
  <c r="AM23" i="16" s="1"/>
  <c r="X102" i="3"/>
  <c r="AM21" i="16" s="1"/>
  <c r="X100" i="3"/>
  <c r="AM19" i="16" s="1"/>
  <c r="X98" i="3"/>
  <c r="AM17" i="16" s="1"/>
  <c r="X96" i="3"/>
  <c r="AM15" i="16" s="1"/>
  <c r="X94" i="3"/>
  <c r="AM13" i="16" s="1"/>
  <c r="X92" i="3"/>
  <c r="AM11" i="16" s="1"/>
  <c r="X90" i="3"/>
  <c r="AM9" i="16" s="1"/>
  <c r="X88" i="3"/>
  <c r="AM7" i="16" s="1"/>
  <c r="X86" i="3"/>
  <c r="AM5" i="16" s="1"/>
  <c r="X84" i="3"/>
  <c r="AM3" i="16" s="1"/>
  <c r="X107" i="3"/>
  <c r="AM26" i="16" s="1"/>
  <c r="X105" i="3"/>
  <c r="AM24" i="16" s="1"/>
  <c r="X103" i="3"/>
  <c r="AM22" i="16" s="1"/>
  <c r="X101" i="3"/>
  <c r="AM20" i="16" s="1"/>
  <c r="X99" i="3"/>
  <c r="AM18" i="16" s="1"/>
  <c r="X97" i="3"/>
  <c r="AM16" i="16" s="1"/>
  <c r="X95" i="3"/>
  <c r="AM14" i="16" s="1"/>
  <c r="X93" i="3"/>
  <c r="AM12" i="16" s="1"/>
  <c r="X91" i="3"/>
  <c r="AM10" i="16" s="1"/>
  <c r="X89" i="3"/>
  <c r="AM8" i="16" s="1"/>
  <c r="X87" i="3"/>
  <c r="AM6" i="16" s="1"/>
  <c r="X85" i="3"/>
  <c r="AM4" i="16" s="1"/>
  <c r="A34" i="5"/>
  <c r="A34" i="4"/>
  <c r="A35" i="3"/>
  <c r="A4" i="5"/>
  <c r="A180" s="1"/>
  <c r="A213" s="1"/>
  <c r="A241" s="1"/>
  <c r="A14" i="4"/>
  <c r="A143" s="1"/>
  <c r="A176" s="1"/>
  <c r="A204" s="1"/>
  <c r="A6" i="5"/>
  <c r="A182" s="1"/>
  <c r="A215" s="1"/>
  <c r="A243" s="1"/>
  <c r="A24"/>
  <c r="A200" s="1"/>
  <c r="A233" s="1"/>
  <c r="A261" s="1"/>
  <c r="A164" i="3"/>
  <c r="A190" s="1"/>
  <c r="A177"/>
  <c r="A203" s="1"/>
  <c r="A9" i="5"/>
  <c r="A185" s="1"/>
  <c r="A218" s="1"/>
  <c r="A246" s="1"/>
  <c r="A137" i="3"/>
  <c r="A169" s="1"/>
  <c r="A195" s="1"/>
  <c r="A11" i="5"/>
  <c r="A187" s="1"/>
  <c r="A220" s="1"/>
  <c r="A248" s="1"/>
  <c r="A139" i="3"/>
  <c r="A171" s="1"/>
  <c r="A197" s="1"/>
  <c r="A2" i="5"/>
  <c r="A178" s="1"/>
  <c r="A211" s="1"/>
  <c r="A239" s="1"/>
  <c r="E210"/>
  <c r="E238" s="1"/>
  <c r="E163" i="4"/>
  <c r="E191" s="1"/>
  <c r="G1" i="3"/>
  <c r="F162"/>
  <c r="F189" s="1"/>
  <c r="F1" i="4"/>
  <c r="F1" i="5"/>
  <c r="A154" i="3"/>
  <c r="A186" s="1"/>
  <c r="A212" s="1"/>
  <c r="A152"/>
  <c r="A184" s="1"/>
  <c r="A210" s="1"/>
  <c r="A179"/>
  <c r="A205" s="1"/>
  <c r="A150"/>
  <c r="A182" s="1"/>
  <c r="A208" s="1"/>
  <c r="A21" i="5"/>
  <c r="A197" s="1"/>
  <c r="A230" s="1"/>
  <c r="A258" s="1"/>
  <c r="A149" i="3"/>
  <c r="A181" s="1"/>
  <c r="A207" s="1"/>
  <c r="A19" i="4"/>
  <c r="A148" s="1"/>
  <c r="AK116"/>
  <c r="AJ116"/>
  <c r="A26"/>
  <c r="K58" s="1"/>
  <c r="BF5" i="18" s="1"/>
  <c r="A22" i="5"/>
  <c r="A198" s="1"/>
  <c r="A231" s="1"/>
  <c r="A259" s="1"/>
  <c r="A22" i="4"/>
  <c r="A151" s="1"/>
  <c r="A184" s="1"/>
  <c r="A212" s="1"/>
  <c r="A19" i="5"/>
  <c r="A195" s="1"/>
  <c r="A228" s="1"/>
  <c r="A256" s="1"/>
  <c r="A24" i="4"/>
  <c r="A153" s="1"/>
  <c r="A186" s="1"/>
  <c r="A214" s="1"/>
  <c r="A11"/>
  <c r="A140" s="1"/>
  <c r="A173" s="1"/>
  <c r="A201" s="1"/>
  <c r="A26" i="5"/>
  <c r="K60" s="1"/>
  <c r="CL7" i="18" s="1"/>
  <c r="A21" i="4"/>
  <c r="A150" s="1"/>
  <c r="A183" s="1"/>
  <c r="A211" s="1"/>
  <c r="A9"/>
  <c r="A138" s="1"/>
  <c r="A171" s="1"/>
  <c r="A199" s="1"/>
  <c r="AS36" i="18"/>
  <c r="CH56"/>
  <c r="CH47"/>
  <c r="CH39"/>
  <c r="CH52"/>
  <c r="CH44"/>
  <c r="CH36"/>
  <c r="CE52" i="16"/>
  <c r="CE44"/>
  <c r="CE36"/>
  <c r="CE53"/>
  <c r="CE45"/>
  <c r="CE37"/>
  <c r="CH58" i="18"/>
  <c r="CH49"/>
  <c r="CH41"/>
  <c r="CH54"/>
  <c r="CH46"/>
  <c r="CH38"/>
  <c r="CE58" i="16"/>
  <c r="CE50"/>
  <c r="CE42"/>
  <c r="CE34"/>
  <c r="CE51"/>
  <c r="CE43"/>
  <c r="CE35"/>
  <c r="AT38" i="18"/>
  <c r="CH55"/>
  <c r="CH51"/>
  <c r="CH43"/>
  <c r="CH35"/>
  <c r="CH48"/>
  <c r="CH40"/>
  <c r="CE56" i="16"/>
  <c r="CE48"/>
  <c r="CE40"/>
  <c r="CE57"/>
  <c r="CE49"/>
  <c r="CE41"/>
  <c r="CH57" i="18"/>
  <c r="CH53"/>
  <c r="CH45"/>
  <c r="CH37"/>
  <c r="CH50"/>
  <c r="CH42"/>
  <c r="CH34"/>
  <c r="CE54" i="16"/>
  <c r="CE46"/>
  <c r="CE38"/>
  <c r="CE55"/>
  <c r="CE47"/>
  <c r="CE39"/>
  <c r="A78" l="1"/>
  <c r="A180"/>
  <c r="A47"/>
  <c r="A144"/>
  <c r="A112"/>
  <c r="A17"/>
  <c r="J86" i="4"/>
  <c r="BE5" i="16" s="1"/>
  <c r="K56" i="4"/>
  <c r="BF3" i="18" s="1"/>
  <c r="J86" i="5"/>
  <c r="CK5" i="16" s="1"/>
  <c r="J84" i="4"/>
  <c r="BE3" i="16" s="1"/>
  <c r="J88" i="5"/>
  <c r="CK7" i="16" s="1"/>
  <c r="E66" i="5"/>
  <c r="CF13" i="18" s="1"/>
  <c r="I66" i="5"/>
  <c r="CJ13" i="18" s="1"/>
  <c r="B66" i="5"/>
  <c r="CC13" i="18" s="1"/>
  <c r="F66" i="5"/>
  <c r="CG13" i="18" s="1"/>
  <c r="J66" i="5"/>
  <c r="CK13" i="18" s="1"/>
  <c r="K64" i="5"/>
  <c r="CL11" i="18" s="1"/>
  <c r="K62" i="5"/>
  <c r="CL9" i="18" s="1"/>
  <c r="A202" i="5"/>
  <c r="A235" s="1"/>
  <c r="A263" s="1"/>
  <c r="B86"/>
  <c r="CC5" i="16" s="1"/>
  <c r="C56" i="5"/>
  <c r="CD3" i="18" s="1"/>
  <c r="C58" i="5"/>
  <c r="CD5" i="18" s="1"/>
  <c r="B85" i="5"/>
  <c r="CC4" i="16" s="1"/>
  <c r="B56" i="5"/>
  <c r="CC3" i="18" s="1"/>
  <c r="B58" i="5"/>
  <c r="CC5" i="18" s="1"/>
  <c r="B84" i="5"/>
  <c r="CC3" i="16" s="1"/>
  <c r="C86" i="5"/>
  <c r="CD5" i="16" s="1"/>
  <c r="B57" i="5"/>
  <c r="CC4" i="18" s="1"/>
  <c r="C85" i="5"/>
  <c r="CD4" i="16" s="1"/>
  <c r="C57" i="5"/>
  <c r="CD4" i="18" s="1"/>
  <c r="D58" i="5"/>
  <c r="CE5" i="18" s="1"/>
  <c r="C84" i="5"/>
  <c r="CD3" i="16" s="1"/>
  <c r="C59" i="5"/>
  <c r="CD6" i="18" s="1"/>
  <c r="D59" i="5"/>
  <c r="CE6" i="18" s="1"/>
  <c r="D57" i="5"/>
  <c r="CE4" i="18" s="1"/>
  <c r="B59" i="5"/>
  <c r="CC6" i="18" s="1"/>
  <c r="D56" i="5"/>
  <c r="CE3" i="18" s="1"/>
  <c r="D84" i="5"/>
  <c r="CE3" i="16" s="1"/>
  <c r="C87" i="5"/>
  <c r="CD6" i="16" s="1"/>
  <c r="B87" i="5"/>
  <c r="CC6" i="16" s="1"/>
  <c r="E58" i="5"/>
  <c r="CF5" i="18" s="1"/>
  <c r="F60" i="5"/>
  <c r="CG7" i="18" s="1"/>
  <c r="B60" i="5"/>
  <c r="CC7" i="18" s="1"/>
  <c r="C60" i="5"/>
  <c r="CD7" i="18" s="1"/>
  <c r="D85" i="5"/>
  <c r="CE4" i="16" s="1"/>
  <c r="D86" i="5"/>
  <c r="CE5" i="16" s="1"/>
  <c r="D87" i="5"/>
  <c r="CE6" i="16" s="1"/>
  <c r="E56" i="5"/>
  <c r="CF3" i="18" s="1"/>
  <c r="E57" i="5"/>
  <c r="CF4" i="18" s="1"/>
  <c r="D60" i="5"/>
  <c r="CE7" i="18" s="1"/>
  <c r="E60" i="5"/>
  <c r="CF7" i="18" s="1"/>
  <c r="E59" i="5"/>
  <c r="CF6" i="18" s="1"/>
  <c r="E61" i="5"/>
  <c r="CF8" i="18" s="1"/>
  <c r="D61" i="5"/>
  <c r="CE8" i="18" s="1"/>
  <c r="F57" i="5"/>
  <c r="CG4" i="18" s="1"/>
  <c r="F58" i="5"/>
  <c r="CG5" i="18" s="1"/>
  <c r="F88" i="5"/>
  <c r="CG7" i="16" s="1"/>
  <c r="B88" i="5"/>
  <c r="CC7" i="16" s="1"/>
  <c r="C88" i="5"/>
  <c r="CD7" i="16" s="1"/>
  <c r="E84" i="5"/>
  <c r="CF3" i="16" s="1"/>
  <c r="E87" i="5"/>
  <c r="CF6" i="16" s="1"/>
  <c r="C61" i="5"/>
  <c r="CD8" i="18" s="1"/>
  <c r="F61" i="5"/>
  <c r="CG8" i="18" s="1"/>
  <c r="B61" i="5"/>
  <c r="CC8" i="18" s="1"/>
  <c r="F56" i="5"/>
  <c r="CG3" i="18" s="1"/>
  <c r="F59" i="5"/>
  <c r="CG6" i="18" s="1"/>
  <c r="D88" i="5"/>
  <c r="CE7" i="16" s="1"/>
  <c r="E88" i="5"/>
  <c r="CF7" i="16" s="1"/>
  <c r="E85" i="5"/>
  <c r="CF4" i="16" s="1"/>
  <c r="E86" i="5"/>
  <c r="CF5" i="16" s="1"/>
  <c r="G61" i="5"/>
  <c r="F86"/>
  <c r="CG5" i="16" s="1"/>
  <c r="F84" i="5"/>
  <c r="CG3" i="16" s="1"/>
  <c r="E89" i="5"/>
  <c r="CF8" i="16" s="1"/>
  <c r="F89" i="5"/>
  <c r="CG8" i="16" s="1"/>
  <c r="B89" i="5"/>
  <c r="CC8" i="16" s="1"/>
  <c r="G57" i="5"/>
  <c r="G59"/>
  <c r="F62"/>
  <c r="CG9" i="18" s="1"/>
  <c r="B62" i="5"/>
  <c r="CC9" i="18" s="1"/>
  <c r="G62" i="5"/>
  <c r="C62"/>
  <c r="CD9" i="18" s="1"/>
  <c r="F85" i="5"/>
  <c r="CG4" i="16" s="1"/>
  <c r="F87" i="5"/>
  <c r="CG6" i="16" s="1"/>
  <c r="C89" i="5"/>
  <c r="CD8" i="16" s="1"/>
  <c r="D89" i="5"/>
  <c r="CE8" i="16" s="1"/>
  <c r="G56" i="5"/>
  <c r="G58"/>
  <c r="G60"/>
  <c r="H62"/>
  <c r="CI9" i="18" s="1"/>
  <c r="D62" i="5"/>
  <c r="CE9" i="18" s="1"/>
  <c r="E62" i="5"/>
  <c r="CF9" i="18" s="1"/>
  <c r="D90" i="5"/>
  <c r="CE9" i="16" s="1"/>
  <c r="G90" i="5"/>
  <c r="C90"/>
  <c r="CD9" i="16" s="1"/>
  <c r="G85" i="5"/>
  <c r="G87"/>
  <c r="E63"/>
  <c r="CF10" i="18" s="1"/>
  <c r="F63" i="5"/>
  <c r="CG10" i="18" s="1"/>
  <c r="B63" i="5"/>
  <c r="CC10" i="18" s="1"/>
  <c r="H56" i="5"/>
  <c r="CI3" i="18" s="1"/>
  <c r="H59" i="5"/>
  <c r="CI6" i="18" s="1"/>
  <c r="H61" i="5"/>
  <c r="CI8" i="18" s="1"/>
  <c r="F90" i="5"/>
  <c r="CG9" i="16" s="1"/>
  <c r="B90" i="5"/>
  <c r="CC9" i="16" s="1"/>
  <c r="E90" i="5"/>
  <c r="CF9" i="16" s="1"/>
  <c r="G86" i="5"/>
  <c r="G84"/>
  <c r="G88"/>
  <c r="G63"/>
  <c r="C63"/>
  <c r="CD10" i="18" s="1"/>
  <c r="H63" i="5"/>
  <c r="CI10" i="18" s="1"/>
  <c r="D63" i="5"/>
  <c r="CE10" i="18" s="1"/>
  <c r="H57" i="5"/>
  <c r="CI4" i="18" s="1"/>
  <c r="H58" i="5"/>
  <c r="CI5" i="18" s="1"/>
  <c r="H60" i="5"/>
  <c r="CI7" i="18" s="1"/>
  <c r="G89" i="5"/>
  <c r="I58"/>
  <c r="CJ5" i="18" s="1"/>
  <c r="I59" i="5"/>
  <c r="CJ6" i="18" s="1"/>
  <c r="I61" i="5"/>
  <c r="CJ8" i="18" s="1"/>
  <c r="H64" i="5"/>
  <c r="CI11" i="18" s="1"/>
  <c r="D64" i="5"/>
  <c r="CE11" i="18" s="1"/>
  <c r="G64" i="5"/>
  <c r="C64"/>
  <c r="CD11" i="18" s="1"/>
  <c r="H85" i="5"/>
  <c r="CI4" i="16" s="1"/>
  <c r="H86" i="5"/>
  <c r="CI5" i="16" s="1"/>
  <c r="H88" i="5"/>
  <c r="CI7" i="16" s="1"/>
  <c r="I91" i="5"/>
  <c r="CJ10" i="16" s="1"/>
  <c r="E91" i="5"/>
  <c r="CF10" i="16" s="1"/>
  <c r="H91" i="5"/>
  <c r="CI10" i="16" s="1"/>
  <c r="D91" i="5"/>
  <c r="CE10" i="16" s="1"/>
  <c r="H90" i="5"/>
  <c r="CI9" i="16" s="1"/>
  <c r="I56" i="5"/>
  <c r="CJ3" i="18" s="1"/>
  <c r="I57" i="5"/>
  <c r="CJ4" i="18" s="1"/>
  <c r="I60" i="5"/>
  <c r="CJ7" i="18" s="1"/>
  <c r="I62" i="5"/>
  <c r="CJ9" i="18" s="1"/>
  <c r="J64" i="5"/>
  <c r="CK11" i="18" s="1"/>
  <c r="F64" i="5"/>
  <c r="CG11" i="18" s="1"/>
  <c r="B64" i="5"/>
  <c r="CC11" i="18" s="1"/>
  <c r="I64" i="5"/>
  <c r="CJ11" i="18" s="1"/>
  <c r="E64" i="5"/>
  <c r="CF11" i="18" s="1"/>
  <c r="I63" i="5"/>
  <c r="CJ10" i="18" s="1"/>
  <c r="H84" i="5"/>
  <c r="CI3" i="16" s="1"/>
  <c r="H87" i="5"/>
  <c r="CI6" i="16" s="1"/>
  <c r="H89" i="5"/>
  <c r="CI8" i="16" s="1"/>
  <c r="G91" i="5"/>
  <c r="C91"/>
  <c r="CD10" i="16" s="1"/>
  <c r="F91" i="5"/>
  <c r="CG10" i="16" s="1"/>
  <c r="B91" i="5"/>
  <c r="CC10" i="16" s="1"/>
  <c r="F92" i="5"/>
  <c r="CG11" i="16" s="1"/>
  <c r="B92" i="5"/>
  <c r="CC11" i="16" s="1"/>
  <c r="G92" i="5"/>
  <c r="C92"/>
  <c r="CD11" i="16" s="1"/>
  <c r="I84" i="5"/>
  <c r="CJ3" i="16" s="1"/>
  <c r="I87" i="5"/>
  <c r="CJ6" i="16" s="1"/>
  <c r="I89" i="5"/>
  <c r="CJ8" i="16" s="1"/>
  <c r="G65" i="5"/>
  <c r="C65"/>
  <c r="CD12" i="18" s="1"/>
  <c r="J65" i="5"/>
  <c r="CK12" i="18" s="1"/>
  <c r="F65" i="5"/>
  <c r="CG12" i="18" s="1"/>
  <c r="B65" i="5"/>
  <c r="CC12" i="18" s="1"/>
  <c r="J56" i="5"/>
  <c r="CK3" i="18" s="1"/>
  <c r="J59" i="5"/>
  <c r="CK6" i="18" s="1"/>
  <c r="J61" i="5"/>
  <c r="CK8" i="18" s="1"/>
  <c r="J63" i="5"/>
  <c r="CK10" i="18" s="1"/>
  <c r="H92" i="5"/>
  <c r="CI11" i="16" s="1"/>
  <c r="D92" i="5"/>
  <c r="CE11" i="16" s="1"/>
  <c r="I92" i="5"/>
  <c r="CJ11" i="16" s="1"/>
  <c r="E92" i="5"/>
  <c r="CF11" i="16" s="1"/>
  <c r="I85" i="5"/>
  <c r="CJ4" i="16" s="1"/>
  <c r="I86" i="5"/>
  <c r="CJ5" i="16" s="1"/>
  <c r="I88" i="5"/>
  <c r="CJ7" i="16" s="1"/>
  <c r="I90" i="5"/>
  <c r="CJ9" i="16" s="1"/>
  <c r="I65" i="5"/>
  <c r="CJ12" i="18" s="1"/>
  <c r="E65" i="5"/>
  <c r="CF12" i="18" s="1"/>
  <c r="H65" i="5"/>
  <c r="CI12" i="18" s="1"/>
  <c r="D65" i="5"/>
  <c r="CE12" i="18" s="1"/>
  <c r="J57" i="5"/>
  <c r="CK4" i="18" s="1"/>
  <c r="J58" i="5"/>
  <c r="CK5" i="18" s="1"/>
  <c r="J60" i="5"/>
  <c r="CK7" i="18" s="1"/>
  <c r="J62" i="5"/>
  <c r="CK9" i="18" s="1"/>
  <c r="A155" i="4"/>
  <c r="A188" s="1"/>
  <c r="A216" s="1"/>
  <c r="C86"/>
  <c r="AX5" i="16" s="1"/>
  <c r="B57" i="4"/>
  <c r="AW4" i="18" s="1"/>
  <c r="C85" i="4"/>
  <c r="AX4" i="16" s="1"/>
  <c r="C57" i="4"/>
  <c r="AX4" i="18" s="1"/>
  <c r="D58" i="4"/>
  <c r="AY5" i="18" s="1"/>
  <c r="C84" i="4"/>
  <c r="AX3" i="16" s="1"/>
  <c r="B86" i="4"/>
  <c r="AW5" i="16" s="1"/>
  <c r="C56" i="4"/>
  <c r="AX3" i="18" s="1"/>
  <c r="C58" i="4"/>
  <c r="AX5" i="18" s="1"/>
  <c r="B85" i="4"/>
  <c r="AW4" i="16" s="1"/>
  <c r="B56" i="4"/>
  <c r="AW3" i="18" s="1"/>
  <c r="B58" i="4"/>
  <c r="AW5" i="18" s="1"/>
  <c r="B84" i="4"/>
  <c r="AW3" i="16" s="1"/>
  <c r="B59" i="4"/>
  <c r="AW6" i="18" s="1"/>
  <c r="D56" i="4"/>
  <c r="AY3" i="18" s="1"/>
  <c r="C59" i="4"/>
  <c r="AX6" i="18" s="1"/>
  <c r="D59" i="4"/>
  <c r="AY6" i="18" s="1"/>
  <c r="D57" i="4"/>
  <c r="AY4" i="18" s="1"/>
  <c r="D85" i="4"/>
  <c r="AY4" i="16" s="1"/>
  <c r="D86" i="4"/>
  <c r="AY5" i="16" s="1"/>
  <c r="D87" i="4"/>
  <c r="AY6" i="16" s="1"/>
  <c r="E56" i="4"/>
  <c r="AZ3" i="18" s="1"/>
  <c r="E57" i="4"/>
  <c r="AZ4" i="18" s="1"/>
  <c r="D60" i="4"/>
  <c r="AY7" i="18" s="1"/>
  <c r="E60" i="4"/>
  <c r="AZ7" i="18" s="1"/>
  <c r="E59" i="4"/>
  <c r="AZ6" i="18" s="1"/>
  <c r="D84" i="4"/>
  <c r="AY3" i="16" s="1"/>
  <c r="C87" i="4"/>
  <c r="AX6" i="16" s="1"/>
  <c r="B87" i="4"/>
  <c r="AW6" i="16" s="1"/>
  <c r="E58" i="4"/>
  <c r="AZ5" i="18" s="1"/>
  <c r="F60" i="4"/>
  <c r="BA7" i="18" s="1"/>
  <c r="B60" i="4"/>
  <c r="AW7" i="18" s="1"/>
  <c r="C60" i="4"/>
  <c r="AX7" i="18" s="1"/>
  <c r="E61" i="4"/>
  <c r="AZ8" i="18" s="1"/>
  <c r="D61" i="4"/>
  <c r="AY8" i="18" s="1"/>
  <c r="F57" i="4"/>
  <c r="BA4" i="18" s="1"/>
  <c r="F58" i="4"/>
  <c r="BA5" i="18" s="1"/>
  <c r="F88" i="4"/>
  <c r="BA7" i="16" s="1"/>
  <c r="B88" i="4"/>
  <c r="AW7" i="16" s="1"/>
  <c r="C88" i="4"/>
  <c r="AX7" i="16" s="1"/>
  <c r="E84" i="4"/>
  <c r="AZ3" i="16" s="1"/>
  <c r="E87" i="4"/>
  <c r="AZ6" i="16" s="1"/>
  <c r="C61" i="4"/>
  <c r="AX8" i="18" s="1"/>
  <c r="F61" i="4"/>
  <c r="BA8" i="18" s="1"/>
  <c r="B61" i="4"/>
  <c r="AW8" i="18" s="1"/>
  <c r="F56" i="4"/>
  <c r="BA3" i="18" s="1"/>
  <c r="F59" i="4"/>
  <c r="BA6" i="18" s="1"/>
  <c r="D88" i="4"/>
  <c r="AY7" i="16" s="1"/>
  <c r="E88" i="4"/>
  <c r="AZ7" i="16" s="1"/>
  <c r="E85" i="4"/>
  <c r="AZ4" i="16" s="1"/>
  <c r="E86" i="4"/>
  <c r="AZ5" i="16" s="1"/>
  <c r="F85" i="4"/>
  <c r="BA4" i="16" s="1"/>
  <c r="F87" i="4"/>
  <c r="BA6" i="16" s="1"/>
  <c r="C89" i="4"/>
  <c r="AX8" i="16" s="1"/>
  <c r="D89" i="4"/>
  <c r="AY8" i="16" s="1"/>
  <c r="G56" i="4"/>
  <c r="G58"/>
  <c r="G60"/>
  <c r="H62"/>
  <c r="BC9" i="18" s="1"/>
  <c r="D62" i="4"/>
  <c r="AY9" i="18" s="1"/>
  <c r="E62" i="4"/>
  <c r="AZ9" i="18" s="1"/>
  <c r="G61" i="4"/>
  <c r="F86"/>
  <c r="BA5" i="16" s="1"/>
  <c r="F84" i="4"/>
  <c r="BA3" i="16" s="1"/>
  <c r="E89" i="4"/>
  <c r="AZ8" i="16" s="1"/>
  <c r="F89" i="4"/>
  <c r="BA8" i="16" s="1"/>
  <c r="B89" i="4"/>
  <c r="AW8" i="16" s="1"/>
  <c r="G57" i="4"/>
  <c r="G59"/>
  <c r="F62"/>
  <c r="BA9" i="18" s="1"/>
  <c r="B62" i="4"/>
  <c r="AW9" i="18" s="1"/>
  <c r="G62" i="4"/>
  <c r="C62"/>
  <c r="AX9" i="18" s="1"/>
  <c r="F90" i="4"/>
  <c r="BA9" i="16" s="1"/>
  <c r="B90" i="4"/>
  <c r="AW9" i="16" s="1"/>
  <c r="E90" i="4"/>
  <c r="AZ9" i="16" s="1"/>
  <c r="G86" i="4"/>
  <c r="G84"/>
  <c r="G88"/>
  <c r="G63"/>
  <c r="C63"/>
  <c r="AX10" i="18" s="1"/>
  <c r="H63" i="4"/>
  <c r="BC10" i="18" s="1"/>
  <c r="D63" i="4"/>
  <c r="AY10" i="18" s="1"/>
  <c r="H57" i="4"/>
  <c r="BC4" i="18" s="1"/>
  <c r="H58" i="4"/>
  <c r="BC5" i="18" s="1"/>
  <c r="H60" i="4"/>
  <c r="BC7" i="18" s="1"/>
  <c r="G89" i="4"/>
  <c r="D90"/>
  <c r="AY9" i="16" s="1"/>
  <c r="G90" i="4"/>
  <c r="C90"/>
  <c r="AX9" i="16" s="1"/>
  <c r="G85" i="4"/>
  <c r="G87"/>
  <c r="E63"/>
  <c r="AZ10" i="18" s="1"/>
  <c r="F63" i="4"/>
  <c r="BA10" i="18" s="1"/>
  <c r="B63" i="4"/>
  <c r="AW10" i="18" s="1"/>
  <c r="H56" i="4"/>
  <c r="BC3" i="18" s="1"/>
  <c r="H59" i="4"/>
  <c r="BC6" i="18" s="1"/>
  <c r="H61" i="4"/>
  <c r="BC8" i="18" s="1"/>
  <c r="H90" i="4"/>
  <c r="BC9" i="16" s="1"/>
  <c r="I56" i="4"/>
  <c r="BD3" i="18" s="1"/>
  <c r="I57" i="4"/>
  <c r="BD4" i="18" s="1"/>
  <c r="I60" i="4"/>
  <c r="BD7" i="18" s="1"/>
  <c r="I62" i="4"/>
  <c r="BD9" i="18" s="1"/>
  <c r="J64" i="4"/>
  <c r="BE11" i="18" s="1"/>
  <c r="F64" i="4"/>
  <c r="BA11" i="18" s="1"/>
  <c r="B64" i="4"/>
  <c r="AW11" i="18" s="1"/>
  <c r="I64" i="4"/>
  <c r="BD11" i="18" s="1"/>
  <c r="E64" i="4"/>
  <c r="AZ11" i="18" s="1"/>
  <c r="I63" i="4"/>
  <c r="BD10" i="18" s="1"/>
  <c r="H84" i="4"/>
  <c r="BC3" i="16" s="1"/>
  <c r="H87" i="4"/>
  <c r="BC6" i="16" s="1"/>
  <c r="H89" i="4"/>
  <c r="BC8" i="16" s="1"/>
  <c r="G91" i="4"/>
  <c r="C91"/>
  <c r="AX10" i="16" s="1"/>
  <c r="F91" i="4"/>
  <c r="BA10" i="16" s="1"/>
  <c r="B91" i="4"/>
  <c r="AW10" i="16" s="1"/>
  <c r="I58" i="4"/>
  <c r="BD5" i="18" s="1"/>
  <c r="I59" i="4"/>
  <c r="BD6" i="18" s="1"/>
  <c r="I61" i="4"/>
  <c r="BD8" i="18" s="1"/>
  <c r="H64" i="4"/>
  <c r="BC11" i="18" s="1"/>
  <c r="D64" i="4"/>
  <c r="AY11" i="18" s="1"/>
  <c r="G64" i="4"/>
  <c r="C64"/>
  <c r="AX11" i="18" s="1"/>
  <c r="H85" i="4"/>
  <c r="BC4" i="16" s="1"/>
  <c r="H86" i="4"/>
  <c r="BC5" i="16" s="1"/>
  <c r="H88" i="4"/>
  <c r="BC7" i="16" s="1"/>
  <c r="I91" i="4"/>
  <c r="BD10" i="16" s="1"/>
  <c r="E91" i="4"/>
  <c r="AZ10" i="16" s="1"/>
  <c r="H91" i="4"/>
  <c r="BC10" i="16" s="1"/>
  <c r="D91" i="4"/>
  <c r="AY10" i="16" s="1"/>
  <c r="F92" i="4"/>
  <c r="BA11" i="16" s="1"/>
  <c r="B92" i="4"/>
  <c r="AW11" i="16" s="1"/>
  <c r="G92" i="4"/>
  <c r="C92"/>
  <c r="AX11" i="16" s="1"/>
  <c r="I84" i="4"/>
  <c r="BD3" i="16" s="1"/>
  <c r="I87" i="4"/>
  <c r="BD6" i="16" s="1"/>
  <c r="I89" i="4"/>
  <c r="BD8" i="16" s="1"/>
  <c r="G65" i="4"/>
  <c r="C65"/>
  <c r="AX12" i="18" s="1"/>
  <c r="J65" i="4"/>
  <c r="BE12" i="18" s="1"/>
  <c r="F65" i="4"/>
  <c r="BA12" i="18" s="1"/>
  <c r="B65" i="4"/>
  <c r="AW12" i="18" s="1"/>
  <c r="J56" i="4"/>
  <c r="BE3" i="18" s="1"/>
  <c r="J59" i="4"/>
  <c r="BE6" i="18" s="1"/>
  <c r="J61" i="4"/>
  <c r="BE8" i="18" s="1"/>
  <c r="J63" i="4"/>
  <c r="BE10" i="18" s="1"/>
  <c r="H92" i="4"/>
  <c r="BC11" i="16" s="1"/>
  <c r="D92" i="4"/>
  <c r="AY11" i="16" s="1"/>
  <c r="I92" i="4"/>
  <c r="BD11" i="16" s="1"/>
  <c r="E92" i="4"/>
  <c r="AZ11" i="16" s="1"/>
  <c r="I85" i="4"/>
  <c r="BD4" i="16" s="1"/>
  <c r="I86" i="4"/>
  <c r="BD5" i="16" s="1"/>
  <c r="I88" i="4"/>
  <c r="BD7" i="16" s="1"/>
  <c r="I90" i="4"/>
  <c r="BD9" i="16" s="1"/>
  <c r="I65" i="4"/>
  <c r="BD12" i="18" s="1"/>
  <c r="E65" i="4"/>
  <c r="AZ12" i="18" s="1"/>
  <c r="H65" i="4"/>
  <c r="BC12" i="18" s="1"/>
  <c r="D65" i="4"/>
  <c r="AY12" i="18" s="1"/>
  <c r="J57" i="4"/>
  <c r="BE4" i="18" s="1"/>
  <c r="J58" i="4"/>
  <c r="BE5" i="18" s="1"/>
  <c r="J60" i="4"/>
  <c r="BE7" i="18" s="1"/>
  <c r="J62" i="4"/>
  <c r="BE9" i="18" s="1"/>
  <c r="K65" i="4"/>
  <c r="BF12" i="18" s="1"/>
  <c r="D93" i="4"/>
  <c r="AY12" i="16" s="1"/>
  <c r="H93" i="4"/>
  <c r="BC12" i="16" s="1"/>
  <c r="C93" i="4"/>
  <c r="AX12" i="16" s="1"/>
  <c r="G93" i="4"/>
  <c r="K93"/>
  <c r="BF12" i="16" s="1"/>
  <c r="J90" i="4"/>
  <c r="BE9" i="16" s="1"/>
  <c r="J88" i="4"/>
  <c r="BE7" i="16" s="1"/>
  <c r="E66" i="4"/>
  <c r="AZ13" i="18" s="1"/>
  <c r="I66" i="4"/>
  <c r="BD13" i="18" s="1"/>
  <c r="B66" i="4"/>
  <c r="AW13" i="18" s="1"/>
  <c r="F66" i="4"/>
  <c r="BA13" i="18" s="1"/>
  <c r="J66" i="4"/>
  <c r="BE13" i="18" s="1"/>
  <c r="K64" i="4"/>
  <c r="BF11" i="18" s="1"/>
  <c r="K62" i="4"/>
  <c r="BF9" i="18" s="1"/>
  <c r="K60" i="4"/>
  <c r="BF7" i="18" s="1"/>
  <c r="K65" i="5"/>
  <c r="CL12" i="18" s="1"/>
  <c r="D93" i="5"/>
  <c r="CE12" i="16" s="1"/>
  <c r="H93" i="5"/>
  <c r="CI12" i="16" s="1"/>
  <c r="C93" i="5"/>
  <c r="CD12" i="16" s="1"/>
  <c r="G93" i="5"/>
  <c r="K93"/>
  <c r="CL12" i="16" s="1"/>
  <c r="J90" i="5"/>
  <c r="CK9" i="16" s="1"/>
  <c r="J84" i="5"/>
  <c r="CK3" i="16" s="1"/>
  <c r="K58" i="5"/>
  <c r="CL5" i="18" s="1"/>
  <c r="K56" i="5"/>
  <c r="CL3" i="18" s="1"/>
  <c r="AK164" i="5"/>
  <c r="J92" i="4"/>
  <c r="BE11" i="16" s="1"/>
  <c r="B93" i="4"/>
  <c r="AW12" i="16" s="1"/>
  <c r="F93" i="4"/>
  <c r="BA12" i="16" s="1"/>
  <c r="J93" i="4"/>
  <c r="BE12" i="16" s="1"/>
  <c r="E93" i="4"/>
  <c r="AZ12" i="16" s="1"/>
  <c r="I93" i="4"/>
  <c r="BD12" i="16" s="1"/>
  <c r="J91" i="4"/>
  <c r="BE10" i="16" s="1"/>
  <c r="J89" i="4"/>
  <c r="BE8" i="16" s="1"/>
  <c r="J87" i="4"/>
  <c r="BE6" i="16" s="1"/>
  <c r="J85" i="4"/>
  <c r="BE4" i="16" s="1"/>
  <c r="C66" i="4"/>
  <c r="AX13" i="18" s="1"/>
  <c r="G66" i="4"/>
  <c r="K66"/>
  <c r="BF13" i="18" s="1"/>
  <c r="D66" i="4"/>
  <c r="AY13" i="18" s="1"/>
  <c r="H66" i="4"/>
  <c r="BC13" i="18" s="1"/>
  <c r="L66" i="4"/>
  <c r="BG13" i="18" s="1"/>
  <c r="K63" i="4"/>
  <c r="BF10" i="18" s="1"/>
  <c r="K61" i="4"/>
  <c r="BF8" i="18" s="1"/>
  <c r="K59" i="4"/>
  <c r="BF6" i="18" s="1"/>
  <c r="K57" i="4"/>
  <c r="BF4" i="18" s="1"/>
  <c r="J92" i="5"/>
  <c r="CK11" i="16" s="1"/>
  <c r="B93" i="5"/>
  <c r="CC12" i="16" s="1"/>
  <c r="F93" i="5"/>
  <c r="CG12" i="16" s="1"/>
  <c r="J93" i="5"/>
  <c r="CK12" i="16" s="1"/>
  <c r="E93" i="5"/>
  <c r="CF12" i="16" s="1"/>
  <c r="I93" i="5"/>
  <c r="CJ12" i="16" s="1"/>
  <c r="J91" i="5"/>
  <c r="CK10" i="16" s="1"/>
  <c r="J89" i="5"/>
  <c r="CK8" i="16" s="1"/>
  <c r="J87" i="5"/>
  <c r="CK6" i="16" s="1"/>
  <c r="J85" i="5"/>
  <c r="CK4" i="16" s="1"/>
  <c r="C66" i="5"/>
  <c r="CD13" i="18" s="1"/>
  <c r="G66" i="5"/>
  <c r="K66"/>
  <c r="CL13" i="18" s="1"/>
  <c r="D66" i="5"/>
  <c r="CE13" i="18" s="1"/>
  <c r="H66" i="5"/>
  <c r="CI13" i="18" s="1"/>
  <c r="L66" i="5"/>
  <c r="CM13" i="18" s="1"/>
  <c r="K63" i="5"/>
  <c r="CL10" i="18" s="1"/>
  <c r="K61" i="5"/>
  <c r="CL8" i="18" s="1"/>
  <c r="K59" i="5"/>
  <c r="CL6" i="18" s="1"/>
  <c r="K57" i="5"/>
  <c r="CL4" i="18" s="1"/>
  <c r="A95" i="5"/>
  <c r="K67"/>
  <c r="CL14" i="18" s="1"/>
  <c r="I67" i="5"/>
  <c r="CJ14" i="18" s="1"/>
  <c r="G67" i="5"/>
  <c r="E67"/>
  <c r="CF14" i="18" s="1"/>
  <c r="C67" i="5"/>
  <c r="CD14" i="18" s="1"/>
  <c r="A68" i="5"/>
  <c r="L67"/>
  <c r="CM14" i="18" s="1"/>
  <c r="J67" i="5"/>
  <c r="CK14" i="18" s="1"/>
  <c r="H67" i="5"/>
  <c r="CI14" i="18" s="1"/>
  <c r="F67" i="5"/>
  <c r="CG14" i="18" s="1"/>
  <c r="D67" i="5"/>
  <c r="CE14" i="18" s="1"/>
  <c r="B67" i="5"/>
  <c r="CC14" i="18" s="1"/>
  <c r="K86" i="5"/>
  <c r="CL5" i="16" s="1"/>
  <c r="K85" i="5"/>
  <c r="CL4" i="16" s="1"/>
  <c r="K84" i="5"/>
  <c r="CL3" i="16" s="1"/>
  <c r="K87" i="5"/>
  <c r="CL6" i="16" s="1"/>
  <c r="K88" i="5"/>
  <c r="CL7" i="16" s="1"/>
  <c r="K89" i="5"/>
  <c r="CL8" i="16" s="1"/>
  <c r="K90" i="5"/>
  <c r="CL9" i="16" s="1"/>
  <c r="K91" i="5"/>
  <c r="CL10" i="16" s="1"/>
  <c r="K92" i="5"/>
  <c r="CL11" i="16" s="1"/>
  <c r="J94" i="5"/>
  <c r="CK13" i="16" s="1"/>
  <c r="H94" i="5"/>
  <c r="CI13" i="16" s="1"/>
  <c r="F94" i="5"/>
  <c r="CG13" i="16" s="1"/>
  <c r="D94" i="5"/>
  <c r="CE13" i="16" s="1"/>
  <c r="B94" i="5"/>
  <c r="CC13" i="16" s="1"/>
  <c r="K94" i="5"/>
  <c r="CL13" i="16" s="1"/>
  <c r="I94" i="5"/>
  <c r="CJ13" i="16" s="1"/>
  <c r="G94" i="5"/>
  <c r="E94"/>
  <c r="CF13" i="16" s="1"/>
  <c r="C94" i="5"/>
  <c r="CD13" i="16" s="1"/>
  <c r="L83" i="5"/>
  <c r="L56"/>
  <c r="CM3" i="18" s="1"/>
  <c r="L57" i="5"/>
  <c r="CM4" i="18" s="1"/>
  <c r="M55" i="5"/>
  <c r="L58"/>
  <c r="CM5" i="18" s="1"/>
  <c r="L59" i="5"/>
  <c r="CM6" i="18" s="1"/>
  <c r="L60" i="5"/>
  <c r="CM7" i="18" s="1"/>
  <c r="L61" i="5"/>
  <c r="CM8" i="18" s="1"/>
  <c r="L62" i="5"/>
  <c r="CM9" i="18" s="1"/>
  <c r="L63" i="5"/>
  <c r="CM10" i="18" s="1"/>
  <c r="L64" i="5"/>
  <c r="CM11" i="18" s="1"/>
  <c r="L65" i="5"/>
  <c r="CM12" i="18" s="1"/>
  <c r="A95" i="4"/>
  <c r="K67"/>
  <c r="BF14" i="18" s="1"/>
  <c r="I67" i="4"/>
  <c r="BD14" i="18" s="1"/>
  <c r="G67" i="4"/>
  <c r="E67"/>
  <c r="AZ14" i="18" s="1"/>
  <c r="C67" i="4"/>
  <c r="AX14" i="18" s="1"/>
  <c r="A68" i="4"/>
  <c r="L67"/>
  <c r="BG14" i="18" s="1"/>
  <c r="J67" i="4"/>
  <c r="BE14" i="18" s="1"/>
  <c r="H67" i="4"/>
  <c r="BC14" i="18" s="1"/>
  <c r="F67" i="4"/>
  <c r="BA14" i="18" s="1"/>
  <c r="D67" i="4"/>
  <c r="AY14" i="18" s="1"/>
  <c r="B67" i="4"/>
  <c r="AW14" i="18" s="1"/>
  <c r="K86" i="4"/>
  <c r="BF5" i="16" s="1"/>
  <c r="K85" i="4"/>
  <c r="BF4" i="16" s="1"/>
  <c r="K84" i="4"/>
  <c r="BF3" i="16" s="1"/>
  <c r="K87" i="4"/>
  <c r="BF6" i="16" s="1"/>
  <c r="K88" i="4"/>
  <c r="BF7" i="16" s="1"/>
  <c r="K89" i="4"/>
  <c r="BF8" i="16" s="1"/>
  <c r="K90" i="4"/>
  <c r="BF9" i="16" s="1"/>
  <c r="K91" i="4"/>
  <c r="BF10" i="16" s="1"/>
  <c r="K92" i="4"/>
  <c r="BF11" i="16" s="1"/>
  <c r="J94" i="4"/>
  <c r="BE13" i="16" s="1"/>
  <c r="H94" i="4"/>
  <c r="BC13" i="16" s="1"/>
  <c r="F94" i="4"/>
  <c r="BA13" i="16" s="1"/>
  <c r="D94" i="4"/>
  <c r="AY13" i="16" s="1"/>
  <c r="B94" i="4"/>
  <c r="AW13" i="16" s="1"/>
  <c r="K94" i="4"/>
  <c r="BF13" i="16" s="1"/>
  <c r="I94" i="4"/>
  <c r="BD13" i="16" s="1"/>
  <c r="G94" i="4"/>
  <c r="E94"/>
  <c r="AZ13" i="16" s="1"/>
  <c r="C94" i="4"/>
  <c r="AX13" i="16" s="1"/>
  <c r="L83" i="4"/>
  <c r="L56"/>
  <c r="BG3" i="18" s="1"/>
  <c r="L57" i="4"/>
  <c r="BG4" i="18" s="1"/>
  <c r="M55" i="4"/>
  <c r="L58"/>
  <c r="BG5" i="18" s="1"/>
  <c r="L59" i="4"/>
  <c r="BG6" i="18" s="1"/>
  <c r="L60" i="4"/>
  <c r="BG7" i="18" s="1"/>
  <c r="L61" i="4"/>
  <c r="BG8" i="18" s="1"/>
  <c r="L62" i="4"/>
  <c r="BG9" i="18" s="1"/>
  <c r="L63" i="4"/>
  <c r="BG10" i="18" s="1"/>
  <c r="L64" i="4"/>
  <c r="BG11" i="18" s="1"/>
  <c r="L65" i="4"/>
  <c r="BG12" i="18" s="1"/>
  <c r="Z80" i="3"/>
  <c r="AO27" i="18" s="1"/>
  <c r="Z78" i="3"/>
  <c r="AO25" i="18" s="1"/>
  <c r="Z83" i="3"/>
  <c r="Z79"/>
  <c r="AO26" i="18" s="1"/>
  <c r="Z77" i="3"/>
  <c r="AO24" i="18" s="1"/>
  <c r="Z76" i="3"/>
  <c r="AO23" i="18" s="1"/>
  <c r="Z74" i="3"/>
  <c r="AO21" i="18" s="1"/>
  <c r="Z72" i="3"/>
  <c r="AO19" i="18" s="1"/>
  <c r="Z70" i="3"/>
  <c r="AO17" i="18" s="1"/>
  <c r="Z68" i="3"/>
  <c r="AO15" i="18" s="1"/>
  <c r="Z66" i="3"/>
  <c r="AO13" i="18" s="1"/>
  <c r="Z64" i="3"/>
  <c r="AO11" i="18" s="1"/>
  <c r="Z62" i="3"/>
  <c r="AO9" i="18" s="1"/>
  <c r="Z60" i="3"/>
  <c r="AO7" i="18" s="1"/>
  <c r="Z58" i="3"/>
  <c r="AO5" i="18" s="1"/>
  <c r="Z56" i="3"/>
  <c r="AO3" i="18" s="1"/>
  <c r="AA55" i="3"/>
  <c r="Z75"/>
  <c r="AO22" i="18" s="1"/>
  <c r="Z73" i="3"/>
  <c r="AO20" i="18" s="1"/>
  <c r="Z71" i="3"/>
  <c r="AO18" i="18" s="1"/>
  <c r="Z69" i="3"/>
  <c r="AO16" i="18" s="1"/>
  <c r="Z67" i="3"/>
  <c r="AO14" i="18" s="1"/>
  <c r="Z65" i="3"/>
  <c r="AO12" i="18" s="1"/>
  <c r="Z63" i="3"/>
  <c r="AO10" i="18" s="1"/>
  <c r="Z61" i="3"/>
  <c r="AO8" i="18" s="1"/>
  <c r="Z59" i="3"/>
  <c r="AO6" i="18" s="1"/>
  <c r="Z57" i="3"/>
  <c r="AO4" i="18" s="1"/>
  <c r="Y107" i="3"/>
  <c r="AN26" i="16" s="1"/>
  <c r="Y105" i="3"/>
  <c r="AN24" i="16" s="1"/>
  <c r="Y103" i="3"/>
  <c r="AN22" i="16" s="1"/>
  <c r="Y101" i="3"/>
  <c r="AN20" i="16" s="1"/>
  <c r="Y99" i="3"/>
  <c r="AN18" i="16" s="1"/>
  <c r="Y97" i="3"/>
  <c r="AN16" i="16" s="1"/>
  <c r="Y95" i="3"/>
  <c r="AN14" i="16" s="1"/>
  <c r="Y93" i="3"/>
  <c r="AN12" i="16" s="1"/>
  <c r="Y91" i="3"/>
  <c r="AN10" i="16" s="1"/>
  <c r="Y89" i="3"/>
  <c r="AN8" i="16" s="1"/>
  <c r="Y87" i="3"/>
  <c r="AN6" i="16" s="1"/>
  <c r="Y85" i="3"/>
  <c r="AN4" i="16" s="1"/>
  <c r="Y108" i="3"/>
  <c r="AN27" i="16" s="1"/>
  <c r="Y106" i="3"/>
  <c r="AN25" i="16" s="1"/>
  <c r="Y104" i="3"/>
  <c r="AN23" i="16" s="1"/>
  <c r="Y102" i="3"/>
  <c r="AN21" i="16" s="1"/>
  <c r="Y100" i="3"/>
  <c r="AN19" i="16" s="1"/>
  <c r="Y98" i="3"/>
  <c r="AN17" i="16" s="1"/>
  <c r="Y96" i="3"/>
  <c r="AN15" i="16" s="1"/>
  <c r="Y94" i="3"/>
  <c r="AN13" i="16" s="1"/>
  <c r="Y92" i="3"/>
  <c r="AN11" i="16" s="1"/>
  <c r="Y90" i="3"/>
  <c r="AN9" i="16" s="1"/>
  <c r="Y88" i="3"/>
  <c r="AN7" i="16" s="1"/>
  <c r="Y86" i="3"/>
  <c r="AN5" i="16" s="1"/>
  <c r="Y84" i="3"/>
  <c r="AN3" i="16" s="1"/>
  <c r="A36" i="3"/>
  <c r="A35" i="5"/>
  <c r="A35" i="4"/>
  <c r="AJ164" i="5"/>
  <c r="AL164" s="1"/>
  <c r="A157" i="3"/>
  <c r="A156" s="1"/>
  <c r="B159" s="1"/>
  <c r="B160" s="1"/>
  <c r="A205" i="5"/>
  <c r="A204" s="1"/>
  <c r="B207" s="1"/>
  <c r="A158" i="4"/>
  <c r="A157" s="1"/>
  <c r="F210" i="5"/>
  <c r="F238" s="1"/>
  <c r="A181" i="4"/>
  <c r="A209" s="1"/>
  <c r="F163"/>
  <c r="F191" s="1"/>
  <c r="H1" i="3"/>
  <c r="G162"/>
  <c r="G189" s="1"/>
  <c r="G1" i="5"/>
  <c r="G1" i="4"/>
  <c r="AL116"/>
  <c r="AL117" i="3"/>
  <c r="A79" i="16" l="1"/>
  <c r="A181"/>
  <c r="A48"/>
  <c r="A145"/>
  <c r="A113"/>
  <c r="A18"/>
  <c r="M83" i="5"/>
  <c r="N55"/>
  <c r="M56"/>
  <c r="CN3" i="18" s="1"/>
  <c r="M58" i="5"/>
  <c r="CN5" i="18" s="1"/>
  <c r="M57" i="5"/>
  <c r="CN4" i="18" s="1"/>
  <c r="M59" i="5"/>
  <c r="CN6" i="18" s="1"/>
  <c r="M60" i="5"/>
  <c r="CN7" i="18" s="1"/>
  <c r="M61" i="5"/>
  <c r="CN8" i="18" s="1"/>
  <c r="M62" i="5"/>
  <c r="CN9" i="18" s="1"/>
  <c r="M63" i="5"/>
  <c r="CN10" i="18" s="1"/>
  <c r="M64" i="5"/>
  <c r="CN11" i="18" s="1"/>
  <c r="M65" i="5"/>
  <c r="CN12" i="18" s="1"/>
  <c r="M66" i="5"/>
  <c r="CN13" i="18" s="1"/>
  <c r="M95" i="5"/>
  <c r="CN14" i="16" s="1"/>
  <c r="K95" i="5"/>
  <c r="CL14" i="16" s="1"/>
  <c r="I95" i="5"/>
  <c r="CJ14" i="16" s="1"/>
  <c r="G95" i="5"/>
  <c r="E95"/>
  <c r="CF14" i="16" s="1"/>
  <c r="C95" i="5"/>
  <c r="CD14" i="16" s="1"/>
  <c r="L95" i="5"/>
  <c r="CM14" i="16" s="1"/>
  <c r="J95" i="5"/>
  <c r="CK14" i="16" s="1"/>
  <c r="H95" i="5"/>
  <c r="CI14" i="16" s="1"/>
  <c r="F95" i="5"/>
  <c r="CG14" i="16" s="1"/>
  <c r="D95" i="5"/>
  <c r="CE14" i="16" s="1"/>
  <c r="B95" i="5"/>
  <c r="CC14" i="16" s="1"/>
  <c r="L85" i="5"/>
  <c r="CM4" i="16" s="1"/>
  <c r="L84" i="5"/>
  <c r="CM3" i="16" s="1"/>
  <c r="L86" i="5"/>
  <c r="CM5" i="16" s="1"/>
  <c r="L87" i="5"/>
  <c r="CM6" i="16" s="1"/>
  <c r="L88" i="5"/>
  <c r="CM7" i="16" s="1"/>
  <c r="L89" i="5"/>
  <c r="CM8" i="16" s="1"/>
  <c r="L90" i="5"/>
  <c r="CM9" i="16" s="1"/>
  <c r="L91" i="5"/>
  <c r="CM10" i="16" s="1"/>
  <c r="L92" i="5"/>
  <c r="CM11" i="16" s="1"/>
  <c r="L93" i="5"/>
  <c r="CM12" i="16" s="1"/>
  <c r="A96" i="5"/>
  <c r="A69"/>
  <c r="N68"/>
  <c r="CO15" i="18" s="1"/>
  <c r="L68" i="5"/>
  <c r="CM15" i="18" s="1"/>
  <c r="J68" i="5"/>
  <c r="CK15" i="18" s="1"/>
  <c r="H68" i="5"/>
  <c r="CI15" i="18" s="1"/>
  <c r="F68" i="5"/>
  <c r="CG15" i="18" s="1"/>
  <c r="D68" i="5"/>
  <c r="CE15" i="18" s="1"/>
  <c r="B68" i="5"/>
  <c r="CC15" i="18" s="1"/>
  <c r="M68" i="5"/>
  <c r="CN15" i="18" s="1"/>
  <c r="K68" i="5"/>
  <c r="CL15" i="18" s="1"/>
  <c r="I68" i="5"/>
  <c r="CJ15" i="18" s="1"/>
  <c r="G68" i="5"/>
  <c r="E68"/>
  <c r="CF15" i="18" s="1"/>
  <c r="C68" i="5"/>
  <c r="CD15" i="18" s="1"/>
  <c r="L94" i="5"/>
  <c r="CM13" i="16" s="1"/>
  <c r="M67" i="5"/>
  <c r="CN14" i="18" s="1"/>
  <c r="M83" i="4"/>
  <c r="N55"/>
  <c r="M56"/>
  <c r="BH3" i="18" s="1"/>
  <c r="M58" i="4"/>
  <c r="BH5" i="18" s="1"/>
  <c r="M57" i="4"/>
  <c r="BH4" i="18" s="1"/>
  <c r="M59" i="4"/>
  <c r="BH6" i="18" s="1"/>
  <c r="M60" i="4"/>
  <c r="BH7" i="18" s="1"/>
  <c r="M61" i="4"/>
  <c r="BH8" i="18" s="1"/>
  <c r="M62" i="4"/>
  <c r="BH9" i="18" s="1"/>
  <c r="M63" i="4"/>
  <c r="BH10" i="18" s="1"/>
  <c r="M64" i="4"/>
  <c r="BH11" i="18" s="1"/>
  <c r="M65" i="4"/>
  <c r="BH12" i="18" s="1"/>
  <c r="M66" i="4"/>
  <c r="BH13" i="18" s="1"/>
  <c r="M95" i="4"/>
  <c r="BH14" i="16" s="1"/>
  <c r="K95" i="4"/>
  <c r="BF14" i="16" s="1"/>
  <c r="I95" i="4"/>
  <c r="BD14" i="16" s="1"/>
  <c r="G95" i="4"/>
  <c r="E95"/>
  <c r="AZ14" i="16" s="1"/>
  <c r="C95" i="4"/>
  <c r="AX14" i="16" s="1"/>
  <c r="L95" i="4"/>
  <c r="BG14" i="16" s="1"/>
  <c r="J95" i="4"/>
  <c r="BE14" i="16" s="1"/>
  <c r="H95" i="4"/>
  <c r="BC14" i="16" s="1"/>
  <c r="F95" i="4"/>
  <c r="BA14" i="16" s="1"/>
  <c r="D95" i="4"/>
  <c r="AY14" i="16" s="1"/>
  <c r="B95" i="4"/>
  <c r="AW14" i="16" s="1"/>
  <c r="L85" i="4"/>
  <c r="BG4" i="16" s="1"/>
  <c r="L84" i="4"/>
  <c r="BG3" i="16" s="1"/>
  <c r="L86" i="4"/>
  <c r="BG5" i="16" s="1"/>
  <c r="L87" i="4"/>
  <c r="BG6" i="16" s="1"/>
  <c r="L88" i="4"/>
  <c r="BG7" i="16" s="1"/>
  <c r="L89" i="4"/>
  <c r="BG8" i="16" s="1"/>
  <c r="L90" i="4"/>
  <c r="BG9" i="16" s="1"/>
  <c r="L91" i="4"/>
  <c r="BG10" i="16" s="1"/>
  <c r="L92" i="4"/>
  <c r="BG11" i="16" s="1"/>
  <c r="L93" i="4"/>
  <c r="BG12" i="16" s="1"/>
  <c r="A96" i="4"/>
  <c r="A69"/>
  <c r="N68"/>
  <c r="BI15" i="18" s="1"/>
  <c r="L68" i="4"/>
  <c r="BG15" i="18" s="1"/>
  <c r="J68" i="4"/>
  <c r="BE15" i="18" s="1"/>
  <c r="H68" i="4"/>
  <c r="BC15" i="18" s="1"/>
  <c r="F68" i="4"/>
  <c r="BA15" i="18" s="1"/>
  <c r="D68" i="4"/>
  <c r="AY15" i="18" s="1"/>
  <c r="B68" i="4"/>
  <c r="AW15" i="18" s="1"/>
  <c r="M68" i="4"/>
  <c r="BH15" i="18" s="1"/>
  <c r="K68" i="4"/>
  <c r="BF15" i="18" s="1"/>
  <c r="I68" i="4"/>
  <c r="BD15" i="18" s="1"/>
  <c r="G68" i="4"/>
  <c r="E68"/>
  <c r="AZ15" i="18" s="1"/>
  <c r="C68" i="4"/>
  <c r="AX15" i="18" s="1"/>
  <c r="L94" i="4"/>
  <c r="BG13" i="16" s="1"/>
  <c r="M67" i="4"/>
  <c r="BH14" i="18" s="1"/>
  <c r="AA83" i="3"/>
  <c r="AA79"/>
  <c r="AP26" i="18" s="1"/>
  <c r="AA77" i="3"/>
  <c r="AP24" i="18" s="1"/>
  <c r="AA80" i="3"/>
  <c r="AP27" i="18" s="1"/>
  <c r="AA78" i="3"/>
  <c r="AP25" i="18" s="1"/>
  <c r="AA75" i="3"/>
  <c r="AP22" i="18" s="1"/>
  <c r="AA73" i="3"/>
  <c r="AP20" i="18" s="1"/>
  <c r="AA71" i="3"/>
  <c r="AP18" i="18" s="1"/>
  <c r="AA69" i="3"/>
  <c r="AP16" i="18" s="1"/>
  <c r="AA67" i="3"/>
  <c r="AP14" i="18" s="1"/>
  <c r="AA65" i="3"/>
  <c r="AP12" i="18" s="1"/>
  <c r="AA63" i="3"/>
  <c r="AP10" i="18" s="1"/>
  <c r="AA61" i="3"/>
  <c r="AP8" i="18" s="1"/>
  <c r="AA59" i="3"/>
  <c r="AP6" i="18" s="1"/>
  <c r="AA57" i="3"/>
  <c r="AP4" i="18" s="1"/>
  <c r="AA76" i="3"/>
  <c r="AP23" i="18" s="1"/>
  <c r="AA74" i="3"/>
  <c r="AP21" i="18" s="1"/>
  <c r="AA72" i="3"/>
  <c r="AP19" i="18" s="1"/>
  <c r="AA70" i="3"/>
  <c r="AP17" i="18" s="1"/>
  <c r="AA68" i="3"/>
  <c r="AP15" i="18" s="1"/>
  <c r="AA66" i="3"/>
  <c r="AP13" i="18" s="1"/>
  <c r="AA64" i="3"/>
  <c r="AP11" i="18" s="1"/>
  <c r="AA62" i="3"/>
  <c r="AP9" i="18" s="1"/>
  <c r="AA60" i="3"/>
  <c r="AP7" i="18" s="1"/>
  <c r="AA58" i="3"/>
  <c r="AP5" i="18" s="1"/>
  <c r="AA56" i="3"/>
  <c r="AP3" i="18" s="1"/>
  <c r="AB55" i="3"/>
  <c r="Z108"/>
  <c r="AO27" i="16" s="1"/>
  <c r="Z106" i="3"/>
  <c r="AO25" i="16" s="1"/>
  <c r="Z104" i="3"/>
  <c r="AO23" i="16" s="1"/>
  <c r="Z102" i="3"/>
  <c r="AO21" i="16" s="1"/>
  <c r="Z100" i="3"/>
  <c r="AO19" i="16" s="1"/>
  <c r="Z98" i="3"/>
  <c r="AO17" i="16" s="1"/>
  <c r="Z96" i="3"/>
  <c r="AO15" i="16" s="1"/>
  <c r="Z94" i="3"/>
  <c r="AO13" i="16" s="1"/>
  <c r="Z92" i="3"/>
  <c r="AO11" i="16" s="1"/>
  <c r="Z90" i="3"/>
  <c r="AO9" i="16" s="1"/>
  <c r="Z88" i="3"/>
  <c r="AO7" i="16" s="1"/>
  <c r="Z86" i="3"/>
  <c r="AO5" i="16" s="1"/>
  <c r="Z84" i="3"/>
  <c r="AO3" i="16" s="1"/>
  <c r="Z107" i="3"/>
  <c r="AO26" i="16" s="1"/>
  <c r="Z105" i="3"/>
  <c r="AO24" i="16" s="1"/>
  <c r="Z103" i="3"/>
  <c r="AO22" i="16" s="1"/>
  <c r="Z101" i="3"/>
  <c r="AO20" i="16" s="1"/>
  <c r="Z99" i="3"/>
  <c r="AO18" i="16" s="1"/>
  <c r="Z97" i="3"/>
  <c r="AO16" i="16" s="1"/>
  <c r="Z95" i="3"/>
  <c r="AO14" i="16" s="1"/>
  <c r="Z93" i="3"/>
  <c r="AO12" i="16" s="1"/>
  <c r="Z91" i="3"/>
  <c r="AO10" i="16" s="1"/>
  <c r="Z89" i="3"/>
  <c r="AO8" i="16" s="1"/>
  <c r="Z87" i="3"/>
  <c r="AO6" i="16" s="1"/>
  <c r="Z85" i="3"/>
  <c r="AO4" i="16" s="1"/>
  <c r="A36" i="5"/>
  <c r="A36" i="4"/>
  <c r="A37" i="3"/>
  <c r="B208" i="5"/>
  <c r="B212" s="1"/>
  <c r="B240" s="1"/>
  <c r="AF160" i="4"/>
  <c r="AD160"/>
  <c r="AB160"/>
  <c r="Z160"/>
  <c r="X160"/>
  <c r="V160"/>
  <c r="R160"/>
  <c r="P160"/>
  <c r="N160"/>
  <c r="L160"/>
  <c r="J160"/>
  <c r="H160"/>
  <c r="F160"/>
  <c r="D160"/>
  <c r="AG160"/>
  <c r="AE160"/>
  <c r="AC160"/>
  <c r="AA160"/>
  <c r="Y160"/>
  <c r="W160"/>
  <c r="U160"/>
  <c r="S160"/>
  <c r="Q160"/>
  <c r="O160"/>
  <c r="M160"/>
  <c r="K160"/>
  <c r="I160"/>
  <c r="G160"/>
  <c r="E160"/>
  <c r="C160"/>
  <c r="B160"/>
  <c r="AG159" i="3"/>
  <c r="AG160" s="1"/>
  <c r="AE159"/>
  <c r="AE160" s="1"/>
  <c r="AC159"/>
  <c r="AC160" s="1"/>
  <c r="AA159"/>
  <c r="AA160" s="1"/>
  <c r="Y159"/>
  <c r="Y160" s="1"/>
  <c r="W159"/>
  <c r="W160" s="1"/>
  <c r="U159"/>
  <c r="U160" s="1"/>
  <c r="S159"/>
  <c r="S160" s="1"/>
  <c r="Q159"/>
  <c r="Q160" s="1"/>
  <c r="O159"/>
  <c r="O160" s="1"/>
  <c r="M159"/>
  <c r="M160" s="1"/>
  <c r="K159"/>
  <c r="K160" s="1"/>
  <c r="I159"/>
  <c r="I160" s="1"/>
  <c r="G159"/>
  <c r="G160" s="1"/>
  <c r="E159"/>
  <c r="E160" s="1"/>
  <c r="C159"/>
  <c r="C160" s="1"/>
  <c r="AF159"/>
  <c r="AF160" s="1"/>
  <c r="AD159"/>
  <c r="AD160" s="1"/>
  <c r="AB159"/>
  <c r="AB160" s="1"/>
  <c r="Z159"/>
  <c r="Z160" s="1"/>
  <c r="X159"/>
  <c r="X160" s="1"/>
  <c r="V159"/>
  <c r="V160" s="1"/>
  <c r="R159"/>
  <c r="R160" s="1"/>
  <c r="P159"/>
  <c r="P160" s="1"/>
  <c r="N159"/>
  <c r="N160" s="1"/>
  <c r="L159"/>
  <c r="L160" s="1"/>
  <c r="J159"/>
  <c r="J160" s="1"/>
  <c r="H159"/>
  <c r="H160" s="1"/>
  <c r="F159"/>
  <c r="F160" s="1"/>
  <c r="D159"/>
  <c r="D160" s="1"/>
  <c r="P207" i="5"/>
  <c r="G207"/>
  <c r="AA207"/>
  <c r="AC207"/>
  <c r="S207"/>
  <c r="U207"/>
  <c r="V207"/>
  <c r="AD207"/>
  <c r="Q207"/>
  <c r="Y207"/>
  <c r="R207"/>
  <c r="Z207"/>
  <c r="AF207"/>
  <c r="W207"/>
  <c r="I207"/>
  <c r="L207"/>
  <c r="D207"/>
  <c r="J207"/>
  <c r="AE207"/>
  <c r="AG207"/>
  <c r="X207"/>
  <c r="H207"/>
  <c r="K207"/>
  <c r="M207"/>
  <c r="C207"/>
  <c r="E207"/>
  <c r="F207"/>
  <c r="N207"/>
  <c r="O207"/>
  <c r="AB207"/>
  <c r="G210"/>
  <c r="G238" s="1"/>
  <c r="G163" i="4"/>
  <c r="G191" s="1"/>
  <c r="I1" i="3"/>
  <c r="H162"/>
  <c r="H189" s="1"/>
  <c r="H1" i="4"/>
  <c r="H1" i="5"/>
  <c r="S35" i="16"/>
  <c r="S38" i="18"/>
  <c r="S42"/>
  <c r="S42" i="16"/>
  <c r="S43"/>
  <c r="AQ38"/>
  <c r="AE44" i="18"/>
  <c r="V34"/>
  <c r="V35" i="16"/>
  <c r="V37" i="18"/>
  <c r="Y34"/>
  <c r="AB36"/>
  <c r="Y37" i="16"/>
  <c r="AB38" i="18"/>
  <c r="AE35"/>
  <c r="V38" i="16"/>
  <c r="AE39" i="18"/>
  <c r="Y38" i="16"/>
  <c r="AE34"/>
  <c r="AE40" i="18"/>
  <c r="V39" i="16"/>
  <c r="Y40"/>
  <c r="AE41" i="18"/>
  <c r="AK39"/>
  <c r="Y41"/>
  <c r="AN37"/>
  <c r="AK35" i="16"/>
  <c r="AB41"/>
  <c r="AN34" i="18"/>
  <c r="AQ42"/>
  <c r="AK34" i="16"/>
  <c r="V41"/>
  <c r="AN37"/>
  <c r="AQ37" i="18"/>
  <c r="Y42" i="16"/>
  <c r="AN36"/>
  <c r="AB43" i="18"/>
  <c r="AQ36"/>
  <c r="AT43"/>
  <c r="AQ40" i="16"/>
  <c r="AQ43"/>
  <c r="AQ39"/>
  <c r="Y44" i="18"/>
  <c r="AT39"/>
  <c r="AT45"/>
  <c r="AW45"/>
  <c r="Y45"/>
  <c r="AT34" i="16"/>
  <c r="AT40"/>
  <c r="AK44"/>
  <c r="AT44"/>
  <c r="AW34" i="18"/>
  <c r="AW39"/>
  <c r="AW43"/>
  <c r="S36" i="16"/>
  <c r="S34"/>
  <c r="S37" i="18"/>
  <c r="S38" i="16"/>
  <c r="S39"/>
  <c r="S41" i="18"/>
  <c r="S44" i="16"/>
  <c r="AQ44" i="18"/>
  <c r="V36"/>
  <c r="V34" i="16"/>
  <c r="Y34"/>
  <c r="V38" i="18"/>
  <c r="AB34"/>
  <c r="AB37"/>
  <c r="AE36"/>
  <c r="V39"/>
  <c r="AB38" i="16"/>
  <c r="AE36"/>
  <c r="V40" i="18"/>
  <c r="Y39" i="16"/>
  <c r="AB40" i="18"/>
  <c r="AK37"/>
  <c r="AB40" i="16"/>
  <c r="AK35" i="18"/>
  <c r="AN36"/>
  <c r="Y42"/>
  <c r="AK36" i="16"/>
  <c r="AK41"/>
  <c r="AN35" i="18"/>
  <c r="AE42"/>
  <c r="AN41"/>
  <c r="AE41" i="16"/>
  <c r="AN34"/>
  <c r="V43" i="18"/>
  <c r="AQ34"/>
  <c r="AK42" i="16"/>
  <c r="AN35"/>
  <c r="AN43" i="18"/>
  <c r="AQ35"/>
  <c r="Y43" i="16"/>
  <c r="AT43"/>
  <c r="AT34" i="18"/>
  <c r="AE43" i="16"/>
  <c r="AQ41"/>
  <c r="V44" i="18"/>
  <c r="AK44"/>
  <c r="AT37"/>
  <c r="AB45"/>
  <c r="AE45"/>
  <c r="AT37" i="16"/>
  <c r="AT41"/>
  <c r="AE44"/>
  <c r="AB44"/>
  <c r="AW36" i="18"/>
  <c r="AW40"/>
  <c r="R35"/>
  <c r="R36"/>
  <c r="R38"/>
  <c r="R41" i="16"/>
  <c r="R43" i="18"/>
  <c r="R44" i="16"/>
  <c r="AP34"/>
  <c r="U34"/>
  <c r="U37" i="18"/>
  <c r="X36" i="16"/>
  <c r="X38" i="18"/>
  <c r="U37" i="16"/>
  <c r="AA39" i="18"/>
  <c r="AD38" i="16"/>
  <c r="AA37"/>
  <c r="AD34" i="18"/>
  <c r="AA35" i="16"/>
  <c r="U39"/>
  <c r="AD34"/>
  <c r="AD40" i="18"/>
  <c r="AA40" i="16"/>
  <c r="AJ35" i="18"/>
  <c r="X40" i="16"/>
  <c r="AD41" i="18"/>
  <c r="AJ39"/>
  <c r="AM38"/>
  <c r="AA42"/>
  <c r="AJ39" i="16"/>
  <c r="AM37" i="18"/>
  <c r="AJ35" i="16"/>
  <c r="AA41"/>
  <c r="U42"/>
  <c r="AP43" i="18"/>
  <c r="AP41"/>
  <c r="AA42" i="16"/>
  <c r="AM40"/>
  <c r="X43" i="18"/>
  <c r="AP40"/>
  <c r="U43" i="16"/>
  <c r="AP38"/>
  <c r="AD44" i="18"/>
  <c r="AS38"/>
  <c r="AD43" i="16"/>
  <c r="AP41"/>
  <c r="U44" i="18"/>
  <c r="AJ44"/>
  <c r="AS37"/>
  <c r="AA45"/>
  <c r="AD45"/>
  <c r="AS37" i="16"/>
  <c r="AS41"/>
  <c r="AD44"/>
  <c r="AA44"/>
  <c r="AV36" i="18"/>
  <c r="AV40"/>
  <c r="R36" i="16"/>
  <c r="R34"/>
  <c r="R38"/>
  <c r="R39"/>
  <c r="R40"/>
  <c r="R44" i="18"/>
  <c r="AP36" i="16"/>
  <c r="U35"/>
  <c r="U36" i="18"/>
  <c r="X37"/>
  <c r="X37" i="16"/>
  <c r="AA38" i="18"/>
  <c r="AD38"/>
  <c r="X39"/>
  <c r="AA34" i="16"/>
  <c r="AD37" i="18"/>
  <c r="AA36" i="16"/>
  <c r="X39"/>
  <c r="AA40" i="18"/>
  <c r="AA39" i="16"/>
  <c r="U41" i="18"/>
  <c r="AJ36"/>
  <c r="AJ37"/>
  <c r="AM35"/>
  <c r="AD42"/>
  <c r="AM41"/>
  <c r="AD41" i="16"/>
  <c r="AM39" i="18"/>
  <c r="U42"/>
  <c r="AM41" i="16"/>
  <c r="AD42"/>
  <c r="AM39"/>
  <c r="AD43" i="18"/>
  <c r="AP39"/>
  <c r="AM42" i="16"/>
  <c r="AM38"/>
  <c r="AJ43" i="18"/>
  <c r="AP38"/>
  <c r="AJ43" i="16"/>
  <c r="AA44" i="18"/>
  <c r="AS40"/>
  <c r="AM43" i="16"/>
  <c r="AP35"/>
  <c r="AV44" i="18"/>
  <c r="AS35"/>
  <c r="U45"/>
  <c r="AJ45"/>
  <c r="AS36" i="16"/>
  <c r="AS38"/>
  <c r="AS42"/>
  <c r="X44"/>
  <c r="U44"/>
  <c r="AV37" i="18"/>
  <c r="AV41"/>
  <c r="CK58"/>
  <c r="CK52"/>
  <c r="CK44"/>
  <c r="CK36"/>
  <c r="CK47"/>
  <c r="CK39"/>
  <c r="CH55" i="16"/>
  <c r="CH47"/>
  <c r="CH39"/>
  <c r="CH56"/>
  <c r="CH48"/>
  <c r="CH40"/>
  <c r="CK56" i="18"/>
  <c r="CK54"/>
  <c r="CK46"/>
  <c r="CK38"/>
  <c r="CK53"/>
  <c r="CK45"/>
  <c r="CK37"/>
  <c r="CH53" i="16"/>
  <c r="CH45"/>
  <c r="CH37"/>
  <c r="CH54"/>
  <c r="CH46"/>
  <c r="CH38"/>
  <c r="R69" i="18"/>
  <c r="S69"/>
  <c r="S75" i="16"/>
  <c r="R75"/>
  <c r="T65"/>
  <c r="U65"/>
  <c r="U68" i="18"/>
  <c r="V68"/>
  <c r="U70" i="16"/>
  <c r="T70"/>
  <c r="AD65"/>
  <c r="AE65"/>
  <c r="AD71" i="18"/>
  <c r="AE71"/>
  <c r="Z71" i="16"/>
  <c r="AA71"/>
  <c r="AJ66" i="18"/>
  <c r="AK66"/>
  <c r="Y71" i="16"/>
  <c r="X71"/>
  <c r="AD72" i="18"/>
  <c r="AC72"/>
  <c r="AJ70"/>
  <c r="AK70"/>
  <c r="AM68"/>
  <c r="AL68"/>
  <c r="AJ66" i="16"/>
  <c r="AI66"/>
  <c r="AA72"/>
  <c r="Z72"/>
  <c r="AO69"/>
  <c r="AQ69"/>
  <c r="AD75" i="18"/>
  <c r="AE75"/>
  <c r="AS69"/>
  <c r="AT69"/>
  <c r="AD74" i="16"/>
  <c r="AC74"/>
  <c r="AQ72"/>
  <c r="AP72"/>
  <c r="U75" i="18"/>
  <c r="T75"/>
  <c r="AJ75"/>
  <c r="AI75"/>
  <c r="AS68"/>
  <c r="AR68"/>
  <c r="AA76"/>
  <c r="Z76"/>
  <c r="AD76"/>
  <c r="AC76"/>
  <c r="AS68" i="16"/>
  <c r="AT68"/>
  <c r="AT72"/>
  <c r="AR72"/>
  <c r="AC75"/>
  <c r="AD75"/>
  <c r="Z75"/>
  <c r="AB75"/>
  <c r="AV67" i="18"/>
  <c r="AU67"/>
  <c r="AV71"/>
  <c r="AU71"/>
  <c r="R67" i="16"/>
  <c r="Q67"/>
  <c r="R65"/>
  <c r="Q65"/>
  <c r="S69"/>
  <c r="R69"/>
  <c r="Q70"/>
  <c r="R70"/>
  <c r="T66"/>
  <c r="U66"/>
  <c r="U67" i="18"/>
  <c r="T67"/>
  <c r="Y68" i="16"/>
  <c r="X68"/>
  <c r="AA69" i="18"/>
  <c r="AB69"/>
  <c r="Y70" i="16"/>
  <c r="W70"/>
  <c r="AA71" i="18"/>
  <c r="AB71"/>
  <c r="AJ68"/>
  <c r="AK68"/>
  <c r="AM66"/>
  <c r="AL66"/>
  <c r="AD73"/>
  <c r="AE73"/>
  <c r="AM72"/>
  <c r="AL72"/>
  <c r="AD72" i="16"/>
  <c r="AE72"/>
  <c r="S36" i="18"/>
  <c r="S40" i="16"/>
  <c r="S41"/>
  <c r="S43" i="18"/>
  <c r="AQ36" i="16"/>
  <c r="AN44" i="18"/>
  <c r="AT42"/>
  <c r="V36" i="16"/>
  <c r="Y36" i="18"/>
  <c r="Y35"/>
  <c r="V37" i="16"/>
  <c r="Y35"/>
  <c r="AB35" i="18"/>
  <c r="AB39"/>
  <c r="AE38" i="16"/>
  <c r="AB37"/>
  <c r="AE34" i="18"/>
  <c r="AB35" i="16"/>
  <c r="AE39"/>
  <c r="AE35"/>
  <c r="Y40" i="18"/>
  <c r="V40" i="16"/>
  <c r="AK34" i="18"/>
  <c r="V41"/>
  <c r="AK36"/>
  <c r="AK42"/>
  <c r="AK38" i="16"/>
  <c r="Y41"/>
  <c r="AN38" i="18"/>
  <c r="AB42"/>
  <c r="AK39" i="16"/>
  <c r="V42"/>
  <c r="AQ43" i="18"/>
  <c r="AQ41"/>
  <c r="AB42" i="16"/>
  <c r="AN40"/>
  <c r="Y43" i="18"/>
  <c r="AQ40"/>
  <c r="AK43" i="16"/>
  <c r="AT36" i="18"/>
  <c r="AN43" i="16"/>
  <c r="AQ35"/>
  <c r="AW44" i="18"/>
  <c r="AT35"/>
  <c r="V45"/>
  <c r="AK45"/>
  <c r="AT36" i="16"/>
  <c r="AT38"/>
  <c r="AT42"/>
  <c r="Y44"/>
  <c r="V44"/>
  <c r="AW37" i="18"/>
  <c r="AW41"/>
  <c r="S44"/>
  <c r="S34"/>
  <c r="S35"/>
  <c r="S37" i="16"/>
  <c r="S39" i="18"/>
  <c r="S40"/>
  <c r="S45"/>
  <c r="AB44"/>
  <c r="AT40"/>
  <c r="V35"/>
  <c r="Y37"/>
  <c r="AE38"/>
  <c r="Y36" i="16"/>
  <c r="Y38" i="18"/>
  <c r="Y39"/>
  <c r="AB34" i="16"/>
  <c r="AE37" i="18"/>
  <c r="AB36" i="16"/>
  <c r="AB39"/>
  <c r="AE37"/>
  <c r="AK40" i="18"/>
  <c r="AB41"/>
  <c r="AE40" i="16"/>
  <c r="AK41" i="18"/>
  <c r="AK38"/>
  <c r="AN39"/>
  <c r="V42"/>
  <c r="AN41" i="16"/>
  <c r="AK40"/>
  <c r="AN40" i="18"/>
  <c r="AN42"/>
  <c r="AK37" i="16"/>
  <c r="AE42"/>
  <c r="AN39"/>
  <c r="AE43" i="18"/>
  <c r="AQ39"/>
  <c r="AN42" i="16"/>
  <c r="AN38"/>
  <c r="AK43" i="18"/>
  <c r="AQ38"/>
  <c r="V43" i="16"/>
  <c r="AQ34"/>
  <c r="AQ42"/>
  <c r="AB43"/>
  <c r="AQ37"/>
  <c r="AT44" i="18"/>
  <c r="AT41"/>
  <c r="AN45"/>
  <c r="AQ45"/>
  <c r="AT35" i="16"/>
  <c r="AT39"/>
  <c r="AQ44"/>
  <c r="AN44"/>
  <c r="AW35" i="18"/>
  <c r="AW38"/>
  <c r="AW42"/>
  <c r="R35" i="16"/>
  <c r="Q66" s="1"/>
  <c r="R37" i="18"/>
  <c r="S68" s="1"/>
  <c r="R42"/>
  <c r="S73" s="1"/>
  <c r="R42" i="16"/>
  <c r="S73" s="1"/>
  <c r="R45" i="18"/>
  <c r="S76" s="1"/>
  <c r="AS34"/>
  <c r="AR65" s="1"/>
  <c r="U35"/>
  <c r="T66" s="1"/>
  <c r="U34"/>
  <c r="V65" s="1"/>
  <c r="X35"/>
  <c r="Y66" s="1"/>
  <c r="AA34"/>
  <c r="Z65" s="1"/>
  <c r="AA37"/>
  <c r="AB68" s="1"/>
  <c r="AA36"/>
  <c r="Z67" s="1"/>
  <c r="AD35"/>
  <c r="AE66" s="1"/>
  <c r="U38" i="16"/>
  <c r="U69" s="1"/>
  <c r="AD39" i="18"/>
  <c r="AE70" s="1"/>
  <c r="X38" i="16"/>
  <c r="X69" s="1"/>
  <c r="AD35"/>
  <c r="AE66" s="1"/>
  <c r="X40" i="18"/>
  <c r="W71" s="1"/>
  <c r="AD39" i="16"/>
  <c r="AD70" s="1"/>
  <c r="AD40"/>
  <c r="AC71" s="1"/>
  <c r="AJ41" i="18"/>
  <c r="AI72" s="1"/>
  <c r="AJ38"/>
  <c r="AK69" s="1"/>
  <c r="U40" i="16"/>
  <c r="T71" s="1"/>
  <c r="AJ34" i="18"/>
  <c r="AK65" s="1"/>
  <c r="AM34"/>
  <c r="AL65" s="1"/>
  <c r="AP42"/>
  <c r="AQ73" s="1"/>
  <c r="AJ34" i="16"/>
  <c r="AI65" s="1"/>
  <c r="U41"/>
  <c r="V72" s="1"/>
  <c r="AJ42" i="18"/>
  <c r="AK73" s="1"/>
  <c r="AJ38" i="16"/>
  <c r="AK69" s="1"/>
  <c r="X41"/>
  <c r="X72" s="1"/>
  <c r="AM37"/>
  <c r="AN68" s="1"/>
  <c r="AP37" i="18"/>
  <c r="AO68" s="1"/>
  <c r="X42" i="16"/>
  <c r="W73" s="1"/>
  <c r="AM36"/>
  <c r="AN67" s="1"/>
  <c r="AA43" i="18"/>
  <c r="AB74" s="1"/>
  <c r="AP36"/>
  <c r="AQ67" s="1"/>
  <c r="X43" i="16"/>
  <c r="W74" s="1"/>
  <c r="AS43"/>
  <c r="AS74" s="1"/>
  <c r="AM44" i="18"/>
  <c r="AL75" s="1"/>
  <c r="AS42"/>
  <c r="AR73" s="1"/>
  <c r="AP42" i="16"/>
  <c r="AO73" s="1"/>
  <c r="AA43"/>
  <c r="AB74" s="1"/>
  <c r="AP37"/>
  <c r="AP68" s="1"/>
  <c r="AS44" i="18"/>
  <c r="AR75" s="1"/>
  <c r="AS41"/>
  <c r="AT72" s="1"/>
  <c r="AM45"/>
  <c r="AN76" s="1"/>
  <c r="AP45"/>
  <c r="AO76" s="1"/>
  <c r="AS35" i="16"/>
  <c r="AR66" s="1"/>
  <c r="AS39"/>
  <c r="AT70" s="1"/>
  <c r="AP44"/>
  <c r="AQ75" s="1"/>
  <c r="AM44"/>
  <c r="AN75" s="1"/>
  <c r="AV35" i="18"/>
  <c r="AU66" s="1"/>
  <c r="AV38"/>
  <c r="AW69" s="1"/>
  <c r="AV42"/>
  <c r="AW73" s="1"/>
  <c r="R34"/>
  <c r="Q65" s="1"/>
  <c r="R37" i="16"/>
  <c r="Q68" s="1"/>
  <c r="R39" i="18"/>
  <c r="Q70" s="1"/>
  <c r="R40"/>
  <c r="Q71" s="1"/>
  <c r="R41"/>
  <c r="S72" s="1"/>
  <c r="R43" i="16"/>
  <c r="R74" s="1"/>
  <c r="U36"/>
  <c r="V67" s="1"/>
  <c r="X36" i="18"/>
  <c r="W67" s="1"/>
  <c r="X34"/>
  <c r="W65" s="1"/>
  <c r="X35" i="16"/>
  <c r="W66" s="1"/>
  <c r="AA35" i="18"/>
  <c r="AB66" s="1"/>
  <c r="X34" i="16"/>
  <c r="W65" s="1"/>
  <c r="U38" i="18"/>
  <c r="V69" s="1"/>
  <c r="AD36"/>
  <c r="AC67" s="1"/>
  <c r="U39"/>
  <c r="T70" s="1"/>
  <c r="AA38" i="16"/>
  <c r="Z69" s="1"/>
  <c r="AD37"/>
  <c r="AE68" s="1"/>
  <c r="AJ40" i="18"/>
  <c r="AK71" s="1"/>
  <c r="AD36" i="16"/>
  <c r="AC67" s="1"/>
  <c r="U40" i="18"/>
  <c r="V71" s="1"/>
  <c r="X41"/>
  <c r="Y72" s="1"/>
  <c r="AA41"/>
  <c r="AB72" s="1"/>
  <c r="AJ40" i="16"/>
  <c r="AJ71" s="1"/>
  <c r="AM40" i="18"/>
  <c r="AL71" s="1"/>
  <c r="AM42"/>
  <c r="AL73" s="1"/>
  <c r="AJ37" i="16"/>
  <c r="AI68" s="1"/>
  <c r="AM36" i="18"/>
  <c r="AL67" s="1"/>
  <c r="X42"/>
  <c r="W73" s="1"/>
  <c r="AJ36" i="16"/>
  <c r="AI67" s="1"/>
  <c r="AJ41"/>
  <c r="AI72" s="1"/>
  <c r="AM34"/>
  <c r="AN65" s="1"/>
  <c r="U43" i="18"/>
  <c r="T74" s="1"/>
  <c r="AP34"/>
  <c r="AQ65" s="1"/>
  <c r="AJ42" i="16"/>
  <c r="AJ73" s="1"/>
  <c r="AM35"/>
  <c r="AM43" i="18"/>
  <c r="AP35"/>
  <c r="AS43"/>
  <c r="AP40" i="16"/>
  <c r="AP44" i="18"/>
  <c r="AP43" i="16"/>
  <c r="AP39"/>
  <c r="X44" i="18"/>
  <c r="AS39"/>
  <c r="AS45"/>
  <c r="AV45"/>
  <c r="X45"/>
  <c r="AS34" i="16"/>
  <c r="AS40"/>
  <c r="AJ44"/>
  <c r="AS44"/>
  <c r="AV34" i="18"/>
  <c r="AV39"/>
  <c r="AV43"/>
  <c r="CK55"/>
  <c r="CK48"/>
  <c r="CK40"/>
  <c r="CK51"/>
  <c r="CK43"/>
  <c r="CK35"/>
  <c r="CH51" i="16"/>
  <c r="CH43"/>
  <c r="CH35"/>
  <c r="CH52"/>
  <c r="CH44"/>
  <c r="CH36"/>
  <c r="CK57" i="18"/>
  <c r="CK50"/>
  <c r="CK42"/>
  <c r="CK34"/>
  <c r="CK49"/>
  <c r="CK41"/>
  <c r="CH57" i="16"/>
  <c r="CH49"/>
  <c r="CH41"/>
  <c r="CH58"/>
  <c r="CH50"/>
  <c r="CH42"/>
  <c r="CH34"/>
  <c r="Q66" i="18"/>
  <c r="S66" i="16"/>
  <c r="R66"/>
  <c r="S67" i="18"/>
  <c r="R68"/>
  <c r="Q68"/>
  <c r="Q69"/>
  <c r="R73"/>
  <c r="Q73"/>
  <c r="R72" i="16"/>
  <c r="R73"/>
  <c r="Q73"/>
  <c r="Q74" i="18"/>
  <c r="R76"/>
  <c r="Q76"/>
  <c r="Q75" i="16"/>
  <c r="AS65" i="18"/>
  <c r="AT65"/>
  <c r="AO65" i="16"/>
  <c r="U66" i="18"/>
  <c r="V66"/>
  <c r="V65" i="16"/>
  <c r="U65" i="18"/>
  <c r="T65"/>
  <c r="T68"/>
  <c r="X66"/>
  <c r="W66"/>
  <c r="W67" i="16"/>
  <c r="AA65" i="18"/>
  <c r="AB65"/>
  <c r="W69"/>
  <c r="AA68"/>
  <c r="Z68"/>
  <c r="T68" i="16"/>
  <c r="AA67" i="18"/>
  <c r="AB67"/>
  <c r="AB70"/>
  <c r="AD66"/>
  <c r="AC66"/>
  <c r="AD69" i="16"/>
  <c r="V69"/>
  <c r="T69"/>
  <c r="AA68"/>
  <c r="AD70" i="18"/>
  <c r="AC70"/>
  <c r="AC65"/>
  <c r="Y69" i="16"/>
  <c r="W69"/>
  <c r="AB66"/>
  <c r="AC66"/>
  <c r="AD66"/>
  <c r="V70"/>
  <c r="X71" i="18"/>
  <c r="Y71"/>
  <c r="AC65" i="16"/>
  <c r="AE70"/>
  <c r="AC70"/>
  <c r="AC71" i="18"/>
  <c r="AD71" i="16"/>
  <c r="AE71"/>
  <c r="AB71"/>
  <c r="AJ72" i="18"/>
  <c r="AK72"/>
  <c r="AI66"/>
  <c r="AJ69"/>
  <c r="AI69"/>
  <c r="W71" i="16"/>
  <c r="U71"/>
  <c r="V71"/>
  <c r="AE72" i="18"/>
  <c r="AJ65"/>
  <c r="AI65"/>
  <c r="AI70"/>
  <c r="AM65"/>
  <c r="AN65"/>
  <c r="AL69"/>
  <c r="AP73"/>
  <c r="AO73"/>
  <c r="Z73"/>
  <c r="AK65" i="16"/>
  <c r="AJ65"/>
  <c r="AK70"/>
  <c r="T72"/>
  <c r="U72"/>
  <c r="AN68" i="18"/>
  <c r="AJ73"/>
  <c r="AI73"/>
  <c r="AK66" i="16"/>
  <c r="AJ69"/>
  <c r="AI69"/>
  <c r="AB72"/>
  <c r="Y72"/>
  <c r="W72"/>
  <c r="V73"/>
  <c r="AL68"/>
  <c r="AM68"/>
  <c r="AO74" i="18"/>
  <c r="AP68"/>
  <c r="AQ68"/>
  <c r="AO72"/>
  <c r="Y73" i="16"/>
  <c r="X73"/>
  <c r="AA73"/>
  <c r="AL67"/>
  <c r="AM67"/>
  <c r="AN71"/>
  <c r="AA74" i="18"/>
  <c r="Z74"/>
  <c r="Y74"/>
  <c r="AP67"/>
  <c r="AO67"/>
  <c r="AQ71"/>
  <c r="Y74" i="16"/>
  <c r="X74"/>
  <c r="V74"/>
  <c r="AR74"/>
  <c r="AT74"/>
  <c r="AP69"/>
  <c r="AM75" i="18"/>
  <c r="AN75"/>
  <c r="AC75"/>
  <c r="AS73"/>
  <c r="AT73"/>
  <c r="AR69"/>
  <c r="AP73" i="16"/>
  <c r="AQ73"/>
  <c r="AE74"/>
  <c r="AA74"/>
  <c r="Z74"/>
  <c r="AO72"/>
  <c r="AQ68"/>
  <c r="AO68"/>
  <c r="V75" i="18"/>
  <c r="AS75"/>
  <c r="AT75"/>
  <c r="AK75"/>
  <c r="AS72"/>
  <c r="AR72"/>
  <c r="AT68"/>
  <c r="AM76"/>
  <c r="AL76"/>
  <c r="AB76"/>
  <c r="AP76"/>
  <c r="AQ76"/>
  <c r="AE76"/>
  <c r="AT66" i="16"/>
  <c r="AS66"/>
  <c r="AR68"/>
  <c r="AS70"/>
  <c r="AR70"/>
  <c r="AS72"/>
  <c r="AP75"/>
  <c r="AO75"/>
  <c r="AE75"/>
  <c r="AM75"/>
  <c r="AL75"/>
  <c r="AA75"/>
  <c r="AV66" i="18"/>
  <c r="AW66"/>
  <c r="AW67"/>
  <c r="AV69"/>
  <c r="AU69"/>
  <c r="AW71"/>
  <c r="AV73"/>
  <c r="AU73"/>
  <c r="S67" i="16"/>
  <c r="R65" i="18"/>
  <c r="S65"/>
  <c r="S65" i="16"/>
  <c r="R68"/>
  <c r="S68"/>
  <c r="Q69"/>
  <c r="R70" i="18"/>
  <c r="S70"/>
  <c r="S70" i="16"/>
  <c r="R71" i="18"/>
  <c r="S71"/>
  <c r="S71" i="16"/>
  <c r="R72" i="18"/>
  <c r="Q72"/>
  <c r="S75"/>
  <c r="Q74" i="16"/>
  <c r="S74"/>
  <c r="AO67"/>
  <c r="U67"/>
  <c r="T67"/>
  <c r="V66"/>
  <c r="X67" i="18"/>
  <c r="Y67"/>
  <c r="V67"/>
  <c r="X65"/>
  <c r="Y65"/>
  <c r="Y68"/>
  <c r="X66" i="16"/>
  <c r="Y66"/>
  <c r="W68"/>
  <c r="AA66" i="18"/>
  <c r="Z66"/>
  <c r="Z69"/>
  <c r="Y65" i="16"/>
  <c r="X65"/>
  <c r="AC69" i="18"/>
  <c r="U69"/>
  <c r="T69"/>
  <c r="Y70"/>
  <c r="AD67"/>
  <c r="AE67"/>
  <c r="AB65" i="16"/>
  <c r="U70" i="18"/>
  <c r="V70"/>
  <c r="AE68"/>
  <c r="AA69" i="16"/>
  <c r="AB69"/>
  <c r="AB67"/>
  <c r="AD68"/>
  <c r="AC68"/>
  <c r="X70"/>
  <c r="AJ71" i="18"/>
  <c r="AI71"/>
  <c r="Z71"/>
  <c r="AD67" i="16"/>
  <c r="AE67"/>
  <c r="AB70"/>
  <c r="U71" i="18"/>
  <c r="T71"/>
  <c r="T72"/>
  <c r="X72"/>
  <c r="W72"/>
  <c r="AK67"/>
  <c r="AA72"/>
  <c r="Z72"/>
  <c r="AI68"/>
  <c r="AI71" i="16"/>
  <c r="AK71"/>
  <c r="AN66" i="18"/>
  <c r="AM71"/>
  <c r="AN71"/>
  <c r="AC73"/>
  <c r="AM73"/>
  <c r="AN73"/>
  <c r="AN72"/>
  <c r="AK68" i="16"/>
  <c r="AJ68"/>
  <c r="AC72"/>
  <c r="AM67" i="18"/>
  <c r="AN67"/>
  <c r="AN70"/>
  <c r="X73"/>
  <c r="Y73"/>
  <c r="V73"/>
  <c r="AJ67" i="16"/>
  <c r="AK67"/>
  <c r="AN72"/>
  <c r="AK72"/>
  <c r="AJ72"/>
  <c r="AC73"/>
  <c r="AL65"/>
  <c r="AM65"/>
  <c r="AL70"/>
  <c r="U74" i="18"/>
  <c r="V74"/>
  <c r="AE74"/>
  <c r="AP65"/>
  <c r="AO65"/>
  <c r="AO70"/>
  <c r="AI73" i="16"/>
  <c r="AM66"/>
  <c r="AL66"/>
  <c r="AM69"/>
  <c r="AM74" i="18"/>
  <c r="AL74"/>
  <c r="AI74"/>
  <c r="AP66"/>
  <c r="AQ66"/>
  <c r="AQ69"/>
  <c r="AS74"/>
  <c r="AR74"/>
  <c r="AI74" i="16"/>
  <c r="AQ71"/>
  <c r="AO71"/>
  <c r="Z75" i="18"/>
  <c r="AP75"/>
  <c r="AO75"/>
  <c r="AR71"/>
  <c r="AP74" i="16"/>
  <c r="AQ74"/>
  <c r="AM74"/>
  <c r="AQ70"/>
  <c r="AP70"/>
  <c r="AO66"/>
  <c r="X75" i="18"/>
  <c r="Y75"/>
  <c r="AW75"/>
  <c r="AS70"/>
  <c r="AR70"/>
  <c r="AT66"/>
  <c r="AS76"/>
  <c r="AR76"/>
  <c r="T76"/>
  <c r="AV76"/>
  <c r="AW76"/>
  <c r="AI76"/>
  <c r="X76"/>
  <c r="W76"/>
  <c r="AT67" i="16"/>
  <c r="AS65"/>
  <c r="AR65"/>
  <c r="AS69"/>
  <c r="AS71"/>
  <c r="AR71"/>
  <c r="AT73"/>
  <c r="AK75"/>
  <c r="AJ75"/>
  <c r="W75"/>
  <c r="AT75"/>
  <c r="AS75"/>
  <c r="U75"/>
  <c r="AV65" i="18"/>
  <c r="AU65"/>
  <c r="AU68"/>
  <c r="AV70"/>
  <c r="AW70"/>
  <c r="AU72"/>
  <c r="AV74"/>
  <c r="AW74"/>
  <c r="Q109" i="16"/>
  <c r="W103"/>
  <c r="AC100"/>
  <c r="Z105"/>
  <c r="AI99"/>
  <c r="AI103"/>
  <c r="W107"/>
  <c r="AL101"/>
  <c r="W108"/>
  <c r="AO106"/>
  <c r="AR100"/>
  <c r="AR106"/>
  <c r="Q103"/>
  <c r="W102"/>
  <c r="AL99"/>
  <c r="AT67" i="18"/>
  <c r="AS67"/>
  <c r="AK73" i="16"/>
  <c r="AN73"/>
  <c r="AN66"/>
  <c r="AL69"/>
  <c r="AN69"/>
  <c r="AN74" i="18"/>
  <c r="AJ74"/>
  <c r="AK74"/>
  <c r="AO66"/>
  <c r="AP69"/>
  <c r="AO69"/>
  <c r="AT74"/>
  <c r="AK74" i="16"/>
  <c r="AJ74"/>
  <c r="AP71"/>
  <c r="AO105" s="1"/>
  <c r="AA75" i="18"/>
  <c r="AB75"/>
  <c r="AQ75"/>
  <c r="AS71"/>
  <c r="AT71"/>
  <c r="AO74" i="16"/>
  <c r="AL74"/>
  <c r="AN74"/>
  <c r="AO70"/>
  <c r="AQ66"/>
  <c r="AP66"/>
  <c r="AO100" s="1"/>
  <c r="W75" i="18"/>
  <c r="AV75"/>
  <c r="AU75"/>
  <c r="AT70"/>
  <c r="AS66"/>
  <c r="AR66"/>
  <c r="AT76"/>
  <c r="U76"/>
  <c r="V76"/>
  <c r="AU76"/>
  <c r="AJ76"/>
  <c r="AK76"/>
  <c r="Y76"/>
  <c r="AS67" i="16"/>
  <c r="AR67"/>
  <c r="AT65"/>
  <c r="AT69"/>
  <c r="AR69"/>
  <c r="AT71"/>
  <c r="AS73"/>
  <c r="AR73"/>
  <c r="AI75"/>
  <c r="AI109" s="1"/>
  <c r="X75"/>
  <c r="Y75"/>
  <c r="AR75"/>
  <c r="T75"/>
  <c r="V75"/>
  <c r="AW65" i="18"/>
  <c r="AV68"/>
  <c r="AW68"/>
  <c r="AU70"/>
  <c r="AV72"/>
  <c r="AW72"/>
  <c r="AU74"/>
  <c r="Q100" i="16"/>
  <c r="T99"/>
  <c r="T103"/>
  <c r="AC104"/>
  <c r="W105"/>
  <c r="T106"/>
  <c r="W106"/>
  <c r="AL102"/>
  <c r="AO102"/>
  <c r="AR104"/>
  <c r="AC109"/>
  <c r="Q104"/>
  <c r="T100"/>
  <c r="W99"/>
  <c r="W104"/>
  <c r="AI102"/>
  <c r="AI106"/>
  <c r="AI107"/>
  <c r="AI108"/>
  <c r="AO104"/>
  <c r="AR103"/>
  <c r="AR109"/>
  <c r="AR67" i="18"/>
  <c r="AR101"/>
  <c r="AZ34"/>
  <c r="AZ38"/>
  <c r="AZ42"/>
  <c r="AT45" i="16"/>
  <c r="AQ45"/>
  <c r="AW34"/>
  <c r="AW39"/>
  <c r="AW43"/>
  <c r="AK46" i="18"/>
  <c r="AZ46"/>
  <c r="AB46"/>
  <c r="S46"/>
  <c r="AZ37"/>
  <c r="AZ41"/>
  <c r="AZ45" i="16"/>
  <c r="AB45"/>
  <c r="AK45"/>
  <c r="AW35"/>
  <c r="AW38"/>
  <c r="AW42"/>
  <c r="AQ46" i="18"/>
  <c r="AT46"/>
  <c r="AZ45"/>
  <c r="AY34"/>
  <c r="AY38"/>
  <c r="AY42"/>
  <c r="AS45" i="16"/>
  <c r="AP45"/>
  <c r="AV34"/>
  <c r="AV39"/>
  <c r="AV43"/>
  <c r="AJ46" i="18"/>
  <c r="AY46"/>
  <c r="AA46"/>
  <c r="R46"/>
  <c r="AY37"/>
  <c r="AY41"/>
  <c r="AY45" i="16"/>
  <c r="AA45"/>
  <c r="AJ45"/>
  <c r="AV35"/>
  <c r="AV38"/>
  <c r="AV42"/>
  <c r="AP46" i="18"/>
  <c r="AS46"/>
  <c r="AY45"/>
  <c r="CN56"/>
  <c r="CN47"/>
  <c r="CN39"/>
  <c r="CN52"/>
  <c r="CN44"/>
  <c r="CN36"/>
  <c r="CK52" i="16"/>
  <c r="CK44"/>
  <c r="CK36"/>
  <c r="CK53"/>
  <c r="CK45"/>
  <c r="CK37"/>
  <c r="CN58" i="18"/>
  <c r="CN49"/>
  <c r="CN41"/>
  <c r="CN54"/>
  <c r="CN46"/>
  <c r="CN38"/>
  <c r="CK58" i="16"/>
  <c r="CK50"/>
  <c r="CK42"/>
  <c r="CK34"/>
  <c r="CK51"/>
  <c r="CK43"/>
  <c r="CK35"/>
  <c r="AY65" i="18"/>
  <c r="AZ65"/>
  <c r="AY69"/>
  <c r="AZ69"/>
  <c r="AY73"/>
  <c r="AZ73"/>
  <c r="AT76" i="16"/>
  <c r="AS76"/>
  <c r="AO76"/>
  <c r="AP76"/>
  <c r="AU65"/>
  <c r="AV65"/>
  <c r="AV70"/>
  <c r="AW70"/>
  <c r="AU74"/>
  <c r="AV74"/>
  <c r="AJ77" i="18"/>
  <c r="AI77"/>
  <c r="AY77"/>
  <c r="AZ77"/>
  <c r="AA77"/>
  <c r="AB77"/>
  <c r="R77"/>
  <c r="S77"/>
  <c r="AY68"/>
  <c r="AX68"/>
  <c r="AY72"/>
  <c r="AX72"/>
  <c r="AY76" i="16"/>
  <c r="AX76"/>
  <c r="AB76"/>
  <c r="Z76"/>
  <c r="AJ76"/>
  <c r="AK76"/>
  <c r="AV66"/>
  <c r="AW66"/>
  <c r="AW69"/>
  <c r="AU69"/>
  <c r="AU73"/>
  <c r="AV73"/>
  <c r="AP77" i="18"/>
  <c r="AO77"/>
  <c r="AS77"/>
  <c r="AT77"/>
  <c r="AY76"/>
  <c r="AX76"/>
  <c r="S45" i="16"/>
  <c r="AZ35" i="18"/>
  <c r="AZ40"/>
  <c r="AZ44"/>
  <c r="V45" i="16"/>
  <c r="AE45"/>
  <c r="AW37"/>
  <c r="AW41"/>
  <c r="AW46" i="18"/>
  <c r="Y46"/>
  <c r="AN46"/>
  <c r="AW44" i="16"/>
  <c r="AZ36" i="18"/>
  <c r="AZ39"/>
  <c r="AZ43"/>
  <c r="AN45" i="16"/>
  <c r="AW45"/>
  <c r="Y45"/>
  <c r="AW36"/>
  <c r="AW40"/>
  <c r="BC46" i="18"/>
  <c r="AE46"/>
  <c r="V46"/>
  <c r="R45" i="16"/>
  <c r="Q76" s="1"/>
  <c r="AY35" i="18"/>
  <c r="AZ66" s="1"/>
  <c r="AY40"/>
  <c r="AX71" s="1"/>
  <c r="AY44"/>
  <c r="AX75" s="1"/>
  <c r="U45" i="16"/>
  <c r="U76" s="1"/>
  <c r="AD45"/>
  <c r="AD76" s="1"/>
  <c r="AV37"/>
  <c r="AW68" s="1"/>
  <c r="AV41"/>
  <c r="AU72" s="1"/>
  <c r="AV46" i="18"/>
  <c r="AW77" s="1"/>
  <c r="X46"/>
  <c r="W77" s="1"/>
  <c r="AM46"/>
  <c r="AL77" s="1"/>
  <c r="AV44" i="16"/>
  <c r="AV75" s="1"/>
  <c r="AY36" i="18"/>
  <c r="AX67" s="1"/>
  <c r="AY39"/>
  <c r="AZ70" s="1"/>
  <c r="AY43"/>
  <c r="AZ74" s="1"/>
  <c r="AM45" i="16"/>
  <c r="AM76" s="1"/>
  <c r="AV45"/>
  <c r="AV76" s="1"/>
  <c r="X45"/>
  <c r="Y76" s="1"/>
  <c r="AV36"/>
  <c r="AW67" s="1"/>
  <c r="AV40"/>
  <c r="AU71" s="1"/>
  <c r="BB46" i="18"/>
  <c r="BC77" s="1"/>
  <c r="AD46"/>
  <c r="AC77" s="1"/>
  <c r="U46"/>
  <c r="V77" s="1"/>
  <c r="CN55"/>
  <c r="CN51"/>
  <c r="CN43"/>
  <c r="CN35"/>
  <c r="CN48"/>
  <c r="CN40"/>
  <c r="CK56" i="16"/>
  <c r="CK48"/>
  <c r="CK40"/>
  <c r="CK57"/>
  <c r="CK49"/>
  <c r="CK41"/>
  <c r="CN57" i="18"/>
  <c r="CN53"/>
  <c r="CN45"/>
  <c r="CN37"/>
  <c r="CN50"/>
  <c r="CN42"/>
  <c r="CN34"/>
  <c r="CK54" i="16"/>
  <c r="CK46"/>
  <c r="CK38"/>
  <c r="CK55"/>
  <c r="CK47"/>
  <c r="CK39"/>
  <c r="S76"/>
  <c r="R76"/>
  <c r="AX65" i="18"/>
  <c r="AY66"/>
  <c r="AX66"/>
  <c r="AX69"/>
  <c r="AY71"/>
  <c r="AZ71"/>
  <c r="AX73"/>
  <c r="AY75"/>
  <c r="AZ75"/>
  <c r="AR76" i="16"/>
  <c r="AR110" s="1"/>
  <c r="V76"/>
  <c r="T76"/>
  <c r="AQ76"/>
  <c r="AO110" s="1"/>
  <c r="AC76"/>
  <c r="AE76"/>
  <c r="AW65"/>
  <c r="AU68"/>
  <c r="AV68"/>
  <c r="AU102" s="1"/>
  <c r="AU70"/>
  <c r="AV72"/>
  <c r="AW72"/>
  <c r="AW74"/>
  <c r="AV77" i="18"/>
  <c r="AU77"/>
  <c r="AK77"/>
  <c r="X77"/>
  <c r="Y77"/>
  <c r="AX77"/>
  <c r="AM77"/>
  <c r="AN77"/>
  <c r="Z77"/>
  <c r="AU75" i="16"/>
  <c r="AW75"/>
  <c r="Q77" i="18"/>
  <c r="AY67"/>
  <c r="AZ67"/>
  <c r="AZ68"/>
  <c r="AY70"/>
  <c r="AX70"/>
  <c r="AZ72"/>
  <c r="AY74"/>
  <c r="AX74"/>
  <c r="AZ76" i="16"/>
  <c r="AL76"/>
  <c r="AN76"/>
  <c r="AA76"/>
  <c r="Z110" s="1"/>
  <c r="AW76"/>
  <c r="AU76"/>
  <c r="AI76"/>
  <c r="X76"/>
  <c r="W76"/>
  <c r="AU66"/>
  <c r="AV67"/>
  <c r="AU67"/>
  <c r="AV69"/>
  <c r="AU103" s="1"/>
  <c r="AV71"/>
  <c r="AW71"/>
  <c r="AW73"/>
  <c r="BB77" i="18"/>
  <c r="BA77"/>
  <c r="AQ77"/>
  <c r="AD77"/>
  <c r="AE77"/>
  <c r="AR77"/>
  <c r="U77"/>
  <c r="T77"/>
  <c r="AZ76"/>
  <c r="Q110" i="16"/>
  <c r="T110"/>
  <c r="AU99"/>
  <c r="AU108"/>
  <c r="AU110"/>
  <c r="AU107"/>
  <c r="Q67" i="18"/>
  <c r="R67"/>
  <c r="Q71" i="16"/>
  <c r="R71"/>
  <c r="S72"/>
  <c r="Q72"/>
  <c r="S74" i="18"/>
  <c r="R74"/>
  <c r="AP67" i="16"/>
  <c r="AQ67"/>
  <c r="AO101" s="1"/>
  <c r="V68"/>
  <c r="U68"/>
  <c r="Z70" i="18"/>
  <c r="AA70"/>
  <c r="AE69" i="16"/>
  <c r="AC69"/>
  <c r="AB68"/>
  <c r="Z68"/>
  <c r="AE65" i="18"/>
  <c r="AD65"/>
  <c r="AA66" i="16"/>
  <c r="Z66"/>
  <c r="Z100" s="1"/>
  <c r="V72" i="18"/>
  <c r="U72"/>
  <c r="AI67"/>
  <c r="AJ67"/>
  <c r="AN69"/>
  <c r="AM69"/>
  <c r="AB73"/>
  <c r="AA73"/>
  <c r="AI70" i="16"/>
  <c r="AJ70"/>
  <c r="U73"/>
  <c r="T73"/>
  <c r="T107" s="1"/>
  <c r="AQ74" i="18"/>
  <c r="AP74"/>
  <c r="AQ72"/>
  <c r="AP72"/>
  <c r="Z73" i="16"/>
  <c r="AB73"/>
  <c r="Z107" s="1"/>
  <c r="AM71"/>
  <c r="AL71"/>
  <c r="AL105" s="1"/>
  <c r="W74" i="18"/>
  <c r="X74"/>
  <c r="AO71"/>
  <c r="AP71"/>
  <c r="Q75"/>
  <c r="R75"/>
  <c r="S66"/>
  <c r="R66"/>
  <c r="W68"/>
  <c r="X68"/>
  <c r="AE69"/>
  <c r="AD69"/>
  <c r="X67" i="16"/>
  <c r="Y67"/>
  <c r="W101" s="1"/>
  <c r="Y69" i="18"/>
  <c r="X69"/>
  <c r="W70"/>
  <c r="X70"/>
  <c r="Z65" i="16"/>
  <c r="AA65"/>
  <c r="AC68" i="18"/>
  <c r="AD68"/>
  <c r="AA67" i="16"/>
  <c r="Z67"/>
  <c r="Z101" s="1"/>
  <c r="AA70"/>
  <c r="Z70"/>
  <c r="Z104" s="1"/>
  <c r="AL70" i="18"/>
  <c r="AM70"/>
  <c r="T73"/>
  <c r="U73"/>
  <c r="AM72" i="16"/>
  <c r="AL72"/>
  <c r="AL106" s="1"/>
  <c r="AE73"/>
  <c r="AD73"/>
  <c r="AN70"/>
  <c r="AM70"/>
  <c r="AC74" i="18"/>
  <c r="AD74"/>
  <c r="AQ70"/>
  <c r="AP70"/>
  <c r="AM73" i="16"/>
  <c r="AL73"/>
  <c r="AL107" s="1"/>
  <c r="U74"/>
  <c r="T74"/>
  <c r="T108" s="1"/>
  <c r="AQ65"/>
  <c r="AP65"/>
  <c r="AU138" i="18" l="1"/>
  <c r="AU134"/>
  <c r="W141" i="16"/>
  <c r="AR139"/>
  <c r="AR133"/>
  <c r="AI142" i="18"/>
  <c r="T142"/>
  <c r="AR132"/>
  <c r="AU141"/>
  <c r="AO132" i="16"/>
  <c r="AR137" i="18"/>
  <c r="Z141"/>
  <c r="AO137" i="16"/>
  <c r="AI140"/>
  <c r="AO135" i="18"/>
  <c r="AI140"/>
  <c r="AR133"/>
  <c r="AU140"/>
  <c r="AU136"/>
  <c r="AU131"/>
  <c r="T141" i="16"/>
  <c r="AR141"/>
  <c r="AI141"/>
  <c r="AR137"/>
  <c r="AR135"/>
  <c r="AR131"/>
  <c r="W142" i="18"/>
  <c r="AU142"/>
  <c r="AR142"/>
  <c r="AR136"/>
  <c r="W141"/>
  <c r="AO136" i="16"/>
  <c r="AL140"/>
  <c r="AO140"/>
  <c r="AO141" i="18"/>
  <c r="AR140"/>
  <c r="AO132"/>
  <c r="AL140"/>
  <c r="AL135" i="16"/>
  <c r="AL132"/>
  <c r="AO131" i="18"/>
  <c r="T140"/>
  <c r="AL131" i="16"/>
  <c r="AI138"/>
  <c r="AI133"/>
  <c r="W139" i="18"/>
  <c r="AL133"/>
  <c r="AI134" i="16"/>
  <c r="AL139" i="18"/>
  <c r="AL137"/>
  <c r="Z138"/>
  <c r="W138"/>
  <c r="T137"/>
  <c r="AC133" i="16"/>
  <c r="AI137" i="18"/>
  <c r="W136" i="16"/>
  <c r="AC134"/>
  <c r="Z135"/>
  <c r="T136" i="18"/>
  <c r="AC133"/>
  <c r="T135"/>
  <c r="W131" i="16"/>
  <c r="Z132" i="18"/>
  <c r="W132" i="16"/>
  <c r="W131" i="18"/>
  <c r="W133"/>
  <c r="T133" i="16"/>
  <c r="Q138" i="18"/>
  <c r="Q137"/>
  <c r="Q136"/>
  <c r="Q134" i="16"/>
  <c r="Q131" i="18"/>
  <c r="AU139"/>
  <c r="AU135"/>
  <c r="AU132"/>
  <c r="Z141" i="16"/>
  <c r="AL141"/>
  <c r="AO141"/>
  <c r="AR138"/>
  <c r="AR136"/>
  <c r="AR132"/>
  <c r="AO142" i="18"/>
  <c r="AL142"/>
  <c r="AR138"/>
  <c r="AR141"/>
  <c r="Z140" i="16"/>
  <c r="AO139"/>
  <c r="AR139" i="18"/>
  <c r="AL141"/>
  <c r="AO135" i="16"/>
  <c r="W140"/>
  <c r="AO133" i="18"/>
  <c r="Z140"/>
  <c r="AL133" i="16"/>
  <c r="Z139"/>
  <c r="W139"/>
  <c r="AO134" i="18"/>
  <c r="AL134" i="16"/>
  <c r="AI135"/>
  <c r="AI139" i="18"/>
  <c r="T138" i="16"/>
  <c r="AI131"/>
  <c r="AO139" i="18"/>
  <c r="AL131"/>
  <c r="AI131"/>
  <c r="T137" i="16"/>
  <c r="AI135" i="18"/>
  <c r="AI138"/>
  <c r="AC137" i="16"/>
  <c r="W137" i="18"/>
  <c r="AC132" i="16"/>
  <c r="AC136" i="18"/>
  <c r="Z134" i="16"/>
  <c r="AC135"/>
  <c r="AC132" i="18"/>
  <c r="Z133"/>
  <c r="Z134"/>
  <c r="Z131"/>
  <c r="W132"/>
  <c r="T131"/>
  <c r="T132"/>
  <c r="AR131"/>
  <c r="Q142"/>
  <c r="Q139" i="16"/>
  <c r="Q138"/>
  <c r="Q139" i="18"/>
  <c r="Q134"/>
  <c r="Q132" i="16"/>
  <c r="AL139"/>
  <c r="AI139"/>
  <c r="AO136" i="18"/>
  <c r="AC140"/>
  <c r="AL136" i="16"/>
  <c r="AC139"/>
  <c r="AL138"/>
  <c r="T139" i="18"/>
  <c r="AL136"/>
  <c r="AC138" i="16"/>
  <c r="AL138" i="18"/>
  <c r="AC139"/>
  <c r="AL132"/>
  <c r="AI137" i="16"/>
  <c r="AI134" i="18"/>
  <c r="AI133"/>
  <c r="T138"/>
  <c r="Z136" i="16"/>
  <c r="Z137" i="18"/>
  <c r="Z133" i="16"/>
  <c r="AC134" i="18"/>
  <c r="Z131" i="16"/>
  <c r="W136" i="18"/>
  <c r="AC135"/>
  <c r="Z135"/>
  <c r="W134" i="16"/>
  <c r="W134" i="18"/>
  <c r="T133"/>
  <c r="T132" i="16"/>
  <c r="AO133"/>
  <c r="Q140"/>
  <c r="Q141" i="18"/>
  <c r="Q137" i="16"/>
  <c r="Q136"/>
  <c r="Q135"/>
  <c r="Q131"/>
  <c r="Q133"/>
  <c r="AU137" i="18"/>
  <c r="AU133"/>
  <c r="AC141" i="16"/>
  <c r="AR134"/>
  <c r="AC142" i="18"/>
  <c r="Z142"/>
  <c r="AR134"/>
  <c r="AI141"/>
  <c r="T141"/>
  <c r="AO134" i="16"/>
  <c r="AO138"/>
  <c r="AC140"/>
  <c r="AR135" i="18"/>
  <c r="AC141"/>
  <c r="AR140" i="16"/>
  <c r="T140"/>
  <c r="AO137" i="18"/>
  <c r="W140"/>
  <c r="AL137" i="16"/>
  <c r="AO138" i="18"/>
  <c r="AO140"/>
  <c r="T139" i="16"/>
  <c r="W138"/>
  <c r="Z138"/>
  <c r="AI132"/>
  <c r="AL134" i="18"/>
  <c r="AI136" i="16"/>
  <c r="Z139" i="18"/>
  <c r="AL135"/>
  <c r="AI136"/>
  <c r="AC138"/>
  <c r="W137" i="16"/>
  <c r="AI132" i="18"/>
  <c r="Z137" i="16"/>
  <c r="AC137" i="18"/>
  <c r="AC136" i="16"/>
  <c r="AC131"/>
  <c r="T136"/>
  <c r="Z132"/>
  <c r="W135"/>
  <c r="AC131" i="18"/>
  <c r="T135" i="16"/>
  <c r="Z136" i="18"/>
  <c r="T134" i="16"/>
  <c r="W135" i="18"/>
  <c r="W133" i="16"/>
  <c r="T134" i="18"/>
  <c r="T131" i="16"/>
  <c r="AO131"/>
  <c r="Q141"/>
  <c r="Q140" i="18"/>
  <c r="Q135"/>
  <c r="Q133"/>
  <c r="Q132"/>
  <c r="AX142"/>
  <c r="T143"/>
  <c r="AR143"/>
  <c r="AC143"/>
  <c r="AO143"/>
  <c r="BA143"/>
  <c r="AU139" i="16"/>
  <c r="AU137"/>
  <c r="AU135"/>
  <c r="AU133"/>
  <c r="AU132"/>
  <c r="W142"/>
  <c r="AI142"/>
  <c r="AU142"/>
  <c r="Z142"/>
  <c r="AL142"/>
  <c r="AX142"/>
  <c r="AX140" i="18"/>
  <c r="AX138"/>
  <c r="AX136"/>
  <c r="AX134"/>
  <c r="AX133"/>
  <c r="Q143"/>
  <c r="AU141" i="16"/>
  <c r="Z143" i="18"/>
  <c r="AL143"/>
  <c r="AX143"/>
  <c r="W143"/>
  <c r="AI143"/>
  <c r="AU143"/>
  <c r="AU140" i="16"/>
  <c r="AU138"/>
  <c r="AU136"/>
  <c r="AU134"/>
  <c r="AU131"/>
  <c r="AC142"/>
  <c r="AO142"/>
  <c r="T142"/>
  <c r="AR142"/>
  <c r="AX141" i="18"/>
  <c r="AX139"/>
  <c r="AX137"/>
  <c r="AX135"/>
  <c r="AX132"/>
  <c r="AX131"/>
  <c r="Q142" i="16"/>
  <c r="A80"/>
  <c r="A182"/>
  <c r="A49"/>
  <c r="A146"/>
  <c r="A114"/>
  <c r="A19"/>
  <c r="A97" i="5"/>
  <c r="A70"/>
  <c r="M85"/>
  <c r="CN4" i="16" s="1"/>
  <c r="M84" i="5"/>
  <c r="CN3" i="16" s="1"/>
  <c r="M86" i="5"/>
  <c r="CN5" i="16" s="1"/>
  <c r="M87" i="5"/>
  <c r="CN6" i="16" s="1"/>
  <c r="M88" i="5"/>
  <c r="CN7" i="16" s="1"/>
  <c r="M89" i="5"/>
  <c r="CN8" i="16" s="1"/>
  <c r="M90" i="5"/>
  <c r="CN9" i="16" s="1"/>
  <c r="M91" i="5"/>
  <c r="CN10" i="16" s="1"/>
  <c r="M92" i="5"/>
  <c r="CN11" i="16" s="1"/>
  <c r="M93" i="5"/>
  <c r="CN12" i="16" s="1"/>
  <c r="M94" i="5"/>
  <c r="CN13" i="16" s="1"/>
  <c r="N83" i="5"/>
  <c r="N56"/>
  <c r="CO3" i="18" s="1"/>
  <c r="N57" i="5"/>
  <c r="CO4" i="18" s="1"/>
  <c r="O55" i="5"/>
  <c r="N58"/>
  <c r="CO5" i="18" s="1"/>
  <c r="N59" i="5"/>
  <c r="CO6" i="18" s="1"/>
  <c r="N60" i="5"/>
  <c r="CO7" i="18" s="1"/>
  <c r="N61" i="5"/>
  <c r="CO8" i="18" s="1"/>
  <c r="N62" i="5"/>
  <c r="CO9" i="18" s="1"/>
  <c r="N63" i="5"/>
  <c r="CO10" i="18" s="1"/>
  <c r="N64" i="5"/>
  <c r="CO11" i="18" s="1"/>
  <c r="N65" i="5"/>
  <c r="CO12" i="18" s="1"/>
  <c r="N66" i="5"/>
  <c r="CO13" i="18" s="1"/>
  <c r="N67" i="5"/>
  <c r="CO14" i="18" s="1"/>
  <c r="A97" i="4"/>
  <c r="A70"/>
  <c r="M85"/>
  <c r="BH4" i="16" s="1"/>
  <c r="M84" i="4"/>
  <c r="BH3" i="16" s="1"/>
  <c r="M86" i="4"/>
  <c r="BH5" i="16" s="1"/>
  <c r="M87" i="4"/>
  <c r="BH6" i="16" s="1"/>
  <c r="M88" i="4"/>
  <c r="BH7" i="16" s="1"/>
  <c r="M89" i="4"/>
  <c r="BH8" i="16" s="1"/>
  <c r="M90" i="4"/>
  <c r="BH9" i="16" s="1"/>
  <c r="M91" i="4"/>
  <c r="BH10" i="16" s="1"/>
  <c r="M92" i="4"/>
  <c r="BH11" i="16" s="1"/>
  <c r="M93" i="4"/>
  <c r="BH12" i="16" s="1"/>
  <c r="M94" i="4"/>
  <c r="BH13" i="16" s="1"/>
  <c r="N83" i="4"/>
  <c r="N56"/>
  <c r="BI3" i="18" s="1"/>
  <c r="N57" i="4"/>
  <c r="BI4" i="18" s="1"/>
  <c r="O55" i="4"/>
  <c r="N58"/>
  <c r="BI5" i="18" s="1"/>
  <c r="N59" i="4"/>
  <c r="BI6" i="18" s="1"/>
  <c r="N60" i="4"/>
  <c r="BI7" i="18" s="1"/>
  <c r="N61" i="4"/>
  <c r="BI8" i="18" s="1"/>
  <c r="N62" i="4"/>
  <c r="BI9" i="18" s="1"/>
  <c r="N63" i="4"/>
  <c r="BI10" i="18" s="1"/>
  <c r="N64" i="4"/>
  <c r="BI11" i="18" s="1"/>
  <c r="N65" i="4"/>
  <c r="BI12" i="18" s="1"/>
  <c r="N66" i="4"/>
  <c r="BI13" i="18" s="1"/>
  <c r="N67" i="4"/>
  <c r="BI14" i="18" s="1"/>
  <c r="AB80" i="3"/>
  <c r="AQ27" i="18" s="1"/>
  <c r="AB78" i="3"/>
  <c r="AQ25" i="18" s="1"/>
  <c r="AB83" i="3"/>
  <c r="AB79"/>
  <c r="AQ26" i="18" s="1"/>
  <c r="AB77" i="3"/>
  <c r="AQ24" i="18" s="1"/>
  <c r="AB76" i="3"/>
  <c r="AQ23" i="18" s="1"/>
  <c r="AB74" i="3"/>
  <c r="AQ21" i="18" s="1"/>
  <c r="AB72" i="3"/>
  <c r="AQ19" i="18" s="1"/>
  <c r="AB70" i="3"/>
  <c r="AQ17" i="18" s="1"/>
  <c r="AB68" i="3"/>
  <c r="AQ15" i="18" s="1"/>
  <c r="AB66" i="3"/>
  <c r="AQ13" i="18" s="1"/>
  <c r="AB64" i="3"/>
  <c r="AQ11" i="18" s="1"/>
  <c r="AB62" i="3"/>
  <c r="AQ9" i="18" s="1"/>
  <c r="AB60" i="3"/>
  <c r="AQ7" i="18" s="1"/>
  <c r="AB58" i="3"/>
  <c r="AQ5" i="18" s="1"/>
  <c r="AB56" i="3"/>
  <c r="AQ3" i="18" s="1"/>
  <c r="AC55" i="3"/>
  <c r="AB75"/>
  <c r="AQ22" i="18" s="1"/>
  <c r="AB73" i="3"/>
  <c r="AQ20" i="18" s="1"/>
  <c r="AB71" i="3"/>
  <c r="AQ18" i="18" s="1"/>
  <c r="AB69" i="3"/>
  <c r="AQ16" i="18" s="1"/>
  <c r="AB67" i="3"/>
  <c r="AQ14" i="18" s="1"/>
  <c r="AB65" i="3"/>
  <c r="AQ12" i="18" s="1"/>
  <c r="AB63" i="3"/>
  <c r="AQ10" i="18" s="1"/>
  <c r="AB61" i="3"/>
  <c r="AQ8" i="18" s="1"/>
  <c r="AB59" i="3"/>
  <c r="AQ6" i="18" s="1"/>
  <c r="AB57" i="3"/>
  <c r="AQ4" i="18" s="1"/>
  <c r="AA107" i="3"/>
  <c r="AP26" i="16" s="1"/>
  <c r="AA105" i="3"/>
  <c r="AP24" i="16" s="1"/>
  <c r="AA103" i="3"/>
  <c r="AP22" i="16" s="1"/>
  <c r="AA101" i="3"/>
  <c r="AP20" i="16" s="1"/>
  <c r="AA99" i="3"/>
  <c r="AP18" i="16" s="1"/>
  <c r="AA97" i="3"/>
  <c r="AP16" i="16" s="1"/>
  <c r="AA95" i="3"/>
  <c r="AP14" i="16" s="1"/>
  <c r="AA93" i="3"/>
  <c r="AP12" i="16" s="1"/>
  <c r="AA91" i="3"/>
  <c r="AP10" i="16" s="1"/>
  <c r="AA89" i="3"/>
  <c r="AP8" i="16" s="1"/>
  <c r="AA87" i="3"/>
  <c r="AP6" i="16" s="1"/>
  <c r="AA85" i="3"/>
  <c r="AP4" i="16" s="1"/>
  <c r="AA108" i="3"/>
  <c r="AP27" i="16" s="1"/>
  <c r="AA106" i="3"/>
  <c r="AP25" i="16" s="1"/>
  <c r="AA104" i="3"/>
  <c r="AP23" i="16" s="1"/>
  <c r="AA102" i="3"/>
  <c r="AP21" i="16" s="1"/>
  <c r="AA100" i="3"/>
  <c r="AP19" i="16" s="1"/>
  <c r="AA98" i="3"/>
  <c r="AP17" i="16" s="1"/>
  <c r="AA96" i="3"/>
  <c r="AP15" i="16" s="1"/>
  <c r="AA94" i="3"/>
  <c r="AP13" i="16" s="1"/>
  <c r="AA92" i="3"/>
  <c r="AP11" i="16" s="1"/>
  <c r="AA90" i="3"/>
  <c r="AP9" i="16" s="1"/>
  <c r="AA88" i="3"/>
  <c r="AP7" i="16" s="1"/>
  <c r="AA86" i="3"/>
  <c r="AP5" i="16" s="1"/>
  <c r="AA84" i="3"/>
  <c r="AP3" i="16" s="1"/>
  <c r="A38" i="3"/>
  <c r="A37" i="5"/>
  <c r="A37" i="4"/>
  <c r="B215" i="5"/>
  <c r="B243" s="1"/>
  <c r="B211"/>
  <c r="B239" s="1"/>
  <c r="AB208"/>
  <c r="AB212" s="1"/>
  <c r="AB240" s="1"/>
  <c r="N208"/>
  <c r="N212" s="1"/>
  <c r="N240" s="1"/>
  <c r="E208"/>
  <c r="E211" s="1"/>
  <c r="E239" s="1"/>
  <c r="M208"/>
  <c r="M211" s="1"/>
  <c r="M239" s="1"/>
  <c r="H208"/>
  <c r="H212" s="1"/>
  <c r="H240" s="1"/>
  <c r="AG208"/>
  <c r="AG211" s="1"/>
  <c r="AG239" s="1"/>
  <c r="J208"/>
  <c r="J212" s="1"/>
  <c r="J240" s="1"/>
  <c r="L208"/>
  <c r="L212" s="1"/>
  <c r="L240" s="1"/>
  <c r="W208"/>
  <c r="W211" s="1"/>
  <c r="W239" s="1"/>
  <c r="Z208"/>
  <c r="Z212" s="1"/>
  <c r="Z240" s="1"/>
  <c r="Y208"/>
  <c r="Y211" s="1"/>
  <c r="Y239" s="1"/>
  <c r="AD208"/>
  <c r="AD212" s="1"/>
  <c r="AD240" s="1"/>
  <c r="U208"/>
  <c r="U211" s="1"/>
  <c r="U239" s="1"/>
  <c r="AC208"/>
  <c r="AC211" s="1"/>
  <c r="AC239" s="1"/>
  <c r="G208"/>
  <c r="G211" s="1"/>
  <c r="G239" s="1"/>
  <c r="O208"/>
  <c r="O211" s="1"/>
  <c r="O239" s="1"/>
  <c r="F208"/>
  <c r="F212" s="1"/>
  <c r="F240" s="1"/>
  <c r="C208"/>
  <c r="C211" s="1"/>
  <c r="C239" s="1"/>
  <c r="K208"/>
  <c r="K211" s="1"/>
  <c r="K239" s="1"/>
  <c r="X208"/>
  <c r="X212" s="1"/>
  <c r="X240" s="1"/>
  <c r="AE208"/>
  <c r="AE211" s="1"/>
  <c r="AE239" s="1"/>
  <c r="D208"/>
  <c r="D212" s="1"/>
  <c r="D240" s="1"/>
  <c r="I208"/>
  <c r="I211" s="1"/>
  <c r="I239" s="1"/>
  <c r="AF208"/>
  <c r="AF212" s="1"/>
  <c r="AF240" s="1"/>
  <c r="R208"/>
  <c r="R212" s="1"/>
  <c r="R240" s="1"/>
  <c r="Q208"/>
  <c r="Q211" s="1"/>
  <c r="Q239" s="1"/>
  <c r="V208"/>
  <c r="V212" s="1"/>
  <c r="V240" s="1"/>
  <c r="S208"/>
  <c r="S211" s="1"/>
  <c r="S239" s="1"/>
  <c r="AA208"/>
  <c r="AA211" s="1"/>
  <c r="AA239" s="1"/>
  <c r="P208"/>
  <c r="P212" s="1"/>
  <c r="P240" s="1"/>
  <c r="C161" i="4"/>
  <c r="C175" s="1"/>
  <c r="C203" s="1"/>
  <c r="G161"/>
  <c r="G165" s="1"/>
  <c r="G193" s="1"/>
  <c r="K161"/>
  <c r="K175" s="1"/>
  <c r="K203" s="1"/>
  <c r="O161"/>
  <c r="O175" s="1"/>
  <c r="O203" s="1"/>
  <c r="S161"/>
  <c r="S165" s="1"/>
  <c r="S193" s="1"/>
  <c r="W161"/>
  <c r="W177" s="1"/>
  <c r="W205" s="1"/>
  <c r="AA161"/>
  <c r="AA177" s="1"/>
  <c r="AA205" s="1"/>
  <c r="AE161"/>
  <c r="AE177" s="1"/>
  <c r="AE205" s="1"/>
  <c r="D161"/>
  <c r="D178" s="1"/>
  <c r="D206" s="1"/>
  <c r="H161"/>
  <c r="H164" s="1"/>
  <c r="H192" s="1"/>
  <c r="L161"/>
  <c r="L175" s="1"/>
  <c r="L203" s="1"/>
  <c r="P161"/>
  <c r="P178" s="1"/>
  <c r="P206" s="1"/>
  <c r="X161"/>
  <c r="X164" s="1"/>
  <c r="X192" s="1"/>
  <c r="AB161"/>
  <c r="AB176" s="1"/>
  <c r="AB204" s="1"/>
  <c r="AF161"/>
  <c r="AF164" s="1"/>
  <c r="AF192" s="1"/>
  <c r="B161"/>
  <c r="B176" s="1"/>
  <c r="B204" s="1"/>
  <c r="E161"/>
  <c r="E177" s="1"/>
  <c r="E205" s="1"/>
  <c r="I161"/>
  <c r="I177" s="1"/>
  <c r="I205" s="1"/>
  <c r="M161"/>
  <c r="M176" s="1"/>
  <c r="M204" s="1"/>
  <c r="Q161"/>
  <c r="Q177" s="1"/>
  <c r="Q205" s="1"/>
  <c r="U161"/>
  <c r="U175" s="1"/>
  <c r="U203" s="1"/>
  <c r="Y161"/>
  <c r="Y175" s="1"/>
  <c r="Y203" s="1"/>
  <c r="AC161"/>
  <c r="AC175" s="1"/>
  <c r="AC203" s="1"/>
  <c r="AG161"/>
  <c r="AG165" s="1"/>
  <c r="AG193" s="1"/>
  <c r="F161"/>
  <c r="F176" s="1"/>
  <c r="F204" s="1"/>
  <c r="J161"/>
  <c r="J164" s="1"/>
  <c r="J192" s="1"/>
  <c r="N161"/>
  <c r="N164" s="1"/>
  <c r="N192" s="1"/>
  <c r="R161"/>
  <c r="R177" s="1"/>
  <c r="R205" s="1"/>
  <c r="V161"/>
  <c r="V177" s="1"/>
  <c r="V205" s="1"/>
  <c r="Z161"/>
  <c r="Z164" s="1"/>
  <c r="Z192" s="1"/>
  <c r="AD161"/>
  <c r="AD178" s="1"/>
  <c r="AD206" s="1"/>
  <c r="F173" i="3"/>
  <c r="F199" s="1"/>
  <c r="N173"/>
  <c r="N199" s="1"/>
  <c r="V164"/>
  <c r="V190" s="1"/>
  <c r="Z176"/>
  <c r="Z202" s="1"/>
  <c r="AD164"/>
  <c r="AD190" s="1"/>
  <c r="B173"/>
  <c r="B199" s="1"/>
  <c r="E176"/>
  <c r="E202" s="1"/>
  <c r="I174"/>
  <c r="I200" s="1"/>
  <c r="M165"/>
  <c r="M191" s="1"/>
  <c r="Q174"/>
  <c r="Q200" s="1"/>
  <c r="U165"/>
  <c r="U191" s="1"/>
  <c r="U175"/>
  <c r="U201" s="1"/>
  <c r="Y174"/>
  <c r="Y200" s="1"/>
  <c r="AC165"/>
  <c r="AC191" s="1"/>
  <c r="AG174"/>
  <c r="AG200" s="1"/>
  <c r="L173"/>
  <c r="L199" s="1"/>
  <c r="AB173"/>
  <c r="AB199" s="1"/>
  <c r="C174"/>
  <c r="C200" s="1"/>
  <c r="K174"/>
  <c r="K200" s="1"/>
  <c r="O175"/>
  <c r="O201" s="1"/>
  <c r="S174"/>
  <c r="S200" s="1"/>
  <c r="AA174"/>
  <c r="AA200" s="1"/>
  <c r="D175"/>
  <c r="D201" s="1"/>
  <c r="B216" i="5"/>
  <c r="B244" s="1"/>
  <c r="B177" i="3"/>
  <c r="B203" s="1"/>
  <c r="B222" i="5"/>
  <c r="B250" s="1"/>
  <c r="Y180" i="4"/>
  <c r="Y208" s="1"/>
  <c r="B223" i="5"/>
  <c r="B251" s="1"/>
  <c r="B214"/>
  <c r="B242" s="1"/>
  <c r="B213"/>
  <c r="B241" s="1"/>
  <c r="B221"/>
  <c r="B249" s="1"/>
  <c r="B218"/>
  <c r="B246" s="1"/>
  <c r="B224"/>
  <c r="B252" s="1"/>
  <c r="B217"/>
  <c r="B245" s="1"/>
  <c r="B220"/>
  <c r="B248" s="1"/>
  <c r="B226"/>
  <c r="B254" s="1"/>
  <c r="B225"/>
  <c r="B253" s="1"/>
  <c r="B219"/>
  <c r="B247" s="1"/>
  <c r="B232"/>
  <c r="AJ207"/>
  <c r="AH207"/>
  <c r="B231"/>
  <c r="H210"/>
  <c r="H238" s="1"/>
  <c r="H163" i="4"/>
  <c r="H191" s="1"/>
  <c r="AJ160"/>
  <c r="AH160"/>
  <c r="J1" i="3"/>
  <c r="I162"/>
  <c r="I189" s="1"/>
  <c r="I1" i="5"/>
  <c r="I1" i="4"/>
  <c r="AH159" i="3"/>
  <c r="AJ159"/>
  <c r="B184"/>
  <c r="AF184"/>
  <c r="AF210" s="1"/>
  <c r="V186"/>
  <c r="V212" s="1"/>
  <c r="Z185"/>
  <c r="Z211" s="1"/>
  <c r="X184"/>
  <c r="X210" s="1"/>
  <c r="AD186"/>
  <c r="AD212" s="1"/>
  <c r="AB184"/>
  <c r="AB210" s="1"/>
  <c r="O186"/>
  <c r="O212" s="1"/>
  <c r="Q185"/>
  <c r="Q211" s="1"/>
  <c r="C183"/>
  <c r="C209" s="1"/>
  <c r="E185"/>
  <c r="E211" s="1"/>
  <c r="G186"/>
  <c r="G212" s="1"/>
  <c r="I185"/>
  <c r="I211" s="1"/>
  <c r="K183"/>
  <c r="K209" s="1"/>
  <c r="M185"/>
  <c r="M211" s="1"/>
  <c r="AE186"/>
  <c r="AE212" s="1"/>
  <c r="AG185"/>
  <c r="AG211" s="1"/>
  <c r="S183"/>
  <c r="S209" s="1"/>
  <c r="U185"/>
  <c r="U211" s="1"/>
  <c r="W186"/>
  <c r="W212" s="1"/>
  <c r="Y185"/>
  <c r="Y211" s="1"/>
  <c r="AA183"/>
  <c r="AA209" s="1"/>
  <c r="AC185"/>
  <c r="AC211" s="1"/>
  <c r="R185"/>
  <c r="R211" s="1"/>
  <c r="P184"/>
  <c r="P210" s="1"/>
  <c r="F186"/>
  <c r="F212" s="1"/>
  <c r="D184"/>
  <c r="D210" s="1"/>
  <c r="H184"/>
  <c r="H210" s="1"/>
  <c r="N186"/>
  <c r="N212" s="1"/>
  <c r="L184"/>
  <c r="L210" s="1"/>
  <c r="AC111" i="18"/>
  <c r="AU105" i="16"/>
  <c r="W110"/>
  <c r="AX108" i="18"/>
  <c r="AX101"/>
  <c r="AL111"/>
  <c r="AU111"/>
  <c r="AC110" i="16"/>
  <c r="AX105" i="18"/>
  <c r="AX110"/>
  <c r="AO111"/>
  <c r="AI110" i="16"/>
  <c r="AX106" i="18"/>
  <c r="Q111"/>
  <c r="AX111"/>
  <c r="AU104" i="16"/>
  <c r="AX103" i="18"/>
  <c r="AU106"/>
  <c r="AU102"/>
  <c r="T109" i="16"/>
  <c r="AL108"/>
  <c r="AR105"/>
  <c r="AL100"/>
  <c r="AO99" i="18"/>
  <c r="T108"/>
  <c r="AI101" i="16"/>
  <c r="W107" i="18"/>
  <c r="AL101"/>
  <c r="Z106"/>
  <c r="W106"/>
  <c r="T105"/>
  <c r="AC101" i="16"/>
  <c r="AI105" i="18"/>
  <c r="Z100"/>
  <c r="W100" i="16"/>
  <c r="W99" i="18"/>
  <c r="W101"/>
  <c r="T101" i="16"/>
  <c r="Q108"/>
  <c r="AL109"/>
  <c r="AO109"/>
  <c r="AR108"/>
  <c r="AO101" i="18"/>
  <c r="Z108"/>
  <c r="AC104"/>
  <c r="AC100"/>
  <c r="Z101"/>
  <c r="Z102"/>
  <c r="Z99"/>
  <c r="W100"/>
  <c r="T99"/>
  <c r="T100"/>
  <c r="AR99"/>
  <c r="Q110"/>
  <c r="Q107" i="16"/>
  <c r="AO104" i="18"/>
  <c r="AC108"/>
  <c r="AL104" i="16"/>
  <c r="AC107"/>
  <c r="AI102" i="18"/>
  <c r="AI101"/>
  <c r="T106"/>
  <c r="AC102"/>
  <c r="Z99" i="16"/>
  <c r="W104" i="18"/>
  <c r="AC103"/>
  <c r="Z103"/>
  <c r="Q109"/>
  <c r="Q105" i="16"/>
  <c r="Q99"/>
  <c r="Q101"/>
  <c r="AU105" i="18"/>
  <c r="AU101"/>
  <c r="Z109" i="16"/>
  <c r="AR102"/>
  <c r="AC110" i="18"/>
  <c r="Z110"/>
  <c r="AR102"/>
  <c r="AI109"/>
  <c r="T109"/>
  <c r="AC108" i="16"/>
  <c r="AR103" i="18"/>
  <c r="AC109"/>
  <c r="AO103" i="16"/>
  <c r="AO106" i="18"/>
  <c r="AO108"/>
  <c r="Z106" i="16"/>
  <c r="AI100"/>
  <c r="AL102" i="18"/>
  <c r="AI104" i="16"/>
  <c r="Z107" i="18"/>
  <c r="AL103"/>
  <c r="AI104"/>
  <c r="AC106"/>
  <c r="AC105"/>
  <c r="Z104"/>
  <c r="T102" i="16"/>
  <c r="W103" i="18"/>
  <c r="AO99" i="16"/>
  <c r="Q103" i="18"/>
  <c r="Q101"/>
  <c r="Q100"/>
  <c r="AZ34" i="16"/>
  <c r="AZ39"/>
  <c r="AZ43"/>
  <c r="BC36" i="18"/>
  <c r="BC40"/>
  <c r="BC44"/>
  <c r="AZ36" i="16"/>
  <c r="AZ40"/>
  <c r="AZ44"/>
  <c r="BC37" i="18"/>
  <c r="BC41"/>
  <c r="BC45"/>
  <c r="AY37" i="16"/>
  <c r="AY41"/>
  <c r="BB35" i="18"/>
  <c r="BB38"/>
  <c r="BB42"/>
  <c r="AY35" i="16"/>
  <c r="AY38"/>
  <c r="AY42"/>
  <c r="BB34" i="18"/>
  <c r="BB39"/>
  <c r="BB43"/>
  <c r="CQ56"/>
  <c r="CQ54"/>
  <c r="CQ46"/>
  <c r="CQ38"/>
  <c r="CQ53"/>
  <c r="CQ45"/>
  <c r="CQ37"/>
  <c r="CN53" i="16"/>
  <c r="CN45"/>
  <c r="CN37"/>
  <c r="CN54"/>
  <c r="CN46"/>
  <c r="CN38"/>
  <c r="CQ58" i="18"/>
  <c r="CQ52"/>
  <c r="CQ44"/>
  <c r="CQ36"/>
  <c r="CQ47"/>
  <c r="CQ39"/>
  <c r="CN55" i="16"/>
  <c r="CN47"/>
  <c r="CN39"/>
  <c r="CN56"/>
  <c r="CN48"/>
  <c r="CN40"/>
  <c r="T111" i="18"/>
  <c r="BA111"/>
  <c r="AU101" i="16"/>
  <c r="AL110"/>
  <c r="AX104" i="18"/>
  <c r="AU109" i="16"/>
  <c r="W111" i="18"/>
  <c r="AU106" i="16"/>
  <c r="AX109" i="18"/>
  <c r="AX100"/>
  <c r="AR111"/>
  <c r="AU100" i="16"/>
  <c r="AX110"/>
  <c r="AX102" i="18"/>
  <c r="Z111"/>
  <c r="AI111"/>
  <c r="AX107"/>
  <c r="AX99"/>
  <c r="W109" i="16"/>
  <c r="AR107"/>
  <c r="AR101"/>
  <c r="AI110" i="18"/>
  <c r="T110"/>
  <c r="AR100"/>
  <c r="AU109"/>
  <c r="AR105"/>
  <c r="Z109"/>
  <c r="AO103"/>
  <c r="AI108"/>
  <c r="AL103" i="16"/>
  <c r="AU108" i="18"/>
  <c r="AU104"/>
  <c r="AU99"/>
  <c r="AR99" i="16"/>
  <c r="W110" i="18"/>
  <c r="AU110"/>
  <c r="AR110"/>
  <c r="AR104"/>
  <c r="W109"/>
  <c r="AO108" i="16"/>
  <c r="AO109" i="18"/>
  <c r="AR108"/>
  <c r="AO100"/>
  <c r="AL108"/>
  <c r="AL107"/>
  <c r="AL105"/>
  <c r="AI105" i="16"/>
  <c r="AC102"/>
  <c r="Z103"/>
  <c r="T104" i="18"/>
  <c r="AC101"/>
  <c r="T103"/>
  <c r="Q106"/>
  <c r="Q105"/>
  <c r="Q104"/>
  <c r="Q102" i="16"/>
  <c r="Q99" i="18"/>
  <c r="AU107"/>
  <c r="AU103"/>
  <c r="AU100"/>
  <c r="AO110"/>
  <c r="AL110"/>
  <c r="AR106"/>
  <c r="AR109"/>
  <c r="Z108" i="16"/>
  <c r="AO107"/>
  <c r="AR107" i="18"/>
  <c r="AL109"/>
  <c r="AO102"/>
  <c r="AI107"/>
  <c r="AO107"/>
  <c r="AL99"/>
  <c r="AI99"/>
  <c r="T105" i="16"/>
  <c r="AI103" i="18"/>
  <c r="AI106"/>
  <c r="AC105" i="16"/>
  <c r="W105" i="18"/>
  <c r="Q107"/>
  <c r="Q102"/>
  <c r="T107"/>
  <c r="AL104"/>
  <c r="AC106" i="16"/>
  <c r="AL106" i="18"/>
  <c r="AC107"/>
  <c r="AL100"/>
  <c r="Z105"/>
  <c r="W102"/>
  <c r="T101"/>
  <c r="AO105"/>
  <c r="W108"/>
  <c r="AI100"/>
  <c r="AC99" i="16"/>
  <c r="T104"/>
  <c r="AC99" i="18"/>
  <c r="Z102" i="16"/>
  <c r="AC103"/>
  <c r="T102" i="18"/>
  <c r="Q108"/>
  <c r="Q106" i="16"/>
  <c r="AZ37"/>
  <c r="AX68" s="1"/>
  <c r="AZ41"/>
  <c r="AY72" s="1"/>
  <c r="BC35" i="18"/>
  <c r="BA66" s="1"/>
  <c r="BC38"/>
  <c r="BC69" s="1"/>
  <c r="BC42"/>
  <c r="BC73" s="1"/>
  <c r="AZ35" i="16"/>
  <c r="AX66" s="1"/>
  <c r="AZ38"/>
  <c r="AY69" s="1"/>
  <c r="AZ42"/>
  <c r="AX73" s="1"/>
  <c r="BC34" i="18"/>
  <c r="BC65" s="1"/>
  <c r="BC39"/>
  <c r="BA70" s="1"/>
  <c r="BC43"/>
  <c r="BA74" s="1"/>
  <c r="AY34" i="16"/>
  <c r="AY39"/>
  <c r="AY43"/>
  <c r="BB36" i="18"/>
  <c r="BB40"/>
  <c r="BB44"/>
  <c r="AY36" i="16"/>
  <c r="AY40"/>
  <c r="AY44"/>
  <c r="BB37" i="18"/>
  <c r="BB41"/>
  <c r="BB45"/>
  <c r="CQ57"/>
  <c r="CQ50"/>
  <c r="CQ42"/>
  <c r="CQ34"/>
  <c r="CQ49"/>
  <c r="CQ41"/>
  <c r="CN57" i="16"/>
  <c r="CN49"/>
  <c r="CN41"/>
  <c r="CN58"/>
  <c r="CN50"/>
  <c r="CN42"/>
  <c r="CN34"/>
  <c r="CQ55" i="18"/>
  <c r="CQ48"/>
  <c r="CQ40"/>
  <c r="CQ51"/>
  <c r="CQ43"/>
  <c r="CQ35"/>
  <c r="CN51" i="16"/>
  <c r="CN43"/>
  <c r="CN35"/>
  <c r="CN52"/>
  <c r="CN44"/>
  <c r="CN36"/>
  <c r="AX65"/>
  <c r="AZ68"/>
  <c r="AY68"/>
  <c r="AX102" s="1"/>
  <c r="AY70"/>
  <c r="AZ72"/>
  <c r="AX72"/>
  <c r="AX106" s="1"/>
  <c r="AX74"/>
  <c r="BB66" i="18"/>
  <c r="BC66"/>
  <c r="BC67"/>
  <c r="BB69"/>
  <c r="BA69"/>
  <c r="BC71"/>
  <c r="BB73"/>
  <c r="BA73"/>
  <c r="BC75"/>
  <c r="AY66" i="16"/>
  <c r="AZ66"/>
  <c r="AX67"/>
  <c r="AX69"/>
  <c r="AZ69"/>
  <c r="AX71"/>
  <c r="AZ73"/>
  <c r="AY73"/>
  <c r="AX107" s="1"/>
  <c r="AX75"/>
  <c r="BB65" i="18"/>
  <c r="BA65"/>
  <c r="BA68"/>
  <c r="BB70"/>
  <c r="BC70"/>
  <c r="BA72"/>
  <c r="BB74"/>
  <c r="BC74"/>
  <c r="BA76"/>
  <c r="AY65" i="16"/>
  <c r="AZ65"/>
  <c r="AX99" s="1"/>
  <c r="AX70"/>
  <c r="AZ70"/>
  <c r="AX104" s="1"/>
  <c r="AY74"/>
  <c r="AZ74"/>
  <c r="AX108" s="1"/>
  <c r="BA67" i="18"/>
  <c r="BB67"/>
  <c r="BA71"/>
  <c r="BB71"/>
  <c r="BA75"/>
  <c r="BB75"/>
  <c r="AY67" i="16"/>
  <c r="AZ67"/>
  <c r="AX101" s="1"/>
  <c r="AY71"/>
  <c r="AZ71"/>
  <c r="AX105" s="1"/>
  <c r="AZ75"/>
  <c r="AY75"/>
  <c r="BC68" i="18"/>
  <c r="BB68"/>
  <c r="BC72"/>
  <c r="BB72"/>
  <c r="BC76"/>
  <c r="BB76"/>
  <c r="G178" i="4" l="1"/>
  <c r="G206" s="1"/>
  <c r="G175"/>
  <c r="G203" s="1"/>
  <c r="BA142" i="18"/>
  <c r="BA140"/>
  <c r="BA138"/>
  <c r="BA136"/>
  <c r="BA134"/>
  <c r="BA131"/>
  <c r="AX141" i="16"/>
  <c r="AX139"/>
  <c r="AX137"/>
  <c r="AX135"/>
  <c r="AX133"/>
  <c r="AX132"/>
  <c r="BA141" i="18"/>
  <c r="BA139"/>
  <c r="BA137"/>
  <c r="BA135"/>
  <c r="BA133"/>
  <c r="BA132"/>
  <c r="AX140" i="16"/>
  <c r="AX138"/>
  <c r="AX136"/>
  <c r="AX134"/>
  <c r="AX131"/>
  <c r="A81"/>
  <c r="A183"/>
  <c r="A50"/>
  <c r="A147"/>
  <c r="A115"/>
  <c r="A20"/>
  <c r="O83" i="5"/>
  <c r="P55"/>
  <c r="O56"/>
  <c r="CP3" i="18" s="1"/>
  <c r="O57" i="5"/>
  <c r="CP4" i="18" s="1"/>
  <c r="O58" i="5"/>
  <c r="CP5" i="18" s="1"/>
  <c r="O59" i="5"/>
  <c r="CP6" i="18" s="1"/>
  <c r="O60" i="5"/>
  <c r="CP7" i="18" s="1"/>
  <c r="O61" i="5"/>
  <c r="CP8" i="18" s="1"/>
  <c r="O62" i="5"/>
  <c r="CP9" i="18" s="1"/>
  <c r="O63" i="5"/>
  <c r="CP10" i="18" s="1"/>
  <c r="O64" i="5"/>
  <c r="CP11" i="18" s="1"/>
  <c r="O65" i="5"/>
  <c r="CP12" i="18" s="1"/>
  <c r="O66" i="5"/>
  <c r="CP13" i="18" s="1"/>
  <c r="O67" i="5"/>
  <c r="CP14" i="18" s="1"/>
  <c r="O68" i="5"/>
  <c r="CP15" i="18" s="1"/>
  <c r="N86" i="5"/>
  <c r="CO5" i="16" s="1"/>
  <c r="N85" i="5"/>
  <c r="CO4" i="16" s="1"/>
  <c r="N84" i="5"/>
  <c r="CO3" i="16" s="1"/>
  <c r="N87" i="5"/>
  <c r="CO6" i="16" s="1"/>
  <c r="N88" i="5"/>
  <c r="CO7" i="16" s="1"/>
  <c r="N89" i="5"/>
  <c r="CO8" i="16" s="1"/>
  <c r="N90" i="5"/>
  <c r="CO9" i="16" s="1"/>
  <c r="N91" i="5"/>
  <c r="CO10" i="16" s="1"/>
  <c r="N92" i="5"/>
  <c r="CO11" i="16" s="1"/>
  <c r="N93" i="5"/>
  <c r="CO12" i="16" s="1"/>
  <c r="N94" i="5"/>
  <c r="CO13" i="16" s="1"/>
  <c r="N95" i="5"/>
  <c r="CO14" i="16" s="1"/>
  <c r="A98" i="5"/>
  <c r="A71"/>
  <c r="O83" i="4"/>
  <c r="P55"/>
  <c r="O56"/>
  <c r="BJ3" i="18" s="1"/>
  <c r="O57" i="4"/>
  <c r="BJ4" i="18" s="1"/>
  <c r="O58" i="4"/>
  <c r="BJ5" i="18" s="1"/>
  <c r="O59" i="4"/>
  <c r="BJ6" i="18" s="1"/>
  <c r="O60" i="4"/>
  <c r="BJ7" i="18" s="1"/>
  <c r="O61" i="4"/>
  <c r="BJ8" i="18" s="1"/>
  <c r="O62" i="4"/>
  <c r="BJ9" i="18" s="1"/>
  <c r="O63" i="4"/>
  <c r="BJ10" i="18" s="1"/>
  <c r="O64" i="4"/>
  <c r="BJ11" i="18" s="1"/>
  <c r="O65" i="4"/>
  <c r="BJ12" i="18" s="1"/>
  <c r="O66" i="4"/>
  <c r="BJ13" i="18" s="1"/>
  <c r="O67" i="4"/>
  <c r="BJ14" i="18" s="1"/>
  <c r="O68" i="4"/>
  <c r="BJ15" i="18" s="1"/>
  <c r="N86" i="4"/>
  <c r="BI5" i="16" s="1"/>
  <c r="N85" i="4"/>
  <c r="BI4" i="16" s="1"/>
  <c r="N84" i="4"/>
  <c r="BI3" i="16" s="1"/>
  <c r="N87" i="4"/>
  <c r="BI6" i="16" s="1"/>
  <c r="N88" i="4"/>
  <c r="BI7" i="16" s="1"/>
  <c r="N89" i="4"/>
  <c r="BI8" i="16" s="1"/>
  <c r="N90" i="4"/>
  <c r="BI9" i="16" s="1"/>
  <c r="N91" i="4"/>
  <c r="BI10" i="16" s="1"/>
  <c r="N92" i="4"/>
  <c r="BI11" i="16" s="1"/>
  <c r="N93" i="4"/>
  <c r="BI12" i="16" s="1"/>
  <c r="N94" i="4"/>
  <c r="BI13" i="16" s="1"/>
  <c r="N95" i="4"/>
  <c r="BI14" i="16" s="1"/>
  <c r="A98" i="4"/>
  <c r="A71"/>
  <c r="AC83" i="3"/>
  <c r="AC79"/>
  <c r="AR26" i="18" s="1"/>
  <c r="AC77" i="3"/>
  <c r="AR24" i="18" s="1"/>
  <c r="AC80" i="3"/>
  <c r="AR27" i="18" s="1"/>
  <c r="AC78" i="3"/>
  <c r="AR25" i="18" s="1"/>
  <c r="AC75" i="3"/>
  <c r="AR22" i="18" s="1"/>
  <c r="AC73" i="3"/>
  <c r="AR20" i="18" s="1"/>
  <c r="AC71" i="3"/>
  <c r="AR18" i="18" s="1"/>
  <c r="AC69" i="3"/>
  <c r="AR16" i="18" s="1"/>
  <c r="AC67" i="3"/>
  <c r="AR14" i="18" s="1"/>
  <c r="AC65" i="3"/>
  <c r="AR12" i="18" s="1"/>
  <c r="AC63" i="3"/>
  <c r="AR10" i="18" s="1"/>
  <c r="AC61" i="3"/>
  <c r="AR8" i="18" s="1"/>
  <c r="AC59" i="3"/>
  <c r="AR6" i="18" s="1"/>
  <c r="AC57" i="3"/>
  <c r="AR4" i="18" s="1"/>
  <c r="AC76" i="3"/>
  <c r="AR23" i="18" s="1"/>
  <c r="AC74" i="3"/>
  <c r="AR21" i="18" s="1"/>
  <c r="AC72" i="3"/>
  <c r="AR19" i="18" s="1"/>
  <c r="AC70" i="3"/>
  <c r="AR17" i="18" s="1"/>
  <c r="AC68" i="3"/>
  <c r="AR15" i="18" s="1"/>
  <c r="AC66" i="3"/>
  <c r="AR13" i="18" s="1"/>
  <c r="AC64" i="3"/>
  <c r="AR11" i="18" s="1"/>
  <c r="AC62" i="3"/>
  <c r="AR9" i="18" s="1"/>
  <c r="AC60" i="3"/>
  <c r="AR7" i="18" s="1"/>
  <c r="AC58" i="3"/>
  <c r="AR5" i="18" s="1"/>
  <c r="AC56" i="3"/>
  <c r="AR3" i="18" s="1"/>
  <c r="AD55" i="3"/>
  <c r="AB108"/>
  <c r="AQ27" i="16" s="1"/>
  <c r="AB106" i="3"/>
  <c r="AQ25" i="16" s="1"/>
  <c r="AB104" i="3"/>
  <c r="AQ23" i="16" s="1"/>
  <c r="AB102" i="3"/>
  <c r="AQ21" i="16" s="1"/>
  <c r="AB100" i="3"/>
  <c r="AQ19" i="16" s="1"/>
  <c r="AB98" i="3"/>
  <c r="AQ17" i="16" s="1"/>
  <c r="AB96" i="3"/>
  <c r="AQ15" i="16" s="1"/>
  <c r="AB94" i="3"/>
  <c r="AQ13" i="16" s="1"/>
  <c r="AB92" i="3"/>
  <c r="AQ11" i="16" s="1"/>
  <c r="AB90" i="3"/>
  <c r="AQ9" i="16" s="1"/>
  <c r="AB88" i="3"/>
  <c r="AQ7" i="16" s="1"/>
  <c r="AB86" i="3"/>
  <c r="AQ5" i="16" s="1"/>
  <c r="AB84" i="3"/>
  <c r="AQ3" i="16" s="1"/>
  <c r="AB107" i="3"/>
  <c r="AQ26" i="16" s="1"/>
  <c r="AB105" i="3"/>
  <c r="AQ24" i="16" s="1"/>
  <c r="AB103" i="3"/>
  <c r="AQ22" i="16" s="1"/>
  <c r="AB101" i="3"/>
  <c r="AQ20" i="16" s="1"/>
  <c r="AB99" i="3"/>
  <c r="AQ18" i="16" s="1"/>
  <c r="AB97" i="3"/>
  <c r="AQ16" i="16" s="1"/>
  <c r="AB95" i="3"/>
  <c r="AQ14" i="16" s="1"/>
  <c r="AB93" i="3"/>
  <c r="AQ12" i="16" s="1"/>
  <c r="AB91" i="3"/>
  <c r="AQ10" i="16" s="1"/>
  <c r="AB89" i="3"/>
  <c r="AQ8" i="16" s="1"/>
  <c r="AB87" i="3"/>
  <c r="AQ6" i="16" s="1"/>
  <c r="AB85" i="3"/>
  <c r="AQ4" i="16" s="1"/>
  <c r="A38" i="5"/>
  <c r="A38" i="4"/>
  <c r="A39" i="3"/>
  <c r="N215" i="5"/>
  <c r="N243" s="1"/>
  <c r="Q175" i="4"/>
  <c r="Q203" s="1"/>
  <c r="Z186"/>
  <c r="Z214" s="1"/>
  <c r="W179"/>
  <c r="W207" s="1"/>
  <c r="H179"/>
  <c r="H207" s="1"/>
  <c r="D213" i="5"/>
  <c r="D241" s="1"/>
  <c r="B179" i="4"/>
  <c r="B207" s="1"/>
  <c r="H176"/>
  <c r="H204" s="1"/>
  <c r="E175"/>
  <c r="E203" s="1"/>
  <c r="C180"/>
  <c r="C208" s="1"/>
  <c r="AB183"/>
  <c r="AB211" s="1"/>
  <c r="G180"/>
  <c r="G208" s="1"/>
  <c r="P213" i="5"/>
  <c r="P241" s="1"/>
  <c r="AD213"/>
  <c r="AD241" s="1"/>
  <c r="B178" i="4"/>
  <c r="B206" s="1"/>
  <c r="H175"/>
  <c r="H203" s="1"/>
  <c r="K185"/>
  <c r="K213" s="1"/>
  <c r="E213" i="5"/>
  <c r="E241" s="1"/>
  <c r="O188" i="4"/>
  <c r="O216" s="1"/>
  <c r="W188"/>
  <c r="W216" s="1"/>
  <c r="G186"/>
  <c r="G214" s="1"/>
  <c r="Y179"/>
  <c r="Y207" s="1"/>
  <c r="AE180"/>
  <c r="AE208" s="1"/>
  <c r="Q213" i="5"/>
  <c r="Q241" s="1"/>
  <c r="C214"/>
  <c r="AG214"/>
  <c r="AG242" s="1"/>
  <c r="Z177" i="4"/>
  <c r="Z205" s="1"/>
  <c r="Q178"/>
  <c r="Q206" s="1"/>
  <c r="G176"/>
  <c r="G204" s="1"/>
  <c r="Y177"/>
  <c r="Y205" s="1"/>
  <c r="H180"/>
  <c r="H208" s="1"/>
  <c r="AA214" i="5"/>
  <c r="AA242" s="1"/>
  <c r="H178" i="4"/>
  <c r="H206" s="1"/>
  <c r="P180"/>
  <c r="P208" s="1"/>
  <c r="P175"/>
  <c r="P203" s="1"/>
  <c r="Y188"/>
  <c r="Y216" s="1"/>
  <c r="B187"/>
  <c r="Q179"/>
  <c r="Q207" s="1"/>
  <c r="AB175"/>
  <c r="AB203" s="1"/>
  <c r="B177"/>
  <c r="B205" s="1"/>
  <c r="Y178"/>
  <c r="Y206" s="1"/>
  <c r="AG179"/>
  <c r="AG207" s="1"/>
  <c r="J215" i="5"/>
  <c r="J243" s="1"/>
  <c r="AF176" i="4"/>
  <c r="AF204" s="1"/>
  <c r="K178"/>
  <c r="K206" s="1"/>
  <c r="AF184"/>
  <c r="AF212" s="1"/>
  <c r="S187"/>
  <c r="S215" s="1"/>
  <c r="K188"/>
  <c r="K216" s="1"/>
  <c r="AC186"/>
  <c r="AC214" s="1"/>
  <c r="M186"/>
  <c r="M214" s="1"/>
  <c r="AD180"/>
  <c r="AD208" s="1"/>
  <c r="C179"/>
  <c r="C207" s="1"/>
  <c r="AB216" i="5"/>
  <c r="AB244" s="1"/>
  <c r="K180" i="4"/>
  <c r="K208" s="1"/>
  <c r="AF180"/>
  <c r="AF208" s="1"/>
  <c r="U213" i="5"/>
  <c r="U241" s="1"/>
  <c r="H213"/>
  <c r="H241" s="1"/>
  <c r="AD177" i="4"/>
  <c r="AD205" s="1"/>
  <c r="AF175"/>
  <c r="AF203" s="1"/>
  <c r="M180"/>
  <c r="M208" s="1"/>
  <c r="M175"/>
  <c r="M203" s="1"/>
  <c r="AD179"/>
  <c r="AD207" s="1"/>
  <c r="L176"/>
  <c r="L204" s="1"/>
  <c r="S176"/>
  <c r="S204" s="1"/>
  <c r="F175"/>
  <c r="F203" s="1"/>
  <c r="Z178"/>
  <c r="Z206" s="1"/>
  <c r="Y176"/>
  <c r="Y204" s="1"/>
  <c r="AB179"/>
  <c r="AB207" s="1"/>
  <c r="AB177"/>
  <c r="AB205" s="1"/>
  <c r="AB178"/>
  <c r="AB206" s="1"/>
  <c r="Y213" i="5"/>
  <c r="Y241" s="1"/>
  <c r="W214"/>
  <c r="W242" s="1"/>
  <c r="P187" i="4"/>
  <c r="P215" s="1"/>
  <c r="P179"/>
  <c r="P207" s="1"/>
  <c r="P176"/>
  <c r="P204" s="1"/>
  <c r="P177"/>
  <c r="P205" s="1"/>
  <c r="O214" i="5"/>
  <c r="O242" s="1"/>
  <c r="I186" i="4"/>
  <c r="I214" s="1"/>
  <c r="I179"/>
  <c r="I207" s="1"/>
  <c r="I176"/>
  <c r="I204" s="1"/>
  <c r="F179"/>
  <c r="F207" s="1"/>
  <c r="D188"/>
  <c r="D216" s="1"/>
  <c r="D180"/>
  <c r="D208" s="1"/>
  <c r="D176"/>
  <c r="D204" s="1"/>
  <c r="C185"/>
  <c r="C213" s="1"/>
  <c r="B186"/>
  <c r="B180"/>
  <c r="B208" s="1"/>
  <c r="B175"/>
  <c r="B203" s="1"/>
  <c r="L179"/>
  <c r="L207" s="1"/>
  <c r="U180"/>
  <c r="U208" s="1"/>
  <c r="G214" i="5"/>
  <c r="G242" s="1"/>
  <c r="AF179" i="4"/>
  <c r="AF207" s="1"/>
  <c r="C177"/>
  <c r="C205" s="1"/>
  <c r="C178"/>
  <c r="C206" s="1"/>
  <c r="E178"/>
  <c r="E206" s="1"/>
  <c r="M178"/>
  <c r="M206" s="1"/>
  <c r="D175"/>
  <c r="D203" s="1"/>
  <c r="D179"/>
  <c r="D207" s="1"/>
  <c r="D177"/>
  <c r="D205" s="1"/>
  <c r="F180"/>
  <c r="F208" s="1"/>
  <c r="L177"/>
  <c r="L205" s="1"/>
  <c r="AF213" i="5"/>
  <c r="AF241" s="1"/>
  <c r="AE214"/>
  <c r="AE242" s="1"/>
  <c r="AE175" i="4"/>
  <c r="AE203" s="1"/>
  <c r="AE178"/>
  <c r="AE206" s="1"/>
  <c r="AE176"/>
  <c r="AE204" s="1"/>
  <c r="AB213" i="5"/>
  <c r="AB241" s="1"/>
  <c r="AA180" i="4"/>
  <c r="AA208" s="1"/>
  <c r="AA175"/>
  <c r="AA203" s="1"/>
  <c r="Z180"/>
  <c r="Z208" s="1"/>
  <c r="Z175"/>
  <c r="Z203" s="1"/>
  <c r="Z176"/>
  <c r="Z204" s="1"/>
  <c r="Z179"/>
  <c r="Z207" s="1"/>
  <c r="X213" i="5"/>
  <c r="X241" s="1"/>
  <c r="X180" i="4"/>
  <c r="X208" s="1"/>
  <c r="X175"/>
  <c r="X203" s="1"/>
  <c r="W180"/>
  <c r="W208" s="1"/>
  <c r="W178"/>
  <c r="W206" s="1"/>
  <c r="W176"/>
  <c r="W204" s="1"/>
  <c r="W172"/>
  <c r="W200" s="1"/>
  <c r="W175"/>
  <c r="W203" s="1"/>
  <c r="W168"/>
  <c r="W196" s="1"/>
  <c r="W164"/>
  <c r="W192" s="1"/>
  <c r="V186"/>
  <c r="V214" s="1"/>
  <c r="U188"/>
  <c r="U216" s="1"/>
  <c r="S214" i="5"/>
  <c r="S242" s="1"/>
  <c r="S172" i="4"/>
  <c r="S200" s="1"/>
  <c r="R215" i="5"/>
  <c r="R243" s="1"/>
  <c r="R179" i="4"/>
  <c r="R207" s="1"/>
  <c r="R185"/>
  <c r="R213" s="1"/>
  <c r="R180"/>
  <c r="R208" s="1"/>
  <c r="R178"/>
  <c r="R206" s="1"/>
  <c r="R175"/>
  <c r="R203" s="1"/>
  <c r="R176"/>
  <c r="R204" s="1"/>
  <c r="Q187"/>
  <c r="Q215" s="1"/>
  <c r="Q180"/>
  <c r="Q208" s="1"/>
  <c r="Q176"/>
  <c r="Q204" s="1"/>
  <c r="P167"/>
  <c r="P195" s="1"/>
  <c r="C172"/>
  <c r="C200" s="1"/>
  <c r="P171"/>
  <c r="P199" s="1"/>
  <c r="P174"/>
  <c r="P202" s="1"/>
  <c r="W171"/>
  <c r="W199" s="1"/>
  <c r="G172"/>
  <c r="G200" s="1"/>
  <c r="AE168"/>
  <c r="AE196" s="1"/>
  <c r="O177"/>
  <c r="O205" s="1"/>
  <c r="O179"/>
  <c r="O207" s="1"/>
  <c r="O176"/>
  <c r="O204" s="1"/>
  <c r="O174"/>
  <c r="O202" s="1"/>
  <c r="O170"/>
  <c r="O198" s="1"/>
  <c r="O166"/>
  <c r="O194" s="1"/>
  <c r="O173"/>
  <c r="O201" s="1"/>
  <c r="AA188"/>
  <c r="AA216" s="1"/>
  <c r="H188"/>
  <c r="H216" s="1"/>
  <c r="AD185"/>
  <c r="AD213" s="1"/>
  <c r="U186"/>
  <c r="U214" s="1"/>
  <c r="O186"/>
  <c r="O214" s="1"/>
  <c r="X187"/>
  <c r="X215" s="1"/>
  <c r="F186"/>
  <c r="F214" s="1"/>
  <c r="L188"/>
  <c r="L216" s="1"/>
  <c r="E186"/>
  <c r="E214" s="1"/>
  <c r="E180"/>
  <c r="E208" s="1"/>
  <c r="M179"/>
  <c r="M207" s="1"/>
  <c r="V180"/>
  <c r="V208" s="1"/>
  <c r="AC180"/>
  <c r="AC208" s="1"/>
  <c r="O180"/>
  <c r="O208" s="1"/>
  <c r="AC214" i="5"/>
  <c r="AC242" s="1"/>
  <c r="Z213"/>
  <c r="Z241" s="1"/>
  <c r="V215"/>
  <c r="V243" s="1"/>
  <c r="I213"/>
  <c r="I241" s="1"/>
  <c r="F215"/>
  <c r="F243" s="1"/>
  <c r="M177" i="4"/>
  <c r="M205" s="1"/>
  <c r="X179"/>
  <c r="X207" s="1"/>
  <c r="U179"/>
  <c r="U207" s="1"/>
  <c r="AD176"/>
  <c r="AD204" s="1"/>
  <c r="X178"/>
  <c r="X206" s="1"/>
  <c r="V176"/>
  <c r="V204" s="1"/>
  <c r="AF178"/>
  <c r="AF206" s="1"/>
  <c r="V179"/>
  <c r="V207" s="1"/>
  <c r="X176"/>
  <c r="X204" s="1"/>
  <c r="V178"/>
  <c r="V206" s="1"/>
  <c r="V175"/>
  <c r="V203" s="1"/>
  <c r="AC178"/>
  <c r="AC206" s="1"/>
  <c r="U178"/>
  <c r="U206" s="1"/>
  <c r="AD175"/>
  <c r="AD203" s="1"/>
  <c r="L178"/>
  <c r="L206" s="1"/>
  <c r="AC176"/>
  <c r="AC204" s="1"/>
  <c r="U176"/>
  <c r="U204" s="1"/>
  <c r="X177"/>
  <c r="X205" s="1"/>
  <c r="AF177"/>
  <c r="AF205" s="1"/>
  <c r="U177"/>
  <c r="U205" s="1"/>
  <c r="F177"/>
  <c r="F205" s="1"/>
  <c r="AA178"/>
  <c r="AA206" s="1"/>
  <c r="F178"/>
  <c r="F206" s="1"/>
  <c r="AC177"/>
  <c r="AC205" s="1"/>
  <c r="AA176"/>
  <c r="AA204" s="1"/>
  <c r="C176"/>
  <c r="C204" s="1"/>
  <c r="E176"/>
  <c r="E204" s="1"/>
  <c r="H177"/>
  <c r="H205" s="1"/>
  <c r="O178"/>
  <c r="O206" s="1"/>
  <c r="E179"/>
  <c r="E207" s="1"/>
  <c r="L180"/>
  <c r="L208" s="1"/>
  <c r="H171"/>
  <c r="H199" s="1"/>
  <c r="O172"/>
  <c r="O200" s="1"/>
  <c r="O168"/>
  <c r="O196" s="1"/>
  <c r="O164"/>
  <c r="O192" s="1"/>
  <c r="O169"/>
  <c r="O197" s="1"/>
  <c r="C168"/>
  <c r="C196" s="1"/>
  <c r="D169"/>
  <c r="D197" s="1"/>
  <c r="H173"/>
  <c r="H201" s="1"/>
  <c r="H169"/>
  <c r="H197" s="1"/>
  <c r="D173"/>
  <c r="D201" s="1"/>
  <c r="D165"/>
  <c r="D193" s="1"/>
  <c r="AE172"/>
  <c r="AE200" s="1"/>
  <c r="AE164"/>
  <c r="AE192" s="1"/>
  <c r="AA170"/>
  <c r="AA198" s="1"/>
  <c r="S168"/>
  <c r="S196" s="1"/>
  <c r="V211" i="5"/>
  <c r="V239" s="1"/>
  <c r="E172" i="4"/>
  <c r="E200" s="1"/>
  <c r="AB171"/>
  <c r="AB199" s="1"/>
  <c r="D170"/>
  <c r="D198" s="1"/>
  <c r="O176" i="3"/>
  <c r="O202" s="1"/>
  <c r="U176"/>
  <c r="U202" s="1"/>
  <c r="E168" i="4"/>
  <c r="E196" s="1"/>
  <c r="B173"/>
  <c r="B201" s="1"/>
  <c r="AB167"/>
  <c r="AB195" s="1"/>
  <c r="S164"/>
  <c r="S192" s="1"/>
  <c r="AC175" i="3"/>
  <c r="AC201" s="1"/>
  <c r="AE171" i="4"/>
  <c r="AE199" s="1"/>
  <c r="O171"/>
  <c r="O199" s="1"/>
  <c r="O167"/>
  <c r="O195" s="1"/>
  <c r="G168"/>
  <c r="G196" s="1"/>
  <c r="C164"/>
  <c r="C192" s="1"/>
  <c r="AC212" i="5"/>
  <c r="AC240" s="1"/>
  <c r="E212"/>
  <c r="E240" s="1"/>
  <c r="R167" i="4"/>
  <c r="R195" s="1"/>
  <c r="B171"/>
  <c r="B199" s="1"/>
  <c r="AF173"/>
  <c r="AF201" s="1"/>
  <c r="Q172"/>
  <c r="Q200" s="1"/>
  <c r="E171"/>
  <c r="E199" s="1"/>
  <c r="B167"/>
  <c r="B195" s="1"/>
  <c r="AB211" i="5"/>
  <c r="AB239" s="1"/>
  <c r="N175" i="4"/>
  <c r="N203" s="1"/>
  <c r="M214" i="5"/>
  <c r="M242" s="1"/>
  <c r="M212"/>
  <c r="M240" s="1"/>
  <c r="X176" i="3"/>
  <c r="X202" s="1"/>
  <c r="Z175"/>
  <c r="Z201" s="1"/>
  <c r="V174"/>
  <c r="V200" s="1"/>
  <c r="Y168" i="4"/>
  <c r="Y196" s="1"/>
  <c r="Q164"/>
  <c r="Q192" s="1"/>
  <c r="M168"/>
  <c r="M196" s="1"/>
  <c r="AF167"/>
  <c r="AF195" s="1"/>
  <c r="C171"/>
  <c r="C199" s="1"/>
  <c r="L214" i="5"/>
  <c r="L242" s="1"/>
  <c r="L211"/>
  <c r="L239" s="1"/>
  <c r="K214"/>
  <c r="K242" s="1"/>
  <c r="K212"/>
  <c r="K240" s="1"/>
  <c r="K174" i="4"/>
  <c r="K202" s="1"/>
  <c r="K166"/>
  <c r="K194" s="1"/>
  <c r="K182"/>
  <c r="K210" s="1"/>
  <c r="K177"/>
  <c r="K205" s="1"/>
  <c r="K179"/>
  <c r="K207" s="1"/>
  <c r="K176"/>
  <c r="K204" s="1"/>
  <c r="K170"/>
  <c r="K198" s="1"/>
  <c r="K173"/>
  <c r="K201" s="1"/>
  <c r="K169"/>
  <c r="K197" s="1"/>
  <c r="J211" i="5"/>
  <c r="J239" s="1"/>
  <c r="J185" i="4"/>
  <c r="J213" s="1"/>
  <c r="J178"/>
  <c r="J206" s="1"/>
  <c r="J177"/>
  <c r="J205" s="1"/>
  <c r="J185" i="3"/>
  <c r="J211" s="1"/>
  <c r="J174"/>
  <c r="J200" s="1"/>
  <c r="I212" i="5"/>
  <c r="I240" s="1"/>
  <c r="I175" i="4"/>
  <c r="I203" s="1"/>
  <c r="I180"/>
  <c r="I208" s="1"/>
  <c r="I178"/>
  <c r="I206" s="1"/>
  <c r="I172"/>
  <c r="I200" s="1"/>
  <c r="I164"/>
  <c r="I192" s="1"/>
  <c r="H167"/>
  <c r="H195" s="1"/>
  <c r="H165"/>
  <c r="H193" s="1"/>
  <c r="H174"/>
  <c r="H202" s="1"/>
  <c r="AG212" i="5"/>
  <c r="AG240" s="1"/>
  <c r="W173" i="3"/>
  <c r="W199" s="1"/>
  <c r="O173"/>
  <c r="O199" s="1"/>
  <c r="O174"/>
  <c r="O200" s="1"/>
  <c r="K175"/>
  <c r="K201" s="1"/>
  <c r="AF176"/>
  <c r="AF202" s="1"/>
  <c r="P176"/>
  <c r="P202" s="1"/>
  <c r="Z174"/>
  <c r="Z200" s="1"/>
  <c r="Z173"/>
  <c r="Z199" s="1"/>
  <c r="V176"/>
  <c r="V202" s="1"/>
  <c r="V175"/>
  <c r="V201" s="1"/>
  <c r="R176"/>
  <c r="R202" s="1"/>
  <c r="AD167" i="4"/>
  <c r="AD195" s="1"/>
  <c r="Z167"/>
  <c r="Z195" s="1"/>
  <c r="R170"/>
  <c r="R198" s="1"/>
  <c r="N167"/>
  <c r="N195" s="1"/>
  <c r="J167"/>
  <c r="J195" s="1"/>
  <c r="M171"/>
  <c r="M199" s="1"/>
  <c r="AF171"/>
  <c r="AF199" s="1"/>
  <c r="AF170"/>
  <c r="AF198" s="1"/>
  <c r="AB173"/>
  <c r="AB201" s="1"/>
  <c r="AB169"/>
  <c r="AB197" s="1"/>
  <c r="AB170"/>
  <c r="AB198" s="1"/>
  <c r="X173"/>
  <c r="X201" s="1"/>
  <c r="P173"/>
  <c r="P201" s="1"/>
  <c r="P169"/>
  <c r="P197" s="1"/>
  <c r="P165"/>
  <c r="P193" s="1"/>
  <c r="P170"/>
  <c r="P198" s="1"/>
  <c r="L173"/>
  <c r="L201" s="1"/>
  <c r="D171"/>
  <c r="D199" s="1"/>
  <c r="D167"/>
  <c r="D195" s="1"/>
  <c r="D174"/>
  <c r="D202" s="1"/>
  <c r="D166"/>
  <c r="D194" s="1"/>
  <c r="AE174"/>
  <c r="AE202" s="1"/>
  <c r="AE170"/>
  <c r="AE198" s="1"/>
  <c r="AE166"/>
  <c r="AE194" s="1"/>
  <c r="AE173"/>
  <c r="AE201" s="1"/>
  <c r="AE167"/>
  <c r="AE195" s="1"/>
  <c r="AA174"/>
  <c r="AA202" s="1"/>
  <c r="AA166"/>
  <c r="AA194" s="1"/>
  <c r="W174"/>
  <c r="W202" s="1"/>
  <c r="W170"/>
  <c r="W198" s="1"/>
  <c r="W166"/>
  <c r="W194" s="1"/>
  <c r="W173"/>
  <c r="W201" s="1"/>
  <c r="W169"/>
  <c r="W197" s="1"/>
  <c r="S174"/>
  <c r="S202" s="1"/>
  <c r="S170"/>
  <c r="S198" s="1"/>
  <c r="S166"/>
  <c r="S194" s="1"/>
  <c r="S173"/>
  <c r="S201" s="1"/>
  <c r="K172"/>
  <c r="K200" s="1"/>
  <c r="K168"/>
  <c r="K196" s="1"/>
  <c r="K164"/>
  <c r="K192" s="1"/>
  <c r="K171"/>
  <c r="K199" s="1"/>
  <c r="K167"/>
  <c r="K195" s="1"/>
  <c r="G174"/>
  <c r="G202" s="1"/>
  <c r="G170"/>
  <c r="G198" s="1"/>
  <c r="G166"/>
  <c r="G194" s="1"/>
  <c r="C174"/>
  <c r="C202" s="1"/>
  <c r="C170"/>
  <c r="C198" s="1"/>
  <c r="C166"/>
  <c r="C194" s="1"/>
  <c r="C173"/>
  <c r="C201" s="1"/>
  <c r="C169"/>
  <c r="C197" s="1"/>
  <c r="P211" i="5"/>
  <c r="P239" s="1"/>
  <c r="AA212"/>
  <c r="AA240" s="1"/>
  <c r="Q212"/>
  <c r="Q240" s="1"/>
  <c r="R211"/>
  <c r="R239" s="1"/>
  <c r="D211"/>
  <c r="D239" s="1"/>
  <c r="AE212"/>
  <c r="AE240" s="1"/>
  <c r="C212"/>
  <c r="C240" s="1"/>
  <c r="F211"/>
  <c r="F239" s="1"/>
  <c r="AD211"/>
  <c r="AD239" s="1"/>
  <c r="Y212"/>
  <c r="Y240" s="1"/>
  <c r="Z211"/>
  <c r="Z239" s="1"/>
  <c r="N211"/>
  <c r="N239" s="1"/>
  <c r="AF175" i="3"/>
  <c r="AF201" s="1"/>
  <c r="X175"/>
  <c r="X201" s="1"/>
  <c r="P174"/>
  <c r="P200" s="1"/>
  <c r="AD174"/>
  <c r="AD200" s="1"/>
  <c r="R175"/>
  <c r="R201" s="1"/>
  <c r="N174"/>
  <c r="N200" s="1"/>
  <c r="AG168" i="4"/>
  <c r="AG196" s="1"/>
  <c r="Y171"/>
  <c r="Y199" s="1"/>
  <c r="U168"/>
  <c r="U196" s="1"/>
  <c r="B170"/>
  <c r="B198" s="1"/>
  <c r="X167"/>
  <c r="X195" s="1"/>
  <c r="L169"/>
  <c r="L197" s="1"/>
  <c r="G212" i="5"/>
  <c r="G240" s="1"/>
  <c r="G164" i="4"/>
  <c r="G192" s="1"/>
  <c r="G173"/>
  <c r="G201" s="1"/>
  <c r="G171"/>
  <c r="G199" s="1"/>
  <c r="G169"/>
  <c r="G197" s="1"/>
  <c r="G167"/>
  <c r="G195" s="1"/>
  <c r="G175" i="3"/>
  <c r="G201" s="1"/>
  <c r="H174"/>
  <c r="H200" s="1"/>
  <c r="AC176"/>
  <c r="AC202" s="1"/>
  <c r="U173"/>
  <c r="U199" s="1"/>
  <c r="U174"/>
  <c r="U200" s="1"/>
  <c r="Q175"/>
  <c r="Q201" s="1"/>
  <c r="M175"/>
  <c r="M201" s="1"/>
  <c r="B176"/>
  <c r="B202" s="1"/>
  <c r="AD176"/>
  <c r="AD202" s="1"/>
  <c r="AD175"/>
  <c r="AD201" s="1"/>
  <c r="R174"/>
  <c r="R200" s="1"/>
  <c r="R173"/>
  <c r="R199" s="1"/>
  <c r="N176"/>
  <c r="N202" s="1"/>
  <c r="N175"/>
  <c r="N201" s="1"/>
  <c r="J176"/>
  <c r="J202" s="1"/>
  <c r="J175"/>
  <c r="J201" s="1"/>
  <c r="Z170" i="4"/>
  <c r="Z198" s="1"/>
  <c r="V167"/>
  <c r="V195" s="1"/>
  <c r="J170"/>
  <c r="J198" s="1"/>
  <c r="AG171"/>
  <c r="AG199" s="1"/>
  <c r="AC168"/>
  <c r="AC196" s="1"/>
  <c r="Q168"/>
  <c r="Q196" s="1"/>
  <c r="Q171"/>
  <c r="Q199" s="1"/>
  <c r="M172"/>
  <c r="M200" s="1"/>
  <c r="M164"/>
  <c r="M192" s="1"/>
  <c r="M167"/>
  <c r="M195" s="1"/>
  <c r="I174"/>
  <c r="I202" s="1"/>
  <c r="I168"/>
  <c r="I196" s="1"/>
  <c r="I171"/>
  <c r="I199" s="1"/>
  <c r="E174"/>
  <c r="E202" s="1"/>
  <c r="E170"/>
  <c r="E198" s="1"/>
  <c r="E164"/>
  <c r="E192" s="1"/>
  <c r="E167"/>
  <c r="E195" s="1"/>
  <c r="B169"/>
  <c r="B197" s="1"/>
  <c r="B174"/>
  <c r="B202" s="1"/>
  <c r="B166"/>
  <c r="B194" s="1"/>
  <c r="AF169"/>
  <c r="AF197" s="1"/>
  <c r="AF174"/>
  <c r="AF202" s="1"/>
  <c r="AF166"/>
  <c r="AF194" s="1"/>
  <c r="AB174"/>
  <c r="AB202" s="1"/>
  <c r="AB166"/>
  <c r="AB194" s="1"/>
  <c r="P166"/>
  <c r="P194" s="1"/>
  <c r="L165"/>
  <c r="L193" s="1"/>
  <c r="H170"/>
  <c r="H198" s="1"/>
  <c r="AA171"/>
  <c r="AA199" s="1"/>
  <c r="S212" i="5"/>
  <c r="S240" s="1"/>
  <c r="AF211"/>
  <c r="AF239" s="1"/>
  <c r="X211"/>
  <c r="X239" s="1"/>
  <c r="O212"/>
  <c r="O240" s="1"/>
  <c r="U212"/>
  <c r="U240" s="1"/>
  <c r="W212"/>
  <c r="W240" s="1"/>
  <c r="H211"/>
  <c r="H239" s="1"/>
  <c r="S171" i="4"/>
  <c r="S199" s="1"/>
  <c r="F167"/>
  <c r="F195" s="1"/>
  <c r="H166"/>
  <c r="H194" s="1"/>
  <c r="AA172"/>
  <c r="AA200" s="1"/>
  <c r="AA168"/>
  <c r="AA196" s="1"/>
  <c r="AA164"/>
  <c r="AA192" s="1"/>
  <c r="AA167"/>
  <c r="AA195" s="1"/>
  <c r="S167"/>
  <c r="S195" s="1"/>
  <c r="AD170"/>
  <c r="AD198" s="1"/>
  <c r="V170"/>
  <c r="V198" s="1"/>
  <c r="N170"/>
  <c r="N198" s="1"/>
  <c r="F170"/>
  <c r="F198" s="1"/>
  <c r="AC171"/>
  <c r="AC199" s="1"/>
  <c r="U171"/>
  <c r="U199" s="1"/>
  <c r="X171"/>
  <c r="X199" s="1"/>
  <c r="X170"/>
  <c r="X198" s="1"/>
  <c r="L171"/>
  <c r="L199" s="1"/>
  <c r="L167"/>
  <c r="L195" s="1"/>
  <c r="L170"/>
  <c r="L198" s="1"/>
  <c r="C167"/>
  <c r="C195" s="1"/>
  <c r="I167"/>
  <c r="I195" s="1"/>
  <c r="AD171"/>
  <c r="AD199" s="1"/>
  <c r="AD174"/>
  <c r="AD202" s="1"/>
  <c r="AD166"/>
  <c r="AD194" s="1"/>
  <c r="Z171"/>
  <c r="Z199" s="1"/>
  <c r="Z174"/>
  <c r="Z202" s="1"/>
  <c r="Z166"/>
  <c r="Z194" s="1"/>
  <c r="V171"/>
  <c r="V199" s="1"/>
  <c r="V174"/>
  <c r="V202" s="1"/>
  <c r="V166"/>
  <c r="V194" s="1"/>
  <c r="R171"/>
  <c r="R199" s="1"/>
  <c r="R174"/>
  <c r="R202" s="1"/>
  <c r="R166"/>
  <c r="R194" s="1"/>
  <c r="N171"/>
  <c r="N199" s="1"/>
  <c r="N174"/>
  <c r="N202" s="1"/>
  <c r="N166"/>
  <c r="N194" s="1"/>
  <c r="J171"/>
  <c r="J199" s="1"/>
  <c r="J174"/>
  <c r="J202" s="1"/>
  <c r="J166"/>
  <c r="J194" s="1"/>
  <c r="F171"/>
  <c r="F199" s="1"/>
  <c r="F174"/>
  <c r="F202" s="1"/>
  <c r="F166"/>
  <c r="F194" s="1"/>
  <c r="AG172"/>
  <c r="AG200" s="1"/>
  <c r="AG164"/>
  <c r="AG192" s="1"/>
  <c r="AG167"/>
  <c r="AG195" s="1"/>
  <c r="AC172"/>
  <c r="AC200" s="1"/>
  <c r="AC164"/>
  <c r="AC192" s="1"/>
  <c r="AC167"/>
  <c r="AC195" s="1"/>
  <c r="Y172"/>
  <c r="Y200" s="1"/>
  <c r="Y164"/>
  <c r="Y192" s="1"/>
  <c r="Y167"/>
  <c r="Y195" s="1"/>
  <c r="U172"/>
  <c r="U200" s="1"/>
  <c r="U164"/>
  <c r="U192" s="1"/>
  <c r="U167"/>
  <c r="U195" s="1"/>
  <c r="Q167"/>
  <c r="Q195" s="1"/>
  <c r="X174"/>
  <c r="X202" s="1"/>
  <c r="X166"/>
  <c r="X194" s="1"/>
  <c r="L174"/>
  <c r="L202" s="1"/>
  <c r="L166"/>
  <c r="L194" s="1"/>
  <c r="W167"/>
  <c r="W195" s="1"/>
  <c r="O165"/>
  <c r="O193" s="1"/>
  <c r="K165"/>
  <c r="K193" s="1"/>
  <c r="C165"/>
  <c r="C193" s="1"/>
  <c r="AD173"/>
  <c r="AD201" s="1"/>
  <c r="AD169"/>
  <c r="AD197" s="1"/>
  <c r="AD165"/>
  <c r="AD193" s="1"/>
  <c r="AD172"/>
  <c r="AD200" s="1"/>
  <c r="AD168"/>
  <c r="AD196" s="1"/>
  <c r="AD164"/>
  <c r="AD192" s="1"/>
  <c r="Z173"/>
  <c r="Z201" s="1"/>
  <c r="Z169"/>
  <c r="Z197" s="1"/>
  <c r="Z165"/>
  <c r="Z193" s="1"/>
  <c r="Z172"/>
  <c r="Z200" s="1"/>
  <c r="Z168"/>
  <c r="Z196" s="1"/>
  <c r="V173"/>
  <c r="V201" s="1"/>
  <c r="V169"/>
  <c r="V197" s="1"/>
  <c r="V165"/>
  <c r="V193" s="1"/>
  <c r="V172"/>
  <c r="V200" s="1"/>
  <c r="V168"/>
  <c r="V196" s="1"/>
  <c r="V164"/>
  <c r="V192" s="1"/>
  <c r="R173"/>
  <c r="R201" s="1"/>
  <c r="R169"/>
  <c r="R197" s="1"/>
  <c r="R165"/>
  <c r="R193" s="1"/>
  <c r="R172"/>
  <c r="R200" s="1"/>
  <c r="R168"/>
  <c r="R196" s="1"/>
  <c r="R164"/>
  <c r="R192" s="1"/>
  <c r="N173"/>
  <c r="N201" s="1"/>
  <c r="N169"/>
  <c r="N197" s="1"/>
  <c r="N165"/>
  <c r="N193" s="1"/>
  <c r="N172"/>
  <c r="N200" s="1"/>
  <c r="N168"/>
  <c r="N196" s="1"/>
  <c r="J173"/>
  <c r="J201" s="1"/>
  <c r="J169"/>
  <c r="J197" s="1"/>
  <c r="J165"/>
  <c r="J193" s="1"/>
  <c r="J172"/>
  <c r="J200" s="1"/>
  <c r="J168"/>
  <c r="J196" s="1"/>
  <c r="F173"/>
  <c r="F201" s="1"/>
  <c r="F169"/>
  <c r="F197" s="1"/>
  <c r="F165"/>
  <c r="F193" s="1"/>
  <c r="F172"/>
  <c r="F200" s="1"/>
  <c r="F168"/>
  <c r="F196" s="1"/>
  <c r="F164"/>
  <c r="F192" s="1"/>
  <c r="AG174"/>
  <c r="AG202" s="1"/>
  <c r="AG170"/>
  <c r="AG198" s="1"/>
  <c r="AG166"/>
  <c r="AG194" s="1"/>
  <c r="AG173"/>
  <c r="AG201" s="1"/>
  <c r="AG169"/>
  <c r="AG197" s="1"/>
  <c r="AC174"/>
  <c r="AC202" s="1"/>
  <c r="AC170"/>
  <c r="AC198" s="1"/>
  <c r="AC166"/>
  <c r="AC194" s="1"/>
  <c r="AC173"/>
  <c r="AC201" s="1"/>
  <c r="AC169"/>
  <c r="AC197" s="1"/>
  <c r="AC165"/>
  <c r="AC193" s="1"/>
  <c r="Y174"/>
  <c r="Y202" s="1"/>
  <c r="Y170"/>
  <c r="Y198" s="1"/>
  <c r="Y166"/>
  <c r="Y194" s="1"/>
  <c r="Y173"/>
  <c r="Y201" s="1"/>
  <c r="Y169"/>
  <c r="Y197" s="1"/>
  <c r="Y165"/>
  <c r="Y193" s="1"/>
  <c r="U174"/>
  <c r="U202" s="1"/>
  <c r="U170"/>
  <c r="U198" s="1"/>
  <c r="U166"/>
  <c r="U194" s="1"/>
  <c r="U173"/>
  <c r="U201" s="1"/>
  <c r="U169"/>
  <c r="U197" s="1"/>
  <c r="U165"/>
  <c r="U193" s="1"/>
  <c r="Q174"/>
  <c r="Q202" s="1"/>
  <c r="Q170"/>
  <c r="Q198" s="1"/>
  <c r="Q166"/>
  <c r="Q194" s="1"/>
  <c r="Q173"/>
  <c r="Q201" s="1"/>
  <c r="Q169"/>
  <c r="Q197" s="1"/>
  <c r="Q165"/>
  <c r="Q193" s="1"/>
  <c r="M174"/>
  <c r="M170"/>
  <c r="M198" s="1"/>
  <c r="M166"/>
  <c r="M194" s="1"/>
  <c r="M173"/>
  <c r="M201" s="1"/>
  <c r="M169"/>
  <c r="M197" s="1"/>
  <c r="M165"/>
  <c r="M193" s="1"/>
  <c r="I170"/>
  <c r="I166"/>
  <c r="I194" s="1"/>
  <c r="I173"/>
  <c r="I201" s="1"/>
  <c r="I169"/>
  <c r="I197" s="1"/>
  <c r="I165"/>
  <c r="I193" s="1"/>
  <c r="E166"/>
  <c r="E173"/>
  <c r="E201" s="1"/>
  <c r="E169"/>
  <c r="E197" s="1"/>
  <c r="E165"/>
  <c r="E193" s="1"/>
  <c r="B165"/>
  <c r="B193" s="1"/>
  <c r="B172"/>
  <c r="B200" s="1"/>
  <c r="B168"/>
  <c r="B196" s="1"/>
  <c r="B164"/>
  <c r="B192" s="1"/>
  <c r="AF165"/>
  <c r="AF193" s="1"/>
  <c r="AF172"/>
  <c r="AF200" s="1"/>
  <c r="AF168"/>
  <c r="AF196" s="1"/>
  <c r="AB165"/>
  <c r="AB193" s="1"/>
  <c r="AB172"/>
  <c r="AB200" s="1"/>
  <c r="AB168"/>
  <c r="AB196" s="1"/>
  <c r="AB164"/>
  <c r="AB192" s="1"/>
  <c r="X169"/>
  <c r="X197" s="1"/>
  <c r="X165"/>
  <c r="X193" s="1"/>
  <c r="X172"/>
  <c r="X200" s="1"/>
  <c r="X168"/>
  <c r="X196" s="1"/>
  <c r="P172"/>
  <c r="P200" s="1"/>
  <c r="P168"/>
  <c r="P196" s="1"/>
  <c r="P164"/>
  <c r="P192" s="1"/>
  <c r="L172"/>
  <c r="L200" s="1"/>
  <c r="L168"/>
  <c r="L196" s="1"/>
  <c r="L164"/>
  <c r="L192" s="1"/>
  <c r="H172"/>
  <c r="H200" s="1"/>
  <c r="H168"/>
  <c r="H196" s="1"/>
  <c r="D172"/>
  <c r="D200" s="1"/>
  <c r="D168"/>
  <c r="D196" s="1"/>
  <c r="D164"/>
  <c r="D192" s="1"/>
  <c r="AE169"/>
  <c r="AE197" s="1"/>
  <c r="AE165"/>
  <c r="AE193" s="1"/>
  <c r="AA173"/>
  <c r="AA201" s="1"/>
  <c r="AA169"/>
  <c r="AA197" s="1"/>
  <c r="AA165"/>
  <c r="AA193" s="1"/>
  <c r="W165"/>
  <c r="W193" s="1"/>
  <c r="S169"/>
  <c r="S197" s="1"/>
  <c r="E175" i="3"/>
  <c r="E201" s="1"/>
  <c r="E173"/>
  <c r="E199" s="1"/>
  <c r="E165"/>
  <c r="E191" s="1"/>
  <c r="AE173"/>
  <c r="AE199" s="1"/>
  <c r="G176"/>
  <c r="G202" s="1"/>
  <c r="AF174"/>
  <c r="AF200" s="1"/>
  <c r="AF173"/>
  <c r="AF199" s="1"/>
  <c r="AB176"/>
  <c r="AB202" s="1"/>
  <c r="H176"/>
  <c r="H202" s="1"/>
  <c r="H175"/>
  <c r="H201" s="1"/>
  <c r="AG175"/>
  <c r="AG201" s="1"/>
  <c r="M176"/>
  <c r="M202" s="1"/>
  <c r="E174"/>
  <c r="E200" s="1"/>
  <c r="AE175"/>
  <c r="AE201" s="1"/>
  <c r="AE176"/>
  <c r="AE202" s="1"/>
  <c r="AA175"/>
  <c r="AA201" s="1"/>
  <c r="W175"/>
  <c r="W201" s="1"/>
  <c r="W176"/>
  <c r="W202" s="1"/>
  <c r="S175"/>
  <c r="S201" s="1"/>
  <c r="G173"/>
  <c r="G199" s="1"/>
  <c r="G174"/>
  <c r="G200" s="1"/>
  <c r="C175"/>
  <c r="C201" s="1"/>
  <c r="X174"/>
  <c r="X200" s="1"/>
  <c r="X173"/>
  <c r="X199" s="1"/>
  <c r="P175"/>
  <c r="P201" s="1"/>
  <c r="AC173"/>
  <c r="AC199" s="1"/>
  <c r="AC174"/>
  <c r="AC200" s="1"/>
  <c r="Y175"/>
  <c r="Y201" s="1"/>
  <c r="M173"/>
  <c r="M199" s="1"/>
  <c r="M174"/>
  <c r="M200" s="1"/>
  <c r="I175"/>
  <c r="I201" s="1"/>
  <c r="AD173"/>
  <c r="AD199" s="1"/>
  <c r="V173"/>
  <c r="V199" s="1"/>
  <c r="W174"/>
  <c r="W200" s="1"/>
  <c r="H173"/>
  <c r="H199" s="1"/>
  <c r="AE174"/>
  <c r="AE200" s="1"/>
  <c r="P173"/>
  <c r="P199" s="1"/>
  <c r="L176"/>
  <c r="L202" s="1"/>
  <c r="J173"/>
  <c r="J199" s="1"/>
  <c r="F176"/>
  <c r="F202" s="1"/>
  <c r="AE170"/>
  <c r="AE196" s="1"/>
  <c r="AE166"/>
  <c r="AE192" s="1"/>
  <c r="AE169"/>
  <c r="AE195" s="1"/>
  <c r="AE165"/>
  <c r="AE191" s="1"/>
  <c r="AA172"/>
  <c r="AA198" s="1"/>
  <c r="AA168"/>
  <c r="AA194" s="1"/>
  <c r="AA164"/>
  <c r="AA190" s="1"/>
  <c r="AA171"/>
  <c r="AA197" s="1"/>
  <c r="AA167"/>
  <c r="AA193" s="1"/>
  <c r="W170"/>
  <c r="W196" s="1"/>
  <c r="W166"/>
  <c r="W192" s="1"/>
  <c r="W169"/>
  <c r="W195" s="1"/>
  <c r="W165"/>
  <c r="W191" s="1"/>
  <c r="S172"/>
  <c r="S198" s="1"/>
  <c r="S168"/>
  <c r="S194" s="1"/>
  <c r="S164"/>
  <c r="S190" s="1"/>
  <c r="S171"/>
  <c r="S197" s="1"/>
  <c r="S167"/>
  <c r="S193" s="1"/>
  <c r="O170"/>
  <c r="O196" s="1"/>
  <c r="O166"/>
  <c r="O192" s="1"/>
  <c r="O169"/>
  <c r="O195" s="1"/>
  <c r="O165"/>
  <c r="O191" s="1"/>
  <c r="K172"/>
  <c r="K198" s="1"/>
  <c r="K168"/>
  <c r="K194" s="1"/>
  <c r="K164"/>
  <c r="K190" s="1"/>
  <c r="K171"/>
  <c r="K197" s="1"/>
  <c r="K167"/>
  <c r="K193" s="1"/>
  <c r="G170"/>
  <c r="G196" s="1"/>
  <c r="G166"/>
  <c r="G192" s="1"/>
  <c r="G169"/>
  <c r="G195" s="1"/>
  <c r="G165"/>
  <c r="G191" s="1"/>
  <c r="C172"/>
  <c r="C198" s="1"/>
  <c r="C168"/>
  <c r="C194" s="1"/>
  <c r="C164"/>
  <c r="C190" s="1"/>
  <c r="C171"/>
  <c r="C197" s="1"/>
  <c r="C167"/>
  <c r="C193" s="1"/>
  <c r="AF169"/>
  <c r="AF195" s="1"/>
  <c r="AF165"/>
  <c r="AF191" s="1"/>
  <c r="AF172"/>
  <c r="AF198" s="1"/>
  <c r="AF168"/>
  <c r="AF194" s="1"/>
  <c r="AF164"/>
  <c r="AF190" s="1"/>
  <c r="AB171"/>
  <c r="AB197" s="1"/>
  <c r="AB167"/>
  <c r="AB193" s="1"/>
  <c r="AB170"/>
  <c r="AB196" s="1"/>
  <c r="AB166"/>
  <c r="AB192" s="1"/>
  <c r="X169"/>
  <c r="X195" s="1"/>
  <c r="X165"/>
  <c r="X191" s="1"/>
  <c r="X172"/>
  <c r="X198" s="1"/>
  <c r="X168"/>
  <c r="X194" s="1"/>
  <c r="X164"/>
  <c r="X190" s="1"/>
  <c r="P169"/>
  <c r="P195" s="1"/>
  <c r="P165"/>
  <c r="P191" s="1"/>
  <c r="P172"/>
  <c r="P198" s="1"/>
  <c r="P168"/>
  <c r="P194" s="1"/>
  <c r="P164"/>
  <c r="P190" s="1"/>
  <c r="L171"/>
  <c r="L197" s="1"/>
  <c r="L167"/>
  <c r="L193" s="1"/>
  <c r="L170"/>
  <c r="L196" s="1"/>
  <c r="L166"/>
  <c r="L192" s="1"/>
  <c r="H169"/>
  <c r="H195" s="1"/>
  <c r="H165"/>
  <c r="H191" s="1"/>
  <c r="H172"/>
  <c r="H198" s="1"/>
  <c r="H168"/>
  <c r="H194" s="1"/>
  <c r="H164"/>
  <c r="H190" s="1"/>
  <c r="D171"/>
  <c r="D197" s="1"/>
  <c r="D167"/>
  <c r="D193" s="1"/>
  <c r="D170"/>
  <c r="D196" s="1"/>
  <c r="D166"/>
  <c r="D192" s="1"/>
  <c r="AG170"/>
  <c r="AG196" s="1"/>
  <c r="AG166"/>
  <c r="AG192" s="1"/>
  <c r="AG169"/>
  <c r="AG195" s="1"/>
  <c r="AG165"/>
  <c r="AG191" s="1"/>
  <c r="AC172"/>
  <c r="AC198" s="1"/>
  <c r="AC168"/>
  <c r="AC194" s="1"/>
  <c r="AC164"/>
  <c r="AC190" s="1"/>
  <c r="AC171"/>
  <c r="AC197" s="1"/>
  <c r="AC167"/>
  <c r="AC193" s="1"/>
  <c r="Y170"/>
  <c r="Y196" s="1"/>
  <c r="Y166"/>
  <c r="Y192" s="1"/>
  <c r="Y169"/>
  <c r="Y195" s="1"/>
  <c r="Y165"/>
  <c r="Y191" s="1"/>
  <c r="U172"/>
  <c r="U198" s="1"/>
  <c r="U168"/>
  <c r="U194" s="1"/>
  <c r="U164"/>
  <c r="U190" s="1"/>
  <c r="U171"/>
  <c r="U197" s="1"/>
  <c r="U167"/>
  <c r="U193" s="1"/>
  <c r="Q170"/>
  <c r="Q196" s="1"/>
  <c r="Q166"/>
  <c r="Q192" s="1"/>
  <c r="Q169"/>
  <c r="Q195" s="1"/>
  <c r="Q165"/>
  <c r="Q191" s="1"/>
  <c r="M172"/>
  <c r="M198" s="1"/>
  <c r="M168"/>
  <c r="M194" s="1"/>
  <c r="M164"/>
  <c r="M190" s="1"/>
  <c r="M171"/>
  <c r="M197" s="1"/>
  <c r="M167"/>
  <c r="M193" s="1"/>
  <c r="I170"/>
  <c r="I196" s="1"/>
  <c r="I166"/>
  <c r="I192" s="1"/>
  <c r="I169"/>
  <c r="I195" s="1"/>
  <c r="I165"/>
  <c r="I191" s="1"/>
  <c r="E172"/>
  <c r="E198" s="1"/>
  <c r="E168"/>
  <c r="E194" s="1"/>
  <c r="E164"/>
  <c r="E190" s="1"/>
  <c r="E171"/>
  <c r="E197" s="1"/>
  <c r="E167"/>
  <c r="E193" s="1"/>
  <c r="B169"/>
  <c r="B195" s="1"/>
  <c r="B165"/>
  <c r="B191" s="1"/>
  <c r="B172"/>
  <c r="B198" s="1"/>
  <c r="B168"/>
  <c r="B194" s="1"/>
  <c r="B164"/>
  <c r="B190" s="1"/>
  <c r="AD171"/>
  <c r="AD197" s="1"/>
  <c r="AD167"/>
  <c r="AD193" s="1"/>
  <c r="AD170"/>
  <c r="AD196" s="1"/>
  <c r="AD166"/>
  <c r="AD192" s="1"/>
  <c r="Z169"/>
  <c r="Z195" s="1"/>
  <c r="Z165"/>
  <c r="Z191" s="1"/>
  <c r="Z172"/>
  <c r="Z198" s="1"/>
  <c r="Z168"/>
  <c r="Z194" s="1"/>
  <c r="Z164"/>
  <c r="Z190" s="1"/>
  <c r="V171"/>
  <c r="V197" s="1"/>
  <c r="V167"/>
  <c r="V193" s="1"/>
  <c r="V170"/>
  <c r="V196" s="1"/>
  <c r="V166"/>
  <c r="V192" s="1"/>
  <c r="R169"/>
  <c r="R195" s="1"/>
  <c r="R165"/>
  <c r="R191" s="1"/>
  <c r="R172"/>
  <c r="R198" s="1"/>
  <c r="R168"/>
  <c r="R194" s="1"/>
  <c r="R164"/>
  <c r="R190" s="1"/>
  <c r="N171"/>
  <c r="N197" s="1"/>
  <c r="N167"/>
  <c r="N193" s="1"/>
  <c r="N170"/>
  <c r="N196" s="1"/>
  <c r="N166"/>
  <c r="N192" s="1"/>
  <c r="J169"/>
  <c r="J195" s="1"/>
  <c r="J165"/>
  <c r="J191" s="1"/>
  <c r="J172"/>
  <c r="J198" s="1"/>
  <c r="J168"/>
  <c r="J194" s="1"/>
  <c r="J164"/>
  <c r="J190" s="1"/>
  <c r="F171"/>
  <c r="F197" s="1"/>
  <c r="F167"/>
  <c r="F193" s="1"/>
  <c r="F170"/>
  <c r="F196" s="1"/>
  <c r="F166"/>
  <c r="F192" s="1"/>
  <c r="AA176"/>
  <c r="AA202" s="1"/>
  <c r="S176"/>
  <c r="S202" s="1"/>
  <c r="K176"/>
  <c r="K202" s="1"/>
  <c r="C176"/>
  <c r="C202" s="1"/>
  <c r="AB175"/>
  <c r="AB201" s="1"/>
  <c r="L175"/>
  <c r="L201" s="1"/>
  <c r="AG176"/>
  <c r="AG202" s="1"/>
  <c r="Y176"/>
  <c r="Y202" s="1"/>
  <c r="Q176"/>
  <c r="Q202" s="1"/>
  <c r="I176"/>
  <c r="I202" s="1"/>
  <c r="B175"/>
  <c r="B201" s="1"/>
  <c r="F175"/>
  <c r="F201" s="1"/>
  <c r="AE172"/>
  <c r="AE198" s="1"/>
  <c r="AE168"/>
  <c r="AE194" s="1"/>
  <c r="AE164"/>
  <c r="AE190" s="1"/>
  <c r="AE171"/>
  <c r="AE197" s="1"/>
  <c r="AE167"/>
  <c r="AE193" s="1"/>
  <c r="AA170"/>
  <c r="AA196" s="1"/>
  <c r="AA166"/>
  <c r="AA192" s="1"/>
  <c r="AA169"/>
  <c r="AA195" s="1"/>
  <c r="AA165"/>
  <c r="AA191" s="1"/>
  <c r="W172"/>
  <c r="W198" s="1"/>
  <c r="W168"/>
  <c r="W194" s="1"/>
  <c r="W164"/>
  <c r="W190" s="1"/>
  <c r="W171"/>
  <c r="W197" s="1"/>
  <c r="W167"/>
  <c r="W193" s="1"/>
  <c r="S170"/>
  <c r="S196" s="1"/>
  <c r="S166"/>
  <c r="S192" s="1"/>
  <c r="S169"/>
  <c r="S195" s="1"/>
  <c r="S165"/>
  <c r="S191" s="1"/>
  <c r="O172"/>
  <c r="O198" s="1"/>
  <c r="O168"/>
  <c r="O194" s="1"/>
  <c r="O164"/>
  <c r="O190" s="1"/>
  <c r="O171"/>
  <c r="O197" s="1"/>
  <c r="O167"/>
  <c r="O193" s="1"/>
  <c r="K170"/>
  <c r="K196" s="1"/>
  <c r="K166"/>
  <c r="K192" s="1"/>
  <c r="K169"/>
  <c r="K195" s="1"/>
  <c r="K165"/>
  <c r="K191" s="1"/>
  <c r="G172"/>
  <c r="G198" s="1"/>
  <c r="G168"/>
  <c r="G194" s="1"/>
  <c r="G164"/>
  <c r="G190" s="1"/>
  <c r="G171"/>
  <c r="G197" s="1"/>
  <c r="G167"/>
  <c r="G193" s="1"/>
  <c r="C170"/>
  <c r="C196" s="1"/>
  <c r="C166"/>
  <c r="C192" s="1"/>
  <c r="C169"/>
  <c r="C195" s="1"/>
  <c r="C165"/>
  <c r="C191" s="1"/>
  <c r="AF171"/>
  <c r="AF197" s="1"/>
  <c r="AF167"/>
  <c r="AF193" s="1"/>
  <c r="AF170"/>
  <c r="AF196" s="1"/>
  <c r="AF166"/>
  <c r="AF192" s="1"/>
  <c r="AB169"/>
  <c r="AB195" s="1"/>
  <c r="AB165"/>
  <c r="AB191" s="1"/>
  <c r="AB172"/>
  <c r="AB198" s="1"/>
  <c r="AB168"/>
  <c r="AB194" s="1"/>
  <c r="AB164"/>
  <c r="AB190" s="1"/>
  <c r="X171"/>
  <c r="X197" s="1"/>
  <c r="X167"/>
  <c r="X193" s="1"/>
  <c r="X170"/>
  <c r="X196" s="1"/>
  <c r="X166"/>
  <c r="X192" s="1"/>
  <c r="P171"/>
  <c r="P197" s="1"/>
  <c r="P167"/>
  <c r="P193" s="1"/>
  <c r="P170"/>
  <c r="P196" s="1"/>
  <c r="P166"/>
  <c r="P192" s="1"/>
  <c r="L169"/>
  <c r="L195" s="1"/>
  <c r="L165"/>
  <c r="L191" s="1"/>
  <c r="L172"/>
  <c r="L198" s="1"/>
  <c r="L168"/>
  <c r="L194" s="1"/>
  <c r="L164"/>
  <c r="L190" s="1"/>
  <c r="H171"/>
  <c r="H197" s="1"/>
  <c r="H167"/>
  <c r="H193" s="1"/>
  <c r="H170"/>
  <c r="H196" s="1"/>
  <c r="H166"/>
  <c r="H192" s="1"/>
  <c r="D169"/>
  <c r="D195" s="1"/>
  <c r="D165"/>
  <c r="D191" s="1"/>
  <c r="D172"/>
  <c r="D198" s="1"/>
  <c r="D168"/>
  <c r="D194" s="1"/>
  <c r="D164"/>
  <c r="D190" s="1"/>
  <c r="AG172"/>
  <c r="AG198" s="1"/>
  <c r="AG168"/>
  <c r="AG194" s="1"/>
  <c r="AG164"/>
  <c r="AG190" s="1"/>
  <c r="AG171"/>
  <c r="AG197" s="1"/>
  <c r="AG167"/>
  <c r="AG193" s="1"/>
  <c r="AC170"/>
  <c r="AC196" s="1"/>
  <c r="AC166"/>
  <c r="AC192" s="1"/>
  <c r="AC169"/>
  <c r="AC195" s="1"/>
  <c r="Y172"/>
  <c r="Y198" s="1"/>
  <c r="Y168"/>
  <c r="Y194" s="1"/>
  <c r="Y164"/>
  <c r="Y190" s="1"/>
  <c r="Y171"/>
  <c r="Y197" s="1"/>
  <c r="Y167"/>
  <c r="Y193" s="1"/>
  <c r="U170"/>
  <c r="U196" s="1"/>
  <c r="U166"/>
  <c r="U192" s="1"/>
  <c r="U169"/>
  <c r="U195" s="1"/>
  <c r="Q172"/>
  <c r="Q198" s="1"/>
  <c r="Q168"/>
  <c r="Q194" s="1"/>
  <c r="Q164"/>
  <c r="Q190" s="1"/>
  <c r="Q171"/>
  <c r="Q197" s="1"/>
  <c r="Q167"/>
  <c r="Q193" s="1"/>
  <c r="M170"/>
  <c r="M196" s="1"/>
  <c r="M166"/>
  <c r="M192" s="1"/>
  <c r="M169"/>
  <c r="M195" s="1"/>
  <c r="I172"/>
  <c r="I198" s="1"/>
  <c r="I168"/>
  <c r="I194" s="1"/>
  <c r="I164"/>
  <c r="I190" s="1"/>
  <c r="I171"/>
  <c r="I197" s="1"/>
  <c r="I167"/>
  <c r="I193" s="1"/>
  <c r="E170"/>
  <c r="E196" s="1"/>
  <c r="E166"/>
  <c r="E192" s="1"/>
  <c r="E169"/>
  <c r="E195" s="1"/>
  <c r="B171"/>
  <c r="B197" s="1"/>
  <c r="B167"/>
  <c r="B193" s="1"/>
  <c r="B170"/>
  <c r="B196" s="1"/>
  <c r="B166"/>
  <c r="B192" s="1"/>
  <c r="AD169"/>
  <c r="AD195" s="1"/>
  <c r="AD165"/>
  <c r="AD191" s="1"/>
  <c r="AD172"/>
  <c r="AD198" s="1"/>
  <c r="AD168"/>
  <c r="AD194" s="1"/>
  <c r="Z171"/>
  <c r="Z197" s="1"/>
  <c r="Z167"/>
  <c r="Z193" s="1"/>
  <c r="Z170"/>
  <c r="Z196" s="1"/>
  <c r="Z166"/>
  <c r="Z192" s="1"/>
  <c r="V169"/>
  <c r="V195" s="1"/>
  <c r="V165"/>
  <c r="V191" s="1"/>
  <c r="V172"/>
  <c r="V198" s="1"/>
  <c r="V168"/>
  <c r="V194" s="1"/>
  <c r="R171"/>
  <c r="R197" s="1"/>
  <c r="R167"/>
  <c r="R193" s="1"/>
  <c r="R170"/>
  <c r="R196" s="1"/>
  <c r="R166"/>
  <c r="R192" s="1"/>
  <c r="N169"/>
  <c r="N195" s="1"/>
  <c r="N165"/>
  <c r="N191" s="1"/>
  <c r="N172"/>
  <c r="N198" s="1"/>
  <c r="N168"/>
  <c r="N194" s="1"/>
  <c r="N164"/>
  <c r="N190" s="1"/>
  <c r="J171"/>
  <c r="J197" s="1"/>
  <c r="J167"/>
  <c r="J193" s="1"/>
  <c r="J170"/>
  <c r="J196" s="1"/>
  <c r="J166"/>
  <c r="J192" s="1"/>
  <c r="F169"/>
  <c r="F195" s="1"/>
  <c r="F165"/>
  <c r="F191" s="1"/>
  <c r="F172"/>
  <c r="F198" s="1"/>
  <c r="F168"/>
  <c r="F194" s="1"/>
  <c r="F164"/>
  <c r="F190" s="1"/>
  <c r="AA173"/>
  <c r="AA199" s="1"/>
  <c r="S173"/>
  <c r="S199" s="1"/>
  <c r="K173"/>
  <c r="K199" s="1"/>
  <c r="C173"/>
  <c r="C199" s="1"/>
  <c r="AB174"/>
  <c r="AB200" s="1"/>
  <c r="L174"/>
  <c r="L200" s="1"/>
  <c r="D174"/>
  <c r="D200" s="1"/>
  <c r="D173"/>
  <c r="D199" s="1"/>
  <c r="AG173"/>
  <c r="AG199" s="1"/>
  <c r="Y173"/>
  <c r="Y199" s="1"/>
  <c r="Q173"/>
  <c r="Q199" s="1"/>
  <c r="I173"/>
  <c r="I199" s="1"/>
  <c r="B174"/>
  <c r="B200" s="1"/>
  <c r="D176"/>
  <c r="F174"/>
  <c r="F200" s="1"/>
  <c r="AG187" i="4"/>
  <c r="AG215" s="1"/>
  <c r="N186"/>
  <c r="N214" s="1"/>
  <c r="J180"/>
  <c r="J208" s="1"/>
  <c r="G177"/>
  <c r="G205" s="1"/>
  <c r="F223" i="5"/>
  <c r="F251" s="1"/>
  <c r="H220"/>
  <c r="H248" s="1"/>
  <c r="AB229"/>
  <c r="AB257" s="1"/>
  <c r="Q223"/>
  <c r="Q251" s="1"/>
  <c r="V226"/>
  <c r="V254" s="1"/>
  <c r="AG224"/>
  <c r="AG252" s="1"/>
  <c r="AG180" i="4"/>
  <c r="AG208" s="1"/>
  <c r="AC223" i="5"/>
  <c r="AC251" s="1"/>
  <c r="L220"/>
  <c r="L248" s="1"/>
  <c r="R223"/>
  <c r="R251" s="1"/>
  <c r="G225"/>
  <c r="G253" s="1"/>
  <c r="AD222"/>
  <c r="AD250" s="1"/>
  <c r="AA225"/>
  <c r="AA253" s="1"/>
  <c r="S179" i="4"/>
  <c r="S207" s="1"/>
  <c r="D216" i="5"/>
  <c r="D244" s="1"/>
  <c r="P216"/>
  <c r="P244" s="1"/>
  <c r="L232"/>
  <c r="L260" s="1"/>
  <c r="N180" i="4"/>
  <c r="N208" s="1"/>
  <c r="J176"/>
  <c r="J204" s="1"/>
  <c r="AE221" i="5"/>
  <c r="AE249" s="1"/>
  <c r="C221"/>
  <c r="C249" s="1"/>
  <c r="J213"/>
  <c r="J241" s="1"/>
  <c r="J179" i="4"/>
  <c r="J207" s="1"/>
  <c r="Y224" i="5"/>
  <c r="Y252" s="1"/>
  <c r="Z218"/>
  <c r="Z246" s="1"/>
  <c r="Z214"/>
  <c r="Z242" s="1"/>
  <c r="Y214"/>
  <c r="Y242" s="1"/>
  <c r="AA178" i="3"/>
  <c r="AA204" s="1"/>
  <c r="K178"/>
  <c r="K204" s="1"/>
  <c r="G178"/>
  <c r="G204" s="1"/>
  <c r="C178"/>
  <c r="C204" s="1"/>
  <c r="O178"/>
  <c r="O204" s="1"/>
  <c r="X178"/>
  <c r="X204" s="1"/>
  <c r="V177"/>
  <c r="V203" s="1"/>
  <c r="L177"/>
  <c r="L203" s="1"/>
  <c r="H177"/>
  <c r="H203" s="1"/>
  <c r="D177"/>
  <c r="D203" s="1"/>
  <c r="P177"/>
  <c r="P203" s="1"/>
  <c r="AC177"/>
  <c r="AC203" s="1"/>
  <c r="W177"/>
  <c r="W203" s="1"/>
  <c r="S177"/>
  <c r="S203" s="1"/>
  <c r="G179" i="4"/>
  <c r="G207" s="1"/>
  <c r="AE177" i="3"/>
  <c r="AE203" s="1"/>
  <c r="M177"/>
  <c r="M203" s="1"/>
  <c r="I177"/>
  <c r="I203" s="1"/>
  <c r="E177"/>
  <c r="E203" s="1"/>
  <c r="Q177"/>
  <c r="Q203" s="1"/>
  <c r="AB177"/>
  <c r="AB203" s="1"/>
  <c r="Z178"/>
  <c r="Z204" s="1"/>
  <c r="AF177"/>
  <c r="AF203" s="1"/>
  <c r="AD178"/>
  <c r="AD204" s="1"/>
  <c r="L178"/>
  <c r="L204" s="1"/>
  <c r="H178"/>
  <c r="H204" s="1"/>
  <c r="D178"/>
  <c r="D204" s="1"/>
  <c r="P178"/>
  <c r="P204" s="1"/>
  <c r="AC178"/>
  <c r="AC204" s="1"/>
  <c r="W178"/>
  <c r="W204" s="1"/>
  <c r="S178"/>
  <c r="S204" s="1"/>
  <c r="E214" i="5"/>
  <c r="E242" s="1"/>
  <c r="AE178" i="3"/>
  <c r="AE204" s="1"/>
  <c r="M178"/>
  <c r="M204" s="1"/>
  <c r="I178"/>
  <c r="I204" s="1"/>
  <c r="E178"/>
  <c r="E204" s="1"/>
  <c r="Q178"/>
  <c r="Q204" s="1"/>
  <c r="AB178"/>
  <c r="AB204" s="1"/>
  <c r="Z177"/>
  <c r="Z203" s="1"/>
  <c r="AF178"/>
  <c r="AF204" s="1"/>
  <c r="AD177"/>
  <c r="AD203" s="1"/>
  <c r="J175" i="4"/>
  <c r="J203" s="1"/>
  <c r="N178" i="3"/>
  <c r="N204" s="1"/>
  <c r="J178"/>
  <c r="J204" s="1"/>
  <c r="F178"/>
  <c r="F204" s="1"/>
  <c r="R178"/>
  <c r="R204" s="1"/>
  <c r="Y177"/>
  <c r="Y203" s="1"/>
  <c r="U177"/>
  <c r="U203" s="1"/>
  <c r="AG177"/>
  <c r="AG203" s="1"/>
  <c r="AA177"/>
  <c r="AA203" s="1"/>
  <c r="K177"/>
  <c r="K203" s="1"/>
  <c r="G177"/>
  <c r="G203" s="1"/>
  <c r="C177"/>
  <c r="C203" s="1"/>
  <c r="O177"/>
  <c r="O203" s="1"/>
  <c r="X177"/>
  <c r="X203" s="1"/>
  <c r="B178"/>
  <c r="B204" s="1"/>
  <c r="V178"/>
  <c r="V204" s="1"/>
  <c r="N177"/>
  <c r="N203" s="1"/>
  <c r="J177"/>
  <c r="J203" s="1"/>
  <c r="F177"/>
  <c r="F203" s="1"/>
  <c r="R177"/>
  <c r="R203" s="1"/>
  <c r="Y178"/>
  <c r="Y204" s="1"/>
  <c r="U178"/>
  <c r="U204" s="1"/>
  <c r="AG178"/>
  <c r="AG204" s="1"/>
  <c r="P214" i="5"/>
  <c r="P242" s="1"/>
  <c r="Q214"/>
  <c r="Q242" s="1"/>
  <c r="D214"/>
  <c r="D242" s="1"/>
  <c r="C215"/>
  <c r="C243" s="1"/>
  <c r="AC213"/>
  <c r="AC241" s="1"/>
  <c r="Z215"/>
  <c r="Z243" s="1"/>
  <c r="AG213"/>
  <c r="AG241" s="1"/>
  <c r="AA215"/>
  <c r="AA243" s="1"/>
  <c r="R213"/>
  <c r="R241" s="1"/>
  <c r="AE215"/>
  <c r="AE243" s="1"/>
  <c r="F213"/>
  <c r="F241" s="1"/>
  <c r="G215"/>
  <c r="G243" s="1"/>
  <c r="S215"/>
  <c r="S243" s="1"/>
  <c r="AF214"/>
  <c r="AF242" s="1"/>
  <c r="X214"/>
  <c r="X242" s="1"/>
  <c r="O215"/>
  <c r="O243" s="1"/>
  <c r="L215"/>
  <c r="L243" s="1"/>
  <c r="V213"/>
  <c r="V241" s="1"/>
  <c r="I214"/>
  <c r="I242" s="1"/>
  <c r="K215"/>
  <c r="K243" s="1"/>
  <c r="U214"/>
  <c r="U242" s="1"/>
  <c r="W215"/>
  <c r="W243" s="1"/>
  <c r="H214"/>
  <c r="H242" s="1"/>
  <c r="AB214"/>
  <c r="AB242" s="1"/>
  <c r="C242"/>
  <c r="S177" i="4"/>
  <c r="S205" s="1"/>
  <c r="S178"/>
  <c r="S206" s="1"/>
  <c r="S180"/>
  <c r="S208" s="1"/>
  <c r="S175"/>
  <c r="S203" s="1"/>
  <c r="H229" i="5"/>
  <c r="H257" s="1"/>
  <c r="V218"/>
  <c r="V246" s="1"/>
  <c r="K221"/>
  <c r="K249" s="1"/>
  <c r="U219"/>
  <c r="U247" s="1"/>
  <c r="E219"/>
  <c r="E247" s="1"/>
  <c r="S217"/>
  <c r="S245" s="1"/>
  <c r="X220"/>
  <c r="X248" s="1"/>
  <c r="P215"/>
  <c r="P243" s="1"/>
  <c r="S213"/>
  <c r="S241" s="1"/>
  <c r="Q215"/>
  <c r="Q243" s="1"/>
  <c r="AF215"/>
  <c r="AF243" s="1"/>
  <c r="D215"/>
  <c r="D243" s="1"/>
  <c r="X215"/>
  <c r="X243" s="1"/>
  <c r="C213"/>
  <c r="C241" s="1"/>
  <c r="O213"/>
  <c r="O241" s="1"/>
  <c r="AC215"/>
  <c r="AC243" s="1"/>
  <c r="AD215"/>
  <c r="AD243" s="1"/>
  <c r="AG215"/>
  <c r="AG243" s="1"/>
  <c r="M213"/>
  <c r="M241" s="1"/>
  <c r="AA213"/>
  <c r="AA241" s="1"/>
  <c r="V214"/>
  <c r="V242" s="1"/>
  <c r="R214"/>
  <c r="R242" s="1"/>
  <c r="I215"/>
  <c r="I243" s="1"/>
  <c r="AE213"/>
  <c r="AE241" s="1"/>
  <c r="K213"/>
  <c r="K241" s="1"/>
  <c r="F214"/>
  <c r="F242" s="1"/>
  <c r="G213"/>
  <c r="G241" s="1"/>
  <c r="U215"/>
  <c r="U243" s="1"/>
  <c r="Y215"/>
  <c r="Y243" s="1"/>
  <c r="W213"/>
  <c r="W241" s="1"/>
  <c r="J214"/>
  <c r="J242" s="1"/>
  <c r="H215"/>
  <c r="H243" s="1"/>
  <c r="E215"/>
  <c r="E243" s="1"/>
  <c r="AB215"/>
  <c r="AB243" s="1"/>
  <c r="AG178" i="4"/>
  <c r="AG206" s="1"/>
  <c r="AD214" i="5"/>
  <c r="AD242" s="1"/>
  <c r="M215"/>
  <c r="M243" s="1"/>
  <c r="N177" i="4"/>
  <c r="N205" s="1"/>
  <c r="N178"/>
  <c r="N206" s="1"/>
  <c r="N179"/>
  <c r="N207" s="1"/>
  <c r="P229" i="5"/>
  <c r="P257" s="1"/>
  <c r="N218"/>
  <c r="N246" s="1"/>
  <c r="I224"/>
  <c r="I252" s="1"/>
  <c r="J218"/>
  <c r="J246" s="1"/>
  <c r="W221"/>
  <c r="W249" s="1"/>
  <c r="AF216"/>
  <c r="AF244" s="1"/>
  <c r="O217"/>
  <c r="O245" s="1"/>
  <c r="M223"/>
  <c r="M251" s="1"/>
  <c r="L213"/>
  <c r="L241" s="1"/>
  <c r="N214"/>
  <c r="N242" s="1"/>
  <c r="N176" i="4"/>
  <c r="AG175"/>
  <c r="AG203" s="1"/>
  <c r="AG176"/>
  <c r="AG204" s="1"/>
  <c r="AG177"/>
  <c r="AG205" s="1"/>
  <c r="AE184"/>
  <c r="AE212" s="1"/>
  <c r="N213" i="5"/>
  <c r="C234"/>
  <c r="C262" s="1"/>
  <c r="M227"/>
  <c r="M255" s="1"/>
  <c r="W234"/>
  <c r="W262" s="1"/>
  <c r="O229"/>
  <c r="O257" s="1"/>
  <c r="D228"/>
  <c r="D256" s="1"/>
  <c r="AD226"/>
  <c r="AD254" s="1"/>
  <c r="E218"/>
  <c r="E246" s="1"/>
  <c r="E227"/>
  <c r="E255" s="1"/>
  <c r="AG227"/>
  <c r="AG255" s="1"/>
  <c r="AB220"/>
  <c r="AB248" s="1"/>
  <c r="Z232"/>
  <c r="Z260" s="1"/>
  <c r="N235"/>
  <c r="N263" s="1"/>
  <c r="K234"/>
  <c r="K262" s="1"/>
  <c r="J234"/>
  <c r="J262" s="1"/>
  <c r="AF233"/>
  <c r="AF261" s="1"/>
  <c r="S234"/>
  <c r="S262" s="1"/>
  <c r="AB219"/>
  <c r="AB247" s="1"/>
  <c r="X233"/>
  <c r="X261" s="1"/>
  <c r="AC227"/>
  <c r="AC255" s="1"/>
  <c r="N226"/>
  <c r="N254" s="1"/>
  <c r="N216"/>
  <c r="N244" s="1"/>
  <c r="R225"/>
  <c r="R253" s="1"/>
  <c r="K216"/>
  <c r="K244" s="1"/>
  <c r="G216"/>
  <c r="G244" s="1"/>
  <c r="E220"/>
  <c r="E248" s="1"/>
  <c r="AB225"/>
  <c r="AB253" s="1"/>
  <c r="E217"/>
  <c r="E245" s="1"/>
  <c r="AB218"/>
  <c r="AB246" s="1"/>
  <c r="L219"/>
  <c r="L247" s="1"/>
  <c r="Q220"/>
  <c r="Q248" s="1"/>
  <c r="X219"/>
  <c r="X247" s="1"/>
  <c r="M225"/>
  <c r="M253" s="1"/>
  <c r="X217"/>
  <c r="X245" s="1"/>
  <c r="V217"/>
  <c r="V245" s="1"/>
  <c r="R220"/>
  <c r="R248" s="1"/>
  <c r="F225"/>
  <c r="F253" s="1"/>
  <c r="G222"/>
  <c r="G250" s="1"/>
  <c r="J224"/>
  <c r="J252" s="1"/>
  <c r="E222"/>
  <c r="E250" s="1"/>
  <c r="E224"/>
  <c r="E252" s="1"/>
  <c r="O216"/>
  <c r="O244" s="1"/>
  <c r="R217"/>
  <c r="R245" s="1"/>
  <c r="I217"/>
  <c r="I245" s="1"/>
  <c r="K224"/>
  <c r="K252" s="1"/>
  <c r="E216"/>
  <c r="E244" s="1"/>
  <c r="Q217"/>
  <c r="Q245" s="1"/>
  <c r="D218"/>
  <c r="D246" s="1"/>
  <c r="AD225"/>
  <c r="AD253" s="1"/>
  <c r="M218"/>
  <c r="M246" s="1"/>
  <c r="N230"/>
  <c r="N258" s="1"/>
  <c r="AC218"/>
  <c r="AC246" s="1"/>
  <c r="AA216"/>
  <c r="AA244" s="1"/>
  <c r="AE216"/>
  <c r="AE244" s="1"/>
  <c r="K218"/>
  <c r="K246" s="1"/>
  <c r="G224"/>
  <c r="G252" s="1"/>
  <c r="U218"/>
  <c r="U246" s="1"/>
  <c r="J221"/>
  <c r="J249" s="1"/>
  <c r="E221"/>
  <c r="E249" s="1"/>
  <c r="E223"/>
  <c r="E251" s="1"/>
  <c r="AB217"/>
  <c r="AB245" s="1"/>
  <c r="W216"/>
  <c r="W244" s="1"/>
  <c r="S224"/>
  <c r="S252" s="1"/>
  <c r="C216"/>
  <c r="C244" s="1"/>
  <c r="O223"/>
  <c r="O251" s="1"/>
  <c r="M217"/>
  <c r="M245" s="1"/>
  <c r="M224"/>
  <c r="M252" s="1"/>
  <c r="O224"/>
  <c r="O252" s="1"/>
  <c r="M222"/>
  <c r="M250" s="1"/>
  <c r="M220"/>
  <c r="M248" s="1"/>
  <c r="AC179" i="4"/>
  <c r="AC207" s="1"/>
  <c r="AA179"/>
  <c r="AA207" s="1"/>
  <c r="N232" i="5"/>
  <c r="N260" s="1"/>
  <c r="AC219"/>
  <c r="AC247" s="1"/>
  <c r="N221"/>
  <c r="N249" s="1"/>
  <c r="AA224"/>
  <c r="AA252" s="1"/>
  <c r="I218"/>
  <c r="I246" s="1"/>
  <c r="G223"/>
  <c r="G251" s="1"/>
  <c r="U216"/>
  <c r="U244" s="1"/>
  <c r="J216"/>
  <c r="J244" s="1"/>
  <c r="W218"/>
  <c r="W246" s="1"/>
  <c r="AF218"/>
  <c r="AF246" s="1"/>
  <c r="M221"/>
  <c r="M249" s="1"/>
  <c r="M219"/>
  <c r="M247" s="1"/>
  <c r="AC217"/>
  <c r="AC245" s="1"/>
  <c r="N224"/>
  <c r="N252" s="1"/>
  <c r="R219"/>
  <c r="R247" s="1"/>
  <c r="I225"/>
  <c r="I253" s="1"/>
  <c r="G221"/>
  <c r="G249" s="1"/>
  <c r="AF217"/>
  <c r="AF245" s="1"/>
  <c r="X223"/>
  <c r="X251" s="1"/>
  <c r="X221"/>
  <c r="X249" s="1"/>
  <c r="AE179" i="4"/>
  <c r="AE207" s="1"/>
  <c r="I219" i="5"/>
  <c r="I247" s="1"/>
  <c r="P218"/>
  <c r="P246" s="1"/>
  <c r="AF223"/>
  <c r="AF251" s="1"/>
  <c r="AF220"/>
  <c r="AF248" s="1"/>
  <c r="X222"/>
  <c r="X250" s="1"/>
  <c r="X224"/>
  <c r="X252" s="1"/>
  <c r="AC225"/>
  <c r="AC253" s="1"/>
  <c r="N223"/>
  <c r="N251" s="1"/>
  <c r="AA221"/>
  <c r="AA249" s="1"/>
  <c r="I220"/>
  <c r="I248" s="1"/>
  <c r="K217"/>
  <c r="K245" s="1"/>
  <c r="J223"/>
  <c r="J251" s="1"/>
  <c r="AF219"/>
  <c r="AF247" s="1"/>
  <c r="AF225"/>
  <c r="AF253" s="1"/>
  <c r="D225"/>
  <c r="D253" s="1"/>
  <c r="X218"/>
  <c r="X246" s="1"/>
  <c r="X225"/>
  <c r="X253" s="1"/>
  <c r="O222"/>
  <c r="O250" s="1"/>
  <c r="Z224"/>
  <c r="Z252" s="1"/>
  <c r="M216"/>
  <c r="M244" s="1"/>
  <c r="L225"/>
  <c r="L253" s="1"/>
  <c r="N225"/>
  <c r="N253" s="1"/>
  <c r="N219"/>
  <c r="N247" s="1"/>
  <c r="V223"/>
  <c r="V251" s="1"/>
  <c r="AE222"/>
  <c r="AE250" s="1"/>
  <c r="F219"/>
  <c r="F247" s="1"/>
  <c r="U217"/>
  <c r="U245" s="1"/>
  <c r="Y217"/>
  <c r="Y245" s="1"/>
  <c r="J225"/>
  <c r="J253" s="1"/>
  <c r="J219"/>
  <c r="J247" s="1"/>
  <c r="H219"/>
  <c r="H247" s="1"/>
  <c r="W217"/>
  <c r="W245" s="1"/>
  <c r="P225"/>
  <c r="P253" s="1"/>
  <c r="S223"/>
  <c r="S251" s="1"/>
  <c r="AF221"/>
  <c r="AF249" s="1"/>
  <c r="AF224"/>
  <c r="AF252" s="1"/>
  <c r="D217"/>
  <c r="D245" s="1"/>
  <c r="Z225"/>
  <c r="Z253" s="1"/>
  <c r="AG217"/>
  <c r="AG245" s="1"/>
  <c r="AB180" i="4"/>
  <c r="AB208" s="1"/>
  <c r="L217" i="5"/>
  <c r="L245" s="1"/>
  <c r="V224"/>
  <c r="V252" s="1"/>
  <c r="AE223"/>
  <c r="AE251" s="1"/>
  <c r="AC220"/>
  <c r="AC248" s="1"/>
  <c r="L218"/>
  <c r="L246" s="1"/>
  <c r="N217"/>
  <c r="N245" s="1"/>
  <c r="N220"/>
  <c r="N248" s="1"/>
  <c r="N222"/>
  <c r="N250" s="1"/>
  <c r="AA223"/>
  <c r="AA251" s="1"/>
  <c r="V225"/>
  <c r="V253" s="1"/>
  <c r="AE224"/>
  <c r="AE252" s="1"/>
  <c r="U224"/>
  <c r="U252" s="1"/>
  <c r="J217"/>
  <c r="J245" s="1"/>
  <c r="J220"/>
  <c r="J248" s="1"/>
  <c r="J222"/>
  <c r="J250" s="1"/>
  <c r="W224"/>
  <c r="W252" s="1"/>
  <c r="P219"/>
  <c r="P247" s="1"/>
  <c r="S216"/>
  <c r="S244" s="1"/>
  <c r="S221"/>
  <c r="S249" s="1"/>
  <c r="AF222"/>
  <c r="AF250" s="1"/>
  <c r="D219"/>
  <c r="D247" s="1"/>
  <c r="D220"/>
  <c r="D248" s="1"/>
  <c r="C222"/>
  <c r="C250" s="1"/>
  <c r="AD219"/>
  <c r="AD247" s="1"/>
  <c r="Z223"/>
  <c r="Z251" s="1"/>
  <c r="S222"/>
  <c r="S250" s="1"/>
  <c r="U232"/>
  <c r="U260" s="1"/>
  <c r="Q231"/>
  <c r="Q259" s="1"/>
  <c r="AC221"/>
  <c r="AC249" s="1"/>
  <c r="AC224"/>
  <c r="AC252" s="1"/>
  <c r="V216"/>
  <c r="V244" s="1"/>
  <c r="V222"/>
  <c r="V250" s="1"/>
  <c r="I222"/>
  <c r="I250" s="1"/>
  <c r="I216"/>
  <c r="I244" s="1"/>
  <c r="I223"/>
  <c r="I251" s="1"/>
  <c r="K220"/>
  <c r="K248" s="1"/>
  <c r="K222"/>
  <c r="K250" s="1"/>
  <c r="F217"/>
  <c r="F245" s="1"/>
  <c r="F218"/>
  <c r="F246" s="1"/>
  <c r="U222"/>
  <c r="U250" s="1"/>
  <c r="U220"/>
  <c r="U248" s="1"/>
  <c r="Y218"/>
  <c r="Y246" s="1"/>
  <c r="Y219"/>
  <c r="Y247" s="1"/>
  <c r="H225"/>
  <c r="H253" s="1"/>
  <c r="W219"/>
  <c r="W247" s="1"/>
  <c r="W225"/>
  <c r="W253" s="1"/>
  <c r="P217"/>
  <c r="P245" s="1"/>
  <c r="S220"/>
  <c r="S248" s="1"/>
  <c r="S218"/>
  <c r="S246" s="1"/>
  <c r="S225"/>
  <c r="S253" s="1"/>
  <c r="Q225"/>
  <c r="Q253" s="1"/>
  <c r="X216"/>
  <c r="X244" s="1"/>
  <c r="C224"/>
  <c r="C252" s="1"/>
  <c r="O220"/>
  <c r="O248" s="1"/>
  <c r="O218"/>
  <c r="O246" s="1"/>
  <c r="O225"/>
  <c r="O253" s="1"/>
  <c r="AD220"/>
  <c r="AD248" s="1"/>
  <c r="Z221"/>
  <c r="Z249" s="1"/>
  <c r="Z219"/>
  <c r="Z247" s="1"/>
  <c r="AG218"/>
  <c r="AG246" s="1"/>
  <c r="AG219"/>
  <c r="AG247" s="1"/>
  <c r="Y220"/>
  <c r="Y248" s="1"/>
  <c r="H217"/>
  <c r="H245" s="1"/>
  <c r="O221"/>
  <c r="O249" s="1"/>
  <c r="AG220"/>
  <c r="AG248" s="1"/>
  <c r="I227"/>
  <c r="I255" s="1"/>
  <c r="S232"/>
  <c r="S260" s="1"/>
  <c r="AC222"/>
  <c r="AC250" s="1"/>
  <c r="AC216"/>
  <c r="AC244" s="1"/>
  <c r="AA222"/>
  <c r="AA250" s="1"/>
  <c r="V221"/>
  <c r="V249" s="1"/>
  <c r="V219"/>
  <c r="V247" s="1"/>
  <c r="I221"/>
  <c r="I249" s="1"/>
  <c r="K219"/>
  <c r="K247" s="1"/>
  <c r="K225"/>
  <c r="K253" s="1"/>
  <c r="F220"/>
  <c r="F248" s="1"/>
  <c r="U221"/>
  <c r="U249" s="1"/>
  <c r="U223"/>
  <c r="U251" s="1"/>
  <c r="Y225"/>
  <c r="Y253" s="1"/>
  <c r="H218"/>
  <c r="H246" s="1"/>
  <c r="W220"/>
  <c r="W248" s="1"/>
  <c r="W222"/>
  <c r="W250" s="1"/>
  <c r="S219"/>
  <c r="S247" s="1"/>
  <c r="Q218"/>
  <c r="Q246" s="1"/>
  <c r="Q219"/>
  <c r="Q247" s="1"/>
  <c r="O219"/>
  <c r="O247" s="1"/>
  <c r="AD217"/>
  <c r="AD245" s="1"/>
  <c r="AD218"/>
  <c r="AD246" s="1"/>
  <c r="Z216"/>
  <c r="Z244" s="1"/>
  <c r="Z222"/>
  <c r="Z250" s="1"/>
  <c r="AG225"/>
  <c r="AG253" s="1"/>
  <c r="R226"/>
  <c r="R254" s="1"/>
  <c r="F226"/>
  <c r="F254" s="1"/>
  <c r="G230"/>
  <c r="G258" s="1"/>
  <c r="L222"/>
  <c r="L250" s="1"/>
  <c r="L216"/>
  <c r="L244" s="1"/>
  <c r="AA219"/>
  <c r="AA247" s="1"/>
  <c r="AA217"/>
  <c r="AA245" s="1"/>
  <c r="V220"/>
  <c r="V248" s="1"/>
  <c r="R221"/>
  <c r="R249" s="1"/>
  <c r="R224"/>
  <c r="R252" s="1"/>
  <c r="R222"/>
  <c r="R250" s="1"/>
  <c r="AE219"/>
  <c r="AE247" s="1"/>
  <c r="AE217"/>
  <c r="AE245" s="1"/>
  <c r="K223"/>
  <c r="K251" s="1"/>
  <c r="F221"/>
  <c r="F249" s="1"/>
  <c r="F224"/>
  <c r="F252" s="1"/>
  <c r="F222"/>
  <c r="F250" s="1"/>
  <c r="G219"/>
  <c r="G247" s="1"/>
  <c r="G217"/>
  <c r="G245" s="1"/>
  <c r="U225"/>
  <c r="U253" s="1"/>
  <c r="Y222"/>
  <c r="Y250" s="1"/>
  <c r="Y216"/>
  <c r="Y244" s="1"/>
  <c r="Y223"/>
  <c r="Y251" s="1"/>
  <c r="H222"/>
  <c r="H216"/>
  <c r="H244" s="1"/>
  <c r="E225"/>
  <c r="E253" s="1"/>
  <c r="AB223"/>
  <c r="AB251" s="1"/>
  <c r="AB221"/>
  <c r="AB249" s="1"/>
  <c r="AB224"/>
  <c r="AB252" s="1"/>
  <c r="W223"/>
  <c r="W251" s="1"/>
  <c r="P223"/>
  <c r="P251" s="1"/>
  <c r="P221"/>
  <c r="P249" s="1"/>
  <c r="P224"/>
  <c r="P252" s="1"/>
  <c r="Q221"/>
  <c r="Q249" s="1"/>
  <c r="Q224"/>
  <c r="Q252" s="1"/>
  <c r="D223"/>
  <c r="D251" s="1"/>
  <c r="D221"/>
  <c r="D224"/>
  <c r="C219"/>
  <c r="C247" s="1"/>
  <c r="C217"/>
  <c r="C245" s="1"/>
  <c r="AD216"/>
  <c r="AD244" s="1"/>
  <c r="AD223"/>
  <c r="AD251" s="1"/>
  <c r="Z217"/>
  <c r="Z245" s="1"/>
  <c r="Z220"/>
  <c r="Z248" s="1"/>
  <c r="AG222"/>
  <c r="AG250" s="1"/>
  <c r="AG216"/>
  <c r="AG244" s="1"/>
  <c r="AG223"/>
  <c r="AG251" s="1"/>
  <c r="R218"/>
  <c r="R246" s="1"/>
  <c r="P220"/>
  <c r="P248" s="1"/>
  <c r="AA234"/>
  <c r="AA262" s="1"/>
  <c r="AE234"/>
  <c r="AE262" s="1"/>
  <c r="Y227"/>
  <c r="Y255" s="1"/>
  <c r="L223"/>
  <c r="L251" s="1"/>
  <c r="L221"/>
  <c r="L224"/>
  <c r="L252" s="1"/>
  <c r="AA220"/>
  <c r="AA248" s="1"/>
  <c r="AA218"/>
  <c r="AA246" s="1"/>
  <c r="R216"/>
  <c r="R244" s="1"/>
  <c r="AE220"/>
  <c r="AE248" s="1"/>
  <c r="AE218"/>
  <c r="AE246" s="1"/>
  <c r="AE225"/>
  <c r="AE253" s="1"/>
  <c r="F216"/>
  <c r="F244" s="1"/>
  <c r="G220"/>
  <c r="G248" s="1"/>
  <c r="G218"/>
  <c r="G246" s="1"/>
  <c r="Y221"/>
  <c r="Y249" s="1"/>
  <c r="H223"/>
  <c r="H251" s="1"/>
  <c r="H221"/>
  <c r="H249" s="1"/>
  <c r="H224"/>
  <c r="H252" s="1"/>
  <c r="AB222"/>
  <c r="AB250" s="1"/>
  <c r="P222"/>
  <c r="P250" s="1"/>
  <c r="Q222"/>
  <c r="Q250" s="1"/>
  <c r="Q216"/>
  <c r="Q244" s="1"/>
  <c r="D222"/>
  <c r="D250" s="1"/>
  <c r="C220"/>
  <c r="C248" s="1"/>
  <c r="C218"/>
  <c r="C246" s="1"/>
  <c r="C225"/>
  <c r="C253" s="1"/>
  <c r="AD221"/>
  <c r="AD249" s="1"/>
  <c r="AD224"/>
  <c r="AD252" s="1"/>
  <c r="AG221"/>
  <c r="AG249" s="1"/>
  <c r="C223"/>
  <c r="C251" s="1"/>
  <c r="AB228"/>
  <c r="AB256" s="1"/>
  <c r="Y229"/>
  <c r="Y257" s="1"/>
  <c r="AB235"/>
  <c r="AB263" s="1"/>
  <c r="AF232"/>
  <c r="AF260" s="1"/>
  <c r="N231"/>
  <c r="N259" s="1"/>
  <c r="W233"/>
  <c r="W261" s="1"/>
  <c r="E228"/>
  <c r="E256" s="1"/>
  <c r="AB234"/>
  <c r="AB262" s="1"/>
  <c r="Y231"/>
  <c r="Y259" s="1"/>
  <c r="AD230"/>
  <c r="AD258" s="1"/>
  <c r="AC230"/>
  <c r="AC258" s="1"/>
  <c r="B227"/>
  <c r="B255" s="1"/>
  <c r="U233"/>
  <c r="U261" s="1"/>
  <c r="Y232"/>
  <c r="Y260" s="1"/>
  <c r="J235"/>
  <c r="J263" s="1"/>
  <c r="Q234"/>
  <c r="Q262" s="1"/>
  <c r="AD229"/>
  <c r="AD257" s="1"/>
  <c r="AG228"/>
  <c r="AG256" s="1"/>
  <c r="E231"/>
  <c r="E259" s="1"/>
  <c r="AB226"/>
  <c r="AB254" s="1"/>
  <c r="AB231"/>
  <c r="AB259" s="1"/>
  <c r="S228"/>
  <c r="S256" s="1"/>
  <c r="Q232"/>
  <c r="Q260" s="1"/>
  <c r="AF231"/>
  <c r="AF259" s="1"/>
  <c r="AF229"/>
  <c r="AF257" s="1"/>
  <c r="C235"/>
  <c r="C263" s="1"/>
  <c r="L229"/>
  <c r="L257" s="1"/>
  <c r="R234"/>
  <c r="R262" s="1"/>
  <c r="E230"/>
  <c r="E258" s="1"/>
  <c r="E234"/>
  <c r="E262" s="1"/>
  <c r="AB227"/>
  <c r="AB255" s="1"/>
  <c r="S233"/>
  <c r="S261" s="1"/>
  <c r="AF226"/>
  <c r="AF254" s="1"/>
  <c r="AF230"/>
  <c r="AF258" s="1"/>
  <c r="Z229"/>
  <c r="Z257" s="1"/>
  <c r="M229"/>
  <c r="M257" s="1"/>
  <c r="AF234"/>
  <c r="AF262" s="1"/>
  <c r="D232"/>
  <c r="D260" s="1"/>
  <c r="Z234"/>
  <c r="Z262" s="1"/>
  <c r="L233"/>
  <c r="L261" s="1"/>
  <c r="M226"/>
  <c r="M254" s="1"/>
  <c r="AA231"/>
  <c r="AA259" s="1"/>
  <c r="AE228"/>
  <c r="AE256" s="1"/>
  <c r="Y230"/>
  <c r="Y258" s="1"/>
  <c r="Y233"/>
  <c r="Y261" s="1"/>
  <c r="E229"/>
  <c r="E257" s="1"/>
  <c r="D226"/>
  <c r="D254" s="1"/>
  <c r="X230"/>
  <c r="X258" s="1"/>
  <c r="AD234"/>
  <c r="AD262" s="1"/>
  <c r="AD233"/>
  <c r="AD261" s="1"/>
  <c r="Z230"/>
  <c r="Z258" s="1"/>
  <c r="Z227"/>
  <c r="Z255" s="1"/>
  <c r="M233"/>
  <c r="M261" s="1"/>
  <c r="AA226"/>
  <c r="AA254" s="1"/>
  <c r="AE230"/>
  <c r="AE258" s="1"/>
  <c r="F233"/>
  <c r="F261" s="1"/>
  <c r="Y234"/>
  <c r="Y262" s="1"/>
  <c r="Y228"/>
  <c r="Y256" s="1"/>
  <c r="AF227"/>
  <c r="AF255" s="1"/>
  <c r="X226"/>
  <c r="X254" s="1"/>
  <c r="AD232"/>
  <c r="AD260" s="1"/>
  <c r="AD227"/>
  <c r="AD255" s="1"/>
  <c r="Z235"/>
  <c r="Z263" s="1"/>
  <c r="Z228"/>
  <c r="Z256" s="1"/>
  <c r="M230"/>
  <c r="M258" s="1"/>
  <c r="M231"/>
  <c r="M259" s="1"/>
  <c r="AD228"/>
  <c r="AD256" s="1"/>
  <c r="AD235"/>
  <c r="AD263" s="1"/>
  <c r="Z233"/>
  <c r="Z261" s="1"/>
  <c r="M228"/>
  <c r="M256" s="1"/>
  <c r="AA235"/>
  <c r="AA263" s="1"/>
  <c r="AA232"/>
  <c r="AA260" s="1"/>
  <c r="AA230"/>
  <c r="AA258" s="1"/>
  <c r="V230"/>
  <c r="V258" s="1"/>
  <c r="K229"/>
  <c r="K257" s="1"/>
  <c r="H235"/>
  <c r="H263" s="1"/>
  <c r="G227"/>
  <c r="G255" s="1"/>
  <c r="S230"/>
  <c r="S258" s="1"/>
  <c r="S235"/>
  <c r="S263" s="1"/>
  <c r="Q226"/>
  <c r="Q254" s="1"/>
  <c r="Q228"/>
  <c r="Q256" s="1"/>
  <c r="C229"/>
  <c r="C257" s="1"/>
  <c r="P231"/>
  <c r="P259" s="1"/>
  <c r="AC229"/>
  <c r="AC257" s="1"/>
  <c r="Z226"/>
  <c r="Z254" s="1"/>
  <c r="Z231"/>
  <c r="Z259" s="1"/>
  <c r="L234"/>
  <c r="L262" s="1"/>
  <c r="L231"/>
  <c r="L259" s="1"/>
  <c r="AG232"/>
  <c r="AG260" s="1"/>
  <c r="M234"/>
  <c r="M262" s="1"/>
  <c r="M232"/>
  <c r="M260" s="1"/>
  <c r="N227"/>
  <c r="N255" s="1"/>
  <c r="N229"/>
  <c r="N257" s="1"/>
  <c r="N234"/>
  <c r="N262" s="1"/>
  <c r="AA228"/>
  <c r="AA256" s="1"/>
  <c r="AA233"/>
  <c r="AA261" s="1"/>
  <c r="V233"/>
  <c r="V261" s="1"/>
  <c r="K226"/>
  <c r="K254" s="1"/>
  <c r="G228"/>
  <c r="G256" s="1"/>
  <c r="Q227"/>
  <c r="Q255" s="1"/>
  <c r="L227"/>
  <c r="L255" s="1"/>
  <c r="AA227"/>
  <c r="AA255" s="1"/>
  <c r="AA229"/>
  <c r="AA257" s="1"/>
  <c r="V232"/>
  <c r="V260" s="1"/>
  <c r="V228"/>
  <c r="V256" s="1"/>
  <c r="AE231"/>
  <c r="AE259" s="1"/>
  <c r="K232"/>
  <c r="K260" s="1"/>
  <c r="K227"/>
  <c r="K255" s="1"/>
  <c r="Y226"/>
  <c r="Y254" s="1"/>
  <c r="Y235"/>
  <c r="Y263" s="1"/>
  <c r="J228"/>
  <c r="J256" s="1"/>
  <c r="S231"/>
  <c r="S259" s="1"/>
  <c r="S226"/>
  <c r="S254" s="1"/>
  <c r="S227"/>
  <c r="S255" s="1"/>
  <c r="Q229"/>
  <c r="Q257" s="1"/>
  <c r="Q235"/>
  <c r="Q263" s="1"/>
  <c r="AF235"/>
  <c r="AF263" s="1"/>
  <c r="X228"/>
  <c r="X256" s="1"/>
  <c r="O235"/>
  <c r="O263" s="1"/>
  <c r="P233"/>
  <c r="P261" s="1"/>
  <c r="AC232"/>
  <c r="AC260" s="1"/>
  <c r="L230"/>
  <c r="L258" s="1"/>
  <c r="AG229"/>
  <c r="AG257" s="1"/>
  <c r="N228"/>
  <c r="N256" s="1"/>
  <c r="N233"/>
  <c r="N261" s="1"/>
  <c r="P226"/>
  <c r="P254" s="1"/>
  <c r="B260"/>
  <c r="AI207"/>
  <c r="AK207"/>
  <c r="V231"/>
  <c r="V259" s="1"/>
  <c r="V235"/>
  <c r="V263" s="1"/>
  <c r="R232"/>
  <c r="R260" s="1"/>
  <c r="R229"/>
  <c r="R257" s="1"/>
  <c r="R227"/>
  <c r="R255" s="1"/>
  <c r="I235"/>
  <c r="I263" s="1"/>
  <c r="I232"/>
  <c r="I260" s="1"/>
  <c r="AE226"/>
  <c r="AE254" s="1"/>
  <c r="AE235"/>
  <c r="AE263" s="1"/>
  <c r="AE229"/>
  <c r="AE257" s="1"/>
  <c r="K233"/>
  <c r="K261" s="1"/>
  <c r="K230"/>
  <c r="K258" s="1"/>
  <c r="F228"/>
  <c r="F256" s="1"/>
  <c r="F229"/>
  <c r="F257" s="1"/>
  <c r="F234"/>
  <c r="F262" s="1"/>
  <c r="B228"/>
  <c r="U234"/>
  <c r="U262" s="1"/>
  <c r="U226"/>
  <c r="U254" s="1"/>
  <c r="U228"/>
  <c r="U256" s="1"/>
  <c r="W232"/>
  <c r="W260" s="1"/>
  <c r="W228"/>
  <c r="W256" s="1"/>
  <c r="W235"/>
  <c r="W263" s="1"/>
  <c r="J229"/>
  <c r="J257" s="1"/>
  <c r="J227"/>
  <c r="J255" s="1"/>
  <c r="H228"/>
  <c r="H256" s="1"/>
  <c r="H230"/>
  <c r="H258" s="1"/>
  <c r="H234"/>
  <c r="H262" s="1"/>
  <c r="E235"/>
  <c r="E263" s="1"/>
  <c r="E232"/>
  <c r="E260" s="1"/>
  <c r="AB233"/>
  <c r="AB261" s="1"/>
  <c r="AB230"/>
  <c r="AB258" s="1"/>
  <c r="AB232"/>
  <c r="AB260" s="1"/>
  <c r="G235"/>
  <c r="G263" s="1"/>
  <c r="G229"/>
  <c r="G257" s="1"/>
  <c r="S229"/>
  <c r="S257" s="1"/>
  <c r="Q233"/>
  <c r="Q261" s="1"/>
  <c r="Q230"/>
  <c r="Q258" s="1"/>
  <c r="AF228"/>
  <c r="AF256" s="1"/>
  <c r="D234"/>
  <c r="D262" s="1"/>
  <c r="D229"/>
  <c r="D257" s="1"/>
  <c r="X235"/>
  <c r="X263" s="1"/>
  <c r="X231"/>
  <c r="X259" s="1"/>
  <c r="X234"/>
  <c r="X262" s="1"/>
  <c r="C227"/>
  <c r="C255" s="1"/>
  <c r="C228"/>
  <c r="C256" s="1"/>
  <c r="O228"/>
  <c r="O256" s="1"/>
  <c r="O231"/>
  <c r="O259" s="1"/>
  <c r="O233"/>
  <c r="O261" s="1"/>
  <c r="P228"/>
  <c r="P256" s="1"/>
  <c r="P235"/>
  <c r="P263" s="1"/>
  <c r="AC234"/>
  <c r="AC262" s="1"/>
  <c r="AC226"/>
  <c r="AC254" s="1"/>
  <c r="AC235"/>
  <c r="AC263" s="1"/>
  <c r="L235"/>
  <c r="L263" s="1"/>
  <c r="AG233"/>
  <c r="AG261" s="1"/>
  <c r="AG231"/>
  <c r="AG259" s="1"/>
  <c r="I210"/>
  <c r="I238" s="1"/>
  <c r="R233"/>
  <c r="R261" s="1"/>
  <c r="R228"/>
  <c r="R256" s="1"/>
  <c r="R235"/>
  <c r="R263" s="1"/>
  <c r="I233"/>
  <c r="I261" s="1"/>
  <c r="I230"/>
  <c r="I258" s="1"/>
  <c r="AE227"/>
  <c r="AE255" s="1"/>
  <c r="F232"/>
  <c r="F260" s="1"/>
  <c r="F235"/>
  <c r="F263" s="1"/>
  <c r="F227"/>
  <c r="F255" s="1"/>
  <c r="B234"/>
  <c r="U231"/>
  <c r="U259" s="1"/>
  <c r="U227"/>
  <c r="U255" s="1"/>
  <c r="U235"/>
  <c r="U263" s="1"/>
  <c r="W231"/>
  <c r="W259" s="1"/>
  <c r="W227"/>
  <c r="W255" s="1"/>
  <c r="W230"/>
  <c r="W258" s="1"/>
  <c r="J226"/>
  <c r="J254" s="1"/>
  <c r="J232"/>
  <c r="J260" s="1"/>
  <c r="H233"/>
  <c r="H261" s="1"/>
  <c r="H226"/>
  <c r="H254" s="1"/>
  <c r="H232"/>
  <c r="H260" s="1"/>
  <c r="G232"/>
  <c r="G260" s="1"/>
  <c r="G231"/>
  <c r="G259" s="1"/>
  <c r="D230"/>
  <c r="D258" s="1"/>
  <c r="D231"/>
  <c r="D259" s="1"/>
  <c r="X232"/>
  <c r="X260" s="1"/>
  <c r="X227"/>
  <c r="X255" s="1"/>
  <c r="C233"/>
  <c r="C261" s="1"/>
  <c r="C230"/>
  <c r="C258" s="1"/>
  <c r="O234"/>
  <c r="O262" s="1"/>
  <c r="O230"/>
  <c r="O258" s="1"/>
  <c r="O232"/>
  <c r="O260" s="1"/>
  <c r="P232"/>
  <c r="P260" s="1"/>
  <c r="AC233"/>
  <c r="AC261" s="1"/>
  <c r="AG234"/>
  <c r="AG262" s="1"/>
  <c r="B259"/>
  <c r="AJ208"/>
  <c r="AJ165" s="1"/>
  <c r="AH208"/>
  <c r="I231"/>
  <c r="I259" s="1"/>
  <c r="I228"/>
  <c r="I256" s="1"/>
  <c r="B235"/>
  <c r="AG226"/>
  <c r="AG254" s="1"/>
  <c r="V234"/>
  <c r="V262" s="1"/>
  <c r="V229"/>
  <c r="V257" s="1"/>
  <c r="V227"/>
  <c r="V255" s="1"/>
  <c r="R231"/>
  <c r="R259" s="1"/>
  <c r="R230"/>
  <c r="R258" s="1"/>
  <c r="I229"/>
  <c r="I257" s="1"/>
  <c r="I234"/>
  <c r="I262" s="1"/>
  <c r="I226"/>
  <c r="I254" s="1"/>
  <c r="AE232"/>
  <c r="AE260" s="1"/>
  <c r="AE233"/>
  <c r="AE261" s="1"/>
  <c r="K231"/>
  <c r="K259" s="1"/>
  <c r="K228"/>
  <c r="K256" s="1"/>
  <c r="K235"/>
  <c r="K263" s="1"/>
  <c r="F230"/>
  <c r="F258" s="1"/>
  <c r="F231"/>
  <c r="F259" s="1"/>
  <c r="B229"/>
  <c r="B230"/>
  <c r="B233"/>
  <c r="U229"/>
  <c r="U257" s="1"/>
  <c r="U230"/>
  <c r="U258" s="1"/>
  <c r="W226"/>
  <c r="W254" s="1"/>
  <c r="W229"/>
  <c r="W257" s="1"/>
  <c r="J231"/>
  <c r="J259" s="1"/>
  <c r="J233"/>
  <c r="J261" s="1"/>
  <c r="J230"/>
  <c r="J258" s="1"/>
  <c r="H227"/>
  <c r="H255" s="1"/>
  <c r="H231"/>
  <c r="H259" s="1"/>
  <c r="E226"/>
  <c r="E254" s="1"/>
  <c r="E233"/>
  <c r="E261" s="1"/>
  <c r="G234"/>
  <c r="G262" s="1"/>
  <c r="G226"/>
  <c r="G254" s="1"/>
  <c r="G233"/>
  <c r="G261" s="1"/>
  <c r="D227"/>
  <c r="D255" s="1"/>
  <c r="D235"/>
  <c r="D263" s="1"/>
  <c r="D233"/>
  <c r="D261" s="1"/>
  <c r="X229"/>
  <c r="X257" s="1"/>
  <c r="C231"/>
  <c r="C259" s="1"/>
  <c r="C232"/>
  <c r="C260" s="1"/>
  <c r="C226"/>
  <c r="C254" s="1"/>
  <c r="O227"/>
  <c r="O255" s="1"/>
  <c r="O226"/>
  <c r="O254" s="1"/>
  <c r="P230"/>
  <c r="P258" s="1"/>
  <c r="P234"/>
  <c r="P262" s="1"/>
  <c r="P227"/>
  <c r="P255" s="1"/>
  <c r="AC231"/>
  <c r="AC259" s="1"/>
  <c r="AC228"/>
  <c r="AC256" s="1"/>
  <c r="AD231"/>
  <c r="AD259" s="1"/>
  <c r="L226"/>
  <c r="L254" s="1"/>
  <c r="L228"/>
  <c r="L256" s="1"/>
  <c r="AG230"/>
  <c r="AG258" s="1"/>
  <c r="AG235"/>
  <c r="AG263" s="1"/>
  <c r="M235"/>
  <c r="M263" s="1"/>
  <c r="P181" i="3"/>
  <c r="P207" s="1"/>
  <c r="O182" i="4"/>
  <c r="O210" s="1"/>
  <c r="O187"/>
  <c r="O215" s="1"/>
  <c r="AB187"/>
  <c r="AB215" s="1"/>
  <c r="V185"/>
  <c r="V213" s="1"/>
  <c r="C187"/>
  <c r="C215" s="1"/>
  <c r="C183"/>
  <c r="C211" s="1"/>
  <c r="G181"/>
  <c r="G209" s="1"/>
  <c r="C184"/>
  <c r="C212" s="1"/>
  <c r="V183"/>
  <c r="V211" s="1"/>
  <c r="C186"/>
  <c r="C214" s="1"/>
  <c r="E183"/>
  <c r="E211" s="1"/>
  <c r="D187"/>
  <c r="D215" s="1"/>
  <c r="Y186"/>
  <c r="Y214" s="1"/>
  <c r="O183"/>
  <c r="O211" s="1"/>
  <c r="V187"/>
  <c r="V215" s="1"/>
  <c r="V181"/>
  <c r="V209" s="1"/>
  <c r="K187"/>
  <c r="K215" s="1"/>
  <c r="K184"/>
  <c r="K212" s="1"/>
  <c r="D181"/>
  <c r="D209" s="1"/>
  <c r="M184"/>
  <c r="M212" s="1"/>
  <c r="AA184"/>
  <c r="AA212" s="1"/>
  <c r="H185"/>
  <c r="H213" s="1"/>
  <c r="AD187"/>
  <c r="AD215" s="1"/>
  <c r="U181"/>
  <c r="U209" s="1"/>
  <c r="O185"/>
  <c r="O213" s="1"/>
  <c r="O181"/>
  <c r="O209" s="1"/>
  <c r="V182"/>
  <c r="V210" s="1"/>
  <c r="W181"/>
  <c r="W209" s="1"/>
  <c r="N181"/>
  <c r="N209" s="1"/>
  <c r="E185"/>
  <c r="E213" s="1"/>
  <c r="D184"/>
  <c r="D212" s="1"/>
  <c r="U187"/>
  <c r="U215" s="1"/>
  <c r="U184"/>
  <c r="U212" s="1"/>
  <c r="O184"/>
  <c r="O212" s="1"/>
  <c r="F182"/>
  <c r="F210" s="1"/>
  <c r="AA186"/>
  <c r="AA214" s="1"/>
  <c r="U185"/>
  <c r="U213" s="1"/>
  <c r="U182"/>
  <c r="U210" s="1"/>
  <c r="W184"/>
  <c r="W212" s="1"/>
  <c r="C182"/>
  <c r="C210" s="1"/>
  <c r="F188"/>
  <c r="F216" s="1"/>
  <c r="K181"/>
  <c r="K209" s="1"/>
  <c r="M183"/>
  <c r="M211" s="1"/>
  <c r="AA182"/>
  <c r="AA210" s="1"/>
  <c r="AA185"/>
  <c r="AA213" s="1"/>
  <c r="AF182"/>
  <c r="AF210" s="1"/>
  <c r="W187"/>
  <c r="W215" s="1"/>
  <c r="C188"/>
  <c r="C216" s="1"/>
  <c r="C181"/>
  <c r="C209" s="1"/>
  <c r="S188"/>
  <c r="S216" s="1"/>
  <c r="AG186"/>
  <c r="AG214" s="1"/>
  <c r="AE183"/>
  <c r="AE211" s="1"/>
  <c r="B184"/>
  <c r="B212" s="1"/>
  <c r="R187"/>
  <c r="R215" s="1"/>
  <c r="N182"/>
  <c r="N210" s="1"/>
  <c r="AC185"/>
  <c r="AC213" s="1"/>
  <c r="E187"/>
  <c r="E215" s="1"/>
  <c r="E182"/>
  <c r="E210" s="1"/>
  <c r="G188"/>
  <c r="G216" s="1"/>
  <c r="M181"/>
  <c r="M209" s="1"/>
  <c r="S185"/>
  <c r="S213" s="1"/>
  <c r="AG182"/>
  <c r="AG210" s="1"/>
  <c r="AE186"/>
  <c r="AE214" s="1"/>
  <c r="G183"/>
  <c r="G211" s="1"/>
  <c r="AA183"/>
  <c r="AA211" s="1"/>
  <c r="U183"/>
  <c r="U211" s="1"/>
  <c r="J187"/>
  <c r="J215" s="1"/>
  <c r="AG181"/>
  <c r="AG209" s="1"/>
  <c r="AE182"/>
  <c r="AE210" s="1"/>
  <c r="N183"/>
  <c r="N211" s="1"/>
  <c r="L186"/>
  <c r="L214" s="1"/>
  <c r="AC182"/>
  <c r="AC210" s="1"/>
  <c r="E184"/>
  <c r="E212" s="1"/>
  <c r="G184"/>
  <c r="G212" s="1"/>
  <c r="G185"/>
  <c r="G213" s="1"/>
  <c r="B215"/>
  <c r="Y179" i="3"/>
  <c r="Y205" s="1"/>
  <c r="AA181" i="4"/>
  <c r="AA209" s="1"/>
  <c r="AA187"/>
  <c r="AA215" s="1"/>
  <c r="I185"/>
  <c r="I213" s="1"/>
  <c r="I182"/>
  <c r="I210" s="1"/>
  <c r="H181"/>
  <c r="H209" s="1"/>
  <c r="H184"/>
  <c r="H212" s="1"/>
  <c r="Y184"/>
  <c r="Y212" s="1"/>
  <c r="Y183"/>
  <c r="Y211" s="1"/>
  <c r="AD183"/>
  <c r="AD211" s="1"/>
  <c r="AD182"/>
  <c r="AD210" s="1"/>
  <c r="AB182"/>
  <c r="AB210" s="1"/>
  <c r="AB181"/>
  <c r="AB209" s="1"/>
  <c r="P185"/>
  <c r="P213" s="1"/>
  <c r="P184"/>
  <c r="P212" s="1"/>
  <c r="AF188"/>
  <c r="AF216" s="1"/>
  <c r="AF186"/>
  <c r="AF214" s="1"/>
  <c r="J183"/>
  <c r="J211" s="1"/>
  <c r="J182"/>
  <c r="J210" s="1"/>
  <c r="Z188"/>
  <c r="Z216" s="1"/>
  <c r="Z181"/>
  <c r="Z209" s="1"/>
  <c r="V188"/>
  <c r="V216" s="1"/>
  <c r="V184"/>
  <c r="V212" s="1"/>
  <c r="X185"/>
  <c r="X213" s="1"/>
  <c r="X181"/>
  <c r="X209" s="1"/>
  <c r="W186"/>
  <c r="W214" s="1"/>
  <c r="W183"/>
  <c r="W211" s="1"/>
  <c r="Q185"/>
  <c r="Q213" s="1"/>
  <c r="Q184"/>
  <c r="Q212" s="1"/>
  <c r="S186"/>
  <c r="S214" s="1"/>
  <c r="S181"/>
  <c r="S209" s="1"/>
  <c r="AG185"/>
  <c r="AG213" s="1"/>
  <c r="AG188"/>
  <c r="AG216" s="1"/>
  <c r="AE181"/>
  <c r="AE209" s="1"/>
  <c r="AE185"/>
  <c r="AE213" s="1"/>
  <c r="F187"/>
  <c r="F215" s="1"/>
  <c r="F183"/>
  <c r="F211" s="1"/>
  <c r="K186"/>
  <c r="K214" s="1"/>
  <c r="K183"/>
  <c r="K211" s="1"/>
  <c r="B183"/>
  <c r="B182"/>
  <c r="R188"/>
  <c r="R216" s="1"/>
  <c r="R181"/>
  <c r="R209" s="1"/>
  <c r="N185"/>
  <c r="N213" s="1"/>
  <c r="N188"/>
  <c r="N216" s="1"/>
  <c r="L185"/>
  <c r="L213" s="1"/>
  <c r="L183"/>
  <c r="L211" s="1"/>
  <c r="AC188"/>
  <c r="AC216" s="1"/>
  <c r="AC183"/>
  <c r="AC211" s="1"/>
  <c r="E188"/>
  <c r="E216" s="1"/>
  <c r="E181"/>
  <c r="E209" s="1"/>
  <c r="D182"/>
  <c r="D210" s="1"/>
  <c r="D183"/>
  <c r="D211" s="1"/>
  <c r="G182"/>
  <c r="G210" s="1"/>
  <c r="G187"/>
  <c r="G215" s="1"/>
  <c r="M188"/>
  <c r="M216" s="1"/>
  <c r="M187"/>
  <c r="M215" s="1"/>
  <c r="AH161"/>
  <c r="AK117" s="1"/>
  <c r="AJ161"/>
  <c r="AJ117" s="1"/>
  <c r="I181"/>
  <c r="I209" s="1"/>
  <c r="P183"/>
  <c r="P211" s="1"/>
  <c r="Z184"/>
  <c r="Z212" s="1"/>
  <c r="X184"/>
  <c r="X212" s="1"/>
  <c r="Q183"/>
  <c r="Q211" s="1"/>
  <c r="F181"/>
  <c r="F209" s="1"/>
  <c r="I163"/>
  <c r="I191" s="1"/>
  <c r="B214"/>
  <c r="AK160"/>
  <c r="AI160"/>
  <c r="H181" i="3"/>
  <c r="H207" s="1"/>
  <c r="I187" i="4"/>
  <c r="I215" s="1"/>
  <c r="I184"/>
  <c r="I212" s="1"/>
  <c r="H183"/>
  <c r="H211" s="1"/>
  <c r="H186"/>
  <c r="H214" s="1"/>
  <c r="Y182"/>
  <c r="Y210" s="1"/>
  <c r="Y185"/>
  <c r="Y213" s="1"/>
  <c r="AD181"/>
  <c r="AD209" s="1"/>
  <c r="AD188"/>
  <c r="AD216" s="1"/>
  <c r="AB184"/>
  <c r="AB212" s="1"/>
  <c r="AB186"/>
  <c r="AB214" s="1"/>
  <c r="P188"/>
  <c r="P216" s="1"/>
  <c r="P186"/>
  <c r="P214" s="1"/>
  <c r="AF185"/>
  <c r="AF213" s="1"/>
  <c r="AF187"/>
  <c r="AF215" s="1"/>
  <c r="J181"/>
  <c r="J209" s="1"/>
  <c r="J188"/>
  <c r="J216" s="1"/>
  <c r="Z185"/>
  <c r="Z213" s="1"/>
  <c r="Z183"/>
  <c r="Z211" s="1"/>
  <c r="X188"/>
  <c r="X216" s="1"/>
  <c r="X183"/>
  <c r="X211" s="1"/>
  <c r="Q186"/>
  <c r="Q214" s="1"/>
  <c r="Q182"/>
  <c r="Q210" s="1"/>
  <c r="S184"/>
  <c r="S212" s="1"/>
  <c r="B181"/>
  <c r="R184"/>
  <c r="R212" s="1"/>
  <c r="R183"/>
  <c r="R211" s="1"/>
  <c r="L182"/>
  <c r="L210" s="1"/>
  <c r="L181"/>
  <c r="L209" s="1"/>
  <c r="AC181"/>
  <c r="AC209" s="1"/>
  <c r="I188"/>
  <c r="I216" s="1"/>
  <c r="I183"/>
  <c r="I211" s="1"/>
  <c r="H182"/>
  <c r="H210" s="1"/>
  <c r="H187"/>
  <c r="H215" s="1"/>
  <c r="Y181"/>
  <c r="Y209" s="1"/>
  <c r="Y187"/>
  <c r="Y215" s="1"/>
  <c r="AD184"/>
  <c r="AD212" s="1"/>
  <c r="AD186"/>
  <c r="AD214" s="1"/>
  <c r="AB188"/>
  <c r="AB216" s="1"/>
  <c r="AB185"/>
  <c r="AB213" s="1"/>
  <c r="P182"/>
  <c r="P210" s="1"/>
  <c r="P181"/>
  <c r="P209" s="1"/>
  <c r="AF183"/>
  <c r="AF211" s="1"/>
  <c r="AF181"/>
  <c r="AF209" s="1"/>
  <c r="J184"/>
  <c r="J212" s="1"/>
  <c r="J186"/>
  <c r="J214" s="1"/>
  <c r="Z187"/>
  <c r="Z215" s="1"/>
  <c r="Z182"/>
  <c r="Z210" s="1"/>
  <c r="X186"/>
  <c r="X214" s="1"/>
  <c r="X182"/>
  <c r="X210" s="1"/>
  <c r="W182"/>
  <c r="W210" s="1"/>
  <c r="W185"/>
  <c r="W213" s="1"/>
  <c r="Q188"/>
  <c r="Q216" s="1"/>
  <c r="Q181"/>
  <c r="Q209" s="1"/>
  <c r="S183"/>
  <c r="S211" s="1"/>
  <c r="S182"/>
  <c r="S210" s="1"/>
  <c r="AG184"/>
  <c r="AG212" s="1"/>
  <c r="AG183"/>
  <c r="AG211" s="1"/>
  <c r="AE187"/>
  <c r="AE215" s="1"/>
  <c r="AE188"/>
  <c r="AE216" s="1"/>
  <c r="F185"/>
  <c r="F213" s="1"/>
  <c r="F184"/>
  <c r="F212" s="1"/>
  <c r="B185"/>
  <c r="B188"/>
  <c r="R186"/>
  <c r="R214" s="1"/>
  <c r="R182"/>
  <c r="R210" s="1"/>
  <c r="N184"/>
  <c r="N212" s="1"/>
  <c r="N187"/>
  <c r="N215" s="1"/>
  <c r="L187"/>
  <c r="L215" s="1"/>
  <c r="L184"/>
  <c r="L212" s="1"/>
  <c r="AC187"/>
  <c r="AC215" s="1"/>
  <c r="AC184"/>
  <c r="AC212" s="1"/>
  <c r="D186"/>
  <c r="D214" s="1"/>
  <c r="D185"/>
  <c r="D213" s="1"/>
  <c r="M182"/>
  <c r="M210" s="1"/>
  <c r="M185"/>
  <c r="M213" s="1"/>
  <c r="H179" i="3"/>
  <c r="H205" s="1"/>
  <c r="AC182"/>
  <c r="AC208" s="1"/>
  <c r="U182"/>
  <c r="U208" s="1"/>
  <c r="I182"/>
  <c r="I208" s="1"/>
  <c r="AB182"/>
  <c r="AB208" s="1"/>
  <c r="X182"/>
  <c r="X208" s="1"/>
  <c r="Q180"/>
  <c r="Q206" s="1"/>
  <c r="AB185"/>
  <c r="AB211" s="1"/>
  <c r="AC181"/>
  <c r="AC207" s="1"/>
  <c r="Q182"/>
  <c r="Q208" s="1"/>
  <c r="AB181"/>
  <c r="AB207" s="1"/>
  <c r="AC179"/>
  <c r="AC205" s="1"/>
  <c r="U184"/>
  <c r="U210" s="1"/>
  <c r="I180"/>
  <c r="I206" s="1"/>
  <c r="AB180"/>
  <c r="AB206" s="1"/>
  <c r="L182"/>
  <c r="L208" s="1"/>
  <c r="D183"/>
  <c r="D209" s="1"/>
  <c r="P179"/>
  <c r="P205" s="1"/>
  <c r="AC186"/>
  <c r="AC212" s="1"/>
  <c r="Y180"/>
  <c r="Y206" s="1"/>
  <c r="U179"/>
  <c r="U205" s="1"/>
  <c r="AG182"/>
  <c r="AG208" s="1"/>
  <c r="M182"/>
  <c r="M208" s="1"/>
  <c r="M181"/>
  <c r="M207" s="1"/>
  <c r="I179"/>
  <c r="I205" s="1"/>
  <c r="E182"/>
  <c r="E208" s="1"/>
  <c r="AB183"/>
  <c r="AB209" s="1"/>
  <c r="X181"/>
  <c r="X207" s="1"/>
  <c r="B185"/>
  <c r="B211" s="1"/>
  <c r="B179"/>
  <c r="B205" s="1"/>
  <c r="L185"/>
  <c r="L211" s="1"/>
  <c r="D182"/>
  <c r="D208" s="1"/>
  <c r="M184"/>
  <c r="M210" s="1"/>
  <c r="AF179"/>
  <c r="AF205" s="1"/>
  <c r="B186"/>
  <c r="B212" s="1"/>
  <c r="L181"/>
  <c r="L207" s="1"/>
  <c r="L180"/>
  <c r="L206" s="1"/>
  <c r="H182"/>
  <c r="H208" s="1"/>
  <c r="D181"/>
  <c r="D207" s="1"/>
  <c r="AC184"/>
  <c r="AC210" s="1"/>
  <c r="Y182"/>
  <c r="Y208" s="1"/>
  <c r="M179"/>
  <c r="M205" s="1"/>
  <c r="E184"/>
  <c r="E210" s="1"/>
  <c r="X179"/>
  <c r="X205" s="1"/>
  <c r="AF181"/>
  <c r="AF207" s="1"/>
  <c r="B180"/>
  <c r="B206" s="1"/>
  <c r="L183"/>
  <c r="L209" s="1"/>
  <c r="AG180"/>
  <c r="AG206" s="1"/>
  <c r="M186"/>
  <c r="M212" s="1"/>
  <c r="E179"/>
  <c r="E205" s="1"/>
  <c r="K1"/>
  <c r="J162"/>
  <c r="J189" s="1"/>
  <c r="J1" i="5"/>
  <c r="J1" i="4"/>
  <c r="L179" i="3"/>
  <c r="L205" s="1"/>
  <c r="H180"/>
  <c r="H206" s="1"/>
  <c r="D185"/>
  <c r="D211" s="1"/>
  <c r="D180"/>
  <c r="D206" s="1"/>
  <c r="P182"/>
  <c r="P208" s="1"/>
  <c r="AC180"/>
  <c r="AC206" s="1"/>
  <c r="Y181"/>
  <c r="Y207" s="1"/>
  <c r="U186"/>
  <c r="U212" s="1"/>
  <c r="U181"/>
  <c r="U207" s="1"/>
  <c r="AG179"/>
  <c r="AG205" s="1"/>
  <c r="M180"/>
  <c r="M206" s="1"/>
  <c r="I181"/>
  <c r="I207" s="1"/>
  <c r="E186"/>
  <c r="E212" s="1"/>
  <c r="E181"/>
  <c r="E207" s="1"/>
  <c r="Q179"/>
  <c r="Q205" s="1"/>
  <c r="AB179"/>
  <c r="AB205" s="1"/>
  <c r="X180"/>
  <c r="X206" s="1"/>
  <c r="AF182"/>
  <c r="AF208" s="1"/>
  <c r="D179"/>
  <c r="D205" s="1"/>
  <c r="P180"/>
  <c r="P206" s="1"/>
  <c r="U180"/>
  <c r="U206" s="1"/>
  <c r="AG181"/>
  <c r="AG207" s="1"/>
  <c r="E180"/>
  <c r="E206" s="1"/>
  <c r="Q181"/>
  <c r="Q207" s="1"/>
  <c r="AF180"/>
  <c r="AF206" s="1"/>
  <c r="B183"/>
  <c r="AH160"/>
  <c r="AK118" s="1"/>
  <c r="AJ160"/>
  <c r="AJ118" s="1"/>
  <c r="L186"/>
  <c r="L212" s="1"/>
  <c r="N180"/>
  <c r="N206" s="1"/>
  <c r="N182"/>
  <c r="N208" s="1"/>
  <c r="H185"/>
  <c r="H211" s="1"/>
  <c r="H183"/>
  <c r="H209" s="1"/>
  <c r="J179"/>
  <c r="J205" s="1"/>
  <c r="J181"/>
  <c r="J207" s="1"/>
  <c r="D186"/>
  <c r="D212" s="1"/>
  <c r="F180"/>
  <c r="F206" s="1"/>
  <c r="F182"/>
  <c r="F208" s="1"/>
  <c r="P185"/>
  <c r="P211" s="1"/>
  <c r="P183"/>
  <c r="P209" s="1"/>
  <c r="R179"/>
  <c r="R205" s="1"/>
  <c r="R181"/>
  <c r="R207" s="1"/>
  <c r="AC183"/>
  <c r="AC209" s="1"/>
  <c r="AA181"/>
  <c r="AA207" s="1"/>
  <c r="AA179"/>
  <c r="AA205" s="1"/>
  <c r="Y186"/>
  <c r="Y212" s="1"/>
  <c r="Y184"/>
  <c r="Y210" s="1"/>
  <c r="W180"/>
  <c r="W206" s="1"/>
  <c r="W182"/>
  <c r="W208" s="1"/>
  <c r="U183"/>
  <c r="U209" s="1"/>
  <c r="S181"/>
  <c r="S207" s="1"/>
  <c r="S179"/>
  <c r="S205" s="1"/>
  <c r="AG186"/>
  <c r="AG212" s="1"/>
  <c r="AG184"/>
  <c r="AG210" s="1"/>
  <c r="AE180"/>
  <c r="AE206" s="1"/>
  <c r="AE182"/>
  <c r="AE208" s="1"/>
  <c r="M183"/>
  <c r="M209" s="1"/>
  <c r="K181"/>
  <c r="K207" s="1"/>
  <c r="K179"/>
  <c r="K205" s="1"/>
  <c r="I186"/>
  <c r="I212" s="1"/>
  <c r="I184"/>
  <c r="I210" s="1"/>
  <c r="G180"/>
  <c r="G206" s="1"/>
  <c r="G182"/>
  <c r="G208" s="1"/>
  <c r="E183"/>
  <c r="E209" s="1"/>
  <c r="C181"/>
  <c r="C207" s="1"/>
  <c r="C179"/>
  <c r="C205" s="1"/>
  <c r="Q186"/>
  <c r="Q212" s="1"/>
  <c r="Q184"/>
  <c r="Q210" s="1"/>
  <c r="O180"/>
  <c r="O206" s="1"/>
  <c r="O182"/>
  <c r="O208" s="1"/>
  <c r="AB186"/>
  <c r="AB212" s="1"/>
  <c r="AD180"/>
  <c r="AD206" s="1"/>
  <c r="AD182"/>
  <c r="AD208" s="1"/>
  <c r="X185"/>
  <c r="X211" s="1"/>
  <c r="X183"/>
  <c r="X209" s="1"/>
  <c r="Z179"/>
  <c r="Z205" s="1"/>
  <c r="Z181"/>
  <c r="Z207" s="1"/>
  <c r="V180"/>
  <c r="V206" s="1"/>
  <c r="V182"/>
  <c r="V208" s="1"/>
  <c r="AF185"/>
  <c r="AF211" s="1"/>
  <c r="AF183"/>
  <c r="AF209" s="1"/>
  <c r="B182"/>
  <c r="AI159"/>
  <c r="AK159"/>
  <c r="N183"/>
  <c r="N209" s="1"/>
  <c r="N185"/>
  <c r="N211" s="1"/>
  <c r="J184"/>
  <c r="J210" s="1"/>
  <c r="J186"/>
  <c r="J212" s="1"/>
  <c r="F183"/>
  <c r="F209" s="1"/>
  <c r="F185"/>
  <c r="F211" s="1"/>
  <c r="R184"/>
  <c r="R210" s="1"/>
  <c r="R186"/>
  <c r="R212" s="1"/>
  <c r="AA184"/>
  <c r="AA210" s="1"/>
  <c r="AA186"/>
  <c r="AA212" s="1"/>
  <c r="W185"/>
  <c r="W211" s="1"/>
  <c r="W183"/>
  <c r="W209" s="1"/>
  <c r="S184"/>
  <c r="S210" s="1"/>
  <c r="S186"/>
  <c r="S212" s="1"/>
  <c r="AE185"/>
  <c r="AE211" s="1"/>
  <c r="AE183"/>
  <c r="AE209" s="1"/>
  <c r="K184"/>
  <c r="K210" s="1"/>
  <c r="K186"/>
  <c r="K212" s="1"/>
  <c r="G185"/>
  <c r="G211" s="1"/>
  <c r="G183"/>
  <c r="G209" s="1"/>
  <c r="C184"/>
  <c r="C210" s="1"/>
  <c r="C186"/>
  <c r="C212" s="1"/>
  <c r="O185"/>
  <c r="O211" s="1"/>
  <c r="O183"/>
  <c r="O209" s="1"/>
  <c r="AD183"/>
  <c r="AD209" s="1"/>
  <c r="AD185"/>
  <c r="AD211" s="1"/>
  <c r="Z184"/>
  <c r="Z210" s="1"/>
  <c r="Z186"/>
  <c r="Z212" s="1"/>
  <c r="V183"/>
  <c r="V209" s="1"/>
  <c r="V185"/>
  <c r="V211" s="1"/>
  <c r="N179"/>
  <c r="N205" s="1"/>
  <c r="N181"/>
  <c r="N207" s="1"/>
  <c r="H186"/>
  <c r="H212" s="1"/>
  <c r="J180"/>
  <c r="J206" s="1"/>
  <c r="J182"/>
  <c r="J208" s="1"/>
  <c r="F179"/>
  <c r="F205" s="1"/>
  <c r="F181"/>
  <c r="F207" s="1"/>
  <c r="P186"/>
  <c r="P212" s="1"/>
  <c r="R180"/>
  <c r="R206" s="1"/>
  <c r="R182"/>
  <c r="R208" s="1"/>
  <c r="AA180"/>
  <c r="AA206" s="1"/>
  <c r="AA182"/>
  <c r="AA208" s="1"/>
  <c r="Y183"/>
  <c r="Y209" s="1"/>
  <c r="W181"/>
  <c r="W207" s="1"/>
  <c r="W179"/>
  <c r="W205" s="1"/>
  <c r="S180"/>
  <c r="S206" s="1"/>
  <c r="S182"/>
  <c r="S208" s="1"/>
  <c r="AG183"/>
  <c r="AG209" s="1"/>
  <c r="AE181"/>
  <c r="AE207" s="1"/>
  <c r="AE179"/>
  <c r="AE205" s="1"/>
  <c r="K180"/>
  <c r="K206" s="1"/>
  <c r="K182"/>
  <c r="K208" s="1"/>
  <c r="I183"/>
  <c r="I209" s="1"/>
  <c r="G181"/>
  <c r="G207" s="1"/>
  <c r="G179"/>
  <c r="G205" s="1"/>
  <c r="C180"/>
  <c r="C206" s="1"/>
  <c r="C182"/>
  <c r="C208" s="1"/>
  <c r="Q183"/>
  <c r="Q209" s="1"/>
  <c r="O181"/>
  <c r="O207" s="1"/>
  <c r="O179"/>
  <c r="O205" s="1"/>
  <c r="AD179"/>
  <c r="AD205" s="1"/>
  <c r="AD181"/>
  <c r="AD207" s="1"/>
  <c r="X186"/>
  <c r="X212" s="1"/>
  <c r="Z180"/>
  <c r="Z206" s="1"/>
  <c r="Z182"/>
  <c r="Z208" s="1"/>
  <c r="V179"/>
  <c r="V205" s="1"/>
  <c r="V181"/>
  <c r="V207" s="1"/>
  <c r="AF186"/>
  <c r="AF212" s="1"/>
  <c r="B181"/>
  <c r="B210"/>
  <c r="N184"/>
  <c r="N210" s="1"/>
  <c r="J183"/>
  <c r="J209" s="1"/>
  <c r="F184"/>
  <c r="F210" s="1"/>
  <c r="R183"/>
  <c r="R209" s="1"/>
  <c r="AA185"/>
  <c r="AA211" s="1"/>
  <c r="W184"/>
  <c r="W210" s="1"/>
  <c r="S185"/>
  <c r="S211" s="1"/>
  <c r="AE184"/>
  <c r="AE210" s="1"/>
  <c r="K185"/>
  <c r="K211" s="1"/>
  <c r="G184"/>
  <c r="G210" s="1"/>
  <c r="C185"/>
  <c r="C211" s="1"/>
  <c r="O184"/>
  <c r="O210" s="1"/>
  <c r="AD184"/>
  <c r="AD210" s="1"/>
  <c r="Z183"/>
  <c r="Z209" s="1"/>
  <c r="V184"/>
  <c r="V210" s="1"/>
  <c r="BA104" i="18"/>
  <c r="AX103" i="16"/>
  <c r="BA107" i="18"/>
  <c r="BA100"/>
  <c r="BA106"/>
  <c r="AX109" i="16"/>
  <c r="BA105" i="18"/>
  <c r="BC45" i="16"/>
  <c r="BF36" i="18"/>
  <c r="BF40"/>
  <c r="BF44"/>
  <c r="BC37" i="16"/>
  <c r="BC41"/>
  <c r="BF35" i="18"/>
  <c r="BF39"/>
  <c r="BF43"/>
  <c r="BC36" i="16"/>
  <c r="BC38"/>
  <c r="BC42"/>
  <c r="BE35" i="18"/>
  <c r="BE39"/>
  <c r="BE43"/>
  <c r="BB36" i="16"/>
  <c r="BB38"/>
  <c r="BB42"/>
  <c r="BE46" i="18"/>
  <c r="BE34"/>
  <c r="BE38"/>
  <c r="BE42"/>
  <c r="BB35" i="16"/>
  <c r="BB39"/>
  <c r="BB43"/>
  <c r="CT58" i="18"/>
  <c r="CT49"/>
  <c r="CT41"/>
  <c r="CT54"/>
  <c r="CT46"/>
  <c r="CT38"/>
  <c r="CQ58" i="16"/>
  <c r="CQ50"/>
  <c r="CQ42"/>
  <c r="CQ34"/>
  <c r="CQ51"/>
  <c r="CQ43"/>
  <c r="CQ35"/>
  <c r="CT56" i="18"/>
  <c r="CT47"/>
  <c r="CT39"/>
  <c r="CT52"/>
  <c r="CT44"/>
  <c r="CT36"/>
  <c r="CQ52" i="16"/>
  <c r="CQ44"/>
  <c r="CQ36"/>
  <c r="CQ53"/>
  <c r="CQ45"/>
  <c r="CQ37"/>
  <c r="BF66" i="18"/>
  <c r="BF70"/>
  <c r="BF74"/>
  <c r="BC67" i="16"/>
  <c r="BA69"/>
  <c r="BB73"/>
  <c r="BA108" i="18"/>
  <c r="BA99"/>
  <c r="AX100" i="16"/>
  <c r="BA103" i="18"/>
  <c r="BA110"/>
  <c r="BA102"/>
  <c r="BA109"/>
  <c r="BA101"/>
  <c r="BF46"/>
  <c r="BD77" s="1"/>
  <c r="BF34"/>
  <c r="BD65" s="1"/>
  <c r="BF38"/>
  <c r="BD69" s="1"/>
  <c r="BF42"/>
  <c r="BD73" s="1"/>
  <c r="BC35" i="16"/>
  <c r="BC66" s="1"/>
  <c r="BC39"/>
  <c r="BC70" s="1"/>
  <c r="BC43"/>
  <c r="BC74" s="1"/>
  <c r="BF37" i="18"/>
  <c r="BF41"/>
  <c r="BF45"/>
  <c r="BC34" i="16"/>
  <c r="BC40"/>
  <c r="BC44"/>
  <c r="BE37" i="18"/>
  <c r="BE41"/>
  <c r="BE45"/>
  <c r="BB34" i="16"/>
  <c r="BB40"/>
  <c r="BB44"/>
  <c r="BB45"/>
  <c r="BE36" i="18"/>
  <c r="BE40"/>
  <c r="BE44"/>
  <c r="BB37" i="16"/>
  <c r="BB41"/>
  <c r="CT57" i="18"/>
  <c r="CT53"/>
  <c r="CT45"/>
  <c r="CT37"/>
  <c r="CT50"/>
  <c r="CT42"/>
  <c r="CT34"/>
  <c r="CQ54" i="16"/>
  <c r="CQ46"/>
  <c r="CQ38"/>
  <c r="CQ55"/>
  <c r="CQ47"/>
  <c r="CQ39"/>
  <c r="CT55" i="18"/>
  <c r="CT51"/>
  <c r="CT43"/>
  <c r="CT35"/>
  <c r="CT48"/>
  <c r="CT40"/>
  <c r="CQ56" i="16"/>
  <c r="CQ48"/>
  <c r="CQ40"/>
  <c r="CQ57"/>
  <c r="CQ49"/>
  <c r="CQ41"/>
  <c r="BE66" i="18"/>
  <c r="BD66"/>
  <c r="BF68"/>
  <c r="BE70"/>
  <c r="BD70"/>
  <c r="BF72"/>
  <c r="BE74"/>
  <c r="BD74"/>
  <c r="BF76"/>
  <c r="BA67" i="16"/>
  <c r="BB67"/>
  <c r="BA101" s="1"/>
  <c r="BC65"/>
  <c r="BB69"/>
  <c r="BC69"/>
  <c r="BC71"/>
  <c r="BC73"/>
  <c r="BA73"/>
  <c r="BA107" s="1"/>
  <c r="BB75"/>
  <c r="BE77" i="18"/>
  <c r="BF77"/>
  <c r="BB76" i="16"/>
  <c r="BE65" i="18"/>
  <c r="BF65"/>
  <c r="BD67"/>
  <c r="BE69"/>
  <c r="BF69"/>
  <c r="BD71"/>
  <c r="BE73"/>
  <c r="BF73"/>
  <c r="BD75"/>
  <c r="BA66" i="16"/>
  <c r="BB66"/>
  <c r="BA100" s="1"/>
  <c r="BB68"/>
  <c r="BA70"/>
  <c r="BB70"/>
  <c r="BA104" s="1"/>
  <c r="BC72"/>
  <c r="BB74"/>
  <c r="BA74"/>
  <c r="BD68" i="18"/>
  <c r="BE68"/>
  <c r="BD72"/>
  <c r="BE72"/>
  <c r="BD76"/>
  <c r="BE76"/>
  <c r="BA65" i="16"/>
  <c r="BB65"/>
  <c r="BB71"/>
  <c r="BA71"/>
  <c r="BA105" s="1"/>
  <c r="BC75"/>
  <c r="BA75"/>
  <c r="BA76"/>
  <c r="BC76"/>
  <c r="BA110" s="1"/>
  <c r="BF67" i="18"/>
  <c r="BE67"/>
  <c r="BF71"/>
  <c r="BE71"/>
  <c r="BF75"/>
  <c r="BE75"/>
  <c r="BA68" i="16"/>
  <c r="BC68"/>
  <c r="BA102" s="1"/>
  <c r="BB72"/>
  <c r="BA72"/>
  <c r="BA106" s="1"/>
  <c r="BA140" l="1"/>
  <c r="BA138"/>
  <c r="BA136"/>
  <c r="BA134"/>
  <c r="BA132"/>
  <c r="BD141" i="18"/>
  <c r="BD139"/>
  <c r="BD137"/>
  <c r="BD135"/>
  <c r="BD133"/>
  <c r="BD131"/>
  <c r="BA142" i="16"/>
  <c r="BD143" i="18"/>
  <c r="BA141" i="16"/>
  <c r="BA139"/>
  <c r="BA137"/>
  <c r="BA135"/>
  <c r="BA131"/>
  <c r="BA133"/>
  <c r="BD142" i="18"/>
  <c r="BD140"/>
  <c r="BD138"/>
  <c r="BD136"/>
  <c r="BD134"/>
  <c r="BD132"/>
  <c r="A82" i="16"/>
  <c r="A184"/>
  <c r="A51"/>
  <c r="A148"/>
  <c r="A116"/>
  <c r="A21"/>
  <c r="O86" i="5"/>
  <c r="CP5" i="16" s="1"/>
  <c r="O85" i="5"/>
  <c r="CP4" i="16" s="1"/>
  <c r="O84" i="5"/>
  <c r="CP3" i="16" s="1"/>
  <c r="O87" i="5"/>
  <c r="CP6" i="16" s="1"/>
  <c r="O88" i="5"/>
  <c r="CP7" i="16" s="1"/>
  <c r="O89" i="5"/>
  <c r="CP8" i="16" s="1"/>
  <c r="O90" i="5"/>
  <c r="CP9" i="16" s="1"/>
  <c r="O91" i="5"/>
  <c r="CP10" i="16" s="1"/>
  <c r="O92" i="5"/>
  <c r="CP11" i="16" s="1"/>
  <c r="O93" i="5"/>
  <c r="CP12" i="16" s="1"/>
  <c r="O94" i="5"/>
  <c r="CP13" i="16" s="1"/>
  <c r="O95" i="5"/>
  <c r="CP14" i="16" s="1"/>
  <c r="A99" i="5"/>
  <c r="A72"/>
  <c r="P83"/>
  <c r="P56"/>
  <c r="CQ3" i="18" s="1"/>
  <c r="P57" i="5"/>
  <c r="CQ4" i="18" s="1"/>
  <c r="Q55" i="5"/>
  <c r="P58"/>
  <c r="CQ5" i="18" s="1"/>
  <c r="P59" i="5"/>
  <c r="CQ6" i="18" s="1"/>
  <c r="P60" i="5"/>
  <c r="CQ7" i="18" s="1"/>
  <c r="P61" i="5"/>
  <c r="CQ8" i="18" s="1"/>
  <c r="P62" i="5"/>
  <c r="CQ9" i="18" s="1"/>
  <c r="P63" i="5"/>
  <c r="CQ10" i="18" s="1"/>
  <c r="P64" i="5"/>
  <c r="CQ11" i="18" s="1"/>
  <c r="P65" i="5"/>
  <c r="CQ12" i="18" s="1"/>
  <c r="P66" i="5"/>
  <c r="CQ13" i="18" s="1"/>
  <c r="P67" i="5"/>
  <c r="CQ14" i="18" s="1"/>
  <c r="P68" i="5"/>
  <c r="CQ15" i="18" s="1"/>
  <c r="O86" i="4"/>
  <c r="BJ5" i="16" s="1"/>
  <c r="O85" i="4"/>
  <c r="BJ4" i="16" s="1"/>
  <c r="O84" i="4"/>
  <c r="BJ3" i="16" s="1"/>
  <c r="O87" i="4"/>
  <c r="BJ6" i="16" s="1"/>
  <c r="O88" i="4"/>
  <c r="BJ7" i="16" s="1"/>
  <c r="O89" i="4"/>
  <c r="BJ8" i="16" s="1"/>
  <c r="O90" i="4"/>
  <c r="BJ9" i="16" s="1"/>
  <c r="O91" i="4"/>
  <c r="BJ10" i="16" s="1"/>
  <c r="O92" i="4"/>
  <c r="BJ11" i="16" s="1"/>
  <c r="O93" i="4"/>
  <c r="BJ12" i="16" s="1"/>
  <c r="O94" i="4"/>
  <c r="BJ13" i="16" s="1"/>
  <c r="O95" i="4"/>
  <c r="BJ14" i="16" s="1"/>
  <c r="A99" i="4"/>
  <c r="A72"/>
  <c r="P83"/>
  <c r="P56"/>
  <c r="BK3" i="18" s="1"/>
  <c r="P57" i="4"/>
  <c r="BK4" i="18" s="1"/>
  <c r="Q55" i="4"/>
  <c r="P58"/>
  <c r="BK5" i="18" s="1"/>
  <c r="P59" i="4"/>
  <c r="BK6" i="18" s="1"/>
  <c r="P60" i="4"/>
  <c r="BK7" i="18" s="1"/>
  <c r="P61" i="4"/>
  <c r="BK8" i="18" s="1"/>
  <c r="P62" i="4"/>
  <c r="BK9" i="18" s="1"/>
  <c r="P63" i="4"/>
  <c r="BK10" i="18" s="1"/>
  <c r="P64" i="4"/>
  <c r="BK11" i="18" s="1"/>
  <c r="P65" i="4"/>
  <c r="BK12" i="18" s="1"/>
  <c r="P66" i="4"/>
  <c r="BK13" i="18" s="1"/>
  <c r="P67" i="4"/>
  <c r="BK14" i="18" s="1"/>
  <c r="P68" i="4"/>
  <c r="BK15" i="18" s="1"/>
  <c r="AD80" i="3"/>
  <c r="AS27" i="18" s="1"/>
  <c r="AD78" i="3"/>
  <c r="AS25" i="18" s="1"/>
  <c r="AD83" i="3"/>
  <c r="AD79"/>
  <c r="AS26" i="18" s="1"/>
  <c r="AD77" i="3"/>
  <c r="AS24" i="18" s="1"/>
  <c r="AD76" i="3"/>
  <c r="AS23" i="18" s="1"/>
  <c r="AD74" i="3"/>
  <c r="AS21" i="18" s="1"/>
  <c r="AD72" i="3"/>
  <c r="AS19" i="18" s="1"/>
  <c r="AD70" i="3"/>
  <c r="AS17" i="18" s="1"/>
  <c r="AD68" i="3"/>
  <c r="AS15" i="18" s="1"/>
  <c r="AD66" i="3"/>
  <c r="AS13" i="18" s="1"/>
  <c r="AD64" i="3"/>
  <c r="AS11" i="18" s="1"/>
  <c r="AD62" i="3"/>
  <c r="AS9" i="18" s="1"/>
  <c r="AD60" i="3"/>
  <c r="AS7" i="18" s="1"/>
  <c r="AD58" i="3"/>
  <c r="AS5" i="18" s="1"/>
  <c r="AD56" i="3"/>
  <c r="AS3" i="18" s="1"/>
  <c r="AE55" i="3"/>
  <c r="AD75"/>
  <c r="AS22" i="18" s="1"/>
  <c r="AD73" i="3"/>
  <c r="AS20" i="18" s="1"/>
  <c r="AD71" i="3"/>
  <c r="AS18" i="18" s="1"/>
  <c r="AD69" i="3"/>
  <c r="AS16" i="18" s="1"/>
  <c r="AD67" i="3"/>
  <c r="AS14" i="18" s="1"/>
  <c r="AD65" i="3"/>
  <c r="AS12" i="18" s="1"/>
  <c r="AD63" i="3"/>
  <c r="AS10" i="18" s="1"/>
  <c r="AD61" i="3"/>
  <c r="AS8" i="18" s="1"/>
  <c r="AD59" i="3"/>
  <c r="AS6" i="18" s="1"/>
  <c r="AD57" i="3"/>
  <c r="AS4" i="18" s="1"/>
  <c r="AC107" i="3"/>
  <c r="AR26" i="16" s="1"/>
  <c r="AC105" i="3"/>
  <c r="AR24" i="16" s="1"/>
  <c r="AC103" i="3"/>
  <c r="AR22" i="16" s="1"/>
  <c r="AC101" i="3"/>
  <c r="AR20" i="16" s="1"/>
  <c r="AC99" i="3"/>
  <c r="AR18" i="16" s="1"/>
  <c r="AC97" i="3"/>
  <c r="AR16" i="16" s="1"/>
  <c r="AC95" i="3"/>
  <c r="AR14" i="16" s="1"/>
  <c r="AC93" i="3"/>
  <c r="AR12" i="16" s="1"/>
  <c r="AC91" i="3"/>
  <c r="AR10" i="16" s="1"/>
  <c r="AC89" i="3"/>
  <c r="AR8" i="16" s="1"/>
  <c r="AC87" i="3"/>
  <c r="AR6" i="16" s="1"/>
  <c r="AC85" i="3"/>
  <c r="AR4" i="16" s="1"/>
  <c r="AC108" i="3"/>
  <c r="AR27" i="16" s="1"/>
  <c r="AC106" i="3"/>
  <c r="AR25" i="16" s="1"/>
  <c r="AC104" i="3"/>
  <c r="AR23" i="16" s="1"/>
  <c r="AC102" i="3"/>
  <c r="AR21" i="16" s="1"/>
  <c r="AC100" i="3"/>
  <c r="AR19" i="16" s="1"/>
  <c r="AC98" i="3"/>
  <c r="AR17" i="16" s="1"/>
  <c r="AC96" i="3"/>
  <c r="AR15" i="16" s="1"/>
  <c r="AC94" i="3"/>
  <c r="AR13" i="16" s="1"/>
  <c r="AC92" i="3"/>
  <c r="AR11" i="16" s="1"/>
  <c r="AC90" i="3"/>
  <c r="AR9" i="16" s="1"/>
  <c r="AC88" i="3"/>
  <c r="AR7" i="16" s="1"/>
  <c r="AC86" i="3"/>
  <c r="AR5" i="16" s="1"/>
  <c r="AC84" i="3"/>
  <c r="AR3" i="16" s="1"/>
  <c r="A40" i="3"/>
  <c r="A39" i="5"/>
  <c r="L98" s="1"/>
  <c r="CM17" i="16" s="1"/>
  <c r="A39" i="4"/>
  <c r="AH211" i="5"/>
  <c r="AJ239"/>
  <c r="AL239" s="1"/>
  <c r="AJ212"/>
  <c r="AJ167" i="4"/>
  <c r="AJ171"/>
  <c r="AJ175" i="3"/>
  <c r="AH212" i="5"/>
  <c r="AJ240"/>
  <c r="AL240" s="1"/>
  <c r="AH175" i="3"/>
  <c r="AJ211" i="5"/>
  <c r="AJ199" i="4"/>
  <c r="AL199" s="1"/>
  <c r="AH239" i="5"/>
  <c r="AI239" s="1"/>
  <c r="AH240"/>
  <c r="AH197" i="4"/>
  <c r="AJ195"/>
  <c r="AL195" s="1"/>
  <c r="AJ197"/>
  <c r="AJ201"/>
  <c r="AL201" s="1"/>
  <c r="AJ192"/>
  <c r="AH192"/>
  <c r="AH170"/>
  <c r="I198"/>
  <c r="AJ198" s="1"/>
  <c r="AJ196"/>
  <c r="AH196"/>
  <c r="AJ193"/>
  <c r="AH193"/>
  <c r="AH166"/>
  <c r="E194"/>
  <c r="AH195"/>
  <c r="AH199"/>
  <c r="AH201"/>
  <c r="AH180"/>
  <c r="AH167"/>
  <c r="AH171"/>
  <c r="AJ200"/>
  <c r="AH200"/>
  <c r="AH174"/>
  <c r="M202"/>
  <c r="AH202" s="1"/>
  <c r="AH169"/>
  <c r="AH173"/>
  <c r="AJ164"/>
  <c r="AH164"/>
  <c r="AJ172"/>
  <c r="AH172"/>
  <c r="AJ169"/>
  <c r="AK169" s="1"/>
  <c r="AJ173"/>
  <c r="AK173" s="1"/>
  <c r="AJ166"/>
  <c r="AJ170"/>
  <c r="AJ174"/>
  <c r="AJ168"/>
  <c r="AH168"/>
  <c r="AJ165"/>
  <c r="AH165"/>
  <c r="AJ180"/>
  <c r="AJ193" i="3"/>
  <c r="AH193"/>
  <c r="AJ190"/>
  <c r="AH190"/>
  <c r="AJ192"/>
  <c r="AH192"/>
  <c r="AJ194"/>
  <c r="AH194"/>
  <c r="AJ191"/>
  <c r="AH191"/>
  <c r="AH199"/>
  <c r="AH176"/>
  <c r="D202"/>
  <c r="AH202" s="1"/>
  <c r="AJ196"/>
  <c r="AH196"/>
  <c r="AJ198"/>
  <c r="AH198"/>
  <c r="AJ195"/>
  <c r="AH195"/>
  <c r="AJ199"/>
  <c r="AJ202"/>
  <c r="AJ200"/>
  <c r="AH200"/>
  <c r="AJ197"/>
  <c r="AH197"/>
  <c r="AJ201"/>
  <c r="AH201"/>
  <c r="AJ170"/>
  <c r="AH170"/>
  <c r="AJ167"/>
  <c r="AH167"/>
  <c r="AJ164"/>
  <c r="AH164"/>
  <c r="AJ172"/>
  <c r="AH172"/>
  <c r="AJ169"/>
  <c r="AH169"/>
  <c r="AJ166"/>
  <c r="AH166"/>
  <c r="AJ171"/>
  <c r="AH171"/>
  <c r="AJ168"/>
  <c r="AH168"/>
  <c r="AJ165"/>
  <c r="AH165"/>
  <c r="AH173"/>
  <c r="AJ176"/>
  <c r="AJ173"/>
  <c r="AJ174"/>
  <c r="AH174"/>
  <c r="AK165" i="5"/>
  <c r="AJ179" i="4"/>
  <c r="AJ208"/>
  <c r="AL208" s="1"/>
  <c r="AJ206"/>
  <c r="AL206" s="1"/>
  <c r="AH203" i="3"/>
  <c r="AJ203"/>
  <c r="AJ205"/>
  <c r="AH205"/>
  <c r="AH204"/>
  <c r="AJ204"/>
  <c r="AJ177" i="4"/>
  <c r="AH206"/>
  <c r="AJ178"/>
  <c r="AH205"/>
  <c r="AH203"/>
  <c r="AH178" i="3"/>
  <c r="AJ178"/>
  <c r="AJ175" i="4"/>
  <c r="AJ177" i="3"/>
  <c r="AH177"/>
  <c r="AH214" i="5"/>
  <c r="AH177" i="4"/>
  <c r="AJ207"/>
  <c r="AL207" s="1"/>
  <c r="AH176"/>
  <c r="AH207"/>
  <c r="AJ205"/>
  <c r="AI205" s="1"/>
  <c r="AH215" i="5"/>
  <c r="AH175" i="4"/>
  <c r="AJ203"/>
  <c r="AJ214" i="5"/>
  <c r="N204" i="4"/>
  <c r="AJ176"/>
  <c r="AJ242" i="5"/>
  <c r="AH242"/>
  <c r="AJ244"/>
  <c r="AH244"/>
  <c r="AH178" i="4"/>
  <c r="AJ215" i="5"/>
  <c r="AJ213"/>
  <c r="N241"/>
  <c r="AJ241" s="1"/>
  <c r="AJ243"/>
  <c r="AH243"/>
  <c r="AH179" i="4"/>
  <c r="AH208"/>
  <c r="AH213" i="5"/>
  <c r="AH247"/>
  <c r="AL165"/>
  <c r="AJ253"/>
  <c r="AL253" s="1"/>
  <c r="AL117" i="4"/>
  <c r="AL118" i="3"/>
  <c r="AH248" i="5"/>
  <c r="AJ245"/>
  <c r="AL245" s="1"/>
  <c r="AH221"/>
  <c r="D249"/>
  <c r="AJ247"/>
  <c r="AH253"/>
  <c r="AJ216"/>
  <c r="AJ221"/>
  <c r="L249"/>
  <c r="AJ224"/>
  <c r="D252"/>
  <c r="AH252" s="1"/>
  <c r="AH246"/>
  <c r="AJ246"/>
  <c r="AL246" s="1"/>
  <c r="AJ248"/>
  <c r="AL248" s="1"/>
  <c r="AH245"/>
  <c r="AH251"/>
  <c r="AJ251"/>
  <c r="AL251" s="1"/>
  <c r="AJ222"/>
  <c r="H250"/>
  <c r="AH250" s="1"/>
  <c r="AJ218"/>
  <c r="AH218"/>
  <c r="AH219"/>
  <c r="AJ219"/>
  <c r="AH216"/>
  <c r="AH223"/>
  <c r="AJ223"/>
  <c r="AJ225"/>
  <c r="AH225"/>
  <c r="AJ217"/>
  <c r="AH217"/>
  <c r="AH222"/>
  <c r="AJ220"/>
  <c r="AH220"/>
  <c r="AH224"/>
  <c r="B261"/>
  <c r="AJ233"/>
  <c r="AH233"/>
  <c r="AH259"/>
  <c r="AJ259"/>
  <c r="AL259" s="1"/>
  <c r="AJ228"/>
  <c r="B256"/>
  <c r="AH228"/>
  <c r="AJ227"/>
  <c r="AH232"/>
  <c r="J210"/>
  <c r="J238" s="1"/>
  <c r="AH235"/>
  <c r="B263"/>
  <c r="AJ235"/>
  <c r="AK208"/>
  <c r="AI208"/>
  <c r="AI169" s="1"/>
  <c r="AH234"/>
  <c r="AJ234"/>
  <c r="B262"/>
  <c r="AH226"/>
  <c r="AJ226"/>
  <c r="AJ260"/>
  <c r="AL260" s="1"/>
  <c r="AH260"/>
  <c r="AH231"/>
  <c r="B257"/>
  <c r="AH229"/>
  <c r="AJ229"/>
  <c r="AJ255"/>
  <c r="AL255" s="1"/>
  <c r="AH255"/>
  <c r="AJ232"/>
  <c r="B258"/>
  <c r="AH230"/>
  <c r="AJ230"/>
  <c r="AH227"/>
  <c r="AJ231"/>
  <c r="B216" i="4"/>
  <c r="AH188"/>
  <c r="AJ188"/>
  <c r="AH215"/>
  <c r="AJ215"/>
  <c r="AL215" s="1"/>
  <c r="AH186"/>
  <c r="AJ184"/>
  <c r="J163"/>
  <c r="J191" s="1"/>
  <c r="AH181"/>
  <c r="B209"/>
  <c r="AJ181"/>
  <c r="AH214"/>
  <c r="AJ214"/>
  <c r="AL214" s="1"/>
  <c r="AJ212"/>
  <c r="AL212" s="1"/>
  <c r="AH212"/>
  <c r="B211"/>
  <c r="AH183"/>
  <c r="AJ183"/>
  <c r="AH187"/>
  <c r="AH182"/>
  <c r="B210"/>
  <c r="AJ182"/>
  <c r="AJ186"/>
  <c r="AJ187"/>
  <c r="B213"/>
  <c r="AJ185"/>
  <c r="AH185"/>
  <c r="AK161"/>
  <c r="AI161"/>
  <c r="AI121" s="1"/>
  <c r="AH184"/>
  <c r="L1" i="3"/>
  <c r="K162"/>
  <c r="K189" s="1"/>
  <c r="K1" i="5"/>
  <c r="K1" i="4"/>
  <c r="AJ180" i="3"/>
  <c r="AH206"/>
  <c r="AJ206"/>
  <c r="AL206" s="1"/>
  <c r="AH211"/>
  <c r="AJ211"/>
  <c r="AL211" s="1"/>
  <c r="AH183"/>
  <c r="AJ183"/>
  <c r="B209"/>
  <c r="AH186"/>
  <c r="AH181"/>
  <c r="AJ181"/>
  <c r="B207"/>
  <c r="AH182"/>
  <c r="AJ182"/>
  <c r="B208"/>
  <c r="AH184"/>
  <c r="AJ186"/>
  <c r="AH179"/>
  <c r="AJ212"/>
  <c r="AI160"/>
  <c r="AI124" s="1"/>
  <c r="AK160"/>
  <c r="AJ184"/>
  <c r="AH180"/>
  <c r="AJ179"/>
  <c r="AH185"/>
  <c r="AH210"/>
  <c r="AJ210"/>
  <c r="AL210" s="1"/>
  <c r="AJ185"/>
  <c r="BD107" i="18"/>
  <c r="BD99"/>
  <c r="BA103" i="16"/>
  <c r="BD104" i="18"/>
  <c r="BD109"/>
  <c r="BD101"/>
  <c r="BA99" i="16"/>
  <c r="BD106" i="18"/>
  <c r="BF34" i="16"/>
  <c r="BF40"/>
  <c r="BF44"/>
  <c r="BI36" i="18"/>
  <c r="BI40"/>
  <c r="BI44"/>
  <c r="BF35" i="16"/>
  <c r="BF39"/>
  <c r="BF43"/>
  <c r="BI34" i="18"/>
  <c r="BI39"/>
  <c r="BI43"/>
  <c r="AW48" i="16"/>
  <c r="BE37"/>
  <c r="BE41"/>
  <c r="BE45"/>
  <c r="BH37" i="18"/>
  <c r="BH41"/>
  <c r="BH45"/>
  <c r="BE34" i="16"/>
  <c r="BE40"/>
  <c r="BE44"/>
  <c r="BH36" i="18"/>
  <c r="BH40"/>
  <c r="BH44"/>
  <c r="CW56"/>
  <c r="CW54"/>
  <c r="CW46"/>
  <c r="CW38"/>
  <c r="CW53"/>
  <c r="CW45"/>
  <c r="CW37"/>
  <c r="CT53" i="16"/>
  <c r="CT45"/>
  <c r="CT37"/>
  <c r="CT54"/>
  <c r="CT46"/>
  <c r="CT38"/>
  <c r="CW58" i="18"/>
  <c r="CW52"/>
  <c r="CW44"/>
  <c r="CW36"/>
  <c r="CW47"/>
  <c r="CW39"/>
  <c r="CT55" i="16"/>
  <c r="CT47"/>
  <c r="CT39"/>
  <c r="CT56"/>
  <c r="CT48"/>
  <c r="CT40"/>
  <c r="BD65"/>
  <c r="BD71"/>
  <c r="BF75"/>
  <c r="BI67" i="18"/>
  <c r="BI71"/>
  <c r="BI75"/>
  <c r="BA108" i="16"/>
  <c r="BD103" i="18"/>
  <c r="BD111"/>
  <c r="BD108"/>
  <c r="BD100"/>
  <c r="BD105"/>
  <c r="BA109" i="16"/>
  <c r="BD110" i="18"/>
  <c r="BD102"/>
  <c r="BF36" i="16"/>
  <c r="BF38"/>
  <c r="BF42"/>
  <c r="BI35" i="18"/>
  <c r="BI38"/>
  <c r="BI42"/>
  <c r="BI46"/>
  <c r="BF37" i="16"/>
  <c r="BF68" s="1"/>
  <c r="BF41"/>
  <c r="BD72" s="1"/>
  <c r="BF45"/>
  <c r="BE76" s="1"/>
  <c r="BI37" i="18"/>
  <c r="BG68" s="1"/>
  <c r="BI41"/>
  <c r="BG72" s="1"/>
  <c r="BI45"/>
  <c r="BG76" s="1"/>
  <c r="BE35" i="16"/>
  <c r="BE39"/>
  <c r="BE43"/>
  <c r="BH34" i="18"/>
  <c r="BH39"/>
  <c r="BH43"/>
  <c r="BE36" i="16"/>
  <c r="BE38"/>
  <c r="BE42"/>
  <c r="BH35" i="18"/>
  <c r="BH38"/>
  <c r="BH42"/>
  <c r="BH46"/>
  <c r="CW57"/>
  <c r="CW50"/>
  <c r="CW42"/>
  <c r="CW34"/>
  <c r="CW49"/>
  <c r="CW41"/>
  <c r="CT57" i="16"/>
  <c r="CT49"/>
  <c r="CT41"/>
  <c r="CT58"/>
  <c r="CT50"/>
  <c r="CT42"/>
  <c r="CT34"/>
  <c r="CW55" i="18"/>
  <c r="CW48"/>
  <c r="CW40"/>
  <c r="CW51"/>
  <c r="CW43"/>
  <c r="CW35"/>
  <c r="CT51" i="16"/>
  <c r="CT43"/>
  <c r="CT35"/>
  <c r="CT52"/>
  <c r="CT44"/>
  <c r="CT36"/>
  <c r="BF66"/>
  <c r="BE68"/>
  <c r="BD68"/>
  <c r="BE70"/>
  <c r="BE72"/>
  <c r="BF72"/>
  <c r="BF74"/>
  <c r="BD76"/>
  <c r="BF76"/>
  <c r="BI65" i="18"/>
  <c r="BH68"/>
  <c r="BI68"/>
  <c r="BG70"/>
  <c r="BH72"/>
  <c r="BI72"/>
  <c r="BG74"/>
  <c r="BH76"/>
  <c r="BI76"/>
  <c r="BD67" i="16"/>
  <c r="BE65"/>
  <c r="BF65"/>
  <c r="BF69"/>
  <c r="BE71"/>
  <c r="BF71"/>
  <c r="BD73"/>
  <c r="BD75"/>
  <c r="BE75"/>
  <c r="BD109" s="1"/>
  <c r="BG66" i="18"/>
  <c r="BH67"/>
  <c r="BG67"/>
  <c r="BI69"/>
  <c r="BH71"/>
  <c r="BG71"/>
  <c r="BI73"/>
  <c r="BH75"/>
  <c r="BG75"/>
  <c r="BI77"/>
  <c r="BF67" i="16"/>
  <c r="BE67"/>
  <c r="BE69"/>
  <c r="BD69"/>
  <c r="BD103" s="1"/>
  <c r="BF73"/>
  <c r="BE73"/>
  <c r="BI66" i="18"/>
  <c r="BH66"/>
  <c r="BG69"/>
  <c r="BH69"/>
  <c r="BG73"/>
  <c r="BH73"/>
  <c r="BG77"/>
  <c r="BH77"/>
  <c r="BE66" i="16"/>
  <c r="BD66"/>
  <c r="BD100" s="1"/>
  <c r="BD70"/>
  <c r="BF70"/>
  <c r="BD104" s="1"/>
  <c r="BD74"/>
  <c r="BE74"/>
  <c r="BG65" i="18"/>
  <c r="BH65"/>
  <c r="BI70"/>
  <c r="BH70"/>
  <c r="BI74"/>
  <c r="BH74"/>
  <c r="AI179" i="4" l="1"/>
  <c r="AK208"/>
  <c r="BG143" i="18"/>
  <c r="BG141"/>
  <c r="BG139"/>
  <c r="BG137"/>
  <c r="BG135"/>
  <c r="BG133"/>
  <c r="BG132"/>
  <c r="BD141" i="16"/>
  <c r="BD139"/>
  <c r="BD137"/>
  <c r="BD135"/>
  <c r="BD131"/>
  <c r="BD133"/>
  <c r="BG142" i="18"/>
  <c r="BG140"/>
  <c r="BG138"/>
  <c r="BG136"/>
  <c r="BG134"/>
  <c r="BG131"/>
  <c r="BD142" i="16"/>
  <c r="BD140"/>
  <c r="BD138"/>
  <c r="BD136"/>
  <c r="BD134"/>
  <c r="BD132"/>
  <c r="AK221" i="5"/>
  <c r="A83" i="16"/>
  <c r="A185"/>
  <c r="A52"/>
  <c r="A149"/>
  <c r="A117"/>
  <c r="A22"/>
  <c r="AK174" i="4"/>
  <c r="K69"/>
  <c r="BF16" i="18" s="1"/>
  <c r="G69" i="4"/>
  <c r="C69"/>
  <c r="AX16" i="18" s="1"/>
  <c r="N69" i="4"/>
  <c r="BI16" i="18" s="1"/>
  <c r="J69" i="4"/>
  <c r="BE16" i="18" s="1"/>
  <c r="F69" i="4"/>
  <c r="BA16" i="18" s="1"/>
  <c r="B69" i="4"/>
  <c r="AW16" i="18" s="1"/>
  <c r="L96" i="4"/>
  <c r="BG15" i="16" s="1"/>
  <c r="H96" i="4"/>
  <c r="BC15" i="16" s="1"/>
  <c r="D96" i="4"/>
  <c r="AY15" i="16" s="1"/>
  <c r="M96" i="4"/>
  <c r="BH15" i="16" s="1"/>
  <c r="I96" i="4"/>
  <c r="BD15" i="16" s="1"/>
  <c r="E96" i="4"/>
  <c r="AZ15" i="16" s="1"/>
  <c r="M69" i="4"/>
  <c r="BH16" i="18" s="1"/>
  <c r="I69" i="4"/>
  <c r="BD16" i="18" s="1"/>
  <c r="E69" i="4"/>
  <c r="AZ16" i="18" s="1"/>
  <c r="L69" i="4"/>
  <c r="BG16" i="18" s="1"/>
  <c r="H69" i="4"/>
  <c r="BC16" i="18" s="1"/>
  <c r="D69" i="4"/>
  <c r="AY16" i="18" s="1"/>
  <c r="J96" i="4"/>
  <c r="BE15" i="16" s="1"/>
  <c r="F96" i="4"/>
  <c r="BA15" i="16" s="1"/>
  <c r="B96" i="4"/>
  <c r="AW15" i="16" s="1"/>
  <c r="K96" i="4"/>
  <c r="BF15" i="16" s="1"/>
  <c r="G96" i="4"/>
  <c r="C96"/>
  <c r="AX15" i="16" s="1"/>
  <c r="M97" i="4"/>
  <c r="BH16" i="16" s="1"/>
  <c r="I97" i="4"/>
  <c r="BD16" i="16" s="1"/>
  <c r="E97" i="4"/>
  <c r="AZ16" i="16" s="1"/>
  <c r="N97" i="4"/>
  <c r="BI16" i="16" s="1"/>
  <c r="J97" i="4"/>
  <c r="BE16" i="16" s="1"/>
  <c r="F97" i="4"/>
  <c r="BA16" i="16" s="1"/>
  <c r="B97" i="4"/>
  <c r="AW16" i="16" s="1"/>
  <c r="P70" i="4"/>
  <c r="BK17" i="18" s="1"/>
  <c r="L70" i="4"/>
  <c r="BG17" i="18" s="1"/>
  <c r="H70" i="4"/>
  <c r="BC17" i="18" s="1"/>
  <c r="D70" i="4"/>
  <c r="AY17" i="18" s="1"/>
  <c r="O70" i="4"/>
  <c r="BJ17" i="18" s="1"/>
  <c r="K70" i="4"/>
  <c r="BF17" i="18" s="1"/>
  <c r="G70" i="4"/>
  <c r="C70"/>
  <c r="AX17" i="18" s="1"/>
  <c r="N96" i="4"/>
  <c r="BI15" i="16" s="1"/>
  <c r="O97" i="4"/>
  <c r="BJ16" i="16" s="1"/>
  <c r="K97" i="4"/>
  <c r="BF16" i="16" s="1"/>
  <c r="G97" i="4"/>
  <c r="C97"/>
  <c r="AX16" i="16" s="1"/>
  <c r="L97" i="4"/>
  <c r="BG16" i="16" s="1"/>
  <c r="H97" i="4"/>
  <c r="BC16" i="16" s="1"/>
  <c r="D97" i="4"/>
  <c r="AY16" i="16" s="1"/>
  <c r="O69" i="4"/>
  <c r="BJ16" i="18" s="1"/>
  <c r="N70" i="4"/>
  <c r="BI17" i="18" s="1"/>
  <c r="J70" i="4"/>
  <c r="BE17" i="18" s="1"/>
  <c r="F70" i="4"/>
  <c r="BA17" i="18" s="1"/>
  <c r="B70" i="4"/>
  <c r="AW17" i="18" s="1"/>
  <c r="M70" i="4"/>
  <c r="BH17" i="18" s="1"/>
  <c r="I70" i="4"/>
  <c r="BD17" i="18" s="1"/>
  <c r="E70" i="4"/>
  <c r="AZ17" i="18" s="1"/>
  <c r="P69" i="4"/>
  <c r="BK16" i="18" s="1"/>
  <c r="B71" i="4"/>
  <c r="AW18" i="18" s="1"/>
  <c r="F71" i="4"/>
  <c r="BA18" i="18" s="1"/>
  <c r="J71" i="4"/>
  <c r="BE18" i="18" s="1"/>
  <c r="N71" i="4"/>
  <c r="BI18" i="18" s="1"/>
  <c r="E71" i="4"/>
  <c r="AZ18" i="18" s="1"/>
  <c r="I71" i="4"/>
  <c r="BD18" i="18" s="1"/>
  <c r="M71" i="4"/>
  <c r="BH18" i="18" s="1"/>
  <c r="C98" i="4"/>
  <c r="AX17" i="16" s="1"/>
  <c r="G98" i="4"/>
  <c r="K98"/>
  <c r="BF17" i="16" s="1"/>
  <c r="O98" i="4"/>
  <c r="BJ17" i="16" s="1"/>
  <c r="D98" i="4"/>
  <c r="AY17" i="16" s="1"/>
  <c r="H98" i="4"/>
  <c r="BC17" i="16" s="1"/>
  <c r="L98" i="4"/>
  <c r="BG17" i="16" s="1"/>
  <c r="P69" i="5"/>
  <c r="CQ16" i="18" s="1"/>
  <c r="B71" i="5"/>
  <c r="CC18" i="18" s="1"/>
  <c r="F71" i="5"/>
  <c r="CG18" i="18" s="1"/>
  <c r="J71" i="5"/>
  <c r="CK18" i="18" s="1"/>
  <c r="N71" i="5"/>
  <c r="CO18" i="18" s="1"/>
  <c r="E71" i="5"/>
  <c r="CF18" i="18" s="1"/>
  <c r="I71" i="5"/>
  <c r="CJ18" i="18" s="1"/>
  <c r="M71" i="5"/>
  <c r="CN18" i="18" s="1"/>
  <c r="C98" i="5"/>
  <c r="CD17" i="16" s="1"/>
  <c r="G98" i="5"/>
  <c r="K98"/>
  <c r="CL17" i="16" s="1"/>
  <c r="O98" i="5"/>
  <c r="CP17" i="16" s="1"/>
  <c r="D98" i="5"/>
  <c r="CE17" i="16" s="1"/>
  <c r="H98" i="5"/>
  <c r="CI17" i="16" s="1"/>
  <c r="K69" i="5"/>
  <c r="CL16" i="18" s="1"/>
  <c r="G69" i="5"/>
  <c r="C69"/>
  <c r="CD16" i="18" s="1"/>
  <c r="N69" i="5"/>
  <c r="CO16" i="18" s="1"/>
  <c r="J69" i="5"/>
  <c r="CK16" i="18" s="1"/>
  <c r="F69" i="5"/>
  <c r="CG16" i="18" s="1"/>
  <c r="B69" i="5"/>
  <c r="CC16" i="18" s="1"/>
  <c r="L96" i="5"/>
  <c r="CM15" i="16" s="1"/>
  <c r="H96" i="5"/>
  <c r="CI15" i="16" s="1"/>
  <c r="D96" i="5"/>
  <c r="CE15" i="16" s="1"/>
  <c r="M96" i="5"/>
  <c r="CN15" i="16" s="1"/>
  <c r="I96" i="5"/>
  <c r="CJ15" i="16" s="1"/>
  <c r="E96" i="5"/>
  <c r="CF15" i="16" s="1"/>
  <c r="M69" i="5"/>
  <c r="CN16" i="18" s="1"/>
  <c r="I69" i="5"/>
  <c r="CJ16" i="18" s="1"/>
  <c r="E69" i="5"/>
  <c r="CF16" i="18" s="1"/>
  <c r="L69" i="5"/>
  <c r="CM16" i="18" s="1"/>
  <c r="H69" i="5"/>
  <c r="CI16" i="18" s="1"/>
  <c r="D69" i="5"/>
  <c r="CE16" i="18" s="1"/>
  <c r="J96" i="5"/>
  <c r="CK15" i="16" s="1"/>
  <c r="F96" i="5"/>
  <c r="CG15" i="16" s="1"/>
  <c r="B96" i="5"/>
  <c r="CC15" i="16" s="1"/>
  <c r="K96" i="5"/>
  <c r="CL15" i="16" s="1"/>
  <c r="G96" i="5"/>
  <c r="C96"/>
  <c r="CD15" i="16" s="1"/>
  <c r="N96" i="5"/>
  <c r="CO15" i="16" s="1"/>
  <c r="O97" i="5"/>
  <c r="CP16" i="16" s="1"/>
  <c r="K97" i="5"/>
  <c r="CL16" i="16" s="1"/>
  <c r="G97" i="5"/>
  <c r="C97"/>
  <c r="CD16" i="16" s="1"/>
  <c r="L97" i="5"/>
  <c r="CM16" i="16" s="1"/>
  <c r="H97" i="5"/>
  <c r="CI16" i="16" s="1"/>
  <c r="D97" i="5"/>
  <c r="CE16" i="16" s="1"/>
  <c r="O69" i="5"/>
  <c r="CP16" i="18" s="1"/>
  <c r="N70" i="5"/>
  <c r="CO17" i="18" s="1"/>
  <c r="J70" i="5"/>
  <c r="CK17" i="18" s="1"/>
  <c r="F70" i="5"/>
  <c r="CG17" i="18" s="1"/>
  <c r="B70" i="5"/>
  <c r="CC17" i="18" s="1"/>
  <c r="M70" i="5"/>
  <c r="CN17" i="18" s="1"/>
  <c r="I70" i="5"/>
  <c r="CJ17" i="18" s="1"/>
  <c r="E70" i="5"/>
  <c r="CF17" i="18" s="1"/>
  <c r="M97" i="5"/>
  <c r="CN16" i="16" s="1"/>
  <c r="I97" i="5"/>
  <c r="CJ16" i="16" s="1"/>
  <c r="E97" i="5"/>
  <c r="CF16" i="16" s="1"/>
  <c r="N97" i="5"/>
  <c r="CO16" i="16" s="1"/>
  <c r="J97" i="5"/>
  <c r="CK16" i="16" s="1"/>
  <c r="F97" i="5"/>
  <c r="CG16" i="16" s="1"/>
  <c r="B97" i="5"/>
  <c r="CC16" i="16" s="1"/>
  <c r="P70" i="5"/>
  <c r="CQ17" i="18" s="1"/>
  <c r="L70" i="5"/>
  <c r="CM17" i="18" s="1"/>
  <c r="H70" i="5"/>
  <c r="CI17" i="18" s="1"/>
  <c r="D70" i="5"/>
  <c r="CE17" i="18" s="1"/>
  <c r="O70" i="5"/>
  <c r="CP17" i="18" s="1"/>
  <c r="K70" i="5"/>
  <c r="CL17" i="18" s="1"/>
  <c r="G70" i="5"/>
  <c r="C70"/>
  <c r="CD17" i="18" s="1"/>
  <c r="P98" i="4"/>
  <c r="BK17" i="16" s="1"/>
  <c r="D71" i="4"/>
  <c r="AY18" i="18" s="1"/>
  <c r="H71" i="4"/>
  <c r="BC18" i="18" s="1"/>
  <c r="L71" i="4"/>
  <c r="BG18" i="18" s="1"/>
  <c r="P71" i="4"/>
  <c r="BK18" i="18" s="1"/>
  <c r="C71" i="4"/>
  <c r="AX18" i="18" s="1"/>
  <c r="G71" i="4"/>
  <c r="K71"/>
  <c r="BF18" i="18" s="1"/>
  <c r="O71" i="4"/>
  <c r="BJ18" i="18" s="1"/>
  <c r="O96" i="4"/>
  <c r="BJ15" i="16" s="1"/>
  <c r="E98" i="4"/>
  <c r="AZ17" i="16" s="1"/>
  <c r="I98" i="4"/>
  <c r="BD17" i="16" s="1"/>
  <c r="M98" i="4"/>
  <c r="BH17" i="16" s="1"/>
  <c r="B98" i="4"/>
  <c r="AW17" i="16" s="1"/>
  <c r="F98" i="4"/>
  <c r="BA17" i="16" s="1"/>
  <c r="J98" i="4"/>
  <c r="BE17" i="16" s="1"/>
  <c r="N98" i="4"/>
  <c r="BI17" i="16" s="1"/>
  <c r="P98" i="5"/>
  <c r="CQ17" i="16" s="1"/>
  <c r="D71" i="5"/>
  <c r="CE18" i="18" s="1"/>
  <c r="H71" i="5"/>
  <c r="CI18" i="18" s="1"/>
  <c r="L71" i="5"/>
  <c r="CM18" i="18" s="1"/>
  <c r="P71" i="5"/>
  <c r="CQ18" i="18" s="1"/>
  <c r="C71" i="5"/>
  <c r="CD18" i="18" s="1"/>
  <c r="G71" i="5"/>
  <c r="K71"/>
  <c r="CL18" i="18" s="1"/>
  <c r="O71" i="5"/>
  <c r="CP18" i="18" s="1"/>
  <c r="O96" i="5"/>
  <c r="CP15" i="16" s="1"/>
  <c r="E98" i="5"/>
  <c r="CF17" i="16" s="1"/>
  <c r="I98" i="5"/>
  <c r="CJ17" i="16" s="1"/>
  <c r="M98" i="5"/>
  <c r="CN17" i="16" s="1"/>
  <c r="B98" i="5"/>
  <c r="CC17" i="16" s="1"/>
  <c r="F98" i="5"/>
  <c r="CG17" i="16" s="1"/>
  <c r="J98" i="5"/>
  <c r="CK17" i="16" s="1"/>
  <c r="N98" i="5"/>
  <c r="CO17" i="16" s="1"/>
  <c r="Q83" i="5"/>
  <c r="R55"/>
  <c r="Q56"/>
  <c r="CR3" i="18" s="1"/>
  <c r="Q58" i="5"/>
  <c r="CR5" i="18" s="1"/>
  <c r="Q57" i="5"/>
  <c r="CR4" i="18" s="1"/>
  <c r="Q59" i="5"/>
  <c r="CR6" i="18" s="1"/>
  <c r="Q60" i="5"/>
  <c r="CR7" i="18" s="1"/>
  <c r="Q61" i="5"/>
  <c r="CR8" i="18" s="1"/>
  <c r="Q62" i="5"/>
  <c r="CR9" i="18" s="1"/>
  <c r="Q63" i="5"/>
  <c r="CR10" i="18" s="1"/>
  <c r="Q64" i="5"/>
  <c r="CR11" i="18" s="1"/>
  <c r="Q65" i="5"/>
  <c r="CR12" i="18" s="1"/>
  <c r="Q66" i="5"/>
  <c r="CR13" i="18" s="1"/>
  <c r="Q67" i="5"/>
  <c r="CR14" i="18" s="1"/>
  <c r="Q68" i="5"/>
  <c r="CR15" i="18" s="1"/>
  <c r="Q69" i="5"/>
  <c r="CR16" i="18" s="1"/>
  <c r="Q70" i="5"/>
  <c r="CR17" i="18" s="1"/>
  <c r="A100" i="5"/>
  <c r="A73"/>
  <c r="R72"/>
  <c r="CS19" i="18" s="1"/>
  <c r="P72" i="5"/>
  <c r="CQ19" i="18" s="1"/>
  <c r="N72" i="5"/>
  <c r="CO19" i="18" s="1"/>
  <c r="L72" i="5"/>
  <c r="CM19" i="18" s="1"/>
  <c r="J72" i="5"/>
  <c r="CK19" i="18" s="1"/>
  <c r="H72" i="5"/>
  <c r="CI19" i="18" s="1"/>
  <c r="F72" i="5"/>
  <c r="CG19" i="18" s="1"/>
  <c r="D72" i="5"/>
  <c r="CE19" i="18" s="1"/>
  <c r="B72" i="5"/>
  <c r="CC19" i="18" s="1"/>
  <c r="Q72" i="5"/>
  <c r="CR19" i="18" s="1"/>
  <c r="O72" i="5"/>
  <c r="CP19" i="18" s="1"/>
  <c r="M72" i="5"/>
  <c r="CN19" i="18" s="1"/>
  <c r="K72" i="5"/>
  <c r="CL19" i="18" s="1"/>
  <c r="I72" i="5"/>
  <c r="CJ19" i="18" s="1"/>
  <c r="G72" i="5"/>
  <c r="E72"/>
  <c r="CF19" i="18" s="1"/>
  <c r="C72" i="5"/>
  <c r="CD19" i="18" s="1"/>
  <c r="Q71" i="5"/>
  <c r="CR18" i="18" s="1"/>
  <c r="P85" i="5"/>
  <c r="CQ4" i="16" s="1"/>
  <c r="P84" i="5"/>
  <c r="CQ3" i="16" s="1"/>
  <c r="P86" i="5"/>
  <c r="CQ5" i="16" s="1"/>
  <c r="P87" i="5"/>
  <c r="CQ6" i="16" s="1"/>
  <c r="P88" i="5"/>
  <c r="CQ7" i="16" s="1"/>
  <c r="P89" i="5"/>
  <c r="CQ8" i="16" s="1"/>
  <c r="P90" i="5"/>
  <c r="CQ9" i="16" s="1"/>
  <c r="P91" i="5"/>
  <c r="CQ10" i="16" s="1"/>
  <c r="P92" i="5"/>
  <c r="CQ11" i="16" s="1"/>
  <c r="P93" i="5"/>
  <c r="CQ12" i="16" s="1"/>
  <c r="P94" i="5"/>
  <c r="CQ13" i="16" s="1"/>
  <c r="P95" i="5"/>
  <c r="CQ14" i="16" s="1"/>
  <c r="P96" i="5"/>
  <c r="CQ15" i="16" s="1"/>
  <c r="P97" i="5"/>
  <c r="CQ16" i="16" s="1"/>
  <c r="Q99" i="5"/>
  <c r="CR18" i="16" s="1"/>
  <c r="O99" i="5"/>
  <c r="CP18" i="16" s="1"/>
  <c r="M99" i="5"/>
  <c r="CN18" i="16" s="1"/>
  <c r="K99" i="5"/>
  <c r="CL18" i="16" s="1"/>
  <c r="I99" i="5"/>
  <c r="CJ18" i="16" s="1"/>
  <c r="G99" i="5"/>
  <c r="E99"/>
  <c r="CF18" i="16" s="1"/>
  <c r="C99" i="5"/>
  <c r="CD18" i="16" s="1"/>
  <c r="P99" i="5"/>
  <c r="CQ18" i="16" s="1"/>
  <c r="N99" i="5"/>
  <c r="CO18" i="16" s="1"/>
  <c r="L99" i="5"/>
  <c r="CM18" i="16" s="1"/>
  <c r="J99" i="5"/>
  <c r="CK18" i="16" s="1"/>
  <c r="H99" i="5"/>
  <c r="CI18" i="16" s="1"/>
  <c r="F99" i="5"/>
  <c r="CG18" i="16" s="1"/>
  <c r="D99" i="5"/>
  <c r="CE18" i="16" s="1"/>
  <c r="B99" i="5"/>
  <c r="CC18" i="16" s="1"/>
  <c r="Q83" i="4"/>
  <c r="R55"/>
  <c r="Q56"/>
  <c r="BL3" i="18" s="1"/>
  <c r="Q58" i="4"/>
  <c r="BL5" i="18" s="1"/>
  <c r="Q57" i="4"/>
  <c r="BL4" i="18" s="1"/>
  <c r="Q59" i="4"/>
  <c r="BL6" i="18" s="1"/>
  <c r="Q60" i="4"/>
  <c r="BL7" i="18" s="1"/>
  <c r="Q61" i="4"/>
  <c r="BL8" i="18" s="1"/>
  <c r="Q62" i="4"/>
  <c r="BL9" i="18" s="1"/>
  <c r="Q63" i="4"/>
  <c r="BL10" i="18" s="1"/>
  <c r="Q64" i="4"/>
  <c r="BL11" i="18" s="1"/>
  <c r="Q65" i="4"/>
  <c r="BL12" i="18" s="1"/>
  <c r="Q66" i="4"/>
  <c r="BL13" i="18" s="1"/>
  <c r="Q67" i="4"/>
  <c r="BL14" i="18" s="1"/>
  <c r="Q68" i="4"/>
  <c r="BL15" i="18" s="1"/>
  <c r="Q69" i="4"/>
  <c r="BL16" i="18" s="1"/>
  <c r="Q70" i="4"/>
  <c r="BL17" i="18" s="1"/>
  <c r="A100" i="4"/>
  <c r="A73"/>
  <c r="R72"/>
  <c r="BM19" i="18" s="1"/>
  <c r="P72" i="4"/>
  <c r="BK19" i="18" s="1"/>
  <c r="N72" i="4"/>
  <c r="BI19" i="18" s="1"/>
  <c r="L72" i="4"/>
  <c r="BG19" i="18" s="1"/>
  <c r="J72" i="4"/>
  <c r="BE19" i="18" s="1"/>
  <c r="H72" i="4"/>
  <c r="BC19" i="18" s="1"/>
  <c r="F72" i="4"/>
  <c r="BA19" i="18" s="1"/>
  <c r="D72" i="4"/>
  <c r="AY19" i="18" s="1"/>
  <c r="B72" i="4"/>
  <c r="AW19" i="18" s="1"/>
  <c r="Q72" i="4"/>
  <c r="BL19" i="18" s="1"/>
  <c r="O72" i="4"/>
  <c r="BJ19" i="18" s="1"/>
  <c r="M72" i="4"/>
  <c r="BH19" i="18" s="1"/>
  <c r="K72" i="4"/>
  <c r="BF19" i="18" s="1"/>
  <c r="I72" i="4"/>
  <c r="BD19" i="18" s="1"/>
  <c r="G72" i="4"/>
  <c r="E72"/>
  <c r="AZ19" i="18" s="1"/>
  <c r="C72" i="4"/>
  <c r="AX19" i="18" s="1"/>
  <c r="Q71" i="4"/>
  <c r="BL18" i="18" s="1"/>
  <c r="P85" i="4"/>
  <c r="BK4" i="16" s="1"/>
  <c r="P84" i="4"/>
  <c r="BK3" i="16" s="1"/>
  <c r="P86" i="4"/>
  <c r="BK5" i="16" s="1"/>
  <c r="P87" i="4"/>
  <c r="BK6" i="16" s="1"/>
  <c r="P88" i="4"/>
  <c r="BK7" i="16" s="1"/>
  <c r="P89" i="4"/>
  <c r="BK8" i="16" s="1"/>
  <c r="P90" i="4"/>
  <c r="BK9" i="16" s="1"/>
  <c r="P91" i="4"/>
  <c r="BK10" i="16" s="1"/>
  <c r="P92" i="4"/>
  <c r="BK11" i="16" s="1"/>
  <c r="P93" i="4"/>
  <c r="BK12" i="16" s="1"/>
  <c r="P94" i="4"/>
  <c r="BK13" i="16" s="1"/>
  <c r="P95" i="4"/>
  <c r="BK14" i="16" s="1"/>
  <c r="P96" i="4"/>
  <c r="BK15" i="16" s="1"/>
  <c r="P97" i="4"/>
  <c r="BK16" i="16" s="1"/>
  <c r="Q99" i="4"/>
  <c r="BL18" i="16" s="1"/>
  <c r="O99" i="4"/>
  <c r="BJ18" i="16" s="1"/>
  <c r="M99" i="4"/>
  <c r="BH18" i="16" s="1"/>
  <c r="K99" i="4"/>
  <c r="BF18" i="16" s="1"/>
  <c r="I99" i="4"/>
  <c r="BD18" i="16" s="1"/>
  <c r="G99" i="4"/>
  <c r="E99"/>
  <c r="AZ18" i="16" s="1"/>
  <c r="C99" i="4"/>
  <c r="AX18" i="16" s="1"/>
  <c r="P99" i="4"/>
  <c r="BK18" i="16" s="1"/>
  <c r="N99" i="4"/>
  <c r="BI18" i="16" s="1"/>
  <c r="L99" i="4"/>
  <c r="BG18" i="16" s="1"/>
  <c r="J99" i="4"/>
  <c r="BE18" i="16" s="1"/>
  <c r="H99" i="4"/>
  <c r="BC18" i="16" s="1"/>
  <c r="F99" i="4"/>
  <c r="BA18" i="16" s="1"/>
  <c r="D99" i="4"/>
  <c r="AY18" i="16" s="1"/>
  <c r="B99" i="4"/>
  <c r="AW18" i="16" s="1"/>
  <c r="AE83" i="3"/>
  <c r="AE79"/>
  <c r="AT26" i="18" s="1"/>
  <c r="AE77" i="3"/>
  <c r="AT24" i="18" s="1"/>
  <c r="AE80" i="3"/>
  <c r="AT27" i="18" s="1"/>
  <c r="AE78" i="3"/>
  <c r="AT25" i="18" s="1"/>
  <c r="AE75" i="3"/>
  <c r="AT22" i="18" s="1"/>
  <c r="AE73" i="3"/>
  <c r="AT20" i="18" s="1"/>
  <c r="AE71" i="3"/>
  <c r="AT18" i="18" s="1"/>
  <c r="AE69" i="3"/>
  <c r="AT16" i="18" s="1"/>
  <c r="AE67" i="3"/>
  <c r="AT14" i="18" s="1"/>
  <c r="AE65" i="3"/>
  <c r="AT12" i="18" s="1"/>
  <c r="AE63" i="3"/>
  <c r="AT10" i="18" s="1"/>
  <c r="AE61" i="3"/>
  <c r="AT8" i="18" s="1"/>
  <c r="AE59" i="3"/>
  <c r="AT6" i="18" s="1"/>
  <c r="AE57" i="3"/>
  <c r="AT4" i="18" s="1"/>
  <c r="AE76" i="3"/>
  <c r="AT23" i="18" s="1"/>
  <c r="AE74" i="3"/>
  <c r="AT21" i="18" s="1"/>
  <c r="AE72" i="3"/>
  <c r="AT19" i="18" s="1"/>
  <c r="AE70" i="3"/>
  <c r="AT17" i="18" s="1"/>
  <c r="AE68" i="3"/>
  <c r="AT15" i="18" s="1"/>
  <c r="AE66" i="3"/>
  <c r="AT13" i="18" s="1"/>
  <c r="AE64" i="3"/>
  <c r="AT11" i="18" s="1"/>
  <c r="AE62" i="3"/>
  <c r="AT9" i="18" s="1"/>
  <c r="AE60" i="3"/>
  <c r="AT7" i="18" s="1"/>
  <c r="AE58" i="3"/>
  <c r="AT5" i="18" s="1"/>
  <c r="AE56" i="3"/>
  <c r="AT3" i="18" s="1"/>
  <c r="AF55" i="3"/>
  <c r="AD108"/>
  <c r="AS27" i="16" s="1"/>
  <c r="AD106" i="3"/>
  <c r="AS25" i="16" s="1"/>
  <c r="AD104" i="3"/>
  <c r="AS23" i="16" s="1"/>
  <c r="AD102" i="3"/>
  <c r="AS21" i="16" s="1"/>
  <c r="AD100" i="3"/>
  <c r="AS19" i="16" s="1"/>
  <c r="AD98" i="3"/>
  <c r="AS17" i="16" s="1"/>
  <c r="AD96" i="3"/>
  <c r="AS15" i="16" s="1"/>
  <c r="AD94" i="3"/>
  <c r="AS13" i="16" s="1"/>
  <c r="AD92" i="3"/>
  <c r="AS11" i="16" s="1"/>
  <c r="AD90" i="3"/>
  <c r="AS9" i="16" s="1"/>
  <c r="AD88" i="3"/>
  <c r="AS7" i="16" s="1"/>
  <c r="AD86" i="3"/>
  <c r="AS5" i="16" s="1"/>
  <c r="AD84" i="3"/>
  <c r="AS3" i="16" s="1"/>
  <c r="AD107" i="3"/>
  <c r="AS26" i="16" s="1"/>
  <c r="AD105" i="3"/>
  <c r="AS24" i="16" s="1"/>
  <c r="AD103" i="3"/>
  <c r="AS22" i="16" s="1"/>
  <c r="AD101" i="3"/>
  <c r="AS20" i="16" s="1"/>
  <c r="AD99" i="3"/>
  <c r="AS18" i="16" s="1"/>
  <c r="AD97" i="3"/>
  <c r="AS16" i="16" s="1"/>
  <c r="AD95" i="3"/>
  <c r="AS14" i="16" s="1"/>
  <c r="AD93" i="3"/>
  <c r="AS12" i="16" s="1"/>
  <c r="AD91" i="3"/>
  <c r="AS10" i="16" s="1"/>
  <c r="AD89" i="3"/>
  <c r="AS8" i="16" s="1"/>
  <c r="AD87" i="3"/>
  <c r="AS6" i="16" s="1"/>
  <c r="AD85" i="3"/>
  <c r="AS4" i="16" s="1"/>
  <c r="A40" i="5"/>
  <c r="A40" i="4"/>
  <c r="A41" i="3"/>
  <c r="AI212" i="5"/>
  <c r="AI211"/>
  <c r="AK211"/>
  <c r="AI167" i="4"/>
  <c r="AK176" i="3"/>
  <c r="AK240" i="5"/>
  <c r="AI171" i="4"/>
  <c r="AI199"/>
  <c r="AK197"/>
  <c r="AK212" i="5"/>
  <c r="AI201" i="4"/>
  <c r="AK175" i="3"/>
  <c r="AI175"/>
  <c r="AK167" i="4"/>
  <c r="AK170"/>
  <c r="AH198"/>
  <c r="AK198" s="1"/>
  <c r="AL197"/>
  <c r="AI174" i="3"/>
  <c r="AK173"/>
  <c r="AI165"/>
  <c r="AI168"/>
  <c r="AI171"/>
  <c r="AI166"/>
  <c r="AK239" i="5"/>
  <c r="AI240"/>
  <c r="AK166" i="4"/>
  <c r="AI195"/>
  <c r="AK193"/>
  <c r="AI196"/>
  <c r="AI192"/>
  <c r="AI172"/>
  <c r="AI197"/>
  <c r="AI200"/>
  <c r="AK180"/>
  <c r="AI180"/>
  <c r="AK171"/>
  <c r="AI165"/>
  <c r="AL198"/>
  <c r="AL200"/>
  <c r="AK200"/>
  <c r="AJ194"/>
  <c r="AH194"/>
  <c r="AK195"/>
  <c r="AK199"/>
  <c r="AK201"/>
  <c r="AJ202"/>
  <c r="AL193"/>
  <c r="AI193"/>
  <c r="AL196"/>
  <c r="AK196"/>
  <c r="AL192"/>
  <c r="AK192"/>
  <c r="AI164"/>
  <c r="AK168"/>
  <c r="AK165"/>
  <c r="AI166"/>
  <c r="AI174"/>
  <c r="AI173"/>
  <c r="AI168"/>
  <c r="AK172"/>
  <c r="AK164"/>
  <c r="AI169"/>
  <c r="AI170"/>
  <c r="AI167" i="3"/>
  <c r="AK170"/>
  <c r="AI201"/>
  <c r="AI191"/>
  <c r="AI194"/>
  <c r="AI192"/>
  <c r="AI190"/>
  <c r="AI193"/>
  <c r="AI169"/>
  <c r="AI172"/>
  <c r="AI164"/>
  <c r="AI197"/>
  <c r="AI200"/>
  <c r="AI195"/>
  <c r="AL191"/>
  <c r="AK191"/>
  <c r="AL194"/>
  <c r="AK194"/>
  <c r="AL192"/>
  <c r="AK192"/>
  <c r="AL190"/>
  <c r="AK190"/>
  <c r="AL193"/>
  <c r="AK193"/>
  <c r="AI202"/>
  <c r="AL201"/>
  <c r="AK201"/>
  <c r="AL197"/>
  <c r="AK197"/>
  <c r="AL200"/>
  <c r="AK200"/>
  <c r="AL199"/>
  <c r="AK199"/>
  <c r="AL195"/>
  <c r="AK195"/>
  <c r="AL198"/>
  <c r="AK198"/>
  <c r="AL196"/>
  <c r="AK196"/>
  <c r="AI199"/>
  <c r="AL202"/>
  <c r="AK202"/>
  <c r="AI198"/>
  <c r="AI196"/>
  <c r="AK165"/>
  <c r="AK168"/>
  <c r="AK171"/>
  <c r="AK166"/>
  <c r="AK169"/>
  <c r="AK172"/>
  <c r="AK164"/>
  <c r="AK167"/>
  <c r="AI170"/>
  <c r="AI176"/>
  <c r="AK174"/>
  <c r="AI173"/>
  <c r="AI221" i="5"/>
  <c r="AK222"/>
  <c r="AK177" i="4"/>
  <c r="AK203"/>
  <c r="AK215" i="5"/>
  <c r="AK179" i="4"/>
  <c r="AI206"/>
  <c r="AK206"/>
  <c r="AK178"/>
  <c r="AI177"/>
  <c r="AI178"/>
  <c r="AI214" i="5"/>
  <c r="AI177" i="3"/>
  <c r="AK214" i="5"/>
  <c r="AK203" i="3"/>
  <c r="AL203"/>
  <c r="AI203"/>
  <c r="AI205"/>
  <c r="AL205"/>
  <c r="AK205"/>
  <c r="AL204"/>
  <c r="AK204"/>
  <c r="AI204"/>
  <c r="AK205" i="4"/>
  <c r="AI175"/>
  <c r="AL205"/>
  <c r="AK177" i="3"/>
  <c r="AK175" i="4"/>
  <c r="AI176"/>
  <c r="AK178" i="3"/>
  <c r="AI178"/>
  <c r="AK207" i="4"/>
  <c r="AI207"/>
  <c r="AK213" i="5"/>
  <c r="AL241"/>
  <c r="AL203" i="4"/>
  <c r="AI203"/>
  <c r="AK244" i="5"/>
  <c r="AH241"/>
  <c r="AK241" s="1"/>
  <c r="AK176" i="4"/>
  <c r="AL242" i="5"/>
  <c r="AI242"/>
  <c r="AH204" i="4"/>
  <c r="AJ204"/>
  <c r="AI243" i="5"/>
  <c r="AL243"/>
  <c r="AK243"/>
  <c r="AK242"/>
  <c r="AI215"/>
  <c r="AL244"/>
  <c r="AI244"/>
  <c r="AI208" i="4"/>
  <c r="AI213" i="5"/>
  <c r="AI224"/>
  <c r="AI120" i="4"/>
  <c r="AI122" s="1"/>
  <c r="AI123" s="1"/>
  <c r="AI124" s="1"/>
  <c r="AI125" s="1"/>
  <c r="AI126" s="1"/>
  <c r="AI216" i="5"/>
  <c r="AJ252"/>
  <c r="AL252" s="1"/>
  <c r="AK253"/>
  <c r="AI247"/>
  <c r="AL247"/>
  <c r="AI245"/>
  <c r="AI168"/>
  <c r="AI170" s="1"/>
  <c r="AI171" s="1"/>
  <c r="AI172" s="1"/>
  <c r="AI173" s="1"/>
  <c r="AI174" s="1"/>
  <c r="AI220"/>
  <c r="AK248"/>
  <c r="AI123" i="3"/>
  <c r="AI125" s="1"/>
  <c r="AK251" i="5"/>
  <c r="AK247"/>
  <c r="AK245"/>
  <c r="AI248"/>
  <c r="AK246"/>
  <c r="AI246"/>
  <c r="AJ249"/>
  <c r="AL249" s="1"/>
  <c r="AH249"/>
  <c r="AI219"/>
  <c r="AK224"/>
  <c r="AI251"/>
  <c r="AJ250"/>
  <c r="AL250" s="1"/>
  <c r="AI253"/>
  <c r="AK223"/>
  <c r="AI223"/>
  <c r="AK219"/>
  <c r="AI222"/>
  <c r="AK225"/>
  <c r="AI225"/>
  <c r="AI218"/>
  <c r="AK218"/>
  <c r="AK220"/>
  <c r="AK216"/>
  <c r="AK217"/>
  <c r="AI217"/>
  <c r="AI231"/>
  <c r="AK231"/>
  <c r="AH258"/>
  <c r="AJ258"/>
  <c r="AL258" s="1"/>
  <c r="AK229"/>
  <c r="AI229"/>
  <c r="AJ254"/>
  <c r="AL254" s="1"/>
  <c r="AH254"/>
  <c r="AI227"/>
  <c r="AK227"/>
  <c r="AK259"/>
  <c r="AI259"/>
  <c r="AH261"/>
  <c r="AJ261"/>
  <c r="AL261" s="1"/>
  <c r="AI255"/>
  <c r="AK255"/>
  <c r="AJ263"/>
  <c r="AK263" s="1"/>
  <c r="AK228"/>
  <c r="AI228"/>
  <c r="AK233"/>
  <c r="AI233"/>
  <c r="K210"/>
  <c r="K238" s="1"/>
  <c r="AK230"/>
  <c r="AI230"/>
  <c r="AH257"/>
  <c r="AJ257"/>
  <c r="AL257" s="1"/>
  <c r="AK226"/>
  <c r="AI226"/>
  <c r="AK234"/>
  <c r="AI234"/>
  <c r="AK235"/>
  <c r="AI235"/>
  <c r="AJ256"/>
  <c r="AL256" s="1"/>
  <c r="AH256"/>
  <c r="AI232"/>
  <c r="AK232"/>
  <c r="AK260"/>
  <c r="AI260"/>
  <c r="AH262"/>
  <c r="AJ262"/>
  <c r="AL262" s="1"/>
  <c r="AK185" i="4"/>
  <c r="AI185"/>
  <c r="AI183"/>
  <c r="AK183"/>
  <c r="AJ209"/>
  <c r="AL209" s="1"/>
  <c r="AH209"/>
  <c r="AI187"/>
  <c r="AK187"/>
  <c r="AH211"/>
  <c r="AJ211"/>
  <c r="AL211" s="1"/>
  <c r="AK215"/>
  <c r="AI215"/>
  <c r="AJ216"/>
  <c r="AI180" i="3"/>
  <c r="AJ213" i="4"/>
  <c r="AL213" s="1"/>
  <c r="AH213"/>
  <c r="AH210"/>
  <c r="AJ210"/>
  <c r="AL210" s="1"/>
  <c r="AI214"/>
  <c r="AK214"/>
  <c r="AI182"/>
  <c r="AK182"/>
  <c r="AK212"/>
  <c r="AI212"/>
  <c r="AK184"/>
  <c r="AI184"/>
  <c r="AK188"/>
  <c r="AI188"/>
  <c r="K163"/>
  <c r="K191" s="1"/>
  <c r="AI186"/>
  <c r="AK186"/>
  <c r="AK181"/>
  <c r="AI181"/>
  <c r="AK180" i="3"/>
  <c r="M1"/>
  <c r="L162"/>
  <c r="L189" s="1"/>
  <c r="L1" i="5"/>
  <c r="L1" i="4"/>
  <c r="AI185" i="3"/>
  <c r="AK185"/>
  <c r="AI179"/>
  <c r="AK179"/>
  <c r="AI186"/>
  <c r="AK186"/>
  <c r="AI211"/>
  <c r="AK211"/>
  <c r="AI182"/>
  <c r="AK182"/>
  <c r="AI184"/>
  <c r="AK184"/>
  <c r="AI206"/>
  <c r="AK206"/>
  <c r="AH208"/>
  <c r="AJ208"/>
  <c r="AL208" s="1"/>
  <c r="AI181"/>
  <c r="AK181"/>
  <c r="AI183"/>
  <c r="AK183"/>
  <c r="AI210"/>
  <c r="AK210"/>
  <c r="AI212"/>
  <c r="AK212"/>
  <c r="AH207"/>
  <c r="AJ207"/>
  <c r="AL207" s="1"/>
  <c r="AH209"/>
  <c r="AJ209"/>
  <c r="AL209" s="1"/>
  <c r="BG105" i="18"/>
  <c r="BD105" i="16"/>
  <c r="BG110" i="18"/>
  <c r="BG102"/>
  <c r="BD106" i="16"/>
  <c r="BG111" i="18"/>
  <c r="BG103"/>
  <c r="BD107" i="16"/>
  <c r="BG108" i="18"/>
  <c r="BG99"/>
  <c r="S47"/>
  <c r="S49" i="16"/>
  <c r="AE49" i="18"/>
  <c r="AN49"/>
  <c r="AT48" i="16"/>
  <c r="AT47" i="18"/>
  <c r="AQ47"/>
  <c r="AZ46" i="16"/>
  <c r="AN47" i="18"/>
  <c r="Y47"/>
  <c r="AT46" i="16"/>
  <c r="BF47"/>
  <c r="Y47"/>
  <c r="AE48" i="18"/>
  <c r="AB48"/>
  <c r="BC47" i="16"/>
  <c r="BI48" i="18"/>
  <c r="BF48"/>
  <c r="AW49"/>
  <c r="AT49"/>
  <c r="AN48" i="16"/>
  <c r="BL34" i="18"/>
  <c r="BL38"/>
  <c r="BL42"/>
  <c r="BL46"/>
  <c r="BI50"/>
  <c r="AK50"/>
  <c r="BL50"/>
  <c r="AN50"/>
  <c r="BL49"/>
  <c r="BI37" i="16"/>
  <c r="BI41"/>
  <c r="BI45"/>
  <c r="BF49"/>
  <c r="V49"/>
  <c r="AQ49"/>
  <c r="S49" i="18"/>
  <c r="S48"/>
  <c r="S50"/>
  <c r="AB49"/>
  <c r="BF48" i="16"/>
  <c r="BC47" i="18"/>
  <c r="AW46" i="16"/>
  <c r="AN46"/>
  <c r="AB47" i="18"/>
  <c r="AQ46" i="16"/>
  <c r="AT47"/>
  <c r="AK47"/>
  <c r="AQ48" i="18"/>
  <c r="AZ47" i="16"/>
  <c r="AQ47"/>
  <c r="Y48" i="18"/>
  <c r="V48"/>
  <c r="AK49"/>
  <c r="BF49"/>
  <c r="AZ48" i="16"/>
  <c r="BC48"/>
  <c r="BL37" i="18"/>
  <c r="BL41"/>
  <c r="BL45"/>
  <c r="BO50"/>
  <c r="AQ50"/>
  <c r="BF50"/>
  <c r="V50"/>
  <c r="BI36" i="16"/>
  <c r="BI40"/>
  <c r="BI44"/>
  <c r="BL49"/>
  <c r="AN49"/>
  <c r="BI49"/>
  <c r="AK49"/>
  <c r="R46"/>
  <c r="R49" i="18"/>
  <c r="R48"/>
  <c r="AD47"/>
  <c r="X46" i="16"/>
  <c r="AY47" i="18"/>
  <c r="AJ47"/>
  <c r="AY47" i="16"/>
  <c r="AP47"/>
  <c r="X48" i="18"/>
  <c r="U48"/>
  <c r="AV47" i="16"/>
  <c r="BB48" i="18"/>
  <c r="AY48"/>
  <c r="AP49"/>
  <c r="AY49"/>
  <c r="AJ48" i="16"/>
  <c r="AJ49" i="18"/>
  <c r="BE49"/>
  <c r="AY48" i="16"/>
  <c r="BB48"/>
  <c r="BK37" i="18"/>
  <c r="BK41"/>
  <c r="BK45"/>
  <c r="BN50"/>
  <c r="AP50"/>
  <c r="BE50"/>
  <c r="U50"/>
  <c r="BH36" i="16"/>
  <c r="BH40"/>
  <c r="BH44"/>
  <c r="BK49"/>
  <c r="AM49"/>
  <c r="BH49"/>
  <c r="AJ49"/>
  <c r="AS46"/>
  <c r="BB46"/>
  <c r="BE47" i="18"/>
  <c r="BB49"/>
  <c r="X48" i="16"/>
  <c r="AS49" i="18"/>
  <c r="AP48" i="16"/>
  <c r="BK38" i="18"/>
  <c r="BK46"/>
  <c r="AJ50"/>
  <c r="AM50"/>
  <c r="BH37" i="16"/>
  <c r="BH45"/>
  <c r="BB49"/>
  <c r="R47" i="18"/>
  <c r="R49" i="16"/>
  <c r="U47" i="18"/>
  <c r="AJ46" i="16"/>
  <c r="AA46"/>
  <c r="AV47" i="18"/>
  <c r="AD46" i="16"/>
  <c r="AM47"/>
  <c r="AD47"/>
  <c r="BE48" i="18"/>
  <c r="AJ47" i="16"/>
  <c r="AM48" i="18"/>
  <c r="AM49"/>
  <c r="AV48" i="16"/>
  <c r="U49" i="18"/>
  <c r="BK34"/>
  <c r="BK44"/>
  <c r="AV50"/>
  <c r="AY50"/>
  <c r="BH34" i="16"/>
  <c r="BH43"/>
  <c r="AS49"/>
  <c r="AP49"/>
  <c r="CZ56" i="18"/>
  <c r="CZ47"/>
  <c r="CZ39"/>
  <c r="CZ52"/>
  <c r="CZ44"/>
  <c r="CZ36"/>
  <c r="CW52" i="16"/>
  <c r="CW44"/>
  <c r="CW36"/>
  <c r="CW53"/>
  <c r="CW45"/>
  <c r="CW37"/>
  <c r="CZ58" i="18"/>
  <c r="CZ49"/>
  <c r="CZ41"/>
  <c r="CZ54"/>
  <c r="CZ46"/>
  <c r="CZ38"/>
  <c r="CW58" i="16"/>
  <c r="CW50"/>
  <c r="CW42"/>
  <c r="CW34"/>
  <c r="CW51"/>
  <c r="CW43"/>
  <c r="CW35"/>
  <c r="AJ169" i="5"/>
  <c r="AJ121" i="4"/>
  <c r="AJ170" i="5"/>
  <c r="AJ173"/>
  <c r="AJ125" i="4"/>
  <c r="AJ171" i="5"/>
  <c r="S80" i="18"/>
  <c r="S79"/>
  <c r="AY78" i="16"/>
  <c r="AO78"/>
  <c r="W79" i="18"/>
  <c r="V79"/>
  <c r="AI80"/>
  <c r="BF80"/>
  <c r="AX79" i="16"/>
  <c r="BC79"/>
  <c r="BJ68" i="18"/>
  <c r="BJ72"/>
  <c r="BJ76"/>
  <c r="BO81"/>
  <c r="AQ81"/>
  <c r="BD81"/>
  <c r="V81"/>
  <c r="BG67" i="16"/>
  <c r="BH71"/>
  <c r="BG75"/>
  <c r="BL80"/>
  <c r="AN80"/>
  <c r="BG80"/>
  <c r="AI80"/>
  <c r="AR77"/>
  <c r="AT80" i="18"/>
  <c r="BL69"/>
  <c r="BL77"/>
  <c r="AK81"/>
  <c r="AL81"/>
  <c r="BH68" i="16"/>
  <c r="BG76"/>
  <c r="Q78" i="18"/>
  <c r="R80" i="16"/>
  <c r="BD79" i="18"/>
  <c r="AI78" i="16"/>
  <c r="AN80" i="18"/>
  <c r="AU79" i="16"/>
  <c r="BL65" i="18"/>
  <c r="AQ80" i="16"/>
  <c r="BG109" i="18"/>
  <c r="BG101"/>
  <c r="BD99" i="16"/>
  <c r="BG106" i="18"/>
  <c r="BD110" i="16"/>
  <c r="BD102"/>
  <c r="BG107" i="18"/>
  <c r="BG100"/>
  <c r="BD101" i="16"/>
  <c r="BG104" i="18"/>
  <c r="BD108" i="16"/>
  <c r="S48"/>
  <c r="BI47" i="18"/>
  <c r="BC49"/>
  <c r="BA80" s="1"/>
  <c r="V48" i="16"/>
  <c r="Y48"/>
  <c r="W79" s="1"/>
  <c r="V47" i="18"/>
  <c r="T78" s="1"/>
  <c r="AK46" i="16"/>
  <c r="AK77" s="1"/>
  <c r="AB46"/>
  <c r="Z77" s="1"/>
  <c r="AW47" i="18"/>
  <c r="AU78" s="1"/>
  <c r="AE46" i="16"/>
  <c r="AD77" s="1"/>
  <c r="V46"/>
  <c r="AW47"/>
  <c r="AW78" s="1"/>
  <c r="BC48" i="18"/>
  <c r="BC79" s="1"/>
  <c r="AZ48"/>
  <c r="AX79" s="1"/>
  <c r="AN47" i="16"/>
  <c r="AL78" s="1"/>
  <c r="AE47"/>
  <c r="AD78" s="1"/>
  <c r="AK48" i="18"/>
  <c r="Y49"/>
  <c r="V49"/>
  <c r="T80" s="1"/>
  <c r="BF46" i="16"/>
  <c r="AQ48"/>
  <c r="AP79" s="1"/>
  <c r="BL35" i="18"/>
  <c r="BL40"/>
  <c r="BL44"/>
  <c r="BL75" s="1"/>
  <c r="BL48"/>
  <c r="AW50"/>
  <c r="AW81" s="1"/>
  <c r="Y50"/>
  <c r="AZ50"/>
  <c r="AX81" s="1"/>
  <c r="AB50"/>
  <c r="BI34" i="16"/>
  <c r="BG65" s="1"/>
  <c r="BI39"/>
  <c r="BI43"/>
  <c r="BG74" s="1"/>
  <c r="BI47"/>
  <c r="AT49"/>
  <c r="AS80" s="1"/>
  <c r="BC49"/>
  <c r="BB80" s="1"/>
  <c r="AE49"/>
  <c r="S46"/>
  <c r="Q77" s="1"/>
  <c r="S47"/>
  <c r="AQ49" i="18"/>
  <c r="AO80" s="1"/>
  <c r="AZ49"/>
  <c r="AZ80" s="1"/>
  <c r="AK48" i="16"/>
  <c r="AJ79" s="1"/>
  <c r="AE47" i="18"/>
  <c r="AE78" s="1"/>
  <c r="Y46" i="16"/>
  <c r="Y77" s="1"/>
  <c r="AZ47" i="18"/>
  <c r="AZ78" s="1"/>
  <c r="AK47"/>
  <c r="AI78" s="1"/>
  <c r="BC46" i="16"/>
  <c r="BA77" s="1"/>
  <c r="V47"/>
  <c r="BF47" i="18"/>
  <c r="BF78" s="1"/>
  <c r="AN48"/>
  <c r="AL79" s="1"/>
  <c r="AB47" i="16"/>
  <c r="AW48" i="18"/>
  <c r="AT48"/>
  <c r="BI48" i="16"/>
  <c r="BI49" i="18"/>
  <c r="AB48" i="16"/>
  <c r="AE48"/>
  <c r="BL36" i="18"/>
  <c r="BL39"/>
  <c r="BL43"/>
  <c r="BL47"/>
  <c r="BC50"/>
  <c r="AE50"/>
  <c r="AT50"/>
  <c r="BI35" i="16"/>
  <c r="BI38"/>
  <c r="BI42"/>
  <c r="BI46"/>
  <c r="AZ49"/>
  <c r="AB49"/>
  <c r="AW49"/>
  <c r="Y49"/>
  <c r="R47"/>
  <c r="R50" i="18"/>
  <c r="BB47"/>
  <c r="AV46" i="16"/>
  <c r="AM46"/>
  <c r="AA47" i="18"/>
  <c r="AP46" i="16"/>
  <c r="AA47"/>
  <c r="AV48" i="18"/>
  <c r="AS48"/>
  <c r="BE47" i="16"/>
  <c r="X47"/>
  <c r="AD48" i="18"/>
  <c r="AA48"/>
  <c r="AA49"/>
  <c r="BE48" i="16"/>
  <c r="BH48"/>
  <c r="BH49" i="18"/>
  <c r="AA48" i="16"/>
  <c r="AD48"/>
  <c r="BK36" i="18"/>
  <c r="BK39"/>
  <c r="BK43"/>
  <c r="BK47"/>
  <c r="BB50"/>
  <c r="AD50"/>
  <c r="AS50"/>
  <c r="BH35" i="16"/>
  <c r="BH38"/>
  <c r="BH42"/>
  <c r="BH46"/>
  <c r="AY49"/>
  <c r="AA49"/>
  <c r="AV49"/>
  <c r="X49"/>
  <c r="BH48" i="18"/>
  <c r="U47" i="16"/>
  <c r="AD49" i="18"/>
  <c r="U48" i="16"/>
  <c r="X49" i="18"/>
  <c r="AM48" i="16"/>
  <c r="BK35" i="18"/>
  <c r="BK42"/>
  <c r="BH50"/>
  <c r="BK50"/>
  <c r="BK49"/>
  <c r="BH41" i="16"/>
  <c r="BE49"/>
  <c r="AD49"/>
  <c r="R48"/>
  <c r="AS47" i="18"/>
  <c r="AP47"/>
  <c r="AY46" i="16"/>
  <c r="AM47" i="18"/>
  <c r="X47"/>
  <c r="U46" i="16"/>
  <c r="BB47"/>
  <c r="AJ48" i="18"/>
  <c r="AS47" i="16"/>
  <c r="AP48" i="18"/>
  <c r="BH47"/>
  <c r="AS48" i="16"/>
  <c r="AV49" i="18"/>
  <c r="BE46" i="16"/>
  <c r="BK40" i="18"/>
  <c r="BK48"/>
  <c r="X50"/>
  <c r="AA50"/>
  <c r="BH39" i="16"/>
  <c r="BH47"/>
  <c r="U49"/>
  <c r="CZ55" i="18"/>
  <c r="CZ51"/>
  <c r="CZ43"/>
  <c r="CZ35"/>
  <c r="CZ48"/>
  <c r="CZ40"/>
  <c r="CW56" i="16"/>
  <c r="CW48"/>
  <c r="CW40"/>
  <c r="CW57"/>
  <c r="CW49"/>
  <c r="CW41"/>
  <c r="CZ57" i="18"/>
  <c r="CZ53"/>
  <c r="CZ45"/>
  <c r="CZ37"/>
  <c r="CZ50"/>
  <c r="CZ42"/>
  <c r="CZ34"/>
  <c r="CW54" i="16"/>
  <c r="CW46"/>
  <c r="CW38"/>
  <c r="CW55"/>
  <c r="CW47"/>
  <c r="CW39"/>
  <c r="AJ122" i="4"/>
  <c r="AJ123"/>
  <c r="AJ174" i="5"/>
  <c r="AJ126" i="4"/>
  <c r="AJ124"/>
  <c r="AJ172" i="5"/>
  <c r="R77" i="16"/>
  <c r="S77"/>
  <c r="S78"/>
  <c r="R80" i="18"/>
  <c r="Q80"/>
  <c r="Q81"/>
  <c r="R79"/>
  <c r="Q79"/>
  <c r="BA78"/>
  <c r="AD78"/>
  <c r="AC78"/>
  <c r="AV77" i="16"/>
  <c r="W77"/>
  <c r="X77"/>
  <c r="W111" s="1"/>
  <c r="AM77"/>
  <c r="AY78" i="18"/>
  <c r="AX78"/>
  <c r="AB78"/>
  <c r="AJ78"/>
  <c r="AK78"/>
  <c r="AP77" i="16"/>
  <c r="AX78"/>
  <c r="AZ78"/>
  <c r="AB78"/>
  <c r="AP78"/>
  <c r="AQ78"/>
  <c r="AW79" i="18"/>
  <c r="X79"/>
  <c r="Y79"/>
  <c r="AR79"/>
  <c r="U79"/>
  <c r="T79"/>
  <c r="BE78" i="16"/>
  <c r="AU78"/>
  <c r="AV78"/>
  <c r="AU112" s="1"/>
  <c r="X78"/>
  <c r="BB79" i="18"/>
  <c r="BA79"/>
  <c r="AC79"/>
  <c r="AY79"/>
  <c r="AZ79"/>
  <c r="Z79"/>
  <c r="AP80"/>
  <c r="AQ80"/>
  <c r="AB80"/>
  <c r="AY80"/>
  <c r="AX80"/>
  <c r="BF79" i="16"/>
  <c r="AI79"/>
  <c r="AK79"/>
  <c r="BH79"/>
  <c r="AJ80" i="18"/>
  <c r="AK80"/>
  <c r="BG80"/>
  <c r="BE80"/>
  <c r="BD80"/>
  <c r="AB79" i="16"/>
  <c r="AY79"/>
  <c r="AZ79"/>
  <c r="AE79"/>
  <c r="BB79"/>
  <c r="BA79"/>
  <c r="BL67" i="18"/>
  <c r="BK68"/>
  <c r="BL68"/>
  <c r="BJ70"/>
  <c r="BK72"/>
  <c r="BL72"/>
  <c r="BJ74"/>
  <c r="BK76"/>
  <c r="BL76"/>
  <c r="BJ78"/>
  <c r="BN81"/>
  <c r="BM81"/>
  <c r="BC81"/>
  <c r="AP81"/>
  <c r="AO81"/>
  <c r="AE81"/>
  <c r="BE81"/>
  <c r="BF81"/>
  <c r="AR81"/>
  <c r="U81"/>
  <c r="T81"/>
  <c r="BI66" i="16"/>
  <c r="BI67"/>
  <c r="BH67"/>
  <c r="BG101" s="1"/>
  <c r="BI69"/>
  <c r="BI71"/>
  <c r="BG71"/>
  <c r="BG105" s="1"/>
  <c r="BH73"/>
  <c r="BH75"/>
  <c r="BI75"/>
  <c r="BI77"/>
  <c r="BJ80"/>
  <c r="BK80"/>
  <c r="BJ114" s="1"/>
  <c r="AY80"/>
  <c r="AM80"/>
  <c r="AL80"/>
  <c r="AA80"/>
  <c r="BI80"/>
  <c r="BH80"/>
  <c r="BG114" s="1"/>
  <c r="AV80"/>
  <c r="AJ80"/>
  <c r="AK80"/>
  <c r="X80"/>
  <c r="AS77"/>
  <c r="AT77"/>
  <c r="BI79" i="18"/>
  <c r="BC77" i="16"/>
  <c r="BB77"/>
  <c r="BA111" s="1"/>
  <c r="T78"/>
  <c r="BE78" i="18"/>
  <c r="BD78"/>
  <c r="AE80"/>
  <c r="BB80"/>
  <c r="BC80"/>
  <c r="T79" i="16"/>
  <c r="X79"/>
  <c r="Y79"/>
  <c r="Y80" i="18"/>
  <c r="AS80"/>
  <c r="AR80"/>
  <c r="AN79" i="16"/>
  <c r="AO79"/>
  <c r="AQ79"/>
  <c r="BJ66" i="18"/>
  <c r="BK69"/>
  <c r="BJ69"/>
  <c r="BL73"/>
  <c r="BK77"/>
  <c r="BJ77"/>
  <c r="BI81"/>
  <c r="AJ81"/>
  <c r="AI81"/>
  <c r="BL81"/>
  <c r="AM81"/>
  <c r="AN81"/>
  <c r="BJ80"/>
  <c r="BG68" i="16"/>
  <c r="BI68"/>
  <c r="BI72"/>
  <c r="BI76"/>
  <c r="BH76"/>
  <c r="BG110" s="1"/>
  <c r="BD80"/>
  <c r="BC80"/>
  <c r="BA80"/>
  <c r="BA114" s="1"/>
  <c r="AC80"/>
  <c r="R78" i="18"/>
  <c r="S78"/>
  <c r="Q79" i="16"/>
  <c r="Q80"/>
  <c r="S80"/>
  <c r="AT78" i="18"/>
  <c r="U78"/>
  <c r="V78"/>
  <c r="AO78"/>
  <c r="AJ77" i="16"/>
  <c r="AI77"/>
  <c r="AZ77"/>
  <c r="AB77"/>
  <c r="AA77"/>
  <c r="Z111" s="1"/>
  <c r="AN78" i="18"/>
  <c r="AV78"/>
  <c r="AW78"/>
  <c r="Y78"/>
  <c r="AE77" i="16"/>
  <c r="AC77"/>
  <c r="U77"/>
  <c r="AN78"/>
  <c r="AM78"/>
  <c r="AL112" s="1"/>
  <c r="BC78"/>
  <c r="AC78"/>
  <c r="AE78"/>
  <c r="AK79" i="18"/>
  <c r="BE79"/>
  <c r="BF79"/>
  <c r="AT78" i="16"/>
  <c r="AK78"/>
  <c r="AJ78"/>
  <c r="AQ79" i="18"/>
  <c r="AM79"/>
  <c r="AN79"/>
  <c r="BG78"/>
  <c r="AM80"/>
  <c r="AL80"/>
  <c r="AR79" i="16"/>
  <c r="AW79"/>
  <c r="AV79"/>
  <c r="AU80" i="18"/>
  <c r="U80"/>
  <c r="V80"/>
  <c r="BE77" i="16"/>
  <c r="BK65" i="18"/>
  <c r="BJ65"/>
  <c r="BL71"/>
  <c r="BK75"/>
  <c r="BJ75"/>
  <c r="BL79"/>
  <c r="AV81"/>
  <c r="AU81"/>
  <c r="W81"/>
  <c r="AY81"/>
  <c r="AZ81"/>
  <c r="Z81"/>
  <c r="BH65" i="16"/>
  <c r="BI65"/>
  <c r="BI70"/>
  <c r="BH74"/>
  <c r="BI74"/>
  <c r="BG78"/>
  <c r="AR80"/>
  <c r="AT80"/>
  <c r="T80"/>
  <c r="AO80"/>
  <c r="AP80"/>
  <c r="AO114" s="1"/>
  <c r="AC111"/>
  <c r="AI112"/>
  <c r="AU113"/>
  <c r="R79"/>
  <c r="S79"/>
  <c r="Q113" s="1"/>
  <c r="BI78" i="18"/>
  <c r="BH78"/>
  <c r="U79" i="16"/>
  <c r="V79"/>
  <c r="T113" s="1"/>
  <c r="V77"/>
  <c r="T77"/>
  <c r="AI79" i="18"/>
  <c r="AJ79"/>
  <c r="W80"/>
  <c r="X80"/>
  <c r="BD77" i="16"/>
  <c r="BF77"/>
  <c r="BD111" s="1"/>
  <c r="BL66" i="18"/>
  <c r="BK66"/>
  <c r="BJ71"/>
  <c r="BK71"/>
  <c r="BJ79"/>
  <c r="BK79"/>
  <c r="Y81"/>
  <c r="X81"/>
  <c r="AB81"/>
  <c r="AA81"/>
  <c r="BH70" i="16"/>
  <c r="BG70"/>
  <c r="BG104" s="1"/>
  <c r="BI78"/>
  <c r="BH78"/>
  <c r="AD80"/>
  <c r="AE80"/>
  <c r="AC114" s="1"/>
  <c r="Q78"/>
  <c r="R78"/>
  <c r="U78"/>
  <c r="V78"/>
  <c r="T112" s="1"/>
  <c r="Z78"/>
  <c r="AA78"/>
  <c r="AU79" i="18"/>
  <c r="AV79"/>
  <c r="AT79"/>
  <c r="AS79"/>
  <c r="BG79" i="16"/>
  <c r="BI79"/>
  <c r="BG113" s="1"/>
  <c r="BI80" i="18"/>
  <c r="BH80"/>
  <c r="Z79" i="16"/>
  <c r="AA79"/>
  <c r="AD79"/>
  <c r="AC79"/>
  <c r="AC113" s="1"/>
  <c r="BJ67" i="18"/>
  <c r="BK67"/>
  <c r="BL70"/>
  <c r="BK70"/>
  <c r="BL74"/>
  <c r="BK74"/>
  <c r="BL78"/>
  <c r="BK78"/>
  <c r="BA81"/>
  <c r="BB81"/>
  <c r="AD81"/>
  <c r="AC81"/>
  <c r="AC115" s="1"/>
  <c r="AT81"/>
  <c r="AS81"/>
  <c r="BH66" i="16"/>
  <c r="BG66"/>
  <c r="BG100" s="1"/>
  <c r="BH69"/>
  <c r="BG69"/>
  <c r="BG103" s="1"/>
  <c r="BI73"/>
  <c r="BG73"/>
  <c r="BH77"/>
  <c r="BG77"/>
  <c r="BG111" s="1"/>
  <c r="AZ80"/>
  <c r="AX80"/>
  <c r="Z80"/>
  <c r="AB80"/>
  <c r="Z114" s="1"/>
  <c r="AU80"/>
  <c r="AW80"/>
  <c r="AU114" s="1"/>
  <c r="Y80"/>
  <c r="W80"/>
  <c r="S81" i="18"/>
  <c r="R81"/>
  <c r="BC78"/>
  <c r="BB78"/>
  <c r="AW77" i="16"/>
  <c r="AU77"/>
  <c r="AL77"/>
  <c r="AN77"/>
  <c r="AL111" s="1"/>
  <c r="Z78" i="18"/>
  <c r="AA78"/>
  <c r="AQ77" i="16"/>
  <c r="AO77"/>
  <c r="BF78"/>
  <c r="BD78"/>
  <c r="Y78"/>
  <c r="W78"/>
  <c r="AE79" i="18"/>
  <c r="AD79"/>
  <c r="AB79"/>
  <c r="AA79"/>
  <c r="Z80"/>
  <c r="AA80"/>
  <c r="BE79" i="16"/>
  <c r="BD79"/>
  <c r="BD113" s="1"/>
  <c r="BG79" i="18"/>
  <c r="BH79"/>
  <c r="AC80"/>
  <c r="AD80"/>
  <c r="AL79" i="16"/>
  <c r="AM79"/>
  <c r="BJ73" i="18"/>
  <c r="BK73"/>
  <c r="BG81"/>
  <c r="BH81"/>
  <c r="BJ81"/>
  <c r="BK81"/>
  <c r="BL80"/>
  <c r="BK80"/>
  <c r="BH72" i="16"/>
  <c r="BG72"/>
  <c r="BG106" s="1"/>
  <c r="BE80"/>
  <c r="BF80"/>
  <c r="BD114" s="1"/>
  <c r="AR78" i="18"/>
  <c r="AS78"/>
  <c r="AQ78"/>
  <c r="AP78"/>
  <c r="AY77" i="16"/>
  <c r="AX77"/>
  <c r="AX111" s="1"/>
  <c r="AL78" i="18"/>
  <c r="AM78"/>
  <c r="W78"/>
  <c r="X78"/>
  <c r="BA78" i="16"/>
  <c r="BB78"/>
  <c r="AR78"/>
  <c r="AS78"/>
  <c r="AO79" i="18"/>
  <c r="AP79"/>
  <c r="AS79" i="16"/>
  <c r="AT79"/>
  <c r="AR113" s="1"/>
  <c r="AW80" i="18"/>
  <c r="AV80"/>
  <c r="V80" i="16"/>
  <c r="U80"/>
  <c r="AO146" l="1"/>
  <c r="T146"/>
  <c r="AR146"/>
  <c r="BG144"/>
  <c r="BG140"/>
  <c r="BG136"/>
  <c r="BG131"/>
  <c r="Z147" i="18"/>
  <c r="AX147"/>
  <c r="W147"/>
  <c r="AU147"/>
  <c r="BJ145"/>
  <c r="BJ141"/>
  <c r="BJ137"/>
  <c r="BJ131"/>
  <c r="BD143" i="16"/>
  <c r="T146" i="18"/>
  <c r="AU146"/>
  <c r="AU145" i="16"/>
  <c r="AR145"/>
  <c r="AL146" i="18"/>
  <c r="BG144"/>
  <c r="AL145"/>
  <c r="AO145"/>
  <c r="AI144" i="16"/>
  <c r="AR144"/>
  <c r="BD145" i="18"/>
  <c r="AI145"/>
  <c r="AC144" i="16"/>
  <c r="BA144"/>
  <c r="AL144"/>
  <c r="T143"/>
  <c r="AC143"/>
  <c r="W144" i="18"/>
  <c r="AU144"/>
  <c r="AL144"/>
  <c r="Z143" i="16"/>
  <c r="AX143"/>
  <c r="AI143"/>
  <c r="AO144" i="18"/>
  <c r="T144"/>
  <c r="AR144"/>
  <c r="Q146" i="16"/>
  <c r="Q145"/>
  <c r="Q144" i="18"/>
  <c r="AC146" i="16"/>
  <c r="BA146"/>
  <c r="BD146"/>
  <c r="BG142"/>
  <c r="BG138"/>
  <c r="BG134"/>
  <c r="BJ146" i="18"/>
  <c r="AL147"/>
  <c r="BJ147"/>
  <c r="AI147"/>
  <c r="BG147"/>
  <c r="BJ143"/>
  <c r="BJ139"/>
  <c r="BJ135"/>
  <c r="BJ132"/>
  <c r="AO145" i="16"/>
  <c r="AL145"/>
  <c r="AR146" i="18"/>
  <c r="W146"/>
  <c r="W145" i="16"/>
  <c r="T145"/>
  <c r="BA146" i="18"/>
  <c r="AC146"/>
  <c r="BD144"/>
  <c r="T144" i="16"/>
  <c r="BA143"/>
  <c r="BG145" i="18"/>
  <c r="AR143" i="16"/>
  <c r="W146"/>
  <c r="AI146"/>
  <c r="AU146"/>
  <c r="BG146"/>
  <c r="Z146"/>
  <c r="AL146"/>
  <c r="AX146"/>
  <c r="BJ146"/>
  <c r="BG143"/>
  <c r="BG141"/>
  <c r="BG139"/>
  <c r="BG137"/>
  <c r="BG135"/>
  <c r="BG133"/>
  <c r="BG132"/>
  <c r="T147" i="18"/>
  <c r="AR147"/>
  <c r="BD147"/>
  <c r="AC147"/>
  <c r="AO147"/>
  <c r="BA147"/>
  <c r="BM147"/>
  <c r="BJ144"/>
  <c r="BJ142"/>
  <c r="BJ140"/>
  <c r="BJ138"/>
  <c r="BJ136"/>
  <c r="BJ134"/>
  <c r="BJ133"/>
  <c r="BA145" i="16"/>
  <c r="AC145"/>
  <c r="AX145"/>
  <c r="Z145"/>
  <c r="BD146" i="18"/>
  <c r="BG146"/>
  <c r="AI146"/>
  <c r="BG145" i="16"/>
  <c r="AI145"/>
  <c r="BD145"/>
  <c r="AX146" i="18"/>
  <c r="Z146"/>
  <c r="AO146"/>
  <c r="Z145"/>
  <c r="AX145"/>
  <c r="AC145"/>
  <c r="BA145"/>
  <c r="W144" i="16"/>
  <c r="AU144"/>
  <c r="BD144"/>
  <c r="T145" i="18"/>
  <c r="AR145"/>
  <c r="W145"/>
  <c r="AU145"/>
  <c r="AO144" i="16"/>
  <c r="Z144"/>
  <c r="AX144"/>
  <c r="AO143"/>
  <c r="AI144" i="18"/>
  <c r="Z144"/>
  <c r="AX144"/>
  <c r="AL143" i="16"/>
  <c r="W143"/>
  <c r="AU143"/>
  <c r="AC144" i="18"/>
  <c r="BA144"/>
  <c r="Q145"/>
  <c r="Q147"/>
  <c r="Q146"/>
  <c r="Q144" i="16"/>
  <c r="Q143"/>
  <c r="A84"/>
  <c r="A186"/>
  <c r="A53"/>
  <c r="A150"/>
  <c r="A118"/>
  <c r="A23"/>
  <c r="A101" i="5"/>
  <c r="Q73"/>
  <c r="CR20" i="18" s="1"/>
  <c r="O73" i="5"/>
  <c r="CP20" i="18" s="1"/>
  <c r="M73" i="5"/>
  <c r="CN20" i="18" s="1"/>
  <c r="K73" i="5"/>
  <c r="CL20" i="18" s="1"/>
  <c r="I73" i="5"/>
  <c r="CJ20" i="18" s="1"/>
  <c r="G73" i="5"/>
  <c r="E73"/>
  <c r="CF20" i="18" s="1"/>
  <c r="C73" i="5"/>
  <c r="CD20" i="18" s="1"/>
  <c r="A74" i="5"/>
  <c r="R73"/>
  <c r="CS20" i="18" s="1"/>
  <c r="P73" i="5"/>
  <c r="CQ20" i="18" s="1"/>
  <c r="N73" i="5"/>
  <c r="CO20" i="18" s="1"/>
  <c r="L73" i="5"/>
  <c r="CM20" i="18" s="1"/>
  <c r="J73" i="5"/>
  <c r="CK20" i="18" s="1"/>
  <c r="H73" i="5"/>
  <c r="CI20" i="18" s="1"/>
  <c r="F73" i="5"/>
  <c r="CG20" i="18" s="1"/>
  <c r="D73" i="5"/>
  <c r="CE20" i="18" s="1"/>
  <c r="B73" i="5"/>
  <c r="CC20" i="18" s="1"/>
  <c r="Q85" i="5"/>
  <c r="CR4" i="16" s="1"/>
  <c r="Q84" i="5"/>
  <c r="CR3" i="16" s="1"/>
  <c r="Q86" i="5"/>
  <c r="CR5" i="16" s="1"/>
  <c r="Q87" i="5"/>
  <c r="CR6" i="16" s="1"/>
  <c r="Q88" i="5"/>
  <c r="CR7" i="16" s="1"/>
  <c r="Q89" i="5"/>
  <c r="CR8" i="16" s="1"/>
  <c r="Q90" i="5"/>
  <c r="CR9" i="16" s="1"/>
  <c r="Q91" i="5"/>
  <c r="CR10" i="16" s="1"/>
  <c r="Q92" i="5"/>
  <c r="CR11" i="16" s="1"/>
  <c r="Q93" i="5"/>
  <c r="CR12" i="16" s="1"/>
  <c r="Q94" i="5"/>
  <c r="CR13" i="16" s="1"/>
  <c r="Q95" i="5"/>
  <c r="CR14" i="16" s="1"/>
  <c r="Q96" i="5"/>
  <c r="CR15" i="16" s="1"/>
  <c r="Q97" i="5"/>
  <c r="CR16" i="16" s="1"/>
  <c r="Q98" i="5"/>
  <c r="CR17" i="16" s="1"/>
  <c r="P100" i="5"/>
  <c r="CQ19" i="16" s="1"/>
  <c r="N100" i="5"/>
  <c r="CO19" i="16" s="1"/>
  <c r="L100" i="5"/>
  <c r="CM19" i="16" s="1"/>
  <c r="J100" i="5"/>
  <c r="CK19" i="16" s="1"/>
  <c r="H100" i="5"/>
  <c r="CI19" i="16" s="1"/>
  <c r="F100" i="5"/>
  <c r="CG19" i="16" s="1"/>
  <c r="D100" i="5"/>
  <c r="CE19" i="16" s="1"/>
  <c r="B100" i="5"/>
  <c r="CC19" i="16" s="1"/>
  <c r="Q100" i="5"/>
  <c r="CR19" i="16" s="1"/>
  <c r="O100" i="5"/>
  <c r="CP19" i="16" s="1"/>
  <c r="M100" i="5"/>
  <c r="CN19" i="16" s="1"/>
  <c r="K100" i="5"/>
  <c r="CL19" i="16" s="1"/>
  <c r="I100" i="5"/>
  <c r="CJ19" i="16" s="1"/>
  <c r="G100" i="5"/>
  <c r="E100"/>
  <c r="CF19" i="16" s="1"/>
  <c r="C100" i="5"/>
  <c r="CD19" i="16" s="1"/>
  <c r="R83" i="5"/>
  <c r="R100" s="1"/>
  <c r="CS19" i="16" s="1"/>
  <c r="R56" i="5"/>
  <c r="CS3" i="18" s="1"/>
  <c r="R57" i="5"/>
  <c r="CS4" i="18" s="1"/>
  <c r="S55" i="5"/>
  <c r="R58"/>
  <c r="CS5" i="18" s="1"/>
  <c r="R59" i="5"/>
  <c r="CS6" i="18" s="1"/>
  <c r="R60" i="5"/>
  <c r="CS7" i="18" s="1"/>
  <c r="R61" i="5"/>
  <c r="CS8" i="18" s="1"/>
  <c r="R62" i="5"/>
  <c r="CS9" i="18" s="1"/>
  <c r="R63" i="5"/>
  <c r="CS10" i="18" s="1"/>
  <c r="R64" i="5"/>
  <c r="CS11" i="18" s="1"/>
  <c r="R65" i="5"/>
  <c r="CS12" i="18" s="1"/>
  <c r="R66" i="5"/>
  <c r="CS13" i="18" s="1"/>
  <c r="R67" i="5"/>
  <c r="CS14" i="18" s="1"/>
  <c r="R68" i="5"/>
  <c r="CS15" i="18" s="1"/>
  <c r="R69" i="5"/>
  <c r="CS16" i="18" s="1"/>
  <c r="R70" i="5"/>
  <c r="CS17" i="18" s="1"/>
  <c r="R71" i="5"/>
  <c r="CS18" i="18" s="1"/>
  <c r="A101" i="4"/>
  <c r="Q73"/>
  <c r="BL20" i="18" s="1"/>
  <c r="O73" i="4"/>
  <c r="BJ20" i="18" s="1"/>
  <c r="M73" i="4"/>
  <c r="BH20" i="18" s="1"/>
  <c r="K73" i="4"/>
  <c r="BF20" i="18" s="1"/>
  <c r="I73" i="4"/>
  <c r="BD20" i="18" s="1"/>
  <c r="G73" i="4"/>
  <c r="E73"/>
  <c r="AZ20" i="18" s="1"/>
  <c r="C73" i="4"/>
  <c r="AX20" i="18" s="1"/>
  <c r="A74" i="4"/>
  <c r="R73"/>
  <c r="BM20" i="18" s="1"/>
  <c r="P73" i="4"/>
  <c r="BK20" i="18" s="1"/>
  <c r="N73" i="4"/>
  <c r="BI20" i="18" s="1"/>
  <c r="L73" i="4"/>
  <c r="BG20" i="18" s="1"/>
  <c r="J73" i="4"/>
  <c r="BE20" i="18" s="1"/>
  <c r="H73" i="4"/>
  <c r="BC20" i="18" s="1"/>
  <c r="F73" i="4"/>
  <c r="BA20" i="18" s="1"/>
  <c r="D73" i="4"/>
  <c r="AY20" i="18" s="1"/>
  <c r="B73" i="4"/>
  <c r="AW20" i="18" s="1"/>
  <c r="Q85" i="4"/>
  <c r="BL4" i="16" s="1"/>
  <c r="Q84" i="4"/>
  <c r="BL3" i="16" s="1"/>
  <c r="Q86" i="4"/>
  <c r="BL5" i="16" s="1"/>
  <c r="Q87" i="4"/>
  <c r="BL6" i="16" s="1"/>
  <c r="Q88" i="4"/>
  <c r="BL7" i="16" s="1"/>
  <c r="Q89" i="4"/>
  <c r="BL8" i="16" s="1"/>
  <c r="Q90" i="4"/>
  <c r="BL9" i="16" s="1"/>
  <c r="Q91" i="4"/>
  <c r="BL10" i="16" s="1"/>
  <c r="Q92" i="4"/>
  <c r="BL11" i="16" s="1"/>
  <c r="Q93" i="4"/>
  <c r="BL12" i="16" s="1"/>
  <c r="Q94" i="4"/>
  <c r="BL13" i="16" s="1"/>
  <c r="Q95" i="4"/>
  <c r="BL14" i="16" s="1"/>
  <c r="Q96" i="4"/>
  <c r="BL15" i="16" s="1"/>
  <c r="Q97" i="4"/>
  <c r="BL16" i="16" s="1"/>
  <c r="Q98" i="4"/>
  <c r="BL17" i="16" s="1"/>
  <c r="P100" i="4"/>
  <c r="BK19" i="16" s="1"/>
  <c r="N100" i="4"/>
  <c r="BI19" i="16" s="1"/>
  <c r="L100" i="4"/>
  <c r="BG19" i="16" s="1"/>
  <c r="J100" i="4"/>
  <c r="BE19" i="16" s="1"/>
  <c r="H100" i="4"/>
  <c r="BC19" i="16" s="1"/>
  <c r="F100" i="4"/>
  <c r="BA19" i="16" s="1"/>
  <c r="D100" i="4"/>
  <c r="AY19" i="16" s="1"/>
  <c r="B100" i="4"/>
  <c r="AW19" i="16" s="1"/>
  <c r="Q100" i="4"/>
  <c r="BL19" i="16" s="1"/>
  <c r="O100" i="4"/>
  <c r="BJ19" i="16" s="1"/>
  <c r="M100" i="4"/>
  <c r="BH19" i="16" s="1"/>
  <c r="K100" i="4"/>
  <c r="BF19" i="16" s="1"/>
  <c r="I100" i="4"/>
  <c r="BD19" i="16" s="1"/>
  <c r="G100" i="4"/>
  <c r="E100"/>
  <c r="AZ19" i="16" s="1"/>
  <c r="C100" i="4"/>
  <c r="AX19" i="16" s="1"/>
  <c r="R83" i="4"/>
  <c r="R100" s="1"/>
  <c r="BM19" i="16" s="1"/>
  <c r="R56" i="4"/>
  <c r="BM3" i="18" s="1"/>
  <c r="R57" i="4"/>
  <c r="BM4" i="18" s="1"/>
  <c r="S55" i="4"/>
  <c r="R58"/>
  <c r="BM5" i="18" s="1"/>
  <c r="R59" i="4"/>
  <c r="BM6" i="18" s="1"/>
  <c r="R60" i="4"/>
  <c r="BM7" i="18" s="1"/>
  <c r="R61" i="4"/>
  <c r="BM8" i="18" s="1"/>
  <c r="R62" i="4"/>
  <c r="BM9" i="18" s="1"/>
  <c r="R63" i="4"/>
  <c r="BM10" i="18" s="1"/>
  <c r="R64" i="4"/>
  <c r="BM11" i="18" s="1"/>
  <c r="R65" i="4"/>
  <c r="BM12" i="18" s="1"/>
  <c r="R66" i="4"/>
  <c r="BM13" i="18" s="1"/>
  <c r="R67" i="4"/>
  <c r="BM14" i="18" s="1"/>
  <c r="R68" i="4"/>
  <c r="BM15" i="18" s="1"/>
  <c r="R69" i="4"/>
  <c r="BM16" i="18" s="1"/>
  <c r="R70" i="4"/>
  <c r="BM17" i="18" s="1"/>
  <c r="R71" i="4"/>
  <c r="BM18" i="18" s="1"/>
  <c r="AF80" i="3"/>
  <c r="AU27" i="18" s="1"/>
  <c r="AF78" i="3"/>
  <c r="AU25" i="18" s="1"/>
  <c r="AF76" i="3"/>
  <c r="AU23" i="18" s="1"/>
  <c r="AF83" i="3"/>
  <c r="AF79"/>
  <c r="AU26" i="18" s="1"/>
  <c r="AF77" i="3"/>
  <c r="AU24" i="18" s="1"/>
  <c r="AF74" i="3"/>
  <c r="AU21" i="18" s="1"/>
  <c r="AF72" i="3"/>
  <c r="AU19" i="18" s="1"/>
  <c r="AF70" i="3"/>
  <c r="AU17" i="18" s="1"/>
  <c r="AF68" i="3"/>
  <c r="AU15" i="18" s="1"/>
  <c r="AF66" i="3"/>
  <c r="AU13" i="18" s="1"/>
  <c r="AF64" i="3"/>
  <c r="AU11" i="18" s="1"/>
  <c r="AF62" i="3"/>
  <c r="AU9" i="18" s="1"/>
  <c r="AF60" i="3"/>
  <c r="AU7" i="18" s="1"/>
  <c r="AF58" i="3"/>
  <c r="AU5" i="18" s="1"/>
  <c r="AF56" i="3"/>
  <c r="AU3" i="18" s="1"/>
  <c r="AG55" i="3"/>
  <c r="AF75"/>
  <c r="AU22" i="18" s="1"/>
  <c r="AF73" i="3"/>
  <c r="AU20" i="18" s="1"/>
  <c r="AF71" i="3"/>
  <c r="AU18" i="18" s="1"/>
  <c r="AF69" i="3"/>
  <c r="AU16" i="18" s="1"/>
  <c r="AF67" i="3"/>
  <c r="AU14" i="18" s="1"/>
  <c r="AF65" i="3"/>
  <c r="AU12" i="18" s="1"/>
  <c r="AF63" i="3"/>
  <c r="AU10" i="18" s="1"/>
  <c r="AF61" i="3"/>
  <c r="AU8" i="18" s="1"/>
  <c r="AF59" i="3"/>
  <c r="AU6" i="18" s="1"/>
  <c r="AF57" i="3"/>
  <c r="AU4" i="18" s="1"/>
  <c r="AE107" i="3"/>
  <c r="AT26" i="16" s="1"/>
  <c r="AE105" i="3"/>
  <c r="AT24" i="16" s="1"/>
  <c r="AE103" i="3"/>
  <c r="AT22" i="16" s="1"/>
  <c r="AE101" i="3"/>
  <c r="AT20" i="16" s="1"/>
  <c r="AE99" i="3"/>
  <c r="AT18" i="16" s="1"/>
  <c r="AE97" i="3"/>
  <c r="AT16" i="16" s="1"/>
  <c r="AE95" i="3"/>
  <c r="AT14" i="16" s="1"/>
  <c r="AE93" i="3"/>
  <c r="AT12" i="16" s="1"/>
  <c r="AE91" i="3"/>
  <c r="AT10" i="16" s="1"/>
  <c r="AE89" i="3"/>
  <c r="AT8" i="16" s="1"/>
  <c r="AE87" i="3"/>
  <c r="AT6" i="16" s="1"/>
  <c r="AE85" i="3"/>
  <c r="AT4" i="16" s="1"/>
  <c r="AE108" i="3"/>
  <c r="AT27" i="16" s="1"/>
  <c r="AE106" i="3"/>
  <c r="AT25" i="16" s="1"/>
  <c r="AE104" i="3"/>
  <c r="AT23" i="16" s="1"/>
  <c r="AE102" i="3"/>
  <c r="AT21" i="16" s="1"/>
  <c r="AE100" i="3"/>
  <c r="AT19" i="16" s="1"/>
  <c r="AE98" i="3"/>
  <c r="AT17" i="16" s="1"/>
  <c r="AE96" i="3"/>
  <c r="AT15" i="16" s="1"/>
  <c r="AE94" i="3"/>
  <c r="AT13" i="16" s="1"/>
  <c r="AE92" i="3"/>
  <c r="AT11" i="16" s="1"/>
  <c r="AE90" i="3"/>
  <c r="AT9" i="16" s="1"/>
  <c r="AE88" i="3"/>
  <c r="AT7" i="16" s="1"/>
  <c r="AE86" i="3"/>
  <c r="AT5" i="16" s="1"/>
  <c r="AE84" i="3"/>
  <c r="AT3" i="16" s="1"/>
  <c r="A42" i="3"/>
  <c r="A41" i="5"/>
  <c r="A41" i="4"/>
  <c r="AI198"/>
  <c r="AI194"/>
  <c r="AL202"/>
  <c r="AK202"/>
  <c r="AI202"/>
  <c r="AL194"/>
  <c r="AK194"/>
  <c r="AI126" i="3"/>
  <c r="AK119"/>
  <c r="AJ119"/>
  <c r="AJ166" i="5"/>
  <c r="AK118" i="4"/>
  <c r="AK166" i="5"/>
  <c r="AK252"/>
  <c r="AI241"/>
  <c r="AL204" i="4"/>
  <c r="AJ118" s="1"/>
  <c r="AK204"/>
  <c r="AI204"/>
  <c r="AI252" i="5"/>
  <c r="AK250"/>
  <c r="AI250"/>
  <c r="AK249"/>
  <c r="AI249"/>
  <c r="AK257"/>
  <c r="AI257"/>
  <c r="L210"/>
  <c r="L238" s="1"/>
  <c r="AI262"/>
  <c r="AK262"/>
  <c r="AI263"/>
  <c r="AK261"/>
  <c r="AI261"/>
  <c r="AI256"/>
  <c r="AK256"/>
  <c r="AK254"/>
  <c r="AI254"/>
  <c r="AI258"/>
  <c r="AK258"/>
  <c r="AI213" i="4"/>
  <c r="AK213"/>
  <c r="AK216"/>
  <c r="AI216"/>
  <c r="AI209"/>
  <c r="AK209"/>
  <c r="AI210"/>
  <c r="AK210"/>
  <c r="L163"/>
  <c r="L191" s="1"/>
  <c r="AK211"/>
  <c r="AI211"/>
  <c r="N1" i="3"/>
  <c r="M162"/>
  <c r="M189" s="1"/>
  <c r="M1" i="5"/>
  <c r="M1" i="4"/>
  <c r="AI207" i="3"/>
  <c r="AK207"/>
  <c r="AI208"/>
  <c r="AK208"/>
  <c r="AI209"/>
  <c r="AK209"/>
  <c r="BG108" i="16"/>
  <c r="AX115" i="18"/>
  <c r="BJ109"/>
  <c r="T114"/>
  <c r="AL113"/>
  <c r="AC112" i="16"/>
  <c r="AI111"/>
  <c r="Q114"/>
  <c r="BG102"/>
  <c r="AI115" i="18"/>
  <c r="BJ103"/>
  <c r="AR114"/>
  <c r="BA114"/>
  <c r="AR111" i="16"/>
  <c r="AL114"/>
  <c r="T115" i="18"/>
  <c r="AO115"/>
  <c r="BJ110"/>
  <c r="BJ102"/>
  <c r="AX113" i="16"/>
  <c r="AI114" i="18"/>
  <c r="AX114"/>
  <c r="AX113"/>
  <c r="T113"/>
  <c r="AO112" i="16"/>
  <c r="AI112" i="18"/>
  <c r="AC112"/>
  <c r="Q114"/>
  <c r="T114" i="16"/>
  <c r="Z115" i="18"/>
  <c r="BJ113"/>
  <c r="AU114"/>
  <c r="AO113"/>
  <c r="AI113"/>
  <c r="T111" i="16"/>
  <c r="AL112" i="18"/>
  <c r="AR112"/>
  <c r="BJ115"/>
  <c r="BJ107"/>
  <c r="AL113" i="16"/>
  <c r="AC114" i="18"/>
  <c r="W114" i="16"/>
  <c r="BG107"/>
  <c r="BA115" i="18"/>
  <c r="BJ108"/>
  <c r="BJ101"/>
  <c r="BG114"/>
  <c r="Z113"/>
  <c r="W112" i="16"/>
  <c r="AR113" i="18"/>
  <c r="Z112" i="16"/>
  <c r="Z112" i="18"/>
  <c r="BA112"/>
  <c r="Q112" i="16"/>
  <c r="BF51" i="18"/>
  <c r="V51"/>
  <c r="BC51"/>
  <c r="AE51"/>
  <c r="BL37" i="16"/>
  <c r="BL41"/>
  <c r="BL45"/>
  <c r="BI50"/>
  <c r="AK50"/>
  <c r="BL50"/>
  <c r="AN50"/>
  <c r="BO50"/>
  <c r="BO36" i="18"/>
  <c r="BO40"/>
  <c r="BO44"/>
  <c r="BO48"/>
  <c r="BL51"/>
  <c r="AN51"/>
  <c r="BI51"/>
  <c r="AK51"/>
  <c r="BL35" i="16"/>
  <c r="BL38"/>
  <c r="BL42"/>
  <c r="BL46"/>
  <c r="BC50"/>
  <c r="AE50"/>
  <c r="AT50"/>
  <c r="BO34" i="18"/>
  <c r="BO39"/>
  <c r="BO43"/>
  <c r="BO47"/>
  <c r="R51"/>
  <c r="AS51"/>
  <c r="BN51"/>
  <c r="AP51"/>
  <c r="BK34" i="16"/>
  <c r="BK39"/>
  <c r="BK43"/>
  <c r="BK47"/>
  <c r="AV50"/>
  <c r="X50"/>
  <c r="AY50"/>
  <c r="AA50"/>
  <c r="BN35" i="18"/>
  <c r="BN38"/>
  <c r="BN42"/>
  <c r="BN46"/>
  <c r="R50" i="16"/>
  <c r="AY51" i="18"/>
  <c r="AA51"/>
  <c r="AV51"/>
  <c r="X51"/>
  <c r="BK36" i="16"/>
  <c r="BK40"/>
  <c r="BK44"/>
  <c r="BK48"/>
  <c r="AP50"/>
  <c r="BE50"/>
  <c r="U50"/>
  <c r="BN37" i="18"/>
  <c r="BN41"/>
  <c r="BN45"/>
  <c r="BN49"/>
  <c r="DC55"/>
  <c r="DC46"/>
  <c r="DC38"/>
  <c r="DC53"/>
  <c r="DC45"/>
  <c r="DC37"/>
  <c r="CZ53" i="16"/>
  <c r="CZ45"/>
  <c r="CZ37"/>
  <c r="CZ54"/>
  <c r="CZ46"/>
  <c r="CZ38"/>
  <c r="DC58" i="18"/>
  <c r="DC57"/>
  <c r="DC48"/>
  <c r="DC40"/>
  <c r="DC51"/>
  <c r="DC43"/>
  <c r="DC35"/>
  <c r="CZ51" i="16"/>
  <c r="CZ43"/>
  <c r="CZ35"/>
  <c r="CZ52"/>
  <c r="CZ44"/>
  <c r="CZ36"/>
  <c r="AR114"/>
  <c r="BG99"/>
  <c r="AU115" i="18"/>
  <c r="BJ99"/>
  <c r="AL114"/>
  <c r="BD113"/>
  <c r="AU112"/>
  <c r="T112"/>
  <c r="Q112"/>
  <c r="AL115"/>
  <c r="BJ111"/>
  <c r="AO113" i="16"/>
  <c r="W113"/>
  <c r="BD112" i="18"/>
  <c r="AI114" i="16"/>
  <c r="BG109"/>
  <c r="BD115" i="18"/>
  <c r="BM115"/>
  <c r="BJ106"/>
  <c r="BA113" i="16"/>
  <c r="BD114" i="18"/>
  <c r="AI113" i="16"/>
  <c r="AO114" i="18"/>
  <c r="BA113"/>
  <c r="W113"/>
  <c r="AX112" i="16"/>
  <c r="AX112" i="18"/>
  <c r="Q113"/>
  <c r="Q111" i="16"/>
  <c r="BG112"/>
  <c r="W115" i="18"/>
  <c r="BJ105"/>
  <c r="BG112"/>
  <c r="AR112" i="16"/>
  <c r="BA112"/>
  <c r="W112" i="18"/>
  <c r="AO112"/>
  <c r="BJ114"/>
  <c r="BG115"/>
  <c r="BJ100"/>
  <c r="W114"/>
  <c r="BG113"/>
  <c r="AX114" i="16"/>
  <c r="AR115" i="18"/>
  <c r="BJ112"/>
  <c r="BJ104"/>
  <c r="Z113" i="16"/>
  <c r="Z114" i="18"/>
  <c r="AC113"/>
  <c r="BD112" i="16"/>
  <c r="AU113" i="18"/>
  <c r="AO111" i="16"/>
  <c r="AU111"/>
  <c r="Q115" i="18"/>
  <c r="S51"/>
  <c r="Q82" s="1"/>
  <c r="AT51"/>
  <c r="AT82" s="1"/>
  <c r="BO51"/>
  <c r="BM82" s="1"/>
  <c r="AQ51"/>
  <c r="AO82" s="1"/>
  <c r="BL34" i="16"/>
  <c r="BL65" s="1"/>
  <c r="BL39"/>
  <c r="BJ70" s="1"/>
  <c r="BL43"/>
  <c r="BK74" s="1"/>
  <c r="BL47"/>
  <c r="BJ78" s="1"/>
  <c r="AW50"/>
  <c r="AW81" s="1"/>
  <c r="Y50"/>
  <c r="Y81" s="1"/>
  <c r="AZ50"/>
  <c r="AZ81" s="1"/>
  <c r="AB50"/>
  <c r="AA81" s="1"/>
  <c r="BO35" i="18"/>
  <c r="BM66" s="1"/>
  <c r="BO38"/>
  <c r="BO69" s="1"/>
  <c r="BO42"/>
  <c r="BO73" s="1"/>
  <c r="BO46"/>
  <c r="BO77" s="1"/>
  <c r="S50" i="16"/>
  <c r="Q81" s="1"/>
  <c r="AZ51" i="18"/>
  <c r="AZ82" s="1"/>
  <c r="AB51"/>
  <c r="AB82" s="1"/>
  <c r="AW51"/>
  <c r="AU82" s="1"/>
  <c r="Y51"/>
  <c r="Y82" s="1"/>
  <c r="BL36" i="16"/>
  <c r="BL67" s="1"/>
  <c r="BL40"/>
  <c r="BL71" s="1"/>
  <c r="BL44"/>
  <c r="BL75" s="1"/>
  <c r="BL48"/>
  <c r="BL79" s="1"/>
  <c r="AQ50"/>
  <c r="AO81" s="1"/>
  <c r="BF50"/>
  <c r="BE81" s="1"/>
  <c r="V50"/>
  <c r="V81" s="1"/>
  <c r="BO37" i="18"/>
  <c r="BM68" s="1"/>
  <c r="BO41"/>
  <c r="BM72" s="1"/>
  <c r="BO45"/>
  <c r="BM76" s="1"/>
  <c r="BO49"/>
  <c r="BM80" s="1"/>
  <c r="BE51"/>
  <c r="U51"/>
  <c r="BB51"/>
  <c r="AD51"/>
  <c r="BK37" i="16"/>
  <c r="BK41"/>
  <c r="BK45"/>
  <c r="BH50"/>
  <c r="AJ50"/>
  <c r="BK50"/>
  <c r="AM50"/>
  <c r="BN50"/>
  <c r="BN36" i="18"/>
  <c r="BN40"/>
  <c r="BN44"/>
  <c r="BN48"/>
  <c r="BK51"/>
  <c r="AM51"/>
  <c r="BH51"/>
  <c r="AJ51"/>
  <c r="BK35" i="16"/>
  <c r="BK38"/>
  <c r="BK42"/>
  <c r="BK46"/>
  <c r="BB50"/>
  <c r="AD50"/>
  <c r="AS50"/>
  <c r="BN34" i="18"/>
  <c r="BN39"/>
  <c r="BN43"/>
  <c r="BN47"/>
  <c r="DC56"/>
  <c r="DC50"/>
  <c r="DC42"/>
  <c r="DC34"/>
  <c r="DC49"/>
  <c r="DC41"/>
  <c r="CZ57" i="16"/>
  <c r="CZ49"/>
  <c r="CZ41"/>
  <c r="CZ58"/>
  <c r="CZ50"/>
  <c r="CZ42"/>
  <c r="CZ34"/>
  <c r="DC54" i="18"/>
  <c r="DC52"/>
  <c r="DC44"/>
  <c r="DC36"/>
  <c r="DC47"/>
  <c r="DC39"/>
  <c r="CZ55" i="16"/>
  <c r="CZ47"/>
  <c r="CZ39"/>
  <c r="CZ56"/>
  <c r="CZ48"/>
  <c r="CZ40"/>
  <c r="R82" i="18"/>
  <c r="S82"/>
  <c r="BF82"/>
  <c r="AS82"/>
  <c r="AR82"/>
  <c r="T82"/>
  <c r="BN82"/>
  <c r="BO82"/>
  <c r="BA82"/>
  <c r="AP82"/>
  <c r="AQ82"/>
  <c r="AD82"/>
  <c r="BK65" i="16"/>
  <c r="BJ65"/>
  <c r="BL68"/>
  <c r="BL70"/>
  <c r="BK70"/>
  <c r="BJ104" s="1"/>
  <c r="BL72"/>
  <c r="BL74"/>
  <c r="BJ74"/>
  <c r="BK76"/>
  <c r="BK78"/>
  <c r="BL78"/>
  <c r="BH81"/>
  <c r="AV81"/>
  <c r="AU81"/>
  <c r="AJ81"/>
  <c r="W81"/>
  <c r="X81"/>
  <c r="W115" s="1"/>
  <c r="BK81"/>
  <c r="AX81"/>
  <c r="AY81"/>
  <c r="AM81"/>
  <c r="Z81"/>
  <c r="AB81"/>
  <c r="BM81"/>
  <c r="BN66" i="18"/>
  <c r="BO66"/>
  <c r="BO67"/>
  <c r="BN69"/>
  <c r="BM69"/>
  <c r="BO71"/>
  <c r="BN73"/>
  <c r="BM73"/>
  <c r="BO75"/>
  <c r="BN77"/>
  <c r="BM77"/>
  <c r="BO79"/>
  <c r="R81" i="16"/>
  <c r="S81"/>
  <c r="BJ82" i="18"/>
  <c r="AY82"/>
  <c r="AX82"/>
  <c r="AN82"/>
  <c r="AA82"/>
  <c r="Z82"/>
  <c r="BG82"/>
  <c r="AV82"/>
  <c r="AW82"/>
  <c r="AI82"/>
  <c r="X82"/>
  <c r="W82"/>
  <c r="BL66" i="16"/>
  <c r="BK67"/>
  <c r="BJ67"/>
  <c r="BK69"/>
  <c r="BK71"/>
  <c r="BJ71"/>
  <c r="BL73"/>
  <c r="BJ75"/>
  <c r="BK75"/>
  <c r="BJ109" s="1"/>
  <c r="BK77"/>
  <c r="BJ79"/>
  <c r="BK79"/>
  <c r="BB81"/>
  <c r="AQ81"/>
  <c r="AP81"/>
  <c r="AO115" s="1"/>
  <c r="AD81"/>
  <c r="BF81"/>
  <c r="BD81"/>
  <c r="BD115" s="1"/>
  <c r="AR81"/>
  <c r="U81"/>
  <c r="T81"/>
  <c r="BO65" i="18"/>
  <c r="BN68"/>
  <c r="BO68"/>
  <c r="BM70"/>
  <c r="BN72"/>
  <c r="BO72"/>
  <c r="BM74"/>
  <c r="BN76"/>
  <c r="BO76"/>
  <c r="BM78"/>
  <c r="BN80"/>
  <c r="BO80"/>
  <c r="BJ108" i="16"/>
  <c r="AX115"/>
  <c r="BJ113"/>
  <c r="BD82" i="18"/>
  <c r="BE82"/>
  <c r="V82"/>
  <c r="U82"/>
  <c r="BC82"/>
  <c r="BB82"/>
  <c r="AE82"/>
  <c r="AC82"/>
  <c r="BJ68" i="16"/>
  <c r="BK68"/>
  <c r="BJ72"/>
  <c r="BK72"/>
  <c r="BJ76"/>
  <c r="BL76"/>
  <c r="BJ110" s="1"/>
  <c r="BG81"/>
  <c r="BI81"/>
  <c r="BG115" s="1"/>
  <c r="AK81"/>
  <c r="AI81"/>
  <c r="BL81"/>
  <c r="BJ81"/>
  <c r="AL81"/>
  <c r="AN81"/>
  <c r="AL115" s="1"/>
  <c r="BO81"/>
  <c r="BN81"/>
  <c r="BM67" i="18"/>
  <c r="BN67"/>
  <c r="BM71"/>
  <c r="BN71"/>
  <c r="BM75"/>
  <c r="BN75"/>
  <c r="BM79"/>
  <c r="BN79"/>
  <c r="BL82"/>
  <c r="BK82"/>
  <c r="AL82"/>
  <c r="AM82"/>
  <c r="BI82"/>
  <c r="BH82"/>
  <c r="AK82"/>
  <c r="AJ82"/>
  <c r="BK66" i="16"/>
  <c r="BJ66"/>
  <c r="BJ100" s="1"/>
  <c r="BL69"/>
  <c r="BJ69"/>
  <c r="BJ73"/>
  <c r="BK73"/>
  <c r="BL77"/>
  <c r="BJ77"/>
  <c r="BC81"/>
  <c r="BA81"/>
  <c r="AC81"/>
  <c r="AE81"/>
  <c r="AC115" s="1"/>
  <c r="AT81"/>
  <c r="AS81"/>
  <c r="BM65" i="18"/>
  <c r="BN65"/>
  <c r="BO70"/>
  <c r="BN70"/>
  <c r="BO74"/>
  <c r="BN74"/>
  <c r="BO78"/>
  <c r="BN78"/>
  <c r="BM146" l="1"/>
  <c r="BM144"/>
  <c r="BM142"/>
  <c r="BM140"/>
  <c r="BM138"/>
  <c r="BM136"/>
  <c r="BM134"/>
  <c r="BM131"/>
  <c r="T147" i="16"/>
  <c r="AR147"/>
  <c r="BD147"/>
  <c r="AC147"/>
  <c r="AO147"/>
  <c r="BA147"/>
  <c r="BJ145"/>
  <c r="BJ143"/>
  <c r="BJ141"/>
  <c r="BJ139"/>
  <c r="BJ137"/>
  <c r="BJ135"/>
  <c r="BJ133"/>
  <c r="BJ132"/>
  <c r="W148" i="18"/>
  <c r="AI148"/>
  <c r="AU148"/>
  <c r="BG148"/>
  <c r="Z148"/>
  <c r="AL148"/>
  <c r="AX148"/>
  <c r="BJ148"/>
  <c r="Q147" i="16"/>
  <c r="BM145" i="18"/>
  <c r="BM143"/>
  <c r="BM141"/>
  <c r="BM139"/>
  <c r="BM137"/>
  <c r="BM135"/>
  <c r="BM133"/>
  <c r="BM132"/>
  <c r="BM147" i="16"/>
  <c r="Z147"/>
  <c r="AL147"/>
  <c r="AX147"/>
  <c r="BJ147"/>
  <c r="W147"/>
  <c r="AI147"/>
  <c r="AU147"/>
  <c r="BG147"/>
  <c r="BJ144"/>
  <c r="BJ142"/>
  <c r="BJ140"/>
  <c r="BJ138"/>
  <c r="BJ136"/>
  <c r="BJ134"/>
  <c r="BJ131"/>
  <c r="AC148" i="18"/>
  <c r="AO148"/>
  <c r="BA148"/>
  <c r="BM148"/>
  <c r="T148"/>
  <c r="AR148"/>
  <c r="BD148"/>
  <c r="Q148"/>
  <c r="A85" i="16"/>
  <c r="A187"/>
  <c r="A54"/>
  <c r="A151"/>
  <c r="A119"/>
  <c r="A24"/>
  <c r="S83" i="5"/>
  <c r="T55"/>
  <c r="S56"/>
  <c r="CT3" i="18" s="1"/>
  <c r="S57" i="5"/>
  <c r="CT4" i="18" s="1"/>
  <c r="S58" i="5"/>
  <c r="CT5" i="18" s="1"/>
  <c r="S59" i="5"/>
  <c r="CT6" i="18" s="1"/>
  <c r="S60" i="5"/>
  <c r="CT7" i="18" s="1"/>
  <c r="S61" i="5"/>
  <c r="CT8" i="18" s="1"/>
  <c r="S62" i="5"/>
  <c r="CT9" i="18" s="1"/>
  <c r="S63" i="5"/>
  <c r="CT10" i="18" s="1"/>
  <c r="S64" i="5"/>
  <c r="CT11" i="18" s="1"/>
  <c r="S65" i="5"/>
  <c r="CT12" i="18" s="1"/>
  <c r="S66" i="5"/>
  <c r="CT13" i="18" s="1"/>
  <c r="S67" i="5"/>
  <c r="CT14" i="18" s="1"/>
  <c r="S68" i="5"/>
  <c r="CT15" i="18" s="1"/>
  <c r="S69" i="5"/>
  <c r="CT16" i="18" s="1"/>
  <c r="S70" i="5"/>
  <c r="CT17" i="18" s="1"/>
  <c r="S71" i="5"/>
  <c r="CT18" i="18" s="1"/>
  <c r="S72" i="5"/>
  <c r="CT19" i="18" s="1"/>
  <c r="S101" i="5"/>
  <c r="CT20" i="16" s="1"/>
  <c r="Q101" i="5"/>
  <c r="CR20" i="16" s="1"/>
  <c r="O101" i="5"/>
  <c r="CP20" i="16" s="1"/>
  <c r="M101" i="5"/>
  <c r="CN20" i="16" s="1"/>
  <c r="K101" i="5"/>
  <c r="CL20" i="16" s="1"/>
  <c r="I101" i="5"/>
  <c r="CJ20" i="16" s="1"/>
  <c r="G101" i="5"/>
  <c r="E101"/>
  <c r="CF20" i="16" s="1"/>
  <c r="C101" i="5"/>
  <c r="CD20" i="16" s="1"/>
  <c r="R101" i="5"/>
  <c r="CS20" i="16" s="1"/>
  <c r="P101" i="5"/>
  <c r="CQ20" i="16" s="1"/>
  <c r="N101" i="5"/>
  <c r="CO20" i="16" s="1"/>
  <c r="L101" i="5"/>
  <c r="CM20" i="16" s="1"/>
  <c r="J101" i="5"/>
  <c r="CK20" i="16" s="1"/>
  <c r="H101" i="5"/>
  <c r="CI20" i="16" s="1"/>
  <c r="F101" i="5"/>
  <c r="CG20" i="16" s="1"/>
  <c r="D101" i="5"/>
  <c r="CE20" i="16" s="1"/>
  <c r="B101" i="5"/>
  <c r="CC20" i="16" s="1"/>
  <c r="S73" i="5"/>
  <c r="CT20" i="18" s="1"/>
  <c r="R86" i="5"/>
  <c r="CS5" i="16" s="1"/>
  <c r="R85" i="5"/>
  <c r="CS4" i="16" s="1"/>
  <c r="R84" i="5"/>
  <c r="CS3" i="16" s="1"/>
  <c r="R87" i="5"/>
  <c r="CS6" i="16" s="1"/>
  <c r="R88" i="5"/>
  <c r="CS7" i="16" s="1"/>
  <c r="R89" i="5"/>
  <c r="CS8" i="16" s="1"/>
  <c r="R90" i="5"/>
  <c r="CS9" i="16" s="1"/>
  <c r="R91" i="5"/>
  <c r="CS10" i="16" s="1"/>
  <c r="R92" i="5"/>
  <c r="CS11" i="16" s="1"/>
  <c r="R93" i="5"/>
  <c r="CS12" i="16" s="1"/>
  <c r="R94" i="5"/>
  <c r="CS13" i="16" s="1"/>
  <c r="R95" i="5"/>
  <c r="CS14" i="16" s="1"/>
  <c r="R96" i="5"/>
  <c r="CS15" i="16" s="1"/>
  <c r="R97" i="5"/>
  <c r="CS16" i="16" s="1"/>
  <c r="R98" i="5"/>
  <c r="CS17" i="16" s="1"/>
  <c r="R99" i="5"/>
  <c r="CS18" i="16" s="1"/>
  <c r="A102" i="5"/>
  <c r="A75"/>
  <c r="T74"/>
  <c r="R74"/>
  <c r="CS21" i="18" s="1"/>
  <c r="P74" i="5"/>
  <c r="CQ21" i="18" s="1"/>
  <c r="N74" i="5"/>
  <c r="CO21" i="18" s="1"/>
  <c r="L74" i="5"/>
  <c r="CM21" i="18" s="1"/>
  <c r="J74" i="5"/>
  <c r="CK21" i="18" s="1"/>
  <c r="H74" i="5"/>
  <c r="CI21" i="18" s="1"/>
  <c r="F74" i="5"/>
  <c r="CG21" i="18" s="1"/>
  <c r="D74" i="5"/>
  <c r="CE21" i="18" s="1"/>
  <c r="B74" i="5"/>
  <c r="CC21" i="18" s="1"/>
  <c r="S74" i="5"/>
  <c r="CT21" i="18" s="1"/>
  <c r="Q74" i="5"/>
  <c r="CR21" i="18" s="1"/>
  <c r="O74" i="5"/>
  <c r="CP21" i="18" s="1"/>
  <c r="M74" i="5"/>
  <c r="CN21" i="18" s="1"/>
  <c r="K74" i="5"/>
  <c r="CL21" i="18" s="1"/>
  <c r="I74" i="5"/>
  <c r="CJ21" i="18" s="1"/>
  <c r="G74" i="5"/>
  <c r="E74"/>
  <c r="CF21" i="18" s="1"/>
  <c r="C74" i="5"/>
  <c r="CD21" i="18" s="1"/>
  <c r="S83" i="4"/>
  <c r="T55"/>
  <c r="S56"/>
  <c r="BN3" i="18" s="1"/>
  <c r="S57" i="4"/>
  <c r="BN4" i="18" s="1"/>
  <c r="S58" i="4"/>
  <c r="BN5" i="18" s="1"/>
  <c r="S59" i="4"/>
  <c r="BN6" i="18" s="1"/>
  <c r="S60" i="4"/>
  <c r="BN7" i="18" s="1"/>
  <c r="S61" i="4"/>
  <c r="BN8" i="18" s="1"/>
  <c r="S62" i="4"/>
  <c r="BN9" i="18" s="1"/>
  <c r="S63" i="4"/>
  <c r="BN10" i="18" s="1"/>
  <c r="S64" i="4"/>
  <c r="BN11" i="18" s="1"/>
  <c r="S65" i="4"/>
  <c r="BN12" i="18" s="1"/>
  <c r="S66" i="4"/>
  <c r="BN13" i="18" s="1"/>
  <c r="S67" i="4"/>
  <c r="BN14" i="18" s="1"/>
  <c r="S68" i="4"/>
  <c r="BN15" i="18" s="1"/>
  <c r="S69" i="4"/>
  <c r="BN16" i="18" s="1"/>
  <c r="S70" i="4"/>
  <c r="BN17" i="18" s="1"/>
  <c r="S71" i="4"/>
  <c r="BN18" i="18" s="1"/>
  <c r="S72" i="4"/>
  <c r="BN19" i="18" s="1"/>
  <c r="S101" i="4"/>
  <c r="BN20" i="16" s="1"/>
  <c r="Q101" i="4"/>
  <c r="BL20" i="16" s="1"/>
  <c r="O101" i="4"/>
  <c r="BJ20" i="16" s="1"/>
  <c r="M101" i="4"/>
  <c r="BH20" i="16" s="1"/>
  <c r="K101" i="4"/>
  <c r="BF20" i="16" s="1"/>
  <c r="I101" i="4"/>
  <c r="BD20" i="16" s="1"/>
  <c r="G101" i="4"/>
  <c r="E101"/>
  <c r="AZ20" i="16" s="1"/>
  <c r="C101" i="4"/>
  <c r="AX20" i="16" s="1"/>
  <c r="R101" i="4"/>
  <c r="BM20" i="16" s="1"/>
  <c r="P101" i="4"/>
  <c r="BK20" i="16" s="1"/>
  <c r="N101" i="4"/>
  <c r="BI20" i="16" s="1"/>
  <c r="L101" i="4"/>
  <c r="BG20" i="16" s="1"/>
  <c r="J101" i="4"/>
  <c r="BE20" i="16" s="1"/>
  <c r="H101" i="4"/>
  <c r="BC20" i="16" s="1"/>
  <c r="F101" i="4"/>
  <c r="BA20" i="16" s="1"/>
  <c r="D101" i="4"/>
  <c r="AY20" i="16" s="1"/>
  <c r="B101" i="4"/>
  <c r="AW20" i="16" s="1"/>
  <c r="S73" i="4"/>
  <c r="BN20" i="18" s="1"/>
  <c r="R86" i="4"/>
  <c r="BM5" i="16" s="1"/>
  <c r="R85" i="4"/>
  <c r="BM4" i="16" s="1"/>
  <c r="R84" i="4"/>
  <c r="BM3" i="16" s="1"/>
  <c r="R87" i="4"/>
  <c r="BM6" i="16" s="1"/>
  <c r="R88" i="4"/>
  <c r="BM7" i="16" s="1"/>
  <c r="R89" i="4"/>
  <c r="BM8" i="16" s="1"/>
  <c r="R90" i="4"/>
  <c r="BM9" i="16" s="1"/>
  <c r="R91" i="4"/>
  <c r="BM10" i="16" s="1"/>
  <c r="R92" i="4"/>
  <c r="BM11" i="16" s="1"/>
  <c r="R93" i="4"/>
  <c r="BM12" i="16" s="1"/>
  <c r="R94" i="4"/>
  <c r="BM13" i="16" s="1"/>
  <c r="R95" i="4"/>
  <c r="BM14" i="16" s="1"/>
  <c r="R96" i="4"/>
  <c r="BM15" i="16" s="1"/>
  <c r="R97" i="4"/>
  <c r="BM16" i="16" s="1"/>
  <c r="R98" i="4"/>
  <c r="BM17" i="16" s="1"/>
  <c r="R99" i="4"/>
  <c r="BM18" i="16" s="1"/>
  <c r="A102" i="4"/>
  <c r="A75"/>
  <c r="T74"/>
  <c r="R74"/>
  <c r="BM21" i="18" s="1"/>
  <c r="P74" i="4"/>
  <c r="BK21" i="18" s="1"/>
  <c r="N74" i="4"/>
  <c r="BI21" i="18" s="1"/>
  <c r="L74" i="4"/>
  <c r="BG21" i="18" s="1"/>
  <c r="J74" i="4"/>
  <c r="BE21" i="18" s="1"/>
  <c r="H74" i="4"/>
  <c r="BC21" i="18" s="1"/>
  <c r="F74" i="4"/>
  <c r="BA21" i="18" s="1"/>
  <c r="D74" i="4"/>
  <c r="AY21" i="18" s="1"/>
  <c r="B74" i="4"/>
  <c r="AW21" i="18" s="1"/>
  <c r="S74" i="4"/>
  <c r="BN21" i="18" s="1"/>
  <c r="Q74" i="4"/>
  <c r="BL21" i="18" s="1"/>
  <c r="O74" i="4"/>
  <c r="BJ21" i="18" s="1"/>
  <c r="M74" i="4"/>
  <c r="BH21" i="18" s="1"/>
  <c r="K74" i="4"/>
  <c r="BF21" i="18" s="1"/>
  <c r="I74" i="4"/>
  <c r="BD21" i="18" s="1"/>
  <c r="G74" i="4"/>
  <c r="E74"/>
  <c r="AZ21" i="18" s="1"/>
  <c r="C74" i="4"/>
  <c r="AX21" i="18" s="1"/>
  <c r="AG83" i="3"/>
  <c r="AG79"/>
  <c r="AV26" i="18" s="1"/>
  <c r="AG77" i="3"/>
  <c r="AV24" i="18" s="1"/>
  <c r="AG80" i="3"/>
  <c r="AV27" i="18" s="1"/>
  <c r="AG78" i="3"/>
  <c r="AV25" i="18" s="1"/>
  <c r="AG76" i="3"/>
  <c r="AV23" i="18" s="1"/>
  <c r="AG75" i="3"/>
  <c r="AV22" i="18" s="1"/>
  <c r="AG73" i="3"/>
  <c r="AV20" i="18" s="1"/>
  <c r="AG71" i="3"/>
  <c r="AV18" i="18" s="1"/>
  <c r="AG69" i="3"/>
  <c r="AV16" i="18" s="1"/>
  <c r="AG67" i="3"/>
  <c r="AV14" i="18" s="1"/>
  <c r="AG65" i="3"/>
  <c r="AV12" i="18" s="1"/>
  <c r="AG63" i="3"/>
  <c r="AV10" i="18" s="1"/>
  <c r="AG61" i="3"/>
  <c r="AV8" i="18" s="1"/>
  <c r="AG59" i="3"/>
  <c r="AV6" i="18" s="1"/>
  <c r="AG57" i="3"/>
  <c r="AV4" i="18" s="1"/>
  <c r="AG74" i="3"/>
  <c r="AV21" i="18" s="1"/>
  <c r="AG72" i="3"/>
  <c r="AV19" i="18" s="1"/>
  <c r="AG70" i="3"/>
  <c r="AV17" i="18" s="1"/>
  <c r="AG68" i="3"/>
  <c r="AV15" i="18" s="1"/>
  <c r="AG66" i="3"/>
  <c r="AV13" i="18" s="1"/>
  <c r="AG64" i="3"/>
  <c r="AV11" i="18" s="1"/>
  <c r="AG62" i="3"/>
  <c r="AV9" i="18" s="1"/>
  <c r="AG60" i="3"/>
  <c r="AV7" i="18" s="1"/>
  <c r="AG58" i="3"/>
  <c r="AV5" i="18" s="1"/>
  <c r="AG56" i="3"/>
  <c r="AV3" i="18" s="1"/>
  <c r="AF108" i="3"/>
  <c r="AU27" i="16" s="1"/>
  <c r="AF106" i="3"/>
  <c r="AU25" i="16" s="1"/>
  <c r="AF104" i="3"/>
  <c r="AU23" i="16" s="1"/>
  <c r="AF102" i="3"/>
  <c r="AU21" i="16" s="1"/>
  <c r="AF100" i="3"/>
  <c r="AU19" i="16" s="1"/>
  <c r="AF98" i="3"/>
  <c r="AU17" i="16" s="1"/>
  <c r="AF96" i="3"/>
  <c r="AU15" i="16" s="1"/>
  <c r="AF94" i="3"/>
  <c r="AU13" i="16" s="1"/>
  <c r="AF92" i="3"/>
  <c r="AU11" i="16" s="1"/>
  <c r="AF90" i="3"/>
  <c r="AU9" i="16" s="1"/>
  <c r="AF88" i="3"/>
  <c r="AU7" i="16" s="1"/>
  <c r="AF86" i="3"/>
  <c r="AU5" i="16" s="1"/>
  <c r="AF84" i="3"/>
  <c r="AU3" i="16" s="1"/>
  <c r="AF107" i="3"/>
  <c r="AU26" i="16" s="1"/>
  <c r="AF105" i="3"/>
  <c r="AU24" i="16" s="1"/>
  <c r="AF103" i="3"/>
  <c r="AU22" i="16" s="1"/>
  <c r="AF101" i="3"/>
  <c r="AU20" i="16" s="1"/>
  <c r="AF99" i="3"/>
  <c r="AU18" i="16" s="1"/>
  <c r="AF97" i="3"/>
  <c r="AU16" i="16" s="1"/>
  <c r="AF95" i="3"/>
  <c r="AU14" i="16" s="1"/>
  <c r="AF93" i="3"/>
  <c r="AU12" i="16" s="1"/>
  <c r="AF91" i="3"/>
  <c r="AU10" i="16" s="1"/>
  <c r="AF89" i="3"/>
  <c r="AU8" i="16" s="1"/>
  <c r="AF87" i="3"/>
  <c r="AU6" i="16" s="1"/>
  <c r="AF85" i="3"/>
  <c r="AU4" i="16" s="1"/>
  <c r="A42" i="5"/>
  <c r="A42" i="4"/>
  <c r="A43" i="3"/>
  <c r="AI127"/>
  <c r="AL119"/>
  <c r="AL166" i="5"/>
  <c r="AL118" i="4"/>
  <c r="M210" i="5"/>
  <c r="M238" s="1"/>
  <c r="M163" i="4"/>
  <c r="M191" s="1"/>
  <c r="O1" i="3"/>
  <c r="N162"/>
  <c r="N189" s="1"/>
  <c r="N1" i="5"/>
  <c r="N1" i="4"/>
  <c r="BM110" i="18"/>
  <c r="BM102"/>
  <c r="BJ105" i="16"/>
  <c r="W116" i="18"/>
  <c r="Z116"/>
  <c r="Q115" i="16"/>
  <c r="BM107" i="18"/>
  <c r="BM100"/>
  <c r="AU115" i="16"/>
  <c r="BJ99"/>
  <c r="BM116" i="18"/>
  <c r="Q116"/>
  <c r="BM108"/>
  <c r="BM99"/>
  <c r="BA115" i="16"/>
  <c r="BJ107"/>
  <c r="AI116" i="18"/>
  <c r="AL116"/>
  <c r="BM113"/>
  <c r="BM105"/>
  <c r="BM115" i="16"/>
  <c r="AI115"/>
  <c r="BJ102"/>
  <c r="BA116" i="18"/>
  <c r="BD116"/>
  <c r="BR50"/>
  <c r="BR34"/>
  <c r="BR38"/>
  <c r="BR42"/>
  <c r="BR46"/>
  <c r="BL51" i="16"/>
  <c r="AN51"/>
  <c r="BO51"/>
  <c r="AQ51"/>
  <c r="BO36"/>
  <c r="BO38"/>
  <c r="BO42"/>
  <c r="BO46"/>
  <c r="BI52" i="18"/>
  <c r="AK52"/>
  <c r="BR52"/>
  <c r="AT52"/>
  <c r="BO49" i="16"/>
  <c r="BR35" i="18"/>
  <c r="BR39"/>
  <c r="BR43"/>
  <c r="BR47"/>
  <c r="BR51" i="16"/>
  <c r="AT51"/>
  <c r="BI51"/>
  <c r="AK51"/>
  <c r="BR51" i="18"/>
  <c r="BO37" i="16"/>
  <c r="BO41"/>
  <c r="BO45"/>
  <c r="BO52" i="18"/>
  <c r="AQ52"/>
  <c r="BL52"/>
  <c r="AN52"/>
  <c r="BQ50"/>
  <c r="BN49" i="16"/>
  <c r="BQ34" i="18"/>
  <c r="BQ38"/>
  <c r="BQ42"/>
  <c r="BQ46"/>
  <c r="BK51" i="16"/>
  <c r="AM51"/>
  <c r="BN51"/>
  <c r="AP51"/>
  <c r="BN36"/>
  <c r="BN38"/>
  <c r="BN42"/>
  <c r="BN46"/>
  <c r="BH52" i="18"/>
  <c r="AJ52"/>
  <c r="BQ52"/>
  <c r="AS52"/>
  <c r="BQ35"/>
  <c r="BQ39"/>
  <c r="BQ43"/>
  <c r="BQ47"/>
  <c r="BQ51" i="16"/>
  <c r="AS51"/>
  <c r="BH51"/>
  <c r="AJ51"/>
  <c r="BQ51" i="18"/>
  <c r="BN37" i="16"/>
  <c r="BN41"/>
  <c r="BN45"/>
  <c r="BN52" i="18"/>
  <c r="AP52"/>
  <c r="BK52"/>
  <c r="AM52"/>
  <c r="DF57"/>
  <c r="DF54"/>
  <c r="DF47"/>
  <c r="DF39"/>
  <c r="DF50"/>
  <c r="DF42"/>
  <c r="DF34"/>
  <c r="DC52" i="16"/>
  <c r="DC44"/>
  <c r="DC36"/>
  <c r="DC53"/>
  <c r="DC45"/>
  <c r="DC37"/>
  <c r="DF56" i="18"/>
  <c r="DF49"/>
  <c r="DF41"/>
  <c r="DF52"/>
  <c r="DF44"/>
  <c r="DF36"/>
  <c r="DC54" i="16"/>
  <c r="DC46"/>
  <c r="DC38"/>
  <c r="DC55"/>
  <c r="DC47"/>
  <c r="DC39"/>
  <c r="BQ81" i="18"/>
  <c r="BP81"/>
  <c r="BN80" i="16"/>
  <c r="BM80"/>
  <c r="BQ65" i="18"/>
  <c r="BP65"/>
  <c r="BQ69"/>
  <c r="BP69"/>
  <c r="BQ73"/>
  <c r="BP73"/>
  <c r="BQ77"/>
  <c r="BP77"/>
  <c r="BL82" i="16"/>
  <c r="BJ82"/>
  <c r="AL82"/>
  <c r="AN82"/>
  <c r="BM82"/>
  <c r="BO82"/>
  <c r="AP82"/>
  <c r="AQ82"/>
  <c r="BN67"/>
  <c r="BO67"/>
  <c r="BO69"/>
  <c r="BM69"/>
  <c r="BO73"/>
  <c r="BN73"/>
  <c r="BO77"/>
  <c r="BM77"/>
  <c r="BH83" i="18"/>
  <c r="BG83"/>
  <c r="AJ83"/>
  <c r="AI83"/>
  <c r="BQ83"/>
  <c r="BP83"/>
  <c r="AS83"/>
  <c r="AT83"/>
  <c r="BQ66"/>
  <c r="BR66"/>
  <c r="BQ70"/>
  <c r="BR70"/>
  <c r="BQ74"/>
  <c r="BR74"/>
  <c r="BQ78"/>
  <c r="BR78"/>
  <c r="BR82" i="16"/>
  <c r="BP82"/>
  <c r="AR82"/>
  <c r="AT82"/>
  <c r="BH82"/>
  <c r="BG82"/>
  <c r="AK82"/>
  <c r="AJ82"/>
  <c r="BQ82" i="18"/>
  <c r="BR82"/>
  <c r="BO68" i="16"/>
  <c r="BM68"/>
  <c r="BN72"/>
  <c r="BO72"/>
  <c r="BN76"/>
  <c r="BM76"/>
  <c r="BN83" i="18"/>
  <c r="BM83"/>
  <c r="AP83"/>
  <c r="AO83"/>
  <c r="BK83"/>
  <c r="BJ83"/>
  <c r="AM83"/>
  <c r="AN83"/>
  <c r="BM114"/>
  <c r="BM106"/>
  <c r="T115" i="16"/>
  <c r="BJ101"/>
  <c r="AU116" i="18"/>
  <c r="AX116"/>
  <c r="BM111"/>
  <c r="BM103"/>
  <c r="Z115" i="16"/>
  <c r="BJ112"/>
  <c r="AO116" i="18"/>
  <c r="AR116"/>
  <c r="BM112"/>
  <c r="BM104"/>
  <c r="AR115" i="16"/>
  <c r="BJ111"/>
  <c r="BJ103"/>
  <c r="BG116" i="18"/>
  <c r="BJ116"/>
  <c r="BM109"/>
  <c r="BM101"/>
  <c r="BJ115" i="16"/>
  <c r="BJ106"/>
  <c r="AC116" i="18"/>
  <c r="T116"/>
  <c r="S51" i="16"/>
  <c r="BR36" i="18"/>
  <c r="BR40"/>
  <c r="BR44"/>
  <c r="BR48"/>
  <c r="AZ51" i="16"/>
  <c r="AB51"/>
  <c r="BC51"/>
  <c r="AE51"/>
  <c r="BO34"/>
  <c r="BO40"/>
  <c r="BO44"/>
  <c r="BO48"/>
  <c r="AW52" i="18"/>
  <c r="Y52"/>
  <c r="BF52"/>
  <c r="V52"/>
  <c r="S52"/>
  <c r="BR37"/>
  <c r="BR41"/>
  <c r="BR45"/>
  <c r="BR49"/>
  <c r="BF51" i="16"/>
  <c r="V51"/>
  <c r="AW51"/>
  <c r="Y51"/>
  <c r="BO35"/>
  <c r="BO39"/>
  <c r="BO43"/>
  <c r="BO47"/>
  <c r="BC52" i="18"/>
  <c r="AE52"/>
  <c r="AZ52"/>
  <c r="AB52"/>
  <c r="R51" i="16"/>
  <c r="R82" s="1"/>
  <c r="R52" i="18"/>
  <c r="S83" s="1"/>
  <c r="BQ36"/>
  <c r="BR67" s="1"/>
  <c r="BQ40"/>
  <c r="BR71" s="1"/>
  <c r="BQ44"/>
  <c r="BR75" s="1"/>
  <c r="BQ48"/>
  <c r="BR79" s="1"/>
  <c r="AY51" i="16"/>
  <c r="AX82" s="1"/>
  <c r="AA51"/>
  <c r="AB82" s="1"/>
  <c r="BB51"/>
  <c r="BC82" s="1"/>
  <c r="AD51"/>
  <c r="AE82" s="1"/>
  <c r="BN34"/>
  <c r="BM65" s="1"/>
  <c r="BN40"/>
  <c r="BN71" s="1"/>
  <c r="BN44"/>
  <c r="BO75" s="1"/>
  <c r="BN48"/>
  <c r="BN79" s="1"/>
  <c r="AV52" i="18"/>
  <c r="AW83" s="1"/>
  <c r="X52"/>
  <c r="W83" s="1"/>
  <c r="BE52"/>
  <c r="BF83" s="1"/>
  <c r="U52"/>
  <c r="V83" s="1"/>
  <c r="BQ37"/>
  <c r="BP68" s="1"/>
  <c r="BQ41"/>
  <c r="BP72" s="1"/>
  <c r="BQ45"/>
  <c r="BP76" s="1"/>
  <c r="BQ49"/>
  <c r="BP80" s="1"/>
  <c r="BE51" i="16"/>
  <c r="BF82" s="1"/>
  <c r="U51"/>
  <c r="T82" s="1"/>
  <c r="AV51"/>
  <c r="AW82" s="1"/>
  <c r="X51"/>
  <c r="W82" s="1"/>
  <c r="BN35"/>
  <c r="BM66" s="1"/>
  <c r="BN39"/>
  <c r="BM70" s="1"/>
  <c r="BN43"/>
  <c r="BM74" s="1"/>
  <c r="BN47"/>
  <c r="BM78" s="1"/>
  <c r="BB52" i="18"/>
  <c r="BC83" s="1"/>
  <c r="AD52"/>
  <c r="AC83" s="1"/>
  <c r="AY52"/>
  <c r="AX83" s="1"/>
  <c r="AA52"/>
  <c r="Z83" s="1"/>
  <c r="DF58"/>
  <c r="DF51"/>
  <c r="DF43"/>
  <c r="DF35"/>
  <c r="DF46"/>
  <c r="DF38"/>
  <c r="DC56" i="16"/>
  <c r="DC48"/>
  <c r="DC40"/>
  <c r="DC57"/>
  <c r="DC49"/>
  <c r="DC41"/>
  <c r="DF55" i="18"/>
  <c r="DF53"/>
  <c r="DF45"/>
  <c r="DF37"/>
  <c r="DF48"/>
  <c r="DF40"/>
  <c r="DC58" i="16"/>
  <c r="DC50"/>
  <c r="DC42"/>
  <c r="DC34"/>
  <c r="DC51"/>
  <c r="DC43"/>
  <c r="DC35"/>
  <c r="BR81" i="18"/>
  <c r="Q82" i="16"/>
  <c r="S82"/>
  <c r="BO80"/>
  <c r="R83" i="18"/>
  <c r="Q83"/>
  <c r="BR65"/>
  <c r="BQ67"/>
  <c r="BP67"/>
  <c r="BR69"/>
  <c r="BQ71"/>
  <c r="BP71"/>
  <c r="BR73"/>
  <c r="BQ75"/>
  <c r="BP75"/>
  <c r="BR77"/>
  <c r="BQ79"/>
  <c r="BP79"/>
  <c r="BK82" i="16"/>
  <c r="BJ116" s="1"/>
  <c r="AZ82"/>
  <c r="AY82"/>
  <c r="AM82"/>
  <c r="AA82"/>
  <c r="Z82"/>
  <c r="BN82"/>
  <c r="BB82"/>
  <c r="BA82"/>
  <c r="AO82"/>
  <c r="AD82"/>
  <c r="AC82"/>
  <c r="BM67"/>
  <c r="BO65"/>
  <c r="BN65"/>
  <c r="BM99" s="1"/>
  <c r="BN69"/>
  <c r="BM71"/>
  <c r="BO71"/>
  <c r="BM73"/>
  <c r="BM75"/>
  <c r="BN75"/>
  <c r="BN77"/>
  <c r="BM111" s="1"/>
  <c r="BO79"/>
  <c r="BM79"/>
  <c r="BI83" i="18"/>
  <c r="AV83"/>
  <c r="AU83"/>
  <c r="AK83"/>
  <c r="X83"/>
  <c r="Y83"/>
  <c r="BR83"/>
  <c r="BD83"/>
  <c r="BE83"/>
  <c r="AR83"/>
  <c r="U83"/>
  <c r="T83"/>
  <c r="BP66"/>
  <c r="BQ68"/>
  <c r="BR68"/>
  <c r="BP70"/>
  <c r="BQ72"/>
  <c r="BR72"/>
  <c r="BP74"/>
  <c r="BQ76"/>
  <c r="BR76"/>
  <c r="BP78"/>
  <c r="BQ80"/>
  <c r="BR80"/>
  <c r="BQ82" i="16"/>
  <c r="BE82"/>
  <c r="BD82"/>
  <c r="AS82"/>
  <c r="U82"/>
  <c r="V82"/>
  <c r="BI82"/>
  <c r="AU82"/>
  <c r="AV82"/>
  <c r="AU116" s="1"/>
  <c r="AI82"/>
  <c r="Y82"/>
  <c r="X82"/>
  <c r="BP82" i="18"/>
  <c r="BN66" i="16"/>
  <c r="BO66"/>
  <c r="BN68"/>
  <c r="BN70"/>
  <c r="BO70"/>
  <c r="BM72"/>
  <c r="BO74"/>
  <c r="BN74"/>
  <c r="BO76"/>
  <c r="BO78"/>
  <c r="BN78"/>
  <c r="BO83" i="18"/>
  <c r="BB83"/>
  <c r="BA83"/>
  <c r="AQ83"/>
  <c r="AD83"/>
  <c r="AE83"/>
  <c r="BL83"/>
  <c r="AY83"/>
  <c r="AZ83"/>
  <c r="AL83"/>
  <c r="AA83"/>
  <c r="AB83"/>
  <c r="AX116" i="16"/>
  <c r="BM103"/>
  <c r="BM109"/>
  <c r="BM113"/>
  <c r="BP116"/>
  <c r="AI116"/>
  <c r="BM102"/>
  <c r="BM112"/>
  <c r="BM107"/>
  <c r="BD117" i="18"/>
  <c r="W116" i="16"/>
  <c r="BM108"/>
  <c r="Z149" i="18" l="1"/>
  <c r="AL149"/>
  <c r="AX149"/>
  <c r="BJ149"/>
  <c r="AC149"/>
  <c r="AO149"/>
  <c r="BA149"/>
  <c r="BM149"/>
  <c r="BM144" i="16"/>
  <c r="BM142"/>
  <c r="BM140"/>
  <c r="BM138"/>
  <c r="BM136"/>
  <c r="BM134"/>
  <c r="BM132"/>
  <c r="BP148" i="18"/>
  <c r="W148" i="16"/>
  <c r="AI148"/>
  <c r="AU148"/>
  <c r="BG148"/>
  <c r="T148"/>
  <c r="AR148"/>
  <c r="BD148"/>
  <c r="BP148"/>
  <c r="BP146" i="18"/>
  <c r="BP144"/>
  <c r="BP142"/>
  <c r="BP140"/>
  <c r="BP138"/>
  <c r="BP136"/>
  <c r="BP134"/>
  <c r="BP132"/>
  <c r="T149"/>
  <c r="AR149"/>
  <c r="BD149"/>
  <c r="BP149"/>
  <c r="W149"/>
  <c r="AI149"/>
  <c r="AU149"/>
  <c r="BG149"/>
  <c r="BM145" i="16"/>
  <c r="BM143"/>
  <c r="BM141"/>
  <c r="BM139"/>
  <c r="BM137"/>
  <c r="BM135"/>
  <c r="BM131"/>
  <c r="BM133"/>
  <c r="AC148"/>
  <c r="AO148"/>
  <c r="BA148"/>
  <c r="BM148"/>
  <c r="Z148"/>
  <c r="AL148"/>
  <c r="AX148"/>
  <c r="BJ148"/>
  <c r="BP145" i="18"/>
  <c r="BP143"/>
  <c r="BP141"/>
  <c r="BP139"/>
  <c r="BP137"/>
  <c r="BP135"/>
  <c r="BP133"/>
  <c r="BP131"/>
  <c r="Q149"/>
  <c r="BM146" i="16"/>
  <c r="Q148"/>
  <c r="BP147" i="18"/>
  <c r="G5"/>
  <c r="E5"/>
  <c r="E9"/>
  <c r="G9"/>
  <c r="G13"/>
  <c r="E13"/>
  <c r="G17"/>
  <c r="E17"/>
  <c r="E21"/>
  <c r="G21"/>
  <c r="E6"/>
  <c r="G6"/>
  <c r="E10"/>
  <c r="G10"/>
  <c r="E14"/>
  <c r="G14"/>
  <c r="E18"/>
  <c r="G18"/>
  <c r="E22"/>
  <c r="G22"/>
  <c r="E25"/>
  <c r="G25"/>
  <c r="G24"/>
  <c r="E24"/>
  <c r="E3"/>
  <c r="G3"/>
  <c r="E7"/>
  <c r="G7"/>
  <c r="E11"/>
  <c r="G11"/>
  <c r="G15"/>
  <c r="E15"/>
  <c r="G19"/>
  <c r="E19"/>
  <c r="G4"/>
  <c r="E4"/>
  <c r="G8"/>
  <c r="E8"/>
  <c r="G12"/>
  <c r="E12"/>
  <c r="E16"/>
  <c r="G16"/>
  <c r="G20"/>
  <c r="E20"/>
  <c r="E23"/>
  <c r="G23"/>
  <c r="E27"/>
  <c r="G27"/>
  <c r="E26"/>
  <c r="G26"/>
  <c r="A86" i="16"/>
  <c r="A188"/>
  <c r="A55"/>
  <c r="A152"/>
  <c r="A120"/>
  <c r="A25"/>
  <c r="R102" i="5"/>
  <c r="CS21" i="16" s="1"/>
  <c r="P102" i="5"/>
  <c r="CQ21" i="16" s="1"/>
  <c r="N102" i="5"/>
  <c r="CO21" i="16" s="1"/>
  <c r="L102" i="5"/>
  <c r="CM21" i="16" s="1"/>
  <c r="J102" i="5"/>
  <c r="CK21" i="16" s="1"/>
  <c r="H102" i="5"/>
  <c r="CI21" i="16" s="1"/>
  <c r="F102" i="5"/>
  <c r="CG21" i="16" s="1"/>
  <c r="D102" i="5"/>
  <c r="CE21" i="16" s="1"/>
  <c r="B102" i="5"/>
  <c r="CC21" i="16" s="1"/>
  <c r="S102" i="5"/>
  <c r="CT21" i="16" s="1"/>
  <c r="Q102" i="5"/>
  <c r="CR21" i="16" s="1"/>
  <c r="O102" i="5"/>
  <c r="CP21" i="16" s="1"/>
  <c r="M102" i="5"/>
  <c r="CN21" i="16" s="1"/>
  <c r="K102" i="5"/>
  <c r="CL21" i="16" s="1"/>
  <c r="I102" i="5"/>
  <c r="CJ21" i="16" s="1"/>
  <c r="G102" i="5"/>
  <c r="E102"/>
  <c r="CF21" i="16" s="1"/>
  <c r="C102" i="5"/>
  <c r="CD21" i="16" s="1"/>
  <c r="S86" i="5"/>
  <c r="CT5" i="16" s="1"/>
  <c r="S85" i="5"/>
  <c r="CT4" i="16" s="1"/>
  <c r="S84" i="5"/>
  <c r="CT3" i="16" s="1"/>
  <c r="S87" i="5"/>
  <c r="CT6" i="16" s="1"/>
  <c r="S88" i="5"/>
  <c r="CT7" i="16" s="1"/>
  <c r="S89" i="5"/>
  <c r="CT8" i="16" s="1"/>
  <c r="S90" i="5"/>
  <c r="CT9" i="16" s="1"/>
  <c r="S91" i="5"/>
  <c r="CT10" i="16" s="1"/>
  <c r="S92" i="5"/>
  <c r="CT11" i="16" s="1"/>
  <c r="S93" i="5"/>
  <c r="CT12" i="16" s="1"/>
  <c r="S94" i="5"/>
  <c r="CT13" i="16" s="1"/>
  <c r="S95" i="5"/>
  <c r="CT14" i="16" s="1"/>
  <c r="S96" i="5"/>
  <c r="CT15" i="16" s="1"/>
  <c r="S97" i="5"/>
  <c r="CT16" i="16" s="1"/>
  <c r="S98" i="5"/>
  <c r="CT17" i="16" s="1"/>
  <c r="S99" i="5"/>
  <c r="CT18" i="16" s="1"/>
  <c r="S100" i="5"/>
  <c r="CT19" i="16" s="1"/>
  <c r="A103" i="5"/>
  <c r="A76"/>
  <c r="T83"/>
  <c r="T102" s="1"/>
  <c r="T56"/>
  <c r="T57"/>
  <c r="U55"/>
  <c r="T58"/>
  <c r="T59"/>
  <c r="T60"/>
  <c r="T61"/>
  <c r="T62"/>
  <c r="T63"/>
  <c r="T64"/>
  <c r="T65"/>
  <c r="T66"/>
  <c r="T67"/>
  <c r="T68"/>
  <c r="T69"/>
  <c r="T70"/>
  <c r="T71"/>
  <c r="T72"/>
  <c r="T73"/>
  <c r="R102" i="4"/>
  <c r="BM21" i="16" s="1"/>
  <c r="P102" i="4"/>
  <c r="BK21" i="16" s="1"/>
  <c r="N102" i="4"/>
  <c r="BI21" i="16" s="1"/>
  <c r="L102" i="4"/>
  <c r="BG21" i="16" s="1"/>
  <c r="J102" i="4"/>
  <c r="BE21" i="16" s="1"/>
  <c r="H102" i="4"/>
  <c r="BC21" i="16" s="1"/>
  <c r="F102" i="4"/>
  <c r="BA21" i="16" s="1"/>
  <c r="D102" i="4"/>
  <c r="AY21" i="16" s="1"/>
  <c r="B102" i="4"/>
  <c r="AW21" i="16" s="1"/>
  <c r="S102" i="4"/>
  <c r="BN21" i="16" s="1"/>
  <c r="Q102" i="4"/>
  <c r="BL21" i="16" s="1"/>
  <c r="O102" i="4"/>
  <c r="BJ21" i="16" s="1"/>
  <c r="M102" i="4"/>
  <c r="BH21" i="16" s="1"/>
  <c r="K102" i="4"/>
  <c r="BF21" i="16" s="1"/>
  <c r="I102" i="4"/>
  <c r="BD21" i="16" s="1"/>
  <c r="G102" i="4"/>
  <c r="E102"/>
  <c r="AZ21" i="16" s="1"/>
  <c r="C102" i="4"/>
  <c r="AX21" i="16" s="1"/>
  <c r="S86" i="4"/>
  <c r="BN5" i="16" s="1"/>
  <c r="S85" i="4"/>
  <c r="BN4" i="16" s="1"/>
  <c r="S84" i="4"/>
  <c r="BN3" i="16" s="1"/>
  <c r="S87" i="4"/>
  <c r="BN6" i="16" s="1"/>
  <c r="S88" i="4"/>
  <c r="BN7" i="16" s="1"/>
  <c r="S89" i="4"/>
  <c r="BN8" i="16" s="1"/>
  <c r="S90" i="4"/>
  <c r="BN9" i="16" s="1"/>
  <c r="S91" i="4"/>
  <c r="BN10" i="16" s="1"/>
  <c r="S92" i="4"/>
  <c r="BN11" i="16" s="1"/>
  <c r="S93" i="4"/>
  <c r="BN12" i="16" s="1"/>
  <c r="S94" i="4"/>
  <c r="BN13" i="16" s="1"/>
  <c r="S95" i="4"/>
  <c r="BN14" i="16" s="1"/>
  <c r="S96" i="4"/>
  <c r="BN15" i="16" s="1"/>
  <c r="S97" i="4"/>
  <c r="BN16" i="16" s="1"/>
  <c r="S98" i="4"/>
  <c r="BN17" i="16" s="1"/>
  <c r="S99" i="4"/>
  <c r="BN18" i="16" s="1"/>
  <c r="S100" i="4"/>
  <c r="BN19" i="16" s="1"/>
  <c r="A103" i="4"/>
  <c r="A76"/>
  <c r="T83"/>
  <c r="T102" s="1"/>
  <c r="T56"/>
  <c r="T57"/>
  <c r="U55"/>
  <c r="T58"/>
  <c r="T59"/>
  <c r="T60"/>
  <c r="T61"/>
  <c r="T62"/>
  <c r="T63"/>
  <c r="T64"/>
  <c r="T65"/>
  <c r="T66"/>
  <c r="T67"/>
  <c r="T68"/>
  <c r="T69"/>
  <c r="T70"/>
  <c r="T71"/>
  <c r="T72"/>
  <c r="T73"/>
  <c r="AG107" i="3"/>
  <c r="AV26" i="16" s="1"/>
  <c r="AG105" i="3"/>
  <c r="AV24" i="16" s="1"/>
  <c r="AG103" i="3"/>
  <c r="AV22" i="16" s="1"/>
  <c r="AG101" i="3"/>
  <c r="AV20" i="16" s="1"/>
  <c r="AG99" i="3"/>
  <c r="AV18" i="16" s="1"/>
  <c r="AG97" i="3"/>
  <c r="AV16" i="16" s="1"/>
  <c r="AG95" i="3"/>
  <c r="AV14" i="16" s="1"/>
  <c r="AG93" i="3"/>
  <c r="AV12" i="16" s="1"/>
  <c r="AG91" i="3"/>
  <c r="AV10" i="16" s="1"/>
  <c r="AG89" i="3"/>
  <c r="AV8" i="16" s="1"/>
  <c r="AG87" i="3"/>
  <c r="AV6" i="16" s="1"/>
  <c r="AG85" i="3"/>
  <c r="AV4" i="16" s="1"/>
  <c r="AG108" i="3"/>
  <c r="AV27" i="16" s="1"/>
  <c r="AG106" i="3"/>
  <c r="AV25" i="16" s="1"/>
  <c r="AG104" i="3"/>
  <c r="AV23" i="16" s="1"/>
  <c r="AG102" i="3"/>
  <c r="AV21" i="16" s="1"/>
  <c r="AG100" i="3"/>
  <c r="AV19" i="16" s="1"/>
  <c r="AG98" i="3"/>
  <c r="AV17" i="16" s="1"/>
  <c r="AG96" i="3"/>
  <c r="AV15" i="16" s="1"/>
  <c r="AG94" i="3"/>
  <c r="AV13" i="16" s="1"/>
  <c r="AG92" i="3"/>
  <c r="AV11" i="16" s="1"/>
  <c r="AG90" i="3"/>
  <c r="AV9" i="16" s="1"/>
  <c r="AG88" i="3"/>
  <c r="AV7" i="16" s="1"/>
  <c r="AG86" i="3"/>
  <c r="AV5" i="16" s="1"/>
  <c r="AG84" i="3"/>
  <c r="AV3" i="16" s="1"/>
  <c r="A44" i="3"/>
  <c r="A43" i="5"/>
  <c r="A43" i="4"/>
  <c r="AI128" i="3"/>
  <c r="N210" i="5"/>
  <c r="N238" s="1"/>
  <c r="N163" i="4"/>
  <c r="N191" s="1"/>
  <c r="P1" i="3"/>
  <c r="O162"/>
  <c r="O189" s="1"/>
  <c r="O1" i="5"/>
  <c r="O1" i="4"/>
  <c r="AX117" i="18"/>
  <c r="BA117"/>
  <c r="BM100" i="16"/>
  <c r="BD116"/>
  <c r="BP110" i="18"/>
  <c r="BP102"/>
  <c r="W117"/>
  <c r="BM105" i="16"/>
  <c r="BA116"/>
  <c r="BP113" i="18"/>
  <c r="BP105"/>
  <c r="Q117"/>
  <c r="AL117"/>
  <c r="AO117"/>
  <c r="BM110" i="16"/>
  <c r="BP116" i="18"/>
  <c r="AR116" i="16"/>
  <c r="BP108" i="18"/>
  <c r="BP100"/>
  <c r="BP117"/>
  <c r="BG117"/>
  <c r="AO116" i="16"/>
  <c r="AL116"/>
  <c r="BP107" i="18"/>
  <c r="BP99"/>
  <c r="BP115"/>
  <c r="BI52" i="16"/>
  <c r="AK52"/>
  <c r="BR52"/>
  <c r="AT52"/>
  <c r="BR35"/>
  <c r="BR39"/>
  <c r="BR43"/>
  <c r="BR47"/>
  <c r="S52"/>
  <c r="BO52"/>
  <c r="AQ52"/>
  <c r="BL52"/>
  <c r="AN52"/>
  <c r="BR36"/>
  <c r="BR38"/>
  <c r="BR42"/>
  <c r="BR46"/>
  <c r="R52"/>
  <c r="BQ48"/>
  <c r="BN52"/>
  <c r="AP52"/>
  <c r="BK52"/>
  <c r="AM52"/>
  <c r="BQ36"/>
  <c r="BQ38"/>
  <c r="BQ42"/>
  <c r="BH52"/>
  <c r="AJ52"/>
  <c r="BQ52"/>
  <c r="AS52"/>
  <c r="BQ35"/>
  <c r="BQ39"/>
  <c r="BQ43"/>
  <c r="BQ47"/>
  <c r="DF57"/>
  <c r="DF49"/>
  <c r="DF41"/>
  <c r="DF58"/>
  <c r="DF50"/>
  <c r="DF34"/>
  <c r="DF51"/>
  <c r="DF43"/>
  <c r="DF35"/>
  <c r="DF52"/>
  <c r="DF44"/>
  <c r="DF36"/>
  <c r="DF38"/>
  <c r="S83"/>
  <c r="BO83"/>
  <c r="AQ83"/>
  <c r="BJ83"/>
  <c r="AL83"/>
  <c r="BR67"/>
  <c r="BP69"/>
  <c r="BR73"/>
  <c r="BG83"/>
  <c r="AI83"/>
  <c r="BR83"/>
  <c r="AT83"/>
  <c r="BP66"/>
  <c r="BR70"/>
  <c r="BQ74"/>
  <c r="BR78"/>
  <c r="Z117" i="18"/>
  <c r="AC117"/>
  <c r="BM104" i="16"/>
  <c r="T116"/>
  <c r="BP114" i="18"/>
  <c r="BP106"/>
  <c r="T117"/>
  <c r="AU117"/>
  <c r="AC116" i="16"/>
  <c r="Z116"/>
  <c r="BP109" i="18"/>
  <c r="BP101"/>
  <c r="Q116" i="16"/>
  <c r="BJ117" i="18"/>
  <c r="BM117"/>
  <c r="BM106" i="16"/>
  <c r="BG116"/>
  <c r="BP112" i="18"/>
  <c r="BP104"/>
  <c r="AR117"/>
  <c r="AI117"/>
  <c r="BM101" i="16"/>
  <c r="BM116"/>
  <c r="BP111" i="18"/>
  <c r="BP103"/>
  <c r="BM114" i="16"/>
  <c r="AW52"/>
  <c r="Y52"/>
  <c r="BF52"/>
  <c r="V52"/>
  <c r="BR37"/>
  <c r="BR41"/>
  <c r="BR45"/>
  <c r="BR49"/>
  <c r="BR50"/>
  <c r="BC52"/>
  <c r="AE52"/>
  <c r="AZ52"/>
  <c r="AB52"/>
  <c r="BR34"/>
  <c r="BR40"/>
  <c r="BR44"/>
  <c r="BR48"/>
  <c r="BP79" s="1"/>
  <c r="BQ46"/>
  <c r="BQ50"/>
  <c r="BB52"/>
  <c r="AD52"/>
  <c r="AY52"/>
  <c r="AA52"/>
  <c r="BQ34"/>
  <c r="BQ40"/>
  <c r="BQ44"/>
  <c r="AV52"/>
  <c r="X52"/>
  <c r="BE52"/>
  <c r="U52"/>
  <c r="BQ37"/>
  <c r="BQ41"/>
  <c r="BQ45"/>
  <c r="BQ49"/>
  <c r="DF53"/>
  <c r="DF45"/>
  <c r="DF37"/>
  <c r="DF54"/>
  <c r="DF42"/>
  <c r="DF55"/>
  <c r="DF47"/>
  <c r="DF39"/>
  <c r="DF56"/>
  <c r="DF48"/>
  <c r="DF40"/>
  <c r="DF46"/>
  <c r="Q83"/>
  <c r="R83"/>
  <c r="BP77"/>
  <c r="BQ79"/>
  <c r="BR79"/>
  <c r="BP81"/>
  <c r="BM83"/>
  <c r="BN83"/>
  <c r="BM117" s="1"/>
  <c r="BB83"/>
  <c r="AP83"/>
  <c r="AO83"/>
  <c r="AD83"/>
  <c r="BL83"/>
  <c r="BK83"/>
  <c r="BJ117" s="1"/>
  <c r="AY83"/>
  <c r="AM83"/>
  <c r="AN83"/>
  <c r="AA83"/>
  <c r="BP67"/>
  <c r="BQ67"/>
  <c r="BP101" s="1"/>
  <c r="BR65"/>
  <c r="BQ69"/>
  <c r="BR69"/>
  <c r="BR71"/>
  <c r="BP73"/>
  <c r="BQ73"/>
  <c r="BP75"/>
  <c r="BH83"/>
  <c r="BI83"/>
  <c r="AV83"/>
  <c r="AK83"/>
  <c r="AJ83"/>
  <c r="AI117" s="1"/>
  <c r="X83"/>
  <c r="BQ83"/>
  <c r="BP83"/>
  <c r="BE83"/>
  <c r="AR83"/>
  <c r="AS83"/>
  <c r="U83"/>
  <c r="BQ66"/>
  <c r="BR66"/>
  <c r="BP68"/>
  <c r="BP70"/>
  <c r="BQ70"/>
  <c r="BQ72"/>
  <c r="BR74"/>
  <c r="BP74"/>
  <c r="BP76"/>
  <c r="BP78"/>
  <c r="BQ78"/>
  <c r="BQ80"/>
  <c r="Q117"/>
  <c r="BP107"/>
  <c r="AR117"/>
  <c r="BP104"/>
  <c r="BP112"/>
  <c r="BP108"/>
  <c r="AW83"/>
  <c r="AU83"/>
  <c r="W83"/>
  <c r="Y83"/>
  <c r="W117" s="1"/>
  <c r="BD83"/>
  <c r="BF83"/>
  <c r="BD117" s="1"/>
  <c r="V83"/>
  <c r="T83"/>
  <c r="BQ68"/>
  <c r="BR68"/>
  <c r="BP102" s="1"/>
  <c r="BR72"/>
  <c r="BP72"/>
  <c r="BR76"/>
  <c r="BQ76"/>
  <c r="BP80"/>
  <c r="BR80"/>
  <c r="BP114" s="1"/>
  <c r="BQ81"/>
  <c r="BR81"/>
  <c r="BP115" s="1"/>
  <c r="BC83"/>
  <c r="BA83"/>
  <c r="AC83"/>
  <c r="AE83"/>
  <c r="AC117" s="1"/>
  <c r="AX83"/>
  <c r="AZ83"/>
  <c r="AX117" s="1"/>
  <c r="AB83"/>
  <c r="Z83"/>
  <c r="BQ65"/>
  <c r="BP65"/>
  <c r="BP99" s="1"/>
  <c r="BQ71"/>
  <c r="BP71"/>
  <c r="BP105" s="1"/>
  <c r="BR75"/>
  <c r="BQ75"/>
  <c r="BQ77"/>
  <c r="BR77"/>
  <c r="BP111" s="1"/>
  <c r="F11" i="18" l="1"/>
  <c r="D7"/>
  <c r="BP146" i="16"/>
  <c r="BP144"/>
  <c r="BP142"/>
  <c r="BP140"/>
  <c r="BP138"/>
  <c r="BP136"/>
  <c r="BP134"/>
  <c r="BP132"/>
  <c r="T149"/>
  <c r="AR149"/>
  <c r="BD149"/>
  <c r="BP149"/>
  <c r="W149"/>
  <c r="AI149"/>
  <c r="AU149"/>
  <c r="BG149"/>
  <c r="BP141"/>
  <c r="BP139"/>
  <c r="BP137"/>
  <c r="BP135"/>
  <c r="BP131"/>
  <c r="BP133"/>
  <c r="Z149"/>
  <c r="AL149"/>
  <c r="AX149"/>
  <c r="BJ149"/>
  <c r="AC149"/>
  <c r="AO149"/>
  <c r="BA149"/>
  <c r="BM149"/>
  <c r="BP147"/>
  <c r="BP145"/>
  <c r="BP143"/>
  <c r="Q149"/>
  <c r="E7"/>
  <c r="G7"/>
  <c r="G15"/>
  <c r="E15"/>
  <c r="E5"/>
  <c r="G5"/>
  <c r="E9"/>
  <c r="G9"/>
  <c r="G13"/>
  <c r="E13"/>
  <c r="G17"/>
  <c r="E17"/>
  <c r="E21"/>
  <c r="G21"/>
  <c r="G25"/>
  <c r="E25"/>
  <c r="G4"/>
  <c r="E4"/>
  <c r="G8"/>
  <c r="E8"/>
  <c r="G12"/>
  <c r="E12"/>
  <c r="E16"/>
  <c r="G16"/>
  <c r="E20"/>
  <c r="G20"/>
  <c r="G24"/>
  <c r="E24"/>
  <c r="F26" i="18"/>
  <c r="D26"/>
  <c r="F20"/>
  <c r="D20"/>
  <c r="F16"/>
  <c r="D16"/>
  <c r="D12"/>
  <c r="F12"/>
  <c r="F19"/>
  <c r="D19"/>
  <c r="F25"/>
  <c r="D25"/>
  <c r="F18"/>
  <c r="D18"/>
  <c r="F10"/>
  <c r="D10"/>
  <c r="D21"/>
  <c r="F21"/>
  <c r="D9"/>
  <c r="F9"/>
  <c r="D5"/>
  <c r="F5"/>
  <c r="D11"/>
  <c r="F7"/>
  <c r="E3" i="16"/>
  <c r="G3"/>
  <c r="E11"/>
  <c r="G11"/>
  <c r="E19"/>
  <c r="G19"/>
  <c r="E23"/>
  <c r="G23"/>
  <c r="E27"/>
  <c r="G27"/>
  <c r="G6"/>
  <c r="E6"/>
  <c r="E10"/>
  <c r="G10"/>
  <c r="E14"/>
  <c r="G14"/>
  <c r="E18"/>
  <c r="G18"/>
  <c r="E22"/>
  <c r="G22"/>
  <c r="E26"/>
  <c r="G26"/>
  <c r="F27" i="18"/>
  <c r="D27"/>
  <c r="F23"/>
  <c r="D23"/>
  <c r="F8"/>
  <c r="D8"/>
  <c r="D4"/>
  <c r="F4"/>
  <c r="F15"/>
  <c r="D15"/>
  <c r="D3"/>
  <c r="F3"/>
  <c r="F24"/>
  <c r="D24"/>
  <c r="F22"/>
  <c r="D22"/>
  <c r="F14"/>
  <c r="D14"/>
  <c r="D6"/>
  <c r="F6"/>
  <c r="D17"/>
  <c r="F17"/>
  <c r="D13"/>
  <c r="F13"/>
  <c r="A87" i="16"/>
  <c r="A189"/>
  <c r="A56"/>
  <c r="A153"/>
  <c r="A121"/>
  <c r="A26"/>
  <c r="U83" i="5"/>
  <c r="V55"/>
  <c r="U56"/>
  <c r="CV3" i="18" s="1"/>
  <c r="U58" i="5"/>
  <c r="CV5" i="18" s="1"/>
  <c r="U57" i="5"/>
  <c r="CV4" i="18" s="1"/>
  <c r="U59" i="5"/>
  <c r="CV6" i="18" s="1"/>
  <c r="U60" i="5"/>
  <c r="CV7" i="18" s="1"/>
  <c r="U61" i="5"/>
  <c r="CV8" i="18" s="1"/>
  <c r="U62" i="5"/>
  <c r="CV9" i="18" s="1"/>
  <c r="U63" i="5"/>
  <c r="CV10" i="18" s="1"/>
  <c r="U64" i="5"/>
  <c r="CV11" i="18" s="1"/>
  <c r="U65" i="5"/>
  <c r="CV12" i="18" s="1"/>
  <c r="U66" i="5"/>
  <c r="CV13" i="18" s="1"/>
  <c r="U67" i="5"/>
  <c r="CV14" i="18" s="1"/>
  <c r="U68" i="5"/>
  <c r="CV15" i="18" s="1"/>
  <c r="U69" i="5"/>
  <c r="CV16" i="18" s="1"/>
  <c r="U70" i="5"/>
  <c r="CV17" i="18" s="1"/>
  <c r="U71" i="5"/>
  <c r="CV18" i="18" s="1"/>
  <c r="U72" i="5"/>
  <c r="CV19" i="18" s="1"/>
  <c r="U73" i="5"/>
  <c r="CV20" i="18" s="1"/>
  <c r="U74" i="5"/>
  <c r="CV21" i="18" s="1"/>
  <c r="A104" i="5"/>
  <c r="A77"/>
  <c r="T85"/>
  <c r="T84"/>
  <c r="T86"/>
  <c r="T87"/>
  <c r="T88"/>
  <c r="T89"/>
  <c r="T90"/>
  <c r="T91"/>
  <c r="T92"/>
  <c r="T93"/>
  <c r="T94"/>
  <c r="T95"/>
  <c r="T96"/>
  <c r="T97"/>
  <c r="T98"/>
  <c r="T99"/>
  <c r="T100"/>
  <c r="T101"/>
  <c r="U83" i="4"/>
  <c r="V55"/>
  <c r="U56"/>
  <c r="BP3" i="18" s="1"/>
  <c r="U58" i="4"/>
  <c r="BP5" i="18" s="1"/>
  <c r="U57" i="4"/>
  <c r="BP4" i="18" s="1"/>
  <c r="U59" i="4"/>
  <c r="BP6" i="18" s="1"/>
  <c r="U60" i="4"/>
  <c r="BP7" i="18" s="1"/>
  <c r="U61" i="4"/>
  <c r="BP8" i="18" s="1"/>
  <c r="U62" i="4"/>
  <c r="BP9" i="18" s="1"/>
  <c r="U63" i="4"/>
  <c r="BP10" i="18" s="1"/>
  <c r="U64" i="4"/>
  <c r="BP11" i="18" s="1"/>
  <c r="U65" i="4"/>
  <c r="BP12" i="18" s="1"/>
  <c r="U66" i="4"/>
  <c r="BP13" i="18" s="1"/>
  <c r="U67" i="4"/>
  <c r="BP14" i="18" s="1"/>
  <c r="U68" i="4"/>
  <c r="BP15" i="18" s="1"/>
  <c r="U69" i="4"/>
  <c r="BP16" i="18" s="1"/>
  <c r="U70" i="4"/>
  <c r="BP17" i="18" s="1"/>
  <c r="U71" i="4"/>
  <c r="BP18" i="18" s="1"/>
  <c r="U72" i="4"/>
  <c r="BP19" i="18" s="1"/>
  <c r="U73" i="4"/>
  <c r="BP20" i="18" s="1"/>
  <c r="U74" i="4"/>
  <c r="BP21" i="18" s="1"/>
  <c r="A104" i="4"/>
  <c r="A77"/>
  <c r="T85"/>
  <c r="T84"/>
  <c r="T86"/>
  <c r="T87"/>
  <c r="T88"/>
  <c r="T89"/>
  <c r="T90"/>
  <c r="T91"/>
  <c r="T92"/>
  <c r="T93"/>
  <c r="T94"/>
  <c r="T95"/>
  <c r="T96"/>
  <c r="T97"/>
  <c r="T98"/>
  <c r="T99"/>
  <c r="T100"/>
  <c r="T101"/>
  <c r="A44" i="5"/>
  <c r="A44" i="4"/>
  <c r="A45" i="3"/>
  <c r="AI129"/>
  <c r="O210" i="5"/>
  <c r="O238" s="1"/>
  <c r="O163" i="4"/>
  <c r="O191" s="1"/>
  <c r="Q1" i="3"/>
  <c r="P162"/>
  <c r="P189" s="1"/>
  <c r="P1" i="4"/>
  <c r="P1" i="5"/>
  <c r="BP117" i="16"/>
  <c r="BP103"/>
  <c r="AO117"/>
  <c r="BP110"/>
  <c r="T117"/>
  <c r="BP109"/>
  <c r="BA117"/>
  <c r="BX49" i="18"/>
  <c r="BX36"/>
  <c r="BX39"/>
  <c r="BX43"/>
  <c r="BX48"/>
  <c r="BX52"/>
  <c r="BX35"/>
  <c r="BX40"/>
  <c r="BX44"/>
  <c r="BW34"/>
  <c r="BW38"/>
  <c r="BW42"/>
  <c r="BW46"/>
  <c r="BW50"/>
  <c r="BW36"/>
  <c r="BW39"/>
  <c r="BW43"/>
  <c r="BW47"/>
  <c r="BW51"/>
  <c r="AJ129" i="3"/>
  <c r="AJ125"/>
  <c r="AJ127"/>
  <c r="BX67" i="18"/>
  <c r="BV70"/>
  <c r="BV74"/>
  <c r="BP100" i="16"/>
  <c r="BG117"/>
  <c r="AL117"/>
  <c r="BP113"/>
  <c r="BP106"/>
  <c r="AU117"/>
  <c r="Z117"/>
  <c r="BX47" i="18"/>
  <c r="BV78" s="1"/>
  <c r="BX51"/>
  <c r="BV82" s="1"/>
  <c r="BX37"/>
  <c r="BX41"/>
  <c r="BX45"/>
  <c r="BX50"/>
  <c r="BX81" s="1"/>
  <c r="BX34"/>
  <c r="BX65" s="1"/>
  <c r="BX38"/>
  <c r="BX69" s="1"/>
  <c r="BX42"/>
  <c r="BX73" s="1"/>
  <c r="BX46"/>
  <c r="BX77" s="1"/>
  <c r="BW35"/>
  <c r="BW40"/>
  <c r="BW44"/>
  <c r="BW48"/>
  <c r="BW52"/>
  <c r="BW37"/>
  <c r="BW41"/>
  <c r="BW45"/>
  <c r="BW49"/>
  <c r="AJ126" i="3"/>
  <c r="AJ124"/>
  <c r="AJ128"/>
  <c r="BW65" i="18"/>
  <c r="BV65"/>
  <c r="BV66"/>
  <c r="BW69"/>
  <c r="BV69"/>
  <c r="BX71"/>
  <c r="BW73"/>
  <c r="BV73"/>
  <c r="BX75"/>
  <c r="BW77"/>
  <c r="BV77"/>
  <c r="BX79"/>
  <c r="BW81"/>
  <c r="BV81"/>
  <c r="BX83"/>
  <c r="BW67"/>
  <c r="BV67"/>
  <c r="BV68"/>
  <c r="BW70"/>
  <c r="BX70"/>
  <c r="BV72"/>
  <c r="BW74"/>
  <c r="BX74"/>
  <c r="BV76"/>
  <c r="BW78"/>
  <c r="BX78"/>
  <c r="BV80"/>
  <c r="BW82"/>
  <c r="BX82"/>
  <c r="BX68"/>
  <c r="BW68"/>
  <c r="BX72"/>
  <c r="BW72"/>
  <c r="BX76"/>
  <c r="BW76"/>
  <c r="BX66"/>
  <c r="BW66"/>
  <c r="BV71"/>
  <c r="BW71"/>
  <c r="BV75"/>
  <c r="BW75"/>
  <c r="BV79"/>
  <c r="BW79"/>
  <c r="BV83"/>
  <c r="BW83"/>
  <c r="BX80"/>
  <c r="BW80"/>
  <c r="D13" i="16" l="1"/>
  <c r="F7"/>
  <c r="D17"/>
  <c r="BV148" i="18"/>
  <c r="BV146"/>
  <c r="BV144"/>
  <c r="BV142"/>
  <c r="BV140"/>
  <c r="BV138"/>
  <c r="BV136"/>
  <c r="BV134"/>
  <c r="BV133"/>
  <c r="BV149"/>
  <c r="BV147"/>
  <c r="BV145"/>
  <c r="BV143"/>
  <c r="BV141"/>
  <c r="BV139"/>
  <c r="BV137"/>
  <c r="BV135"/>
  <c r="BV132"/>
  <c r="BV131"/>
  <c r="F26" i="16"/>
  <c r="D26"/>
  <c r="F22"/>
  <c r="D22"/>
  <c r="F14"/>
  <c r="D14"/>
  <c r="F6"/>
  <c r="D6"/>
  <c r="D23"/>
  <c r="F23"/>
  <c r="F11"/>
  <c r="D11"/>
  <c r="F16"/>
  <c r="D16"/>
  <c r="F12"/>
  <c r="D12"/>
  <c r="F8"/>
  <c r="D8"/>
  <c r="D4"/>
  <c r="F4"/>
  <c r="F25"/>
  <c r="D25"/>
  <c r="D9"/>
  <c r="F9"/>
  <c r="F15"/>
  <c r="D15"/>
  <c r="F17"/>
  <c r="F13"/>
  <c r="D18"/>
  <c r="F18"/>
  <c r="D10"/>
  <c r="F10"/>
  <c r="F27"/>
  <c r="D27"/>
  <c r="F19"/>
  <c r="D19"/>
  <c r="D3"/>
  <c r="F3"/>
  <c r="F24"/>
  <c r="D24"/>
  <c r="D20"/>
  <c r="F20"/>
  <c r="D21"/>
  <c r="F21"/>
  <c r="D5"/>
  <c r="F5"/>
  <c r="D7"/>
  <c r="A88"/>
  <c r="A190"/>
  <c r="A57"/>
  <c r="A154"/>
  <c r="A122"/>
  <c r="A27"/>
  <c r="A105" i="5"/>
  <c r="A78"/>
  <c r="U85"/>
  <c r="CV4" i="16" s="1"/>
  <c r="U84" i="5"/>
  <c r="CV3" i="16" s="1"/>
  <c r="U86" i="5"/>
  <c r="CV5" i="16" s="1"/>
  <c r="U87" i="5"/>
  <c r="CV6" i="16" s="1"/>
  <c r="U88" i="5"/>
  <c r="CV7" i="16" s="1"/>
  <c r="U89" i="5"/>
  <c r="CV8" i="16" s="1"/>
  <c r="U90" i="5"/>
  <c r="CV9" i="16" s="1"/>
  <c r="U91" i="5"/>
  <c r="CV10" i="16" s="1"/>
  <c r="U92" i="5"/>
  <c r="CV11" i="16" s="1"/>
  <c r="U93" i="5"/>
  <c r="CV12" i="16" s="1"/>
  <c r="U94" i="5"/>
  <c r="CV13" i="16" s="1"/>
  <c r="U95" i="5"/>
  <c r="CV14" i="16" s="1"/>
  <c r="U96" i="5"/>
  <c r="CV15" i="16" s="1"/>
  <c r="U97" i="5"/>
  <c r="CV16" i="16" s="1"/>
  <c r="U98" i="5"/>
  <c r="CV17" i="16" s="1"/>
  <c r="U99" i="5"/>
  <c r="CV18" i="16" s="1"/>
  <c r="U100" i="5"/>
  <c r="CV19" i="16" s="1"/>
  <c r="U101" i="5"/>
  <c r="CV20" i="16" s="1"/>
  <c r="U102" i="5"/>
  <c r="CV21" i="16" s="1"/>
  <c r="V83" i="5"/>
  <c r="V56"/>
  <c r="CW3" i="18" s="1"/>
  <c r="V57" i="5"/>
  <c r="CW4" i="18" s="1"/>
  <c r="W55" i="5"/>
  <c r="V58"/>
  <c r="CW5" i="18" s="1"/>
  <c r="V59" i="5"/>
  <c r="CW6" i="18" s="1"/>
  <c r="V60" i="5"/>
  <c r="CW7" i="18" s="1"/>
  <c r="V61" i="5"/>
  <c r="CW8" i="18" s="1"/>
  <c r="V62" i="5"/>
  <c r="CW9" i="18" s="1"/>
  <c r="V63" i="5"/>
  <c r="CW10" i="18" s="1"/>
  <c r="V64" i="5"/>
  <c r="CW11" i="18" s="1"/>
  <c r="V65" i="5"/>
  <c r="CW12" i="18" s="1"/>
  <c r="V66" i="5"/>
  <c r="CW13" i="18" s="1"/>
  <c r="V67" i="5"/>
  <c r="CW14" i="18" s="1"/>
  <c r="V68" i="5"/>
  <c r="CW15" i="18" s="1"/>
  <c r="V69" i="5"/>
  <c r="CW16" i="18" s="1"/>
  <c r="V70" i="5"/>
  <c r="CW17" i="18" s="1"/>
  <c r="V71" i="5"/>
  <c r="CW18" i="18" s="1"/>
  <c r="V72" i="5"/>
  <c r="CW19" i="18" s="1"/>
  <c r="V73" i="5"/>
  <c r="CW20" i="18" s="1"/>
  <c r="V74" i="5"/>
  <c r="CW21" i="18" s="1"/>
  <c r="A105" i="4"/>
  <c r="A78"/>
  <c r="U85"/>
  <c r="BP4" i="16" s="1"/>
  <c r="U84" i="4"/>
  <c r="BP3" i="16" s="1"/>
  <c r="U86" i="4"/>
  <c r="BP5" i="16" s="1"/>
  <c r="U87" i="4"/>
  <c r="BP6" i="16" s="1"/>
  <c r="U88" i="4"/>
  <c r="BP7" i="16" s="1"/>
  <c r="U89" i="4"/>
  <c r="BP8" i="16" s="1"/>
  <c r="U90" i="4"/>
  <c r="BP9" i="16" s="1"/>
  <c r="U91" i="4"/>
  <c r="BP10" i="16" s="1"/>
  <c r="U92" i="4"/>
  <c r="BP11" i="16" s="1"/>
  <c r="U93" i="4"/>
  <c r="BP12" i="16" s="1"/>
  <c r="U94" i="4"/>
  <c r="BP13" i="16" s="1"/>
  <c r="U95" i="4"/>
  <c r="BP14" i="16" s="1"/>
  <c r="U96" i="4"/>
  <c r="BP15" i="16" s="1"/>
  <c r="U97" i="4"/>
  <c r="BP16" i="16" s="1"/>
  <c r="U98" i="4"/>
  <c r="BP17" i="16" s="1"/>
  <c r="U99" i="4"/>
  <c r="BP18" i="16" s="1"/>
  <c r="U100" i="4"/>
  <c r="BP19" i="16" s="1"/>
  <c r="U101" i="4"/>
  <c r="BP20" i="16" s="1"/>
  <c r="U102" i="4"/>
  <c r="BP21" i="16" s="1"/>
  <c r="V83" i="4"/>
  <c r="V56"/>
  <c r="BQ3" i="18" s="1"/>
  <c r="V57" i="4"/>
  <c r="BQ4" i="18" s="1"/>
  <c r="W55" i="4"/>
  <c r="V58"/>
  <c r="BQ5" i="18" s="1"/>
  <c r="V59" i="4"/>
  <c r="BQ6" i="18" s="1"/>
  <c r="V60" i="4"/>
  <c r="BQ7" i="18" s="1"/>
  <c r="V61" i="4"/>
  <c r="BQ8" i="18" s="1"/>
  <c r="V62" i="4"/>
  <c r="BQ9" i="18" s="1"/>
  <c r="V63" i="4"/>
  <c r="BQ10" i="18" s="1"/>
  <c r="V64" i="4"/>
  <c r="BQ11" i="18" s="1"/>
  <c r="V65" i="4"/>
  <c r="BQ12" i="18" s="1"/>
  <c r="V66" i="4"/>
  <c r="BQ13" i="18" s="1"/>
  <c r="V67" i="4"/>
  <c r="BQ14" i="18" s="1"/>
  <c r="V68" i="4"/>
  <c r="BQ15" i="18" s="1"/>
  <c r="V69" i="4"/>
  <c r="BQ16" i="18" s="1"/>
  <c r="V70" i="4"/>
  <c r="BQ17" i="18" s="1"/>
  <c r="V71" i="4"/>
  <c r="BQ18" i="18" s="1"/>
  <c r="V72" i="4"/>
  <c r="BQ19" i="18" s="1"/>
  <c r="V73" i="4"/>
  <c r="BQ20" i="18" s="1"/>
  <c r="V74" i="4"/>
  <c r="BQ21" i="18" s="1"/>
  <c r="A46" i="3"/>
  <c r="A45" i="5"/>
  <c r="Q77" s="1"/>
  <c r="CR24" i="18" s="1"/>
  <c r="A45" i="4"/>
  <c r="P210" i="5"/>
  <c r="P238" s="1"/>
  <c r="P163" i="4"/>
  <c r="P191" s="1"/>
  <c r="R1" i="3"/>
  <c r="Q162"/>
  <c r="Q189" s="1"/>
  <c r="Q1" i="5"/>
  <c r="Q1" i="4"/>
  <c r="BV112" i="18"/>
  <c r="BV104"/>
  <c r="BV115"/>
  <c r="BV107"/>
  <c r="BV99"/>
  <c r="BV110"/>
  <c r="BV102"/>
  <c r="BV113"/>
  <c r="BV105"/>
  <c r="BX48" i="16"/>
  <c r="BX52"/>
  <c r="BX36"/>
  <c r="BX40"/>
  <c r="BX44"/>
  <c r="CA37" i="18"/>
  <c r="CA41"/>
  <c r="CA45"/>
  <c r="CA49"/>
  <c r="BL55"/>
  <c r="BX51" i="16"/>
  <c r="BX37"/>
  <c r="BX41"/>
  <c r="BX45"/>
  <c r="CA35" i="18"/>
  <c r="CA38"/>
  <c r="CA42"/>
  <c r="CA46"/>
  <c r="CA50"/>
  <c r="BW34" i="16"/>
  <c r="BW39"/>
  <c r="BW43"/>
  <c r="BW47"/>
  <c r="BW51"/>
  <c r="BZ36" i="18"/>
  <c r="BZ40"/>
  <c r="BZ44"/>
  <c r="BZ48"/>
  <c r="BZ52"/>
  <c r="BW36" i="16"/>
  <c r="BW40"/>
  <c r="BW44"/>
  <c r="BW48"/>
  <c r="BW52"/>
  <c r="BZ37" i="18"/>
  <c r="BZ41"/>
  <c r="BZ45"/>
  <c r="BZ49"/>
  <c r="BV82" i="16"/>
  <c r="BX82"/>
  <c r="BV67"/>
  <c r="BW67"/>
  <c r="BX71"/>
  <c r="BW71"/>
  <c r="BX75"/>
  <c r="BV75"/>
  <c r="BW79"/>
  <c r="BX79"/>
  <c r="BX83"/>
  <c r="BV83"/>
  <c r="BZ68" i="18"/>
  <c r="CA68"/>
  <c r="BZ72"/>
  <c r="CA72"/>
  <c r="BZ76"/>
  <c r="CA76"/>
  <c r="BZ80"/>
  <c r="CA80"/>
  <c r="BV116"/>
  <c r="BV108"/>
  <c r="BV101"/>
  <c r="BV111"/>
  <c r="BV103"/>
  <c r="BV114"/>
  <c r="BV106"/>
  <c r="BV117"/>
  <c r="BV109"/>
  <c r="BV100"/>
  <c r="BX46" i="16"/>
  <c r="BX50"/>
  <c r="BX35"/>
  <c r="BX38"/>
  <c r="BX42"/>
  <c r="CA34" i="18"/>
  <c r="CA39"/>
  <c r="CA43"/>
  <c r="CA47"/>
  <c r="CA51"/>
  <c r="BX49" i="16"/>
  <c r="BX34"/>
  <c r="BX39"/>
  <c r="BX43"/>
  <c r="BX47"/>
  <c r="CA36" i="18"/>
  <c r="CA40"/>
  <c r="CA44"/>
  <c r="CA48"/>
  <c r="CA52"/>
  <c r="BW37" i="16"/>
  <c r="BX68" s="1"/>
  <c r="BW41"/>
  <c r="BV72" s="1"/>
  <c r="BW45"/>
  <c r="BW76" s="1"/>
  <c r="BW49"/>
  <c r="BW80" s="1"/>
  <c r="BZ35" i="18"/>
  <c r="BY66" s="1"/>
  <c r="BZ38"/>
  <c r="CA69" s="1"/>
  <c r="BZ42"/>
  <c r="CA73" s="1"/>
  <c r="BZ46"/>
  <c r="CA77" s="1"/>
  <c r="BZ50"/>
  <c r="CA81" s="1"/>
  <c r="BW35" i="16"/>
  <c r="BV66" s="1"/>
  <c r="BW38"/>
  <c r="BW69" s="1"/>
  <c r="BW42"/>
  <c r="BX73" s="1"/>
  <c r="BW46"/>
  <c r="BW77" s="1"/>
  <c r="BW50"/>
  <c r="BX81" s="1"/>
  <c r="BZ34" i="18"/>
  <c r="CA65" s="1"/>
  <c r="BZ39"/>
  <c r="BY70" s="1"/>
  <c r="BZ43"/>
  <c r="BY74" s="1"/>
  <c r="BZ47"/>
  <c r="BY78" s="1"/>
  <c r="BZ51"/>
  <c r="BX65" i="16"/>
  <c r="BW68"/>
  <c r="BV68"/>
  <c r="BV70"/>
  <c r="BX72"/>
  <c r="BW72"/>
  <c r="BX74"/>
  <c r="BV76"/>
  <c r="BX76"/>
  <c r="BX78"/>
  <c r="BV80"/>
  <c r="BX80"/>
  <c r="BW82"/>
  <c r="BZ66" i="18"/>
  <c r="CA66"/>
  <c r="CA67"/>
  <c r="BZ69"/>
  <c r="BY69"/>
  <c r="CA71"/>
  <c r="BZ73"/>
  <c r="BY73"/>
  <c r="CA75"/>
  <c r="BZ77"/>
  <c r="BY77"/>
  <c r="CA79"/>
  <c r="BZ81"/>
  <c r="BY81"/>
  <c r="CA83"/>
  <c r="BX66" i="16"/>
  <c r="BW66"/>
  <c r="BV100" s="1"/>
  <c r="BX67"/>
  <c r="BV101" s="1"/>
  <c r="BV69"/>
  <c r="BX69"/>
  <c r="BV71"/>
  <c r="BV105" s="1"/>
  <c r="BW73"/>
  <c r="BV73"/>
  <c r="BW75"/>
  <c r="BX77"/>
  <c r="BV77"/>
  <c r="BV111" s="1"/>
  <c r="BV79"/>
  <c r="BV81"/>
  <c r="BW81"/>
  <c r="BV115" s="1"/>
  <c r="BW83"/>
  <c r="BV117" s="1"/>
  <c r="BZ65" i="18"/>
  <c r="BY65"/>
  <c r="BY68"/>
  <c r="BZ70"/>
  <c r="CA70"/>
  <c r="BY72"/>
  <c r="BZ74"/>
  <c r="CA74"/>
  <c r="BY76"/>
  <c r="BZ78"/>
  <c r="CA78"/>
  <c r="BY80"/>
  <c r="BZ82"/>
  <c r="BV106" i="16"/>
  <c r="BV109"/>
  <c r="CA82" i="18"/>
  <c r="BY82"/>
  <c r="BV65" i="16"/>
  <c r="BW65"/>
  <c r="BW70"/>
  <c r="BX70"/>
  <c r="BV104" s="1"/>
  <c r="BV74"/>
  <c r="BW74"/>
  <c r="BV78"/>
  <c r="BW78"/>
  <c r="BY67" i="18"/>
  <c r="BZ67"/>
  <c r="BY71"/>
  <c r="BZ71"/>
  <c r="BY75"/>
  <c r="BZ75"/>
  <c r="BY79"/>
  <c r="BZ79"/>
  <c r="BY83"/>
  <c r="BZ83"/>
  <c r="BY148" l="1"/>
  <c r="BY146"/>
  <c r="BY144"/>
  <c r="BY142"/>
  <c r="BY140"/>
  <c r="BY138"/>
  <c r="BY136"/>
  <c r="BY134"/>
  <c r="BY131"/>
  <c r="BV149" i="16"/>
  <c r="BV147"/>
  <c r="BV145"/>
  <c r="BV143"/>
  <c r="BV141"/>
  <c r="BV139"/>
  <c r="BV137"/>
  <c r="BV135"/>
  <c r="BV133"/>
  <c r="BV132"/>
  <c r="BY149" i="18"/>
  <c r="BY147"/>
  <c r="BY145"/>
  <c r="BY143"/>
  <c r="BY141"/>
  <c r="BY139"/>
  <c r="BY137"/>
  <c r="BY135"/>
  <c r="BY133"/>
  <c r="BY132"/>
  <c r="BV148" i="16"/>
  <c r="BV146"/>
  <c r="BV144"/>
  <c r="BV142"/>
  <c r="BV140"/>
  <c r="BV138"/>
  <c r="BV136"/>
  <c r="BV134"/>
  <c r="BV131"/>
  <c r="A89"/>
  <c r="A191"/>
  <c r="A58"/>
  <c r="A155"/>
  <c r="A123"/>
  <c r="G104" i="5"/>
  <c r="O104"/>
  <c r="CP23" i="16" s="1"/>
  <c r="B104" i="5"/>
  <c r="CC23" i="16" s="1"/>
  <c r="J104" i="5"/>
  <c r="CK23" i="16" s="1"/>
  <c r="R104" i="5"/>
  <c r="CS23" i="16" s="1"/>
  <c r="D77" i="5"/>
  <c r="CE24" i="18" s="1"/>
  <c r="L77" i="5"/>
  <c r="CM24" i="18" s="1"/>
  <c r="T77" i="5"/>
  <c r="E77"/>
  <c r="CF24" i="18" s="1"/>
  <c r="M77" i="5"/>
  <c r="CN24" i="18" s="1"/>
  <c r="U77" i="5"/>
  <c r="CV24" i="18" s="1"/>
  <c r="V75" i="5"/>
  <c r="CW22" i="18" s="1"/>
  <c r="C104" i="5"/>
  <c r="CD23" i="16" s="1"/>
  <c r="K104" i="5"/>
  <c r="CL23" i="16" s="1"/>
  <c r="S104" i="5"/>
  <c r="CT23" i="16" s="1"/>
  <c r="F104" i="5"/>
  <c r="CG23" i="16" s="1"/>
  <c r="N104" i="5"/>
  <c r="CO23" i="16" s="1"/>
  <c r="H77" i="5"/>
  <c r="CI24" i="18" s="1"/>
  <c r="P77" i="5"/>
  <c r="CQ24" i="18" s="1"/>
  <c r="I77" i="5"/>
  <c r="CJ24" i="18" s="1"/>
  <c r="Q75" i="4"/>
  <c r="BL22" i="18" s="1"/>
  <c r="M75" i="4"/>
  <c r="BH22" i="18" s="1"/>
  <c r="I75" i="4"/>
  <c r="BD22" i="18" s="1"/>
  <c r="E75" i="4"/>
  <c r="AZ22" i="18" s="1"/>
  <c r="R75" i="4"/>
  <c r="BM22" i="18" s="1"/>
  <c r="N75" i="4"/>
  <c r="BI22" i="18" s="1"/>
  <c r="J75" i="4"/>
  <c r="BE22" i="18" s="1"/>
  <c r="F75" i="4"/>
  <c r="BA22" i="18" s="1"/>
  <c r="B75" i="4"/>
  <c r="AW22" i="18" s="1"/>
  <c r="S75" i="4"/>
  <c r="BN22" i="18" s="1"/>
  <c r="O75" i="4"/>
  <c r="BJ22" i="18" s="1"/>
  <c r="K75" i="4"/>
  <c r="BF22" i="18" s="1"/>
  <c r="G75" i="4"/>
  <c r="C75"/>
  <c r="AX22" i="18" s="1"/>
  <c r="T75" i="4"/>
  <c r="P75"/>
  <c r="BK22" i="18" s="1"/>
  <c r="L75" i="4"/>
  <c r="BG22" i="18" s="1"/>
  <c r="H75" i="4"/>
  <c r="BC22" i="18" s="1"/>
  <c r="D75" i="4"/>
  <c r="AY22" i="18" s="1"/>
  <c r="T76" i="4"/>
  <c r="P76"/>
  <c r="BK23" i="18" s="1"/>
  <c r="L76" i="4"/>
  <c r="BG23" i="18" s="1"/>
  <c r="H76" i="4"/>
  <c r="BC23" i="18" s="1"/>
  <c r="D76" i="4"/>
  <c r="AY23" i="18" s="1"/>
  <c r="U76" i="4"/>
  <c r="BP23" i="18" s="1"/>
  <c r="Q76" i="4"/>
  <c r="BL23" i="18" s="1"/>
  <c r="M76" i="4"/>
  <c r="BH23" i="18" s="1"/>
  <c r="I76" i="4"/>
  <c r="BD23" i="18" s="1"/>
  <c r="E76" i="4"/>
  <c r="AZ23" i="18" s="1"/>
  <c r="U75" i="4"/>
  <c r="BP22" i="18" s="1"/>
  <c r="S103" i="4"/>
  <c r="BN22" i="16" s="1"/>
  <c r="O103" i="4"/>
  <c r="BJ22" i="16" s="1"/>
  <c r="K103" i="4"/>
  <c r="BF22" i="16" s="1"/>
  <c r="G103" i="4"/>
  <c r="C103"/>
  <c r="AX22" i="16" s="1"/>
  <c r="R103" i="4"/>
  <c r="BM22" i="16" s="1"/>
  <c r="N103" i="4"/>
  <c r="BI22" i="16" s="1"/>
  <c r="J103" i="4"/>
  <c r="BE22" i="16" s="1"/>
  <c r="F103" i="4"/>
  <c r="BA22" i="16" s="1"/>
  <c r="B103" i="4"/>
  <c r="AW22" i="16" s="1"/>
  <c r="V76" i="4"/>
  <c r="BQ23" i="18" s="1"/>
  <c r="R76" i="4"/>
  <c r="BM23" i="18" s="1"/>
  <c r="N76" i="4"/>
  <c r="BI23" i="18" s="1"/>
  <c r="J76" i="4"/>
  <c r="BE23" i="18" s="1"/>
  <c r="F76" i="4"/>
  <c r="BA23" i="18" s="1"/>
  <c r="B76" i="4"/>
  <c r="AW23" i="18" s="1"/>
  <c r="S76" i="4"/>
  <c r="BN23" i="18" s="1"/>
  <c r="O76" i="4"/>
  <c r="BJ23" i="18" s="1"/>
  <c r="K76" i="4"/>
  <c r="BF23" i="18" s="1"/>
  <c r="G76" i="4"/>
  <c r="C76"/>
  <c r="AX23" i="18" s="1"/>
  <c r="U103" i="4"/>
  <c r="BP22" i="16" s="1"/>
  <c r="Q103" i="4"/>
  <c r="BL22" i="16" s="1"/>
  <c r="M103" i="4"/>
  <c r="BH22" i="16" s="1"/>
  <c r="I103" i="4"/>
  <c r="BD22" i="16" s="1"/>
  <c r="E103" i="4"/>
  <c r="AZ22" i="16" s="1"/>
  <c r="T103" i="4"/>
  <c r="P103"/>
  <c r="BK22" i="16" s="1"/>
  <c r="L103" i="4"/>
  <c r="BG22" i="16" s="1"/>
  <c r="H103" i="4"/>
  <c r="BC22" i="16" s="1"/>
  <c r="D103" i="4"/>
  <c r="AY22" i="16" s="1"/>
  <c r="Q75" i="5"/>
  <c r="CR22" i="18" s="1"/>
  <c r="M75" i="5"/>
  <c r="CN22" i="18" s="1"/>
  <c r="I75" i="5"/>
  <c r="CJ22" i="18" s="1"/>
  <c r="E75" i="5"/>
  <c r="CF22" i="18" s="1"/>
  <c r="R75" i="5"/>
  <c r="CS22" i="18" s="1"/>
  <c r="N75" i="5"/>
  <c r="CO22" i="18" s="1"/>
  <c r="J75" i="5"/>
  <c r="CK22" i="18" s="1"/>
  <c r="F75" i="5"/>
  <c r="CG22" i="18" s="1"/>
  <c r="B75" i="5"/>
  <c r="CC22" i="18" s="1"/>
  <c r="S75" i="5"/>
  <c r="CT22" i="18" s="1"/>
  <c r="O75" i="5"/>
  <c r="CP22" i="18" s="1"/>
  <c r="K75" i="5"/>
  <c r="CL22" i="18" s="1"/>
  <c r="G75" i="5"/>
  <c r="C75"/>
  <c r="CD22" i="18" s="1"/>
  <c r="T75" i="5"/>
  <c r="P75"/>
  <c r="CQ22" i="18" s="1"/>
  <c r="L75" i="5"/>
  <c r="CM22" i="18" s="1"/>
  <c r="H75" i="5"/>
  <c r="CI22" i="18" s="1"/>
  <c r="D75" i="5"/>
  <c r="CE22" i="18" s="1"/>
  <c r="V76" i="5"/>
  <c r="CW23" i="18" s="1"/>
  <c r="R76" i="5"/>
  <c r="CS23" i="18" s="1"/>
  <c r="N76" i="5"/>
  <c r="CO23" i="18" s="1"/>
  <c r="J76" i="5"/>
  <c r="CK23" i="18" s="1"/>
  <c r="F76" i="5"/>
  <c r="CG23" i="18" s="1"/>
  <c r="B76" i="5"/>
  <c r="CC23" i="18" s="1"/>
  <c r="S76" i="5"/>
  <c r="CT23" i="18" s="1"/>
  <c r="O76" i="5"/>
  <c r="CP23" i="18" s="1"/>
  <c r="K76" i="5"/>
  <c r="CL23" i="18" s="1"/>
  <c r="G76" i="5"/>
  <c r="C76"/>
  <c r="CD23" i="18" s="1"/>
  <c r="U103" i="5"/>
  <c r="CV22" i="16" s="1"/>
  <c r="Q103" i="5"/>
  <c r="CR22" i="16" s="1"/>
  <c r="M103" i="5"/>
  <c r="CN22" i="16" s="1"/>
  <c r="I103" i="5"/>
  <c r="CJ22" i="16" s="1"/>
  <c r="E103" i="5"/>
  <c r="CF22" i="16" s="1"/>
  <c r="T103" i="5"/>
  <c r="P103"/>
  <c r="CQ22" i="16" s="1"/>
  <c r="L103" i="5"/>
  <c r="CM22" i="16" s="1"/>
  <c r="H103" i="5"/>
  <c r="CI22" i="16" s="1"/>
  <c r="D103" i="5"/>
  <c r="CE22" i="16" s="1"/>
  <c r="T76" i="5"/>
  <c r="P76"/>
  <c r="CQ23" i="18" s="1"/>
  <c r="L76" i="5"/>
  <c r="CM23" i="18" s="1"/>
  <c r="H76" i="5"/>
  <c r="CI23" i="18" s="1"/>
  <c r="D76" i="5"/>
  <c r="CE23" i="18" s="1"/>
  <c r="U76" i="5"/>
  <c r="CV23" i="18" s="1"/>
  <c r="Q76" i="5"/>
  <c r="CR23" i="18" s="1"/>
  <c r="M76" i="5"/>
  <c r="CN23" i="18" s="1"/>
  <c r="I76" i="5"/>
  <c r="CJ23" i="18" s="1"/>
  <c r="E76" i="5"/>
  <c r="CF23" i="18" s="1"/>
  <c r="U75" i="5"/>
  <c r="CV22" i="18" s="1"/>
  <c r="S103" i="5"/>
  <c r="CT22" i="16" s="1"/>
  <c r="O103" i="5"/>
  <c r="CP22" i="16" s="1"/>
  <c r="K103" i="5"/>
  <c r="CL22" i="16" s="1"/>
  <c r="G103" i="5"/>
  <c r="C103"/>
  <c r="CD22" i="16" s="1"/>
  <c r="R103" i="5"/>
  <c r="CS22" i="16" s="1"/>
  <c r="N103" i="5"/>
  <c r="CO22" i="16" s="1"/>
  <c r="J103" i="5"/>
  <c r="CK22" i="16" s="1"/>
  <c r="F103" i="5"/>
  <c r="CG22" i="16" s="1"/>
  <c r="B103" i="5"/>
  <c r="CC22" i="16" s="1"/>
  <c r="V75" i="4"/>
  <c r="BQ22" i="18" s="1"/>
  <c r="C104" i="4"/>
  <c r="AX23" i="16" s="1"/>
  <c r="G104" i="4"/>
  <c r="K104"/>
  <c r="BF23" i="16" s="1"/>
  <c r="O104" i="4"/>
  <c r="BJ23" i="16" s="1"/>
  <c r="S104" i="4"/>
  <c r="BN23" i="16" s="1"/>
  <c r="B104" i="4"/>
  <c r="AW23" i="16" s="1"/>
  <c r="F104" i="4"/>
  <c r="BA23" i="16" s="1"/>
  <c r="J104" i="4"/>
  <c r="BE23" i="16" s="1"/>
  <c r="N104" i="4"/>
  <c r="BI23" i="16" s="1"/>
  <c r="R104" i="4"/>
  <c r="BM23" i="16" s="1"/>
  <c r="D77" i="4"/>
  <c r="AY24" i="18" s="1"/>
  <c r="H77" i="4"/>
  <c r="BC24" i="18" s="1"/>
  <c r="L77" i="4"/>
  <c r="BG24" i="18" s="1"/>
  <c r="P77" i="4"/>
  <c r="BK24" i="18" s="1"/>
  <c r="T77" i="4"/>
  <c r="E77"/>
  <c r="AZ24" i="18" s="1"/>
  <c r="I77" i="4"/>
  <c r="BD24" i="18" s="1"/>
  <c r="M77" i="4"/>
  <c r="BH24" i="18" s="1"/>
  <c r="Q77" i="4"/>
  <c r="BL24" i="18" s="1"/>
  <c r="U77" i="4"/>
  <c r="BP24" i="18" s="1"/>
  <c r="V104" i="4"/>
  <c r="BQ23" i="16" s="1"/>
  <c r="E104" i="4"/>
  <c r="AZ23" i="16" s="1"/>
  <c r="I104" i="4"/>
  <c r="BD23" i="16" s="1"/>
  <c r="M104" i="4"/>
  <c r="BH23" i="16" s="1"/>
  <c r="Q104" i="4"/>
  <c r="BL23" i="16" s="1"/>
  <c r="U104" i="4"/>
  <c r="BP23" i="16" s="1"/>
  <c r="D104" i="4"/>
  <c r="AY23" i="16" s="1"/>
  <c r="H104" i="4"/>
  <c r="BC23" i="16" s="1"/>
  <c r="L104" i="4"/>
  <c r="BG23" i="16" s="1"/>
  <c r="P104" i="4"/>
  <c r="BK23" i="16" s="1"/>
  <c r="T104" i="4"/>
  <c r="B77"/>
  <c r="AW24" i="18" s="1"/>
  <c r="F77" i="4"/>
  <c r="BA24" i="18" s="1"/>
  <c r="J77" i="4"/>
  <c r="BE24" i="18" s="1"/>
  <c r="N77" i="4"/>
  <c r="BI24" i="18" s="1"/>
  <c r="R77" i="4"/>
  <c r="BM24" i="18" s="1"/>
  <c r="V77" i="4"/>
  <c r="BQ24" i="18" s="1"/>
  <c r="C77" i="4"/>
  <c r="AX24" i="18" s="1"/>
  <c r="G77" i="4"/>
  <c r="K77"/>
  <c r="BF24" i="18" s="1"/>
  <c r="O77" i="4"/>
  <c r="BJ24" i="18" s="1"/>
  <c r="S77" i="4"/>
  <c r="BN24" i="18" s="1"/>
  <c r="V104" i="5"/>
  <c r="CW23" i="16" s="1"/>
  <c r="E104" i="5"/>
  <c r="CF23" i="16" s="1"/>
  <c r="I104" i="5"/>
  <c r="CJ23" i="16" s="1"/>
  <c r="M104" i="5"/>
  <c r="CN23" i="16" s="1"/>
  <c r="Q104" i="5"/>
  <c r="CR23" i="16" s="1"/>
  <c r="U104" i="5"/>
  <c r="CV23" i="16" s="1"/>
  <c r="D104" i="5"/>
  <c r="CE23" i="16" s="1"/>
  <c r="H104" i="5"/>
  <c r="CI23" i="16" s="1"/>
  <c r="L104" i="5"/>
  <c r="CM23" i="16" s="1"/>
  <c r="P104" i="5"/>
  <c r="CQ23" i="16" s="1"/>
  <c r="T104" i="5"/>
  <c r="B77"/>
  <c r="CC24" i="18" s="1"/>
  <c r="F77" i="5"/>
  <c r="CG24" i="18" s="1"/>
  <c r="J77" i="5"/>
  <c r="CK24" i="18" s="1"/>
  <c r="N77" i="5"/>
  <c r="CO24" i="18" s="1"/>
  <c r="R77" i="5"/>
  <c r="CS24" i="18" s="1"/>
  <c r="V77" i="5"/>
  <c r="CW24" i="18" s="1"/>
  <c r="C77" i="5"/>
  <c r="CD24" i="18" s="1"/>
  <c r="G77" i="5"/>
  <c r="K77"/>
  <c r="CL24" i="18" s="1"/>
  <c r="O77" i="5"/>
  <c r="CP24" i="18" s="1"/>
  <c r="S77" i="5"/>
  <c r="CT24" i="18" s="1"/>
  <c r="W83" i="5"/>
  <c r="X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V86"/>
  <c r="CW5" i="16" s="1"/>
  <c r="V85" i="5"/>
  <c r="CW4" i="16" s="1"/>
  <c r="V84" i="5"/>
  <c r="CW3" i="16" s="1"/>
  <c r="V87" i="5"/>
  <c r="CW6" i="16" s="1"/>
  <c r="V88" i="5"/>
  <c r="CW7" i="16" s="1"/>
  <c r="V89" i="5"/>
  <c r="CW8" i="16" s="1"/>
  <c r="V90" i="5"/>
  <c r="CW9" i="16" s="1"/>
  <c r="V91" i="5"/>
  <c r="CW10" i="16" s="1"/>
  <c r="V92" i="5"/>
  <c r="CW11" i="16" s="1"/>
  <c r="V93" i="5"/>
  <c r="CW12" i="16" s="1"/>
  <c r="V94" i="5"/>
  <c r="CW13" i="16" s="1"/>
  <c r="V95" i="5"/>
  <c r="CW14" i="16" s="1"/>
  <c r="V96" i="5"/>
  <c r="CW15" i="16" s="1"/>
  <c r="V97" i="5"/>
  <c r="CW16" i="16" s="1"/>
  <c r="V98" i="5"/>
  <c r="CW17" i="16" s="1"/>
  <c r="V99" i="5"/>
  <c r="CW18" i="16" s="1"/>
  <c r="V100" i="5"/>
  <c r="CW19" i="16" s="1"/>
  <c r="V101" i="5"/>
  <c r="CW20" i="16" s="1"/>
  <c r="V102" i="5"/>
  <c r="CW21" i="16" s="1"/>
  <c r="V103" i="5"/>
  <c r="CW22" i="16" s="1"/>
  <c r="A106" i="5"/>
  <c r="A79"/>
  <c r="W83" i="4"/>
  <c r="X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V86"/>
  <c r="BQ5" i="16" s="1"/>
  <c r="V85" i="4"/>
  <c r="BQ4" i="16" s="1"/>
  <c r="V84" i="4"/>
  <c r="BQ3" i="16" s="1"/>
  <c r="V87" i="4"/>
  <c r="BQ6" i="16" s="1"/>
  <c r="V88" i="4"/>
  <c r="BQ7" i="16" s="1"/>
  <c r="V89" i="4"/>
  <c r="BQ8" i="16" s="1"/>
  <c r="V90" i="4"/>
  <c r="BQ9" i="16" s="1"/>
  <c r="V91" i="4"/>
  <c r="BQ10" i="16" s="1"/>
  <c r="V92" i="4"/>
  <c r="BQ11" i="16" s="1"/>
  <c r="V93" i="4"/>
  <c r="BQ12" i="16" s="1"/>
  <c r="V94" i="4"/>
  <c r="BQ13" i="16" s="1"/>
  <c r="V95" i="4"/>
  <c r="BQ14" i="16" s="1"/>
  <c r="V96" i="4"/>
  <c r="BQ15" i="16" s="1"/>
  <c r="V97" i="4"/>
  <c r="BQ16" i="16" s="1"/>
  <c r="V98" i="4"/>
  <c r="BQ17" i="16" s="1"/>
  <c r="V99" i="4"/>
  <c r="BQ18" i="16" s="1"/>
  <c r="V100" i="4"/>
  <c r="BQ19" i="16" s="1"/>
  <c r="V101" i="4"/>
  <c r="BQ20" i="16" s="1"/>
  <c r="V102" i="4"/>
  <c r="BQ21" i="16" s="1"/>
  <c r="V103" i="4"/>
  <c r="BQ22" i="16" s="1"/>
  <c r="A106" i="4"/>
  <c r="A79"/>
  <c r="A46" i="5"/>
  <c r="W105" s="1"/>
  <c r="A46" i="4"/>
  <c r="U105" s="1"/>
  <c r="BP24" i="16" s="1"/>
  <c r="A47" i="3"/>
  <c r="Q210" i="5"/>
  <c r="Q238" s="1"/>
  <c r="Q163" i="4"/>
  <c r="Q191" s="1"/>
  <c r="S1" i="3"/>
  <c r="R162"/>
  <c r="R189" s="1"/>
  <c r="R1" i="4"/>
  <c r="R1" i="5"/>
  <c r="BY108" i="18"/>
  <c r="BY99"/>
  <c r="BV103" i="16"/>
  <c r="BY111" i="18"/>
  <c r="BY103"/>
  <c r="BV114" i="16"/>
  <c r="BV102"/>
  <c r="BY114" i="18"/>
  <c r="BY106"/>
  <c r="BV113" i="16"/>
  <c r="BY113" i="18"/>
  <c r="BY105"/>
  <c r="BV116" i="16"/>
  <c r="BV108"/>
  <c r="S54" i="18"/>
  <c r="BF54" i="16"/>
  <c r="Y55" i="18"/>
  <c r="CA53"/>
  <c r="AE54" i="16"/>
  <c r="AN55" i="18"/>
  <c r="AN53"/>
  <c r="AQ53"/>
  <c r="AW53"/>
  <c r="BO54"/>
  <c r="BF54"/>
  <c r="AZ53" i="16"/>
  <c r="BI53"/>
  <c r="AW54" i="18"/>
  <c r="BL54"/>
  <c r="BX53"/>
  <c r="BO53" i="16"/>
  <c r="CA54"/>
  <c r="BL54"/>
  <c r="AW54"/>
  <c r="BC55" i="18"/>
  <c r="BF55"/>
  <c r="CA34" i="16"/>
  <c r="CA40"/>
  <c r="CA44"/>
  <c r="CA48"/>
  <c r="CA52"/>
  <c r="S55" i="18"/>
  <c r="AW55"/>
  <c r="BX55"/>
  <c r="BR54" i="16"/>
  <c r="BI55" i="18"/>
  <c r="AB53"/>
  <c r="AE53"/>
  <c r="AT53"/>
  <c r="BI53"/>
  <c r="CA54"/>
  <c r="AE54"/>
  <c r="AT54"/>
  <c r="BL53" i="16"/>
  <c r="AW53"/>
  <c r="BI54" i="18"/>
  <c r="BX54"/>
  <c r="AB54"/>
  <c r="AT53" i="16"/>
  <c r="BC53"/>
  <c r="AB54"/>
  <c r="BX54"/>
  <c r="BI54"/>
  <c r="BO55" i="18"/>
  <c r="AT55"/>
  <c r="CA35" i="16"/>
  <c r="CA39"/>
  <c r="CA43"/>
  <c r="CA47"/>
  <c r="CA51"/>
  <c r="R53"/>
  <c r="AY53" i="18"/>
  <c r="BB53"/>
  <c r="BQ53"/>
  <c r="U53"/>
  <c r="AJ53"/>
  <c r="X54"/>
  <c r="AM54"/>
  <c r="BE53" i="16"/>
  <c r="AP53"/>
  <c r="AP54" i="18"/>
  <c r="BW53" i="16"/>
  <c r="AA53"/>
  <c r="AJ53"/>
  <c r="AS54"/>
  <c r="AD54"/>
  <c r="X55" i="18"/>
  <c r="AM55"/>
  <c r="BZ54" i="16"/>
  <c r="BK54"/>
  <c r="AV54"/>
  <c r="BB55" i="18"/>
  <c r="BE55"/>
  <c r="BZ34" i="16"/>
  <c r="BZ40"/>
  <c r="BZ44"/>
  <c r="BZ48"/>
  <c r="BZ52"/>
  <c r="R53" i="18"/>
  <c r="R55"/>
  <c r="AM53"/>
  <c r="AP53"/>
  <c r="AV53"/>
  <c r="BH54"/>
  <c r="BW54"/>
  <c r="AA54"/>
  <c r="AS53" i="16"/>
  <c r="BB53"/>
  <c r="BZ54" i="18"/>
  <c r="AD54"/>
  <c r="AS54"/>
  <c r="BK53" i="16"/>
  <c r="AV53"/>
  <c r="BZ53" i="18"/>
  <c r="AP54" i="16"/>
  <c r="AJ55" i="18"/>
  <c r="AA55"/>
  <c r="BW55"/>
  <c r="AY54" i="16"/>
  <c r="AJ54"/>
  <c r="AP55" i="18"/>
  <c r="U55"/>
  <c r="BQ55"/>
  <c r="BZ37" i="16"/>
  <c r="BZ41"/>
  <c r="BZ45"/>
  <c r="BZ49"/>
  <c r="BZ53"/>
  <c r="AC85"/>
  <c r="Y86" i="18"/>
  <c r="AM86"/>
  <c r="BZ85" i="16"/>
  <c r="BL85"/>
  <c r="AW85"/>
  <c r="BC86" i="18"/>
  <c r="BE86"/>
  <c r="BY65" i="16"/>
  <c r="BY71"/>
  <c r="BY75"/>
  <c r="BY79"/>
  <c r="BZ83"/>
  <c r="R86" i="18"/>
  <c r="S86"/>
  <c r="AN84"/>
  <c r="AL84"/>
  <c r="AP84"/>
  <c r="AQ84"/>
  <c r="AV84"/>
  <c r="AW84"/>
  <c r="BH85"/>
  <c r="BG85"/>
  <c r="BW85"/>
  <c r="BV85"/>
  <c r="AA85"/>
  <c r="AB85"/>
  <c r="AR84" i="16"/>
  <c r="AT84"/>
  <c r="BA84"/>
  <c r="BB84"/>
  <c r="BZ85" i="18"/>
  <c r="BY85"/>
  <c r="AC85"/>
  <c r="AD85"/>
  <c r="AR85"/>
  <c r="AS85"/>
  <c r="BJ84" i="16"/>
  <c r="BK84"/>
  <c r="AV84"/>
  <c r="AW84"/>
  <c r="BZ84" i="18"/>
  <c r="CA84"/>
  <c r="BW86"/>
  <c r="BX86"/>
  <c r="BY112"/>
  <c r="BY104"/>
  <c r="BV107" i="16"/>
  <c r="BY115" i="18"/>
  <c r="BY107"/>
  <c r="BY100"/>
  <c r="BV110" i="16"/>
  <c r="BY116" i="18"/>
  <c r="BY110"/>
  <c r="BY102"/>
  <c r="BY117"/>
  <c r="BY109"/>
  <c r="BY101"/>
  <c r="BV112" i="16"/>
  <c r="BV99"/>
  <c r="S53" i="18"/>
  <c r="S53" i="16"/>
  <c r="R84" s="1"/>
  <c r="AQ54"/>
  <c r="AZ55" i="18"/>
  <c r="AT54" i="16"/>
  <c r="AS85" s="1"/>
  <c r="AK55" i="18"/>
  <c r="BL53"/>
  <c r="BO53"/>
  <c r="BF53"/>
  <c r="Y53"/>
  <c r="AQ54"/>
  <c r="AQ85" s="1"/>
  <c r="BX53" i="16"/>
  <c r="BV84" s="1"/>
  <c r="AB53"/>
  <c r="AB84" s="1"/>
  <c r="AK53"/>
  <c r="AJ84" s="1"/>
  <c r="Y54" i="18"/>
  <c r="W85" s="1"/>
  <c r="AN54"/>
  <c r="AN85" s="1"/>
  <c r="BF53" i="16"/>
  <c r="BD84" s="1"/>
  <c r="AQ53"/>
  <c r="AP84" s="1"/>
  <c r="AN54"/>
  <c r="Y54"/>
  <c r="AE55" i="18"/>
  <c r="CA55"/>
  <c r="CA36" i="16"/>
  <c r="CA38"/>
  <c r="CA42"/>
  <c r="CA46"/>
  <c r="CA50"/>
  <c r="S54"/>
  <c r="BO54"/>
  <c r="AB55" i="18"/>
  <c r="V54" i="16"/>
  <c r="BC54"/>
  <c r="AZ53" i="18"/>
  <c r="AZ84" s="1"/>
  <c r="BC53"/>
  <c r="BA84" s="1"/>
  <c r="BR53"/>
  <c r="BP84" s="1"/>
  <c r="V53"/>
  <c r="T84" s="1"/>
  <c r="AK53"/>
  <c r="AI84" s="1"/>
  <c r="BC54"/>
  <c r="BR54"/>
  <c r="V54"/>
  <c r="AN53" i="16"/>
  <c r="Y53"/>
  <c r="AK54" i="18"/>
  <c r="AZ54"/>
  <c r="BR53" i="16"/>
  <c r="V53"/>
  <c r="AE53"/>
  <c r="AZ54"/>
  <c r="AK54"/>
  <c r="AQ55" i="18"/>
  <c r="V55"/>
  <c r="BR55"/>
  <c r="CA37" i="16"/>
  <c r="CA41"/>
  <c r="CA45"/>
  <c r="CA49"/>
  <c r="CA53"/>
  <c r="R54" i="18"/>
  <c r="AA53"/>
  <c r="AD53"/>
  <c r="AS53"/>
  <c r="BH53"/>
  <c r="AV54"/>
  <c r="BK54"/>
  <c r="BW53"/>
  <c r="BN53" i="16"/>
  <c r="BN54" i="18"/>
  <c r="BE54"/>
  <c r="AY53" i="16"/>
  <c r="BH53"/>
  <c r="U54"/>
  <c r="BQ54"/>
  <c r="BB54"/>
  <c r="AV55" i="18"/>
  <c r="BK55"/>
  <c r="AM54" i="16"/>
  <c r="X54"/>
  <c r="AD55" i="18"/>
  <c r="BZ55"/>
  <c r="BZ36" i="16"/>
  <c r="BZ38"/>
  <c r="BZ42"/>
  <c r="BZ46"/>
  <c r="BZ50"/>
  <c r="BW55"/>
  <c r="R54"/>
  <c r="R85" s="1"/>
  <c r="BK53" i="18"/>
  <c r="BJ84" s="1"/>
  <c r="BN53"/>
  <c r="BM84" s="1"/>
  <c r="BE53"/>
  <c r="BE84" s="1"/>
  <c r="X53"/>
  <c r="Y84" s="1"/>
  <c r="AJ54"/>
  <c r="AK85" s="1"/>
  <c r="AY54"/>
  <c r="AX85" s="1"/>
  <c r="BQ53" i="16"/>
  <c r="BQ84" s="1"/>
  <c r="U53"/>
  <c r="T84" s="1"/>
  <c r="AD53"/>
  <c r="AC84" s="1"/>
  <c r="BB54" i="18"/>
  <c r="BC85" s="1"/>
  <c r="BQ54"/>
  <c r="BR85" s="1"/>
  <c r="U54"/>
  <c r="V85" s="1"/>
  <c r="AM53" i="16"/>
  <c r="AN84" s="1"/>
  <c r="X53"/>
  <c r="X84" s="1"/>
  <c r="BE54"/>
  <c r="BD85" s="1"/>
  <c r="BN54"/>
  <c r="BM85" s="1"/>
  <c r="BH55" i="18"/>
  <c r="BG86" s="1"/>
  <c r="AY55"/>
  <c r="AZ86" s="1"/>
  <c r="AA54" i="16"/>
  <c r="AA85" s="1"/>
  <c r="BW54"/>
  <c r="BX85" s="1"/>
  <c r="BH54"/>
  <c r="BH85" s="1"/>
  <c r="BN55" i="18"/>
  <c r="BM86" s="1"/>
  <c r="AS55"/>
  <c r="AS86" s="1"/>
  <c r="BZ35" i="16"/>
  <c r="BY66" s="1"/>
  <c r="BZ39"/>
  <c r="BZ70" s="1"/>
  <c r="BZ43"/>
  <c r="BY74" s="1"/>
  <c r="BZ47"/>
  <c r="BZ78" s="1"/>
  <c r="BZ51"/>
  <c r="BY82" s="1"/>
  <c r="Q84"/>
  <c r="S84"/>
  <c r="Q85" i="18"/>
  <c r="AY84"/>
  <c r="AX84"/>
  <c r="AB84"/>
  <c r="BC84"/>
  <c r="BB84"/>
  <c r="AD84"/>
  <c r="BQ84"/>
  <c r="BR84"/>
  <c r="AT84"/>
  <c r="U84"/>
  <c r="V84"/>
  <c r="BG84"/>
  <c r="AJ84"/>
  <c r="AK84"/>
  <c r="AW85"/>
  <c r="X85"/>
  <c r="Y85"/>
  <c r="BL85"/>
  <c r="AL85"/>
  <c r="AM85"/>
  <c r="BV84"/>
  <c r="BF84" i="16"/>
  <c r="BE84"/>
  <c r="BD118" s="1"/>
  <c r="BN84"/>
  <c r="AQ84"/>
  <c r="AO84"/>
  <c r="BO85" i="18"/>
  <c r="AP85"/>
  <c r="AO85"/>
  <c r="BD85"/>
  <c r="BX84" i="16"/>
  <c r="BW84"/>
  <c r="BV118" s="1"/>
  <c r="AY84"/>
  <c r="Z84"/>
  <c r="AA84"/>
  <c r="BH84"/>
  <c r="AK84"/>
  <c r="AI84"/>
  <c r="AI118" s="1"/>
  <c r="V85"/>
  <c r="AT85"/>
  <c r="AR85"/>
  <c r="BQ85"/>
  <c r="AD85"/>
  <c r="AE85"/>
  <c r="BB85"/>
  <c r="X86" i="18"/>
  <c r="W86"/>
  <c r="AU86"/>
  <c r="AL86"/>
  <c r="AN86"/>
  <c r="BJ86"/>
  <c r="BY85" i="16"/>
  <c r="CA85"/>
  <c r="AN85"/>
  <c r="BK85"/>
  <c r="BJ85"/>
  <c r="X85"/>
  <c r="AV85"/>
  <c r="AU85"/>
  <c r="AD86" i="18"/>
  <c r="BA86"/>
  <c r="BB86"/>
  <c r="BA120" s="1"/>
  <c r="BY86"/>
  <c r="BF86"/>
  <c r="BD86"/>
  <c r="BY67" i="16"/>
  <c r="BZ65"/>
  <c r="CA65"/>
  <c r="BZ69"/>
  <c r="BZ71"/>
  <c r="CA71"/>
  <c r="BY73"/>
  <c r="CA75"/>
  <c r="BZ75"/>
  <c r="BY109" s="1"/>
  <c r="CA77"/>
  <c r="CA79"/>
  <c r="BZ79"/>
  <c r="CA81"/>
  <c r="BY83"/>
  <c r="CA83"/>
  <c r="S84" i="18"/>
  <c r="S85" i="16"/>
  <c r="Q85"/>
  <c r="Q119" s="1"/>
  <c r="Q86" i="18"/>
  <c r="BK84"/>
  <c r="BL84"/>
  <c r="AM84"/>
  <c r="BN84"/>
  <c r="BO84"/>
  <c r="AO84"/>
  <c r="BD84"/>
  <c r="BF84"/>
  <c r="AU84"/>
  <c r="X84"/>
  <c r="W84"/>
  <c r="BI85"/>
  <c r="AJ85"/>
  <c r="AI85"/>
  <c r="BX85"/>
  <c r="AY85"/>
  <c r="AZ85"/>
  <c r="Z85"/>
  <c r="BR84" i="16"/>
  <c r="BP84"/>
  <c r="BP118" s="1"/>
  <c r="AS84"/>
  <c r="U84"/>
  <c r="V84"/>
  <c r="BC84"/>
  <c r="AE84"/>
  <c r="AD84"/>
  <c r="AC118" s="1"/>
  <c r="CA85" i="18"/>
  <c r="BB85"/>
  <c r="BA85"/>
  <c r="AE85"/>
  <c r="BQ85"/>
  <c r="BP85"/>
  <c r="AT85"/>
  <c r="AR119" s="1"/>
  <c r="U85"/>
  <c r="T85"/>
  <c r="BL84" i="16"/>
  <c r="AM84"/>
  <c r="AL84"/>
  <c r="AU84"/>
  <c r="W84"/>
  <c r="Y84"/>
  <c r="BY84" i="18"/>
  <c r="BE85" i="16"/>
  <c r="BF85"/>
  <c r="AO85"/>
  <c r="BN85"/>
  <c r="BO85"/>
  <c r="AI86" i="18"/>
  <c r="BH86"/>
  <c r="BI86"/>
  <c r="AA86"/>
  <c r="AY86"/>
  <c r="AX86"/>
  <c r="BV86"/>
  <c r="Z85" i="16"/>
  <c r="AB85"/>
  <c r="AY85"/>
  <c r="BV85"/>
  <c r="BW85"/>
  <c r="AJ85"/>
  <c r="BI85"/>
  <c r="BG85"/>
  <c r="BG119" s="1"/>
  <c r="AO86" i="18"/>
  <c r="BN86"/>
  <c r="BO86"/>
  <c r="T86"/>
  <c r="AR86"/>
  <c r="AT86"/>
  <c r="BP86"/>
  <c r="CA66" i="16"/>
  <c r="BZ66"/>
  <c r="BY68"/>
  <c r="BY70"/>
  <c r="CA70"/>
  <c r="BZ72"/>
  <c r="BZ74"/>
  <c r="CA74"/>
  <c r="CA76"/>
  <c r="CA78"/>
  <c r="BY78"/>
  <c r="BZ80"/>
  <c r="BZ82"/>
  <c r="CA82"/>
  <c r="BZ84"/>
  <c r="BA118" i="18"/>
  <c r="AL119"/>
  <c r="AO118" i="16"/>
  <c r="Z118"/>
  <c r="AR119"/>
  <c r="BD120" i="18"/>
  <c r="BY113" i="16"/>
  <c r="AL118" i="18"/>
  <c r="BA118" i="16"/>
  <c r="AC119" i="18"/>
  <c r="BJ118" i="16"/>
  <c r="BV119"/>
  <c r="BY100"/>
  <c r="BY112"/>
  <c r="Q84" i="18"/>
  <c r="R84"/>
  <c r="AP85" i="16"/>
  <c r="AQ85"/>
  <c r="AO119" s="1"/>
  <c r="AK86" i="18"/>
  <c r="AJ86"/>
  <c r="AM85" i="16"/>
  <c r="AL85"/>
  <c r="AL119" s="1"/>
  <c r="W85"/>
  <c r="Y85"/>
  <c r="W119" s="1"/>
  <c r="AE86" i="18"/>
  <c r="AC86"/>
  <c r="CA86"/>
  <c r="BZ86"/>
  <c r="CA67" i="16"/>
  <c r="BZ67"/>
  <c r="CA69"/>
  <c r="BY69"/>
  <c r="CA73"/>
  <c r="BZ73"/>
  <c r="BY77"/>
  <c r="BZ77"/>
  <c r="BY81"/>
  <c r="BZ81"/>
  <c r="Z86" i="18"/>
  <c r="AB86"/>
  <c r="Z120" s="1"/>
  <c r="T85" i="16"/>
  <c r="U85"/>
  <c r="BC85"/>
  <c r="BA85"/>
  <c r="AX85"/>
  <c r="AZ85"/>
  <c r="AX119" s="1"/>
  <c r="AK85"/>
  <c r="AI85"/>
  <c r="AQ86" i="18"/>
  <c r="AP86"/>
  <c r="V86"/>
  <c r="U86"/>
  <c r="BR86"/>
  <c r="BQ86"/>
  <c r="CA68" i="16"/>
  <c r="BZ68"/>
  <c r="CA72"/>
  <c r="BY72"/>
  <c r="BZ76"/>
  <c r="BY76"/>
  <c r="BY110" s="1"/>
  <c r="BY80"/>
  <c r="CA80"/>
  <c r="BY114" s="1"/>
  <c r="BY84"/>
  <c r="CA84"/>
  <c r="BY118" s="1"/>
  <c r="S85" i="18"/>
  <c r="R85"/>
  <c r="Z84"/>
  <c r="AA84"/>
  <c r="AC84"/>
  <c r="AE84"/>
  <c r="AC118" s="1"/>
  <c r="AR84"/>
  <c r="AS84"/>
  <c r="BI84"/>
  <c r="BH84"/>
  <c r="AU85"/>
  <c r="AV85"/>
  <c r="BJ85"/>
  <c r="BK85"/>
  <c r="BX84"/>
  <c r="BW84"/>
  <c r="BO84" i="16"/>
  <c r="BM84"/>
  <c r="BM85" i="18"/>
  <c r="BN85"/>
  <c r="BF85"/>
  <c r="BE85"/>
  <c r="AZ84" i="16"/>
  <c r="AX84"/>
  <c r="BI84"/>
  <c r="BG84"/>
  <c r="BR85"/>
  <c r="BP85"/>
  <c r="AW86" i="18"/>
  <c r="AV86"/>
  <c r="BL86"/>
  <c r="BK86"/>
  <c r="BY150" i="16" l="1"/>
  <c r="BY148"/>
  <c r="BY146"/>
  <c r="BY144"/>
  <c r="BY142"/>
  <c r="BY140"/>
  <c r="BY138"/>
  <c r="BY136"/>
  <c r="BY134"/>
  <c r="BY132"/>
  <c r="BP152" i="18"/>
  <c r="AR152"/>
  <c r="T152"/>
  <c r="BM152"/>
  <c r="AO152"/>
  <c r="BG151" i="16"/>
  <c r="AI151"/>
  <c r="BV151"/>
  <c r="AX151"/>
  <c r="Z151"/>
  <c r="BV152" i="18"/>
  <c r="AX152"/>
  <c r="Z152"/>
  <c r="BG152"/>
  <c r="AI152"/>
  <c r="BM151" i="16"/>
  <c r="AO151"/>
  <c r="BD151"/>
  <c r="BY150" i="18"/>
  <c r="W150" i="16"/>
  <c r="AU150"/>
  <c r="AL150"/>
  <c r="BJ150"/>
  <c r="T151" i="18"/>
  <c r="AR151"/>
  <c r="BP151"/>
  <c r="AC151"/>
  <c r="BA151"/>
  <c r="BY151"/>
  <c r="AC150" i="16"/>
  <c r="BA150"/>
  <c r="T150"/>
  <c r="AR150"/>
  <c r="BP150"/>
  <c r="Z151" i="18"/>
  <c r="AX151"/>
  <c r="BV151"/>
  <c r="AI151"/>
  <c r="BG151"/>
  <c r="W150"/>
  <c r="AU150"/>
  <c r="BD150"/>
  <c r="AO150"/>
  <c r="BM150"/>
  <c r="AL150"/>
  <c r="BJ150"/>
  <c r="Q152"/>
  <c r="Q151" i="16"/>
  <c r="Q150" i="18"/>
  <c r="BY149" i="16"/>
  <c r="BY147"/>
  <c r="BY145"/>
  <c r="BY143"/>
  <c r="BY141"/>
  <c r="BY139"/>
  <c r="BY137"/>
  <c r="BY135"/>
  <c r="BY131"/>
  <c r="BY133"/>
  <c r="BD152" i="18"/>
  <c r="BY152"/>
  <c r="BA152"/>
  <c r="AC152"/>
  <c r="AU151" i="16"/>
  <c r="W151"/>
  <c r="BJ151"/>
  <c r="AL151"/>
  <c r="BY151"/>
  <c r="BJ152" i="18"/>
  <c r="AL152"/>
  <c r="AU152"/>
  <c r="W152"/>
  <c r="BA151" i="16"/>
  <c r="AC151"/>
  <c r="BP151"/>
  <c r="AR151"/>
  <c r="T151"/>
  <c r="AI150"/>
  <c r="BG150"/>
  <c r="Z150"/>
  <c r="AX150"/>
  <c r="BV150"/>
  <c r="BD151" i="18"/>
  <c r="AO151"/>
  <c r="BM151"/>
  <c r="AO150" i="16"/>
  <c r="BM150"/>
  <c r="BD150"/>
  <c r="BV150" i="18"/>
  <c r="AL151"/>
  <c r="BJ151"/>
  <c r="W151"/>
  <c r="AU151"/>
  <c r="AI150"/>
  <c r="BG150"/>
  <c r="T150"/>
  <c r="AR150"/>
  <c r="BP150"/>
  <c r="AC150"/>
  <c r="BA150"/>
  <c r="Z150"/>
  <c r="AX150"/>
  <c r="Q151"/>
  <c r="Q150" i="16"/>
  <c r="D105" i="4"/>
  <c r="AY24" i="16" s="1"/>
  <c r="H105" i="4"/>
  <c r="BC24" i="16" s="1"/>
  <c r="L105" i="4"/>
  <c r="BG24" i="16" s="1"/>
  <c r="P105" i="4"/>
  <c r="BK24" i="16" s="1"/>
  <c r="T105" i="4"/>
  <c r="C105"/>
  <c r="AX24" i="16" s="1"/>
  <c r="G105" i="4"/>
  <c r="K105"/>
  <c r="BF24" i="16" s="1"/>
  <c r="O105" i="4"/>
  <c r="BJ24" i="16" s="1"/>
  <c r="S105" i="4"/>
  <c r="BN24" i="16" s="1"/>
  <c r="W105" i="4"/>
  <c r="B105" i="5"/>
  <c r="CC24" i="16" s="1"/>
  <c r="F105" i="5"/>
  <c r="CG24" i="16" s="1"/>
  <c r="J105" i="5"/>
  <c r="CK24" i="16" s="1"/>
  <c r="N105" i="5"/>
  <c r="CO24" i="16" s="1"/>
  <c r="R105" i="5"/>
  <c r="CS24" i="16" s="1"/>
  <c r="V105" i="5"/>
  <c r="CW24" i="16" s="1"/>
  <c r="E105" i="5"/>
  <c r="CF24" i="16" s="1"/>
  <c r="I105" i="5"/>
  <c r="CJ24" i="16" s="1"/>
  <c r="M105" i="5"/>
  <c r="CN24" i="16" s="1"/>
  <c r="Q105" i="5"/>
  <c r="CR24" i="16" s="1"/>
  <c r="U105" i="5"/>
  <c r="CV24" i="16" s="1"/>
  <c r="B105" i="4"/>
  <c r="AW24" i="16" s="1"/>
  <c r="F105" i="4"/>
  <c r="BA24" i="16" s="1"/>
  <c r="J105" i="4"/>
  <c r="BE24" i="16" s="1"/>
  <c r="N105" i="4"/>
  <c r="BI24" i="16" s="1"/>
  <c r="R105" i="4"/>
  <c r="BM24" i="16" s="1"/>
  <c r="V105" i="4"/>
  <c r="BQ24" i="16" s="1"/>
  <c r="E105" i="4"/>
  <c r="AZ24" i="16" s="1"/>
  <c r="I105" i="4"/>
  <c r="BD24" i="16" s="1"/>
  <c r="M105" i="4"/>
  <c r="BH24" i="16" s="1"/>
  <c r="Q105" i="4"/>
  <c r="BL24" i="16" s="1"/>
  <c r="D105" i="5"/>
  <c r="CE24" i="16" s="1"/>
  <c r="H105" i="5"/>
  <c r="CI24" i="16" s="1"/>
  <c r="L105" i="5"/>
  <c r="CM24" i="16" s="1"/>
  <c r="P105" i="5"/>
  <c r="CQ24" i="16" s="1"/>
  <c r="T105" i="5"/>
  <c r="C105"/>
  <c r="CD24" i="16" s="1"/>
  <c r="G105" i="5"/>
  <c r="K105"/>
  <c r="CL24" i="16" s="1"/>
  <c r="O105" i="5"/>
  <c r="CP24" i="16" s="1"/>
  <c r="S105" i="5"/>
  <c r="CT24" i="16" s="1"/>
  <c r="W86" i="5"/>
  <c r="W85"/>
  <c r="W84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A107"/>
  <c r="A80"/>
  <c r="X83"/>
  <c r="X56"/>
  <c r="CY3" i="18" s="1"/>
  <c r="X57" i="5"/>
  <c r="CY4" i="18" s="1"/>
  <c r="Y55" i="5"/>
  <c r="X58"/>
  <c r="CY5" i="18" s="1"/>
  <c r="X59" i="5"/>
  <c r="CY6" i="18" s="1"/>
  <c r="X60" i="5"/>
  <c r="CY7" i="18" s="1"/>
  <c r="X61" i="5"/>
  <c r="CY8" i="18" s="1"/>
  <c r="X62" i="5"/>
  <c r="CY9" i="18" s="1"/>
  <c r="X63" i="5"/>
  <c r="CY10" i="18" s="1"/>
  <c r="X64" i="5"/>
  <c r="CY11" i="18" s="1"/>
  <c r="X65" i="5"/>
  <c r="CY12" i="18" s="1"/>
  <c r="X66" i="5"/>
  <c r="CY13" i="18" s="1"/>
  <c r="X67" i="5"/>
  <c r="CY14" i="18" s="1"/>
  <c r="X68" i="5"/>
  <c r="CY15" i="18" s="1"/>
  <c r="X69" i="5"/>
  <c r="CY16" i="18" s="1"/>
  <c r="X70" i="5"/>
  <c r="CY17" i="18" s="1"/>
  <c r="X71" i="5"/>
  <c r="CY18" i="18" s="1"/>
  <c r="X72" i="5"/>
  <c r="CY19" i="18" s="1"/>
  <c r="X73" i="5"/>
  <c r="CY20" i="18" s="1"/>
  <c r="X74" i="5"/>
  <c r="CY21" i="18" s="1"/>
  <c r="X75" i="5"/>
  <c r="CY22" i="18" s="1"/>
  <c r="X76" i="5"/>
  <c r="CY23" i="18" s="1"/>
  <c r="X77" i="5"/>
  <c r="CY24" i="18" s="1"/>
  <c r="W86" i="4"/>
  <c r="W85"/>
  <c r="W84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A107"/>
  <c r="A80"/>
  <c r="X83"/>
  <c r="X56"/>
  <c r="BS3" i="18" s="1"/>
  <c r="X57" i="4"/>
  <c r="BS4" i="18" s="1"/>
  <c r="Y55" i="4"/>
  <c r="X58"/>
  <c r="BS5" i="18" s="1"/>
  <c r="X59" i="4"/>
  <c r="BS6" i="18" s="1"/>
  <c r="X60" i="4"/>
  <c r="BS7" i="18" s="1"/>
  <c r="X61" i="4"/>
  <c r="BS8" i="18" s="1"/>
  <c r="X62" i="4"/>
  <c r="BS9" i="18" s="1"/>
  <c r="X63" i="4"/>
  <c r="BS10" i="18" s="1"/>
  <c r="X64" i="4"/>
  <c r="BS11" i="18" s="1"/>
  <c r="X65" i="4"/>
  <c r="BS12" i="18" s="1"/>
  <c r="X66" i="4"/>
  <c r="BS13" i="18" s="1"/>
  <c r="X67" i="4"/>
  <c r="BS14" i="18" s="1"/>
  <c r="X68" i="4"/>
  <c r="BS15" i="18" s="1"/>
  <c r="X69" i="4"/>
  <c r="BS16" i="18" s="1"/>
  <c r="X70" i="4"/>
  <c r="BS17" i="18" s="1"/>
  <c r="X71" i="4"/>
  <c r="BS18" i="18" s="1"/>
  <c r="X72" i="4"/>
  <c r="BS19" i="18" s="1"/>
  <c r="X73" i="4"/>
  <c r="BS20" i="18" s="1"/>
  <c r="X74" i="4"/>
  <c r="BS21" i="18" s="1"/>
  <c r="X75" i="4"/>
  <c r="BS22" i="18" s="1"/>
  <c r="X76" i="4"/>
  <c r="BS23" i="18" s="1"/>
  <c r="X77" i="4"/>
  <c r="BS24" i="18" s="1"/>
  <c r="A48" i="3"/>
  <c r="A47" i="5"/>
  <c r="A47" i="4"/>
  <c r="R210" i="5"/>
  <c r="R238" s="1"/>
  <c r="R163" i="4"/>
  <c r="R191" s="1"/>
  <c r="T1" i="3"/>
  <c r="S162"/>
  <c r="S189" s="1"/>
  <c r="S1" i="5"/>
  <c r="S1" i="4"/>
  <c r="BY108" i="16"/>
  <c r="AR120" i="18"/>
  <c r="Z119" i="16"/>
  <c r="BG120" i="18"/>
  <c r="BD119" i="16"/>
  <c r="AL118"/>
  <c r="BP119" i="18"/>
  <c r="T118" i="16"/>
  <c r="AI119" i="18"/>
  <c r="BD118"/>
  <c r="BJ118"/>
  <c r="BY105" i="16"/>
  <c r="AU119"/>
  <c r="BY119"/>
  <c r="W120" i="18"/>
  <c r="AO119"/>
  <c r="AI118"/>
  <c r="BP118"/>
  <c r="Q118" i="16"/>
  <c r="BY102"/>
  <c r="T120" i="18"/>
  <c r="AI119" i="16"/>
  <c r="AI120" i="18"/>
  <c r="AU118" i="16"/>
  <c r="AR118"/>
  <c r="BV119" i="18"/>
  <c r="AU118"/>
  <c r="Q120"/>
  <c r="BY115" i="16"/>
  <c r="BY107"/>
  <c r="BY101"/>
  <c r="AC120" i="18"/>
  <c r="AU120"/>
  <c r="BP119" i="16"/>
  <c r="BG118"/>
  <c r="BD119" i="18"/>
  <c r="BM118" i="16"/>
  <c r="BJ119" i="18"/>
  <c r="BG118"/>
  <c r="Z118"/>
  <c r="CG50"/>
  <c r="AQ55" i="16"/>
  <c r="AB55"/>
  <c r="BX55"/>
  <c r="BI55"/>
  <c r="AT55"/>
  <c r="CG35" i="18"/>
  <c r="CG38"/>
  <c r="CG42"/>
  <c r="CG46"/>
  <c r="CG54"/>
  <c r="AE55" i="16"/>
  <c r="CA55"/>
  <c r="BL55"/>
  <c r="AW55"/>
  <c r="CG34" i="18"/>
  <c r="CG39"/>
  <c r="CG43"/>
  <c r="CG47"/>
  <c r="CG53"/>
  <c r="CF34"/>
  <c r="CF39"/>
  <c r="CF43"/>
  <c r="CF47"/>
  <c r="CF51"/>
  <c r="BH55" i="16"/>
  <c r="AS55"/>
  <c r="AD55"/>
  <c r="BZ55"/>
  <c r="BK55"/>
  <c r="CF55" i="18"/>
  <c r="CF35"/>
  <c r="CF38"/>
  <c r="CF42"/>
  <c r="CF46"/>
  <c r="CF50"/>
  <c r="X55" i="16"/>
  <c r="BE55"/>
  <c r="BN55"/>
  <c r="AY55"/>
  <c r="CF65" i="18"/>
  <c r="CE65"/>
  <c r="CF70"/>
  <c r="CG70"/>
  <c r="CF74"/>
  <c r="CG74"/>
  <c r="CF78"/>
  <c r="CG78"/>
  <c r="BG86" i="16"/>
  <c r="BH86"/>
  <c r="AR86"/>
  <c r="AT86"/>
  <c r="AD86"/>
  <c r="AC86"/>
  <c r="BZ86"/>
  <c r="CA86"/>
  <c r="BL86"/>
  <c r="BJ86"/>
  <c r="CF66" i="18"/>
  <c r="CG66"/>
  <c r="CF69"/>
  <c r="CE69"/>
  <c r="CF73"/>
  <c r="CE73"/>
  <c r="CF77"/>
  <c r="CE77"/>
  <c r="CF81"/>
  <c r="CE81"/>
  <c r="BW86" i="16"/>
  <c r="BV86"/>
  <c r="BY116"/>
  <c r="BY104"/>
  <c r="BM120" i="18"/>
  <c r="AX120"/>
  <c r="BM119" i="16"/>
  <c r="W118"/>
  <c r="T119" i="18"/>
  <c r="BA119"/>
  <c r="AX119"/>
  <c r="W118"/>
  <c r="BM118"/>
  <c r="BY117" i="16"/>
  <c r="BY99"/>
  <c r="BJ119"/>
  <c r="AL120" i="18"/>
  <c r="AC119" i="16"/>
  <c r="W119" i="18"/>
  <c r="T118"/>
  <c r="AX118"/>
  <c r="BY106" i="16"/>
  <c r="BP120" i="18"/>
  <c r="AO120"/>
  <c r="BV120"/>
  <c r="BY118"/>
  <c r="BY119"/>
  <c r="Z119"/>
  <c r="BG119"/>
  <c r="AO118"/>
  <c r="Q118"/>
  <c r="BY111" i="16"/>
  <c r="BY103"/>
  <c r="BY120" i="18"/>
  <c r="BJ120"/>
  <c r="BA119" i="16"/>
  <c r="T119"/>
  <c r="AX118"/>
  <c r="BM119" i="18"/>
  <c r="BV118"/>
  <c r="AU119"/>
  <c r="AR118"/>
  <c r="Q119"/>
  <c r="S55" i="16"/>
  <c r="CG52" i="18"/>
  <c r="BO55" i="16"/>
  <c r="AZ55"/>
  <c r="AK55"/>
  <c r="V55"/>
  <c r="BR55"/>
  <c r="CG36" i="18"/>
  <c r="CG40"/>
  <c r="CG44"/>
  <c r="CG48"/>
  <c r="CG51"/>
  <c r="BC55" i="16"/>
  <c r="AN55"/>
  <c r="Y55"/>
  <c r="BF55"/>
  <c r="CG37" i="18"/>
  <c r="CG41"/>
  <c r="CG45"/>
  <c r="CG49"/>
  <c r="CG55"/>
  <c r="CF37"/>
  <c r="CE68" s="1"/>
  <c r="CF41"/>
  <c r="CE72" s="1"/>
  <c r="CF45"/>
  <c r="CE76" s="1"/>
  <c r="CF49"/>
  <c r="CE80" s="1"/>
  <c r="AJ55" i="16"/>
  <c r="AK86" s="1"/>
  <c r="U55"/>
  <c r="T86" s="1"/>
  <c r="BQ55"/>
  <c r="BQ86" s="1"/>
  <c r="BB55"/>
  <c r="BA86" s="1"/>
  <c r="AM55"/>
  <c r="AM86" s="1"/>
  <c r="CF53" i="18"/>
  <c r="CE84" s="1"/>
  <c r="R55" i="16"/>
  <c r="R86" s="1"/>
  <c r="CF36" i="18"/>
  <c r="CG67" s="1"/>
  <c r="CF40"/>
  <c r="CG71" s="1"/>
  <c r="CF44"/>
  <c r="CG75" s="1"/>
  <c r="CF48"/>
  <c r="CG79" s="1"/>
  <c r="CF52"/>
  <c r="CG83" s="1"/>
  <c r="AV55" i="16"/>
  <c r="AV86" s="1"/>
  <c r="AP55"/>
  <c r="AP86" s="1"/>
  <c r="AA55"/>
  <c r="Z86" s="1"/>
  <c r="CF54" i="18"/>
  <c r="CG85" s="1"/>
  <c r="CG65"/>
  <c r="CF68"/>
  <c r="CG68"/>
  <c r="CE70"/>
  <c r="CF72"/>
  <c r="CG72"/>
  <c r="CE74"/>
  <c r="CF76"/>
  <c r="CG76"/>
  <c r="CE78"/>
  <c r="CF80"/>
  <c r="CG80"/>
  <c r="CE82"/>
  <c r="AJ86" i="16"/>
  <c r="AI86"/>
  <c r="BI86"/>
  <c r="BG120" s="1"/>
  <c r="V86"/>
  <c r="U86"/>
  <c r="AS86"/>
  <c r="BR86"/>
  <c r="BP86"/>
  <c r="BP120" s="1"/>
  <c r="AE86"/>
  <c r="BC86"/>
  <c r="BB86"/>
  <c r="BY86"/>
  <c r="AL86"/>
  <c r="AN86"/>
  <c r="BK86"/>
  <c r="BJ120" s="1"/>
  <c r="CF84" i="18"/>
  <c r="CG84"/>
  <c r="CE86"/>
  <c r="Q86" i="16"/>
  <c r="S86"/>
  <c r="CE66" i="18"/>
  <c r="CF67"/>
  <c r="CE67"/>
  <c r="CG69"/>
  <c r="CF71"/>
  <c r="CE71"/>
  <c r="CG73"/>
  <c r="CF75"/>
  <c r="CE75"/>
  <c r="CG77"/>
  <c r="CF79"/>
  <c r="CE79"/>
  <c r="CG81"/>
  <c r="CF83"/>
  <c r="CE83"/>
  <c r="W86" i="16"/>
  <c r="AU86"/>
  <c r="AW86"/>
  <c r="BF86"/>
  <c r="AO86"/>
  <c r="AQ86"/>
  <c r="BN86"/>
  <c r="AB86"/>
  <c r="AA86"/>
  <c r="AX86"/>
  <c r="CF85" i="18"/>
  <c r="CE85"/>
  <c r="T120" i="16"/>
  <c r="BA120"/>
  <c r="Z120"/>
  <c r="BX86"/>
  <c r="BM86"/>
  <c r="BO86"/>
  <c r="BM120" s="1"/>
  <c r="AY86"/>
  <c r="AZ86"/>
  <c r="AX120" s="1"/>
  <c r="CG82" i="18"/>
  <c r="CF82"/>
  <c r="X86" i="16"/>
  <c r="Y86"/>
  <c r="W120" s="1"/>
  <c r="BD86"/>
  <c r="BE86"/>
  <c r="CG86" i="18"/>
  <c r="CF86"/>
  <c r="BV152" i="16" l="1"/>
  <c r="CE151" i="18"/>
  <c r="AX152" i="16"/>
  <c r="Z152"/>
  <c r="BM152"/>
  <c r="AO152"/>
  <c r="BD152"/>
  <c r="AU152"/>
  <c r="W152"/>
  <c r="CE149" i="18"/>
  <c r="CE147"/>
  <c r="CE145"/>
  <c r="CE143"/>
  <c r="CE141"/>
  <c r="CE139"/>
  <c r="CE137"/>
  <c r="CE135"/>
  <c r="CE133"/>
  <c r="CE132"/>
  <c r="Q152" i="16"/>
  <c r="CE152" i="18"/>
  <c r="CE150"/>
  <c r="BJ152" i="16"/>
  <c r="AL152"/>
  <c r="BY152"/>
  <c r="BA152"/>
  <c r="AC152"/>
  <c r="BP152"/>
  <c r="AR152"/>
  <c r="T152"/>
  <c r="BG152"/>
  <c r="AI152"/>
  <c r="CE148" i="18"/>
  <c r="CE146"/>
  <c r="CE144"/>
  <c r="CE142"/>
  <c r="CE140"/>
  <c r="CE138"/>
  <c r="CE136"/>
  <c r="CE134"/>
  <c r="CE131"/>
  <c r="Y83" i="5"/>
  <c r="Z55"/>
  <c r="Y56"/>
  <c r="CZ3" i="18" s="1"/>
  <c r="Y58" i="5"/>
  <c r="CZ5" i="18" s="1"/>
  <c r="Y57" i="5"/>
  <c r="CZ4" i="18" s="1"/>
  <c r="Y59" i="5"/>
  <c r="CZ6" i="18" s="1"/>
  <c r="Y60" i="5"/>
  <c r="CZ7" i="18" s="1"/>
  <c r="Y61" i="5"/>
  <c r="CZ8" i="18" s="1"/>
  <c r="Y62" i="5"/>
  <c r="CZ9" i="18" s="1"/>
  <c r="Y63" i="5"/>
  <c r="CZ10" i="18" s="1"/>
  <c r="Y64" i="5"/>
  <c r="CZ11" i="18" s="1"/>
  <c r="Y65" i="5"/>
  <c r="CZ12" i="18" s="1"/>
  <c r="Y66" i="5"/>
  <c r="CZ13" i="18" s="1"/>
  <c r="Y67" i="5"/>
  <c r="CZ14" i="18" s="1"/>
  <c r="Y68" i="5"/>
  <c r="CZ15" i="18" s="1"/>
  <c r="Y69" i="5"/>
  <c r="CZ16" i="18" s="1"/>
  <c r="Y70" i="5"/>
  <c r="CZ17" i="18" s="1"/>
  <c r="Y71" i="5"/>
  <c r="CZ18" i="18" s="1"/>
  <c r="Y72" i="5"/>
  <c r="CZ19" i="18" s="1"/>
  <c r="Y73" i="5"/>
  <c r="CZ20" i="18" s="1"/>
  <c r="Y74" i="5"/>
  <c r="CZ21" i="18" s="1"/>
  <c r="Y75" i="5"/>
  <c r="CZ22" i="18" s="1"/>
  <c r="Y76" i="5"/>
  <c r="CZ23" i="18" s="1"/>
  <c r="Y77" i="5"/>
  <c r="CZ24" i="18" s="1"/>
  <c r="A108" i="5"/>
  <c r="X85"/>
  <c r="CY4" i="16" s="1"/>
  <c r="X84" i="5"/>
  <c r="CY3" i="16" s="1"/>
  <c r="X86" i="5"/>
  <c r="CY5" i="16" s="1"/>
  <c r="X87" i="5"/>
  <c r="CY6" i="16" s="1"/>
  <c r="X88" i="5"/>
  <c r="CY7" i="16" s="1"/>
  <c r="X89" i="5"/>
  <c r="CY8" i="16" s="1"/>
  <c r="X90" i="5"/>
  <c r="CY9" i="16" s="1"/>
  <c r="X91" i="5"/>
  <c r="CY10" i="16" s="1"/>
  <c r="X92" i="5"/>
  <c r="CY11" i="16" s="1"/>
  <c r="X93" i="5"/>
  <c r="CY12" i="16" s="1"/>
  <c r="X94" i="5"/>
  <c r="CY13" i="16" s="1"/>
  <c r="X95" i="5"/>
  <c r="CY14" i="16" s="1"/>
  <c r="X96" i="5"/>
  <c r="CY15" i="16" s="1"/>
  <c r="X97" i="5"/>
  <c r="CY16" i="16" s="1"/>
  <c r="X98" i="5"/>
  <c r="CY17" i="16" s="1"/>
  <c r="X99" i="5"/>
  <c r="CY18" i="16" s="1"/>
  <c r="X100" i="5"/>
  <c r="CY19" i="16" s="1"/>
  <c r="X101" i="5"/>
  <c r="CY20" i="16" s="1"/>
  <c r="X102" i="5"/>
  <c r="CY21" i="16" s="1"/>
  <c r="X103" i="5"/>
  <c r="CY22" i="16" s="1"/>
  <c r="X104" i="5"/>
  <c r="CY23" i="16" s="1"/>
  <c r="X105" i="5"/>
  <c r="CY24" i="16" s="1"/>
  <c r="Y83" i="4"/>
  <c r="Z55"/>
  <c r="Y56"/>
  <c r="BT3" i="18" s="1"/>
  <c r="Y58" i="4"/>
  <c r="BT5" i="18" s="1"/>
  <c r="Y57" i="4"/>
  <c r="BT4" i="18" s="1"/>
  <c r="Y59" i="4"/>
  <c r="BT6" i="18" s="1"/>
  <c r="Y60" i="4"/>
  <c r="BT7" i="18" s="1"/>
  <c r="Y61" i="4"/>
  <c r="BT8" i="18" s="1"/>
  <c r="Y62" i="4"/>
  <c r="BT9" i="18" s="1"/>
  <c r="Y63" i="4"/>
  <c r="BT10" i="18" s="1"/>
  <c r="Y64" i="4"/>
  <c r="BT11" i="18" s="1"/>
  <c r="Y65" i="4"/>
  <c r="BT12" i="18" s="1"/>
  <c r="Y66" i="4"/>
  <c r="BT13" i="18" s="1"/>
  <c r="Y67" i="4"/>
  <c r="BT14" i="18" s="1"/>
  <c r="Y68" i="4"/>
  <c r="BT15" i="18" s="1"/>
  <c r="Y69" i="4"/>
  <c r="BT16" i="18" s="1"/>
  <c r="Y70" i="4"/>
  <c r="BT17" i="18" s="1"/>
  <c r="Y71" i="4"/>
  <c r="BT18" i="18" s="1"/>
  <c r="Y72" i="4"/>
  <c r="BT19" i="18" s="1"/>
  <c r="Y73" i="4"/>
  <c r="BT20" i="18" s="1"/>
  <c r="Y74" i="4"/>
  <c r="BT21" i="18" s="1"/>
  <c r="Y75" i="4"/>
  <c r="BT22" i="18" s="1"/>
  <c r="Y76" i="4"/>
  <c r="BT23" i="18" s="1"/>
  <c r="Y77" i="4"/>
  <c r="BT24" i="18" s="1"/>
  <c r="A108" i="4"/>
  <c r="X85"/>
  <c r="BS4" i="16" s="1"/>
  <c r="X84" i="4"/>
  <c r="BS3" i="16" s="1"/>
  <c r="X86" i="4"/>
  <c r="BS5" i="16" s="1"/>
  <c r="X87" i="4"/>
  <c r="BS6" i="16" s="1"/>
  <c r="X88" i="4"/>
  <c r="BS7" i="16" s="1"/>
  <c r="X89" i="4"/>
  <c r="BS8" i="16" s="1"/>
  <c r="X90" i="4"/>
  <c r="BS9" i="16" s="1"/>
  <c r="X91" i="4"/>
  <c r="BS10" i="16" s="1"/>
  <c r="X92" i="4"/>
  <c r="BS11" i="16" s="1"/>
  <c r="X93" i="4"/>
  <c r="BS12" i="16" s="1"/>
  <c r="X94" i="4"/>
  <c r="BS13" i="16" s="1"/>
  <c r="X95" i="4"/>
  <c r="BS14" i="16" s="1"/>
  <c r="X96" i="4"/>
  <c r="BS15" i="16" s="1"/>
  <c r="X97" i="4"/>
  <c r="BS16" i="16" s="1"/>
  <c r="X98" i="4"/>
  <c r="BS17" i="16" s="1"/>
  <c r="X99" i="4"/>
  <c r="BS18" i="16" s="1"/>
  <c r="X100" i="4"/>
  <c r="BS19" i="16" s="1"/>
  <c r="X101" i="4"/>
  <c r="BS20" i="16" s="1"/>
  <c r="X102" i="4"/>
  <c r="BS21" i="16" s="1"/>
  <c r="X103" i="4"/>
  <c r="BS22" i="16" s="1"/>
  <c r="X104" i="4"/>
  <c r="BS23" i="16" s="1"/>
  <c r="X105" i="4"/>
  <c r="BS24" i="16" s="1"/>
  <c r="A48" i="5"/>
  <c r="Y78" s="1"/>
  <c r="CZ25" i="18" s="1"/>
  <c r="A48" i="4"/>
  <c r="A49" i="3"/>
  <c r="S210" i="5"/>
  <c r="S238" s="1"/>
  <c r="S163" i="4"/>
  <c r="S191" s="1"/>
  <c r="U1" i="3"/>
  <c r="T162"/>
  <c r="T189" s="1"/>
  <c r="T1" i="5"/>
  <c r="T1" i="4"/>
  <c r="CE119" i="18"/>
  <c r="AU120" i="16"/>
  <c r="CE113" i="18"/>
  <c r="CE105"/>
  <c r="Q120" i="16"/>
  <c r="AL120"/>
  <c r="CE114" i="18"/>
  <c r="CE106"/>
  <c r="BD120" i="16"/>
  <c r="CE111" i="18"/>
  <c r="CE103"/>
  <c r="CE120"/>
  <c r="AC120" i="16"/>
  <c r="CE116" i="18"/>
  <c r="CE108"/>
  <c r="CE99"/>
  <c r="CG52" i="16"/>
  <c r="CJ36" i="18"/>
  <c r="CJ39"/>
  <c r="CJ43"/>
  <c r="CJ47"/>
  <c r="CJ51"/>
  <c r="CJ55"/>
  <c r="CG36" i="16"/>
  <c r="CG40"/>
  <c r="CG44"/>
  <c r="CG48"/>
  <c r="CG53"/>
  <c r="CJ35" i="18"/>
  <c r="CJ40"/>
  <c r="CJ44"/>
  <c r="CJ48"/>
  <c r="CJ52"/>
  <c r="CG34" i="16"/>
  <c r="CG39"/>
  <c r="CG43"/>
  <c r="CG47"/>
  <c r="CG55"/>
  <c r="CF35"/>
  <c r="CF38"/>
  <c r="CF42"/>
  <c r="CF46"/>
  <c r="CF50"/>
  <c r="CF54"/>
  <c r="CI37" i="18"/>
  <c r="CI41"/>
  <c r="CI45"/>
  <c r="CI49"/>
  <c r="CI53"/>
  <c r="CF34" i="16"/>
  <c r="CF39"/>
  <c r="CF43"/>
  <c r="CF47"/>
  <c r="CF51"/>
  <c r="CI34" i="18"/>
  <c r="CI38"/>
  <c r="CI42"/>
  <c r="CI46"/>
  <c r="CI50"/>
  <c r="CI54"/>
  <c r="CE65" i="16"/>
  <c r="CF65"/>
  <c r="CF70"/>
  <c r="CE70"/>
  <c r="CE74"/>
  <c r="CF74"/>
  <c r="CE78"/>
  <c r="CF78"/>
  <c r="BV120"/>
  <c r="AO120"/>
  <c r="CE117" i="18"/>
  <c r="CE109"/>
  <c r="CE101"/>
  <c r="CE118"/>
  <c r="AI120" i="16"/>
  <c r="CE110" i="18"/>
  <c r="CE102"/>
  <c r="CE115"/>
  <c r="CE107"/>
  <c r="CE100"/>
  <c r="BY120" i="16"/>
  <c r="AR120"/>
  <c r="CE112" i="18"/>
  <c r="CE104"/>
  <c r="CG50" i="16"/>
  <c r="CG54"/>
  <c r="CJ37" i="18"/>
  <c r="CJ41"/>
  <c r="CJ45"/>
  <c r="CJ49"/>
  <c r="CJ53"/>
  <c r="CG35" i="16"/>
  <c r="CG38"/>
  <c r="CG42"/>
  <c r="CG46"/>
  <c r="CG51"/>
  <c r="CJ34" i="18"/>
  <c r="CJ38"/>
  <c r="CJ42"/>
  <c r="CJ46"/>
  <c r="CJ50"/>
  <c r="CJ54"/>
  <c r="CG37" i="16"/>
  <c r="CG41"/>
  <c r="CG45"/>
  <c r="CG49"/>
  <c r="CJ56" i="18"/>
  <c r="CF36" i="16"/>
  <c r="CG67" s="1"/>
  <c r="CF40"/>
  <c r="CG71" s="1"/>
  <c r="CF44"/>
  <c r="CF75" s="1"/>
  <c r="CF48"/>
  <c r="CG79" s="1"/>
  <c r="CF52"/>
  <c r="CF83" s="1"/>
  <c r="CI36" i="18"/>
  <c r="CJ67" s="1"/>
  <c r="CI39"/>
  <c r="CH70" s="1"/>
  <c r="CI43"/>
  <c r="CH74" s="1"/>
  <c r="CI47"/>
  <c r="CH78" s="1"/>
  <c r="CI51"/>
  <c r="CH82" s="1"/>
  <c r="CI55"/>
  <c r="CH86" s="1"/>
  <c r="CF37" i="16"/>
  <c r="CG68" s="1"/>
  <c r="CF41"/>
  <c r="CG72" s="1"/>
  <c r="CF45"/>
  <c r="CF76" s="1"/>
  <c r="CF49"/>
  <c r="CF80" s="1"/>
  <c r="CF53"/>
  <c r="CG84" s="1"/>
  <c r="CI35" i="18"/>
  <c r="CH66" s="1"/>
  <c r="CI40"/>
  <c r="CJ71" s="1"/>
  <c r="CI44"/>
  <c r="CJ75" s="1"/>
  <c r="CI48"/>
  <c r="CJ79" s="1"/>
  <c r="CI52"/>
  <c r="CJ83" s="1"/>
  <c r="CF55" i="16"/>
  <c r="CE86" s="1"/>
  <c r="CG66"/>
  <c r="CF67"/>
  <c r="CE67"/>
  <c r="CE69"/>
  <c r="CF71"/>
  <c r="CE71"/>
  <c r="CF73"/>
  <c r="CG75"/>
  <c r="CE75"/>
  <c r="CE77"/>
  <c r="CE79"/>
  <c r="CF79"/>
  <c r="CE113" s="1"/>
  <c r="CF81"/>
  <c r="CG83"/>
  <c r="CE83"/>
  <c r="CE117" s="1"/>
  <c r="CF85"/>
  <c r="CI67" i="18"/>
  <c r="CH67"/>
  <c r="CH68"/>
  <c r="CI70"/>
  <c r="CJ70"/>
  <c r="CH72"/>
  <c r="CI74"/>
  <c r="CJ74"/>
  <c r="CH76"/>
  <c r="CI78"/>
  <c r="CJ78"/>
  <c r="CH80"/>
  <c r="CI82"/>
  <c r="CJ82"/>
  <c r="CH84"/>
  <c r="CI86"/>
  <c r="CJ86"/>
  <c r="CG65" i="16"/>
  <c r="CE99" s="1"/>
  <c r="CF68"/>
  <c r="CE68"/>
  <c r="CG70"/>
  <c r="CF72"/>
  <c r="CE72"/>
  <c r="CG74"/>
  <c r="CE108" s="1"/>
  <c r="CE76"/>
  <c r="CG76"/>
  <c r="CG78"/>
  <c r="CE112" s="1"/>
  <c r="CE80"/>
  <c r="CG80"/>
  <c r="CE82"/>
  <c r="CF84"/>
  <c r="CE84"/>
  <c r="CJ65" i="18"/>
  <c r="CI66"/>
  <c r="CJ66"/>
  <c r="CJ69"/>
  <c r="CI71"/>
  <c r="CH71"/>
  <c r="CJ73"/>
  <c r="CI75"/>
  <c r="CH75"/>
  <c r="CJ77"/>
  <c r="CI79"/>
  <c r="CH79"/>
  <c r="CJ81"/>
  <c r="CI83"/>
  <c r="CH83"/>
  <c r="CJ85"/>
  <c r="CF86" i="16"/>
  <c r="CG86"/>
  <c r="CE109"/>
  <c r="CE81"/>
  <c r="CG81"/>
  <c r="CE115" s="1"/>
  <c r="CE85"/>
  <c r="CG85"/>
  <c r="CE119" s="1"/>
  <c r="CJ68" i="18"/>
  <c r="CI68"/>
  <c r="CJ72"/>
  <c r="CI72"/>
  <c r="CJ76"/>
  <c r="CI76"/>
  <c r="CJ80"/>
  <c r="CI80"/>
  <c r="CJ84"/>
  <c r="CI84"/>
  <c r="CE66" i="16"/>
  <c r="CF66"/>
  <c r="CF69"/>
  <c r="CG69"/>
  <c r="CE103" s="1"/>
  <c r="CG73"/>
  <c r="CE73"/>
  <c r="CG77"/>
  <c r="CF77"/>
  <c r="CF82"/>
  <c r="CG82"/>
  <c r="CE116" s="1"/>
  <c r="CH65" i="18"/>
  <c r="CI65"/>
  <c r="CH69"/>
  <c r="CI69"/>
  <c r="CH73"/>
  <c r="CI73"/>
  <c r="CH77"/>
  <c r="CI77"/>
  <c r="CH81"/>
  <c r="CI81"/>
  <c r="CH85"/>
  <c r="CI85"/>
  <c r="CE152" i="16" l="1"/>
  <c r="CH151" i="18"/>
  <c r="CH149"/>
  <c r="CH147"/>
  <c r="CH145"/>
  <c r="CH143"/>
  <c r="CH141"/>
  <c r="CH139"/>
  <c r="CH137"/>
  <c r="CH135"/>
  <c r="CH132"/>
  <c r="CH131"/>
  <c r="CE150" i="16"/>
  <c r="CE148"/>
  <c r="CE146"/>
  <c r="CE144"/>
  <c r="CE142"/>
  <c r="CE140"/>
  <c r="CE138"/>
  <c r="CE136"/>
  <c r="CE134"/>
  <c r="CE131"/>
  <c r="CH152" i="18"/>
  <c r="CH150"/>
  <c r="CH148"/>
  <c r="CH146"/>
  <c r="CH144"/>
  <c r="CH142"/>
  <c r="CH140"/>
  <c r="CH138"/>
  <c r="CH136"/>
  <c r="CH134"/>
  <c r="CH133"/>
  <c r="CE151" i="16"/>
  <c r="CE149"/>
  <c r="CE147"/>
  <c r="CE145"/>
  <c r="CE143"/>
  <c r="CE141"/>
  <c r="CE139"/>
  <c r="CE137"/>
  <c r="CE135"/>
  <c r="CE133"/>
  <c r="CE132"/>
  <c r="X78" i="4"/>
  <c r="BS25" i="18" s="1"/>
  <c r="T78" i="4"/>
  <c r="P78"/>
  <c r="BK25" i="18" s="1"/>
  <c r="L78" i="4"/>
  <c r="BG25" i="18" s="1"/>
  <c r="H78" i="4"/>
  <c r="BC25" i="18" s="1"/>
  <c r="D78" i="4"/>
  <c r="AY25" i="18" s="1"/>
  <c r="W78" i="4"/>
  <c r="S78"/>
  <c r="BN25" i="18" s="1"/>
  <c r="O78" i="4"/>
  <c r="BJ25" i="18" s="1"/>
  <c r="K78" i="4"/>
  <c r="BF25" i="18" s="1"/>
  <c r="G78" i="4"/>
  <c r="C78"/>
  <c r="AX25" i="18" s="1"/>
  <c r="V78" i="4"/>
  <c r="BQ25" i="18" s="1"/>
  <c r="R78" i="4"/>
  <c r="BM25" i="18" s="1"/>
  <c r="N78" i="4"/>
  <c r="BI25" i="18" s="1"/>
  <c r="J78" i="4"/>
  <c r="BE25" i="18" s="1"/>
  <c r="F78" i="4"/>
  <c r="BA25" i="18" s="1"/>
  <c r="B78" i="4"/>
  <c r="AW25" i="18" s="1"/>
  <c r="U78" i="4"/>
  <c r="BP25" i="18" s="1"/>
  <c r="Q78" i="4"/>
  <c r="BL25" i="18" s="1"/>
  <c r="M78" i="4"/>
  <c r="BH25" i="18" s="1"/>
  <c r="I78" i="4"/>
  <c r="BD25" i="18" s="1"/>
  <c r="E78" i="4"/>
  <c r="AZ25" i="18" s="1"/>
  <c r="V106" i="4"/>
  <c r="BQ25" i="16" s="1"/>
  <c r="R106" i="4"/>
  <c r="BM25" i="16" s="1"/>
  <c r="N106" i="4"/>
  <c r="BI25" i="16" s="1"/>
  <c r="J106" i="4"/>
  <c r="BE25" i="16" s="1"/>
  <c r="F106" i="4"/>
  <c r="BA25" i="16" s="1"/>
  <c r="B106" i="4"/>
  <c r="AW25" i="16" s="1"/>
  <c r="U106" i="4"/>
  <c r="BP25" i="16" s="1"/>
  <c r="Q106" i="4"/>
  <c r="BL25" i="16" s="1"/>
  <c r="M106" i="4"/>
  <c r="BH25" i="16" s="1"/>
  <c r="I106" i="4"/>
  <c r="BD25" i="16" s="1"/>
  <c r="E106" i="4"/>
  <c r="AZ25" i="16" s="1"/>
  <c r="T106" i="4"/>
  <c r="P106"/>
  <c r="BK25" i="16" s="1"/>
  <c r="L106" i="4"/>
  <c r="BG25" i="16" s="1"/>
  <c r="H106" i="4"/>
  <c r="BC25" i="16" s="1"/>
  <c r="D106" i="4"/>
  <c r="AY25" i="16" s="1"/>
  <c r="W106" i="4"/>
  <c r="S106"/>
  <c r="BN25" i="16" s="1"/>
  <c r="O106" i="4"/>
  <c r="BJ25" i="16" s="1"/>
  <c r="K106" i="4"/>
  <c r="BF25" i="16" s="1"/>
  <c r="G106" i="4"/>
  <c r="C106"/>
  <c r="AX25" i="16" s="1"/>
  <c r="V78" i="5"/>
  <c r="CW25" i="18" s="1"/>
  <c r="R78" i="5"/>
  <c r="CS25" i="18" s="1"/>
  <c r="N78" i="5"/>
  <c r="CO25" i="18" s="1"/>
  <c r="J78" i="5"/>
  <c r="CK25" i="18" s="1"/>
  <c r="F78" i="5"/>
  <c r="CG25" i="18" s="1"/>
  <c r="B78" i="5"/>
  <c r="CC25" i="18" s="1"/>
  <c r="U78" i="5"/>
  <c r="CV25" i="18" s="1"/>
  <c r="Q78" i="5"/>
  <c r="CR25" i="18" s="1"/>
  <c r="M78" i="5"/>
  <c r="CN25" i="18" s="1"/>
  <c r="I78" i="5"/>
  <c r="CJ25" i="18" s="1"/>
  <c r="E78" i="5"/>
  <c r="CF25" i="18" s="1"/>
  <c r="X78" i="5"/>
  <c r="CY25" i="18" s="1"/>
  <c r="T78" i="5"/>
  <c r="P78"/>
  <c r="CQ25" i="18" s="1"/>
  <c r="L78" i="5"/>
  <c r="CM25" i="18" s="1"/>
  <c r="H78" i="5"/>
  <c r="CI25" i="18" s="1"/>
  <c r="D78" i="5"/>
  <c r="CE25" i="18" s="1"/>
  <c r="W78" i="5"/>
  <c r="S78"/>
  <c r="CT25" i="18" s="1"/>
  <c r="O78" i="5"/>
  <c r="CP25" i="18" s="1"/>
  <c r="K78" i="5"/>
  <c r="CL25" i="18" s="1"/>
  <c r="G78" i="5"/>
  <c r="C78"/>
  <c r="CD25" i="18" s="1"/>
  <c r="V106" i="5"/>
  <c r="CW25" i="16" s="1"/>
  <c r="R106" i="5"/>
  <c r="CS25" i="16" s="1"/>
  <c r="N106" i="5"/>
  <c r="CO25" i="16" s="1"/>
  <c r="J106" i="5"/>
  <c r="CK25" i="16" s="1"/>
  <c r="F106" i="5"/>
  <c r="CG25" i="16" s="1"/>
  <c r="B106" i="5"/>
  <c r="CC25" i="16" s="1"/>
  <c r="U106" i="5"/>
  <c r="CV25" i="16" s="1"/>
  <c r="Q106" i="5"/>
  <c r="CR25" i="16" s="1"/>
  <c r="M106" i="5"/>
  <c r="CN25" i="16" s="1"/>
  <c r="I106" i="5"/>
  <c r="CJ25" i="16" s="1"/>
  <c r="E106" i="5"/>
  <c r="CF25" i="16" s="1"/>
  <c r="T106" i="5"/>
  <c r="P106"/>
  <c r="CQ25" i="16" s="1"/>
  <c r="L106" i="5"/>
  <c r="CM25" i="16" s="1"/>
  <c r="H106" i="5"/>
  <c r="CI25" i="16" s="1"/>
  <c r="D106" i="5"/>
  <c r="CE25" i="16" s="1"/>
  <c r="W106" i="5"/>
  <c r="S106"/>
  <c r="CT25" i="16" s="1"/>
  <c r="O106" i="5"/>
  <c r="CP25" i="16" s="1"/>
  <c r="K106" i="5"/>
  <c r="CL25" i="16" s="1"/>
  <c r="G106" i="5"/>
  <c r="C106"/>
  <c r="CD25" i="16" s="1"/>
  <c r="Y78" i="4"/>
  <c r="BT25" i="18" s="1"/>
  <c r="X106" i="4"/>
  <c r="BS25" i="16" s="1"/>
  <c r="X106" i="5"/>
  <c r="CY25" i="16" s="1"/>
  <c r="Y85" i="5"/>
  <c r="CZ4" i="16" s="1"/>
  <c r="Y84" i="5"/>
  <c r="CZ3" i="16" s="1"/>
  <c r="Y86" i="5"/>
  <c r="CZ5" i="16" s="1"/>
  <c r="Y87" i="5"/>
  <c r="CZ6" i="16" s="1"/>
  <c r="Y88" i="5"/>
  <c r="CZ7" i="16" s="1"/>
  <c r="Y89" i="5"/>
  <c r="CZ8" i="16" s="1"/>
  <c r="Y90" i="5"/>
  <c r="CZ9" i="16" s="1"/>
  <c r="Y91" i="5"/>
  <c r="CZ10" i="16" s="1"/>
  <c r="Y92" i="5"/>
  <c r="CZ11" i="16" s="1"/>
  <c r="Y93" i="5"/>
  <c r="CZ12" i="16" s="1"/>
  <c r="Y94" i="5"/>
  <c r="CZ13" i="16" s="1"/>
  <c r="Y95" i="5"/>
  <c r="CZ14" i="16" s="1"/>
  <c r="Y96" i="5"/>
  <c r="CZ15" i="16" s="1"/>
  <c r="Y97" i="5"/>
  <c r="CZ16" i="16" s="1"/>
  <c r="Y98" i="5"/>
  <c r="CZ17" i="16" s="1"/>
  <c r="Y99" i="5"/>
  <c r="CZ18" i="16" s="1"/>
  <c r="Y100" i="5"/>
  <c r="CZ19" i="16" s="1"/>
  <c r="Y101" i="5"/>
  <c r="CZ20" i="16" s="1"/>
  <c r="Y102" i="5"/>
  <c r="CZ21" i="16" s="1"/>
  <c r="Y103" i="5"/>
  <c r="CZ22" i="16" s="1"/>
  <c r="Y104" i="5"/>
  <c r="CZ23" i="16" s="1"/>
  <c r="Y105" i="5"/>
  <c r="CZ24" i="16" s="1"/>
  <c r="Y106" i="5"/>
  <c r="CZ25" i="16" s="1"/>
  <c r="Z83" i="5"/>
  <c r="Z56"/>
  <c r="DA3" i="18" s="1"/>
  <c r="Z57" i="5"/>
  <c r="DA4" i="18" s="1"/>
  <c r="AA55" i="5"/>
  <c r="Z58"/>
  <c r="DA5" i="18" s="1"/>
  <c r="Z59" i="5"/>
  <c r="DA6" i="18" s="1"/>
  <c r="Z60" i="5"/>
  <c r="DA7" i="18" s="1"/>
  <c r="Z61" i="5"/>
  <c r="DA8" i="18" s="1"/>
  <c r="Z62" i="5"/>
  <c r="DA9" i="18" s="1"/>
  <c r="Z63" i="5"/>
  <c r="DA10" i="18" s="1"/>
  <c r="Z64" i="5"/>
  <c r="DA11" i="18" s="1"/>
  <c r="Z65" i="5"/>
  <c r="DA12" i="18" s="1"/>
  <c r="Z66" i="5"/>
  <c r="DA13" i="18" s="1"/>
  <c r="Z67" i="5"/>
  <c r="DA14" i="18" s="1"/>
  <c r="Z68" i="5"/>
  <c r="DA15" i="18" s="1"/>
  <c r="Z69" i="5"/>
  <c r="DA16" i="18" s="1"/>
  <c r="Z70" i="5"/>
  <c r="DA17" i="18" s="1"/>
  <c r="Z71" i="5"/>
  <c r="DA18" i="18" s="1"/>
  <c r="Z72" i="5"/>
  <c r="DA19" i="18" s="1"/>
  <c r="Z73" i="5"/>
  <c r="DA20" i="18" s="1"/>
  <c r="Z74" i="5"/>
  <c r="DA21" i="18" s="1"/>
  <c r="Z75" i="5"/>
  <c r="DA22" i="18" s="1"/>
  <c r="Z76" i="5"/>
  <c r="DA23" i="18" s="1"/>
  <c r="Z77" i="5"/>
  <c r="DA24" i="18" s="1"/>
  <c r="Z78" i="5"/>
  <c r="DA25" i="18" s="1"/>
  <c r="Y85" i="4"/>
  <c r="BT4" i="16" s="1"/>
  <c r="Y84" i="4"/>
  <c r="BT3" i="16" s="1"/>
  <c r="Y86" i="4"/>
  <c r="BT5" i="16" s="1"/>
  <c r="Y87" i="4"/>
  <c r="BT6" i="16" s="1"/>
  <c r="Y88" i="4"/>
  <c r="BT7" i="16" s="1"/>
  <c r="Y89" i="4"/>
  <c r="BT8" i="16" s="1"/>
  <c r="Y90" i="4"/>
  <c r="BT9" i="16" s="1"/>
  <c r="Y91" i="4"/>
  <c r="BT10" i="16" s="1"/>
  <c r="Y92" i="4"/>
  <c r="BT11" i="16" s="1"/>
  <c r="Y93" i="4"/>
  <c r="BT12" i="16" s="1"/>
  <c r="Y94" i="4"/>
  <c r="BT13" i="16" s="1"/>
  <c r="Y95" i="4"/>
  <c r="BT14" i="16" s="1"/>
  <c r="Y96" i="4"/>
  <c r="BT15" i="16" s="1"/>
  <c r="Y97" i="4"/>
  <c r="BT16" i="16" s="1"/>
  <c r="Y98" i="4"/>
  <c r="BT17" i="16" s="1"/>
  <c r="Y99" i="4"/>
  <c r="BT18" i="16" s="1"/>
  <c r="Y100" i="4"/>
  <c r="BT19" i="16" s="1"/>
  <c r="Y101" i="4"/>
  <c r="BT20" i="16" s="1"/>
  <c r="Y102" i="4"/>
  <c r="BT21" i="16" s="1"/>
  <c r="Y103" i="4"/>
  <c r="BT22" i="16" s="1"/>
  <c r="Y104" i="4"/>
  <c r="BT23" i="16" s="1"/>
  <c r="Y105" i="4"/>
  <c r="BT24" i="16" s="1"/>
  <c r="Y106" i="4"/>
  <c r="BT25" i="16" s="1"/>
  <c r="Z83" i="4"/>
  <c r="Z56"/>
  <c r="BU3" i="18" s="1"/>
  <c r="Z57" i="4"/>
  <c r="BU4" i="18" s="1"/>
  <c r="AA55" i="4"/>
  <c r="Z58"/>
  <c r="BU5" i="18" s="1"/>
  <c r="Z59" i="4"/>
  <c r="BU6" i="18" s="1"/>
  <c r="Z60" i="4"/>
  <c r="BU7" i="18" s="1"/>
  <c r="Z61" i="4"/>
  <c r="BU8" i="18" s="1"/>
  <c r="Z62" i="4"/>
  <c r="BU9" i="18" s="1"/>
  <c r="Z63" i="4"/>
  <c r="BU10" i="18" s="1"/>
  <c r="Z64" i="4"/>
  <c r="BU11" i="18" s="1"/>
  <c r="Z65" i="4"/>
  <c r="BU12" i="18" s="1"/>
  <c r="Z66" i="4"/>
  <c r="BU13" i="18" s="1"/>
  <c r="Z67" i="4"/>
  <c r="BU14" i="18" s="1"/>
  <c r="Z68" i="4"/>
  <c r="BU15" i="18" s="1"/>
  <c r="Z69" i="4"/>
  <c r="BU16" i="18" s="1"/>
  <c r="Z70" i="4"/>
  <c r="BU17" i="18" s="1"/>
  <c r="Z71" i="4"/>
  <c r="BU18" i="18" s="1"/>
  <c r="Z72" i="4"/>
  <c r="BU19" i="18" s="1"/>
  <c r="Z73" i="4"/>
  <c r="BU20" i="18" s="1"/>
  <c r="Z74" i="4"/>
  <c r="BU21" i="18" s="1"/>
  <c r="Z75" i="4"/>
  <c r="BU22" i="18" s="1"/>
  <c r="Z76" i="4"/>
  <c r="BU23" i="18" s="1"/>
  <c r="Z77" i="4"/>
  <c r="BU24" i="18" s="1"/>
  <c r="Z78" i="4"/>
  <c r="BU25" i="18" s="1"/>
  <c r="A50" i="3"/>
  <c r="A49" i="5"/>
  <c r="S79" s="1"/>
  <c r="CT26" i="18" s="1"/>
  <c r="A49" i="4"/>
  <c r="S79" s="1"/>
  <c r="BN26" i="18" s="1"/>
  <c r="T210" i="5"/>
  <c r="T238" s="1"/>
  <c r="T163" i="4"/>
  <c r="T191" s="1"/>
  <c r="V1" i="3"/>
  <c r="U162"/>
  <c r="U189" s="1"/>
  <c r="U1" i="5"/>
  <c r="U1" i="4"/>
  <c r="CH117" i="18"/>
  <c r="CH109"/>
  <c r="CH100"/>
  <c r="CE114" i="16"/>
  <c r="CE106"/>
  <c r="CH120" i="18"/>
  <c r="CH112"/>
  <c r="CH104"/>
  <c r="CE105" i="16"/>
  <c r="CH119" i="18"/>
  <c r="CH111"/>
  <c r="CH103"/>
  <c r="CE104" i="16"/>
  <c r="CH114" i="18"/>
  <c r="CH106"/>
  <c r="CE111" i="16"/>
  <c r="CE100"/>
  <c r="BO56" i="18"/>
  <c r="BL56"/>
  <c r="CG56"/>
  <c r="AK56"/>
  <c r="CA56" i="16"/>
  <c r="AE56"/>
  <c r="AZ56"/>
  <c r="BI56"/>
  <c r="BF56"/>
  <c r="CJ34"/>
  <c r="CJ39"/>
  <c r="CJ43"/>
  <c r="CJ47"/>
  <c r="CJ51"/>
  <c r="CJ55"/>
  <c r="CM36" i="18"/>
  <c r="CM40"/>
  <c r="CM44"/>
  <c r="CM48"/>
  <c r="CM52"/>
  <c r="CM56"/>
  <c r="S56" i="16"/>
  <c r="BC56" i="18"/>
  <c r="BX56"/>
  <c r="AB56"/>
  <c r="Y56"/>
  <c r="AT56"/>
  <c r="BO56" i="16"/>
  <c r="BL56"/>
  <c r="AW56"/>
  <c r="BR56"/>
  <c r="V56"/>
  <c r="CJ36"/>
  <c r="CJ40"/>
  <c r="CJ44"/>
  <c r="CJ48"/>
  <c r="CJ52"/>
  <c r="CJ56"/>
  <c r="CM37" i="18"/>
  <c r="CM41"/>
  <c r="CM45"/>
  <c r="CM49"/>
  <c r="CM53"/>
  <c r="R56" i="16"/>
  <c r="BH56" i="18"/>
  <c r="BE56"/>
  <c r="BB56"/>
  <c r="BW56"/>
  <c r="AA56"/>
  <c r="AP56" i="16"/>
  <c r="AM56"/>
  <c r="X56"/>
  <c r="AS56"/>
  <c r="CI56" i="18"/>
  <c r="CI37" i="16"/>
  <c r="CI41"/>
  <c r="CI45"/>
  <c r="CI49"/>
  <c r="CI53"/>
  <c r="CL35" i="18"/>
  <c r="CL38"/>
  <c r="CL42"/>
  <c r="CL46"/>
  <c r="CL50"/>
  <c r="CL54"/>
  <c r="R56"/>
  <c r="X56"/>
  <c r="AS56"/>
  <c r="BN56"/>
  <c r="BK56"/>
  <c r="BZ56" i="16"/>
  <c r="AD56"/>
  <c r="AY56"/>
  <c r="BH56"/>
  <c r="BE56"/>
  <c r="CI35"/>
  <c r="CI38"/>
  <c r="CI42"/>
  <c r="CI46"/>
  <c r="CI50"/>
  <c r="CI54"/>
  <c r="CL34" i="18"/>
  <c r="CL39"/>
  <c r="CL43"/>
  <c r="CL47"/>
  <c r="CL51"/>
  <c r="CL55"/>
  <c r="R87" i="16"/>
  <c r="Q87"/>
  <c r="BB87" i="18"/>
  <c r="BA87"/>
  <c r="BW87"/>
  <c r="BV87"/>
  <c r="Z87"/>
  <c r="AA87"/>
  <c r="CI87"/>
  <c r="CH87"/>
  <c r="X87"/>
  <c r="Y87"/>
  <c r="AS87"/>
  <c r="AT87"/>
  <c r="BN87"/>
  <c r="BM87"/>
  <c r="BK87"/>
  <c r="BJ87"/>
  <c r="CA87" i="16"/>
  <c r="BY87"/>
  <c r="AC87"/>
  <c r="AE87"/>
  <c r="AX87"/>
  <c r="AZ87"/>
  <c r="BH87"/>
  <c r="BI87"/>
  <c r="BD87"/>
  <c r="BF87"/>
  <c r="CE120"/>
  <c r="CH113" i="18"/>
  <c r="CH105"/>
  <c r="CE118" i="16"/>
  <c r="CE110"/>
  <c r="CE102"/>
  <c r="CH116" i="18"/>
  <c r="CH108"/>
  <c r="CH101"/>
  <c r="CE101" i="16"/>
  <c r="CH115" i="18"/>
  <c r="CH107"/>
  <c r="CH99"/>
  <c r="CH118"/>
  <c r="CH110"/>
  <c r="CH102"/>
  <c r="CE107" i="16"/>
  <c r="S56" i="18"/>
  <c r="AQ56"/>
  <c r="AN56"/>
  <c r="BI56"/>
  <c r="BF56"/>
  <c r="BC56" i="16"/>
  <c r="BX56"/>
  <c r="AB56"/>
  <c r="AK56"/>
  <c r="CG56"/>
  <c r="CJ37"/>
  <c r="CJ41"/>
  <c r="CJ45"/>
  <c r="CJ49"/>
  <c r="CJ53"/>
  <c r="CM35" i="18"/>
  <c r="CM38"/>
  <c r="CM42"/>
  <c r="CM46"/>
  <c r="CM50"/>
  <c r="CM54"/>
  <c r="BR57"/>
  <c r="CA56"/>
  <c r="AE56"/>
  <c r="AZ56"/>
  <c r="AW56"/>
  <c r="BR56"/>
  <c r="V56"/>
  <c r="AQ56" i="16"/>
  <c r="AN56"/>
  <c r="Y56"/>
  <c r="AT56"/>
  <c r="CJ35"/>
  <c r="CJ38"/>
  <c r="CJ42"/>
  <c r="CJ46"/>
  <c r="CJ50"/>
  <c r="CJ54"/>
  <c r="CM34" i="18"/>
  <c r="CM39"/>
  <c r="CM43"/>
  <c r="CM47"/>
  <c r="CM51"/>
  <c r="CM55"/>
  <c r="CF56"/>
  <c r="CG87" s="1"/>
  <c r="AJ56"/>
  <c r="AK87" s="1"/>
  <c r="BZ56"/>
  <c r="CA87" s="1"/>
  <c r="AD56"/>
  <c r="AC87" s="1"/>
  <c r="AY56"/>
  <c r="AZ87" s="1"/>
  <c r="BN56" i="16"/>
  <c r="BO87" s="1"/>
  <c r="BK56"/>
  <c r="BJ87" s="1"/>
  <c r="AV56"/>
  <c r="AV87" s="1"/>
  <c r="BQ56"/>
  <c r="BR87" s="1"/>
  <c r="U56"/>
  <c r="U87" s="1"/>
  <c r="CI34"/>
  <c r="CH65" s="1"/>
  <c r="CI39"/>
  <c r="CI70" s="1"/>
  <c r="CI43"/>
  <c r="CJ74" s="1"/>
  <c r="CI47"/>
  <c r="CI78" s="1"/>
  <c r="CI51"/>
  <c r="CJ82" s="1"/>
  <c r="CI55"/>
  <c r="CJ86" s="1"/>
  <c r="CL36" i="18"/>
  <c r="CM67" s="1"/>
  <c r="CL40"/>
  <c r="CM71" s="1"/>
  <c r="CL44"/>
  <c r="CM75" s="1"/>
  <c r="CL48"/>
  <c r="CM79" s="1"/>
  <c r="CL52"/>
  <c r="CM83" s="1"/>
  <c r="CL56"/>
  <c r="CM87" s="1"/>
  <c r="AV56"/>
  <c r="AW87" s="1"/>
  <c r="BQ56"/>
  <c r="BQ87" s="1"/>
  <c r="U56"/>
  <c r="V87" s="1"/>
  <c r="AP56"/>
  <c r="AQ87" s="1"/>
  <c r="AM56"/>
  <c r="AL87" s="1"/>
  <c r="BB56" i="16"/>
  <c r="BB87" s="1"/>
  <c r="BW56"/>
  <c r="BW87" s="1"/>
  <c r="AA56"/>
  <c r="AA87" s="1"/>
  <c r="AJ56"/>
  <c r="AI87" s="1"/>
  <c r="CF56"/>
  <c r="CF87" s="1"/>
  <c r="CI36"/>
  <c r="CH67" s="1"/>
  <c r="CI40"/>
  <c r="CH71" s="1"/>
  <c r="CI44"/>
  <c r="CJ75" s="1"/>
  <c r="CI48"/>
  <c r="CJ79" s="1"/>
  <c r="CI52"/>
  <c r="CI83" s="1"/>
  <c r="CI56"/>
  <c r="CI87" s="1"/>
  <c r="CL37" i="18"/>
  <c r="CK68" s="1"/>
  <c r="CL41"/>
  <c r="CK72" s="1"/>
  <c r="CL45"/>
  <c r="CK76" s="1"/>
  <c r="CL49"/>
  <c r="CK80" s="1"/>
  <c r="CL53"/>
  <c r="CK84" s="1"/>
  <c r="BQ57"/>
  <c r="BP88" s="1"/>
  <c r="S87" i="16"/>
  <c r="CF87" i="18"/>
  <c r="CE87"/>
  <c r="BI87"/>
  <c r="AJ87"/>
  <c r="AI87"/>
  <c r="BF87"/>
  <c r="BZ87"/>
  <c r="BY87"/>
  <c r="BC87"/>
  <c r="AD87"/>
  <c r="AE87"/>
  <c r="BX87"/>
  <c r="AX87"/>
  <c r="AY87"/>
  <c r="AB87"/>
  <c r="Z121" s="1"/>
  <c r="BM87" i="16"/>
  <c r="BN87"/>
  <c r="AQ87"/>
  <c r="BK87"/>
  <c r="BL87"/>
  <c r="AL87"/>
  <c r="AU87"/>
  <c r="AW87"/>
  <c r="X87"/>
  <c r="BP87"/>
  <c r="BQ87"/>
  <c r="AT87"/>
  <c r="T87"/>
  <c r="V87"/>
  <c r="CJ87" i="18"/>
  <c r="CJ65" i="16"/>
  <c r="CI65"/>
  <c r="CH99" s="1"/>
  <c r="CJ68"/>
  <c r="CH70"/>
  <c r="CJ70"/>
  <c r="CH72"/>
  <c r="CH74"/>
  <c r="CI74"/>
  <c r="CI76"/>
  <c r="CJ78"/>
  <c r="CH78"/>
  <c r="CH80"/>
  <c r="CH82"/>
  <c r="CI82"/>
  <c r="CH116" s="1"/>
  <c r="CH84"/>
  <c r="CH86"/>
  <c r="CI86"/>
  <c r="CK66" i="18"/>
  <c r="CL67"/>
  <c r="CK67"/>
  <c r="CM69"/>
  <c r="CL71"/>
  <c r="CK71"/>
  <c r="CM73"/>
  <c r="CL75"/>
  <c r="CK75"/>
  <c r="CM77"/>
  <c r="CL79"/>
  <c r="CK79"/>
  <c r="CM81"/>
  <c r="CL83"/>
  <c r="CK83"/>
  <c r="CM85"/>
  <c r="CL87"/>
  <c r="CK87"/>
  <c r="S87"/>
  <c r="AV87"/>
  <c r="AU87"/>
  <c r="W87"/>
  <c r="BP87"/>
  <c r="BR87"/>
  <c r="AR87"/>
  <c r="U87"/>
  <c r="T87"/>
  <c r="BO87"/>
  <c r="AP87"/>
  <c r="AO87"/>
  <c r="BL87"/>
  <c r="AM87"/>
  <c r="AN87"/>
  <c r="BZ87" i="16"/>
  <c r="BY121" s="1"/>
  <c r="BA87"/>
  <c r="BC87"/>
  <c r="AD87"/>
  <c r="BX87"/>
  <c r="BV87"/>
  <c r="AY87"/>
  <c r="Z87"/>
  <c r="AB87"/>
  <c r="BG87"/>
  <c r="AK87"/>
  <c r="AJ87"/>
  <c r="AI121" s="1"/>
  <c r="BE87"/>
  <c r="CG87"/>
  <c r="CE87"/>
  <c r="CJ66"/>
  <c r="CJ67"/>
  <c r="CI67"/>
  <c r="CH101" s="1"/>
  <c r="CJ69"/>
  <c r="CJ71"/>
  <c r="CI71"/>
  <c r="CH73"/>
  <c r="CI75"/>
  <c r="CH75"/>
  <c r="CI77"/>
  <c r="CI79"/>
  <c r="CH79"/>
  <c r="CI81"/>
  <c r="CH83"/>
  <c r="CJ83"/>
  <c r="CI85"/>
  <c r="CJ87"/>
  <c r="CH87"/>
  <c r="CH121" s="1"/>
  <c r="CM65" i="18"/>
  <c r="CL68"/>
  <c r="CM68"/>
  <c r="CK70"/>
  <c r="CL72"/>
  <c r="CM72"/>
  <c r="CK74"/>
  <c r="CL76"/>
  <c r="CM76"/>
  <c r="CK78"/>
  <c r="CL80"/>
  <c r="CM80"/>
  <c r="CK82"/>
  <c r="CL84"/>
  <c r="CM84"/>
  <c r="CK86"/>
  <c r="BQ88"/>
  <c r="BR88"/>
  <c r="AX121"/>
  <c r="BM121" i="16"/>
  <c r="BP121"/>
  <c r="CH108"/>
  <c r="CH112"/>
  <c r="CH120"/>
  <c r="BV121"/>
  <c r="CE121"/>
  <c r="CH105"/>
  <c r="Q87" i="18"/>
  <c r="R87"/>
  <c r="BG87"/>
  <c r="BH87"/>
  <c r="BE87"/>
  <c r="BD87"/>
  <c r="BD121" s="1"/>
  <c r="CI68" i="16"/>
  <c r="CH68"/>
  <c r="CH102" s="1"/>
  <c r="CI72"/>
  <c r="CJ72"/>
  <c r="CH106" s="1"/>
  <c r="CH76"/>
  <c r="CJ76"/>
  <c r="CH110" s="1"/>
  <c r="CJ80"/>
  <c r="CI80"/>
  <c r="CJ84"/>
  <c r="CI84"/>
  <c r="CM66" i="18"/>
  <c r="CL66"/>
  <c r="CK69"/>
  <c r="CL69"/>
  <c r="CK73"/>
  <c r="CL73"/>
  <c r="CK77"/>
  <c r="CL77"/>
  <c r="CK81"/>
  <c r="CL81"/>
  <c r="CK85"/>
  <c r="CL85"/>
  <c r="AO87" i="16"/>
  <c r="AP87"/>
  <c r="AM87"/>
  <c r="AN87"/>
  <c r="AL121" s="1"/>
  <c r="Y87"/>
  <c r="W87"/>
  <c r="AR87"/>
  <c r="AS87"/>
  <c r="CH66"/>
  <c r="CI66"/>
  <c r="CH69"/>
  <c r="CI69"/>
  <c r="CI73"/>
  <c r="CJ73"/>
  <c r="CH107" s="1"/>
  <c r="CJ77"/>
  <c r="CH77"/>
  <c r="CJ81"/>
  <c r="CH81"/>
  <c r="CH85"/>
  <c r="CJ85"/>
  <c r="CH119" s="1"/>
  <c r="CK65" i="18"/>
  <c r="CL65"/>
  <c r="CM70"/>
  <c r="CL70"/>
  <c r="CM74"/>
  <c r="CL74"/>
  <c r="CM78"/>
  <c r="CL78"/>
  <c r="CM82"/>
  <c r="CL82"/>
  <c r="CM86"/>
  <c r="CL86"/>
  <c r="BP154" l="1"/>
  <c r="CK152"/>
  <c r="CK150"/>
  <c r="CK148"/>
  <c r="CK146"/>
  <c r="CK144"/>
  <c r="CK142"/>
  <c r="CK140"/>
  <c r="CK138"/>
  <c r="CK136"/>
  <c r="CK134"/>
  <c r="CK131"/>
  <c r="CH153" i="16"/>
  <c r="CH151"/>
  <c r="CH149"/>
  <c r="CH147"/>
  <c r="CH145"/>
  <c r="CH143"/>
  <c r="CH141"/>
  <c r="CH139"/>
  <c r="CH137"/>
  <c r="CH135"/>
  <c r="CH133"/>
  <c r="CH132"/>
  <c r="CE153"/>
  <c r="BD153"/>
  <c r="AI153"/>
  <c r="BG153"/>
  <c r="Z153"/>
  <c r="AX153"/>
  <c r="BV153"/>
  <c r="AC153"/>
  <c r="BA153"/>
  <c r="BY153"/>
  <c r="AL153" i="18"/>
  <c r="BJ153"/>
  <c r="AO153"/>
  <c r="BM153"/>
  <c r="T153"/>
  <c r="AR153"/>
  <c r="BP153"/>
  <c r="W153"/>
  <c r="AU153"/>
  <c r="Q153"/>
  <c r="CK153"/>
  <c r="CK151"/>
  <c r="CK149"/>
  <c r="CK147"/>
  <c r="CK145"/>
  <c r="CK143"/>
  <c r="CK141"/>
  <c r="CK139"/>
  <c r="CK137"/>
  <c r="CK135"/>
  <c r="CK133"/>
  <c r="CK132"/>
  <c r="CH152" i="16"/>
  <c r="CH150"/>
  <c r="CH148"/>
  <c r="CH146"/>
  <c r="CH144"/>
  <c r="CH142"/>
  <c r="CH140"/>
  <c r="CH138"/>
  <c r="CH136"/>
  <c r="CH134"/>
  <c r="CH131"/>
  <c r="CH153" i="18"/>
  <c r="T153" i="16"/>
  <c r="AR153"/>
  <c r="BP153"/>
  <c r="W153"/>
  <c r="AU153"/>
  <c r="AL153"/>
  <c r="BJ153"/>
  <c r="AO153"/>
  <c r="BM153"/>
  <c r="Z153" i="18"/>
  <c r="AX153"/>
  <c r="BV153"/>
  <c r="AC153"/>
  <c r="BA153"/>
  <c r="BY153"/>
  <c r="BD153"/>
  <c r="AI153"/>
  <c r="BG153"/>
  <c r="CE153"/>
  <c r="Q153" i="16"/>
  <c r="Z79" i="5"/>
  <c r="DA26" i="18" s="1"/>
  <c r="Y79" i="5"/>
  <c r="CZ26" i="18" s="1"/>
  <c r="F79" i="5"/>
  <c r="CG26" i="18" s="1"/>
  <c r="N79" i="5"/>
  <c r="CO26" i="18" s="1"/>
  <c r="V79" i="5"/>
  <c r="CW26" i="18" s="1"/>
  <c r="I79" i="5"/>
  <c r="CJ26" i="18" s="1"/>
  <c r="Q79" i="5"/>
  <c r="CR26" i="18" s="1"/>
  <c r="H79" i="5"/>
  <c r="CI26" i="18" s="1"/>
  <c r="P79" i="5"/>
  <c r="CQ26" i="18" s="1"/>
  <c r="X79" i="5"/>
  <c r="CY26" i="18" s="1"/>
  <c r="G79" i="5"/>
  <c r="O79"/>
  <c r="CP26" i="18" s="1"/>
  <c r="W79" i="5"/>
  <c r="F79" i="4"/>
  <c r="BA26" i="18" s="1"/>
  <c r="N79" i="4"/>
  <c r="BI26" i="18" s="1"/>
  <c r="V79" i="4"/>
  <c r="BQ26" i="18" s="1"/>
  <c r="I79" i="4"/>
  <c r="BD26" i="18" s="1"/>
  <c r="Q79" i="4"/>
  <c r="BL26" i="18" s="1"/>
  <c r="H79" i="4"/>
  <c r="BC26" i="18" s="1"/>
  <c r="P79" i="4"/>
  <c r="BK26" i="18" s="1"/>
  <c r="X79" i="4"/>
  <c r="BS26" i="18" s="1"/>
  <c r="G79" i="4"/>
  <c r="O79"/>
  <c r="BJ26" i="18" s="1"/>
  <c r="W79" i="4"/>
  <c r="Z79"/>
  <c r="BU26" i="18" s="1"/>
  <c r="Y79" i="4"/>
  <c r="BT26" i="18" s="1"/>
  <c r="B79" i="5"/>
  <c r="CC26" i="18" s="1"/>
  <c r="J79" i="5"/>
  <c r="CK26" i="18" s="1"/>
  <c r="R79" i="5"/>
  <c r="CS26" i="18" s="1"/>
  <c r="E79" i="5"/>
  <c r="CF26" i="18" s="1"/>
  <c r="M79" i="5"/>
  <c r="CN26" i="18" s="1"/>
  <c r="U79" i="5"/>
  <c r="CV26" i="18" s="1"/>
  <c r="D79" i="5"/>
  <c r="CE26" i="18" s="1"/>
  <c r="L79" i="5"/>
  <c r="CM26" i="18" s="1"/>
  <c r="T79" i="5"/>
  <c r="C79"/>
  <c r="CD26" i="18" s="1"/>
  <c r="K79" i="5"/>
  <c r="CL26" i="18" s="1"/>
  <c r="B79" i="4"/>
  <c r="AW26" i="18" s="1"/>
  <c r="J79" i="4"/>
  <c r="BE26" i="18" s="1"/>
  <c r="R79" i="4"/>
  <c r="BM26" i="18" s="1"/>
  <c r="E79" i="4"/>
  <c r="AZ26" i="18" s="1"/>
  <c r="M79" i="4"/>
  <c r="BH26" i="18" s="1"/>
  <c r="U79" i="4"/>
  <c r="BP26" i="18" s="1"/>
  <c r="D79" i="4"/>
  <c r="AY26" i="18" s="1"/>
  <c r="L79" i="4"/>
  <c r="BG26" i="18" s="1"/>
  <c r="T79" i="4"/>
  <c r="C79"/>
  <c r="AX26" i="18" s="1"/>
  <c r="K79" i="4"/>
  <c r="BF26" i="18" s="1"/>
  <c r="AA83" i="5"/>
  <c r="AB55"/>
  <c r="AA56"/>
  <c r="DB3" i="18" s="1"/>
  <c r="AA57" i="5"/>
  <c r="DB4" i="18" s="1"/>
  <c r="AA58" i="5"/>
  <c r="DB5" i="18" s="1"/>
  <c r="AA59" i="5"/>
  <c r="DB6" i="18" s="1"/>
  <c r="AA60" i="5"/>
  <c r="DB7" i="18" s="1"/>
  <c r="AA61" i="5"/>
  <c r="DB8" i="18" s="1"/>
  <c r="AA62" i="5"/>
  <c r="DB9" i="18" s="1"/>
  <c r="AA63" i="5"/>
  <c r="DB10" i="18" s="1"/>
  <c r="AA64" i="5"/>
  <c r="DB11" i="18" s="1"/>
  <c r="AA65" i="5"/>
  <c r="DB12" i="18" s="1"/>
  <c r="AA66" i="5"/>
  <c r="DB13" i="18" s="1"/>
  <c r="AA67" i="5"/>
  <c r="DB14" i="18" s="1"/>
  <c r="AA68" i="5"/>
  <c r="DB15" i="18" s="1"/>
  <c r="AA69" i="5"/>
  <c r="DB16" i="18" s="1"/>
  <c r="AA70" i="5"/>
  <c r="DB17" i="18" s="1"/>
  <c r="AA71" i="5"/>
  <c r="DB18" i="18" s="1"/>
  <c r="AA72" i="5"/>
  <c r="DB19" i="18" s="1"/>
  <c r="AA73" i="5"/>
  <c r="DB20" i="18" s="1"/>
  <c r="AA74" i="5"/>
  <c r="DB21" i="18" s="1"/>
  <c r="AA75" i="5"/>
  <c r="DB22" i="18" s="1"/>
  <c r="AA76" i="5"/>
  <c r="DB23" i="18" s="1"/>
  <c r="AA77" i="5"/>
  <c r="DB24" i="18" s="1"/>
  <c r="AA78" i="5"/>
  <c r="DB25" i="18" s="1"/>
  <c r="AA79" i="5"/>
  <c r="DB26" i="18" s="1"/>
  <c r="Z86" i="5"/>
  <c r="DA5" i="16" s="1"/>
  <c r="Z85" i="5"/>
  <c r="DA4" i="16" s="1"/>
  <c r="Z84" i="5"/>
  <c r="DA3" i="16" s="1"/>
  <c r="Z87" i="5"/>
  <c r="DA6" i="16" s="1"/>
  <c r="Z88" i="5"/>
  <c r="DA7" i="16" s="1"/>
  <c r="Z89" i="5"/>
  <c r="DA8" i="16" s="1"/>
  <c r="Z90" i="5"/>
  <c r="DA9" i="16" s="1"/>
  <c r="Z91" i="5"/>
  <c r="DA10" i="16" s="1"/>
  <c r="Z92" i="5"/>
  <c r="DA11" i="16" s="1"/>
  <c r="Z93" i="5"/>
  <c r="DA12" i="16" s="1"/>
  <c r="Z94" i="5"/>
  <c r="DA13" i="16" s="1"/>
  <c r="Z95" i="5"/>
  <c r="DA14" i="16" s="1"/>
  <c r="Z96" i="5"/>
  <c r="DA15" i="16" s="1"/>
  <c r="Z97" i="5"/>
  <c r="DA16" i="16" s="1"/>
  <c r="Z98" i="5"/>
  <c r="DA17" i="16" s="1"/>
  <c r="Z99" i="5"/>
  <c r="DA18" i="16" s="1"/>
  <c r="Z100" i="5"/>
  <c r="DA19" i="16" s="1"/>
  <c r="Z101" i="5"/>
  <c r="DA20" i="16" s="1"/>
  <c r="Z102" i="5"/>
  <c r="DA21" i="16" s="1"/>
  <c r="Z103" i="5"/>
  <c r="DA22" i="16" s="1"/>
  <c r="Z104" i="5"/>
  <c r="DA23" i="16" s="1"/>
  <c r="Z105" i="5"/>
  <c r="DA24" i="16" s="1"/>
  <c r="Z106" i="5"/>
  <c r="DA25" i="16" s="1"/>
  <c r="AA83" i="4"/>
  <c r="AB55"/>
  <c r="AA56"/>
  <c r="BV3" i="18" s="1"/>
  <c r="AA57" i="4"/>
  <c r="BV4" i="18" s="1"/>
  <c r="AA58" i="4"/>
  <c r="BV5" i="18" s="1"/>
  <c r="AA59" i="4"/>
  <c r="BV6" i="18" s="1"/>
  <c r="AA60" i="4"/>
  <c r="BV7" i="18" s="1"/>
  <c r="AA61" i="4"/>
  <c r="BV8" i="18" s="1"/>
  <c r="AA62" i="4"/>
  <c r="BV9" i="18" s="1"/>
  <c r="AA63" i="4"/>
  <c r="BV10" i="18" s="1"/>
  <c r="AA64" i="4"/>
  <c r="BV11" i="18" s="1"/>
  <c r="AA65" i="4"/>
  <c r="BV12" i="18" s="1"/>
  <c r="AA66" i="4"/>
  <c r="BV13" i="18" s="1"/>
  <c r="AA67" i="4"/>
  <c r="BV14" i="18" s="1"/>
  <c r="AA68" i="4"/>
  <c r="BV15" i="18" s="1"/>
  <c r="AA69" i="4"/>
  <c r="BV16" i="18" s="1"/>
  <c r="AA70" i="4"/>
  <c r="BV17" i="18" s="1"/>
  <c r="AA71" i="4"/>
  <c r="BV18" i="18" s="1"/>
  <c r="AA72" i="4"/>
  <c r="BV19" i="18" s="1"/>
  <c r="AA73" i="4"/>
  <c r="BV20" i="18" s="1"/>
  <c r="AA74" i="4"/>
  <c r="BV21" i="18" s="1"/>
  <c r="AA75" i="4"/>
  <c r="BV22" i="18" s="1"/>
  <c r="AA76" i="4"/>
  <c r="BV23" i="18" s="1"/>
  <c r="AA77" i="4"/>
  <c r="BV24" i="18" s="1"/>
  <c r="AA78" i="4"/>
  <c r="BV25" i="18" s="1"/>
  <c r="AA79" i="4"/>
  <c r="BV26" i="18" s="1"/>
  <c r="Z86" i="4"/>
  <c r="BU5" i="16" s="1"/>
  <c r="Z85" i="4"/>
  <c r="BU4" i="16" s="1"/>
  <c r="Z84" i="4"/>
  <c r="BU3" i="16" s="1"/>
  <c r="Z87" i="4"/>
  <c r="BU6" i="16" s="1"/>
  <c r="Z88" i="4"/>
  <c r="BU7" i="16" s="1"/>
  <c r="Z89" i="4"/>
  <c r="BU8" i="16" s="1"/>
  <c r="Z90" i="4"/>
  <c r="BU9" i="16" s="1"/>
  <c r="Z91" i="4"/>
  <c r="BU10" i="16" s="1"/>
  <c r="Z92" i="4"/>
  <c r="BU11" i="16" s="1"/>
  <c r="Z93" i="4"/>
  <c r="BU12" i="16" s="1"/>
  <c r="Z94" i="4"/>
  <c r="BU13" i="16" s="1"/>
  <c r="Z95" i="4"/>
  <c r="BU14" i="16" s="1"/>
  <c r="Z96" i="4"/>
  <c r="BU15" i="16" s="1"/>
  <c r="Z97" i="4"/>
  <c r="BU16" i="16" s="1"/>
  <c r="Z98" i="4"/>
  <c r="BU17" i="16" s="1"/>
  <c r="Z99" i="4"/>
  <c r="BU18" i="16" s="1"/>
  <c r="Z100" i="4"/>
  <c r="BU19" i="16" s="1"/>
  <c r="Z101" i="4"/>
  <c r="BU20" i="16" s="1"/>
  <c r="Z102" i="4"/>
  <c r="BU21" i="16" s="1"/>
  <c r="Z103" i="4"/>
  <c r="BU22" i="16" s="1"/>
  <c r="Z104" i="4"/>
  <c r="BU23" i="16" s="1"/>
  <c r="Z105" i="4"/>
  <c r="BU24" i="16" s="1"/>
  <c r="Z106" i="4"/>
  <c r="BU25" i="16" s="1"/>
  <c r="A50" i="5"/>
  <c r="A50" i="4"/>
  <c r="Z107" s="1"/>
  <c r="BU26" i="16" s="1"/>
  <c r="A51" i="3"/>
  <c r="U210" i="5"/>
  <c r="U238" s="1"/>
  <c r="U163" i="4"/>
  <c r="U191" s="1"/>
  <c r="W1" i="3"/>
  <c r="V162"/>
  <c r="V189" s="1"/>
  <c r="V1" i="5"/>
  <c r="V1" i="4"/>
  <c r="CK118" i="18"/>
  <c r="CK110"/>
  <c r="CK102"/>
  <c r="CH113" i="16"/>
  <c r="Z121"/>
  <c r="AL121" i="18"/>
  <c r="T121"/>
  <c r="AU121"/>
  <c r="CK117"/>
  <c r="CK109"/>
  <c r="CK101"/>
  <c r="T121" i="16"/>
  <c r="BJ121"/>
  <c r="BY121" i="18"/>
  <c r="CE121"/>
  <c r="CK116"/>
  <c r="CK108"/>
  <c r="CK99"/>
  <c r="CH111" i="16"/>
  <c r="CH100"/>
  <c r="BG121"/>
  <c r="AC121"/>
  <c r="BM121" i="18"/>
  <c r="W121"/>
  <c r="CK119"/>
  <c r="CK111"/>
  <c r="CK103"/>
  <c r="CH118" i="16"/>
  <c r="CH121" i="18"/>
  <c r="W121" i="16"/>
  <c r="BV121" i="18"/>
  <c r="BG121"/>
  <c r="CM57"/>
  <c r="CA57"/>
  <c r="BI57"/>
  <c r="AZ57"/>
  <c r="AT57"/>
  <c r="CP36"/>
  <c r="CP40"/>
  <c r="CP44"/>
  <c r="CP48"/>
  <c r="CP52"/>
  <c r="CP56"/>
  <c r="CM34" i="16"/>
  <c r="CM40"/>
  <c r="CM44"/>
  <c r="CM48"/>
  <c r="CM52"/>
  <c r="CM56"/>
  <c r="BC57" i="18"/>
  <c r="AK57"/>
  <c r="BF57"/>
  <c r="AB57"/>
  <c r="AW57"/>
  <c r="CP35"/>
  <c r="CP39"/>
  <c r="CP43"/>
  <c r="CP47"/>
  <c r="CP51"/>
  <c r="CP55"/>
  <c r="CM35" i="16"/>
  <c r="CM39"/>
  <c r="CM43"/>
  <c r="CM47"/>
  <c r="CM51"/>
  <c r="CM55"/>
  <c r="AD57" i="18"/>
  <c r="BK57"/>
  <c r="CI57"/>
  <c r="AY57"/>
  <c r="AS57"/>
  <c r="CO36"/>
  <c r="CO40"/>
  <c r="CO44"/>
  <c r="CO48"/>
  <c r="CO52"/>
  <c r="CO56"/>
  <c r="CL34" i="16"/>
  <c r="CL40"/>
  <c r="CL44"/>
  <c r="CL48"/>
  <c r="CL52"/>
  <c r="CL56"/>
  <c r="AM57" i="18"/>
  <c r="CF57"/>
  <c r="CL57"/>
  <c r="AA57"/>
  <c r="AV57"/>
  <c r="CO35"/>
  <c r="CO39"/>
  <c r="CO43"/>
  <c r="CO47"/>
  <c r="CO51"/>
  <c r="CO55"/>
  <c r="CL35" i="16"/>
  <c r="CL39"/>
  <c r="CL43"/>
  <c r="CL47"/>
  <c r="CL51"/>
  <c r="CL55"/>
  <c r="AY88" i="18"/>
  <c r="AS88"/>
  <c r="CP67"/>
  <c r="CP71"/>
  <c r="CP75"/>
  <c r="CP79"/>
  <c r="CP83"/>
  <c r="CP87"/>
  <c r="CK65" i="16"/>
  <c r="CL71"/>
  <c r="CK75"/>
  <c r="CL79"/>
  <c r="CK83"/>
  <c r="CK87"/>
  <c r="CK88" i="18"/>
  <c r="AA88"/>
  <c r="AU88"/>
  <c r="CN66"/>
  <c r="CN70"/>
  <c r="CN74"/>
  <c r="CN78"/>
  <c r="CN82"/>
  <c r="CN86"/>
  <c r="CM66" i="16"/>
  <c r="CM70"/>
  <c r="CK74"/>
  <c r="CK78"/>
  <c r="CM82"/>
  <c r="CM86"/>
  <c r="BP122" i="18"/>
  <c r="CK114"/>
  <c r="CK106"/>
  <c r="CH117" i="16"/>
  <c r="CH109"/>
  <c r="BA121"/>
  <c r="AO121" i="18"/>
  <c r="BP121"/>
  <c r="CK121"/>
  <c r="CK113"/>
  <c r="CK105"/>
  <c r="CH104" i="16"/>
  <c r="AU121"/>
  <c r="AC121" i="18"/>
  <c r="AI121"/>
  <c r="CK120"/>
  <c r="CK112"/>
  <c r="CK104"/>
  <c r="CH115" i="16"/>
  <c r="CH103"/>
  <c r="BD121"/>
  <c r="AX121"/>
  <c r="BJ121" i="18"/>
  <c r="AR121"/>
  <c r="Q121"/>
  <c r="CK115"/>
  <c r="CK107"/>
  <c r="CK100"/>
  <c r="CH114" i="16"/>
  <c r="AR121"/>
  <c r="AO121"/>
  <c r="BA121" i="18"/>
  <c r="Q121" i="16"/>
  <c r="S57" i="18"/>
  <c r="AE57"/>
  <c r="AD88" s="1"/>
  <c r="BL57"/>
  <c r="BJ88" s="1"/>
  <c r="BO57"/>
  <c r="Y57"/>
  <c r="CP34"/>
  <c r="CP38"/>
  <c r="CP42"/>
  <c r="CP46"/>
  <c r="CP50"/>
  <c r="CP54"/>
  <c r="CM36" i="16"/>
  <c r="CM38"/>
  <c r="CM42"/>
  <c r="CM46"/>
  <c r="CM50"/>
  <c r="CM54"/>
  <c r="CJ57" i="18"/>
  <c r="CJ88" s="1"/>
  <c r="AN57"/>
  <c r="AM88" s="1"/>
  <c r="CG57"/>
  <c r="CE88" s="1"/>
  <c r="AQ57"/>
  <c r="BX57"/>
  <c r="V57"/>
  <c r="CP37"/>
  <c r="CP41"/>
  <c r="CP45"/>
  <c r="CP49"/>
  <c r="CP53"/>
  <c r="CP57"/>
  <c r="CM37" i="16"/>
  <c r="CM41"/>
  <c r="CM45"/>
  <c r="CM49"/>
  <c r="CM53"/>
  <c r="R57" i="18"/>
  <c r="BZ57"/>
  <c r="BH57"/>
  <c r="BN57"/>
  <c r="X57"/>
  <c r="CO34"/>
  <c r="CO38"/>
  <c r="CO42"/>
  <c r="CO46"/>
  <c r="CO50"/>
  <c r="CO54"/>
  <c r="CL36" i="16"/>
  <c r="CL38"/>
  <c r="CL42"/>
  <c r="CL46"/>
  <c r="CL50"/>
  <c r="CL54"/>
  <c r="BB57" i="18"/>
  <c r="AJ57"/>
  <c r="BE57"/>
  <c r="AP57"/>
  <c r="BW57"/>
  <c r="U57"/>
  <c r="CO37"/>
  <c r="CO41"/>
  <c r="CO45"/>
  <c r="CO49"/>
  <c r="CO53"/>
  <c r="CO57"/>
  <c r="CL37" i="16"/>
  <c r="CL41"/>
  <c r="CL45"/>
  <c r="CL49"/>
  <c r="CL53"/>
  <c r="CL57"/>
  <c r="S88" i="18"/>
  <c r="AE88"/>
  <c r="AC88"/>
  <c r="AC122" s="1"/>
  <c r="CA88"/>
  <c r="BK88"/>
  <c r="BL88"/>
  <c r="BI88"/>
  <c r="CH88"/>
  <c r="CI88"/>
  <c r="BM88"/>
  <c r="AX88"/>
  <c r="AZ88"/>
  <c r="Y88"/>
  <c r="AT88"/>
  <c r="AR88"/>
  <c r="AR122" s="1"/>
  <c r="CP65"/>
  <c r="CO67"/>
  <c r="CN67"/>
  <c r="CP69"/>
  <c r="CO71"/>
  <c r="CN71"/>
  <c r="CP73"/>
  <c r="CO75"/>
  <c r="CN75"/>
  <c r="CP77"/>
  <c r="CO79"/>
  <c r="CN79"/>
  <c r="CP81"/>
  <c r="CO83"/>
  <c r="CN83"/>
  <c r="CP85"/>
  <c r="CO87"/>
  <c r="CN87"/>
  <c r="CK67" i="16"/>
  <c r="CL65"/>
  <c r="CM65"/>
  <c r="CM69"/>
  <c r="CM71"/>
  <c r="CK71"/>
  <c r="CL73"/>
  <c r="CL75"/>
  <c r="CM75"/>
  <c r="CM77"/>
  <c r="CM79"/>
  <c r="CK79"/>
  <c r="CL81"/>
  <c r="CL83"/>
  <c r="CM83"/>
  <c r="CL85"/>
  <c r="CL87"/>
  <c r="CM87"/>
  <c r="BA88" i="18"/>
  <c r="AN88"/>
  <c r="AL88"/>
  <c r="AK88"/>
  <c r="CG88"/>
  <c r="CF88"/>
  <c r="CE122" s="1"/>
  <c r="BE88"/>
  <c r="CM88"/>
  <c r="CL88"/>
  <c r="CK122" s="1"/>
  <c r="AO88"/>
  <c r="Z88"/>
  <c r="AB88"/>
  <c r="BV88"/>
  <c r="AV88"/>
  <c r="AW88"/>
  <c r="T88"/>
  <c r="CO66"/>
  <c r="CP66"/>
  <c r="CN68"/>
  <c r="CO70"/>
  <c r="CP70"/>
  <c r="CN72"/>
  <c r="CO74"/>
  <c r="CP74"/>
  <c r="CN76"/>
  <c r="CO78"/>
  <c r="CP78"/>
  <c r="CN80"/>
  <c r="CO82"/>
  <c r="CP82"/>
  <c r="CN84"/>
  <c r="CO86"/>
  <c r="CP86"/>
  <c r="CP88"/>
  <c r="CK66" i="16"/>
  <c r="CL66"/>
  <c r="CK100" s="1"/>
  <c r="CK68"/>
  <c r="CK70"/>
  <c r="CL70"/>
  <c r="CK104" s="1"/>
  <c r="CM72"/>
  <c r="CL74"/>
  <c r="CM74"/>
  <c r="CK76"/>
  <c r="CL78"/>
  <c r="CM78"/>
  <c r="CK80"/>
  <c r="CL82"/>
  <c r="CK82"/>
  <c r="CL84"/>
  <c r="CK86"/>
  <c r="CL86"/>
  <c r="CK120" s="1"/>
  <c r="CH122" i="18"/>
  <c r="CK105" i="16"/>
  <c r="CK113"/>
  <c r="AL122" i="18"/>
  <c r="Q88"/>
  <c r="R88"/>
  <c r="BO88"/>
  <c r="BN88"/>
  <c r="W88"/>
  <c r="X88"/>
  <c r="CN65"/>
  <c r="CO65"/>
  <c r="CN69"/>
  <c r="CO69"/>
  <c r="CN73"/>
  <c r="CO73"/>
  <c r="CN77"/>
  <c r="CO77"/>
  <c r="CN81"/>
  <c r="CO81"/>
  <c r="CN85"/>
  <c r="CO85"/>
  <c r="CL67" i="16"/>
  <c r="CM67"/>
  <c r="CK101" s="1"/>
  <c r="CL69"/>
  <c r="CK69"/>
  <c r="CK103" s="1"/>
  <c r="CM73"/>
  <c r="CK73"/>
  <c r="CL77"/>
  <c r="CK77"/>
  <c r="CK111" s="1"/>
  <c r="CK81"/>
  <c r="CM81"/>
  <c r="CK115" s="1"/>
  <c r="CK85"/>
  <c r="CM85"/>
  <c r="CK119" s="1"/>
  <c r="AQ88" i="18"/>
  <c r="AP88"/>
  <c r="BX88"/>
  <c r="BW88"/>
  <c r="V88"/>
  <c r="U88"/>
  <c r="CP68"/>
  <c r="CO68"/>
  <c r="CP72"/>
  <c r="CO72"/>
  <c r="CP76"/>
  <c r="CO76"/>
  <c r="CP80"/>
  <c r="CO80"/>
  <c r="CP84"/>
  <c r="CO84"/>
  <c r="CO88"/>
  <c r="CN88"/>
  <c r="CN122" s="1"/>
  <c r="CM68" i="16"/>
  <c r="CL68"/>
  <c r="CL72"/>
  <c r="CK72"/>
  <c r="CK106" s="1"/>
  <c r="CL76"/>
  <c r="CM76"/>
  <c r="CK110" s="1"/>
  <c r="CL80"/>
  <c r="CM80"/>
  <c r="CK114" s="1"/>
  <c r="CM84"/>
  <c r="CK84"/>
  <c r="BZ88" i="18"/>
  <c r="BY88"/>
  <c r="BY122" s="1"/>
  <c r="BH88"/>
  <c r="BG88"/>
  <c r="BG122" s="1"/>
  <c r="BB88"/>
  <c r="BC88"/>
  <c r="BA122" s="1"/>
  <c r="AJ88"/>
  <c r="AI88"/>
  <c r="AI122" s="1"/>
  <c r="BF88"/>
  <c r="BD88"/>
  <c r="CK152" i="16" l="1"/>
  <c r="CK150"/>
  <c r="CK148"/>
  <c r="CK146"/>
  <c r="CK144"/>
  <c r="CK142"/>
  <c r="CK140"/>
  <c r="CK138"/>
  <c r="CK136"/>
  <c r="CK134"/>
  <c r="CK132"/>
  <c r="CN154" i="18"/>
  <c r="CN152"/>
  <c r="CN150"/>
  <c r="CN148"/>
  <c r="CN146"/>
  <c r="CN144"/>
  <c r="CN142"/>
  <c r="CN140"/>
  <c r="CN138"/>
  <c r="CN136"/>
  <c r="CN134"/>
  <c r="CN132"/>
  <c r="T154"/>
  <c r="AU154"/>
  <c r="BV154"/>
  <c r="Z154"/>
  <c r="AO154"/>
  <c r="CK154"/>
  <c r="BD154"/>
  <c r="CE154"/>
  <c r="AI154"/>
  <c r="AL154"/>
  <c r="BA154"/>
  <c r="CK153" i="16"/>
  <c r="CK151"/>
  <c r="CK149"/>
  <c r="CK147"/>
  <c r="CK145"/>
  <c r="CK143"/>
  <c r="CK141"/>
  <c r="CK139"/>
  <c r="CK137"/>
  <c r="CK135"/>
  <c r="CK131"/>
  <c r="CK133"/>
  <c r="CN153" i="18"/>
  <c r="CN151"/>
  <c r="CN149"/>
  <c r="CN147"/>
  <c r="CN145"/>
  <c r="CN143"/>
  <c r="CN141"/>
  <c r="CN139"/>
  <c r="CN137"/>
  <c r="CN135"/>
  <c r="CN133"/>
  <c r="CN131"/>
  <c r="AR154"/>
  <c r="W154"/>
  <c r="AX154"/>
  <c r="BM154"/>
  <c r="CH154"/>
  <c r="BG154"/>
  <c r="BJ154"/>
  <c r="BY154"/>
  <c r="AC154"/>
  <c r="Q154"/>
  <c r="Y107" i="5"/>
  <c r="CZ26" i="16" s="1"/>
  <c r="U107" i="5"/>
  <c r="CV26" i="16" s="1"/>
  <c r="Q107" i="5"/>
  <c r="CR26" i="16" s="1"/>
  <c r="M107" i="5"/>
  <c r="CN26" i="16" s="1"/>
  <c r="I107" i="5"/>
  <c r="CJ26" i="16" s="1"/>
  <c r="E107" i="5"/>
  <c r="CF26" i="16" s="1"/>
  <c r="X107" i="5"/>
  <c r="CY26" i="16" s="1"/>
  <c r="T107" i="5"/>
  <c r="P107"/>
  <c r="CQ26" i="16" s="1"/>
  <c r="L107" i="5"/>
  <c r="CM26" i="16" s="1"/>
  <c r="H107" i="5"/>
  <c r="CI26" i="16" s="1"/>
  <c r="D107" i="5"/>
  <c r="CE26" i="16" s="1"/>
  <c r="F107" i="5"/>
  <c r="CG26" i="16" s="1"/>
  <c r="N107" i="5"/>
  <c r="CO26" i="16" s="1"/>
  <c r="V107" i="5"/>
  <c r="CW26" i="16" s="1"/>
  <c r="G107" i="5"/>
  <c r="O107"/>
  <c r="CP26" i="16" s="1"/>
  <c r="W107" i="5"/>
  <c r="B107"/>
  <c r="CC26" i="16" s="1"/>
  <c r="J107" i="5"/>
  <c r="CK26" i="16" s="1"/>
  <c r="R107" i="5"/>
  <c r="CS26" i="16" s="1"/>
  <c r="C107" i="5"/>
  <c r="CD26" i="16" s="1"/>
  <c r="K107" i="5"/>
  <c r="CL26" i="16" s="1"/>
  <c r="S107" i="5"/>
  <c r="CT26" i="16" s="1"/>
  <c r="H107" i="4"/>
  <c r="BC26" i="16" s="1"/>
  <c r="P107" i="4"/>
  <c r="BK26" i="16" s="1"/>
  <c r="X107" i="4"/>
  <c r="BS26" i="16" s="1"/>
  <c r="I107" i="4"/>
  <c r="BD26" i="16" s="1"/>
  <c r="Q107" i="4"/>
  <c r="BL26" i="16" s="1"/>
  <c r="Y107" i="4"/>
  <c r="BT26" i="16" s="1"/>
  <c r="B107" i="4"/>
  <c r="AW26" i="16" s="1"/>
  <c r="J107" i="4"/>
  <c r="BE26" i="16" s="1"/>
  <c r="R107" i="4"/>
  <c r="BM26" i="16" s="1"/>
  <c r="C107" i="4"/>
  <c r="AX26" i="16" s="1"/>
  <c r="K107" i="4"/>
  <c r="BF26" i="16" s="1"/>
  <c r="S107" i="4"/>
  <c r="BN26" i="16" s="1"/>
  <c r="D107" i="4"/>
  <c r="AY26" i="16" s="1"/>
  <c r="L107" i="4"/>
  <c r="BG26" i="16" s="1"/>
  <c r="T107" i="4"/>
  <c r="E107"/>
  <c r="AZ26" i="16" s="1"/>
  <c r="M107" i="4"/>
  <c r="BH26" i="16" s="1"/>
  <c r="U107" i="4"/>
  <c r="BP26" i="16" s="1"/>
  <c r="F107" i="4"/>
  <c r="BA26" i="16" s="1"/>
  <c r="N107" i="4"/>
  <c r="BI26" i="16" s="1"/>
  <c r="V107" i="4"/>
  <c r="BQ26" i="16" s="1"/>
  <c r="G107" i="4"/>
  <c r="O107"/>
  <c r="BJ26" i="16" s="1"/>
  <c r="W107" i="4"/>
  <c r="Z107" i="5"/>
  <c r="DA26" i="16" s="1"/>
  <c r="AA86" i="5"/>
  <c r="DB5" i="16" s="1"/>
  <c r="AA85" i="5"/>
  <c r="DB4" i="16" s="1"/>
  <c r="AA84" i="5"/>
  <c r="DB3" i="16" s="1"/>
  <c r="AA87" i="5"/>
  <c r="DB6" i="16" s="1"/>
  <c r="AA88" i="5"/>
  <c r="DB7" i="16" s="1"/>
  <c r="AA89" i="5"/>
  <c r="DB8" i="16" s="1"/>
  <c r="AA90" i="5"/>
  <c r="DB9" i="16" s="1"/>
  <c r="AA91" i="5"/>
  <c r="DB10" i="16" s="1"/>
  <c r="AA92" i="5"/>
  <c r="DB11" i="16" s="1"/>
  <c r="AA93" i="5"/>
  <c r="DB12" i="16" s="1"/>
  <c r="AA94" i="5"/>
  <c r="DB13" i="16" s="1"/>
  <c r="AA95" i="5"/>
  <c r="DB14" i="16" s="1"/>
  <c r="AA96" i="5"/>
  <c r="DB15" i="16" s="1"/>
  <c r="AA97" i="5"/>
  <c r="DB16" i="16" s="1"/>
  <c r="AA98" i="5"/>
  <c r="DB17" i="16" s="1"/>
  <c r="AA99" i="5"/>
  <c r="DB18" i="16" s="1"/>
  <c r="AA100" i="5"/>
  <c r="DB19" i="16" s="1"/>
  <c r="AA101" i="5"/>
  <c r="DB20" i="16" s="1"/>
  <c r="AA102" i="5"/>
  <c r="DB21" i="16" s="1"/>
  <c r="AA103" i="5"/>
  <c r="DB22" i="16" s="1"/>
  <c r="AA104" i="5"/>
  <c r="DB23" i="16" s="1"/>
  <c r="AA105" i="5"/>
  <c r="DB24" i="16" s="1"/>
  <c r="AA106" i="5"/>
  <c r="DB25" i="16" s="1"/>
  <c r="AA107" i="5"/>
  <c r="DB26" i="16" s="1"/>
  <c r="AB83" i="5"/>
  <c r="AB56"/>
  <c r="DC3" i="18" s="1"/>
  <c r="AB57" i="5"/>
  <c r="DC4" i="18" s="1"/>
  <c r="AC55" i="5"/>
  <c r="AB58"/>
  <c r="DC5" i="18" s="1"/>
  <c r="AB59" i="5"/>
  <c r="DC6" i="18" s="1"/>
  <c r="AB60" i="5"/>
  <c r="DC7" i="18" s="1"/>
  <c r="AB61" i="5"/>
  <c r="DC8" i="18" s="1"/>
  <c r="AB62" i="5"/>
  <c r="DC9" i="18" s="1"/>
  <c r="AB63" i="5"/>
  <c r="DC10" i="18" s="1"/>
  <c r="AB64" i="5"/>
  <c r="DC11" i="18" s="1"/>
  <c r="AB65" i="5"/>
  <c r="DC12" i="18" s="1"/>
  <c r="AB66" i="5"/>
  <c r="DC13" i="18" s="1"/>
  <c r="AB67" i="5"/>
  <c r="DC14" i="18" s="1"/>
  <c r="AB68" i="5"/>
  <c r="DC15" i="18" s="1"/>
  <c r="AB69" i="5"/>
  <c r="DC16" i="18" s="1"/>
  <c r="AB70" i="5"/>
  <c r="DC17" i="18" s="1"/>
  <c r="AB71" i="5"/>
  <c r="DC18" i="18" s="1"/>
  <c r="AB72" i="5"/>
  <c r="DC19" i="18" s="1"/>
  <c r="AB73" i="5"/>
  <c r="DC20" i="18" s="1"/>
  <c r="AB74" i="5"/>
  <c r="DC21" i="18" s="1"/>
  <c r="AB75" i="5"/>
  <c r="DC22" i="18" s="1"/>
  <c r="AB76" i="5"/>
  <c r="DC23" i="18" s="1"/>
  <c r="AB77" i="5"/>
  <c r="DC24" i="18" s="1"/>
  <c r="AB78" i="5"/>
  <c r="DC25" i="18" s="1"/>
  <c r="AB79" i="5"/>
  <c r="DC26" i="18" s="1"/>
  <c r="AA86" i="4"/>
  <c r="BV5" i="16" s="1"/>
  <c r="AA85" i="4"/>
  <c r="BV4" i="16" s="1"/>
  <c r="AA84" i="4"/>
  <c r="BV3" i="16" s="1"/>
  <c r="AA87" i="4"/>
  <c r="BV6" i="16" s="1"/>
  <c r="AA88" i="4"/>
  <c r="BV7" i="16" s="1"/>
  <c r="AA89" i="4"/>
  <c r="BV8" i="16" s="1"/>
  <c r="AA90" i="4"/>
  <c r="BV9" i="16" s="1"/>
  <c r="AA91" i="4"/>
  <c r="BV10" i="16" s="1"/>
  <c r="AA92" i="4"/>
  <c r="BV11" i="16" s="1"/>
  <c r="AA93" i="4"/>
  <c r="BV12" i="16" s="1"/>
  <c r="AA94" i="4"/>
  <c r="BV13" i="16" s="1"/>
  <c r="AA95" i="4"/>
  <c r="BV14" i="16" s="1"/>
  <c r="AA96" i="4"/>
  <c r="BV15" i="16" s="1"/>
  <c r="AA97" i="4"/>
  <c r="BV16" i="16" s="1"/>
  <c r="AA98" i="4"/>
  <c r="BV17" i="16" s="1"/>
  <c r="AA99" i="4"/>
  <c r="BV18" i="16" s="1"/>
  <c r="AA100" i="4"/>
  <c r="BV19" i="16" s="1"/>
  <c r="AA101" i="4"/>
  <c r="BV20" i="16" s="1"/>
  <c r="AA102" i="4"/>
  <c r="BV21" i="16" s="1"/>
  <c r="AA103" i="4"/>
  <c r="BV22" i="16" s="1"/>
  <c r="AA104" i="4"/>
  <c r="BV23" i="16" s="1"/>
  <c r="AA105" i="4"/>
  <c r="BV24" i="16" s="1"/>
  <c r="AA106" i="4"/>
  <c r="BV25" i="16" s="1"/>
  <c r="AA107" i="4"/>
  <c r="BV26" i="16" s="1"/>
  <c r="AB83" i="4"/>
  <c r="AB56"/>
  <c r="BW3" i="18" s="1"/>
  <c r="AB57" i="4"/>
  <c r="BW4" i="18" s="1"/>
  <c r="AC55" i="4"/>
  <c r="AB58"/>
  <c r="BW5" i="18" s="1"/>
  <c r="AB59" i="4"/>
  <c r="BW6" i="18" s="1"/>
  <c r="AB60" i="4"/>
  <c r="BW7" i="18" s="1"/>
  <c r="AB61" i="4"/>
  <c r="BW8" i="18" s="1"/>
  <c r="AB62" i="4"/>
  <c r="BW9" i="18" s="1"/>
  <c r="AB63" i="4"/>
  <c r="BW10" i="18" s="1"/>
  <c r="AB64" i="4"/>
  <c r="BW11" i="18" s="1"/>
  <c r="AB65" i="4"/>
  <c r="BW12" i="18" s="1"/>
  <c r="AB66" i="4"/>
  <c r="BW13" i="18" s="1"/>
  <c r="AB67" i="4"/>
  <c r="BW14" i="18" s="1"/>
  <c r="AB68" i="4"/>
  <c r="BW15" i="18" s="1"/>
  <c r="AB69" i="4"/>
  <c r="BW16" i="18" s="1"/>
  <c r="AB70" i="4"/>
  <c r="BW17" i="18" s="1"/>
  <c r="AB71" i="4"/>
  <c r="BW18" i="18" s="1"/>
  <c r="AB72" i="4"/>
  <c r="BW19" i="18" s="1"/>
  <c r="AB73" i="4"/>
  <c r="BW20" i="18" s="1"/>
  <c r="AB74" i="4"/>
  <c r="BW21" i="18" s="1"/>
  <c r="AB75" i="4"/>
  <c r="BW22" i="18" s="1"/>
  <c r="AB76" i="4"/>
  <c r="BW23" i="18" s="1"/>
  <c r="AB77" i="4"/>
  <c r="BW24" i="18" s="1"/>
  <c r="AB78" i="4"/>
  <c r="BW25" i="18" s="1"/>
  <c r="AB79" i="4"/>
  <c r="BW26" i="18" s="1"/>
  <c r="A51" i="5"/>
  <c r="Z80" s="1"/>
  <c r="DA27" i="18" s="1"/>
  <c r="A51" i="4"/>
  <c r="V210" i="5"/>
  <c r="V238" s="1"/>
  <c r="V163" i="4"/>
  <c r="V191" s="1"/>
  <c r="X1" i="3"/>
  <c r="W162"/>
  <c r="W189" s="1"/>
  <c r="W1" i="5"/>
  <c r="W1" i="4"/>
  <c r="CK112" i="16"/>
  <c r="CN120" i="18"/>
  <c r="CN112"/>
  <c r="CN104"/>
  <c r="AU122"/>
  <c r="CK121" i="16"/>
  <c r="CK109"/>
  <c r="CN121" i="18"/>
  <c r="CN113"/>
  <c r="CN105"/>
  <c r="AX122"/>
  <c r="CK118" i="16"/>
  <c r="CN118" i="18"/>
  <c r="CN110"/>
  <c r="CN102"/>
  <c r="BV122"/>
  <c r="BD122"/>
  <c r="CN119"/>
  <c r="CN111"/>
  <c r="CN103"/>
  <c r="W122"/>
  <c r="Q122"/>
  <c r="S57" i="16"/>
  <c r="BL57"/>
  <c r="CG57"/>
  <c r="AK57"/>
  <c r="CA57"/>
  <c r="BO57"/>
  <c r="CM57"/>
  <c r="CP37"/>
  <c r="CP41"/>
  <c r="CP45"/>
  <c r="CP49"/>
  <c r="CP53"/>
  <c r="CP57"/>
  <c r="CS37" i="18"/>
  <c r="CS41"/>
  <c r="CS45"/>
  <c r="CS49"/>
  <c r="CS53"/>
  <c r="CS57"/>
  <c r="AZ57" i="16"/>
  <c r="AW57"/>
  <c r="BC57"/>
  <c r="V57"/>
  <c r="CP36"/>
  <c r="CP38"/>
  <c r="CP42"/>
  <c r="CP46"/>
  <c r="CP50"/>
  <c r="CP54"/>
  <c r="CS35" i="18"/>
  <c r="CS38"/>
  <c r="CS42"/>
  <c r="CS46"/>
  <c r="CS50"/>
  <c r="CS54"/>
  <c r="CM58"/>
  <c r="AJ57" i="16"/>
  <c r="BK57"/>
  <c r="AS57"/>
  <c r="AY57"/>
  <c r="BZ57"/>
  <c r="CO35"/>
  <c r="CO39"/>
  <c r="CO43"/>
  <c r="CO47"/>
  <c r="CO51"/>
  <c r="CO55"/>
  <c r="CR34" i="18"/>
  <c r="CR39"/>
  <c r="CR43"/>
  <c r="CR47"/>
  <c r="CR51"/>
  <c r="CR55"/>
  <c r="BH57" i="16"/>
  <c r="CI57"/>
  <c r="U57"/>
  <c r="AV57"/>
  <c r="BW57"/>
  <c r="CO36"/>
  <c r="CO38"/>
  <c r="CO42"/>
  <c r="CO46"/>
  <c r="CO50"/>
  <c r="CO54"/>
  <c r="CR35" i="18"/>
  <c r="CR38"/>
  <c r="CR42"/>
  <c r="CR46"/>
  <c r="CR50"/>
  <c r="CR54"/>
  <c r="AJ88" i="16"/>
  <c r="BK88"/>
  <c r="AZ88"/>
  <c r="CA88"/>
  <c r="V88"/>
  <c r="AW88"/>
  <c r="CP67"/>
  <c r="CP69"/>
  <c r="CP73"/>
  <c r="CO77"/>
  <c r="CO81"/>
  <c r="CN85"/>
  <c r="CQ66" i="18"/>
  <c r="CS69"/>
  <c r="CS73"/>
  <c r="CS77"/>
  <c r="CS81"/>
  <c r="CS85"/>
  <c r="CL88" i="16"/>
  <c r="CM88"/>
  <c r="CK116"/>
  <c r="CK108"/>
  <c r="CN116" i="18"/>
  <c r="CN108"/>
  <c r="CN100"/>
  <c r="Z122"/>
  <c r="CK117" i="16"/>
  <c r="CK99"/>
  <c r="CN117" i="18"/>
  <c r="CN109"/>
  <c r="CN101"/>
  <c r="BJ122"/>
  <c r="CK102" i="16"/>
  <c r="CN114" i="18"/>
  <c r="CN106"/>
  <c r="T122"/>
  <c r="AO122"/>
  <c r="CK107" i="16"/>
  <c r="CN115" i="18"/>
  <c r="CN107"/>
  <c r="CN99"/>
  <c r="BM122"/>
  <c r="CJ57" i="16"/>
  <c r="CI88" s="1"/>
  <c r="AN57"/>
  <c r="BI57"/>
  <c r="BH88" s="1"/>
  <c r="AE57"/>
  <c r="BF57"/>
  <c r="AT57"/>
  <c r="AR88" s="1"/>
  <c r="CP35"/>
  <c r="CP66" s="1"/>
  <c r="CP39"/>
  <c r="CN70" s="1"/>
  <c r="CP43"/>
  <c r="CO74" s="1"/>
  <c r="CP47"/>
  <c r="CN78" s="1"/>
  <c r="CP51"/>
  <c r="CO82" s="1"/>
  <c r="CP55"/>
  <c r="CO86" s="1"/>
  <c r="CS34" i="18"/>
  <c r="CS65" s="1"/>
  <c r="CS39"/>
  <c r="CQ70" s="1"/>
  <c r="CS43"/>
  <c r="CQ74" s="1"/>
  <c r="CS47"/>
  <c r="CQ78" s="1"/>
  <c r="CS51"/>
  <c r="CQ82" s="1"/>
  <c r="CS55"/>
  <c r="CQ86" s="1"/>
  <c r="BX57" i="16"/>
  <c r="BX88" s="1"/>
  <c r="AB57"/>
  <c r="Y57"/>
  <c r="AQ57"/>
  <c r="BR57"/>
  <c r="CP34"/>
  <c r="CP40"/>
  <c r="CP44"/>
  <c r="CP48"/>
  <c r="CP52"/>
  <c r="CP56"/>
  <c r="CS36" i="18"/>
  <c r="CS40"/>
  <c r="CS44"/>
  <c r="CS48"/>
  <c r="CS52"/>
  <c r="CS56"/>
  <c r="R57" i="16"/>
  <c r="CF57"/>
  <c r="BN57"/>
  <c r="X57"/>
  <c r="AD57"/>
  <c r="BE57"/>
  <c r="CO37"/>
  <c r="CO41"/>
  <c r="CO45"/>
  <c r="CO49"/>
  <c r="CO53"/>
  <c r="CO57"/>
  <c r="CR37" i="18"/>
  <c r="CR41"/>
  <c r="CR45"/>
  <c r="CR49"/>
  <c r="CR53"/>
  <c r="CR57"/>
  <c r="AM57" i="16"/>
  <c r="AP57"/>
  <c r="BQ57"/>
  <c r="AA57"/>
  <c r="BB57"/>
  <c r="CO34"/>
  <c r="CO40"/>
  <c r="CO44"/>
  <c r="CO48"/>
  <c r="CO52"/>
  <c r="CO56"/>
  <c r="CR36" i="18"/>
  <c r="CR40"/>
  <c r="CR44"/>
  <c r="CR48"/>
  <c r="CR52"/>
  <c r="CR56"/>
  <c r="Q88" i="16"/>
  <c r="AI88"/>
  <c r="AK88"/>
  <c r="CF88"/>
  <c r="BL88"/>
  <c r="BJ88"/>
  <c r="BM88"/>
  <c r="AT88"/>
  <c r="AS88"/>
  <c r="AR122" s="1"/>
  <c r="Y88"/>
  <c r="AY88"/>
  <c r="AX88"/>
  <c r="AD88"/>
  <c r="BY88"/>
  <c r="BZ88"/>
  <c r="BE88"/>
  <c r="CN66"/>
  <c r="CO66"/>
  <c r="CN100" s="1"/>
  <c r="CP68"/>
  <c r="CP70"/>
  <c r="CO70"/>
  <c r="CP72"/>
  <c r="CP74"/>
  <c r="CN74"/>
  <c r="CN108" s="1"/>
  <c r="CO76"/>
  <c r="CO78"/>
  <c r="CP78"/>
  <c r="CP80"/>
  <c r="CP82"/>
  <c r="CN82"/>
  <c r="CP84"/>
  <c r="CP86"/>
  <c r="CN86"/>
  <c r="CO88"/>
  <c r="CR65" i="18"/>
  <c r="CQ65"/>
  <c r="CQ68"/>
  <c r="CR70"/>
  <c r="CS70"/>
  <c r="CQ72"/>
  <c r="CR74"/>
  <c r="CS74"/>
  <c r="CQ76"/>
  <c r="CR78"/>
  <c r="CS78"/>
  <c r="CQ80"/>
  <c r="CR82"/>
  <c r="CS82"/>
  <c r="CQ84"/>
  <c r="CR86"/>
  <c r="CS86"/>
  <c r="CQ88"/>
  <c r="BG88" i="16"/>
  <c r="BI88"/>
  <c r="AM88"/>
  <c r="CJ88"/>
  <c r="CH88"/>
  <c r="AO88"/>
  <c r="U88"/>
  <c r="T88"/>
  <c r="BP88"/>
  <c r="AV88"/>
  <c r="AU88"/>
  <c r="AA88"/>
  <c r="BV88"/>
  <c r="BW88"/>
  <c r="BB88"/>
  <c r="CO67"/>
  <c r="CN67"/>
  <c r="CP65"/>
  <c r="CN69"/>
  <c r="CO69"/>
  <c r="CN103" s="1"/>
  <c r="CP71"/>
  <c r="CO73"/>
  <c r="CN73"/>
  <c r="CP75"/>
  <c r="CN77"/>
  <c r="CP77"/>
  <c r="CP79"/>
  <c r="CN81"/>
  <c r="CP81"/>
  <c r="CN83"/>
  <c r="CP85"/>
  <c r="CO85"/>
  <c r="CN119" s="1"/>
  <c r="CN87"/>
  <c r="CR66" i="18"/>
  <c r="CS66"/>
  <c r="CS67"/>
  <c r="CR69"/>
  <c r="CQ69"/>
  <c r="CS71"/>
  <c r="CR73"/>
  <c r="CQ73"/>
  <c r="CS75"/>
  <c r="CR77"/>
  <c r="CQ77"/>
  <c r="CS79"/>
  <c r="CR81"/>
  <c r="CQ81"/>
  <c r="CS83"/>
  <c r="CR85"/>
  <c r="CQ85"/>
  <c r="CS87"/>
  <c r="BJ122" i="16"/>
  <c r="BY122"/>
  <c r="CN104"/>
  <c r="CN116"/>
  <c r="CN120"/>
  <c r="CH122"/>
  <c r="BV122"/>
  <c r="CK88"/>
  <c r="AN88"/>
  <c r="AL88"/>
  <c r="AE88"/>
  <c r="AC88"/>
  <c r="BF88"/>
  <c r="BD88"/>
  <c r="AB88"/>
  <c r="Z88"/>
  <c r="W88"/>
  <c r="X88"/>
  <c r="AP88"/>
  <c r="AQ88"/>
  <c r="AO122" s="1"/>
  <c r="BR88"/>
  <c r="BQ88"/>
  <c r="CN65"/>
  <c r="CO65"/>
  <c r="CN71"/>
  <c r="CO71"/>
  <c r="CO75"/>
  <c r="CN75"/>
  <c r="CN109" s="1"/>
  <c r="CO79"/>
  <c r="CN79"/>
  <c r="CN113" s="1"/>
  <c r="CO83"/>
  <c r="CP83"/>
  <c r="CN117" s="1"/>
  <c r="CP87"/>
  <c r="CO87"/>
  <c r="CQ67" i="18"/>
  <c r="CR67"/>
  <c r="CQ71"/>
  <c r="CR71"/>
  <c r="CQ75"/>
  <c r="CR75"/>
  <c r="CQ79"/>
  <c r="CR79"/>
  <c r="CQ83"/>
  <c r="CR83"/>
  <c r="CQ87"/>
  <c r="CR87"/>
  <c r="R88" i="16"/>
  <c r="S88"/>
  <c r="Q122" s="1"/>
  <c r="CE88"/>
  <c r="CG88"/>
  <c r="CE122" s="1"/>
  <c r="BO88"/>
  <c r="BN88"/>
  <c r="CN68"/>
  <c r="CO68"/>
  <c r="CN72"/>
  <c r="CO72"/>
  <c r="CN76"/>
  <c r="CP76"/>
  <c r="CN110" s="1"/>
  <c r="CO80"/>
  <c r="CN80"/>
  <c r="CN114" s="1"/>
  <c r="CO84"/>
  <c r="CN84"/>
  <c r="CN118" s="1"/>
  <c r="CN88"/>
  <c r="CP88"/>
  <c r="CN122" s="1"/>
  <c r="CS68" i="18"/>
  <c r="CR68"/>
  <c r="CS72"/>
  <c r="CR72"/>
  <c r="CS76"/>
  <c r="CR76"/>
  <c r="CS80"/>
  <c r="CR80"/>
  <c r="CS84"/>
  <c r="CR84"/>
  <c r="CS88"/>
  <c r="CR88"/>
  <c r="BC88" i="16"/>
  <c r="BA88"/>
  <c r="CK154" l="1"/>
  <c r="CQ153" i="18"/>
  <c r="CQ151"/>
  <c r="CQ149"/>
  <c r="CQ147"/>
  <c r="CQ145"/>
  <c r="CQ143"/>
  <c r="CQ141"/>
  <c r="CQ139"/>
  <c r="CQ137"/>
  <c r="CQ135"/>
  <c r="CQ133"/>
  <c r="CQ132"/>
  <c r="CN153" i="16"/>
  <c r="CN151"/>
  <c r="CN149"/>
  <c r="CN147"/>
  <c r="CN145"/>
  <c r="CN143"/>
  <c r="CN141"/>
  <c r="CN139"/>
  <c r="CN137"/>
  <c r="CN135"/>
  <c r="CN131"/>
  <c r="CN133"/>
  <c r="BA154"/>
  <c r="BV154"/>
  <c r="Z154"/>
  <c r="AU154"/>
  <c r="BP154"/>
  <c r="T154"/>
  <c r="AO154"/>
  <c r="CH154"/>
  <c r="AL154"/>
  <c r="BG154"/>
  <c r="CQ154" i="18"/>
  <c r="CQ152"/>
  <c r="CQ150"/>
  <c r="CQ148"/>
  <c r="CQ146"/>
  <c r="CQ144"/>
  <c r="CQ142"/>
  <c r="CQ140"/>
  <c r="CQ138"/>
  <c r="CQ136"/>
  <c r="CQ134"/>
  <c r="CQ131"/>
  <c r="CN154" i="16"/>
  <c r="CN152"/>
  <c r="CN150"/>
  <c r="CN148"/>
  <c r="CN146"/>
  <c r="CN144"/>
  <c r="CN142"/>
  <c r="CN140"/>
  <c r="CN138"/>
  <c r="CN136"/>
  <c r="CN134"/>
  <c r="CN132"/>
  <c r="BD154"/>
  <c r="BY154"/>
  <c r="AC154"/>
  <c r="AX154"/>
  <c r="W154"/>
  <c r="AR154"/>
  <c r="BM154"/>
  <c r="BJ154"/>
  <c r="CE154"/>
  <c r="AI154"/>
  <c r="Q154"/>
  <c r="G108" i="5"/>
  <c r="W108"/>
  <c r="N108"/>
  <c r="CO27" i="16" s="1"/>
  <c r="P80" i="5"/>
  <c r="CQ27" i="18" s="1"/>
  <c r="I80" i="5"/>
  <c r="CJ27" i="18" s="1"/>
  <c r="Q108" i="5"/>
  <c r="CR27" i="16" s="1"/>
  <c r="H108" i="5"/>
  <c r="CI27" i="16" s="1"/>
  <c r="X108" i="5"/>
  <c r="CY27" i="16" s="1"/>
  <c r="U80" i="5"/>
  <c r="CV27" i="18" s="1"/>
  <c r="G80" i="5"/>
  <c r="W80"/>
  <c r="N80"/>
  <c r="CO27" i="18" s="1"/>
  <c r="AA108" i="5"/>
  <c r="DB27" i="16" s="1"/>
  <c r="O108" i="5"/>
  <c r="CP27" i="16" s="1"/>
  <c r="F108" i="5"/>
  <c r="CG27" i="16" s="1"/>
  <c r="V108" i="5"/>
  <c r="CW27" i="16" s="1"/>
  <c r="Y80" i="5"/>
  <c r="CZ27" i="18" s="1"/>
  <c r="I108" i="5"/>
  <c r="CJ27" i="16" s="1"/>
  <c r="Y108" i="5"/>
  <c r="CZ27" i="16" s="1"/>
  <c r="P108" i="5"/>
  <c r="CQ27" i="16" s="1"/>
  <c r="L80" i="5"/>
  <c r="CM27" i="18" s="1"/>
  <c r="E80" i="5"/>
  <c r="CF27" i="18" s="1"/>
  <c r="O80" i="5"/>
  <c r="CP27" i="18" s="1"/>
  <c r="F80" i="5"/>
  <c r="CG27" i="18" s="1"/>
  <c r="V80" i="5"/>
  <c r="CW27" i="18" s="1"/>
  <c r="Z108" i="4"/>
  <c r="BU27" i="16" s="1"/>
  <c r="AA80" i="4"/>
  <c r="BV27" i="18" s="1"/>
  <c r="AA108" i="4"/>
  <c r="BV27" i="16" s="1"/>
  <c r="E108" i="4"/>
  <c r="AZ27" i="16" s="1"/>
  <c r="M108" i="4"/>
  <c r="BH27" i="16" s="1"/>
  <c r="U108" i="4"/>
  <c r="BP27" i="16" s="1"/>
  <c r="D108" i="4"/>
  <c r="AY27" i="16" s="1"/>
  <c r="L108" i="4"/>
  <c r="BG27" i="16" s="1"/>
  <c r="T108" i="4"/>
  <c r="T80"/>
  <c r="D80"/>
  <c r="AY27" i="18" s="1"/>
  <c r="M80" i="4"/>
  <c r="BH27" i="18" s="1"/>
  <c r="Z80" i="4"/>
  <c r="BU27" i="18" s="1"/>
  <c r="J80" i="4"/>
  <c r="BE27" i="18" s="1"/>
  <c r="S80" i="4"/>
  <c r="BN27" i="18" s="1"/>
  <c r="C80" i="4"/>
  <c r="AX27" i="18" s="1"/>
  <c r="G108" i="4"/>
  <c r="O108"/>
  <c r="BJ27" i="16" s="1"/>
  <c r="W108" i="4"/>
  <c r="F108"/>
  <c r="BA27" i="16" s="1"/>
  <c r="N108" i="4"/>
  <c r="BI27" i="16" s="1"/>
  <c r="V108" i="4"/>
  <c r="BQ27" i="16" s="1"/>
  <c r="P80" i="4"/>
  <c r="BK27" i="18" s="1"/>
  <c r="Y80" i="4"/>
  <c r="BT27" i="18" s="1"/>
  <c r="I80" i="4"/>
  <c r="BD27" i="18" s="1"/>
  <c r="N80" i="4"/>
  <c r="BI27" i="18" s="1"/>
  <c r="W80" i="4"/>
  <c r="G80"/>
  <c r="AB80"/>
  <c r="BW27" i="18" s="1"/>
  <c r="AB80" i="5"/>
  <c r="DC27" i="18" s="1"/>
  <c r="AA80" i="5"/>
  <c r="DB27" i="18" s="1"/>
  <c r="Z108" i="5"/>
  <c r="DA27" i="16" s="1"/>
  <c r="I108" i="4"/>
  <c r="BD27" i="16" s="1"/>
  <c r="Q108" i="4"/>
  <c r="BL27" i="16" s="1"/>
  <c r="Y108" i="4"/>
  <c r="BT27" i="16" s="1"/>
  <c r="H108" i="4"/>
  <c r="BC27" i="16" s="1"/>
  <c r="P108" i="4"/>
  <c r="BK27" i="16" s="1"/>
  <c r="X108" i="4"/>
  <c r="BS27" i="16" s="1"/>
  <c r="L80" i="4"/>
  <c r="BG27" i="18" s="1"/>
  <c r="U80" i="4"/>
  <c r="BP27" i="18" s="1"/>
  <c r="E80" i="4"/>
  <c r="AZ27" i="18" s="1"/>
  <c r="R80" i="4"/>
  <c r="BM27" i="18" s="1"/>
  <c r="B80" i="4"/>
  <c r="AW27" i="18" s="1"/>
  <c r="K80" i="4"/>
  <c r="BF27" i="18" s="1"/>
  <c r="C108" i="4"/>
  <c r="AX27" i="16" s="1"/>
  <c r="K108" i="4"/>
  <c r="BF27" i="16" s="1"/>
  <c r="S108" i="4"/>
  <c r="BN27" i="16" s="1"/>
  <c r="B108" i="4"/>
  <c r="AW27" i="16" s="1"/>
  <c r="J108" i="4"/>
  <c r="BE27" i="16" s="1"/>
  <c r="R108" i="4"/>
  <c r="BM27" i="16" s="1"/>
  <c r="X80" i="4"/>
  <c r="BS27" i="18" s="1"/>
  <c r="H80" i="4"/>
  <c r="BC27" i="18" s="1"/>
  <c r="Q80" i="4"/>
  <c r="BL27" i="18" s="1"/>
  <c r="V80" i="4"/>
  <c r="BQ27" i="18" s="1"/>
  <c r="F80" i="4"/>
  <c r="BA27" i="18" s="1"/>
  <c r="O80" i="4"/>
  <c r="BJ27" i="18" s="1"/>
  <c r="C108" i="5"/>
  <c r="CD27" i="16" s="1"/>
  <c r="K108" i="5"/>
  <c r="CL27" i="16" s="1"/>
  <c r="S108" i="5"/>
  <c r="CT27" i="16" s="1"/>
  <c r="B108" i="5"/>
  <c r="CC27" i="16" s="1"/>
  <c r="J108" i="5"/>
  <c r="CK27" i="16" s="1"/>
  <c r="R108" i="5"/>
  <c r="CS27" i="16" s="1"/>
  <c r="X80" i="5"/>
  <c r="CY27" i="18" s="1"/>
  <c r="H80" i="5"/>
  <c r="CI27" i="18" s="1"/>
  <c r="Q80" i="5"/>
  <c r="CR27" i="18" s="1"/>
  <c r="E108" i="5"/>
  <c r="CF27" i="16" s="1"/>
  <c r="M108" i="5"/>
  <c r="CN27" i="16" s="1"/>
  <c r="U108" i="5"/>
  <c r="CV27" i="16" s="1"/>
  <c r="D108" i="5"/>
  <c r="CE27" i="16" s="1"/>
  <c r="L108" i="5"/>
  <c r="CM27" i="16" s="1"/>
  <c r="T108" i="5"/>
  <c r="T80"/>
  <c r="D80"/>
  <c r="CE27" i="18" s="1"/>
  <c r="M80" i="5"/>
  <c r="CN27" i="18" s="1"/>
  <c r="C80" i="5"/>
  <c r="CD27" i="18" s="1"/>
  <c r="K80" i="5"/>
  <c r="CL27" i="18" s="1"/>
  <c r="S80" i="5"/>
  <c r="CT27" i="18" s="1"/>
  <c r="B80" i="5"/>
  <c r="CC27" i="18" s="1"/>
  <c r="J80" i="5"/>
  <c r="CK27" i="18" s="1"/>
  <c r="R80" i="5"/>
  <c r="CS27" i="18" s="1"/>
  <c r="AC83" i="5"/>
  <c r="AD55"/>
  <c r="AC56"/>
  <c r="DD3" i="18" s="1"/>
  <c r="AC58" i="5"/>
  <c r="DD5" i="18" s="1"/>
  <c r="AC57" i="5"/>
  <c r="DD4" i="18" s="1"/>
  <c r="AC59" i="5"/>
  <c r="DD6" i="18" s="1"/>
  <c r="AC60" i="5"/>
  <c r="DD7" i="18" s="1"/>
  <c r="AC61" i="5"/>
  <c r="DD8" i="18" s="1"/>
  <c r="AC62" i="5"/>
  <c r="DD9" i="18" s="1"/>
  <c r="AC63" i="5"/>
  <c r="DD10" i="18" s="1"/>
  <c r="AC64" i="5"/>
  <c r="DD11" i="18" s="1"/>
  <c r="AC65" i="5"/>
  <c r="DD12" i="18" s="1"/>
  <c r="AC66" i="5"/>
  <c r="DD13" i="18" s="1"/>
  <c r="AC67" i="5"/>
  <c r="DD14" i="18" s="1"/>
  <c r="AC68" i="5"/>
  <c r="DD15" i="18" s="1"/>
  <c r="AC69" i="5"/>
  <c r="DD16" i="18" s="1"/>
  <c r="AC70" i="5"/>
  <c r="DD17" i="18" s="1"/>
  <c r="AC71" i="5"/>
  <c r="DD18" i="18" s="1"/>
  <c r="AC72" i="5"/>
  <c r="DD19" i="18" s="1"/>
  <c r="AC73" i="5"/>
  <c r="DD20" i="18" s="1"/>
  <c r="AC74" i="5"/>
  <c r="DD21" i="18" s="1"/>
  <c r="AC75" i="5"/>
  <c r="DD22" i="18" s="1"/>
  <c r="AC76" i="5"/>
  <c r="DD23" i="18" s="1"/>
  <c r="AC77" i="5"/>
  <c r="DD24" i="18" s="1"/>
  <c r="AC78" i="5"/>
  <c r="DD25" i="18" s="1"/>
  <c r="AC79" i="5"/>
  <c r="DD26" i="18" s="1"/>
  <c r="AC80" i="5"/>
  <c r="DD27" i="18" s="1"/>
  <c r="AB85" i="5"/>
  <c r="DC4" i="16" s="1"/>
  <c r="AB84" i="5"/>
  <c r="DC3" i="16" s="1"/>
  <c r="AB86" i="5"/>
  <c r="DC5" i="16" s="1"/>
  <c r="AB87" i="5"/>
  <c r="DC6" i="16" s="1"/>
  <c r="AB88" i="5"/>
  <c r="DC7" i="16" s="1"/>
  <c r="AB89" i="5"/>
  <c r="DC8" i="16" s="1"/>
  <c r="AB90" i="5"/>
  <c r="DC9" i="16" s="1"/>
  <c r="AB91" i="5"/>
  <c r="DC10" i="16" s="1"/>
  <c r="AB92" i="5"/>
  <c r="DC11" i="16" s="1"/>
  <c r="AB93" i="5"/>
  <c r="DC12" i="16" s="1"/>
  <c r="AB94" i="5"/>
  <c r="DC13" i="16" s="1"/>
  <c r="AB95" i="5"/>
  <c r="DC14" i="16" s="1"/>
  <c r="AB96" i="5"/>
  <c r="DC15" i="16" s="1"/>
  <c r="AB97" i="5"/>
  <c r="DC16" i="16" s="1"/>
  <c r="AB98" i="5"/>
  <c r="DC17" i="16" s="1"/>
  <c r="AB99" i="5"/>
  <c r="DC18" i="16" s="1"/>
  <c r="AB100" i="5"/>
  <c r="DC19" i="16" s="1"/>
  <c r="AB101" i="5"/>
  <c r="DC20" i="16" s="1"/>
  <c r="AB102" i="5"/>
  <c r="DC21" i="16" s="1"/>
  <c r="AB103" i="5"/>
  <c r="DC22" i="16" s="1"/>
  <c r="AB104" i="5"/>
  <c r="DC23" i="16" s="1"/>
  <c r="AB105" i="5"/>
  <c r="DC24" i="16" s="1"/>
  <c r="AB106" i="5"/>
  <c r="DC25" i="16" s="1"/>
  <c r="AB107" i="5"/>
  <c r="DC26" i="16" s="1"/>
  <c r="AB108" i="5"/>
  <c r="DC27" i="16" s="1"/>
  <c r="AC83" i="4"/>
  <c r="AD55"/>
  <c r="AC56"/>
  <c r="BX3" i="18" s="1"/>
  <c r="AC58" i="4"/>
  <c r="BX5" i="18" s="1"/>
  <c r="AC57" i="4"/>
  <c r="BX4" i="18" s="1"/>
  <c r="AC59" i="4"/>
  <c r="BX6" i="18" s="1"/>
  <c r="AC60" i="4"/>
  <c r="BX7" i="18" s="1"/>
  <c r="AC61" i="4"/>
  <c r="BX8" i="18" s="1"/>
  <c r="AC62" i="4"/>
  <c r="BX9" i="18" s="1"/>
  <c r="AC63" i="4"/>
  <c r="BX10" i="18" s="1"/>
  <c r="AC64" i="4"/>
  <c r="BX11" i="18" s="1"/>
  <c r="AC65" i="4"/>
  <c r="BX12" i="18" s="1"/>
  <c r="AC66" i="4"/>
  <c r="BX13" i="18" s="1"/>
  <c r="AC67" i="4"/>
  <c r="BX14" i="18" s="1"/>
  <c r="AC68" i="4"/>
  <c r="BX15" i="18" s="1"/>
  <c r="AC69" i="4"/>
  <c r="BX16" i="18" s="1"/>
  <c r="AC70" i="4"/>
  <c r="BX17" i="18" s="1"/>
  <c r="AC71" i="4"/>
  <c r="BX18" i="18" s="1"/>
  <c r="AC72" i="4"/>
  <c r="BX19" i="18" s="1"/>
  <c r="AC73" i="4"/>
  <c r="BX20" i="18" s="1"/>
  <c r="AC74" i="4"/>
  <c r="BX21" i="18" s="1"/>
  <c r="AC75" i="4"/>
  <c r="BX22" i="18" s="1"/>
  <c r="AC76" i="4"/>
  <c r="BX23" i="18" s="1"/>
  <c r="AC77" i="4"/>
  <c r="BX24" i="18" s="1"/>
  <c r="AC78" i="4"/>
  <c r="BX25" i="18" s="1"/>
  <c r="AC79" i="4"/>
  <c r="BX26" i="18" s="1"/>
  <c r="AC80" i="4"/>
  <c r="BX27" i="18" s="1"/>
  <c r="AB85" i="4"/>
  <c r="BW4" i="16" s="1"/>
  <c r="AB84" i="4"/>
  <c r="BW3" i="16" s="1"/>
  <c r="AB86" i="4"/>
  <c r="BW5" i="16" s="1"/>
  <c r="AB87" i="4"/>
  <c r="BW6" i="16" s="1"/>
  <c r="AB88" i="4"/>
  <c r="BW7" i="16" s="1"/>
  <c r="AB89" i="4"/>
  <c r="BW8" i="16" s="1"/>
  <c r="AB90" i="4"/>
  <c r="BW9" i="16" s="1"/>
  <c r="AB91" i="4"/>
  <c r="BW10" i="16" s="1"/>
  <c r="AB92" i="4"/>
  <c r="BW11" i="16" s="1"/>
  <c r="AB93" i="4"/>
  <c r="BW12" i="16" s="1"/>
  <c r="AB94" i="4"/>
  <c r="BW13" i="16" s="1"/>
  <c r="AB95" i="4"/>
  <c r="BW14" i="16" s="1"/>
  <c r="AB96" i="4"/>
  <c r="BW15" i="16" s="1"/>
  <c r="AB97" i="4"/>
  <c r="BW16" i="16" s="1"/>
  <c r="AB98" i="4"/>
  <c r="BW17" i="16" s="1"/>
  <c r="AB99" i="4"/>
  <c r="BW18" i="16" s="1"/>
  <c r="AB100" i="4"/>
  <c r="BW19" i="16" s="1"/>
  <c r="AB101" i="4"/>
  <c r="BW20" i="16" s="1"/>
  <c r="AB102" i="4"/>
  <c r="BW21" i="16" s="1"/>
  <c r="AB103" i="4"/>
  <c r="BW22" i="16" s="1"/>
  <c r="AB104" i="4"/>
  <c r="BW23" i="16" s="1"/>
  <c r="AB105" i="4"/>
  <c r="BW24" i="16" s="1"/>
  <c r="AB106" i="4"/>
  <c r="BW25" i="16" s="1"/>
  <c r="AB107" i="4"/>
  <c r="BW26" i="16" s="1"/>
  <c r="AB108" i="4"/>
  <c r="BW27" i="16" s="1"/>
  <c r="W210" i="5"/>
  <c r="W238" s="1"/>
  <c r="W163" i="4"/>
  <c r="W191" s="1"/>
  <c r="Y1" i="3"/>
  <c r="X162"/>
  <c r="X189" s="1"/>
  <c r="X1" i="5"/>
  <c r="X1" i="4"/>
  <c r="CQ115" i="18"/>
  <c r="CQ107"/>
  <c r="CQ100"/>
  <c r="CN111" i="16"/>
  <c r="CN101"/>
  <c r="T122"/>
  <c r="CQ120" i="18"/>
  <c r="CQ112"/>
  <c r="CQ104"/>
  <c r="CN112" i="16"/>
  <c r="AI122"/>
  <c r="CQ121" i="18"/>
  <c r="CQ113"/>
  <c r="CQ105"/>
  <c r="CN121" i="16"/>
  <c r="CN99"/>
  <c r="Z122"/>
  <c r="AL122"/>
  <c r="CQ118" i="18"/>
  <c r="CQ110"/>
  <c r="CQ102"/>
  <c r="CN102" i="16"/>
  <c r="AC122"/>
  <c r="BM122"/>
  <c r="S58"/>
  <c r="BC58"/>
  <c r="AK58"/>
  <c r="CP58"/>
  <c r="CJ58" i="18"/>
  <c r="AW58"/>
  <c r="CA58"/>
  <c r="CM58" i="16"/>
  <c r="BO58"/>
  <c r="AB58"/>
  <c r="AW58"/>
  <c r="AT58" i="18"/>
  <c r="CV36"/>
  <c r="CV39"/>
  <c r="CV43"/>
  <c r="CV47"/>
  <c r="CV51"/>
  <c r="CV55"/>
  <c r="CS35" i="16"/>
  <c r="CS38"/>
  <c r="CS42"/>
  <c r="CS46"/>
  <c r="CS50"/>
  <c r="CS54"/>
  <c r="CS58"/>
  <c r="BL58"/>
  <c r="BC58" i="18"/>
  <c r="CA58" i="16"/>
  <c r="BI58"/>
  <c r="AE58" i="18"/>
  <c r="V58" i="16"/>
  <c r="AQ58"/>
  <c r="BL58" i="18"/>
  <c r="Y58" i="16"/>
  <c r="V58" i="18"/>
  <c r="AQ58"/>
  <c r="CV35"/>
  <c r="CV40"/>
  <c r="CV44"/>
  <c r="CV48"/>
  <c r="CV52"/>
  <c r="CV56"/>
  <c r="CS34" i="16"/>
  <c r="CS39"/>
  <c r="CS43"/>
  <c r="CS47"/>
  <c r="CS51"/>
  <c r="CS55"/>
  <c r="R58" i="18"/>
  <c r="CO58" i="16"/>
  <c r="X58"/>
  <c r="CL58" i="18"/>
  <c r="BB58" i="16"/>
  <c r="AM58" i="18"/>
  <c r="AM58" i="16"/>
  <c r="BH58"/>
  <c r="AA58" i="18"/>
  <c r="BQ58" i="16"/>
  <c r="CF58" i="18"/>
  <c r="AD58"/>
  <c r="CU35"/>
  <c r="CU40"/>
  <c r="CU44"/>
  <c r="CU48"/>
  <c r="CU52"/>
  <c r="CU56"/>
  <c r="CR34" i="16"/>
  <c r="CR39"/>
  <c r="CR43"/>
  <c r="CR47"/>
  <c r="CR51"/>
  <c r="CR55"/>
  <c r="R58"/>
  <c r="AA58"/>
  <c r="AV58"/>
  <c r="AP58" i="18"/>
  <c r="BE58" i="16"/>
  <c r="BZ58"/>
  <c r="BB58" i="18"/>
  <c r="AJ58" i="16"/>
  <c r="BW58" i="18"/>
  <c r="AS58"/>
  <c r="BN58" i="16"/>
  <c r="BZ58" i="18"/>
  <c r="CU36"/>
  <c r="CU39"/>
  <c r="CU43"/>
  <c r="CU47"/>
  <c r="CU51"/>
  <c r="CU55"/>
  <c r="CR35" i="16"/>
  <c r="CR38"/>
  <c r="CR42"/>
  <c r="CR46"/>
  <c r="CR50"/>
  <c r="CR54"/>
  <c r="CR58"/>
  <c r="CO89"/>
  <c r="W89"/>
  <c r="CM89" i="18"/>
  <c r="BA89" i="16"/>
  <c r="BI89"/>
  <c r="AE89" i="18"/>
  <c r="CU66"/>
  <c r="CV71"/>
  <c r="CV75"/>
  <c r="CT79"/>
  <c r="CT83"/>
  <c r="CT87"/>
  <c r="CQ65" i="16"/>
  <c r="CQ70"/>
  <c r="CQ74"/>
  <c r="CQ78"/>
  <c r="CR82"/>
  <c r="CR86"/>
  <c r="R89"/>
  <c r="Z89"/>
  <c r="AV89"/>
  <c r="AQ89" i="18"/>
  <c r="BY89" i="16"/>
  <c r="BC89" i="18"/>
  <c r="AK89" i="16"/>
  <c r="AT89" i="18"/>
  <c r="BN89" i="16"/>
  <c r="CA89" i="18"/>
  <c r="CT67"/>
  <c r="CU70"/>
  <c r="CU74"/>
  <c r="CU78"/>
  <c r="CU82"/>
  <c r="CU86"/>
  <c r="CQ66" i="16"/>
  <c r="CR69"/>
  <c r="CQ73"/>
  <c r="CR77"/>
  <c r="CQ81"/>
  <c r="CQ85"/>
  <c r="CR89"/>
  <c r="CQ119" i="18"/>
  <c r="CQ111"/>
  <c r="CQ103"/>
  <c r="CN115" i="16"/>
  <c r="CN107"/>
  <c r="AU122"/>
  <c r="BG122"/>
  <c r="CQ116" i="18"/>
  <c r="CQ108"/>
  <c r="CQ99"/>
  <c r="AX122" i="16"/>
  <c r="CK122"/>
  <c r="CQ117" i="18"/>
  <c r="CQ109"/>
  <c r="CQ101"/>
  <c r="CN105" i="16"/>
  <c r="BA122"/>
  <c r="BP122"/>
  <c r="CQ122" i="18"/>
  <c r="CQ114"/>
  <c r="CQ106"/>
  <c r="CN106" i="16"/>
  <c r="BD122"/>
  <c r="W122"/>
  <c r="S58" i="18"/>
  <c r="Q89" s="1"/>
  <c r="AN58"/>
  <c r="AN89" s="1"/>
  <c r="BX58"/>
  <c r="BX89" s="1"/>
  <c r="AE58" i="16"/>
  <c r="CJ58"/>
  <c r="BF58" i="18"/>
  <c r="CS58"/>
  <c r="AT58" i="16"/>
  <c r="AK58" i="18"/>
  <c r="BX58" i="16"/>
  <c r="AZ58" i="18"/>
  <c r="BO58"/>
  <c r="CV37"/>
  <c r="CV41"/>
  <c r="CV45"/>
  <c r="CV49"/>
  <c r="CV53"/>
  <c r="CV57"/>
  <c r="CS36" i="16"/>
  <c r="CS40"/>
  <c r="CS44"/>
  <c r="CS48"/>
  <c r="CS52"/>
  <c r="CS56"/>
  <c r="BI58" i="18"/>
  <c r="CG58" i="16"/>
  <c r="BF58"/>
  <c r="BF89" s="1"/>
  <c r="AN58"/>
  <c r="AM89" s="1"/>
  <c r="AB58" i="18"/>
  <c r="Z89" s="1"/>
  <c r="CP58"/>
  <c r="BR58" i="16"/>
  <c r="BQ89" s="1"/>
  <c r="CG58" i="18"/>
  <c r="CG89" s="1"/>
  <c r="AZ58" i="16"/>
  <c r="Y58" i="18"/>
  <c r="BR58"/>
  <c r="CV34"/>
  <c r="CV38"/>
  <c r="CV42"/>
  <c r="CV46"/>
  <c r="CV50"/>
  <c r="CV54"/>
  <c r="CV58"/>
  <c r="CS37" i="16"/>
  <c r="CS41"/>
  <c r="CS45"/>
  <c r="CS49"/>
  <c r="CS53"/>
  <c r="CS57"/>
  <c r="CL58"/>
  <c r="AY58"/>
  <c r="X58" i="18"/>
  <c r="BQ58"/>
  <c r="BH58"/>
  <c r="CR58"/>
  <c r="CI58" i="16"/>
  <c r="AV58" i="18"/>
  <c r="U58" i="16"/>
  <c r="AP58"/>
  <c r="BK58" i="18"/>
  <c r="CU34"/>
  <c r="CU38"/>
  <c r="CU42"/>
  <c r="CU46"/>
  <c r="CU50"/>
  <c r="CU54"/>
  <c r="CU58"/>
  <c r="CR37" i="16"/>
  <c r="CR41"/>
  <c r="CR45"/>
  <c r="CR49"/>
  <c r="CR53"/>
  <c r="CR57"/>
  <c r="CO58" i="18"/>
  <c r="BW58" i="16"/>
  <c r="AY58" i="18"/>
  <c r="U58"/>
  <c r="AD58" i="16"/>
  <c r="CI58" i="18"/>
  <c r="BK58" i="16"/>
  <c r="CF58"/>
  <c r="BN58" i="18"/>
  <c r="AS58" i="16"/>
  <c r="AJ58" i="18"/>
  <c r="BE58"/>
  <c r="CU37"/>
  <c r="CU41"/>
  <c r="CU45"/>
  <c r="CU49"/>
  <c r="CU53"/>
  <c r="CU57"/>
  <c r="CR36" i="16"/>
  <c r="CR40"/>
  <c r="CR44"/>
  <c r="CR48"/>
  <c r="CR52"/>
  <c r="CR56"/>
  <c r="R89" i="18"/>
  <c r="S89"/>
  <c r="CM89" i="16"/>
  <c r="CP89"/>
  <c r="CN89"/>
  <c r="AX89"/>
  <c r="Y89"/>
  <c r="X89"/>
  <c r="W89" i="18"/>
  <c r="CL89"/>
  <c r="CK89"/>
  <c r="BQ89"/>
  <c r="BC89" i="16"/>
  <c r="BB89"/>
  <c r="BI89" i="18"/>
  <c r="AL89"/>
  <c r="AM89"/>
  <c r="AL123" s="1"/>
  <c r="CS89"/>
  <c r="AL89" i="16"/>
  <c r="AN89"/>
  <c r="CJ89"/>
  <c r="BG89"/>
  <c r="BH89"/>
  <c r="BG123" s="1"/>
  <c r="AV89" i="18"/>
  <c r="AA89"/>
  <c r="AB89"/>
  <c r="U89" i="16"/>
  <c r="BR89"/>
  <c r="BP89"/>
  <c r="AP89"/>
  <c r="CF89" i="18"/>
  <c r="CE89"/>
  <c r="BL89"/>
  <c r="AC89"/>
  <c r="AD89"/>
  <c r="AC123" s="1"/>
  <c r="CV65"/>
  <c r="CT66"/>
  <c r="CV66"/>
  <c r="CT69"/>
  <c r="CT71"/>
  <c r="CU71"/>
  <c r="CT105" s="1"/>
  <c r="CT73"/>
  <c r="CT75"/>
  <c r="CU75"/>
  <c r="CV77"/>
  <c r="CU79"/>
  <c r="CV79"/>
  <c r="CV81"/>
  <c r="CU83"/>
  <c r="CV83"/>
  <c r="CV85"/>
  <c r="CU87"/>
  <c r="CV87"/>
  <c r="CV89"/>
  <c r="CS65" i="16"/>
  <c r="CR65"/>
  <c r="CQ99" s="1"/>
  <c r="CS68"/>
  <c r="CR70"/>
  <c r="CS70"/>
  <c r="CQ72"/>
  <c r="CS74"/>
  <c r="CR74"/>
  <c r="CQ108" s="1"/>
  <c r="CS76"/>
  <c r="CS78"/>
  <c r="CR78"/>
  <c r="CS80"/>
  <c r="CQ82"/>
  <c r="CS82"/>
  <c r="CR84"/>
  <c r="CS86"/>
  <c r="CQ86"/>
  <c r="CQ120" s="1"/>
  <c r="CQ88"/>
  <c r="Q89"/>
  <c r="S89"/>
  <c r="CP89" i="18"/>
  <c r="AB89" i="16"/>
  <c r="AA89"/>
  <c r="BW89"/>
  <c r="AU89"/>
  <c r="AW89"/>
  <c r="AX89" i="18"/>
  <c r="AP89"/>
  <c r="AO89"/>
  <c r="V89"/>
  <c r="BE89" i="16"/>
  <c r="BD89"/>
  <c r="AE89"/>
  <c r="BZ89"/>
  <c r="CA89"/>
  <c r="CJ89" i="18"/>
  <c r="BB89"/>
  <c r="BA89"/>
  <c r="BK89" i="16"/>
  <c r="AJ89"/>
  <c r="AI89"/>
  <c r="CE89"/>
  <c r="BW89" i="18"/>
  <c r="BV89"/>
  <c r="BO89"/>
  <c r="AR89"/>
  <c r="AS89"/>
  <c r="AR123" s="1"/>
  <c r="AS89" i="16"/>
  <c r="BO89"/>
  <c r="BM89"/>
  <c r="AK89" i="18"/>
  <c r="BZ89"/>
  <c r="BY89"/>
  <c r="BF89"/>
  <c r="CU67"/>
  <c r="CV67"/>
  <c r="CT68"/>
  <c r="CV70"/>
  <c r="CT70"/>
  <c r="CU72"/>
  <c r="CV74"/>
  <c r="CT74"/>
  <c r="CT108" s="1"/>
  <c r="CU76"/>
  <c r="CT78"/>
  <c r="CV78"/>
  <c r="CU80"/>
  <c r="CT82"/>
  <c r="CV82"/>
  <c r="CU84"/>
  <c r="CT86"/>
  <c r="CV86"/>
  <c r="CU88"/>
  <c r="CR66" i="16"/>
  <c r="CS66"/>
  <c r="CQ67"/>
  <c r="CS69"/>
  <c r="CQ69"/>
  <c r="CR71"/>
  <c r="CS73"/>
  <c r="CR73"/>
  <c r="CQ107" s="1"/>
  <c r="CS75"/>
  <c r="CS77"/>
  <c r="CQ77"/>
  <c r="CQ111" s="1"/>
  <c r="CR79"/>
  <c r="CR81"/>
  <c r="CS81"/>
  <c r="CS83"/>
  <c r="CR85"/>
  <c r="CS85"/>
  <c r="CS87"/>
  <c r="CS89"/>
  <c r="CQ89"/>
  <c r="CQ123" s="1"/>
  <c r="CN123"/>
  <c r="W123"/>
  <c r="BA123"/>
  <c r="BP123"/>
  <c r="CT109" i="18"/>
  <c r="CQ112" i="16"/>
  <c r="Z123"/>
  <c r="BM123"/>
  <c r="CT104" i="18"/>
  <c r="CQ103" i="16"/>
  <c r="AC89"/>
  <c r="AD89"/>
  <c r="CI89"/>
  <c r="CH89"/>
  <c r="CH123" s="1"/>
  <c r="BE89" i="18"/>
  <c r="BD89"/>
  <c r="BD123" s="1"/>
  <c r="CQ89"/>
  <c r="CR89"/>
  <c r="AT89" i="16"/>
  <c r="AR89"/>
  <c r="AI89" i="18"/>
  <c r="AJ89"/>
  <c r="BV89" i="16"/>
  <c r="BX89"/>
  <c r="BV123" s="1"/>
  <c r="AZ89" i="18"/>
  <c r="AY89"/>
  <c r="BM89"/>
  <c r="BN89"/>
  <c r="CV68"/>
  <c r="CU68"/>
  <c r="CV72"/>
  <c r="CT72"/>
  <c r="CT76"/>
  <c r="CV76"/>
  <c r="CT110" s="1"/>
  <c r="CT80"/>
  <c r="CV80"/>
  <c r="CT114" s="1"/>
  <c r="CT84"/>
  <c r="CV84"/>
  <c r="CT118" s="1"/>
  <c r="CT88"/>
  <c r="CV88"/>
  <c r="CT122" s="1"/>
  <c r="CS67" i="16"/>
  <c r="CR67"/>
  <c r="CS71"/>
  <c r="CQ71"/>
  <c r="CR75"/>
  <c r="CQ75"/>
  <c r="CQ109" s="1"/>
  <c r="CQ79"/>
  <c r="CS79"/>
  <c r="CQ113" s="1"/>
  <c r="CR83"/>
  <c r="CQ83"/>
  <c r="CQ117" s="1"/>
  <c r="CR87"/>
  <c r="CQ87"/>
  <c r="CQ121" s="1"/>
  <c r="BG89" i="18"/>
  <c r="BH89"/>
  <c r="CG89" i="16"/>
  <c r="CF89"/>
  <c r="CN89" i="18"/>
  <c r="CO89"/>
  <c r="AY89" i="16"/>
  <c r="AZ89"/>
  <c r="AX123" s="1"/>
  <c r="Y89" i="18"/>
  <c r="X89"/>
  <c r="BP89"/>
  <c r="BR89"/>
  <c r="BP123" s="1"/>
  <c r="CU65"/>
  <c r="CT65"/>
  <c r="CT99" s="1"/>
  <c r="CV69"/>
  <c r="CU69"/>
  <c r="CV73"/>
  <c r="CU73"/>
  <c r="CU77"/>
  <c r="CT77"/>
  <c r="CT111" s="1"/>
  <c r="CU81"/>
  <c r="CT81"/>
  <c r="CT115" s="1"/>
  <c r="CU85"/>
  <c r="CT85"/>
  <c r="CT119" s="1"/>
  <c r="CU89"/>
  <c r="CT89"/>
  <c r="CT123" s="1"/>
  <c r="CR68" i="16"/>
  <c r="CQ68"/>
  <c r="CQ102" s="1"/>
  <c r="CS72"/>
  <c r="CR72"/>
  <c r="CQ76"/>
  <c r="CR76"/>
  <c r="CQ80"/>
  <c r="CR80"/>
  <c r="CS84"/>
  <c r="CQ84"/>
  <c r="CS88"/>
  <c r="CR88"/>
  <c r="CL89"/>
  <c r="CK89"/>
  <c r="CK123" s="1"/>
  <c r="AW89" i="18"/>
  <c r="AU89"/>
  <c r="V89" i="16"/>
  <c r="T89"/>
  <c r="AQ89"/>
  <c r="AO89"/>
  <c r="BJ89" i="18"/>
  <c r="BK89"/>
  <c r="T89"/>
  <c r="U89"/>
  <c r="CH89"/>
  <c r="CI89"/>
  <c r="BJ89" i="16"/>
  <c r="BL89"/>
  <c r="BJ123" s="1"/>
  <c r="CQ155" l="1"/>
  <c r="CQ161" s="1"/>
  <c r="CQ153"/>
  <c r="CQ151"/>
  <c r="CQ149"/>
  <c r="CQ147"/>
  <c r="CQ145"/>
  <c r="CQ143"/>
  <c r="CQ141"/>
  <c r="CQ139"/>
  <c r="CQ137"/>
  <c r="CQ135"/>
  <c r="CQ133"/>
  <c r="CQ132"/>
  <c r="CT154" i="18"/>
  <c r="CT152"/>
  <c r="CT150"/>
  <c r="CT148"/>
  <c r="CT146"/>
  <c r="CT144"/>
  <c r="CT142"/>
  <c r="CT140"/>
  <c r="CT138"/>
  <c r="CT136"/>
  <c r="CT134"/>
  <c r="CT133"/>
  <c r="BD155"/>
  <c r="BD161" s="1"/>
  <c r="BY155"/>
  <c r="BY161" s="1"/>
  <c r="AI155"/>
  <c r="AI161" s="1"/>
  <c r="BM155" i="16"/>
  <c r="BM161" s="1"/>
  <c r="AR155"/>
  <c r="AR161" s="1"/>
  <c r="AR155" i="18"/>
  <c r="AR161" s="1"/>
  <c r="BM155"/>
  <c r="BM161" s="1"/>
  <c r="BV155"/>
  <c r="BV161" s="1"/>
  <c r="CE155" i="16"/>
  <c r="CE161" s="1"/>
  <c r="AI155"/>
  <c r="AI161" s="1"/>
  <c r="BJ155"/>
  <c r="BJ161" s="1"/>
  <c r="BA155" i="18"/>
  <c r="BA161" s="1"/>
  <c r="CH155"/>
  <c r="CH161" s="1"/>
  <c r="BY155" i="16"/>
  <c r="BY161" s="1"/>
  <c r="AC155"/>
  <c r="AC161" s="1"/>
  <c r="BD155"/>
  <c r="BD161" s="1"/>
  <c r="T155" i="18"/>
  <c r="T161" s="1"/>
  <c r="AO155"/>
  <c r="AO161" s="1"/>
  <c r="AX155"/>
  <c r="AX161" s="1"/>
  <c r="AU155" i="16"/>
  <c r="AU161" s="1"/>
  <c r="BV155"/>
  <c r="BV161" s="1"/>
  <c r="Z155"/>
  <c r="Z161" s="1"/>
  <c r="CN155" i="18"/>
  <c r="CN161" s="1"/>
  <c r="Q155" i="16"/>
  <c r="CQ154"/>
  <c r="CQ152"/>
  <c r="CQ150"/>
  <c r="CQ148"/>
  <c r="CQ146"/>
  <c r="CQ144"/>
  <c r="CQ142"/>
  <c r="CQ140"/>
  <c r="CQ138"/>
  <c r="CQ136"/>
  <c r="CQ134"/>
  <c r="CQ131"/>
  <c r="CT155" i="18"/>
  <c r="CT161" s="1"/>
  <c r="CT153"/>
  <c r="CT151"/>
  <c r="CT149"/>
  <c r="CT147"/>
  <c r="CT145"/>
  <c r="CT143"/>
  <c r="CT141"/>
  <c r="CT139"/>
  <c r="CT137"/>
  <c r="CT135"/>
  <c r="CT132"/>
  <c r="CT131"/>
  <c r="AC155"/>
  <c r="AC161" s="1"/>
  <c r="BJ155"/>
  <c r="BJ161" s="1"/>
  <c r="CE155"/>
  <c r="CE161" s="1"/>
  <c r="AO155" i="16"/>
  <c r="AO161" s="1"/>
  <c r="BP155"/>
  <c r="BP161" s="1"/>
  <c r="T155"/>
  <c r="T161" s="1"/>
  <c r="Z155" i="18"/>
  <c r="Z161" s="1"/>
  <c r="AU155"/>
  <c r="AU161" s="1"/>
  <c r="BG155" i="16"/>
  <c r="BG161" s="1"/>
  <c r="CH155"/>
  <c r="CH161" s="1"/>
  <c r="AL155"/>
  <c r="AL161" s="1"/>
  <c r="CQ155" i="18"/>
  <c r="CQ161" s="1"/>
  <c r="AL155"/>
  <c r="AL161" s="1"/>
  <c r="BG155"/>
  <c r="BG161" s="1"/>
  <c r="BA155" i="16"/>
  <c r="BA161" s="1"/>
  <c r="BP155" i="18"/>
  <c r="BP161" s="1"/>
  <c r="CK155"/>
  <c r="CK161" s="1"/>
  <c r="W155"/>
  <c r="W161" s="1"/>
  <c r="W155" i="16"/>
  <c r="W161" s="1"/>
  <c r="AX155"/>
  <c r="AX161" s="1"/>
  <c r="CN155"/>
  <c r="CN161" s="1"/>
  <c r="CK155"/>
  <c r="CK161" s="1"/>
  <c r="Q155" i="18"/>
  <c r="AC85" i="5"/>
  <c r="DD4" i="16" s="1"/>
  <c r="AC84" i="5"/>
  <c r="DD3" i="16" s="1"/>
  <c r="AC86" i="5"/>
  <c r="DD5" i="16" s="1"/>
  <c r="AC87" i="5"/>
  <c r="DD6" i="16" s="1"/>
  <c r="AC88" i="5"/>
  <c r="DD7" i="16" s="1"/>
  <c r="AC89" i="5"/>
  <c r="DD8" i="16" s="1"/>
  <c r="AC90" i="5"/>
  <c r="DD9" i="16" s="1"/>
  <c r="AC91" i="5"/>
  <c r="DD10" i="16" s="1"/>
  <c r="AC92" i="5"/>
  <c r="DD11" i="16" s="1"/>
  <c r="AC93" i="5"/>
  <c r="DD12" i="16" s="1"/>
  <c r="AC94" i="5"/>
  <c r="DD13" i="16" s="1"/>
  <c r="AC95" i="5"/>
  <c r="DD14" i="16" s="1"/>
  <c r="AC96" i="5"/>
  <c r="DD15" i="16" s="1"/>
  <c r="AC97" i="5"/>
  <c r="DD16" i="16" s="1"/>
  <c r="AC98" i="5"/>
  <c r="DD17" i="16" s="1"/>
  <c r="AC99" i="5"/>
  <c r="DD18" i="16" s="1"/>
  <c r="AC100" i="5"/>
  <c r="DD19" i="16" s="1"/>
  <c r="AC101" i="5"/>
  <c r="DD20" i="16" s="1"/>
  <c r="AC102" i="5"/>
  <c r="DD21" i="16" s="1"/>
  <c r="AC103" i="5"/>
  <c r="DD22" i="16" s="1"/>
  <c r="AC104" i="5"/>
  <c r="DD23" i="16" s="1"/>
  <c r="AC105" i="5"/>
  <c r="DD24" i="16" s="1"/>
  <c r="AC106" i="5"/>
  <c r="DD25" i="16" s="1"/>
  <c r="AC107" i="5"/>
  <c r="DD26" i="16" s="1"/>
  <c r="AC108" i="5"/>
  <c r="DD27" i="16" s="1"/>
  <c r="AD83" i="5"/>
  <c r="AD56"/>
  <c r="DE3" i="18" s="1"/>
  <c r="AD57" i="5"/>
  <c r="DE4" i="18" s="1"/>
  <c r="AE55" i="5"/>
  <c r="AD58"/>
  <c r="DE5" i="18" s="1"/>
  <c r="AD59" i="5"/>
  <c r="DE6" i="18" s="1"/>
  <c r="AD60" i="5"/>
  <c r="DE7" i="18" s="1"/>
  <c r="AD61" i="5"/>
  <c r="DE8" i="18" s="1"/>
  <c r="AD62" i="5"/>
  <c r="DE9" i="18" s="1"/>
  <c r="AD63" i="5"/>
  <c r="DE10" i="18" s="1"/>
  <c r="AD64" i="5"/>
  <c r="DE11" i="18" s="1"/>
  <c r="AD65" i="5"/>
  <c r="DE12" i="18" s="1"/>
  <c r="AD66" i="5"/>
  <c r="DE13" i="18" s="1"/>
  <c r="AD67" i="5"/>
  <c r="DE14" i="18" s="1"/>
  <c r="AD68" i="5"/>
  <c r="DE15" i="18" s="1"/>
  <c r="AD69" i="5"/>
  <c r="DE16" i="18" s="1"/>
  <c r="AD70" i="5"/>
  <c r="DE17" i="18" s="1"/>
  <c r="AD71" i="5"/>
  <c r="DE18" i="18" s="1"/>
  <c r="AD72" i="5"/>
  <c r="DE19" i="18" s="1"/>
  <c r="AD73" i="5"/>
  <c r="DE20" i="18" s="1"/>
  <c r="AD74" i="5"/>
  <c r="DE21" i="18" s="1"/>
  <c r="AD75" i="5"/>
  <c r="DE22" i="18" s="1"/>
  <c r="AD76" i="5"/>
  <c r="DE23" i="18" s="1"/>
  <c r="AD77" i="5"/>
  <c r="DE24" i="18" s="1"/>
  <c r="AD78" i="5"/>
  <c r="DE25" i="18" s="1"/>
  <c r="AD79" i="5"/>
  <c r="DE26" i="18" s="1"/>
  <c r="AD80" i="5"/>
  <c r="DE27" i="18" s="1"/>
  <c r="AC85" i="4"/>
  <c r="BX4" i="16" s="1"/>
  <c r="AC84" i="4"/>
  <c r="BX3" i="16" s="1"/>
  <c r="AC86" i="4"/>
  <c r="BX5" i="16" s="1"/>
  <c r="AC87" i="4"/>
  <c r="BX6" i="16" s="1"/>
  <c r="AC88" i="4"/>
  <c r="BX7" i="16" s="1"/>
  <c r="AC89" i="4"/>
  <c r="BX8" i="16" s="1"/>
  <c r="AC90" i="4"/>
  <c r="BX9" i="16" s="1"/>
  <c r="AC91" i="4"/>
  <c r="BX10" i="16" s="1"/>
  <c r="AC92" i="4"/>
  <c r="BX11" i="16" s="1"/>
  <c r="AC93" i="4"/>
  <c r="BX12" i="16" s="1"/>
  <c r="AC94" i="4"/>
  <c r="BX13" i="16" s="1"/>
  <c r="AC95" i="4"/>
  <c r="BX14" i="16" s="1"/>
  <c r="AC96" i="4"/>
  <c r="BX15" i="16" s="1"/>
  <c r="AC97" i="4"/>
  <c r="BX16" i="16" s="1"/>
  <c r="AC98" i="4"/>
  <c r="BX17" i="16" s="1"/>
  <c r="AC99" i="4"/>
  <c r="BX18" i="16" s="1"/>
  <c r="AC100" i="4"/>
  <c r="BX19" i="16" s="1"/>
  <c r="AC101" i="4"/>
  <c r="BX20" i="16" s="1"/>
  <c r="AC102" i="4"/>
  <c r="BX21" i="16" s="1"/>
  <c r="AC103" i="4"/>
  <c r="BX22" i="16" s="1"/>
  <c r="AC104" i="4"/>
  <c r="BX23" i="16" s="1"/>
  <c r="AC105" i="4"/>
  <c r="BX24" i="16" s="1"/>
  <c r="AC106" i="4"/>
  <c r="BX25" i="16" s="1"/>
  <c r="AC107" i="4"/>
  <c r="BX26" i="16" s="1"/>
  <c r="AC108" i="4"/>
  <c r="BX27" i="16" s="1"/>
  <c r="AD83" i="4"/>
  <c r="AD56"/>
  <c r="BY3" i="18" s="1"/>
  <c r="AD57" i="4"/>
  <c r="BY4" i="18" s="1"/>
  <c r="AE55" i="4"/>
  <c r="AD58"/>
  <c r="BY5" i="18" s="1"/>
  <c r="AD59" i="4"/>
  <c r="BY6" i="18" s="1"/>
  <c r="AD60" i="4"/>
  <c r="BY7" i="18" s="1"/>
  <c r="AD61" i="4"/>
  <c r="BY8" i="18" s="1"/>
  <c r="AD62" i="4"/>
  <c r="BY9" i="18" s="1"/>
  <c r="AD63" i="4"/>
  <c r="BY10" i="18" s="1"/>
  <c r="AD64" i="4"/>
  <c r="BY11" i="18" s="1"/>
  <c r="AD65" i="4"/>
  <c r="BY12" i="18" s="1"/>
  <c r="AD66" i="4"/>
  <c r="BY13" i="18" s="1"/>
  <c r="AD67" i="4"/>
  <c r="BY14" i="18" s="1"/>
  <c r="AD68" i="4"/>
  <c r="BY15" i="18" s="1"/>
  <c r="AD69" i="4"/>
  <c r="BY16" i="18" s="1"/>
  <c r="AD70" i="4"/>
  <c r="BY17" i="18" s="1"/>
  <c r="AD71" i="4"/>
  <c r="BY18" i="18" s="1"/>
  <c r="AD72" i="4"/>
  <c r="BY19" i="18" s="1"/>
  <c r="AD73" i="4"/>
  <c r="BY20" i="18" s="1"/>
  <c r="AD74" i="4"/>
  <c r="BY21" i="18" s="1"/>
  <c r="AD75" i="4"/>
  <c r="BY22" i="18" s="1"/>
  <c r="AD76" i="4"/>
  <c r="BY23" i="18" s="1"/>
  <c r="AD77" i="4"/>
  <c r="BY24" i="18" s="1"/>
  <c r="AD78" i="4"/>
  <c r="BY25" i="18" s="1"/>
  <c r="AD79" i="4"/>
  <c r="BY26" i="18" s="1"/>
  <c r="AD80" i="4"/>
  <c r="BY27" i="18" s="1"/>
  <c r="X210" i="5"/>
  <c r="X238" s="1"/>
  <c r="X163" i="4"/>
  <c r="X191" s="1"/>
  <c r="Z1" i="3"/>
  <c r="Y162"/>
  <c r="Y189" s="1"/>
  <c r="Y1" i="5"/>
  <c r="Y1" i="4"/>
  <c r="CQ115" i="16"/>
  <c r="CT120" i="18"/>
  <c r="CT112"/>
  <c r="BY123"/>
  <c r="AI123" i="16"/>
  <c r="BY123"/>
  <c r="AO123" i="18"/>
  <c r="Q123" i="16"/>
  <c r="CQ104"/>
  <c r="CT117" i="18"/>
  <c r="CT100"/>
  <c r="Z123"/>
  <c r="CK123"/>
  <c r="CQ105" i="16"/>
  <c r="CT106" i="18"/>
  <c r="AI123"/>
  <c r="BM123"/>
  <c r="CH123"/>
  <c r="T123"/>
  <c r="CN123"/>
  <c r="CQ118" i="16"/>
  <c r="CQ110"/>
  <c r="CT107" i="18"/>
  <c r="BJ123"/>
  <c r="T123" i="16"/>
  <c r="CQ123" i="18"/>
  <c r="W123"/>
  <c r="CV35" i="16"/>
  <c r="CV38"/>
  <c r="CV42"/>
  <c r="CV46"/>
  <c r="CV50"/>
  <c r="CV54"/>
  <c r="CV58"/>
  <c r="CY37" i="18"/>
  <c r="CY41"/>
  <c r="CY45"/>
  <c r="CY49"/>
  <c r="CY53"/>
  <c r="CY57"/>
  <c r="CV37" i="16"/>
  <c r="CV41"/>
  <c r="CV45"/>
  <c r="CV49"/>
  <c r="CV53"/>
  <c r="CV57"/>
  <c r="CY36" i="18"/>
  <c r="CY40"/>
  <c r="CY44"/>
  <c r="CY48"/>
  <c r="CY52"/>
  <c r="CY56"/>
  <c r="CU35" i="16"/>
  <c r="CU38"/>
  <c r="CU42"/>
  <c r="CU46"/>
  <c r="CU50"/>
  <c r="CU54"/>
  <c r="CU58"/>
  <c r="CX37" i="18"/>
  <c r="CX41"/>
  <c r="CX45"/>
  <c r="CX49"/>
  <c r="CX53"/>
  <c r="CX57"/>
  <c r="CU37" i="16"/>
  <c r="CU41"/>
  <c r="CU45"/>
  <c r="CU49"/>
  <c r="CU53"/>
  <c r="CU57"/>
  <c r="CX36" i="18"/>
  <c r="CX40"/>
  <c r="CX44"/>
  <c r="CX48"/>
  <c r="CX52"/>
  <c r="CX56"/>
  <c r="CU66" i="16"/>
  <c r="CV66"/>
  <c r="CU69"/>
  <c r="CV69"/>
  <c r="CT73"/>
  <c r="CU73"/>
  <c r="CV77"/>
  <c r="CU77"/>
  <c r="CV81"/>
  <c r="CU81"/>
  <c r="CU85"/>
  <c r="CV85"/>
  <c r="CV89"/>
  <c r="CT89"/>
  <c r="CX68" i="18"/>
  <c r="CY68"/>
  <c r="CX72"/>
  <c r="CY72"/>
  <c r="CX76"/>
  <c r="CY76"/>
  <c r="CX80"/>
  <c r="CY80"/>
  <c r="CX84"/>
  <c r="CY84"/>
  <c r="CX88"/>
  <c r="CY88"/>
  <c r="CV68" i="16"/>
  <c r="CU68"/>
  <c r="CT72"/>
  <c r="CV72"/>
  <c r="CU76"/>
  <c r="CV76"/>
  <c r="CV80"/>
  <c r="CT80"/>
  <c r="CV84"/>
  <c r="CT84"/>
  <c r="CU88"/>
  <c r="CV88"/>
  <c r="CX67" i="18"/>
  <c r="CW67"/>
  <c r="CX71"/>
  <c r="CW71"/>
  <c r="CX75"/>
  <c r="CW75"/>
  <c r="CX79"/>
  <c r="CW79"/>
  <c r="CX83"/>
  <c r="CW83"/>
  <c r="CX87"/>
  <c r="CW87"/>
  <c r="CQ119" i="16"/>
  <c r="CQ100"/>
  <c r="CT116" i="18"/>
  <c r="CT101"/>
  <c r="BV123"/>
  <c r="BA123"/>
  <c r="BD123" i="16"/>
  <c r="AU123"/>
  <c r="CQ116"/>
  <c r="CT121" i="18"/>
  <c r="CT113"/>
  <c r="CE123"/>
  <c r="AL123" i="16"/>
  <c r="Q123" i="18"/>
  <c r="CQ101" i="16"/>
  <c r="CT102" i="18"/>
  <c r="AR123" i="16"/>
  <c r="CE123"/>
  <c r="AC123"/>
  <c r="AX123" i="18"/>
  <c r="CQ122" i="16"/>
  <c r="CQ114"/>
  <c r="CQ106"/>
  <c r="CT103" i="18"/>
  <c r="AO123" i="16"/>
  <c r="AU123" i="18"/>
  <c r="BG123"/>
  <c r="CV36" i="16"/>
  <c r="CV40"/>
  <c r="CV44"/>
  <c r="CV48"/>
  <c r="CV52"/>
  <c r="CV56"/>
  <c r="CY34" i="18"/>
  <c r="CY39"/>
  <c r="CY43"/>
  <c r="CY47"/>
  <c r="CY51"/>
  <c r="CY55"/>
  <c r="CV34" i="16"/>
  <c r="CV39"/>
  <c r="CV43"/>
  <c r="CV47"/>
  <c r="CV51"/>
  <c r="CV55"/>
  <c r="CY35" i="18"/>
  <c r="CY38"/>
  <c r="CY42"/>
  <c r="CY46"/>
  <c r="CY50"/>
  <c r="CY54"/>
  <c r="CY58"/>
  <c r="CU36" i="16"/>
  <c r="CV67" s="1"/>
  <c r="CU40"/>
  <c r="CV71" s="1"/>
  <c r="CU44"/>
  <c r="CT75" s="1"/>
  <c r="CU48"/>
  <c r="CT79" s="1"/>
  <c r="CU52"/>
  <c r="CV83" s="1"/>
  <c r="CU56"/>
  <c r="CV87" s="1"/>
  <c r="CX34" i="18"/>
  <c r="CY65" s="1"/>
  <c r="CX39"/>
  <c r="CW70" s="1"/>
  <c r="CX43"/>
  <c r="CW74" s="1"/>
  <c r="CX47"/>
  <c r="CW78" s="1"/>
  <c r="CX51"/>
  <c r="CW82" s="1"/>
  <c r="CX55"/>
  <c r="CW86" s="1"/>
  <c r="CU34" i="16"/>
  <c r="CV65" s="1"/>
  <c r="CU39"/>
  <c r="CV70" s="1"/>
  <c r="CU43"/>
  <c r="CU74" s="1"/>
  <c r="CU47"/>
  <c r="CV78" s="1"/>
  <c r="CU51"/>
  <c r="CU82" s="1"/>
  <c r="CU55"/>
  <c r="CU86" s="1"/>
  <c r="CX35" i="18"/>
  <c r="CW66" s="1"/>
  <c r="CX38"/>
  <c r="CY69" s="1"/>
  <c r="CX42"/>
  <c r="CY73" s="1"/>
  <c r="CX46"/>
  <c r="CY77" s="1"/>
  <c r="CX50"/>
  <c r="CY81" s="1"/>
  <c r="CX54"/>
  <c r="CY85" s="1"/>
  <c r="CX58"/>
  <c r="CX89" s="1"/>
  <c r="CT66" i="16"/>
  <c r="CT67"/>
  <c r="CU67"/>
  <c r="CT101" s="1"/>
  <c r="CT69"/>
  <c r="CT71"/>
  <c r="CU71"/>
  <c r="CV73"/>
  <c r="CT107" s="1"/>
  <c r="CU75"/>
  <c r="CV75"/>
  <c r="CT77"/>
  <c r="CU79"/>
  <c r="CV79"/>
  <c r="CT81"/>
  <c r="CT115" s="1"/>
  <c r="CU83"/>
  <c r="CT83"/>
  <c r="CT85"/>
  <c r="CT87"/>
  <c r="CU87"/>
  <c r="CU89"/>
  <c r="CT123" s="1"/>
  <c r="CX65" i="18"/>
  <c r="CW65"/>
  <c r="CW68"/>
  <c r="CX70"/>
  <c r="CY70"/>
  <c r="CW72"/>
  <c r="CX74"/>
  <c r="CY74"/>
  <c r="CW76"/>
  <c r="CX78"/>
  <c r="CY78"/>
  <c r="CW80"/>
  <c r="CX82"/>
  <c r="CY82"/>
  <c r="CW84"/>
  <c r="CX86"/>
  <c r="CY86"/>
  <c r="CW88"/>
  <c r="CT65" i="16"/>
  <c r="CU65"/>
  <c r="CT68"/>
  <c r="CT102" s="1"/>
  <c r="CT70"/>
  <c r="CU70"/>
  <c r="CU72"/>
  <c r="CV74"/>
  <c r="CT74"/>
  <c r="CT76"/>
  <c r="CT78"/>
  <c r="CU78"/>
  <c r="CU80"/>
  <c r="CT114" s="1"/>
  <c r="CV82"/>
  <c r="CT82"/>
  <c r="CU84"/>
  <c r="CV86"/>
  <c r="CT86"/>
  <c r="CT88"/>
  <c r="CX66" i="18"/>
  <c r="CY66"/>
  <c r="CY67"/>
  <c r="CX69"/>
  <c r="CW69"/>
  <c r="CY71"/>
  <c r="CX73"/>
  <c r="CW73"/>
  <c r="CY75"/>
  <c r="CX77"/>
  <c r="CW77"/>
  <c r="CY79"/>
  <c r="CX81"/>
  <c r="CW81"/>
  <c r="CY83"/>
  <c r="CX85"/>
  <c r="CW85"/>
  <c r="CY87"/>
  <c r="CW89"/>
  <c r="CY89"/>
  <c r="CT105" i="16"/>
  <c r="CT111"/>
  <c r="CT121"/>
  <c r="CT99"/>
  <c r="CT104"/>
  <c r="CT112"/>
  <c r="CT116"/>
  <c r="CT120"/>
  <c r="CT108"/>
  <c r="CT118"/>
  <c r="CW155" i="18" l="1"/>
  <c r="CW161" s="1"/>
  <c r="CW153"/>
  <c r="CW151"/>
  <c r="CW149"/>
  <c r="CW147"/>
  <c r="CW145"/>
  <c r="CW143"/>
  <c r="CW141"/>
  <c r="CW139"/>
  <c r="CW137"/>
  <c r="CW135"/>
  <c r="CW133"/>
  <c r="CW132"/>
  <c r="CT154" i="16"/>
  <c r="CT152"/>
  <c r="CT150"/>
  <c r="CT148"/>
  <c r="CT146"/>
  <c r="CT144"/>
  <c r="CT142"/>
  <c r="CT140"/>
  <c r="CT138"/>
  <c r="CT136"/>
  <c r="CT134"/>
  <c r="CT131"/>
  <c r="CW154" i="18"/>
  <c r="CW152"/>
  <c r="CW150"/>
  <c r="CW148"/>
  <c r="CW146"/>
  <c r="CW144"/>
  <c r="CW142"/>
  <c r="CW140"/>
  <c r="CW138"/>
  <c r="CW136"/>
  <c r="CW134"/>
  <c r="CW131"/>
  <c r="CT155" i="16"/>
  <c r="CT161" s="1"/>
  <c r="CT153"/>
  <c r="CT151"/>
  <c r="CT149"/>
  <c r="CT147"/>
  <c r="CT145"/>
  <c r="CT143"/>
  <c r="CT141"/>
  <c r="CT139"/>
  <c r="CT137"/>
  <c r="CT135"/>
  <c r="CT133"/>
  <c r="CT132"/>
  <c r="Q161" i="18"/>
  <c r="Q161" i="16"/>
  <c r="AE83" i="5"/>
  <c r="AF55"/>
  <c r="AE56"/>
  <c r="DF3" i="18" s="1"/>
  <c r="AE57" i="5"/>
  <c r="DF4" i="18" s="1"/>
  <c r="AE58" i="5"/>
  <c r="DF5" i="18" s="1"/>
  <c r="AE59" i="5"/>
  <c r="DF6" i="18" s="1"/>
  <c r="AE60" i="5"/>
  <c r="DF7" i="18" s="1"/>
  <c r="AE61" i="5"/>
  <c r="DF8" i="18" s="1"/>
  <c r="AE62" i="5"/>
  <c r="DF9" i="18" s="1"/>
  <c r="AE63" i="5"/>
  <c r="DF10" i="18" s="1"/>
  <c r="AE64" i="5"/>
  <c r="DF11" i="18" s="1"/>
  <c r="AE65" i="5"/>
  <c r="DF12" i="18" s="1"/>
  <c r="AE66" i="5"/>
  <c r="DF13" i="18" s="1"/>
  <c r="AE67" i="5"/>
  <c r="DF14" i="18" s="1"/>
  <c r="AE68" i="5"/>
  <c r="DF15" i="18" s="1"/>
  <c r="AE69" i="5"/>
  <c r="DF16" i="18" s="1"/>
  <c r="AE70" i="5"/>
  <c r="DF17" i="18" s="1"/>
  <c r="AE71" i="5"/>
  <c r="DF18" i="18" s="1"/>
  <c r="AE72" i="5"/>
  <c r="DF19" i="18" s="1"/>
  <c r="AE73" i="5"/>
  <c r="DF20" i="18" s="1"/>
  <c r="AE74" i="5"/>
  <c r="DF21" i="18" s="1"/>
  <c r="AE75" i="5"/>
  <c r="DF22" i="18" s="1"/>
  <c r="AE76" i="5"/>
  <c r="DF23" i="18" s="1"/>
  <c r="AE77" i="5"/>
  <c r="DF24" i="18" s="1"/>
  <c r="AE78" i="5"/>
  <c r="DF25" i="18" s="1"/>
  <c r="AE79" i="5"/>
  <c r="DF26" i="18" s="1"/>
  <c r="AE80" i="5"/>
  <c r="DF27" i="18" s="1"/>
  <c r="AD86" i="5"/>
  <c r="DE5" i="16" s="1"/>
  <c r="AD85" i="5"/>
  <c r="DE4" i="16" s="1"/>
  <c r="AD84" i="5"/>
  <c r="DE3" i="16" s="1"/>
  <c r="AD87" i="5"/>
  <c r="DE6" i="16" s="1"/>
  <c r="AD88" i="5"/>
  <c r="DE7" i="16" s="1"/>
  <c r="AD89" i="5"/>
  <c r="DE8" i="16" s="1"/>
  <c r="AD90" i="5"/>
  <c r="DE9" i="16" s="1"/>
  <c r="AD91" i="5"/>
  <c r="DE10" i="16" s="1"/>
  <c r="AD92" i="5"/>
  <c r="DE11" i="16" s="1"/>
  <c r="AD93" i="5"/>
  <c r="DE12" i="16" s="1"/>
  <c r="AD94" i="5"/>
  <c r="DE13" i="16" s="1"/>
  <c r="AD95" i="5"/>
  <c r="DE14" i="16" s="1"/>
  <c r="AD96" i="5"/>
  <c r="DE15" i="16" s="1"/>
  <c r="AD97" i="5"/>
  <c r="DE16" i="16" s="1"/>
  <c r="AD98" i="5"/>
  <c r="DE17" i="16" s="1"/>
  <c r="AD99" i="5"/>
  <c r="DE18" i="16" s="1"/>
  <c r="AD100" i="5"/>
  <c r="DE19" i="16" s="1"/>
  <c r="AD101" i="5"/>
  <c r="DE20" i="16" s="1"/>
  <c r="AD102" i="5"/>
  <c r="DE21" i="16" s="1"/>
  <c r="AD103" i="5"/>
  <c r="DE22" i="16" s="1"/>
  <c r="AD104" i="5"/>
  <c r="DE23" i="16" s="1"/>
  <c r="AD105" i="5"/>
  <c r="DE24" i="16" s="1"/>
  <c r="AD106" i="5"/>
  <c r="DE25" i="16" s="1"/>
  <c r="AD107" i="5"/>
  <c r="DE26" i="16" s="1"/>
  <c r="AD108" i="5"/>
  <c r="DE27" i="16" s="1"/>
  <c r="AE83" i="4"/>
  <c r="AF55"/>
  <c r="AE56"/>
  <c r="BZ3" i="18" s="1"/>
  <c r="AE57" i="4"/>
  <c r="BZ4" i="18" s="1"/>
  <c r="AE58" i="4"/>
  <c r="BZ5" i="18" s="1"/>
  <c r="AE59" i="4"/>
  <c r="BZ6" i="18" s="1"/>
  <c r="AE60" i="4"/>
  <c r="BZ7" i="18" s="1"/>
  <c r="AE61" i="4"/>
  <c r="BZ8" i="18" s="1"/>
  <c r="AE62" i="4"/>
  <c r="BZ9" i="18" s="1"/>
  <c r="AE63" i="4"/>
  <c r="BZ10" i="18" s="1"/>
  <c r="AE64" i="4"/>
  <c r="BZ11" i="18" s="1"/>
  <c r="AE65" i="4"/>
  <c r="BZ12" i="18" s="1"/>
  <c r="AE66" i="4"/>
  <c r="BZ13" i="18" s="1"/>
  <c r="AE67" i="4"/>
  <c r="BZ14" i="18" s="1"/>
  <c r="AE68" i="4"/>
  <c r="BZ15" i="18" s="1"/>
  <c r="AE69" i="4"/>
  <c r="BZ16" i="18" s="1"/>
  <c r="AE70" i="4"/>
  <c r="BZ17" i="18" s="1"/>
  <c r="AE71" i="4"/>
  <c r="BZ18" i="18" s="1"/>
  <c r="AE72" i="4"/>
  <c r="BZ19" i="18" s="1"/>
  <c r="AE73" i="4"/>
  <c r="BZ20" i="18" s="1"/>
  <c r="AE74" i="4"/>
  <c r="BZ21" i="18" s="1"/>
  <c r="AE75" i="4"/>
  <c r="BZ22" i="18" s="1"/>
  <c r="AE76" i="4"/>
  <c r="BZ23" i="18" s="1"/>
  <c r="AE77" i="4"/>
  <c r="BZ24" i="18" s="1"/>
  <c r="AE78" i="4"/>
  <c r="BZ25" i="18" s="1"/>
  <c r="AE79" i="4"/>
  <c r="BZ26" i="18" s="1"/>
  <c r="AE80" i="4"/>
  <c r="BZ27" i="18" s="1"/>
  <c r="AD86" i="4"/>
  <c r="BY5" i="16" s="1"/>
  <c r="AD85" i="4"/>
  <c r="BY4" i="16" s="1"/>
  <c r="AD84" i="4"/>
  <c r="BY3" i="16" s="1"/>
  <c r="AD87" i="4"/>
  <c r="BY6" i="16" s="1"/>
  <c r="AD88" i="4"/>
  <c r="BY7" i="16" s="1"/>
  <c r="AD89" i="4"/>
  <c r="BY8" i="16" s="1"/>
  <c r="AD90" i="4"/>
  <c r="BY9" i="16" s="1"/>
  <c r="AD91" i="4"/>
  <c r="BY10" i="16" s="1"/>
  <c r="AD92" i="4"/>
  <c r="BY11" i="16" s="1"/>
  <c r="AD93" i="4"/>
  <c r="BY12" i="16" s="1"/>
  <c r="AD94" i="4"/>
  <c r="BY13" i="16" s="1"/>
  <c r="AD95" i="4"/>
  <c r="BY14" i="16" s="1"/>
  <c r="AD96" i="4"/>
  <c r="BY15" i="16" s="1"/>
  <c r="AD97" i="4"/>
  <c r="BY16" i="16" s="1"/>
  <c r="AD98" i="4"/>
  <c r="BY17" i="16" s="1"/>
  <c r="AD99" i="4"/>
  <c r="BY18" i="16" s="1"/>
  <c r="AD100" i="4"/>
  <c r="BY19" i="16" s="1"/>
  <c r="AD101" i="4"/>
  <c r="BY20" i="16" s="1"/>
  <c r="AD102" i="4"/>
  <c r="BY21" i="16" s="1"/>
  <c r="AD103" i="4"/>
  <c r="BY22" i="16" s="1"/>
  <c r="AD104" i="4"/>
  <c r="BY23" i="16" s="1"/>
  <c r="AD105" i="4"/>
  <c r="BY24" i="16" s="1"/>
  <c r="AD106" i="4"/>
  <c r="BY25" i="16" s="1"/>
  <c r="AD107" i="4"/>
  <c r="BY26" i="16" s="1"/>
  <c r="AD108" i="4"/>
  <c r="BY27" i="16" s="1"/>
  <c r="Y210" i="5"/>
  <c r="Y238" s="1"/>
  <c r="Y163" i="4"/>
  <c r="Y191" s="1"/>
  <c r="Z162" i="3"/>
  <c r="Z189" s="1"/>
  <c r="Z1" i="5"/>
  <c r="Z1" i="4"/>
  <c r="AA1" i="3"/>
  <c r="CW119" i="18"/>
  <c r="CW111"/>
  <c r="CW103"/>
  <c r="CW120"/>
  <c r="CW112"/>
  <c r="CW104"/>
  <c r="CT117" i="16"/>
  <c r="CT109"/>
  <c r="CW117" i="18"/>
  <c r="CW109"/>
  <c r="CW101"/>
  <c r="CT110" i="16"/>
  <c r="CW122" i="18"/>
  <c r="CW114"/>
  <c r="CW106"/>
  <c r="CT119" i="16"/>
  <c r="CT100"/>
  <c r="DB36" i="18"/>
  <c r="DB40"/>
  <c r="DB44"/>
  <c r="DB48"/>
  <c r="DB52"/>
  <c r="DB56"/>
  <c r="CY35" i="16"/>
  <c r="CY39"/>
  <c r="CY43"/>
  <c r="CY47"/>
  <c r="CY51"/>
  <c r="CY55"/>
  <c r="DB35" i="18"/>
  <c r="DB39"/>
  <c r="DB43"/>
  <c r="DB47"/>
  <c r="DB51"/>
  <c r="DB55"/>
  <c r="CY36" i="16"/>
  <c r="CY38"/>
  <c r="CY42"/>
  <c r="CY46"/>
  <c r="CY50"/>
  <c r="CY54"/>
  <c r="CY58"/>
  <c r="DA36" i="18"/>
  <c r="DA40"/>
  <c r="DA44"/>
  <c r="DA48"/>
  <c r="DA52"/>
  <c r="DA56"/>
  <c r="CX35" i="16"/>
  <c r="CX39"/>
  <c r="CX43"/>
  <c r="CX47"/>
  <c r="CX51"/>
  <c r="CX55"/>
  <c r="CX58"/>
  <c r="DA37" i="18"/>
  <c r="DA41"/>
  <c r="DA45"/>
  <c r="DA49"/>
  <c r="DA53"/>
  <c r="DA57"/>
  <c r="CX34" i="16"/>
  <c r="CX40"/>
  <c r="CX44"/>
  <c r="CX48"/>
  <c r="CX52"/>
  <c r="CX56"/>
  <c r="DA67" i="18"/>
  <c r="CZ67"/>
  <c r="DA71"/>
  <c r="CZ71"/>
  <c r="DA75"/>
  <c r="CZ75"/>
  <c r="DA79"/>
  <c r="CZ79"/>
  <c r="DA83"/>
  <c r="CZ83"/>
  <c r="DA87"/>
  <c r="CZ87"/>
  <c r="CY66" i="16"/>
  <c r="CX66"/>
  <c r="CY70"/>
  <c r="CX70"/>
  <c r="CX74"/>
  <c r="CW74"/>
  <c r="CX78"/>
  <c r="CW78"/>
  <c r="CW82"/>
  <c r="CY82"/>
  <c r="CY86"/>
  <c r="CW86"/>
  <c r="CY89"/>
  <c r="CW89"/>
  <c r="CW123" i="18"/>
  <c r="CW115"/>
  <c r="CW107"/>
  <c r="CW100"/>
  <c r="CW116"/>
  <c r="CW108"/>
  <c r="CW99"/>
  <c r="CT113" i="16"/>
  <c r="CW121" i="18"/>
  <c r="CW113"/>
  <c r="CW105"/>
  <c r="CT122" i="16"/>
  <c r="CT106"/>
  <c r="CW118" i="18"/>
  <c r="CW110"/>
  <c r="CW102"/>
  <c r="CT103" i="16"/>
  <c r="DB34" i="18"/>
  <c r="DB38"/>
  <c r="DB42"/>
  <c r="DB46"/>
  <c r="DB50"/>
  <c r="DB54"/>
  <c r="DB58"/>
  <c r="CY37" i="16"/>
  <c r="CY41"/>
  <c r="CY45"/>
  <c r="CY49"/>
  <c r="CY53"/>
  <c r="CY57"/>
  <c r="DB37" i="18"/>
  <c r="DB41"/>
  <c r="DB45"/>
  <c r="DB49"/>
  <c r="DB53"/>
  <c r="DB57"/>
  <c r="CY34" i="16"/>
  <c r="CY40"/>
  <c r="CY44"/>
  <c r="CY48"/>
  <c r="CY52"/>
  <c r="CY56"/>
  <c r="DA34" i="18"/>
  <c r="DB65" s="1"/>
  <c r="DA38"/>
  <c r="DB69" s="1"/>
  <c r="DA42"/>
  <c r="DB73" s="1"/>
  <c r="DA46"/>
  <c r="DB77" s="1"/>
  <c r="DA50"/>
  <c r="DB81" s="1"/>
  <c r="DA54"/>
  <c r="DB85" s="1"/>
  <c r="DA58"/>
  <c r="DA89" s="1"/>
  <c r="CX37" i="16"/>
  <c r="CW68" s="1"/>
  <c r="CX41"/>
  <c r="CW72" s="1"/>
  <c r="CX45"/>
  <c r="CX76" s="1"/>
  <c r="CX49"/>
  <c r="CX80" s="1"/>
  <c r="CX53"/>
  <c r="CW84" s="1"/>
  <c r="CX57"/>
  <c r="CY88" s="1"/>
  <c r="DA35" i="18"/>
  <c r="CZ66" s="1"/>
  <c r="DA39"/>
  <c r="CZ70" s="1"/>
  <c r="DA43"/>
  <c r="CZ74" s="1"/>
  <c r="DA47"/>
  <c r="CZ78" s="1"/>
  <c r="DA51"/>
  <c r="CZ82" s="1"/>
  <c r="DA55"/>
  <c r="CZ86" s="1"/>
  <c r="CX36" i="16"/>
  <c r="CY67" s="1"/>
  <c r="CX38"/>
  <c r="CX69" s="1"/>
  <c r="CX42"/>
  <c r="CY73" s="1"/>
  <c r="CX46"/>
  <c r="CX77" s="1"/>
  <c r="CX50"/>
  <c r="CY81" s="1"/>
  <c r="CX54"/>
  <c r="CY85" s="1"/>
  <c r="DA65" i="18"/>
  <c r="CZ65"/>
  <c r="DB67"/>
  <c r="DA69"/>
  <c r="CZ69"/>
  <c r="DB71"/>
  <c r="DA73"/>
  <c r="CZ73"/>
  <c r="DB75"/>
  <c r="DA77"/>
  <c r="CZ77"/>
  <c r="DB79"/>
  <c r="DA81"/>
  <c r="CZ81"/>
  <c r="DB83"/>
  <c r="DA85"/>
  <c r="CZ85"/>
  <c r="DB87"/>
  <c r="CZ89"/>
  <c r="DB89"/>
  <c r="CW66" i="16"/>
  <c r="CY68"/>
  <c r="CX68"/>
  <c r="CW102" s="1"/>
  <c r="CW70"/>
  <c r="CY72"/>
  <c r="CX72"/>
  <c r="CW106" s="1"/>
  <c r="CY74"/>
  <c r="CW76"/>
  <c r="CY76"/>
  <c r="CY78"/>
  <c r="CW80"/>
  <c r="CY80"/>
  <c r="CX82"/>
  <c r="CY84"/>
  <c r="CX84"/>
  <c r="CX86"/>
  <c r="CW120" s="1"/>
  <c r="CW88"/>
  <c r="CX88"/>
  <c r="CX89"/>
  <c r="CW123" s="1"/>
  <c r="DA66" i="18"/>
  <c r="DB66"/>
  <c r="CZ68"/>
  <c r="DA70"/>
  <c r="DB70"/>
  <c r="CZ72"/>
  <c r="DA74"/>
  <c r="DB74"/>
  <c r="CZ76"/>
  <c r="DA78"/>
  <c r="DB78"/>
  <c r="CZ80"/>
  <c r="DA82"/>
  <c r="DB82"/>
  <c r="CZ84"/>
  <c r="DA86"/>
  <c r="DB86"/>
  <c r="CZ88"/>
  <c r="CW67" i="16"/>
  <c r="CX67"/>
  <c r="CY65"/>
  <c r="CW69"/>
  <c r="CY69"/>
  <c r="CW71"/>
  <c r="CX73"/>
  <c r="CW73"/>
  <c r="CX75"/>
  <c r="CY77"/>
  <c r="CW77"/>
  <c r="CW111" s="1"/>
  <c r="CW79"/>
  <c r="CW81"/>
  <c r="CX81"/>
  <c r="CX83"/>
  <c r="CW85"/>
  <c r="CX85"/>
  <c r="CW119" s="1"/>
  <c r="CX87"/>
  <c r="CW100"/>
  <c r="CW104"/>
  <c r="CW118"/>
  <c r="CW122"/>
  <c r="CW101"/>
  <c r="CW115"/>
  <c r="DB68" i="18"/>
  <c r="DA68"/>
  <c r="DB72"/>
  <c r="DA72"/>
  <c r="DB76"/>
  <c r="DA76"/>
  <c r="DB80"/>
  <c r="DA80"/>
  <c r="DB84"/>
  <c r="DA84"/>
  <c r="DB88"/>
  <c r="DA88"/>
  <c r="CW65" i="16"/>
  <c r="CX65"/>
  <c r="CX71"/>
  <c r="CY71"/>
  <c r="CW105" s="1"/>
  <c r="CW75"/>
  <c r="CY75"/>
  <c r="CW109" s="1"/>
  <c r="CY79"/>
  <c r="CX79"/>
  <c r="CW83"/>
  <c r="CY83"/>
  <c r="CW117" s="1"/>
  <c r="CW87"/>
  <c r="CY87"/>
  <c r="CW121" s="1"/>
  <c r="CW153" l="1"/>
  <c r="CW151"/>
  <c r="CW149"/>
  <c r="CW147"/>
  <c r="CW145"/>
  <c r="CW143"/>
  <c r="CW141"/>
  <c r="CW139"/>
  <c r="CW137"/>
  <c r="CW135"/>
  <c r="CW131"/>
  <c r="CW133"/>
  <c r="CZ154" i="18"/>
  <c r="CZ152"/>
  <c r="CZ150"/>
  <c r="CZ148"/>
  <c r="CZ146"/>
  <c r="CZ144"/>
  <c r="CZ142"/>
  <c r="CZ140"/>
  <c r="CZ138"/>
  <c r="CZ136"/>
  <c r="CZ134"/>
  <c r="CZ132"/>
  <c r="CW155" i="16"/>
  <c r="CW154"/>
  <c r="CW152"/>
  <c r="CW150"/>
  <c r="CW148"/>
  <c r="CW146"/>
  <c r="CW144"/>
  <c r="CW142"/>
  <c r="CW140"/>
  <c r="CW138"/>
  <c r="CW136"/>
  <c r="CW134"/>
  <c r="CW132"/>
  <c r="CZ155" i="18"/>
  <c r="CZ153"/>
  <c r="CZ151"/>
  <c r="CZ149"/>
  <c r="CZ147"/>
  <c r="CZ145"/>
  <c r="CZ143"/>
  <c r="CZ141"/>
  <c r="CZ139"/>
  <c r="CZ137"/>
  <c r="CZ135"/>
  <c r="CZ133"/>
  <c r="CZ131"/>
  <c r="AE86" i="5"/>
  <c r="DF5" i="16" s="1"/>
  <c r="AE85" i="5"/>
  <c r="DF4" i="16" s="1"/>
  <c r="AE84" i="5"/>
  <c r="DF3" i="16" s="1"/>
  <c r="AE87" i="5"/>
  <c r="DF6" i="16" s="1"/>
  <c r="AE88" i="5"/>
  <c r="DF7" i="16" s="1"/>
  <c r="AE89" i="5"/>
  <c r="DF8" i="16" s="1"/>
  <c r="AE90" i="5"/>
  <c r="DF9" i="16" s="1"/>
  <c r="AE91" i="5"/>
  <c r="DF10" i="16" s="1"/>
  <c r="AE92" i="5"/>
  <c r="DF11" i="16" s="1"/>
  <c r="AE93" i="5"/>
  <c r="DF12" i="16" s="1"/>
  <c r="AE94" i="5"/>
  <c r="DF13" i="16" s="1"/>
  <c r="AE95" i="5"/>
  <c r="DF14" i="16" s="1"/>
  <c r="AE96" i="5"/>
  <c r="DF15" i="16" s="1"/>
  <c r="AE97" i="5"/>
  <c r="DF16" i="16" s="1"/>
  <c r="AE98" i="5"/>
  <c r="DF17" i="16" s="1"/>
  <c r="AE99" i="5"/>
  <c r="DF18" i="16" s="1"/>
  <c r="AE100" i="5"/>
  <c r="DF19" i="16" s="1"/>
  <c r="AE101" i="5"/>
  <c r="DF20" i="16" s="1"/>
  <c r="AE102" i="5"/>
  <c r="DF21" i="16" s="1"/>
  <c r="AE103" i="5"/>
  <c r="DF22" i="16" s="1"/>
  <c r="AE104" i="5"/>
  <c r="DF23" i="16" s="1"/>
  <c r="AE105" i="5"/>
  <c r="DF24" i="16" s="1"/>
  <c r="AE106" i="5"/>
  <c r="DF25" i="16" s="1"/>
  <c r="AE107" i="5"/>
  <c r="DF26" i="16" s="1"/>
  <c r="AE108" i="5"/>
  <c r="DF27" i="16" s="1"/>
  <c r="AF83" i="5"/>
  <c r="AF56"/>
  <c r="DG3" i="18" s="1"/>
  <c r="AF57" i="5"/>
  <c r="DG4" i="18" s="1"/>
  <c r="AG55" i="5"/>
  <c r="AF58"/>
  <c r="DG5" i="18" s="1"/>
  <c r="AF59" i="5"/>
  <c r="DG6" i="18" s="1"/>
  <c r="AF60" i="5"/>
  <c r="DG7" i="18" s="1"/>
  <c r="AF61" i="5"/>
  <c r="DG8" i="18" s="1"/>
  <c r="AF62" i="5"/>
  <c r="DG9" i="18" s="1"/>
  <c r="AF63" i="5"/>
  <c r="DG10" i="18" s="1"/>
  <c r="AF64" i="5"/>
  <c r="DG11" i="18" s="1"/>
  <c r="AF65" i="5"/>
  <c r="DG12" i="18" s="1"/>
  <c r="AF66" i="5"/>
  <c r="DG13" i="18" s="1"/>
  <c r="AF67" i="5"/>
  <c r="DG14" i="18" s="1"/>
  <c r="AF68" i="5"/>
  <c r="DG15" i="18" s="1"/>
  <c r="AF69" i="5"/>
  <c r="DG16" i="18" s="1"/>
  <c r="AF70" i="5"/>
  <c r="DG17" i="18" s="1"/>
  <c r="AF71" i="5"/>
  <c r="DG18" i="18" s="1"/>
  <c r="AF72" i="5"/>
  <c r="DG19" i="18" s="1"/>
  <c r="AF73" i="5"/>
  <c r="DG20" i="18" s="1"/>
  <c r="AF74" i="5"/>
  <c r="DG21" i="18" s="1"/>
  <c r="AF75" i="5"/>
  <c r="DG22" i="18" s="1"/>
  <c r="AF76" i="5"/>
  <c r="DG23" i="18" s="1"/>
  <c r="AF77" i="5"/>
  <c r="DG24" i="18" s="1"/>
  <c r="AF78" i="5"/>
  <c r="DG25" i="18" s="1"/>
  <c r="AF79" i="5"/>
  <c r="DG26" i="18" s="1"/>
  <c r="AF80" i="5"/>
  <c r="DG27" i="18" s="1"/>
  <c r="AE86" i="4"/>
  <c r="BZ5" i="16" s="1"/>
  <c r="AE85" i="4"/>
  <c r="BZ4" i="16" s="1"/>
  <c r="AE84" i="4"/>
  <c r="BZ3" i="16" s="1"/>
  <c r="AE87" i="4"/>
  <c r="BZ6" i="16" s="1"/>
  <c r="AE88" i="4"/>
  <c r="BZ7" i="16" s="1"/>
  <c r="AE89" i="4"/>
  <c r="BZ8" i="16" s="1"/>
  <c r="AE90" i="4"/>
  <c r="BZ9" i="16" s="1"/>
  <c r="AE91" i="4"/>
  <c r="BZ10" i="16" s="1"/>
  <c r="AE92" i="4"/>
  <c r="BZ11" i="16" s="1"/>
  <c r="AE93" i="4"/>
  <c r="BZ12" i="16" s="1"/>
  <c r="AE94" i="4"/>
  <c r="BZ13" i="16" s="1"/>
  <c r="AE95" i="4"/>
  <c r="BZ14" i="16" s="1"/>
  <c r="AE96" i="4"/>
  <c r="BZ15" i="16" s="1"/>
  <c r="AE97" i="4"/>
  <c r="BZ16" i="16" s="1"/>
  <c r="AE98" i="4"/>
  <c r="BZ17" i="16" s="1"/>
  <c r="AE99" i="4"/>
  <c r="BZ18" i="16" s="1"/>
  <c r="AE100" i="4"/>
  <c r="BZ19" i="16" s="1"/>
  <c r="AE101" i="4"/>
  <c r="BZ20" i="16" s="1"/>
  <c r="AE102" i="4"/>
  <c r="BZ21" i="16" s="1"/>
  <c r="AE103" i="4"/>
  <c r="BZ22" i="16" s="1"/>
  <c r="AE104" i="4"/>
  <c r="BZ23" i="16" s="1"/>
  <c r="AE105" i="4"/>
  <c r="BZ24" i="16" s="1"/>
  <c r="AE106" i="4"/>
  <c r="BZ25" i="16" s="1"/>
  <c r="AE107" i="4"/>
  <c r="BZ26" i="16" s="1"/>
  <c r="AE108" i="4"/>
  <c r="BZ27" i="16" s="1"/>
  <c r="AF83" i="4"/>
  <c r="AF56"/>
  <c r="CA3" i="18" s="1"/>
  <c r="AF57" i="4"/>
  <c r="CA4" i="18" s="1"/>
  <c r="AG55" i="4"/>
  <c r="AF58"/>
  <c r="CA5" i="18" s="1"/>
  <c r="AF59" i="4"/>
  <c r="CA6" i="18" s="1"/>
  <c r="AF60" i="4"/>
  <c r="CA7" i="18" s="1"/>
  <c r="AF61" i="4"/>
  <c r="CA8" i="18" s="1"/>
  <c r="AF62" i="4"/>
  <c r="CA9" i="18" s="1"/>
  <c r="AF63" i="4"/>
  <c r="CA10" i="18" s="1"/>
  <c r="AF64" i="4"/>
  <c r="CA11" i="18" s="1"/>
  <c r="AF65" i="4"/>
  <c r="CA12" i="18" s="1"/>
  <c r="AF66" i="4"/>
  <c r="CA13" i="18" s="1"/>
  <c r="AF67" i="4"/>
  <c r="CA14" i="18" s="1"/>
  <c r="AF68" i="4"/>
  <c r="CA15" i="18" s="1"/>
  <c r="AF69" i="4"/>
  <c r="CA16" i="18" s="1"/>
  <c r="AF70" i="4"/>
  <c r="CA17" i="18" s="1"/>
  <c r="AF71" i="4"/>
  <c r="CA18" i="18" s="1"/>
  <c r="AF72" i="4"/>
  <c r="CA19" i="18" s="1"/>
  <c r="AF73" i="4"/>
  <c r="CA20" i="18" s="1"/>
  <c r="AF74" i="4"/>
  <c r="CA21" i="18" s="1"/>
  <c r="AF75" i="4"/>
  <c r="CA22" i="18" s="1"/>
  <c r="AF76" i="4"/>
  <c r="CA23" i="18" s="1"/>
  <c r="AF77" i="4"/>
  <c r="CA24" i="18" s="1"/>
  <c r="AF78" i="4"/>
  <c r="CA25" i="18" s="1"/>
  <c r="AF79" i="4"/>
  <c r="CA26" i="18" s="1"/>
  <c r="AF80" i="4"/>
  <c r="CA27" i="18" s="1"/>
  <c r="Z210" i="5"/>
  <c r="Z238" s="1"/>
  <c r="Z163" i="4"/>
  <c r="Z191" s="1"/>
  <c r="AB1" i="3"/>
  <c r="AA162"/>
  <c r="AA189" s="1"/>
  <c r="AA1" i="5"/>
  <c r="AA1" i="4"/>
  <c r="CW103" i="16"/>
  <c r="CZ116" i="18"/>
  <c r="CZ108"/>
  <c r="CZ100"/>
  <c r="CW110" i="16"/>
  <c r="CZ119" i="18"/>
  <c r="CZ111"/>
  <c r="CZ103"/>
  <c r="CW113" i="16"/>
  <c r="CZ122" i="18"/>
  <c r="CZ114"/>
  <c r="CZ106"/>
  <c r="CW116" i="16"/>
  <c r="CW108"/>
  <c r="CZ117" i="18"/>
  <c r="CZ109"/>
  <c r="CZ101"/>
  <c r="DB37" i="16"/>
  <c r="DB41"/>
  <c r="DB45"/>
  <c r="DB49"/>
  <c r="DB53"/>
  <c r="DB57"/>
  <c r="DE36" i="18"/>
  <c r="DE40"/>
  <c r="DE44"/>
  <c r="DE48"/>
  <c r="DE52"/>
  <c r="DE56"/>
  <c r="DB36" i="16"/>
  <c r="DB38"/>
  <c r="DB42"/>
  <c r="DB46"/>
  <c r="DB50"/>
  <c r="DB54"/>
  <c r="DB58"/>
  <c r="DE37" i="18"/>
  <c r="DE41"/>
  <c r="DE45"/>
  <c r="DE49"/>
  <c r="DE53"/>
  <c r="DE57"/>
  <c r="DA34" i="16"/>
  <c r="DA40"/>
  <c r="DA44"/>
  <c r="DA48"/>
  <c r="DA52"/>
  <c r="DA56"/>
  <c r="DD34" i="18"/>
  <c r="DD39"/>
  <c r="DD43"/>
  <c r="DD47"/>
  <c r="DD51"/>
  <c r="DD55"/>
  <c r="DD56"/>
  <c r="DA37" i="16"/>
  <c r="DA41"/>
  <c r="DA45"/>
  <c r="DA49"/>
  <c r="DA53"/>
  <c r="DA57"/>
  <c r="DD36" i="18"/>
  <c r="DD40"/>
  <c r="DD44"/>
  <c r="DD48"/>
  <c r="DD52"/>
  <c r="DD58"/>
  <c r="DD87"/>
  <c r="DC87"/>
  <c r="DA68" i="16"/>
  <c r="DB68"/>
  <c r="CZ72"/>
  <c r="DB72"/>
  <c r="CZ76"/>
  <c r="DA76"/>
  <c r="DB80"/>
  <c r="CZ80"/>
  <c r="DB84"/>
  <c r="CZ84"/>
  <c r="CZ88"/>
  <c r="DA88"/>
  <c r="DD67" i="18"/>
  <c r="DC67"/>
  <c r="DD71"/>
  <c r="DC71"/>
  <c r="DD75"/>
  <c r="DC75"/>
  <c r="DD79"/>
  <c r="DC79"/>
  <c r="DD83"/>
  <c r="DC83"/>
  <c r="CW107" i="16"/>
  <c r="CZ120" i="18"/>
  <c r="CZ112"/>
  <c r="CZ104"/>
  <c r="CW114" i="16"/>
  <c r="CZ123" i="18"/>
  <c r="CZ115"/>
  <c r="CZ107"/>
  <c r="CZ99"/>
  <c r="CW99" i="16"/>
  <c r="CZ118" i="18"/>
  <c r="CZ110"/>
  <c r="CZ102"/>
  <c r="CW112" i="16"/>
  <c r="CZ121" i="18"/>
  <c r="CZ113"/>
  <c r="CZ105"/>
  <c r="DB35" i="16"/>
  <c r="DB39"/>
  <c r="DB43"/>
  <c r="DB47"/>
  <c r="DB51"/>
  <c r="DB55"/>
  <c r="DE35" i="18"/>
  <c r="DE38"/>
  <c r="DE42"/>
  <c r="DE46"/>
  <c r="DE50"/>
  <c r="DE54"/>
  <c r="DE58"/>
  <c r="DC89" s="1"/>
  <c r="DB34" i="16"/>
  <c r="DB40"/>
  <c r="DB44"/>
  <c r="DB48"/>
  <c r="DB52"/>
  <c r="DB56"/>
  <c r="DE34" i="18"/>
  <c r="DE39"/>
  <c r="DE43"/>
  <c r="DE47"/>
  <c r="DE51"/>
  <c r="DE55"/>
  <c r="DA36" i="16"/>
  <c r="CZ67" s="1"/>
  <c r="DA38"/>
  <c r="CZ69" s="1"/>
  <c r="DA42"/>
  <c r="CZ73" s="1"/>
  <c r="DA46"/>
  <c r="DB77" s="1"/>
  <c r="DA50"/>
  <c r="DB81" s="1"/>
  <c r="DA54"/>
  <c r="DB85" s="1"/>
  <c r="DA58"/>
  <c r="CZ89" s="1"/>
  <c r="DD37" i="18"/>
  <c r="DC68" s="1"/>
  <c r="DD41"/>
  <c r="DC72" s="1"/>
  <c r="DD45"/>
  <c r="DC76" s="1"/>
  <c r="DD49"/>
  <c r="DC80" s="1"/>
  <c r="DD53"/>
  <c r="DC84" s="1"/>
  <c r="DD57"/>
  <c r="DC88" s="1"/>
  <c r="DA35" i="16"/>
  <c r="CZ66" s="1"/>
  <c r="DA39"/>
  <c r="DA70" s="1"/>
  <c r="DA43"/>
  <c r="CZ74" s="1"/>
  <c r="DA47"/>
  <c r="DA78" s="1"/>
  <c r="DA51"/>
  <c r="CZ82" s="1"/>
  <c r="DA55"/>
  <c r="CZ86" s="1"/>
  <c r="DD35" i="18"/>
  <c r="DC66" s="1"/>
  <c r="DD38"/>
  <c r="DE69" s="1"/>
  <c r="DD42"/>
  <c r="DE73" s="1"/>
  <c r="DD46"/>
  <c r="DE77" s="1"/>
  <c r="DD50"/>
  <c r="DE81" s="1"/>
  <c r="DD54"/>
  <c r="DE85" s="1"/>
  <c r="DA67" i="16"/>
  <c r="DB67"/>
  <c r="CZ65"/>
  <c r="DB69"/>
  <c r="DA69"/>
  <c r="CZ71"/>
  <c r="DA73"/>
  <c r="DB73"/>
  <c r="CZ75"/>
  <c r="DA77"/>
  <c r="CZ77"/>
  <c r="CZ79"/>
  <c r="DA81"/>
  <c r="CZ81"/>
  <c r="DA83"/>
  <c r="CZ85"/>
  <c r="DA85"/>
  <c r="CZ119" s="1"/>
  <c r="DA87"/>
  <c r="DA89"/>
  <c r="DB89"/>
  <c r="DE65" i="18"/>
  <c r="DD68"/>
  <c r="DE68"/>
  <c r="DC70"/>
  <c r="DD72"/>
  <c r="DE72"/>
  <c r="DC74"/>
  <c r="DD76"/>
  <c r="DE76"/>
  <c r="DC78"/>
  <c r="DD80"/>
  <c r="DE80"/>
  <c r="DC82"/>
  <c r="DD84"/>
  <c r="DE84"/>
  <c r="DC86"/>
  <c r="DD88"/>
  <c r="DE88"/>
  <c r="DE87"/>
  <c r="DB66" i="16"/>
  <c r="DA66"/>
  <c r="CZ68"/>
  <c r="CZ70"/>
  <c r="DB70"/>
  <c r="DA72"/>
  <c r="DA74"/>
  <c r="DB74"/>
  <c r="DB76"/>
  <c r="DB78"/>
  <c r="CZ78"/>
  <c r="CZ112" s="1"/>
  <c r="DA80"/>
  <c r="DA82"/>
  <c r="DB82"/>
  <c r="DA84"/>
  <c r="DA86"/>
  <c r="DB86"/>
  <c r="DB88"/>
  <c r="DD66" i="18"/>
  <c r="DE66"/>
  <c r="DE67"/>
  <c r="DD69"/>
  <c r="DC69"/>
  <c r="DE71"/>
  <c r="DD73"/>
  <c r="DC73"/>
  <c r="DE75"/>
  <c r="DD77"/>
  <c r="DC77"/>
  <c r="DE79"/>
  <c r="DD81"/>
  <c r="DC81"/>
  <c r="DE83"/>
  <c r="DD85"/>
  <c r="DC85"/>
  <c r="DE89"/>
  <c r="CZ103" i="16"/>
  <c r="CZ110"/>
  <c r="CZ114"/>
  <c r="CZ122"/>
  <c r="DD89" i="18"/>
  <c r="CZ100" i="16"/>
  <c r="CZ118"/>
  <c r="DB65"/>
  <c r="DA65"/>
  <c r="DB71"/>
  <c r="DA71"/>
  <c r="DA75"/>
  <c r="DB75"/>
  <c r="CZ109" s="1"/>
  <c r="DA79"/>
  <c r="DB79"/>
  <c r="CZ113" s="1"/>
  <c r="DB83"/>
  <c r="CZ83"/>
  <c r="CZ87"/>
  <c r="DB87"/>
  <c r="CZ121" s="1"/>
  <c r="DC65" i="18"/>
  <c r="DD65"/>
  <c r="DE70"/>
  <c r="DD70"/>
  <c r="DE74"/>
  <c r="DD74"/>
  <c r="DE78"/>
  <c r="DD78"/>
  <c r="DE82"/>
  <c r="DD82"/>
  <c r="DE86"/>
  <c r="DD86"/>
  <c r="DC155" l="1"/>
  <c r="DC161" s="1"/>
  <c r="DC151"/>
  <c r="DC149"/>
  <c r="DC147"/>
  <c r="DC145"/>
  <c r="DC143"/>
  <c r="DC141"/>
  <c r="DC139"/>
  <c r="DC137"/>
  <c r="DC135"/>
  <c r="DC133"/>
  <c r="DC132"/>
  <c r="CZ154" i="16"/>
  <c r="CZ152"/>
  <c r="CZ150"/>
  <c r="CZ148"/>
  <c r="CZ146"/>
  <c r="CZ144"/>
  <c r="CZ142"/>
  <c r="CZ140"/>
  <c r="CZ138"/>
  <c r="CZ136"/>
  <c r="CZ134"/>
  <c r="CZ132"/>
  <c r="DC153" i="18"/>
  <c r="DC154"/>
  <c r="DC152"/>
  <c r="DC150"/>
  <c r="DC148"/>
  <c r="DC146"/>
  <c r="DC144"/>
  <c r="DC142"/>
  <c r="DC140"/>
  <c r="DC138"/>
  <c r="DC136"/>
  <c r="DC134"/>
  <c r="DC131"/>
  <c r="CZ155" i="16"/>
  <c r="CZ161" s="1"/>
  <c r="CZ153"/>
  <c r="CZ151"/>
  <c r="CZ149"/>
  <c r="CZ147"/>
  <c r="CZ145"/>
  <c r="CZ143"/>
  <c r="CZ141"/>
  <c r="CZ139"/>
  <c r="CZ137"/>
  <c r="CZ135"/>
  <c r="CZ131"/>
  <c r="CZ133"/>
  <c r="CW161"/>
  <c r="CZ161" i="18"/>
  <c r="AG83" i="5"/>
  <c r="AG56"/>
  <c r="DH3" i="18" s="1"/>
  <c r="AG58" i="5"/>
  <c r="DH5" i="18" s="1"/>
  <c r="AG57" i="5"/>
  <c r="DH4" i="18" s="1"/>
  <c r="AG59" i="5"/>
  <c r="DH6" i="18" s="1"/>
  <c r="AG60" i="5"/>
  <c r="DH7" i="18" s="1"/>
  <c r="AG61" i="5"/>
  <c r="DH8" i="18" s="1"/>
  <c r="AG62" i="5"/>
  <c r="DH9" i="18" s="1"/>
  <c r="AG63" i="5"/>
  <c r="DH10" i="18" s="1"/>
  <c r="AG64" i="5"/>
  <c r="DH11" i="18" s="1"/>
  <c r="AG65" i="5"/>
  <c r="DH12" i="18" s="1"/>
  <c r="AG66" i="5"/>
  <c r="DH13" i="18" s="1"/>
  <c r="AG67" i="5"/>
  <c r="DH14" i="18" s="1"/>
  <c r="AG68" i="5"/>
  <c r="DH15" i="18" s="1"/>
  <c r="AG69" i="5"/>
  <c r="DH16" i="18" s="1"/>
  <c r="AG70" i="5"/>
  <c r="DH17" i="18" s="1"/>
  <c r="AG71" i="5"/>
  <c r="DH18" i="18" s="1"/>
  <c r="AG72" i="5"/>
  <c r="DH19" i="18" s="1"/>
  <c r="AG73" i="5"/>
  <c r="DH20" i="18" s="1"/>
  <c r="AG74" i="5"/>
  <c r="DH21" i="18" s="1"/>
  <c r="AG75" i="5"/>
  <c r="DH22" i="18" s="1"/>
  <c r="AG76" i="5"/>
  <c r="DH23" i="18" s="1"/>
  <c r="AG77" i="5"/>
  <c r="DH24" i="18" s="1"/>
  <c r="AG78" i="5"/>
  <c r="DH25" i="18" s="1"/>
  <c r="AG79" i="5"/>
  <c r="DH26" i="18" s="1"/>
  <c r="AG80" i="5"/>
  <c r="DH27" i="18" s="1"/>
  <c r="AF85" i="5"/>
  <c r="DG4" i="16" s="1"/>
  <c r="AF86" i="5"/>
  <c r="DG5" i="16" s="1"/>
  <c r="AF84" i="5"/>
  <c r="DG3" i="16" s="1"/>
  <c r="AF87" i="5"/>
  <c r="DG6" i="16" s="1"/>
  <c r="AF88" i="5"/>
  <c r="DG7" i="16" s="1"/>
  <c r="AF89" i="5"/>
  <c r="DG8" i="16" s="1"/>
  <c r="AF90" i="5"/>
  <c r="DG9" i="16" s="1"/>
  <c r="AF91" i="5"/>
  <c r="DG10" i="16" s="1"/>
  <c r="AF92" i="5"/>
  <c r="DG11" i="16" s="1"/>
  <c r="AF93" i="5"/>
  <c r="DG12" i="16" s="1"/>
  <c r="AF94" i="5"/>
  <c r="DG13" i="16" s="1"/>
  <c r="AF95" i="5"/>
  <c r="DG14" i="16" s="1"/>
  <c r="AF96" i="5"/>
  <c r="DG15" i="16" s="1"/>
  <c r="AF97" i="5"/>
  <c r="DG16" i="16" s="1"/>
  <c r="AF98" i="5"/>
  <c r="DG17" i="16" s="1"/>
  <c r="AF99" i="5"/>
  <c r="DG18" i="16" s="1"/>
  <c r="AF100" i="5"/>
  <c r="DG19" i="16" s="1"/>
  <c r="AF101" i="5"/>
  <c r="DG20" i="16" s="1"/>
  <c r="AF102" i="5"/>
  <c r="DG21" i="16" s="1"/>
  <c r="AF103" i="5"/>
  <c r="DG22" i="16" s="1"/>
  <c r="AF104" i="5"/>
  <c r="DG23" i="16" s="1"/>
  <c r="AF105" i="5"/>
  <c r="DG24" i="16" s="1"/>
  <c r="AF106" i="5"/>
  <c r="DG25" i="16" s="1"/>
  <c r="AF107" i="5"/>
  <c r="DG26" i="16" s="1"/>
  <c r="AF108" i="5"/>
  <c r="DG27" i="16" s="1"/>
  <c r="AG83" i="4"/>
  <c r="AG56"/>
  <c r="CB3" i="18" s="1"/>
  <c r="AG58" i="4"/>
  <c r="CB5" i="18" s="1"/>
  <c r="AG57" i="4"/>
  <c r="CB4" i="18" s="1"/>
  <c r="AG59" i="4"/>
  <c r="CB6" i="18" s="1"/>
  <c r="AG60" i="4"/>
  <c r="CB7" i="18" s="1"/>
  <c r="AG61" i="4"/>
  <c r="CB8" i="18" s="1"/>
  <c r="AG62" i="4"/>
  <c r="CB9" i="18" s="1"/>
  <c r="AG63" i="4"/>
  <c r="CB10" i="18" s="1"/>
  <c r="AG64" i="4"/>
  <c r="CB11" i="18" s="1"/>
  <c r="AG65" i="4"/>
  <c r="CB12" i="18" s="1"/>
  <c r="AG66" i="4"/>
  <c r="CB13" i="18" s="1"/>
  <c r="AG67" i="4"/>
  <c r="CB14" i="18" s="1"/>
  <c r="AG68" i="4"/>
  <c r="CB15" i="18" s="1"/>
  <c r="AG69" i="4"/>
  <c r="CB16" i="18" s="1"/>
  <c r="AG70" i="4"/>
  <c r="CB17" i="18" s="1"/>
  <c r="AG71" i="4"/>
  <c r="CB18" i="18" s="1"/>
  <c r="AG72" i="4"/>
  <c r="CB19" i="18" s="1"/>
  <c r="AG73" i="4"/>
  <c r="CB20" i="18" s="1"/>
  <c r="AG74" i="4"/>
  <c r="CB21" i="18" s="1"/>
  <c r="AG75" i="4"/>
  <c r="CB22" i="18" s="1"/>
  <c r="AG76" i="4"/>
  <c r="CB23" i="18" s="1"/>
  <c r="AG77" i="4"/>
  <c r="CB24" i="18" s="1"/>
  <c r="AG78" i="4"/>
  <c r="CB25" i="18" s="1"/>
  <c r="AG79" i="4"/>
  <c r="CB26" i="18" s="1"/>
  <c r="AG80" i="4"/>
  <c r="CB27" i="18" s="1"/>
  <c r="AF85" i="4"/>
  <c r="CA4" i="16" s="1"/>
  <c r="AF86" i="4"/>
  <c r="CA5" i="16" s="1"/>
  <c r="AF84" i="4"/>
  <c r="CA3" i="16" s="1"/>
  <c r="AF87" i="4"/>
  <c r="CA6" i="16" s="1"/>
  <c r="AF88" i="4"/>
  <c r="CA7" i="16" s="1"/>
  <c r="AF89" i="4"/>
  <c r="CA8" i="16" s="1"/>
  <c r="AF90" i="4"/>
  <c r="CA9" i="16" s="1"/>
  <c r="AF91" i="4"/>
  <c r="CA10" i="16" s="1"/>
  <c r="AF92" i="4"/>
  <c r="CA11" i="16" s="1"/>
  <c r="AF93" i="4"/>
  <c r="CA12" i="16" s="1"/>
  <c r="AF94" i="4"/>
  <c r="CA13" i="16" s="1"/>
  <c r="AF95" i="4"/>
  <c r="CA14" i="16" s="1"/>
  <c r="AF96" i="4"/>
  <c r="CA15" i="16" s="1"/>
  <c r="AF97" i="4"/>
  <c r="CA16" i="16" s="1"/>
  <c r="AF98" i="4"/>
  <c r="CA17" i="16" s="1"/>
  <c r="AF99" i="4"/>
  <c r="CA18" i="16" s="1"/>
  <c r="AF100" i="4"/>
  <c r="CA19" i="16" s="1"/>
  <c r="AF101" i="4"/>
  <c r="CA20" i="16" s="1"/>
  <c r="AF102" i="4"/>
  <c r="CA21" i="16" s="1"/>
  <c r="AF103" i="4"/>
  <c r="CA22" i="16" s="1"/>
  <c r="AF104" i="4"/>
  <c r="CA23" i="16" s="1"/>
  <c r="AF105" i="4"/>
  <c r="CA24" i="16" s="1"/>
  <c r="AF106" i="4"/>
  <c r="CA25" i="16" s="1"/>
  <c r="AF107" i="4"/>
  <c r="CA26" i="16" s="1"/>
  <c r="AF108" i="4"/>
  <c r="CA27" i="16" s="1"/>
  <c r="AA210" i="5"/>
  <c r="AA238" s="1"/>
  <c r="AA163" i="4"/>
  <c r="AA191" s="1"/>
  <c r="AC1" i="3"/>
  <c r="AB162"/>
  <c r="AB189" s="1"/>
  <c r="AB1" i="4"/>
  <c r="AB1" i="5"/>
  <c r="DC115" i="18"/>
  <c r="DC107"/>
  <c r="DC100"/>
  <c r="CZ116" i="16"/>
  <c r="CZ104"/>
  <c r="DC118" i="18"/>
  <c r="DC110"/>
  <c r="DC102"/>
  <c r="CZ115" i="16"/>
  <c r="CZ107"/>
  <c r="DC123" i="18"/>
  <c r="DC113"/>
  <c r="DC105"/>
  <c r="CZ106" i="16"/>
  <c r="DC121" i="18"/>
  <c r="DC116"/>
  <c r="DC108"/>
  <c r="DC99"/>
  <c r="CZ105" i="16"/>
  <c r="DH36" i="18"/>
  <c r="DH39"/>
  <c r="DH43"/>
  <c r="DH47"/>
  <c r="DH51"/>
  <c r="DH55"/>
  <c r="DE35" i="16"/>
  <c r="DE38"/>
  <c r="DE42"/>
  <c r="DE46"/>
  <c r="DE50"/>
  <c r="DE54"/>
  <c r="DE58"/>
  <c r="DH35" i="18"/>
  <c r="DH40"/>
  <c r="DH44"/>
  <c r="DH48"/>
  <c r="DH52"/>
  <c r="DH56"/>
  <c r="DE36" i="16"/>
  <c r="DE39"/>
  <c r="DE43"/>
  <c r="DE47"/>
  <c r="DE51"/>
  <c r="DE55"/>
  <c r="DG36" i="18"/>
  <c r="DG39"/>
  <c r="DG43"/>
  <c r="DG47"/>
  <c r="DG51"/>
  <c r="DG55"/>
  <c r="DG34"/>
  <c r="DG38"/>
  <c r="DG42"/>
  <c r="DG46"/>
  <c r="DG50"/>
  <c r="DG54"/>
  <c r="DD35" i="16"/>
  <c r="DD38"/>
  <c r="DD42"/>
  <c r="DD46"/>
  <c r="DD50"/>
  <c r="DD54"/>
  <c r="DD58"/>
  <c r="DD36"/>
  <c r="DD39"/>
  <c r="DD43"/>
  <c r="DD47"/>
  <c r="DD51"/>
  <c r="DD55"/>
  <c r="DG67" i="18"/>
  <c r="DH67"/>
  <c r="DF70"/>
  <c r="DG70"/>
  <c r="DF74"/>
  <c r="DG74"/>
  <c r="DF78"/>
  <c r="DG78"/>
  <c r="DF82"/>
  <c r="DG82"/>
  <c r="DF86"/>
  <c r="DG86"/>
  <c r="DD66" i="16"/>
  <c r="DC66"/>
  <c r="DE69"/>
  <c r="DD69"/>
  <c r="DC73"/>
  <c r="DE73"/>
  <c r="DD77"/>
  <c r="DE77"/>
  <c r="DE81"/>
  <c r="DC81"/>
  <c r="DE85"/>
  <c r="DC85"/>
  <c r="DD89"/>
  <c r="DE89"/>
  <c r="DD67"/>
  <c r="DC67"/>
  <c r="DD70"/>
  <c r="DC70"/>
  <c r="DC74"/>
  <c r="DD74"/>
  <c r="DC78"/>
  <c r="DD78"/>
  <c r="DE82"/>
  <c r="DD82"/>
  <c r="DD86"/>
  <c r="DE86"/>
  <c r="DC119" i="18"/>
  <c r="DC111"/>
  <c r="DC103"/>
  <c r="CZ120" i="16"/>
  <c r="CZ108"/>
  <c r="DC122" i="18"/>
  <c r="DC114"/>
  <c r="DC106"/>
  <c r="CZ123" i="16"/>
  <c r="CZ111"/>
  <c r="CZ101"/>
  <c r="DC117" i="18"/>
  <c r="DC109"/>
  <c r="DC101"/>
  <c r="CZ102" i="16"/>
  <c r="DC120" i="18"/>
  <c r="DC112"/>
  <c r="DC104"/>
  <c r="CZ117" i="16"/>
  <c r="CZ99"/>
  <c r="DH37" i="18"/>
  <c r="DH41"/>
  <c r="DH45"/>
  <c r="DH49"/>
  <c r="DH53"/>
  <c r="DH57"/>
  <c r="DE34" i="16"/>
  <c r="DE40"/>
  <c r="DE44"/>
  <c r="DE48"/>
  <c r="DE52"/>
  <c r="DE56"/>
  <c r="DH34" i="18"/>
  <c r="DH38"/>
  <c r="DH42"/>
  <c r="DH46"/>
  <c r="DH50"/>
  <c r="DH54"/>
  <c r="DH58"/>
  <c r="DE37" i="16"/>
  <c r="DE41"/>
  <c r="DE45"/>
  <c r="DE49"/>
  <c r="DE53"/>
  <c r="DE57"/>
  <c r="DG37" i="18"/>
  <c r="DH68" s="1"/>
  <c r="DG41"/>
  <c r="DH72" s="1"/>
  <c r="DG45"/>
  <c r="DH76" s="1"/>
  <c r="DG49"/>
  <c r="DH80" s="1"/>
  <c r="DG53"/>
  <c r="DH84" s="1"/>
  <c r="DG57"/>
  <c r="DH88" s="1"/>
  <c r="DG35"/>
  <c r="DH66" s="1"/>
  <c r="DG40"/>
  <c r="DF71" s="1"/>
  <c r="DG44"/>
  <c r="DF75" s="1"/>
  <c r="DG48"/>
  <c r="DH79" s="1"/>
  <c r="DG52"/>
  <c r="DF83" s="1"/>
  <c r="DG56"/>
  <c r="DF87" s="1"/>
  <c r="DD34" i="16"/>
  <c r="DE65" s="1"/>
  <c r="DD40"/>
  <c r="DE71" s="1"/>
  <c r="DD44"/>
  <c r="DD75" s="1"/>
  <c r="DD48"/>
  <c r="DE79" s="1"/>
  <c r="DD52"/>
  <c r="DD83" s="1"/>
  <c r="DD56"/>
  <c r="DD87" s="1"/>
  <c r="DG58" i="18"/>
  <c r="DH89" s="1"/>
  <c r="DD37" i="16"/>
  <c r="DD68" s="1"/>
  <c r="DD41"/>
  <c r="DE72" s="1"/>
  <c r="DD45"/>
  <c r="DD76" s="1"/>
  <c r="DD49"/>
  <c r="DD80" s="1"/>
  <c r="DD53"/>
  <c r="DE84" s="1"/>
  <c r="DD57"/>
  <c r="DD88" s="1"/>
  <c r="DF67" i="18"/>
  <c r="DF68"/>
  <c r="DG68"/>
  <c r="DF102" s="1"/>
  <c r="DH70"/>
  <c r="DF72"/>
  <c r="DG72"/>
  <c r="DF106" s="1"/>
  <c r="DH74"/>
  <c r="DF76"/>
  <c r="DG76"/>
  <c r="DF110" s="1"/>
  <c r="DH78"/>
  <c r="DF80"/>
  <c r="DG80"/>
  <c r="DF114" s="1"/>
  <c r="DH82"/>
  <c r="DF84"/>
  <c r="DG84"/>
  <c r="DF118" s="1"/>
  <c r="DH86"/>
  <c r="DF88"/>
  <c r="DG88"/>
  <c r="DF122" s="1"/>
  <c r="DF65"/>
  <c r="DF66"/>
  <c r="DG66"/>
  <c r="DF69"/>
  <c r="DG71"/>
  <c r="DH71"/>
  <c r="DH73"/>
  <c r="DG75"/>
  <c r="DH75"/>
  <c r="DH77"/>
  <c r="DG79"/>
  <c r="DF79"/>
  <c r="DF81"/>
  <c r="DG83"/>
  <c r="DH83"/>
  <c r="DH85"/>
  <c r="DG87"/>
  <c r="DH87"/>
  <c r="DE66" i="16"/>
  <c r="DC65"/>
  <c r="DD65"/>
  <c r="DC99" s="1"/>
  <c r="DC69"/>
  <c r="DD71"/>
  <c r="DC71"/>
  <c r="DD73"/>
  <c r="DE75"/>
  <c r="DC75"/>
  <c r="DC77"/>
  <c r="DC79"/>
  <c r="DD79"/>
  <c r="DD81"/>
  <c r="DC115" s="1"/>
  <c r="DE83"/>
  <c r="DC83"/>
  <c r="DD85"/>
  <c r="DE87"/>
  <c r="DC87"/>
  <c r="DC89"/>
  <c r="DG89" i="18"/>
  <c r="DF89"/>
  <c r="DE67" i="16"/>
  <c r="DE68"/>
  <c r="DC68"/>
  <c r="DC102" s="1"/>
  <c r="DE70"/>
  <c r="DD72"/>
  <c r="DC72"/>
  <c r="DE74"/>
  <c r="DC76"/>
  <c r="DE76"/>
  <c r="DE78"/>
  <c r="DC80"/>
  <c r="DE80"/>
  <c r="DC82"/>
  <c r="DD84"/>
  <c r="DC84"/>
  <c r="DC86"/>
  <c r="DE88"/>
  <c r="DC88"/>
  <c r="DF104" i="18"/>
  <c r="DF108"/>
  <c r="DF112"/>
  <c r="DF116"/>
  <c r="DF120"/>
  <c r="DF100"/>
  <c r="DC103" i="16"/>
  <c r="DC113"/>
  <c r="DC117"/>
  <c r="DC121"/>
  <c r="DC108"/>
  <c r="DC116"/>
  <c r="DC109"/>
  <c r="DC119"/>
  <c r="DC112"/>
  <c r="DC122"/>
  <c r="DH65" i="18"/>
  <c r="DG65"/>
  <c r="DH69"/>
  <c r="DG69"/>
  <c r="DF73"/>
  <c r="DG73"/>
  <c r="DF77"/>
  <c r="DG77"/>
  <c r="DH81"/>
  <c r="DG81"/>
  <c r="DF85"/>
  <c r="DG85"/>
  <c r="M25" l="1"/>
  <c r="O25"/>
  <c r="O23"/>
  <c r="M23"/>
  <c r="O21"/>
  <c r="M21"/>
  <c r="M19"/>
  <c r="O19"/>
  <c r="M17"/>
  <c r="O17"/>
  <c r="M15"/>
  <c r="O15"/>
  <c r="O13"/>
  <c r="M13"/>
  <c r="M11"/>
  <c r="O11"/>
  <c r="M9"/>
  <c r="O9"/>
  <c r="O7"/>
  <c r="M7"/>
  <c r="O4"/>
  <c r="M4"/>
  <c r="M3"/>
  <c r="O3"/>
  <c r="O27"/>
  <c r="M27"/>
  <c r="M26"/>
  <c r="O26"/>
  <c r="O24"/>
  <c r="M24"/>
  <c r="M22"/>
  <c r="O22"/>
  <c r="M20"/>
  <c r="O20"/>
  <c r="M18"/>
  <c r="O18"/>
  <c r="M16"/>
  <c r="O16"/>
  <c r="O14"/>
  <c r="M14"/>
  <c r="O12"/>
  <c r="M12"/>
  <c r="O10"/>
  <c r="M10"/>
  <c r="M8"/>
  <c r="O8"/>
  <c r="O6"/>
  <c r="M6"/>
  <c r="M5"/>
  <c r="O5"/>
  <c r="M100"/>
  <c r="O100"/>
  <c r="M122"/>
  <c r="O122"/>
  <c r="O120"/>
  <c r="M120"/>
  <c r="O118"/>
  <c r="M118"/>
  <c r="O116"/>
  <c r="M116"/>
  <c r="O114"/>
  <c r="M114"/>
  <c r="M112"/>
  <c r="O112"/>
  <c r="O110"/>
  <c r="M110"/>
  <c r="M108"/>
  <c r="O108"/>
  <c r="M106"/>
  <c r="O106"/>
  <c r="O104"/>
  <c r="M104"/>
  <c r="O102"/>
  <c r="M102"/>
  <c r="DC154" i="16"/>
  <c r="DC152"/>
  <c r="DC150"/>
  <c r="DC148"/>
  <c r="DC146"/>
  <c r="DC144"/>
  <c r="DC142"/>
  <c r="DC140"/>
  <c r="DC138"/>
  <c r="DC136"/>
  <c r="DC134"/>
  <c r="DC133"/>
  <c r="O123" i="18"/>
  <c r="M123"/>
  <c r="DF155"/>
  <c r="DC155" i="16"/>
  <c r="DC153"/>
  <c r="DC151"/>
  <c r="DC149"/>
  <c r="DC147"/>
  <c r="DC145"/>
  <c r="DC143"/>
  <c r="DC141"/>
  <c r="DC139"/>
  <c r="DC137"/>
  <c r="DC135"/>
  <c r="DC131"/>
  <c r="DC132"/>
  <c r="O121" i="18"/>
  <c r="M121"/>
  <c r="DF153"/>
  <c r="M153" s="1"/>
  <c r="M119"/>
  <c r="O119"/>
  <c r="DF151"/>
  <c r="O117"/>
  <c r="M117"/>
  <c r="DF149"/>
  <c r="M115"/>
  <c r="O115"/>
  <c r="DF147"/>
  <c r="M113"/>
  <c r="O113"/>
  <c r="DF145"/>
  <c r="O111"/>
  <c r="M111"/>
  <c r="DF143"/>
  <c r="O109"/>
  <c r="M109"/>
  <c r="DF141"/>
  <c r="M107"/>
  <c r="O107"/>
  <c r="DF139"/>
  <c r="O105"/>
  <c r="M105"/>
  <c r="DF137"/>
  <c r="M103"/>
  <c r="O103"/>
  <c r="DF135"/>
  <c r="DF132"/>
  <c r="O99"/>
  <c r="M99"/>
  <c r="DF131"/>
  <c r="DF154"/>
  <c r="DF152"/>
  <c r="DF150"/>
  <c r="DF148"/>
  <c r="DF146"/>
  <c r="DF144"/>
  <c r="DF142"/>
  <c r="DF140"/>
  <c r="DF138"/>
  <c r="DF136"/>
  <c r="DF134"/>
  <c r="O101"/>
  <c r="M101"/>
  <c r="DF133"/>
  <c r="P25"/>
  <c r="P56" s="1"/>
  <c r="P87" s="1"/>
  <c r="P121" s="1"/>
  <c r="P153" s="1"/>
  <c r="K25"/>
  <c r="I25"/>
  <c r="K23"/>
  <c r="I23"/>
  <c r="P23"/>
  <c r="P54" s="1"/>
  <c r="P85" s="1"/>
  <c r="P119" s="1"/>
  <c r="P151" s="1"/>
  <c r="K21"/>
  <c r="I21"/>
  <c r="P21"/>
  <c r="P52" s="1"/>
  <c r="P83" s="1"/>
  <c r="P117" s="1"/>
  <c r="P149" s="1"/>
  <c r="K19"/>
  <c r="I19"/>
  <c r="P19"/>
  <c r="P50" s="1"/>
  <c r="P81" s="1"/>
  <c r="P115" s="1"/>
  <c r="P147" s="1"/>
  <c r="I17"/>
  <c r="K17"/>
  <c r="P17"/>
  <c r="P48" s="1"/>
  <c r="P79" s="1"/>
  <c r="P113" s="1"/>
  <c r="P145" s="1"/>
  <c r="K15"/>
  <c r="I15"/>
  <c r="P15"/>
  <c r="P46" s="1"/>
  <c r="P77" s="1"/>
  <c r="P111" s="1"/>
  <c r="P143" s="1"/>
  <c r="I13"/>
  <c r="K13"/>
  <c r="P13"/>
  <c r="P44" s="1"/>
  <c r="P75" s="1"/>
  <c r="P109" s="1"/>
  <c r="P141" s="1"/>
  <c r="K11"/>
  <c r="I11"/>
  <c r="P11"/>
  <c r="P42" s="1"/>
  <c r="P73" s="1"/>
  <c r="P107" s="1"/>
  <c r="P139" s="1"/>
  <c r="K9"/>
  <c r="I9"/>
  <c r="P9"/>
  <c r="P40" s="1"/>
  <c r="P71" s="1"/>
  <c r="P105" s="1"/>
  <c r="P137" s="1"/>
  <c r="K7"/>
  <c r="I7"/>
  <c r="P7"/>
  <c r="P38" s="1"/>
  <c r="P69" s="1"/>
  <c r="P103" s="1"/>
  <c r="P135" s="1"/>
  <c r="I4"/>
  <c r="K4"/>
  <c r="P4"/>
  <c r="P35" s="1"/>
  <c r="P66" s="1"/>
  <c r="P100" s="1"/>
  <c r="P132" s="1"/>
  <c r="I3"/>
  <c r="K3"/>
  <c r="P3"/>
  <c r="P34" s="1"/>
  <c r="P65" s="1"/>
  <c r="K26"/>
  <c r="I26"/>
  <c r="P26"/>
  <c r="P57" s="1"/>
  <c r="P88" s="1"/>
  <c r="P122" s="1"/>
  <c r="P154" s="1"/>
  <c r="I24"/>
  <c r="K24"/>
  <c r="P24"/>
  <c r="P55" s="1"/>
  <c r="P86" s="1"/>
  <c r="P120" s="1"/>
  <c r="P152" s="1"/>
  <c r="I22"/>
  <c r="K22"/>
  <c r="P22"/>
  <c r="P53" s="1"/>
  <c r="P84" s="1"/>
  <c r="P118" s="1"/>
  <c r="P150" s="1"/>
  <c r="I20"/>
  <c r="K20"/>
  <c r="P20"/>
  <c r="P51" s="1"/>
  <c r="P82" s="1"/>
  <c r="P116" s="1"/>
  <c r="P148" s="1"/>
  <c r="K18"/>
  <c r="I18"/>
  <c r="P18"/>
  <c r="P49" s="1"/>
  <c r="P80" s="1"/>
  <c r="P114" s="1"/>
  <c r="P146" s="1"/>
  <c r="I16"/>
  <c r="K16"/>
  <c r="P16"/>
  <c r="P47" s="1"/>
  <c r="P78" s="1"/>
  <c r="P112" s="1"/>
  <c r="P144" s="1"/>
  <c r="K14"/>
  <c r="I14"/>
  <c r="P14"/>
  <c r="P45" s="1"/>
  <c r="P76" s="1"/>
  <c r="P110" s="1"/>
  <c r="P142" s="1"/>
  <c r="I12"/>
  <c r="K12"/>
  <c r="P12"/>
  <c r="P43" s="1"/>
  <c r="P74" s="1"/>
  <c r="P108" s="1"/>
  <c r="P140" s="1"/>
  <c r="I10"/>
  <c r="K10"/>
  <c r="P10"/>
  <c r="P41" s="1"/>
  <c r="P72" s="1"/>
  <c r="P106" s="1"/>
  <c r="P138" s="1"/>
  <c r="I8"/>
  <c r="K8"/>
  <c r="P8"/>
  <c r="P39" s="1"/>
  <c r="P70" s="1"/>
  <c r="P104" s="1"/>
  <c r="P136" s="1"/>
  <c r="K6"/>
  <c r="I6"/>
  <c r="P6"/>
  <c r="P37" s="1"/>
  <c r="P68" s="1"/>
  <c r="P102" s="1"/>
  <c r="P134" s="1"/>
  <c r="K5"/>
  <c r="I5"/>
  <c r="P5"/>
  <c r="P36" s="1"/>
  <c r="P67" s="1"/>
  <c r="P101" s="1"/>
  <c r="P133" s="1"/>
  <c r="O153"/>
  <c r="I27"/>
  <c r="K27"/>
  <c r="P27"/>
  <c r="P58" s="1"/>
  <c r="P89" s="1"/>
  <c r="P123" s="1"/>
  <c r="P155" s="1"/>
  <c r="AG85" i="5"/>
  <c r="DH4" i="16" s="1"/>
  <c r="AG84" i="5"/>
  <c r="DH3" i="16" s="1"/>
  <c r="AG86" i="5"/>
  <c r="DH5" i="16" s="1"/>
  <c r="AG87" i="5"/>
  <c r="DH6" i="16" s="1"/>
  <c r="AG88" i="5"/>
  <c r="DH7" i="16" s="1"/>
  <c r="AG89" i="5"/>
  <c r="DH8" i="16" s="1"/>
  <c r="AG90" i="5"/>
  <c r="DH9" i="16" s="1"/>
  <c r="AG91" i="5"/>
  <c r="DH10" i="16" s="1"/>
  <c r="AG92" i="5"/>
  <c r="DH11" i="16" s="1"/>
  <c r="AG93" i="5"/>
  <c r="DH12" i="16" s="1"/>
  <c r="AG94" i="5"/>
  <c r="DH13" i="16" s="1"/>
  <c r="AG95" i="5"/>
  <c r="DH14" i="16" s="1"/>
  <c r="AG96" i="5"/>
  <c r="DH15" i="16" s="1"/>
  <c r="AG97" i="5"/>
  <c r="DH16" i="16" s="1"/>
  <c r="AG98" i="5"/>
  <c r="DH17" i="16" s="1"/>
  <c r="AG99" i="5"/>
  <c r="DH18" i="16" s="1"/>
  <c r="AG100" i="5"/>
  <c r="DH19" i="16" s="1"/>
  <c r="AG101" i="5"/>
  <c r="DH20" i="16" s="1"/>
  <c r="AG102" i="5"/>
  <c r="DH21" i="16" s="1"/>
  <c r="AG103" i="5"/>
  <c r="DH22" i="16" s="1"/>
  <c r="AG104" i="5"/>
  <c r="DH23" i="16" s="1"/>
  <c r="AG105" i="5"/>
  <c r="DH24" i="16" s="1"/>
  <c r="AG106" i="5"/>
  <c r="DH25" i="16" s="1"/>
  <c r="AG107" i="5"/>
  <c r="DH26" i="16" s="1"/>
  <c r="AG108" i="5"/>
  <c r="DH27" i="16" s="1"/>
  <c r="AG85" i="4"/>
  <c r="CB4" i="16" s="1"/>
  <c r="AG84" i="4"/>
  <c r="CB3" i="16" s="1"/>
  <c r="AG86" i="4"/>
  <c r="CB5" i="16" s="1"/>
  <c r="AG87" i="4"/>
  <c r="CB6" i="16" s="1"/>
  <c r="AG88" i="4"/>
  <c r="CB7" i="16" s="1"/>
  <c r="AG89" i="4"/>
  <c r="CB8" i="16" s="1"/>
  <c r="AG90" i="4"/>
  <c r="CB9" i="16" s="1"/>
  <c r="AG91" i="4"/>
  <c r="CB10" i="16" s="1"/>
  <c r="AG92" i="4"/>
  <c r="CB11" i="16" s="1"/>
  <c r="AG93" i="4"/>
  <c r="CB12" i="16" s="1"/>
  <c r="AG94" i="4"/>
  <c r="CB13" i="16" s="1"/>
  <c r="AG95" i="4"/>
  <c r="CB14" i="16" s="1"/>
  <c r="AG96" i="4"/>
  <c r="CB15" i="16" s="1"/>
  <c r="AG97" i="4"/>
  <c r="CB16" i="16" s="1"/>
  <c r="AG98" i="4"/>
  <c r="CB17" i="16" s="1"/>
  <c r="AG99" i="4"/>
  <c r="CB18" i="16" s="1"/>
  <c r="AG100" i="4"/>
  <c r="CB19" i="16" s="1"/>
  <c r="AG101" i="4"/>
  <c r="CB20" i="16" s="1"/>
  <c r="AG102" i="4"/>
  <c r="CB21" i="16" s="1"/>
  <c r="AG103" i="4"/>
  <c r="CB22" i="16" s="1"/>
  <c r="AG104" i="4"/>
  <c r="CB23" i="16" s="1"/>
  <c r="AG105" i="4"/>
  <c r="CB24" i="16" s="1"/>
  <c r="AG106" i="4"/>
  <c r="CB25" i="16" s="1"/>
  <c r="AG107" i="4"/>
  <c r="CB26" i="16" s="1"/>
  <c r="AG108" i="4"/>
  <c r="CB27" i="16" s="1"/>
  <c r="AB210" i="5"/>
  <c r="AB238" s="1"/>
  <c r="AB163" i="4"/>
  <c r="AB191" s="1"/>
  <c r="AD1" i="3"/>
  <c r="AC162"/>
  <c r="AC189" s="1"/>
  <c r="AC1" i="5"/>
  <c r="AC1" i="4"/>
  <c r="DC114" i="16"/>
  <c r="DC106"/>
  <c r="DC105"/>
  <c r="DF117" i="18"/>
  <c r="DF109"/>
  <c r="DC120" i="16"/>
  <c r="DC101"/>
  <c r="DC111"/>
  <c r="DC100"/>
  <c r="DF115" i="18"/>
  <c r="DF107"/>
  <c r="DF99"/>
  <c r="DH37" i="16"/>
  <c r="DH41"/>
  <c r="DH45"/>
  <c r="DH49"/>
  <c r="DH53"/>
  <c r="DH57"/>
  <c r="DH36"/>
  <c r="DH40"/>
  <c r="DH44"/>
  <c r="DH48"/>
  <c r="DH52"/>
  <c r="DH56"/>
  <c r="DG35"/>
  <c r="DG38"/>
  <c r="DG42"/>
  <c r="DG46"/>
  <c r="DG50"/>
  <c r="DG54"/>
  <c r="DG34"/>
  <c r="DG39"/>
  <c r="DG43"/>
  <c r="DG47"/>
  <c r="DG51"/>
  <c r="DG55"/>
  <c r="DG56"/>
  <c r="DG87"/>
  <c r="DC118"/>
  <c r="DC110"/>
  <c r="DF123" i="18"/>
  <c r="DF121"/>
  <c r="DF113"/>
  <c r="DF105"/>
  <c r="DC104" i="16"/>
  <c r="DC123"/>
  <c r="DC107"/>
  <c r="DF119" i="18"/>
  <c r="DF111"/>
  <c r="DF103"/>
  <c r="DF101"/>
  <c r="DH34" i="16"/>
  <c r="DF65" s="1"/>
  <c r="DH39"/>
  <c r="DG70" s="1"/>
  <c r="DH43"/>
  <c r="DH74" s="1"/>
  <c r="DH47"/>
  <c r="DG78" s="1"/>
  <c r="DH51"/>
  <c r="DH82" s="1"/>
  <c r="DH55"/>
  <c r="DH86" s="1"/>
  <c r="DH35"/>
  <c r="DH66" s="1"/>
  <c r="DH38"/>
  <c r="DH69" s="1"/>
  <c r="DH42"/>
  <c r="DF73" s="1"/>
  <c r="DH46"/>
  <c r="DG77" s="1"/>
  <c r="DH50"/>
  <c r="DG81" s="1"/>
  <c r="DH54"/>
  <c r="DG85" s="1"/>
  <c r="DH58"/>
  <c r="DG36"/>
  <c r="DG40"/>
  <c r="DG44"/>
  <c r="DG48"/>
  <c r="DG52"/>
  <c r="DG58"/>
  <c r="DG37"/>
  <c r="DG41"/>
  <c r="DG45"/>
  <c r="DG49"/>
  <c r="DG53"/>
  <c r="DG57"/>
  <c r="DG66"/>
  <c r="DF66"/>
  <c r="DF67"/>
  <c r="DG69"/>
  <c r="DF69"/>
  <c r="DF71"/>
  <c r="DH73"/>
  <c r="DG73"/>
  <c r="DF107" s="1"/>
  <c r="DH75"/>
  <c r="DF77"/>
  <c r="DH77"/>
  <c r="DH79"/>
  <c r="DF81"/>
  <c r="DH81"/>
  <c r="DG83"/>
  <c r="DH85"/>
  <c r="DF85"/>
  <c r="DH89"/>
  <c r="DH65"/>
  <c r="DG65"/>
  <c r="DH68"/>
  <c r="DF70"/>
  <c r="DH70"/>
  <c r="DF72"/>
  <c r="DF74"/>
  <c r="DG74"/>
  <c r="DF108" s="1"/>
  <c r="DG76"/>
  <c r="DH78"/>
  <c r="DF78"/>
  <c r="DF112" s="1"/>
  <c r="DF80"/>
  <c r="DF82"/>
  <c r="DG82"/>
  <c r="DF84"/>
  <c r="DF86"/>
  <c r="DG86"/>
  <c r="DF120" s="1"/>
  <c r="DG88"/>
  <c r="DH87"/>
  <c r="DF87"/>
  <c r="DF121" s="1"/>
  <c r="DF119"/>
  <c r="DF99"/>
  <c r="DF116"/>
  <c r="DG89"/>
  <c r="DF89"/>
  <c r="DF123" s="1"/>
  <c r="DG67"/>
  <c r="DH67"/>
  <c r="DF101" s="1"/>
  <c r="DG71"/>
  <c r="DH71"/>
  <c r="DF105" s="1"/>
  <c r="DF75"/>
  <c r="DG75"/>
  <c r="DF79"/>
  <c r="DG79"/>
  <c r="DH83"/>
  <c r="DF83"/>
  <c r="DG68"/>
  <c r="DF68"/>
  <c r="DF102" s="1"/>
  <c r="DG72"/>
  <c r="DH72"/>
  <c r="DF106" s="1"/>
  <c r="DF76"/>
  <c r="DH76"/>
  <c r="DF110" s="1"/>
  <c r="DH80"/>
  <c r="DG80"/>
  <c r="DH84"/>
  <c r="DG84"/>
  <c r="DF88"/>
  <c r="DH88"/>
  <c r="DF122" s="1"/>
  <c r="N7" i="18" l="1"/>
  <c r="N11"/>
  <c r="O27" i="16"/>
  <c r="M25"/>
  <c r="O25"/>
  <c r="O23"/>
  <c r="M23"/>
  <c r="O21"/>
  <c r="M21"/>
  <c r="O19"/>
  <c r="M19"/>
  <c r="O17"/>
  <c r="M17"/>
  <c r="O15"/>
  <c r="M15"/>
  <c r="O13"/>
  <c r="M13"/>
  <c r="O11"/>
  <c r="M11"/>
  <c r="O9"/>
  <c r="M9"/>
  <c r="M7"/>
  <c r="O7"/>
  <c r="O5"/>
  <c r="M5"/>
  <c r="O4"/>
  <c r="M4"/>
  <c r="L5" i="18"/>
  <c r="N5"/>
  <c r="L8"/>
  <c r="N8"/>
  <c r="N16"/>
  <c r="L16"/>
  <c r="N18"/>
  <c r="L18"/>
  <c r="N20"/>
  <c r="L20"/>
  <c r="N22"/>
  <c r="L22"/>
  <c r="N26"/>
  <c r="L26"/>
  <c r="L3"/>
  <c r="N3"/>
  <c r="L9"/>
  <c r="N9"/>
  <c r="N15"/>
  <c r="L15"/>
  <c r="N17"/>
  <c r="L17"/>
  <c r="N19"/>
  <c r="L19"/>
  <c r="N25"/>
  <c r="L25"/>
  <c r="M27" i="16"/>
  <c r="L7" i="18"/>
  <c r="L11"/>
  <c r="O26" i="16"/>
  <c r="M26"/>
  <c r="O24"/>
  <c r="M24"/>
  <c r="O22"/>
  <c r="M22"/>
  <c r="O20"/>
  <c r="M20"/>
  <c r="M18"/>
  <c r="O18"/>
  <c r="M16"/>
  <c r="O16"/>
  <c r="O14"/>
  <c r="M14"/>
  <c r="M12"/>
  <c r="O12"/>
  <c r="O10"/>
  <c r="M10"/>
  <c r="O8"/>
  <c r="M8"/>
  <c r="O6"/>
  <c r="M6"/>
  <c r="O3"/>
  <c r="M3"/>
  <c r="N6" i="18"/>
  <c r="L6"/>
  <c r="L10"/>
  <c r="N10"/>
  <c r="N12"/>
  <c r="L12"/>
  <c r="N14"/>
  <c r="L14"/>
  <c r="N24"/>
  <c r="L24"/>
  <c r="N27"/>
  <c r="L27"/>
  <c r="N4"/>
  <c r="L4"/>
  <c r="L13"/>
  <c r="N13"/>
  <c r="N21"/>
  <c r="L21"/>
  <c r="N23"/>
  <c r="L23"/>
  <c r="M121" i="16"/>
  <c r="O121"/>
  <c r="M122"/>
  <c r="O122"/>
  <c r="M120"/>
  <c r="O120"/>
  <c r="O116"/>
  <c r="M116"/>
  <c r="O112"/>
  <c r="M112"/>
  <c r="O110"/>
  <c r="M110"/>
  <c r="O108"/>
  <c r="M108"/>
  <c r="O106"/>
  <c r="M106"/>
  <c r="O102"/>
  <c r="M102"/>
  <c r="O99"/>
  <c r="M99"/>
  <c r="M123"/>
  <c r="O123"/>
  <c r="O119"/>
  <c r="M119"/>
  <c r="M107"/>
  <c r="O107"/>
  <c r="O105"/>
  <c r="M105"/>
  <c r="M101"/>
  <c r="O101"/>
  <c r="DF153"/>
  <c r="DF154"/>
  <c r="DF152"/>
  <c r="M118"/>
  <c r="O118"/>
  <c r="DF150"/>
  <c r="DF148"/>
  <c r="O114"/>
  <c r="M114"/>
  <c r="DF146"/>
  <c r="DF144"/>
  <c r="DF142"/>
  <c r="DF140"/>
  <c r="DF138"/>
  <c r="M104"/>
  <c r="O104"/>
  <c r="DF136"/>
  <c r="DF134"/>
  <c r="DF131"/>
  <c r="DF155"/>
  <c r="DF161" s="1"/>
  <c r="DF151"/>
  <c r="M117"/>
  <c r="O117"/>
  <c r="DF149"/>
  <c r="M115"/>
  <c r="O115"/>
  <c r="DF147"/>
  <c r="O113"/>
  <c r="M113"/>
  <c r="DF145"/>
  <c r="O111"/>
  <c r="M111"/>
  <c r="DF143"/>
  <c r="M109"/>
  <c r="O109"/>
  <c r="DF141"/>
  <c r="DF139"/>
  <c r="DF137"/>
  <c r="O103"/>
  <c r="M103"/>
  <c r="DF135"/>
  <c r="DF133"/>
  <c r="M100"/>
  <c r="O100"/>
  <c r="DF132"/>
  <c r="K25"/>
  <c r="I25"/>
  <c r="P25"/>
  <c r="P56" s="1"/>
  <c r="P87" s="1"/>
  <c r="P121" s="1"/>
  <c r="P153" s="1"/>
  <c r="U24" i="7" s="1"/>
  <c r="I26" i="16"/>
  <c r="K26"/>
  <c r="P26"/>
  <c r="P57" s="1"/>
  <c r="P88" s="1"/>
  <c r="P122" s="1"/>
  <c r="P154" s="1"/>
  <c r="U25" i="7" s="1"/>
  <c r="P24" i="16"/>
  <c r="P55" s="1"/>
  <c r="P86" s="1"/>
  <c r="P120" s="1"/>
  <c r="P152" s="1"/>
  <c r="U23" i="7" s="1"/>
  <c r="K24" i="16"/>
  <c r="I24"/>
  <c r="K22"/>
  <c r="I22"/>
  <c r="P22"/>
  <c r="P53" s="1"/>
  <c r="P84" s="1"/>
  <c r="P118" s="1"/>
  <c r="P150" s="1"/>
  <c r="U21" i="7" s="1"/>
  <c r="I20" i="16"/>
  <c r="K20"/>
  <c r="P20"/>
  <c r="P51" s="1"/>
  <c r="P82" s="1"/>
  <c r="P116" s="1"/>
  <c r="P148" s="1"/>
  <c r="U19" i="7" s="1"/>
  <c r="K18" i="16"/>
  <c r="I18"/>
  <c r="P18"/>
  <c r="P49" s="1"/>
  <c r="P80" s="1"/>
  <c r="P114" s="1"/>
  <c r="P146" s="1"/>
  <c r="U17" i="7" s="1"/>
  <c r="K16" i="16"/>
  <c r="I16"/>
  <c r="P16"/>
  <c r="P47" s="1"/>
  <c r="P78" s="1"/>
  <c r="P112" s="1"/>
  <c r="P144" s="1"/>
  <c r="U15" i="7" s="1"/>
  <c r="K14" i="16"/>
  <c r="I14"/>
  <c r="P14"/>
  <c r="P45" s="1"/>
  <c r="P76" s="1"/>
  <c r="P110" s="1"/>
  <c r="P142" s="1"/>
  <c r="U13" i="7" s="1"/>
  <c r="I12" i="16"/>
  <c r="K12"/>
  <c r="P12"/>
  <c r="P43" s="1"/>
  <c r="P74" s="1"/>
  <c r="P108" s="1"/>
  <c r="P140" s="1"/>
  <c r="U11" i="7" s="1"/>
  <c r="K10" i="16"/>
  <c r="I10"/>
  <c r="P10"/>
  <c r="P41" s="1"/>
  <c r="P72" s="1"/>
  <c r="P106" s="1"/>
  <c r="P138" s="1"/>
  <c r="U9" i="7" s="1"/>
  <c r="K8" i="16"/>
  <c r="I8"/>
  <c r="P8"/>
  <c r="P39" s="1"/>
  <c r="P70" s="1"/>
  <c r="P104" s="1"/>
  <c r="P136" s="1"/>
  <c r="U7" i="7" s="1"/>
  <c r="K6" i="16"/>
  <c r="I6"/>
  <c r="P6"/>
  <c r="P37" s="1"/>
  <c r="P68" s="1"/>
  <c r="P102" s="1"/>
  <c r="P134" s="1"/>
  <c r="U5" i="7" s="1"/>
  <c r="K3" i="16"/>
  <c r="I3"/>
  <c r="P3"/>
  <c r="P34" s="1"/>
  <c r="P65" s="1"/>
  <c r="J27" i="18"/>
  <c r="H27"/>
  <c r="H5"/>
  <c r="J5"/>
  <c r="H10"/>
  <c r="J10"/>
  <c r="J22"/>
  <c r="H22"/>
  <c r="J4"/>
  <c r="H4"/>
  <c r="H7"/>
  <c r="J7"/>
  <c r="H11"/>
  <c r="J11"/>
  <c r="H13"/>
  <c r="J13"/>
  <c r="H15"/>
  <c r="J15"/>
  <c r="J17"/>
  <c r="H17"/>
  <c r="J19"/>
  <c r="H19"/>
  <c r="H23"/>
  <c r="J23"/>
  <c r="J25"/>
  <c r="H25"/>
  <c r="N101"/>
  <c r="J101" s="1"/>
  <c r="I101"/>
  <c r="L101"/>
  <c r="H101" s="1"/>
  <c r="O134"/>
  <c r="M134"/>
  <c r="M138"/>
  <c r="O138"/>
  <c r="M142"/>
  <c r="O142"/>
  <c r="M146"/>
  <c r="O146"/>
  <c r="M150"/>
  <c r="O150"/>
  <c r="O154"/>
  <c r="M154"/>
  <c r="N99"/>
  <c r="J99" s="1"/>
  <c r="I99"/>
  <c r="L99"/>
  <c r="H99" s="1"/>
  <c r="O132"/>
  <c r="M132"/>
  <c r="O137"/>
  <c r="M137"/>
  <c r="M141"/>
  <c r="O141"/>
  <c r="N111"/>
  <c r="J111" s="1"/>
  <c r="L111"/>
  <c r="H111" s="1"/>
  <c r="I111"/>
  <c r="M145"/>
  <c r="O145"/>
  <c r="L113"/>
  <c r="H113" s="1"/>
  <c r="I113"/>
  <c r="N113"/>
  <c r="J113" s="1"/>
  <c r="O149"/>
  <c r="M149"/>
  <c r="DF161"/>
  <c r="O155"/>
  <c r="M155"/>
  <c r="N106"/>
  <c r="J106" s="1"/>
  <c r="L106"/>
  <c r="H106" s="1"/>
  <c r="I106"/>
  <c r="L108"/>
  <c r="H108" s="1"/>
  <c r="I108"/>
  <c r="N108"/>
  <c r="J108" s="1"/>
  <c r="N112"/>
  <c r="J112" s="1"/>
  <c r="L112"/>
  <c r="H112" s="1"/>
  <c r="I112"/>
  <c r="I122"/>
  <c r="N122"/>
  <c r="J122" s="1"/>
  <c r="L122"/>
  <c r="H122" s="1"/>
  <c r="N100"/>
  <c r="J100" s="1"/>
  <c r="I100"/>
  <c r="L100"/>
  <c r="H100" s="1"/>
  <c r="K27" i="16"/>
  <c r="P27"/>
  <c r="P58" s="1"/>
  <c r="P89" s="1"/>
  <c r="P123" s="1"/>
  <c r="P155" s="1"/>
  <c r="U26" i="7" s="1"/>
  <c r="I23" i="16"/>
  <c r="P23"/>
  <c r="P54" s="1"/>
  <c r="P85" s="1"/>
  <c r="P119" s="1"/>
  <c r="P151" s="1"/>
  <c r="U22" i="7" s="1"/>
  <c r="K23" i="16"/>
  <c r="K21"/>
  <c r="I21"/>
  <c r="P21"/>
  <c r="P52" s="1"/>
  <c r="P83" s="1"/>
  <c r="P117" s="1"/>
  <c r="P149" s="1"/>
  <c r="U20" i="7" s="1"/>
  <c r="I19" i="16"/>
  <c r="K19"/>
  <c r="P19"/>
  <c r="P50" s="1"/>
  <c r="P81" s="1"/>
  <c r="P115" s="1"/>
  <c r="P147" s="1"/>
  <c r="U18" i="7" s="1"/>
  <c r="K17" i="16"/>
  <c r="I17"/>
  <c r="P17"/>
  <c r="P48" s="1"/>
  <c r="P79" s="1"/>
  <c r="P113" s="1"/>
  <c r="P145" s="1"/>
  <c r="U16" i="7" s="1"/>
  <c r="I15" i="16"/>
  <c r="K15"/>
  <c r="P15"/>
  <c r="P46" s="1"/>
  <c r="P77" s="1"/>
  <c r="P111" s="1"/>
  <c r="P143" s="1"/>
  <c r="U14" i="7" s="1"/>
  <c r="K13" i="16"/>
  <c r="I13"/>
  <c r="P13"/>
  <c r="P44" s="1"/>
  <c r="P75" s="1"/>
  <c r="P109" s="1"/>
  <c r="P141" s="1"/>
  <c r="U12" i="7" s="1"/>
  <c r="K11" i="16"/>
  <c r="I11"/>
  <c r="P11"/>
  <c r="P42" s="1"/>
  <c r="P73" s="1"/>
  <c r="P107" s="1"/>
  <c r="P139" s="1"/>
  <c r="U10" i="7" s="1"/>
  <c r="K9" i="16"/>
  <c r="I9"/>
  <c r="P9"/>
  <c r="P40" s="1"/>
  <c r="P71" s="1"/>
  <c r="P105" s="1"/>
  <c r="P137" s="1"/>
  <c r="U8" i="7" s="1"/>
  <c r="K7" i="16"/>
  <c r="I7"/>
  <c r="P7"/>
  <c r="P38" s="1"/>
  <c r="P69" s="1"/>
  <c r="P103" s="1"/>
  <c r="P135" s="1"/>
  <c r="U6" i="7" s="1"/>
  <c r="K5" i="16"/>
  <c r="I5"/>
  <c r="P5"/>
  <c r="P36" s="1"/>
  <c r="P67" s="1"/>
  <c r="P101" s="1"/>
  <c r="P133" s="1"/>
  <c r="U4" i="7" s="1"/>
  <c r="K4" i="16"/>
  <c r="I4"/>
  <c r="P4"/>
  <c r="P35" s="1"/>
  <c r="P66" s="1"/>
  <c r="P100" s="1"/>
  <c r="P132" s="1"/>
  <c r="U3" i="7" s="1"/>
  <c r="L153" i="18"/>
  <c r="N153"/>
  <c r="J6"/>
  <c r="H6"/>
  <c r="H8"/>
  <c r="J8"/>
  <c r="J12"/>
  <c r="H12"/>
  <c r="J14"/>
  <c r="H14"/>
  <c r="J16"/>
  <c r="H16"/>
  <c r="J18"/>
  <c r="H18"/>
  <c r="J20"/>
  <c r="H20"/>
  <c r="J24"/>
  <c r="H24"/>
  <c r="J26"/>
  <c r="H26"/>
  <c r="P99"/>
  <c r="P131" s="1"/>
  <c r="P90"/>
  <c r="H3"/>
  <c r="J3"/>
  <c r="H9"/>
  <c r="J9"/>
  <c r="J21"/>
  <c r="H21"/>
  <c r="M133"/>
  <c r="O133"/>
  <c r="O136"/>
  <c r="M136"/>
  <c r="O140"/>
  <c r="M140"/>
  <c r="O144"/>
  <c r="M144"/>
  <c r="M148"/>
  <c r="O148"/>
  <c r="M152"/>
  <c r="O152"/>
  <c r="M131"/>
  <c r="O131"/>
  <c r="M135"/>
  <c r="O135"/>
  <c r="I103"/>
  <c r="N103"/>
  <c r="J103" s="1"/>
  <c r="L103"/>
  <c r="H103" s="1"/>
  <c r="I105"/>
  <c r="N105"/>
  <c r="J105" s="1"/>
  <c r="L105"/>
  <c r="H105" s="1"/>
  <c r="O139"/>
  <c r="M139"/>
  <c r="I107"/>
  <c r="N107"/>
  <c r="J107" s="1"/>
  <c r="L107"/>
  <c r="H107" s="1"/>
  <c r="L109"/>
  <c r="H109" s="1"/>
  <c r="I109"/>
  <c r="N109"/>
  <c r="J109" s="1"/>
  <c r="M143"/>
  <c r="O143"/>
  <c r="O147"/>
  <c r="M147"/>
  <c r="N115"/>
  <c r="J115" s="1"/>
  <c r="L115"/>
  <c r="H115" s="1"/>
  <c r="I115"/>
  <c r="I117"/>
  <c r="N117"/>
  <c r="J117" s="1"/>
  <c r="L117"/>
  <c r="H117" s="1"/>
  <c r="O151"/>
  <c r="M151"/>
  <c r="I119"/>
  <c r="N119"/>
  <c r="J119" s="1"/>
  <c r="L119"/>
  <c r="H119" s="1"/>
  <c r="N121"/>
  <c r="J121" s="1"/>
  <c r="L121"/>
  <c r="H121" s="1"/>
  <c r="I121"/>
  <c r="DC161" i="16"/>
  <c r="O155"/>
  <c r="M155"/>
  <c r="L123" i="18"/>
  <c r="H123" s="1"/>
  <c r="I123"/>
  <c r="N123"/>
  <c r="J123" s="1"/>
  <c r="I102"/>
  <c r="L102"/>
  <c r="H102" s="1"/>
  <c r="N102"/>
  <c r="J102" s="1"/>
  <c r="L104"/>
  <c r="H104" s="1"/>
  <c r="I104"/>
  <c r="N104"/>
  <c r="J104" s="1"/>
  <c r="N110"/>
  <c r="J110" s="1"/>
  <c r="L110"/>
  <c r="H110" s="1"/>
  <c r="I110"/>
  <c r="L114"/>
  <c r="H114" s="1"/>
  <c r="I114"/>
  <c r="N114"/>
  <c r="J114" s="1"/>
  <c r="L116"/>
  <c r="H116" s="1"/>
  <c r="I116"/>
  <c r="N116"/>
  <c r="J116" s="1"/>
  <c r="L118"/>
  <c r="H118" s="1"/>
  <c r="I118"/>
  <c r="N118"/>
  <c r="J118" s="1"/>
  <c r="I120"/>
  <c r="N120"/>
  <c r="J120" s="1"/>
  <c r="L120"/>
  <c r="H120" s="1"/>
  <c r="I27" i="16"/>
  <c r="AC210" i="5"/>
  <c r="AC238" s="1"/>
  <c r="AC163" i="4"/>
  <c r="AC191" s="1"/>
  <c r="AE1" i="3"/>
  <c r="AD162"/>
  <c r="AD189" s="1"/>
  <c r="AD1" i="5"/>
  <c r="AD1" i="4"/>
  <c r="DF115" i="16"/>
  <c r="DF103"/>
  <c r="DF118"/>
  <c r="DF117"/>
  <c r="DF109"/>
  <c r="DF104"/>
  <c r="DF111"/>
  <c r="DF100"/>
  <c r="DF114"/>
  <c r="DF113"/>
  <c r="L17" l="1"/>
  <c r="H7"/>
  <c r="H13"/>
  <c r="J17"/>
  <c r="I129" i="18"/>
  <c r="E3" i="12" s="1"/>
  <c r="L7" i="16"/>
  <c r="L13"/>
  <c r="N17"/>
  <c r="L145" i="18"/>
  <c r="N12" i="16"/>
  <c r="L12"/>
  <c r="N16"/>
  <c r="L16"/>
  <c r="L18"/>
  <c r="N18"/>
  <c r="L4"/>
  <c r="N4"/>
  <c r="L5"/>
  <c r="N5"/>
  <c r="L9"/>
  <c r="N9"/>
  <c r="N11"/>
  <c r="L11"/>
  <c r="N15"/>
  <c r="L15"/>
  <c r="N19"/>
  <c r="L19"/>
  <c r="N21"/>
  <c r="L21"/>
  <c r="L23"/>
  <c r="N23"/>
  <c r="N7"/>
  <c r="N13"/>
  <c r="L3"/>
  <c r="N3"/>
  <c r="N6"/>
  <c r="L6"/>
  <c r="N8"/>
  <c r="L8"/>
  <c r="L10"/>
  <c r="N10"/>
  <c r="N14"/>
  <c r="L14"/>
  <c r="L20"/>
  <c r="N20"/>
  <c r="N22"/>
  <c r="L22"/>
  <c r="N24"/>
  <c r="L24"/>
  <c r="N26"/>
  <c r="L26"/>
  <c r="N27"/>
  <c r="L27"/>
  <c r="L25"/>
  <c r="N25"/>
  <c r="J27"/>
  <c r="H27"/>
  <c r="N151" i="18"/>
  <c r="L151"/>
  <c r="N147"/>
  <c r="L147"/>
  <c r="L139"/>
  <c r="N139"/>
  <c r="L144"/>
  <c r="N144"/>
  <c r="L140"/>
  <c r="N140"/>
  <c r="N136"/>
  <c r="L136"/>
  <c r="J5" i="16"/>
  <c r="H5"/>
  <c r="J9"/>
  <c r="H9"/>
  <c r="J15"/>
  <c r="H15"/>
  <c r="J19"/>
  <c r="H19"/>
  <c r="H21"/>
  <c r="J21"/>
  <c r="J23"/>
  <c r="H23"/>
  <c r="L155" i="18"/>
  <c r="E161"/>
  <c r="N155"/>
  <c r="L141"/>
  <c r="N141"/>
  <c r="L154"/>
  <c r="N154"/>
  <c r="L134"/>
  <c r="N134"/>
  <c r="J3" i="16"/>
  <c r="H3"/>
  <c r="J8"/>
  <c r="H8"/>
  <c r="H16"/>
  <c r="J16"/>
  <c r="H26"/>
  <c r="J26"/>
  <c r="J25"/>
  <c r="H25"/>
  <c r="O132"/>
  <c r="M132"/>
  <c r="N100"/>
  <c r="J100" s="1"/>
  <c r="I100"/>
  <c r="L100"/>
  <c r="H100" s="1"/>
  <c r="O135"/>
  <c r="M135"/>
  <c r="M139"/>
  <c r="O139"/>
  <c r="O143"/>
  <c r="M143"/>
  <c r="I113"/>
  <c r="N113"/>
  <c r="J113" s="1"/>
  <c r="L113"/>
  <c r="H113" s="1"/>
  <c r="O147"/>
  <c r="M147"/>
  <c r="N115"/>
  <c r="J115" s="1"/>
  <c r="I115"/>
  <c r="L115"/>
  <c r="H115" s="1"/>
  <c r="O151"/>
  <c r="M151"/>
  <c r="M131"/>
  <c r="O131"/>
  <c r="O136"/>
  <c r="M136"/>
  <c r="I104"/>
  <c r="N104"/>
  <c r="J104" s="1"/>
  <c r="L104"/>
  <c r="H104" s="1"/>
  <c r="O140"/>
  <c r="M140"/>
  <c r="O144"/>
  <c r="M144"/>
  <c r="I114"/>
  <c r="N114"/>
  <c r="J114" s="1"/>
  <c r="L114"/>
  <c r="H114" s="1"/>
  <c r="O148"/>
  <c r="M148"/>
  <c r="O152"/>
  <c r="M152"/>
  <c r="M153"/>
  <c r="O153"/>
  <c r="L101"/>
  <c r="H101" s="1"/>
  <c r="I101"/>
  <c r="N101"/>
  <c r="J101" s="1"/>
  <c r="L107"/>
  <c r="H107" s="1"/>
  <c r="I107"/>
  <c r="N107"/>
  <c r="J107" s="1"/>
  <c r="I123"/>
  <c r="L123"/>
  <c r="H123" s="1"/>
  <c r="N123"/>
  <c r="J123" s="1"/>
  <c r="I120"/>
  <c r="L120"/>
  <c r="H120" s="1"/>
  <c r="N120"/>
  <c r="J120" s="1"/>
  <c r="I122"/>
  <c r="L122"/>
  <c r="H122" s="1"/>
  <c r="N122"/>
  <c r="J122" s="1"/>
  <c r="N121"/>
  <c r="J121" s="1"/>
  <c r="I121"/>
  <c r="L121"/>
  <c r="H121" s="1"/>
  <c r="J7"/>
  <c r="J13"/>
  <c r="H17"/>
  <c r="N145" i="18"/>
  <c r="O97"/>
  <c r="F15" i="12" s="1"/>
  <c r="L97" i="18"/>
  <c r="N155" i="16"/>
  <c r="T26" i="7"/>
  <c r="V26" s="1"/>
  <c r="E161" i="16"/>
  <c r="L155"/>
  <c r="L143" i="18"/>
  <c r="N143"/>
  <c r="N135"/>
  <c r="L135"/>
  <c r="L131"/>
  <c r="N131"/>
  <c r="L152"/>
  <c r="N152"/>
  <c r="N148"/>
  <c r="L148"/>
  <c r="L133"/>
  <c r="N133"/>
  <c r="C160"/>
  <c r="J4" i="16"/>
  <c r="H4"/>
  <c r="J11"/>
  <c r="H11"/>
  <c r="N149" i="18"/>
  <c r="L149"/>
  <c r="E129"/>
  <c r="L137"/>
  <c r="N137"/>
  <c r="L132"/>
  <c r="N132"/>
  <c r="N150"/>
  <c r="L150"/>
  <c r="N146"/>
  <c r="L146"/>
  <c r="L142"/>
  <c r="N142"/>
  <c r="N138"/>
  <c r="L138"/>
  <c r="P90" i="16"/>
  <c r="P99"/>
  <c r="P131" s="1"/>
  <c r="H6"/>
  <c r="J6"/>
  <c r="H10"/>
  <c r="J10"/>
  <c r="H12"/>
  <c r="J12"/>
  <c r="J14"/>
  <c r="H14"/>
  <c r="J18"/>
  <c r="H18"/>
  <c r="H20"/>
  <c r="J20"/>
  <c r="H22"/>
  <c r="J22"/>
  <c r="J24"/>
  <c r="H24"/>
  <c r="O133"/>
  <c r="M133"/>
  <c r="L103"/>
  <c r="H103" s="1"/>
  <c r="I103"/>
  <c r="N103"/>
  <c r="J103" s="1"/>
  <c r="M137"/>
  <c r="O137"/>
  <c r="O141"/>
  <c r="M141"/>
  <c r="I109"/>
  <c r="L109"/>
  <c r="H109" s="1"/>
  <c r="N109"/>
  <c r="J109" s="1"/>
  <c r="N111"/>
  <c r="J111" s="1"/>
  <c r="I111"/>
  <c r="L111"/>
  <c r="H111" s="1"/>
  <c r="O145"/>
  <c r="M145"/>
  <c r="M149"/>
  <c r="O149"/>
  <c r="N117"/>
  <c r="J117" s="1"/>
  <c r="I117"/>
  <c r="L117"/>
  <c r="H117" s="1"/>
  <c r="M134"/>
  <c r="O134"/>
  <c r="M138"/>
  <c r="O138"/>
  <c r="O142"/>
  <c r="M142"/>
  <c r="M146"/>
  <c r="O146"/>
  <c r="O150"/>
  <c r="M150"/>
  <c r="I118"/>
  <c r="N118"/>
  <c r="J118" s="1"/>
  <c r="L118"/>
  <c r="H118" s="1"/>
  <c r="M154"/>
  <c r="O154"/>
  <c r="I105"/>
  <c r="N105"/>
  <c r="J105" s="1"/>
  <c r="L105"/>
  <c r="H105" s="1"/>
  <c r="N119"/>
  <c r="J119" s="1"/>
  <c r="I119"/>
  <c r="L119"/>
  <c r="H119" s="1"/>
  <c r="I99"/>
  <c r="N99"/>
  <c r="J99" s="1"/>
  <c r="L99"/>
  <c r="H99" s="1"/>
  <c r="I102"/>
  <c r="L102"/>
  <c r="H102" s="1"/>
  <c r="N102"/>
  <c r="J102" s="1"/>
  <c r="L106"/>
  <c r="H106" s="1"/>
  <c r="I106"/>
  <c r="N106"/>
  <c r="J106" s="1"/>
  <c r="I108"/>
  <c r="N108"/>
  <c r="J108" s="1"/>
  <c r="L108"/>
  <c r="H108" s="1"/>
  <c r="I110"/>
  <c r="N110"/>
  <c r="J110" s="1"/>
  <c r="L110"/>
  <c r="H110" s="1"/>
  <c r="N112"/>
  <c r="J112" s="1"/>
  <c r="I112"/>
  <c r="L112"/>
  <c r="H112" s="1"/>
  <c r="L116"/>
  <c r="H116" s="1"/>
  <c r="I116"/>
  <c r="N116"/>
  <c r="J116" s="1"/>
  <c r="E120" i="18"/>
  <c r="E114"/>
  <c r="F102"/>
  <c r="E119"/>
  <c r="E109"/>
  <c r="D103"/>
  <c r="F122"/>
  <c r="E106"/>
  <c r="D111"/>
  <c r="AD210" i="5"/>
  <c r="AD238" s="1"/>
  <c r="AD163" i="4"/>
  <c r="AD191" s="1"/>
  <c r="AF1" i="3"/>
  <c r="AE162"/>
  <c r="AE189" s="1"/>
  <c r="AE1" i="5"/>
  <c r="AE1" i="4"/>
  <c r="E160" i="18"/>
  <c r="Z160"/>
  <c r="AO160"/>
  <c r="BA160"/>
  <c r="BM160"/>
  <c r="CE160"/>
  <c r="CQ160"/>
  <c r="DC160"/>
  <c r="W160"/>
  <c r="AL160"/>
  <c r="AX160"/>
  <c r="BJ160"/>
  <c r="BY160"/>
  <c r="CN160"/>
  <c r="CZ160"/>
  <c r="CT160"/>
  <c r="T160"/>
  <c r="AI160"/>
  <c r="AU160"/>
  <c r="BG160"/>
  <c r="BV160"/>
  <c r="CK160"/>
  <c r="CW160"/>
  <c r="Q160"/>
  <c r="AC160"/>
  <c r="AR160"/>
  <c r="BD160"/>
  <c r="BP160"/>
  <c r="CH160"/>
  <c r="DF160"/>
  <c r="F99" l="1"/>
  <c r="F113"/>
  <c r="F112"/>
  <c r="D100"/>
  <c r="E107"/>
  <c r="E115"/>
  <c r="D121"/>
  <c r="F110"/>
  <c r="F116"/>
  <c r="E101"/>
  <c r="D99"/>
  <c r="D113"/>
  <c r="F106"/>
  <c r="E108"/>
  <c r="E112"/>
  <c r="F100"/>
  <c r="G100" s="1"/>
  <c r="E103"/>
  <c r="F105"/>
  <c r="D107"/>
  <c r="F115"/>
  <c r="F117"/>
  <c r="D119"/>
  <c r="E123"/>
  <c r="E104"/>
  <c r="E110"/>
  <c r="D116"/>
  <c r="E118"/>
  <c r="D120"/>
  <c r="G99"/>
  <c r="G116"/>
  <c r="DF162"/>
  <c r="CZ162"/>
  <c r="CT162"/>
  <c r="CN162"/>
  <c r="CH162"/>
  <c r="BY162"/>
  <c r="BP162"/>
  <c r="BJ162"/>
  <c r="BD162"/>
  <c r="AX162"/>
  <c r="AR162"/>
  <c r="AL162"/>
  <c r="AC162"/>
  <c r="W162"/>
  <c r="Q162"/>
  <c r="DC162"/>
  <c r="CW162"/>
  <c r="CQ162"/>
  <c r="CK162"/>
  <c r="CE162"/>
  <c r="BV162"/>
  <c r="BM162"/>
  <c r="BG162"/>
  <c r="BA162"/>
  <c r="AU162"/>
  <c r="AO162"/>
  <c r="AI162"/>
  <c r="Z162"/>
  <c r="T162"/>
  <c r="E162"/>
  <c r="T25" i="7"/>
  <c r="V25" s="1"/>
  <c r="L154" i="16"/>
  <c r="N154"/>
  <c r="L150"/>
  <c r="T21" i="7"/>
  <c r="V21" s="1"/>
  <c r="N150" i="16"/>
  <c r="N142"/>
  <c r="T13" i="7"/>
  <c r="V13" s="1"/>
  <c r="L142" i="16"/>
  <c r="L149"/>
  <c r="T20" i="7"/>
  <c r="V20" s="1"/>
  <c r="N149" i="16"/>
  <c r="T8" i="7"/>
  <c r="V8" s="1"/>
  <c r="N137" i="16"/>
  <c r="L137"/>
  <c r="T4" i="7"/>
  <c r="V4" s="1"/>
  <c r="N133" i="16"/>
  <c r="L133"/>
  <c r="U2" i="7"/>
  <c r="C160" i="16"/>
  <c r="L153"/>
  <c r="T24" i="7"/>
  <c r="V24" s="1"/>
  <c r="N153" i="16"/>
  <c r="T15" i="7"/>
  <c r="V15" s="1"/>
  <c r="L144" i="16"/>
  <c r="N144"/>
  <c r="L140"/>
  <c r="T11" i="7"/>
  <c r="V11" s="1"/>
  <c r="N140" i="16"/>
  <c r="T2" i="7"/>
  <c r="V2" s="1"/>
  <c r="L131" i="16"/>
  <c r="N131"/>
  <c r="T18" i="7"/>
  <c r="V18" s="1"/>
  <c r="L147" i="16"/>
  <c r="N147"/>
  <c r="T10" i="7"/>
  <c r="V10" s="1"/>
  <c r="N139" i="16"/>
  <c r="L139"/>
  <c r="T3" i="7"/>
  <c r="V3" s="1"/>
  <c r="L132" i="16"/>
  <c r="N132"/>
  <c r="G113" i="18"/>
  <c r="I129" i="16"/>
  <c r="E102" i="18"/>
  <c r="F101"/>
  <c r="E99"/>
  <c r="E111"/>
  <c r="E113"/>
  <c r="D108"/>
  <c r="D112"/>
  <c r="G112" s="1"/>
  <c r="D122"/>
  <c r="G122" s="1"/>
  <c r="E105"/>
  <c r="F107"/>
  <c r="F109"/>
  <c r="E117"/>
  <c r="F119"/>
  <c r="E121"/>
  <c r="F123"/>
  <c r="D104"/>
  <c r="D110"/>
  <c r="G110" s="1"/>
  <c r="F114"/>
  <c r="D118"/>
  <c r="F120"/>
  <c r="O97" i="16"/>
  <c r="F16" i="12" s="1"/>
  <c r="L97" i="16"/>
  <c r="L146"/>
  <c r="T17" i="7"/>
  <c r="V17" s="1"/>
  <c r="N146" i="16"/>
  <c r="L138"/>
  <c r="N138"/>
  <c r="T9" i="7"/>
  <c r="V9" s="1"/>
  <c r="T5"/>
  <c r="V5" s="1"/>
  <c r="V27" s="1"/>
  <c r="L134" i="16"/>
  <c r="N134"/>
  <c r="T16" i="7"/>
  <c r="V16" s="1"/>
  <c r="N145" i="16"/>
  <c r="L145"/>
  <c r="N141"/>
  <c r="T12" i="7"/>
  <c r="V12" s="1"/>
  <c r="L141" i="16"/>
  <c r="N152"/>
  <c r="T23" i="7"/>
  <c r="V23" s="1"/>
  <c r="L152" i="16"/>
  <c r="T19" i="7"/>
  <c r="V19" s="1"/>
  <c r="L148" i="16"/>
  <c r="N148"/>
  <c r="L136"/>
  <c r="T7" i="7"/>
  <c r="V7" s="1"/>
  <c r="N136" i="16"/>
  <c r="L151"/>
  <c r="T22" i="7"/>
  <c r="V22" s="1"/>
  <c r="N151" i="16"/>
  <c r="N143"/>
  <c r="T14" i="7"/>
  <c r="V14" s="1"/>
  <c r="L143" i="16"/>
  <c r="T6" i="7"/>
  <c r="V6" s="1"/>
  <c r="L135" i="16"/>
  <c r="N135"/>
  <c r="G107" i="18"/>
  <c r="G120"/>
  <c r="F110" i="16"/>
  <c r="F102"/>
  <c r="D119"/>
  <c r="F105"/>
  <c r="E118"/>
  <c r="D111"/>
  <c r="D109"/>
  <c r="D103"/>
  <c r="F17" i="12"/>
  <c r="D101" i="18"/>
  <c r="G101" s="1"/>
  <c r="F111"/>
  <c r="G111" s="1"/>
  <c r="D106"/>
  <c r="G106" s="1"/>
  <c r="F108"/>
  <c r="E122"/>
  <c r="E100"/>
  <c r="F103"/>
  <c r="G103" s="1"/>
  <c r="D105"/>
  <c r="D109"/>
  <c r="D115"/>
  <c r="D117"/>
  <c r="G117" s="1"/>
  <c r="F121"/>
  <c r="G121" s="1"/>
  <c r="D123"/>
  <c r="D102"/>
  <c r="G102" s="1"/>
  <c r="F104"/>
  <c r="D114"/>
  <c r="E116"/>
  <c r="F118"/>
  <c r="D121" i="16"/>
  <c r="D122"/>
  <c r="E120"/>
  <c r="F107"/>
  <c r="E101"/>
  <c r="E114"/>
  <c r="D115"/>
  <c r="F113"/>
  <c r="F100"/>
  <c r="AE210" i="5"/>
  <c r="AE238" s="1"/>
  <c r="AE163" i="4"/>
  <c r="AE191" s="1"/>
  <c r="AG1" i="3"/>
  <c r="AF162"/>
  <c r="AF189" s="1"/>
  <c r="AF1" i="5"/>
  <c r="AF1" i="4"/>
  <c r="BM160" i="16"/>
  <c r="BP160"/>
  <c r="AL160"/>
  <c r="Z160"/>
  <c r="AC160"/>
  <c r="AU160"/>
  <c r="BY160"/>
  <c r="E160"/>
  <c r="CQ160"/>
  <c r="CT160"/>
  <c r="BJ160"/>
  <c r="BA160"/>
  <c r="BD160"/>
  <c r="CK160"/>
  <c r="CZ160"/>
  <c r="CW160"/>
  <c r="T160"/>
  <c r="AI160"/>
  <c r="CN160"/>
  <c r="CE160"/>
  <c r="CH160"/>
  <c r="W160"/>
  <c r="Q160"/>
  <c r="AO160"/>
  <c r="AR160"/>
  <c r="BV160"/>
  <c r="BG160"/>
  <c r="DC160"/>
  <c r="DF160"/>
  <c r="AX160"/>
  <c r="D100" l="1"/>
  <c r="F115"/>
  <c r="F104"/>
  <c r="D114"/>
  <c r="D107"/>
  <c r="D123"/>
  <c r="F120"/>
  <c r="F121"/>
  <c r="G118" i="18"/>
  <c r="F103" i="16"/>
  <c r="F111"/>
  <c r="G111" s="1"/>
  <c r="E117"/>
  <c r="D118"/>
  <c r="F119"/>
  <c r="F99"/>
  <c r="E108"/>
  <c r="D112"/>
  <c r="G119" i="18"/>
  <c r="G115"/>
  <c r="G105"/>
  <c r="G115" i="16"/>
  <c r="G121"/>
  <c r="G103"/>
  <c r="G119"/>
  <c r="E102"/>
  <c r="E100"/>
  <c r="F101"/>
  <c r="E104"/>
  <c r="D113"/>
  <c r="G113" s="1"/>
  <c r="F114"/>
  <c r="G114" s="1"/>
  <c r="E123"/>
  <c r="F122"/>
  <c r="G122" s="1"/>
  <c r="D120"/>
  <c r="G120" s="1"/>
  <c r="CZ162"/>
  <c r="AX162"/>
  <c r="CK162"/>
  <c r="DF162"/>
  <c r="BD162"/>
  <c r="DC162"/>
  <c r="BA162"/>
  <c r="BG162"/>
  <c r="BJ162"/>
  <c r="BV162"/>
  <c r="CT162"/>
  <c r="AR162"/>
  <c r="CQ162"/>
  <c r="AO162"/>
  <c r="E162"/>
  <c r="Q162"/>
  <c r="BY162"/>
  <c r="W162"/>
  <c r="AU162"/>
  <c r="CH162"/>
  <c r="AC162"/>
  <c r="CE162"/>
  <c r="Z162"/>
  <c r="CN162"/>
  <c r="AL162"/>
  <c r="AI162"/>
  <c r="BP162"/>
  <c r="T162"/>
  <c r="BM162"/>
  <c r="CW162"/>
  <c r="E113"/>
  <c r="E115"/>
  <c r="D104"/>
  <c r="G104" s="1"/>
  <c r="D101"/>
  <c r="G101" s="1"/>
  <c r="E107"/>
  <c r="F123"/>
  <c r="G123" s="1"/>
  <c r="E122"/>
  <c r="E121"/>
  <c r="G123" i="18"/>
  <c r="G109"/>
  <c r="E109" i="16"/>
  <c r="E111"/>
  <c r="D117"/>
  <c r="F118"/>
  <c r="G118" s="1"/>
  <c r="D105"/>
  <c r="G105" s="1"/>
  <c r="E99"/>
  <c r="D102"/>
  <c r="G102" s="1"/>
  <c r="F106"/>
  <c r="E110"/>
  <c r="E112"/>
  <c r="F116"/>
  <c r="E106"/>
  <c r="F112"/>
  <c r="S25" i="7"/>
  <c r="S17"/>
  <c r="S9"/>
  <c r="S26"/>
  <c r="S18"/>
  <c r="S10"/>
  <c r="S2"/>
  <c r="S19"/>
  <c r="S11"/>
  <c r="S3"/>
  <c r="S20"/>
  <c r="S12"/>
  <c r="S4"/>
  <c r="S21"/>
  <c r="S13"/>
  <c r="S5"/>
  <c r="S22"/>
  <c r="S14"/>
  <c r="S6"/>
  <c r="S23"/>
  <c r="S15"/>
  <c r="S7"/>
  <c r="S24"/>
  <c r="S16"/>
  <c r="S8"/>
  <c r="E129" i="16"/>
  <c r="E4" i="12"/>
  <c r="E5" s="1"/>
  <c r="G100" i="16"/>
  <c r="G107"/>
  <c r="G112"/>
  <c r="G114" i="18"/>
  <c r="G104"/>
  <c r="G98" s="1"/>
  <c r="G108"/>
  <c r="E103" i="16"/>
  <c r="F109"/>
  <c r="G109" s="1"/>
  <c r="F117"/>
  <c r="E105"/>
  <c r="E119"/>
  <c r="D99"/>
  <c r="G99" s="1"/>
  <c r="D106"/>
  <c r="F108"/>
  <c r="D110"/>
  <c r="G110" s="1"/>
  <c r="D116"/>
  <c r="D108"/>
  <c r="E116"/>
  <c r="AF210" i="5"/>
  <c r="AF238" s="1"/>
  <c r="AF163" i="4"/>
  <c r="AF191" s="1"/>
  <c r="AG162" i="3"/>
  <c r="AG189" s="1"/>
  <c r="AG1" i="5"/>
  <c r="AG1" i="4"/>
  <c r="G116" i="16" l="1"/>
  <c r="G106"/>
  <c r="G108"/>
  <c r="F12" i="12"/>
  <c r="D97" i="18"/>
  <c r="D95" s="1"/>
  <c r="B9"/>
  <c r="B9" i="16"/>
  <c r="B25" i="18"/>
  <c r="B25" i="16"/>
  <c r="B16" i="18"/>
  <c r="B16" i="16"/>
  <c r="B7" i="18"/>
  <c r="B7" i="16"/>
  <c r="B23" i="18"/>
  <c r="B23" i="16"/>
  <c r="B14" i="18"/>
  <c r="B14" i="16"/>
  <c r="B5" i="18"/>
  <c r="B5" i="16"/>
  <c r="B21" i="18"/>
  <c r="B21" i="16"/>
  <c r="B12" i="18"/>
  <c r="B12" i="16"/>
  <c r="B3" i="18"/>
  <c r="B3" i="16"/>
  <c r="B19" i="18"/>
  <c r="B19" i="16"/>
  <c r="B10" i="18"/>
  <c r="B10" i="16"/>
  <c r="B26" i="18"/>
  <c r="B26" i="16"/>
  <c r="G117"/>
  <c r="B17" i="18"/>
  <c r="B17" i="16"/>
  <c r="B8" i="18"/>
  <c r="B8" i="16"/>
  <c r="B24" i="18"/>
  <c r="B24" i="16"/>
  <c r="B15" i="18"/>
  <c r="B15" i="16"/>
  <c r="B6" i="18"/>
  <c r="B6" i="16"/>
  <c r="B22" i="18"/>
  <c r="B22" i="16"/>
  <c r="B13" i="18"/>
  <c r="B13" i="16"/>
  <c r="B4" i="18"/>
  <c r="B4" i="16"/>
  <c r="B20" i="18"/>
  <c r="B20" i="16"/>
  <c r="B11" i="18"/>
  <c r="B11" i="16"/>
  <c r="B27" i="18"/>
  <c r="B27" i="16"/>
  <c r="B18" i="18"/>
  <c r="B18" i="16"/>
  <c r="G98"/>
  <c r="AG210" i="5"/>
  <c r="AG238" s="1"/>
  <c r="AG163" i="4"/>
  <c r="AG191" s="1"/>
  <c r="D97" i="16" l="1"/>
  <c r="D95" s="1"/>
  <c r="F13" i="12"/>
  <c r="B89" i="18"/>
  <c r="B155"/>
  <c r="B161" s="1"/>
  <c r="B123"/>
  <c r="B191"/>
  <c r="B58"/>
  <c r="B66"/>
  <c r="B100"/>
  <c r="B168"/>
  <c r="F168" s="1"/>
  <c r="B132"/>
  <c r="B35"/>
  <c r="B150"/>
  <c r="B53"/>
  <c r="B84"/>
  <c r="B118"/>
  <c r="B186"/>
  <c r="F186" s="1"/>
  <c r="B179"/>
  <c r="F179" s="1"/>
  <c r="B46"/>
  <c r="B77"/>
  <c r="B143"/>
  <c r="B111"/>
  <c r="B172"/>
  <c r="F172" s="1"/>
  <c r="B136"/>
  <c r="B39"/>
  <c r="B70"/>
  <c r="B104"/>
  <c r="B113"/>
  <c r="B181"/>
  <c r="F181" s="1"/>
  <c r="B48"/>
  <c r="B79"/>
  <c r="B145"/>
  <c r="B41" i="16"/>
  <c r="B174"/>
  <c r="F174" s="1"/>
  <c r="B72"/>
  <c r="B65"/>
  <c r="B167"/>
  <c r="F167" s="1"/>
  <c r="B34"/>
  <c r="B182"/>
  <c r="F182" s="1"/>
  <c r="B49"/>
  <c r="B80"/>
  <c r="B191"/>
  <c r="F191" s="1"/>
  <c r="B58"/>
  <c r="B89"/>
  <c r="B175"/>
  <c r="F175" s="1"/>
  <c r="B42"/>
  <c r="B73"/>
  <c r="B184"/>
  <c r="F184" s="1"/>
  <c r="B82"/>
  <c r="B51"/>
  <c r="B168"/>
  <c r="F168" s="1"/>
  <c r="B35"/>
  <c r="B66"/>
  <c r="B177"/>
  <c r="F177" s="1"/>
  <c r="B44"/>
  <c r="B75"/>
  <c r="B84"/>
  <c r="B186"/>
  <c r="F186" s="1"/>
  <c r="B53"/>
  <c r="B68"/>
  <c r="B170"/>
  <c r="F170" s="1"/>
  <c r="B37"/>
  <c r="B77"/>
  <c r="B179"/>
  <c r="F179" s="1"/>
  <c r="B46"/>
  <c r="B86"/>
  <c r="B188"/>
  <c r="F188" s="1"/>
  <c r="B55"/>
  <c r="B70"/>
  <c r="B172"/>
  <c r="F172" s="1"/>
  <c r="B39"/>
  <c r="B48"/>
  <c r="B181"/>
  <c r="F181" s="1"/>
  <c r="B79"/>
  <c r="B154" i="18"/>
  <c r="B57"/>
  <c r="B88"/>
  <c r="B122"/>
  <c r="B190"/>
  <c r="F190" s="1"/>
  <c r="B138"/>
  <c r="B41"/>
  <c r="B72"/>
  <c r="B106"/>
  <c r="B174"/>
  <c r="F174" s="1"/>
  <c r="B183"/>
  <c r="F183" s="1"/>
  <c r="B50"/>
  <c r="B81"/>
  <c r="B147"/>
  <c r="B115"/>
  <c r="B131"/>
  <c r="B34"/>
  <c r="B65"/>
  <c r="B99"/>
  <c r="B167"/>
  <c r="F167" s="1"/>
  <c r="B176"/>
  <c r="F176" s="1"/>
  <c r="B140"/>
  <c r="B43"/>
  <c r="B74"/>
  <c r="B108"/>
  <c r="B117"/>
  <c r="B185"/>
  <c r="F185" s="1"/>
  <c r="B52"/>
  <c r="B83"/>
  <c r="B149"/>
  <c r="B133"/>
  <c r="B36"/>
  <c r="B67"/>
  <c r="B101"/>
  <c r="B169"/>
  <c r="F169" s="1"/>
  <c r="B76"/>
  <c r="B110"/>
  <c r="B178"/>
  <c r="F178" s="1"/>
  <c r="B142"/>
  <c r="B45"/>
  <c r="B85"/>
  <c r="B151"/>
  <c r="B119"/>
  <c r="B187"/>
  <c r="F187" s="1"/>
  <c r="B54"/>
  <c r="B69"/>
  <c r="B135"/>
  <c r="B103"/>
  <c r="B171"/>
  <c r="F171" s="1"/>
  <c r="B38"/>
  <c r="B47"/>
  <c r="B78"/>
  <c r="B112"/>
  <c r="B180"/>
  <c r="F180" s="1"/>
  <c r="B144"/>
  <c r="B56"/>
  <c r="B87"/>
  <c r="B153"/>
  <c r="B121"/>
  <c r="B189"/>
  <c r="F189" s="1"/>
  <c r="B40"/>
  <c r="B71"/>
  <c r="B137"/>
  <c r="B105"/>
  <c r="B173"/>
  <c r="F173" s="1"/>
  <c r="F14" i="12"/>
  <c r="B80" i="18"/>
  <c r="B114"/>
  <c r="B182"/>
  <c r="F182" s="1"/>
  <c r="B146"/>
  <c r="B49"/>
  <c r="B73"/>
  <c r="B139"/>
  <c r="B107"/>
  <c r="B175"/>
  <c r="F175" s="1"/>
  <c r="B42"/>
  <c r="B51"/>
  <c r="B82"/>
  <c r="B116"/>
  <c r="B184"/>
  <c r="F184" s="1"/>
  <c r="B148"/>
  <c r="B44"/>
  <c r="B75"/>
  <c r="B141"/>
  <c r="I130" s="1"/>
  <c r="B109"/>
  <c r="B177"/>
  <c r="F177" s="1"/>
  <c r="B37"/>
  <c r="B68"/>
  <c r="B102"/>
  <c r="B170"/>
  <c r="F170" s="1"/>
  <c r="B134"/>
  <c r="B188"/>
  <c r="F188" s="1"/>
  <c r="B152"/>
  <c r="B55"/>
  <c r="B86"/>
  <c r="B120"/>
  <c r="B88" i="16"/>
  <c r="B190"/>
  <c r="F190" s="1"/>
  <c r="B57"/>
  <c r="B81"/>
  <c r="B183"/>
  <c r="F183" s="1"/>
  <c r="B50"/>
  <c r="B43"/>
  <c r="B176"/>
  <c r="F176" s="1"/>
  <c r="B74"/>
  <c r="B83"/>
  <c r="B185"/>
  <c r="F185" s="1"/>
  <c r="B52"/>
  <c r="B36"/>
  <c r="B169"/>
  <c r="F169" s="1"/>
  <c r="B67"/>
  <c r="B178"/>
  <c r="F178" s="1"/>
  <c r="B45"/>
  <c r="B76"/>
  <c r="B187"/>
  <c r="F187" s="1"/>
  <c r="B85"/>
  <c r="B54"/>
  <c r="B171"/>
  <c r="F171" s="1"/>
  <c r="B38"/>
  <c r="B69"/>
  <c r="B180"/>
  <c r="F180" s="1"/>
  <c r="B47"/>
  <c r="B78"/>
  <c r="B189"/>
  <c r="F189" s="1"/>
  <c r="B56"/>
  <c r="B87"/>
  <c r="B173"/>
  <c r="F173" s="1"/>
  <c r="B40"/>
  <c r="B71"/>
  <c r="M2" i="7"/>
  <c r="I5" i="12"/>
  <c r="N2" i="14"/>
  <c r="Q3" i="7"/>
  <c r="N3"/>
  <c r="O3" s="1"/>
  <c r="P3" s="1"/>
  <c r="O3" i="14" s="1"/>
  <c r="Q5" i="7"/>
  <c r="M4"/>
  <c r="N4" i="14"/>
  <c r="N5" i="7"/>
  <c r="O5" s="1"/>
  <c r="Q25"/>
  <c r="N24" i="14"/>
  <c r="M24" i="7"/>
  <c r="N25"/>
  <c r="O25" s="1"/>
  <c r="M22"/>
  <c r="N22" i="14"/>
  <c r="Q23" i="7"/>
  <c r="N23"/>
  <c r="O23" s="1"/>
  <c r="M14"/>
  <c r="Q15"/>
  <c r="N14" i="14"/>
  <c r="N15" i="7"/>
  <c r="O15" s="1"/>
  <c r="M17"/>
  <c r="N17" i="14"/>
  <c r="Q18" i="7"/>
  <c r="N18"/>
  <c r="O18" s="1"/>
  <c r="M12"/>
  <c r="N12" i="14"/>
  <c r="Q13" i="7"/>
  <c r="N13"/>
  <c r="O13" s="1"/>
  <c r="Q11"/>
  <c r="M10"/>
  <c r="N10" i="14"/>
  <c r="N11" i="7"/>
  <c r="O11" s="1"/>
  <c r="Q24"/>
  <c r="M23"/>
  <c r="N23" i="14"/>
  <c r="N24" i="7"/>
  <c r="O24" s="1"/>
  <c r="M21"/>
  <c r="Q22"/>
  <c r="N21" i="14"/>
  <c r="N22" i="7"/>
  <c r="O22" s="1"/>
  <c r="N16" i="14"/>
  <c r="Q17" i="7"/>
  <c r="M16"/>
  <c r="N17"/>
  <c r="O17" s="1"/>
  <c r="Q10"/>
  <c r="N9" i="14"/>
  <c r="M9" i="7"/>
  <c r="N10"/>
  <c r="O10" s="1"/>
  <c r="Q7"/>
  <c r="M6"/>
  <c r="N6" i="14"/>
  <c r="N7" i="7"/>
  <c r="O7" s="1"/>
  <c r="M26"/>
  <c r="N26" i="14"/>
  <c r="N15"/>
  <c r="M15" i="7"/>
  <c r="Q16"/>
  <c r="N16"/>
  <c r="O16" s="1"/>
  <c r="M20"/>
  <c r="Q21"/>
  <c r="N20" i="14"/>
  <c r="N21" i="7"/>
  <c r="O21" s="1"/>
  <c r="Q4"/>
  <c r="M3"/>
  <c r="N3" i="14"/>
  <c r="N4" i="7"/>
  <c r="O4" s="1"/>
  <c r="Q20"/>
  <c r="N19" i="14"/>
  <c r="M19" i="7"/>
  <c r="N20"/>
  <c r="O20" s="1"/>
  <c r="Q6"/>
  <c r="M5"/>
  <c r="N5" i="14"/>
  <c r="N6" i="7"/>
  <c r="O6" s="1"/>
  <c r="N25" i="14"/>
  <c r="Q26" i="7"/>
  <c r="M25"/>
  <c r="N26"/>
  <c r="O26" s="1"/>
  <c r="Q9"/>
  <c r="M8"/>
  <c r="N8" i="14"/>
  <c r="N9" i="7"/>
  <c r="O9" s="1"/>
  <c r="N7" i="14"/>
  <c r="Q8" i="7"/>
  <c r="M7"/>
  <c r="N8"/>
  <c r="O8" s="1"/>
  <c r="M18"/>
  <c r="Q19"/>
  <c r="N18" i="14"/>
  <c r="N19" i="7"/>
  <c r="O19" s="1"/>
  <c r="Q12"/>
  <c r="N11" i="14"/>
  <c r="M11" i="7"/>
  <c r="N12"/>
  <c r="O12" s="1"/>
  <c r="M13"/>
  <c r="N13" i="14"/>
  <c r="Q14" i="7"/>
  <c r="N14"/>
  <c r="O14" s="1"/>
  <c r="B160" i="18"/>
  <c r="B162" l="1"/>
  <c r="F166" i="16"/>
  <c r="E130" i="18"/>
  <c r="D3" i="12"/>
  <c r="F3" s="1"/>
  <c r="F191" i="18"/>
  <c r="F166" s="1"/>
  <c r="B142" i="16"/>
  <c r="B110"/>
  <c r="B147"/>
  <c r="B115"/>
  <c r="B137"/>
  <c r="B105"/>
  <c r="B134"/>
  <c r="I130" s="1"/>
  <c r="B102"/>
  <c r="B132"/>
  <c r="B100"/>
  <c r="B144"/>
  <c r="B112"/>
  <c r="B135"/>
  <c r="B103"/>
  <c r="B145"/>
  <c r="B113"/>
  <c r="B152"/>
  <c r="B120"/>
  <c r="B141"/>
  <c r="B109"/>
  <c r="B143"/>
  <c r="B111"/>
  <c r="B153"/>
  <c r="B121"/>
  <c r="B140"/>
  <c r="B108"/>
  <c r="B136"/>
  <c r="B104"/>
  <c r="B154"/>
  <c r="B122"/>
  <c r="B148"/>
  <c r="B116"/>
  <c r="B149"/>
  <c r="B117"/>
  <c r="B155"/>
  <c r="B123"/>
  <c r="B138"/>
  <c r="B106"/>
  <c r="B150"/>
  <c r="B118"/>
  <c r="B139"/>
  <c r="B107"/>
  <c r="B146"/>
  <c r="B114"/>
  <c r="B151"/>
  <c r="B119"/>
  <c r="B133"/>
  <c r="B101"/>
  <c r="B99"/>
  <c r="B131"/>
  <c r="P4" i="7"/>
  <c r="O4" i="14" s="1"/>
  <c r="B160" i="16"/>
  <c r="T163" i="18" l="1"/>
  <c r="T164" s="1"/>
  <c r="AU163"/>
  <c r="AU164" s="1"/>
  <c r="BV163"/>
  <c r="BV164" s="1"/>
  <c r="CW163"/>
  <c r="CW164" s="1"/>
  <c r="AC163"/>
  <c r="AC164" s="1"/>
  <c r="BD163"/>
  <c r="BD164" s="1"/>
  <c r="CH163"/>
  <c r="CH164" s="1"/>
  <c r="DF163"/>
  <c r="DF164" s="1"/>
  <c r="E163"/>
  <c r="E164" s="1"/>
  <c r="AO163"/>
  <c r="AO164" s="1"/>
  <c r="BM163"/>
  <c r="BM164" s="1"/>
  <c r="CQ163"/>
  <c r="CQ164" s="1"/>
  <c r="W163"/>
  <c r="W164" s="1"/>
  <c r="AX163"/>
  <c r="AX164" s="1"/>
  <c r="BY163"/>
  <c r="BY164" s="1"/>
  <c r="CZ163"/>
  <c r="CZ164" s="1"/>
  <c r="AI163"/>
  <c r="AI164" s="1"/>
  <c r="BG163"/>
  <c r="BG164" s="1"/>
  <c r="CK163"/>
  <c r="CK164" s="1"/>
  <c r="Q163"/>
  <c r="AR163"/>
  <c r="AR164" s="1"/>
  <c r="BP163"/>
  <c r="BP164" s="1"/>
  <c r="CT163"/>
  <c r="CT164" s="1"/>
  <c r="Z163"/>
  <c r="Z164" s="1"/>
  <c r="BA163"/>
  <c r="BA164" s="1"/>
  <c r="CE163"/>
  <c r="CE164" s="1"/>
  <c r="DC163"/>
  <c r="DC164" s="1"/>
  <c r="AL163"/>
  <c r="AL164" s="1"/>
  <c r="BJ163"/>
  <c r="BJ164" s="1"/>
  <c r="CN163"/>
  <c r="CN164" s="1"/>
  <c r="E130" i="16"/>
  <c r="D4" i="12"/>
  <c r="B161" i="16"/>
  <c r="B162" s="1"/>
  <c r="P5" i="7"/>
  <c r="AU190" i="18"/>
  <c r="AU186"/>
  <c r="AU191"/>
  <c r="AU187"/>
  <c r="AU183"/>
  <c r="AU180"/>
  <c r="AU176"/>
  <c r="AU172"/>
  <c r="AU168"/>
  <c r="AU177"/>
  <c r="AU173"/>
  <c r="AU169"/>
  <c r="CW179"/>
  <c r="CW188"/>
  <c r="CW184"/>
  <c r="CW189"/>
  <c r="CW185"/>
  <c r="CW182"/>
  <c r="CW178"/>
  <c r="CW174"/>
  <c r="CW170"/>
  <c r="CW181"/>
  <c r="CW175"/>
  <c r="CW171"/>
  <c r="CW167"/>
  <c r="BD188"/>
  <c r="BD191"/>
  <c r="BD187"/>
  <c r="BD183"/>
  <c r="BD186"/>
  <c r="BD176"/>
  <c r="BD168"/>
  <c r="BD177"/>
  <c r="BD173"/>
  <c r="BD169"/>
  <c r="BD182"/>
  <c r="BD174"/>
  <c r="DF179"/>
  <c r="DF184"/>
  <c r="DF189"/>
  <c r="DF185"/>
  <c r="DF190"/>
  <c r="DF180"/>
  <c r="DF172"/>
  <c r="DF181"/>
  <c r="DF175"/>
  <c r="DF171"/>
  <c r="DF167"/>
  <c r="DF178"/>
  <c r="DF170"/>
  <c r="AO191"/>
  <c r="AO187"/>
  <c r="AO183"/>
  <c r="AO188"/>
  <c r="AO184"/>
  <c r="AO177"/>
  <c r="AO173"/>
  <c r="AO169"/>
  <c r="AO182"/>
  <c r="AO178"/>
  <c r="AO174"/>
  <c r="AO170"/>
  <c r="CQ179"/>
  <c r="CQ189"/>
  <c r="CQ185"/>
  <c r="CQ190"/>
  <c r="CQ186"/>
  <c r="CQ181"/>
  <c r="CQ175"/>
  <c r="CQ171"/>
  <c r="CQ167"/>
  <c r="CQ180"/>
  <c r="CQ176"/>
  <c r="CQ172"/>
  <c r="CQ168"/>
  <c r="AX190"/>
  <c r="AX186"/>
  <c r="AX191"/>
  <c r="AX187"/>
  <c r="AX183"/>
  <c r="AX180"/>
  <c r="AX176"/>
  <c r="AX172"/>
  <c r="AX181"/>
  <c r="AX175"/>
  <c r="AX171"/>
  <c r="AX167"/>
  <c r="CZ179"/>
  <c r="CZ184"/>
  <c r="CZ189"/>
  <c r="CZ185"/>
  <c r="CZ190"/>
  <c r="CZ180"/>
  <c r="CZ172"/>
  <c r="CZ181"/>
  <c r="CZ175"/>
  <c r="CZ171"/>
  <c r="CZ167"/>
  <c r="CZ178"/>
  <c r="CZ170"/>
  <c r="BG190"/>
  <c r="BG191"/>
  <c r="BG187"/>
  <c r="BG183"/>
  <c r="BG184"/>
  <c r="BG176"/>
  <c r="BG168"/>
  <c r="BG177"/>
  <c r="BG173"/>
  <c r="BG169"/>
  <c r="BG182"/>
  <c r="BG174"/>
  <c r="BP179"/>
  <c r="BP189"/>
  <c r="BP185"/>
  <c r="BP190"/>
  <c r="BP186"/>
  <c r="BP181"/>
  <c r="BP175"/>
  <c r="BP171"/>
  <c r="BP167"/>
  <c r="BP180"/>
  <c r="BP176"/>
  <c r="BP172"/>
  <c r="BP168"/>
  <c r="Z189"/>
  <c r="Z190"/>
  <c r="Z186"/>
  <c r="Z191"/>
  <c r="Z183"/>
  <c r="Z177"/>
  <c r="Z169"/>
  <c r="Z180"/>
  <c r="Z176"/>
  <c r="Z172"/>
  <c r="Z168"/>
  <c r="Z171"/>
  <c r="CE179"/>
  <c r="CE185"/>
  <c r="CE188"/>
  <c r="CE184"/>
  <c r="CE187"/>
  <c r="CE181"/>
  <c r="CE173"/>
  <c r="CE182"/>
  <c r="CE178"/>
  <c r="CE174"/>
  <c r="CE170"/>
  <c r="CE175"/>
  <c r="CE167"/>
  <c r="AL191"/>
  <c r="AL187"/>
  <c r="AL183"/>
  <c r="AL188"/>
  <c r="AL184"/>
  <c r="AL177"/>
  <c r="AL173"/>
  <c r="AL169"/>
  <c r="AL182"/>
  <c r="AL178"/>
  <c r="AL174"/>
  <c r="AL170"/>
  <c r="CN179"/>
  <c r="CN189"/>
  <c r="CN185"/>
  <c r="CN190"/>
  <c r="CN186"/>
  <c r="CN181"/>
  <c r="CN175"/>
  <c r="CN171"/>
  <c r="CN167"/>
  <c r="CN180"/>
  <c r="CN176"/>
  <c r="CN172"/>
  <c r="CN168"/>
  <c r="T191"/>
  <c r="T187"/>
  <c r="T183"/>
  <c r="T188"/>
  <c r="T184"/>
  <c r="T177"/>
  <c r="T173"/>
  <c r="T169"/>
  <c r="T182"/>
  <c r="T178"/>
  <c r="T174"/>
  <c r="T170"/>
  <c r="BV179"/>
  <c r="BV189"/>
  <c r="BV185"/>
  <c r="BV190"/>
  <c r="BV186"/>
  <c r="BV181"/>
  <c r="BV175"/>
  <c r="BV171"/>
  <c r="BV167"/>
  <c r="BV180"/>
  <c r="BV176"/>
  <c r="BV172"/>
  <c r="BV168"/>
  <c r="AC189"/>
  <c r="AC190"/>
  <c r="AC186"/>
  <c r="AC191"/>
  <c r="AC183"/>
  <c r="AC177"/>
  <c r="AC167"/>
  <c r="AC180"/>
  <c r="AC176"/>
  <c r="AC172"/>
  <c r="AC168"/>
  <c r="AC173"/>
  <c r="CH179"/>
  <c r="CH183"/>
  <c r="CH188"/>
  <c r="CH184"/>
  <c r="CH187"/>
  <c r="CH175"/>
  <c r="CH167"/>
  <c r="CH180"/>
  <c r="CH176"/>
  <c r="CH172"/>
  <c r="CH168"/>
  <c r="CH177"/>
  <c r="CH169"/>
  <c r="E188"/>
  <c r="E184"/>
  <c r="E189"/>
  <c r="E185"/>
  <c r="E179"/>
  <c r="E180"/>
  <c r="E176"/>
  <c r="E172"/>
  <c r="E168"/>
  <c r="E177"/>
  <c r="E173"/>
  <c r="E169"/>
  <c r="BM179"/>
  <c r="BM188"/>
  <c r="BM184"/>
  <c r="BM189"/>
  <c r="BM185"/>
  <c r="BM182"/>
  <c r="BM178"/>
  <c r="BM174"/>
  <c r="BM170"/>
  <c r="BM181"/>
  <c r="BM175"/>
  <c r="BM171"/>
  <c r="BM167"/>
  <c r="W191"/>
  <c r="W187"/>
  <c r="W183"/>
  <c r="W188"/>
  <c r="W184"/>
  <c r="W177"/>
  <c r="W173"/>
  <c r="W169"/>
  <c r="W182"/>
  <c r="W178"/>
  <c r="W174"/>
  <c r="W170"/>
  <c r="BY179"/>
  <c r="BY189"/>
  <c r="BY183"/>
  <c r="BY188"/>
  <c r="BY184"/>
  <c r="BY181"/>
  <c r="BY173"/>
  <c r="BY182"/>
  <c r="BY178"/>
  <c r="BY174"/>
  <c r="BY170"/>
  <c r="BY175"/>
  <c r="BY169"/>
  <c r="AI189"/>
  <c r="AI190"/>
  <c r="AI186"/>
  <c r="AI191"/>
  <c r="AI185"/>
  <c r="AI171"/>
  <c r="AI182"/>
  <c r="AI178"/>
  <c r="AI174"/>
  <c r="AI170"/>
  <c r="AI181"/>
  <c r="AI173"/>
  <c r="CK179"/>
  <c r="CK185"/>
  <c r="CK188"/>
  <c r="CK184"/>
  <c r="CK187"/>
  <c r="CK175"/>
  <c r="CK167"/>
  <c r="CK180"/>
  <c r="CK176"/>
  <c r="CK172"/>
  <c r="CK168"/>
  <c r="CK177"/>
  <c r="CK169"/>
  <c r="AR190"/>
  <c r="AR186"/>
  <c r="AR191"/>
  <c r="AR187"/>
  <c r="AR183"/>
  <c r="AR180"/>
  <c r="AR176"/>
  <c r="AR172"/>
  <c r="AR168"/>
  <c r="AR177"/>
  <c r="AR173"/>
  <c r="AR169"/>
  <c r="CT179"/>
  <c r="CT188"/>
  <c r="CT184"/>
  <c r="CT189"/>
  <c r="CT185"/>
  <c r="CT182"/>
  <c r="CT178"/>
  <c r="CT174"/>
  <c r="CT170"/>
  <c r="CT181"/>
  <c r="CT175"/>
  <c r="CT171"/>
  <c r="CT167"/>
  <c r="BA190"/>
  <c r="BA191"/>
  <c r="BA187"/>
  <c r="BA183"/>
  <c r="BA186"/>
  <c r="BA176"/>
  <c r="BA168"/>
  <c r="BA177"/>
  <c r="BA173"/>
  <c r="BA169"/>
  <c r="BA182"/>
  <c r="BA174"/>
  <c r="DC179"/>
  <c r="DC184"/>
  <c r="DC189"/>
  <c r="DC185"/>
  <c r="DC190"/>
  <c r="DC180"/>
  <c r="DC172"/>
  <c r="DC181"/>
  <c r="DC175"/>
  <c r="DC171"/>
  <c r="DC167"/>
  <c r="DC178"/>
  <c r="DC170"/>
  <c r="BJ190"/>
  <c r="BJ186"/>
  <c r="BJ191"/>
  <c r="BJ187"/>
  <c r="BJ183"/>
  <c r="BJ180"/>
  <c r="BJ172"/>
  <c r="BJ168"/>
  <c r="BJ173"/>
  <c r="AU179"/>
  <c r="AU188"/>
  <c r="AU184"/>
  <c r="AU189"/>
  <c r="AU185"/>
  <c r="AU182"/>
  <c r="AU178"/>
  <c r="AU174"/>
  <c r="AU170"/>
  <c r="AU181"/>
  <c r="AU175"/>
  <c r="AU171"/>
  <c r="AU167"/>
  <c r="CW190"/>
  <c r="CW186"/>
  <c r="CW191"/>
  <c r="CW187"/>
  <c r="CW183"/>
  <c r="CW180"/>
  <c r="CW176"/>
  <c r="CW172"/>
  <c r="CW168"/>
  <c r="CW177"/>
  <c r="CW173"/>
  <c r="CW169"/>
  <c r="BD179"/>
  <c r="BD184"/>
  <c r="BD189"/>
  <c r="BD185"/>
  <c r="BD190"/>
  <c r="BD180"/>
  <c r="BD172"/>
  <c r="BD181"/>
  <c r="BD175"/>
  <c r="BD171"/>
  <c r="BD167"/>
  <c r="BD178"/>
  <c r="BD170"/>
  <c r="DF188"/>
  <c r="DF191"/>
  <c r="DF187"/>
  <c r="DF183"/>
  <c r="DF186"/>
  <c r="DF176"/>
  <c r="DF168"/>
  <c r="DF177"/>
  <c r="DF173"/>
  <c r="DF169"/>
  <c r="DF182"/>
  <c r="DF174"/>
  <c r="AO179"/>
  <c r="AO189"/>
  <c r="AO185"/>
  <c r="AO190"/>
  <c r="AO186"/>
  <c r="AO181"/>
  <c r="AO175"/>
  <c r="AO171"/>
  <c r="AO167"/>
  <c r="AO180"/>
  <c r="AO176"/>
  <c r="AO172"/>
  <c r="AO168"/>
  <c r="CQ191"/>
  <c r="CQ187"/>
  <c r="CQ183"/>
  <c r="CQ188"/>
  <c r="CQ184"/>
  <c r="CQ177"/>
  <c r="CQ173"/>
  <c r="CQ169"/>
  <c r="CQ182"/>
  <c r="CQ178"/>
  <c r="CQ174"/>
  <c r="CQ170"/>
  <c r="AX179"/>
  <c r="AX188"/>
  <c r="AX184"/>
  <c r="AX189"/>
  <c r="AX185"/>
  <c r="AX182"/>
  <c r="AX178"/>
  <c r="AX174"/>
  <c r="AX170"/>
  <c r="AX177"/>
  <c r="AX173"/>
  <c r="AX169"/>
  <c r="AX168"/>
  <c r="CZ188"/>
  <c r="CZ191"/>
  <c r="CZ187"/>
  <c r="CZ183"/>
  <c r="CZ186"/>
  <c r="CZ176"/>
  <c r="CZ168"/>
  <c r="CZ177"/>
  <c r="CZ173"/>
  <c r="CZ169"/>
  <c r="CZ182"/>
  <c r="CZ174"/>
  <c r="BG179"/>
  <c r="BG186"/>
  <c r="BG189"/>
  <c r="BG185"/>
  <c r="BG188"/>
  <c r="BG180"/>
  <c r="BG172"/>
  <c r="BG181"/>
  <c r="BG175"/>
  <c r="BG171"/>
  <c r="BG167"/>
  <c r="BG178"/>
  <c r="BG170"/>
  <c r="BP191"/>
  <c r="BP187"/>
  <c r="BP183"/>
  <c r="BP188"/>
  <c r="BP184"/>
  <c r="BP177"/>
  <c r="BP173"/>
  <c r="BP169"/>
  <c r="BP182"/>
  <c r="BP178"/>
  <c r="BP174"/>
  <c r="BP170"/>
  <c r="Z179"/>
  <c r="Z185"/>
  <c r="Z188"/>
  <c r="Z184"/>
  <c r="Z187"/>
  <c r="Z181"/>
  <c r="Z173"/>
  <c r="Z182"/>
  <c r="Z178"/>
  <c r="Z174"/>
  <c r="Z170"/>
  <c r="Z175"/>
  <c r="Z167"/>
  <c r="CE189"/>
  <c r="CE190"/>
  <c r="CE186"/>
  <c r="CE191"/>
  <c r="CE183"/>
  <c r="CE177"/>
  <c r="CE169"/>
  <c r="CE180"/>
  <c r="CE176"/>
  <c r="CE172"/>
  <c r="CE168"/>
  <c r="CE171"/>
  <c r="AL179"/>
  <c r="AL189"/>
  <c r="AL185"/>
  <c r="AL190"/>
  <c r="AL186"/>
  <c r="AL181"/>
  <c r="AL175"/>
  <c r="AL171"/>
  <c r="AL167"/>
  <c r="AL180"/>
  <c r="AL176"/>
  <c r="AL172"/>
  <c r="AL168"/>
  <c r="CN191"/>
  <c r="CN187"/>
  <c r="CN183"/>
  <c r="CN188"/>
  <c r="CN184"/>
  <c r="CN177"/>
  <c r="CN173"/>
  <c r="CN169"/>
  <c r="CN182"/>
  <c r="CN178"/>
  <c r="CN174"/>
  <c r="CN170"/>
  <c r="T179"/>
  <c r="T189"/>
  <c r="T185"/>
  <c r="T190"/>
  <c r="T186"/>
  <c r="T181"/>
  <c r="T175"/>
  <c r="T171"/>
  <c r="T167"/>
  <c r="T180"/>
  <c r="T176"/>
  <c r="T172"/>
  <c r="T168"/>
  <c r="BV191"/>
  <c r="BV187"/>
  <c r="BV183"/>
  <c r="BV188"/>
  <c r="BV184"/>
  <c r="BV177"/>
  <c r="BV173"/>
  <c r="BV169"/>
  <c r="BV182"/>
  <c r="BV178"/>
  <c r="BV174"/>
  <c r="BV170"/>
  <c r="AC179"/>
  <c r="AC185"/>
  <c r="AC188"/>
  <c r="AC184"/>
  <c r="AC187"/>
  <c r="AC181"/>
  <c r="AC171"/>
  <c r="AC182"/>
  <c r="AC178"/>
  <c r="AC174"/>
  <c r="AC170"/>
  <c r="AC175"/>
  <c r="AC169"/>
  <c r="CH189"/>
  <c r="CH190"/>
  <c r="CH186"/>
  <c r="CH191"/>
  <c r="CH185"/>
  <c r="CH171"/>
  <c r="CH182"/>
  <c r="CH178"/>
  <c r="CH174"/>
  <c r="CH170"/>
  <c r="CH181"/>
  <c r="CH173"/>
  <c r="E190"/>
  <c r="E186"/>
  <c r="E191"/>
  <c r="E187"/>
  <c r="E183"/>
  <c r="E182"/>
  <c r="E178"/>
  <c r="E174"/>
  <c r="E170"/>
  <c r="E181"/>
  <c r="E175"/>
  <c r="E171"/>
  <c r="E167"/>
  <c r="BM190"/>
  <c r="BM186"/>
  <c r="BM191"/>
  <c r="BM187"/>
  <c r="BM183"/>
  <c r="BM180"/>
  <c r="BM176"/>
  <c r="BM172"/>
  <c r="BM168"/>
  <c r="BM177"/>
  <c r="BM173"/>
  <c r="BM169"/>
  <c r="W179"/>
  <c r="W189"/>
  <c r="W185"/>
  <c r="W190"/>
  <c r="W186"/>
  <c r="W181"/>
  <c r="W175"/>
  <c r="W171"/>
  <c r="W167"/>
  <c r="W180"/>
  <c r="W176"/>
  <c r="W172"/>
  <c r="W168"/>
  <c r="BY191"/>
  <c r="BY187"/>
  <c r="BY190"/>
  <c r="BY186"/>
  <c r="BY185"/>
  <c r="BY177"/>
  <c r="BY167"/>
  <c r="BY180"/>
  <c r="BY176"/>
  <c r="BY172"/>
  <c r="BY168"/>
  <c r="BY171"/>
  <c r="AI179"/>
  <c r="AI183"/>
  <c r="AI188"/>
  <c r="AI184"/>
  <c r="AI187"/>
  <c r="AI175"/>
  <c r="AI167"/>
  <c r="AI180"/>
  <c r="AI176"/>
  <c r="AI172"/>
  <c r="AI168"/>
  <c r="AI177"/>
  <c r="AI169"/>
  <c r="CK189"/>
  <c r="CK190"/>
  <c r="CK186"/>
  <c r="CK191"/>
  <c r="CK183"/>
  <c r="CK171"/>
  <c r="CK182"/>
  <c r="CK178"/>
  <c r="CK174"/>
  <c r="CK170"/>
  <c r="CK181"/>
  <c r="CK173"/>
  <c r="AR179"/>
  <c r="AR188"/>
  <c r="AR184"/>
  <c r="AR189"/>
  <c r="AR185"/>
  <c r="AR182"/>
  <c r="AR178"/>
  <c r="AR174"/>
  <c r="AR170"/>
  <c r="AR181"/>
  <c r="AR175"/>
  <c r="AR171"/>
  <c r="AR167"/>
  <c r="CT190"/>
  <c r="CT186"/>
  <c r="CT191"/>
  <c r="CT187"/>
  <c r="CT183"/>
  <c r="CT180"/>
  <c r="CT176"/>
  <c r="CT172"/>
  <c r="CT168"/>
  <c r="CT177"/>
  <c r="CT173"/>
  <c r="CT169"/>
  <c r="BA179"/>
  <c r="BA184"/>
  <c r="BA189"/>
  <c r="BA185"/>
  <c r="BA188"/>
  <c r="BA180"/>
  <c r="BA172"/>
  <c r="BA181"/>
  <c r="BA175"/>
  <c r="BA171"/>
  <c r="BA167"/>
  <c r="BA178"/>
  <c r="BA170"/>
  <c r="DC188"/>
  <c r="DC191"/>
  <c r="DC187"/>
  <c r="DC183"/>
  <c r="DC186"/>
  <c r="DC176"/>
  <c r="DC168"/>
  <c r="DC177"/>
  <c r="DC173"/>
  <c r="DC169"/>
  <c r="DC182"/>
  <c r="DC174"/>
  <c r="BJ179"/>
  <c r="BJ188"/>
  <c r="BJ184"/>
  <c r="BJ189"/>
  <c r="BJ185"/>
  <c r="BJ182"/>
  <c r="BJ178"/>
  <c r="BJ174"/>
  <c r="BJ170"/>
  <c r="BJ181"/>
  <c r="BJ175"/>
  <c r="BJ171"/>
  <c r="BJ167"/>
  <c r="BJ176"/>
  <c r="BJ177"/>
  <c r="BJ169"/>
  <c r="K161" l="1"/>
  <c r="M161"/>
  <c r="Q164"/>
  <c r="D5" i="12"/>
  <c r="F4"/>
  <c r="F5" s="1"/>
  <c r="Q163" i="16"/>
  <c r="CQ163"/>
  <c r="CQ164" s="1"/>
  <c r="BJ163"/>
  <c r="BJ164" s="1"/>
  <c r="CK163"/>
  <c r="CK164" s="1"/>
  <c r="AO163"/>
  <c r="AO164" s="1"/>
  <c r="BV163"/>
  <c r="BV164" s="1"/>
  <c r="CH163"/>
  <c r="CH164" s="1"/>
  <c r="CN163"/>
  <c r="CN164" s="1"/>
  <c r="T163"/>
  <c r="T164" s="1"/>
  <c r="AX163"/>
  <c r="AX164" s="1"/>
  <c r="DC163"/>
  <c r="DC164" s="1"/>
  <c r="AR163"/>
  <c r="AR164" s="1"/>
  <c r="AU163"/>
  <c r="AU164" s="1"/>
  <c r="Z163"/>
  <c r="Z164" s="1"/>
  <c r="BP163"/>
  <c r="BP164" s="1"/>
  <c r="CZ163"/>
  <c r="CZ164" s="1"/>
  <c r="BA163"/>
  <c r="BA164" s="1"/>
  <c r="W163"/>
  <c r="W164" s="1"/>
  <c r="CE163"/>
  <c r="CE164" s="1"/>
  <c r="AI163"/>
  <c r="AI164" s="1"/>
  <c r="CW163"/>
  <c r="CW164" s="1"/>
  <c r="DF163"/>
  <c r="DF164" s="1"/>
  <c r="BG163"/>
  <c r="BG164" s="1"/>
  <c r="BY163"/>
  <c r="BY164" s="1"/>
  <c r="AC163"/>
  <c r="AC164" s="1"/>
  <c r="AL163"/>
  <c r="AL164" s="1"/>
  <c r="BM163"/>
  <c r="BM164" s="1"/>
  <c r="BD163"/>
  <c r="BD164" s="1"/>
  <c r="CT163"/>
  <c r="CT164" s="1"/>
  <c r="E163"/>
  <c r="E164" s="1"/>
  <c r="O5" i="14"/>
  <c r="P6" i="7"/>
  <c r="Q179" i="18"/>
  <c r="Q189"/>
  <c r="Q185"/>
  <c r="Q190"/>
  <c r="Q186"/>
  <c r="Q181"/>
  <c r="Q175"/>
  <c r="Q171"/>
  <c r="Q167"/>
  <c r="Q180"/>
  <c r="Q176"/>
  <c r="Q172"/>
  <c r="Q168"/>
  <c r="AO186" i="16"/>
  <c r="CH171"/>
  <c r="CH177"/>
  <c r="CH185"/>
  <c r="CH168"/>
  <c r="T178"/>
  <c r="T186"/>
  <c r="T169"/>
  <c r="DC179"/>
  <c r="DC187"/>
  <c r="AU172"/>
  <c r="AU180"/>
  <c r="AU188"/>
  <c r="BP173"/>
  <c r="BP181"/>
  <c r="BP189"/>
  <c r="BA174"/>
  <c r="BA182"/>
  <c r="BA167"/>
  <c r="CE177"/>
  <c r="CE185"/>
  <c r="CE168"/>
  <c r="CW178"/>
  <c r="CW186"/>
  <c r="CW169"/>
  <c r="BG179"/>
  <c r="BG187"/>
  <c r="AC170"/>
  <c r="AC178"/>
  <c r="AC188"/>
  <c r="BM171"/>
  <c r="BM179"/>
  <c r="BM189"/>
  <c r="CT172"/>
  <c r="CT180"/>
  <c r="CT190"/>
  <c r="CQ173"/>
  <c r="CQ183"/>
  <c r="CQ191"/>
  <c r="CK174"/>
  <c r="CK184"/>
  <c r="CK167"/>
  <c r="BV177"/>
  <c r="BV185"/>
  <c r="BV168"/>
  <c r="CN176"/>
  <c r="CN184"/>
  <c r="CN169"/>
  <c r="AX177"/>
  <c r="AX185"/>
  <c r="AR170"/>
  <c r="AR178"/>
  <c r="AR186"/>
  <c r="Z171"/>
  <c r="Z179"/>
  <c r="Z189"/>
  <c r="CZ172"/>
  <c r="CZ180"/>
  <c r="CZ190"/>
  <c r="W175"/>
  <c r="W183"/>
  <c r="W191"/>
  <c r="AI174"/>
  <c r="AI182"/>
  <c r="AI190"/>
  <c r="DF175"/>
  <c r="DF183"/>
  <c r="DF191"/>
  <c r="BY174"/>
  <c r="BY184"/>
  <c r="BY167"/>
  <c r="AL175"/>
  <c r="E170"/>
  <c r="E182"/>
  <c r="E190"/>
  <c r="BJ172"/>
  <c r="BJ176"/>
  <c r="BJ180"/>
  <c r="BJ184"/>
  <c r="BJ188"/>
  <c r="BJ167"/>
  <c r="AO171"/>
  <c r="AO175"/>
  <c r="AO179"/>
  <c r="AO183"/>
  <c r="AO187"/>
  <c r="AO191"/>
  <c r="CH170"/>
  <c r="CH174"/>
  <c r="CH178"/>
  <c r="CH182"/>
  <c r="CH186"/>
  <c r="CH190"/>
  <c r="CH169"/>
  <c r="T173"/>
  <c r="T177"/>
  <c r="T181"/>
  <c r="T185"/>
  <c r="T189"/>
  <c r="T168"/>
  <c r="DC172"/>
  <c r="DC176"/>
  <c r="DC180"/>
  <c r="DC184"/>
  <c r="DC188"/>
  <c r="DC167"/>
  <c r="AU171"/>
  <c r="AU175"/>
  <c r="AU179"/>
  <c r="AU183"/>
  <c r="AU187"/>
  <c r="AU191"/>
  <c r="BP170"/>
  <c r="BP174"/>
  <c r="BP178"/>
  <c r="BP182"/>
  <c r="BP186"/>
  <c r="BP190"/>
  <c r="BP169"/>
  <c r="BA173"/>
  <c r="BA177"/>
  <c r="BA181"/>
  <c r="BA185"/>
  <c r="BA189"/>
  <c r="BA168"/>
  <c r="CE172"/>
  <c r="CE176"/>
  <c r="CE180"/>
  <c r="CE184"/>
  <c r="CE188"/>
  <c r="CE167"/>
  <c r="CW171"/>
  <c r="CW175"/>
  <c r="CW179"/>
  <c r="CW183"/>
  <c r="CW187"/>
  <c r="CW191"/>
  <c r="BG170"/>
  <c r="BG174"/>
  <c r="BG178"/>
  <c r="BG182"/>
  <c r="BG186"/>
  <c r="BG190"/>
  <c r="BG169"/>
  <c r="AC173"/>
  <c r="AC177"/>
  <c r="AC181"/>
  <c r="AC185"/>
  <c r="AC189"/>
  <c r="AC168"/>
  <c r="BM172"/>
  <c r="BM176"/>
  <c r="BM180"/>
  <c r="BM184"/>
  <c r="BM188"/>
  <c r="BM167"/>
  <c r="CT171"/>
  <c r="CT175"/>
  <c r="CT179"/>
  <c r="CT183"/>
  <c r="CT187"/>
  <c r="CT191"/>
  <c r="CQ170"/>
  <c r="CQ174"/>
  <c r="CQ178"/>
  <c r="CQ182"/>
  <c r="CQ186"/>
  <c r="CQ190"/>
  <c r="CQ169"/>
  <c r="CK173"/>
  <c r="CK177"/>
  <c r="CK181"/>
  <c r="CK185"/>
  <c r="CK189"/>
  <c r="CK168"/>
  <c r="BV172"/>
  <c r="BV176"/>
  <c r="BV180"/>
  <c r="BV184"/>
  <c r="BV188"/>
  <c r="BV167"/>
  <c r="CN171"/>
  <c r="CN175"/>
  <c r="CN179"/>
  <c r="CN183"/>
  <c r="CN187"/>
  <c r="CN191"/>
  <c r="AX170"/>
  <c r="AX174"/>
  <c r="AX178"/>
  <c r="AX182"/>
  <c r="AX186"/>
  <c r="AX190"/>
  <c r="AX169"/>
  <c r="AR173"/>
  <c r="AR177"/>
  <c r="AR181"/>
  <c r="AR185"/>
  <c r="AR189"/>
  <c r="AR168"/>
  <c r="Z172"/>
  <c r="Z176"/>
  <c r="Z180"/>
  <c r="Z184"/>
  <c r="Z188"/>
  <c r="Z167"/>
  <c r="CZ171"/>
  <c r="CZ175"/>
  <c r="CZ179"/>
  <c r="CZ183"/>
  <c r="CZ187"/>
  <c r="CZ191"/>
  <c r="W170"/>
  <c r="W174"/>
  <c r="W178"/>
  <c r="W182"/>
  <c r="W186"/>
  <c r="W190"/>
  <c r="W169"/>
  <c r="AI173"/>
  <c r="AI177"/>
  <c r="AI181"/>
  <c r="AI185"/>
  <c r="AI189"/>
  <c r="AI168"/>
  <c r="DF172"/>
  <c r="DF176"/>
  <c r="DF180"/>
  <c r="DF184"/>
  <c r="DF188"/>
  <c r="DF167"/>
  <c r="BY171"/>
  <c r="BY175"/>
  <c r="BY179"/>
  <c r="BY183"/>
  <c r="BY187"/>
  <c r="BY191"/>
  <c r="AL170"/>
  <c r="AL174"/>
  <c r="AL178"/>
  <c r="AL182"/>
  <c r="AL186"/>
  <c r="AL190"/>
  <c r="AL169"/>
  <c r="BD173"/>
  <c r="BD177"/>
  <c r="BD181"/>
  <c r="BD185"/>
  <c r="BD189"/>
  <c r="BD168"/>
  <c r="E168"/>
  <c r="E173"/>
  <c r="E177"/>
  <c r="E181"/>
  <c r="E185"/>
  <c r="E189"/>
  <c r="BJ171"/>
  <c r="BJ175"/>
  <c r="BJ179"/>
  <c r="BJ183"/>
  <c r="BJ187"/>
  <c r="BJ191"/>
  <c r="AO172"/>
  <c r="AO176"/>
  <c r="AO180"/>
  <c r="AO184"/>
  <c r="AO190"/>
  <c r="CH175"/>
  <c r="CH183"/>
  <c r="CH191"/>
  <c r="T174"/>
  <c r="T180"/>
  <c r="T188"/>
  <c r="DC171"/>
  <c r="DC177"/>
  <c r="DC185"/>
  <c r="DC191"/>
  <c r="AU174"/>
  <c r="AU182"/>
  <c r="AU190"/>
  <c r="BP171"/>
  <c r="BP179"/>
  <c r="BP187"/>
  <c r="BP168"/>
  <c r="BA176"/>
  <c r="BA184"/>
  <c r="BA190"/>
  <c r="CE173"/>
  <c r="CE179"/>
  <c r="CE187"/>
  <c r="CW170"/>
  <c r="CW176"/>
  <c r="CW184"/>
  <c r="CW167"/>
  <c r="BG175"/>
  <c r="BG181"/>
  <c r="BG189"/>
  <c r="AC172"/>
  <c r="AC180"/>
  <c r="AC186"/>
  <c r="AC169"/>
  <c r="BM177"/>
  <c r="BM183"/>
  <c r="BM191"/>
  <c r="CT174"/>
  <c r="CT182"/>
  <c r="CT188"/>
  <c r="CQ171"/>
  <c r="CQ179"/>
  <c r="CQ185"/>
  <c r="CQ168"/>
  <c r="CK176"/>
  <c r="CK182"/>
  <c r="CK190"/>
  <c r="BV173"/>
  <c r="BV179"/>
  <c r="BV187"/>
  <c r="CN170"/>
  <c r="CN178"/>
  <c r="CN186"/>
  <c r="CN167"/>
  <c r="AX175"/>
  <c r="AX183"/>
  <c r="AX191"/>
  <c r="AR172"/>
  <c r="AR180"/>
  <c r="AR188"/>
  <c r="AR169"/>
  <c r="Z177"/>
  <c r="Z185"/>
  <c r="Z191"/>
  <c r="CZ174"/>
  <c r="CZ182"/>
  <c r="CZ188"/>
  <c r="W171"/>
  <c r="W177"/>
  <c r="W185"/>
  <c r="W168"/>
  <c r="AI176"/>
  <c r="AI184"/>
  <c r="AI167"/>
  <c r="DF173"/>
  <c r="DF181"/>
  <c r="DF189"/>
  <c r="BY172"/>
  <c r="BY178"/>
  <c r="BY186"/>
  <c r="BY169"/>
  <c r="AL177"/>
  <c r="AL183"/>
  <c r="AL187"/>
  <c r="AL191"/>
  <c r="BD170"/>
  <c r="BD178"/>
  <c r="BD186"/>
  <c r="BD169"/>
  <c r="E176"/>
  <c r="Q191" i="18"/>
  <c r="Q187"/>
  <c r="Q183"/>
  <c r="Q188"/>
  <c r="Q184"/>
  <c r="Q177"/>
  <c r="Q173"/>
  <c r="Q169"/>
  <c r="Q182"/>
  <c r="Q178"/>
  <c r="Q174"/>
  <c r="Q170"/>
  <c r="AO170" i="16"/>
  <c r="AO167"/>
  <c r="CH173"/>
  <c r="CH181"/>
  <c r="CH189"/>
  <c r="T172"/>
  <c r="T182"/>
  <c r="T190"/>
  <c r="DC175"/>
  <c r="DC183"/>
  <c r="DC168"/>
  <c r="AU176"/>
  <c r="AU184"/>
  <c r="AU169"/>
  <c r="BP177"/>
  <c r="BP185"/>
  <c r="BA170"/>
  <c r="BA178"/>
  <c r="BA188"/>
  <c r="CE171"/>
  <c r="CE181"/>
  <c r="CE189"/>
  <c r="CW172"/>
  <c r="CW182"/>
  <c r="CW190"/>
  <c r="BG173"/>
  <c r="BG183"/>
  <c r="BG191"/>
  <c r="AC174"/>
  <c r="AC184"/>
  <c r="AC167"/>
  <c r="BM175"/>
  <c r="BM185"/>
  <c r="BM168"/>
  <c r="CT176"/>
  <c r="CT184"/>
  <c r="CT169"/>
  <c r="CQ177"/>
  <c r="CQ187"/>
  <c r="CK170"/>
  <c r="CK180"/>
  <c r="CK188"/>
  <c r="BV171"/>
  <c r="BV181"/>
  <c r="BV189"/>
  <c r="CN172"/>
  <c r="CN180"/>
  <c r="CN190"/>
  <c r="AX173"/>
  <c r="AX181"/>
  <c r="AX189"/>
  <c r="AR174"/>
  <c r="AR182"/>
  <c r="AR167"/>
  <c r="Z175"/>
  <c r="Z183"/>
  <c r="Z168"/>
  <c r="CZ176"/>
  <c r="CZ186"/>
  <c r="CZ169"/>
  <c r="W179"/>
  <c r="W187"/>
  <c r="AI170"/>
  <c r="AI180"/>
  <c r="AI186"/>
  <c r="DF171"/>
  <c r="DF179"/>
  <c r="DF187"/>
  <c r="BY170"/>
  <c r="BY180"/>
  <c r="BY188"/>
  <c r="AL171"/>
  <c r="AL179"/>
  <c r="E178"/>
  <c r="E186"/>
  <c r="BJ170"/>
  <c r="BJ174"/>
  <c r="BJ178"/>
  <c r="BJ182"/>
  <c r="BJ186"/>
  <c r="BJ190"/>
  <c r="BJ169"/>
  <c r="AO173"/>
  <c r="AO177"/>
  <c r="AO181"/>
  <c r="AO185"/>
  <c r="AO189"/>
  <c r="AO168"/>
  <c r="CH172"/>
  <c r="CH176"/>
  <c r="CH180"/>
  <c r="CH184"/>
  <c r="CH188"/>
  <c r="CH167"/>
  <c r="T171"/>
  <c r="T175"/>
  <c r="T179"/>
  <c r="T183"/>
  <c r="T187"/>
  <c r="T191"/>
  <c r="DC170"/>
  <c r="DC174"/>
  <c r="DC178"/>
  <c r="DC182"/>
  <c r="DC186"/>
  <c r="DC190"/>
  <c r="DC169"/>
  <c r="AU173"/>
  <c r="AU177"/>
  <c r="AU181"/>
  <c r="AU185"/>
  <c r="AU189"/>
  <c r="AU168"/>
  <c r="BP172"/>
  <c r="BP176"/>
  <c r="BP180"/>
  <c r="BP184"/>
  <c r="BP188"/>
  <c r="BP167"/>
  <c r="BA171"/>
  <c r="BA175"/>
  <c r="BA179"/>
  <c r="BA183"/>
  <c r="BA187"/>
  <c r="BA191"/>
  <c r="CE170"/>
  <c r="CE174"/>
  <c r="CE178"/>
  <c r="CE182"/>
  <c r="CE186"/>
  <c r="CE190"/>
  <c r="CE169"/>
  <c r="CW173"/>
  <c r="CW177"/>
  <c r="CW181"/>
  <c r="CW185"/>
  <c r="CW189"/>
  <c r="CW168"/>
  <c r="BG172"/>
  <c r="BG176"/>
  <c r="BG180"/>
  <c r="BG184"/>
  <c r="BG188"/>
  <c r="BG167"/>
  <c r="AC171"/>
  <c r="AC175"/>
  <c r="AC179"/>
  <c r="AC183"/>
  <c r="AC187"/>
  <c r="AC191"/>
  <c r="BM170"/>
  <c r="BM174"/>
  <c r="BM178"/>
  <c r="BM182"/>
  <c r="BM186"/>
  <c r="BM190"/>
  <c r="BM169"/>
  <c r="CT173"/>
  <c r="CT177"/>
  <c r="CT181"/>
  <c r="CT185"/>
  <c r="CT189"/>
  <c r="CT168"/>
  <c r="CQ172"/>
  <c r="CQ176"/>
  <c r="CQ180"/>
  <c r="CQ184"/>
  <c r="CQ188"/>
  <c r="CQ167"/>
  <c r="CK171"/>
  <c r="CK175"/>
  <c r="CK179"/>
  <c r="CK183"/>
  <c r="CK187"/>
  <c r="CK191"/>
  <c r="BV170"/>
  <c r="BV174"/>
  <c r="BV178"/>
  <c r="BV182"/>
  <c r="BV186"/>
  <c r="BV190"/>
  <c r="BV169"/>
  <c r="CN173"/>
  <c r="CN177"/>
  <c r="CN181"/>
  <c r="CN185"/>
  <c r="CN189"/>
  <c r="CN168"/>
  <c r="AX172"/>
  <c r="AX176"/>
  <c r="AX180"/>
  <c r="AX184"/>
  <c r="AX188"/>
  <c r="AX167"/>
  <c r="AR171"/>
  <c r="AR175"/>
  <c r="AR179"/>
  <c r="AR183"/>
  <c r="AR187"/>
  <c r="AR191"/>
  <c r="Z170"/>
  <c r="Z174"/>
  <c r="Z178"/>
  <c r="Z182"/>
  <c r="Z186"/>
  <c r="Z190"/>
  <c r="Z169"/>
  <c r="CZ173"/>
  <c r="CZ177"/>
  <c r="CZ181"/>
  <c r="CZ185"/>
  <c r="CZ189"/>
  <c r="CZ168"/>
  <c r="W172"/>
  <c r="W176"/>
  <c r="W180"/>
  <c r="W184"/>
  <c r="W188"/>
  <c r="W167"/>
  <c r="AI171"/>
  <c r="AI175"/>
  <c r="AI179"/>
  <c r="AI183"/>
  <c r="AI187"/>
  <c r="AI191"/>
  <c r="DF170"/>
  <c r="DF174"/>
  <c r="DF178"/>
  <c r="DF182"/>
  <c r="DF186"/>
  <c r="DF190"/>
  <c r="DF169"/>
  <c r="BY173"/>
  <c r="BY177"/>
  <c r="BY181"/>
  <c r="BY185"/>
  <c r="BY189"/>
  <c r="BY168"/>
  <c r="AL172"/>
  <c r="AL176"/>
  <c r="AL180"/>
  <c r="AL184"/>
  <c r="AL188"/>
  <c r="AL167"/>
  <c r="BD171"/>
  <c r="BD175"/>
  <c r="BD179"/>
  <c r="BD183"/>
  <c r="BD187"/>
  <c r="BD191"/>
  <c r="E167"/>
  <c r="E171"/>
  <c r="E175"/>
  <c r="E179"/>
  <c r="E183"/>
  <c r="E187"/>
  <c r="E191"/>
  <c r="BJ173"/>
  <c r="BJ177"/>
  <c r="BJ181"/>
  <c r="BJ185"/>
  <c r="BJ189"/>
  <c r="BJ168"/>
  <c r="AO174"/>
  <c r="AO178"/>
  <c r="AO182"/>
  <c r="AO188"/>
  <c r="AO169"/>
  <c r="CH179"/>
  <c r="CH187"/>
  <c r="T170"/>
  <c r="T176"/>
  <c r="T184"/>
  <c r="T167"/>
  <c r="DC173"/>
  <c r="DC181"/>
  <c r="DC189"/>
  <c r="AU170"/>
  <c r="AU178"/>
  <c r="AU186"/>
  <c r="AU167"/>
  <c r="BP175"/>
  <c r="BP183"/>
  <c r="BP191"/>
  <c r="BA172"/>
  <c r="BA180"/>
  <c r="BA186"/>
  <c r="BA169"/>
  <c r="CE175"/>
  <c r="CE183"/>
  <c r="CE191"/>
  <c r="CW174"/>
  <c r="CW180"/>
  <c r="CW188"/>
  <c r="BG171"/>
  <c r="BG177"/>
  <c r="BG185"/>
  <c r="BG168"/>
  <c r="AC176"/>
  <c r="AC182"/>
  <c r="AC190"/>
  <c r="BM173"/>
  <c r="BM181"/>
  <c r="BM187"/>
  <c r="CT170"/>
  <c r="CT178"/>
  <c r="CT186"/>
  <c r="CT167"/>
  <c r="CQ175"/>
  <c r="CQ181"/>
  <c r="CQ189"/>
  <c r="CK172"/>
  <c r="CK178"/>
  <c r="CK186"/>
  <c r="CK169"/>
  <c r="BV175"/>
  <c r="BV183"/>
  <c r="BV191"/>
  <c r="CN174"/>
  <c r="CN182"/>
  <c r="CN188"/>
  <c r="AX171"/>
  <c r="AX179"/>
  <c r="AX187"/>
  <c r="AX168"/>
  <c r="AR176"/>
  <c r="AR184"/>
  <c r="AR190"/>
  <c r="Z173"/>
  <c r="Z181"/>
  <c r="Z187"/>
  <c r="CZ170"/>
  <c r="CZ178"/>
  <c r="CZ184"/>
  <c r="CZ167"/>
  <c r="W173"/>
  <c r="W181"/>
  <c r="W189"/>
  <c r="AI172"/>
  <c r="AI178"/>
  <c r="AI188"/>
  <c r="AI169"/>
  <c r="DF177"/>
  <c r="DF185"/>
  <c r="DF168"/>
  <c r="BY176"/>
  <c r="BY182"/>
  <c r="BY190"/>
  <c r="AL173"/>
  <c r="AL181"/>
  <c r="AL185"/>
  <c r="AL189"/>
  <c r="AL168"/>
  <c r="BD172"/>
  <c r="BD176"/>
  <c r="BD180"/>
  <c r="BD184"/>
  <c r="BD188"/>
  <c r="BD167"/>
  <c r="E169"/>
  <c r="E174"/>
  <c r="E180"/>
  <c r="E188"/>
  <c r="BD174"/>
  <c r="BD182"/>
  <c r="BD190"/>
  <c r="E172"/>
  <c r="E184"/>
  <c r="M168" i="18" l="1"/>
  <c r="O168"/>
  <c r="K168" s="1"/>
  <c r="M170"/>
  <c r="O170"/>
  <c r="K170" s="1"/>
  <c r="M172"/>
  <c r="O172"/>
  <c r="K172" s="1"/>
  <c r="M174"/>
  <c r="O174"/>
  <c r="K174" s="1"/>
  <c r="M176"/>
  <c r="O176"/>
  <c r="K176" s="1"/>
  <c r="M178"/>
  <c r="O178"/>
  <c r="K178" s="1"/>
  <c r="M180"/>
  <c r="O180"/>
  <c r="K180" s="1"/>
  <c r="M182"/>
  <c r="O182"/>
  <c r="K182" s="1"/>
  <c r="M167"/>
  <c r="O167"/>
  <c r="K167" s="1"/>
  <c r="M169"/>
  <c r="O169"/>
  <c r="K169" s="1"/>
  <c r="M171"/>
  <c r="O171"/>
  <c r="K171" s="1"/>
  <c r="M173"/>
  <c r="O173"/>
  <c r="K173" s="1"/>
  <c r="M175"/>
  <c r="O175"/>
  <c r="K175" s="1"/>
  <c r="M177"/>
  <c r="O177"/>
  <c r="K177" s="1"/>
  <c r="M181"/>
  <c r="O181"/>
  <c r="K181" s="1"/>
  <c r="M184"/>
  <c r="O184"/>
  <c r="K184" s="1"/>
  <c r="M186"/>
  <c r="O186"/>
  <c r="K186" s="1"/>
  <c r="M188"/>
  <c r="O188"/>
  <c r="K188" s="1"/>
  <c r="M190"/>
  <c r="O190"/>
  <c r="K190" s="1"/>
  <c r="M183"/>
  <c r="O183"/>
  <c r="K183" s="1"/>
  <c r="M185"/>
  <c r="O185"/>
  <c r="K185" s="1"/>
  <c r="M187"/>
  <c r="O187"/>
  <c r="K187" s="1"/>
  <c r="M189"/>
  <c r="O189"/>
  <c r="K189" s="1"/>
  <c r="M191"/>
  <c r="O191"/>
  <c r="K191" s="1"/>
  <c r="M179"/>
  <c r="O179"/>
  <c r="K179" s="1"/>
  <c r="K162"/>
  <c r="M162"/>
  <c r="L161"/>
  <c r="J161"/>
  <c r="K161" i="16"/>
  <c r="Q164"/>
  <c r="M161"/>
  <c r="O6" i="14"/>
  <c r="P7" i="7"/>
  <c r="Q191" i="16"/>
  <c r="Q179"/>
  <c r="Q188"/>
  <c r="Q180"/>
  <c r="Q172"/>
  <c r="Q169"/>
  <c r="Q189"/>
  <c r="Q185"/>
  <c r="Q181"/>
  <c r="Q177"/>
  <c r="Q173"/>
  <c r="Q190"/>
  <c r="Q186"/>
  <c r="Q182"/>
  <c r="Q178"/>
  <c r="Q174"/>
  <c r="Q170"/>
  <c r="Q171"/>
  <c r="Q187"/>
  <c r="Q183"/>
  <c r="Q175"/>
  <c r="Q167"/>
  <c r="Q184"/>
  <c r="Q176"/>
  <c r="Q168"/>
  <c r="M196" i="18" l="1"/>
  <c r="E7" i="12"/>
  <c r="E6"/>
  <c r="D6"/>
  <c r="L162" i="18"/>
  <c r="J162"/>
  <c r="M197" s="1"/>
  <c r="C193"/>
  <c r="L179"/>
  <c r="H179" s="1"/>
  <c r="I179"/>
  <c r="N179"/>
  <c r="J179" s="1"/>
  <c r="I191"/>
  <c r="N191"/>
  <c r="J191" s="1"/>
  <c r="L191"/>
  <c r="H191" s="1"/>
  <c r="I189"/>
  <c r="N189"/>
  <c r="J189" s="1"/>
  <c r="L189"/>
  <c r="H189" s="1"/>
  <c r="I187"/>
  <c r="N187"/>
  <c r="J187" s="1"/>
  <c r="L187"/>
  <c r="H187" s="1"/>
  <c r="I185"/>
  <c r="N185"/>
  <c r="J185" s="1"/>
  <c r="L185"/>
  <c r="H185" s="1"/>
  <c r="I183"/>
  <c r="N183"/>
  <c r="J183" s="1"/>
  <c r="L183"/>
  <c r="H183" s="1"/>
  <c r="N190"/>
  <c r="J190" s="1"/>
  <c r="L190"/>
  <c r="H190" s="1"/>
  <c r="I190"/>
  <c r="I188"/>
  <c r="L188"/>
  <c r="H188" s="1"/>
  <c r="N188"/>
  <c r="J188" s="1"/>
  <c r="N186"/>
  <c r="J186" s="1"/>
  <c r="L186"/>
  <c r="H186" s="1"/>
  <c r="I186"/>
  <c r="I184"/>
  <c r="L184"/>
  <c r="H184" s="1"/>
  <c r="N184"/>
  <c r="J184" s="1"/>
  <c r="N181"/>
  <c r="J181" s="1"/>
  <c r="L181"/>
  <c r="H181" s="1"/>
  <c r="I181"/>
  <c r="N177"/>
  <c r="J177" s="1"/>
  <c r="L177"/>
  <c r="H177" s="1"/>
  <c r="I177"/>
  <c r="L175"/>
  <c r="H175" s="1"/>
  <c r="I175"/>
  <c r="N175"/>
  <c r="J175" s="1"/>
  <c r="I173"/>
  <c r="N173"/>
  <c r="J173" s="1"/>
  <c r="L173"/>
  <c r="H173" s="1"/>
  <c r="L171"/>
  <c r="H171" s="1"/>
  <c r="I171"/>
  <c r="N171"/>
  <c r="J171" s="1"/>
  <c r="I169"/>
  <c r="N169"/>
  <c r="J169" s="1"/>
  <c r="L169"/>
  <c r="H169" s="1"/>
  <c r="L167"/>
  <c r="H167" s="1"/>
  <c r="I167"/>
  <c r="N167"/>
  <c r="J167" s="1"/>
  <c r="L182"/>
  <c r="H182" s="1"/>
  <c r="I182"/>
  <c r="N182"/>
  <c r="J182" s="1"/>
  <c r="N180"/>
  <c r="J180" s="1"/>
  <c r="I180"/>
  <c r="L180"/>
  <c r="H180" s="1"/>
  <c r="G180" s="1"/>
  <c r="L178"/>
  <c r="H178" s="1"/>
  <c r="I178"/>
  <c r="N178"/>
  <c r="J178" s="1"/>
  <c r="N176"/>
  <c r="J176" s="1"/>
  <c r="I176"/>
  <c r="L176"/>
  <c r="H176" s="1"/>
  <c r="G176" s="1"/>
  <c r="I174"/>
  <c r="L174"/>
  <c r="H174" s="1"/>
  <c r="N174"/>
  <c r="J174" s="1"/>
  <c r="I172"/>
  <c r="N172"/>
  <c r="J172" s="1"/>
  <c r="L172"/>
  <c r="H172" s="1"/>
  <c r="L170"/>
  <c r="H170" s="1"/>
  <c r="I170"/>
  <c r="N170"/>
  <c r="J170" s="1"/>
  <c r="I168"/>
  <c r="N168"/>
  <c r="J168" s="1"/>
  <c r="L168"/>
  <c r="H168" s="1"/>
  <c r="M169" i="16"/>
  <c r="I169" s="1"/>
  <c r="O169"/>
  <c r="K169" s="1"/>
  <c r="M168"/>
  <c r="I168" s="1"/>
  <c r="O168"/>
  <c r="K168" s="1"/>
  <c r="M167"/>
  <c r="I167" s="1"/>
  <c r="O167"/>
  <c r="K167" s="1"/>
  <c r="O170"/>
  <c r="K170" s="1"/>
  <c r="M170"/>
  <c r="I170" s="1"/>
  <c r="O171"/>
  <c r="K171" s="1"/>
  <c r="M171"/>
  <c r="I171" s="1"/>
  <c r="O172"/>
  <c r="K172" s="1"/>
  <c r="M172"/>
  <c r="I172" s="1"/>
  <c r="O173"/>
  <c r="K173" s="1"/>
  <c r="M173"/>
  <c r="I173" s="1"/>
  <c r="O174"/>
  <c r="K174" s="1"/>
  <c r="M174"/>
  <c r="I174" s="1"/>
  <c r="O175"/>
  <c r="K175" s="1"/>
  <c r="M175"/>
  <c r="I175" s="1"/>
  <c r="O176"/>
  <c r="K176" s="1"/>
  <c r="M176"/>
  <c r="I176" s="1"/>
  <c r="O177"/>
  <c r="K177" s="1"/>
  <c r="M177"/>
  <c r="I177" s="1"/>
  <c r="O178"/>
  <c r="K178" s="1"/>
  <c r="M178"/>
  <c r="I178" s="1"/>
  <c r="O179"/>
  <c r="K179" s="1"/>
  <c r="M179"/>
  <c r="I179" s="1"/>
  <c r="O180"/>
  <c r="K180" s="1"/>
  <c r="M180"/>
  <c r="I180" s="1"/>
  <c r="O181"/>
  <c r="K181" s="1"/>
  <c r="M181"/>
  <c r="I181" s="1"/>
  <c r="O182"/>
  <c r="K182" s="1"/>
  <c r="M182"/>
  <c r="I182" s="1"/>
  <c r="O183"/>
  <c r="K183" s="1"/>
  <c r="M183"/>
  <c r="I183" s="1"/>
  <c r="O184"/>
  <c r="K184" s="1"/>
  <c r="M184"/>
  <c r="I184" s="1"/>
  <c r="O185"/>
  <c r="K185" s="1"/>
  <c r="M185"/>
  <c r="I185" s="1"/>
  <c r="O186"/>
  <c r="K186" s="1"/>
  <c r="M186"/>
  <c r="I186" s="1"/>
  <c r="O187"/>
  <c r="K187" s="1"/>
  <c r="M187"/>
  <c r="I187" s="1"/>
  <c r="O188"/>
  <c r="K188" s="1"/>
  <c r="M188"/>
  <c r="I188" s="1"/>
  <c r="O189"/>
  <c r="K189" s="1"/>
  <c r="M189"/>
  <c r="I189" s="1"/>
  <c r="O190"/>
  <c r="K190" s="1"/>
  <c r="M190"/>
  <c r="I190" s="1"/>
  <c r="O191"/>
  <c r="K191" s="1"/>
  <c r="M191"/>
  <c r="I191" s="1"/>
  <c r="L161"/>
  <c r="J161"/>
  <c r="M162"/>
  <c r="M196" s="1"/>
  <c r="K162"/>
  <c r="D7" i="12" s="1"/>
  <c r="D8" s="1"/>
  <c r="O7" i="14"/>
  <c r="P8" i="7"/>
  <c r="E8" i="12" l="1"/>
  <c r="M198" i="18"/>
  <c r="M199" s="1"/>
  <c r="M200" s="1"/>
  <c r="M201" s="1"/>
  <c r="M202" s="1"/>
  <c r="F6" i="12"/>
  <c r="G168" i="18"/>
  <c r="G172"/>
  <c r="G174"/>
  <c r="G177"/>
  <c r="G184"/>
  <c r="G188"/>
  <c r="G185"/>
  <c r="G189"/>
  <c r="G170"/>
  <c r="G178"/>
  <c r="G182"/>
  <c r="G169"/>
  <c r="G173"/>
  <c r="G181"/>
  <c r="G186"/>
  <c r="G190"/>
  <c r="G183"/>
  <c r="G187"/>
  <c r="G191"/>
  <c r="G167"/>
  <c r="G171"/>
  <c r="G175"/>
  <c r="G179"/>
  <c r="F7" i="12"/>
  <c r="F8" s="1"/>
  <c r="C193" i="16"/>
  <c r="N187"/>
  <c r="J187" s="1"/>
  <c r="N171"/>
  <c r="J171" s="1"/>
  <c r="N179"/>
  <c r="J179" s="1"/>
  <c r="N191"/>
  <c r="J191" s="1"/>
  <c r="N183"/>
  <c r="J183" s="1"/>
  <c r="N175"/>
  <c r="J175" s="1"/>
  <c r="N169"/>
  <c r="J169" s="1"/>
  <c r="N189"/>
  <c r="J189" s="1"/>
  <c r="N185"/>
  <c r="J185" s="1"/>
  <c r="N181"/>
  <c r="J181" s="1"/>
  <c r="N177"/>
  <c r="J177" s="1"/>
  <c r="N173"/>
  <c r="J173" s="1"/>
  <c r="N167"/>
  <c r="J167" s="1"/>
  <c r="N190"/>
  <c r="J190" s="1"/>
  <c r="N188"/>
  <c r="J188" s="1"/>
  <c r="N186"/>
  <c r="J186" s="1"/>
  <c r="N184"/>
  <c r="J184" s="1"/>
  <c r="N182"/>
  <c r="J182" s="1"/>
  <c r="N180"/>
  <c r="J180" s="1"/>
  <c r="N178"/>
  <c r="J178" s="1"/>
  <c r="N176"/>
  <c r="J176" s="1"/>
  <c r="N174"/>
  <c r="J174" s="1"/>
  <c r="N172"/>
  <c r="J172" s="1"/>
  <c r="N170"/>
  <c r="J170" s="1"/>
  <c r="N168"/>
  <c r="J168" s="1"/>
  <c r="L162"/>
  <c r="J162"/>
  <c r="M197" s="1"/>
  <c r="M198" s="1"/>
  <c r="M199" s="1"/>
  <c r="M200" s="1"/>
  <c r="M201" s="1"/>
  <c r="M202" s="1"/>
  <c r="L191"/>
  <c r="H191" s="1"/>
  <c r="L190"/>
  <c r="H190" s="1"/>
  <c r="L189"/>
  <c r="H189" s="1"/>
  <c r="G189" s="1"/>
  <c r="L188"/>
  <c r="H188" s="1"/>
  <c r="G188" s="1"/>
  <c r="L187"/>
  <c r="H187" s="1"/>
  <c r="L186"/>
  <c r="H186" s="1"/>
  <c r="L185"/>
  <c r="H185" s="1"/>
  <c r="L184"/>
  <c r="H184" s="1"/>
  <c r="G184" s="1"/>
  <c r="L183"/>
  <c r="H183" s="1"/>
  <c r="L182"/>
  <c r="H182" s="1"/>
  <c r="L181"/>
  <c r="H181" s="1"/>
  <c r="G181" s="1"/>
  <c r="L180"/>
  <c r="H180" s="1"/>
  <c r="L179"/>
  <c r="H179" s="1"/>
  <c r="L178"/>
  <c r="H178" s="1"/>
  <c r="L177"/>
  <c r="H177" s="1"/>
  <c r="L176"/>
  <c r="H176" s="1"/>
  <c r="G176" s="1"/>
  <c r="L175"/>
  <c r="H175" s="1"/>
  <c r="L174"/>
  <c r="H174" s="1"/>
  <c r="L173"/>
  <c r="H173" s="1"/>
  <c r="G173" s="1"/>
  <c r="L172"/>
  <c r="H172" s="1"/>
  <c r="G172" s="1"/>
  <c r="L171"/>
  <c r="H171" s="1"/>
  <c r="G171" s="1"/>
  <c r="L170"/>
  <c r="H170" s="1"/>
  <c r="L167"/>
  <c r="H167" s="1"/>
  <c r="L168"/>
  <c r="H168" s="1"/>
  <c r="G168" s="1"/>
  <c r="L169"/>
  <c r="H169" s="1"/>
  <c r="O8" i="14"/>
  <c r="P9" i="7"/>
  <c r="N197" i="18"/>
  <c r="N200"/>
  <c r="N201"/>
  <c r="N202"/>
  <c r="N198" i="16"/>
  <c r="N202"/>
  <c r="N197"/>
  <c r="N198" i="18"/>
  <c r="N199"/>
  <c r="N201" i="16"/>
  <c r="N200"/>
  <c r="N199"/>
  <c r="G166" i="18" l="1"/>
  <c r="I163" s="1"/>
  <c r="G191" i="16"/>
  <c r="G180"/>
  <c r="G175"/>
  <c r="G170"/>
  <c r="G174"/>
  <c r="G178"/>
  <c r="G182"/>
  <c r="G186"/>
  <c r="G190"/>
  <c r="G169"/>
  <c r="G167"/>
  <c r="G177"/>
  <c r="G179"/>
  <c r="G183"/>
  <c r="G185"/>
  <c r="G187"/>
  <c r="O9" i="14"/>
  <c r="P10" i="7"/>
  <c r="F9" i="12" l="1"/>
  <c r="G166" i="16"/>
  <c r="O10" i="14"/>
  <c r="P11" i="7"/>
  <c r="I163" i="16" l="1"/>
  <c r="F10" i="12"/>
  <c r="F11" s="1"/>
  <c r="O11" i="14"/>
  <c r="P12" i="7"/>
  <c r="O12" i="14" l="1"/>
  <c r="P13" i="7"/>
  <c r="O13" i="14" l="1"/>
  <c r="P14" i="7"/>
  <c r="O14" i="14" l="1"/>
  <c r="P15" i="7"/>
  <c r="O15" i="14" l="1"/>
  <c r="P16" i="7"/>
  <c r="O16" i="14" l="1"/>
  <c r="P17" i="7"/>
  <c r="O17" i="14" l="1"/>
  <c r="P18" i="7"/>
  <c r="O18" i="14" l="1"/>
  <c r="P19" i="7"/>
  <c r="O19" i="14" l="1"/>
  <c r="P20" i="7"/>
  <c r="O20" i="14" l="1"/>
  <c r="P21" i="7"/>
  <c r="O21" i="14" l="1"/>
  <c r="P22" i="7"/>
  <c r="O22" i="14" l="1"/>
  <c r="P23" i="7"/>
  <c r="O23" i="14" l="1"/>
  <c r="P24" i="7"/>
  <c r="O24" i="14" l="1"/>
  <c r="P25" i="7"/>
  <c r="O25" i="14" l="1"/>
  <c r="P26" i="7"/>
  <c r="O26" i="14" s="1"/>
</calcChain>
</file>

<file path=xl/comments1.xml><?xml version="1.0" encoding="utf-8"?>
<comments xmlns="http://schemas.openxmlformats.org/spreadsheetml/2006/main">
  <authors>
    <author>Author</author>
  </authors>
  <commentList>
    <comment ref="I14" authorId="0">
      <text>
        <r>
          <rPr>
            <sz val="12"/>
            <color indexed="81"/>
            <rFont val="Tahoma"/>
            <family val="2"/>
          </rPr>
          <t>0: Use RAW Calibration
1: Use DUT Average</t>
        </r>
      </text>
    </comment>
  </commentList>
</comments>
</file>

<file path=xl/sharedStrings.xml><?xml version="1.0" encoding="utf-8"?>
<sst xmlns="http://schemas.openxmlformats.org/spreadsheetml/2006/main" count="185" uniqueCount="82">
  <si>
    <t>m</t>
  </si>
  <si>
    <t>b</t>
  </si>
  <si>
    <t>Gain (%FSR)</t>
  </si>
  <si>
    <t>Offset (Lux)</t>
  </si>
  <si>
    <t>Range</t>
  </si>
  <si>
    <t>Mean</t>
  </si>
  <si>
    <t>calibrated</t>
  </si>
  <si>
    <t>A/B</t>
  </si>
  <si>
    <t>Log</t>
  </si>
  <si>
    <t>Tlog</t>
  </si>
  <si>
    <t>A-B</t>
  </si>
  <si>
    <t>AVG</t>
  </si>
  <si>
    <t>STDEV</t>
  </si>
  <si>
    <t>MEAN</t>
  </si>
  <si>
    <t>Cal</t>
  </si>
  <si>
    <t>DUT</t>
  </si>
  <si>
    <t>Max</t>
  </si>
  <si>
    <t>Ideal</t>
  </si>
  <si>
    <r>
      <t>-1.5</t>
    </r>
    <r>
      <rPr>
        <sz val="11"/>
        <color theme="1"/>
        <rFont val="Calibri"/>
        <family val="2"/>
      </rPr>
      <t>σ</t>
    </r>
  </si>
  <si>
    <r>
      <t>+1.5</t>
    </r>
    <r>
      <rPr>
        <sz val="11"/>
        <color theme="1"/>
        <rFont val="Calibri"/>
        <family val="2"/>
      </rPr>
      <t>σ</t>
    </r>
  </si>
  <si>
    <t>σ</t>
  </si>
  <si>
    <r>
      <t>|X| + 1.5</t>
    </r>
    <r>
      <rPr>
        <sz val="11"/>
        <color theme="1"/>
        <rFont val="Calibri"/>
        <family val="2"/>
      </rPr>
      <t>σ</t>
    </r>
  </si>
  <si>
    <t>All</t>
  </si>
  <si>
    <t>absM</t>
  </si>
  <si>
    <t>Calibration</t>
  </si>
  <si>
    <t>Gain</t>
  </si>
  <si>
    <t>Offset</t>
  </si>
  <si>
    <t>Linearity</t>
  </si>
  <si>
    <t>Comp38=</t>
  </si>
  <si>
    <t>Setup</t>
  </si>
  <si>
    <t>X=</t>
  </si>
  <si>
    <t>Y=</t>
  </si>
  <si>
    <t>Lux=</t>
  </si>
  <si>
    <t>QTH=</t>
  </si>
  <si>
    <t>Glass Xmit</t>
  </si>
  <si>
    <t>OD=</t>
  </si>
  <si>
    <t>Lux</t>
  </si>
  <si>
    <t>Ninput=</t>
  </si>
  <si>
    <t>Range0</t>
  </si>
  <si>
    <t>Range1</t>
  </si>
  <si>
    <t>CCT</t>
  </si>
  <si>
    <t>RED: Data</t>
  </si>
  <si>
    <t>BLUE: Data</t>
  </si>
  <si>
    <t>GREEN: Data</t>
  </si>
  <si>
    <t>R</t>
  </si>
  <si>
    <t>G</t>
  </si>
  <si>
    <t>B</t>
  </si>
  <si>
    <t>Coefficients</t>
  </si>
  <si>
    <t>a=</t>
  </si>
  <si>
    <t>b=</t>
  </si>
  <si>
    <t>g=</t>
  </si>
  <si>
    <t>Krg=</t>
  </si>
  <si>
    <t>Krb=</t>
  </si>
  <si>
    <t>Kgr=</t>
  </si>
  <si>
    <t>Kgb=</t>
  </si>
  <si>
    <t>Kbr=</t>
  </si>
  <si>
    <t>Kbg=</t>
  </si>
  <si>
    <t>range1=</t>
  </si>
  <si>
    <t>range0=</t>
  </si>
  <si>
    <t>Valid</t>
  </si>
  <si>
    <t>LUX</t>
  </si>
  <si>
    <t>M</t>
  </si>
  <si>
    <t>PIXEL</t>
  </si>
  <si>
    <t>Corrected</t>
  </si>
  <si>
    <r>
      <t>X</t>
    </r>
    <r>
      <rPr>
        <vertAlign val="subscript"/>
        <sz val="11"/>
        <color theme="1"/>
        <rFont val="Calibri"/>
        <family val="2"/>
        <scheme val="minor"/>
      </rPr>
      <t>0</t>
    </r>
  </si>
  <si>
    <r>
      <t>X</t>
    </r>
    <r>
      <rPr>
        <vertAlign val="subscript"/>
        <sz val="11"/>
        <color theme="1"/>
        <rFont val="Calibri"/>
        <family val="2"/>
        <scheme val="minor"/>
      </rPr>
      <t>1</t>
    </r>
  </si>
  <si>
    <t>dY</t>
  </si>
  <si>
    <r>
      <t>Y</t>
    </r>
    <r>
      <rPr>
        <vertAlign val="subscript"/>
        <sz val="11"/>
        <color theme="1"/>
        <rFont val="Calibri"/>
        <family val="2"/>
        <scheme val="minor"/>
      </rPr>
      <t>1</t>
    </r>
  </si>
  <si>
    <r>
      <t>Y</t>
    </r>
    <r>
      <rPr>
        <vertAlign val="subscript"/>
        <sz val="11"/>
        <color theme="1"/>
        <rFont val="Calibri"/>
        <family val="2"/>
        <scheme val="minor"/>
      </rPr>
      <t>0</t>
    </r>
  </si>
  <si>
    <t>dX</t>
  </si>
  <si>
    <t>INL</t>
  </si>
  <si>
    <t>INL Error in Lux</t>
  </si>
  <si>
    <t>INL Error in %FSR</t>
  </si>
  <si>
    <t>Gain:</t>
  </si>
  <si>
    <t>Offset:</t>
  </si>
  <si>
    <t>%FSR</t>
  </si>
  <si>
    <t>Linearity (%FSR)</t>
  </si>
  <si>
    <t>CCT Variation (%/value)</t>
  </si>
  <si>
    <t>CCT Nominal Error (%/value)</t>
  </si>
  <si>
    <t>6hrs.</t>
  </si>
  <si>
    <t>Runtime=</t>
  </si>
  <si>
    <t>White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</si>
</sst>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%"/>
    <numFmt numFmtId="166" formatCode="0.000"/>
  </numFmts>
  <fonts count="1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2"/>
      <color indexed="81"/>
      <name val="Tahoma"/>
      <family val="2"/>
    </font>
    <font>
      <b/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Symbol"/>
      <family val="1"/>
      <charset val="2"/>
    </font>
    <font>
      <b/>
      <sz val="3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7" fillId="0" borderId="0"/>
    <xf numFmtId="0" fontId="6" fillId="0" borderId="0"/>
    <xf numFmtId="0" fontId="6" fillId="0" borderId="0"/>
  </cellStyleXfs>
  <cellXfs count="116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2" fontId="0" fillId="0" borderId="0" xfId="0" applyNumberFormat="1"/>
    <xf numFmtId="0" fontId="0" fillId="0" borderId="0" xfId="0"/>
    <xf numFmtId="164" fontId="0" fillId="0" borderId="0" xfId="0" applyNumberFormat="1"/>
    <xf numFmtId="2" fontId="0" fillId="0" borderId="0" xfId="0" applyNumberFormat="1"/>
    <xf numFmtId="166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/>
    <xf numFmtId="0" fontId="0" fillId="0" borderId="0" xfId="0" quotePrefix="1" applyAlignment="1">
      <alignment horizontal="center"/>
    </xf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/>
    <xf numFmtId="0" fontId="0" fillId="0" borderId="1" xfId="0" applyFill="1" applyBorder="1" applyAlignment="1"/>
    <xf numFmtId="0" fontId="0" fillId="0" borderId="1" xfId="0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1" fillId="0" borderId="0" xfId="0" applyFont="1" applyAlignment="1">
      <alignment readingOrder="1"/>
    </xf>
    <xf numFmtId="10" fontId="0" fillId="0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0" fontId="0" fillId="0" borderId="4" xfId="0" applyBorder="1" applyAlignment="1">
      <alignment horizontal="right"/>
    </xf>
    <xf numFmtId="0" fontId="0" fillId="3" borderId="5" xfId="0" applyFill="1" applyBorder="1" applyAlignment="1">
      <alignment horizontal="left"/>
    </xf>
    <xf numFmtId="0" fontId="0" fillId="3" borderId="4" xfId="0" applyFill="1" applyBorder="1"/>
    <xf numFmtId="0" fontId="0" fillId="3" borderId="5" xfId="0" applyFill="1" applyBorder="1" applyAlignment="1">
      <alignment horizontal="right"/>
    </xf>
    <xf numFmtId="165" fontId="0" fillId="3" borderId="7" xfId="0" applyNumberFormat="1" applyFill="1" applyBorder="1"/>
    <xf numFmtId="164" fontId="0" fillId="0" borderId="5" xfId="0" applyNumberFormat="1" applyFill="1" applyBorder="1" applyAlignment="1">
      <alignment horizontal="left"/>
    </xf>
    <xf numFmtId="10" fontId="0" fillId="0" borderId="4" xfId="0" applyNumberFormat="1" applyFill="1" applyBorder="1"/>
    <xf numFmtId="0" fontId="0" fillId="0" borderId="6" xfId="0" applyFill="1" applyBorder="1"/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1" xfId="0" applyNumberFormat="1" applyBorder="1"/>
    <xf numFmtId="164" fontId="0" fillId="0" borderId="0" xfId="0" applyNumberFormat="1" applyBorder="1"/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4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4" borderId="0" xfId="0" quotePrefix="1" applyFill="1" applyAlignment="1">
      <alignment horizontal="center"/>
    </xf>
    <xf numFmtId="0" fontId="0" fillId="0" borderId="0" xfId="0"/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8" fillId="0" borderId="4" xfId="0" applyFont="1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5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3" borderId="0" xfId="0" applyFill="1" applyBorder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165" fontId="0" fillId="0" borderId="0" xfId="0" applyNumberFormat="1" applyBorder="1"/>
    <xf numFmtId="0" fontId="0" fillId="0" borderId="0" xfId="0" applyBorder="1"/>
    <xf numFmtId="0" fontId="10" fillId="0" borderId="0" xfId="0" applyFont="1" applyAlignment="1"/>
    <xf numFmtId="0" fontId="0" fillId="3" borderId="0" xfId="0" applyFill="1" applyBorder="1" applyAlignment="1">
      <alignment horizontal="center"/>
    </xf>
    <xf numFmtId="165" fontId="10" fillId="0" borderId="16" xfId="0" applyNumberFormat="1" applyFont="1" applyBorder="1"/>
    <xf numFmtId="10" fontId="0" fillId="2" borderId="8" xfId="0" applyNumberFormat="1" applyFill="1" applyBorder="1" applyAlignment="1"/>
    <xf numFmtId="10" fontId="0" fillId="2" borderId="10" xfId="0" applyNumberFormat="1" applyFill="1" applyBorder="1" applyAlignment="1"/>
    <xf numFmtId="10" fontId="0" fillId="2" borderId="11" xfId="0" applyNumberFormat="1" applyFill="1" applyBorder="1" applyAlignment="1"/>
    <xf numFmtId="10" fontId="0" fillId="2" borderId="12" xfId="0" applyNumberFormat="1" applyFill="1" applyBorder="1" applyAlignment="1"/>
    <xf numFmtId="10" fontId="0" fillId="2" borderId="13" xfId="0" applyNumberFormat="1" applyFill="1" applyBorder="1" applyAlignment="1"/>
    <xf numFmtId="10" fontId="0" fillId="2" borderId="15" xfId="0" applyNumberFormat="1" applyFill="1" applyBorder="1" applyAlignment="1"/>
    <xf numFmtId="165" fontId="10" fillId="0" borderId="16" xfId="0" applyNumberFormat="1" applyFon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9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11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ont="1" applyAlignment="1">
      <alignment horizontal="center"/>
    </xf>
    <xf numFmtId="0" fontId="1" fillId="0" borderId="0" xfId="0" applyFont="1" applyAlignment="1">
      <alignment horizontal="center" readingOrder="1"/>
    </xf>
  </cellXfs>
  <cellStyles count="4">
    <cellStyle name="Normal" xfId="0" builtinId="0"/>
    <cellStyle name="Normal 2" xfId="2"/>
    <cellStyle name="Normal 3" xfId="3"/>
    <cellStyle name="Normal 4" xfId="1"/>
  </cellStyles>
  <dxfs count="4"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range0!$E$129</c:f>
          <c:strCache>
            <c:ptCount val="1"/>
            <c:pt idx="0">
              <c:v>29121: Gain Variation= +/-335.1%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range0!$L$130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range0!$B$141:$B$155</c:f>
              <c:numCache>
                <c:formatCode>0.0</c:formatCode>
                <c:ptCount val="15"/>
                <c:pt idx="0">
                  <c:v>2.38707854456778</c:v>
                </c:pt>
                <c:pt idx="1">
                  <c:v>2.1590792663518994</c:v>
                </c:pt>
                <c:pt idx="2">
                  <c:v>1.7769039850931945</c:v>
                </c:pt>
                <c:pt idx="3">
                  <c:v>1.4370560182896255</c:v>
                </c:pt>
                <c:pt idx="4">
                  <c:v>1.1960743068778694</c:v>
                </c:pt>
                <c:pt idx="5">
                  <c:v>0.8864930899240453</c:v>
                </c:pt>
                <c:pt idx="6">
                  <c:v>0.66310300227883046</c:v>
                </c:pt>
                <c:pt idx="7">
                  <c:v>0.15701835940156691</c:v>
                </c:pt>
                <c:pt idx="8">
                  <c:v>0.12828800152468015</c:v>
                </c:pt>
                <c:pt idx="9">
                  <c:v>0.1052422464745905</c:v>
                </c:pt>
                <c:pt idx="10">
                  <c:v>8.7497019701430423E-2</c:v>
                </c:pt>
                <c:pt idx="11">
                  <c:v>6.4528090696904072E-2</c:v>
                </c:pt>
                <c:pt idx="12">
                  <c:v>4.8396071685701009E-2</c:v>
                </c:pt>
                <c:pt idx="13">
                  <c:v>1.6900215363934361E-2</c:v>
                </c:pt>
                <c:pt idx="14">
                  <c:v>1.3827448268123942E-2</c:v>
                </c:pt>
              </c:numCache>
            </c:numRef>
          </c:xVal>
          <c:yVal>
            <c:numRef>
              <c:f>range0!$L$141:$L$155</c:f>
              <c:numCache>
                <c:formatCode>General</c:formatCode>
                <c:ptCount val="15"/>
                <c:pt idx="0">
                  <c:v>-4.4760304237402639</c:v>
                </c:pt>
                <c:pt idx="1">
                  <c:v>-4.0190884173333341</c:v>
                </c:pt>
                <c:pt idx="2">
                  <c:v>-3.3351193484316379</c:v>
                </c:pt>
                <c:pt idx="3">
                  <c:v>-2.6740620925177225</c:v>
                </c:pt>
                <c:pt idx="4">
                  <c:v>-2.2167558400020551</c:v>
                </c:pt>
                <c:pt idx="5">
                  <c:v>-1.7232108769396608</c:v>
                </c:pt>
                <c:pt idx="6">
                  <c:v>-1.2904083755205724</c:v>
                </c:pt>
                <c:pt idx="7">
                  <c:v>-0.37326079371619664</c:v>
                </c:pt>
                <c:pt idx="8">
                  <c:v>-0.31045833963189801</c:v>
                </c:pt>
                <c:pt idx="9">
                  <c:v>-0.25182551711462942</c:v>
                </c:pt>
                <c:pt idx="10">
                  <c:v>-0.20968174628245256</c:v>
                </c:pt>
                <c:pt idx="11">
                  <c:v>-0.16483133140727124</c:v>
                </c:pt>
                <c:pt idx="12">
                  <c:v>-0.12645030058847712</c:v>
                </c:pt>
                <c:pt idx="13">
                  <c:v>-5.0499534449883872E-2</c:v>
                </c:pt>
                <c:pt idx="14">
                  <c:v>-4.2217052404258909E-2</c:v>
                </c:pt>
              </c:numCache>
            </c:numRef>
          </c:yVal>
        </c:ser>
        <c:ser>
          <c:idx val="1"/>
          <c:order val="1"/>
          <c:tx>
            <c:strRef>
              <c:f>range0!$M$130</c:f>
              <c:strCache>
                <c:ptCount val="1"/>
                <c:pt idx="0">
                  <c:v>AVG</c:v>
                </c:pt>
              </c:strCache>
            </c:strRef>
          </c:tx>
          <c:xVal>
            <c:numRef>
              <c:f>range0!$B$141:$B$155</c:f>
              <c:numCache>
                <c:formatCode>0.0</c:formatCode>
                <c:ptCount val="15"/>
                <c:pt idx="0">
                  <c:v>2.38707854456778</c:v>
                </c:pt>
                <c:pt idx="1">
                  <c:v>2.1590792663518994</c:v>
                </c:pt>
                <c:pt idx="2">
                  <c:v>1.7769039850931945</c:v>
                </c:pt>
                <c:pt idx="3">
                  <c:v>1.4370560182896255</c:v>
                </c:pt>
                <c:pt idx="4">
                  <c:v>1.1960743068778694</c:v>
                </c:pt>
                <c:pt idx="5">
                  <c:v>0.8864930899240453</c:v>
                </c:pt>
                <c:pt idx="6">
                  <c:v>0.66310300227883046</c:v>
                </c:pt>
                <c:pt idx="7">
                  <c:v>0.15701835940156691</c:v>
                </c:pt>
                <c:pt idx="8">
                  <c:v>0.12828800152468015</c:v>
                </c:pt>
                <c:pt idx="9">
                  <c:v>0.1052422464745905</c:v>
                </c:pt>
                <c:pt idx="10">
                  <c:v>8.7497019701430423E-2</c:v>
                </c:pt>
                <c:pt idx="11">
                  <c:v>6.4528090696904072E-2</c:v>
                </c:pt>
                <c:pt idx="12">
                  <c:v>4.8396071685701009E-2</c:v>
                </c:pt>
                <c:pt idx="13">
                  <c:v>1.6900215363934361E-2</c:v>
                </c:pt>
                <c:pt idx="14">
                  <c:v>1.3827448268123942E-2</c:v>
                </c:pt>
              </c:numCache>
            </c:numRef>
          </c:xVal>
          <c:yVal>
            <c:numRef>
              <c:f>range0!$M$141:$M$155</c:f>
              <c:numCache>
                <c:formatCode>0.0</c:formatCode>
                <c:ptCount val="15"/>
                <c:pt idx="0">
                  <c:v>1.9033406322400588</c:v>
                </c:pt>
                <c:pt idx="1">
                  <c:v>1.7092011877516078</c:v>
                </c:pt>
                <c:pt idx="2">
                  <c:v>1.4184499483042448</c:v>
                </c:pt>
                <c:pt idx="3">
                  <c:v>1.1369578160592793</c:v>
                </c:pt>
                <c:pt idx="4">
                  <c:v>0.94281376153979679</c:v>
                </c:pt>
                <c:pt idx="5">
                  <c:v>0.73195226180676454</c:v>
                </c:pt>
                <c:pt idx="6">
                  <c:v>0.54825347398077384</c:v>
                </c:pt>
                <c:pt idx="7">
                  <c:v>0.15722941201269008</c:v>
                </c:pt>
                <c:pt idx="8">
                  <c:v>0.13111289818252359</c:v>
                </c:pt>
                <c:pt idx="9">
                  <c:v>0.10629673865301099</c:v>
                </c:pt>
                <c:pt idx="10">
                  <c:v>8.845037721196454E-2</c:v>
                </c:pt>
                <c:pt idx="11">
                  <c:v>6.9360579449534873E-2</c:v>
                </c:pt>
                <c:pt idx="12">
                  <c:v>5.3270338198633541E-2</c:v>
                </c:pt>
                <c:pt idx="13">
                  <c:v>2.0949405928833743E-2</c:v>
                </c:pt>
                <c:pt idx="14">
                  <c:v>1.7558725488733915E-2</c:v>
                </c:pt>
              </c:numCache>
            </c:numRef>
          </c:yVal>
        </c:ser>
        <c:ser>
          <c:idx val="2"/>
          <c:order val="2"/>
          <c:tx>
            <c:strRef>
              <c:f>range0!$N$130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range0!$B$141:$B$155</c:f>
              <c:numCache>
                <c:formatCode>0.0</c:formatCode>
                <c:ptCount val="15"/>
                <c:pt idx="0">
                  <c:v>2.38707854456778</c:v>
                </c:pt>
                <c:pt idx="1">
                  <c:v>2.1590792663518994</c:v>
                </c:pt>
                <c:pt idx="2">
                  <c:v>1.7769039850931945</c:v>
                </c:pt>
                <c:pt idx="3">
                  <c:v>1.4370560182896255</c:v>
                </c:pt>
                <c:pt idx="4">
                  <c:v>1.1960743068778694</c:v>
                </c:pt>
                <c:pt idx="5">
                  <c:v>0.8864930899240453</c:v>
                </c:pt>
                <c:pt idx="6">
                  <c:v>0.66310300227883046</c:v>
                </c:pt>
                <c:pt idx="7">
                  <c:v>0.15701835940156691</c:v>
                </c:pt>
                <c:pt idx="8">
                  <c:v>0.12828800152468015</c:v>
                </c:pt>
                <c:pt idx="9">
                  <c:v>0.1052422464745905</c:v>
                </c:pt>
                <c:pt idx="10">
                  <c:v>8.7497019701430423E-2</c:v>
                </c:pt>
                <c:pt idx="11">
                  <c:v>6.4528090696904072E-2</c:v>
                </c:pt>
                <c:pt idx="12">
                  <c:v>4.8396071685701009E-2</c:v>
                </c:pt>
                <c:pt idx="13">
                  <c:v>1.6900215363934361E-2</c:v>
                </c:pt>
                <c:pt idx="14">
                  <c:v>1.3827448268123942E-2</c:v>
                </c:pt>
              </c:numCache>
            </c:numRef>
          </c:xVal>
          <c:yVal>
            <c:numRef>
              <c:f>range0!$N$141:$N$155</c:f>
              <c:numCache>
                <c:formatCode>General</c:formatCode>
                <c:ptCount val="15"/>
                <c:pt idx="0">
                  <c:v>8.2827116882203811</c:v>
                </c:pt>
                <c:pt idx="1">
                  <c:v>7.4374907928365506</c:v>
                </c:pt>
                <c:pt idx="2">
                  <c:v>6.1720192450401274</c:v>
                </c:pt>
                <c:pt idx="3">
                  <c:v>4.9479777246362806</c:v>
                </c:pt>
                <c:pt idx="4">
                  <c:v>4.1023833630816489</c:v>
                </c:pt>
                <c:pt idx="5">
                  <c:v>3.1871154005531896</c:v>
                </c:pt>
                <c:pt idx="6">
                  <c:v>2.3869153234821203</c:v>
                </c:pt>
                <c:pt idx="7">
                  <c:v>0.68771961774157675</c:v>
                </c:pt>
                <c:pt idx="8">
                  <c:v>0.57268413599694523</c:v>
                </c:pt>
                <c:pt idx="9">
                  <c:v>0.46441899442065138</c:v>
                </c:pt>
                <c:pt idx="10">
                  <c:v>0.38658250070638162</c:v>
                </c:pt>
                <c:pt idx="11">
                  <c:v>0.30355249030634102</c:v>
                </c:pt>
                <c:pt idx="12">
                  <c:v>0.23299097698574417</c:v>
                </c:pt>
                <c:pt idx="13">
                  <c:v>9.2398346307551366E-2</c:v>
                </c:pt>
                <c:pt idx="14">
                  <c:v>7.7334503381726746E-2</c:v>
                </c:pt>
              </c:numCache>
            </c:numRef>
          </c:yVal>
        </c:ser>
        <c:axId val="153545728"/>
        <c:axId val="154179072"/>
      </c:scatterChart>
      <c:valAx>
        <c:axId val="1535457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0" sourceLinked="0"/>
        <c:tickLblPos val="nextTo"/>
        <c:crossAx val="154179072"/>
        <c:crosses val="autoZero"/>
        <c:crossBetween val="midCat"/>
      </c:valAx>
      <c:valAx>
        <c:axId val="15417907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</c:title>
        <c:numFmt formatCode="General" sourceLinked="1"/>
        <c:tickLblPos val="nextTo"/>
        <c:crossAx val="15354572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range1!$E$129</c:f>
          <c:strCache>
            <c:ptCount val="1"/>
            <c:pt idx="0">
              <c:v>29121: Gain Variation= +/-334.8%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range1!$L$130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range1!$B$134:$B$155</c:f>
              <c:numCache>
                <c:formatCode>0.0</c:formatCode>
                <c:ptCount val="22"/>
                <c:pt idx="0">
                  <c:v>12.825726800021135</c:v>
                </c:pt>
                <c:pt idx="1">
                  <c:v>9.4994572118508245</c:v>
                </c:pt>
                <c:pt idx="2">
                  <c:v>7.108076789685887</c:v>
                </c:pt>
                <c:pt idx="3">
                  <c:v>5.8108316409221263</c:v>
                </c:pt>
                <c:pt idx="4">
                  <c:v>4.7264524101014667</c:v>
                </c:pt>
                <c:pt idx="5">
                  <c:v>3.8737596974251551</c:v>
                </c:pt>
                <c:pt idx="6">
                  <c:v>3.2207968686872634</c:v>
                </c:pt>
                <c:pt idx="7">
                  <c:v>2.38707854456778</c:v>
                </c:pt>
                <c:pt idx="8">
                  <c:v>2.1590792663518994</c:v>
                </c:pt>
                <c:pt idx="9">
                  <c:v>1.7769039850931945</c:v>
                </c:pt>
                <c:pt idx="10">
                  <c:v>1.4370560182896255</c:v>
                </c:pt>
                <c:pt idx="11">
                  <c:v>1.1960743068778694</c:v>
                </c:pt>
                <c:pt idx="12">
                  <c:v>0.8864930899240453</c:v>
                </c:pt>
                <c:pt idx="13">
                  <c:v>0.66310300227883046</c:v>
                </c:pt>
                <c:pt idx="14">
                  <c:v>0.15701835940156691</c:v>
                </c:pt>
                <c:pt idx="15">
                  <c:v>0.12828800152468015</c:v>
                </c:pt>
                <c:pt idx="16">
                  <c:v>0.1052422464745905</c:v>
                </c:pt>
                <c:pt idx="17">
                  <c:v>8.7497019701430423E-2</c:v>
                </c:pt>
                <c:pt idx="18">
                  <c:v>6.4528090696904072E-2</c:v>
                </c:pt>
                <c:pt idx="19">
                  <c:v>4.8396071685701009E-2</c:v>
                </c:pt>
                <c:pt idx="20">
                  <c:v>1.6900215363934361E-2</c:v>
                </c:pt>
                <c:pt idx="21">
                  <c:v>1.3827448268123942E-2</c:v>
                </c:pt>
              </c:numCache>
            </c:numRef>
          </c:xVal>
          <c:yVal>
            <c:numRef>
              <c:f>range1!$L$134:$L$155</c:f>
              <c:numCache>
                <c:formatCode>General</c:formatCode>
                <c:ptCount val="22"/>
                <c:pt idx="0">
                  <c:v>-30.125253490344285</c:v>
                </c:pt>
                <c:pt idx="1">
                  <c:v>-22.449410132301978</c:v>
                </c:pt>
                <c:pt idx="2">
                  <c:v>-16.87157588961783</c:v>
                </c:pt>
                <c:pt idx="3">
                  <c:v>-14.168968364570066</c:v>
                </c:pt>
                <c:pt idx="4">
                  <c:v>-11.465226106533461</c:v>
                </c:pt>
                <c:pt idx="5">
                  <c:v>-9.3588594895029154</c:v>
                </c:pt>
                <c:pt idx="6">
                  <c:v>-7.7094815514375297</c:v>
                </c:pt>
                <c:pt idx="7">
                  <c:v>-5.8570116907866652</c:v>
                </c:pt>
                <c:pt idx="8">
                  <c:v>-5.5048087200107716</c:v>
                </c:pt>
                <c:pt idx="9">
                  <c:v>-4.575538463464361</c:v>
                </c:pt>
                <c:pt idx="10">
                  <c:v>-3.5777134733317077</c:v>
                </c:pt>
                <c:pt idx="11">
                  <c:v>-3.0198930431262245</c:v>
                </c:pt>
                <c:pt idx="12">
                  <c:v>-2.3479887094188121</c:v>
                </c:pt>
                <c:pt idx="13">
                  <c:v>-1.8029351349368195</c:v>
                </c:pt>
                <c:pt idx="14">
                  <c:v>-0.5136567811169932</c:v>
                </c:pt>
                <c:pt idx="15">
                  <c:v>-0.42880030902969291</c:v>
                </c:pt>
                <c:pt idx="16">
                  <c:v>-0.35364228698967604</c:v>
                </c:pt>
                <c:pt idx="17">
                  <c:v>-0.30419736063417124</c:v>
                </c:pt>
                <c:pt idx="18">
                  <c:v>-0.23471541973137044</c:v>
                </c:pt>
                <c:pt idx="19">
                  <c:v>-0.18472623106372862</c:v>
                </c:pt>
                <c:pt idx="20">
                  <c:v>-8.2686764372959021E-2</c:v>
                </c:pt>
                <c:pt idx="21">
                  <c:v>-6.8039157854393267E-2</c:v>
                </c:pt>
              </c:numCache>
            </c:numRef>
          </c:yVal>
        </c:ser>
        <c:ser>
          <c:idx val="1"/>
          <c:order val="1"/>
          <c:tx>
            <c:strRef>
              <c:f>range1!$M$130</c:f>
              <c:strCache>
                <c:ptCount val="1"/>
                <c:pt idx="0">
                  <c:v>AVG</c:v>
                </c:pt>
              </c:strCache>
            </c:strRef>
          </c:tx>
          <c:xVal>
            <c:numRef>
              <c:f>range1!$B$134:$B$155</c:f>
              <c:numCache>
                <c:formatCode>0.0</c:formatCode>
                <c:ptCount val="22"/>
                <c:pt idx="0">
                  <c:v>12.825726800021135</c:v>
                </c:pt>
                <c:pt idx="1">
                  <c:v>9.4994572118508245</c:v>
                </c:pt>
                <c:pt idx="2">
                  <c:v>7.108076789685887</c:v>
                </c:pt>
                <c:pt idx="3">
                  <c:v>5.8108316409221263</c:v>
                </c:pt>
                <c:pt idx="4">
                  <c:v>4.7264524101014667</c:v>
                </c:pt>
                <c:pt idx="5">
                  <c:v>3.8737596974251551</c:v>
                </c:pt>
                <c:pt idx="6">
                  <c:v>3.2207968686872634</c:v>
                </c:pt>
                <c:pt idx="7">
                  <c:v>2.38707854456778</c:v>
                </c:pt>
                <c:pt idx="8">
                  <c:v>2.1590792663518994</c:v>
                </c:pt>
                <c:pt idx="9">
                  <c:v>1.7769039850931945</c:v>
                </c:pt>
                <c:pt idx="10">
                  <c:v>1.4370560182896255</c:v>
                </c:pt>
                <c:pt idx="11">
                  <c:v>1.1960743068778694</c:v>
                </c:pt>
                <c:pt idx="12">
                  <c:v>0.8864930899240453</c:v>
                </c:pt>
                <c:pt idx="13">
                  <c:v>0.66310300227883046</c:v>
                </c:pt>
                <c:pt idx="14">
                  <c:v>0.15701835940156691</c:v>
                </c:pt>
                <c:pt idx="15">
                  <c:v>0.12828800152468015</c:v>
                </c:pt>
                <c:pt idx="16">
                  <c:v>0.1052422464745905</c:v>
                </c:pt>
                <c:pt idx="17">
                  <c:v>8.7497019701430423E-2</c:v>
                </c:pt>
                <c:pt idx="18">
                  <c:v>6.4528090696904072E-2</c:v>
                </c:pt>
                <c:pt idx="19">
                  <c:v>4.8396071685701009E-2</c:v>
                </c:pt>
                <c:pt idx="20">
                  <c:v>1.6900215363934361E-2</c:v>
                </c:pt>
                <c:pt idx="21">
                  <c:v>1.3827448268123942E-2</c:v>
                </c:pt>
              </c:numCache>
            </c:numRef>
          </c:xVal>
          <c:yVal>
            <c:numRef>
              <c:f>range1!$M$134:$M$155</c:f>
              <c:numCache>
                <c:formatCode>0.0</c:formatCode>
                <c:ptCount val="22"/>
                <c:pt idx="0">
                  <c:v>12.825726800021135</c:v>
                </c:pt>
                <c:pt idx="1">
                  <c:v>9.5549121249240585</c:v>
                </c:pt>
                <c:pt idx="2">
                  <c:v>7.1828826798124616</c:v>
                </c:pt>
                <c:pt idx="3">
                  <c:v>6.0192389868670562</c:v>
                </c:pt>
                <c:pt idx="4">
                  <c:v>4.8696554189098427</c:v>
                </c:pt>
                <c:pt idx="5">
                  <c:v>3.9736906675141834</c:v>
                </c:pt>
                <c:pt idx="6">
                  <c:v>3.2805789175662978</c:v>
                </c:pt>
                <c:pt idx="7">
                  <c:v>2.4891126349292718</c:v>
                </c:pt>
                <c:pt idx="8">
                  <c:v>2.3288906686472455</c:v>
                </c:pt>
                <c:pt idx="9">
                  <c:v>1.9422460550109131</c:v>
                </c:pt>
                <c:pt idx="10">
                  <c:v>1.5205445549513086</c:v>
                </c:pt>
                <c:pt idx="11">
                  <c:v>1.2840094024279032</c:v>
                </c:pt>
                <c:pt idx="12">
                  <c:v>0.99408858546297185</c:v>
                </c:pt>
                <c:pt idx="13">
                  <c:v>0.76410294603307016</c:v>
                </c:pt>
                <c:pt idx="14">
                  <c:v>0.21614571622868212</c:v>
                </c:pt>
                <c:pt idx="15">
                  <c:v>0.18031254469456867</c:v>
                </c:pt>
                <c:pt idx="16">
                  <c:v>0.14890014380108599</c:v>
                </c:pt>
                <c:pt idx="17">
                  <c:v>0.12819882565420249</c:v>
                </c:pt>
                <c:pt idx="18">
                  <c:v>9.8577973900478011E-2</c:v>
                </c:pt>
                <c:pt idx="19">
                  <c:v>7.7130840798076722E-2</c:v>
                </c:pt>
                <c:pt idx="20">
                  <c:v>3.3485035568983711E-2</c:v>
                </c:pt>
                <c:pt idx="21">
                  <c:v>2.8570498995547158E-2</c:v>
                </c:pt>
              </c:numCache>
            </c:numRef>
          </c:yVal>
        </c:ser>
        <c:ser>
          <c:idx val="2"/>
          <c:order val="2"/>
          <c:tx>
            <c:strRef>
              <c:f>range1!$N$130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range1!$B$134:$B$155</c:f>
              <c:numCache>
                <c:formatCode>0.0</c:formatCode>
                <c:ptCount val="22"/>
                <c:pt idx="0">
                  <c:v>12.825726800021135</c:v>
                </c:pt>
                <c:pt idx="1">
                  <c:v>9.4994572118508245</c:v>
                </c:pt>
                <c:pt idx="2">
                  <c:v>7.108076789685887</c:v>
                </c:pt>
                <c:pt idx="3">
                  <c:v>5.8108316409221263</c:v>
                </c:pt>
                <c:pt idx="4">
                  <c:v>4.7264524101014667</c:v>
                </c:pt>
                <c:pt idx="5">
                  <c:v>3.8737596974251551</c:v>
                </c:pt>
                <c:pt idx="6">
                  <c:v>3.2207968686872634</c:v>
                </c:pt>
                <c:pt idx="7">
                  <c:v>2.38707854456778</c:v>
                </c:pt>
                <c:pt idx="8">
                  <c:v>2.1590792663518994</c:v>
                </c:pt>
                <c:pt idx="9">
                  <c:v>1.7769039850931945</c:v>
                </c:pt>
                <c:pt idx="10">
                  <c:v>1.4370560182896255</c:v>
                </c:pt>
                <c:pt idx="11">
                  <c:v>1.1960743068778694</c:v>
                </c:pt>
                <c:pt idx="12">
                  <c:v>0.8864930899240453</c:v>
                </c:pt>
                <c:pt idx="13">
                  <c:v>0.66310300227883046</c:v>
                </c:pt>
                <c:pt idx="14">
                  <c:v>0.15701835940156691</c:v>
                </c:pt>
                <c:pt idx="15">
                  <c:v>0.12828800152468015</c:v>
                </c:pt>
                <c:pt idx="16">
                  <c:v>0.1052422464745905</c:v>
                </c:pt>
                <c:pt idx="17">
                  <c:v>8.7497019701430423E-2</c:v>
                </c:pt>
                <c:pt idx="18">
                  <c:v>6.4528090696904072E-2</c:v>
                </c:pt>
                <c:pt idx="19">
                  <c:v>4.8396071685701009E-2</c:v>
                </c:pt>
                <c:pt idx="20">
                  <c:v>1.6900215363934361E-2</c:v>
                </c:pt>
                <c:pt idx="21">
                  <c:v>1.3827448268123942E-2</c:v>
                </c:pt>
              </c:numCache>
            </c:numRef>
          </c:xVal>
          <c:yVal>
            <c:numRef>
              <c:f>range1!$N$134:$N$155</c:f>
              <c:numCache>
                <c:formatCode>General</c:formatCode>
                <c:ptCount val="22"/>
                <c:pt idx="0">
                  <c:v>55.776707090386559</c:v>
                </c:pt>
                <c:pt idx="1">
                  <c:v>41.559234382150095</c:v>
                </c:pt>
                <c:pt idx="2">
                  <c:v>31.237341249242753</c:v>
                </c:pt>
                <c:pt idx="3">
                  <c:v>26.207446338304177</c:v>
                </c:pt>
                <c:pt idx="4">
                  <c:v>21.204536944353148</c:v>
                </c:pt>
                <c:pt idx="5">
                  <c:v>17.306240824531283</c:v>
                </c:pt>
                <c:pt idx="6">
                  <c:v>14.270639386570124</c:v>
                </c:pt>
                <c:pt idx="7">
                  <c:v>10.83523696064521</c:v>
                </c:pt>
                <c:pt idx="8">
                  <c:v>10.162590057305263</c:v>
                </c:pt>
                <c:pt idx="9">
                  <c:v>8.4600305734861863</c:v>
                </c:pt>
                <c:pt idx="10">
                  <c:v>6.6188025832343254</c:v>
                </c:pt>
                <c:pt idx="11">
                  <c:v>5.5879118479820313</c:v>
                </c:pt>
                <c:pt idx="12">
                  <c:v>4.3361658803447556</c:v>
                </c:pt>
                <c:pt idx="13">
                  <c:v>3.3311410270029596</c:v>
                </c:pt>
                <c:pt idx="14">
                  <c:v>0.94594821357435754</c:v>
                </c:pt>
                <c:pt idx="15">
                  <c:v>0.7894253984188303</c:v>
                </c:pt>
                <c:pt idx="16">
                  <c:v>0.65144257459184796</c:v>
                </c:pt>
                <c:pt idx="17">
                  <c:v>0.56059501194257622</c:v>
                </c:pt>
                <c:pt idx="18">
                  <c:v>0.43187136753232647</c:v>
                </c:pt>
                <c:pt idx="19">
                  <c:v>0.33898791265988204</c:v>
                </c:pt>
                <c:pt idx="20">
                  <c:v>0.14965683551092646</c:v>
                </c:pt>
                <c:pt idx="21">
                  <c:v>0.12518015584548758</c:v>
                </c:pt>
              </c:numCache>
            </c:numRef>
          </c:yVal>
        </c:ser>
        <c:axId val="154277760"/>
        <c:axId val="154243072"/>
      </c:scatterChart>
      <c:valAx>
        <c:axId val="1542777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0" sourceLinked="0"/>
        <c:tickLblPos val="nextTo"/>
        <c:crossAx val="154243072"/>
        <c:crosses val="autoZero"/>
        <c:crossBetween val="midCat"/>
      </c:valAx>
      <c:valAx>
        <c:axId val="15424307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</c:title>
        <c:numFmt formatCode="General" sourceLinked="1"/>
        <c:tickLblPos val="nextTo"/>
        <c:crossAx val="15427776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range0!$C$193</c:f>
          <c:strCache>
            <c:ptCount val="1"/>
            <c:pt idx="0">
              <c:v>29121: Offset Histogram=0+/-0.02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spPr>
            <a:ln w="28575">
              <a:noFill/>
            </a:ln>
          </c:spPr>
          <c:cat>
            <c:numRef>
              <c:f>range0!$M$197:$M$202</c:f>
              <c:numCache>
                <c:formatCode>0.000</c:formatCode>
                <c:ptCount val="6"/>
                <c:pt idx="0">
                  <c:v>-1.8411875065153335E-2</c:v>
                </c:pt>
                <c:pt idx="1">
                  <c:v>-9.9243086299487422E-3</c:v>
                </c:pt>
                <c:pt idx="2">
                  <c:v>-1.4367421947441492E-3</c:v>
                </c:pt>
                <c:pt idx="3">
                  <c:v>7.0508242404604439E-3</c:v>
                </c:pt>
                <c:pt idx="4">
                  <c:v>1.5538390675665037E-2</c:v>
                </c:pt>
                <c:pt idx="5">
                  <c:v>2.402595711086963E-2</c:v>
                </c:pt>
              </c:numCache>
            </c:numRef>
          </c:cat>
          <c:val>
            <c:numRef>
              <c:f>range0!$N$197:$N$202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</c:v>
                </c:pt>
                <c:pt idx="4">
                  <c:v>0</c:v>
                </c:pt>
                <c:pt idx="5">
                  <c:v>5</c:v>
                </c:pt>
              </c:numCache>
            </c:numRef>
          </c:val>
        </c:ser>
        <c:axId val="154275840"/>
        <c:axId val="154314624"/>
      </c:barChart>
      <c:catAx>
        <c:axId val="1542758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Offset (Lux)</a:t>
                </a:r>
              </a:p>
            </c:rich>
          </c:tx>
        </c:title>
        <c:numFmt formatCode="0.000" sourceLinked="1"/>
        <c:tickLblPos val="nextTo"/>
        <c:crossAx val="154314624"/>
        <c:crosses val="autoZero"/>
        <c:auto val="1"/>
        <c:lblAlgn val="ctr"/>
        <c:lblOffset val="100"/>
      </c:catAx>
      <c:valAx>
        <c:axId val="15431462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154275840"/>
        <c:crosses val="autoZero"/>
        <c:crossBetween val="between"/>
      </c:valAx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range1!$C$193</c:f>
          <c:strCache>
            <c:ptCount val="1"/>
            <c:pt idx="0">
              <c:v>29121: Offset Histogram=0.01+/-0.05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spPr>
            <a:ln w="28575">
              <a:noFill/>
            </a:ln>
          </c:spPr>
          <c:cat>
            <c:numRef>
              <c:f>range1!$M$197:$M$202</c:f>
              <c:numCache>
                <c:formatCode>0.000</c:formatCode>
                <c:ptCount val="6"/>
                <c:pt idx="0">
                  <c:v>-3.6533489328557038E-2</c:v>
                </c:pt>
                <c:pt idx="1">
                  <c:v>-1.9387859754430189E-2</c:v>
                </c:pt>
                <c:pt idx="2">
                  <c:v>-2.2422301803033395E-3</c:v>
                </c:pt>
                <c:pt idx="3">
                  <c:v>1.490339939382351E-2</c:v>
                </c:pt>
                <c:pt idx="4">
                  <c:v>3.2049028967950359E-2</c:v>
                </c:pt>
                <c:pt idx="5">
                  <c:v>4.9194658542077205E-2</c:v>
                </c:pt>
              </c:numCache>
            </c:numRef>
          </c:cat>
          <c:val>
            <c:numRef>
              <c:f>range1!$N$197:$N$202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</c:v>
                </c:pt>
                <c:pt idx="4">
                  <c:v>0</c:v>
                </c:pt>
                <c:pt idx="5">
                  <c:v>5</c:v>
                </c:pt>
              </c:numCache>
            </c:numRef>
          </c:val>
        </c:ser>
        <c:axId val="154335488"/>
        <c:axId val="153564288"/>
      </c:barChart>
      <c:catAx>
        <c:axId val="1543354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Offset (Lux)</a:t>
                </a:r>
              </a:p>
            </c:rich>
          </c:tx>
        </c:title>
        <c:numFmt formatCode="0.000" sourceLinked="1"/>
        <c:tickLblPos val="nextTo"/>
        <c:crossAx val="153564288"/>
        <c:crosses val="autoZero"/>
        <c:auto val="1"/>
        <c:lblAlgn val="ctr"/>
        <c:lblOffset val="100"/>
      </c:catAx>
      <c:valAx>
        <c:axId val="15356428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154335488"/>
        <c:crosses val="autoZero"/>
        <c:crossBetween val="between"/>
      </c:valAx>
    </c:plotArea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range0!$I$163</c:f>
          <c:strCache>
            <c:ptCount val="1"/>
            <c:pt idx="0">
              <c:v>29121: INL=4.3% FSR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range0!$H$166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range0!$B$177:$B$191</c:f>
              <c:numCache>
                <c:formatCode>0.0</c:formatCode>
                <c:ptCount val="15"/>
                <c:pt idx="0">
                  <c:v>2.38707854456778</c:v>
                </c:pt>
                <c:pt idx="1">
                  <c:v>2.1590792663518994</c:v>
                </c:pt>
                <c:pt idx="2">
                  <c:v>1.7769039850931945</c:v>
                </c:pt>
                <c:pt idx="3">
                  <c:v>1.4370560182896255</c:v>
                </c:pt>
                <c:pt idx="4">
                  <c:v>1.1960743068778694</c:v>
                </c:pt>
                <c:pt idx="5">
                  <c:v>0.8864930899240453</c:v>
                </c:pt>
                <c:pt idx="6">
                  <c:v>0.66310300227883046</c:v>
                </c:pt>
                <c:pt idx="7">
                  <c:v>0.15701835940156691</c:v>
                </c:pt>
                <c:pt idx="8">
                  <c:v>0.12828800152468015</c:v>
                </c:pt>
                <c:pt idx="9">
                  <c:v>0.1052422464745905</c:v>
                </c:pt>
                <c:pt idx="10">
                  <c:v>8.7497019701430423E-2</c:v>
                </c:pt>
                <c:pt idx="11">
                  <c:v>6.4528090696904072E-2</c:v>
                </c:pt>
                <c:pt idx="12">
                  <c:v>4.8396071685701009E-2</c:v>
                </c:pt>
                <c:pt idx="13">
                  <c:v>1.6900215363934361E-2</c:v>
                </c:pt>
                <c:pt idx="14">
                  <c:v>1.3827448268123942E-2</c:v>
                </c:pt>
              </c:numCache>
            </c:numRef>
          </c:xVal>
          <c:yVal>
            <c:numRef>
              <c:f>range0!$H$177:$H$191</c:f>
              <c:numCache>
                <c:formatCode>0.00%</c:formatCode>
                <c:ptCount val="15"/>
                <c:pt idx="0">
                  <c:v>-1.7410964734560049E-2</c:v>
                </c:pt>
                <c:pt idx="1">
                  <c:v>-1.3558399275462331E-2</c:v>
                </c:pt>
                <c:pt idx="2">
                  <c:v>-1.3154806821190041E-2</c:v>
                </c:pt>
                <c:pt idx="3">
                  <c:v>-8.8258379480683179E-3</c:v>
                </c:pt>
                <c:pt idx="4">
                  <c:v>-6.1970329285392168E-3</c:v>
                </c:pt>
                <c:pt idx="5">
                  <c:v>-1.0576131373750063E-2</c:v>
                </c:pt>
                <c:pt idx="6">
                  <c:v>-7.6852382132091652E-3</c:v>
                </c:pt>
                <c:pt idx="7">
                  <c:v>-6.1732436644601702E-3</c:v>
                </c:pt>
                <c:pt idx="8">
                  <c:v>-5.1893752095482533E-3</c:v>
                </c:pt>
                <c:pt idx="9">
                  <c:v>-3.7990673035483077E-3</c:v>
                </c:pt>
                <c:pt idx="10">
                  <c:v>-2.934053785048879E-3</c:v>
                </c:pt>
                <c:pt idx="11">
                  <c:v>-2.6166450470785766E-3</c:v>
                </c:pt>
                <c:pt idx="12">
                  <c:v>-1.8454669669985379E-3</c:v>
                </c:pt>
                <c:pt idx="13">
                  <c:v>-2.8397491866374007E-4</c:v>
                </c:pt>
                <c:pt idx="14">
                  <c:v>-6.0741475078990521E-11</c:v>
                </c:pt>
              </c:numCache>
            </c:numRef>
          </c:yVal>
        </c:ser>
        <c:ser>
          <c:idx val="1"/>
          <c:order val="1"/>
          <c:tx>
            <c:strRef>
              <c:f>range0!$I$166</c:f>
              <c:strCache>
                <c:ptCount val="1"/>
                <c:pt idx="0">
                  <c:v>AVG</c:v>
                </c:pt>
              </c:strCache>
            </c:strRef>
          </c:tx>
          <c:xVal>
            <c:numRef>
              <c:f>range0!$B$177:$B$191</c:f>
              <c:numCache>
                <c:formatCode>0.0</c:formatCode>
                <c:ptCount val="15"/>
                <c:pt idx="0">
                  <c:v>2.38707854456778</c:v>
                </c:pt>
                <c:pt idx="1">
                  <c:v>2.1590792663518994</c:v>
                </c:pt>
                <c:pt idx="2">
                  <c:v>1.7769039850931945</c:v>
                </c:pt>
                <c:pt idx="3">
                  <c:v>1.4370560182896255</c:v>
                </c:pt>
                <c:pt idx="4">
                  <c:v>1.1960743068778694</c:v>
                </c:pt>
                <c:pt idx="5">
                  <c:v>0.8864930899240453</c:v>
                </c:pt>
                <c:pt idx="6">
                  <c:v>0.66310300227883046</c:v>
                </c:pt>
                <c:pt idx="7">
                  <c:v>0.15701835940156691</c:v>
                </c:pt>
                <c:pt idx="8">
                  <c:v>0.12828800152468015</c:v>
                </c:pt>
                <c:pt idx="9">
                  <c:v>0.1052422464745905</c:v>
                </c:pt>
                <c:pt idx="10">
                  <c:v>8.7497019701430423E-2</c:v>
                </c:pt>
                <c:pt idx="11">
                  <c:v>6.4528090696904072E-2</c:v>
                </c:pt>
                <c:pt idx="12">
                  <c:v>4.8396071685701009E-2</c:v>
                </c:pt>
                <c:pt idx="13">
                  <c:v>1.6900215363934361E-2</c:v>
                </c:pt>
                <c:pt idx="14">
                  <c:v>1.3827448268123942E-2</c:v>
                </c:pt>
              </c:numCache>
            </c:numRef>
          </c:xVal>
          <c:yVal>
            <c:numRef>
              <c:f>range0!$I$177:$I$191</c:f>
              <c:numCache>
                <c:formatCode>0.00%</c:formatCode>
                <c:ptCount val="15"/>
                <c:pt idx="0">
                  <c:v>-3.5537583062186166E-3</c:v>
                </c:pt>
                <c:pt idx="1">
                  <c:v>-2.6520637123920408E-3</c:v>
                </c:pt>
                <c:pt idx="2">
                  <c:v>-2.6380456220698972E-3</c:v>
                </c:pt>
                <c:pt idx="3">
                  <c:v>-1.634611719328598E-3</c:v>
                </c:pt>
                <c:pt idx="4">
                  <c:v>-1.1588519401193266E-3</c:v>
                </c:pt>
                <c:pt idx="5">
                  <c:v>-2.2127133191455904E-3</c:v>
                </c:pt>
                <c:pt idx="6">
                  <c:v>-1.6106932316890714E-3</c:v>
                </c:pt>
                <c:pt idx="7">
                  <c:v>-1.3327510404627469E-3</c:v>
                </c:pt>
                <c:pt idx="8">
                  <c:v>-1.1477354854651997E-3</c:v>
                </c:pt>
                <c:pt idx="9">
                  <c:v>-8.3229573351990512E-4</c:v>
                </c:pt>
                <c:pt idx="10">
                  <c:v>-6.4392041438448243E-4</c:v>
                </c:pt>
                <c:pt idx="11">
                  <c:v>-5.7329917904307484E-4</c:v>
                </c:pt>
                <c:pt idx="12">
                  <c:v>-4.0782465718845902E-4</c:v>
                </c:pt>
                <c:pt idx="13">
                  <c:v>-4.5594412178944429E-5</c:v>
                </c:pt>
                <c:pt idx="14">
                  <c:v>-6.7255059629009998E-12</c:v>
                </c:pt>
              </c:numCache>
            </c:numRef>
          </c:yVal>
        </c:ser>
        <c:ser>
          <c:idx val="2"/>
          <c:order val="2"/>
          <c:tx>
            <c:strRef>
              <c:f>range0!$J$166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range0!$B$177:$B$191</c:f>
              <c:numCache>
                <c:formatCode>0.0</c:formatCode>
                <c:ptCount val="15"/>
                <c:pt idx="0">
                  <c:v>2.38707854456778</c:v>
                </c:pt>
                <c:pt idx="1">
                  <c:v>2.1590792663518994</c:v>
                </c:pt>
                <c:pt idx="2">
                  <c:v>1.7769039850931945</c:v>
                </c:pt>
                <c:pt idx="3">
                  <c:v>1.4370560182896255</c:v>
                </c:pt>
                <c:pt idx="4">
                  <c:v>1.1960743068778694</c:v>
                </c:pt>
                <c:pt idx="5">
                  <c:v>0.8864930899240453</c:v>
                </c:pt>
                <c:pt idx="6">
                  <c:v>0.66310300227883046</c:v>
                </c:pt>
                <c:pt idx="7">
                  <c:v>0.15701835940156691</c:v>
                </c:pt>
                <c:pt idx="8">
                  <c:v>0.12828800152468015</c:v>
                </c:pt>
                <c:pt idx="9">
                  <c:v>0.1052422464745905</c:v>
                </c:pt>
                <c:pt idx="10">
                  <c:v>8.7497019701430423E-2</c:v>
                </c:pt>
                <c:pt idx="11">
                  <c:v>6.4528090696904072E-2</c:v>
                </c:pt>
                <c:pt idx="12">
                  <c:v>4.8396071685701009E-2</c:v>
                </c:pt>
                <c:pt idx="13">
                  <c:v>1.6900215363934361E-2</c:v>
                </c:pt>
                <c:pt idx="14">
                  <c:v>1.3827448268123942E-2</c:v>
                </c:pt>
              </c:numCache>
            </c:numRef>
          </c:xVal>
          <c:yVal>
            <c:numRef>
              <c:f>range0!$J$177:$J$191</c:f>
              <c:numCache>
                <c:formatCode>0.00%</c:formatCode>
                <c:ptCount val="15"/>
                <c:pt idx="0">
                  <c:v>1.0303448122122815E-2</c:v>
                </c:pt>
                <c:pt idx="1">
                  <c:v>8.2542718506782489E-3</c:v>
                </c:pt>
                <c:pt idx="2">
                  <c:v>7.8787155770502475E-3</c:v>
                </c:pt>
                <c:pt idx="3">
                  <c:v>5.5566145094111214E-3</c:v>
                </c:pt>
                <c:pt idx="4">
                  <c:v>3.8793290483005631E-3</c:v>
                </c:pt>
                <c:pt idx="5">
                  <c:v>6.1507047354588821E-3</c:v>
                </c:pt>
                <c:pt idx="6">
                  <c:v>4.4638517498310224E-3</c:v>
                </c:pt>
                <c:pt idx="7">
                  <c:v>3.5077415835346767E-3</c:v>
                </c:pt>
                <c:pt idx="8">
                  <c:v>2.8939042386178539E-3</c:v>
                </c:pt>
                <c:pt idx="9">
                  <c:v>2.1344758365084977E-3</c:v>
                </c:pt>
                <c:pt idx="10">
                  <c:v>1.6462129562799142E-3</c:v>
                </c:pt>
                <c:pt idx="11">
                  <c:v>1.4700466889924267E-3</c:v>
                </c:pt>
                <c:pt idx="12">
                  <c:v>1.0298176526216197E-3</c:v>
                </c:pt>
                <c:pt idx="13">
                  <c:v>1.9278609430585126E-4</c:v>
                </c:pt>
                <c:pt idx="14">
                  <c:v>4.7290463153188526E-11</c:v>
                </c:pt>
              </c:numCache>
            </c:numRef>
          </c:yVal>
        </c:ser>
        <c:axId val="153586688"/>
        <c:axId val="154440064"/>
      </c:scatterChart>
      <c:valAx>
        <c:axId val="1535866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0.0" sourceLinked="1"/>
        <c:tickLblPos val="nextTo"/>
        <c:crossAx val="154440064"/>
        <c:crosses val="autoZero"/>
        <c:crossBetween val="midCat"/>
      </c:valAx>
      <c:valAx>
        <c:axId val="15444006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%FSR</a:t>
                </a:r>
              </a:p>
            </c:rich>
          </c:tx>
        </c:title>
        <c:numFmt formatCode="0.00%" sourceLinked="1"/>
        <c:tickLblPos val="nextTo"/>
        <c:crossAx val="15358668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range1!$I$163</c:f>
          <c:strCache>
            <c:ptCount val="1"/>
            <c:pt idx="0">
              <c:v>29121: INL=10.4% FSR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range1!$H$166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range1!$B$170:$B$191</c:f>
              <c:numCache>
                <c:formatCode>0.0</c:formatCode>
                <c:ptCount val="22"/>
                <c:pt idx="0">
                  <c:v>12.825726800021135</c:v>
                </c:pt>
                <c:pt idx="1">
                  <c:v>9.4994572118508245</c:v>
                </c:pt>
                <c:pt idx="2">
                  <c:v>7.108076789685887</c:v>
                </c:pt>
                <c:pt idx="3">
                  <c:v>5.8108316409221263</c:v>
                </c:pt>
                <c:pt idx="4">
                  <c:v>4.7264524101014667</c:v>
                </c:pt>
                <c:pt idx="5">
                  <c:v>3.8737596974251551</c:v>
                </c:pt>
                <c:pt idx="6">
                  <c:v>3.2207968686872634</c:v>
                </c:pt>
                <c:pt idx="7">
                  <c:v>2.38707854456778</c:v>
                </c:pt>
                <c:pt idx="8">
                  <c:v>2.1590792663518994</c:v>
                </c:pt>
                <c:pt idx="9">
                  <c:v>1.7769039850931945</c:v>
                </c:pt>
                <c:pt idx="10">
                  <c:v>1.4370560182896255</c:v>
                </c:pt>
                <c:pt idx="11">
                  <c:v>1.1960743068778694</c:v>
                </c:pt>
                <c:pt idx="12">
                  <c:v>0.8864930899240453</c:v>
                </c:pt>
                <c:pt idx="13">
                  <c:v>0.66310300227883046</c:v>
                </c:pt>
                <c:pt idx="14">
                  <c:v>0.15701835940156691</c:v>
                </c:pt>
                <c:pt idx="15">
                  <c:v>0.12828800152468015</c:v>
                </c:pt>
                <c:pt idx="16">
                  <c:v>0.1052422464745905</c:v>
                </c:pt>
                <c:pt idx="17">
                  <c:v>8.7497019701430423E-2</c:v>
                </c:pt>
                <c:pt idx="18">
                  <c:v>6.4528090696904072E-2</c:v>
                </c:pt>
                <c:pt idx="19">
                  <c:v>4.8396071685701009E-2</c:v>
                </c:pt>
                <c:pt idx="20">
                  <c:v>1.6900215363934361E-2</c:v>
                </c:pt>
                <c:pt idx="21">
                  <c:v>1.3827448268123942E-2</c:v>
                </c:pt>
              </c:numCache>
            </c:numRef>
          </c:xVal>
          <c:yVal>
            <c:numRef>
              <c:f>range1!$H$170:$H$191</c:f>
              <c:numCache>
                <c:formatCode>0.00%</c:formatCode>
                <c:ptCount val="22"/>
                <c:pt idx="0">
                  <c:v>-4.9187284528454965E-2</c:v>
                </c:pt>
                <c:pt idx="1">
                  <c:v>-3.6259085089522962E-2</c:v>
                </c:pt>
                <c:pt idx="2">
                  <c:v>-3.2457042010939949E-2</c:v>
                </c:pt>
                <c:pt idx="3">
                  <c:v>-6.9117652069744684E-2</c:v>
                </c:pt>
                <c:pt idx="4">
                  <c:v>-4.9623542879783822E-2</c:v>
                </c:pt>
                <c:pt idx="5">
                  <c:v>-4.0124527086571708E-2</c:v>
                </c:pt>
                <c:pt idx="6">
                  <c:v>-1.8995063039870849E-2</c:v>
                </c:pt>
                <c:pt idx="7">
                  <c:v>-2.5462665063068848E-2</c:v>
                </c:pt>
                <c:pt idx="8">
                  <c:v>-4.2895992300853364E-2</c:v>
                </c:pt>
                <c:pt idx="9">
                  <c:v>-3.6731139926390828E-2</c:v>
                </c:pt>
                <c:pt idx="10">
                  <c:v>-1.8103775981828902E-2</c:v>
                </c:pt>
                <c:pt idx="11">
                  <c:v>-1.7501017010695251E-2</c:v>
                </c:pt>
                <c:pt idx="12">
                  <c:v>-2.1973237191261773E-2</c:v>
                </c:pt>
                <c:pt idx="13">
                  <c:v>-1.8931560742438756E-2</c:v>
                </c:pt>
                <c:pt idx="14">
                  <c:v>-9.3385853857285341E-3</c:v>
                </c:pt>
                <c:pt idx="15">
                  <c:v>-7.8413111637595963E-3</c:v>
                </c:pt>
                <c:pt idx="16">
                  <c:v>-6.1014387469312719E-3</c:v>
                </c:pt>
                <c:pt idx="17">
                  <c:v>-5.3244599170925574E-3</c:v>
                </c:pt>
                <c:pt idx="18">
                  <c:v>-4.0184816088191079E-3</c:v>
                </c:pt>
                <c:pt idx="19">
                  <c:v>-3.0930849229965141E-3</c:v>
                </c:pt>
                <c:pt idx="20">
                  <c:v>-1.064100724610011E-3</c:v>
                </c:pt>
                <c:pt idx="21">
                  <c:v>-1.0785601710958747E-10</c:v>
                </c:pt>
              </c:numCache>
            </c:numRef>
          </c:yVal>
        </c:ser>
        <c:ser>
          <c:idx val="1"/>
          <c:order val="1"/>
          <c:tx>
            <c:strRef>
              <c:f>range1!$I$166</c:f>
              <c:strCache>
                <c:ptCount val="1"/>
                <c:pt idx="0">
                  <c:v>AVG</c:v>
                </c:pt>
              </c:strCache>
            </c:strRef>
          </c:tx>
          <c:xVal>
            <c:numRef>
              <c:f>range1!$B$170:$B$191</c:f>
              <c:numCache>
                <c:formatCode>0.0</c:formatCode>
                <c:ptCount val="22"/>
                <c:pt idx="0">
                  <c:v>12.825726800021135</c:v>
                </c:pt>
                <c:pt idx="1">
                  <c:v>9.4994572118508245</c:v>
                </c:pt>
                <c:pt idx="2">
                  <c:v>7.108076789685887</c:v>
                </c:pt>
                <c:pt idx="3">
                  <c:v>5.8108316409221263</c:v>
                </c:pt>
                <c:pt idx="4">
                  <c:v>4.7264524101014667</c:v>
                </c:pt>
                <c:pt idx="5">
                  <c:v>3.8737596974251551</c:v>
                </c:pt>
                <c:pt idx="6">
                  <c:v>3.2207968686872634</c:v>
                </c:pt>
                <c:pt idx="7">
                  <c:v>2.38707854456778</c:v>
                </c:pt>
                <c:pt idx="8">
                  <c:v>2.1590792663518994</c:v>
                </c:pt>
                <c:pt idx="9">
                  <c:v>1.7769039850931945</c:v>
                </c:pt>
                <c:pt idx="10">
                  <c:v>1.4370560182896255</c:v>
                </c:pt>
                <c:pt idx="11">
                  <c:v>1.1960743068778694</c:v>
                </c:pt>
                <c:pt idx="12">
                  <c:v>0.8864930899240453</c:v>
                </c:pt>
                <c:pt idx="13">
                  <c:v>0.66310300227883046</c:v>
                </c:pt>
                <c:pt idx="14">
                  <c:v>0.15701835940156691</c:v>
                </c:pt>
                <c:pt idx="15">
                  <c:v>0.12828800152468015</c:v>
                </c:pt>
                <c:pt idx="16">
                  <c:v>0.1052422464745905</c:v>
                </c:pt>
                <c:pt idx="17">
                  <c:v>8.7497019701430423E-2</c:v>
                </c:pt>
                <c:pt idx="18">
                  <c:v>6.4528090696904072E-2</c:v>
                </c:pt>
                <c:pt idx="19">
                  <c:v>4.8396071685701009E-2</c:v>
                </c:pt>
                <c:pt idx="20">
                  <c:v>1.6900215363934361E-2</c:v>
                </c:pt>
                <c:pt idx="21">
                  <c:v>1.3827448268123942E-2</c:v>
                </c:pt>
              </c:numCache>
            </c:numRef>
          </c:xVal>
          <c:yVal>
            <c:numRef>
              <c:f>range1!$I$170:$I$191</c:f>
              <c:numCache>
                <c:formatCode>0.00%</c:formatCode>
                <c:ptCount val="22"/>
                <c:pt idx="0">
                  <c:v>-5.7805145731126377E-3</c:v>
                </c:pt>
                <c:pt idx="1">
                  <c:v>-6.5097078612646334E-3</c:v>
                </c:pt>
                <c:pt idx="2">
                  <c:v>-6.147727949576234E-3</c:v>
                </c:pt>
                <c:pt idx="3">
                  <c:v>-1.1268637466263007E-2</c:v>
                </c:pt>
                <c:pt idx="4">
                  <c:v>-7.9090977887274743E-3</c:v>
                </c:pt>
                <c:pt idx="5">
                  <c:v>-5.612934660542696E-3</c:v>
                </c:pt>
                <c:pt idx="6">
                  <c:v>-3.5517108754753875E-3</c:v>
                </c:pt>
                <c:pt idx="7">
                  <c:v>-4.9591156694531076E-3</c:v>
                </c:pt>
                <c:pt idx="8">
                  <c:v>-7.7724372297274325E-3</c:v>
                </c:pt>
                <c:pt idx="9">
                  <c:v>-7.387965286707333E-3</c:v>
                </c:pt>
                <c:pt idx="10">
                  <c:v>-3.6822187553926132E-3</c:v>
                </c:pt>
                <c:pt idx="11">
                  <c:v>-3.7535755486108146E-3</c:v>
                </c:pt>
                <c:pt idx="12">
                  <c:v>-4.4477071040728063E-3</c:v>
                </c:pt>
                <c:pt idx="13">
                  <c:v>-4.0509305352933855E-3</c:v>
                </c:pt>
                <c:pt idx="14">
                  <c:v>-1.988825510075936E-3</c:v>
                </c:pt>
                <c:pt idx="15">
                  <c:v>-1.6676411625274165E-3</c:v>
                </c:pt>
                <c:pt idx="16">
                  <c:v>-1.294715072329223E-3</c:v>
                </c:pt>
                <c:pt idx="17">
                  <c:v>-1.1581435228900068E-3</c:v>
                </c:pt>
                <c:pt idx="18">
                  <c:v>-8.5932041111294827E-4</c:v>
                </c:pt>
                <c:pt idx="19">
                  <c:v>-6.2166296946483571E-4</c:v>
                </c:pt>
                <c:pt idx="20">
                  <c:v>-8.1091153816981206E-5</c:v>
                </c:pt>
                <c:pt idx="21">
                  <c:v>-5.4897728963612107E-12</c:v>
                </c:pt>
              </c:numCache>
            </c:numRef>
          </c:yVal>
        </c:ser>
        <c:ser>
          <c:idx val="2"/>
          <c:order val="2"/>
          <c:tx>
            <c:strRef>
              <c:f>range1!$J$166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range1!$B$170:$B$191</c:f>
              <c:numCache>
                <c:formatCode>0.0</c:formatCode>
                <c:ptCount val="22"/>
                <c:pt idx="0">
                  <c:v>12.825726800021135</c:v>
                </c:pt>
                <c:pt idx="1">
                  <c:v>9.4994572118508245</c:v>
                </c:pt>
                <c:pt idx="2">
                  <c:v>7.108076789685887</c:v>
                </c:pt>
                <c:pt idx="3">
                  <c:v>5.8108316409221263</c:v>
                </c:pt>
                <c:pt idx="4">
                  <c:v>4.7264524101014667</c:v>
                </c:pt>
                <c:pt idx="5">
                  <c:v>3.8737596974251551</c:v>
                </c:pt>
                <c:pt idx="6">
                  <c:v>3.2207968686872634</c:v>
                </c:pt>
                <c:pt idx="7">
                  <c:v>2.38707854456778</c:v>
                </c:pt>
                <c:pt idx="8">
                  <c:v>2.1590792663518994</c:v>
                </c:pt>
                <c:pt idx="9">
                  <c:v>1.7769039850931945</c:v>
                </c:pt>
                <c:pt idx="10">
                  <c:v>1.4370560182896255</c:v>
                </c:pt>
                <c:pt idx="11">
                  <c:v>1.1960743068778694</c:v>
                </c:pt>
                <c:pt idx="12">
                  <c:v>0.8864930899240453</c:v>
                </c:pt>
                <c:pt idx="13">
                  <c:v>0.66310300227883046</c:v>
                </c:pt>
                <c:pt idx="14">
                  <c:v>0.15701835940156691</c:v>
                </c:pt>
                <c:pt idx="15">
                  <c:v>0.12828800152468015</c:v>
                </c:pt>
                <c:pt idx="16">
                  <c:v>0.1052422464745905</c:v>
                </c:pt>
                <c:pt idx="17">
                  <c:v>8.7497019701430423E-2</c:v>
                </c:pt>
                <c:pt idx="18">
                  <c:v>6.4528090696904072E-2</c:v>
                </c:pt>
                <c:pt idx="19">
                  <c:v>4.8396071685701009E-2</c:v>
                </c:pt>
                <c:pt idx="20">
                  <c:v>1.6900215363934361E-2</c:v>
                </c:pt>
                <c:pt idx="21">
                  <c:v>1.3827448268123942E-2</c:v>
                </c:pt>
              </c:numCache>
            </c:numRef>
          </c:xVal>
          <c:yVal>
            <c:numRef>
              <c:f>range1!$J$170:$J$191</c:f>
              <c:numCache>
                <c:formatCode>0.00%</c:formatCode>
                <c:ptCount val="22"/>
                <c:pt idx="0">
                  <c:v>3.762625538222969E-2</c:v>
                </c:pt>
                <c:pt idx="1">
                  <c:v>2.3239669366993697E-2</c:v>
                </c:pt>
                <c:pt idx="2">
                  <c:v>2.0161586111787477E-2</c:v>
                </c:pt>
                <c:pt idx="3">
                  <c:v>4.6580377137218673E-2</c:v>
                </c:pt>
                <c:pt idx="4">
                  <c:v>3.3805347302328863E-2</c:v>
                </c:pt>
                <c:pt idx="5">
                  <c:v>2.8898657765486314E-2</c:v>
                </c:pt>
                <c:pt idx="6">
                  <c:v>1.1891641288920075E-2</c:v>
                </c:pt>
                <c:pt idx="7">
                  <c:v>1.5544433724162636E-2</c:v>
                </c:pt>
                <c:pt idx="8">
                  <c:v>2.7351117841398501E-2</c:v>
                </c:pt>
                <c:pt idx="9">
                  <c:v>2.1955209352976165E-2</c:v>
                </c:pt>
                <c:pt idx="10">
                  <c:v>1.0739338471043676E-2</c:v>
                </c:pt>
                <c:pt idx="11">
                  <c:v>9.9938659134736207E-3</c:v>
                </c:pt>
                <c:pt idx="12">
                  <c:v>1.3077822983116157E-2</c:v>
                </c:pt>
                <c:pt idx="13">
                  <c:v>1.0829699671851985E-2</c:v>
                </c:pt>
                <c:pt idx="14">
                  <c:v>5.3609343655766622E-3</c:v>
                </c:pt>
                <c:pt idx="15">
                  <c:v>4.5060288387047632E-3</c:v>
                </c:pt>
                <c:pt idx="16">
                  <c:v>3.5120086022728259E-3</c:v>
                </c:pt>
                <c:pt idx="17">
                  <c:v>3.0081728713125442E-3</c:v>
                </c:pt>
                <c:pt idx="18">
                  <c:v>2.2998407865932116E-3</c:v>
                </c:pt>
                <c:pt idx="19">
                  <c:v>1.8497589840668427E-3</c:v>
                </c:pt>
                <c:pt idx="20">
                  <c:v>9.0191841697604867E-4</c:v>
                </c:pt>
                <c:pt idx="21">
                  <c:v>9.6876471316865057E-11</c:v>
                </c:pt>
              </c:numCache>
            </c:numRef>
          </c:yVal>
        </c:ser>
        <c:axId val="154644864"/>
        <c:axId val="154646784"/>
      </c:scatterChart>
      <c:valAx>
        <c:axId val="1546448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0.0" sourceLinked="1"/>
        <c:tickLblPos val="nextTo"/>
        <c:crossAx val="154646784"/>
        <c:crosses val="autoZero"/>
        <c:crossBetween val="midCat"/>
      </c:valAx>
      <c:valAx>
        <c:axId val="1546467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%FSR</a:t>
                </a:r>
              </a:p>
            </c:rich>
          </c:tx>
        </c:title>
        <c:numFmt formatCode="0.00%" sourceLinked="1"/>
        <c:tickLblPos val="nextTo"/>
        <c:crossAx val="15464486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range0!$L$95</c:f>
          <c:strCache>
            <c:ptCount val="1"/>
            <c:pt idx="0">
              <c:v>29121: CCT in/out Scatter Plot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trendline>
            <c:trendlineType val="linear"/>
            <c:dispEq val="1"/>
            <c:trendlineLbl>
              <c:layout>
                <c:manualLayout>
                  <c:x val="-9.4627077865267042E-2"/>
                  <c:y val="-1.2752988508556655E-2"/>
                </c:manualLayout>
              </c:layout>
              <c:numFmt formatCode="General" sourceLinked="0"/>
            </c:trendlineLbl>
          </c:trendline>
          <c:xVal>
            <c:numRef>
              <c:f>range0!$C$109:$C$123</c:f>
              <c:numCache>
                <c:formatCode>0.0</c:formatCode>
                <c:ptCount val="15"/>
                <c:pt idx="0">
                  <c:v>4005.5</c:v>
                </c:pt>
                <c:pt idx="1">
                  <c:v>4009.6</c:v>
                </c:pt>
                <c:pt idx="2">
                  <c:v>4016.5</c:v>
                </c:pt>
                <c:pt idx="3">
                  <c:v>4064.6</c:v>
                </c:pt>
                <c:pt idx="4">
                  <c:v>4054.6</c:v>
                </c:pt>
                <c:pt idx="5">
                  <c:v>4035.6</c:v>
                </c:pt>
                <c:pt idx="6">
                  <c:v>4046.8</c:v>
                </c:pt>
                <c:pt idx="7">
                  <c:v>3830.6</c:v>
                </c:pt>
                <c:pt idx="8">
                  <c:v>3852.3</c:v>
                </c:pt>
                <c:pt idx="9">
                  <c:v>3884.6</c:v>
                </c:pt>
                <c:pt idx="10">
                  <c:v>3874</c:v>
                </c:pt>
                <c:pt idx="11">
                  <c:v>3852.9</c:v>
                </c:pt>
                <c:pt idx="12">
                  <c:v>3862.8</c:v>
                </c:pt>
                <c:pt idx="13">
                  <c:v>3782.2</c:v>
                </c:pt>
                <c:pt idx="14">
                  <c:v>3801.6</c:v>
                </c:pt>
              </c:numCache>
            </c:numRef>
          </c:xVal>
          <c:yVal>
            <c:numRef>
              <c:f>range0!$M$109:$M$123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</c:ser>
        <c:axId val="154780416"/>
        <c:axId val="154782336"/>
      </c:scatterChart>
      <c:valAx>
        <c:axId val="154780416"/>
        <c:scaling>
          <c:orientation val="minMax"/>
          <c:max val="45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CCT in</a:t>
                </a:r>
              </a:p>
            </c:rich>
          </c:tx>
        </c:title>
        <c:numFmt formatCode="0" sourceLinked="0"/>
        <c:tickLblPos val="nextTo"/>
        <c:crossAx val="154782336"/>
        <c:crosses val="autoZero"/>
        <c:crossBetween val="midCat"/>
      </c:valAx>
      <c:valAx>
        <c:axId val="154782336"/>
        <c:scaling>
          <c:orientation val="minMax"/>
          <c:max val="4500"/>
          <c:min val="370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Measured CCT</a:t>
                </a:r>
              </a:p>
            </c:rich>
          </c:tx>
        </c:title>
        <c:numFmt formatCode="0" sourceLinked="0"/>
        <c:tickLblPos val="nextTo"/>
        <c:crossAx val="154780416"/>
        <c:crosses val="autoZero"/>
        <c:crossBetween val="midCat"/>
      </c:valAx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range0!$D$95</c:f>
          <c:strCache>
            <c:ptCount val="1"/>
            <c:pt idx="0">
              <c:v>#VALUE!</c:v>
            </c:pt>
          </c:strCache>
        </c:strRef>
      </c:tx>
      <c:layout>
        <c:manualLayout>
          <c:xMode val="edge"/>
          <c:yMode val="edge"/>
          <c:x val="0.14408333333333354"/>
          <c:y val="2.7799231179792806E-2"/>
        </c:manualLayout>
      </c:layout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range0!$F$98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range0!$B$109:$B$123</c:f>
              <c:numCache>
                <c:formatCode>0.0</c:formatCode>
                <c:ptCount val="15"/>
                <c:pt idx="0">
                  <c:v>2.38707854456778</c:v>
                </c:pt>
                <c:pt idx="1">
                  <c:v>2.1590792663518994</c:v>
                </c:pt>
                <c:pt idx="2">
                  <c:v>1.7769039850931945</c:v>
                </c:pt>
                <c:pt idx="3">
                  <c:v>1.4370560182896255</c:v>
                </c:pt>
                <c:pt idx="4">
                  <c:v>1.1960743068778694</c:v>
                </c:pt>
                <c:pt idx="5">
                  <c:v>0.8864930899240453</c:v>
                </c:pt>
                <c:pt idx="6">
                  <c:v>0.66310300227883046</c:v>
                </c:pt>
                <c:pt idx="7">
                  <c:v>0.15701835940156691</c:v>
                </c:pt>
                <c:pt idx="8">
                  <c:v>0.12828800152468015</c:v>
                </c:pt>
                <c:pt idx="9">
                  <c:v>0.1052422464745905</c:v>
                </c:pt>
                <c:pt idx="10">
                  <c:v>8.7497019701430423E-2</c:v>
                </c:pt>
                <c:pt idx="11">
                  <c:v>6.4528090696904072E-2</c:v>
                </c:pt>
                <c:pt idx="12">
                  <c:v>4.8396071685701009E-2</c:v>
                </c:pt>
                <c:pt idx="13">
                  <c:v>1.6900215363934361E-2</c:v>
                </c:pt>
                <c:pt idx="14">
                  <c:v>1.3827448268123942E-2</c:v>
                </c:pt>
              </c:numCache>
            </c:numRef>
          </c:xVal>
          <c:yVal>
            <c:numRef>
              <c:f>range0!$D$109:$D$123</c:f>
              <c:numCache>
                <c:formatCode>0.0%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</c:ser>
        <c:ser>
          <c:idx val="1"/>
          <c:order val="1"/>
          <c:tx>
            <c:strRef>
              <c:f>range0!$E$98</c:f>
              <c:strCache>
                <c:ptCount val="1"/>
                <c:pt idx="0">
                  <c:v>AVG</c:v>
                </c:pt>
              </c:strCache>
            </c:strRef>
          </c:tx>
          <c:xVal>
            <c:numRef>
              <c:f>range0!$B$109:$B$123</c:f>
              <c:numCache>
                <c:formatCode>0.0</c:formatCode>
                <c:ptCount val="15"/>
                <c:pt idx="0">
                  <c:v>2.38707854456778</c:v>
                </c:pt>
                <c:pt idx="1">
                  <c:v>2.1590792663518994</c:v>
                </c:pt>
                <c:pt idx="2">
                  <c:v>1.7769039850931945</c:v>
                </c:pt>
                <c:pt idx="3">
                  <c:v>1.4370560182896255</c:v>
                </c:pt>
                <c:pt idx="4">
                  <c:v>1.1960743068778694</c:v>
                </c:pt>
                <c:pt idx="5">
                  <c:v>0.8864930899240453</c:v>
                </c:pt>
                <c:pt idx="6">
                  <c:v>0.66310300227883046</c:v>
                </c:pt>
                <c:pt idx="7">
                  <c:v>0.15701835940156691</c:v>
                </c:pt>
                <c:pt idx="8">
                  <c:v>0.12828800152468015</c:v>
                </c:pt>
                <c:pt idx="9">
                  <c:v>0.1052422464745905</c:v>
                </c:pt>
                <c:pt idx="10">
                  <c:v>8.7497019701430423E-2</c:v>
                </c:pt>
                <c:pt idx="11">
                  <c:v>6.4528090696904072E-2</c:v>
                </c:pt>
                <c:pt idx="12">
                  <c:v>4.8396071685701009E-2</c:v>
                </c:pt>
                <c:pt idx="13">
                  <c:v>1.6900215363934361E-2</c:v>
                </c:pt>
                <c:pt idx="14">
                  <c:v>1.3827448268123942E-2</c:v>
                </c:pt>
              </c:numCache>
            </c:numRef>
          </c:xVal>
          <c:yVal>
            <c:numRef>
              <c:f>range0!$E$109:$E$123</c:f>
              <c:numCache>
                <c:formatCode>0.0%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</c:ser>
        <c:ser>
          <c:idx val="2"/>
          <c:order val="2"/>
          <c:tx>
            <c:strRef>
              <c:f>range0!$D$98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range0!$B$109:$B$123</c:f>
              <c:numCache>
                <c:formatCode>0.0</c:formatCode>
                <c:ptCount val="15"/>
                <c:pt idx="0">
                  <c:v>2.38707854456778</c:v>
                </c:pt>
                <c:pt idx="1">
                  <c:v>2.1590792663518994</c:v>
                </c:pt>
                <c:pt idx="2">
                  <c:v>1.7769039850931945</c:v>
                </c:pt>
                <c:pt idx="3">
                  <c:v>1.4370560182896255</c:v>
                </c:pt>
                <c:pt idx="4">
                  <c:v>1.1960743068778694</c:v>
                </c:pt>
                <c:pt idx="5">
                  <c:v>0.8864930899240453</c:v>
                </c:pt>
                <c:pt idx="6">
                  <c:v>0.66310300227883046</c:v>
                </c:pt>
                <c:pt idx="7">
                  <c:v>0.15701835940156691</c:v>
                </c:pt>
                <c:pt idx="8">
                  <c:v>0.12828800152468015</c:v>
                </c:pt>
                <c:pt idx="9">
                  <c:v>0.1052422464745905</c:v>
                </c:pt>
                <c:pt idx="10">
                  <c:v>8.7497019701430423E-2</c:v>
                </c:pt>
                <c:pt idx="11">
                  <c:v>6.4528090696904072E-2</c:v>
                </c:pt>
                <c:pt idx="12">
                  <c:v>4.8396071685701009E-2</c:v>
                </c:pt>
                <c:pt idx="13">
                  <c:v>1.6900215363934361E-2</c:v>
                </c:pt>
                <c:pt idx="14">
                  <c:v>1.3827448268123942E-2</c:v>
                </c:pt>
              </c:numCache>
            </c:numRef>
          </c:xVal>
          <c:yVal>
            <c:numRef>
              <c:f>range0!$F$109:$F$123</c:f>
              <c:numCache>
                <c:formatCode>0.0%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</c:ser>
        <c:axId val="154678400"/>
        <c:axId val="154703744"/>
      </c:scatterChart>
      <c:valAx>
        <c:axId val="1546784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 Level</a:t>
                </a:r>
              </a:p>
            </c:rich>
          </c:tx>
        </c:title>
        <c:numFmt formatCode="0.0" sourceLinked="1"/>
        <c:tickLblPos val="nextTo"/>
        <c:crossAx val="154703744"/>
        <c:crosses val="autoZero"/>
        <c:crossBetween val="midCat"/>
      </c:valAx>
      <c:valAx>
        <c:axId val="15470374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Deviation from Nominal Error</a:t>
                </a:r>
              </a:p>
            </c:rich>
          </c:tx>
        </c:title>
        <c:numFmt formatCode="0%" sourceLinked="0"/>
        <c:tickLblPos val="nextTo"/>
        <c:crossAx val="15467840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range1!$L$95</c:f>
          <c:strCache>
            <c:ptCount val="1"/>
            <c:pt idx="0">
              <c:v>29121: CCT in/out Scatter Plot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trendline>
            <c:trendlineType val="linear"/>
            <c:dispEq val="1"/>
            <c:trendlineLbl>
              <c:layout>
                <c:manualLayout>
                  <c:x val="-9.4627077865266959E-2"/>
                  <c:y val="-1.2752988508556655E-2"/>
                </c:manualLayout>
              </c:layout>
              <c:numFmt formatCode="General" sourceLinked="0"/>
            </c:trendlineLbl>
          </c:trendline>
          <c:xVal>
            <c:numRef>
              <c:f>range1!$C$102:$C$123</c:f>
              <c:numCache>
                <c:formatCode>0.0</c:formatCode>
                <c:ptCount val="22"/>
                <c:pt idx="0">
                  <c:v>3978.3</c:v>
                </c:pt>
                <c:pt idx="1">
                  <c:v>3960.5</c:v>
                </c:pt>
                <c:pt idx="2">
                  <c:v>3971.2</c:v>
                </c:pt>
                <c:pt idx="3">
                  <c:v>3979.2</c:v>
                </c:pt>
                <c:pt idx="4">
                  <c:v>4001.7</c:v>
                </c:pt>
                <c:pt idx="5">
                  <c:v>4034.1</c:v>
                </c:pt>
                <c:pt idx="6">
                  <c:v>4023.8</c:v>
                </c:pt>
                <c:pt idx="7">
                  <c:v>4005.5</c:v>
                </c:pt>
                <c:pt idx="8">
                  <c:v>4009.6</c:v>
                </c:pt>
                <c:pt idx="9">
                  <c:v>4016.5</c:v>
                </c:pt>
                <c:pt idx="10">
                  <c:v>4064.6</c:v>
                </c:pt>
                <c:pt idx="11">
                  <c:v>4054.6</c:v>
                </c:pt>
                <c:pt idx="12">
                  <c:v>4035.6</c:v>
                </c:pt>
                <c:pt idx="13">
                  <c:v>4046.8</c:v>
                </c:pt>
                <c:pt idx="14">
                  <c:v>3830.6</c:v>
                </c:pt>
                <c:pt idx="15">
                  <c:v>3852.3</c:v>
                </c:pt>
                <c:pt idx="16">
                  <c:v>3884.6</c:v>
                </c:pt>
                <c:pt idx="17">
                  <c:v>3874</c:v>
                </c:pt>
                <c:pt idx="18">
                  <c:v>3852.9</c:v>
                </c:pt>
                <c:pt idx="19">
                  <c:v>3862.8</c:v>
                </c:pt>
                <c:pt idx="20">
                  <c:v>3782.2</c:v>
                </c:pt>
                <c:pt idx="21">
                  <c:v>3801.6</c:v>
                </c:pt>
              </c:numCache>
            </c:numRef>
          </c:xVal>
          <c:yVal>
            <c:numRef>
              <c:f>range1!$M$102:$M$123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</c:ser>
        <c:axId val="154811392"/>
        <c:axId val="154838144"/>
      </c:scatterChart>
      <c:valAx>
        <c:axId val="154811392"/>
        <c:scaling>
          <c:orientation val="minMax"/>
          <c:max val="45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CCT in</a:t>
                </a:r>
              </a:p>
            </c:rich>
          </c:tx>
        </c:title>
        <c:numFmt formatCode="0" sourceLinked="0"/>
        <c:tickLblPos val="nextTo"/>
        <c:crossAx val="154838144"/>
        <c:crosses val="autoZero"/>
        <c:crossBetween val="midCat"/>
      </c:valAx>
      <c:valAx>
        <c:axId val="154838144"/>
        <c:scaling>
          <c:orientation val="minMax"/>
          <c:max val="4500"/>
          <c:min val="370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Measured CCT</a:t>
                </a:r>
              </a:p>
            </c:rich>
          </c:tx>
        </c:title>
        <c:numFmt formatCode="0" sourceLinked="0"/>
        <c:tickLblPos val="nextTo"/>
        <c:crossAx val="154811392"/>
        <c:crosses val="autoZero"/>
        <c:crossBetween val="midCat"/>
      </c:valAx>
    </c:plotArea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range1!$D$95</c:f>
          <c:strCache>
            <c:ptCount val="1"/>
            <c:pt idx="0">
              <c:v>#VALUE!</c:v>
            </c:pt>
          </c:strCache>
        </c:strRef>
      </c:tx>
      <c:layout>
        <c:manualLayout>
          <c:xMode val="edge"/>
          <c:yMode val="edge"/>
          <c:x val="0.14408333333333348"/>
          <c:y val="2.7799231179792806E-2"/>
        </c:manualLayout>
      </c:layout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range1!$F$98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range1!$B$102:$B$123</c:f>
              <c:numCache>
                <c:formatCode>0.0</c:formatCode>
                <c:ptCount val="22"/>
                <c:pt idx="0">
                  <c:v>12.825726800021135</c:v>
                </c:pt>
                <c:pt idx="1">
                  <c:v>9.4994572118508245</c:v>
                </c:pt>
                <c:pt idx="2">
                  <c:v>7.108076789685887</c:v>
                </c:pt>
                <c:pt idx="3">
                  <c:v>5.8108316409221263</c:v>
                </c:pt>
                <c:pt idx="4">
                  <c:v>4.7264524101014667</c:v>
                </c:pt>
                <c:pt idx="5">
                  <c:v>3.8737596974251551</c:v>
                </c:pt>
                <c:pt idx="6">
                  <c:v>3.2207968686872634</c:v>
                </c:pt>
                <c:pt idx="7">
                  <c:v>2.38707854456778</c:v>
                </c:pt>
                <c:pt idx="8">
                  <c:v>2.1590792663518994</c:v>
                </c:pt>
                <c:pt idx="9">
                  <c:v>1.7769039850931945</c:v>
                </c:pt>
                <c:pt idx="10">
                  <c:v>1.4370560182896255</c:v>
                </c:pt>
                <c:pt idx="11">
                  <c:v>1.1960743068778694</c:v>
                </c:pt>
                <c:pt idx="12">
                  <c:v>0.8864930899240453</c:v>
                </c:pt>
                <c:pt idx="13">
                  <c:v>0.66310300227883046</c:v>
                </c:pt>
                <c:pt idx="14">
                  <c:v>0.15701835940156691</c:v>
                </c:pt>
                <c:pt idx="15">
                  <c:v>0.12828800152468015</c:v>
                </c:pt>
                <c:pt idx="16">
                  <c:v>0.1052422464745905</c:v>
                </c:pt>
                <c:pt idx="17">
                  <c:v>8.7497019701430423E-2</c:v>
                </c:pt>
                <c:pt idx="18">
                  <c:v>6.4528090696904072E-2</c:v>
                </c:pt>
                <c:pt idx="19">
                  <c:v>4.8396071685701009E-2</c:v>
                </c:pt>
                <c:pt idx="20">
                  <c:v>1.6900215363934361E-2</c:v>
                </c:pt>
                <c:pt idx="21">
                  <c:v>1.3827448268123942E-2</c:v>
                </c:pt>
              </c:numCache>
            </c:numRef>
          </c:xVal>
          <c:yVal>
            <c:numRef>
              <c:f>range1!$D$102:$D$123</c:f>
              <c:numCache>
                <c:formatCode>0.0%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</c:ser>
        <c:ser>
          <c:idx val="1"/>
          <c:order val="1"/>
          <c:tx>
            <c:strRef>
              <c:f>range1!$E$98</c:f>
              <c:strCache>
                <c:ptCount val="1"/>
                <c:pt idx="0">
                  <c:v>AVG</c:v>
                </c:pt>
              </c:strCache>
            </c:strRef>
          </c:tx>
          <c:xVal>
            <c:numRef>
              <c:f>range1!$B$102:$B$123</c:f>
              <c:numCache>
                <c:formatCode>0.0</c:formatCode>
                <c:ptCount val="22"/>
                <c:pt idx="0">
                  <c:v>12.825726800021135</c:v>
                </c:pt>
                <c:pt idx="1">
                  <c:v>9.4994572118508245</c:v>
                </c:pt>
                <c:pt idx="2">
                  <c:v>7.108076789685887</c:v>
                </c:pt>
                <c:pt idx="3">
                  <c:v>5.8108316409221263</c:v>
                </c:pt>
                <c:pt idx="4">
                  <c:v>4.7264524101014667</c:v>
                </c:pt>
                <c:pt idx="5">
                  <c:v>3.8737596974251551</c:v>
                </c:pt>
                <c:pt idx="6">
                  <c:v>3.2207968686872634</c:v>
                </c:pt>
                <c:pt idx="7">
                  <c:v>2.38707854456778</c:v>
                </c:pt>
                <c:pt idx="8">
                  <c:v>2.1590792663518994</c:v>
                </c:pt>
                <c:pt idx="9">
                  <c:v>1.7769039850931945</c:v>
                </c:pt>
                <c:pt idx="10">
                  <c:v>1.4370560182896255</c:v>
                </c:pt>
                <c:pt idx="11">
                  <c:v>1.1960743068778694</c:v>
                </c:pt>
                <c:pt idx="12">
                  <c:v>0.8864930899240453</c:v>
                </c:pt>
                <c:pt idx="13">
                  <c:v>0.66310300227883046</c:v>
                </c:pt>
                <c:pt idx="14">
                  <c:v>0.15701835940156691</c:v>
                </c:pt>
                <c:pt idx="15">
                  <c:v>0.12828800152468015</c:v>
                </c:pt>
                <c:pt idx="16">
                  <c:v>0.1052422464745905</c:v>
                </c:pt>
                <c:pt idx="17">
                  <c:v>8.7497019701430423E-2</c:v>
                </c:pt>
                <c:pt idx="18">
                  <c:v>6.4528090696904072E-2</c:v>
                </c:pt>
                <c:pt idx="19">
                  <c:v>4.8396071685701009E-2</c:v>
                </c:pt>
                <c:pt idx="20">
                  <c:v>1.6900215363934361E-2</c:v>
                </c:pt>
                <c:pt idx="21">
                  <c:v>1.3827448268123942E-2</c:v>
                </c:pt>
              </c:numCache>
            </c:numRef>
          </c:xVal>
          <c:yVal>
            <c:numRef>
              <c:f>range1!$E$102:$E$123</c:f>
              <c:numCache>
                <c:formatCode>0.0%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</c:ser>
        <c:ser>
          <c:idx val="2"/>
          <c:order val="2"/>
          <c:tx>
            <c:strRef>
              <c:f>range1!$D$98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range1!$B$102:$B$123</c:f>
              <c:numCache>
                <c:formatCode>0.0</c:formatCode>
                <c:ptCount val="22"/>
                <c:pt idx="0">
                  <c:v>12.825726800021135</c:v>
                </c:pt>
                <c:pt idx="1">
                  <c:v>9.4994572118508245</c:v>
                </c:pt>
                <c:pt idx="2">
                  <c:v>7.108076789685887</c:v>
                </c:pt>
                <c:pt idx="3">
                  <c:v>5.8108316409221263</c:v>
                </c:pt>
                <c:pt idx="4">
                  <c:v>4.7264524101014667</c:v>
                </c:pt>
                <c:pt idx="5">
                  <c:v>3.8737596974251551</c:v>
                </c:pt>
                <c:pt idx="6">
                  <c:v>3.2207968686872634</c:v>
                </c:pt>
                <c:pt idx="7">
                  <c:v>2.38707854456778</c:v>
                </c:pt>
                <c:pt idx="8">
                  <c:v>2.1590792663518994</c:v>
                </c:pt>
                <c:pt idx="9">
                  <c:v>1.7769039850931945</c:v>
                </c:pt>
                <c:pt idx="10">
                  <c:v>1.4370560182896255</c:v>
                </c:pt>
                <c:pt idx="11">
                  <c:v>1.1960743068778694</c:v>
                </c:pt>
                <c:pt idx="12">
                  <c:v>0.8864930899240453</c:v>
                </c:pt>
                <c:pt idx="13">
                  <c:v>0.66310300227883046</c:v>
                </c:pt>
                <c:pt idx="14">
                  <c:v>0.15701835940156691</c:v>
                </c:pt>
                <c:pt idx="15">
                  <c:v>0.12828800152468015</c:v>
                </c:pt>
                <c:pt idx="16">
                  <c:v>0.1052422464745905</c:v>
                </c:pt>
                <c:pt idx="17">
                  <c:v>8.7497019701430423E-2</c:v>
                </c:pt>
                <c:pt idx="18">
                  <c:v>6.4528090696904072E-2</c:v>
                </c:pt>
                <c:pt idx="19">
                  <c:v>4.8396071685701009E-2</c:v>
                </c:pt>
                <c:pt idx="20">
                  <c:v>1.6900215363934361E-2</c:v>
                </c:pt>
                <c:pt idx="21">
                  <c:v>1.3827448268123942E-2</c:v>
                </c:pt>
              </c:numCache>
            </c:numRef>
          </c:xVal>
          <c:yVal>
            <c:numRef>
              <c:f>range1!$F$102:$F$123</c:f>
              <c:numCache>
                <c:formatCode>0.0%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</c:ser>
        <c:axId val="154894336"/>
        <c:axId val="154896256"/>
      </c:scatterChart>
      <c:valAx>
        <c:axId val="1548943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 Level</a:t>
                </a:r>
              </a:p>
            </c:rich>
          </c:tx>
        </c:title>
        <c:numFmt formatCode="0.0" sourceLinked="1"/>
        <c:tickLblPos val="nextTo"/>
        <c:crossAx val="154896256"/>
        <c:crosses val="autoZero"/>
        <c:crossBetween val="midCat"/>
      </c:valAx>
      <c:valAx>
        <c:axId val="1548962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Deviation from Nominal Error</a:t>
                </a:r>
              </a:p>
            </c:rich>
          </c:tx>
        </c:title>
        <c:numFmt formatCode="0%" sourceLinked="0"/>
        <c:tickLblPos val="nextTo"/>
        <c:crossAx val="15489433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range0!$E$129</c:f>
          <c:strCache>
            <c:ptCount val="1"/>
            <c:pt idx="0">
              <c:v>29121: Gain Variation= +/-335.1%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range0!$L$130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range0!$B$141:$B$155</c:f>
              <c:numCache>
                <c:formatCode>0.0</c:formatCode>
                <c:ptCount val="15"/>
                <c:pt idx="0">
                  <c:v>2.38707854456778</c:v>
                </c:pt>
                <c:pt idx="1">
                  <c:v>2.1590792663518994</c:v>
                </c:pt>
                <c:pt idx="2">
                  <c:v>1.7769039850931945</c:v>
                </c:pt>
                <c:pt idx="3">
                  <c:v>1.4370560182896255</c:v>
                </c:pt>
                <c:pt idx="4">
                  <c:v>1.1960743068778694</c:v>
                </c:pt>
                <c:pt idx="5">
                  <c:v>0.8864930899240453</c:v>
                </c:pt>
                <c:pt idx="6">
                  <c:v>0.66310300227883046</c:v>
                </c:pt>
                <c:pt idx="7">
                  <c:v>0.15701835940156691</c:v>
                </c:pt>
                <c:pt idx="8">
                  <c:v>0.12828800152468015</c:v>
                </c:pt>
                <c:pt idx="9">
                  <c:v>0.1052422464745905</c:v>
                </c:pt>
                <c:pt idx="10">
                  <c:v>8.7497019701430423E-2</c:v>
                </c:pt>
                <c:pt idx="11">
                  <c:v>6.4528090696904072E-2</c:v>
                </c:pt>
                <c:pt idx="12">
                  <c:v>4.8396071685701009E-2</c:v>
                </c:pt>
                <c:pt idx="13">
                  <c:v>1.6900215363934361E-2</c:v>
                </c:pt>
                <c:pt idx="14">
                  <c:v>1.3827448268123942E-2</c:v>
                </c:pt>
              </c:numCache>
            </c:numRef>
          </c:xVal>
          <c:yVal>
            <c:numRef>
              <c:f>range0!$L$141:$L$155</c:f>
              <c:numCache>
                <c:formatCode>General</c:formatCode>
                <c:ptCount val="15"/>
                <c:pt idx="0">
                  <c:v>-4.4760304237402639</c:v>
                </c:pt>
                <c:pt idx="1">
                  <c:v>-4.0190884173333341</c:v>
                </c:pt>
                <c:pt idx="2">
                  <c:v>-3.3351193484316379</c:v>
                </c:pt>
                <c:pt idx="3">
                  <c:v>-2.6740620925177225</c:v>
                </c:pt>
                <c:pt idx="4">
                  <c:v>-2.2167558400020551</c:v>
                </c:pt>
                <c:pt idx="5">
                  <c:v>-1.7232108769396608</c:v>
                </c:pt>
                <c:pt idx="6">
                  <c:v>-1.2904083755205724</c:v>
                </c:pt>
                <c:pt idx="7">
                  <c:v>-0.37326079371619664</c:v>
                </c:pt>
                <c:pt idx="8">
                  <c:v>-0.31045833963189801</c:v>
                </c:pt>
                <c:pt idx="9">
                  <c:v>-0.25182551711462942</c:v>
                </c:pt>
                <c:pt idx="10">
                  <c:v>-0.20968174628245256</c:v>
                </c:pt>
                <c:pt idx="11">
                  <c:v>-0.16483133140727124</c:v>
                </c:pt>
                <c:pt idx="12">
                  <c:v>-0.12645030058847712</c:v>
                </c:pt>
                <c:pt idx="13">
                  <c:v>-5.0499534449883872E-2</c:v>
                </c:pt>
                <c:pt idx="14">
                  <c:v>-4.2217052404258909E-2</c:v>
                </c:pt>
              </c:numCache>
            </c:numRef>
          </c:yVal>
        </c:ser>
        <c:ser>
          <c:idx val="1"/>
          <c:order val="1"/>
          <c:tx>
            <c:strRef>
              <c:f>range0!$M$130</c:f>
              <c:strCache>
                <c:ptCount val="1"/>
                <c:pt idx="0">
                  <c:v>AVG</c:v>
                </c:pt>
              </c:strCache>
            </c:strRef>
          </c:tx>
          <c:xVal>
            <c:numRef>
              <c:f>range0!$B$141:$B$155</c:f>
              <c:numCache>
                <c:formatCode>0.0</c:formatCode>
                <c:ptCount val="15"/>
                <c:pt idx="0">
                  <c:v>2.38707854456778</c:v>
                </c:pt>
                <c:pt idx="1">
                  <c:v>2.1590792663518994</c:v>
                </c:pt>
                <c:pt idx="2">
                  <c:v>1.7769039850931945</c:v>
                </c:pt>
                <c:pt idx="3">
                  <c:v>1.4370560182896255</c:v>
                </c:pt>
                <c:pt idx="4">
                  <c:v>1.1960743068778694</c:v>
                </c:pt>
                <c:pt idx="5">
                  <c:v>0.8864930899240453</c:v>
                </c:pt>
                <c:pt idx="6">
                  <c:v>0.66310300227883046</c:v>
                </c:pt>
                <c:pt idx="7">
                  <c:v>0.15701835940156691</c:v>
                </c:pt>
                <c:pt idx="8">
                  <c:v>0.12828800152468015</c:v>
                </c:pt>
                <c:pt idx="9">
                  <c:v>0.1052422464745905</c:v>
                </c:pt>
                <c:pt idx="10">
                  <c:v>8.7497019701430423E-2</c:v>
                </c:pt>
                <c:pt idx="11">
                  <c:v>6.4528090696904072E-2</c:v>
                </c:pt>
                <c:pt idx="12">
                  <c:v>4.8396071685701009E-2</c:v>
                </c:pt>
                <c:pt idx="13">
                  <c:v>1.6900215363934361E-2</c:v>
                </c:pt>
                <c:pt idx="14">
                  <c:v>1.3827448268123942E-2</c:v>
                </c:pt>
              </c:numCache>
            </c:numRef>
          </c:xVal>
          <c:yVal>
            <c:numRef>
              <c:f>range0!$M$141:$M$155</c:f>
              <c:numCache>
                <c:formatCode>0.0</c:formatCode>
                <c:ptCount val="15"/>
                <c:pt idx="0">
                  <c:v>1.9033406322400588</c:v>
                </c:pt>
                <c:pt idx="1">
                  <c:v>1.7092011877516078</c:v>
                </c:pt>
                <c:pt idx="2">
                  <c:v>1.4184499483042448</c:v>
                </c:pt>
                <c:pt idx="3">
                  <c:v>1.1369578160592793</c:v>
                </c:pt>
                <c:pt idx="4">
                  <c:v>0.94281376153979679</c:v>
                </c:pt>
                <c:pt idx="5">
                  <c:v>0.73195226180676454</c:v>
                </c:pt>
                <c:pt idx="6">
                  <c:v>0.54825347398077384</c:v>
                </c:pt>
                <c:pt idx="7">
                  <c:v>0.15722941201269008</c:v>
                </c:pt>
                <c:pt idx="8">
                  <c:v>0.13111289818252359</c:v>
                </c:pt>
                <c:pt idx="9">
                  <c:v>0.10629673865301099</c:v>
                </c:pt>
                <c:pt idx="10">
                  <c:v>8.845037721196454E-2</c:v>
                </c:pt>
                <c:pt idx="11">
                  <c:v>6.9360579449534873E-2</c:v>
                </c:pt>
                <c:pt idx="12">
                  <c:v>5.3270338198633541E-2</c:v>
                </c:pt>
                <c:pt idx="13">
                  <c:v>2.0949405928833743E-2</c:v>
                </c:pt>
                <c:pt idx="14">
                  <c:v>1.7558725488733915E-2</c:v>
                </c:pt>
              </c:numCache>
            </c:numRef>
          </c:yVal>
        </c:ser>
        <c:ser>
          <c:idx val="2"/>
          <c:order val="2"/>
          <c:tx>
            <c:strRef>
              <c:f>range0!$N$130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range0!$B$141:$B$155</c:f>
              <c:numCache>
                <c:formatCode>0.0</c:formatCode>
                <c:ptCount val="15"/>
                <c:pt idx="0">
                  <c:v>2.38707854456778</c:v>
                </c:pt>
                <c:pt idx="1">
                  <c:v>2.1590792663518994</c:v>
                </c:pt>
                <c:pt idx="2">
                  <c:v>1.7769039850931945</c:v>
                </c:pt>
                <c:pt idx="3">
                  <c:v>1.4370560182896255</c:v>
                </c:pt>
                <c:pt idx="4">
                  <c:v>1.1960743068778694</c:v>
                </c:pt>
                <c:pt idx="5">
                  <c:v>0.8864930899240453</c:v>
                </c:pt>
                <c:pt idx="6">
                  <c:v>0.66310300227883046</c:v>
                </c:pt>
                <c:pt idx="7">
                  <c:v>0.15701835940156691</c:v>
                </c:pt>
                <c:pt idx="8">
                  <c:v>0.12828800152468015</c:v>
                </c:pt>
                <c:pt idx="9">
                  <c:v>0.1052422464745905</c:v>
                </c:pt>
                <c:pt idx="10">
                  <c:v>8.7497019701430423E-2</c:v>
                </c:pt>
                <c:pt idx="11">
                  <c:v>6.4528090696904072E-2</c:v>
                </c:pt>
                <c:pt idx="12">
                  <c:v>4.8396071685701009E-2</c:v>
                </c:pt>
                <c:pt idx="13">
                  <c:v>1.6900215363934361E-2</c:v>
                </c:pt>
                <c:pt idx="14">
                  <c:v>1.3827448268123942E-2</c:v>
                </c:pt>
              </c:numCache>
            </c:numRef>
          </c:xVal>
          <c:yVal>
            <c:numRef>
              <c:f>range0!$N$141:$N$155</c:f>
              <c:numCache>
                <c:formatCode>General</c:formatCode>
                <c:ptCount val="15"/>
                <c:pt idx="0">
                  <c:v>8.2827116882203811</c:v>
                </c:pt>
                <c:pt idx="1">
                  <c:v>7.4374907928365506</c:v>
                </c:pt>
                <c:pt idx="2">
                  <c:v>6.1720192450401274</c:v>
                </c:pt>
                <c:pt idx="3">
                  <c:v>4.9479777246362806</c:v>
                </c:pt>
                <c:pt idx="4">
                  <c:v>4.1023833630816489</c:v>
                </c:pt>
                <c:pt idx="5">
                  <c:v>3.1871154005531896</c:v>
                </c:pt>
                <c:pt idx="6">
                  <c:v>2.3869153234821203</c:v>
                </c:pt>
                <c:pt idx="7">
                  <c:v>0.68771961774157675</c:v>
                </c:pt>
                <c:pt idx="8">
                  <c:v>0.57268413599694523</c:v>
                </c:pt>
                <c:pt idx="9">
                  <c:v>0.46441899442065138</c:v>
                </c:pt>
                <c:pt idx="10">
                  <c:v>0.38658250070638162</c:v>
                </c:pt>
                <c:pt idx="11">
                  <c:v>0.30355249030634102</c:v>
                </c:pt>
                <c:pt idx="12">
                  <c:v>0.23299097698574417</c:v>
                </c:pt>
                <c:pt idx="13">
                  <c:v>9.2398346307551366E-2</c:v>
                </c:pt>
                <c:pt idx="14">
                  <c:v>7.7334503381726746E-2</c:v>
                </c:pt>
              </c:numCache>
            </c:numRef>
          </c:yVal>
        </c:ser>
        <c:axId val="154910080"/>
        <c:axId val="154918272"/>
      </c:scatterChart>
      <c:valAx>
        <c:axId val="1549100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0" sourceLinked="0"/>
        <c:tickLblPos val="nextTo"/>
        <c:crossAx val="154918272"/>
        <c:crosses val="autoZero"/>
        <c:crossBetween val="midCat"/>
      </c:valAx>
      <c:valAx>
        <c:axId val="15491827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</c:title>
        <c:numFmt formatCode="General" sourceLinked="1"/>
        <c:tickLblPos val="nextTo"/>
        <c:crossAx val="15491008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range0!$I$163</c:f>
          <c:strCache>
            <c:ptCount val="1"/>
            <c:pt idx="0">
              <c:v>29121: INL=4.3% FSR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range0!$H$166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range0!$B$177:$B$191</c:f>
              <c:numCache>
                <c:formatCode>0.0</c:formatCode>
                <c:ptCount val="15"/>
                <c:pt idx="0">
                  <c:v>2.38707854456778</c:v>
                </c:pt>
                <c:pt idx="1">
                  <c:v>2.1590792663518994</c:v>
                </c:pt>
                <c:pt idx="2">
                  <c:v>1.7769039850931945</c:v>
                </c:pt>
                <c:pt idx="3">
                  <c:v>1.4370560182896255</c:v>
                </c:pt>
                <c:pt idx="4">
                  <c:v>1.1960743068778694</c:v>
                </c:pt>
                <c:pt idx="5">
                  <c:v>0.8864930899240453</c:v>
                </c:pt>
                <c:pt idx="6">
                  <c:v>0.66310300227883046</c:v>
                </c:pt>
                <c:pt idx="7">
                  <c:v>0.15701835940156691</c:v>
                </c:pt>
                <c:pt idx="8">
                  <c:v>0.12828800152468015</c:v>
                </c:pt>
                <c:pt idx="9">
                  <c:v>0.1052422464745905</c:v>
                </c:pt>
                <c:pt idx="10">
                  <c:v>8.7497019701430423E-2</c:v>
                </c:pt>
                <c:pt idx="11">
                  <c:v>6.4528090696904072E-2</c:v>
                </c:pt>
                <c:pt idx="12">
                  <c:v>4.8396071685701009E-2</c:v>
                </c:pt>
                <c:pt idx="13">
                  <c:v>1.6900215363934361E-2</c:v>
                </c:pt>
                <c:pt idx="14">
                  <c:v>1.3827448268123942E-2</c:v>
                </c:pt>
              </c:numCache>
            </c:numRef>
          </c:xVal>
          <c:yVal>
            <c:numRef>
              <c:f>range0!$H$177:$H$191</c:f>
              <c:numCache>
                <c:formatCode>0.00%</c:formatCode>
                <c:ptCount val="15"/>
                <c:pt idx="0">
                  <c:v>-1.7410964734560049E-2</c:v>
                </c:pt>
                <c:pt idx="1">
                  <c:v>-1.3558399275462331E-2</c:v>
                </c:pt>
                <c:pt idx="2">
                  <c:v>-1.3154806821190041E-2</c:v>
                </c:pt>
                <c:pt idx="3">
                  <c:v>-8.8258379480683179E-3</c:v>
                </c:pt>
                <c:pt idx="4">
                  <c:v>-6.1970329285392168E-3</c:v>
                </c:pt>
                <c:pt idx="5">
                  <c:v>-1.0576131373750063E-2</c:v>
                </c:pt>
                <c:pt idx="6">
                  <c:v>-7.6852382132091652E-3</c:v>
                </c:pt>
                <c:pt idx="7">
                  <c:v>-6.1732436644601702E-3</c:v>
                </c:pt>
                <c:pt idx="8">
                  <c:v>-5.1893752095482533E-3</c:v>
                </c:pt>
                <c:pt idx="9">
                  <c:v>-3.7990673035483077E-3</c:v>
                </c:pt>
                <c:pt idx="10">
                  <c:v>-2.934053785048879E-3</c:v>
                </c:pt>
                <c:pt idx="11">
                  <c:v>-2.6166450470785766E-3</c:v>
                </c:pt>
                <c:pt idx="12">
                  <c:v>-1.8454669669985379E-3</c:v>
                </c:pt>
                <c:pt idx="13">
                  <c:v>-2.8397491866374007E-4</c:v>
                </c:pt>
                <c:pt idx="14">
                  <c:v>-6.0741475078990521E-11</c:v>
                </c:pt>
              </c:numCache>
            </c:numRef>
          </c:yVal>
        </c:ser>
        <c:ser>
          <c:idx val="1"/>
          <c:order val="1"/>
          <c:tx>
            <c:strRef>
              <c:f>range0!$I$166</c:f>
              <c:strCache>
                <c:ptCount val="1"/>
                <c:pt idx="0">
                  <c:v>AVG</c:v>
                </c:pt>
              </c:strCache>
            </c:strRef>
          </c:tx>
          <c:xVal>
            <c:numRef>
              <c:f>range0!$B$177:$B$191</c:f>
              <c:numCache>
                <c:formatCode>0.0</c:formatCode>
                <c:ptCount val="15"/>
                <c:pt idx="0">
                  <c:v>2.38707854456778</c:v>
                </c:pt>
                <c:pt idx="1">
                  <c:v>2.1590792663518994</c:v>
                </c:pt>
                <c:pt idx="2">
                  <c:v>1.7769039850931945</c:v>
                </c:pt>
                <c:pt idx="3">
                  <c:v>1.4370560182896255</c:v>
                </c:pt>
                <c:pt idx="4">
                  <c:v>1.1960743068778694</c:v>
                </c:pt>
                <c:pt idx="5">
                  <c:v>0.8864930899240453</c:v>
                </c:pt>
                <c:pt idx="6">
                  <c:v>0.66310300227883046</c:v>
                </c:pt>
                <c:pt idx="7">
                  <c:v>0.15701835940156691</c:v>
                </c:pt>
                <c:pt idx="8">
                  <c:v>0.12828800152468015</c:v>
                </c:pt>
                <c:pt idx="9">
                  <c:v>0.1052422464745905</c:v>
                </c:pt>
                <c:pt idx="10">
                  <c:v>8.7497019701430423E-2</c:v>
                </c:pt>
                <c:pt idx="11">
                  <c:v>6.4528090696904072E-2</c:v>
                </c:pt>
                <c:pt idx="12">
                  <c:v>4.8396071685701009E-2</c:v>
                </c:pt>
                <c:pt idx="13">
                  <c:v>1.6900215363934361E-2</c:v>
                </c:pt>
                <c:pt idx="14">
                  <c:v>1.3827448268123942E-2</c:v>
                </c:pt>
              </c:numCache>
            </c:numRef>
          </c:xVal>
          <c:yVal>
            <c:numRef>
              <c:f>range0!$I$177:$I$191</c:f>
              <c:numCache>
                <c:formatCode>0.00%</c:formatCode>
                <c:ptCount val="15"/>
                <c:pt idx="0">
                  <c:v>-3.5537583062186166E-3</c:v>
                </c:pt>
                <c:pt idx="1">
                  <c:v>-2.6520637123920408E-3</c:v>
                </c:pt>
                <c:pt idx="2">
                  <c:v>-2.6380456220698972E-3</c:v>
                </c:pt>
                <c:pt idx="3">
                  <c:v>-1.634611719328598E-3</c:v>
                </c:pt>
                <c:pt idx="4">
                  <c:v>-1.1588519401193266E-3</c:v>
                </c:pt>
                <c:pt idx="5">
                  <c:v>-2.2127133191455904E-3</c:v>
                </c:pt>
                <c:pt idx="6">
                  <c:v>-1.6106932316890714E-3</c:v>
                </c:pt>
                <c:pt idx="7">
                  <c:v>-1.3327510404627469E-3</c:v>
                </c:pt>
                <c:pt idx="8">
                  <c:v>-1.1477354854651997E-3</c:v>
                </c:pt>
                <c:pt idx="9">
                  <c:v>-8.3229573351990512E-4</c:v>
                </c:pt>
                <c:pt idx="10">
                  <c:v>-6.4392041438448243E-4</c:v>
                </c:pt>
                <c:pt idx="11">
                  <c:v>-5.7329917904307484E-4</c:v>
                </c:pt>
                <c:pt idx="12">
                  <c:v>-4.0782465718845902E-4</c:v>
                </c:pt>
                <c:pt idx="13">
                  <c:v>-4.5594412178944429E-5</c:v>
                </c:pt>
                <c:pt idx="14">
                  <c:v>-6.7255059629009998E-12</c:v>
                </c:pt>
              </c:numCache>
            </c:numRef>
          </c:yVal>
        </c:ser>
        <c:ser>
          <c:idx val="2"/>
          <c:order val="2"/>
          <c:tx>
            <c:strRef>
              <c:f>range0!$J$166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range0!$B$177:$B$191</c:f>
              <c:numCache>
                <c:formatCode>0.0</c:formatCode>
                <c:ptCount val="15"/>
                <c:pt idx="0">
                  <c:v>2.38707854456778</c:v>
                </c:pt>
                <c:pt idx="1">
                  <c:v>2.1590792663518994</c:v>
                </c:pt>
                <c:pt idx="2">
                  <c:v>1.7769039850931945</c:v>
                </c:pt>
                <c:pt idx="3">
                  <c:v>1.4370560182896255</c:v>
                </c:pt>
                <c:pt idx="4">
                  <c:v>1.1960743068778694</c:v>
                </c:pt>
                <c:pt idx="5">
                  <c:v>0.8864930899240453</c:v>
                </c:pt>
                <c:pt idx="6">
                  <c:v>0.66310300227883046</c:v>
                </c:pt>
                <c:pt idx="7">
                  <c:v>0.15701835940156691</c:v>
                </c:pt>
                <c:pt idx="8">
                  <c:v>0.12828800152468015</c:v>
                </c:pt>
                <c:pt idx="9">
                  <c:v>0.1052422464745905</c:v>
                </c:pt>
                <c:pt idx="10">
                  <c:v>8.7497019701430423E-2</c:v>
                </c:pt>
                <c:pt idx="11">
                  <c:v>6.4528090696904072E-2</c:v>
                </c:pt>
                <c:pt idx="12">
                  <c:v>4.8396071685701009E-2</c:v>
                </c:pt>
                <c:pt idx="13">
                  <c:v>1.6900215363934361E-2</c:v>
                </c:pt>
                <c:pt idx="14">
                  <c:v>1.3827448268123942E-2</c:v>
                </c:pt>
              </c:numCache>
            </c:numRef>
          </c:xVal>
          <c:yVal>
            <c:numRef>
              <c:f>range0!$J$177:$J$191</c:f>
              <c:numCache>
                <c:formatCode>0.00%</c:formatCode>
                <c:ptCount val="15"/>
                <c:pt idx="0">
                  <c:v>1.0303448122122815E-2</c:v>
                </c:pt>
                <c:pt idx="1">
                  <c:v>8.2542718506782489E-3</c:v>
                </c:pt>
                <c:pt idx="2">
                  <c:v>7.8787155770502475E-3</c:v>
                </c:pt>
                <c:pt idx="3">
                  <c:v>5.5566145094111214E-3</c:v>
                </c:pt>
                <c:pt idx="4">
                  <c:v>3.8793290483005631E-3</c:v>
                </c:pt>
                <c:pt idx="5">
                  <c:v>6.1507047354588821E-3</c:v>
                </c:pt>
                <c:pt idx="6">
                  <c:v>4.4638517498310224E-3</c:v>
                </c:pt>
                <c:pt idx="7">
                  <c:v>3.5077415835346767E-3</c:v>
                </c:pt>
                <c:pt idx="8">
                  <c:v>2.8939042386178539E-3</c:v>
                </c:pt>
                <c:pt idx="9">
                  <c:v>2.1344758365084977E-3</c:v>
                </c:pt>
                <c:pt idx="10">
                  <c:v>1.6462129562799142E-3</c:v>
                </c:pt>
                <c:pt idx="11">
                  <c:v>1.4700466889924267E-3</c:v>
                </c:pt>
                <c:pt idx="12">
                  <c:v>1.0298176526216197E-3</c:v>
                </c:pt>
                <c:pt idx="13">
                  <c:v>1.9278609430585126E-4</c:v>
                </c:pt>
                <c:pt idx="14">
                  <c:v>4.7290463153188526E-11</c:v>
                </c:pt>
              </c:numCache>
            </c:numRef>
          </c:yVal>
        </c:ser>
        <c:axId val="155100672"/>
        <c:axId val="155102592"/>
      </c:scatterChart>
      <c:valAx>
        <c:axId val="1551006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0.0" sourceLinked="1"/>
        <c:tickLblPos val="nextTo"/>
        <c:crossAx val="155102592"/>
        <c:crosses val="autoZero"/>
        <c:crossBetween val="midCat"/>
      </c:valAx>
      <c:valAx>
        <c:axId val="15510259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%FSR</a:t>
                </a:r>
              </a:p>
            </c:rich>
          </c:tx>
        </c:title>
        <c:numFmt formatCode="0.00%" sourceLinked="1"/>
        <c:tickLblPos val="nextTo"/>
        <c:crossAx val="15510067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range0!$L$95</c:f>
          <c:strCache>
            <c:ptCount val="1"/>
            <c:pt idx="0">
              <c:v>29121: CCT in/out Scatter Plot</c:v>
            </c:pt>
          </c:strCache>
        </c:strRef>
      </c:tx>
      <c:layout/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trendline>
            <c:trendlineType val="linear"/>
            <c:dispEq val="1"/>
            <c:trendlineLbl>
              <c:layout>
                <c:manualLayout>
                  <c:x val="-9.4627077865266959E-2"/>
                  <c:y val="-1.2752988508556655E-2"/>
                </c:manualLayout>
              </c:layout>
              <c:numFmt formatCode="General" sourceLinked="0"/>
            </c:trendlineLbl>
          </c:trendline>
          <c:xVal>
            <c:numRef>
              <c:f>range0!$C$109:$C$123</c:f>
              <c:numCache>
                <c:formatCode>0.0</c:formatCode>
                <c:ptCount val="15"/>
                <c:pt idx="0">
                  <c:v>4005.5</c:v>
                </c:pt>
                <c:pt idx="1">
                  <c:v>4009.6</c:v>
                </c:pt>
                <c:pt idx="2">
                  <c:v>4016.5</c:v>
                </c:pt>
                <c:pt idx="3">
                  <c:v>4064.6</c:v>
                </c:pt>
                <c:pt idx="4">
                  <c:v>4054.6</c:v>
                </c:pt>
                <c:pt idx="5">
                  <c:v>4035.6</c:v>
                </c:pt>
                <c:pt idx="6">
                  <c:v>4046.8</c:v>
                </c:pt>
                <c:pt idx="7">
                  <c:v>3830.6</c:v>
                </c:pt>
                <c:pt idx="8">
                  <c:v>3852.3</c:v>
                </c:pt>
                <c:pt idx="9">
                  <c:v>3884.6</c:v>
                </c:pt>
                <c:pt idx="10">
                  <c:v>3874</c:v>
                </c:pt>
                <c:pt idx="11">
                  <c:v>3852.9</c:v>
                </c:pt>
                <c:pt idx="12">
                  <c:v>3862.8</c:v>
                </c:pt>
                <c:pt idx="13">
                  <c:v>3782.2</c:v>
                </c:pt>
                <c:pt idx="14">
                  <c:v>3801.6</c:v>
                </c:pt>
              </c:numCache>
            </c:numRef>
          </c:xVal>
          <c:yVal>
            <c:numRef>
              <c:f>range0!$M$109:$M$123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</c:ser>
        <c:axId val="154375680"/>
        <c:axId val="154377600"/>
      </c:scatterChart>
      <c:valAx>
        <c:axId val="154375680"/>
        <c:scaling>
          <c:orientation val="minMax"/>
          <c:max val="45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CCT in</a:t>
                </a:r>
              </a:p>
            </c:rich>
          </c:tx>
          <c:layout/>
        </c:title>
        <c:numFmt formatCode="0" sourceLinked="0"/>
        <c:tickLblPos val="nextTo"/>
        <c:crossAx val="154377600"/>
        <c:crosses val="autoZero"/>
        <c:crossBetween val="midCat"/>
      </c:valAx>
      <c:valAx>
        <c:axId val="154377600"/>
        <c:scaling>
          <c:orientation val="minMax"/>
          <c:max val="4500"/>
          <c:min val="370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Measured CCT</a:t>
                </a:r>
              </a:p>
            </c:rich>
          </c:tx>
          <c:layout/>
        </c:title>
        <c:numFmt formatCode="0" sourceLinked="0"/>
        <c:tickLblPos val="nextTo"/>
        <c:crossAx val="154375680"/>
        <c:crosses val="autoZero"/>
        <c:crossBetween val="midCat"/>
      </c:valAx>
    </c:plotArea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range0!$D$95</c:f>
          <c:strCache>
            <c:ptCount val="1"/>
            <c:pt idx="0">
              <c:v>#VALUE!</c:v>
            </c:pt>
          </c:strCache>
        </c:strRef>
      </c:tx>
      <c:layout>
        <c:manualLayout>
          <c:xMode val="edge"/>
          <c:yMode val="edge"/>
          <c:x val="0.14408333333333348"/>
          <c:y val="2.7799231179792806E-2"/>
        </c:manualLayout>
      </c:layout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range0!$F$98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range0!$B$109:$B$123</c:f>
              <c:numCache>
                <c:formatCode>0.0</c:formatCode>
                <c:ptCount val="15"/>
                <c:pt idx="0">
                  <c:v>2.38707854456778</c:v>
                </c:pt>
                <c:pt idx="1">
                  <c:v>2.1590792663518994</c:v>
                </c:pt>
                <c:pt idx="2">
                  <c:v>1.7769039850931945</c:v>
                </c:pt>
                <c:pt idx="3">
                  <c:v>1.4370560182896255</c:v>
                </c:pt>
                <c:pt idx="4">
                  <c:v>1.1960743068778694</c:v>
                </c:pt>
                <c:pt idx="5">
                  <c:v>0.8864930899240453</c:v>
                </c:pt>
                <c:pt idx="6">
                  <c:v>0.66310300227883046</c:v>
                </c:pt>
                <c:pt idx="7">
                  <c:v>0.15701835940156691</c:v>
                </c:pt>
                <c:pt idx="8">
                  <c:v>0.12828800152468015</c:v>
                </c:pt>
                <c:pt idx="9">
                  <c:v>0.1052422464745905</c:v>
                </c:pt>
                <c:pt idx="10">
                  <c:v>8.7497019701430423E-2</c:v>
                </c:pt>
                <c:pt idx="11">
                  <c:v>6.4528090696904072E-2</c:v>
                </c:pt>
                <c:pt idx="12">
                  <c:v>4.8396071685701009E-2</c:v>
                </c:pt>
                <c:pt idx="13">
                  <c:v>1.6900215363934361E-2</c:v>
                </c:pt>
                <c:pt idx="14">
                  <c:v>1.3827448268123942E-2</c:v>
                </c:pt>
              </c:numCache>
            </c:numRef>
          </c:xVal>
          <c:yVal>
            <c:numRef>
              <c:f>range0!$D$109:$D$123</c:f>
              <c:numCache>
                <c:formatCode>0.0%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</c:ser>
        <c:ser>
          <c:idx val="1"/>
          <c:order val="1"/>
          <c:tx>
            <c:strRef>
              <c:f>range0!$E$98</c:f>
              <c:strCache>
                <c:ptCount val="1"/>
                <c:pt idx="0">
                  <c:v>AVG</c:v>
                </c:pt>
              </c:strCache>
            </c:strRef>
          </c:tx>
          <c:xVal>
            <c:numRef>
              <c:f>range0!$B$109:$B$123</c:f>
              <c:numCache>
                <c:formatCode>0.0</c:formatCode>
                <c:ptCount val="15"/>
                <c:pt idx="0">
                  <c:v>2.38707854456778</c:v>
                </c:pt>
                <c:pt idx="1">
                  <c:v>2.1590792663518994</c:v>
                </c:pt>
                <c:pt idx="2">
                  <c:v>1.7769039850931945</c:v>
                </c:pt>
                <c:pt idx="3">
                  <c:v>1.4370560182896255</c:v>
                </c:pt>
                <c:pt idx="4">
                  <c:v>1.1960743068778694</c:v>
                </c:pt>
                <c:pt idx="5">
                  <c:v>0.8864930899240453</c:v>
                </c:pt>
                <c:pt idx="6">
                  <c:v>0.66310300227883046</c:v>
                </c:pt>
                <c:pt idx="7">
                  <c:v>0.15701835940156691</c:v>
                </c:pt>
                <c:pt idx="8">
                  <c:v>0.12828800152468015</c:v>
                </c:pt>
                <c:pt idx="9">
                  <c:v>0.1052422464745905</c:v>
                </c:pt>
                <c:pt idx="10">
                  <c:v>8.7497019701430423E-2</c:v>
                </c:pt>
                <c:pt idx="11">
                  <c:v>6.4528090696904072E-2</c:v>
                </c:pt>
                <c:pt idx="12">
                  <c:v>4.8396071685701009E-2</c:v>
                </c:pt>
                <c:pt idx="13">
                  <c:v>1.6900215363934361E-2</c:v>
                </c:pt>
                <c:pt idx="14">
                  <c:v>1.3827448268123942E-2</c:v>
                </c:pt>
              </c:numCache>
            </c:numRef>
          </c:xVal>
          <c:yVal>
            <c:numRef>
              <c:f>range0!$E$109:$E$123</c:f>
              <c:numCache>
                <c:formatCode>0.0%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</c:ser>
        <c:ser>
          <c:idx val="2"/>
          <c:order val="2"/>
          <c:tx>
            <c:strRef>
              <c:f>range0!$D$98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range0!$B$109:$B$123</c:f>
              <c:numCache>
                <c:formatCode>0.0</c:formatCode>
                <c:ptCount val="15"/>
                <c:pt idx="0">
                  <c:v>2.38707854456778</c:v>
                </c:pt>
                <c:pt idx="1">
                  <c:v>2.1590792663518994</c:v>
                </c:pt>
                <c:pt idx="2">
                  <c:v>1.7769039850931945</c:v>
                </c:pt>
                <c:pt idx="3">
                  <c:v>1.4370560182896255</c:v>
                </c:pt>
                <c:pt idx="4">
                  <c:v>1.1960743068778694</c:v>
                </c:pt>
                <c:pt idx="5">
                  <c:v>0.8864930899240453</c:v>
                </c:pt>
                <c:pt idx="6">
                  <c:v>0.66310300227883046</c:v>
                </c:pt>
                <c:pt idx="7">
                  <c:v>0.15701835940156691</c:v>
                </c:pt>
                <c:pt idx="8">
                  <c:v>0.12828800152468015</c:v>
                </c:pt>
                <c:pt idx="9">
                  <c:v>0.1052422464745905</c:v>
                </c:pt>
                <c:pt idx="10">
                  <c:v>8.7497019701430423E-2</c:v>
                </c:pt>
                <c:pt idx="11">
                  <c:v>6.4528090696904072E-2</c:v>
                </c:pt>
                <c:pt idx="12">
                  <c:v>4.8396071685701009E-2</c:v>
                </c:pt>
                <c:pt idx="13">
                  <c:v>1.6900215363934361E-2</c:v>
                </c:pt>
                <c:pt idx="14">
                  <c:v>1.3827448268123942E-2</c:v>
                </c:pt>
              </c:numCache>
            </c:numRef>
          </c:xVal>
          <c:yVal>
            <c:numRef>
              <c:f>range0!$F$109:$F$123</c:f>
              <c:numCache>
                <c:formatCode>0.0%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</c:ser>
        <c:axId val="154934656"/>
        <c:axId val="154981888"/>
      </c:scatterChart>
      <c:valAx>
        <c:axId val="1549346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 Level</a:t>
                </a:r>
              </a:p>
            </c:rich>
          </c:tx>
          <c:layout/>
        </c:title>
        <c:numFmt formatCode="0.0" sourceLinked="1"/>
        <c:tickLblPos val="nextTo"/>
        <c:crossAx val="154981888"/>
        <c:crosses val="autoZero"/>
        <c:crossBetween val="midCat"/>
      </c:valAx>
      <c:valAx>
        <c:axId val="15498188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Deviation from Nominal Error</a:t>
                </a:r>
              </a:p>
            </c:rich>
          </c:tx>
          <c:layout/>
        </c:title>
        <c:numFmt formatCode="0%" sourceLinked="0"/>
        <c:tickLblPos val="nextTo"/>
        <c:crossAx val="1549346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range0!$C$193</c:f>
          <c:strCache>
            <c:ptCount val="1"/>
            <c:pt idx="0">
              <c:v>29121: Offset Histogram=0+/-0.02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spPr>
            <a:ln w="28575">
              <a:noFill/>
            </a:ln>
          </c:spPr>
          <c:cat>
            <c:numRef>
              <c:f>range0!$M$197:$M$202</c:f>
              <c:numCache>
                <c:formatCode>0.000</c:formatCode>
                <c:ptCount val="6"/>
                <c:pt idx="0">
                  <c:v>-1.8411875065153335E-2</c:v>
                </c:pt>
                <c:pt idx="1">
                  <c:v>-9.9243086299487422E-3</c:v>
                </c:pt>
                <c:pt idx="2">
                  <c:v>-1.4367421947441492E-3</c:v>
                </c:pt>
                <c:pt idx="3">
                  <c:v>7.0508242404604439E-3</c:v>
                </c:pt>
                <c:pt idx="4">
                  <c:v>1.5538390675665037E-2</c:v>
                </c:pt>
                <c:pt idx="5">
                  <c:v>2.402595711086963E-2</c:v>
                </c:pt>
              </c:numCache>
            </c:numRef>
          </c:cat>
          <c:val>
            <c:numRef>
              <c:f>range0!$N$197:$N$202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</c:v>
                </c:pt>
                <c:pt idx="4">
                  <c:v>0</c:v>
                </c:pt>
                <c:pt idx="5">
                  <c:v>5</c:v>
                </c:pt>
              </c:numCache>
            </c:numRef>
          </c:val>
        </c:ser>
        <c:axId val="155850240"/>
        <c:axId val="155852160"/>
      </c:barChart>
      <c:catAx>
        <c:axId val="1558502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Offset (Lux)</a:t>
                </a:r>
              </a:p>
            </c:rich>
          </c:tx>
        </c:title>
        <c:numFmt formatCode="0.000" sourceLinked="1"/>
        <c:tickLblPos val="nextTo"/>
        <c:crossAx val="155852160"/>
        <c:crosses val="autoZero"/>
        <c:auto val="1"/>
        <c:lblAlgn val="ctr"/>
        <c:lblOffset val="100"/>
      </c:catAx>
      <c:valAx>
        <c:axId val="15585216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155850240"/>
        <c:crosses val="autoZero"/>
        <c:crossBetween val="between"/>
      </c:valAx>
    </c:plotArea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range1!$E$129</c:f>
          <c:strCache>
            <c:ptCount val="1"/>
            <c:pt idx="0">
              <c:v>29121: Gain Variation= +/-334.8%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range1!$L$130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range1!$B$134:$B$155</c:f>
              <c:numCache>
                <c:formatCode>0.0</c:formatCode>
                <c:ptCount val="22"/>
                <c:pt idx="0">
                  <c:v>12.825726800021135</c:v>
                </c:pt>
                <c:pt idx="1">
                  <c:v>9.4994572118508245</c:v>
                </c:pt>
                <c:pt idx="2">
                  <c:v>7.108076789685887</c:v>
                </c:pt>
                <c:pt idx="3">
                  <c:v>5.8108316409221263</c:v>
                </c:pt>
                <c:pt idx="4">
                  <c:v>4.7264524101014667</c:v>
                </c:pt>
                <c:pt idx="5">
                  <c:v>3.8737596974251551</c:v>
                </c:pt>
                <c:pt idx="6">
                  <c:v>3.2207968686872634</c:v>
                </c:pt>
                <c:pt idx="7">
                  <c:v>2.38707854456778</c:v>
                </c:pt>
                <c:pt idx="8">
                  <c:v>2.1590792663518994</c:v>
                </c:pt>
                <c:pt idx="9">
                  <c:v>1.7769039850931945</c:v>
                </c:pt>
                <c:pt idx="10">
                  <c:v>1.4370560182896255</c:v>
                </c:pt>
                <c:pt idx="11">
                  <c:v>1.1960743068778694</c:v>
                </c:pt>
                <c:pt idx="12">
                  <c:v>0.8864930899240453</c:v>
                </c:pt>
                <c:pt idx="13">
                  <c:v>0.66310300227883046</c:v>
                </c:pt>
                <c:pt idx="14">
                  <c:v>0.15701835940156691</c:v>
                </c:pt>
                <c:pt idx="15">
                  <c:v>0.12828800152468015</c:v>
                </c:pt>
                <c:pt idx="16">
                  <c:v>0.1052422464745905</c:v>
                </c:pt>
                <c:pt idx="17">
                  <c:v>8.7497019701430423E-2</c:v>
                </c:pt>
                <c:pt idx="18">
                  <c:v>6.4528090696904072E-2</c:v>
                </c:pt>
                <c:pt idx="19">
                  <c:v>4.8396071685701009E-2</c:v>
                </c:pt>
                <c:pt idx="20">
                  <c:v>1.6900215363934361E-2</c:v>
                </c:pt>
                <c:pt idx="21">
                  <c:v>1.3827448268123942E-2</c:v>
                </c:pt>
              </c:numCache>
            </c:numRef>
          </c:xVal>
          <c:yVal>
            <c:numRef>
              <c:f>range1!$L$134:$L$155</c:f>
              <c:numCache>
                <c:formatCode>General</c:formatCode>
                <c:ptCount val="22"/>
                <c:pt idx="0">
                  <c:v>-30.125253490344285</c:v>
                </c:pt>
                <c:pt idx="1">
                  <c:v>-22.449410132301978</c:v>
                </c:pt>
                <c:pt idx="2">
                  <c:v>-16.87157588961783</c:v>
                </c:pt>
                <c:pt idx="3">
                  <c:v>-14.168968364570066</c:v>
                </c:pt>
                <c:pt idx="4">
                  <c:v>-11.465226106533461</c:v>
                </c:pt>
                <c:pt idx="5">
                  <c:v>-9.3588594895029154</c:v>
                </c:pt>
                <c:pt idx="6">
                  <c:v>-7.7094815514375297</c:v>
                </c:pt>
                <c:pt idx="7">
                  <c:v>-5.8570116907866652</c:v>
                </c:pt>
                <c:pt idx="8">
                  <c:v>-5.5048087200107716</c:v>
                </c:pt>
                <c:pt idx="9">
                  <c:v>-4.575538463464361</c:v>
                </c:pt>
                <c:pt idx="10">
                  <c:v>-3.5777134733317077</c:v>
                </c:pt>
                <c:pt idx="11">
                  <c:v>-3.0198930431262245</c:v>
                </c:pt>
                <c:pt idx="12">
                  <c:v>-2.3479887094188121</c:v>
                </c:pt>
                <c:pt idx="13">
                  <c:v>-1.8029351349368195</c:v>
                </c:pt>
                <c:pt idx="14">
                  <c:v>-0.5136567811169932</c:v>
                </c:pt>
                <c:pt idx="15">
                  <c:v>-0.42880030902969291</c:v>
                </c:pt>
                <c:pt idx="16">
                  <c:v>-0.35364228698967604</c:v>
                </c:pt>
                <c:pt idx="17">
                  <c:v>-0.30419736063417124</c:v>
                </c:pt>
                <c:pt idx="18">
                  <c:v>-0.23471541973137044</c:v>
                </c:pt>
                <c:pt idx="19">
                  <c:v>-0.18472623106372862</c:v>
                </c:pt>
                <c:pt idx="20">
                  <c:v>-8.2686764372959021E-2</c:v>
                </c:pt>
                <c:pt idx="21">
                  <c:v>-6.8039157854393267E-2</c:v>
                </c:pt>
              </c:numCache>
            </c:numRef>
          </c:yVal>
        </c:ser>
        <c:ser>
          <c:idx val="1"/>
          <c:order val="1"/>
          <c:tx>
            <c:strRef>
              <c:f>range1!$M$130</c:f>
              <c:strCache>
                <c:ptCount val="1"/>
                <c:pt idx="0">
                  <c:v>AVG</c:v>
                </c:pt>
              </c:strCache>
            </c:strRef>
          </c:tx>
          <c:xVal>
            <c:numRef>
              <c:f>range1!$B$134:$B$155</c:f>
              <c:numCache>
                <c:formatCode>0.0</c:formatCode>
                <c:ptCount val="22"/>
                <c:pt idx="0">
                  <c:v>12.825726800021135</c:v>
                </c:pt>
                <c:pt idx="1">
                  <c:v>9.4994572118508245</c:v>
                </c:pt>
                <c:pt idx="2">
                  <c:v>7.108076789685887</c:v>
                </c:pt>
                <c:pt idx="3">
                  <c:v>5.8108316409221263</c:v>
                </c:pt>
                <c:pt idx="4">
                  <c:v>4.7264524101014667</c:v>
                </c:pt>
                <c:pt idx="5">
                  <c:v>3.8737596974251551</c:v>
                </c:pt>
                <c:pt idx="6">
                  <c:v>3.2207968686872634</c:v>
                </c:pt>
                <c:pt idx="7">
                  <c:v>2.38707854456778</c:v>
                </c:pt>
                <c:pt idx="8">
                  <c:v>2.1590792663518994</c:v>
                </c:pt>
                <c:pt idx="9">
                  <c:v>1.7769039850931945</c:v>
                </c:pt>
                <c:pt idx="10">
                  <c:v>1.4370560182896255</c:v>
                </c:pt>
                <c:pt idx="11">
                  <c:v>1.1960743068778694</c:v>
                </c:pt>
                <c:pt idx="12">
                  <c:v>0.8864930899240453</c:v>
                </c:pt>
                <c:pt idx="13">
                  <c:v>0.66310300227883046</c:v>
                </c:pt>
                <c:pt idx="14">
                  <c:v>0.15701835940156691</c:v>
                </c:pt>
                <c:pt idx="15">
                  <c:v>0.12828800152468015</c:v>
                </c:pt>
                <c:pt idx="16">
                  <c:v>0.1052422464745905</c:v>
                </c:pt>
                <c:pt idx="17">
                  <c:v>8.7497019701430423E-2</c:v>
                </c:pt>
                <c:pt idx="18">
                  <c:v>6.4528090696904072E-2</c:v>
                </c:pt>
                <c:pt idx="19">
                  <c:v>4.8396071685701009E-2</c:v>
                </c:pt>
                <c:pt idx="20">
                  <c:v>1.6900215363934361E-2</c:v>
                </c:pt>
                <c:pt idx="21">
                  <c:v>1.3827448268123942E-2</c:v>
                </c:pt>
              </c:numCache>
            </c:numRef>
          </c:xVal>
          <c:yVal>
            <c:numRef>
              <c:f>range1!$M$134:$M$155</c:f>
              <c:numCache>
                <c:formatCode>0.0</c:formatCode>
                <c:ptCount val="22"/>
                <c:pt idx="0">
                  <c:v>12.825726800021135</c:v>
                </c:pt>
                <c:pt idx="1">
                  <c:v>9.5549121249240585</c:v>
                </c:pt>
                <c:pt idx="2">
                  <c:v>7.1828826798124616</c:v>
                </c:pt>
                <c:pt idx="3">
                  <c:v>6.0192389868670562</c:v>
                </c:pt>
                <c:pt idx="4">
                  <c:v>4.8696554189098427</c:v>
                </c:pt>
                <c:pt idx="5">
                  <c:v>3.9736906675141834</c:v>
                </c:pt>
                <c:pt idx="6">
                  <c:v>3.2805789175662978</c:v>
                </c:pt>
                <c:pt idx="7">
                  <c:v>2.4891126349292718</c:v>
                </c:pt>
                <c:pt idx="8">
                  <c:v>2.3288906686472455</c:v>
                </c:pt>
                <c:pt idx="9">
                  <c:v>1.9422460550109131</c:v>
                </c:pt>
                <c:pt idx="10">
                  <c:v>1.5205445549513086</c:v>
                </c:pt>
                <c:pt idx="11">
                  <c:v>1.2840094024279032</c:v>
                </c:pt>
                <c:pt idx="12">
                  <c:v>0.99408858546297185</c:v>
                </c:pt>
                <c:pt idx="13">
                  <c:v>0.76410294603307016</c:v>
                </c:pt>
                <c:pt idx="14">
                  <c:v>0.21614571622868212</c:v>
                </c:pt>
                <c:pt idx="15">
                  <c:v>0.18031254469456867</c:v>
                </c:pt>
                <c:pt idx="16">
                  <c:v>0.14890014380108599</c:v>
                </c:pt>
                <c:pt idx="17">
                  <c:v>0.12819882565420249</c:v>
                </c:pt>
                <c:pt idx="18">
                  <c:v>9.8577973900478011E-2</c:v>
                </c:pt>
                <c:pt idx="19">
                  <c:v>7.7130840798076722E-2</c:v>
                </c:pt>
                <c:pt idx="20">
                  <c:v>3.3485035568983711E-2</c:v>
                </c:pt>
                <c:pt idx="21">
                  <c:v>2.8570498995547158E-2</c:v>
                </c:pt>
              </c:numCache>
            </c:numRef>
          </c:yVal>
        </c:ser>
        <c:ser>
          <c:idx val="2"/>
          <c:order val="2"/>
          <c:tx>
            <c:strRef>
              <c:f>range1!$N$130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range1!$B$134:$B$155</c:f>
              <c:numCache>
                <c:formatCode>0.0</c:formatCode>
                <c:ptCount val="22"/>
                <c:pt idx="0">
                  <c:v>12.825726800021135</c:v>
                </c:pt>
                <c:pt idx="1">
                  <c:v>9.4994572118508245</c:v>
                </c:pt>
                <c:pt idx="2">
                  <c:v>7.108076789685887</c:v>
                </c:pt>
                <c:pt idx="3">
                  <c:v>5.8108316409221263</c:v>
                </c:pt>
                <c:pt idx="4">
                  <c:v>4.7264524101014667</c:v>
                </c:pt>
                <c:pt idx="5">
                  <c:v>3.8737596974251551</c:v>
                </c:pt>
                <c:pt idx="6">
                  <c:v>3.2207968686872634</c:v>
                </c:pt>
                <c:pt idx="7">
                  <c:v>2.38707854456778</c:v>
                </c:pt>
                <c:pt idx="8">
                  <c:v>2.1590792663518994</c:v>
                </c:pt>
                <c:pt idx="9">
                  <c:v>1.7769039850931945</c:v>
                </c:pt>
                <c:pt idx="10">
                  <c:v>1.4370560182896255</c:v>
                </c:pt>
                <c:pt idx="11">
                  <c:v>1.1960743068778694</c:v>
                </c:pt>
                <c:pt idx="12">
                  <c:v>0.8864930899240453</c:v>
                </c:pt>
                <c:pt idx="13">
                  <c:v>0.66310300227883046</c:v>
                </c:pt>
                <c:pt idx="14">
                  <c:v>0.15701835940156691</c:v>
                </c:pt>
                <c:pt idx="15">
                  <c:v>0.12828800152468015</c:v>
                </c:pt>
                <c:pt idx="16">
                  <c:v>0.1052422464745905</c:v>
                </c:pt>
                <c:pt idx="17">
                  <c:v>8.7497019701430423E-2</c:v>
                </c:pt>
                <c:pt idx="18">
                  <c:v>6.4528090696904072E-2</c:v>
                </c:pt>
                <c:pt idx="19">
                  <c:v>4.8396071685701009E-2</c:v>
                </c:pt>
                <c:pt idx="20">
                  <c:v>1.6900215363934361E-2</c:v>
                </c:pt>
                <c:pt idx="21">
                  <c:v>1.3827448268123942E-2</c:v>
                </c:pt>
              </c:numCache>
            </c:numRef>
          </c:xVal>
          <c:yVal>
            <c:numRef>
              <c:f>range1!$N$134:$N$155</c:f>
              <c:numCache>
                <c:formatCode>General</c:formatCode>
                <c:ptCount val="22"/>
                <c:pt idx="0">
                  <c:v>55.776707090386559</c:v>
                </c:pt>
                <c:pt idx="1">
                  <c:v>41.559234382150095</c:v>
                </c:pt>
                <c:pt idx="2">
                  <c:v>31.237341249242753</c:v>
                </c:pt>
                <c:pt idx="3">
                  <c:v>26.207446338304177</c:v>
                </c:pt>
                <c:pt idx="4">
                  <c:v>21.204536944353148</c:v>
                </c:pt>
                <c:pt idx="5">
                  <c:v>17.306240824531283</c:v>
                </c:pt>
                <c:pt idx="6">
                  <c:v>14.270639386570124</c:v>
                </c:pt>
                <c:pt idx="7">
                  <c:v>10.83523696064521</c:v>
                </c:pt>
                <c:pt idx="8">
                  <c:v>10.162590057305263</c:v>
                </c:pt>
                <c:pt idx="9">
                  <c:v>8.4600305734861863</c:v>
                </c:pt>
                <c:pt idx="10">
                  <c:v>6.6188025832343254</c:v>
                </c:pt>
                <c:pt idx="11">
                  <c:v>5.5879118479820313</c:v>
                </c:pt>
                <c:pt idx="12">
                  <c:v>4.3361658803447556</c:v>
                </c:pt>
                <c:pt idx="13">
                  <c:v>3.3311410270029596</c:v>
                </c:pt>
                <c:pt idx="14">
                  <c:v>0.94594821357435754</c:v>
                </c:pt>
                <c:pt idx="15">
                  <c:v>0.7894253984188303</c:v>
                </c:pt>
                <c:pt idx="16">
                  <c:v>0.65144257459184796</c:v>
                </c:pt>
                <c:pt idx="17">
                  <c:v>0.56059501194257622</c:v>
                </c:pt>
                <c:pt idx="18">
                  <c:v>0.43187136753232647</c:v>
                </c:pt>
                <c:pt idx="19">
                  <c:v>0.33898791265988204</c:v>
                </c:pt>
                <c:pt idx="20">
                  <c:v>0.14965683551092646</c:v>
                </c:pt>
                <c:pt idx="21">
                  <c:v>0.12518015584548758</c:v>
                </c:pt>
              </c:numCache>
            </c:numRef>
          </c:yVal>
        </c:ser>
        <c:axId val="156007808"/>
        <c:axId val="156026368"/>
      </c:scatterChart>
      <c:valAx>
        <c:axId val="1560078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0" sourceLinked="0"/>
        <c:tickLblPos val="nextTo"/>
        <c:crossAx val="156026368"/>
        <c:crosses val="autoZero"/>
        <c:crossBetween val="midCat"/>
      </c:valAx>
      <c:valAx>
        <c:axId val="1560263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</c:title>
        <c:numFmt formatCode="General" sourceLinked="1"/>
        <c:tickLblPos val="nextTo"/>
        <c:crossAx val="15600780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range1!$I$163</c:f>
          <c:strCache>
            <c:ptCount val="1"/>
            <c:pt idx="0">
              <c:v>29121: INL=10.4% FSR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range1!$H$166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range1!$B$170:$B$191</c:f>
              <c:numCache>
                <c:formatCode>0.0</c:formatCode>
                <c:ptCount val="22"/>
                <c:pt idx="0">
                  <c:v>12.825726800021135</c:v>
                </c:pt>
                <c:pt idx="1">
                  <c:v>9.4994572118508245</c:v>
                </c:pt>
                <c:pt idx="2">
                  <c:v>7.108076789685887</c:v>
                </c:pt>
                <c:pt idx="3">
                  <c:v>5.8108316409221263</c:v>
                </c:pt>
                <c:pt idx="4">
                  <c:v>4.7264524101014667</c:v>
                </c:pt>
                <c:pt idx="5">
                  <c:v>3.8737596974251551</c:v>
                </c:pt>
                <c:pt idx="6">
                  <c:v>3.2207968686872634</c:v>
                </c:pt>
                <c:pt idx="7">
                  <c:v>2.38707854456778</c:v>
                </c:pt>
                <c:pt idx="8">
                  <c:v>2.1590792663518994</c:v>
                </c:pt>
                <c:pt idx="9">
                  <c:v>1.7769039850931945</c:v>
                </c:pt>
                <c:pt idx="10">
                  <c:v>1.4370560182896255</c:v>
                </c:pt>
                <c:pt idx="11">
                  <c:v>1.1960743068778694</c:v>
                </c:pt>
                <c:pt idx="12">
                  <c:v>0.8864930899240453</c:v>
                </c:pt>
                <c:pt idx="13">
                  <c:v>0.66310300227883046</c:v>
                </c:pt>
                <c:pt idx="14">
                  <c:v>0.15701835940156691</c:v>
                </c:pt>
                <c:pt idx="15">
                  <c:v>0.12828800152468015</c:v>
                </c:pt>
                <c:pt idx="16">
                  <c:v>0.1052422464745905</c:v>
                </c:pt>
                <c:pt idx="17">
                  <c:v>8.7497019701430423E-2</c:v>
                </c:pt>
                <c:pt idx="18">
                  <c:v>6.4528090696904072E-2</c:v>
                </c:pt>
                <c:pt idx="19">
                  <c:v>4.8396071685701009E-2</c:v>
                </c:pt>
                <c:pt idx="20">
                  <c:v>1.6900215363934361E-2</c:v>
                </c:pt>
                <c:pt idx="21">
                  <c:v>1.3827448268123942E-2</c:v>
                </c:pt>
              </c:numCache>
            </c:numRef>
          </c:xVal>
          <c:yVal>
            <c:numRef>
              <c:f>range1!$H$170:$H$191</c:f>
              <c:numCache>
                <c:formatCode>0.00%</c:formatCode>
                <c:ptCount val="22"/>
                <c:pt idx="0">
                  <c:v>-4.9187284528454965E-2</c:v>
                </c:pt>
                <c:pt idx="1">
                  <c:v>-3.6259085089522962E-2</c:v>
                </c:pt>
                <c:pt idx="2">
                  <c:v>-3.2457042010939949E-2</c:v>
                </c:pt>
                <c:pt idx="3">
                  <c:v>-6.9117652069744684E-2</c:v>
                </c:pt>
                <c:pt idx="4">
                  <c:v>-4.9623542879783822E-2</c:v>
                </c:pt>
                <c:pt idx="5">
                  <c:v>-4.0124527086571708E-2</c:v>
                </c:pt>
                <c:pt idx="6">
                  <c:v>-1.8995063039870849E-2</c:v>
                </c:pt>
                <c:pt idx="7">
                  <c:v>-2.5462665063068848E-2</c:v>
                </c:pt>
                <c:pt idx="8">
                  <c:v>-4.2895992300853364E-2</c:v>
                </c:pt>
                <c:pt idx="9">
                  <c:v>-3.6731139926390828E-2</c:v>
                </c:pt>
                <c:pt idx="10">
                  <c:v>-1.8103775981828902E-2</c:v>
                </c:pt>
                <c:pt idx="11">
                  <c:v>-1.7501017010695251E-2</c:v>
                </c:pt>
                <c:pt idx="12">
                  <c:v>-2.1973237191261773E-2</c:v>
                </c:pt>
                <c:pt idx="13">
                  <c:v>-1.8931560742438756E-2</c:v>
                </c:pt>
                <c:pt idx="14">
                  <c:v>-9.3385853857285341E-3</c:v>
                </c:pt>
                <c:pt idx="15">
                  <c:v>-7.8413111637595963E-3</c:v>
                </c:pt>
                <c:pt idx="16">
                  <c:v>-6.1014387469312719E-3</c:v>
                </c:pt>
                <c:pt idx="17">
                  <c:v>-5.3244599170925574E-3</c:v>
                </c:pt>
                <c:pt idx="18">
                  <c:v>-4.0184816088191079E-3</c:v>
                </c:pt>
                <c:pt idx="19">
                  <c:v>-3.0930849229965141E-3</c:v>
                </c:pt>
                <c:pt idx="20">
                  <c:v>-1.064100724610011E-3</c:v>
                </c:pt>
                <c:pt idx="21">
                  <c:v>-1.0785601710958747E-10</c:v>
                </c:pt>
              </c:numCache>
            </c:numRef>
          </c:yVal>
        </c:ser>
        <c:ser>
          <c:idx val="1"/>
          <c:order val="1"/>
          <c:tx>
            <c:strRef>
              <c:f>range1!$I$166</c:f>
              <c:strCache>
                <c:ptCount val="1"/>
                <c:pt idx="0">
                  <c:v>AVG</c:v>
                </c:pt>
              </c:strCache>
            </c:strRef>
          </c:tx>
          <c:xVal>
            <c:numRef>
              <c:f>range1!$B$170:$B$191</c:f>
              <c:numCache>
                <c:formatCode>0.0</c:formatCode>
                <c:ptCount val="22"/>
                <c:pt idx="0">
                  <c:v>12.825726800021135</c:v>
                </c:pt>
                <c:pt idx="1">
                  <c:v>9.4994572118508245</c:v>
                </c:pt>
                <c:pt idx="2">
                  <c:v>7.108076789685887</c:v>
                </c:pt>
                <c:pt idx="3">
                  <c:v>5.8108316409221263</c:v>
                </c:pt>
                <c:pt idx="4">
                  <c:v>4.7264524101014667</c:v>
                </c:pt>
                <c:pt idx="5">
                  <c:v>3.8737596974251551</c:v>
                </c:pt>
                <c:pt idx="6">
                  <c:v>3.2207968686872634</c:v>
                </c:pt>
                <c:pt idx="7">
                  <c:v>2.38707854456778</c:v>
                </c:pt>
                <c:pt idx="8">
                  <c:v>2.1590792663518994</c:v>
                </c:pt>
                <c:pt idx="9">
                  <c:v>1.7769039850931945</c:v>
                </c:pt>
                <c:pt idx="10">
                  <c:v>1.4370560182896255</c:v>
                </c:pt>
                <c:pt idx="11">
                  <c:v>1.1960743068778694</c:v>
                </c:pt>
                <c:pt idx="12">
                  <c:v>0.8864930899240453</c:v>
                </c:pt>
                <c:pt idx="13">
                  <c:v>0.66310300227883046</c:v>
                </c:pt>
                <c:pt idx="14">
                  <c:v>0.15701835940156691</c:v>
                </c:pt>
                <c:pt idx="15">
                  <c:v>0.12828800152468015</c:v>
                </c:pt>
                <c:pt idx="16">
                  <c:v>0.1052422464745905</c:v>
                </c:pt>
                <c:pt idx="17">
                  <c:v>8.7497019701430423E-2</c:v>
                </c:pt>
                <c:pt idx="18">
                  <c:v>6.4528090696904072E-2</c:v>
                </c:pt>
                <c:pt idx="19">
                  <c:v>4.8396071685701009E-2</c:v>
                </c:pt>
                <c:pt idx="20">
                  <c:v>1.6900215363934361E-2</c:v>
                </c:pt>
                <c:pt idx="21">
                  <c:v>1.3827448268123942E-2</c:v>
                </c:pt>
              </c:numCache>
            </c:numRef>
          </c:xVal>
          <c:yVal>
            <c:numRef>
              <c:f>range1!$I$170:$I$191</c:f>
              <c:numCache>
                <c:formatCode>0.00%</c:formatCode>
                <c:ptCount val="22"/>
                <c:pt idx="0">
                  <c:v>-5.7805145731126377E-3</c:v>
                </c:pt>
                <c:pt idx="1">
                  <c:v>-6.5097078612646334E-3</c:v>
                </c:pt>
                <c:pt idx="2">
                  <c:v>-6.147727949576234E-3</c:v>
                </c:pt>
                <c:pt idx="3">
                  <c:v>-1.1268637466263007E-2</c:v>
                </c:pt>
                <c:pt idx="4">
                  <c:v>-7.9090977887274743E-3</c:v>
                </c:pt>
                <c:pt idx="5">
                  <c:v>-5.612934660542696E-3</c:v>
                </c:pt>
                <c:pt idx="6">
                  <c:v>-3.5517108754753875E-3</c:v>
                </c:pt>
                <c:pt idx="7">
                  <c:v>-4.9591156694531076E-3</c:v>
                </c:pt>
                <c:pt idx="8">
                  <c:v>-7.7724372297274325E-3</c:v>
                </c:pt>
                <c:pt idx="9">
                  <c:v>-7.387965286707333E-3</c:v>
                </c:pt>
                <c:pt idx="10">
                  <c:v>-3.6822187553926132E-3</c:v>
                </c:pt>
                <c:pt idx="11">
                  <c:v>-3.7535755486108146E-3</c:v>
                </c:pt>
                <c:pt idx="12">
                  <c:v>-4.4477071040728063E-3</c:v>
                </c:pt>
                <c:pt idx="13">
                  <c:v>-4.0509305352933855E-3</c:v>
                </c:pt>
                <c:pt idx="14">
                  <c:v>-1.988825510075936E-3</c:v>
                </c:pt>
                <c:pt idx="15">
                  <c:v>-1.6676411625274165E-3</c:v>
                </c:pt>
                <c:pt idx="16">
                  <c:v>-1.294715072329223E-3</c:v>
                </c:pt>
                <c:pt idx="17">
                  <c:v>-1.1581435228900068E-3</c:v>
                </c:pt>
                <c:pt idx="18">
                  <c:v>-8.5932041111294827E-4</c:v>
                </c:pt>
                <c:pt idx="19">
                  <c:v>-6.2166296946483571E-4</c:v>
                </c:pt>
                <c:pt idx="20">
                  <c:v>-8.1091153816981206E-5</c:v>
                </c:pt>
                <c:pt idx="21">
                  <c:v>-5.4897728963612107E-12</c:v>
                </c:pt>
              </c:numCache>
            </c:numRef>
          </c:yVal>
        </c:ser>
        <c:ser>
          <c:idx val="2"/>
          <c:order val="2"/>
          <c:tx>
            <c:strRef>
              <c:f>range1!$J$166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range1!$B$170:$B$191</c:f>
              <c:numCache>
                <c:formatCode>0.0</c:formatCode>
                <c:ptCount val="22"/>
                <c:pt idx="0">
                  <c:v>12.825726800021135</c:v>
                </c:pt>
                <c:pt idx="1">
                  <c:v>9.4994572118508245</c:v>
                </c:pt>
                <c:pt idx="2">
                  <c:v>7.108076789685887</c:v>
                </c:pt>
                <c:pt idx="3">
                  <c:v>5.8108316409221263</c:v>
                </c:pt>
                <c:pt idx="4">
                  <c:v>4.7264524101014667</c:v>
                </c:pt>
                <c:pt idx="5">
                  <c:v>3.8737596974251551</c:v>
                </c:pt>
                <c:pt idx="6">
                  <c:v>3.2207968686872634</c:v>
                </c:pt>
                <c:pt idx="7">
                  <c:v>2.38707854456778</c:v>
                </c:pt>
                <c:pt idx="8">
                  <c:v>2.1590792663518994</c:v>
                </c:pt>
                <c:pt idx="9">
                  <c:v>1.7769039850931945</c:v>
                </c:pt>
                <c:pt idx="10">
                  <c:v>1.4370560182896255</c:v>
                </c:pt>
                <c:pt idx="11">
                  <c:v>1.1960743068778694</c:v>
                </c:pt>
                <c:pt idx="12">
                  <c:v>0.8864930899240453</c:v>
                </c:pt>
                <c:pt idx="13">
                  <c:v>0.66310300227883046</c:v>
                </c:pt>
                <c:pt idx="14">
                  <c:v>0.15701835940156691</c:v>
                </c:pt>
                <c:pt idx="15">
                  <c:v>0.12828800152468015</c:v>
                </c:pt>
                <c:pt idx="16">
                  <c:v>0.1052422464745905</c:v>
                </c:pt>
                <c:pt idx="17">
                  <c:v>8.7497019701430423E-2</c:v>
                </c:pt>
                <c:pt idx="18">
                  <c:v>6.4528090696904072E-2</c:v>
                </c:pt>
                <c:pt idx="19">
                  <c:v>4.8396071685701009E-2</c:v>
                </c:pt>
                <c:pt idx="20">
                  <c:v>1.6900215363934361E-2</c:v>
                </c:pt>
                <c:pt idx="21">
                  <c:v>1.3827448268123942E-2</c:v>
                </c:pt>
              </c:numCache>
            </c:numRef>
          </c:xVal>
          <c:yVal>
            <c:numRef>
              <c:f>range1!$J$170:$J$191</c:f>
              <c:numCache>
                <c:formatCode>0.00%</c:formatCode>
                <c:ptCount val="22"/>
                <c:pt idx="0">
                  <c:v>3.762625538222969E-2</c:v>
                </c:pt>
                <c:pt idx="1">
                  <c:v>2.3239669366993697E-2</c:v>
                </c:pt>
                <c:pt idx="2">
                  <c:v>2.0161586111787477E-2</c:v>
                </c:pt>
                <c:pt idx="3">
                  <c:v>4.6580377137218673E-2</c:v>
                </c:pt>
                <c:pt idx="4">
                  <c:v>3.3805347302328863E-2</c:v>
                </c:pt>
                <c:pt idx="5">
                  <c:v>2.8898657765486314E-2</c:v>
                </c:pt>
                <c:pt idx="6">
                  <c:v>1.1891641288920075E-2</c:v>
                </c:pt>
                <c:pt idx="7">
                  <c:v>1.5544433724162636E-2</c:v>
                </c:pt>
                <c:pt idx="8">
                  <c:v>2.7351117841398501E-2</c:v>
                </c:pt>
                <c:pt idx="9">
                  <c:v>2.1955209352976165E-2</c:v>
                </c:pt>
                <c:pt idx="10">
                  <c:v>1.0739338471043676E-2</c:v>
                </c:pt>
                <c:pt idx="11">
                  <c:v>9.9938659134736207E-3</c:v>
                </c:pt>
                <c:pt idx="12">
                  <c:v>1.3077822983116157E-2</c:v>
                </c:pt>
                <c:pt idx="13">
                  <c:v>1.0829699671851985E-2</c:v>
                </c:pt>
                <c:pt idx="14">
                  <c:v>5.3609343655766622E-3</c:v>
                </c:pt>
                <c:pt idx="15">
                  <c:v>4.5060288387047632E-3</c:v>
                </c:pt>
                <c:pt idx="16">
                  <c:v>3.5120086022728259E-3</c:v>
                </c:pt>
                <c:pt idx="17">
                  <c:v>3.0081728713125442E-3</c:v>
                </c:pt>
                <c:pt idx="18">
                  <c:v>2.2998407865932116E-3</c:v>
                </c:pt>
                <c:pt idx="19">
                  <c:v>1.8497589840668427E-3</c:v>
                </c:pt>
                <c:pt idx="20">
                  <c:v>9.0191841697604867E-4</c:v>
                </c:pt>
                <c:pt idx="21">
                  <c:v>9.6876471316865057E-11</c:v>
                </c:pt>
              </c:numCache>
            </c:numRef>
          </c:yVal>
        </c:ser>
        <c:axId val="156634112"/>
        <c:axId val="156669056"/>
      </c:scatterChart>
      <c:valAx>
        <c:axId val="1566341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0.0" sourceLinked="1"/>
        <c:tickLblPos val="nextTo"/>
        <c:crossAx val="156669056"/>
        <c:crosses val="autoZero"/>
        <c:crossBetween val="midCat"/>
      </c:valAx>
      <c:valAx>
        <c:axId val="1566690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%FSR</a:t>
                </a:r>
              </a:p>
            </c:rich>
          </c:tx>
        </c:title>
        <c:numFmt formatCode="0.00%" sourceLinked="1"/>
        <c:tickLblPos val="nextTo"/>
        <c:crossAx val="15663411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range1!$L$95</c:f>
          <c:strCache>
            <c:ptCount val="1"/>
            <c:pt idx="0">
              <c:v>29121: CCT in/out Scatter Plot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trendline>
            <c:trendlineType val="linear"/>
            <c:dispEq val="1"/>
            <c:trendlineLbl>
              <c:layout>
                <c:manualLayout>
                  <c:x val="-9.462707786526689E-2"/>
                  <c:y val="-1.2752988508556655E-2"/>
                </c:manualLayout>
              </c:layout>
              <c:numFmt formatCode="General" sourceLinked="0"/>
            </c:trendlineLbl>
          </c:trendline>
          <c:xVal>
            <c:numRef>
              <c:f>range1!$C$102:$C$123</c:f>
              <c:numCache>
                <c:formatCode>0.0</c:formatCode>
                <c:ptCount val="22"/>
                <c:pt idx="0">
                  <c:v>3978.3</c:v>
                </c:pt>
                <c:pt idx="1">
                  <c:v>3960.5</c:v>
                </c:pt>
                <c:pt idx="2">
                  <c:v>3971.2</c:v>
                </c:pt>
                <c:pt idx="3">
                  <c:v>3979.2</c:v>
                </c:pt>
                <c:pt idx="4">
                  <c:v>4001.7</c:v>
                </c:pt>
                <c:pt idx="5">
                  <c:v>4034.1</c:v>
                </c:pt>
                <c:pt idx="6">
                  <c:v>4023.8</c:v>
                </c:pt>
                <c:pt idx="7">
                  <c:v>4005.5</c:v>
                </c:pt>
                <c:pt idx="8">
                  <c:v>4009.6</c:v>
                </c:pt>
                <c:pt idx="9">
                  <c:v>4016.5</c:v>
                </c:pt>
                <c:pt idx="10">
                  <c:v>4064.6</c:v>
                </c:pt>
                <c:pt idx="11">
                  <c:v>4054.6</c:v>
                </c:pt>
                <c:pt idx="12">
                  <c:v>4035.6</c:v>
                </c:pt>
                <c:pt idx="13">
                  <c:v>4046.8</c:v>
                </c:pt>
                <c:pt idx="14">
                  <c:v>3830.6</c:v>
                </c:pt>
                <c:pt idx="15">
                  <c:v>3852.3</c:v>
                </c:pt>
                <c:pt idx="16">
                  <c:v>3884.6</c:v>
                </c:pt>
                <c:pt idx="17">
                  <c:v>3874</c:v>
                </c:pt>
                <c:pt idx="18">
                  <c:v>3852.9</c:v>
                </c:pt>
                <c:pt idx="19">
                  <c:v>3862.8</c:v>
                </c:pt>
                <c:pt idx="20">
                  <c:v>3782.2</c:v>
                </c:pt>
                <c:pt idx="21">
                  <c:v>3801.6</c:v>
                </c:pt>
              </c:numCache>
            </c:numRef>
          </c:xVal>
          <c:yVal>
            <c:numRef>
              <c:f>range1!$M$102:$M$123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</c:ser>
        <c:axId val="155939200"/>
        <c:axId val="155941120"/>
      </c:scatterChart>
      <c:valAx>
        <c:axId val="155939200"/>
        <c:scaling>
          <c:orientation val="minMax"/>
          <c:max val="45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CCT in</a:t>
                </a:r>
              </a:p>
            </c:rich>
          </c:tx>
        </c:title>
        <c:numFmt formatCode="0" sourceLinked="0"/>
        <c:tickLblPos val="nextTo"/>
        <c:crossAx val="155941120"/>
        <c:crosses val="autoZero"/>
        <c:crossBetween val="midCat"/>
      </c:valAx>
      <c:valAx>
        <c:axId val="155941120"/>
        <c:scaling>
          <c:orientation val="minMax"/>
          <c:max val="4500"/>
          <c:min val="370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Measured CCT</a:t>
                </a:r>
              </a:p>
            </c:rich>
          </c:tx>
        </c:title>
        <c:numFmt formatCode="0" sourceLinked="0"/>
        <c:tickLblPos val="nextTo"/>
        <c:crossAx val="155939200"/>
        <c:crosses val="autoZero"/>
        <c:crossBetween val="midCat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range1!$D$95</c:f>
          <c:strCache>
            <c:ptCount val="1"/>
            <c:pt idx="0">
              <c:v>#VALUE!</c:v>
            </c:pt>
          </c:strCache>
        </c:strRef>
      </c:tx>
      <c:layout>
        <c:manualLayout>
          <c:xMode val="edge"/>
          <c:yMode val="edge"/>
          <c:x val="0.14408333333333342"/>
          <c:y val="2.7799231179792806E-2"/>
        </c:manualLayout>
      </c:layout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range1!$F$98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range1!$B$102:$B$123</c:f>
              <c:numCache>
                <c:formatCode>0.0</c:formatCode>
                <c:ptCount val="22"/>
                <c:pt idx="0">
                  <c:v>12.825726800021135</c:v>
                </c:pt>
                <c:pt idx="1">
                  <c:v>9.4994572118508245</c:v>
                </c:pt>
                <c:pt idx="2">
                  <c:v>7.108076789685887</c:v>
                </c:pt>
                <c:pt idx="3">
                  <c:v>5.8108316409221263</c:v>
                </c:pt>
                <c:pt idx="4">
                  <c:v>4.7264524101014667</c:v>
                </c:pt>
                <c:pt idx="5">
                  <c:v>3.8737596974251551</c:v>
                </c:pt>
                <c:pt idx="6">
                  <c:v>3.2207968686872634</c:v>
                </c:pt>
                <c:pt idx="7">
                  <c:v>2.38707854456778</c:v>
                </c:pt>
                <c:pt idx="8">
                  <c:v>2.1590792663518994</c:v>
                </c:pt>
                <c:pt idx="9">
                  <c:v>1.7769039850931945</c:v>
                </c:pt>
                <c:pt idx="10">
                  <c:v>1.4370560182896255</c:v>
                </c:pt>
                <c:pt idx="11">
                  <c:v>1.1960743068778694</c:v>
                </c:pt>
                <c:pt idx="12">
                  <c:v>0.8864930899240453</c:v>
                </c:pt>
                <c:pt idx="13">
                  <c:v>0.66310300227883046</c:v>
                </c:pt>
                <c:pt idx="14">
                  <c:v>0.15701835940156691</c:v>
                </c:pt>
                <c:pt idx="15">
                  <c:v>0.12828800152468015</c:v>
                </c:pt>
                <c:pt idx="16">
                  <c:v>0.1052422464745905</c:v>
                </c:pt>
                <c:pt idx="17">
                  <c:v>8.7497019701430423E-2</c:v>
                </c:pt>
                <c:pt idx="18">
                  <c:v>6.4528090696904072E-2</c:v>
                </c:pt>
                <c:pt idx="19">
                  <c:v>4.8396071685701009E-2</c:v>
                </c:pt>
                <c:pt idx="20">
                  <c:v>1.6900215363934361E-2</c:v>
                </c:pt>
                <c:pt idx="21">
                  <c:v>1.3827448268123942E-2</c:v>
                </c:pt>
              </c:numCache>
            </c:numRef>
          </c:xVal>
          <c:yVal>
            <c:numRef>
              <c:f>range1!$D$102:$D$123</c:f>
              <c:numCache>
                <c:formatCode>0.0%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</c:ser>
        <c:ser>
          <c:idx val="1"/>
          <c:order val="1"/>
          <c:tx>
            <c:strRef>
              <c:f>range1!$E$98</c:f>
              <c:strCache>
                <c:ptCount val="1"/>
                <c:pt idx="0">
                  <c:v>AVG</c:v>
                </c:pt>
              </c:strCache>
            </c:strRef>
          </c:tx>
          <c:xVal>
            <c:numRef>
              <c:f>range1!$B$102:$B$123</c:f>
              <c:numCache>
                <c:formatCode>0.0</c:formatCode>
                <c:ptCount val="22"/>
                <c:pt idx="0">
                  <c:v>12.825726800021135</c:v>
                </c:pt>
                <c:pt idx="1">
                  <c:v>9.4994572118508245</c:v>
                </c:pt>
                <c:pt idx="2">
                  <c:v>7.108076789685887</c:v>
                </c:pt>
                <c:pt idx="3">
                  <c:v>5.8108316409221263</c:v>
                </c:pt>
                <c:pt idx="4">
                  <c:v>4.7264524101014667</c:v>
                </c:pt>
                <c:pt idx="5">
                  <c:v>3.8737596974251551</c:v>
                </c:pt>
                <c:pt idx="6">
                  <c:v>3.2207968686872634</c:v>
                </c:pt>
                <c:pt idx="7">
                  <c:v>2.38707854456778</c:v>
                </c:pt>
                <c:pt idx="8">
                  <c:v>2.1590792663518994</c:v>
                </c:pt>
                <c:pt idx="9">
                  <c:v>1.7769039850931945</c:v>
                </c:pt>
                <c:pt idx="10">
                  <c:v>1.4370560182896255</c:v>
                </c:pt>
                <c:pt idx="11">
                  <c:v>1.1960743068778694</c:v>
                </c:pt>
                <c:pt idx="12">
                  <c:v>0.8864930899240453</c:v>
                </c:pt>
                <c:pt idx="13">
                  <c:v>0.66310300227883046</c:v>
                </c:pt>
                <c:pt idx="14">
                  <c:v>0.15701835940156691</c:v>
                </c:pt>
                <c:pt idx="15">
                  <c:v>0.12828800152468015</c:v>
                </c:pt>
                <c:pt idx="16">
                  <c:v>0.1052422464745905</c:v>
                </c:pt>
                <c:pt idx="17">
                  <c:v>8.7497019701430423E-2</c:v>
                </c:pt>
                <c:pt idx="18">
                  <c:v>6.4528090696904072E-2</c:v>
                </c:pt>
                <c:pt idx="19">
                  <c:v>4.8396071685701009E-2</c:v>
                </c:pt>
                <c:pt idx="20">
                  <c:v>1.6900215363934361E-2</c:v>
                </c:pt>
                <c:pt idx="21">
                  <c:v>1.3827448268123942E-2</c:v>
                </c:pt>
              </c:numCache>
            </c:numRef>
          </c:xVal>
          <c:yVal>
            <c:numRef>
              <c:f>range1!$E$102:$E$123</c:f>
              <c:numCache>
                <c:formatCode>0.0%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</c:ser>
        <c:ser>
          <c:idx val="2"/>
          <c:order val="2"/>
          <c:tx>
            <c:strRef>
              <c:f>range1!$D$98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range1!$B$102:$B$123</c:f>
              <c:numCache>
                <c:formatCode>0.0</c:formatCode>
                <c:ptCount val="22"/>
                <c:pt idx="0">
                  <c:v>12.825726800021135</c:v>
                </c:pt>
                <c:pt idx="1">
                  <c:v>9.4994572118508245</c:v>
                </c:pt>
                <c:pt idx="2">
                  <c:v>7.108076789685887</c:v>
                </c:pt>
                <c:pt idx="3">
                  <c:v>5.8108316409221263</c:v>
                </c:pt>
                <c:pt idx="4">
                  <c:v>4.7264524101014667</c:v>
                </c:pt>
                <c:pt idx="5">
                  <c:v>3.8737596974251551</c:v>
                </c:pt>
                <c:pt idx="6">
                  <c:v>3.2207968686872634</c:v>
                </c:pt>
                <c:pt idx="7">
                  <c:v>2.38707854456778</c:v>
                </c:pt>
                <c:pt idx="8">
                  <c:v>2.1590792663518994</c:v>
                </c:pt>
                <c:pt idx="9">
                  <c:v>1.7769039850931945</c:v>
                </c:pt>
                <c:pt idx="10">
                  <c:v>1.4370560182896255</c:v>
                </c:pt>
                <c:pt idx="11">
                  <c:v>1.1960743068778694</c:v>
                </c:pt>
                <c:pt idx="12">
                  <c:v>0.8864930899240453</c:v>
                </c:pt>
                <c:pt idx="13">
                  <c:v>0.66310300227883046</c:v>
                </c:pt>
                <c:pt idx="14">
                  <c:v>0.15701835940156691</c:v>
                </c:pt>
                <c:pt idx="15">
                  <c:v>0.12828800152468015</c:v>
                </c:pt>
                <c:pt idx="16">
                  <c:v>0.1052422464745905</c:v>
                </c:pt>
                <c:pt idx="17">
                  <c:v>8.7497019701430423E-2</c:v>
                </c:pt>
                <c:pt idx="18">
                  <c:v>6.4528090696904072E-2</c:v>
                </c:pt>
                <c:pt idx="19">
                  <c:v>4.8396071685701009E-2</c:v>
                </c:pt>
                <c:pt idx="20">
                  <c:v>1.6900215363934361E-2</c:v>
                </c:pt>
                <c:pt idx="21">
                  <c:v>1.3827448268123942E-2</c:v>
                </c:pt>
              </c:numCache>
            </c:numRef>
          </c:xVal>
          <c:yVal>
            <c:numRef>
              <c:f>range1!$F$102:$F$123</c:f>
              <c:numCache>
                <c:formatCode>0.0%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</c:ser>
        <c:axId val="156763264"/>
        <c:axId val="156765184"/>
      </c:scatterChart>
      <c:valAx>
        <c:axId val="1567632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Lux Level</a:t>
                </a:r>
              </a:p>
            </c:rich>
          </c:tx>
        </c:title>
        <c:numFmt formatCode="0.0" sourceLinked="1"/>
        <c:tickLblPos val="nextTo"/>
        <c:crossAx val="156765184"/>
        <c:crosses val="autoZero"/>
        <c:crossBetween val="midCat"/>
      </c:valAx>
      <c:valAx>
        <c:axId val="1567651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Deviation from Nominal Error</a:t>
                </a:r>
              </a:p>
            </c:rich>
          </c:tx>
        </c:title>
        <c:numFmt formatCode="0%" sourceLinked="0"/>
        <c:tickLblPos val="nextTo"/>
        <c:crossAx val="15676326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range1!$C$193</c:f>
          <c:strCache>
            <c:ptCount val="1"/>
            <c:pt idx="0">
              <c:v>29121: Offset Histogram=0.01+/-0.05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spPr>
            <a:ln w="28575">
              <a:noFill/>
            </a:ln>
          </c:spPr>
          <c:cat>
            <c:numRef>
              <c:f>range1!$M$197:$M$202</c:f>
              <c:numCache>
                <c:formatCode>0.000</c:formatCode>
                <c:ptCount val="6"/>
                <c:pt idx="0">
                  <c:v>-3.6533489328557038E-2</c:v>
                </c:pt>
                <c:pt idx="1">
                  <c:v>-1.9387859754430189E-2</c:v>
                </c:pt>
                <c:pt idx="2">
                  <c:v>-2.2422301803033395E-3</c:v>
                </c:pt>
                <c:pt idx="3">
                  <c:v>1.490339939382351E-2</c:v>
                </c:pt>
                <c:pt idx="4">
                  <c:v>3.2049028967950359E-2</c:v>
                </c:pt>
                <c:pt idx="5">
                  <c:v>4.9194658542077205E-2</c:v>
                </c:pt>
              </c:numCache>
            </c:numRef>
          </c:cat>
          <c:val>
            <c:numRef>
              <c:f>range1!$N$197:$N$202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</c:v>
                </c:pt>
                <c:pt idx="4">
                  <c:v>0</c:v>
                </c:pt>
                <c:pt idx="5">
                  <c:v>5</c:v>
                </c:pt>
              </c:numCache>
            </c:numRef>
          </c:val>
        </c:ser>
        <c:axId val="155960832"/>
        <c:axId val="156899968"/>
      </c:barChart>
      <c:catAx>
        <c:axId val="1559608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Offset (Lux)</a:t>
                </a:r>
              </a:p>
            </c:rich>
          </c:tx>
        </c:title>
        <c:numFmt formatCode="0.000" sourceLinked="1"/>
        <c:tickLblPos val="nextTo"/>
        <c:crossAx val="156899968"/>
        <c:crosses val="autoZero"/>
        <c:auto val="1"/>
        <c:lblAlgn val="ctr"/>
        <c:lblOffset val="100"/>
      </c:catAx>
      <c:valAx>
        <c:axId val="1568999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155960832"/>
        <c:crosses val="autoZero"/>
        <c:crossBetween val="between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Lux out vs. Lux in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data0!$B$1</c:f>
              <c:strCache>
                <c:ptCount val="1"/>
                <c:pt idx="0">
                  <c:v>0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data0!$B$2:$B$26</c:f>
              <c:numCache>
                <c:formatCode>0.0</c:formatCode>
                <c:ptCount val="25"/>
                <c:pt idx="0">
                  <c:v>141.31626892089844</c:v>
                </c:pt>
                <c:pt idx="1">
                  <c:v>199.87356567382812</c:v>
                </c:pt>
                <c:pt idx="2">
                  <c:v>110.00503540039062</c:v>
                </c:pt>
                <c:pt idx="3">
                  <c:v>200.49046325683594</c:v>
                </c:pt>
                <c:pt idx="4">
                  <c:v>86.690956115722656</c:v>
                </c:pt>
                <c:pt idx="5">
                  <c:v>124.19939422607422</c:v>
                </c:pt>
                <c:pt idx="6">
                  <c:v>70.163803100585938</c:v>
                </c:pt>
                <c:pt idx="7">
                  <c:v>99.844139099121094</c:v>
                </c:pt>
                <c:pt idx="8">
                  <c:v>58.346073150634766</c:v>
                </c:pt>
                <c:pt idx="9" formatCode="General">
                  <c:v>83.052032470703125</c:v>
                </c:pt>
                <c:pt idx="10" formatCode="General">
                  <c:v>43.65057373046875</c:v>
                </c:pt>
                <c:pt idx="11" formatCode="General">
                  <c:v>62.20013427734375</c:v>
                </c:pt>
                <c:pt idx="12" formatCode="General">
                  <c:v>35.929569244384766</c:v>
                </c:pt>
                <c:pt idx="13" formatCode="General">
                  <c:v>64.754928588867188</c:v>
                </c:pt>
                <c:pt idx="14" formatCode="General">
                  <c:v>28.470048904418945</c:v>
                </c:pt>
                <c:pt idx="15" formatCode="General">
                  <c:v>51.285572052001953</c:v>
                </c:pt>
                <c:pt idx="16" formatCode="General">
                  <c:v>22.28486442565918</c:v>
                </c:pt>
                <c:pt idx="17" formatCode="General">
                  <c:v>40.200984954833984</c:v>
                </c:pt>
                <c:pt idx="18" formatCode="General">
                  <c:v>17.870548248291016</c:v>
                </c:pt>
                <c:pt idx="19" formatCode="General">
                  <c:v>25.452049255371094</c:v>
                </c:pt>
                <c:pt idx="20" formatCode="General">
                  <c:v>14.876777648925781</c:v>
                </c:pt>
                <c:pt idx="21" formatCode="General">
                  <c:v>21.240558624267578</c:v>
                </c:pt>
                <c:pt idx="22" formatCode="General">
                  <c:v>13.659991264343262</c:v>
                </c:pt>
                <c:pt idx="23" formatCode="General">
                  <c:v>24.756673812866211</c:v>
                </c:pt>
                <c:pt idx="24" formatCode="General">
                  <c:v>11.151424407958984</c:v>
                </c:pt>
              </c:numCache>
            </c:numRef>
          </c:yVal>
        </c:ser>
        <c:ser>
          <c:idx val="1"/>
          <c:order val="1"/>
          <c:tx>
            <c:strRef>
              <c:f>data0!$C$1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data0!$C$2:$C$26</c:f>
              <c:numCache>
                <c:formatCode>0.0</c:formatCode>
                <c:ptCount val="25"/>
                <c:pt idx="0">
                  <c:v>137.43058776855469</c:v>
                </c:pt>
                <c:pt idx="1">
                  <c:v>192.39010620117187</c:v>
                </c:pt>
                <c:pt idx="2">
                  <c:v>109.96871185302734</c:v>
                </c:pt>
                <c:pt idx="3">
                  <c:v>152.08885192871094</c:v>
                </c:pt>
                <c:pt idx="4">
                  <c:v>85.032844543457031</c:v>
                </c:pt>
                <c:pt idx="5">
                  <c:v>118.61572265625</c:v>
                </c:pt>
                <c:pt idx="6">
                  <c:v>68.982620239257813</c:v>
                </c:pt>
                <c:pt idx="7">
                  <c:v>121.62748718261719</c:v>
                </c:pt>
                <c:pt idx="8">
                  <c:v>57.207698822021484</c:v>
                </c:pt>
                <c:pt idx="9" formatCode="General">
                  <c:v>79.577980041503906</c:v>
                </c:pt>
                <c:pt idx="10" formatCode="General">
                  <c:v>43.084800720214844</c:v>
                </c:pt>
                <c:pt idx="11" formatCode="General">
                  <c:v>59.795745849609375</c:v>
                </c:pt>
                <c:pt idx="12" formatCode="General">
                  <c:v>35.534461975097656</c:v>
                </c:pt>
                <c:pt idx="13" formatCode="General">
                  <c:v>49.323940277099609</c:v>
                </c:pt>
                <c:pt idx="14" formatCode="General">
                  <c:v>28.254423141479492</c:v>
                </c:pt>
                <c:pt idx="15" formatCode="General">
                  <c:v>50.056373596191406</c:v>
                </c:pt>
                <c:pt idx="16" formatCode="General">
                  <c:v>22.171566009521484</c:v>
                </c:pt>
                <c:pt idx="17" formatCode="General">
                  <c:v>30.395971298217773</c:v>
                </c:pt>
                <c:pt idx="18" formatCode="General">
                  <c:v>17.547199249267578</c:v>
                </c:pt>
                <c:pt idx="19" formatCode="General">
                  <c:v>24.342498779296875</c:v>
                </c:pt>
                <c:pt idx="20" formatCode="General">
                  <c:v>14.637413024902344</c:v>
                </c:pt>
                <c:pt idx="21" formatCode="General">
                  <c:v>20.419961929321289</c:v>
                </c:pt>
                <c:pt idx="22" formatCode="General">
                  <c:v>13.492201805114746</c:v>
                </c:pt>
                <c:pt idx="23" formatCode="General">
                  <c:v>18.790073394775391</c:v>
                </c:pt>
                <c:pt idx="24" formatCode="General">
                  <c:v>10.988490104675293</c:v>
                </c:pt>
              </c:numCache>
            </c:numRef>
          </c:yVal>
        </c:ser>
        <c:ser>
          <c:idx val="2"/>
          <c:order val="2"/>
          <c:tx>
            <c:strRef>
              <c:f>data0!$D$1</c:f>
              <c:strCache>
                <c:ptCount val="1"/>
                <c:pt idx="0">
                  <c:v>2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data0!$D$2:$D$26</c:f>
              <c:numCache>
                <c:formatCode>General</c:formatCode>
                <c:ptCount val="25"/>
                <c:pt idx="0">
                  <c:v>139.90721130371094</c:v>
                </c:pt>
                <c:pt idx="1">
                  <c:v>196.01852416992187</c:v>
                </c:pt>
                <c:pt idx="2">
                  <c:v>109.99550628662109</c:v>
                </c:pt>
                <c:pt idx="3">
                  <c:v>154.99549865722656</c:v>
                </c:pt>
                <c:pt idx="4">
                  <c:v>86.03131103515625</c:v>
                </c:pt>
                <c:pt idx="5">
                  <c:v>154.43873596191406</c:v>
                </c:pt>
                <c:pt idx="6">
                  <c:v>69.7325439453125</c:v>
                </c:pt>
                <c:pt idx="7">
                  <c:v>97.131019592285156</c:v>
                </c:pt>
                <c:pt idx="8">
                  <c:v>58.630218505859375</c:v>
                </c:pt>
                <c:pt idx="9">
                  <c:v>81.621070861816406</c:v>
                </c:pt>
                <c:pt idx="10">
                  <c:v>43.746067047119141</c:v>
                </c:pt>
                <c:pt idx="11">
                  <c:v>61.149116516113281</c:v>
                </c:pt>
                <c:pt idx="12">
                  <c:v>36.024703979492188</c:v>
                </c:pt>
                <c:pt idx="13">
                  <c:v>50.289375305175781</c:v>
                </c:pt>
                <c:pt idx="14">
                  <c:v>28.532453536987305</c:v>
                </c:pt>
                <c:pt idx="15">
                  <c:v>39.795528411865234</c:v>
                </c:pt>
                <c:pt idx="16">
                  <c:v>22.283605575561523</c:v>
                </c:pt>
                <c:pt idx="17">
                  <c:v>31.189441680908203</c:v>
                </c:pt>
                <c:pt idx="18">
                  <c:v>17.715349197387695</c:v>
                </c:pt>
                <c:pt idx="19">
                  <c:v>24.90272331237793</c:v>
                </c:pt>
                <c:pt idx="20">
                  <c:v>14.951231002807617</c:v>
                </c:pt>
                <c:pt idx="21">
                  <c:v>21.077795028686523</c:v>
                </c:pt>
                <c:pt idx="22">
                  <c:v>13.807278633117676</c:v>
                </c:pt>
                <c:pt idx="23">
                  <c:v>24.754493713378906</c:v>
                </c:pt>
                <c:pt idx="24">
                  <c:v>11.257888793945313</c:v>
                </c:pt>
              </c:numCache>
            </c:numRef>
          </c:yVal>
        </c:ser>
        <c:ser>
          <c:idx val="3"/>
          <c:order val="3"/>
          <c:tx>
            <c:strRef>
              <c:f>data0!$E$1</c:f>
              <c:strCache>
                <c:ptCount val="1"/>
                <c:pt idx="0">
                  <c:v>3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data0!$E$2:$E$26</c:f>
              <c:numCache>
                <c:formatCode>General</c:formatCode>
                <c:ptCount val="25"/>
                <c:pt idx="0">
                  <c:v>132.63229370117187</c:v>
                </c:pt>
                <c:pt idx="1">
                  <c:v>191.54254150390625</c:v>
                </c:pt>
                <c:pt idx="2">
                  <c:v>105.60870361328125</c:v>
                </c:pt>
                <c:pt idx="3">
                  <c:v>150.91963195800781</c:v>
                </c:pt>
                <c:pt idx="4">
                  <c:v>81.625625610351563</c:v>
                </c:pt>
                <c:pt idx="5">
                  <c:v>116.92479705810547</c:v>
                </c:pt>
                <c:pt idx="6">
                  <c:v>66.054130554199219</c:v>
                </c:pt>
                <c:pt idx="7">
                  <c:v>94.092781066894531</c:v>
                </c:pt>
                <c:pt idx="8">
                  <c:v>55.028594970703125</c:v>
                </c:pt>
                <c:pt idx="9">
                  <c:v>78.438156127929688</c:v>
                </c:pt>
                <c:pt idx="10">
                  <c:v>41.213401794433594</c:v>
                </c:pt>
                <c:pt idx="11">
                  <c:v>59.03546142578125</c:v>
                </c:pt>
                <c:pt idx="12">
                  <c:v>34.130645751953125</c:v>
                </c:pt>
                <c:pt idx="13">
                  <c:v>48.828868865966797</c:v>
                </c:pt>
                <c:pt idx="14">
                  <c:v>27.094823837280273</c:v>
                </c:pt>
                <c:pt idx="15">
                  <c:v>38.531856536865234</c:v>
                </c:pt>
                <c:pt idx="16">
                  <c:v>21.107461929321289</c:v>
                </c:pt>
                <c:pt idx="17">
                  <c:v>30.269378662109375</c:v>
                </c:pt>
                <c:pt idx="18">
                  <c:v>16.909671783447266</c:v>
                </c:pt>
                <c:pt idx="19">
                  <c:v>24.056938171386719</c:v>
                </c:pt>
                <c:pt idx="20">
                  <c:v>13.930647850036621</c:v>
                </c:pt>
                <c:pt idx="21">
                  <c:v>20.026618957519531</c:v>
                </c:pt>
                <c:pt idx="22">
                  <c:v>12.831295013427734</c:v>
                </c:pt>
                <c:pt idx="23">
                  <c:v>18.469955444335937</c:v>
                </c:pt>
                <c:pt idx="24">
                  <c:v>10.430631637573242</c:v>
                </c:pt>
              </c:numCache>
            </c:numRef>
          </c:yVal>
        </c:ser>
        <c:ser>
          <c:idx val="4"/>
          <c:order val="4"/>
          <c:tx>
            <c:strRef>
              <c:f>data0!$F$1</c:f>
              <c:strCache>
                <c:ptCount val="1"/>
                <c:pt idx="0">
                  <c:v>4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data0!$F$2:$F$26</c:f>
              <c:numCache>
                <c:formatCode>General</c:formatCode>
                <c:ptCount val="25"/>
                <c:pt idx="0">
                  <c:v>134.56826782226562</c:v>
                </c:pt>
                <c:pt idx="1">
                  <c:v>188.63993835449219</c:v>
                </c:pt>
                <c:pt idx="2">
                  <c:v>107.43010711669922</c:v>
                </c:pt>
                <c:pt idx="3">
                  <c:v>148.8602294921875</c:v>
                </c:pt>
                <c:pt idx="4">
                  <c:v>83.419692993164063</c:v>
                </c:pt>
                <c:pt idx="5">
                  <c:v>116.69195556640625</c:v>
                </c:pt>
                <c:pt idx="6">
                  <c:v>67.217506408691406</c:v>
                </c:pt>
                <c:pt idx="7">
                  <c:v>93.681350708007812</c:v>
                </c:pt>
                <c:pt idx="8">
                  <c:v>56.161937713623047</c:v>
                </c:pt>
                <c:pt idx="9">
                  <c:v>78.187225341796875</c:v>
                </c:pt>
                <c:pt idx="10">
                  <c:v>41.920528411865234</c:v>
                </c:pt>
                <c:pt idx="11">
                  <c:v>58.459007263183594</c:v>
                </c:pt>
                <c:pt idx="12">
                  <c:v>34.491939544677734</c:v>
                </c:pt>
                <c:pt idx="13">
                  <c:v>61.306388854980469</c:v>
                </c:pt>
                <c:pt idx="14">
                  <c:v>27.296783447265625</c:v>
                </c:pt>
                <c:pt idx="15">
                  <c:v>38.005138397216797</c:v>
                </c:pt>
                <c:pt idx="16">
                  <c:v>21.285501480102539</c:v>
                </c:pt>
                <c:pt idx="17">
                  <c:v>29.729095458984375</c:v>
                </c:pt>
                <c:pt idx="18">
                  <c:v>16.955890655517578</c:v>
                </c:pt>
                <c:pt idx="19">
                  <c:v>23.804073333740234</c:v>
                </c:pt>
                <c:pt idx="20">
                  <c:v>14.155086517333984</c:v>
                </c:pt>
                <c:pt idx="21">
                  <c:v>19.926103591918945</c:v>
                </c:pt>
                <c:pt idx="22">
                  <c:v>13.016169548034668</c:v>
                </c:pt>
                <c:pt idx="23">
                  <c:v>18.319868087768555</c:v>
                </c:pt>
                <c:pt idx="24">
                  <c:v>10.603635787963867</c:v>
                </c:pt>
              </c:numCache>
            </c:numRef>
          </c:yVal>
        </c:ser>
        <c:ser>
          <c:idx val="5"/>
          <c:order val="5"/>
          <c:tx>
            <c:strRef>
              <c:f>data0!$G$1</c:f>
              <c:strCache>
                <c:ptCount val="1"/>
                <c:pt idx="0">
                  <c:v>5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data0!$G$2:$G$26</c:f>
              <c:numCache>
                <c:formatCode>General</c:formatCode>
                <c:ptCount val="25"/>
                <c:pt idx="0">
                  <c:v>139.31990051269531</c:v>
                </c:pt>
                <c:pt idx="1">
                  <c:v>198.17060852050781</c:v>
                </c:pt>
                <c:pt idx="2">
                  <c:v>109.97841644287109</c:v>
                </c:pt>
                <c:pt idx="3">
                  <c:v>156.29081726074219</c:v>
                </c:pt>
                <c:pt idx="4">
                  <c:v>85.253509521484375</c:v>
                </c:pt>
                <c:pt idx="5">
                  <c:v>154.94229125976562</c:v>
                </c:pt>
                <c:pt idx="6">
                  <c:v>69.012657165527344</c:v>
                </c:pt>
                <c:pt idx="7">
                  <c:v>98.265838623046875</c:v>
                </c:pt>
                <c:pt idx="8">
                  <c:v>57.548671722412109</c:v>
                </c:pt>
                <c:pt idx="9">
                  <c:v>81.926254272460937</c:v>
                </c:pt>
                <c:pt idx="10">
                  <c:v>43.143428802490234</c:v>
                </c:pt>
                <c:pt idx="11">
                  <c:v>61.363872528076172</c:v>
                </c:pt>
                <c:pt idx="12">
                  <c:v>35.525650024414063</c:v>
                </c:pt>
                <c:pt idx="13">
                  <c:v>50.472484588623047</c:v>
                </c:pt>
                <c:pt idx="14">
                  <c:v>28.152812957763672</c:v>
                </c:pt>
                <c:pt idx="15">
                  <c:v>39.992202758789063</c:v>
                </c:pt>
                <c:pt idx="16">
                  <c:v>22.001977920532227</c:v>
                </c:pt>
                <c:pt idx="17">
                  <c:v>31.306991577148437</c:v>
                </c:pt>
                <c:pt idx="18">
                  <c:v>17.560327529907227</c:v>
                </c:pt>
                <c:pt idx="19">
                  <c:v>25.081310272216797</c:v>
                </c:pt>
                <c:pt idx="20">
                  <c:v>14.633096694946289</c:v>
                </c:pt>
                <c:pt idx="21">
                  <c:v>20.973808288574219</c:v>
                </c:pt>
                <c:pt idx="22">
                  <c:v>13.460370063781738</c:v>
                </c:pt>
                <c:pt idx="23">
                  <c:v>19.287403106689453</c:v>
                </c:pt>
                <c:pt idx="24">
                  <c:v>10.962233543395996</c:v>
                </c:pt>
              </c:numCache>
            </c:numRef>
          </c:yVal>
        </c:ser>
        <c:ser>
          <c:idx val="6"/>
          <c:order val="6"/>
          <c:tx>
            <c:strRef>
              <c:f>data0!$H$1</c:f>
              <c:strCache>
                <c:ptCount val="1"/>
                <c:pt idx="0">
                  <c:v>6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data0!$H$2:$H$26</c:f>
              <c:numCache>
                <c:formatCode>General</c:formatCode>
                <c:ptCount val="25"/>
              </c:numCache>
            </c:numRef>
          </c:yVal>
        </c:ser>
        <c:ser>
          <c:idx val="7"/>
          <c:order val="7"/>
          <c:tx>
            <c:strRef>
              <c:f>data0!$I$1</c:f>
              <c:strCache>
                <c:ptCount val="1"/>
                <c:pt idx="0">
                  <c:v>7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data0!$I$2:$I$26</c:f>
              <c:numCache>
                <c:formatCode>General</c:formatCode>
                <c:ptCount val="25"/>
              </c:numCache>
            </c:numRef>
          </c:yVal>
        </c:ser>
        <c:axId val="156745728"/>
        <c:axId val="156747648"/>
      </c:scatterChart>
      <c:valAx>
        <c:axId val="156745728"/>
        <c:scaling>
          <c:orientation val="minMax"/>
          <c:max val="2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156747648"/>
        <c:crosses val="autoZero"/>
        <c:crossBetween val="midCat"/>
      </c:valAx>
      <c:valAx>
        <c:axId val="15674764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  <c:layout/>
        </c:title>
        <c:numFmt formatCode="0.0" sourceLinked="1"/>
        <c:tickLblPos val="nextTo"/>
        <c:crossAx val="15674572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Lux out vs. Lux in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data0!$J$1</c:f>
              <c:strCache>
                <c:ptCount val="1"/>
                <c:pt idx="0">
                  <c:v>8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data0!$J$2:$J$26</c:f>
              <c:numCache>
                <c:formatCode>General</c:formatCode>
                <c:ptCount val="25"/>
              </c:numCache>
            </c:numRef>
          </c:yVal>
        </c:ser>
        <c:ser>
          <c:idx val="1"/>
          <c:order val="1"/>
          <c:tx>
            <c:strRef>
              <c:f>data0!$K$1</c:f>
              <c:strCache>
                <c:ptCount val="1"/>
                <c:pt idx="0">
                  <c:v>9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data0!$K$2:$K$26</c:f>
              <c:numCache>
                <c:formatCode>General</c:formatCode>
                <c:ptCount val="25"/>
              </c:numCache>
            </c:numRef>
          </c:yVal>
        </c:ser>
        <c:ser>
          <c:idx val="2"/>
          <c:order val="2"/>
          <c:tx>
            <c:strRef>
              <c:f>data0!$L$1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data0!$L$2:$L$26</c:f>
              <c:numCache>
                <c:formatCode>General</c:formatCode>
                <c:ptCount val="25"/>
              </c:numCache>
            </c:numRef>
          </c:yVal>
        </c:ser>
        <c:ser>
          <c:idx val="3"/>
          <c:order val="3"/>
          <c:tx>
            <c:strRef>
              <c:f>data0!$M$1</c:f>
              <c:strCache>
                <c:ptCount val="1"/>
                <c:pt idx="0">
                  <c:v>11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data0!$M$2:$M$26</c:f>
              <c:numCache>
                <c:formatCode>General</c:formatCode>
                <c:ptCount val="25"/>
              </c:numCache>
            </c:numRef>
          </c:yVal>
        </c:ser>
        <c:ser>
          <c:idx val="4"/>
          <c:order val="4"/>
          <c:tx>
            <c:strRef>
              <c:f>data0!$N$1</c:f>
              <c:strCache>
                <c:ptCount val="1"/>
                <c:pt idx="0">
                  <c:v>12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data0!$N$2:$N$26</c:f>
              <c:numCache>
                <c:formatCode>General</c:formatCode>
                <c:ptCount val="25"/>
              </c:numCache>
            </c:numRef>
          </c:yVal>
        </c:ser>
        <c:ser>
          <c:idx val="5"/>
          <c:order val="5"/>
          <c:tx>
            <c:strRef>
              <c:f>data0!$O$1</c:f>
              <c:strCache>
                <c:ptCount val="1"/>
                <c:pt idx="0">
                  <c:v>13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data0!$O$2:$O$26</c:f>
              <c:numCache>
                <c:formatCode>General</c:formatCode>
                <c:ptCount val="25"/>
              </c:numCache>
            </c:numRef>
          </c:yVal>
        </c:ser>
        <c:ser>
          <c:idx val="6"/>
          <c:order val="6"/>
          <c:tx>
            <c:strRef>
              <c:f>data0!$P$1</c:f>
              <c:strCache>
                <c:ptCount val="1"/>
                <c:pt idx="0">
                  <c:v>14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data0!$P$2:$P$26</c:f>
              <c:numCache>
                <c:formatCode>General</c:formatCode>
                <c:ptCount val="25"/>
              </c:numCache>
            </c:numRef>
          </c:yVal>
        </c:ser>
        <c:ser>
          <c:idx val="7"/>
          <c:order val="7"/>
          <c:tx>
            <c:strRef>
              <c:f>data0!$Q$1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data0!$Q$2:$Q$26</c:f>
              <c:numCache>
                <c:formatCode>General</c:formatCode>
                <c:ptCount val="25"/>
              </c:numCache>
            </c:numRef>
          </c:yVal>
        </c:ser>
        <c:axId val="157437312"/>
        <c:axId val="157455872"/>
      </c:scatterChart>
      <c:valAx>
        <c:axId val="157437312"/>
        <c:scaling>
          <c:orientation val="minMax"/>
          <c:max val="2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157455872"/>
        <c:crosses val="autoZero"/>
        <c:crossBetween val="midCat"/>
      </c:valAx>
      <c:valAx>
        <c:axId val="15745587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  <c:layout/>
        </c:title>
        <c:numFmt formatCode="General" sourceLinked="1"/>
        <c:tickLblPos val="nextTo"/>
        <c:crossAx val="1574373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666" l="0.70000000000000062" r="0.70000000000000062" t="0.75000000000000666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Lux out vs. Lux in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data0!$R$1</c:f>
              <c:strCache>
                <c:ptCount val="1"/>
                <c:pt idx="0">
                  <c:v>16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data0!$R$2:$R$26</c:f>
              <c:numCache>
                <c:formatCode>General</c:formatCode>
                <c:ptCount val="25"/>
              </c:numCache>
            </c:numRef>
          </c:yVal>
        </c:ser>
        <c:ser>
          <c:idx val="1"/>
          <c:order val="1"/>
          <c:tx>
            <c:strRef>
              <c:f>data0!$S$1</c:f>
              <c:strCache>
                <c:ptCount val="1"/>
                <c:pt idx="0">
                  <c:v>17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data0!$S$2:$S$26</c:f>
              <c:numCache>
                <c:formatCode>General</c:formatCode>
                <c:ptCount val="25"/>
              </c:numCache>
            </c:numRef>
          </c:yVal>
        </c:ser>
        <c:ser>
          <c:idx val="2"/>
          <c:order val="2"/>
          <c:tx>
            <c:strRef>
              <c:f>data0!$T$1</c:f>
              <c:strCache>
                <c:ptCount val="1"/>
                <c:pt idx="0">
                  <c:v>18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data0!$T$2:$T$26</c:f>
              <c:numCache>
                <c:formatCode>General</c:formatCode>
                <c:ptCount val="25"/>
              </c:numCache>
            </c:numRef>
          </c:yVal>
        </c:ser>
        <c:ser>
          <c:idx val="3"/>
          <c:order val="3"/>
          <c:tx>
            <c:strRef>
              <c:f>data0!$U$1</c:f>
              <c:strCache>
                <c:ptCount val="1"/>
                <c:pt idx="0">
                  <c:v>19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data0!$U$2:$U$26</c:f>
              <c:numCache>
                <c:formatCode>General</c:formatCode>
                <c:ptCount val="25"/>
              </c:numCache>
            </c:numRef>
          </c:yVal>
        </c:ser>
        <c:ser>
          <c:idx val="4"/>
          <c:order val="4"/>
          <c:tx>
            <c:strRef>
              <c:f>data0!$V$1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data0!$V$2:$V$26</c:f>
              <c:numCache>
                <c:formatCode>General</c:formatCode>
                <c:ptCount val="25"/>
              </c:numCache>
            </c:numRef>
          </c:yVal>
        </c:ser>
        <c:ser>
          <c:idx val="5"/>
          <c:order val="5"/>
          <c:tx>
            <c:strRef>
              <c:f>data0!$W$1</c:f>
              <c:strCache>
                <c:ptCount val="1"/>
                <c:pt idx="0">
                  <c:v>21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data0!$W$2:$W$26</c:f>
              <c:numCache>
                <c:formatCode>General</c:formatCode>
                <c:ptCount val="25"/>
              </c:numCache>
            </c:numRef>
          </c:yVal>
        </c:ser>
        <c:ser>
          <c:idx val="6"/>
          <c:order val="6"/>
          <c:tx>
            <c:strRef>
              <c:f>data0!$X$1</c:f>
              <c:strCache>
                <c:ptCount val="1"/>
                <c:pt idx="0">
                  <c:v>22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data0!$X$2:$X$26</c:f>
              <c:numCache>
                <c:formatCode>General</c:formatCode>
                <c:ptCount val="25"/>
              </c:numCache>
            </c:numRef>
          </c:yVal>
        </c:ser>
        <c:ser>
          <c:idx val="7"/>
          <c:order val="7"/>
          <c:tx>
            <c:strRef>
              <c:f>data0!$Y$1</c:f>
              <c:strCache>
                <c:ptCount val="1"/>
                <c:pt idx="0">
                  <c:v>23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data0!$Y$2:$Y$26</c:f>
              <c:numCache>
                <c:formatCode>General</c:formatCode>
                <c:ptCount val="25"/>
              </c:numCache>
            </c:numRef>
          </c:yVal>
        </c:ser>
        <c:axId val="157498752"/>
        <c:axId val="157525504"/>
      </c:scatterChart>
      <c:valAx>
        <c:axId val="157498752"/>
        <c:scaling>
          <c:orientation val="minMax"/>
          <c:max val="2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157525504"/>
        <c:crosses val="autoZero"/>
        <c:crossBetween val="midCat"/>
      </c:valAx>
      <c:valAx>
        <c:axId val="15752550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  <c:layout/>
        </c:title>
        <c:numFmt formatCode="General" sourceLinked="1"/>
        <c:tickLblPos val="nextTo"/>
        <c:crossAx val="1574987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Lux out vs. Lux in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data0!$Z$1</c:f>
              <c:strCache>
                <c:ptCount val="1"/>
                <c:pt idx="0">
                  <c:v>24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data0!$Z$2:$Z$26</c:f>
              <c:numCache>
                <c:formatCode>General</c:formatCode>
                <c:ptCount val="25"/>
              </c:numCache>
            </c:numRef>
          </c:yVal>
        </c:ser>
        <c:ser>
          <c:idx val="1"/>
          <c:order val="1"/>
          <c:tx>
            <c:strRef>
              <c:f>data0!$AA$1</c:f>
              <c:strCache>
                <c:ptCount val="1"/>
                <c:pt idx="0">
                  <c:v>25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data0!$AA$2:$AA$26</c:f>
              <c:numCache>
                <c:formatCode>General</c:formatCode>
                <c:ptCount val="25"/>
              </c:numCache>
            </c:numRef>
          </c:yVal>
        </c:ser>
        <c:ser>
          <c:idx val="2"/>
          <c:order val="2"/>
          <c:tx>
            <c:strRef>
              <c:f>data0!$AB$1</c:f>
              <c:strCache>
                <c:ptCount val="1"/>
                <c:pt idx="0">
                  <c:v>26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data0!$AB$2:$AB$26</c:f>
              <c:numCache>
                <c:formatCode>General</c:formatCode>
                <c:ptCount val="25"/>
              </c:numCache>
            </c:numRef>
          </c:yVal>
        </c:ser>
        <c:ser>
          <c:idx val="3"/>
          <c:order val="3"/>
          <c:tx>
            <c:strRef>
              <c:f>data0!$AC$1</c:f>
              <c:strCache>
                <c:ptCount val="1"/>
                <c:pt idx="0">
                  <c:v>27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data0!$AC$2:$AC$26</c:f>
              <c:numCache>
                <c:formatCode>General</c:formatCode>
                <c:ptCount val="25"/>
              </c:numCache>
            </c:numRef>
          </c:yVal>
        </c:ser>
        <c:ser>
          <c:idx val="4"/>
          <c:order val="4"/>
          <c:tx>
            <c:strRef>
              <c:f>data0!$AD$1</c:f>
              <c:strCache>
                <c:ptCount val="1"/>
                <c:pt idx="0">
                  <c:v>28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data0!$AD$2:$AD$26</c:f>
              <c:numCache>
                <c:formatCode>General</c:formatCode>
                <c:ptCount val="25"/>
              </c:numCache>
            </c:numRef>
          </c:yVal>
        </c:ser>
        <c:ser>
          <c:idx val="5"/>
          <c:order val="5"/>
          <c:tx>
            <c:strRef>
              <c:f>data0!$AE$1</c:f>
              <c:strCache>
                <c:ptCount val="1"/>
                <c:pt idx="0">
                  <c:v>29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data0!$AE$2:$AE$26</c:f>
              <c:numCache>
                <c:formatCode>General</c:formatCode>
                <c:ptCount val="25"/>
              </c:numCache>
            </c:numRef>
          </c:yVal>
        </c:ser>
        <c:ser>
          <c:idx val="6"/>
          <c:order val="6"/>
          <c:tx>
            <c:strRef>
              <c:f>data0!$AF$1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data0!$AF$2:$AF$26</c:f>
              <c:numCache>
                <c:formatCode>General</c:formatCode>
                <c:ptCount val="25"/>
              </c:numCache>
            </c:numRef>
          </c:yVal>
        </c:ser>
        <c:ser>
          <c:idx val="7"/>
          <c:order val="7"/>
          <c:tx>
            <c:strRef>
              <c:f>data0!$AG$1</c:f>
              <c:strCache>
                <c:ptCount val="1"/>
                <c:pt idx="0">
                  <c:v>31</c:v>
                </c:pt>
              </c:strCache>
            </c:strRef>
          </c:tx>
          <c:xVal>
            <c:numRef>
              <c:f>data0!$A$2:$A$26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data0!$AG$2:$AG$26</c:f>
              <c:numCache>
                <c:formatCode>General</c:formatCode>
                <c:ptCount val="25"/>
              </c:numCache>
            </c:numRef>
          </c:yVal>
        </c:ser>
        <c:axId val="157567616"/>
        <c:axId val="157590272"/>
      </c:scatterChart>
      <c:valAx>
        <c:axId val="157567616"/>
        <c:scaling>
          <c:orientation val="minMax"/>
          <c:max val="2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  <c:layout/>
        </c:title>
        <c:numFmt formatCode="General" sourceLinked="1"/>
        <c:tickLblPos val="nextTo"/>
        <c:crossAx val="157590272"/>
        <c:crosses val="autoZero"/>
        <c:crossBetween val="midCat"/>
      </c:valAx>
      <c:valAx>
        <c:axId val="15759027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  <c:layout/>
        </c:title>
        <c:numFmt formatCode="General" sourceLinked="1"/>
        <c:tickLblPos val="nextTo"/>
        <c:crossAx val="15756761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711" l="0.70000000000000062" r="0.70000000000000062" t="0.75000000000000711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data0!$AL$119</c:f>
          <c:strCache>
            <c:ptCount val="1"/>
            <c:pt idx="0">
              <c:v>#NAME?</c:v>
            </c:pt>
          </c:strCache>
        </c:strRef>
      </c:tx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data0!$B$189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data0!$B$190:$B$212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data0!$C$189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data0!$C$190:$C$212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data0!$D$189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data0!$D$190:$D$212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3"/>
          <c:order val="3"/>
          <c:tx>
            <c:strRef>
              <c:f>data0!$E$189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data0!$E$190:$E$212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4"/>
          <c:order val="4"/>
          <c:tx>
            <c:strRef>
              <c:f>data0!$F$189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data0!$F$190:$F$212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5"/>
          <c:order val="5"/>
          <c:tx>
            <c:strRef>
              <c:f>data0!$G$189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data0!$G$190:$G$212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6"/>
          <c:order val="6"/>
          <c:tx>
            <c:strRef>
              <c:f>data0!$H$189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data0!$H$190:$H$212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7"/>
          <c:order val="7"/>
          <c:tx>
            <c:strRef>
              <c:f>data0!$I$189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data0!$I$190:$I$212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axId val="157644672"/>
        <c:axId val="157655040"/>
      </c:scatterChart>
      <c:valAx>
        <c:axId val="1576446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General" sourceLinked="1"/>
        <c:tickLblPos val="nextTo"/>
        <c:crossAx val="157655040"/>
        <c:crosses val="autoZero"/>
        <c:crossBetween val="midCat"/>
      </c:valAx>
      <c:valAx>
        <c:axId val="15765504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</c:title>
        <c:numFmt formatCode="General" sourceLinked="1"/>
        <c:tickLblPos val="nextTo"/>
        <c:crossAx val="15764467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data0!$AL$119</c:f>
          <c:strCache>
            <c:ptCount val="1"/>
            <c:pt idx="0">
              <c:v>#NAME?</c:v>
            </c:pt>
          </c:strCache>
        </c:strRef>
      </c:tx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data0!$J$189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data0!$J$190:$J$212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data0!$K$189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data0!$K$190:$K$212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data0!$L$189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data0!$L$190:$L$212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3"/>
          <c:order val="3"/>
          <c:tx>
            <c:strRef>
              <c:f>data0!$M$189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data0!$M$190:$M$212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4"/>
          <c:order val="4"/>
          <c:tx>
            <c:strRef>
              <c:f>data0!$N$189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data0!$N$190:$N$212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5"/>
          <c:order val="5"/>
          <c:tx>
            <c:strRef>
              <c:f>data0!$O$189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data0!$O$190:$O$212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6"/>
          <c:order val="6"/>
          <c:tx>
            <c:strRef>
              <c:f>data0!$P$189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data0!$P$190:$P$212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7"/>
          <c:order val="7"/>
          <c:tx>
            <c:strRef>
              <c:f>data0!$Q$189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data0!$Q$190:$Q$212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axId val="156870144"/>
        <c:axId val="156872064"/>
      </c:scatterChart>
      <c:valAx>
        <c:axId val="1568701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General" sourceLinked="1"/>
        <c:tickLblPos val="nextTo"/>
        <c:crossAx val="156872064"/>
        <c:crosses val="autoZero"/>
        <c:crossBetween val="midCat"/>
      </c:valAx>
      <c:valAx>
        <c:axId val="15687206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</c:title>
        <c:numFmt formatCode="General" sourceLinked="1"/>
        <c:tickLblPos val="nextTo"/>
        <c:crossAx val="15687014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data0!$AL$119</c:f>
          <c:strCache>
            <c:ptCount val="1"/>
            <c:pt idx="0">
              <c:v>#NAME?</c:v>
            </c:pt>
          </c:strCache>
        </c:strRef>
      </c:tx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data0!$R$189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data0!$R$190:$R$212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data0!$S$189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data0!$S$190:$S$212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data0!$T$189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data0!$T$190:$T$212</c:f>
              <c:numCache>
                <c:formatCode>General</c:formatCode>
                <c:ptCount val="23"/>
              </c:numCache>
            </c:numRef>
          </c:yVal>
        </c:ser>
        <c:ser>
          <c:idx val="3"/>
          <c:order val="3"/>
          <c:tx>
            <c:strRef>
              <c:f>data0!$U$189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data0!$U$190:$U$212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4"/>
          <c:order val="4"/>
          <c:tx>
            <c:strRef>
              <c:f>data0!$V$189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data0!$V$190:$V$212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5"/>
          <c:order val="5"/>
          <c:tx>
            <c:strRef>
              <c:f>data0!$W$189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data0!$W$190:$W$212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6"/>
          <c:order val="6"/>
          <c:tx>
            <c:strRef>
              <c:f>data0!$X$189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data0!$X$190:$X$212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7"/>
          <c:order val="7"/>
          <c:tx>
            <c:strRef>
              <c:f>data0!$Y$189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data0!$Y$190:$Y$212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axId val="157718016"/>
        <c:axId val="157719936"/>
      </c:scatterChart>
      <c:valAx>
        <c:axId val="1577180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General" sourceLinked="1"/>
        <c:tickLblPos val="nextTo"/>
        <c:crossAx val="157719936"/>
        <c:crosses val="autoZero"/>
        <c:crossBetween val="midCat"/>
      </c:valAx>
      <c:valAx>
        <c:axId val="15771993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</c:title>
        <c:numFmt formatCode="General" sourceLinked="1"/>
        <c:tickLblPos val="nextTo"/>
        <c:crossAx val="15771801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data0!$AL$119</c:f>
          <c:strCache>
            <c:ptCount val="1"/>
            <c:pt idx="0">
              <c:v>#NAME?</c:v>
            </c:pt>
          </c:strCache>
        </c:strRef>
      </c:tx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data0!$Z$189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data0!$Z$190:$Z$212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data0!$AA$189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data0!$AA$190:$AA$212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data0!$AB$189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data0!$AB$190:$AB$212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3"/>
          <c:order val="3"/>
          <c:tx>
            <c:strRef>
              <c:f>data0!$AC$189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data0!$AC$190:$AC$212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4"/>
          <c:order val="4"/>
          <c:tx>
            <c:strRef>
              <c:f>data0!$AD$189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data0!$AD$190:$AD$212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5"/>
          <c:order val="5"/>
          <c:tx>
            <c:strRef>
              <c:f>data0!$AE$189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data0!$AE$190:$AE$212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6"/>
          <c:order val="6"/>
          <c:tx>
            <c:strRef>
              <c:f>data0!$AF$189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data0!$AF$190:$AF$212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7"/>
          <c:order val="7"/>
          <c:tx>
            <c:strRef>
              <c:f>data0!$AG$189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data0!$AG$190:$AG$212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axId val="157791360"/>
        <c:axId val="157793280"/>
      </c:scatterChart>
      <c:valAx>
        <c:axId val="1577913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General" sourceLinked="1"/>
        <c:tickLblPos val="nextTo"/>
        <c:crossAx val="157793280"/>
        <c:crosses val="autoZero"/>
        <c:crossBetween val="midCat"/>
      </c:valAx>
      <c:valAx>
        <c:axId val="1577932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</c:title>
        <c:numFmt formatCode="General" sourceLinked="1"/>
        <c:tickLblPos val="nextTo"/>
        <c:crossAx val="15779136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data0!$AL$117</c:f>
          <c:strCache>
            <c:ptCount val="1"/>
            <c:pt idx="0">
              <c:v>#NAME?</c:v>
            </c:pt>
          </c:strCache>
        </c:strRef>
      </c:tx>
      <c:txPr>
        <a:bodyPr/>
        <a:lstStyle/>
        <a:p>
          <a:pPr>
            <a:defRPr sz="11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data0!$AM$1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data0!$A$3:$A$26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data0!$AM$3:$AM$26</c:f>
              <c:numCache>
                <c:formatCode>General</c:formatCode>
                <c:ptCount val="2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data0!$AN$1</c:f>
              <c:strCache>
                <c:ptCount val="1"/>
                <c:pt idx="0">
                  <c:v>MEAN</c:v>
                </c:pt>
              </c:strCache>
            </c:strRef>
          </c:tx>
          <c:xVal>
            <c:numRef>
              <c:f>data0!$A$3:$A$26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data0!$AN$3:$AN$26</c:f>
              <c:numCache>
                <c:formatCode>General</c:formatCode>
                <c:ptCount val="2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data0!$AO$1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data0!$A$3:$A$26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data0!$AO$3:$AO$26</c:f>
              <c:numCache>
                <c:formatCode>General</c:formatCode>
                <c:ptCount val="2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</c:ser>
        <c:axId val="157807360"/>
        <c:axId val="157809280"/>
      </c:scatterChart>
      <c:valAx>
        <c:axId val="1578073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General" sourceLinked="1"/>
        <c:tickLblPos val="nextTo"/>
        <c:crossAx val="157809280"/>
        <c:crosses val="autoZero"/>
        <c:crossBetween val="midCat"/>
      </c:valAx>
      <c:valAx>
        <c:axId val="1578092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/>
                  <a:t>Measured Lux</a:t>
                </a:r>
                <a:endParaRPr lang="en-US"/>
              </a:p>
            </c:rich>
          </c:tx>
        </c:title>
        <c:numFmt formatCode="General" sourceLinked="1"/>
        <c:tickLblPos val="nextTo"/>
        <c:crossAx val="15780736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33" l="0.70000000000000062" r="0.70000000000000062" t="0.75000000000000533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data0!$AL$118</c:f>
              <c:strCache>
                <c:ptCount val="1"/>
                <c:pt idx="0">
                  <c:v>#NAME?</c:v>
                </c:pt>
              </c:strCache>
            </c:strRef>
          </c:tx>
          <c:cat>
            <c:numRef>
              <c:f>data0!$AM$160:$AM$176</c:f>
              <c:numCache>
                <c:formatCode>General</c:formatCode>
                <c:ptCount val="17"/>
              </c:numCache>
            </c:numRef>
          </c:cat>
          <c:val>
            <c:numRef>
              <c:f>data0!$AJ$124:$AJ$129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157864704"/>
        <c:axId val="157866624"/>
      </c:barChart>
      <c:catAx>
        <c:axId val="1578647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</c:title>
        <c:numFmt formatCode="General" sourceLinked="1"/>
        <c:tickLblPos val="nextTo"/>
        <c:crossAx val="157866624"/>
        <c:crosses val="autoZero"/>
        <c:auto val="1"/>
        <c:lblAlgn val="ctr"/>
        <c:lblOffset val="100"/>
      </c:catAx>
      <c:valAx>
        <c:axId val="15786662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157864704"/>
        <c:crosses val="autoZero"/>
        <c:crossBetween val="between"/>
      </c:valAx>
    </c:plotArea>
    <c:plotVisOnly val="1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data0!$AL$119</c:f>
          <c:strCache>
            <c:ptCount val="1"/>
            <c:pt idx="0">
              <c:v>#NAME?</c:v>
            </c:pt>
          </c:strCache>
        </c:strRef>
      </c:tx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data0!$AI$189</c:f>
              <c:strCache>
                <c:ptCount val="1"/>
                <c:pt idx="0">
                  <c:v>-1.5σ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data0!$AI$190:$AI$212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data0!$AJ$189</c:f>
              <c:strCache>
                <c:ptCount val="1"/>
                <c:pt idx="0">
                  <c:v>MEAN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data0!$AJ$190:$AJ$212</c:f>
              <c:numCache>
                <c:formatCode>0.0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data0!$AK$189</c:f>
              <c:strCache>
                <c:ptCount val="1"/>
                <c:pt idx="0">
                  <c:v>+1.5σ</c:v>
                </c:pt>
              </c:strCache>
            </c:strRef>
          </c:tx>
          <c:marker>
            <c:symbol val="none"/>
          </c:marker>
          <c:xVal>
            <c:numRef>
              <c:f>data0!$A$190:$A$212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</c:numCache>
            </c:numRef>
          </c:xVal>
          <c:yVal>
            <c:numRef>
              <c:f>data0!$AK$190:$AK$212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</c:ser>
        <c:axId val="158034176"/>
        <c:axId val="158052736"/>
      </c:scatterChart>
      <c:valAx>
        <c:axId val="1580341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General" sourceLinked="1"/>
        <c:tickLblPos val="nextTo"/>
        <c:crossAx val="158052736"/>
        <c:crosses val="autoZero"/>
        <c:crossBetween val="midCat"/>
      </c:valAx>
      <c:valAx>
        <c:axId val="15805273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</c:title>
        <c:numFmt formatCode="General" sourceLinked="1"/>
        <c:tickLblPos val="nextTo"/>
        <c:crossAx val="15803417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data0!$AL$117</c:f>
          <c:strCache>
            <c:ptCount val="1"/>
            <c:pt idx="0">
              <c:v>#NAME?</c:v>
            </c:pt>
          </c:strCache>
        </c:strRef>
      </c:tx>
      <c:txPr>
        <a:bodyPr/>
        <a:lstStyle/>
        <a:p>
          <a:pPr>
            <a:defRPr sz="11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data0!$AM$1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data0!$A$3:$A$26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data0!$AM$3:$AM$26</c:f>
              <c:numCache>
                <c:formatCode>General</c:formatCode>
                <c:ptCount val="2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data0!$AN$1</c:f>
              <c:strCache>
                <c:ptCount val="1"/>
                <c:pt idx="0">
                  <c:v>MEAN</c:v>
                </c:pt>
              </c:strCache>
            </c:strRef>
          </c:tx>
          <c:xVal>
            <c:numRef>
              <c:f>data0!$A$3:$A$26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data0!$AN$3:$AN$26</c:f>
              <c:numCache>
                <c:formatCode>General</c:formatCode>
                <c:ptCount val="2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data0!$AO$1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data0!$A$3:$A$26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data0!$AO$3:$AO$26</c:f>
              <c:numCache>
                <c:formatCode>General</c:formatCode>
                <c:ptCount val="2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</c:ser>
        <c:axId val="158078848"/>
        <c:axId val="158093312"/>
      </c:scatterChart>
      <c:valAx>
        <c:axId val="158078848"/>
        <c:scaling>
          <c:logBase val="10"/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General" sourceLinked="1"/>
        <c:tickLblPos val="nextTo"/>
        <c:crossAx val="158093312"/>
        <c:crosses val="autoZero"/>
        <c:crossBetween val="midCat"/>
      </c:valAx>
      <c:valAx>
        <c:axId val="158093312"/>
        <c:scaling>
          <c:logBase val="10"/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/>
                  <a:t>Measured Lux</a:t>
                </a:r>
                <a:endParaRPr lang="en-US"/>
              </a:p>
            </c:rich>
          </c:tx>
        </c:title>
        <c:numFmt formatCode="General" sourceLinked="1"/>
        <c:tickLblPos val="nextTo"/>
        <c:crossAx val="15807884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55" l="0.70000000000000062" r="0.70000000000000062" t="0.7500000000000055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data0!$AL$117</c:f>
          <c:strCache>
            <c:ptCount val="1"/>
            <c:pt idx="0">
              <c:v>#NAME?</c:v>
            </c:pt>
          </c:strCache>
        </c:strRef>
      </c:tx>
      <c:txPr>
        <a:bodyPr/>
        <a:lstStyle/>
        <a:p>
          <a:pPr>
            <a:defRPr sz="11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data0!$AM$1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data0!$A$3:$A$26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data0!$AM$3:$AM$26</c:f>
              <c:numCache>
                <c:formatCode>General</c:formatCode>
                <c:ptCount val="2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data0!$AN$1</c:f>
              <c:strCache>
                <c:ptCount val="1"/>
                <c:pt idx="0">
                  <c:v>MEAN</c:v>
                </c:pt>
              </c:strCache>
            </c:strRef>
          </c:tx>
          <c:xVal>
            <c:numRef>
              <c:f>data0!$A$3:$A$26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data0!$AN$3:$AN$26</c:f>
              <c:numCache>
                <c:formatCode>General</c:formatCode>
                <c:ptCount val="2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data0!$AO$1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data0!$A$3:$A$26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data0!$AO$3:$AO$26</c:f>
              <c:numCache>
                <c:formatCode>General</c:formatCode>
                <c:ptCount val="2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</c:ser>
        <c:axId val="158123520"/>
        <c:axId val="158125440"/>
      </c:scatterChart>
      <c:valAx>
        <c:axId val="158123520"/>
        <c:scaling>
          <c:orientation val="minMax"/>
          <c:max val="1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General" sourceLinked="1"/>
        <c:tickLblPos val="nextTo"/>
        <c:crossAx val="158125440"/>
        <c:crosses val="autoZero"/>
        <c:crossBetween val="midCat"/>
      </c:valAx>
      <c:valAx>
        <c:axId val="158125440"/>
        <c:scaling>
          <c:orientation val="minMax"/>
          <c:max val="1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/>
                  <a:t>Measured Lux</a:t>
                </a:r>
                <a:endParaRPr lang="en-US"/>
              </a:p>
            </c:rich>
          </c:tx>
        </c:title>
        <c:numFmt formatCode="General" sourceLinked="1"/>
        <c:tickLblPos val="nextTo"/>
        <c:crossAx val="15812352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77" l="0.70000000000000062" r="0.70000000000000062" t="0.75000000000000577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 b="1" i="0" baseline="0"/>
              <a:t>Lux out vs. Lux in</a:t>
            </a:r>
            <a:endParaRPr lang="en-US" sz="1200"/>
          </a:p>
        </c:rich>
      </c:tx>
    </c:title>
    <c:plotArea>
      <c:layout/>
      <c:scatterChart>
        <c:scatterStyle val="lineMarker"/>
        <c:ser>
          <c:idx val="0"/>
          <c:order val="0"/>
          <c:tx>
            <c:strRef>
              <c:f>data1!$B$1</c:f>
              <c:strCache>
                <c:ptCount val="1"/>
                <c:pt idx="0">
                  <c:v>0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data1!$B$2:$B$26</c:f>
              <c:numCache>
                <c:formatCode>General</c:formatCode>
                <c:ptCount val="25"/>
                <c:pt idx="0">
                  <c:v>94.128646850585938</c:v>
                </c:pt>
                <c:pt idx="1">
                  <c:v>134.17912292480469</c:v>
                </c:pt>
                <c:pt idx="2">
                  <c:v>76.147026062011719</c:v>
                </c:pt>
                <c:pt idx="3">
                  <c:v>108.78810882568359</c:v>
                </c:pt>
                <c:pt idx="4">
                  <c:v>61.706714630126953</c:v>
                </c:pt>
                <c:pt idx="5">
                  <c:v>87.338119506835938</c:v>
                </c:pt>
                <c:pt idx="6">
                  <c:v>50.446849822998047</c:v>
                </c:pt>
                <c:pt idx="7">
                  <c:v>71.819854736328125</c:v>
                </c:pt>
                <c:pt idx="8">
                  <c:v>39.825767517089844</c:v>
                </c:pt>
                <c:pt idx="9">
                  <c:v>56.474205017089844</c:v>
                </c:pt>
                <c:pt idx="10">
                  <c:v>29.821535110473633</c:v>
                </c:pt>
                <c:pt idx="11">
                  <c:v>42.167217254638672</c:v>
                </c:pt>
                <c:pt idx="12">
                  <c:v>24.369012832641602</c:v>
                </c:pt>
                <c:pt idx="13">
                  <c:v>34.903923034667969</c:v>
                </c:pt>
                <c:pt idx="14">
                  <c:v>19.741588592529297</c:v>
                </c:pt>
                <c:pt idx="15">
                  <c:v>27.727823257446289</c:v>
                </c:pt>
                <c:pt idx="16">
                  <c:v>15.888909339904785</c:v>
                </c:pt>
                <c:pt idx="17">
                  <c:v>22.762100219726563</c:v>
                </c:pt>
                <c:pt idx="18">
                  <c:v>13.022643089294434</c:v>
                </c:pt>
                <c:pt idx="19">
                  <c:v>18.554969787597656</c:v>
                </c:pt>
                <c:pt idx="20">
                  <c:v>10.252411842346191</c:v>
                </c:pt>
                <c:pt idx="21">
                  <c:v>14.707436561584473</c:v>
                </c:pt>
                <c:pt idx="22">
                  <c:v>9.2688751220703125</c:v>
                </c:pt>
                <c:pt idx="23">
                  <c:v>13.443198204040527</c:v>
                </c:pt>
                <c:pt idx="24">
                  <c:v>7.6792826652526855</c:v>
                </c:pt>
              </c:numCache>
            </c:numRef>
          </c:yVal>
        </c:ser>
        <c:ser>
          <c:idx val="1"/>
          <c:order val="1"/>
          <c:tx>
            <c:strRef>
              <c:f>data1!$C$1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data1!$C$2:$C$26</c:f>
              <c:numCache>
                <c:formatCode>General</c:formatCode>
                <c:ptCount val="25"/>
                <c:pt idx="0">
                  <c:v>93.146759033203125</c:v>
                </c:pt>
                <c:pt idx="1">
                  <c:v>129.17416381835937</c:v>
                </c:pt>
                <c:pt idx="2">
                  <c:v>75.453926086425781</c:v>
                </c:pt>
                <c:pt idx="3">
                  <c:v>103.72865295410156</c:v>
                </c:pt>
                <c:pt idx="4">
                  <c:v>61.033042907714844</c:v>
                </c:pt>
                <c:pt idx="5">
                  <c:v>82.683555603027344</c:v>
                </c:pt>
                <c:pt idx="6">
                  <c:v>50.043292999267578</c:v>
                </c:pt>
                <c:pt idx="7">
                  <c:v>67.290107727050781</c:v>
                </c:pt>
                <c:pt idx="8">
                  <c:v>38.769039154052734</c:v>
                </c:pt>
                <c:pt idx="9">
                  <c:v>52.957527160644531</c:v>
                </c:pt>
                <c:pt idx="10">
                  <c:v>29.114950180053711</c:v>
                </c:pt>
                <c:pt idx="11">
                  <c:v>39.433673858642578</c:v>
                </c:pt>
                <c:pt idx="12">
                  <c:v>24.037750244140625</c:v>
                </c:pt>
                <c:pt idx="13">
                  <c:v>32.263225555419922</c:v>
                </c:pt>
                <c:pt idx="14">
                  <c:v>19.290193557739258</c:v>
                </c:pt>
                <c:pt idx="15">
                  <c:v>25.797920227050781</c:v>
                </c:pt>
                <c:pt idx="16">
                  <c:v>15.511608123779297</c:v>
                </c:pt>
                <c:pt idx="17">
                  <c:v>20.781658172607422</c:v>
                </c:pt>
                <c:pt idx="18">
                  <c:v>12.297174453735352</c:v>
                </c:pt>
                <c:pt idx="19">
                  <c:v>17.111902236938477</c:v>
                </c:pt>
                <c:pt idx="20">
                  <c:v>9.5995979309082031</c:v>
                </c:pt>
                <c:pt idx="21">
                  <c:v>13.443763732910156</c:v>
                </c:pt>
                <c:pt idx="22">
                  <c:v>8.7293596267700195</c:v>
                </c:pt>
                <c:pt idx="23">
                  <c:v>12.21399974822998</c:v>
                </c:pt>
                <c:pt idx="24">
                  <c:v>7.2068467140197754</c:v>
                </c:pt>
              </c:numCache>
            </c:numRef>
          </c:yVal>
        </c:ser>
        <c:ser>
          <c:idx val="2"/>
          <c:order val="2"/>
          <c:tx>
            <c:strRef>
              <c:f>data1!$D$1</c:f>
              <c:strCache>
                <c:ptCount val="1"/>
                <c:pt idx="0">
                  <c:v>2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data1!$D$2:$D$26</c:f>
              <c:numCache>
                <c:formatCode>General</c:formatCode>
                <c:ptCount val="25"/>
                <c:pt idx="0">
                  <c:v>97.447059631347656</c:v>
                </c:pt>
                <c:pt idx="1">
                  <c:v>135.05929565429687</c:v>
                </c:pt>
                <c:pt idx="2">
                  <c:v>78.724288940429688</c:v>
                </c:pt>
                <c:pt idx="3">
                  <c:v>108.72561645507812</c:v>
                </c:pt>
                <c:pt idx="4">
                  <c:v>63.310157775878906</c:v>
                </c:pt>
                <c:pt idx="5">
                  <c:v>87.397140502929688</c:v>
                </c:pt>
                <c:pt idx="6">
                  <c:v>52.150459289550781</c:v>
                </c:pt>
                <c:pt idx="7">
                  <c:v>71.17938232421875</c:v>
                </c:pt>
                <c:pt idx="8">
                  <c:v>41.00299072265625</c:v>
                </c:pt>
                <c:pt idx="9">
                  <c:v>56.196151733398437</c:v>
                </c:pt>
                <c:pt idx="10">
                  <c:v>30.534774780273438</c:v>
                </c:pt>
                <c:pt idx="11">
                  <c:v>41.811981201171875</c:v>
                </c:pt>
                <c:pt idx="12">
                  <c:v>25.075597763061523</c:v>
                </c:pt>
                <c:pt idx="13">
                  <c:v>34.202007293701172</c:v>
                </c:pt>
                <c:pt idx="14">
                  <c:v>19.989765167236328</c:v>
                </c:pt>
                <c:pt idx="15">
                  <c:v>27.278610229492188</c:v>
                </c:pt>
                <c:pt idx="16">
                  <c:v>16.066410064697266</c:v>
                </c:pt>
                <c:pt idx="17">
                  <c:v>22.101844787597656</c:v>
                </c:pt>
                <c:pt idx="18">
                  <c:v>12.974086761474609</c:v>
                </c:pt>
                <c:pt idx="19">
                  <c:v>18.044076919555664</c:v>
                </c:pt>
                <c:pt idx="20">
                  <c:v>10.400777816772461</c:v>
                </c:pt>
                <c:pt idx="21">
                  <c:v>14.429383277893066</c:v>
                </c:pt>
                <c:pt idx="22">
                  <c:v>9.2940521240234375</c:v>
                </c:pt>
                <c:pt idx="23">
                  <c:v>13.332025527954102</c:v>
                </c:pt>
                <c:pt idx="24">
                  <c:v>7.5809111595153809</c:v>
                </c:pt>
              </c:numCache>
            </c:numRef>
          </c:yVal>
        </c:ser>
        <c:ser>
          <c:idx val="3"/>
          <c:order val="3"/>
          <c:tx>
            <c:strRef>
              <c:f>data1!$E$1</c:f>
              <c:strCache>
                <c:ptCount val="1"/>
                <c:pt idx="0">
                  <c:v>3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data1!$E$2:$E$26</c:f>
              <c:numCache>
                <c:formatCode>General</c:formatCode>
                <c:ptCount val="25"/>
                <c:pt idx="0">
                  <c:v>87.324241638183594</c:v>
                </c:pt>
                <c:pt idx="1">
                  <c:v>125.06294250488281</c:v>
                </c:pt>
                <c:pt idx="2">
                  <c:v>70.465927124023438</c:v>
                </c:pt>
                <c:pt idx="3">
                  <c:v>99.902511596679688</c:v>
                </c:pt>
                <c:pt idx="4">
                  <c:v>56.578083038330078</c:v>
                </c:pt>
                <c:pt idx="5">
                  <c:v>79.4735107421875</c:v>
                </c:pt>
                <c:pt idx="6">
                  <c:v>46.200862884521484</c:v>
                </c:pt>
                <c:pt idx="7">
                  <c:v>64.888145446777344</c:v>
                </c:pt>
                <c:pt idx="8">
                  <c:v>36.057613372802734</c:v>
                </c:pt>
                <c:pt idx="9">
                  <c:v>50.809150695800781</c:v>
                </c:pt>
                <c:pt idx="10">
                  <c:v>27.078638076782227</c:v>
                </c:pt>
                <c:pt idx="11">
                  <c:v>37.939579010009766</c:v>
                </c:pt>
                <c:pt idx="12">
                  <c:v>22.226236343383789</c:v>
                </c:pt>
                <c:pt idx="13">
                  <c:v>30.850351333618164</c:v>
                </c:pt>
                <c:pt idx="14">
                  <c:v>17.849147796630859</c:v>
                </c:pt>
                <c:pt idx="15">
                  <c:v>24.728658676147461</c:v>
                </c:pt>
                <c:pt idx="16">
                  <c:v>14.182241439819336</c:v>
                </c:pt>
                <c:pt idx="17">
                  <c:v>20.211986541748047</c:v>
                </c:pt>
                <c:pt idx="18">
                  <c:v>11.50660514831543</c:v>
                </c:pt>
                <c:pt idx="19">
                  <c:v>16.36421012878418</c:v>
                </c:pt>
                <c:pt idx="20">
                  <c:v>8.9417486190795898</c:v>
                </c:pt>
                <c:pt idx="21">
                  <c:v>12.625428199768066</c:v>
                </c:pt>
                <c:pt idx="22">
                  <c:v>8.0177383422851562</c:v>
                </c:pt>
                <c:pt idx="23">
                  <c:v>11.514021873474121</c:v>
                </c:pt>
                <c:pt idx="24">
                  <c:v>6.602409839630127</c:v>
                </c:pt>
              </c:numCache>
            </c:numRef>
          </c:yVal>
        </c:ser>
        <c:ser>
          <c:idx val="4"/>
          <c:order val="4"/>
          <c:tx>
            <c:strRef>
              <c:f>data1!$F$1</c:f>
              <c:strCache>
                <c:ptCount val="1"/>
                <c:pt idx="0">
                  <c:v>4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data1!$F$2:$F$26</c:f>
              <c:numCache>
                <c:formatCode>General</c:formatCode>
                <c:ptCount val="25"/>
                <c:pt idx="0">
                  <c:v>87.807647705078125</c:v>
                </c:pt>
                <c:pt idx="1">
                  <c:v>122.54689788818359</c:v>
                </c:pt>
                <c:pt idx="2">
                  <c:v>71.216575622558594</c:v>
                </c:pt>
                <c:pt idx="3">
                  <c:v>97.372901916503906</c:v>
                </c:pt>
                <c:pt idx="4">
                  <c:v>57.304271697998047</c:v>
                </c:pt>
                <c:pt idx="5">
                  <c:v>79.398910522460938</c:v>
                </c:pt>
                <c:pt idx="6">
                  <c:v>46.969493865966797</c:v>
                </c:pt>
                <c:pt idx="7">
                  <c:v>64.903968811035156</c:v>
                </c:pt>
                <c:pt idx="8">
                  <c:v>36.736503601074219</c:v>
                </c:pt>
                <c:pt idx="9">
                  <c:v>49.960216522216797</c:v>
                </c:pt>
                <c:pt idx="10">
                  <c:v>27.306314468383789</c:v>
                </c:pt>
                <c:pt idx="11">
                  <c:v>37.99609375</c:v>
                </c:pt>
                <c:pt idx="12">
                  <c:v>22.076070785522461</c:v>
                </c:pt>
                <c:pt idx="13">
                  <c:v>30.243381500244141</c:v>
                </c:pt>
                <c:pt idx="14">
                  <c:v>18.088872909545898</c:v>
                </c:pt>
                <c:pt idx="15">
                  <c:v>24.412174224853516</c:v>
                </c:pt>
                <c:pt idx="16">
                  <c:v>14.360821723937988</c:v>
                </c:pt>
                <c:pt idx="17">
                  <c:v>19.877418518066406</c:v>
                </c:pt>
                <c:pt idx="18">
                  <c:v>11.550845146179199</c:v>
                </c:pt>
                <c:pt idx="19">
                  <c:v>16.122245788574219</c:v>
                </c:pt>
                <c:pt idx="20">
                  <c:v>9.0944318771362305</c:v>
                </c:pt>
                <c:pt idx="21">
                  <c:v>12.586513519287109</c:v>
                </c:pt>
                <c:pt idx="22">
                  <c:v>8.2274303436279297</c:v>
                </c:pt>
                <c:pt idx="23">
                  <c:v>11.558426856994629</c:v>
                </c:pt>
                <c:pt idx="24">
                  <c:v>6.7764935493469238</c:v>
                </c:pt>
              </c:numCache>
            </c:numRef>
          </c:yVal>
        </c:ser>
        <c:ser>
          <c:idx val="5"/>
          <c:order val="5"/>
          <c:tx>
            <c:strRef>
              <c:f>data1!$G$1</c:f>
              <c:strCache>
                <c:ptCount val="1"/>
                <c:pt idx="0">
                  <c:v>5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data1!$G$2:$G$26</c:f>
              <c:numCache>
                <c:formatCode>General</c:formatCode>
                <c:ptCount val="25"/>
                <c:pt idx="0">
                  <c:v>86.99945068359375</c:v>
                </c:pt>
                <c:pt idx="1">
                  <c:v>122.14677429199219</c:v>
                </c:pt>
                <c:pt idx="2">
                  <c:v>69.987022399902344</c:v>
                </c:pt>
                <c:pt idx="3">
                  <c:v>98.885246276855469</c:v>
                </c:pt>
                <c:pt idx="4">
                  <c:v>56.289623260498047</c:v>
                </c:pt>
                <c:pt idx="5">
                  <c:v>79.314216613769531</c:v>
                </c:pt>
                <c:pt idx="6">
                  <c:v>46.033432006835937</c:v>
                </c:pt>
                <c:pt idx="7">
                  <c:v>64.847450256347656</c:v>
                </c:pt>
                <c:pt idx="8">
                  <c:v>35.996646881103516</c:v>
                </c:pt>
                <c:pt idx="9">
                  <c:v>50.083499908447266</c:v>
                </c:pt>
                <c:pt idx="10">
                  <c:v>26.925235748291016</c:v>
                </c:pt>
                <c:pt idx="11">
                  <c:v>37.329219818115234</c:v>
                </c:pt>
                <c:pt idx="12">
                  <c:v>21.804336547851563</c:v>
                </c:pt>
                <c:pt idx="13">
                  <c:v>30.223762512207031</c:v>
                </c:pt>
                <c:pt idx="14">
                  <c:v>17.588741302490234</c:v>
                </c:pt>
                <c:pt idx="15">
                  <c:v>24.186115264892578</c:v>
                </c:pt>
                <c:pt idx="16">
                  <c:v>13.931906700134277</c:v>
                </c:pt>
                <c:pt idx="17">
                  <c:v>19.646839141845703</c:v>
                </c:pt>
                <c:pt idx="18">
                  <c:v>11.378379821777344</c:v>
                </c:pt>
                <c:pt idx="19">
                  <c:v>16.203950881958008</c:v>
                </c:pt>
                <c:pt idx="20">
                  <c:v>8.7297191619873047</c:v>
                </c:pt>
                <c:pt idx="21">
                  <c:v>12.54178524017334</c:v>
                </c:pt>
                <c:pt idx="22">
                  <c:v>8.028529167175293</c:v>
                </c:pt>
                <c:pt idx="23">
                  <c:v>11.55616569519043</c:v>
                </c:pt>
                <c:pt idx="24">
                  <c:v>6.6486282348632812</c:v>
                </c:pt>
              </c:numCache>
            </c:numRef>
          </c:yVal>
        </c:ser>
        <c:ser>
          <c:idx val="6"/>
          <c:order val="6"/>
          <c:tx>
            <c:strRef>
              <c:f>data1!$H$1</c:f>
              <c:strCache>
                <c:ptCount val="1"/>
                <c:pt idx="0">
                  <c:v>6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data1!$H$2:$H$26</c:f>
              <c:numCache>
                <c:formatCode>General</c:formatCode>
                <c:ptCount val="25"/>
              </c:numCache>
            </c:numRef>
          </c:yVal>
        </c:ser>
        <c:ser>
          <c:idx val="7"/>
          <c:order val="7"/>
          <c:tx>
            <c:strRef>
              <c:f>data1!$I$1</c:f>
              <c:strCache>
                <c:ptCount val="1"/>
                <c:pt idx="0">
                  <c:v>7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data1!$I$2:$I$26</c:f>
              <c:numCache>
                <c:formatCode>General</c:formatCode>
                <c:ptCount val="25"/>
              </c:numCache>
            </c:numRef>
          </c:yVal>
        </c:ser>
        <c:axId val="158263168"/>
        <c:axId val="158138368"/>
      </c:scatterChart>
      <c:valAx>
        <c:axId val="158263168"/>
        <c:scaling>
          <c:orientation val="minMax"/>
          <c:max val="5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General" sourceLinked="1"/>
        <c:tickLblPos val="nextTo"/>
        <c:crossAx val="158138368"/>
        <c:crosses val="autoZero"/>
        <c:crossBetween val="midCat"/>
      </c:valAx>
      <c:valAx>
        <c:axId val="1581383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</c:title>
        <c:numFmt formatCode="General" sourceLinked="1"/>
        <c:tickLblPos val="nextTo"/>
        <c:crossAx val="15826316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 b="1" i="0" baseline="0"/>
              <a:t>Lux out vs. Lux in</a:t>
            </a:r>
            <a:endParaRPr lang="en-US" sz="1200"/>
          </a:p>
        </c:rich>
      </c:tx>
    </c:title>
    <c:plotArea>
      <c:layout/>
      <c:scatterChart>
        <c:scatterStyle val="lineMarker"/>
        <c:ser>
          <c:idx val="0"/>
          <c:order val="0"/>
          <c:tx>
            <c:strRef>
              <c:f>data1!$J$1</c:f>
              <c:strCache>
                <c:ptCount val="1"/>
                <c:pt idx="0">
                  <c:v>8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data1!$J$2:$J$26</c:f>
              <c:numCache>
                <c:formatCode>General</c:formatCode>
                <c:ptCount val="25"/>
              </c:numCache>
            </c:numRef>
          </c:yVal>
        </c:ser>
        <c:ser>
          <c:idx val="1"/>
          <c:order val="1"/>
          <c:tx>
            <c:strRef>
              <c:f>data1!$K$1</c:f>
              <c:strCache>
                <c:ptCount val="1"/>
                <c:pt idx="0">
                  <c:v>9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data1!$K$2:$K$26</c:f>
              <c:numCache>
                <c:formatCode>General</c:formatCode>
                <c:ptCount val="25"/>
              </c:numCache>
            </c:numRef>
          </c:yVal>
        </c:ser>
        <c:ser>
          <c:idx val="2"/>
          <c:order val="2"/>
          <c:tx>
            <c:strRef>
              <c:f>data1!$L$1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data1!$L$2:$L$26</c:f>
              <c:numCache>
                <c:formatCode>General</c:formatCode>
                <c:ptCount val="25"/>
              </c:numCache>
            </c:numRef>
          </c:yVal>
        </c:ser>
        <c:ser>
          <c:idx val="3"/>
          <c:order val="3"/>
          <c:tx>
            <c:strRef>
              <c:f>data1!$M$1</c:f>
              <c:strCache>
                <c:ptCount val="1"/>
                <c:pt idx="0">
                  <c:v>11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data1!$M$2:$M$26</c:f>
              <c:numCache>
                <c:formatCode>General</c:formatCode>
                <c:ptCount val="25"/>
              </c:numCache>
            </c:numRef>
          </c:yVal>
        </c:ser>
        <c:ser>
          <c:idx val="4"/>
          <c:order val="4"/>
          <c:tx>
            <c:strRef>
              <c:f>data1!$N$1</c:f>
              <c:strCache>
                <c:ptCount val="1"/>
                <c:pt idx="0">
                  <c:v>12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data1!$N$2:$N$26</c:f>
              <c:numCache>
                <c:formatCode>General</c:formatCode>
                <c:ptCount val="25"/>
              </c:numCache>
            </c:numRef>
          </c:yVal>
        </c:ser>
        <c:ser>
          <c:idx val="5"/>
          <c:order val="5"/>
          <c:tx>
            <c:strRef>
              <c:f>data1!$O$1</c:f>
              <c:strCache>
                <c:ptCount val="1"/>
                <c:pt idx="0">
                  <c:v>13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data1!$O$2:$O$26</c:f>
              <c:numCache>
                <c:formatCode>General</c:formatCode>
                <c:ptCount val="25"/>
              </c:numCache>
            </c:numRef>
          </c:yVal>
        </c:ser>
        <c:ser>
          <c:idx val="6"/>
          <c:order val="6"/>
          <c:tx>
            <c:strRef>
              <c:f>data1!$P$1</c:f>
              <c:strCache>
                <c:ptCount val="1"/>
                <c:pt idx="0">
                  <c:v>14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data1!$P$2:$P$26</c:f>
              <c:numCache>
                <c:formatCode>General</c:formatCode>
                <c:ptCount val="25"/>
              </c:numCache>
            </c:numRef>
          </c:yVal>
        </c:ser>
        <c:ser>
          <c:idx val="7"/>
          <c:order val="7"/>
          <c:tx>
            <c:strRef>
              <c:f>data1!$Q$1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data1!$Q$2:$Q$26</c:f>
              <c:numCache>
                <c:formatCode>General</c:formatCode>
                <c:ptCount val="25"/>
              </c:numCache>
            </c:numRef>
          </c:yVal>
        </c:ser>
        <c:axId val="158197248"/>
        <c:axId val="158199168"/>
      </c:scatterChart>
      <c:valAx>
        <c:axId val="158197248"/>
        <c:scaling>
          <c:orientation val="minMax"/>
          <c:max val="5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General" sourceLinked="1"/>
        <c:tickLblPos val="nextTo"/>
        <c:crossAx val="158199168"/>
        <c:crosses val="autoZero"/>
        <c:crossBetween val="midCat"/>
      </c:valAx>
      <c:valAx>
        <c:axId val="1581991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</c:title>
        <c:numFmt formatCode="General" sourceLinked="1"/>
        <c:tickLblPos val="nextTo"/>
        <c:crossAx val="15819724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 b="1" i="0" baseline="0"/>
              <a:t>Lux out vs. Lux in</a:t>
            </a:r>
            <a:endParaRPr lang="en-US" sz="1200"/>
          </a:p>
        </c:rich>
      </c:tx>
    </c:title>
    <c:plotArea>
      <c:layout/>
      <c:scatterChart>
        <c:scatterStyle val="lineMarker"/>
        <c:ser>
          <c:idx val="0"/>
          <c:order val="0"/>
          <c:tx>
            <c:strRef>
              <c:f>data1!$R$1</c:f>
              <c:strCache>
                <c:ptCount val="1"/>
                <c:pt idx="0">
                  <c:v>16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data1!$R$2:$R$26</c:f>
              <c:numCache>
                <c:formatCode>General</c:formatCode>
                <c:ptCount val="25"/>
              </c:numCache>
            </c:numRef>
          </c:yVal>
        </c:ser>
        <c:ser>
          <c:idx val="1"/>
          <c:order val="1"/>
          <c:tx>
            <c:strRef>
              <c:f>data1!$S$1</c:f>
              <c:strCache>
                <c:ptCount val="1"/>
                <c:pt idx="0">
                  <c:v>17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data1!$S$2:$S$26</c:f>
              <c:numCache>
                <c:formatCode>General</c:formatCode>
                <c:ptCount val="25"/>
              </c:numCache>
            </c:numRef>
          </c:yVal>
        </c:ser>
        <c:ser>
          <c:idx val="2"/>
          <c:order val="2"/>
          <c:tx>
            <c:strRef>
              <c:f>data1!$T$1</c:f>
              <c:strCache>
                <c:ptCount val="1"/>
                <c:pt idx="0">
                  <c:v>18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data1!$T$2:$T$26</c:f>
              <c:numCache>
                <c:formatCode>General</c:formatCode>
                <c:ptCount val="25"/>
              </c:numCache>
            </c:numRef>
          </c:yVal>
        </c:ser>
        <c:ser>
          <c:idx val="3"/>
          <c:order val="3"/>
          <c:tx>
            <c:strRef>
              <c:f>data1!$U$1</c:f>
              <c:strCache>
                <c:ptCount val="1"/>
                <c:pt idx="0">
                  <c:v>19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data1!$U$2:$U$26</c:f>
              <c:numCache>
                <c:formatCode>General</c:formatCode>
                <c:ptCount val="25"/>
              </c:numCache>
            </c:numRef>
          </c:yVal>
        </c:ser>
        <c:ser>
          <c:idx val="4"/>
          <c:order val="4"/>
          <c:tx>
            <c:strRef>
              <c:f>data1!$V$1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data1!$V$2:$V$26</c:f>
              <c:numCache>
                <c:formatCode>General</c:formatCode>
                <c:ptCount val="25"/>
              </c:numCache>
            </c:numRef>
          </c:yVal>
        </c:ser>
        <c:ser>
          <c:idx val="5"/>
          <c:order val="5"/>
          <c:tx>
            <c:strRef>
              <c:f>data1!$W$1</c:f>
              <c:strCache>
                <c:ptCount val="1"/>
                <c:pt idx="0">
                  <c:v>21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data1!$W$2:$W$26</c:f>
              <c:numCache>
                <c:formatCode>General</c:formatCode>
                <c:ptCount val="25"/>
              </c:numCache>
            </c:numRef>
          </c:yVal>
        </c:ser>
        <c:ser>
          <c:idx val="6"/>
          <c:order val="6"/>
          <c:tx>
            <c:strRef>
              <c:f>data1!$X$1</c:f>
              <c:strCache>
                <c:ptCount val="1"/>
                <c:pt idx="0">
                  <c:v>22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data1!$X$2:$X$26</c:f>
              <c:numCache>
                <c:formatCode>General</c:formatCode>
                <c:ptCount val="25"/>
              </c:numCache>
            </c:numRef>
          </c:yVal>
        </c:ser>
        <c:ser>
          <c:idx val="7"/>
          <c:order val="7"/>
          <c:tx>
            <c:strRef>
              <c:f>data1!$Y$1</c:f>
              <c:strCache>
                <c:ptCount val="1"/>
                <c:pt idx="0">
                  <c:v>23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data1!$Y$2:$Y$26</c:f>
              <c:numCache>
                <c:formatCode>General</c:formatCode>
                <c:ptCount val="25"/>
              </c:numCache>
            </c:numRef>
          </c:yVal>
        </c:ser>
        <c:axId val="158668288"/>
        <c:axId val="158670208"/>
      </c:scatterChart>
      <c:valAx>
        <c:axId val="158668288"/>
        <c:scaling>
          <c:orientation val="minMax"/>
          <c:max val="5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General" sourceLinked="1"/>
        <c:tickLblPos val="nextTo"/>
        <c:crossAx val="158670208"/>
        <c:crosses val="autoZero"/>
        <c:crossBetween val="midCat"/>
      </c:valAx>
      <c:valAx>
        <c:axId val="15867020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</c:title>
        <c:numFmt formatCode="General" sourceLinked="1"/>
        <c:tickLblPos val="nextTo"/>
        <c:crossAx val="15866828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 b="1" i="0" baseline="0"/>
              <a:t>Lux out vs. Lux in</a:t>
            </a:r>
            <a:endParaRPr lang="en-US" sz="1200"/>
          </a:p>
        </c:rich>
      </c:tx>
    </c:title>
    <c:plotArea>
      <c:layout/>
      <c:scatterChart>
        <c:scatterStyle val="lineMarker"/>
        <c:ser>
          <c:idx val="0"/>
          <c:order val="0"/>
          <c:tx>
            <c:strRef>
              <c:f>data1!$Z$1</c:f>
              <c:strCache>
                <c:ptCount val="1"/>
                <c:pt idx="0">
                  <c:v>24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data1!$Z$2:$Z$26</c:f>
              <c:numCache>
                <c:formatCode>General</c:formatCode>
                <c:ptCount val="25"/>
              </c:numCache>
            </c:numRef>
          </c:yVal>
        </c:ser>
        <c:ser>
          <c:idx val="1"/>
          <c:order val="1"/>
          <c:tx>
            <c:strRef>
              <c:f>data1!$AA$1</c:f>
              <c:strCache>
                <c:ptCount val="1"/>
                <c:pt idx="0">
                  <c:v>25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data1!$AA$2:$AA$26</c:f>
              <c:numCache>
                <c:formatCode>General</c:formatCode>
                <c:ptCount val="25"/>
              </c:numCache>
            </c:numRef>
          </c:yVal>
        </c:ser>
        <c:ser>
          <c:idx val="2"/>
          <c:order val="2"/>
          <c:tx>
            <c:strRef>
              <c:f>data1!$AB$1</c:f>
              <c:strCache>
                <c:ptCount val="1"/>
                <c:pt idx="0">
                  <c:v>26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data1!$AB$2:$AB$26</c:f>
              <c:numCache>
                <c:formatCode>General</c:formatCode>
                <c:ptCount val="25"/>
              </c:numCache>
            </c:numRef>
          </c:yVal>
        </c:ser>
        <c:ser>
          <c:idx val="3"/>
          <c:order val="3"/>
          <c:tx>
            <c:strRef>
              <c:f>data1!$AC$1</c:f>
              <c:strCache>
                <c:ptCount val="1"/>
                <c:pt idx="0">
                  <c:v>27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data1!$AC$2:$AC$26</c:f>
              <c:numCache>
                <c:formatCode>General</c:formatCode>
                <c:ptCount val="25"/>
              </c:numCache>
            </c:numRef>
          </c:yVal>
        </c:ser>
        <c:ser>
          <c:idx val="4"/>
          <c:order val="4"/>
          <c:tx>
            <c:strRef>
              <c:f>data1!$AD$1</c:f>
              <c:strCache>
                <c:ptCount val="1"/>
                <c:pt idx="0">
                  <c:v>28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data1!$AD$2:$AD$26</c:f>
              <c:numCache>
                <c:formatCode>General</c:formatCode>
                <c:ptCount val="25"/>
              </c:numCache>
            </c:numRef>
          </c:yVal>
        </c:ser>
        <c:ser>
          <c:idx val="5"/>
          <c:order val="5"/>
          <c:tx>
            <c:strRef>
              <c:f>data1!$AE$1</c:f>
              <c:strCache>
                <c:ptCount val="1"/>
                <c:pt idx="0">
                  <c:v>29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data1!$AE$2:$AE$26</c:f>
              <c:numCache>
                <c:formatCode>General</c:formatCode>
                <c:ptCount val="25"/>
              </c:numCache>
            </c:numRef>
          </c:yVal>
        </c:ser>
        <c:ser>
          <c:idx val="6"/>
          <c:order val="6"/>
          <c:tx>
            <c:strRef>
              <c:f>data1!$AF$1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data1!$AF$2:$AF$26</c:f>
              <c:numCache>
                <c:formatCode>General</c:formatCode>
                <c:ptCount val="25"/>
              </c:numCache>
            </c:numRef>
          </c:yVal>
        </c:ser>
        <c:ser>
          <c:idx val="7"/>
          <c:order val="7"/>
          <c:tx>
            <c:strRef>
              <c:f>data1!$AG$1</c:f>
              <c:strCache>
                <c:ptCount val="1"/>
                <c:pt idx="0">
                  <c:v>31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data1!$AG$2:$AG$26</c:f>
              <c:numCache>
                <c:formatCode>General</c:formatCode>
                <c:ptCount val="25"/>
              </c:numCache>
            </c:numRef>
          </c:yVal>
        </c:ser>
        <c:axId val="158753536"/>
        <c:axId val="158755456"/>
      </c:scatterChart>
      <c:valAx>
        <c:axId val="158753536"/>
        <c:scaling>
          <c:orientation val="minMax"/>
          <c:max val="5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General" sourceLinked="1"/>
        <c:tickLblPos val="nextTo"/>
        <c:crossAx val="158755456"/>
        <c:crosses val="autoZero"/>
        <c:crossBetween val="midCat"/>
      </c:valAx>
      <c:valAx>
        <c:axId val="1587554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</c:title>
        <c:numFmt formatCode="General" sourceLinked="1"/>
        <c:tickLblPos val="nextTo"/>
        <c:crossAx val="15875353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33" l="0.70000000000000062" r="0.70000000000000062" t="0.75000000000000533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data1!$AL$116</c:f>
          <c:strCache>
            <c:ptCount val="1"/>
            <c:pt idx="0">
              <c:v>#NAME?</c:v>
            </c:pt>
          </c:strCache>
        </c:strRef>
      </c:tx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data1!$AM$1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data1!$AM$2:$AM$26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data1!$AN$1</c:f>
              <c:strCache>
                <c:ptCount val="1"/>
                <c:pt idx="0">
                  <c:v>MEAN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data1!$AN$2:$AN$26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data1!$AO$1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data1!$A$2:$A$26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data1!$AO$2:$AO$26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axId val="158774784"/>
        <c:axId val="158776704"/>
      </c:scatterChart>
      <c:valAx>
        <c:axId val="1587747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General" sourceLinked="1"/>
        <c:tickLblPos val="nextTo"/>
        <c:crossAx val="158776704"/>
        <c:crosses val="autoZero"/>
        <c:crossBetween val="midCat"/>
      </c:valAx>
      <c:valAx>
        <c:axId val="15877670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Measured Lux</a:t>
                </a:r>
              </a:p>
            </c:rich>
          </c:tx>
        </c:title>
        <c:numFmt formatCode="General" sourceLinked="1"/>
        <c:tickLblPos val="nextTo"/>
        <c:crossAx val="15877478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data1!$AL$118</c:f>
          <c:strCache>
            <c:ptCount val="1"/>
            <c:pt idx="0">
              <c:v>#NAME?</c:v>
            </c:pt>
          </c:strCache>
        </c:strRef>
      </c:tx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data1!$B$191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data1!$B$192:$B$216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data1!$C$191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data1!$C$192:$C$216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data1!$D$191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data1!$D$192:$D$216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3"/>
          <c:order val="3"/>
          <c:tx>
            <c:strRef>
              <c:f>data1!$E$191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data1!$E$192:$E$216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4"/>
          <c:order val="4"/>
          <c:tx>
            <c:strRef>
              <c:f>data1!$F$191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data1!$F$192:$F$216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5"/>
          <c:order val="5"/>
          <c:tx>
            <c:strRef>
              <c:f>data1!$G$191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data1!$G$192:$G$216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6"/>
          <c:order val="6"/>
          <c:tx>
            <c:strRef>
              <c:f>data1!$H$191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data1!$H$192:$H$216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7"/>
          <c:order val="7"/>
          <c:tx>
            <c:strRef>
              <c:f>data1!$I$191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data1!$I$192:$I$216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axId val="158860800"/>
        <c:axId val="158862720"/>
      </c:scatterChart>
      <c:valAx>
        <c:axId val="1588608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General" sourceLinked="1"/>
        <c:tickLblPos val="nextTo"/>
        <c:crossAx val="158862720"/>
        <c:crosses val="autoZero"/>
        <c:crossBetween val="midCat"/>
      </c:valAx>
      <c:valAx>
        <c:axId val="1588627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</c:title>
        <c:numFmt formatCode="General" sourceLinked="1"/>
        <c:tickLblPos val="nextTo"/>
        <c:crossAx val="15886080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data1!$AL$118</c:f>
          <c:strCache>
            <c:ptCount val="1"/>
            <c:pt idx="0">
              <c:v>#NAME?</c:v>
            </c:pt>
          </c:strCache>
        </c:strRef>
      </c:tx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data1!$J$191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data1!$J$192:$J$216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data1!$K$191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data1!$K$192:$K$216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data1!$L$191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data1!$L$192:$L$216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3"/>
          <c:order val="3"/>
          <c:tx>
            <c:strRef>
              <c:f>data1!$M$191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data1!$M$192:$M$216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4"/>
          <c:order val="4"/>
          <c:tx>
            <c:strRef>
              <c:f>data1!$N$191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data1!$N$192:$N$216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5"/>
          <c:order val="5"/>
          <c:tx>
            <c:strRef>
              <c:f>data1!$O$191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data1!$O$192:$O$216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6"/>
          <c:order val="6"/>
          <c:tx>
            <c:strRef>
              <c:f>data1!$P$191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data1!$P$192:$P$216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7"/>
          <c:order val="7"/>
          <c:tx>
            <c:strRef>
              <c:f>data1!$Q$191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data1!$Q$192:$Q$216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axId val="158925952"/>
        <c:axId val="158927872"/>
      </c:scatterChart>
      <c:valAx>
        <c:axId val="1589259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General" sourceLinked="1"/>
        <c:tickLblPos val="nextTo"/>
        <c:crossAx val="158927872"/>
        <c:crosses val="autoZero"/>
        <c:crossBetween val="midCat"/>
      </c:valAx>
      <c:valAx>
        <c:axId val="15892787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</c:title>
        <c:numFmt formatCode="General" sourceLinked="1"/>
        <c:tickLblPos val="nextTo"/>
        <c:crossAx val="15892595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data1!$AL$118</c:f>
          <c:strCache>
            <c:ptCount val="1"/>
            <c:pt idx="0">
              <c:v>#NAME?</c:v>
            </c:pt>
          </c:strCache>
        </c:strRef>
      </c:tx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data1!$R$191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data1!$R$192:$R$216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data1!$S$191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data1!$S$192:$S$216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data1!$T$191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data1!$T$192:$T$216</c:f>
              <c:numCache>
                <c:formatCode>General</c:formatCode>
                <c:ptCount val="25"/>
              </c:numCache>
            </c:numRef>
          </c:yVal>
        </c:ser>
        <c:ser>
          <c:idx val="3"/>
          <c:order val="3"/>
          <c:tx>
            <c:strRef>
              <c:f>data1!$U$191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data1!$U$192:$U$216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4"/>
          <c:order val="4"/>
          <c:tx>
            <c:strRef>
              <c:f>data1!$V$191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data1!$V$192:$V$216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5"/>
          <c:order val="5"/>
          <c:tx>
            <c:strRef>
              <c:f>data1!$W$191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data1!$W$192:$W$216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6"/>
          <c:order val="6"/>
          <c:tx>
            <c:strRef>
              <c:f>data1!$X$191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data1!$X$192:$X$216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7"/>
          <c:order val="7"/>
          <c:tx>
            <c:strRef>
              <c:f>data1!$Y$191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data1!$Y$192:$Y$216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axId val="159008256"/>
        <c:axId val="159010176"/>
      </c:scatterChart>
      <c:valAx>
        <c:axId val="1590082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General" sourceLinked="1"/>
        <c:tickLblPos val="nextTo"/>
        <c:crossAx val="159010176"/>
        <c:crosses val="autoZero"/>
        <c:crossBetween val="midCat"/>
      </c:valAx>
      <c:valAx>
        <c:axId val="15901017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</c:title>
        <c:numFmt formatCode="General" sourceLinked="1"/>
        <c:tickLblPos val="nextTo"/>
        <c:crossAx val="15900825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data1!$AL$118</c:f>
          <c:strCache>
            <c:ptCount val="1"/>
            <c:pt idx="0">
              <c:v>#NAME?</c:v>
            </c:pt>
          </c:strCache>
        </c:strRef>
      </c:tx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data1!$Z$191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data1!$Z$192:$Z$216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data1!$AA$191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data1!$AA$192:$AA$216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data1!$AB$191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data1!$AB$192:$AB$216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3"/>
          <c:order val="3"/>
          <c:tx>
            <c:strRef>
              <c:f>data1!$AC$191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data1!$AC$192:$AC$216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4"/>
          <c:order val="4"/>
          <c:tx>
            <c:strRef>
              <c:f>data1!$AD$191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data1!$AD$192:$AD$216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5"/>
          <c:order val="5"/>
          <c:tx>
            <c:strRef>
              <c:f>data1!$AE$191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data1!$AE$192:$AE$216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6"/>
          <c:order val="6"/>
          <c:tx>
            <c:strRef>
              <c:f>data1!$AF$191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data1!$AF$192:$AF$216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7"/>
          <c:order val="7"/>
          <c:tx>
            <c:strRef>
              <c:f>data1!$AG$191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data1!$AG$192:$AG$216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axId val="159081216"/>
        <c:axId val="159083136"/>
      </c:scatterChart>
      <c:valAx>
        <c:axId val="1590812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General" sourceLinked="1"/>
        <c:tickLblPos val="nextTo"/>
        <c:crossAx val="159083136"/>
        <c:crosses val="autoZero"/>
        <c:crossBetween val="midCat"/>
      </c:valAx>
      <c:valAx>
        <c:axId val="15908313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</c:title>
        <c:numFmt formatCode="General" sourceLinked="1"/>
        <c:tickLblPos val="nextTo"/>
        <c:crossAx val="15908121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data1!$AL$117</c:f>
          <c:strCache>
            <c:ptCount val="1"/>
            <c:pt idx="0">
              <c:v>#NAME?</c:v>
            </c:pt>
          </c:strCache>
        </c:strRef>
      </c:tx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data1!$AL$117</c:f>
              <c:strCache>
                <c:ptCount val="1"/>
                <c:pt idx="0">
                  <c:v>#NAME?</c:v>
                </c:pt>
              </c:strCache>
            </c:strRef>
          </c:tx>
          <c:cat>
            <c:numRef>
              <c:f>data1!$AI$121:$AI$126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data1!$AJ$121:$AJ$126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159111808"/>
        <c:axId val="159118080"/>
      </c:barChart>
      <c:catAx>
        <c:axId val="1591118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</c:title>
        <c:numFmt formatCode="0.00" sourceLinked="1"/>
        <c:tickLblPos val="nextTo"/>
        <c:crossAx val="159118080"/>
        <c:crosses val="autoZero"/>
        <c:auto val="1"/>
        <c:lblAlgn val="ctr"/>
        <c:lblOffset val="100"/>
      </c:catAx>
      <c:valAx>
        <c:axId val="1591180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159111808"/>
        <c:crosses val="autoZero"/>
        <c:crossBetween val="between"/>
      </c:valAx>
    </c:plotArea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data1!$AL$118</c:f>
          <c:strCache>
            <c:ptCount val="1"/>
            <c:pt idx="0">
              <c:v>#NAME?</c:v>
            </c:pt>
          </c:strCache>
        </c:strRef>
      </c:tx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data1!$AI$191</c:f>
              <c:strCache>
                <c:ptCount val="1"/>
                <c:pt idx="0">
                  <c:v>-1.5σ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data1!$AI$192:$AI$216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data1!$AJ$191</c:f>
              <c:strCache>
                <c:ptCount val="1"/>
                <c:pt idx="0">
                  <c:v>MEAN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data1!$AJ$192:$AJ$216</c:f>
              <c:numCache>
                <c:formatCode>0.0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data1!$AK$191</c:f>
              <c:strCache>
                <c:ptCount val="1"/>
                <c:pt idx="0">
                  <c:v>+1.5σ</c:v>
                </c:pt>
              </c:strCache>
            </c:strRef>
          </c:tx>
          <c:marker>
            <c:symbol val="none"/>
          </c:marker>
          <c:xVal>
            <c:numRef>
              <c:f>data1!$A$192:$A$216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data1!$AK$192:$AK$216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axId val="159143808"/>
        <c:axId val="159154176"/>
      </c:scatterChart>
      <c:valAx>
        <c:axId val="1591438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General" sourceLinked="1"/>
        <c:tickLblPos val="nextTo"/>
        <c:crossAx val="159154176"/>
        <c:crosses val="autoZero"/>
        <c:crossBetween val="midCat"/>
      </c:valAx>
      <c:valAx>
        <c:axId val="15915417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</c:title>
        <c:numFmt formatCode="General" sourceLinked="1"/>
        <c:tickLblPos val="nextTo"/>
        <c:crossAx val="15914380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/>
              <a:t>Lux out vs. Lux in</a:t>
            </a:r>
          </a:p>
        </c:rich>
      </c:tx>
    </c:title>
    <c:plotArea>
      <c:layout/>
      <c:scatterChart>
        <c:scatterStyle val="lineMarker"/>
        <c:ser>
          <c:idx val="0"/>
          <c:order val="0"/>
          <c:tx>
            <c:strRef>
              <c:f>data2!$B$1</c:f>
              <c:strCache>
                <c:ptCount val="1"/>
                <c:pt idx="0">
                  <c:v>0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data2!$B$2:$B$26</c:f>
              <c:numCache>
                <c:formatCode>General</c:formatCode>
                <c:ptCount val="25"/>
                <c:pt idx="0">
                  <c:v>53.166141510009766</c:v>
                </c:pt>
                <c:pt idx="1">
                  <c:v>95.713302612304688</c:v>
                </c:pt>
                <c:pt idx="2">
                  <c:v>41.039497375488281</c:v>
                </c:pt>
                <c:pt idx="3">
                  <c:v>73.958297729492188</c:v>
                </c:pt>
                <c:pt idx="4">
                  <c:v>31.121767044067383</c:v>
                </c:pt>
                <c:pt idx="5">
                  <c:v>56.478725433349609</c:v>
                </c:pt>
                <c:pt idx="6">
                  <c:v>23.340335845947266</c:v>
                </c:pt>
                <c:pt idx="7">
                  <c:v>42.051685333251953</c:v>
                </c:pt>
                <c:pt idx="8">
                  <c:v>21.292695999145508</c:v>
                </c:pt>
                <c:pt idx="9">
                  <c:v>38.703662872314453</c:v>
                </c:pt>
                <c:pt idx="10">
                  <c:v>15.698459625244141</c:v>
                </c:pt>
                <c:pt idx="11">
                  <c:v>28.35780143737793</c:v>
                </c:pt>
                <c:pt idx="12">
                  <c:v>12.750008583068848</c:v>
                </c:pt>
                <c:pt idx="13">
                  <c:v>23.052022933959961</c:v>
                </c:pt>
                <c:pt idx="14">
                  <c:v>9.771702766418457</c:v>
                </c:pt>
                <c:pt idx="15">
                  <c:v>17.709184646606445</c:v>
                </c:pt>
                <c:pt idx="16">
                  <c:v>7.3205046653747559</c:v>
                </c:pt>
                <c:pt idx="17">
                  <c:v>13.308047294616699</c:v>
                </c:pt>
                <c:pt idx="18">
                  <c:v>5.4408330917358398</c:v>
                </c:pt>
                <c:pt idx="19">
                  <c:v>10.000876426696777</c:v>
                </c:pt>
                <c:pt idx="20">
                  <c:v>4.9885392189025879</c:v>
                </c:pt>
                <c:pt idx="21">
                  <c:v>9.1757583618164062</c:v>
                </c:pt>
                <c:pt idx="22">
                  <c:v>4.645047664642334</c:v>
                </c:pt>
                <c:pt idx="23">
                  <c:v>8.4861955642700195</c:v>
                </c:pt>
                <c:pt idx="24">
                  <c:v>3.6751790046691895</c:v>
                </c:pt>
              </c:numCache>
            </c:numRef>
          </c:yVal>
        </c:ser>
        <c:ser>
          <c:idx val="1"/>
          <c:order val="1"/>
          <c:tx>
            <c:strRef>
              <c:f>data2!$C$1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data2!$C$2:$C$26</c:f>
              <c:numCache>
                <c:formatCode>General</c:formatCode>
                <c:ptCount val="25"/>
                <c:pt idx="0">
                  <c:v>52.350330352783203</c:v>
                </c:pt>
                <c:pt idx="1">
                  <c:v>92.700736999511719</c:v>
                </c:pt>
                <c:pt idx="2">
                  <c:v>40.525520324707031</c:v>
                </c:pt>
                <c:pt idx="3">
                  <c:v>71.490699768066406</c:v>
                </c:pt>
                <c:pt idx="4">
                  <c:v>30.719827651977539</c:v>
                </c:pt>
                <c:pt idx="5">
                  <c:v>54.487140655517578</c:v>
                </c:pt>
                <c:pt idx="6">
                  <c:v>23.080650329589844</c:v>
                </c:pt>
                <c:pt idx="7">
                  <c:v>40.545402526855469</c:v>
                </c:pt>
                <c:pt idx="8">
                  <c:v>21.003335952758789</c:v>
                </c:pt>
                <c:pt idx="9">
                  <c:v>37.212394714355469</c:v>
                </c:pt>
                <c:pt idx="10">
                  <c:v>15.584262847900391</c:v>
                </c:pt>
                <c:pt idx="11">
                  <c:v>27.627548217773438</c:v>
                </c:pt>
                <c:pt idx="12">
                  <c:v>12.724471092224121</c:v>
                </c:pt>
                <c:pt idx="13">
                  <c:v>22.802629470825195</c:v>
                </c:pt>
                <c:pt idx="14">
                  <c:v>9.7983188629150391</c:v>
                </c:pt>
                <c:pt idx="15">
                  <c:v>17.44727897644043</c:v>
                </c:pt>
                <c:pt idx="16">
                  <c:v>7.3744564056396484</c:v>
                </c:pt>
                <c:pt idx="17">
                  <c:v>13.156667709350586</c:v>
                </c:pt>
                <c:pt idx="18">
                  <c:v>5.4079227447509766</c:v>
                </c:pt>
                <c:pt idx="19">
                  <c:v>9.6807594299316406</c:v>
                </c:pt>
                <c:pt idx="20">
                  <c:v>4.979367733001709</c:v>
                </c:pt>
                <c:pt idx="21">
                  <c:v>8.9949111938476563</c:v>
                </c:pt>
                <c:pt idx="22">
                  <c:v>4.6517019271850586</c:v>
                </c:pt>
                <c:pt idx="23">
                  <c:v>8.391331672668457</c:v>
                </c:pt>
                <c:pt idx="24">
                  <c:v>3.6841709613800049</c:v>
                </c:pt>
              </c:numCache>
            </c:numRef>
          </c:yVal>
        </c:ser>
        <c:ser>
          <c:idx val="2"/>
          <c:order val="2"/>
          <c:tx>
            <c:strRef>
              <c:f>data2!$D$1</c:f>
              <c:strCache>
                <c:ptCount val="1"/>
                <c:pt idx="0">
                  <c:v>2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data2!$D$2:$D$26</c:f>
              <c:numCache>
                <c:formatCode>General</c:formatCode>
                <c:ptCount val="25"/>
                <c:pt idx="0">
                  <c:v>52.975067138671875</c:v>
                </c:pt>
                <c:pt idx="1">
                  <c:v>94.547157287597656</c:v>
                </c:pt>
                <c:pt idx="2">
                  <c:v>40.608604431152344</c:v>
                </c:pt>
                <c:pt idx="3">
                  <c:v>72.761795043945313</c:v>
                </c:pt>
                <c:pt idx="4">
                  <c:v>30.692132949829102</c:v>
                </c:pt>
                <c:pt idx="5">
                  <c:v>54.535743713378906</c:v>
                </c:pt>
                <c:pt idx="6">
                  <c:v>22.733560562133789</c:v>
                </c:pt>
                <c:pt idx="7">
                  <c:v>40.6409912109375</c:v>
                </c:pt>
                <c:pt idx="8">
                  <c:v>21.318052291870117</c:v>
                </c:pt>
                <c:pt idx="9">
                  <c:v>38.161117553710938</c:v>
                </c:pt>
                <c:pt idx="10">
                  <c:v>15.660334587097168</c:v>
                </c:pt>
                <c:pt idx="11">
                  <c:v>28.250665664672852</c:v>
                </c:pt>
                <c:pt idx="12">
                  <c:v>12.80288028717041</c:v>
                </c:pt>
                <c:pt idx="13">
                  <c:v>22.910331726074219</c:v>
                </c:pt>
                <c:pt idx="14">
                  <c:v>9.7945423126220703</c:v>
                </c:pt>
                <c:pt idx="15">
                  <c:v>17.682380676269531</c:v>
                </c:pt>
                <c:pt idx="16">
                  <c:v>7.3219437599182129</c:v>
                </c:pt>
                <c:pt idx="17">
                  <c:v>13.283261299133301</c:v>
                </c:pt>
                <c:pt idx="18">
                  <c:v>5.3638625144958496</c:v>
                </c:pt>
                <c:pt idx="19">
                  <c:v>9.7544708251953125</c:v>
                </c:pt>
                <c:pt idx="20">
                  <c:v>5.0935649871826172</c:v>
                </c:pt>
                <c:pt idx="21">
                  <c:v>9.2639217376708984</c:v>
                </c:pt>
                <c:pt idx="22">
                  <c:v>4.7847824096679687</c:v>
                </c:pt>
                <c:pt idx="23">
                  <c:v>8.6148080825805664</c:v>
                </c:pt>
                <c:pt idx="24">
                  <c:v>3.7733707427978516</c:v>
                </c:pt>
              </c:numCache>
            </c:numRef>
          </c:yVal>
        </c:ser>
        <c:ser>
          <c:idx val="3"/>
          <c:order val="3"/>
          <c:tx>
            <c:strRef>
              <c:f>data2!$E$1</c:f>
              <c:strCache>
                <c:ptCount val="1"/>
                <c:pt idx="0">
                  <c:v>3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data2!$E$2:$E$26</c:f>
              <c:numCache>
                <c:formatCode>General</c:formatCode>
                <c:ptCount val="25"/>
                <c:pt idx="0">
                  <c:v>50.792858123779297</c:v>
                </c:pt>
                <c:pt idx="1">
                  <c:v>92.964744567871094</c:v>
                </c:pt>
                <c:pt idx="2">
                  <c:v>39.147956848144531</c:v>
                </c:pt>
                <c:pt idx="3">
                  <c:v>71.398658752441406</c:v>
                </c:pt>
                <c:pt idx="4">
                  <c:v>29.396217346191406</c:v>
                </c:pt>
                <c:pt idx="5">
                  <c:v>53.560298919677734</c:v>
                </c:pt>
                <c:pt idx="6">
                  <c:v>22.022838592529297</c:v>
                </c:pt>
                <c:pt idx="7">
                  <c:v>40.177570343017578</c:v>
                </c:pt>
                <c:pt idx="8">
                  <c:v>20.158273696899414</c:v>
                </c:pt>
                <c:pt idx="9">
                  <c:v>36.804759979248047</c:v>
                </c:pt>
                <c:pt idx="10">
                  <c:v>14.884870529174805</c:v>
                </c:pt>
                <c:pt idx="11">
                  <c:v>27.323822021484375</c:v>
                </c:pt>
                <c:pt idx="12">
                  <c:v>12.190890312194824</c:v>
                </c:pt>
                <c:pt idx="13">
                  <c:v>22.397983551025391</c:v>
                </c:pt>
                <c:pt idx="14">
                  <c:v>9.3697643280029297</c:v>
                </c:pt>
                <c:pt idx="15">
                  <c:v>17.157922744750977</c:v>
                </c:pt>
                <c:pt idx="16">
                  <c:v>7.0048885345458984</c:v>
                </c:pt>
                <c:pt idx="17">
                  <c:v>12.923826217651367</c:v>
                </c:pt>
                <c:pt idx="18">
                  <c:v>5.1985907554626465</c:v>
                </c:pt>
                <c:pt idx="19">
                  <c:v>9.4605932235717773</c:v>
                </c:pt>
                <c:pt idx="20">
                  <c:v>4.7335286140441895</c:v>
                </c:pt>
                <c:pt idx="21">
                  <c:v>8.7304210662841797</c:v>
                </c:pt>
                <c:pt idx="22">
                  <c:v>4.4220480918884277</c:v>
                </c:pt>
                <c:pt idx="23">
                  <c:v>8.0938215255737305</c:v>
                </c:pt>
                <c:pt idx="24">
                  <c:v>3.4836511611938477</c:v>
                </c:pt>
              </c:numCache>
            </c:numRef>
          </c:yVal>
        </c:ser>
        <c:ser>
          <c:idx val="4"/>
          <c:order val="4"/>
          <c:tx>
            <c:strRef>
              <c:f>data2!$F$1</c:f>
              <c:strCache>
                <c:ptCount val="1"/>
                <c:pt idx="0">
                  <c:v>4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data2!$F$2:$F$26</c:f>
              <c:numCache>
                <c:formatCode>General</c:formatCode>
                <c:ptCount val="25"/>
                <c:pt idx="0">
                  <c:v>49.046890258789063</c:v>
                </c:pt>
                <c:pt idx="1">
                  <c:v>87.577743530273437</c:v>
                </c:pt>
                <c:pt idx="2">
                  <c:v>37.610340118408203</c:v>
                </c:pt>
                <c:pt idx="3">
                  <c:v>67.202995300292969</c:v>
                </c:pt>
                <c:pt idx="4">
                  <c:v>28.359268188476563</c:v>
                </c:pt>
                <c:pt idx="5">
                  <c:v>50.743595123291016</c:v>
                </c:pt>
                <c:pt idx="6">
                  <c:v>21.032110214233398</c:v>
                </c:pt>
                <c:pt idx="7">
                  <c:v>37.711257934570313</c:v>
                </c:pt>
                <c:pt idx="8">
                  <c:v>19.435144424438477</c:v>
                </c:pt>
                <c:pt idx="9">
                  <c:v>34.620540618896484</c:v>
                </c:pt>
                <c:pt idx="10">
                  <c:v>14.260830879211426</c:v>
                </c:pt>
                <c:pt idx="11">
                  <c:v>25.678108215332031</c:v>
                </c:pt>
                <c:pt idx="12">
                  <c:v>11.613609313964844</c:v>
                </c:pt>
                <c:pt idx="13">
                  <c:v>20.784967422485352</c:v>
                </c:pt>
                <c:pt idx="14">
                  <c:v>8.8577642440795898</c:v>
                </c:pt>
                <c:pt idx="15">
                  <c:v>15.973370552062988</c:v>
                </c:pt>
                <c:pt idx="16">
                  <c:v>6.5979137420654297</c:v>
                </c:pt>
                <c:pt idx="17">
                  <c:v>11.954030990600586</c:v>
                </c:pt>
                <c:pt idx="18">
                  <c:v>4.8399930000305176</c:v>
                </c:pt>
                <c:pt idx="19">
                  <c:v>8.6889228820800781</c:v>
                </c:pt>
                <c:pt idx="20">
                  <c:v>4.5094494819641113</c:v>
                </c:pt>
                <c:pt idx="21">
                  <c:v>8.1286993026733398</c:v>
                </c:pt>
                <c:pt idx="22">
                  <c:v>4.2096590995788574</c:v>
                </c:pt>
                <c:pt idx="23">
                  <c:v>7.6498560905456543</c:v>
                </c:pt>
                <c:pt idx="24">
                  <c:v>3.3011150360107422</c:v>
                </c:pt>
              </c:numCache>
            </c:numRef>
          </c:yVal>
        </c:ser>
        <c:ser>
          <c:idx val="5"/>
          <c:order val="5"/>
          <c:tx>
            <c:strRef>
              <c:f>data2!$G$1</c:f>
              <c:strCache>
                <c:ptCount val="1"/>
                <c:pt idx="0">
                  <c:v>5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data2!$G$2:$G$26</c:f>
              <c:numCache>
                <c:formatCode>General</c:formatCode>
                <c:ptCount val="25"/>
                <c:pt idx="0">
                  <c:v>53.868022918701172</c:v>
                </c:pt>
                <c:pt idx="1">
                  <c:v>97.465591430664063</c:v>
                </c:pt>
                <c:pt idx="2">
                  <c:v>41.369682312011719</c:v>
                </c:pt>
                <c:pt idx="3">
                  <c:v>74.990745544433594</c:v>
                </c:pt>
                <c:pt idx="4">
                  <c:v>31.241180419921875</c:v>
                </c:pt>
                <c:pt idx="5">
                  <c:v>56.273094177246094</c:v>
                </c:pt>
                <c:pt idx="6">
                  <c:v>23.346271514892578</c:v>
                </c:pt>
                <c:pt idx="7">
                  <c:v>42.399734497070313</c:v>
                </c:pt>
                <c:pt idx="8">
                  <c:v>21.38441276550293</c:v>
                </c:pt>
                <c:pt idx="9">
                  <c:v>38.911636352539062</c:v>
                </c:pt>
                <c:pt idx="10">
                  <c:v>15.734786987304688</c:v>
                </c:pt>
                <c:pt idx="11">
                  <c:v>28.72313117980957</c:v>
                </c:pt>
                <c:pt idx="12">
                  <c:v>12.819785118103027</c:v>
                </c:pt>
                <c:pt idx="13">
                  <c:v>23.265647888183594</c:v>
                </c:pt>
                <c:pt idx="14">
                  <c:v>9.8396825790405273</c:v>
                </c:pt>
                <c:pt idx="15">
                  <c:v>17.996603012084961</c:v>
                </c:pt>
                <c:pt idx="16">
                  <c:v>7.3697805404663086</c:v>
                </c:pt>
                <c:pt idx="17">
                  <c:v>13.495757102966309</c:v>
                </c:pt>
                <c:pt idx="18">
                  <c:v>5.4530620574951172</c:v>
                </c:pt>
                <c:pt idx="19">
                  <c:v>10.030263900756836</c:v>
                </c:pt>
                <c:pt idx="20">
                  <c:v>5.0277442932128906</c:v>
                </c:pt>
                <c:pt idx="21">
                  <c:v>9.2526187896728516</c:v>
                </c:pt>
                <c:pt idx="22">
                  <c:v>4.688748836517334</c:v>
                </c:pt>
                <c:pt idx="23">
                  <c:v>8.6286945343017578</c:v>
                </c:pt>
                <c:pt idx="24">
                  <c:v>3.7005362510681152</c:v>
                </c:pt>
              </c:numCache>
            </c:numRef>
          </c:yVal>
        </c:ser>
        <c:ser>
          <c:idx val="6"/>
          <c:order val="6"/>
          <c:tx>
            <c:strRef>
              <c:f>data2!$H$1</c:f>
              <c:strCache>
                <c:ptCount val="1"/>
                <c:pt idx="0">
                  <c:v>6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data2!$H$2:$H$26</c:f>
              <c:numCache>
                <c:formatCode>General</c:formatCode>
                <c:ptCount val="25"/>
              </c:numCache>
            </c:numRef>
          </c:yVal>
        </c:ser>
        <c:ser>
          <c:idx val="7"/>
          <c:order val="7"/>
          <c:tx>
            <c:strRef>
              <c:f>data2!$I$1</c:f>
              <c:strCache>
                <c:ptCount val="1"/>
                <c:pt idx="0">
                  <c:v>7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data2!$I$2:$I$26</c:f>
              <c:numCache>
                <c:formatCode>General</c:formatCode>
                <c:ptCount val="25"/>
              </c:numCache>
            </c:numRef>
          </c:yVal>
        </c:ser>
        <c:axId val="159187712"/>
        <c:axId val="159189632"/>
      </c:scatterChart>
      <c:valAx>
        <c:axId val="1591877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General" sourceLinked="1"/>
        <c:tickLblPos val="nextTo"/>
        <c:crossAx val="159189632"/>
        <c:crosses val="autoZero"/>
        <c:crossBetween val="midCat"/>
      </c:valAx>
      <c:valAx>
        <c:axId val="15918963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</c:title>
        <c:numFmt formatCode="General" sourceLinked="1"/>
        <c:tickLblPos val="nextTo"/>
        <c:crossAx val="15918771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/>
              <a:t>Lux out vs. Lux in</a:t>
            </a:r>
          </a:p>
        </c:rich>
      </c:tx>
    </c:title>
    <c:plotArea>
      <c:layout/>
      <c:scatterChart>
        <c:scatterStyle val="lineMarker"/>
        <c:ser>
          <c:idx val="0"/>
          <c:order val="0"/>
          <c:tx>
            <c:strRef>
              <c:f>data2!$J$1</c:f>
              <c:strCache>
                <c:ptCount val="1"/>
                <c:pt idx="0">
                  <c:v>8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data2!$J$2:$J$26</c:f>
              <c:numCache>
                <c:formatCode>General</c:formatCode>
                <c:ptCount val="25"/>
              </c:numCache>
            </c:numRef>
          </c:yVal>
        </c:ser>
        <c:ser>
          <c:idx val="1"/>
          <c:order val="1"/>
          <c:tx>
            <c:strRef>
              <c:f>data2!$K$1</c:f>
              <c:strCache>
                <c:ptCount val="1"/>
                <c:pt idx="0">
                  <c:v>9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data2!$K$2:$K$26</c:f>
              <c:numCache>
                <c:formatCode>General</c:formatCode>
                <c:ptCount val="25"/>
              </c:numCache>
            </c:numRef>
          </c:yVal>
        </c:ser>
        <c:ser>
          <c:idx val="2"/>
          <c:order val="2"/>
          <c:tx>
            <c:strRef>
              <c:f>data2!$L$1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data2!$L$2:$L$26</c:f>
              <c:numCache>
                <c:formatCode>General</c:formatCode>
                <c:ptCount val="25"/>
              </c:numCache>
            </c:numRef>
          </c:yVal>
        </c:ser>
        <c:ser>
          <c:idx val="3"/>
          <c:order val="3"/>
          <c:tx>
            <c:strRef>
              <c:f>data2!$M$1</c:f>
              <c:strCache>
                <c:ptCount val="1"/>
                <c:pt idx="0">
                  <c:v>11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data2!$M$2:$M$26</c:f>
              <c:numCache>
                <c:formatCode>General</c:formatCode>
                <c:ptCount val="25"/>
              </c:numCache>
            </c:numRef>
          </c:yVal>
        </c:ser>
        <c:ser>
          <c:idx val="4"/>
          <c:order val="4"/>
          <c:tx>
            <c:strRef>
              <c:f>data2!$N$1</c:f>
              <c:strCache>
                <c:ptCount val="1"/>
                <c:pt idx="0">
                  <c:v>12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data2!$N$2:$N$26</c:f>
              <c:numCache>
                <c:formatCode>General</c:formatCode>
                <c:ptCount val="25"/>
              </c:numCache>
            </c:numRef>
          </c:yVal>
        </c:ser>
        <c:ser>
          <c:idx val="5"/>
          <c:order val="5"/>
          <c:tx>
            <c:strRef>
              <c:f>data2!$O$1</c:f>
              <c:strCache>
                <c:ptCount val="1"/>
                <c:pt idx="0">
                  <c:v>13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data2!$O$2:$O$26</c:f>
              <c:numCache>
                <c:formatCode>General</c:formatCode>
                <c:ptCount val="25"/>
              </c:numCache>
            </c:numRef>
          </c:yVal>
        </c:ser>
        <c:ser>
          <c:idx val="6"/>
          <c:order val="6"/>
          <c:tx>
            <c:strRef>
              <c:f>data2!$P$1</c:f>
              <c:strCache>
                <c:ptCount val="1"/>
                <c:pt idx="0">
                  <c:v>14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data2!$P$2:$P$26</c:f>
              <c:numCache>
                <c:formatCode>General</c:formatCode>
                <c:ptCount val="25"/>
              </c:numCache>
            </c:numRef>
          </c:yVal>
        </c:ser>
        <c:ser>
          <c:idx val="7"/>
          <c:order val="7"/>
          <c:tx>
            <c:strRef>
              <c:f>data2!$Q$1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data2!$Q$2:$Q$26</c:f>
              <c:numCache>
                <c:formatCode>General</c:formatCode>
                <c:ptCount val="25"/>
              </c:numCache>
            </c:numRef>
          </c:yVal>
        </c:ser>
        <c:axId val="159711616"/>
        <c:axId val="159713536"/>
      </c:scatterChart>
      <c:valAx>
        <c:axId val="1597116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General" sourceLinked="1"/>
        <c:tickLblPos val="nextTo"/>
        <c:crossAx val="159713536"/>
        <c:crosses val="autoZero"/>
        <c:crossBetween val="midCat"/>
      </c:valAx>
      <c:valAx>
        <c:axId val="15971353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</c:title>
        <c:numFmt formatCode="General" sourceLinked="1"/>
        <c:tickLblPos val="nextTo"/>
        <c:crossAx val="15971161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/>
              <a:t>Lux out vs. Lux in</a:t>
            </a:r>
          </a:p>
        </c:rich>
      </c:tx>
    </c:title>
    <c:plotArea>
      <c:layout/>
      <c:scatterChart>
        <c:scatterStyle val="lineMarker"/>
        <c:ser>
          <c:idx val="0"/>
          <c:order val="0"/>
          <c:tx>
            <c:strRef>
              <c:f>data2!$R$1</c:f>
              <c:strCache>
                <c:ptCount val="1"/>
                <c:pt idx="0">
                  <c:v>16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data2!$R$2:$R$26</c:f>
              <c:numCache>
                <c:formatCode>General</c:formatCode>
                <c:ptCount val="25"/>
              </c:numCache>
            </c:numRef>
          </c:yVal>
        </c:ser>
        <c:ser>
          <c:idx val="1"/>
          <c:order val="1"/>
          <c:tx>
            <c:strRef>
              <c:f>data2!$S$1</c:f>
              <c:strCache>
                <c:ptCount val="1"/>
                <c:pt idx="0">
                  <c:v>17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data2!$S$2:$S$26</c:f>
              <c:numCache>
                <c:formatCode>General</c:formatCode>
                <c:ptCount val="25"/>
              </c:numCache>
            </c:numRef>
          </c:yVal>
        </c:ser>
        <c:ser>
          <c:idx val="2"/>
          <c:order val="2"/>
          <c:tx>
            <c:strRef>
              <c:f>data2!$T$1</c:f>
              <c:strCache>
                <c:ptCount val="1"/>
                <c:pt idx="0">
                  <c:v>18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data2!$T$2:$T$26</c:f>
              <c:numCache>
                <c:formatCode>General</c:formatCode>
                <c:ptCount val="25"/>
              </c:numCache>
            </c:numRef>
          </c:yVal>
        </c:ser>
        <c:ser>
          <c:idx val="3"/>
          <c:order val="3"/>
          <c:tx>
            <c:strRef>
              <c:f>data2!$U$1</c:f>
              <c:strCache>
                <c:ptCount val="1"/>
                <c:pt idx="0">
                  <c:v>19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data2!$U$2:$U$26</c:f>
              <c:numCache>
                <c:formatCode>General</c:formatCode>
                <c:ptCount val="25"/>
              </c:numCache>
            </c:numRef>
          </c:yVal>
        </c:ser>
        <c:ser>
          <c:idx val="4"/>
          <c:order val="4"/>
          <c:tx>
            <c:strRef>
              <c:f>data2!$V$1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data2!$V$2:$V$26</c:f>
              <c:numCache>
                <c:formatCode>General</c:formatCode>
                <c:ptCount val="25"/>
              </c:numCache>
            </c:numRef>
          </c:yVal>
        </c:ser>
        <c:ser>
          <c:idx val="5"/>
          <c:order val="5"/>
          <c:tx>
            <c:strRef>
              <c:f>data2!$W$1</c:f>
              <c:strCache>
                <c:ptCount val="1"/>
                <c:pt idx="0">
                  <c:v>21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data2!$W$2:$W$26</c:f>
              <c:numCache>
                <c:formatCode>General</c:formatCode>
                <c:ptCount val="25"/>
              </c:numCache>
            </c:numRef>
          </c:yVal>
        </c:ser>
        <c:ser>
          <c:idx val="6"/>
          <c:order val="6"/>
          <c:tx>
            <c:strRef>
              <c:f>data2!$X$1</c:f>
              <c:strCache>
                <c:ptCount val="1"/>
                <c:pt idx="0">
                  <c:v>22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data2!$X$2:$X$26</c:f>
              <c:numCache>
                <c:formatCode>General</c:formatCode>
                <c:ptCount val="25"/>
              </c:numCache>
            </c:numRef>
          </c:yVal>
        </c:ser>
        <c:ser>
          <c:idx val="7"/>
          <c:order val="7"/>
          <c:tx>
            <c:strRef>
              <c:f>data2!$Y$1</c:f>
              <c:strCache>
                <c:ptCount val="1"/>
                <c:pt idx="0">
                  <c:v>23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data2!$Y$2:$Y$26</c:f>
              <c:numCache>
                <c:formatCode>General</c:formatCode>
                <c:ptCount val="25"/>
              </c:numCache>
            </c:numRef>
          </c:yVal>
        </c:ser>
        <c:axId val="159785344"/>
        <c:axId val="159787264"/>
      </c:scatterChart>
      <c:valAx>
        <c:axId val="1597853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General" sourceLinked="1"/>
        <c:tickLblPos val="nextTo"/>
        <c:crossAx val="159787264"/>
        <c:crosses val="autoZero"/>
        <c:crossBetween val="midCat"/>
      </c:valAx>
      <c:valAx>
        <c:axId val="15978726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</c:title>
        <c:numFmt formatCode="General" sourceLinked="1"/>
        <c:tickLblPos val="nextTo"/>
        <c:crossAx val="15978534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/>
              <a:t>Lux out vs. Lux in</a:t>
            </a:r>
          </a:p>
        </c:rich>
      </c:tx>
    </c:title>
    <c:plotArea>
      <c:layout/>
      <c:scatterChart>
        <c:scatterStyle val="lineMarker"/>
        <c:ser>
          <c:idx val="0"/>
          <c:order val="0"/>
          <c:tx>
            <c:strRef>
              <c:f>data2!$Z$1</c:f>
              <c:strCache>
                <c:ptCount val="1"/>
                <c:pt idx="0">
                  <c:v>24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data2!$Z$2:$Z$26</c:f>
              <c:numCache>
                <c:formatCode>General</c:formatCode>
                <c:ptCount val="25"/>
              </c:numCache>
            </c:numRef>
          </c:yVal>
        </c:ser>
        <c:ser>
          <c:idx val="1"/>
          <c:order val="1"/>
          <c:tx>
            <c:strRef>
              <c:f>data2!$AA$1</c:f>
              <c:strCache>
                <c:ptCount val="1"/>
                <c:pt idx="0">
                  <c:v>25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data2!$AA$2:$AA$26</c:f>
              <c:numCache>
                <c:formatCode>General</c:formatCode>
                <c:ptCount val="25"/>
              </c:numCache>
            </c:numRef>
          </c:yVal>
        </c:ser>
        <c:ser>
          <c:idx val="2"/>
          <c:order val="2"/>
          <c:tx>
            <c:strRef>
              <c:f>data2!$AB$1</c:f>
              <c:strCache>
                <c:ptCount val="1"/>
                <c:pt idx="0">
                  <c:v>26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data2!$AB$2:$AB$26</c:f>
              <c:numCache>
                <c:formatCode>General</c:formatCode>
                <c:ptCount val="25"/>
              </c:numCache>
            </c:numRef>
          </c:yVal>
        </c:ser>
        <c:ser>
          <c:idx val="3"/>
          <c:order val="3"/>
          <c:tx>
            <c:strRef>
              <c:f>data2!$AC$1</c:f>
              <c:strCache>
                <c:ptCount val="1"/>
                <c:pt idx="0">
                  <c:v>27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data2!$AC$2:$AC$26</c:f>
              <c:numCache>
                <c:formatCode>General</c:formatCode>
                <c:ptCount val="25"/>
              </c:numCache>
            </c:numRef>
          </c:yVal>
        </c:ser>
        <c:ser>
          <c:idx val="4"/>
          <c:order val="4"/>
          <c:tx>
            <c:strRef>
              <c:f>data2!$AD$1</c:f>
              <c:strCache>
                <c:ptCount val="1"/>
                <c:pt idx="0">
                  <c:v>28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data2!$AD$2:$AD$26</c:f>
              <c:numCache>
                <c:formatCode>General</c:formatCode>
                <c:ptCount val="25"/>
              </c:numCache>
            </c:numRef>
          </c:yVal>
        </c:ser>
        <c:ser>
          <c:idx val="5"/>
          <c:order val="5"/>
          <c:tx>
            <c:strRef>
              <c:f>data2!$AE$1</c:f>
              <c:strCache>
                <c:ptCount val="1"/>
                <c:pt idx="0">
                  <c:v>29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data2!$AE$2:$AE$26</c:f>
              <c:numCache>
                <c:formatCode>General</c:formatCode>
                <c:ptCount val="25"/>
              </c:numCache>
            </c:numRef>
          </c:yVal>
        </c:ser>
        <c:ser>
          <c:idx val="6"/>
          <c:order val="6"/>
          <c:tx>
            <c:strRef>
              <c:f>data2!$AF$1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data2!$AF$2:$AF$26</c:f>
              <c:numCache>
                <c:formatCode>General</c:formatCode>
                <c:ptCount val="25"/>
              </c:numCache>
            </c:numRef>
          </c:yVal>
        </c:ser>
        <c:ser>
          <c:idx val="7"/>
          <c:order val="7"/>
          <c:tx>
            <c:strRef>
              <c:f>data2!$AG$1</c:f>
              <c:strCache>
                <c:ptCount val="1"/>
                <c:pt idx="0">
                  <c:v>31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data2!$AG$2:$AG$26</c:f>
              <c:numCache>
                <c:formatCode>General</c:formatCode>
                <c:ptCount val="25"/>
              </c:numCache>
            </c:numRef>
          </c:yVal>
        </c:ser>
        <c:axId val="159841664"/>
        <c:axId val="159847936"/>
      </c:scatterChart>
      <c:valAx>
        <c:axId val="1598416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General" sourceLinked="1"/>
        <c:tickLblPos val="nextTo"/>
        <c:crossAx val="159847936"/>
        <c:crosses val="autoZero"/>
        <c:crossBetween val="midCat"/>
      </c:valAx>
      <c:valAx>
        <c:axId val="15984793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Lux Measured</a:t>
                </a:r>
              </a:p>
            </c:rich>
          </c:tx>
        </c:title>
        <c:numFmt formatCode="General" sourceLinked="1"/>
        <c:tickLblPos val="nextTo"/>
        <c:crossAx val="15984166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33" l="0.70000000000000062" r="0.70000000000000062" t="0.75000000000000533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data2!$AL$164</c:f>
          <c:strCache>
            <c:ptCount val="1"/>
            <c:pt idx="0">
              <c:v>#NAME?</c:v>
            </c:pt>
          </c:strCache>
        </c:strRef>
      </c:tx>
      <c:txPr>
        <a:bodyPr/>
        <a:lstStyle/>
        <a:p>
          <a:pPr>
            <a:defRPr sz="11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data2!$AM$1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data2!$AM$2:$AM$26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data2!$AN$1</c:f>
              <c:strCache>
                <c:ptCount val="1"/>
                <c:pt idx="0">
                  <c:v>MEAN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data2!$AN$2:$AN$26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data2!$AO$1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data2!$A$2:$A$26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data2!$AO$2:$AO$26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axId val="159986048"/>
        <c:axId val="159987968"/>
      </c:scatterChart>
      <c:valAx>
        <c:axId val="1599860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</a:t>
                </a:r>
                <a:r>
                  <a:rPr lang="en-US" baseline="0"/>
                  <a:t> In</a:t>
                </a:r>
                <a:endParaRPr lang="en-US"/>
              </a:p>
            </c:rich>
          </c:tx>
        </c:title>
        <c:numFmt formatCode="General" sourceLinked="1"/>
        <c:tickLblPos val="nextTo"/>
        <c:crossAx val="159987968"/>
        <c:crosses val="autoZero"/>
        <c:crossBetween val="midCat"/>
      </c:valAx>
      <c:valAx>
        <c:axId val="1599879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Measured</a:t>
                </a:r>
                <a:r>
                  <a:rPr lang="en-US" baseline="0"/>
                  <a:t> Lux</a:t>
                </a:r>
                <a:endParaRPr lang="en-US"/>
              </a:p>
            </c:rich>
          </c:tx>
        </c:title>
        <c:numFmt formatCode="General" sourceLinked="1"/>
        <c:tickLblPos val="nextTo"/>
        <c:crossAx val="15998604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data2!$AL$166</c:f>
          <c:strCache>
            <c:ptCount val="1"/>
            <c:pt idx="0">
              <c:v>#NAME?</c:v>
            </c:pt>
          </c:strCache>
        </c:strRef>
      </c:tx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data2!$B$238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data2!$B$239:$B$263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data2!$C$238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data2!$C$239:$C$263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data2!$D$238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data2!$D$239:$D$263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3"/>
          <c:order val="3"/>
          <c:tx>
            <c:strRef>
              <c:f>data2!$E$238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data2!$E$239:$E$263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4"/>
          <c:order val="4"/>
          <c:tx>
            <c:strRef>
              <c:f>data2!$F$238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data2!$F$239:$F$263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5"/>
          <c:order val="5"/>
          <c:tx>
            <c:strRef>
              <c:f>data2!$G$238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data2!$G$239:$G$263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6"/>
          <c:order val="6"/>
          <c:tx>
            <c:strRef>
              <c:f>data2!$H$238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data2!$H$239:$H$263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7"/>
          <c:order val="7"/>
          <c:tx>
            <c:strRef>
              <c:f>data2!$I$238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data2!$I$239:$I$263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axId val="160043392"/>
        <c:axId val="160045312"/>
      </c:scatterChart>
      <c:valAx>
        <c:axId val="1600433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General" sourceLinked="1"/>
        <c:tickLblPos val="nextTo"/>
        <c:crossAx val="160045312"/>
        <c:crosses val="autoZero"/>
        <c:crossBetween val="midCat"/>
      </c:valAx>
      <c:valAx>
        <c:axId val="16004531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</c:title>
        <c:numFmt formatCode="General" sourceLinked="1"/>
        <c:tickLblPos val="nextTo"/>
        <c:crossAx val="16004339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data2!$AL$166</c:f>
          <c:strCache>
            <c:ptCount val="1"/>
            <c:pt idx="0">
              <c:v>#NAME?</c:v>
            </c:pt>
          </c:strCache>
        </c:strRef>
      </c:tx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data2!$J$238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data2!$J$239:$J$263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data2!$K$238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data2!$K$239:$K$263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data2!$L$238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data2!$L$239:$L$263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3"/>
          <c:order val="3"/>
          <c:tx>
            <c:strRef>
              <c:f>data2!$M$238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data2!$M$239:$M$263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4"/>
          <c:order val="4"/>
          <c:tx>
            <c:strRef>
              <c:f>data2!$N$238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data2!$N$239:$N$263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5"/>
          <c:order val="5"/>
          <c:tx>
            <c:strRef>
              <c:f>data2!$O$238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data2!$O$239:$O$263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6"/>
          <c:order val="6"/>
          <c:tx>
            <c:strRef>
              <c:f>data2!$P$238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data2!$P$239:$P$263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7"/>
          <c:order val="7"/>
          <c:tx>
            <c:strRef>
              <c:f>data2!$Q$238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data2!$Q$239:$Q$263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axId val="160129024"/>
        <c:axId val="160130944"/>
      </c:scatterChart>
      <c:valAx>
        <c:axId val="1601290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General" sourceLinked="1"/>
        <c:tickLblPos val="nextTo"/>
        <c:crossAx val="160130944"/>
        <c:crosses val="autoZero"/>
        <c:crossBetween val="midCat"/>
      </c:valAx>
      <c:valAx>
        <c:axId val="16013094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</c:title>
        <c:numFmt formatCode="General" sourceLinked="1"/>
        <c:tickLblPos val="nextTo"/>
        <c:crossAx val="16012902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data2!$AL$166</c:f>
          <c:strCache>
            <c:ptCount val="1"/>
            <c:pt idx="0">
              <c:v>#NAME?</c:v>
            </c:pt>
          </c:strCache>
        </c:strRef>
      </c:tx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data2!$R$238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data2!$R$239:$R$263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data2!$S$238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data2!$S$239:$S$263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data2!$T$238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data2!$T$239:$T$263</c:f>
              <c:numCache>
                <c:formatCode>General</c:formatCode>
                <c:ptCount val="25"/>
              </c:numCache>
            </c:numRef>
          </c:yVal>
        </c:ser>
        <c:ser>
          <c:idx val="3"/>
          <c:order val="3"/>
          <c:tx>
            <c:strRef>
              <c:f>data2!$U$238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data2!$U$239:$U$263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4"/>
          <c:order val="4"/>
          <c:tx>
            <c:strRef>
              <c:f>data2!$V$238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data2!$V$239:$V$263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5"/>
          <c:order val="5"/>
          <c:tx>
            <c:strRef>
              <c:f>data2!$W$238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data2!$W$239:$W$263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6"/>
          <c:order val="6"/>
          <c:tx>
            <c:strRef>
              <c:f>data2!$X$238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data2!$X$239:$X$263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7"/>
          <c:order val="7"/>
          <c:tx>
            <c:strRef>
              <c:f>data2!$Y$238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data2!$Y$239:$Y$263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axId val="160268672"/>
        <c:axId val="160270592"/>
      </c:scatterChart>
      <c:valAx>
        <c:axId val="1602686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General" sourceLinked="1"/>
        <c:tickLblPos val="nextTo"/>
        <c:crossAx val="160270592"/>
        <c:crosses val="autoZero"/>
        <c:crossBetween val="midCat"/>
      </c:valAx>
      <c:valAx>
        <c:axId val="16027059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</c:title>
        <c:numFmt formatCode="General" sourceLinked="1"/>
        <c:tickLblPos val="nextTo"/>
        <c:crossAx val="16026867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data2!$AL$166</c:f>
          <c:strCache>
            <c:ptCount val="1"/>
            <c:pt idx="0">
              <c:v>#NAME?</c:v>
            </c:pt>
          </c:strCache>
        </c:strRef>
      </c:tx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data2!$Z$238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data2!$Z$239:$Z$263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data2!$AA$238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data2!$AA$239:$AA$263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data2!$AB$238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data2!$AB$239:$AB$263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3"/>
          <c:order val="3"/>
          <c:tx>
            <c:strRef>
              <c:f>data2!$AC$238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data2!$AC$239:$AC$263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4"/>
          <c:order val="4"/>
          <c:tx>
            <c:strRef>
              <c:f>data2!$AD$238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data2!$AD$239:$AD$263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5"/>
          <c:order val="5"/>
          <c:tx>
            <c:strRef>
              <c:f>data2!$AE$238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data2!$AE$239:$AE$263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6"/>
          <c:order val="6"/>
          <c:tx>
            <c:strRef>
              <c:f>data2!$AF$238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data2!$AF$239:$AF$263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7"/>
          <c:order val="7"/>
          <c:tx>
            <c:strRef>
              <c:f>data2!$AG$238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data2!$AG$239:$AG$263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axId val="160300416"/>
        <c:axId val="160200192"/>
      </c:scatterChart>
      <c:valAx>
        <c:axId val="1603004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General" sourceLinked="1"/>
        <c:tickLblPos val="nextTo"/>
        <c:crossAx val="160200192"/>
        <c:crosses val="autoZero"/>
        <c:crossBetween val="midCat"/>
      </c:valAx>
      <c:valAx>
        <c:axId val="16020019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</c:title>
        <c:numFmt formatCode="General" sourceLinked="1"/>
        <c:tickLblPos val="nextTo"/>
        <c:crossAx val="16030041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data2!$AL$165</c:f>
          <c:strCache>
            <c:ptCount val="1"/>
            <c:pt idx="0">
              <c:v>#NAME?</c:v>
            </c:pt>
          </c:strCache>
        </c:strRef>
      </c:tx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data2!$AL$165</c:f>
              <c:strCache>
                <c:ptCount val="1"/>
                <c:pt idx="0">
                  <c:v>#NAME?</c:v>
                </c:pt>
              </c:strCache>
            </c:strRef>
          </c:tx>
          <c:cat>
            <c:numRef>
              <c:f>data2!$AI$169:$AI$174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data2!$AJ$169:$AJ$174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160220672"/>
        <c:axId val="160222592"/>
      </c:barChart>
      <c:catAx>
        <c:axId val="1602206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</c:title>
        <c:numFmt formatCode="0.00" sourceLinked="1"/>
        <c:tickLblPos val="nextTo"/>
        <c:crossAx val="160222592"/>
        <c:crosses val="autoZero"/>
        <c:auto val="1"/>
        <c:lblAlgn val="ctr"/>
        <c:lblOffset val="100"/>
      </c:catAx>
      <c:valAx>
        <c:axId val="16022259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160220672"/>
        <c:crosses val="autoZero"/>
        <c:crossBetween val="between"/>
      </c:valAx>
    </c:plotArea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data2!$AL$166</c:f>
          <c:strCache>
            <c:ptCount val="1"/>
            <c:pt idx="0">
              <c:v>#NAME?</c:v>
            </c:pt>
          </c:strCache>
        </c:strRef>
      </c:tx>
      <c:txPr>
        <a:bodyPr/>
        <a:lstStyle/>
        <a:p>
          <a:pPr>
            <a:defRPr sz="105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data2!$AI$238</c:f>
              <c:strCache>
                <c:ptCount val="1"/>
                <c:pt idx="0">
                  <c:v>-1.5σ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data2!$AI$239:$AI$263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1"/>
          <c:order val="1"/>
          <c:tx>
            <c:strRef>
              <c:f>data2!$AJ$238</c:f>
              <c:strCache>
                <c:ptCount val="1"/>
                <c:pt idx="0">
                  <c:v>MEAN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data2!$AJ$239:$AJ$263</c:f>
              <c:numCache>
                <c:formatCode>0.0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ser>
          <c:idx val="2"/>
          <c:order val="2"/>
          <c:tx>
            <c:strRef>
              <c:f>data2!$AK$238</c:f>
              <c:strCache>
                <c:ptCount val="1"/>
                <c:pt idx="0">
                  <c:v>+1.5σ</c:v>
                </c:pt>
              </c:strCache>
            </c:strRef>
          </c:tx>
          <c:marker>
            <c:symbol val="none"/>
          </c:marker>
          <c:xVal>
            <c:numRef>
              <c:f>data2!$A$239:$A$263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data2!$AK$239:$AK$263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axId val="160350976"/>
        <c:axId val="160352896"/>
      </c:scatterChart>
      <c:valAx>
        <c:axId val="1603509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Lux in</a:t>
                </a:r>
              </a:p>
            </c:rich>
          </c:tx>
        </c:title>
        <c:numFmt formatCode="General" sourceLinked="1"/>
        <c:tickLblPos val="nextTo"/>
        <c:crossAx val="160352896"/>
        <c:crosses val="autoZero"/>
        <c:crossBetween val="midCat"/>
      </c:valAx>
      <c:valAx>
        <c:axId val="16035289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Lux</a:t>
                </a:r>
              </a:p>
            </c:rich>
          </c:tx>
        </c:title>
        <c:numFmt formatCode="General" sourceLinked="1"/>
        <c:tickLblPos val="nextTo"/>
        <c:crossAx val="16035097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Full Scale Lux vs. Time</a:t>
            </a:r>
          </a:p>
        </c:rich>
      </c:tx>
    </c:title>
    <c:plotArea>
      <c:layout/>
      <c:scatterChart>
        <c:scatterStyle val="lineMarker"/>
        <c:ser>
          <c:idx val="0"/>
          <c:order val="0"/>
          <c:xVal>
            <c:numRef>
              <c:f>data4!$B$1:$K$1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data4!$B$2:$K$2</c:f>
              <c:numCache>
                <c:formatCode>0.00</c:formatCode>
                <c:ptCount val="10"/>
                <c:pt idx="0">
                  <c:v>3014</c:v>
                </c:pt>
                <c:pt idx="1">
                  <c:v>3013</c:v>
                </c:pt>
                <c:pt idx="2">
                  <c:v>3014</c:v>
                </c:pt>
                <c:pt idx="3">
                  <c:v>3014</c:v>
                </c:pt>
                <c:pt idx="4">
                  <c:v>3013</c:v>
                </c:pt>
                <c:pt idx="5">
                  <c:v>3018</c:v>
                </c:pt>
                <c:pt idx="6">
                  <c:v>3014</c:v>
                </c:pt>
                <c:pt idx="7">
                  <c:v>3010</c:v>
                </c:pt>
                <c:pt idx="8">
                  <c:v>3013</c:v>
                </c:pt>
                <c:pt idx="9">
                  <c:v>3015</c:v>
                </c:pt>
              </c:numCache>
            </c:numRef>
          </c:yVal>
        </c:ser>
        <c:axId val="160372992"/>
        <c:axId val="160412032"/>
      </c:scatterChart>
      <c:valAx>
        <c:axId val="1603729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 #</a:t>
                </a:r>
              </a:p>
            </c:rich>
          </c:tx>
        </c:title>
        <c:numFmt formatCode="General" sourceLinked="1"/>
        <c:tickLblPos val="nextTo"/>
        <c:crossAx val="160412032"/>
        <c:crosses val="autoZero"/>
        <c:crossBetween val="midCat"/>
      </c:valAx>
      <c:valAx>
        <c:axId val="16041203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Full</a:t>
                </a:r>
                <a:r>
                  <a:rPr lang="en-US" baseline="0"/>
                  <a:t> Scale Lux</a:t>
                </a:r>
                <a:endParaRPr lang="en-US"/>
              </a:p>
            </c:rich>
          </c:tx>
        </c:title>
        <c:numFmt formatCode="0.00" sourceLinked="1"/>
        <c:tickLblPos val="nextTo"/>
        <c:crossAx val="160372992"/>
        <c:crosses val="autoZero"/>
        <c:crossBetween val="midCat"/>
      </c:valAx>
    </c:plotArea>
    <c:plotVisOnly val="1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xVal>
            <c:numRef>
              <c:f>data5!$N$2:$N$26</c:f>
              <c:numCache>
                <c:formatCode>0.00</c:formatCode>
                <c:ptCount val="25"/>
                <c:pt idx="0">
                  <c:v>3013.8</c:v>
                </c:pt>
                <c:pt idx="1">
                  <c:v>2454.1999999999998</c:v>
                </c:pt>
                <c:pt idx="2">
                  <c:v>2009.6</c:v>
                </c:pt>
                <c:pt idx="3">
                  <c:v>1669.6</c:v>
                </c:pt>
                <c:pt idx="4">
                  <c:v>1236.5999999999999</c:v>
                </c:pt>
                <c:pt idx="5">
                  <c:v>925.3</c:v>
                </c:pt>
                <c:pt idx="6">
                  <c:v>756.42999877929685</c:v>
                </c:pt>
                <c:pt idx="7">
                  <c:v>615.27000122070308</c:v>
                </c:pt>
                <c:pt idx="8">
                  <c:v>504.26999511718748</c:v>
                </c:pt>
                <c:pt idx="9">
                  <c:v>419.26999816894534</c:v>
                </c:pt>
                <c:pt idx="10">
                  <c:v>310.73999938964846</c:v>
                </c:pt>
                <c:pt idx="11">
                  <c:v>281.05999755859375</c:v>
                </c:pt>
                <c:pt idx="12">
                  <c:v>231.31000213623048</c:v>
                </c:pt>
                <c:pt idx="13">
                  <c:v>187.07000122070312</c:v>
                </c:pt>
                <c:pt idx="14">
                  <c:v>155.69999999999999</c:v>
                </c:pt>
                <c:pt idx="15">
                  <c:v>115.39999923706054</c:v>
                </c:pt>
                <c:pt idx="16">
                  <c:v>86.320002746582034</c:v>
                </c:pt>
                <c:pt idx="17">
                  <c:v>20.439999771118163</c:v>
                </c:pt>
                <c:pt idx="18">
                  <c:v>16.700000762939453</c:v>
                </c:pt>
                <c:pt idx="19">
                  <c:v>13.699999809265137</c:v>
                </c:pt>
                <c:pt idx="20">
                  <c:v>11.389999675750733</c:v>
                </c:pt>
                <c:pt idx="21">
                  <c:v>8.3999996185302734</c:v>
                </c:pt>
                <c:pt idx="22">
                  <c:v>6.3000001907348633</c:v>
                </c:pt>
                <c:pt idx="23">
                  <c:v>2.2000000476837158</c:v>
                </c:pt>
                <c:pt idx="24">
                  <c:v>1.7999999523162842</c:v>
                </c:pt>
              </c:numCache>
            </c:numRef>
          </c:xVal>
          <c:yVal>
            <c:numRef>
              <c:f>data5!$L$2:$L$26</c:f>
              <c:numCache>
                <c:formatCode>0.00</c:formatCode>
                <c:ptCount val="25"/>
                <c:pt idx="0">
                  <c:v>3933.1</c:v>
                </c:pt>
                <c:pt idx="1">
                  <c:v>3954.7</c:v>
                </c:pt>
                <c:pt idx="2">
                  <c:v>3988.4</c:v>
                </c:pt>
                <c:pt idx="3">
                  <c:v>3978.3</c:v>
                </c:pt>
                <c:pt idx="4">
                  <c:v>3960.5</c:v>
                </c:pt>
                <c:pt idx="5">
                  <c:v>3971.2</c:v>
                </c:pt>
                <c:pt idx="6">
                  <c:v>3979.2</c:v>
                </c:pt>
                <c:pt idx="7">
                  <c:v>4001.7</c:v>
                </c:pt>
                <c:pt idx="8">
                  <c:v>4034.1</c:v>
                </c:pt>
                <c:pt idx="9">
                  <c:v>4023.8</c:v>
                </c:pt>
                <c:pt idx="10">
                  <c:v>4005.5</c:v>
                </c:pt>
                <c:pt idx="11">
                  <c:v>4009.6</c:v>
                </c:pt>
                <c:pt idx="12">
                  <c:v>4016.5</c:v>
                </c:pt>
                <c:pt idx="13">
                  <c:v>4064.6</c:v>
                </c:pt>
                <c:pt idx="14">
                  <c:v>4054.6</c:v>
                </c:pt>
                <c:pt idx="15">
                  <c:v>4035.6</c:v>
                </c:pt>
                <c:pt idx="16">
                  <c:v>4046.8</c:v>
                </c:pt>
                <c:pt idx="17">
                  <c:v>3830.6</c:v>
                </c:pt>
                <c:pt idx="18">
                  <c:v>3852.3</c:v>
                </c:pt>
                <c:pt idx="19">
                  <c:v>3884.6</c:v>
                </c:pt>
                <c:pt idx="20">
                  <c:v>3874</c:v>
                </c:pt>
                <c:pt idx="21">
                  <c:v>3852.9</c:v>
                </c:pt>
                <c:pt idx="22">
                  <c:v>3862.8</c:v>
                </c:pt>
                <c:pt idx="23">
                  <c:v>3782.2</c:v>
                </c:pt>
                <c:pt idx="24">
                  <c:v>3801.6</c:v>
                </c:pt>
              </c:numCache>
            </c:numRef>
          </c:yVal>
        </c:ser>
        <c:axId val="160543104"/>
        <c:axId val="160544640"/>
      </c:scatterChart>
      <c:valAx>
        <c:axId val="160543104"/>
        <c:scaling>
          <c:logBase val="10"/>
          <c:orientation val="minMax"/>
        </c:scaling>
        <c:axPos val="b"/>
        <c:numFmt formatCode="0.00" sourceLinked="1"/>
        <c:tickLblPos val="nextTo"/>
        <c:crossAx val="160544640"/>
        <c:crosses val="autoZero"/>
        <c:crossBetween val="midCat"/>
      </c:valAx>
      <c:valAx>
        <c:axId val="160544640"/>
        <c:scaling>
          <c:orientation val="minMax"/>
        </c:scaling>
        <c:axPos val="l"/>
        <c:majorGridlines/>
        <c:numFmt formatCode="0" sourceLinked="0"/>
        <c:tickLblPos val="nextTo"/>
        <c:crossAx val="160543104"/>
        <c:crossesAt val="0.1"/>
        <c:crossBetween val="midCat"/>
      </c:valAx>
    </c:plotArea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13" Type="http://schemas.openxmlformats.org/officeDocument/2006/relationships/chart" Target="../charts/chart33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32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1.xml"/><Relationship Id="rId3" Type="http://schemas.openxmlformats.org/officeDocument/2006/relationships/chart" Target="../charts/chart36.xml"/><Relationship Id="rId7" Type="http://schemas.openxmlformats.org/officeDocument/2006/relationships/chart" Target="../charts/chart40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6" Type="http://schemas.openxmlformats.org/officeDocument/2006/relationships/chart" Target="../charts/chart39.xml"/><Relationship Id="rId11" Type="http://schemas.openxmlformats.org/officeDocument/2006/relationships/chart" Target="../charts/chart44.xml"/><Relationship Id="rId5" Type="http://schemas.openxmlformats.org/officeDocument/2006/relationships/chart" Target="../charts/chart38.xml"/><Relationship Id="rId10" Type="http://schemas.openxmlformats.org/officeDocument/2006/relationships/chart" Target="../charts/chart43.xml"/><Relationship Id="rId4" Type="http://schemas.openxmlformats.org/officeDocument/2006/relationships/chart" Target="../charts/chart37.xml"/><Relationship Id="rId9" Type="http://schemas.openxmlformats.org/officeDocument/2006/relationships/chart" Target="../charts/chart42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7</xdr:col>
      <xdr:colOff>285750</xdr:colOff>
      <xdr:row>32</xdr:row>
      <xdr:rowOff>74083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285750</xdr:colOff>
      <xdr:row>18</xdr:row>
      <xdr:rowOff>0</xdr:rowOff>
    </xdr:from>
    <xdr:to>
      <xdr:col>14</xdr:col>
      <xdr:colOff>419100</xdr:colOff>
      <xdr:row>32</xdr:row>
      <xdr:rowOff>74083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32</xdr:row>
      <xdr:rowOff>76200</xdr:rowOff>
    </xdr:from>
    <xdr:to>
      <xdr:col>7</xdr:col>
      <xdr:colOff>285750</xdr:colOff>
      <xdr:row>46</xdr:row>
      <xdr:rowOff>150283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285750</xdr:colOff>
      <xdr:row>32</xdr:row>
      <xdr:rowOff>76200</xdr:rowOff>
    </xdr:from>
    <xdr:to>
      <xdr:col>14</xdr:col>
      <xdr:colOff>419100</xdr:colOff>
      <xdr:row>46</xdr:row>
      <xdr:rowOff>150283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46</xdr:row>
      <xdr:rowOff>152400</xdr:rowOff>
    </xdr:from>
    <xdr:to>
      <xdr:col>7</xdr:col>
      <xdr:colOff>285750</xdr:colOff>
      <xdr:row>61</xdr:row>
      <xdr:rowOff>35984</xdr:rowOff>
    </xdr:to>
    <xdr:graphicFrame macro="">
      <xdr:nvGraphicFramePr>
        <xdr:cNvPr id="36" name="Chart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285750</xdr:colOff>
      <xdr:row>46</xdr:row>
      <xdr:rowOff>152400</xdr:rowOff>
    </xdr:from>
    <xdr:to>
      <xdr:col>14</xdr:col>
      <xdr:colOff>419100</xdr:colOff>
      <xdr:row>61</xdr:row>
      <xdr:rowOff>35984</xdr:rowOff>
    </xdr:to>
    <xdr:graphicFrame macro="">
      <xdr:nvGraphicFramePr>
        <xdr:cNvPr id="37" name="Chart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296330</xdr:colOff>
      <xdr:row>62</xdr:row>
      <xdr:rowOff>2</xdr:rowOff>
    </xdr:from>
    <xdr:to>
      <xdr:col>14</xdr:col>
      <xdr:colOff>429680</xdr:colOff>
      <xdr:row>76</xdr:row>
      <xdr:rowOff>74085</xdr:rowOff>
    </xdr:to>
    <xdr:graphicFrame macro="">
      <xdr:nvGraphicFramePr>
        <xdr:cNvPr id="38" name="Chart 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62</xdr:row>
      <xdr:rowOff>0</xdr:rowOff>
    </xdr:from>
    <xdr:to>
      <xdr:col>7</xdr:col>
      <xdr:colOff>285750</xdr:colOff>
      <xdr:row>76</xdr:row>
      <xdr:rowOff>74083</xdr:rowOff>
    </xdr:to>
    <xdr:graphicFrame macro="">
      <xdr:nvGraphicFramePr>
        <xdr:cNvPr id="39" name="Chart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284689</xdr:colOff>
      <xdr:row>76</xdr:row>
      <xdr:rowOff>76201</xdr:rowOff>
    </xdr:from>
    <xdr:to>
      <xdr:col>14</xdr:col>
      <xdr:colOff>418039</xdr:colOff>
      <xdr:row>90</xdr:row>
      <xdr:rowOff>150284</xdr:rowOff>
    </xdr:to>
    <xdr:graphicFrame macro="">
      <xdr:nvGraphicFramePr>
        <xdr:cNvPr id="40" name="Chart 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76</xdr:row>
      <xdr:rowOff>76200</xdr:rowOff>
    </xdr:from>
    <xdr:to>
      <xdr:col>7</xdr:col>
      <xdr:colOff>285750</xdr:colOff>
      <xdr:row>90</xdr:row>
      <xdr:rowOff>150283</xdr:rowOff>
    </xdr:to>
    <xdr:graphicFrame macro="">
      <xdr:nvGraphicFramePr>
        <xdr:cNvPr id="41" name="Chart 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0.16667</cdr:x>
      <cdr:y>0.18533</cdr:y>
    </cdr:from>
    <cdr:to>
      <cdr:x>0.4213</cdr:x>
      <cdr:y>0.28726</cdr:y>
    </cdr:to>
    <cdr:sp macro="" textlink="range0!$H$96">
      <cdr:nvSpPr>
        <cdr:cNvPr id="2" name="TextBox 1"/>
        <cdr:cNvSpPr txBox="1"/>
      </cdr:nvSpPr>
      <cdr:spPr>
        <a:xfrm xmlns:a="http://schemas.openxmlformats.org/drawingml/2006/main">
          <a:off x="762000" y="508000"/>
          <a:ext cx="1164167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269C9D3E-5508-466C-981B-C8CF6DF861C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Range= 330 Lux</a:t>
          </a:fld>
          <a:endParaRPr lang="en-US" sz="1100"/>
        </a:p>
      </cdr:txBody>
    </cdr:sp>
  </cdr:relSizeAnchor>
  <cdr:relSizeAnchor xmlns:cdr="http://schemas.openxmlformats.org/drawingml/2006/chartDrawing">
    <cdr:from>
      <cdr:x>0.16667</cdr:x>
      <cdr:y>0.26255</cdr:y>
    </cdr:from>
    <cdr:to>
      <cdr:x>0.4213</cdr:x>
      <cdr:y>0.36448</cdr:y>
    </cdr:to>
    <cdr:sp macro="" textlink="range0!$H$97">
      <cdr:nvSpPr>
        <cdr:cNvPr id="3" name="TextBox 1"/>
        <cdr:cNvSpPr txBox="1"/>
      </cdr:nvSpPr>
      <cdr:spPr>
        <a:xfrm xmlns:a="http://schemas.openxmlformats.org/drawingml/2006/main">
          <a:off x="762000" y="719667"/>
          <a:ext cx="1164167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E5AA699D-A580-4C81-A6CF-FE1F18D6984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Nominal CCT=3950</a:t>
          </a:fld>
          <a:endParaRPr lang="en-US" sz="1100"/>
        </a:p>
      </cdr:txBody>
    </cdr:sp>
  </cdr:relSizeAnchor>
  <cdr:relSizeAnchor xmlns:cdr="http://schemas.openxmlformats.org/drawingml/2006/chartDrawing">
    <cdr:from>
      <cdr:x>0.46065</cdr:x>
      <cdr:y>0.56757</cdr:y>
    </cdr:from>
    <cdr:to>
      <cdr:x>0.82176</cdr:x>
      <cdr:y>0.73745</cdr:y>
    </cdr:to>
    <cdr:sp macro="" textlink="range0!$E$130">
      <cdr:nvSpPr>
        <cdr:cNvPr id="4" name="TextBox 3"/>
        <cdr:cNvSpPr txBox="1"/>
      </cdr:nvSpPr>
      <cdr:spPr>
        <a:xfrm xmlns:a="http://schemas.openxmlformats.org/drawingml/2006/main">
          <a:off x="2106083" y="1555749"/>
          <a:ext cx="1651000" cy="465667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square" rtlCol="0">
          <a:noAutofit/>
        </a:bodyPr>
        <a:lstStyle xmlns:a="http://schemas.openxmlformats.org/drawingml/2006/main"/>
        <a:p xmlns:a="http://schemas.openxmlformats.org/drawingml/2006/main">
          <a:fld id="{EFE2D4D6-4A3A-4D63-A054-04BE8B055B8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29121: Nominal Gain Error= +/--20.3%</a:t>
          </a:fld>
          <a:endParaRPr lang="en-US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0.16667</cdr:x>
      <cdr:y>0.18533</cdr:y>
    </cdr:from>
    <cdr:to>
      <cdr:x>0.4213</cdr:x>
      <cdr:y>0.28726</cdr:y>
    </cdr:to>
    <cdr:sp macro="" textlink="range1!$H$96">
      <cdr:nvSpPr>
        <cdr:cNvPr id="2" name="TextBox 1"/>
        <cdr:cNvSpPr txBox="1"/>
      </cdr:nvSpPr>
      <cdr:spPr>
        <a:xfrm xmlns:a="http://schemas.openxmlformats.org/drawingml/2006/main">
          <a:off x="762000" y="508000"/>
          <a:ext cx="1164167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269C9D3E-5508-466C-981B-C8CF6DF861C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Range= 4000 Lux</a:t>
          </a:fld>
          <a:endParaRPr lang="en-US" sz="1100"/>
        </a:p>
      </cdr:txBody>
    </cdr:sp>
  </cdr:relSizeAnchor>
  <cdr:relSizeAnchor xmlns:cdr="http://schemas.openxmlformats.org/drawingml/2006/chartDrawing">
    <cdr:from>
      <cdr:x>0.16667</cdr:x>
      <cdr:y>0.26255</cdr:y>
    </cdr:from>
    <cdr:to>
      <cdr:x>0.4213</cdr:x>
      <cdr:y>0.36448</cdr:y>
    </cdr:to>
    <cdr:sp macro="" textlink="range1!$H$97">
      <cdr:nvSpPr>
        <cdr:cNvPr id="3" name="TextBox 1"/>
        <cdr:cNvSpPr txBox="1"/>
      </cdr:nvSpPr>
      <cdr:spPr>
        <a:xfrm xmlns:a="http://schemas.openxmlformats.org/drawingml/2006/main">
          <a:off x="762000" y="719667"/>
          <a:ext cx="1164167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E5AA699D-A580-4C81-A6CF-FE1F18D6984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Nominal CCT=3950</a:t>
          </a:fld>
          <a:endParaRPr lang="en-US" sz="1100"/>
        </a:p>
      </cdr:txBody>
    </cdr:sp>
  </cdr:relSizeAnchor>
  <cdr:relSizeAnchor xmlns:cdr="http://schemas.openxmlformats.org/drawingml/2006/chartDrawing">
    <cdr:from>
      <cdr:x>0.5162</cdr:x>
      <cdr:y>0.56602</cdr:y>
    </cdr:from>
    <cdr:to>
      <cdr:x>0.79167</cdr:x>
      <cdr:y>0.72973</cdr:y>
    </cdr:to>
    <cdr:sp macro="" textlink="range1!$E$130">
      <cdr:nvSpPr>
        <cdr:cNvPr id="4" name="TextBox 3"/>
        <cdr:cNvSpPr txBox="1"/>
      </cdr:nvSpPr>
      <cdr:spPr>
        <a:xfrm xmlns:a="http://schemas.openxmlformats.org/drawingml/2006/main">
          <a:off x="2360083" y="1551517"/>
          <a:ext cx="1259417" cy="448733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square" rtlCol="0">
          <a:noAutofit/>
        </a:bodyPr>
        <a:lstStyle xmlns:a="http://schemas.openxmlformats.org/drawingml/2006/main"/>
        <a:p xmlns:a="http://schemas.openxmlformats.org/drawingml/2006/main">
          <a:fld id="{EFE2D4D6-4A3A-4D63-A054-04BE8B055B8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29121: Nominal Gain Error= +/-0%</a:t>
          </a:fld>
          <a:endParaRPr lang="en-US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0.12731</cdr:x>
      <cdr:y>0.23784</cdr:y>
    </cdr:from>
    <cdr:to>
      <cdr:x>0.40046</cdr:x>
      <cdr:y>0.33977</cdr:y>
    </cdr:to>
    <cdr:sp macro="" textlink="range0!$H$97">
      <cdr:nvSpPr>
        <cdr:cNvPr id="2" name="TextBox 1"/>
        <cdr:cNvSpPr txBox="1"/>
      </cdr:nvSpPr>
      <cdr:spPr>
        <a:xfrm xmlns:a="http://schemas.openxmlformats.org/drawingml/2006/main">
          <a:off x="582084" y="651934"/>
          <a:ext cx="1248833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6223BD30-0BEE-42CD-82D7-AA44EC786CE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Nominal CCT=3950</a:t>
          </a:fld>
          <a:endParaRPr lang="en-US" sz="1100"/>
        </a:p>
      </cdr:txBody>
    </cdr:sp>
  </cdr:relSizeAnchor>
  <cdr:relSizeAnchor xmlns:cdr="http://schemas.openxmlformats.org/drawingml/2006/chartDrawing">
    <cdr:from>
      <cdr:x>0.12963</cdr:x>
      <cdr:y>0.1583</cdr:y>
    </cdr:from>
    <cdr:to>
      <cdr:x>0.38194</cdr:x>
      <cdr:y>0.26023</cdr:y>
    </cdr:to>
    <cdr:sp macro="" textlink="range0!$H$96">
      <cdr:nvSpPr>
        <cdr:cNvPr id="3" name="TextBox 1"/>
        <cdr:cNvSpPr txBox="1"/>
      </cdr:nvSpPr>
      <cdr:spPr>
        <a:xfrm xmlns:a="http://schemas.openxmlformats.org/drawingml/2006/main">
          <a:off x="592668" y="433917"/>
          <a:ext cx="1153584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66AB95E9-C21C-42BA-97AD-6CB6498E937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Range= 330 Lux</a:t>
          </a:fld>
          <a:endParaRPr lang="en-US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0.12731</cdr:x>
      <cdr:y>0.23784</cdr:y>
    </cdr:from>
    <cdr:to>
      <cdr:x>0.40046</cdr:x>
      <cdr:y>0.33977</cdr:y>
    </cdr:to>
    <cdr:sp macro="" textlink="range1!$H$97">
      <cdr:nvSpPr>
        <cdr:cNvPr id="2" name="TextBox 1"/>
        <cdr:cNvSpPr txBox="1"/>
      </cdr:nvSpPr>
      <cdr:spPr>
        <a:xfrm xmlns:a="http://schemas.openxmlformats.org/drawingml/2006/main">
          <a:off x="582084" y="651934"/>
          <a:ext cx="1248833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6223BD30-0BEE-42CD-82D7-AA44EC786CE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Nominal CCT=3950</a:t>
          </a:fld>
          <a:endParaRPr lang="en-US" sz="1100"/>
        </a:p>
      </cdr:txBody>
    </cdr:sp>
  </cdr:relSizeAnchor>
  <cdr:relSizeAnchor xmlns:cdr="http://schemas.openxmlformats.org/drawingml/2006/chartDrawing">
    <cdr:from>
      <cdr:x>0.12963</cdr:x>
      <cdr:y>0.1583</cdr:y>
    </cdr:from>
    <cdr:to>
      <cdr:x>0.38194</cdr:x>
      <cdr:y>0.26023</cdr:y>
    </cdr:to>
    <cdr:sp macro="" textlink="range1!$H$96">
      <cdr:nvSpPr>
        <cdr:cNvPr id="3" name="TextBox 1"/>
        <cdr:cNvSpPr txBox="1"/>
      </cdr:nvSpPr>
      <cdr:spPr>
        <a:xfrm xmlns:a="http://schemas.openxmlformats.org/drawingml/2006/main">
          <a:off x="592668" y="433917"/>
          <a:ext cx="1153584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66AB95E9-C21C-42BA-97AD-6CB6498E937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Range= 4000 Lux</a:t>
          </a:fld>
          <a:endParaRPr lang="en-US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0.66204</cdr:x>
      <cdr:y>0.2278</cdr:y>
    </cdr:from>
    <cdr:to>
      <cdr:x>0.93519</cdr:x>
      <cdr:y>0.32973</cdr:y>
    </cdr:to>
    <cdr:sp macro="" textlink="range0!$H$97">
      <cdr:nvSpPr>
        <cdr:cNvPr id="2" name="TextBox 1"/>
        <cdr:cNvSpPr txBox="1"/>
      </cdr:nvSpPr>
      <cdr:spPr>
        <a:xfrm xmlns:a="http://schemas.openxmlformats.org/drawingml/2006/main">
          <a:off x="3026833" y="624417"/>
          <a:ext cx="1248833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43077AC3-5710-48AB-9D45-4F49FDDB760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Nominal CCT=3950</a:t>
          </a:fld>
          <a:endParaRPr lang="en-US" sz="1100"/>
        </a:p>
      </cdr:txBody>
    </cdr:sp>
  </cdr:relSizeAnchor>
  <cdr:relSizeAnchor xmlns:cdr="http://schemas.openxmlformats.org/drawingml/2006/chartDrawing">
    <cdr:from>
      <cdr:x>0.66204</cdr:x>
      <cdr:y>0.13668</cdr:y>
    </cdr:from>
    <cdr:to>
      <cdr:x>0.97222</cdr:x>
      <cdr:y>0.23861</cdr:y>
    </cdr:to>
    <cdr:sp macro="" textlink="range0!$H$96">
      <cdr:nvSpPr>
        <cdr:cNvPr id="3" name="TextBox 1"/>
        <cdr:cNvSpPr txBox="1"/>
      </cdr:nvSpPr>
      <cdr:spPr>
        <a:xfrm xmlns:a="http://schemas.openxmlformats.org/drawingml/2006/main">
          <a:off x="3026833" y="374649"/>
          <a:ext cx="1418167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35345256-7B17-434B-BD2F-6BA4A0BCBA9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Range= 330 Lux</a:t>
          </a:fld>
          <a:endParaRPr lang="en-US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0.66204</cdr:x>
      <cdr:y>0.2278</cdr:y>
    </cdr:from>
    <cdr:to>
      <cdr:x>0.93519</cdr:x>
      <cdr:y>0.32973</cdr:y>
    </cdr:to>
    <cdr:sp macro="" textlink="range1!$H$97">
      <cdr:nvSpPr>
        <cdr:cNvPr id="2" name="TextBox 1"/>
        <cdr:cNvSpPr txBox="1"/>
      </cdr:nvSpPr>
      <cdr:spPr>
        <a:xfrm xmlns:a="http://schemas.openxmlformats.org/drawingml/2006/main">
          <a:off x="3026833" y="624417"/>
          <a:ext cx="1248833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43077AC3-5710-48AB-9D45-4F49FDDB760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Nominal CCT=3950</a:t>
          </a:fld>
          <a:endParaRPr lang="en-US" sz="1100"/>
        </a:p>
      </cdr:txBody>
    </cdr:sp>
  </cdr:relSizeAnchor>
  <cdr:relSizeAnchor xmlns:cdr="http://schemas.openxmlformats.org/drawingml/2006/chartDrawing">
    <cdr:from>
      <cdr:x>0.66204</cdr:x>
      <cdr:y>0.13668</cdr:y>
    </cdr:from>
    <cdr:to>
      <cdr:x>0.97222</cdr:x>
      <cdr:y>0.23861</cdr:y>
    </cdr:to>
    <cdr:sp macro="" textlink="range1!$H$96">
      <cdr:nvSpPr>
        <cdr:cNvPr id="3" name="TextBox 1"/>
        <cdr:cNvSpPr txBox="1"/>
      </cdr:nvSpPr>
      <cdr:spPr>
        <a:xfrm xmlns:a="http://schemas.openxmlformats.org/drawingml/2006/main">
          <a:off x="3026833" y="374649"/>
          <a:ext cx="1418167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35345256-7B17-434B-BD2F-6BA4A0BCBA9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Range= 4000 Lux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0.15972</cdr:x>
      <cdr:y>0.1583</cdr:y>
    </cdr:from>
    <cdr:to>
      <cdr:x>0.94444</cdr:x>
      <cdr:y>0.78764</cdr:y>
    </cdr:to>
    <cdr:sp macro="" textlink="">
      <cdr:nvSpPr>
        <cdr:cNvPr id="3" name="Straight Connector 2"/>
        <cdr:cNvSpPr/>
      </cdr:nvSpPr>
      <cdr:spPr>
        <a:xfrm xmlns:a="http://schemas.openxmlformats.org/drawingml/2006/main" flipV="1">
          <a:off x="730249" y="433915"/>
          <a:ext cx="3587753" cy="1725084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0.56713</cdr:x>
      <cdr:y>0.56911</cdr:y>
    </cdr:from>
    <cdr:to>
      <cdr:x>0.87731</cdr:x>
      <cdr:y>0.67104</cdr:y>
    </cdr:to>
    <cdr:sp macro="" textlink="range0!$H$96">
      <cdr:nvSpPr>
        <cdr:cNvPr id="9" name="TextBox 1"/>
        <cdr:cNvSpPr txBox="1"/>
      </cdr:nvSpPr>
      <cdr:spPr>
        <a:xfrm xmlns:a="http://schemas.openxmlformats.org/drawingml/2006/main">
          <a:off x="2592916" y="1559981"/>
          <a:ext cx="1418167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4E3F4E87-A880-4EE3-9639-04627CE425A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Range= 330 Lux</a:t>
          </a:fld>
          <a:endParaRPr lang="en-US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0.67593</cdr:x>
      <cdr:y>0.06023</cdr:y>
    </cdr:from>
    <cdr:to>
      <cdr:x>0.94907</cdr:x>
      <cdr:y>0.16216</cdr:y>
    </cdr:to>
    <cdr:sp macro="" textlink="range0!$H$97">
      <cdr:nvSpPr>
        <cdr:cNvPr id="2" name="TextBox 1"/>
        <cdr:cNvSpPr txBox="1"/>
      </cdr:nvSpPr>
      <cdr:spPr>
        <a:xfrm xmlns:a="http://schemas.openxmlformats.org/drawingml/2006/main">
          <a:off x="3090334" y="165101"/>
          <a:ext cx="1248833" cy="27939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3CD23A14-E1AF-466D-A807-5EE013B965B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Nominal CCT=3950</a:t>
          </a:fld>
          <a:endParaRPr lang="en-US" sz="1100"/>
        </a:p>
      </cdr:txBody>
    </cdr:sp>
  </cdr:relSizeAnchor>
  <cdr:relSizeAnchor xmlns:cdr="http://schemas.openxmlformats.org/drawingml/2006/chartDrawing">
    <cdr:from>
      <cdr:x>0.67593</cdr:x>
      <cdr:y>0.13513</cdr:y>
    </cdr:from>
    <cdr:to>
      <cdr:x>0.98611</cdr:x>
      <cdr:y>0.23706</cdr:y>
    </cdr:to>
    <cdr:sp macro="" textlink="range0!$L$97">
      <cdr:nvSpPr>
        <cdr:cNvPr id="3" name="TextBox 1"/>
        <cdr:cNvSpPr txBox="1"/>
      </cdr:nvSpPr>
      <cdr:spPr>
        <a:xfrm xmlns:a="http://schemas.openxmlformats.org/drawingml/2006/main">
          <a:off x="3090334" y="370415"/>
          <a:ext cx="1418167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F4B43C28-ACFA-4CD7-8DAD-BE738ED3F98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#VALUE!</a:t>
          </a:fld>
          <a:endParaRPr lang="en-US" sz="1100"/>
        </a:p>
      </cdr:txBody>
    </cdr:sp>
  </cdr:relSizeAnchor>
  <cdr:relSizeAnchor xmlns:cdr="http://schemas.openxmlformats.org/drawingml/2006/chartDrawing">
    <cdr:from>
      <cdr:x>0.67593</cdr:x>
      <cdr:y>0.21622</cdr:y>
    </cdr:from>
    <cdr:to>
      <cdr:x>0.98611</cdr:x>
      <cdr:y>0.31815</cdr:y>
    </cdr:to>
    <cdr:sp macro="" textlink="range0!$H$96">
      <cdr:nvSpPr>
        <cdr:cNvPr id="4" name="TextBox 1"/>
        <cdr:cNvSpPr txBox="1"/>
      </cdr:nvSpPr>
      <cdr:spPr>
        <a:xfrm xmlns:a="http://schemas.openxmlformats.org/drawingml/2006/main">
          <a:off x="3090334" y="592666"/>
          <a:ext cx="1418167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A6DC1409-2827-4320-98F3-8DF502E80BD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Range= 330 Lux</a:t>
          </a:fld>
          <a:endParaRPr lang="en-US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0.15972</cdr:x>
      <cdr:y>0.1583</cdr:y>
    </cdr:from>
    <cdr:to>
      <cdr:x>0.94444</cdr:x>
      <cdr:y>0.78764</cdr:y>
    </cdr:to>
    <cdr:sp macro="" textlink="">
      <cdr:nvSpPr>
        <cdr:cNvPr id="3" name="Straight Connector 2"/>
        <cdr:cNvSpPr/>
      </cdr:nvSpPr>
      <cdr:spPr>
        <a:xfrm xmlns:a="http://schemas.openxmlformats.org/drawingml/2006/main" flipV="1">
          <a:off x="730249" y="433915"/>
          <a:ext cx="3587753" cy="1725084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0.56713</cdr:x>
      <cdr:y>0.56911</cdr:y>
    </cdr:from>
    <cdr:to>
      <cdr:x>0.87731</cdr:x>
      <cdr:y>0.67104</cdr:y>
    </cdr:to>
    <cdr:sp macro="" textlink="">
      <cdr:nvSpPr>
        <cdr:cNvPr id="9" name="TextBox 1"/>
        <cdr:cNvSpPr txBox="1"/>
      </cdr:nvSpPr>
      <cdr:spPr>
        <a:xfrm xmlns:a="http://schemas.openxmlformats.org/drawingml/2006/main">
          <a:off x="2592916" y="1559981"/>
          <a:ext cx="1418167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A6DC1409-2827-4320-98F3-8DF502E80BD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Range= 8000 Lux</a:t>
          </a:fld>
          <a:endParaRPr lang="en-US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0.67593</cdr:x>
      <cdr:y>0.06023</cdr:y>
    </cdr:from>
    <cdr:to>
      <cdr:x>0.94907</cdr:x>
      <cdr:y>0.16216</cdr:y>
    </cdr:to>
    <cdr:sp macro="" textlink="range1!$H$97">
      <cdr:nvSpPr>
        <cdr:cNvPr id="2" name="TextBox 1"/>
        <cdr:cNvSpPr txBox="1"/>
      </cdr:nvSpPr>
      <cdr:spPr>
        <a:xfrm xmlns:a="http://schemas.openxmlformats.org/drawingml/2006/main">
          <a:off x="3090334" y="165101"/>
          <a:ext cx="1248833" cy="27939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3CD23A14-E1AF-466D-A807-5EE013B965B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Nominal CCT=3950</a:t>
          </a:fld>
          <a:endParaRPr lang="en-US" sz="1100"/>
        </a:p>
      </cdr:txBody>
    </cdr:sp>
  </cdr:relSizeAnchor>
  <cdr:relSizeAnchor xmlns:cdr="http://schemas.openxmlformats.org/drawingml/2006/chartDrawing">
    <cdr:from>
      <cdr:x>0.67593</cdr:x>
      <cdr:y>0.13513</cdr:y>
    </cdr:from>
    <cdr:to>
      <cdr:x>0.98611</cdr:x>
      <cdr:y>0.23706</cdr:y>
    </cdr:to>
    <cdr:sp macro="" textlink="range1!$L$97">
      <cdr:nvSpPr>
        <cdr:cNvPr id="3" name="TextBox 1"/>
        <cdr:cNvSpPr txBox="1"/>
      </cdr:nvSpPr>
      <cdr:spPr>
        <a:xfrm xmlns:a="http://schemas.openxmlformats.org/drawingml/2006/main">
          <a:off x="3090334" y="370415"/>
          <a:ext cx="1418167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F4B43C28-ACFA-4CD7-8DAD-BE738ED3F98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#VALUE!</a:t>
          </a:fld>
          <a:endParaRPr lang="en-US" sz="1100"/>
        </a:p>
      </cdr:txBody>
    </cdr:sp>
  </cdr:relSizeAnchor>
  <cdr:relSizeAnchor xmlns:cdr="http://schemas.openxmlformats.org/drawingml/2006/chartDrawing">
    <cdr:from>
      <cdr:x>0.67593</cdr:x>
      <cdr:y>0.21622</cdr:y>
    </cdr:from>
    <cdr:to>
      <cdr:x>0.98611</cdr:x>
      <cdr:y>0.31815</cdr:y>
    </cdr:to>
    <cdr:sp macro="" textlink="range1!$H$96">
      <cdr:nvSpPr>
        <cdr:cNvPr id="4" name="TextBox 1"/>
        <cdr:cNvSpPr txBox="1"/>
      </cdr:nvSpPr>
      <cdr:spPr>
        <a:xfrm xmlns:a="http://schemas.openxmlformats.org/drawingml/2006/main">
          <a:off x="3090334" y="592666"/>
          <a:ext cx="1418167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A6DC1409-2827-4320-98F3-8DF502E80BD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Range= 4000 Lux</a:t>
          </a:fld>
          <a:endParaRPr lang="en-US" sz="11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10584</xdr:colOff>
      <xdr:row>134</xdr:row>
      <xdr:rowOff>0</xdr:rowOff>
    </xdr:from>
    <xdr:to>
      <xdr:col>11</xdr:col>
      <xdr:colOff>10584</xdr:colOff>
      <xdr:row>148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497416</xdr:colOff>
      <xdr:row>170</xdr:row>
      <xdr:rowOff>0</xdr:rowOff>
    </xdr:from>
    <xdr:to>
      <xdr:col>20</xdr:col>
      <xdr:colOff>52916</xdr:colOff>
      <xdr:row>184</xdr:row>
      <xdr:rowOff>74084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497414</xdr:colOff>
      <xdr:row>105</xdr:row>
      <xdr:rowOff>1</xdr:rowOff>
    </xdr:from>
    <xdr:to>
      <xdr:col>20</xdr:col>
      <xdr:colOff>52914</xdr:colOff>
      <xdr:row>119</xdr:row>
      <xdr:rowOff>74084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529167</xdr:colOff>
      <xdr:row>104</xdr:row>
      <xdr:rowOff>190499</xdr:rowOff>
    </xdr:from>
    <xdr:to>
      <xdr:col>10</xdr:col>
      <xdr:colOff>486834</xdr:colOff>
      <xdr:row>119</xdr:row>
      <xdr:rowOff>74082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518582</xdr:colOff>
      <xdr:row>193</xdr:row>
      <xdr:rowOff>179918</xdr:rowOff>
    </xdr:from>
    <xdr:to>
      <xdr:col>10</xdr:col>
      <xdr:colOff>476249</xdr:colOff>
      <xdr:row>208</xdr:row>
      <xdr:rowOff>63501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0.16667</cdr:x>
      <cdr:y>0.18533</cdr:y>
    </cdr:from>
    <cdr:to>
      <cdr:x>0.4213</cdr:x>
      <cdr:y>0.28726</cdr:y>
    </cdr:to>
    <cdr:sp macro="" textlink="range0!$H$96">
      <cdr:nvSpPr>
        <cdr:cNvPr id="2" name="TextBox 1"/>
        <cdr:cNvSpPr txBox="1"/>
      </cdr:nvSpPr>
      <cdr:spPr>
        <a:xfrm xmlns:a="http://schemas.openxmlformats.org/drawingml/2006/main">
          <a:off x="762000" y="508000"/>
          <a:ext cx="1164167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269C9D3E-5508-466C-981B-C8CF6DF861C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Range= 330 Lux</a:t>
          </a:fld>
          <a:endParaRPr lang="en-US" sz="1100"/>
        </a:p>
      </cdr:txBody>
    </cdr:sp>
  </cdr:relSizeAnchor>
  <cdr:relSizeAnchor xmlns:cdr="http://schemas.openxmlformats.org/drawingml/2006/chartDrawing">
    <cdr:from>
      <cdr:x>0.16667</cdr:x>
      <cdr:y>0.26255</cdr:y>
    </cdr:from>
    <cdr:to>
      <cdr:x>0.4213</cdr:x>
      <cdr:y>0.36448</cdr:y>
    </cdr:to>
    <cdr:sp macro="" textlink="range0!$H$97">
      <cdr:nvSpPr>
        <cdr:cNvPr id="3" name="TextBox 1"/>
        <cdr:cNvSpPr txBox="1"/>
      </cdr:nvSpPr>
      <cdr:spPr>
        <a:xfrm xmlns:a="http://schemas.openxmlformats.org/drawingml/2006/main">
          <a:off x="762000" y="719667"/>
          <a:ext cx="1164167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E5AA699D-A580-4C81-A6CF-FE1F18D6984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Nominal CCT=3950</a:t>
          </a:fld>
          <a:endParaRPr lang="en-US" sz="1100"/>
        </a:p>
      </cdr:txBody>
    </cdr:sp>
  </cdr:relSizeAnchor>
  <cdr:relSizeAnchor xmlns:cdr="http://schemas.openxmlformats.org/drawingml/2006/chartDrawing">
    <cdr:from>
      <cdr:x>0.46065</cdr:x>
      <cdr:y>0.56757</cdr:y>
    </cdr:from>
    <cdr:to>
      <cdr:x>0.82176</cdr:x>
      <cdr:y>0.73745</cdr:y>
    </cdr:to>
    <cdr:sp macro="" textlink="range0!$E$130">
      <cdr:nvSpPr>
        <cdr:cNvPr id="4" name="TextBox 3"/>
        <cdr:cNvSpPr txBox="1"/>
      </cdr:nvSpPr>
      <cdr:spPr>
        <a:xfrm xmlns:a="http://schemas.openxmlformats.org/drawingml/2006/main">
          <a:off x="2106083" y="1555749"/>
          <a:ext cx="1651000" cy="465667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square" rtlCol="0">
          <a:noAutofit/>
        </a:bodyPr>
        <a:lstStyle xmlns:a="http://schemas.openxmlformats.org/drawingml/2006/main"/>
        <a:p xmlns:a="http://schemas.openxmlformats.org/drawingml/2006/main">
          <a:fld id="{EFE2D4D6-4A3A-4D63-A054-04BE8B055B8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29121: Nominal Gain Error= +/--20.3%</a:t>
          </a:fld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0.66204</cdr:x>
      <cdr:y>0.2278</cdr:y>
    </cdr:from>
    <cdr:to>
      <cdr:x>0.93519</cdr:x>
      <cdr:y>0.32973</cdr:y>
    </cdr:to>
    <cdr:sp macro="" textlink="range0!$H$97">
      <cdr:nvSpPr>
        <cdr:cNvPr id="2" name="TextBox 1"/>
        <cdr:cNvSpPr txBox="1"/>
      </cdr:nvSpPr>
      <cdr:spPr>
        <a:xfrm xmlns:a="http://schemas.openxmlformats.org/drawingml/2006/main">
          <a:off x="3026833" y="624417"/>
          <a:ext cx="1248833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43077AC3-5710-48AB-9D45-4F49FDDB760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Nominal CCT=3950</a:t>
          </a:fld>
          <a:endParaRPr lang="en-US" sz="1100"/>
        </a:p>
      </cdr:txBody>
    </cdr:sp>
  </cdr:relSizeAnchor>
  <cdr:relSizeAnchor xmlns:cdr="http://schemas.openxmlformats.org/drawingml/2006/chartDrawing">
    <cdr:from>
      <cdr:x>0.66204</cdr:x>
      <cdr:y>0.13668</cdr:y>
    </cdr:from>
    <cdr:to>
      <cdr:x>0.97222</cdr:x>
      <cdr:y>0.23861</cdr:y>
    </cdr:to>
    <cdr:sp macro="" textlink="range0!$H$96">
      <cdr:nvSpPr>
        <cdr:cNvPr id="3" name="TextBox 1"/>
        <cdr:cNvSpPr txBox="1"/>
      </cdr:nvSpPr>
      <cdr:spPr>
        <a:xfrm xmlns:a="http://schemas.openxmlformats.org/drawingml/2006/main">
          <a:off x="3026833" y="374649"/>
          <a:ext cx="1418167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35345256-7B17-434B-BD2F-6BA4A0BCBA9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Range= 330 Lux</a:t>
          </a:fld>
          <a:endParaRPr lang="en-US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0.15972</cdr:x>
      <cdr:y>0.1583</cdr:y>
    </cdr:from>
    <cdr:to>
      <cdr:x>0.94444</cdr:x>
      <cdr:y>0.78764</cdr:y>
    </cdr:to>
    <cdr:sp macro="" textlink="">
      <cdr:nvSpPr>
        <cdr:cNvPr id="3" name="Straight Connector 2"/>
        <cdr:cNvSpPr/>
      </cdr:nvSpPr>
      <cdr:spPr>
        <a:xfrm xmlns:a="http://schemas.openxmlformats.org/drawingml/2006/main" flipV="1">
          <a:off x="730249" y="433915"/>
          <a:ext cx="3587753" cy="1725084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0.56713</cdr:x>
      <cdr:y>0.56911</cdr:y>
    </cdr:from>
    <cdr:to>
      <cdr:x>0.87731</cdr:x>
      <cdr:y>0.67104</cdr:y>
    </cdr:to>
    <cdr:sp macro="" textlink="range0!$H$96">
      <cdr:nvSpPr>
        <cdr:cNvPr id="9" name="TextBox 1"/>
        <cdr:cNvSpPr txBox="1"/>
      </cdr:nvSpPr>
      <cdr:spPr>
        <a:xfrm xmlns:a="http://schemas.openxmlformats.org/drawingml/2006/main">
          <a:off x="2592916" y="1559981"/>
          <a:ext cx="1418167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4E3F4E87-A880-4EE3-9639-04627CE425A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Range= 330 Lux</a:t>
          </a:fld>
          <a:endParaRPr lang="en-US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0.67593</cdr:x>
      <cdr:y>0.06023</cdr:y>
    </cdr:from>
    <cdr:to>
      <cdr:x>0.94907</cdr:x>
      <cdr:y>0.16216</cdr:y>
    </cdr:to>
    <cdr:sp macro="" textlink="range0!$H$97">
      <cdr:nvSpPr>
        <cdr:cNvPr id="2" name="TextBox 1"/>
        <cdr:cNvSpPr txBox="1"/>
      </cdr:nvSpPr>
      <cdr:spPr>
        <a:xfrm xmlns:a="http://schemas.openxmlformats.org/drawingml/2006/main">
          <a:off x="3090334" y="165101"/>
          <a:ext cx="1248833" cy="27939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3CD23A14-E1AF-466D-A807-5EE013B965B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Nominal CCT=3950</a:t>
          </a:fld>
          <a:endParaRPr lang="en-US" sz="1100"/>
        </a:p>
      </cdr:txBody>
    </cdr:sp>
  </cdr:relSizeAnchor>
  <cdr:relSizeAnchor xmlns:cdr="http://schemas.openxmlformats.org/drawingml/2006/chartDrawing">
    <cdr:from>
      <cdr:x>0.67593</cdr:x>
      <cdr:y>0.13513</cdr:y>
    </cdr:from>
    <cdr:to>
      <cdr:x>0.98611</cdr:x>
      <cdr:y>0.23706</cdr:y>
    </cdr:to>
    <cdr:sp macro="" textlink="range0!$L$97">
      <cdr:nvSpPr>
        <cdr:cNvPr id="3" name="TextBox 1"/>
        <cdr:cNvSpPr txBox="1"/>
      </cdr:nvSpPr>
      <cdr:spPr>
        <a:xfrm xmlns:a="http://schemas.openxmlformats.org/drawingml/2006/main">
          <a:off x="3090334" y="370415"/>
          <a:ext cx="1418167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F4B43C28-ACFA-4CD7-8DAD-BE738ED3F98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#VALUE!</a:t>
          </a:fld>
          <a:endParaRPr lang="en-US" sz="1100"/>
        </a:p>
      </cdr:txBody>
    </cdr:sp>
  </cdr:relSizeAnchor>
  <cdr:relSizeAnchor xmlns:cdr="http://schemas.openxmlformats.org/drawingml/2006/chartDrawing">
    <cdr:from>
      <cdr:x>0.67593</cdr:x>
      <cdr:y>0.21622</cdr:y>
    </cdr:from>
    <cdr:to>
      <cdr:x>0.98611</cdr:x>
      <cdr:y>0.31815</cdr:y>
    </cdr:to>
    <cdr:sp macro="" textlink="range0!$H$96">
      <cdr:nvSpPr>
        <cdr:cNvPr id="4" name="TextBox 1"/>
        <cdr:cNvSpPr txBox="1"/>
      </cdr:nvSpPr>
      <cdr:spPr>
        <a:xfrm xmlns:a="http://schemas.openxmlformats.org/drawingml/2006/main">
          <a:off x="3090334" y="592666"/>
          <a:ext cx="1418167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A6DC1409-2827-4320-98F3-8DF502E80BD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Range= 330 Lux</a:t>
          </a:fld>
          <a:endParaRPr lang="en-US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0.12731</cdr:x>
      <cdr:y>0.23784</cdr:y>
    </cdr:from>
    <cdr:to>
      <cdr:x>0.40046</cdr:x>
      <cdr:y>0.33977</cdr:y>
    </cdr:to>
    <cdr:sp macro="" textlink="range0!$H$97">
      <cdr:nvSpPr>
        <cdr:cNvPr id="2" name="TextBox 1"/>
        <cdr:cNvSpPr txBox="1"/>
      </cdr:nvSpPr>
      <cdr:spPr>
        <a:xfrm xmlns:a="http://schemas.openxmlformats.org/drawingml/2006/main">
          <a:off x="582084" y="651934"/>
          <a:ext cx="1248833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6223BD30-0BEE-42CD-82D7-AA44EC786CE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Nominal CCT=3950</a:t>
          </a:fld>
          <a:endParaRPr lang="en-US" sz="1100"/>
        </a:p>
      </cdr:txBody>
    </cdr:sp>
  </cdr:relSizeAnchor>
  <cdr:relSizeAnchor xmlns:cdr="http://schemas.openxmlformats.org/drawingml/2006/chartDrawing">
    <cdr:from>
      <cdr:x>0.12963</cdr:x>
      <cdr:y>0.1583</cdr:y>
    </cdr:from>
    <cdr:to>
      <cdr:x>0.38194</cdr:x>
      <cdr:y>0.26023</cdr:y>
    </cdr:to>
    <cdr:sp macro="" textlink="range0!$H$96">
      <cdr:nvSpPr>
        <cdr:cNvPr id="3" name="TextBox 1"/>
        <cdr:cNvSpPr txBox="1"/>
      </cdr:nvSpPr>
      <cdr:spPr>
        <a:xfrm xmlns:a="http://schemas.openxmlformats.org/drawingml/2006/main">
          <a:off x="592668" y="433917"/>
          <a:ext cx="1153584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66AB95E9-C21C-42BA-97AD-6CB6498E937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Range= 330 Lux</a:t>
          </a:fld>
          <a:endParaRPr lang="en-US" sz="11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10584</xdr:colOff>
      <xdr:row>134</xdr:row>
      <xdr:rowOff>0</xdr:rowOff>
    </xdr:from>
    <xdr:to>
      <xdr:col>11</xdr:col>
      <xdr:colOff>10584</xdr:colOff>
      <xdr:row>148</xdr:row>
      <xdr:rowOff>74083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550332</xdr:colOff>
      <xdr:row>169</xdr:row>
      <xdr:rowOff>190499</xdr:rowOff>
    </xdr:from>
    <xdr:to>
      <xdr:col>10</xdr:col>
      <xdr:colOff>507999</xdr:colOff>
      <xdr:row>184</xdr:row>
      <xdr:rowOff>74083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497415</xdr:colOff>
      <xdr:row>105</xdr:row>
      <xdr:rowOff>1</xdr:rowOff>
    </xdr:from>
    <xdr:to>
      <xdr:col>20</xdr:col>
      <xdr:colOff>52915</xdr:colOff>
      <xdr:row>119</xdr:row>
      <xdr:rowOff>74084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</xdr:colOff>
      <xdr:row>105</xdr:row>
      <xdr:rowOff>0</xdr:rowOff>
    </xdr:from>
    <xdr:to>
      <xdr:col>11</xdr:col>
      <xdr:colOff>1</xdr:colOff>
      <xdr:row>119</xdr:row>
      <xdr:rowOff>74083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518582</xdr:colOff>
      <xdr:row>193</xdr:row>
      <xdr:rowOff>179918</xdr:rowOff>
    </xdr:from>
    <xdr:to>
      <xdr:col>10</xdr:col>
      <xdr:colOff>476249</xdr:colOff>
      <xdr:row>208</xdr:row>
      <xdr:rowOff>63501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0.16667</cdr:x>
      <cdr:y>0.18533</cdr:y>
    </cdr:from>
    <cdr:to>
      <cdr:x>0.4213</cdr:x>
      <cdr:y>0.28726</cdr:y>
    </cdr:to>
    <cdr:sp macro="" textlink="range1!$H$96">
      <cdr:nvSpPr>
        <cdr:cNvPr id="2" name="TextBox 1"/>
        <cdr:cNvSpPr txBox="1"/>
      </cdr:nvSpPr>
      <cdr:spPr>
        <a:xfrm xmlns:a="http://schemas.openxmlformats.org/drawingml/2006/main">
          <a:off x="762000" y="508000"/>
          <a:ext cx="1164167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269C9D3E-5508-466C-981B-C8CF6DF861C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Range= 4000 Lux</a:t>
          </a:fld>
          <a:endParaRPr lang="en-US" sz="1100"/>
        </a:p>
      </cdr:txBody>
    </cdr:sp>
  </cdr:relSizeAnchor>
  <cdr:relSizeAnchor xmlns:cdr="http://schemas.openxmlformats.org/drawingml/2006/chartDrawing">
    <cdr:from>
      <cdr:x>0.16667</cdr:x>
      <cdr:y>0.26255</cdr:y>
    </cdr:from>
    <cdr:to>
      <cdr:x>0.4213</cdr:x>
      <cdr:y>0.36448</cdr:y>
    </cdr:to>
    <cdr:sp macro="" textlink="range1!$H$97">
      <cdr:nvSpPr>
        <cdr:cNvPr id="3" name="TextBox 1"/>
        <cdr:cNvSpPr txBox="1"/>
      </cdr:nvSpPr>
      <cdr:spPr>
        <a:xfrm xmlns:a="http://schemas.openxmlformats.org/drawingml/2006/main">
          <a:off x="762000" y="719667"/>
          <a:ext cx="1164167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E5AA699D-A580-4C81-A6CF-FE1F18D6984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Nominal CCT=3950</a:t>
          </a:fld>
          <a:endParaRPr lang="en-US" sz="1100"/>
        </a:p>
      </cdr:txBody>
    </cdr:sp>
  </cdr:relSizeAnchor>
  <cdr:relSizeAnchor xmlns:cdr="http://schemas.openxmlformats.org/drawingml/2006/chartDrawing">
    <cdr:from>
      <cdr:x>0.5162</cdr:x>
      <cdr:y>0.56602</cdr:y>
    </cdr:from>
    <cdr:to>
      <cdr:x>0.79167</cdr:x>
      <cdr:y>0.72973</cdr:y>
    </cdr:to>
    <cdr:sp macro="" textlink="range1!$E$130">
      <cdr:nvSpPr>
        <cdr:cNvPr id="4" name="TextBox 3"/>
        <cdr:cNvSpPr txBox="1"/>
      </cdr:nvSpPr>
      <cdr:spPr>
        <a:xfrm xmlns:a="http://schemas.openxmlformats.org/drawingml/2006/main">
          <a:off x="2360083" y="1551517"/>
          <a:ext cx="1259417" cy="448733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square" rtlCol="0">
          <a:noAutofit/>
        </a:bodyPr>
        <a:lstStyle xmlns:a="http://schemas.openxmlformats.org/drawingml/2006/main"/>
        <a:p xmlns:a="http://schemas.openxmlformats.org/drawingml/2006/main">
          <a:fld id="{EFE2D4D6-4A3A-4D63-A054-04BE8B055B8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29121: Nominal Gain Error= +/-0%</a:t>
          </a:fld>
          <a:endParaRPr 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0.66204</cdr:x>
      <cdr:y>0.2278</cdr:y>
    </cdr:from>
    <cdr:to>
      <cdr:x>0.93519</cdr:x>
      <cdr:y>0.32973</cdr:y>
    </cdr:to>
    <cdr:sp macro="" textlink="range1!$H$97">
      <cdr:nvSpPr>
        <cdr:cNvPr id="2" name="TextBox 1"/>
        <cdr:cNvSpPr txBox="1"/>
      </cdr:nvSpPr>
      <cdr:spPr>
        <a:xfrm xmlns:a="http://schemas.openxmlformats.org/drawingml/2006/main">
          <a:off x="3026833" y="624417"/>
          <a:ext cx="1248833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43077AC3-5710-48AB-9D45-4F49FDDB760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Nominal CCT=3950</a:t>
          </a:fld>
          <a:endParaRPr lang="en-US" sz="1100"/>
        </a:p>
      </cdr:txBody>
    </cdr:sp>
  </cdr:relSizeAnchor>
  <cdr:relSizeAnchor xmlns:cdr="http://schemas.openxmlformats.org/drawingml/2006/chartDrawing">
    <cdr:from>
      <cdr:x>0.66204</cdr:x>
      <cdr:y>0.13668</cdr:y>
    </cdr:from>
    <cdr:to>
      <cdr:x>0.97222</cdr:x>
      <cdr:y>0.23861</cdr:y>
    </cdr:to>
    <cdr:sp macro="" textlink="range1!$H$96">
      <cdr:nvSpPr>
        <cdr:cNvPr id="3" name="TextBox 1"/>
        <cdr:cNvSpPr txBox="1"/>
      </cdr:nvSpPr>
      <cdr:spPr>
        <a:xfrm xmlns:a="http://schemas.openxmlformats.org/drawingml/2006/main">
          <a:off x="3026833" y="374649"/>
          <a:ext cx="1418167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35345256-7B17-434B-BD2F-6BA4A0BCBA9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Range= 4000 Lux</a:t>
          </a:fld>
          <a:endParaRPr lang="en-US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0.15972</cdr:x>
      <cdr:y>0.1583</cdr:y>
    </cdr:from>
    <cdr:to>
      <cdr:x>0.94444</cdr:x>
      <cdr:y>0.78764</cdr:y>
    </cdr:to>
    <cdr:sp macro="" textlink="">
      <cdr:nvSpPr>
        <cdr:cNvPr id="3" name="Straight Connector 2"/>
        <cdr:cNvSpPr/>
      </cdr:nvSpPr>
      <cdr:spPr>
        <a:xfrm xmlns:a="http://schemas.openxmlformats.org/drawingml/2006/main" flipV="1">
          <a:off x="730249" y="433915"/>
          <a:ext cx="3587753" cy="1725084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0.56713</cdr:x>
      <cdr:y>0.56911</cdr:y>
    </cdr:from>
    <cdr:to>
      <cdr:x>0.87731</cdr:x>
      <cdr:y>0.67104</cdr:y>
    </cdr:to>
    <cdr:sp macro="" textlink="">
      <cdr:nvSpPr>
        <cdr:cNvPr id="9" name="TextBox 1"/>
        <cdr:cNvSpPr txBox="1"/>
      </cdr:nvSpPr>
      <cdr:spPr>
        <a:xfrm xmlns:a="http://schemas.openxmlformats.org/drawingml/2006/main">
          <a:off x="2592916" y="1559981"/>
          <a:ext cx="1418167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A6DC1409-2827-4320-98F3-8DF502E80BD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Range= 8000 Lux</a:t>
          </a:fld>
          <a:endParaRPr lang="en-US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0.67593</cdr:x>
      <cdr:y>0.06023</cdr:y>
    </cdr:from>
    <cdr:to>
      <cdr:x>0.94907</cdr:x>
      <cdr:y>0.16216</cdr:y>
    </cdr:to>
    <cdr:sp macro="" textlink="range1!$H$97">
      <cdr:nvSpPr>
        <cdr:cNvPr id="2" name="TextBox 1"/>
        <cdr:cNvSpPr txBox="1"/>
      </cdr:nvSpPr>
      <cdr:spPr>
        <a:xfrm xmlns:a="http://schemas.openxmlformats.org/drawingml/2006/main">
          <a:off x="3090334" y="165101"/>
          <a:ext cx="1248833" cy="27939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3CD23A14-E1AF-466D-A807-5EE013B965B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Nominal CCT=3950</a:t>
          </a:fld>
          <a:endParaRPr lang="en-US" sz="1100"/>
        </a:p>
      </cdr:txBody>
    </cdr:sp>
  </cdr:relSizeAnchor>
  <cdr:relSizeAnchor xmlns:cdr="http://schemas.openxmlformats.org/drawingml/2006/chartDrawing">
    <cdr:from>
      <cdr:x>0.67593</cdr:x>
      <cdr:y>0.13513</cdr:y>
    </cdr:from>
    <cdr:to>
      <cdr:x>0.98611</cdr:x>
      <cdr:y>0.23706</cdr:y>
    </cdr:to>
    <cdr:sp macro="" textlink="range1!$L$97">
      <cdr:nvSpPr>
        <cdr:cNvPr id="3" name="TextBox 1"/>
        <cdr:cNvSpPr txBox="1"/>
      </cdr:nvSpPr>
      <cdr:spPr>
        <a:xfrm xmlns:a="http://schemas.openxmlformats.org/drawingml/2006/main">
          <a:off x="3090334" y="370415"/>
          <a:ext cx="1418167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F4B43C28-ACFA-4CD7-8DAD-BE738ED3F98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#VALUE!</a:t>
          </a:fld>
          <a:endParaRPr lang="en-US" sz="1100"/>
        </a:p>
      </cdr:txBody>
    </cdr:sp>
  </cdr:relSizeAnchor>
  <cdr:relSizeAnchor xmlns:cdr="http://schemas.openxmlformats.org/drawingml/2006/chartDrawing">
    <cdr:from>
      <cdr:x>0.67593</cdr:x>
      <cdr:y>0.21622</cdr:y>
    </cdr:from>
    <cdr:to>
      <cdr:x>0.98611</cdr:x>
      <cdr:y>0.31815</cdr:y>
    </cdr:to>
    <cdr:sp macro="" textlink="range1!$H$96">
      <cdr:nvSpPr>
        <cdr:cNvPr id="4" name="TextBox 1"/>
        <cdr:cNvSpPr txBox="1"/>
      </cdr:nvSpPr>
      <cdr:spPr>
        <a:xfrm xmlns:a="http://schemas.openxmlformats.org/drawingml/2006/main">
          <a:off x="3090334" y="592666"/>
          <a:ext cx="1418167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A6DC1409-2827-4320-98F3-8DF502E80BD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Range= 4000 Lux</a:t>
          </a:fld>
          <a:endParaRPr lang="en-US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0.12731</cdr:x>
      <cdr:y>0.23784</cdr:y>
    </cdr:from>
    <cdr:to>
      <cdr:x>0.40046</cdr:x>
      <cdr:y>0.33977</cdr:y>
    </cdr:to>
    <cdr:sp macro="" textlink="range1!$H$97">
      <cdr:nvSpPr>
        <cdr:cNvPr id="2" name="TextBox 1"/>
        <cdr:cNvSpPr txBox="1"/>
      </cdr:nvSpPr>
      <cdr:spPr>
        <a:xfrm xmlns:a="http://schemas.openxmlformats.org/drawingml/2006/main">
          <a:off x="582084" y="651934"/>
          <a:ext cx="1248833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6223BD30-0BEE-42CD-82D7-AA44EC786CE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Nominal CCT=3950</a:t>
          </a:fld>
          <a:endParaRPr lang="en-US" sz="1100"/>
        </a:p>
      </cdr:txBody>
    </cdr:sp>
  </cdr:relSizeAnchor>
  <cdr:relSizeAnchor xmlns:cdr="http://schemas.openxmlformats.org/drawingml/2006/chartDrawing">
    <cdr:from>
      <cdr:x>0.12963</cdr:x>
      <cdr:y>0.1583</cdr:y>
    </cdr:from>
    <cdr:to>
      <cdr:x>0.38194</cdr:x>
      <cdr:y>0.26023</cdr:y>
    </cdr:to>
    <cdr:sp macro="" textlink="range1!$H$96">
      <cdr:nvSpPr>
        <cdr:cNvPr id="3" name="TextBox 1"/>
        <cdr:cNvSpPr txBox="1"/>
      </cdr:nvSpPr>
      <cdr:spPr>
        <a:xfrm xmlns:a="http://schemas.openxmlformats.org/drawingml/2006/main">
          <a:off x="592668" y="433917"/>
          <a:ext cx="1153584" cy="27939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66AB95E9-C21C-42BA-97AD-6CB6498E937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Range= 4000 Lux</a:t>
          </a:fld>
          <a:endParaRPr lang="en-US" sz="11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598713</xdr:colOff>
      <xdr:row>115</xdr:row>
      <xdr:rowOff>13608</xdr:rowOff>
    </xdr:from>
    <xdr:to>
      <xdr:col>8</xdr:col>
      <xdr:colOff>367392</xdr:colOff>
      <xdr:row>129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13607</xdr:colOff>
      <xdr:row>115</xdr:row>
      <xdr:rowOff>13608</xdr:rowOff>
    </xdr:from>
    <xdr:to>
      <xdr:col>16</xdr:col>
      <xdr:colOff>394607</xdr:colOff>
      <xdr:row>129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115</xdr:row>
      <xdr:rowOff>0</xdr:rowOff>
    </xdr:from>
    <xdr:to>
      <xdr:col>24</xdr:col>
      <xdr:colOff>381000</xdr:colOff>
      <xdr:row>128</xdr:row>
      <xdr:rowOff>176892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27214</xdr:colOff>
      <xdr:row>115</xdr:row>
      <xdr:rowOff>0</xdr:rowOff>
    </xdr:from>
    <xdr:to>
      <xdr:col>32</xdr:col>
      <xdr:colOff>408214</xdr:colOff>
      <xdr:row>128</xdr:row>
      <xdr:rowOff>163284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13607</xdr:colOff>
      <xdr:row>212</xdr:row>
      <xdr:rowOff>176893</xdr:rowOff>
    </xdr:from>
    <xdr:to>
      <xdr:col>8</xdr:col>
      <xdr:colOff>408215</xdr:colOff>
      <xdr:row>223</xdr:row>
      <xdr:rowOff>95250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213</xdr:row>
      <xdr:rowOff>0</xdr:rowOff>
    </xdr:from>
    <xdr:to>
      <xdr:col>16</xdr:col>
      <xdr:colOff>394608</xdr:colOff>
      <xdr:row>223</xdr:row>
      <xdr:rowOff>108857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213</xdr:row>
      <xdr:rowOff>0</xdr:rowOff>
    </xdr:from>
    <xdr:to>
      <xdr:col>24</xdr:col>
      <xdr:colOff>394608</xdr:colOff>
      <xdr:row>223</xdr:row>
      <xdr:rowOff>108857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0</xdr:colOff>
      <xdr:row>213</xdr:row>
      <xdr:rowOff>0</xdr:rowOff>
    </xdr:from>
    <xdr:to>
      <xdr:col>32</xdr:col>
      <xdr:colOff>394608</xdr:colOff>
      <xdr:row>223</xdr:row>
      <xdr:rowOff>108857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15875</xdr:colOff>
      <xdr:row>224</xdr:row>
      <xdr:rowOff>174625</xdr:rowOff>
    </xdr:from>
    <xdr:to>
      <xdr:col>10</xdr:col>
      <xdr:colOff>358775</xdr:colOff>
      <xdr:row>239</xdr:row>
      <xdr:rowOff>60325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15875</xdr:colOff>
      <xdr:row>224</xdr:row>
      <xdr:rowOff>174625</xdr:rowOff>
    </xdr:from>
    <xdr:to>
      <xdr:col>20</xdr:col>
      <xdr:colOff>358775</xdr:colOff>
      <xdr:row>239</xdr:row>
      <xdr:rowOff>60325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21</xdr:col>
      <xdr:colOff>31750</xdr:colOff>
      <xdr:row>224</xdr:row>
      <xdr:rowOff>174625</xdr:rowOff>
    </xdr:from>
    <xdr:to>
      <xdr:col>30</xdr:col>
      <xdr:colOff>384175</xdr:colOff>
      <xdr:row>239</xdr:row>
      <xdr:rowOff>60325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0</xdr:colOff>
      <xdr:row>225</xdr:row>
      <xdr:rowOff>0</xdr:rowOff>
    </xdr:from>
    <xdr:to>
      <xdr:col>40</xdr:col>
      <xdr:colOff>88900</xdr:colOff>
      <xdr:row>239</xdr:row>
      <xdr:rowOff>76200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225</xdr:row>
      <xdr:rowOff>0</xdr:rowOff>
    </xdr:from>
    <xdr:to>
      <xdr:col>48</xdr:col>
      <xdr:colOff>76993</xdr:colOff>
      <xdr:row>239</xdr:row>
      <xdr:rowOff>76200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598713</xdr:colOff>
      <xdr:row>114</xdr:row>
      <xdr:rowOff>0</xdr:rowOff>
    </xdr:from>
    <xdr:to>
      <xdr:col>8</xdr:col>
      <xdr:colOff>435428</xdr:colOff>
      <xdr:row>128</xdr:row>
      <xdr:rowOff>81642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113</xdr:row>
      <xdr:rowOff>190499</xdr:rowOff>
    </xdr:from>
    <xdr:to>
      <xdr:col>17</xdr:col>
      <xdr:colOff>13607</xdr:colOff>
      <xdr:row>128</xdr:row>
      <xdr:rowOff>81641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13606</xdr:colOff>
      <xdr:row>113</xdr:row>
      <xdr:rowOff>190499</xdr:rowOff>
    </xdr:from>
    <xdr:to>
      <xdr:col>25</xdr:col>
      <xdr:colOff>27214</xdr:colOff>
      <xdr:row>128</xdr:row>
      <xdr:rowOff>81641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40820</xdr:colOff>
      <xdr:row>114</xdr:row>
      <xdr:rowOff>1</xdr:rowOff>
    </xdr:from>
    <xdr:to>
      <xdr:col>33</xdr:col>
      <xdr:colOff>54427</xdr:colOff>
      <xdr:row>128</xdr:row>
      <xdr:rowOff>81643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27212</xdr:colOff>
      <xdr:row>229</xdr:row>
      <xdr:rowOff>13609</xdr:rowOff>
    </xdr:from>
    <xdr:to>
      <xdr:col>11</xdr:col>
      <xdr:colOff>13607</xdr:colOff>
      <xdr:row>243</xdr:row>
      <xdr:rowOff>89809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13607</xdr:colOff>
      <xdr:row>216</xdr:row>
      <xdr:rowOff>176893</xdr:rowOff>
    </xdr:from>
    <xdr:to>
      <xdr:col>8</xdr:col>
      <xdr:colOff>408215</xdr:colOff>
      <xdr:row>227</xdr:row>
      <xdr:rowOff>95250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217</xdr:row>
      <xdr:rowOff>0</xdr:rowOff>
    </xdr:from>
    <xdr:to>
      <xdr:col>16</xdr:col>
      <xdr:colOff>394608</xdr:colOff>
      <xdr:row>227</xdr:row>
      <xdr:rowOff>108857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217</xdr:row>
      <xdr:rowOff>0</xdr:rowOff>
    </xdr:from>
    <xdr:to>
      <xdr:col>24</xdr:col>
      <xdr:colOff>394608</xdr:colOff>
      <xdr:row>227</xdr:row>
      <xdr:rowOff>108857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0</xdr:colOff>
      <xdr:row>217</xdr:row>
      <xdr:rowOff>0</xdr:rowOff>
    </xdr:from>
    <xdr:to>
      <xdr:col>32</xdr:col>
      <xdr:colOff>394608</xdr:colOff>
      <xdr:row>227</xdr:row>
      <xdr:rowOff>108857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27214</xdr:colOff>
      <xdr:row>229</xdr:row>
      <xdr:rowOff>13608</xdr:rowOff>
    </xdr:from>
    <xdr:to>
      <xdr:col>21</xdr:col>
      <xdr:colOff>16328</xdr:colOff>
      <xdr:row>243</xdr:row>
      <xdr:rowOff>89808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21</xdr:col>
      <xdr:colOff>27214</xdr:colOff>
      <xdr:row>229</xdr:row>
      <xdr:rowOff>13608</xdr:rowOff>
    </xdr:from>
    <xdr:to>
      <xdr:col>31</xdr:col>
      <xdr:colOff>16328</xdr:colOff>
      <xdr:row>243</xdr:row>
      <xdr:rowOff>89808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517072</xdr:colOff>
      <xdr:row>162</xdr:row>
      <xdr:rowOff>2</xdr:rowOff>
    </xdr:from>
    <xdr:to>
      <xdr:col>8</xdr:col>
      <xdr:colOff>340179</xdr:colOff>
      <xdr:row>176</xdr:row>
      <xdr:rowOff>81644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162</xdr:row>
      <xdr:rowOff>0</xdr:rowOff>
    </xdr:from>
    <xdr:to>
      <xdr:col>16</xdr:col>
      <xdr:colOff>380999</xdr:colOff>
      <xdr:row>176</xdr:row>
      <xdr:rowOff>81642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408215</xdr:colOff>
      <xdr:row>161</xdr:row>
      <xdr:rowOff>176893</xdr:rowOff>
    </xdr:from>
    <xdr:to>
      <xdr:col>24</xdr:col>
      <xdr:colOff>408214</xdr:colOff>
      <xdr:row>176</xdr:row>
      <xdr:rowOff>68035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13608</xdr:colOff>
      <xdr:row>161</xdr:row>
      <xdr:rowOff>176893</xdr:rowOff>
    </xdr:from>
    <xdr:to>
      <xdr:col>33</xdr:col>
      <xdr:colOff>13607</xdr:colOff>
      <xdr:row>176</xdr:row>
      <xdr:rowOff>68035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571499</xdr:colOff>
      <xdr:row>276</xdr:row>
      <xdr:rowOff>13608</xdr:rowOff>
    </xdr:from>
    <xdr:to>
      <xdr:col>10</xdr:col>
      <xdr:colOff>394606</xdr:colOff>
      <xdr:row>290</xdr:row>
      <xdr:rowOff>95251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13607</xdr:colOff>
      <xdr:row>263</xdr:row>
      <xdr:rowOff>176893</xdr:rowOff>
    </xdr:from>
    <xdr:to>
      <xdr:col>8</xdr:col>
      <xdr:colOff>408215</xdr:colOff>
      <xdr:row>274</xdr:row>
      <xdr:rowOff>95250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16</xdr:col>
      <xdr:colOff>394608</xdr:colOff>
      <xdr:row>274</xdr:row>
      <xdr:rowOff>108857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264</xdr:row>
      <xdr:rowOff>0</xdr:rowOff>
    </xdr:from>
    <xdr:to>
      <xdr:col>24</xdr:col>
      <xdr:colOff>394608</xdr:colOff>
      <xdr:row>274</xdr:row>
      <xdr:rowOff>108857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0</xdr:colOff>
      <xdr:row>264</xdr:row>
      <xdr:rowOff>0</xdr:rowOff>
    </xdr:from>
    <xdr:to>
      <xdr:col>32</xdr:col>
      <xdr:colOff>394608</xdr:colOff>
      <xdr:row>274</xdr:row>
      <xdr:rowOff>108857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394607</xdr:colOff>
      <xdr:row>276</xdr:row>
      <xdr:rowOff>13608</xdr:rowOff>
    </xdr:from>
    <xdr:to>
      <xdr:col>20</xdr:col>
      <xdr:colOff>394608</xdr:colOff>
      <xdr:row>290</xdr:row>
      <xdr:rowOff>95251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394608</xdr:colOff>
      <xdr:row>276</xdr:row>
      <xdr:rowOff>13608</xdr:rowOff>
    </xdr:from>
    <xdr:to>
      <xdr:col>30</xdr:col>
      <xdr:colOff>394607</xdr:colOff>
      <xdr:row>290</xdr:row>
      <xdr:rowOff>95251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598714</xdr:colOff>
      <xdr:row>2</xdr:row>
      <xdr:rowOff>176894</xdr:rowOff>
    </xdr:from>
    <xdr:to>
      <xdr:col>9</xdr:col>
      <xdr:colOff>598713</xdr:colOff>
      <xdr:row>20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204107</xdr:colOff>
      <xdr:row>5</xdr:row>
      <xdr:rowOff>176893</xdr:rowOff>
    </xdr:from>
    <xdr:to>
      <xdr:col>10</xdr:col>
      <xdr:colOff>489857</xdr:colOff>
      <xdr:row>20</xdr:row>
      <xdr:rowOff>68036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2"/>
  <dimension ref="A1:L22"/>
  <sheetViews>
    <sheetView zoomScaleNormal="100" workbookViewId="0">
      <selection activeCell="I5" sqref="I5"/>
    </sheetView>
  </sheetViews>
  <sheetFormatPr defaultRowHeight="15"/>
  <cols>
    <col min="1" max="1" width="9.140625" style="5"/>
    <col min="2" max="2" width="15.42578125" style="5" bestFit="1" customWidth="1"/>
    <col min="3" max="3" width="9.140625" style="17"/>
    <col min="4" max="4" width="9.140625" style="5"/>
    <col min="5" max="6" width="9.140625" style="5" customWidth="1"/>
    <col min="7" max="7" width="12.28515625" style="5" customWidth="1"/>
    <col min="8" max="8" width="10.42578125" style="5" customWidth="1"/>
    <col min="9" max="9" width="10.42578125" style="5" bestFit="1" customWidth="1"/>
    <col min="10" max="16384" width="9.140625" style="5"/>
  </cols>
  <sheetData>
    <row r="1" spans="1:12" ht="15.75" thickBot="1">
      <c r="A1" s="21"/>
      <c r="B1" s="21"/>
      <c r="C1" s="20"/>
      <c r="D1" s="21"/>
      <c r="E1" s="21"/>
      <c r="F1" s="21"/>
      <c r="G1" s="21"/>
      <c r="H1" s="21"/>
      <c r="I1" s="21"/>
      <c r="J1" s="21"/>
    </row>
    <row r="2" spans="1:12">
      <c r="A2" s="21"/>
      <c r="B2" s="22"/>
      <c r="C2" s="23" t="s">
        <v>4</v>
      </c>
      <c r="D2" s="23" t="s">
        <v>5</v>
      </c>
      <c r="E2" s="24" t="s">
        <v>20</v>
      </c>
      <c r="F2" s="23" t="s">
        <v>21</v>
      </c>
      <c r="G2" s="21"/>
      <c r="H2" s="95" t="s">
        <v>29</v>
      </c>
      <c r="I2" s="96"/>
      <c r="J2" s="21"/>
      <c r="K2" s="91" t="s">
        <v>47</v>
      </c>
      <c r="L2" s="92"/>
    </row>
    <row r="3" spans="1:12">
      <c r="A3" s="21"/>
      <c r="B3" s="94" t="s">
        <v>2</v>
      </c>
      <c r="C3" s="23">
        <v>0</v>
      </c>
      <c r="D3" s="25">
        <f ca="1">range0!I130</f>
        <v>-0.20264851084542335</v>
      </c>
      <c r="E3" s="25">
        <f ca="1">range0!I129/1.5</f>
        <v>2.2344471427139774</v>
      </c>
      <c r="F3" s="33">
        <f ca="1">ABS(D3)+1.5*E3</f>
        <v>3.5543192249163895</v>
      </c>
      <c r="G3" s="21"/>
      <c r="H3" s="36" t="s">
        <v>30</v>
      </c>
      <c r="I3" s="37">
        <v>13.8</v>
      </c>
      <c r="J3" s="21"/>
      <c r="K3" s="64" t="s">
        <v>48</v>
      </c>
      <c r="L3" s="67">
        <v>0.66074358048542203</v>
      </c>
    </row>
    <row r="4" spans="1:12">
      <c r="A4" s="21"/>
      <c r="B4" s="94"/>
      <c r="C4" s="23">
        <v>1</v>
      </c>
      <c r="D4" s="25">
        <f ca="1">range1!I130</f>
        <v>0</v>
      </c>
      <c r="E4" s="25">
        <f ca="1">range1!I129/1.5</f>
        <v>2.2325430212809798</v>
      </c>
      <c r="F4" s="33">
        <f ca="1">ABS(D4)+1.5*E4</f>
        <v>3.3488145319214695</v>
      </c>
      <c r="G4" s="21"/>
      <c r="H4" s="36" t="s">
        <v>31</v>
      </c>
      <c r="I4" s="37">
        <v>4.5999999999999996</v>
      </c>
      <c r="J4" s="21"/>
      <c r="K4" s="64" t="s">
        <v>49</v>
      </c>
      <c r="L4" s="67">
        <v>1.1652039920080326</v>
      </c>
    </row>
    <row r="5" spans="1:12">
      <c r="A5" s="21"/>
      <c r="B5" s="94"/>
      <c r="C5" s="23" t="s">
        <v>22</v>
      </c>
      <c r="D5" s="25">
        <f ca="1">AVERAGE(D3:D4)</f>
        <v>-0.10132425542271167</v>
      </c>
      <c r="E5" s="25">
        <f ca="1">MAX(E3:E4)</f>
        <v>2.2344471427139774</v>
      </c>
      <c r="F5" s="34">
        <f ca="1">MAX(F3:F4)</f>
        <v>3.5543192249163895</v>
      </c>
      <c r="G5" s="21"/>
      <c r="H5" s="36" t="s">
        <v>32</v>
      </c>
      <c r="I5" s="41">
        <f>data4!L2</f>
        <v>3013.8</v>
      </c>
      <c r="J5" s="21"/>
      <c r="K5" s="64" t="s">
        <v>50</v>
      </c>
      <c r="L5" s="67">
        <v>1.8139612408374231</v>
      </c>
    </row>
    <row r="6" spans="1:12">
      <c r="A6" s="21"/>
      <c r="B6" s="94" t="s">
        <v>3</v>
      </c>
      <c r="C6" s="23">
        <f>C3</f>
        <v>0</v>
      </c>
      <c r="D6" s="26">
        <f ca="1">range0!K162</f>
        <v>7.0508242404604422E-3</v>
      </c>
      <c r="E6" s="26">
        <f ca="1">range0!M162</f>
        <v>1.6975132870409186E-2</v>
      </c>
      <c r="F6" s="26">
        <f ca="1">ABS(D6)+1.5*E6</f>
        <v>3.2513523546074223E-2</v>
      </c>
      <c r="G6" s="21"/>
      <c r="H6" s="36" t="s">
        <v>33</v>
      </c>
      <c r="I6" s="37">
        <v>225</v>
      </c>
      <c r="J6" s="21"/>
      <c r="K6" s="65" t="s">
        <v>51</v>
      </c>
      <c r="L6" s="67">
        <v>0.59695550512102591</v>
      </c>
    </row>
    <row r="7" spans="1:12">
      <c r="A7" s="21"/>
      <c r="B7" s="94"/>
      <c r="C7" s="23">
        <f>C4</f>
        <v>1</v>
      </c>
      <c r="D7" s="26">
        <f ca="1">range1!K162</f>
        <v>1.4903399393823508E-2</v>
      </c>
      <c r="E7" s="26">
        <f ca="1">range0!M162</f>
        <v>1.6975132870409186E-2</v>
      </c>
      <c r="F7" s="26">
        <f ca="1">ABS(D7)+1.5*E7</f>
        <v>4.0366098699437289E-2</v>
      </c>
      <c r="G7" s="21"/>
      <c r="H7" s="36" t="s">
        <v>35</v>
      </c>
      <c r="I7" s="37">
        <v>0</v>
      </c>
      <c r="J7" s="21"/>
      <c r="K7" s="65" t="s">
        <v>52</v>
      </c>
      <c r="L7" s="67">
        <v>-9.6484901571266768E-2</v>
      </c>
    </row>
    <row r="8" spans="1:12">
      <c r="A8" s="21"/>
      <c r="B8" s="94"/>
      <c r="C8" s="23" t="str">
        <f>C5</f>
        <v>All</v>
      </c>
      <c r="D8" s="26">
        <f ca="1">MAX(ABS(D6),ABS(D7))</f>
        <v>1.4903399393823508E-2</v>
      </c>
      <c r="E8" s="26">
        <f ca="1">MAX(E6:E7)</f>
        <v>1.6975132870409186E-2</v>
      </c>
      <c r="F8" s="27">
        <f ca="1">MAX(F6:F7)</f>
        <v>4.0366098699437289E-2</v>
      </c>
      <c r="G8" s="21"/>
      <c r="H8" s="42" t="s">
        <v>28</v>
      </c>
      <c r="I8" s="37">
        <v>0</v>
      </c>
      <c r="J8" s="21"/>
      <c r="K8" s="65" t="s">
        <v>53</v>
      </c>
      <c r="L8" s="67">
        <v>0.14120126894658366</v>
      </c>
    </row>
    <row r="9" spans="1:12">
      <c r="A9" s="21"/>
      <c r="B9" s="94" t="s">
        <v>76</v>
      </c>
      <c r="C9" s="23">
        <f>C6</f>
        <v>0</v>
      </c>
      <c r="D9" s="83"/>
      <c r="E9" s="84"/>
      <c r="F9" s="33">
        <f ca="1">range0!G166</f>
        <v>4.2605851888707032E-2</v>
      </c>
      <c r="G9" s="21"/>
      <c r="H9" s="38">
        <v>29121</v>
      </c>
      <c r="I9" s="39" t="s">
        <v>81</v>
      </c>
      <c r="J9" s="21"/>
      <c r="K9" s="65" t="s">
        <v>54</v>
      </c>
      <c r="L9" s="67">
        <v>-0.4592691191004179</v>
      </c>
    </row>
    <row r="10" spans="1:12" ht="15.75" thickBot="1">
      <c r="A10" s="21"/>
      <c r="B10" s="94"/>
      <c r="C10" s="23">
        <f>C7</f>
        <v>1</v>
      </c>
      <c r="D10" s="85"/>
      <c r="E10" s="86"/>
      <c r="F10" s="33">
        <f ca="1">range1!G166</f>
        <v>0.10428586012878971</v>
      </c>
      <c r="G10" s="21"/>
      <c r="H10" s="43" t="s">
        <v>34</v>
      </c>
      <c r="I10" s="40">
        <v>1.6E-2</v>
      </c>
      <c r="J10" s="21"/>
      <c r="K10" s="65" t="s">
        <v>55</v>
      </c>
      <c r="L10" s="67">
        <v>-0.10345612486126957</v>
      </c>
    </row>
    <row r="11" spans="1:12" ht="15.75" thickBot="1">
      <c r="A11" s="21"/>
      <c r="B11" s="94"/>
      <c r="C11" s="23" t="str">
        <f t="shared" ref="C11" si="0">C8</f>
        <v>All</v>
      </c>
      <c r="D11" s="85"/>
      <c r="E11" s="86"/>
      <c r="F11" s="34">
        <f ca="1">MAX(F9:F10)</f>
        <v>0.10428586012878971</v>
      </c>
      <c r="G11" s="21"/>
      <c r="H11" s="35" t="s">
        <v>37</v>
      </c>
      <c r="I11" s="69">
        <v>3</v>
      </c>
      <c r="J11" s="21"/>
      <c r="K11" s="66" t="s">
        <v>56</v>
      </c>
      <c r="L11" s="68">
        <v>-0.26235982838399025</v>
      </c>
    </row>
    <row r="12" spans="1:12" ht="15" customHeight="1">
      <c r="A12" s="21"/>
      <c r="B12" s="93" t="s">
        <v>77</v>
      </c>
      <c r="C12" s="23">
        <f>C9</f>
        <v>0</v>
      </c>
      <c r="D12" s="85"/>
      <c r="E12" s="86"/>
      <c r="F12" s="90" t="e">
        <f ca="1">range0!G98</f>
        <v>#VALUE!</v>
      </c>
      <c r="G12" s="21"/>
      <c r="H12" s="35" t="s">
        <v>58</v>
      </c>
      <c r="I12" s="69">
        <v>330</v>
      </c>
      <c r="J12" s="21"/>
    </row>
    <row r="13" spans="1:12">
      <c r="A13" s="21"/>
      <c r="B13" s="93"/>
      <c r="C13" s="23">
        <f t="shared" ref="C13:C17" si="1">C10</f>
        <v>1</v>
      </c>
      <c r="D13" s="85"/>
      <c r="E13" s="86"/>
      <c r="F13" s="90" t="e">
        <f ca="1">range1!G98</f>
        <v>#VALUE!</v>
      </c>
      <c r="G13" s="21"/>
      <c r="H13" s="35" t="s">
        <v>57</v>
      </c>
      <c r="I13" s="69">
        <v>4000</v>
      </c>
      <c r="J13" s="21"/>
    </row>
    <row r="14" spans="1:12">
      <c r="A14" s="21"/>
      <c r="B14" s="93"/>
      <c r="C14" s="23" t="str">
        <f t="shared" si="1"/>
        <v>All</v>
      </c>
      <c r="D14" s="85"/>
      <c r="E14" s="86"/>
      <c r="F14" s="34" t="e">
        <f ca="1">MAX(F12:F13)</f>
        <v>#VALUE!</v>
      </c>
      <c r="G14" s="21"/>
      <c r="H14" s="20" t="s">
        <v>24</v>
      </c>
      <c r="I14" s="81">
        <v>1</v>
      </c>
      <c r="J14" s="21"/>
    </row>
    <row r="15" spans="1:12" ht="15.75" customHeight="1">
      <c r="A15" s="21"/>
      <c r="B15" s="93" t="s">
        <v>78</v>
      </c>
      <c r="C15" s="23">
        <f t="shared" si="1"/>
        <v>0</v>
      </c>
      <c r="D15" s="85"/>
      <c r="E15" s="86"/>
      <c r="F15" s="90" t="e">
        <f ca="1">range0!O97</f>
        <v>#VALUE!</v>
      </c>
      <c r="H15" s="21"/>
      <c r="I15" s="21"/>
      <c r="J15" s="21"/>
    </row>
    <row r="16" spans="1:12">
      <c r="A16" s="21"/>
      <c r="B16" s="93"/>
      <c r="C16" s="23">
        <f t="shared" si="1"/>
        <v>1</v>
      </c>
      <c r="D16" s="85"/>
      <c r="E16" s="86"/>
      <c r="F16" s="90" t="e">
        <f ca="1">range1!O97</f>
        <v>#VALUE!</v>
      </c>
      <c r="H16" s="35" t="s">
        <v>80</v>
      </c>
      <c r="I16" s="61" t="s">
        <v>79</v>
      </c>
      <c r="J16" s="21"/>
    </row>
    <row r="17" spans="1:10">
      <c r="A17" s="21"/>
      <c r="B17" s="93"/>
      <c r="C17" s="23" t="str">
        <f t="shared" si="1"/>
        <v>All</v>
      </c>
      <c r="D17" s="87"/>
      <c r="E17" s="88"/>
      <c r="F17" s="34" t="e">
        <f ca="1">MAX(F15:F16)</f>
        <v>#VALUE!</v>
      </c>
      <c r="J17" s="21"/>
    </row>
    <row r="18" spans="1:10">
      <c r="C18" s="5"/>
    </row>
    <row r="19" spans="1:10" s="7" customFormat="1"/>
    <row r="20" spans="1:10">
      <c r="C20" s="5"/>
      <c r="I20" s="7">
        <v>0</v>
      </c>
    </row>
    <row r="21" spans="1:10">
      <c r="C21" s="5"/>
      <c r="I21" s="7">
        <v>1</v>
      </c>
    </row>
    <row r="22" spans="1:10">
      <c r="C22" s="5"/>
    </row>
  </sheetData>
  <mergeCells count="7">
    <mergeCell ref="K2:L2"/>
    <mergeCell ref="B12:B14"/>
    <mergeCell ref="B15:B17"/>
    <mergeCell ref="B3:B5"/>
    <mergeCell ref="B6:B8"/>
    <mergeCell ref="B9:B11"/>
    <mergeCell ref="H2:I2"/>
  </mergeCells>
  <dataValidations count="1">
    <dataValidation type="list" allowBlank="1" showInputMessage="1" showErrorMessage="1" sqref="I14">
      <formula1>$I$20:$I$21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9"/>
  <dimension ref="A1:DH202"/>
  <sheetViews>
    <sheetView topLeftCell="A89" zoomScale="90" zoomScaleNormal="90" workbookViewId="0">
      <selection activeCell="G98" sqref="G98"/>
    </sheetView>
  </sheetViews>
  <sheetFormatPr defaultRowHeight="15"/>
  <cols>
    <col min="1" max="1" width="3.28515625" style="14" bestFit="1" customWidth="1"/>
    <col min="2" max="2" width="8.28515625" style="61" customWidth="1"/>
    <col min="3" max="16" width="7.5703125" style="61" customWidth="1"/>
    <col min="17" max="17" width="8" style="61" customWidth="1"/>
    <col min="18" max="19" width="6.85546875" style="61" customWidth="1"/>
    <col min="20" max="20" width="8" style="61" customWidth="1"/>
    <col min="21" max="22" width="6.85546875" style="61" customWidth="1"/>
    <col min="23" max="23" width="8" style="61" customWidth="1"/>
    <col min="24" max="25" width="6.85546875" style="61" customWidth="1"/>
    <col min="26" max="26" width="8" style="61" customWidth="1"/>
    <col min="27" max="28" width="6.85546875" style="61" customWidth="1"/>
    <col min="29" max="29" width="8" style="61" customWidth="1"/>
    <col min="30" max="31" width="6.85546875" style="61" customWidth="1"/>
    <col min="32" max="32" width="8" style="61" customWidth="1"/>
    <col min="33" max="34" width="6.85546875" style="61" customWidth="1"/>
    <col min="35" max="35" width="8" style="61" customWidth="1"/>
    <col min="36" max="37" width="6.85546875" style="61" customWidth="1"/>
    <col min="38" max="38" width="8" style="61" customWidth="1"/>
    <col min="39" max="40" width="6.85546875" style="61" customWidth="1"/>
    <col min="41" max="41" width="8" style="61" customWidth="1"/>
    <col min="42" max="43" width="6.85546875" style="61" customWidth="1"/>
    <col min="44" max="44" width="8" style="61" customWidth="1"/>
    <col min="45" max="46" width="6.85546875" style="61" customWidth="1"/>
    <col min="47" max="47" width="8" style="61" customWidth="1"/>
    <col min="48" max="49" width="6.85546875" style="61" customWidth="1"/>
    <col min="50" max="50" width="8" style="61" customWidth="1"/>
    <col min="51" max="52" width="6.85546875" style="61" customWidth="1"/>
    <col min="53" max="53" width="8" style="61" customWidth="1"/>
    <col min="54" max="55" width="6.85546875" style="61" customWidth="1"/>
    <col min="56" max="56" width="8" style="61" customWidth="1"/>
    <col min="57" max="58" width="6.85546875" style="61" customWidth="1"/>
    <col min="59" max="59" width="8" style="61" customWidth="1"/>
    <col min="60" max="61" width="6.85546875" style="61" customWidth="1"/>
    <col min="62" max="62" width="8" style="61" customWidth="1"/>
    <col min="63" max="64" width="6.85546875" style="61" customWidth="1"/>
    <col min="65" max="65" width="8" style="61" customWidth="1"/>
    <col min="66" max="67" width="6.85546875" style="61" customWidth="1"/>
    <col min="68" max="68" width="8" style="61" customWidth="1"/>
    <col min="69" max="70" width="6.85546875" style="61" customWidth="1"/>
    <col min="71" max="71" width="10.5703125" style="61" customWidth="1"/>
    <col min="72" max="73" width="6.85546875" style="61" customWidth="1"/>
    <col min="74" max="74" width="8" style="61" customWidth="1"/>
    <col min="75" max="76" width="6.85546875" style="61" customWidth="1"/>
    <col min="77" max="77" width="8" style="61" customWidth="1"/>
    <col min="78" max="79" width="6.85546875" style="61" customWidth="1"/>
    <col min="80" max="80" width="8" style="61" customWidth="1"/>
    <col min="81" max="82" width="9.140625" style="61"/>
    <col min="83" max="83" width="8" style="61" customWidth="1"/>
    <col min="84" max="85" width="9.140625" style="61"/>
    <col min="86" max="86" width="8" style="61" customWidth="1"/>
    <col min="87" max="88" width="9.140625" style="61"/>
    <col min="89" max="89" width="8" style="61" customWidth="1"/>
    <col min="90" max="91" width="9.140625" style="61"/>
    <col min="92" max="92" width="8" style="61" customWidth="1"/>
    <col min="93" max="94" width="9.140625" style="61"/>
    <col min="95" max="95" width="8" style="61" customWidth="1"/>
    <col min="96" max="97" width="9.140625" style="61"/>
    <col min="98" max="98" width="8" style="61" customWidth="1"/>
    <col min="99" max="100" width="9.140625" style="61"/>
    <col min="101" max="101" width="8" style="61" customWidth="1"/>
    <col min="102" max="103" width="9.140625" style="61"/>
    <col min="104" max="104" width="8" style="61" customWidth="1"/>
    <col min="105" max="106" width="9.140625" style="61"/>
    <col min="107" max="107" width="8" style="61" customWidth="1"/>
    <col min="108" max="109" width="9.140625" style="61"/>
    <col min="110" max="110" width="8" style="61" customWidth="1"/>
    <col min="111" max="16384" width="9.140625" style="61"/>
  </cols>
  <sheetData>
    <row r="1" spans="1:112">
      <c r="B1" s="101" t="s">
        <v>24</v>
      </c>
      <c r="C1" s="101"/>
      <c r="P1" s="74">
        <f>range0</f>
        <v>330</v>
      </c>
      <c r="Q1" s="105" t="s">
        <v>41</v>
      </c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6"/>
      <c r="AH1" s="106"/>
      <c r="AI1" s="106"/>
      <c r="AJ1" s="106"/>
      <c r="AK1" s="106"/>
      <c r="AL1" s="106"/>
      <c r="AM1" s="106"/>
      <c r="AN1" s="106"/>
      <c r="AO1" s="106"/>
      <c r="AP1" s="106"/>
      <c r="AQ1" s="106"/>
      <c r="AR1" s="106"/>
      <c r="AS1" s="106"/>
      <c r="AT1" s="106"/>
      <c r="AU1" s="106"/>
      <c r="AV1" s="107"/>
      <c r="AW1" s="108" t="s">
        <v>43</v>
      </c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  <c r="BQ1" s="109"/>
      <c r="BR1" s="109"/>
      <c r="BS1" s="109"/>
      <c r="BT1" s="109"/>
      <c r="BU1" s="109"/>
      <c r="BV1" s="109"/>
      <c r="BW1" s="109"/>
      <c r="BX1" s="109"/>
      <c r="BY1" s="109"/>
      <c r="BZ1" s="109"/>
      <c r="CA1" s="109"/>
      <c r="CB1" s="109"/>
      <c r="CC1" s="97" t="s">
        <v>42</v>
      </c>
      <c r="CD1" s="98"/>
      <c r="CE1" s="98"/>
      <c r="CF1" s="98"/>
      <c r="CG1" s="98"/>
      <c r="CH1" s="98"/>
      <c r="CI1" s="98"/>
      <c r="CJ1" s="98"/>
      <c r="CK1" s="98"/>
      <c r="CL1" s="98"/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8"/>
      <c r="DH1" s="99"/>
    </row>
    <row r="2" spans="1:112" s="74" customFormat="1">
      <c r="A2" s="71"/>
      <c r="B2" s="74" t="s">
        <v>36</v>
      </c>
      <c r="C2" s="74" t="s">
        <v>40</v>
      </c>
      <c r="D2" s="60" t="s">
        <v>18</v>
      </c>
      <c r="E2" s="53" t="s">
        <v>11</v>
      </c>
      <c r="F2" s="60" t="s">
        <v>19</v>
      </c>
      <c r="G2" s="53" t="s">
        <v>12</v>
      </c>
      <c r="H2" s="54" t="str">
        <f>D2</f>
        <v>-1.5σ</v>
      </c>
      <c r="I2" s="54" t="str">
        <f t="shared" ref="I2:O2" si="0">E2</f>
        <v>AVG</v>
      </c>
      <c r="J2" s="54" t="str">
        <f t="shared" si="0"/>
        <v>+1.5σ</v>
      </c>
      <c r="K2" s="54" t="str">
        <f t="shared" si="0"/>
        <v>STDEV</v>
      </c>
      <c r="L2" s="55" t="str">
        <f t="shared" si="0"/>
        <v>-1.5σ</v>
      </c>
      <c r="M2" s="55" t="str">
        <f t="shared" si="0"/>
        <v>AVG</v>
      </c>
      <c r="N2" s="55" t="str">
        <f t="shared" si="0"/>
        <v>+1.5σ</v>
      </c>
      <c r="O2" s="55" t="str">
        <f t="shared" si="0"/>
        <v>STDEV</v>
      </c>
      <c r="P2" s="70" t="s">
        <v>59</v>
      </c>
      <c r="Q2" s="44">
        <f>data0!B1</f>
        <v>0</v>
      </c>
      <c r="R2" s="45">
        <f>data0!C1</f>
        <v>1</v>
      </c>
      <c r="S2" s="45">
        <f>data0!D1</f>
        <v>2</v>
      </c>
      <c r="T2" s="45">
        <f>data0!E1</f>
        <v>3</v>
      </c>
      <c r="U2" s="45">
        <f>data0!F1</f>
        <v>4</v>
      </c>
      <c r="V2" s="45">
        <f>data0!G1</f>
        <v>5</v>
      </c>
      <c r="W2" s="45">
        <f>data0!H1</f>
        <v>6</v>
      </c>
      <c r="X2" s="45">
        <f>data0!I1</f>
        <v>7</v>
      </c>
      <c r="Y2" s="45">
        <f>data0!J1</f>
        <v>8</v>
      </c>
      <c r="Z2" s="45">
        <f>data0!K1</f>
        <v>9</v>
      </c>
      <c r="AA2" s="45">
        <f>data0!L1</f>
        <v>10</v>
      </c>
      <c r="AB2" s="45">
        <f>data0!M1</f>
        <v>11</v>
      </c>
      <c r="AC2" s="45">
        <f>data0!N1</f>
        <v>12</v>
      </c>
      <c r="AD2" s="45">
        <f>data0!O1</f>
        <v>13</v>
      </c>
      <c r="AE2" s="45">
        <f>data0!P1</f>
        <v>14</v>
      </c>
      <c r="AF2" s="45">
        <f>data0!Q1</f>
        <v>15</v>
      </c>
      <c r="AG2" s="45">
        <f>data0!R1</f>
        <v>16</v>
      </c>
      <c r="AH2" s="45">
        <f>data0!S1</f>
        <v>17</v>
      </c>
      <c r="AI2" s="45">
        <f>data0!T1</f>
        <v>18</v>
      </c>
      <c r="AJ2" s="45">
        <f>data0!U1</f>
        <v>19</v>
      </c>
      <c r="AK2" s="45">
        <f>data0!V1</f>
        <v>20</v>
      </c>
      <c r="AL2" s="45">
        <f>data0!W1</f>
        <v>21</v>
      </c>
      <c r="AM2" s="45">
        <f>data0!X1</f>
        <v>22</v>
      </c>
      <c r="AN2" s="45">
        <f>data0!Y1</f>
        <v>23</v>
      </c>
      <c r="AO2" s="45">
        <f>data0!Z1</f>
        <v>24</v>
      </c>
      <c r="AP2" s="45">
        <f>data0!AA1</f>
        <v>25</v>
      </c>
      <c r="AQ2" s="45">
        <f>data0!AB1</f>
        <v>26</v>
      </c>
      <c r="AR2" s="45">
        <f>data0!AC1</f>
        <v>27</v>
      </c>
      <c r="AS2" s="45">
        <f>data0!AD1</f>
        <v>28</v>
      </c>
      <c r="AT2" s="45">
        <f>data0!AE1</f>
        <v>29</v>
      </c>
      <c r="AU2" s="45">
        <f>data0!AF1</f>
        <v>30</v>
      </c>
      <c r="AV2" s="46">
        <f>data0!AG1</f>
        <v>31</v>
      </c>
      <c r="AW2" s="44">
        <f>Q2</f>
        <v>0</v>
      </c>
      <c r="AX2" s="45">
        <f t="shared" ref="AX2:CB2" si="1">R2</f>
        <v>1</v>
      </c>
      <c r="AY2" s="45">
        <f t="shared" si="1"/>
        <v>2</v>
      </c>
      <c r="AZ2" s="45">
        <f t="shared" si="1"/>
        <v>3</v>
      </c>
      <c r="BA2" s="45">
        <f t="shared" si="1"/>
        <v>4</v>
      </c>
      <c r="BB2" s="45">
        <f t="shared" si="1"/>
        <v>5</v>
      </c>
      <c r="BC2" s="45">
        <f t="shared" si="1"/>
        <v>6</v>
      </c>
      <c r="BD2" s="45">
        <f t="shared" si="1"/>
        <v>7</v>
      </c>
      <c r="BE2" s="45">
        <f t="shared" si="1"/>
        <v>8</v>
      </c>
      <c r="BF2" s="45">
        <f t="shared" si="1"/>
        <v>9</v>
      </c>
      <c r="BG2" s="45">
        <f t="shared" si="1"/>
        <v>10</v>
      </c>
      <c r="BH2" s="45">
        <f t="shared" si="1"/>
        <v>11</v>
      </c>
      <c r="BI2" s="45">
        <f t="shared" si="1"/>
        <v>12</v>
      </c>
      <c r="BJ2" s="45">
        <f t="shared" si="1"/>
        <v>13</v>
      </c>
      <c r="BK2" s="45">
        <f t="shared" si="1"/>
        <v>14</v>
      </c>
      <c r="BL2" s="45">
        <f t="shared" si="1"/>
        <v>15</v>
      </c>
      <c r="BM2" s="45">
        <f t="shared" si="1"/>
        <v>16</v>
      </c>
      <c r="BN2" s="45">
        <f t="shared" si="1"/>
        <v>17</v>
      </c>
      <c r="BO2" s="45">
        <f t="shared" si="1"/>
        <v>18</v>
      </c>
      <c r="BP2" s="45">
        <f t="shared" si="1"/>
        <v>19</v>
      </c>
      <c r="BQ2" s="45">
        <f t="shared" si="1"/>
        <v>20</v>
      </c>
      <c r="BR2" s="45">
        <f t="shared" si="1"/>
        <v>21</v>
      </c>
      <c r="BS2" s="45">
        <f t="shared" si="1"/>
        <v>22</v>
      </c>
      <c r="BT2" s="45">
        <f t="shared" si="1"/>
        <v>23</v>
      </c>
      <c r="BU2" s="45">
        <f t="shared" si="1"/>
        <v>24</v>
      </c>
      <c r="BV2" s="45">
        <f t="shared" si="1"/>
        <v>25</v>
      </c>
      <c r="BW2" s="45">
        <f t="shared" si="1"/>
        <v>26</v>
      </c>
      <c r="BX2" s="45">
        <f t="shared" si="1"/>
        <v>27</v>
      </c>
      <c r="BY2" s="45">
        <f t="shared" si="1"/>
        <v>28</v>
      </c>
      <c r="BZ2" s="45">
        <f t="shared" si="1"/>
        <v>29</v>
      </c>
      <c r="CA2" s="45">
        <f t="shared" si="1"/>
        <v>30</v>
      </c>
      <c r="CB2" s="45">
        <f t="shared" si="1"/>
        <v>31</v>
      </c>
      <c r="CC2" s="44">
        <f>AW2</f>
        <v>0</v>
      </c>
      <c r="CD2" s="45">
        <f t="shared" ref="CD2:DH2" si="2">AX2</f>
        <v>1</v>
      </c>
      <c r="CE2" s="45">
        <f t="shared" si="2"/>
        <v>2</v>
      </c>
      <c r="CF2" s="45">
        <f t="shared" si="2"/>
        <v>3</v>
      </c>
      <c r="CG2" s="45">
        <f t="shared" si="2"/>
        <v>4</v>
      </c>
      <c r="CH2" s="45">
        <f t="shared" si="2"/>
        <v>5</v>
      </c>
      <c r="CI2" s="45">
        <f t="shared" si="2"/>
        <v>6</v>
      </c>
      <c r="CJ2" s="45">
        <f t="shared" si="2"/>
        <v>7</v>
      </c>
      <c r="CK2" s="45">
        <f t="shared" si="2"/>
        <v>8</v>
      </c>
      <c r="CL2" s="45">
        <f t="shared" si="2"/>
        <v>9</v>
      </c>
      <c r="CM2" s="45">
        <f t="shared" si="2"/>
        <v>10</v>
      </c>
      <c r="CN2" s="45">
        <f t="shared" si="2"/>
        <v>11</v>
      </c>
      <c r="CO2" s="45">
        <f t="shared" si="2"/>
        <v>12</v>
      </c>
      <c r="CP2" s="45">
        <f t="shared" si="2"/>
        <v>13</v>
      </c>
      <c r="CQ2" s="45">
        <f t="shared" si="2"/>
        <v>14</v>
      </c>
      <c r="CR2" s="45">
        <f t="shared" si="2"/>
        <v>15</v>
      </c>
      <c r="CS2" s="45">
        <f t="shared" si="2"/>
        <v>16</v>
      </c>
      <c r="CT2" s="45">
        <f t="shared" si="2"/>
        <v>17</v>
      </c>
      <c r="CU2" s="45">
        <f t="shared" si="2"/>
        <v>18</v>
      </c>
      <c r="CV2" s="45">
        <f t="shared" si="2"/>
        <v>19</v>
      </c>
      <c r="CW2" s="45">
        <f t="shared" si="2"/>
        <v>20</v>
      </c>
      <c r="CX2" s="45">
        <f t="shared" si="2"/>
        <v>21</v>
      </c>
      <c r="CY2" s="45">
        <f t="shared" si="2"/>
        <v>22</v>
      </c>
      <c r="CZ2" s="45">
        <f t="shared" si="2"/>
        <v>23</v>
      </c>
      <c r="DA2" s="45">
        <f t="shared" si="2"/>
        <v>24</v>
      </c>
      <c r="DB2" s="45">
        <f t="shared" si="2"/>
        <v>25</v>
      </c>
      <c r="DC2" s="45">
        <f t="shared" si="2"/>
        <v>26</v>
      </c>
      <c r="DD2" s="45">
        <f t="shared" si="2"/>
        <v>27</v>
      </c>
      <c r="DE2" s="45">
        <f t="shared" si="2"/>
        <v>28</v>
      </c>
      <c r="DF2" s="45">
        <f t="shared" si="2"/>
        <v>29</v>
      </c>
      <c r="DG2" s="45">
        <f t="shared" si="2"/>
        <v>30</v>
      </c>
      <c r="DH2" s="46">
        <f t="shared" si="2"/>
        <v>31</v>
      </c>
    </row>
    <row r="3" spans="1:112" s="63" customFormat="1">
      <c r="A3" s="14">
        <v>1</v>
      </c>
      <c r="B3" s="63">
        <f ca="1">data4!S2</f>
        <v>23.151758163574332</v>
      </c>
      <c r="C3" s="63">
        <f>data5!L2</f>
        <v>3933.1</v>
      </c>
      <c r="D3" s="63">
        <f>E3-1.5*G3</f>
        <v>-55.474385714536929</v>
      </c>
      <c r="E3" s="63">
        <f>AVERAGE(Q3:AV3)</f>
        <v>23.650159638503503</v>
      </c>
      <c r="F3" s="63">
        <f>E3+1.5*G3</f>
        <v>102.77470499154393</v>
      </c>
      <c r="G3" s="63">
        <f>STDEV(Q3:AV3)</f>
        <v>52.749696902026955</v>
      </c>
      <c r="H3" s="63">
        <f>I3-1.5*K3</f>
        <v>-37.233679234836082</v>
      </c>
      <c r="I3" s="63">
        <f>AVERAGE(AW3:CB3)</f>
        <v>15.857046719255118</v>
      </c>
      <c r="J3" s="63">
        <f>I3+1.5*K3</f>
        <v>68.947772673346321</v>
      </c>
      <c r="K3" s="63">
        <f>STDEV(AW3:CB3)</f>
        <v>35.393817302727463</v>
      </c>
      <c r="L3" s="63">
        <f>M3-1.5*O3</f>
        <v>-20.90104600053817</v>
      </c>
      <c r="M3" s="63">
        <f>AVERAGE(CC3:DH3)</f>
        <v>8.9079754270356268</v>
      </c>
      <c r="N3" s="63">
        <f>M3+1.5*O3</f>
        <v>38.71699685460942</v>
      </c>
      <c r="O3" s="63">
        <f>STDEV(CC3:DH3)</f>
        <v>19.872680951715864</v>
      </c>
      <c r="P3" s="63" t="b">
        <f>MAX(Q3:DH3)&lt;P$1</f>
        <v>1</v>
      </c>
      <c r="Q3" s="47">
        <f>data0!B56</f>
        <v>141.31626892089844</v>
      </c>
      <c r="R3" s="48">
        <f>data0!C56</f>
        <v>137.43058776855469</v>
      </c>
      <c r="S3" s="48">
        <f>data0!D56</f>
        <v>139.90721130371094</v>
      </c>
      <c r="T3" s="48">
        <f>data0!E56</f>
        <v>132.63229370117187</v>
      </c>
      <c r="U3" s="48">
        <f>data0!F56</f>
        <v>134.56826782226562</v>
      </c>
      <c r="V3" s="48"/>
      <c r="W3" s="48">
        <f>data0!H56</f>
        <v>0</v>
      </c>
      <c r="X3" s="48">
        <f>data0!I56</f>
        <v>0</v>
      </c>
      <c r="Y3" s="48">
        <f>data0!J56</f>
        <v>0</v>
      </c>
      <c r="Z3" s="48">
        <f>data0!K56</f>
        <v>0</v>
      </c>
      <c r="AA3" s="48">
        <f>data0!L56</f>
        <v>0</v>
      </c>
      <c r="AB3" s="48">
        <f>data0!M56</f>
        <v>0</v>
      </c>
      <c r="AC3" s="48">
        <f>data0!N56</f>
        <v>0</v>
      </c>
      <c r="AD3" s="48">
        <f>data0!O56</f>
        <v>0</v>
      </c>
      <c r="AE3" s="48">
        <f>data0!P56</f>
        <v>0</v>
      </c>
      <c r="AF3" s="48">
        <f>data0!Q56</f>
        <v>0</v>
      </c>
      <c r="AG3" s="48">
        <f>data0!R56</f>
        <v>0</v>
      </c>
      <c r="AH3" s="48">
        <f>data0!S56</f>
        <v>0</v>
      </c>
      <c r="AI3" s="48"/>
      <c r="AJ3" s="48">
        <f>data0!U56</f>
        <v>0</v>
      </c>
      <c r="AK3" s="48">
        <f>data0!V56</f>
        <v>0</v>
      </c>
      <c r="AL3" s="48"/>
      <c r="AM3" s="48">
        <f>data0!X56</f>
        <v>0</v>
      </c>
      <c r="AN3" s="48">
        <f>data0!Y56</f>
        <v>0</v>
      </c>
      <c r="AO3" s="48">
        <f>data0!Z56</f>
        <v>0</v>
      </c>
      <c r="AP3" s="48">
        <f>data0!AA56</f>
        <v>0</v>
      </c>
      <c r="AQ3" s="48">
        <f>data0!AB56</f>
        <v>0</v>
      </c>
      <c r="AR3" s="48">
        <f>data0!AC56</f>
        <v>0</v>
      </c>
      <c r="AS3" s="48">
        <f>data0!AD56</f>
        <v>0</v>
      </c>
      <c r="AT3" s="48">
        <f>data0!AE56</f>
        <v>0</v>
      </c>
      <c r="AU3" s="48">
        <f>data0!AF56</f>
        <v>0</v>
      </c>
      <c r="AV3" s="49">
        <f>data0!AG56</f>
        <v>0</v>
      </c>
      <c r="AW3" s="47">
        <f>data1!B56</f>
        <v>94.128646850585938</v>
      </c>
      <c r="AX3" s="48">
        <f>data1!C56</f>
        <v>93.146759033203125</v>
      </c>
      <c r="AY3" s="48">
        <f>data1!D56</f>
        <v>97.447059631347656</v>
      </c>
      <c r="AZ3" s="48">
        <f>data1!E56</f>
        <v>87.324241638183594</v>
      </c>
      <c r="BA3" s="48">
        <f>data1!F56</f>
        <v>87.807647705078125</v>
      </c>
      <c r="BB3" s="48"/>
      <c r="BC3" s="48">
        <f>data1!H56</f>
        <v>0</v>
      </c>
      <c r="BD3" s="48">
        <f>data1!I56</f>
        <v>0</v>
      </c>
      <c r="BE3" s="48">
        <f>data1!J56</f>
        <v>0</v>
      </c>
      <c r="BF3" s="48">
        <f>data1!K56</f>
        <v>0</v>
      </c>
      <c r="BG3" s="48">
        <f>data1!L56</f>
        <v>0</v>
      </c>
      <c r="BH3" s="48">
        <f>data1!M56</f>
        <v>0</v>
      </c>
      <c r="BI3" s="48">
        <f>data1!N56</f>
        <v>0</v>
      </c>
      <c r="BJ3" s="48">
        <f>data1!O56</f>
        <v>0</v>
      </c>
      <c r="BK3" s="48">
        <f>data1!P56</f>
        <v>0</v>
      </c>
      <c r="BL3" s="48">
        <f>data1!Q56</f>
        <v>0</v>
      </c>
      <c r="BM3" s="48">
        <f>data1!R56</f>
        <v>0</v>
      </c>
      <c r="BN3" s="48">
        <f>data1!S56</f>
        <v>0</v>
      </c>
      <c r="BO3" s="48"/>
      <c r="BP3" s="48">
        <f>data1!U56</f>
        <v>0</v>
      </c>
      <c r="BQ3" s="48">
        <f>data1!V56</f>
        <v>0</v>
      </c>
      <c r="BR3" s="48"/>
      <c r="BS3" s="48">
        <f>data1!X56</f>
        <v>0</v>
      </c>
      <c r="BT3" s="48">
        <f>data1!Y56</f>
        <v>0</v>
      </c>
      <c r="BU3" s="48">
        <f>data1!Z56</f>
        <v>0</v>
      </c>
      <c r="BV3" s="48">
        <f>data1!AA56</f>
        <v>0</v>
      </c>
      <c r="BW3" s="48">
        <f>data1!AB56</f>
        <v>0</v>
      </c>
      <c r="BX3" s="48">
        <f>data1!AC56</f>
        <v>0</v>
      </c>
      <c r="BY3" s="48">
        <f>data1!AD56</f>
        <v>0</v>
      </c>
      <c r="BZ3" s="48">
        <f>data1!AE56</f>
        <v>0</v>
      </c>
      <c r="CA3" s="48">
        <f>data1!AF56</f>
        <v>0</v>
      </c>
      <c r="CB3" s="48">
        <f>data1!AG56</f>
        <v>0</v>
      </c>
      <c r="CC3" s="47">
        <f>data2!B56</f>
        <v>53.166141510009766</v>
      </c>
      <c r="CD3" s="48">
        <f>data2!C56</f>
        <v>52.350330352783203</v>
      </c>
      <c r="CE3" s="48">
        <f>data2!D56</f>
        <v>52.975067138671875</v>
      </c>
      <c r="CF3" s="48">
        <f>data2!E56</f>
        <v>50.792858123779297</v>
      </c>
      <c r="CG3" s="48">
        <f>data2!F56</f>
        <v>49.046890258789063</v>
      </c>
      <c r="CH3" s="48"/>
      <c r="CI3" s="48">
        <f>data2!H56</f>
        <v>0</v>
      </c>
      <c r="CJ3" s="48">
        <f>data2!I56</f>
        <v>0</v>
      </c>
      <c r="CK3" s="48">
        <f>data2!J56</f>
        <v>0</v>
      </c>
      <c r="CL3" s="48">
        <f>data2!K56</f>
        <v>0</v>
      </c>
      <c r="CM3" s="48">
        <f>data2!L56</f>
        <v>0</v>
      </c>
      <c r="CN3" s="48">
        <f>data2!M56</f>
        <v>0</v>
      </c>
      <c r="CO3" s="48">
        <f>data2!N56</f>
        <v>0</v>
      </c>
      <c r="CP3" s="48">
        <f>data2!O56</f>
        <v>0</v>
      </c>
      <c r="CQ3" s="48">
        <f>data2!P56</f>
        <v>0</v>
      </c>
      <c r="CR3" s="48">
        <f>data2!Q56</f>
        <v>0</v>
      </c>
      <c r="CS3" s="48">
        <f>data2!R56</f>
        <v>0</v>
      </c>
      <c r="CT3" s="48">
        <f>data2!S56</f>
        <v>0</v>
      </c>
      <c r="CU3" s="48"/>
      <c r="CV3" s="48">
        <f>data2!U56</f>
        <v>0</v>
      </c>
      <c r="CW3" s="48">
        <f>data2!V56</f>
        <v>0</v>
      </c>
      <c r="CX3" s="48"/>
      <c r="CY3" s="48">
        <f>data2!X56</f>
        <v>0</v>
      </c>
      <c r="CZ3" s="48">
        <f>data2!Y56</f>
        <v>0</v>
      </c>
      <c r="DA3" s="48">
        <f>data2!Z56</f>
        <v>0</v>
      </c>
      <c r="DB3" s="48">
        <f>data2!AA56</f>
        <v>0</v>
      </c>
      <c r="DC3" s="48">
        <f>data2!AB56</f>
        <v>0</v>
      </c>
      <c r="DD3" s="48">
        <f>data2!AC56</f>
        <v>0</v>
      </c>
      <c r="DE3" s="48">
        <f>data2!AD56</f>
        <v>0</v>
      </c>
      <c r="DF3" s="48">
        <f>data2!AE56</f>
        <v>0</v>
      </c>
      <c r="DG3" s="48">
        <f>data2!AF56</f>
        <v>0</v>
      </c>
      <c r="DH3" s="49">
        <f>data2!AG56</f>
        <v>0</v>
      </c>
    </row>
    <row r="4" spans="1:112" s="63" customFormat="1">
      <c r="A4" s="14">
        <f>A3+1</f>
        <v>2</v>
      </c>
      <c r="B4" s="63">
        <f ca="1">data4!S3</f>
        <v>18.852958021449371</v>
      </c>
      <c r="C4" s="63">
        <f>data5!L3</f>
        <v>3954.7</v>
      </c>
      <c r="D4" s="63">
        <f t="shared" ref="D4:D27" si="3">E4-1.5*G4</f>
        <v>-43.909824608439664</v>
      </c>
      <c r="E4" s="63">
        <f t="shared" ref="E4:E27" si="4">AVERAGE(Q4:AV4)</f>
        <v>18.724416009311017</v>
      </c>
      <c r="F4" s="63">
        <f t="shared" ref="F4:F27" si="5">E4+1.5*G4</f>
        <v>81.358656627061706</v>
      </c>
      <c r="G4" s="63">
        <f t="shared" ref="G4:G27" si="6">STDEV(Q4:AV4)</f>
        <v>41.75616041183379</v>
      </c>
      <c r="H4" s="63">
        <f t="shared" ref="H4:H27" si="7">I4-1.5*K4</f>
        <v>-30.120338662203171</v>
      </c>
      <c r="I4" s="63">
        <f t="shared" ref="I4:I27" si="8">AVERAGE(AW4:CB4)</f>
        <v>12.827853235705145</v>
      </c>
      <c r="J4" s="63">
        <f t="shared" ref="J4:J27" si="9">I4+1.5*K4</f>
        <v>55.776045133613465</v>
      </c>
      <c r="K4" s="63">
        <f t="shared" ref="K4:K27" si="10">STDEV(AW4:CB4)</f>
        <v>28.632127931938879</v>
      </c>
      <c r="L4" s="63">
        <f t="shared" ref="L4:L27" si="11">M4-1.5*O4</f>
        <v>-16.096544556225911</v>
      </c>
      <c r="M4" s="63">
        <f t="shared" ref="M4:M27" si="12">AVERAGE(CC4:DH4)</f>
        <v>6.859721348203462</v>
      </c>
      <c r="N4" s="63">
        <f t="shared" ref="N4:N27" si="13">M4+1.5*O4</f>
        <v>29.815987252632834</v>
      </c>
      <c r="O4" s="63">
        <f t="shared" ref="O4:O27" si="14">STDEV(CC4:DH4)</f>
        <v>15.304177269619581</v>
      </c>
      <c r="P4" s="63" t="b">
        <f t="shared" ref="P4:P27" si="15">MAX(Q4:DH4)&lt;P$1</f>
        <v>1</v>
      </c>
      <c r="Q4" s="47">
        <f>data0!B57</f>
        <v>110.00503540039062</v>
      </c>
      <c r="R4" s="48">
        <f>data0!C57</f>
        <v>109.96871185302734</v>
      </c>
      <c r="S4" s="48">
        <f>data0!D57</f>
        <v>109.99550628662109</v>
      </c>
      <c r="T4" s="48">
        <f>data0!E57</f>
        <v>105.60870361328125</v>
      </c>
      <c r="U4" s="48">
        <f>data0!F57</f>
        <v>107.43010711669922</v>
      </c>
      <c r="V4" s="48"/>
      <c r="W4" s="48">
        <f>data0!H57</f>
        <v>0</v>
      </c>
      <c r="X4" s="48">
        <f>data0!I57</f>
        <v>0</v>
      </c>
      <c r="Y4" s="48">
        <f>data0!J57</f>
        <v>0</v>
      </c>
      <c r="Z4" s="48">
        <f>data0!K57</f>
        <v>0</v>
      </c>
      <c r="AA4" s="48">
        <f>data0!L57</f>
        <v>0</v>
      </c>
      <c r="AB4" s="48">
        <f>data0!M57</f>
        <v>0</v>
      </c>
      <c r="AC4" s="48">
        <f>data0!N57</f>
        <v>0</v>
      </c>
      <c r="AD4" s="48">
        <f>data0!O57</f>
        <v>0</v>
      </c>
      <c r="AE4" s="48">
        <f>data0!P57</f>
        <v>0</v>
      </c>
      <c r="AF4" s="48">
        <f>data0!Q57</f>
        <v>0</v>
      </c>
      <c r="AG4" s="48">
        <f>data0!R57</f>
        <v>0</v>
      </c>
      <c r="AH4" s="48">
        <f>data0!S57</f>
        <v>0</v>
      </c>
      <c r="AI4" s="48"/>
      <c r="AJ4" s="48">
        <f>data0!U57</f>
        <v>0</v>
      </c>
      <c r="AK4" s="48">
        <f>data0!V57</f>
        <v>0</v>
      </c>
      <c r="AL4" s="48"/>
      <c r="AM4" s="48">
        <f>data0!X57</f>
        <v>0</v>
      </c>
      <c r="AN4" s="48">
        <f>data0!Y57</f>
        <v>0</v>
      </c>
      <c r="AO4" s="48">
        <f>data0!Z57</f>
        <v>0</v>
      </c>
      <c r="AP4" s="48">
        <f>data0!AA57</f>
        <v>0</v>
      </c>
      <c r="AQ4" s="48">
        <f>data0!AB57</f>
        <v>0</v>
      </c>
      <c r="AR4" s="48">
        <f>data0!AC57</f>
        <v>0</v>
      </c>
      <c r="AS4" s="48">
        <f>data0!AD57</f>
        <v>0</v>
      </c>
      <c r="AT4" s="48">
        <f>data0!AE57</f>
        <v>0</v>
      </c>
      <c r="AU4" s="48">
        <f>data0!AF57</f>
        <v>0</v>
      </c>
      <c r="AV4" s="49">
        <f>data0!AG57</f>
        <v>0</v>
      </c>
      <c r="AW4" s="47">
        <f>data1!B57</f>
        <v>76.147026062011719</v>
      </c>
      <c r="AX4" s="48">
        <f>data1!C57</f>
        <v>75.453926086425781</v>
      </c>
      <c r="AY4" s="48">
        <f>data1!D57</f>
        <v>78.724288940429688</v>
      </c>
      <c r="AZ4" s="48">
        <f>data1!E57</f>
        <v>70.465927124023438</v>
      </c>
      <c r="BA4" s="48">
        <f>data1!F57</f>
        <v>71.216575622558594</v>
      </c>
      <c r="BB4" s="48"/>
      <c r="BC4" s="48">
        <f>data1!H57</f>
        <v>0</v>
      </c>
      <c r="BD4" s="48">
        <f>data1!I57</f>
        <v>0</v>
      </c>
      <c r="BE4" s="48">
        <f>data1!J57</f>
        <v>0</v>
      </c>
      <c r="BF4" s="48">
        <f>data1!K57</f>
        <v>0</v>
      </c>
      <c r="BG4" s="48">
        <f>data1!L57</f>
        <v>0</v>
      </c>
      <c r="BH4" s="48">
        <f>data1!M57</f>
        <v>0</v>
      </c>
      <c r="BI4" s="48">
        <f>data1!N57</f>
        <v>0</v>
      </c>
      <c r="BJ4" s="48">
        <f>data1!O57</f>
        <v>0</v>
      </c>
      <c r="BK4" s="48">
        <f>data1!P57</f>
        <v>0</v>
      </c>
      <c r="BL4" s="48">
        <f>data1!Q57</f>
        <v>0</v>
      </c>
      <c r="BM4" s="48">
        <f>data1!R57</f>
        <v>0</v>
      </c>
      <c r="BN4" s="48">
        <f>data1!S57</f>
        <v>0</v>
      </c>
      <c r="BO4" s="48"/>
      <c r="BP4" s="48">
        <f>data1!U57</f>
        <v>0</v>
      </c>
      <c r="BQ4" s="48">
        <f>data1!V57</f>
        <v>0</v>
      </c>
      <c r="BR4" s="48"/>
      <c r="BS4" s="48">
        <f>data1!X57</f>
        <v>0</v>
      </c>
      <c r="BT4" s="48">
        <f>data1!Y57</f>
        <v>0</v>
      </c>
      <c r="BU4" s="48">
        <f>data1!Z57</f>
        <v>0</v>
      </c>
      <c r="BV4" s="48">
        <f>data1!AA57</f>
        <v>0</v>
      </c>
      <c r="BW4" s="48">
        <f>data1!AB57</f>
        <v>0</v>
      </c>
      <c r="BX4" s="48">
        <f>data1!AC57</f>
        <v>0</v>
      </c>
      <c r="BY4" s="48">
        <f>data1!AD57</f>
        <v>0</v>
      </c>
      <c r="BZ4" s="48">
        <f>data1!AE57</f>
        <v>0</v>
      </c>
      <c r="CA4" s="48">
        <f>data1!AF57</f>
        <v>0</v>
      </c>
      <c r="CB4" s="48">
        <f>data1!AG57</f>
        <v>0</v>
      </c>
      <c r="CC4" s="47">
        <f>data2!B57</f>
        <v>41.039497375488281</v>
      </c>
      <c r="CD4" s="48">
        <f>data2!C57</f>
        <v>40.525520324707031</v>
      </c>
      <c r="CE4" s="48">
        <f>data2!D57</f>
        <v>40.608604431152344</v>
      </c>
      <c r="CF4" s="48">
        <f>data2!E57</f>
        <v>39.147956848144531</v>
      </c>
      <c r="CG4" s="48">
        <f>data2!F57</f>
        <v>37.610340118408203</v>
      </c>
      <c r="CH4" s="48"/>
      <c r="CI4" s="48">
        <f>data2!H57</f>
        <v>0</v>
      </c>
      <c r="CJ4" s="48">
        <f>data2!I57</f>
        <v>0</v>
      </c>
      <c r="CK4" s="48">
        <f>data2!J57</f>
        <v>0</v>
      </c>
      <c r="CL4" s="48">
        <f>data2!K57</f>
        <v>0</v>
      </c>
      <c r="CM4" s="48">
        <f>data2!L57</f>
        <v>0</v>
      </c>
      <c r="CN4" s="48">
        <f>data2!M57</f>
        <v>0</v>
      </c>
      <c r="CO4" s="48">
        <f>data2!N57</f>
        <v>0</v>
      </c>
      <c r="CP4" s="48">
        <f>data2!O57</f>
        <v>0</v>
      </c>
      <c r="CQ4" s="48">
        <f>data2!P57</f>
        <v>0</v>
      </c>
      <c r="CR4" s="48">
        <f>data2!Q57</f>
        <v>0</v>
      </c>
      <c r="CS4" s="48">
        <f>data2!R57</f>
        <v>0</v>
      </c>
      <c r="CT4" s="48">
        <f>data2!S57</f>
        <v>0</v>
      </c>
      <c r="CU4" s="48"/>
      <c r="CV4" s="48">
        <f>data2!U57</f>
        <v>0</v>
      </c>
      <c r="CW4" s="48">
        <f>data2!V57</f>
        <v>0</v>
      </c>
      <c r="CX4" s="48"/>
      <c r="CY4" s="48">
        <f>data2!X57</f>
        <v>0</v>
      </c>
      <c r="CZ4" s="48">
        <f>data2!Y57</f>
        <v>0</v>
      </c>
      <c r="DA4" s="48">
        <f>data2!Z57</f>
        <v>0</v>
      </c>
      <c r="DB4" s="48">
        <f>data2!AA57</f>
        <v>0</v>
      </c>
      <c r="DC4" s="48">
        <f>data2!AB57</f>
        <v>0</v>
      </c>
      <c r="DD4" s="48">
        <f>data2!AC57</f>
        <v>0</v>
      </c>
      <c r="DE4" s="48">
        <f>data2!AD57</f>
        <v>0</v>
      </c>
      <c r="DF4" s="48">
        <f>data2!AE57</f>
        <v>0</v>
      </c>
      <c r="DG4" s="48">
        <f>data2!AF57</f>
        <v>0</v>
      </c>
      <c r="DH4" s="49">
        <f>data2!AG57</f>
        <v>0</v>
      </c>
    </row>
    <row r="5" spans="1:112" s="63" customFormat="1">
      <c r="A5" s="14">
        <f t="shared" ref="A5:A27" si="16">A4+1</f>
        <v>3</v>
      </c>
      <c r="B5" s="63">
        <f ca="1">data4!S4</f>
        <v>15.437578208746091</v>
      </c>
      <c r="C5" s="63">
        <f>data5!L4</f>
        <v>3988.4</v>
      </c>
      <c r="D5" s="63">
        <f t="shared" si="3"/>
        <v>-34.195176333084113</v>
      </c>
      <c r="E5" s="63">
        <f t="shared" si="4"/>
        <v>14.579325182684537</v>
      </c>
      <c r="F5" s="63">
        <f t="shared" si="5"/>
        <v>63.353826698453183</v>
      </c>
      <c r="G5" s="63">
        <f t="shared" si="6"/>
        <v>32.516334343845763</v>
      </c>
      <c r="H5" s="63">
        <f t="shared" si="7"/>
        <v>-24.287394189121425</v>
      </c>
      <c r="I5" s="63">
        <f t="shared" si="8"/>
        <v>10.342492070691339</v>
      </c>
      <c r="J5" s="63">
        <f t="shared" si="9"/>
        <v>44.9723783305041</v>
      </c>
      <c r="K5" s="63">
        <f t="shared" si="10"/>
        <v>23.086590839875175</v>
      </c>
      <c r="L5" s="63">
        <f t="shared" si="11"/>
        <v>-12.162402807763012</v>
      </c>
      <c r="M5" s="63">
        <f t="shared" si="12"/>
        <v>5.1823866613979996</v>
      </c>
      <c r="N5" s="63">
        <f t="shared" si="13"/>
        <v>22.52717613055901</v>
      </c>
      <c r="O5" s="63">
        <f t="shared" si="14"/>
        <v>11.563192979440673</v>
      </c>
      <c r="P5" s="63" t="b">
        <f t="shared" si="15"/>
        <v>1</v>
      </c>
      <c r="Q5" s="47">
        <f>data0!B58</f>
        <v>86.690956115722656</v>
      </c>
      <c r="R5" s="48">
        <f>data0!C58</f>
        <v>85.032844543457031</v>
      </c>
      <c r="S5" s="48">
        <f>data0!D58</f>
        <v>86.03131103515625</v>
      </c>
      <c r="T5" s="48">
        <f>data0!E58</f>
        <v>81.625625610351563</v>
      </c>
      <c r="U5" s="48">
        <f>data0!F58</f>
        <v>83.419692993164063</v>
      </c>
      <c r="V5" s="48"/>
      <c r="W5" s="48">
        <f>data0!H58</f>
        <v>0</v>
      </c>
      <c r="X5" s="48">
        <f>data0!I58</f>
        <v>0</v>
      </c>
      <c r="Y5" s="48">
        <f>data0!J58</f>
        <v>0</v>
      </c>
      <c r="Z5" s="48">
        <f>data0!K58</f>
        <v>0</v>
      </c>
      <c r="AA5" s="48">
        <f>data0!L58</f>
        <v>0</v>
      </c>
      <c r="AB5" s="48">
        <f>data0!M58</f>
        <v>0</v>
      </c>
      <c r="AC5" s="48">
        <f>data0!N58</f>
        <v>0</v>
      </c>
      <c r="AD5" s="48">
        <f>data0!O58</f>
        <v>0</v>
      </c>
      <c r="AE5" s="48">
        <f>data0!P58</f>
        <v>0</v>
      </c>
      <c r="AF5" s="48">
        <f>data0!Q58</f>
        <v>0</v>
      </c>
      <c r="AG5" s="48">
        <f>data0!R58</f>
        <v>0</v>
      </c>
      <c r="AH5" s="48">
        <f>data0!S58</f>
        <v>0</v>
      </c>
      <c r="AI5" s="48"/>
      <c r="AJ5" s="48">
        <f>data0!U58</f>
        <v>0</v>
      </c>
      <c r="AK5" s="48">
        <f>data0!V58</f>
        <v>0</v>
      </c>
      <c r="AL5" s="48"/>
      <c r="AM5" s="48">
        <f>data0!X58</f>
        <v>0</v>
      </c>
      <c r="AN5" s="48">
        <f>data0!Y58</f>
        <v>0</v>
      </c>
      <c r="AO5" s="48">
        <f>data0!Z58</f>
        <v>0</v>
      </c>
      <c r="AP5" s="48">
        <f>data0!AA58</f>
        <v>0</v>
      </c>
      <c r="AQ5" s="48">
        <f>data0!AB58</f>
        <v>0</v>
      </c>
      <c r="AR5" s="48">
        <f>data0!AC58</f>
        <v>0</v>
      </c>
      <c r="AS5" s="48">
        <f>data0!AD58</f>
        <v>0</v>
      </c>
      <c r="AT5" s="48">
        <f>data0!AE58</f>
        <v>0</v>
      </c>
      <c r="AU5" s="48">
        <f>data0!AF58</f>
        <v>0</v>
      </c>
      <c r="AV5" s="49">
        <f>data0!AG58</f>
        <v>0</v>
      </c>
      <c r="AW5" s="47">
        <f>data1!B58</f>
        <v>61.706714630126953</v>
      </c>
      <c r="AX5" s="48">
        <f>data1!C58</f>
        <v>61.033042907714844</v>
      </c>
      <c r="AY5" s="48">
        <f>data1!D58</f>
        <v>63.310157775878906</v>
      </c>
      <c r="AZ5" s="48">
        <f>data1!E58</f>
        <v>56.578083038330078</v>
      </c>
      <c r="BA5" s="48">
        <f>data1!F58</f>
        <v>57.304271697998047</v>
      </c>
      <c r="BB5" s="48"/>
      <c r="BC5" s="48">
        <f>data1!H58</f>
        <v>0</v>
      </c>
      <c r="BD5" s="48">
        <f>data1!I58</f>
        <v>0</v>
      </c>
      <c r="BE5" s="48">
        <f>data1!J58</f>
        <v>0</v>
      </c>
      <c r="BF5" s="48">
        <f>data1!K58</f>
        <v>0</v>
      </c>
      <c r="BG5" s="48">
        <f>data1!L58</f>
        <v>0</v>
      </c>
      <c r="BH5" s="48">
        <f>data1!M58</f>
        <v>0</v>
      </c>
      <c r="BI5" s="48">
        <f>data1!N58</f>
        <v>0</v>
      </c>
      <c r="BJ5" s="48">
        <f>data1!O58</f>
        <v>0</v>
      </c>
      <c r="BK5" s="48">
        <f>data1!P58</f>
        <v>0</v>
      </c>
      <c r="BL5" s="48">
        <f>data1!Q58</f>
        <v>0</v>
      </c>
      <c r="BM5" s="48">
        <f>data1!R58</f>
        <v>0</v>
      </c>
      <c r="BN5" s="48">
        <f>data1!S58</f>
        <v>0</v>
      </c>
      <c r="BO5" s="48"/>
      <c r="BP5" s="48">
        <f>data1!U58</f>
        <v>0</v>
      </c>
      <c r="BQ5" s="48">
        <f>data1!V58</f>
        <v>0</v>
      </c>
      <c r="BR5" s="48"/>
      <c r="BS5" s="48">
        <f>data1!X58</f>
        <v>0</v>
      </c>
      <c r="BT5" s="48">
        <f>data1!Y58</f>
        <v>0</v>
      </c>
      <c r="BU5" s="48">
        <f>data1!Z58</f>
        <v>0</v>
      </c>
      <c r="BV5" s="48">
        <f>data1!AA58</f>
        <v>0</v>
      </c>
      <c r="BW5" s="48">
        <f>data1!AB58</f>
        <v>0</v>
      </c>
      <c r="BX5" s="48">
        <f>data1!AC58</f>
        <v>0</v>
      </c>
      <c r="BY5" s="48">
        <f>data1!AD58</f>
        <v>0</v>
      </c>
      <c r="BZ5" s="48">
        <f>data1!AE58</f>
        <v>0</v>
      </c>
      <c r="CA5" s="48">
        <f>data1!AF58</f>
        <v>0</v>
      </c>
      <c r="CB5" s="48">
        <f>data1!AG58</f>
        <v>0</v>
      </c>
      <c r="CC5" s="47">
        <f>data2!B58</f>
        <v>31.121767044067383</v>
      </c>
      <c r="CD5" s="48">
        <f>data2!C58</f>
        <v>30.719827651977539</v>
      </c>
      <c r="CE5" s="48">
        <f>data2!D58</f>
        <v>30.692132949829102</v>
      </c>
      <c r="CF5" s="48">
        <f>data2!E58</f>
        <v>29.396217346191406</v>
      </c>
      <c r="CG5" s="48">
        <f>data2!F58</f>
        <v>28.359268188476563</v>
      </c>
      <c r="CH5" s="48"/>
      <c r="CI5" s="48">
        <f>data2!H58</f>
        <v>0</v>
      </c>
      <c r="CJ5" s="48">
        <f>data2!I58</f>
        <v>0</v>
      </c>
      <c r="CK5" s="48">
        <f>data2!J58</f>
        <v>0</v>
      </c>
      <c r="CL5" s="48">
        <f>data2!K58</f>
        <v>0</v>
      </c>
      <c r="CM5" s="48">
        <f>data2!L58</f>
        <v>0</v>
      </c>
      <c r="CN5" s="48">
        <f>data2!M58</f>
        <v>0</v>
      </c>
      <c r="CO5" s="48">
        <f>data2!N58</f>
        <v>0</v>
      </c>
      <c r="CP5" s="48">
        <f>data2!O58</f>
        <v>0</v>
      </c>
      <c r="CQ5" s="48">
        <f>data2!P58</f>
        <v>0</v>
      </c>
      <c r="CR5" s="48">
        <f>data2!Q58</f>
        <v>0</v>
      </c>
      <c r="CS5" s="48">
        <f>data2!R58</f>
        <v>0</v>
      </c>
      <c r="CT5" s="48">
        <f>data2!S58</f>
        <v>0</v>
      </c>
      <c r="CU5" s="48"/>
      <c r="CV5" s="48">
        <f>data2!U58</f>
        <v>0</v>
      </c>
      <c r="CW5" s="48">
        <f>data2!V58</f>
        <v>0</v>
      </c>
      <c r="CX5" s="48"/>
      <c r="CY5" s="48">
        <f>data2!X58</f>
        <v>0</v>
      </c>
      <c r="CZ5" s="48">
        <f>data2!Y58</f>
        <v>0</v>
      </c>
      <c r="DA5" s="48">
        <f>data2!Z58</f>
        <v>0</v>
      </c>
      <c r="DB5" s="48">
        <f>data2!AA58</f>
        <v>0</v>
      </c>
      <c r="DC5" s="48">
        <f>data2!AB58</f>
        <v>0</v>
      </c>
      <c r="DD5" s="48">
        <f>data2!AC58</f>
        <v>0</v>
      </c>
      <c r="DE5" s="48">
        <f>data2!AD58</f>
        <v>0</v>
      </c>
      <c r="DF5" s="48">
        <f>data2!AE58</f>
        <v>0</v>
      </c>
      <c r="DG5" s="48">
        <f>data2!AF58</f>
        <v>0</v>
      </c>
      <c r="DH5" s="49">
        <f>data2!AG58</f>
        <v>0</v>
      </c>
    </row>
    <row r="6" spans="1:112" s="63" customFormat="1">
      <c r="A6" s="14">
        <f t="shared" si="16"/>
        <v>4</v>
      </c>
      <c r="B6" s="63">
        <f ca="1">data4!S5</f>
        <v>12.825726800021135</v>
      </c>
      <c r="C6" s="63">
        <f>data5!L5</f>
        <v>3978.3</v>
      </c>
      <c r="D6" s="63">
        <f t="shared" si="3"/>
        <v>-27.673508620296833</v>
      </c>
      <c r="E6" s="63">
        <f t="shared" si="4"/>
        <v>11.798296698208514</v>
      </c>
      <c r="F6" s="63">
        <f t="shared" si="5"/>
        <v>51.270102016713864</v>
      </c>
      <c r="G6" s="63">
        <f t="shared" si="6"/>
        <v>26.314536879003565</v>
      </c>
      <c r="H6" s="63">
        <f t="shared" si="7"/>
        <v>-19.907904229038742</v>
      </c>
      <c r="I6" s="63">
        <f t="shared" si="8"/>
        <v>8.4762399607691279</v>
      </c>
      <c r="J6" s="63">
        <f t="shared" si="9"/>
        <v>36.860384150576998</v>
      </c>
      <c r="K6" s="63">
        <f t="shared" si="10"/>
        <v>18.922762793205248</v>
      </c>
      <c r="L6" s="63">
        <f t="shared" si="11"/>
        <v>-9.0823255657611313</v>
      </c>
      <c r="M6" s="63">
        <f t="shared" si="12"/>
        <v>3.869292949808055</v>
      </c>
      <c r="N6" s="63">
        <f t="shared" si="13"/>
        <v>16.820911465377243</v>
      </c>
      <c r="O6" s="63">
        <f t="shared" si="14"/>
        <v>8.6344123437127909</v>
      </c>
      <c r="P6" s="63" t="b">
        <f t="shared" si="15"/>
        <v>1</v>
      </c>
      <c r="Q6" s="47">
        <f>data0!B59</f>
        <v>70.163803100585938</v>
      </c>
      <c r="R6" s="48">
        <f>data0!C59</f>
        <v>68.982620239257813</v>
      </c>
      <c r="S6" s="48">
        <f>data0!D59</f>
        <v>69.7325439453125</v>
      </c>
      <c r="T6" s="48">
        <f>data0!E59</f>
        <v>66.054130554199219</v>
      </c>
      <c r="U6" s="48">
        <f>data0!F59</f>
        <v>67.217506408691406</v>
      </c>
      <c r="V6" s="48"/>
      <c r="W6" s="48">
        <f>data0!H59</f>
        <v>0</v>
      </c>
      <c r="X6" s="48">
        <f>data0!I59</f>
        <v>0</v>
      </c>
      <c r="Y6" s="48">
        <f>data0!J59</f>
        <v>0</v>
      </c>
      <c r="Z6" s="48">
        <f>data0!K59</f>
        <v>0</v>
      </c>
      <c r="AA6" s="48">
        <f>data0!L59</f>
        <v>0</v>
      </c>
      <c r="AB6" s="48">
        <f>data0!M59</f>
        <v>0</v>
      </c>
      <c r="AC6" s="48">
        <f>data0!N59</f>
        <v>0</v>
      </c>
      <c r="AD6" s="48">
        <f>data0!O59</f>
        <v>0</v>
      </c>
      <c r="AE6" s="48">
        <f>data0!P59</f>
        <v>0</v>
      </c>
      <c r="AF6" s="48">
        <f>data0!Q59</f>
        <v>0</v>
      </c>
      <c r="AG6" s="48">
        <f>data0!R59</f>
        <v>0</v>
      </c>
      <c r="AH6" s="48">
        <f>data0!S59</f>
        <v>0</v>
      </c>
      <c r="AI6" s="48"/>
      <c r="AJ6" s="48">
        <f>data0!U59</f>
        <v>0</v>
      </c>
      <c r="AK6" s="48">
        <f>data0!V59</f>
        <v>0</v>
      </c>
      <c r="AL6" s="48"/>
      <c r="AM6" s="48">
        <f>data0!X59</f>
        <v>0</v>
      </c>
      <c r="AN6" s="48">
        <f>data0!Y59</f>
        <v>0</v>
      </c>
      <c r="AO6" s="48">
        <f>data0!Z59</f>
        <v>0</v>
      </c>
      <c r="AP6" s="48">
        <f>data0!AA59</f>
        <v>0</v>
      </c>
      <c r="AQ6" s="48">
        <f>data0!AB59</f>
        <v>0</v>
      </c>
      <c r="AR6" s="48">
        <f>data0!AC59</f>
        <v>0</v>
      </c>
      <c r="AS6" s="48">
        <f>data0!AD59</f>
        <v>0</v>
      </c>
      <c r="AT6" s="48">
        <f>data0!AE59</f>
        <v>0</v>
      </c>
      <c r="AU6" s="48">
        <f>data0!AF59</f>
        <v>0</v>
      </c>
      <c r="AV6" s="49">
        <f>data0!AG59</f>
        <v>0</v>
      </c>
      <c r="AW6" s="47">
        <f>data1!B59</f>
        <v>50.446849822998047</v>
      </c>
      <c r="AX6" s="48">
        <f>data1!C59</f>
        <v>50.043292999267578</v>
      </c>
      <c r="AY6" s="48">
        <f>data1!D59</f>
        <v>52.150459289550781</v>
      </c>
      <c r="AZ6" s="48">
        <f>data1!E59</f>
        <v>46.200862884521484</v>
      </c>
      <c r="BA6" s="48">
        <f>data1!F59</f>
        <v>46.969493865966797</v>
      </c>
      <c r="BB6" s="48"/>
      <c r="BC6" s="48">
        <f>data1!H59</f>
        <v>0</v>
      </c>
      <c r="BD6" s="48">
        <f>data1!I59</f>
        <v>0</v>
      </c>
      <c r="BE6" s="48">
        <f>data1!J59</f>
        <v>0</v>
      </c>
      <c r="BF6" s="48">
        <f>data1!K59</f>
        <v>0</v>
      </c>
      <c r="BG6" s="48">
        <f>data1!L59</f>
        <v>0</v>
      </c>
      <c r="BH6" s="48">
        <f>data1!M59</f>
        <v>0</v>
      </c>
      <c r="BI6" s="48">
        <f>data1!N59</f>
        <v>0</v>
      </c>
      <c r="BJ6" s="48">
        <f>data1!O59</f>
        <v>0</v>
      </c>
      <c r="BK6" s="48">
        <f>data1!P59</f>
        <v>0</v>
      </c>
      <c r="BL6" s="48">
        <f>data1!Q59</f>
        <v>0</v>
      </c>
      <c r="BM6" s="48">
        <f>data1!R59</f>
        <v>0</v>
      </c>
      <c r="BN6" s="48">
        <f>data1!S59</f>
        <v>0</v>
      </c>
      <c r="BO6" s="48"/>
      <c r="BP6" s="48">
        <f>data1!U59</f>
        <v>0</v>
      </c>
      <c r="BQ6" s="48">
        <f>data1!V59</f>
        <v>0</v>
      </c>
      <c r="BR6" s="48"/>
      <c r="BS6" s="48">
        <f>data1!X59</f>
        <v>0</v>
      </c>
      <c r="BT6" s="48">
        <f>data1!Y59</f>
        <v>0</v>
      </c>
      <c r="BU6" s="48">
        <f>data1!Z59</f>
        <v>0</v>
      </c>
      <c r="BV6" s="48">
        <f>data1!AA59</f>
        <v>0</v>
      </c>
      <c r="BW6" s="48">
        <f>data1!AB59</f>
        <v>0</v>
      </c>
      <c r="BX6" s="48">
        <f>data1!AC59</f>
        <v>0</v>
      </c>
      <c r="BY6" s="48">
        <f>data1!AD59</f>
        <v>0</v>
      </c>
      <c r="BZ6" s="48">
        <f>data1!AE59</f>
        <v>0</v>
      </c>
      <c r="CA6" s="48">
        <f>data1!AF59</f>
        <v>0</v>
      </c>
      <c r="CB6" s="48">
        <f>data1!AG59</f>
        <v>0</v>
      </c>
      <c r="CC6" s="47">
        <f>data2!B59</f>
        <v>23.340335845947266</v>
      </c>
      <c r="CD6" s="48">
        <f>data2!C59</f>
        <v>23.080650329589844</v>
      </c>
      <c r="CE6" s="48">
        <f>data2!D59</f>
        <v>22.733560562133789</v>
      </c>
      <c r="CF6" s="48">
        <f>data2!E59</f>
        <v>22.022838592529297</v>
      </c>
      <c r="CG6" s="48">
        <f>data2!F59</f>
        <v>21.032110214233398</v>
      </c>
      <c r="CH6" s="48"/>
      <c r="CI6" s="48">
        <f>data2!H59</f>
        <v>0</v>
      </c>
      <c r="CJ6" s="48">
        <f>data2!I59</f>
        <v>0</v>
      </c>
      <c r="CK6" s="48">
        <f>data2!J59</f>
        <v>0</v>
      </c>
      <c r="CL6" s="48">
        <f>data2!K59</f>
        <v>0</v>
      </c>
      <c r="CM6" s="48">
        <f>data2!L59</f>
        <v>0</v>
      </c>
      <c r="CN6" s="48">
        <f>data2!M59</f>
        <v>0</v>
      </c>
      <c r="CO6" s="48">
        <f>data2!N59</f>
        <v>0</v>
      </c>
      <c r="CP6" s="48">
        <f>data2!O59</f>
        <v>0</v>
      </c>
      <c r="CQ6" s="48">
        <f>data2!P59</f>
        <v>0</v>
      </c>
      <c r="CR6" s="48">
        <f>data2!Q59</f>
        <v>0</v>
      </c>
      <c r="CS6" s="48">
        <f>data2!R59</f>
        <v>0</v>
      </c>
      <c r="CT6" s="48">
        <f>data2!S59</f>
        <v>0</v>
      </c>
      <c r="CU6" s="48"/>
      <c r="CV6" s="48">
        <f>data2!U59</f>
        <v>0</v>
      </c>
      <c r="CW6" s="48">
        <f>data2!V59</f>
        <v>0</v>
      </c>
      <c r="CX6" s="48"/>
      <c r="CY6" s="48">
        <f>data2!X59</f>
        <v>0</v>
      </c>
      <c r="CZ6" s="48">
        <f>data2!Y59</f>
        <v>0</v>
      </c>
      <c r="DA6" s="48">
        <f>data2!Z59</f>
        <v>0</v>
      </c>
      <c r="DB6" s="48">
        <f>data2!AA59</f>
        <v>0</v>
      </c>
      <c r="DC6" s="48">
        <f>data2!AB59</f>
        <v>0</v>
      </c>
      <c r="DD6" s="48">
        <f>data2!AC59</f>
        <v>0</v>
      </c>
      <c r="DE6" s="48">
        <f>data2!AD59</f>
        <v>0</v>
      </c>
      <c r="DF6" s="48">
        <f>data2!AE59</f>
        <v>0</v>
      </c>
      <c r="DG6" s="48">
        <f>data2!AF59</f>
        <v>0</v>
      </c>
      <c r="DH6" s="49">
        <f>data2!AG59</f>
        <v>0</v>
      </c>
    </row>
    <row r="7" spans="1:112" s="63" customFormat="1">
      <c r="A7" s="14">
        <f t="shared" si="16"/>
        <v>5</v>
      </c>
      <c r="B7" s="63">
        <f ca="1">data4!S6</f>
        <v>9.4994572118508245</v>
      </c>
      <c r="C7" s="63">
        <f>data5!L6</f>
        <v>3960.5</v>
      </c>
      <c r="D7" s="63">
        <f t="shared" si="3"/>
        <v>-23.082179156641214</v>
      </c>
      <c r="E7" s="63">
        <f t="shared" si="4"/>
        <v>9.8405007987186828</v>
      </c>
      <c r="F7" s="63">
        <f t="shared" si="5"/>
        <v>42.763180754078576</v>
      </c>
      <c r="G7" s="63">
        <f t="shared" si="6"/>
        <v>21.948453303573267</v>
      </c>
      <c r="H7" s="63">
        <f t="shared" si="7"/>
        <v>-15.584990916921708</v>
      </c>
      <c r="I7" s="63">
        <f t="shared" si="8"/>
        <v>6.6342039437129579</v>
      </c>
      <c r="J7" s="63">
        <f t="shared" si="9"/>
        <v>28.853398804347623</v>
      </c>
      <c r="K7" s="63">
        <f t="shared" si="10"/>
        <v>14.812796573756444</v>
      </c>
      <c r="L7" s="63">
        <f t="shared" si="11"/>
        <v>-8.3529265217753395</v>
      </c>
      <c r="M7" s="63">
        <f t="shared" si="12"/>
        <v>3.5588793919004242</v>
      </c>
      <c r="N7" s="63">
        <f t="shared" si="13"/>
        <v>15.470685305576188</v>
      </c>
      <c r="O7" s="63">
        <f t="shared" si="14"/>
        <v>7.9412039424505085</v>
      </c>
      <c r="P7" s="63" t="b">
        <f t="shared" si="15"/>
        <v>1</v>
      </c>
      <c r="Q7" s="47">
        <f>data0!B60</f>
        <v>58.346073150634766</v>
      </c>
      <c r="R7" s="48">
        <f>data0!C60</f>
        <v>57.207698822021484</v>
      </c>
      <c r="S7" s="48">
        <f>data0!D60</f>
        <v>58.630218505859375</v>
      </c>
      <c r="T7" s="48">
        <f>data0!E60</f>
        <v>55.028594970703125</v>
      </c>
      <c r="U7" s="48">
        <f>data0!F60</f>
        <v>56.161937713623047</v>
      </c>
      <c r="V7" s="48"/>
      <c r="W7" s="48">
        <f>data0!H60</f>
        <v>0</v>
      </c>
      <c r="X7" s="48">
        <f>data0!I60</f>
        <v>0</v>
      </c>
      <c r="Y7" s="48">
        <f>data0!J60</f>
        <v>0</v>
      </c>
      <c r="Z7" s="48">
        <f>data0!K60</f>
        <v>0</v>
      </c>
      <c r="AA7" s="48">
        <f>data0!L60</f>
        <v>0</v>
      </c>
      <c r="AB7" s="48">
        <f>data0!M60</f>
        <v>0</v>
      </c>
      <c r="AC7" s="48">
        <f>data0!N60</f>
        <v>0</v>
      </c>
      <c r="AD7" s="48">
        <f>data0!O60</f>
        <v>0</v>
      </c>
      <c r="AE7" s="48">
        <f>data0!P60</f>
        <v>0</v>
      </c>
      <c r="AF7" s="48">
        <f>data0!Q60</f>
        <v>0</v>
      </c>
      <c r="AG7" s="48">
        <f>data0!R60</f>
        <v>0</v>
      </c>
      <c r="AH7" s="48">
        <f>data0!S60</f>
        <v>0</v>
      </c>
      <c r="AI7" s="48"/>
      <c r="AJ7" s="48">
        <f>data0!U60</f>
        <v>0</v>
      </c>
      <c r="AK7" s="48">
        <f>data0!V60</f>
        <v>0</v>
      </c>
      <c r="AL7" s="48"/>
      <c r="AM7" s="48">
        <f>data0!X60</f>
        <v>0</v>
      </c>
      <c r="AN7" s="48">
        <f>data0!Y60</f>
        <v>0</v>
      </c>
      <c r="AO7" s="48">
        <f>data0!Z60</f>
        <v>0</v>
      </c>
      <c r="AP7" s="48">
        <f>data0!AA60</f>
        <v>0</v>
      </c>
      <c r="AQ7" s="48">
        <f>data0!AB60</f>
        <v>0</v>
      </c>
      <c r="AR7" s="48">
        <f>data0!AC60</f>
        <v>0</v>
      </c>
      <c r="AS7" s="48">
        <f>data0!AD60</f>
        <v>0</v>
      </c>
      <c r="AT7" s="48">
        <f>data0!AE60</f>
        <v>0</v>
      </c>
      <c r="AU7" s="48">
        <f>data0!AF60</f>
        <v>0</v>
      </c>
      <c r="AV7" s="49">
        <f>data0!AG60</f>
        <v>0</v>
      </c>
      <c r="AW7" s="47">
        <f>data1!B60</f>
        <v>39.825767517089844</v>
      </c>
      <c r="AX7" s="48">
        <f>data1!C60</f>
        <v>38.769039154052734</v>
      </c>
      <c r="AY7" s="48">
        <f>data1!D60</f>
        <v>41.00299072265625</v>
      </c>
      <c r="AZ7" s="48">
        <f>data1!E60</f>
        <v>36.057613372802734</v>
      </c>
      <c r="BA7" s="48">
        <f>data1!F60</f>
        <v>36.736503601074219</v>
      </c>
      <c r="BB7" s="48"/>
      <c r="BC7" s="48">
        <f>data1!H60</f>
        <v>0</v>
      </c>
      <c r="BD7" s="48">
        <f>data1!I60</f>
        <v>0</v>
      </c>
      <c r="BE7" s="48">
        <f>data1!J60</f>
        <v>0</v>
      </c>
      <c r="BF7" s="48">
        <f>data1!K60</f>
        <v>0</v>
      </c>
      <c r="BG7" s="48">
        <f>data1!L60</f>
        <v>0</v>
      </c>
      <c r="BH7" s="48">
        <f>data1!M60</f>
        <v>0</v>
      </c>
      <c r="BI7" s="48">
        <f>data1!N60</f>
        <v>0</v>
      </c>
      <c r="BJ7" s="48">
        <f>data1!O60</f>
        <v>0</v>
      </c>
      <c r="BK7" s="48">
        <f>data1!P60</f>
        <v>0</v>
      </c>
      <c r="BL7" s="48">
        <f>data1!Q60</f>
        <v>0</v>
      </c>
      <c r="BM7" s="48">
        <f>data1!R60</f>
        <v>0</v>
      </c>
      <c r="BN7" s="48">
        <f>data1!S60</f>
        <v>0</v>
      </c>
      <c r="BO7" s="48"/>
      <c r="BP7" s="48">
        <f>data1!U60</f>
        <v>0</v>
      </c>
      <c r="BQ7" s="48">
        <f>data1!V60</f>
        <v>0</v>
      </c>
      <c r="BR7" s="48"/>
      <c r="BS7" s="48">
        <f>data1!X60</f>
        <v>0</v>
      </c>
      <c r="BT7" s="48">
        <f>data1!Y60</f>
        <v>0</v>
      </c>
      <c r="BU7" s="48">
        <f>data1!Z60</f>
        <v>0</v>
      </c>
      <c r="BV7" s="48">
        <f>data1!AA60</f>
        <v>0</v>
      </c>
      <c r="BW7" s="48">
        <f>data1!AB60</f>
        <v>0</v>
      </c>
      <c r="BX7" s="48">
        <f>data1!AC60</f>
        <v>0</v>
      </c>
      <c r="BY7" s="48">
        <f>data1!AD60</f>
        <v>0</v>
      </c>
      <c r="BZ7" s="48">
        <f>data1!AE60</f>
        <v>0</v>
      </c>
      <c r="CA7" s="48">
        <f>data1!AF60</f>
        <v>0</v>
      </c>
      <c r="CB7" s="48">
        <f>data1!AG60</f>
        <v>0</v>
      </c>
      <c r="CC7" s="47">
        <f>data2!B60</f>
        <v>21.292695999145508</v>
      </c>
      <c r="CD7" s="48">
        <f>data2!C60</f>
        <v>21.003335952758789</v>
      </c>
      <c r="CE7" s="48">
        <f>data2!D60</f>
        <v>21.318052291870117</v>
      </c>
      <c r="CF7" s="48">
        <f>data2!E60</f>
        <v>20.158273696899414</v>
      </c>
      <c r="CG7" s="48">
        <f>data2!F60</f>
        <v>19.435144424438477</v>
      </c>
      <c r="CH7" s="48"/>
      <c r="CI7" s="48">
        <f>data2!H60</f>
        <v>0</v>
      </c>
      <c r="CJ7" s="48">
        <f>data2!I60</f>
        <v>0</v>
      </c>
      <c r="CK7" s="48">
        <f>data2!J60</f>
        <v>0</v>
      </c>
      <c r="CL7" s="48">
        <f>data2!K60</f>
        <v>0</v>
      </c>
      <c r="CM7" s="48">
        <f>data2!L60</f>
        <v>0</v>
      </c>
      <c r="CN7" s="48">
        <f>data2!M60</f>
        <v>0</v>
      </c>
      <c r="CO7" s="48">
        <f>data2!N60</f>
        <v>0</v>
      </c>
      <c r="CP7" s="48">
        <f>data2!O60</f>
        <v>0</v>
      </c>
      <c r="CQ7" s="48">
        <f>data2!P60</f>
        <v>0</v>
      </c>
      <c r="CR7" s="48">
        <f>data2!Q60</f>
        <v>0</v>
      </c>
      <c r="CS7" s="48">
        <f>data2!R60</f>
        <v>0</v>
      </c>
      <c r="CT7" s="48">
        <f>data2!S60</f>
        <v>0</v>
      </c>
      <c r="CU7" s="48"/>
      <c r="CV7" s="48">
        <f>data2!U60</f>
        <v>0</v>
      </c>
      <c r="CW7" s="48">
        <f>data2!V60</f>
        <v>0</v>
      </c>
      <c r="CX7" s="48"/>
      <c r="CY7" s="48">
        <f>data2!X60</f>
        <v>0</v>
      </c>
      <c r="CZ7" s="48">
        <f>data2!Y60</f>
        <v>0</v>
      </c>
      <c r="DA7" s="48">
        <f>data2!Z60</f>
        <v>0</v>
      </c>
      <c r="DB7" s="48">
        <f>data2!AA60</f>
        <v>0</v>
      </c>
      <c r="DC7" s="48">
        <f>data2!AB60</f>
        <v>0</v>
      </c>
      <c r="DD7" s="48">
        <f>data2!AC60</f>
        <v>0</v>
      </c>
      <c r="DE7" s="48">
        <f>data2!AD60</f>
        <v>0</v>
      </c>
      <c r="DF7" s="48">
        <f>data2!AE60</f>
        <v>0</v>
      </c>
      <c r="DG7" s="48">
        <f>data2!AF60</f>
        <v>0</v>
      </c>
      <c r="DH7" s="49">
        <f>data2!AG60</f>
        <v>0</v>
      </c>
    </row>
    <row r="8" spans="1:112" s="63" customFormat="1">
      <c r="A8" s="14">
        <f t="shared" si="16"/>
        <v>6</v>
      </c>
      <c r="B8" s="63">
        <f ca="1">data4!S7</f>
        <v>7.108076789685887</v>
      </c>
      <c r="C8" s="63">
        <f>data5!L7</f>
        <v>3971.2</v>
      </c>
      <c r="D8" s="63">
        <f t="shared" si="3"/>
        <v>-17.277824641664814</v>
      </c>
      <c r="E8" s="63">
        <f t="shared" si="4"/>
        <v>7.3660473001414335</v>
      </c>
      <c r="F8" s="63">
        <f t="shared" si="5"/>
        <v>32.009919241947678</v>
      </c>
      <c r="G8" s="63">
        <f t="shared" si="6"/>
        <v>16.429247961204165</v>
      </c>
      <c r="H8" s="63">
        <f t="shared" si="7"/>
        <v>-11.652665201964851</v>
      </c>
      <c r="I8" s="63">
        <f t="shared" si="8"/>
        <v>4.9605590557229933</v>
      </c>
      <c r="J8" s="63">
        <f t="shared" si="9"/>
        <v>21.573783313410836</v>
      </c>
      <c r="K8" s="63">
        <f t="shared" si="10"/>
        <v>11.075482838458562</v>
      </c>
      <c r="L8" s="63">
        <f t="shared" si="11"/>
        <v>-6.1586629148898488</v>
      </c>
      <c r="M8" s="63">
        <f t="shared" si="12"/>
        <v>2.6237502920216529</v>
      </c>
      <c r="N8" s="63">
        <f t="shared" si="13"/>
        <v>11.406163498933154</v>
      </c>
      <c r="O8" s="63">
        <f t="shared" si="14"/>
        <v>5.8549421379410012</v>
      </c>
      <c r="P8" s="63" t="b">
        <f t="shared" si="15"/>
        <v>1</v>
      </c>
      <c r="Q8" s="47">
        <f>data0!B61</f>
        <v>43.65057373046875</v>
      </c>
      <c r="R8" s="48">
        <f>data0!C61</f>
        <v>43.084800720214844</v>
      </c>
      <c r="S8" s="48">
        <f>data0!D61</f>
        <v>43.746067047119141</v>
      </c>
      <c r="T8" s="48">
        <f>data0!E61</f>
        <v>41.213401794433594</v>
      </c>
      <c r="U8" s="48">
        <f>data0!F61</f>
        <v>41.920528411865234</v>
      </c>
      <c r="V8" s="48"/>
      <c r="W8" s="48">
        <f>data0!H61</f>
        <v>0</v>
      </c>
      <c r="X8" s="48">
        <f>data0!I61</f>
        <v>0</v>
      </c>
      <c r="Y8" s="48">
        <f>data0!J61</f>
        <v>0</v>
      </c>
      <c r="Z8" s="48">
        <f>data0!K61</f>
        <v>0</v>
      </c>
      <c r="AA8" s="48">
        <f>data0!L61</f>
        <v>0</v>
      </c>
      <c r="AB8" s="48">
        <f>data0!M61</f>
        <v>0</v>
      </c>
      <c r="AC8" s="48">
        <f>data0!N61</f>
        <v>0</v>
      </c>
      <c r="AD8" s="48">
        <f>data0!O61</f>
        <v>0</v>
      </c>
      <c r="AE8" s="48">
        <f>data0!P61</f>
        <v>0</v>
      </c>
      <c r="AF8" s="48">
        <f>data0!Q61</f>
        <v>0</v>
      </c>
      <c r="AG8" s="48">
        <f>data0!R61</f>
        <v>0</v>
      </c>
      <c r="AH8" s="48">
        <f>data0!S61</f>
        <v>0</v>
      </c>
      <c r="AI8" s="48"/>
      <c r="AJ8" s="48">
        <f>data0!U61</f>
        <v>0</v>
      </c>
      <c r="AK8" s="48">
        <f>data0!V61</f>
        <v>0</v>
      </c>
      <c r="AL8" s="48"/>
      <c r="AM8" s="48">
        <f>data0!X61</f>
        <v>0</v>
      </c>
      <c r="AN8" s="48">
        <f>data0!Y61</f>
        <v>0</v>
      </c>
      <c r="AO8" s="48">
        <f>data0!Z61</f>
        <v>0</v>
      </c>
      <c r="AP8" s="48">
        <f>data0!AA61</f>
        <v>0</v>
      </c>
      <c r="AQ8" s="48">
        <f>data0!AB61</f>
        <v>0</v>
      </c>
      <c r="AR8" s="48">
        <f>data0!AC61</f>
        <v>0</v>
      </c>
      <c r="AS8" s="48">
        <f>data0!AD61</f>
        <v>0</v>
      </c>
      <c r="AT8" s="48">
        <f>data0!AE61</f>
        <v>0</v>
      </c>
      <c r="AU8" s="48">
        <f>data0!AF61</f>
        <v>0</v>
      </c>
      <c r="AV8" s="49">
        <f>data0!AG61</f>
        <v>0</v>
      </c>
      <c r="AW8" s="47">
        <f>data1!B61</f>
        <v>29.821535110473633</v>
      </c>
      <c r="AX8" s="48">
        <f>data1!C61</f>
        <v>29.114950180053711</v>
      </c>
      <c r="AY8" s="48">
        <f>data1!D61</f>
        <v>30.534774780273438</v>
      </c>
      <c r="AZ8" s="48">
        <f>data1!E61</f>
        <v>27.078638076782227</v>
      </c>
      <c r="BA8" s="48">
        <f>data1!F61</f>
        <v>27.306314468383789</v>
      </c>
      <c r="BB8" s="48"/>
      <c r="BC8" s="48">
        <f>data1!H61</f>
        <v>0</v>
      </c>
      <c r="BD8" s="48">
        <f>data1!I61</f>
        <v>0</v>
      </c>
      <c r="BE8" s="48">
        <f>data1!J61</f>
        <v>0</v>
      </c>
      <c r="BF8" s="48">
        <f>data1!K61</f>
        <v>0</v>
      </c>
      <c r="BG8" s="48">
        <f>data1!L61</f>
        <v>0</v>
      </c>
      <c r="BH8" s="48">
        <f>data1!M61</f>
        <v>0</v>
      </c>
      <c r="BI8" s="48">
        <f>data1!N61</f>
        <v>0</v>
      </c>
      <c r="BJ8" s="48">
        <f>data1!O61</f>
        <v>0</v>
      </c>
      <c r="BK8" s="48">
        <f>data1!P61</f>
        <v>0</v>
      </c>
      <c r="BL8" s="48">
        <f>data1!Q61</f>
        <v>0</v>
      </c>
      <c r="BM8" s="48">
        <f>data1!R61</f>
        <v>0</v>
      </c>
      <c r="BN8" s="48">
        <f>data1!S61</f>
        <v>0</v>
      </c>
      <c r="BO8" s="48"/>
      <c r="BP8" s="48">
        <f>data1!U61</f>
        <v>0</v>
      </c>
      <c r="BQ8" s="48">
        <f>data1!V61</f>
        <v>0</v>
      </c>
      <c r="BR8" s="48"/>
      <c r="BS8" s="48">
        <f>data1!X61</f>
        <v>0</v>
      </c>
      <c r="BT8" s="48">
        <f>data1!Y61</f>
        <v>0</v>
      </c>
      <c r="BU8" s="48">
        <f>data1!Z61</f>
        <v>0</v>
      </c>
      <c r="BV8" s="48">
        <f>data1!AA61</f>
        <v>0</v>
      </c>
      <c r="BW8" s="48">
        <f>data1!AB61</f>
        <v>0</v>
      </c>
      <c r="BX8" s="48">
        <f>data1!AC61</f>
        <v>0</v>
      </c>
      <c r="BY8" s="48">
        <f>data1!AD61</f>
        <v>0</v>
      </c>
      <c r="BZ8" s="48">
        <f>data1!AE61</f>
        <v>0</v>
      </c>
      <c r="CA8" s="48">
        <f>data1!AF61</f>
        <v>0</v>
      </c>
      <c r="CB8" s="48">
        <f>data1!AG61</f>
        <v>0</v>
      </c>
      <c r="CC8" s="47">
        <f>data2!B61</f>
        <v>15.698459625244141</v>
      </c>
      <c r="CD8" s="48">
        <f>data2!C61</f>
        <v>15.584262847900391</v>
      </c>
      <c r="CE8" s="48">
        <f>data2!D61</f>
        <v>15.660334587097168</v>
      </c>
      <c r="CF8" s="48">
        <f>data2!E61</f>
        <v>14.884870529174805</v>
      </c>
      <c r="CG8" s="48">
        <f>data2!F61</f>
        <v>14.260830879211426</v>
      </c>
      <c r="CH8" s="48"/>
      <c r="CI8" s="48">
        <f>data2!H61</f>
        <v>0</v>
      </c>
      <c r="CJ8" s="48">
        <f>data2!I61</f>
        <v>0</v>
      </c>
      <c r="CK8" s="48">
        <f>data2!J61</f>
        <v>0</v>
      </c>
      <c r="CL8" s="48">
        <f>data2!K61</f>
        <v>0</v>
      </c>
      <c r="CM8" s="48">
        <f>data2!L61</f>
        <v>0</v>
      </c>
      <c r="CN8" s="48">
        <f>data2!M61</f>
        <v>0</v>
      </c>
      <c r="CO8" s="48">
        <f>data2!N61</f>
        <v>0</v>
      </c>
      <c r="CP8" s="48">
        <f>data2!O61</f>
        <v>0</v>
      </c>
      <c r="CQ8" s="48">
        <f>data2!P61</f>
        <v>0</v>
      </c>
      <c r="CR8" s="48">
        <f>data2!Q61</f>
        <v>0</v>
      </c>
      <c r="CS8" s="48">
        <f>data2!R61</f>
        <v>0</v>
      </c>
      <c r="CT8" s="48">
        <f>data2!S61</f>
        <v>0</v>
      </c>
      <c r="CU8" s="48"/>
      <c r="CV8" s="48">
        <f>data2!U61</f>
        <v>0</v>
      </c>
      <c r="CW8" s="48">
        <f>data2!V61</f>
        <v>0</v>
      </c>
      <c r="CX8" s="48"/>
      <c r="CY8" s="48">
        <f>data2!X61</f>
        <v>0</v>
      </c>
      <c r="CZ8" s="48">
        <f>data2!Y61</f>
        <v>0</v>
      </c>
      <c r="DA8" s="48">
        <f>data2!Z61</f>
        <v>0</v>
      </c>
      <c r="DB8" s="48">
        <f>data2!AA61</f>
        <v>0</v>
      </c>
      <c r="DC8" s="48">
        <f>data2!AB61</f>
        <v>0</v>
      </c>
      <c r="DD8" s="48">
        <f>data2!AC61</f>
        <v>0</v>
      </c>
      <c r="DE8" s="48">
        <f>data2!AD61</f>
        <v>0</v>
      </c>
      <c r="DF8" s="48">
        <f>data2!AE61</f>
        <v>0</v>
      </c>
      <c r="DG8" s="48">
        <f>data2!AF61</f>
        <v>0</v>
      </c>
      <c r="DH8" s="49">
        <f>data2!AG61</f>
        <v>0</v>
      </c>
    </row>
    <row r="9" spans="1:112" s="63" customFormat="1">
      <c r="A9" s="14">
        <f t="shared" si="16"/>
        <v>7</v>
      </c>
      <c r="B9" s="63">
        <f ca="1">data4!S8</f>
        <v>5.8108316409221263</v>
      </c>
      <c r="C9" s="63">
        <f>data5!L8</f>
        <v>3979.2</v>
      </c>
      <c r="D9" s="63">
        <f t="shared" si="3"/>
        <v>-14.243588088360209</v>
      </c>
      <c r="E9" s="63">
        <f t="shared" si="4"/>
        <v>6.0728041550208784</v>
      </c>
      <c r="F9" s="63">
        <f t="shared" si="5"/>
        <v>26.389196398401968</v>
      </c>
      <c r="G9" s="63">
        <f t="shared" si="6"/>
        <v>13.544261495587392</v>
      </c>
      <c r="H9" s="63">
        <f t="shared" si="7"/>
        <v>-9.5434654456746593</v>
      </c>
      <c r="I9" s="63">
        <f t="shared" si="8"/>
        <v>4.0615402747844831</v>
      </c>
      <c r="J9" s="63">
        <f t="shared" si="9"/>
        <v>17.666545995243627</v>
      </c>
      <c r="K9" s="63">
        <f t="shared" si="10"/>
        <v>9.0700038136394294</v>
      </c>
      <c r="L9" s="63">
        <f t="shared" si="11"/>
        <v>-5.0249030393080609</v>
      </c>
      <c r="M9" s="63">
        <f t="shared" si="12"/>
        <v>2.140753778918036</v>
      </c>
      <c r="N9" s="63">
        <f t="shared" si="13"/>
        <v>9.3064105971441329</v>
      </c>
      <c r="O9" s="63">
        <f t="shared" si="14"/>
        <v>4.7771045454840646</v>
      </c>
      <c r="P9" s="63" t="b">
        <f t="shared" si="15"/>
        <v>1</v>
      </c>
      <c r="Q9" s="47">
        <f>data0!B62</f>
        <v>35.929569244384766</v>
      </c>
      <c r="R9" s="48">
        <f>data0!C62</f>
        <v>35.534461975097656</v>
      </c>
      <c r="S9" s="48">
        <f>data0!D62</f>
        <v>36.024703979492188</v>
      </c>
      <c r="T9" s="48">
        <f>data0!E62</f>
        <v>34.130645751953125</v>
      </c>
      <c r="U9" s="48">
        <f>data0!F62</f>
        <v>34.491939544677734</v>
      </c>
      <c r="V9" s="48"/>
      <c r="W9" s="48">
        <f>data0!H62</f>
        <v>0</v>
      </c>
      <c r="X9" s="48">
        <f>data0!I62</f>
        <v>0</v>
      </c>
      <c r="Y9" s="48">
        <f>data0!J62</f>
        <v>0</v>
      </c>
      <c r="Z9" s="48">
        <f>data0!K62</f>
        <v>0</v>
      </c>
      <c r="AA9" s="48">
        <f>data0!L62</f>
        <v>0</v>
      </c>
      <c r="AB9" s="48">
        <f>data0!M62</f>
        <v>0</v>
      </c>
      <c r="AC9" s="48">
        <f>data0!N62</f>
        <v>0</v>
      </c>
      <c r="AD9" s="48">
        <f>data0!O62</f>
        <v>0</v>
      </c>
      <c r="AE9" s="48">
        <f>data0!P62</f>
        <v>0</v>
      </c>
      <c r="AF9" s="48">
        <f>data0!Q62</f>
        <v>0</v>
      </c>
      <c r="AG9" s="48">
        <f>data0!R62</f>
        <v>0</v>
      </c>
      <c r="AH9" s="48">
        <f>data0!S62</f>
        <v>0</v>
      </c>
      <c r="AI9" s="48"/>
      <c r="AJ9" s="48">
        <f>data0!U62</f>
        <v>0</v>
      </c>
      <c r="AK9" s="48">
        <f>data0!V62</f>
        <v>0</v>
      </c>
      <c r="AL9" s="48"/>
      <c r="AM9" s="48">
        <f>data0!X62</f>
        <v>0</v>
      </c>
      <c r="AN9" s="48">
        <f>data0!Y62</f>
        <v>0</v>
      </c>
      <c r="AO9" s="48">
        <f>data0!Z62</f>
        <v>0</v>
      </c>
      <c r="AP9" s="48">
        <f>data0!AA62</f>
        <v>0</v>
      </c>
      <c r="AQ9" s="48">
        <f>data0!AB62</f>
        <v>0</v>
      </c>
      <c r="AR9" s="48">
        <f>data0!AC62</f>
        <v>0</v>
      </c>
      <c r="AS9" s="48">
        <f>data0!AD62</f>
        <v>0</v>
      </c>
      <c r="AT9" s="48">
        <f>data0!AE62</f>
        <v>0</v>
      </c>
      <c r="AU9" s="48">
        <f>data0!AF62</f>
        <v>0</v>
      </c>
      <c r="AV9" s="49">
        <f>data0!AG62</f>
        <v>0</v>
      </c>
      <c r="AW9" s="47">
        <f>data1!B62</f>
        <v>24.369012832641602</v>
      </c>
      <c r="AX9" s="48">
        <f>data1!C62</f>
        <v>24.037750244140625</v>
      </c>
      <c r="AY9" s="48">
        <f>data1!D62</f>
        <v>25.075597763061523</v>
      </c>
      <c r="AZ9" s="48">
        <f>data1!E62</f>
        <v>22.226236343383789</v>
      </c>
      <c r="BA9" s="48">
        <f>data1!F62</f>
        <v>22.076070785522461</v>
      </c>
      <c r="BB9" s="48"/>
      <c r="BC9" s="48">
        <f>data1!H62</f>
        <v>0</v>
      </c>
      <c r="BD9" s="48">
        <f>data1!I62</f>
        <v>0</v>
      </c>
      <c r="BE9" s="48">
        <f>data1!J62</f>
        <v>0</v>
      </c>
      <c r="BF9" s="48">
        <f>data1!K62</f>
        <v>0</v>
      </c>
      <c r="BG9" s="48">
        <f>data1!L62</f>
        <v>0</v>
      </c>
      <c r="BH9" s="48">
        <f>data1!M62</f>
        <v>0</v>
      </c>
      <c r="BI9" s="48">
        <f>data1!N62</f>
        <v>0</v>
      </c>
      <c r="BJ9" s="48">
        <f>data1!O62</f>
        <v>0</v>
      </c>
      <c r="BK9" s="48">
        <f>data1!P62</f>
        <v>0</v>
      </c>
      <c r="BL9" s="48">
        <f>data1!Q62</f>
        <v>0</v>
      </c>
      <c r="BM9" s="48">
        <f>data1!R62</f>
        <v>0</v>
      </c>
      <c r="BN9" s="48">
        <f>data1!S62</f>
        <v>0</v>
      </c>
      <c r="BO9" s="48"/>
      <c r="BP9" s="48">
        <f>data1!U62</f>
        <v>0</v>
      </c>
      <c r="BQ9" s="48">
        <f>data1!V62</f>
        <v>0</v>
      </c>
      <c r="BR9" s="48"/>
      <c r="BS9" s="48">
        <f>data1!X62</f>
        <v>0</v>
      </c>
      <c r="BT9" s="48">
        <f>data1!Y62</f>
        <v>0</v>
      </c>
      <c r="BU9" s="48">
        <f>data1!Z62</f>
        <v>0</v>
      </c>
      <c r="BV9" s="48">
        <f>data1!AA62</f>
        <v>0</v>
      </c>
      <c r="BW9" s="48">
        <f>data1!AB62</f>
        <v>0</v>
      </c>
      <c r="BX9" s="48">
        <f>data1!AC62</f>
        <v>0</v>
      </c>
      <c r="BY9" s="48">
        <f>data1!AD62</f>
        <v>0</v>
      </c>
      <c r="BZ9" s="48">
        <f>data1!AE62</f>
        <v>0</v>
      </c>
      <c r="CA9" s="48">
        <f>data1!AF62</f>
        <v>0</v>
      </c>
      <c r="CB9" s="48">
        <f>data1!AG62</f>
        <v>0</v>
      </c>
      <c r="CC9" s="47">
        <f>data2!B62</f>
        <v>12.750008583068848</v>
      </c>
      <c r="CD9" s="48">
        <f>data2!C62</f>
        <v>12.724471092224121</v>
      </c>
      <c r="CE9" s="48">
        <f>data2!D62</f>
        <v>12.80288028717041</v>
      </c>
      <c r="CF9" s="48">
        <f>data2!E62</f>
        <v>12.190890312194824</v>
      </c>
      <c r="CG9" s="48">
        <f>data2!F62</f>
        <v>11.613609313964844</v>
      </c>
      <c r="CH9" s="48"/>
      <c r="CI9" s="48">
        <f>data2!H62</f>
        <v>0</v>
      </c>
      <c r="CJ9" s="48">
        <f>data2!I62</f>
        <v>0</v>
      </c>
      <c r="CK9" s="48">
        <f>data2!J62</f>
        <v>0</v>
      </c>
      <c r="CL9" s="48">
        <f>data2!K62</f>
        <v>0</v>
      </c>
      <c r="CM9" s="48">
        <f>data2!L62</f>
        <v>0</v>
      </c>
      <c r="CN9" s="48">
        <f>data2!M62</f>
        <v>0</v>
      </c>
      <c r="CO9" s="48">
        <f>data2!N62</f>
        <v>0</v>
      </c>
      <c r="CP9" s="48">
        <f>data2!O62</f>
        <v>0</v>
      </c>
      <c r="CQ9" s="48">
        <f>data2!P62</f>
        <v>0</v>
      </c>
      <c r="CR9" s="48">
        <f>data2!Q62</f>
        <v>0</v>
      </c>
      <c r="CS9" s="48">
        <f>data2!R62</f>
        <v>0</v>
      </c>
      <c r="CT9" s="48">
        <f>data2!S62</f>
        <v>0</v>
      </c>
      <c r="CU9" s="48"/>
      <c r="CV9" s="48">
        <f>data2!U62</f>
        <v>0</v>
      </c>
      <c r="CW9" s="48">
        <f>data2!V62</f>
        <v>0</v>
      </c>
      <c r="CX9" s="48"/>
      <c r="CY9" s="48">
        <f>data2!X62</f>
        <v>0</v>
      </c>
      <c r="CZ9" s="48">
        <f>data2!Y62</f>
        <v>0</v>
      </c>
      <c r="DA9" s="48">
        <f>data2!Z62</f>
        <v>0</v>
      </c>
      <c r="DB9" s="48">
        <f>data2!AA62</f>
        <v>0</v>
      </c>
      <c r="DC9" s="48">
        <f>data2!AB62</f>
        <v>0</v>
      </c>
      <c r="DD9" s="48">
        <f>data2!AC62</f>
        <v>0</v>
      </c>
      <c r="DE9" s="48">
        <f>data2!AD62</f>
        <v>0</v>
      </c>
      <c r="DF9" s="48">
        <f>data2!AE62</f>
        <v>0</v>
      </c>
      <c r="DG9" s="48">
        <f>data2!AF62</f>
        <v>0</v>
      </c>
      <c r="DH9" s="49">
        <f>data2!AG62</f>
        <v>0</v>
      </c>
    </row>
    <row r="10" spans="1:112" s="63" customFormat="1">
      <c r="A10" s="14">
        <f t="shared" si="16"/>
        <v>8</v>
      </c>
      <c r="B10" s="63">
        <f ca="1">data4!S9</f>
        <v>4.7264524101014667</v>
      </c>
      <c r="C10" s="63">
        <f>data5!L9</f>
        <v>4001.7</v>
      </c>
      <c r="D10" s="63">
        <f t="shared" si="3"/>
        <v>-11.294521450526286</v>
      </c>
      <c r="E10" s="63">
        <f t="shared" si="4"/>
        <v>4.815466650601091</v>
      </c>
      <c r="F10" s="63">
        <f t="shared" si="5"/>
        <v>20.92545475172847</v>
      </c>
      <c r="G10" s="63">
        <f t="shared" si="6"/>
        <v>10.739992067418253</v>
      </c>
      <c r="H10" s="63">
        <f t="shared" si="7"/>
        <v>-7.6908221427927934</v>
      </c>
      <c r="I10" s="63">
        <f t="shared" si="8"/>
        <v>3.2744678628855737</v>
      </c>
      <c r="J10" s="63">
        <f t="shared" si="9"/>
        <v>14.239757868563942</v>
      </c>
      <c r="K10" s="63">
        <f t="shared" si="10"/>
        <v>7.3101933371189114</v>
      </c>
      <c r="L10" s="63">
        <f t="shared" si="11"/>
        <v>-3.8525386576141045</v>
      </c>
      <c r="M10" s="63">
        <f t="shared" si="12"/>
        <v>1.6411066384151065</v>
      </c>
      <c r="N10" s="63">
        <f t="shared" si="13"/>
        <v>7.1347519344443171</v>
      </c>
      <c r="O10" s="63">
        <f t="shared" si="14"/>
        <v>3.6624301973528071</v>
      </c>
      <c r="P10" s="63" t="b">
        <f t="shared" si="15"/>
        <v>1</v>
      </c>
      <c r="Q10" s="47">
        <f>data0!B63</f>
        <v>28.470048904418945</v>
      </c>
      <c r="R10" s="48">
        <f>data0!C63</f>
        <v>28.254423141479492</v>
      </c>
      <c r="S10" s="48">
        <f>data0!D63</f>
        <v>28.532453536987305</v>
      </c>
      <c r="T10" s="48">
        <f>data0!E63</f>
        <v>27.094823837280273</v>
      </c>
      <c r="U10" s="48">
        <f>data0!F63</f>
        <v>27.296783447265625</v>
      </c>
      <c r="V10" s="48"/>
      <c r="W10" s="48">
        <f>data0!H63</f>
        <v>0</v>
      </c>
      <c r="X10" s="48">
        <f>data0!I63</f>
        <v>0</v>
      </c>
      <c r="Y10" s="48">
        <f>data0!J63</f>
        <v>0</v>
      </c>
      <c r="Z10" s="48">
        <f>data0!K63</f>
        <v>0</v>
      </c>
      <c r="AA10" s="48">
        <f>data0!L63</f>
        <v>0</v>
      </c>
      <c r="AB10" s="48">
        <f>data0!M63</f>
        <v>0</v>
      </c>
      <c r="AC10" s="48">
        <f>data0!N63</f>
        <v>0</v>
      </c>
      <c r="AD10" s="48">
        <f>data0!O63</f>
        <v>0</v>
      </c>
      <c r="AE10" s="48">
        <f>data0!P63</f>
        <v>0</v>
      </c>
      <c r="AF10" s="48">
        <f>data0!Q63</f>
        <v>0</v>
      </c>
      <c r="AG10" s="48">
        <f>data0!R63</f>
        <v>0</v>
      </c>
      <c r="AH10" s="48">
        <f>data0!S63</f>
        <v>0</v>
      </c>
      <c r="AI10" s="48"/>
      <c r="AJ10" s="48">
        <f>data0!U63</f>
        <v>0</v>
      </c>
      <c r="AK10" s="48">
        <f>data0!V63</f>
        <v>0</v>
      </c>
      <c r="AL10" s="48"/>
      <c r="AM10" s="48">
        <f>data0!X63</f>
        <v>0</v>
      </c>
      <c r="AN10" s="48">
        <f>data0!Y63</f>
        <v>0</v>
      </c>
      <c r="AO10" s="48">
        <f>data0!Z63</f>
        <v>0</v>
      </c>
      <c r="AP10" s="48">
        <f>data0!AA63</f>
        <v>0</v>
      </c>
      <c r="AQ10" s="48">
        <f>data0!AB63</f>
        <v>0</v>
      </c>
      <c r="AR10" s="48">
        <f>data0!AC63</f>
        <v>0</v>
      </c>
      <c r="AS10" s="48">
        <f>data0!AD63</f>
        <v>0</v>
      </c>
      <c r="AT10" s="48">
        <f>data0!AE63</f>
        <v>0</v>
      </c>
      <c r="AU10" s="48">
        <f>data0!AF63</f>
        <v>0</v>
      </c>
      <c r="AV10" s="49">
        <f>data0!AG63</f>
        <v>0</v>
      </c>
      <c r="AW10" s="47">
        <f>data1!B63</f>
        <v>19.741588592529297</v>
      </c>
      <c r="AX10" s="48">
        <f>data1!C63</f>
        <v>19.290193557739258</v>
      </c>
      <c r="AY10" s="48">
        <f>data1!D63</f>
        <v>19.989765167236328</v>
      </c>
      <c r="AZ10" s="48">
        <f>data1!E63</f>
        <v>17.849147796630859</v>
      </c>
      <c r="BA10" s="48">
        <f>data1!F63</f>
        <v>18.088872909545898</v>
      </c>
      <c r="BB10" s="48"/>
      <c r="BC10" s="48">
        <f>data1!H63</f>
        <v>0</v>
      </c>
      <c r="BD10" s="48">
        <f>data1!I63</f>
        <v>0</v>
      </c>
      <c r="BE10" s="48">
        <f>data1!J63</f>
        <v>0</v>
      </c>
      <c r="BF10" s="48">
        <f>data1!K63</f>
        <v>0</v>
      </c>
      <c r="BG10" s="48">
        <f>data1!L63</f>
        <v>0</v>
      </c>
      <c r="BH10" s="48">
        <f>data1!M63</f>
        <v>0</v>
      </c>
      <c r="BI10" s="48">
        <f>data1!N63</f>
        <v>0</v>
      </c>
      <c r="BJ10" s="48">
        <f>data1!O63</f>
        <v>0</v>
      </c>
      <c r="BK10" s="48">
        <f>data1!P63</f>
        <v>0</v>
      </c>
      <c r="BL10" s="48">
        <f>data1!Q63</f>
        <v>0</v>
      </c>
      <c r="BM10" s="48">
        <f>data1!R63</f>
        <v>0</v>
      </c>
      <c r="BN10" s="48">
        <f>data1!S63</f>
        <v>0</v>
      </c>
      <c r="BO10" s="48"/>
      <c r="BP10" s="48">
        <f>data1!U63</f>
        <v>0</v>
      </c>
      <c r="BQ10" s="48">
        <f>data1!V63</f>
        <v>0</v>
      </c>
      <c r="BR10" s="48"/>
      <c r="BS10" s="48">
        <f>data1!X63</f>
        <v>0</v>
      </c>
      <c r="BT10" s="48">
        <f>data1!Y63</f>
        <v>0</v>
      </c>
      <c r="BU10" s="48">
        <f>data1!Z63</f>
        <v>0</v>
      </c>
      <c r="BV10" s="48">
        <f>data1!AA63</f>
        <v>0</v>
      </c>
      <c r="BW10" s="48">
        <f>data1!AB63</f>
        <v>0</v>
      </c>
      <c r="BX10" s="48">
        <f>data1!AC63</f>
        <v>0</v>
      </c>
      <c r="BY10" s="48">
        <f>data1!AD63</f>
        <v>0</v>
      </c>
      <c r="BZ10" s="48">
        <f>data1!AE63</f>
        <v>0</v>
      </c>
      <c r="CA10" s="48">
        <f>data1!AF63</f>
        <v>0</v>
      </c>
      <c r="CB10" s="48">
        <f>data1!AG63</f>
        <v>0</v>
      </c>
      <c r="CC10" s="47">
        <f>data2!B63</f>
        <v>9.771702766418457</v>
      </c>
      <c r="CD10" s="48">
        <f>data2!C63</f>
        <v>9.7983188629150391</v>
      </c>
      <c r="CE10" s="48">
        <f>data2!D63</f>
        <v>9.7945423126220703</v>
      </c>
      <c r="CF10" s="48">
        <f>data2!E63</f>
        <v>9.3697643280029297</v>
      </c>
      <c r="CG10" s="48">
        <f>data2!F63</f>
        <v>8.8577642440795898</v>
      </c>
      <c r="CH10" s="48"/>
      <c r="CI10" s="48">
        <f>data2!H63</f>
        <v>0</v>
      </c>
      <c r="CJ10" s="48">
        <f>data2!I63</f>
        <v>0</v>
      </c>
      <c r="CK10" s="48">
        <f>data2!J63</f>
        <v>0</v>
      </c>
      <c r="CL10" s="48">
        <f>data2!K63</f>
        <v>0</v>
      </c>
      <c r="CM10" s="48">
        <f>data2!L63</f>
        <v>0</v>
      </c>
      <c r="CN10" s="48">
        <f>data2!M63</f>
        <v>0</v>
      </c>
      <c r="CO10" s="48">
        <f>data2!N63</f>
        <v>0</v>
      </c>
      <c r="CP10" s="48">
        <f>data2!O63</f>
        <v>0</v>
      </c>
      <c r="CQ10" s="48">
        <f>data2!P63</f>
        <v>0</v>
      </c>
      <c r="CR10" s="48">
        <f>data2!Q63</f>
        <v>0</v>
      </c>
      <c r="CS10" s="48">
        <f>data2!R63</f>
        <v>0</v>
      </c>
      <c r="CT10" s="48">
        <f>data2!S63</f>
        <v>0</v>
      </c>
      <c r="CU10" s="48"/>
      <c r="CV10" s="48">
        <f>data2!U63</f>
        <v>0</v>
      </c>
      <c r="CW10" s="48">
        <f>data2!V63</f>
        <v>0</v>
      </c>
      <c r="CX10" s="48"/>
      <c r="CY10" s="48">
        <f>data2!X63</f>
        <v>0</v>
      </c>
      <c r="CZ10" s="48">
        <f>data2!Y63</f>
        <v>0</v>
      </c>
      <c r="DA10" s="48">
        <f>data2!Z63</f>
        <v>0</v>
      </c>
      <c r="DB10" s="48">
        <f>data2!AA63</f>
        <v>0</v>
      </c>
      <c r="DC10" s="48">
        <f>data2!AB63</f>
        <v>0</v>
      </c>
      <c r="DD10" s="48">
        <f>data2!AC63</f>
        <v>0</v>
      </c>
      <c r="DE10" s="48">
        <f>data2!AD63</f>
        <v>0</v>
      </c>
      <c r="DF10" s="48">
        <f>data2!AE63</f>
        <v>0</v>
      </c>
      <c r="DG10" s="48">
        <f>data2!AF63</f>
        <v>0</v>
      </c>
      <c r="DH10" s="49">
        <f>data2!AG63</f>
        <v>0</v>
      </c>
    </row>
    <row r="11" spans="1:112" s="63" customFormat="1">
      <c r="A11" s="14">
        <f t="shared" si="16"/>
        <v>9</v>
      </c>
      <c r="B11" s="63">
        <f ca="1">data4!S10</f>
        <v>3.8737596974251551</v>
      </c>
      <c r="C11" s="63">
        <f>data5!L10</f>
        <v>4034.1</v>
      </c>
      <c r="D11" s="63">
        <f t="shared" si="3"/>
        <v>-8.827159554555152</v>
      </c>
      <c r="E11" s="63">
        <f t="shared" si="4"/>
        <v>3.7632068765574487</v>
      </c>
      <c r="F11" s="63">
        <f t="shared" si="5"/>
        <v>16.35357330767005</v>
      </c>
      <c r="G11" s="63">
        <f t="shared" si="6"/>
        <v>8.3935776207417341</v>
      </c>
      <c r="H11" s="63">
        <f t="shared" si="7"/>
        <v>-6.1590529605417625</v>
      </c>
      <c r="I11" s="63">
        <f t="shared" si="8"/>
        <v>2.6210341617978852</v>
      </c>
      <c r="J11" s="63">
        <f t="shared" si="9"/>
        <v>11.401121284137533</v>
      </c>
      <c r="K11" s="63">
        <f t="shared" si="10"/>
        <v>5.8533914148930988</v>
      </c>
      <c r="L11" s="63">
        <f t="shared" si="11"/>
        <v>-2.8838933292113893</v>
      </c>
      <c r="M11" s="63">
        <f t="shared" si="12"/>
        <v>1.2282657623291016</v>
      </c>
      <c r="N11" s="63">
        <f t="shared" si="13"/>
        <v>5.3404248538695924</v>
      </c>
      <c r="O11" s="63">
        <f t="shared" si="14"/>
        <v>2.7414393943603272</v>
      </c>
      <c r="P11" s="63" t="b">
        <f t="shared" si="15"/>
        <v>1</v>
      </c>
      <c r="Q11" s="47">
        <f>data0!B64</f>
        <v>22.28486442565918</v>
      </c>
      <c r="R11" s="48">
        <f>data0!C64</f>
        <v>22.171566009521484</v>
      </c>
      <c r="S11" s="48">
        <f>data0!D64</f>
        <v>22.283605575561523</v>
      </c>
      <c r="T11" s="48">
        <f>data0!E64</f>
        <v>21.107461929321289</v>
      </c>
      <c r="U11" s="48">
        <f>data0!F64</f>
        <v>21.285501480102539</v>
      </c>
      <c r="V11" s="48"/>
      <c r="W11" s="48">
        <f>data0!H64</f>
        <v>0</v>
      </c>
      <c r="X11" s="48">
        <f>data0!I64</f>
        <v>0</v>
      </c>
      <c r="Y11" s="48">
        <f>data0!J64</f>
        <v>0</v>
      </c>
      <c r="Z11" s="48">
        <f>data0!K64</f>
        <v>0</v>
      </c>
      <c r="AA11" s="48">
        <f>data0!L64</f>
        <v>0</v>
      </c>
      <c r="AB11" s="48">
        <f>data0!M64</f>
        <v>0</v>
      </c>
      <c r="AC11" s="48">
        <f>data0!N64</f>
        <v>0</v>
      </c>
      <c r="AD11" s="48">
        <f>data0!O64</f>
        <v>0</v>
      </c>
      <c r="AE11" s="48">
        <f>data0!P64</f>
        <v>0</v>
      </c>
      <c r="AF11" s="48">
        <f>data0!Q64</f>
        <v>0</v>
      </c>
      <c r="AG11" s="48">
        <f>data0!R64</f>
        <v>0</v>
      </c>
      <c r="AH11" s="48">
        <f>data0!S64</f>
        <v>0</v>
      </c>
      <c r="AI11" s="48"/>
      <c r="AJ11" s="48">
        <f>data0!U64</f>
        <v>0</v>
      </c>
      <c r="AK11" s="48">
        <f>data0!V64</f>
        <v>0</v>
      </c>
      <c r="AL11" s="48"/>
      <c r="AM11" s="48">
        <f>data0!X64</f>
        <v>0</v>
      </c>
      <c r="AN11" s="48">
        <f>data0!Y64</f>
        <v>0</v>
      </c>
      <c r="AO11" s="48">
        <f>data0!Z64</f>
        <v>0</v>
      </c>
      <c r="AP11" s="48">
        <f>data0!AA64</f>
        <v>0</v>
      </c>
      <c r="AQ11" s="48">
        <f>data0!AB64</f>
        <v>0</v>
      </c>
      <c r="AR11" s="48">
        <f>data0!AC64</f>
        <v>0</v>
      </c>
      <c r="AS11" s="48">
        <f>data0!AD64</f>
        <v>0</v>
      </c>
      <c r="AT11" s="48">
        <f>data0!AE64</f>
        <v>0</v>
      </c>
      <c r="AU11" s="48">
        <f>data0!AF64</f>
        <v>0</v>
      </c>
      <c r="AV11" s="49">
        <f>data0!AG64</f>
        <v>0</v>
      </c>
      <c r="AW11" s="47">
        <f>data1!B64</f>
        <v>15.888909339904785</v>
      </c>
      <c r="AX11" s="48">
        <f>data1!C64</f>
        <v>15.511608123779297</v>
      </c>
      <c r="AY11" s="48">
        <f>data1!D64</f>
        <v>16.066410064697266</v>
      </c>
      <c r="AZ11" s="48">
        <f>data1!E64</f>
        <v>14.182241439819336</v>
      </c>
      <c r="BA11" s="48">
        <f>data1!F64</f>
        <v>14.360821723937988</v>
      </c>
      <c r="BB11" s="48"/>
      <c r="BC11" s="48">
        <f>data1!H64</f>
        <v>0</v>
      </c>
      <c r="BD11" s="48">
        <f>data1!I64</f>
        <v>0</v>
      </c>
      <c r="BE11" s="48">
        <f>data1!J64</f>
        <v>0</v>
      </c>
      <c r="BF11" s="48">
        <f>data1!K64</f>
        <v>0</v>
      </c>
      <c r="BG11" s="48">
        <f>data1!L64</f>
        <v>0</v>
      </c>
      <c r="BH11" s="48">
        <f>data1!M64</f>
        <v>0</v>
      </c>
      <c r="BI11" s="48">
        <f>data1!N64</f>
        <v>0</v>
      </c>
      <c r="BJ11" s="48">
        <f>data1!O64</f>
        <v>0</v>
      </c>
      <c r="BK11" s="48">
        <f>data1!P64</f>
        <v>0</v>
      </c>
      <c r="BL11" s="48">
        <f>data1!Q64</f>
        <v>0</v>
      </c>
      <c r="BM11" s="48">
        <f>data1!R64</f>
        <v>0</v>
      </c>
      <c r="BN11" s="48">
        <f>data1!S64</f>
        <v>0</v>
      </c>
      <c r="BO11" s="48"/>
      <c r="BP11" s="48">
        <f>data1!U64</f>
        <v>0</v>
      </c>
      <c r="BQ11" s="48">
        <f>data1!V64</f>
        <v>0</v>
      </c>
      <c r="BR11" s="48"/>
      <c r="BS11" s="48">
        <f>data1!X64</f>
        <v>0</v>
      </c>
      <c r="BT11" s="48">
        <f>data1!Y64</f>
        <v>0</v>
      </c>
      <c r="BU11" s="48">
        <f>data1!Z64</f>
        <v>0</v>
      </c>
      <c r="BV11" s="48">
        <f>data1!AA64</f>
        <v>0</v>
      </c>
      <c r="BW11" s="48">
        <f>data1!AB64</f>
        <v>0</v>
      </c>
      <c r="BX11" s="48">
        <f>data1!AC64</f>
        <v>0</v>
      </c>
      <c r="BY11" s="48">
        <f>data1!AD64</f>
        <v>0</v>
      </c>
      <c r="BZ11" s="48">
        <f>data1!AE64</f>
        <v>0</v>
      </c>
      <c r="CA11" s="48">
        <f>data1!AF64</f>
        <v>0</v>
      </c>
      <c r="CB11" s="48">
        <f>data1!AG64</f>
        <v>0</v>
      </c>
      <c r="CC11" s="47">
        <f>data2!B64</f>
        <v>7.3205046653747559</v>
      </c>
      <c r="CD11" s="48">
        <f>data2!C64</f>
        <v>7.3744564056396484</v>
      </c>
      <c r="CE11" s="48">
        <f>data2!D64</f>
        <v>7.3219437599182129</v>
      </c>
      <c r="CF11" s="48">
        <f>data2!E64</f>
        <v>7.0048885345458984</v>
      </c>
      <c r="CG11" s="48">
        <f>data2!F64</f>
        <v>6.5979137420654297</v>
      </c>
      <c r="CH11" s="48"/>
      <c r="CI11" s="48">
        <f>data2!H64</f>
        <v>0</v>
      </c>
      <c r="CJ11" s="48">
        <f>data2!I64</f>
        <v>0</v>
      </c>
      <c r="CK11" s="48">
        <f>data2!J64</f>
        <v>0</v>
      </c>
      <c r="CL11" s="48">
        <f>data2!K64</f>
        <v>0</v>
      </c>
      <c r="CM11" s="48">
        <f>data2!L64</f>
        <v>0</v>
      </c>
      <c r="CN11" s="48">
        <f>data2!M64</f>
        <v>0</v>
      </c>
      <c r="CO11" s="48">
        <f>data2!N64</f>
        <v>0</v>
      </c>
      <c r="CP11" s="48">
        <f>data2!O64</f>
        <v>0</v>
      </c>
      <c r="CQ11" s="48">
        <f>data2!P64</f>
        <v>0</v>
      </c>
      <c r="CR11" s="48">
        <f>data2!Q64</f>
        <v>0</v>
      </c>
      <c r="CS11" s="48">
        <f>data2!R64</f>
        <v>0</v>
      </c>
      <c r="CT11" s="48">
        <f>data2!S64</f>
        <v>0</v>
      </c>
      <c r="CU11" s="48"/>
      <c r="CV11" s="48">
        <f>data2!U64</f>
        <v>0</v>
      </c>
      <c r="CW11" s="48">
        <f>data2!V64</f>
        <v>0</v>
      </c>
      <c r="CX11" s="48"/>
      <c r="CY11" s="48">
        <f>data2!X64</f>
        <v>0</v>
      </c>
      <c r="CZ11" s="48">
        <f>data2!Y64</f>
        <v>0</v>
      </c>
      <c r="DA11" s="48">
        <f>data2!Z64</f>
        <v>0</v>
      </c>
      <c r="DB11" s="48">
        <f>data2!AA64</f>
        <v>0</v>
      </c>
      <c r="DC11" s="48">
        <f>data2!AB64</f>
        <v>0</v>
      </c>
      <c r="DD11" s="48">
        <f>data2!AC64</f>
        <v>0</v>
      </c>
      <c r="DE11" s="48">
        <f>data2!AD64</f>
        <v>0</v>
      </c>
      <c r="DF11" s="48">
        <f>data2!AE64</f>
        <v>0</v>
      </c>
      <c r="DG11" s="48">
        <f>data2!AF64</f>
        <v>0</v>
      </c>
      <c r="DH11" s="49">
        <f>data2!AG64</f>
        <v>0</v>
      </c>
    </row>
    <row r="12" spans="1:112" s="63" customFormat="1">
      <c r="A12" s="14">
        <f t="shared" si="16"/>
        <v>10</v>
      </c>
      <c r="B12" s="63">
        <f ca="1">data4!S11</f>
        <v>3.2207968686872634</v>
      </c>
      <c r="C12" s="63">
        <f>data5!L11</f>
        <v>4023.8</v>
      </c>
      <c r="D12" s="63">
        <f t="shared" si="3"/>
        <v>-7.0365306171019846</v>
      </c>
      <c r="E12" s="63">
        <f t="shared" si="4"/>
        <v>2.9999537632383149</v>
      </c>
      <c r="F12" s="63">
        <f t="shared" si="5"/>
        <v>13.036438143578614</v>
      </c>
      <c r="G12" s="63">
        <f t="shared" si="6"/>
        <v>6.690989586893533</v>
      </c>
      <c r="H12" s="63">
        <f t="shared" si="7"/>
        <v>-4.9722219344056509</v>
      </c>
      <c r="I12" s="63">
        <f t="shared" si="8"/>
        <v>2.1155639516896216</v>
      </c>
      <c r="J12" s="63">
        <f t="shared" si="9"/>
        <v>9.2033498377848932</v>
      </c>
      <c r="K12" s="63">
        <f t="shared" si="10"/>
        <v>4.7251905907301817</v>
      </c>
      <c r="L12" s="63">
        <f t="shared" si="11"/>
        <v>-2.1255291499970212</v>
      </c>
      <c r="M12" s="63">
        <f t="shared" si="12"/>
        <v>0.90521386574054585</v>
      </c>
      <c r="N12" s="63">
        <f t="shared" si="13"/>
        <v>3.9359568814781127</v>
      </c>
      <c r="O12" s="63">
        <f t="shared" si="14"/>
        <v>2.0204953438250448</v>
      </c>
      <c r="P12" s="63" t="b">
        <f t="shared" si="15"/>
        <v>1</v>
      </c>
      <c r="Q12" s="47">
        <f>data0!B65</f>
        <v>17.870548248291016</v>
      </c>
      <c r="R12" s="48">
        <f>data0!C65</f>
        <v>17.547199249267578</v>
      </c>
      <c r="S12" s="48">
        <f>data0!D65</f>
        <v>17.715349197387695</v>
      </c>
      <c r="T12" s="48">
        <f>data0!E65</f>
        <v>16.909671783447266</v>
      </c>
      <c r="U12" s="48">
        <f>data0!F65</f>
        <v>16.955890655517578</v>
      </c>
      <c r="V12" s="48"/>
      <c r="W12" s="48">
        <f>data0!H65</f>
        <v>0</v>
      </c>
      <c r="X12" s="48">
        <f>data0!I65</f>
        <v>0</v>
      </c>
      <c r="Y12" s="48">
        <f>data0!J65</f>
        <v>0</v>
      </c>
      <c r="Z12" s="48">
        <f>data0!K65</f>
        <v>0</v>
      </c>
      <c r="AA12" s="48">
        <f>data0!L65</f>
        <v>0</v>
      </c>
      <c r="AB12" s="48">
        <f>data0!M65</f>
        <v>0</v>
      </c>
      <c r="AC12" s="48">
        <f>data0!N65</f>
        <v>0</v>
      </c>
      <c r="AD12" s="48">
        <f>data0!O65</f>
        <v>0</v>
      </c>
      <c r="AE12" s="48">
        <f>data0!P65</f>
        <v>0</v>
      </c>
      <c r="AF12" s="48">
        <f>data0!Q65</f>
        <v>0</v>
      </c>
      <c r="AG12" s="48">
        <f>data0!R65</f>
        <v>0</v>
      </c>
      <c r="AH12" s="48">
        <f>data0!S65</f>
        <v>0</v>
      </c>
      <c r="AI12" s="48"/>
      <c r="AJ12" s="48">
        <f>data0!U65</f>
        <v>0</v>
      </c>
      <c r="AK12" s="48">
        <f>data0!V65</f>
        <v>0</v>
      </c>
      <c r="AL12" s="48"/>
      <c r="AM12" s="48">
        <f>data0!X65</f>
        <v>0</v>
      </c>
      <c r="AN12" s="48">
        <f>data0!Y65</f>
        <v>0</v>
      </c>
      <c r="AO12" s="48">
        <f>data0!Z65</f>
        <v>0</v>
      </c>
      <c r="AP12" s="48">
        <f>data0!AA65</f>
        <v>0</v>
      </c>
      <c r="AQ12" s="48">
        <f>data0!AB65</f>
        <v>0</v>
      </c>
      <c r="AR12" s="48">
        <f>data0!AC65</f>
        <v>0</v>
      </c>
      <c r="AS12" s="48">
        <f>data0!AD65</f>
        <v>0</v>
      </c>
      <c r="AT12" s="48">
        <f>data0!AE65</f>
        <v>0</v>
      </c>
      <c r="AU12" s="48">
        <f>data0!AF65</f>
        <v>0</v>
      </c>
      <c r="AV12" s="49">
        <f>data0!AG65</f>
        <v>0</v>
      </c>
      <c r="AW12" s="47">
        <f>data1!B65</f>
        <v>13.022643089294434</v>
      </c>
      <c r="AX12" s="48">
        <f>data1!C65</f>
        <v>12.297174453735352</v>
      </c>
      <c r="AY12" s="48">
        <f>data1!D65</f>
        <v>12.974086761474609</v>
      </c>
      <c r="AZ12" s="48">
        <f>data1!E65</f>
        <v>11.50660514831543</v>
      </c>
      <c r="BA12" s="48">
        <f>data1!F65</f>
        <v>11.550845146179199</v>
      </c>
      <c r="BB12" s="48"/>
      <c r="BC12" s="48">
        <f>data1!H65</f>
        <v>0</v>
      </c>
      <c r="BD12" s="48">
        <f>data1!I65</f>
        <v>0</v>
      </c>
      <c r="BE12" s="48">
        <f>data1!J65</f>
        <v>0</v>
      </c>
      <c r="BF12" s="48">
        <f>data1!K65</f>
        <v>0</v>
      </c>
      <c r="BG12" s="48">
        <f>data1!L65</f>
        <v>0</v>
      </c>
      <c r="BH12" s="48">
        <f>data1!M65</f>
        <v>0</v>
      </c>
      <c r="BI12" s="48">
        <f>data1!N65</f>
        <v>0</v>
      </c>
      <c r="BJ12" s="48">
        <f>data1!O65</f>
        <v>0</v>
      </c>
      <c r="BK12" s="48">
        <f>data1!P65</f>
        <v>0</v>
      </c>
      <c r="BL12" s="48">
        <f>data1!Q65</f>
        <v>0</v>
      </c>
      <c r="BM12" s="48">
        <f>data1!R65</f>
        <v>0</v>
      </c>
      <c r="BN12" s="48">
        <f>data1!S65</f>
        <v>0</v>
      </c>
      <c r="BO12" s="48"/>
      <c r="BP12" s="48">
        <f>data1!U65</f>
        <v>0</v>
      </c>
      <c r="BQ12" s="48">
        <f>data1!V65</f>
        <v>0</v>
      </c>
      <c r="BR12" s="48"/>
      <c r="BS12" s="48">
        <f>data1!X65</f>
        <v>0</v>
      </c>
      <c r="BT12" s="48">
        <f>data1!Y65</f>
        <v>0</v>
      </c>
      <c r="BU12" s="48">
        <f>data1!Z65</f>
        <v>0</v>
      </c>
      <c r="BV12" s="48">
        <f>data1!AA65</f>
        <v>0</v>
      </c>
      <c r="BW12" s="48">
        <f>data1!AB65</f>
        <v>0</v>
      </c>
      <c r="BX12" s="48">
        <f>data1!AC65</f>
        <v>0</v>
      </c>
      <c r="BY12" s="48">
        <f>data1!AD65</f>
        <v>0</v>
      </c>
      <c r="BZ12" s="48">
        <f>data1!AE65</f>
        <v>0</v>
      </c>
      <c r="CA12" s="48">
        <f>data1!AF65</f>
        <v>0</v>
      </c>
      <c r="CB12" s="48">
        <f>data1!AG65</f>
        <v>0</v>
      </c>
      <c r="CC12" s="47">
        <f>data2!B65</f>
        <v>5.4408330917358398</v>
      </c>
      <c r="CD12" s="48">
        <f>data2!C65</f>
        <v>5.4079227447509766</v>
      </c>
      <c r="CE12" s="48">
        <f>data2!D65</f>
        <v>5.3638625144958496</v>
      </c>
      <c r="CF12" s="48">
        <f>data2!E65</f>
        <v>5.1985907554626465</v>
      </c>
      <c r="CG12" s="48">
        <f>data2!F65</f>
        <v>4.8399930000305176</v>
      </c>
      <c r="CH12" s="48"/>
      <c r="CI12" s="48">
        <f>data2!H65</f>
        <v>0</v>
      </c>
      <c r="CJ12" s="48">
        <f>data2!I65</f>
        <v>0</v>
      </c>
      <c r="CK12" s="48">
        <f>data2!J65</f>
        <v>0</v>
      </c>
      <c r="CL12" s="48">
        <f>data2!K65</f>
        <v>0</v>
      </c>
      <c r="CM12" s="48">
        <f>data2!L65</f>
        <v>0</v>
      </c>
      <c r="CN12" s="48">
        <f>data2!M65</f>
        <v>0</v>
      </c>
      <c r="CO12" s="48">
        <f>data2!N65</f>
        <v>0</v>
      </c>
      <c r="CP12" s="48">
        <f>data2!O65</f>
        <v>0</v>
      </c>
      <c r="CQ12" s="48">
        <f>data2!P65</f>
        <v>0</v>
      </c>
      <c r="CR12" s="48">
        <f>data2!Q65</f>
        <v>0</v>
      </c>
      <c r="CS12" s="48">
        <f>data2!R65</f>
        <v>0</v>
      </c>
      <c r="CT12" s="48">
        <f>data2!S65</f>
        <v>0</v>
      </c>
      <c r="CU12" s="48"/>
      <c r="CV12" s="48">
        <f>data2!U65</f>
        <v>0</v>
      </c>
      <c r="CW12" s="48">
        <f>data2!V65</f>
        <v>0</v>
      </c>
      <c r="CX12" s="48"/>
      <c r="CY12" s="48">
        <f>data2!X65</f>
        <v>0</v>
      </c>
      <c r="CZ12" s="48">
        <f>data2!Y65</f>
        <v>0</v>
      </c>
      <c r="DA12" s="48">
        <f>data2!Z65</f>
        <v>0</v>
      </c>
      <c r="DB12" s="48">
        <f>data2!AA65</f>
        <v>0</v>
      </c>
      <c r="DC12" s="48">
        <f>data2!AB65</f>
        <v>0</v>
      </c>
      <c r="DD12" s="48">
        <f>data2!AC65</f>
        <v>0</v>
      </c>
      <c r="DE12" s="48">
        <f>data2!AD65</f>
        <v>0</v>
      </c>
      <c r="DF12" s="48">
        <f>data2!AE65</f>
        <v>0</v>
      </c>
      <c r="DG12" s="48">
        <f>data2!AF65</f>
        <v>0</v>
      </c>
      <c r="DH12" s="49">
        <f>data2!AG65</f>
        <v>0</v>
      </c>
    </row>
    <row r="13" spans="1:112" s="63" customFormat="1">
      <c r="A13" s="14">
        <f t="shared" si="16"/>
        <v>11</v>
      </c>
      <c r="B13" s="63">
        <f ca="1">data4!S12</f>
        <v>2.38707854456778</v>
      </c>
      <c r="C13" s="63">
        <f>data5!L12</f>
        <v>4005.5</v>
      </c>
      <c r="D13" s="63">
        <f t="shared" si="3"/>
        <v>-5.869272969346718</v>
      </c>
      <c r="E13" s="63">
        <f t="shared" si="4"/>
        <v>2.5017640015174605</v>
      </c>
      <c r="F13" s="63">
        <f t="shared" si="5"/>
        <v>10.87280097238164</v>
      </c>
      <c r="G13" s="63">
        <f t="shared" si="6"/>
        <v>5.5806913139094521</v>
      </c>
      <c r="H13" s="63">
        <f t="shared" si="7"/>
        <v>-3.9164544494450126</v>
      </c>
      <c r="I13" s="63">
        <f t="shared" si="8"/>
        <v>1.6651368305600922</v>
      </c>
      <c r="J13" s="63">
        <f t="shared" si="9"/>
        <v>7.2467281105651971</v>
      </c>
      <c r="K13" s="63">
        <f t="shared" si="10"/>
        <v>3.7210608533367364</v>
      </c>
      <c r="L13" s="63">
        <f t="shared" si="11"/>
        <v>-1.9681052390232643</v>
      </c>
      <c r="M13" s="63">
        <f t="shared" si="12"/>
        <v>0.83808448396880053</v>
      </c>
      <c r="N13" s="63">
        <f t="shared" si="13"/>
        <v>3.6442742069608651</v>
      </c>
      <c r="O13" s="63">
        <f t="shared" si="14"/>
        <v>1.8707931486613765</v>
      </c>
      <c r="P13" s="63" t="b">
        <f t="shared" si="15"/>
        <v>1</v>
      </c>
      <c r="Q13" s="47">
        <f>data0!B66</f>
        <v>14.876777648925781</v>
      </c>
      <c r="R13" s="48">
        <f>data0!C66</f>
        <v>14.637413024902344</v>
      </c>
      <c r="S13" s="48">
        <f>data0!D66</f>
        <v>14.951231002807617</v>
      </c>
      <c r="T13" s="48">
        <f>data0!E66</f>
        <v>13.930647850036621</v>
      </c>
      <c r="U13" s="48">
        <f>data0!F66</f>
        <v>14.155086517333984</v>
      </c>
      <c r="V13" s="48"/>
      <c r="W13" s="48">
        <f>data0!H66</f>
        <v>0</v>
      </c>
      <c r="X13" s="48">
        <f>data0!I66</f>
        <v>0</v>
      </c>
      <c r="Y13" s="48">
        <f>data0!J66</f>
        <v>0</v>
      </c>
      <c r="Z13" s="48">
        <f>data0!K66</f>
        <v>0</v>
      </c>
      <c r="AA13" s="48">
        <f>data0!L66</f>
        <v>0</v>
      </c>
      <c r="AB13" s="48">
        <f>data0!M66</f>
        <v>0</v>
      </c>
      <c r="AC13" s="48">
        <f>data0!N66</f>
        <v>0</v>
      </c>
      <c r="AD13" s="48">
        <f>data0!O66</f>
        <v>0</v>
      </c>
      <c r="AE13" s="48">
        <f>data0!P66</f>
        <v>0</v>
      </c>
      <c r="AF13" s="48">
        <f>data0!Q66</f>
        <v>0</v>
      </c>
      <c r="AG13" s="48">
        <f>data0!R66</f>
        <v>0</v>
      </c>
      <c r="AH13" s="48">
        <f>data0!S66</f>
        <v>0</v>
      </c>
      <c r="AI13" s="48"/>
      <c r="AJ13" s="48">
        <f>data0!U66</f>
        <v>0</v>
      </c>
      <c r="AK13" s="48">
        <f>data0!V66</f>
        <v>0</v>
      </c>
      <c r="AL13" s="48"/>
      <c r="AM13" s="48">
        <f>data0!X66</f>
        <v>0</v>
      </c>
      <c r="AN13" s="48">
        <f>data0!Y66</f>
        <v>0</v>
      </c>
      <c r="AO13" s="48">
        <f>data0!Z66</f>
        <v>0</v>
      </c>
      <c r="AP13" s="48">
        <f>data0!AA66</f>
        <v>0</v>
      </c>
      <c r="AQ13" s="48">
        <f>data0!AB66</f>
        <v>0</v>
      </c>
      <c r="AR13" s="48">
        <f>data0!AC66</f>
        <v>0</v>
      </c>
      <c r="AS13" s="48">
        <f>data0!AD66</f>
        <v>0</v>
      </c>
      <c r="AT13" s="48">
        <f>data0!AE66</f>
        <v>0</v>
      </c>
      <c r="AU13" s="48">
        <f>data0!AF66</f>
        <v>0</v>
      </c>
      <c r="AV13" s="49">
        <f>data0!AG66</f>
        <v>0</v>
      </c>
      <c r="AW13" s="47">
        <f>data1!B66</f>
        <v>10.252411842346191</v>
      </c>
      <c r="AX13" s="48">
        <f>data1!C66</f>
        <v>9.5995979309082031</v>
      </c>
      <c r="AY13" s="48">
        <f>data1!D66</f>
        <v>10.400777816772461</v>
      </c>
      <c r="AZ13" s="48">
        <f>data1!E66</f>
        <v>8.9417486190795898</v>
      </c>
      <c r="BA13" s="48">
        <f>data1!F66</f>
        <v>9.0944318771362305</v>
      </c>
      <c r="BB13" s="48"/>
      <c r="BC13" s="48">
        <f>data1!H66</f>
        <v>0</v>
      </c>
      <c r="BD13" s="48">
        <f>data1!I66</f>
        <v>0</v>
      </c>
      <c r="BE13" s="48">
        <f>data1!J66</f>
        <v>0</v>
      </c>
      <c r="BF13" s="48">
        <f>data1!K66</f>
        <v>0</v>
      </c>
      <c r="BG13" s="48">
        <f>data1!L66</f>
        <v>0</v>
      </c>
      <c r="BH13" s="48">
        <f>data1!M66</f>
        <v>0</v>
      </c>
      <c r="BI13" s="48">
        <f>data1!N66</f>
        <v>0</v>
      </c>
      <c r="BJ13" s="48">
        <f>data1!O66</f>
        <v>0</v>
      </c>
      <c r="BK13" s="48">
        <f>data1!P66</f>
        <v>0</v>
      </c>
      <c r="BL13" s="48">
        <f>data1!Q66</f>
        <v>0</v>
      </c>
      <c r="BM13" s="48">
        <f>data1!R66</f>
        <v>0</v>
      </c>
      <c r="BN13" s="48">
        <f>data1!S66</f>
        <v>0</v>
      </c>
      <c r="BO13" s="48"/>
      <c r="BP13" s="48">
        <f>data1!U66</f>
        <v>0</v>
      </c>
      <c r="BQ13" s="48">
        <f>data1!V66</f>
        <v>0</v>
      </c>
      <c r="BR13" s="48"/>
      <c r="BS13" s="48">
        <f>data1!X66</f>
        <v>0</v>
      </c>
      <c r="BT13" s="48">
        <f>data1!Y66</f>
        <v>0</v>
      </c>
      <c r="BU13" s="48">
        <f>data1!Z66</f>
        <v>0</v>
      </c>
      <c r="BV13" s="48">
        <f>data1!AA66</f>
        <v>0</v>
      </c>
      <c r="BW13" s="48">
        <f>data1!AB66</f>
        <v>0</v>
      </c>
      <c r="BX13" s="48">
        <f>data1!AC66</f>
        <v>0</v>
      </c>
      <c r="BY13" s="48">
        <f>data1!AD66</f>
        <v>0</v>
      </c>
      <c r="BZ13" s="48">
        <f>data1!AE66</f>
        <v>0</v>
      </c>
      <c r="CA13" s="48">
        <f>data1!AF66</f>
        <v>0</v>
      </c>
      <c r="CB13" s="48">
        <f>data1!AG66</f>
        <v>0</v>
      </c>
      <c r="CC13" s="47">
        <f>data2!B66</f>
        <v>4.9885392189025879</v>
      </c>
      <c r="CD13" s="48">
        <f>data2!C66</f>
        <v>4.979367733001709</v>
      </c>
      <c r="CE13" s="48">
        <f>data2!D66</f>
        <v>5.0935649871826172</v>
      </c>
      <c r="CF13" s="48">
        <f>data2!E66</f>
        <v>4.7335286140441895</v>
      </c>
      <c r="CG13" s="48">
        <f>data2!F66</f>
        <v>4.5094494819641113</v>
      </c>
      <c r="CH13" s="48"/>
      <c r="CI13" s="48">
        <f>data2!H66</f>
        <v>0</v>
      </c>
      <c r="CJ13" s="48">
        <f>data2!I66</f>
        <v>0</v>
      </c>
      <c r="CK13" s="48">
        <f>data2!J66</f>
        <v>0</v>
      </c>
      <c r="CL13" s="48">
        <f>data2!K66</f>
        <v>0</v>
      </c>
      <c r="CM13" s="48">
        <f>data2!L66</f>
        <v>0</v>
      </c>
      <c r="CN13" s="48">
        <f>data2!M66</f>
        <v>0</v>
      </c>
      <c r="CO13" s="48">
        <f>data2!N66</f>
        <v>0</v>
      </c>
      <c r="CP13" s="48">
        <f>data2!O66</f>
        <v>0</v>
      </c>
      <c r="CQ13" s="48">
        <f>data2!P66</f>
        <v>0</v>
      </c>
      <c r="CR13" s="48">
        <f>data2!Q66</f>
        <v>0</v>
      </c>
      <c r="CS13" s="48">
        <f>data2!R66</f>
        <v>0</v>
      </c>
      <c r="CT13" s="48">
        <f>data2!S66</f>
        <v>0</v>
      </c>
      <c r="CU13" s="48"/>
      <c r="CV13" s="48">
        <f>data2!U66</f>
        <v>0</v>
      </c>
      <c r="CW13" s="48">
        <f>data2!V66</f>
        <v>0</v>
      </c>
      <c r="CX13" s="48"/>
      <c r="CY13" s="48">
        <f>data2!X66</f>
        <v>0</v>
      </c>
      <c r="CZ13" s="48">
        <f>data2!Y66</f>
        <v>0</v>
      </c>
      <c r="DA13" s="48">
        <f>data2!Z66</f>
        <v>0</v>
      </c>
      <c r="DB13" s="48">
        <f>data2!AA66</f>
        <v>0</v>
      </c>
      <c r="DC13" s="48">
        <f>data2!AB66</f>
        <v>0</v>
      </c>
      <c r="DD13" s="48">
        <f>data2!AC66</f>
        <v>0</v>
      </c>
      <c r="DE13" s="48">
        <f>data2!AD66</f>
        <v>0</v>
      </c>
      <c r="DF13" s="48">
        <f>data2!AE66</f>
        <v>0</v>
      </c>
      <c r="DG13" s="48">
        <f>data2!AF66</f>
        <v>0</v>
      </c>
      <c r="DH13" s="49">
        <f>data2!AG66</f>
        <v>0</v>
      </c>
    </row>
    <row r="14" spans="1:112" s="63" customFormat="1">
      <c r="A14" s="14">
        <f t="shared" si="16"/>
        <v>12</v>
      </c>
      <c r="B14" s="63">
        <f ca="1">data4!S13</f>
        <v>2.1590792663518994</v>
      </c>
      <c r="C14" s="63">
        <f>data5!L13</f>
        <v>4009.6</v>
      </c>
      <c r="D14" s="63">
        <f t="shared" si="3"/>
        <v>-5.4046839369250481</v>
      </c>
      <c r="E14" s="63">
        <f t="shared" si="4"/>
        <v>2.3036874573806236</v>
      </c>
      <c r="F14" s="63">
        <f t="shared" si="5"/>
        <v>10.012058851686296</v>
      </c>
      <c r="G14" s="63">
        <f t="shared" si="6"/>
        <v>5.1389142628704478</v>
      </c>
      <c r="H14" s="63">
        <f t="shared" si="7"/>
        <v>-3.5307037747219985</v>
      </c>
      <c r="I14" s="63">
        <f t="shared" si="8"/>
        <v>1.5012915709923054</v>
      </c>
      <c r="J14" s="63">
        <f t="shared" si="9"/>
        <v>6.5332869167066088</v>
      </c>
      <c r="K14" s="63">
        <f t="shared" si="10"/>
        <v>3.3546635638095355</v>
      </c>
      <c r="L14" s="63">
        <f t="shared" si="11"/>
        <v>-1.8394163503047989</v>
      </c>
      <c r="M14" s="63">
        <f t="shared" si="12"/>
        <v>0.78321514458491881</v>
      </c>
      <c r="N14" s="63">
        <f t="shared" si="13"/>
        <v>3.4058466394746367</v>
      </c>
      <c r="O14" s="63">
        <f t="shared" si="14"/>
        <v>1.7484209965931452</v>
      </c>
      <c r="P14" s="63" t="b">
        <f t="shared" si="15"/>
        <v>1</v>
      </c>
      <c r="Q14" s="47">
        <f>data0!B67</f>
        <v>13.659991264343262</v>
      </c>
      <c r="R14" s="48">
        <f>data0!C67</f>
        <v>13.492201805114746</v>
      </c>
      <c r="S14" s="48">
        <f>data0!D67</f>
        <v>13.807278633117676</v>
      </c>
      <c r="T14" s="48">
        <f>data0!E67</f>
        <v>12.831295013427734</v>
      </c>
      <c r="U14" s="48">
        <f>data0!F67</f>
        <v>13.016169548034668</v>
      </c>
      <c r="V14" s="48"/>
      <c r="W14" s="48">
        <f>data0!H67</f>
        <v>0</v>
      </c>
      <c r="X14" s="48">
        <f>data0!I67</f>
        <v>0</v>
      </c>
      <c r="Y14" s="48">
        <f>data0!J67</f>
        <v>0</v>
      </c>
      <c r="Z14" s="48">
        <f>data0!K67</f>
        <v>0</v>
      </c>
      <c r="AA14" s="48">
        <f>data0!L67</f>
        <v>0</v>
      </c>
      <c r="AB14" s="48">
        <f>data0!M67</f>
        <v>0</v>
      </c>
      <c r="AC14" s="48">
        <f>data0!N67</f>
        <v>0</v>
      </c>
      <c r="AD14" s="48">
        <f>data0!O67</f>
        <v>0</v>
      </c>
      <c r="AE14" s="48">
        <f>data0!P67</f>
        <v>0</v>
      </c>
      <c r="AF14" s="48">
        <f>data0!Q67</f>
        <v>0</v>
      </c>
      <c r="AG14" s="48">
        <f>data0!R67</f>
        <v>0</v>
      </c>
      <c r="AH14" s="48">
        <f>data0!S67</f>
        <v>0</v>
      </c>
      <c r="AI14" s="48"/>
      <c r="AJ14" s="48">
        <f>data0!U67</f>
        <v>0</v>
      </c>
      <c r="AK14" s="48">
        <f>data0!V67</f>
        <v>0</v>
      </c>
      <c r="AL14" s="48"/>
      <c r="AM14" s="48">
        <f>data0!X67</f>
        <v>0</v>
      </c>
      <c r="AN14" s="48">
        <f>data0!Y67</f>
        <v>0</v>
      </c>
      <c r="AO14" s="48">
        <f>data0!Z67</f>
        <v>0</v>
      </c>
      <c r="AP14" s="48">
        <f>data0!AA67</f>
        <v>0</v>
      </c>
      <c r="AQ14" s="48">
        <f>data0!AB67</f>
        <v>0</v>
      </c>
      <c r="AR14" s="48">
        <f>data0!AC67</f>
        <v>0</v>
      </c>
      <c r="AS14" s="48">
        <f>data0!AD67</f>
        <v>0</v>
      </c>
      <c r="AT14" s="48">
        <f>data0!AE67</f>
        <v>0</v>
      </c>
      <c r="AU14" s="48">
        <f>data0!AF67</f>
        <v>0</v>
      </c>
      <c r="AV14" s="49">
        <f>data0!AG67</f>
        <v>0</v>
      </c>
      <c r="AW14" s="47">
        <f>data1!B67</f>
        <v>9.2688751220703125</v>
      </c>
      <c r="AX14" s="48">
        <f>data1!C67</f>
        <v>8.7293596267700195</v>
      </c>
      <c r="AY14" s="48">
        <f>data1!D67</f>
        <v>9.2940521240234375</v>
      </c>
      <c r="AZ14" s="48">
        <f>data1!E67</f>
        <v>8.0177383422851562</v>
      </c>
      <c r="BA14" s="48">
        <f>data1!F67</f>
        <v>8.2274303436279297</v>
      </c>
      <c r="BB14" s="48"/>
      <c r="BC14" s="48">
        <f>data1!H67</f>
        <v>0</v>
      </c>
      <c r="BD14" s="48">
        <f>data1!I67</f>
        <v>0</v>
      </c>
      <c r="BE14" s="48">
        <f>data1!J67</f>
        <v>0</v>
      </c>
      <c r="BF14" s="48">
        <f>data1!K67</f>
        <v>0</v>
      </c>
      <c r="BG14" s="48">
        <f>data1!L67</f>
        <v>0</v>
      </c>
      <c r="BH14" s="48">
        <f>data1!M67</f>
        <v>0</v>
      </c>
      <c r="BI14" s="48">
        <f>data1!N67</f>
        <v>0</v>
      </c>
      <c r="BJ14" s="48">
        <f>data1!O67</f>
        <v>0</v>
      </c>
      <c r="BK14" s="48">
        <f>data1!P67</f>
        <v>0</v>
      </c>
      <c r="BL14" s="48">
        <f>data1!Q67</f>
        <v>0</v>
      </c>
      <c r="BM14" s="48">
        <f>data1!R67</f>
        <v>0</v>
      </c>
      <c r="BN14" s="48">
        <f>data1!S67</f>
        <v>0</v>
      </c>
      <c r="BO14" s="48"/>
      <c r="BP14" s="48">
        <f>data1!U67</f>
        <v>0</v>
      </c>
      <c r="BQ14" s="48">
        <f>data1!V67</f>
        <v>0</v>
      </c>
      <c r="BR14" s="48"/>
      <c r="BS14" s="48">
        <f>data1!X67</f>
        <v>0</v>
      </c>
      <c r="BT14" s="48">
        <f>data1!Y67</f>
        <v>0</v>
      </c>
      <c r="BU14" s="48">
        <f>data1!Z67</f>
        <v>0</v>
      </c>
      <c r="BV14" s="48">
        <f>data1!AA67</f>
        <v>0</v>
      </c>
      <c r="BW14" s="48">
        <f>data1!AB67</f>
        <v>0</v>
      </c>
      <c r="BX14" s="48">
        <f>data1!AC67</f>
        <v>0</v>
      </c>
      <c r="BY14" s="48">
        <f>data1!AD67</f>
        <v>0</v>
      </c>
      <c r="BZ14" s="48">
        <f>data1!AE67</f>
        <v>0</v>
      </c>
      <c r="CA14" s="48">
        <f>data1!AF67</f>
        <v>0</v>
      </c>
      <c r="CB14" s="48">
        <f>data1!AG67</f>
        <v>0</v>
      </c>
      <c r="CC14" s="47">
        <f>data2!B67</f>
        <v>4.645047664642334</v>
      </c>
      <c r="CD14" s="48">
        <f>data2!C67</f>
        <v>4.6517019271850586</v>
      </c>
      <c r="CE14" s="48">
        <f>data2!D67</f>
        <v>4.7847824096679687</v>
      </c>
      <c r="CF14" s="48">
        <f>data2!E67</f>
        <v>4.4220480918884277</v>
      </c>
      <c r="CG14" s="48">
        <f>data2!F67</f>
        <v>4.2096590995788574</v>
      </c>
      <c r="CH14" s="48"/>
      <c r="CI14" s="48">
        <f>data2!H67</f>
        <v>0</v>
      </c>
      <c r="CJ14" s="48">
        <f>data2!I67</f>
        <v>0</v>
      </c>
      <c r="CK14" s="48">
        <f>data2!J67</f>
        <v>0</v>
      </c>
      <c r="CL14" s="48">
        <f>data2!K67</f>
        <v>0</v>
      </c>
      <c r="CM14" s="48">
        <f>data2!L67</f>
        <v>0</v>
      </c>
      <c r="CN14" s="48">
        <f>data2!M67</f>
        <v>0</v>
      </c>
      <c r="CO14" s="48">
        <f>data2!N67</f>
        <v>0</v>
      </c>
      <c r="CP14" s="48">
        <f>data2!O67</f>
        <v>0</v>
      </c>
      <c r="CQ14" s="48">
        <f>data2!P67</f>
        <v>0</v>
      </c>
      <c r="CR14" s="48">
        <f>data2!Q67</f>
        <v>0</v>
      </c>
      <c r="CS14" s="48">
        <f>data2!R67</f>
        <v>0</v>
      </c>
      <c r="CT14" s="48">
        <f>data2!S67</f>
        <v>0</v>
      </c>
      <c r="CU14" s="48"/>
      <c r="CV14" s="48">
        <f>data2!U67</f>
        <v>0</v>
      </c>
      <c r="CW14" s="48">
        <f>data2!V67</f>
        <v>0</v>
      </c>
      <c r="CX14" s="48"/>
      <c r="CY14" s="48">
        <f>data2!X67</f>
        <v>0</v>
      </c>
      <c r="CZ14" s="48">
        <f>data2!Y67</f>
        <v>0</v>
      </c>
      <c r="DA14" s="48">
        <f>data2!Z67</f>
        <v>0</v>
      </c>
      <c r="DB14" s="48">
        <f>data2!AA67</f>
        <v>0</v>
      </c>
      <c r="DC14" s="48">
        <f>data2!AB67</f>
        <v>0</v>
      </c>
      <c r="DD14" s="48">
        <f>data2!AC67</f>
        <v>0</v>
      </c>
      <c r="DE14" s="48">
        <f>data2!AD67</f>
        <v>0</v>
      </c>
      <c r="DF14" s="48">
        <f>data2!AE67</f>
        <v>0</v>
      </c>
      <c r="DG14" s="48">
        <f>data2!AF67</f>
        <v>0</v>
      </c>
      <c r="DH14" s="49">
        <f>data2!AG67</f>
        <v>0</v>
      </c>
    </row>
    <row r="15" spans="1:112" s="63" customFormat="1">
      <c r="A15" s="14">
        <f t="shared" si="16"/>
        <v>13</v>
      </c>
      <c r="B15" s="63">
        <f ca="1">data4!S14</f>
        <v>1.7769039850931945</v>
      </c>
      <c r="C15" s="63">
        <f>data5!L14</f>
        <v>4016.5</v>
      </c>
      <c r="D15" s="63">
        <f t="shared" si="3"/>
        <v>-4.4038008862392211</v>
      </c>
      <c r="E15" s="63">
        <f t="shared" si="4"/>
        <v>1.8769679562798862</v>
      </c>
      <c r="F15" s="63">
        <f t="shared" si="5"/>
        <v>8.157736798798993</v>
      </c>
      <c r="G15" s="63">
        <f t="shared" si="6"/>
        <v>4.1871792283460714</v>
      </c>
      <c r="H15" s="63">
        <f t="shared" si="7"/>
        <v>-2.9067670796114973</v>
      </c>
      <c r="I15" s="63">
        <f t="shared" si="8"/>
        <v>1.2360670319918929</v>
      </c>
      <c r="J15" s="63">
        <f t="shared" si="9"/>
        <v>5.3789011435952832</v>
      </c>
      <c r="K15" s="63">
        <f t="shared" si="10"/>
        <v>2.7618894077355938</v>
      </c>
      <c r="L15" s="63">
        <f t="shared" si="11"/>
        <v>-1.4513431688226537</v>
      </c>
      <c r="M15" s="63">
        <f t="shared" si="12"/>
        <v>0.61784437607074605</v>
      </c>
      <c r="N15" s="63">
        <f t="shared" si="13"/>
        <v>2.6870319209641456</v>
      </c>
      <c r="O15" s="63">
        <f t="shared" si="14"/>
        <v>1.3794583632622663</v>
      </c>
      <c r="P15" s="63" t="b">
        <f t="shared" si="15"/>
        <v>1</v>
      </c>
      <c r="Q15" s="47">
        <f>data0!B68</f>
        <v>11.151424407958984</v>
      </c>
      <c r="R15" s="48">
        <f>data0!C68</f>
        <v>10.988490104675293</v>
      </c>
      <c r="S15" s="48">
        <f>data0!D68</f>
        <v>11.257888793945313</v>
      </c>
      <c r="T15" s="48">
        <f>data0!E68</f>
        <v>10.430631637573242</v>
      </c>
      <c r="U15" s="48">
        <f>data0!F68</f>
        <v>10.603635787963867</v>
      </c>
      <c r="V15" s="48"/>
      <c r="W15" s="48">
        <f>data0!H68</f>
        <v>0</v>
      </c>
      <c r="X15" s="48">
        <f>data0!I68</f>
        <v>0</v>
      </c>
      <c r="Y15" s="48">
        <f>data0!J68</f>
        <v>0</v>
      </c>
      <c r="Z15" s="48">
        <f>data0!K68</f>
        <v>0</v>
      </c>
      <c r="AA15" s="48">
        <f>data0!L68</f>
        <v>0</v>
      </c>
      <c r="AB15" s="48">
        <f>data0!M68</f>
        <v>0</v>
      </c>
      <c r="AC15" s="48">
        <f>data0!N68</f>
        <v>0</v>
      </c>
      <c r="AD15" s="48">
        <f>data0!O68</f>
        <v>0</v>
      </c>
      <c r="AE15" s="48">
        <f>data0!P68</f>
        <v>0</v>
      </c>
      <c r="AF15" s="48">
        <f>data0!Q68</f>
        <v>0</v>
      </c>
      <c r="AG15" s="48">
        <f>data0!R68</f>
        <v>0</v>
      </c>
      <c r="AH15" s="48">
        <f>data0!S68</f>
        <v>0</v>
      </c>
      <c r="AI15" s="48"/>
      <c r="AJ15" s="48">
        <f>data0!U68</f>
        <v>0</v>
      </c>
      <c r="AK15" s="48">
        <f>data0!V68</f>
        <v>0</v>
      </c>
      <c r="AL15" s="48"/>
      <c r="AM15" s="48">
        <f>data0!X68</f>
        <v>0</v>
      </c>
      <c r="AN15" s="48">
        <f>data0!Y68</f>
        <v>0</v>
      </c>
      <c r="AO15" s="48">
        <f>data0!Z68</f>
        <v>0</v>
      </c>
      <c r="AP15" s="48">
        <f>data0!AA68</f>
        <v>0</v>
      </c>
      <c r="AQ15" s="48">
        <f>data0!AB68</f>
        <v>0</v>
      </c>
      <c r="AR15" s="48">
        <f>data0!AC68</f>
        <v>0</v>
      </c>
      <c r="AS15" s="48">
        <f>data0!AD68</f>
        <v>0</v>
      </c>
      <c r="AT15" s="48">
        <f>data0!AE68</f>
        <v>0</v>
      </c>
      <c r="AU15" s="48">
        <f>data0!AF68</f>
        <v>0</v>
      </c>
      <c r="AV15" s="49">
        <f>data0!AG68</f>
        <v>0</v>
      </c>
      <c r="AW15" s="47">
        <f>data1!B68</f>
        <v>7.6792826652526855</v>
      </c>
      <c r="AX15" s="48">
        <f>data1!C68</f>
        <v>7.2068467140197754</v>
      </c>
      <c r="AY15" s="48">
        <f>data1!D68</f>
        <v>7.5809111595153809</v>
      </c>
      <c r="AZ15" s="48">
        <f>data1!E68</f>
        <v>6.602409839630127</v>
      </c>
      <c r="BA15" s="48">
        <f>data1!F68</f>
        <v>6.7764935493469238</v>
      </c>
      <c r="BB15" s="48"/>
      <c r="BC15" s="48">
        <f>data1!H68</f>
        <v>0</v>
      </c>
      <c r="BD15" s="48">
        <f>data1!I68</f>
        <v>0</v>
      </c>
      <c r="BE15" s="48">
        <f>data1!J68</f>
        <v>0</v>
      </c>
      <c r="BF15" s="48">
        <f>data1!K68</f>
        <v>0</v>
      </c>
      <c r="BG15" s="48">
        <f>data1!L68</f>
        <v>0</v>
      </c>
      <c r="BH15" s="48">
        <f>data1!M68</f>
        <v>0</v>
      </c>
      <c r="BI15" s="48">
        <f>data1!N68</f>
        <v>0</v>
      </c>
      <c r="BJ15" s="48">
        <f>data1!O68</f>
        <v>0</v>
      </c>
      <c r="BK15" s="48">
        <f>data1!P68</f>
        <v>0</v>
      </c>
      <c r="BL15" s="48">
        <f>data1!Q68</f>
        <v>0</v>
      </c>
      <c r="BM15" s="48">
        <f>data1!R68</f>
        <v>0</v>
      </c>
      <c r="BN15" s="48">
        <f>data1!S68</f>
        <v>0</v>
      </c>
      <c r="BO15" s="48"/>
      <c r="BP15" s="48">
        <f>data1!U68</f>
        <v>0</v>
      </c>
      <c r="BQ15" s="48">
        <f>data1!V68</f>
        <v>0</v>
      </c>
      <c r="BR15" s="48"/>
      <c r="BS15" s="48">
        <f>data1!X68</f>
        <v>0</v>
      </c>
      <c r="BT15" s="48">
        <f>data1!Y68</f>
        <v>0</v>
      </c>
      <c r="BU15" s="48">
        <f>data1!Z68</f>
        <v>0</v>
      </c>
      <c r="BV15" s="48">
        <f>data1!AA68</f>
        <v>0</v>
      </c>
      <c r="BW15" s="48">
        <f>data1!AB68</f>
        <v>0</v>
      </c>
      <c r="BX15" s="48">
        <f>data1!AC68</f>
        <v>0</v>
      </c>
      <c r="BY15" s="48">
        <f>data1!AD68</f>
        <v>0</v>
      </c>
      <c r="BZ15" s="48">
        <f>data1!AE68</f>
        <v>0</v>
      </c>
      <c r="CA15" s="48">
        <f>data1!AF68</f>
        <v>0</v>
      </c>
      <c r="CB15" s="48">
        <f>data1!AG68</f>
        <v>0</v>
      </c>
      <c r="CC15" s="47">
        <f>data2!B68</f>
        <v>3.6751790046691895</v>
      </c>
      <c r="CD15" s="48">
        <f>data2!C68</f>
        <v>3.6841709613800049</v>
      </c>
      <c r="CE15" s="48">
        <f>data2!D68</f>
        <v>3.7733707427978516</v>
      </c>
      <c r="CF15" s="48">
        <f>data2!E68</f>
        <v>3.4836511611938477</v>
      </c>
      <c r="CG15" s="48">
        <f>data2!F68</f>
        <v>3.3011150360107422</v>
      </c>
      <c r="CH15" s="48"/>
      <c r="CI15" s="48">
        <f>data2!H68</f>
        <v>0</v>
      </c>
      <c r="CJ15" s="48">
        <f>data2!I68</f>
        <v>0</v>
      </c>
      <c r="CK15" s="48">
        <f>data2!J68</f>
        <v>0</v>
      </c>
      <c r="CL15" s="48">
        <f>data2!K68</f>
        <v>0</v>
      </c>
      <c r="CM15" s="48">
        <f>data2!L68</f>
        <v>0</v>
      </c>
      <c r="CN15" s="48">
        <f>data2!M68</f>
        <v>0</v>
      </c>
      <c r="CO15" s="48">
        <f>data2!N68</f>
        <v>0</v>
      </c>
      <c r="CP15" s="48">
        <f>data2!O68</f>
        <v>0</v>
      </c>
      <c r="CQ15" s="48">
        <f>data2!P68</f>
        <v>0</v>
      </c>
      <c r="CR15" s="48">
        <f>data2!Q68</f>
        <v>0</v>
      </c>
      <c r="CS15" s="48">
        <f>data2!R68</f>
        <v>0</v>
      </c>
      <c r="CT15" s="48">
        <f>data2!S68</f>
        <v>0</v>
      </c>
      <c r="CU15" s="48"/>
      <c r="CV15" s="48">
        <f>data2!U68</f>
        <v>0</v>
      </c>
      <c r="CW15" s="48">
        <f>data2!V68</f>
        <v>0</v>
      </c>
      <c r="CX15" s="48"/>
      <c r="CY15" s="48">
        <f>data2!X68</f>
        <v>0</v>
      </c>
      <c r="CZ15" s="48">
        <f>data2!Y68</f>
        <v>0</v>
      </c>
      <c r="DA15" s="48">
        <f>data2!Z68</f>
        <v>0</v>
      </c>
      <c r="DB15" s="48">
        <f>data2!AA68</f>
        <v>0</v>
      </c>
      <c r="DC15" s="48">
        <f>data2!AB68</f>
        <v>0</v>
      </c>
      <c r="DD15" s="48">
        <f>data2!AC68</f>
        <v>0</v>
      </c>
      <c r="DE15" s="48">
        <f>data2!AD68</f>
        <v>0</v>
      </c>
      <c r="DF15" s="48">
        <f>data2!AE68</f>
        <v>0</v>
      </c>
      <c r="DG15" s="48">
        <f>data2!AF68</f>
        <v>0</v>
      </c>
      <c r="DH15" s="49">
        <f>data2!AG68</f>
        <v>0</v>
      </c>
    </row>
    <row r="16" spans="1:112" s="63" customFormat="1">
      <c r="A16" s="14">
        <f t="shared" si="16"/>
        <v>14</v>
      </c>
      <c r="B16" s="63">
        <f ca="1">data4!S15</f>
        <v>1.4370560182896255</v>
      </c>
      <c r="C16" s="63">
        <f>data5!L15</f>
        <v>4064.6</v>
      </c>
      <c r="D16" s="63">
        <f t="shared" si="3"/>
        <v>-3.3297256784682054</v>
      </c>
      <c r="E16" s="63">
        <f t="shared" si="4"/>
        <v>1.4191301937760978</v>
      </c>
      <c r="F16" s="63">
        <f t="shared" si="5"/>
        <v>6.1679860660204007</v>
      </c>
      <c r="G16" s="63">
        <f t="shared" si="6"/>
        <v>3.1659039148295354</v>
      </c>
      <c r="H16" s="63">
        <f t="shared" si="7"/>
        <v>-2.3003424399967471</v>
      </c>
      <c r="I16" s="63">
        <f t="shared" si="8"/>
        <v>0.97789958427692281</v>
      </c>
      <c r="J16" s="63">
        <f t="shared" si="9"/>
        <v>4.2561416085505925</v>
      </c>
      <c r="K16" s="63">
        <f t="shared" si="10"/>
        <v>2.1854946828491131</v>
      </c>
      <c r="L16" s="63">
        <f t="shared" si="11"/>
        <v>-1.0361270842446546</v>
      </c>
      <c r="M16" s="63">
        <f t="shared" si="12"/>
        <v>0.44097014131217166</v>
      </c>
      <c r="N16" s="63">
        <f t="shared" si="13"/>
        <v>1.9180673668689978</v>
      </c>
      <c r="O16" s="63">
        <f t="shared" si="14"/>
        <v>0.98473148370455088</v>
      </c>
      <c r="P16" s="63" t="b">
        <f t="shared" si="15"/>
        <v>1</v>
      </c>
      <c r="Q16" s="47">
        <f>data0!B69</f>
        <v>8.4234542846679687</v>
      </c>
      <c r="R16" s="48">
        <f>data0!C69</f>
        <v>8.2865972518920898</v>
      </c>
      <c r="S16" s="48">
        <f>data0!D69</f>
        <v>8.5439462661743164</v>
      </c>
      <c r="T16" s="48">
        <f>data0!E69</f>
        <v>7.8877153396606445</v>
      </c>
      <c r="U16" s="48">
        <f>data0!F69</f>
        <v>8.0130624771118164</v>
      </c>
      <c r="V16" s="48"/>
      <c r="W16" s="48">
        <f>data0!H69</f>
        <v>0</v>
      </c>
      <c r="X16" s="48">
        <f>data0!I69</f>
        <v>0</v>
      </c>
      <c r="Y16" s="48">
        <f>data0!J69</f>
        <v>0</v>
      </c>
      <c r="Z16" s="48">
        <f>data0!K69</f>
        <v>0</v>
      </c>
      <c r="AA16" s="48">
        <f>data0!L69</f>
        <v>0</v>
      </c>
      <c r="AB16" s="48">
        <f>data0!M69</f>
        <v>0</v>
      </c>
      <c r="AC16" s="48">
        <f>data0!N69</f>
        <v>0</v>
      </c>
      <c r="AD16" s="48">
        <f>data0!O69</f>
        <v>0</v>
      </c>
      <c r="AE16" s="48">
        <f>data0!P69</f>
        <v>0</v>
      </c>
      <c r="AF16" s="48">
        <f>data0!Q69</f>
        <v>0</v>
      </c>
      <c r="AG16" s="48">
        <f>data0!R69</f>
        <v>0</v>
      </c>
      <c r="AH16" s="48">
        <f>data0!S69</f>
        <v>0</v>
      </c>
      <c r="AI16" s="48"/>
      <c r="AJ16" s="48">
        <f>data0!U69</f>
        <v>0</v>
      </c>
      <c r="AK16" s="48">
        <f>data0!V69</f>
        <v>0</v>
      </c>
      <c r="AL16" s="48"/>
      <c r="AM16" s="48">
        <f>data0!X69</f>
        <v>0</v>
      </c>
      <c r="AN16" s="48">
        <f>data0!Y69</f>
        <v>0</v>
      </c>
      <c r="AO16" s="48">
        <f>data0!Z69</f>
        <v>0</v>
      </c>
      <c r="AP16" s="48">
        <f>data0!AA69</f>
        <v>0</v>
      </c>
      <c r="AQ16" s="48">
        <f>data0!AB69</f>
        <v>0</v>
      </c>
      <c r="AR16" s="48">
        <f>data0!AC69</f>
        <v>0</v>
      </c>
      <c r="AS16" s="48">
        <f>data0!AD69</f>
        <v>0</v>
      </c>
      <c r="AT16" s="48">
        <f>data0!AE69</f>
        <v>0</v>
      </c>
      <c r="AU16" s="48">
        <f>data0!AF69</f>
        <v>0</v>
      </c>
      <c r="AV16" s="49">
        <f>data0!AG69</f>
        <v>0</v>
      </c>
      <c r="AW16" s="47">
        <f>data1!B69</f>
        <v>6.046349048614502</v>
      </c>
      <c r="AX16" s="48">
        <f>data1!C69</f>
        <v>5.6474676132202148</v>
      </c>
      <c r="AY16" s="48">
        <f>data1!D69</f>
        <v>6.0824966430664063</v>
      </c>
      <c r="AZ16" s="48">
        <f>data1!E69</f>
        <v>5.180427074432373</v>
      </c>
      <c r="BA16" s="48">
        <f>data1!F69</f>
        <v>5.4023475646972656</v>
      </c>
      <c r="BB16" s="48"/>
      <c r="BC16" s="48">
        <f>data1!H69</f>
        <v>0</v>
      </c>
      <c r="BD16" s="48">
        <f>data1!I69</f>
        <v>0</v>
      </c>
      <c r="BE16" s="48">
        <f>data1!J69</f>
        <v>0</v>
      </c>
      <c r="BF16" s="48">
        <f>data1!K69</f>
        <v>0</v>
      </c>
      <c r="BG16" s="48">
        <f>data1!L69</f>
        <v>0</v>
      </c>
      <c r="BH16" s="48">
        <f>data1!M69</f>
        <v>0</v>
      </c>
      <c r="BI16" s="48">
        <f>data1!N69</f>
        <v>0</v>
      </c>
      <c r="BJ16" s="48">
        <f>data1!O69</f>
        <v>0</v>
      </c>
      <c r="BK16" s="48">
        <f>data1!P69</f>
        <v>0</v>
      </c>
      <c r="BL16" s="48">
        <f>data1!Q69</f>
        <v>0</v>
      </c>
      <c r="BM16" s="48">
        <f>data1!R69</f>
        <v>0</v>
      </c>
      <c r="BN16" s="48">
        <f>data1!S69</f>
        <v>0</v>
      </c>
      <c r="BO16" s="48"/>
      <c r="BP16" s="48">
        <f>data1!U69</f>
        <v>0</v>
      </c>
      <c r="BQ16" s="48">
        <f>data1!V69</f>
        <v>0</v>
      </c>
      <c r="BR16" s="48"/>
      <c r="BS16" s="48">
        <f>data1!X69</f>
        <v>0</v>
      </c>
      <c r="BT16" s="48">
        <f>data1!Y69</f>
        <v>0</v>
      </c>
      <c r="BU16" s="48">
        <f>data1!Z69</f>
        <v>0</v>
      </c>
      <c r="BV16" s="48">
        <f>data1!AA69</f>
        <v>0</v>
      </c>
      <c r="BW16" s="48">
        <f>data1!AB69</f>
        <v>0</v>
      </c>
      <c r="BX16" s="48">
        <f>data1!AC69</f>
        <v>0</v>
      </c>
      <c r="BY16" s="48">
        <f>data1!AD69</f>
        <v>0</v>
      </c>
      <c r="BZ16" s="48">
        <f>data1!AE69</f>
        <v>0</v>
      </c>
      <c r="CA16" s="48">
        <f>data1!AF69</f>
        <v>0</v>
      </c>
      <c r="CB16" s="48">
        <f>data1!AG69</f>
        <v>0</v>
      </c>
      <c r="CC16" s="47">
        <f>data2!B69</f>
        <v>2.6233038902282715</v>
      </c>
      <c r="CD16" s="48">
        <f>data2!C69</f>
        <v>2.6353530883789062</v>
      </c>
      <c r="CE16" s="48">
        <f>data2!D69</f>
        <v>2.7013537883758545</v>
      </c>
      <c r="CF16" s="48">
        <f>data2!E69</f>
        <v>2.4887845516204834</v>
      </c>
      <c r="CG16" s="48">
        <f>data2!F69</f>
        <v>2.3393387794494629</v>
      </c>
      <c r="CH16" s="48"/>
      <c r="CI16" s="48">
        <f>data2!H69</f>
        <v>0</v>
      </c>
      <c r="CJ16" s="48">
        <f>data2!I69</f>
        <v>0</v>
      </c>
      <c r="CK16" s="48">
        <f>data2!J69</f>
        <v>0</v>
      </c>
      <c r="CL16" s="48">
        <f>data2!K69</f>
        <v>0</v>
      </c>
      <c r="CM16" s="48">
        <f>data2!L69</f>
        <v>0</v>
      </c>
      <c r="CN16" s="48">
        <f>data2!M69</f>
        <v>0</v>
      </c>
      <c r="CO16" s="48">
        <f>data2!N69</f>
        <v>0</v>
      </c>
      <c r="CP16" s="48">
        <f>data2!O69</f>
        <v>0</v>
      </c>
      <c r="CQ16" s="48">
        <f>data2!P69</f>
        <v>0</v>
      </c>
      <c r="CR16" s="48">
        <f>data2!Q69</f>
        <v>0</v>
      </c>
      <c r="CS16" s="48">
        <f>data2!R69</f>
        <v>0</v>
      </c>
      <c r="CT16" s="48">
        <f>data2!S69</f>
        <v>0</v>
      </c>
      <c r="CU16" s="48"/>
      <c r="CV16" s="48">
        <f>data2!U69</f>
        <v>0</v>
      </c>
      <c r="CW16" s="48">
        <f>data2!V69</f>
        <v>0</v>
      </c>
      <c r="CX16" s="48"/>
      <c r="CY16" s="48">
        <f>data2!X69</f>
        <v>0</v>
      </c>
      <c r="CZ16" s="48">
        <f>data2!Y69</f>
        <v>0</v>
      </c>
      <c r="DA16" s="48">
        <f>data2!Z69</f>
        <v>0</v>
      </c>
      <c r="DB16" s="48">
        <f>data2!AA69</f>
        <v>0</v>
      </c>
      <c r="DC16" s="48">
        <f>data2!AB69</f>
        <v>0</v>
      </c>
      <c r="DD16" s="48">
        <f>data2!AC69</f>
        <v>0</v>
      </c>
      <c r="DE16" s="48">
        <f>data2!AD69</f>
        <v>0</v>
      </c>
      <c r="DF16" s="48">
        <f>data2!AE69</f>
        <v>0</v>
      </c>
      <c r="DG16" s="48">
        <f>data2!AF69</f>
        <v>0</v>
      </c>
      <c r="DH16" s="49">
        <f>data2!AG69</f>
        <v>0</v>
      </c>
    </row>
    <row r="17" spans="1:112" s="63" customFormat="1">
      <c r="A17" s="14">
        <f t="shared" si="16"/>
        <v>15</v>
      </c>
      <c r="B17" s="63">
        <f ca="1">data4!S16</f>
        <v>1.1960743068778694</v>
      </c>
      <c r="C17" s="63">
        <f>data5!L16</f>
        <v>4054.6</v>
      </c>
      <c r="D17" s="63">
        <f t="shared" si="3"/>
        <v>-2.6586587516676277</v>
      </c>
      <c r="E17" s="63">
        <f t="shared" si="4"/>
        <v>1.1331622189488904</v>
      </c>
      <c r="F17" s="63">
        <f t="shared" si="5"/>
        <v>4.9249831895654088</v>
      </c>
      <c r="G17" s="63">
        <f t="shared" si="6"/>
        <v>2.5278806470776787</v>
      </c>
      <c r="H17" s="63">
        <f t="shared" si="7"/>
        <v>-1.8736799838107785</v>
      </c>
      <c r="I17" s="63">
        <f t="shared" si="8"/>
        <v>0.79671542397860828</v>
      </c>
      <c r="J17" s="63">
        <f t="shared" si="9"/>
        <v>3.4671108317679948</v>
      </c>
      <c r="K17" s="63">
        <f t="shared" si="10"/>
        <v>1.7802636051929246</v>
      </c>
      <c r="L17" s="63">
        <f t="shared" si="11"/>
        <v>-0.75518957838951684</v>
      </c>
      <c r="M17" s="63">
        <f t="shared" si="12"/>
        <v>0.32133414416477596</v>
      </c>
      <c r="N17" s="63">
        <f t="shared" si="13"/>
        <v>1.3978578667190686</v>
      </c>
      <c r="O17" s="63">
        <f t="shared" si="14"/>
        <v>0.71768248170286186</v>
      </c>
      <c r="P17" s="63" t="b">
        <f t="shared" si="15"/>
        <v>1</v>
      </c>
      <c r="Q17" s="47">
        <f>data0!B70</f>
        <v>6.7255992889404297</v>
      </c>
      <c r="R17" s="48">
        <f>data0!C70</f>
        <v>6.6223716735839844</v>
      </c>
      <c r="S17" s="48">
        <f>data0!D70</f>
        <v>6.8103032112121582</v>
      </c>
      <c r="T17" s="48">
        <f>data0!E70</f>
        <v>6.3047771453857422</v>
      </c>
      <c r="U17" s="48">
        <f>data0!F70</f>
        <v>6.3986530303955078</v>
      </c>
      <c r="V17" s="48"/>
      <c r="W17" s="48">
        <f>data0!H70</f>
        <v>0</v>
      </c>
      <c r="X17" s="48">
        <f>data0!I70</f>
        <v>0</v>
      </c>
      <c r="Y17" s="48">
        <f>data0!J70</f>
        <v>0</v>
      </c>
      <c r="Z17" s="48">
        <f>data0!K70</f>
        <v>0</v>
      </c>
      <c r="AA17" s="48">
        <f>data0!L70</f>
        <v>0</v>
      </c>
      <c r="AB17" s="48">
        <f>data0!M70</f>
        <v>0</v>
      </c>
      <c r="AC17" s="48">
        <f>data0!N70</f>
        <v>0</v>
      </c>
      <c r="AD17" s="48">
        <f>data0!O70</f>
        <v>0</v>
      </c>
      <c r="AE17" s="48">
        <f>data0!P70</f>
        <v>0</v>
      </c>
      <c r="AF17" s="48">
        <f>data0!Q70</f>
        <v>0</v>
      </c>
      <c r="AG17" s="48">
        <f>data0!R70</f>
        <v>0</v>
      </c>
      <c r="AH17" s="48">
        <f>data0!S70</f>
        <v>0</v>
      </c>
      <c r="AI17" s="48"/>
      <c r="AJ17" s="48">
        <f>data0!U70</f>
        <v>0</v>
      </c>
      <c r="AK17" s="48">
        <f>data0!V70</f>
        <v>0</v>
      </c>
      <c r="AL17" s="48"/>
      <c r="AM17" s="48">
        <f>data0!X70</f>
        <v>0</v>
      </c>
      <c r="AN17" s="48">
        <f>data0!Y70</f>
        <v>0</v>
      </c>
      <c r="AO17" s="48">
        <f>data0!Z70</f>
        <v>0</v>
      </c>
      <c r="AP17" s="48">
        <f>data0!AA70</f>
        <v>0</v>
      </c>
      <c r="AQ17" s="48">
        <f>data0!AB70</f>
        <v>0</v>
      </c>
      <c r="AR17" s="48">
        <f>data0!AC70</f>
        <v>0</v>
      </c>
      <c r="AS17" s="48">
        <f>data0!AD70</f>
        <v>0</v>
      </c>
      <c r="AT17" s="48">
        <f>data0!AE70</f>
        <v>0</v>
      </c>
      <c r="AU17" s="48">
        <f>data0!AF70</f>
        <v>0</v>
      </c>
      <c r="AV17" s="49">
        <f>data0!AG70</f>
        <v>0</v>
      </c>
      <c r="AW17" s="47">
        <f>data1!B70</f>
        <v>4.9148054122924805</v>
      </c>
      <c r="AX17" s="48">
        <f>data1!C70</f>
        <v>4.6207695007324219</v>
      </c>
      <c r="AY17" s="48">
        <f>data1!D70</f>
        <v>4.9405226707458496</v>
      </c>
      <c r="AZ17" s="48">
        <f>data1!E70</f>
        <v>4.2551579475402832</v>
      </c>
      <c r="BA17" s="48">
        <f>data1!F70</f>
        <v>4.3734917640686035</v>
      </c>
      <c r="BB17" s="48"/>
      <c r="BC17" s="48">
        <f>data1!H70</f>
        <v>0</v>
      </c>
      <c r="BD17" s="48">
        <f>data1!I70</f>
        <v>0</v>
      </c>
      <c r="BE17" s="48">
        <f>data1!J70</f>
        <v>0</v>
      </c>
      <c r="BF17" s="48">
        <f>data1!K70</f>
        <v>0</v>
      </c>
      <c r="BG17" s="48">
        <f>data1!L70</f>
        <v>0</v>
      </c>
      <c r="BH17" s="48">
        <f>data1!M70</f>
        <v>0</v>
      </c>
      <c r="BI17" s="48">
        <f>data1!N70</f>
        <v>0</v>
      </c>
      <c r="BJ17" s="48">
        <f>data1!O70</f>
        <v>0</v>
      </c>
      <c r="BK17" s="48">
        <f>data1!P70</f>
        <v>0</v>
      </c>
      <c r="BL17" s="48">
        <f>data1!Q70</f>
        <v>0</v>
      </c>
      <c r="BM17" s="48">
        <f>data1!R70</f>
        <v>0</v>
      </c>
      <c r="BN17" s="48">
        <f>data1!S70</f>
        <v>0</v>
      </c>
      <c r="BO17" s="48"/>
      <c r="BP17" s="48">
        <f>data1!U70</f>
        <v>0</v>
      </c>
      <c r="BQ17" s="48">
        <f>data1!V70</f>
        <v>0</v>
      </c>
      <c r="BR17" s="48"/>
      <c r="BS17" s="48">
        <f>data1!X70</f>
        <v>0</v>
      </c>
      <c r="BT17" s="48">
        <f>data1!Y70</f>
        <v>0</v>
      </c>
      <c r="BU17" s="48">
        <f>data1!Z70</f>
        <v>0</v>
      </c>
      <c r="BV17" s="48">
        <f>data1!AA70</f>
        <v>0</v>
      </c>
      <c r="BW17" s="48">
        <f>data1!AB70</f>
        <v>0</v>
      </c>
      <c r="BX17" s="48">
        <f>data1!AC70</f>
        <v>0</v>
      </c>
      <c r="BY17" s="48">
        <f>data1!AD70</f>
        <v>0</v>
      </c>
      <c r="BZ17" s="48">
        <f>data1!AE70</f>
        <v>0</v>
      </c>
      <c r="CA17" s="48">
        <f>data1!AF70</f>
        <v>0</v>
      </c>
      <c r="CB17" s="48">
        <f>data1!AG70</f>
        <v>0</v>
      </c>
      <c r="CC17" s="47">
        <f>data2!B70</f>
        <v>1.9183369874954224</v>
      </c>
      <c r="CD17" s="48">
        <f>data2!C70</f>
        <v>1.9339829683303833</v>
      </c>
      <c r="CE17" s="48">
        <f>data2!D70</f>
        <v>1.9559231996536255</v>
      </c>
      <c r="CF17" s="48">
        <f>data2!E70</f>
        <v>1.8214040994644165</v>
      </c>
      <c r="CG17" s="48">
        <f>data2!F70</f>
        <v>1.6890429258346558</v>
      </c>
      <c r="CH17" s="48"/>
      <c r="CI17" s="48">
        <f>data2!H70</f>
        <v>0</v>
      </c>
      <c r="CJ17" s="48">
        <f>data2!I70</f>
        <v>0</v>
      </c>
      <c r="CK17" s="48">
        <f>data2!J70</f>
        <v>0</v>
      </c>
      <c r="CL17" s="48">
        <f>data2!K70</f>
        <v>0</v>
      </c>
      <c r="CM17" s="48">
        <f>data2!L70</f>
        <v>0</v>
      </c>
      <c r="CN17" s="48">
        <f>data2!M70</f>
        <v>0</v>
      </c>
      <c r="CO17" s="48">
        <f>data2!N70</f>
        <v>0</v>
      </c>
      <c r="CP17" s="48">
        <f>data2!O70</f>
        <v>0</v>
      </c>
      <c r="CQ17" s="48">
        <f>data2!P70</f>
        <v>0</v>
      </c>
      <c r="CR17" s="48">
        <f>data2!Q70</f>
        <v>0</v>
      </c>
      <c r="CS17" s="48">
        <f>data2!R70</f>
        <v>0</v>
      </c>
      <c r="CT17" s="48">
        <f>data2!S70</f>
        <v>0</v>
      </c>
      <c r="CU17" s="48"/>
      <c r="CV17" s="48">
        <f>data2!U70</f>
        <v>0</v>
      </c>
      <c r="CW17" s="48">
        <f>data2!V70</f>
        <v>0</v>
      </c>
      <c r="CX17" s="48"/>
      <c r="CY17" s="48">
        <f>data2!X70</f>
        <v>0</v>
      </c>
      <c r="CZ17" s="48">
        <f>data2!Y70</f>
        <v>0</v>
      </c>
      <c r="DA17" s="48">
        <f>data2!Z70</f>
        <v>0</v>
      </c>
      <c r="DB17" s="48">
        <f>data2!AA70</f>
        <v>0</v>
      </c>
      <c r="DC17" s="48">
        <f>data2!AB70</f>
        <v>0</v>
      </c>
      <c r="DD17" s="48">
        <f>data2!AC70</f>
        <v>0</v>
      </c>
      <c r="DE17" s="48">
        <f>data2!AD70</f>
        <v>0</v>
      </c>
      <c r="DF17" s="48">
        <f>data2!AE70</f>
        <v>0</v>
      </c>
      <c r="DG17" s="48">
        <f>data2!AF70</f>
        <v>0</v>
      </c>
      <c r="DH17" s="49">
        <f>data2!AG70</f>
        <v>0</v>
      </c>
    </row>
    <row r="18" spans="1:112" s="63" customFormat="1">
      <c r="A18" s="14">
        <f t="shared" si="16"/>
        <v>16</v>
      </c>
      <c r="B18" s="63">
        <f ca="1">data4!S17</f>
        <v>0.8864930899240453</v>
      </c>
      <c r="C18" s="63">
        <f>data5!L17</f>
        <v>4035.6</v>
      </c>
      <c r="D18" s="63">
        <f t="shared" si="3"/>
        <v>-2.244738304166594</v>
      </c>
      <c r="E18" s="63">
        <f t="shared" si="4"/>
        <v>0.95642440072421375</v>
      </c>
      <c r="F18" s="63">
        <f t="shared" si="5"/>
        <v>4.1575871056150211</v>
      </c>
      <c r="G18" s="63">
        <f t="shared" si="6"/>
        <v>2.134108469927205</v>
      </c>
      <c r="H18" s="63">
        <f t="shared" si="7"/>
        <v>-1.4891808294259912</v>
      </c>
      <c r="I18" s="63">
        <f t="shared" si="8"/>
        <v>0.63238648710579703</v>
      </c>
      <c r="J18" s="63">
        <f t="shared" si="9"/>
        <v>2.753953803637585</v>
      </c>
      <c r="K18" s="63">
        <f t="shared" si="10"/>
        <v>1.414378211021192</v>
      </c>
      <c r="L18" s="63">
        <f t="shared" si="11"/>
        <v>-0.71304642343615243</v>
      </c>
      <c r="M18" s="63">
        <f t="shared" si="12"/>
        <v>0.30322007475228147</v>
      </c>
      <c r="N18" s="63">
        <f t="shared" si="13"/>
        <v>1.3194865729407155</v>
      </c>
      <c r="O18" s="63">
        <f t="shared" si="14"/>
        <v>0.67751099879228927</v>
      </c>
      <c r="P18" s="63" t="b">
        <f t="shared" si="15"/>
        <v>1</v>
      </c>
      <c r="Q18" s="47">
        <f>data0!B71</f>
        <v>5.6397342681884766</v>
      </c>
      <c r="R18" s="48">
        <f>data0!C71</f>
        <v>5.5892000198364258</v>
      </c>
      <c r="S18" s="48">
        <f>data0!D71</f>
        <v>5.8397150039672852</v>
      </c>
      <c r="T18" s="48">
        <f>data0!E71</f>
        <v>5.2895889282226562</v>
      </c>
      <c r="U18" s="48">
        <f>data0!F71</f>
        <v>5.3780694007873535</v>
      </c>
      <c r="V18" s="48"/>
      <c r="W18" s="48">
        <f>data0!H71</f>
        <v>0</v>
      </c>
      <c r="X18" s="48">
        <f>data0!I71</f>
        <v>0</v>
      </c>
      <c r="Y18" s="48">
        <f>data0!J71</f>
        <v>0</v>
      </c>
      <c r="Z18" s="48">
        <f>data0!K71</f>
        <v>0</v>
      </c>
      <c r="AA18" s="48">
        <f>data0!L71</f>
        <v>0</v>
      </c>
      <c r="AB18" s="48">
        <f>data0!M71</f>
        <v>0</v>
      </c>
      <c r="AC18" s="48">
        <f>data0!N71</f>
        <v>0</v>
      </c>
      <c r="AD18" s="48">
        <f>data0!O71</f>
        <v>0</v>
      </c>
      <c r="AE18" s="48">
        <f>data0!P71</f>
        <v>0</v>
      </c>
      <c r="AF18" s="48">
        <f>data0!Q71</f>
        <v>0</v>
      </c>
      <c r="AG18" s="48">
        <f>data0!R71</f>
        <v>0</v>
      </c>
      <c r="AH18" s="48">
        <f>data0!S71</f>
        <v>0</v>
      </c>
      <c r="AI18" s="48"/>
      <c r="AJ18" s="48">
        <f>data0!U71</f>
        <v>0</v>
      </c>
      <c r="AK18" s="48">
        <f>data0!V71</f>
        <v>0</v>
      </c>
      <c r="AL18" s="48"/>
      <c r="AM18" s="48">
        <f>data0!X71</f>
        <v>0</v>
      </c>
      <c r="AN18" s="48">
        <f>data0!Y71</f>
        <v>0</v>
      </c>
      <c r="AO18" s="48">
        <f>data0!Z71</f>
        <v>0</v>
      </c>
      <c r="AP18" s="48">
        <f>data0!AA71</f>
        <v>0</v>
      </c>
      <c r="AQ18" s="48">
        <f>data0!AB71</f>
        <v>0</v>
      </c>
      <c r="AR18" s="48">
        <f>data0!AC71</f>
        <v>0</v>
      </c>
      <c r="AS18" s="48">
        <f>data0!AD71</f>
        <v>0</v>
      </c>
      <c r="AT18" s="48">
        <f>data0!AE71</f>
        <v>0</v>
      </c>
      <c r="AU18" s="48">
        <f>data0!AF71</f>
        <v>0</v>
      </c>
      <c r="AV18" s="49">
        <f>data0!AG71</f>
        <v>0</v>
      </c>
      <c r="AW18" s="47">
        <f>data1!B71</f>
        <v>3.937563419342041</v>
      </c>
      <c r="AX18" s="48">
        <f>data1!C71</f>
        <v>3.6501815319061279</v>
      </c>
      <c r="AY18" s="48">
        <f>data1!D71</f>
        <v>3.9819834232330322</v>
      </c>
      <c r="AZ18" s="48">
        <f>data1!E71</f>
        <v>3.3036327362060547</v>
      </c>
      <c r="BA18" s="48">
        <f>data1!F71</f>
        <v>3.4658470153808594</v>
      </c>
      <c r="BB18" s="48"/>
      <c r="BC18" s="48">
        <f>data1!H71</f>
        <v>0</v>
      </c>
      <c r="BD18" s="48">
        <f>data1!I71</f>
        <v>0</v>
      </c>
      <c r="BE18" s="48">
        <f>data1!J71</f>
        <v>0</v>
      </c>
      <c r="BF18" s="48">
        <f>data1!K71</f>
        <v>0</v>
      </c>
      <c r="BG18" s="48">
        <f>data1!L71</f>
        <v>0</v>
      </c>
      <c r="BH18" s="48">
        <f>data1!M71</f>
        <v>0</v>
      </c>
      <c r="BI18" s="48">
        <f>data1!N71</f>
        <v>0</v>
      </c>
      <c r="BJ18" s="48">
        <f>data1!O71</f>
        <v>0</v>
      </c>
      <c r="BK18" s="48">
        <f>data1!P71</f>
        <v>0</v>
      </c>
      <c r="BL18" s="48">
        <f>data1!Q71</f>
        <v>0</v>
      </c>
      <c r="BM18" s="48">
        <f>data1!R71</f>
        <v>0</v>
      </c>
      <c r="BN18" s="48">
        <f>data1!S71</f>
        <v>0</v>
      </c>
      <c r="BO18" s="48"/>
      <c r="BP18" s="48">
        <f>data1!U71</f>
        <v>0</v>
      </c>
      <c r="BQ18" s="48">
        <f>data1!V71</f>
        <v>0</v>
      </c>
      <c r="BR18" s="48"/>
      <c r="BS18" s="48">
        <f>data1!X71</f>
        <v>0</v>
      </c>
      <c r="BT18" s="48">
        <f>data1!Y71</f>
        <v>0</v>
      </c>
      <c r="BU18" s="48">
        <f>data1!Z71</f>
        <v>0</v>
      </c>
      <c r="BV18" s="48">
        <f>data1!AA71</f>
        <v>0</v>
      </c>
      <c r="BW18" s="48">
        <f>data1!AB71</f>
        <v>0</v>
      </c>
      <c r="BX18" s="48">
        <f>data1!AC71</f>
        <v>0</v>
      </c>
      <c r="BY18" s="48">
        <f>data1!AD71</f>
        <v>0</v>
      </c>
      <c r="BZ18" s="48">
        <f>data1!AE71</f>
        <v>0</v>
      </c>
      <c r="CA18" s="48">
        <f>data1!AF71</f>
        <v>0</v>
      </c>
      <c r="CB18" s="48">
        <f>data1!AG71</f>
        <v>0</v>
      </c>
      <c r="CC18" s="47">
        <f>data2!B71</f>
        <v>1.7832783460617065</v>
      </c>
      <c r="CD18" s="48">
        <f>data2!C71</f>
        <v>1.8138508796691895</v>
      </c>
      <c r="CE18" s="48">
        <f>data2!D71</f>
        <v>1.9016120433807373</v>
      </c>
      <c r="CF18" s="48">
        <f>data2!E71</f>
        <v>1.6989340782165527</v>
      </c>
      <c r="CG18" s="48">
        <f>data2!F71</f>
        <v>1.5957068204879761</v>
      </c>
      <c r="CH18" s="48"/>
      <c r="CI18" s="48">
        <f>data2!H71</f>
        <v>0</v>
      </c>
      <c r="CJ18" s="48">
        <f>data2!I71</f>
        <v>0</v>
      </c>
      <c r="CK18" s="48">
        <f>data2!J71</f>
        <v>0</v>
      </c>
      <c r="CL18" s="48">
        <f>data2!K71</f>
        <v>0</v>
      </c>
      <c r="CM18" s="48">
        <f>data2!L71</f>
        <v>0</v>
      </c>
      <c r="CN18" s="48">
        <f>data2!M71</f>
        <v>0</v>
      </c>
      <c r="CO18" s="48">
        <f>data2!N71</f>
        <v>0</v>
      </c>
      <c r="CP18" s="48">
        <f>data2!O71</f>
        <v>0</v>
      </c>
      <c r="CQ18" s="48">
        <f>data2!P71</f>
        <v>0</v>
      </c>
      <c r="CR18" s="48">
        <f>data2!Q71</f>
        <v>0</v>
      </c>
      <c r="CS18" s="48">
        <f>data2!R71</f>
        <v>0</v>
      </c>
      <c r="CT18" s="48">
        <f>data2!S71</f>
        <v>0</v>
      </c>
      <c r="CU18" s="48"/>
      <c r="CV18" s="48">
        <f>data2!U71</f>
        <v>0</v>
      </c>
      <c r="CW18" s="48">
        <f>data2!V71</f>
        <v>0</v>
      </c>
      <c r="CX18" s="48"/>
      <c r="CY18" s="48">
        <f>data2!X71</f>
        <v>0</v>
      </c>
      <c r="CZ18" s="48">
        <f>data2!Y71</f>
        <v>0</v>
      </c>
      <c r="DA18" s="48">
        <f>data2!Z71</f>
        <v>0</v>
      </c>
      <c r="DB18" s="48">
        <f>data2!AA71</f>
        <v>0</v>
      </c>
      <c r="DC18" s="48">
        <f>data2!AB71</f>
        <v>0</v>
      </c>
      <c r="DD18" s="48">
        <f>data2!AC71</f>
        <v>0</v>
      </c>
      <c r="DE18" s="48">
        <f>data2!AD71</f>
        <v>0</v>
      </c>
      <c r="DF18" s="48">
        <f>data2!AE71</f>
        <v>0</v>
      </c>
      <c r="DG18" s="48">
        <f>data2!AF71</f>
        <v>0</v>
      </c>
      <c r="DH18" s="49">
        <f>data2!AG71</f>
        <v>0</v>
      </c>
    </row>
    <row r="19" spans="1:112" s="63" customFormat="1">
      <c r="A19" s="14">
        <f t="shared" si="16"/>
        <v>17</v>
      </c>
      <c r="B19" s="63">
        <f ca="1">data4!S18</f>
        <v>0.66310300227883046</v>
      </c>
      <c r="C19" s="63">
        <f>data5!L18</f>
        <v>4046.8</v>
      </c>
      <c r="D19" s="63">
        <f t="shared" si="3"/>
        <v>-1.678679025150009</v>
      </c>
      <c r="E19" s="63">
        <f t="shared" si="4"/>
        <v>0.7152486176326357</v>
      </c>
      <c r="F19" s="63">
        <f t="shared" si="5"/>
        <v>3.1091762604152802</v>
      </c>
      <c r="G19" s="63">
        <f t="shared" si="6"/>
        <v>1.5959517618550962</v>
      </c>
      <c r="H19" s="63">
        <f t="shared" si="7"/>
        <v>-1.1077901985235572</v>
      </c>
      <c r="I19" s="63">
        <f t="shared" si="8"/>
        <v>0.47049464850590145</v>
      </c>
      <c r="J19" s="63">
        <f t="shared" si="9"/>
        <v>2.04877949553536</v>
      </c>
      <c r="K19" s="63">
        <f t="shared" si="10"/>
        <v>1.0521898980196391</v>
      </c>
      <c r="L19" s="63">
        <f t="shared" si="11"/>
        <v>-0.5171609198544338</v>
      </c>
      <c r="M19" s="63">
        <f t="shared" si="12"/>
        <v>0.21984323550914897</v>
      </c>
      <c r="N19" s="63">
        <f t="shared" si="13"/>
        <v>0.95684739087273174</v>
      </c>
      <c r="O19" s="63">
        <f t="shared" si="14"/>
        <v>0.49133610357572183</v>
      </c>
      <c r="P19" s="63" t="b">
        <f t="shared" si="15"/>
        <v>1</v>
      </c>
      <c r="Q19" s="47">
        <f>data0!B72</f>
        <v>4.223146915435791</v>
      </c>
      <c r="R19" s="48">
        <f>data0!C72</f>
        <v>4.1772880554199219</v>
      </c>
      <c r="S19" s="48">
        <f>data0!D72</f>
        <v>4.3634209632873535</v>
      </c>
      <c r="T19" s="48">
        <f>data0!E72</f>
        <v>3.9548277854919434</v>
      </c>
      <c r="U19" s="48">
        <f>data0!F72</f>
        <v>4.0235261917114258</v>
      </c>
      <c r="V19" s="48"/>
      <c r="W19" s="48">
        <f>data0!H72</f>
        <v>0</v>
      </c>
      <c r="X19" s="48">
        <f>data0!I72</f>
        <v>0</v>
      </c>
      <c r="Y19" s="48">
        <f>data0!J72</f>
        <v>0</v>
      </c>
      <c r="Z19" s="48">
        <f>data0!K72</f>
        <v>0</v>
      </c>
      <c r="AA19" s="48">
        <f>data0!L72</f>
        <v>0</v>
      </c>
      <c r="AB19" s="48">
        <f>data0!M72</f>
        <v>0</v>
      </c>
      <c r="AC19" s="48">
        <f>data0!N72</f>
        <v>0</v>
      </c>
      <c r="AD19" s="48">
        <f>data0!O72</f>
        <v>0</v>
      </c>
      <c r="AE19" s="48">
        <f>data0!P72</f>
        <v>0</v>
      </c>
      <c r="AF19" s="48">
        <f>data0!Q72</f>
        <v>0</v>
      </c>
      <c r="AG19" s="48">
        <f>data0!R72</f>
        <v>0</v>
      </c>
      <c r="AH19" s="48">
        <f>data0!S72</f>
        <v>0</v>
      </c>
      <c r="AI19" s="48"/>
      <c r="AJ19" s="48">
        <f>data0!U72</f>
        <v>0</v>
      </c>
      <c r="AK19" s="48">
        <f>data0!V72</f>
        <v>0</v>
      </c>
      <c r="AL19" s="48"/>
      <c r="AM19" s="48">
        <f>data0!X72</f>
        <v>0</v>
      </c>
      <c r="AN19" s="48">
        <f>data0!Y72</f>
        <v>0</v>
      </c>
      <c r="AO19" s="48">
        <f>data0!Z72</f>
        <v>0</v>
      </c>
      <c r="AP19" s="48">
        <f>data0!AA72</f>
        <v>0</v>
      </c>
      <c r="AQ19" s="48">
        <f>data0!AB72</f>
        <v>0</v>
      </c>
      <c r="AR19" s="48">
        <f>data0!AC72</f>
        <v>0</v>
      </c>
      <c r="AS19" s="48">
        <f>data0!AD72</f>
        <v>0</v>
      </c>
      <c r="AT19" s="48">
        <f>data0!AE72</f>
        <v>0</v>
      </c>
      <c r="AU19" s="48">
        <f>data0!AF72</f>
        <v>0</v>
      </c>
      <c r="AV19" s="49">
        <f>data0!AG72</f>
        <v>0</v>
      </c>
      <c r="AW19" s="47">
        <f>data1!B72</f>
        <v>2.9560048580169678</v>
      </c>
      <c r="AX19" s="48">
        <f>data1!C72</f>
        <v>2.7243731021881104</v>
      </c>
      <c r="AY19" s="48">
        <f>data1!D72</f>
        <v>2.9319067001342773</v>
      </c>
      <c r="AZ19" s="48">
        <f>data1!E72</f>
        <v>2.4893240928649902</v>
      </c>
      <c r="BA19" s="48">
        <f>data1!F72</f>
        <v>2.5427360534667969</v>
      </c>
      <c r="BB19" s="48"/>
      <c r="BC19" s="48">
        <f>data1!H72</f>
        <v>0</v>
      </c>
      <c r="BD19" s="48">
        <f>data1!I72</f>
        <v>0</v>
      </c>
      <c r="BE19" s="48">
        <f>data1!J72</f>
        <v>0</v>
      </c>
      <c r="BF19" s="48">
        <f>data1!K72</f>
        <v>0</v>
      </c>
      <c r="BG19" s="48">
        <f>data1!L72</f>
        <v>0</v>
      </c>
      <c r="BH19" s="48">
        <f>data1!M72</f>
        <v>0</v>
      </c>
      <c r="BI19" s="48">
        <f>data1!N72</f>
        <v>0</v>
      </c>
      <c r="BJ19" s="48">
        <f>data1!O72</f>
        <v>0</v>
      </c>
      <c r="BK19" s="48">
        <f>data1!P72</f>
        <v>0</v>
      </c>
      <c r="BL19" s="48">
        <f>data1!Q72</f>
        <v>0</v>
      </c>
      <c r="BM19" s="48">
        <f>data1!R72</f>
        <v>0</v>
      </c>
      <c r="BN19" s="48">
        <f>data1!S72</f>
        <v>0</v>
      </c>
      <c r="BO19" s="48"/>
      <c r="BP19" s="48">
        <f>data1!U72</f>
        <v>0</v>
      </c>
      <c r="BQ19" s="48">
        <f>data1!V72</f>
        <v>0</v>
      </c>
      <c r="BR19" s="48"/>
      <c r="BS19" s="48">
        <f>data1!X72</f>
        <v>0</v>
      </c>
      <c r="BT19" s="48">
        <f>data1!Y72</f>
        <v>0</v>
      </c>
      <c r="BU19" s="48">
        <f>data1!Z72</f>
        <v>0</v>
      </c>
      <c r="BV19" s="48">
        <f>data1!AA72</f>
        <v>0</v>
      </c>
      <c r="BW19" s="48">
        <f>data1!AB72</f>
        <v>0</v>
      </c>
      <c r="BX19" s="48">
        <f>data1!AC72</f>
        <v>0</v>
      </c>
      <c r="BY19" s="48">
        <f>data1!AD72</f>
        <v>0</v>
      </c>
      <c r="BZ19" s="48">
        <f>data1!AE72</f>
        <v>0</v>
      </c>
      <c r="CA19" s="48">
        <f>data1!AF72</f>
        <v>0</v>
      </c>
      <c r="CB19" s="48">
        <f>data1!AG72</f>
        <v>0</v>
      </c>
      <c r="CC19" s="47">
        <f>data2!B72</f>
        <v>1.2919596433639526</v>
      </c>
      <c r="CD19" s="48">
        <f>data2!C72</f>
        <v>1.3194748163223267</v>
      </c>
      <c r="CE19" s="48">
        <f>data2!D72</f>
        <v>1.3836772441864014</v>
      </c>
      <c r="CF19" s="48">
        <f>data2!E72</f>
        <v>1.2311742305755615</v>
      </c>
      <c r="CG19" s="48">
        <f>data2!F72</f>
        <v>1.1491678953170776</v>
      </c>
      <c r="CH19" s="48"/>
      <c r="CI19" s="48">
        <f>data2!H72</f>
        <v>0</v>
      </c>
      <c r="CJ19" s="48">
        <f>data2!I72</f>
        <v>0</v>
      </c>
      <c r="CK19" s="48">
        <f>data2!J72</f>
        <v>0</v>
      </c>
      <c r="CL19" s="48">
        <f>data2!K72</f>
        <v>0</v>
      </c>
      <c r="CM19" s="48">
        <f>data2!L72</f>
        <v>0</v>
      </c>
      <c r="CN19" s="48">
        <f>data2!M72</f>
        <v>0</v>
      </c>
      <c r="CO19" s="48">
        <f>data2!N72</f>
        <v>0</v>
      </c>
      <c r="CP19" s="48">
        <f>data2!O72</f>
        <v>0</v>
      </c>
      <c r="CQ19" s="48">
        <f>data2!P72</f>
        <v>0</v>
      </c>
      <c r="CR19" s="48">
        <f>data2!Q72</f>
        <v>0</v>
      </c>
      <c r="CS19" s="48">
        <f>data2!R72</f>
        <v>0</v>
      </c>
      <c r="CT19" s="48">
        <f>data2!S72</f>
        <v>0</v>
      </c>
      <c r="CU19" s="48"/>
      <c r="CV19" s="48">
        <f>data2!U72</f>
        <v>0</v>
      </c>
      <c r="CW19" s="48">
        <f>data2!V72</f>
        <v>0</v>
      </c>
      <c r="CX19" s="48"/>
      <c r="CY19" s="48">
        <f>data2!X72</f>
        <v>0</v>
      </c>
      <c r="CZ19" s="48">
        <f>data2!Y72</f>
        <v>0</v>
      </c>
      <c r="DA19" s="48">
        <f>data2!Z72</f>
        <v>0</v>
      </c>
      <c r="DB19" s="48">
        <f>data2!AA72</f>
        <v>0</v>
      </c>
      <c r="DC19" s="48">
        <f>data2!AB72</f>
        <v>0</v>
      </c>
      <c r="DD19" s="48">
        <f>data2!AC72</f>
        <v>0</v>
      </c>
      <c r="DE19" s="48">
        <f>data2!AD72</f>
        <v>0</v>
      </c>
      <c r="DF19" s="48">
        <f>data2!AE72</f>
        <v>0</v>
      </c>
      <c r="DG19" s="48">
        <f>data2!AF72</f>
        <v>0</v>
      </c>
      <c r="DH19" s="49">
        <f>data2!AG72</f>
        <v>0</v>
      </c>
    </row>
    <row r="20" spans="1:112" s="63" customFormat="1">
      <c r="A20" s="14">
        <f t="shared" si="16"/>
        <v>18</v>
      </c>
      <c r="B20" s="63">
        <f ca="1">data4!S19</f>
        <v>0.15701835940156691</v>
      </c>
      <c r="C20" s="63">
        <f>data5!L19</f>
        <v>3830.6</v>
      </c>
      <c r="D20" s="63">
        <f t="shared" si="3"/>
        <v>-0.68838370089949086</v>
      </c>
      <c r="E20" s="63">
        <f t="shared" si="4"/>
        <v>0.29313050878459007</v>
      </c>
      <c r="F20" s="63">
        <f t="shared" si="5"/>
        <v>1.2746447184686709</v>
      </c>
      <c r="G20" s="63">
        <f t="shared" si="6"/>
        <v>0.65434280645605392</v>
      </c>
      <c r="H20" s="63">
        <f t="shared" si="7"/>
        <v>-0.35263589494122105</v>
      </c>
      <c r="I20" s="63">
        <f t="shared" si="8"/>
        <v>0.14854037556154975</v>
      </c>
      <c r="J20" s="63">
        <f t="shared" si="9"/>
        <v>0.64971664606432056</v>
      </c>
      <c r="K20" s="63">
        <f t="shared" si="10"/>
        <v>0.33411751366851389</v>
      </c>
      <c r="L20" s="63">
        <f t="shared" si="11"/>
        <v>-0.28207991649854147</v>
      </c>
      <c r="M20" s="63">
        <f t="shared" si="12"/>
        <v>0.11974141515534499</v>
      </c>
      <c r="N20" s="63">
        <f t="shared" si="13"/>
        <v>0.52156274680923143</v>
      </c>
      <c r="O20" s="63">
        <f t="shared" si="14"/>
        <v>0.26788088776925761</v>
      </c>
      <c r="P20" s="63" t="b">
        <f t="shared" si="15"/>
        <v>1</v>
      </c>
      <c r="Q20" s="47">
        <f>data0!B73</f>
        <v>1.7081058025360107</v>
      </c>
      <c r="R20" s="48">
        <f>data0!C73</f>
        <v>1.7181767225265503</v>
      </c>
      <c r="S20" s="48">
        <f>data0!D73</f>
        <v>1.8244613409042358</v>
      </c>
      <c r="T20" s="48">
        <f>data0!E73</f>
        <v>1.6070365905761719</v>
      </c>
      <c r="U20" s="48">
        <f>data0!F73</f>
        <v>1.643004298210144</v>
      </c>
      <c r="V20" s="48"/>
      <c r="W20" s="48">
        <f>data0!H73</f>
        <v>0</v>
      </c>
      <c r="X20" s="48">
        <f>data0!I73</f>
        <v>0</v>
      </c>
      <c r="Y20" s="48">
        <f>data0!J73</f>
        <v>0</v>
      </c>
      <c r="Z20" s="48">
        <f>data0!K73</f>
        <v>0</v>
      </c>
      <c r="AA20" s="48">
        <f>data0!L73</f>
        <v>0</v>
      </c>
      <c r="AB20" s="48">
        <f>data0!M73</f>
        <v>0</v>
      </c>
      <c r="AC20" s="48">
        <f>data0!N73</f>
        <v>0</v>
      </c>
      <c r="AD20" s="48">
        <f>data0!O73</f>
        <v>0</v>
      </c>
      <c r="AE20" s="48">
        <f>data0!P73</f>
        <v>0</v>
      </c>
      <c r="AF20" s="48">
        <f>data0!Q73</f>
        <v>0</v>
      </c>
      <c r="AG20" s="48">
        <f>data0!R73</f>
        <v>0</v>
      </c>
      <c r="AH20" s="48">
        <f>data0!S73</f>
        <v>0</v>
      </c>
      <c r="AI20" s="48"/>
      <c r="AJ20" s="48">
        <f>data0!U73</f>
        <v>0</v>
      </c>
      <c r="AK20" s="48">
        <f>data0!V73</f>
        <v>0</v>
      </c>
      <c r="AL20" s="48"/>
      <c r="AM20" s="48">
        <f>data0!X73</f>
        <v>0</v>
      </c>
      <c r="AN20" s="48">
        <f>data0!Y73</f>
        <v>0</v>
      </c>
      <c r="AO20" s="48">
        <f>data0!Z73</f>
        <v>0</v>
      </c>
      <c r="AP20" s="48">
        <f>data0!AA73</f>
        <v>0</v>
      </c>
      <c r="AQ20" s="48">
        <f>data0!AB73</f>
        <v>0</v>
      </c>
      <c r="AR20" s="48">
        <f>data0!AC73</f>
        <v>0</v>
      </c>
      <c r="AS20" s="48">
        <f>data0!AD73</f>
        <v>0</v>
      </c>
      <c r="AT20" s="48">
        <f>data0!AE73</f>
        <v>0</v>
      </c>
      <c r="AU20" s="48">
        <f>data0!AF73</f>
        <v>0</v>
      </c>
      <c r="AV20" s="49">
        <f>data0!AG73</f>
        <v>0</v>
      </c>
      <c r="AW20" s="47">
        <f>data1!B73</f>
        <v>0.95134550333023071</v>
      </c>
      <c r="AX20" s="48">
        <f>data1!C73</f>
        <v>0.85657066106796265</v>
      </c>
      <c r="AY20" s="48">
        <f>data1!D73</f>
        <v>1.0038583278656006</v>
      </c>
      <c r="AZ20" s="48">
        <f>data1!E73</f>
        <v>0.73625868558883667</v>
      </c>
      <c r="BA20" s="48">
        <f>data1!F73</f>
        <v>0.75963771343231201</v>
      </c>
      <c r="BB20" s="48"/>
      <c r="BC20" s="48">
        <f>data1!H73</f>
        <v>0</v>
      </c>
      <c r="BD20" s="48">
        <f>data1!I73</f>
        <v>0</v>
      </c>
      <c r="BE20" s="48">
        <f>data1!J73</f>
        <v>0</v>
      </c>
      <c r="BF20" s="48">
        <f>data1!K73</f>
        <v>0</v>
      </c>
      <c r="BG20" s="48">
        <f>data1!L73</f>
        <v>0</v>
      </c>
      <c r="BH20" s="48">
        <f>data1!M73</f>
        <v>0</v>
      </c>
      <c r="BI20" s="48">
        <f>data1!N73</f>
        <v>0</v>
      </c>
      <c r="BJ20" s="48">
        <f>data1!O73</f>
        <v>0</v>
      </c>
      <c r="BK20" s="48">
        <f>data1!P73</f>
        <v>0</v>
      </c>
      <c r="BL20" s="48">
        <f>data1!Q73</f>
        <v>0</v>
      </c>
      <c r="BM20" s="48">
        <f>data1!R73</f>
        <v>0</v>
      </c>
      <c r="BN20" s="48">
        <f>data1!S73</f>
        <v>0</v>
      </c>
      <c r="BO20" s="48"/>
      <c r="BP20" s="48">
        <f>data1!U73</f>
        <v>0</v>
      </c>
      <c r="BQ20" s="48">
        <f>data1!V73</f>
        <v>0</v>
      </c>
      <c r="BR20" s="48"/>
      <c r="BS20" s="48">
        <f>data1!X73</f>
        <v>0</v>
      </c>
      <c r="BT20" s="48">
        <f>data1!Y73</f>
        <v>0</v>
      </c>
      <c r="BU20" s="48">
        <f>data1!Z73</f>
        <v>0</v>
      </c>
      <c r="BV20" s="48">
        <f>data1!AA73</f>
        <v>0</v>
      </c>
      <c r="BW20" s="48">
        <f>data1!AB73</f>
        <v>0</v>
      </c>
      <c r="BX20" s="48">
        <f>data1!AC73</f>
        <v>0</v>
      </c>
      <c r="BY20" s="48">
        <f>data1!AD73</f>
        <v>0</v>
      </c>
      <c r="BZ20" s="48">
        <f>data1!AE73</f>
        <v>0</v>
      </c>
      <c r="CA20" s="48">
        <f>data1!AF73</f>
        <v>0</v>
      </c>
      <c r="CB20" s="48">
        <f>data1!AG73</f>
        <v>0</v>
      </c>
      <c r="CC20" s="47">
        <f>data2!B73</f>
        <v>0.68536442518234253</v>
      </c>
      <c r="CD20" s="48">
        <f>data2!C73</f>
        <v>0.71162080764770508</v>
      </c>
      <c r="CE20" s="48">
        <f>data2!D73</f>
        <v>0.78373605012893677</v>
      </c>
      <c r="CF20" s="48">
        <f>data2!E73</f>
        <v>0.65946769714355469</v>
      </c>
      <c r="CG20" s="48">
        <f>data2!F73</f>
        <v>0.63231205940246582</v>
      </c>
      <c r="CH20" s="48"/>
      <c r="CI20" s="48">
        <f>data2!H73</f>
        <v>0</v>
      </c>
      <c r="CJ20" s="48">
        <f>data2!I73</f>
        <v>0</v>
      </c>
      <c r="CK20" s="48">
        <f>data2!J73</f>
        <v>0</v>
      </c>
      <c r="CL20" s="48">
        <f>data2!K73</f>
        <v>0</v>
      </c>
      <c r="CM20" s="48">
        <f>data2!L73</f>
        <v>0</v>
      </c>
      <c r="CN20" s="48">
        <f>data2!M73</f>
        <v>0</v>
      </c>
      <c r="CO20" s="48">
        <f>data2!N73</f>
        <v>0</v>
      </c>
      <c r="CP20" s="48">
        <f>data2!O73</f>
        <v>0</v>
      </c>
      <c r="CQ20" s="48">
        <f>data2!P73</f>
        <v>0</v>
      </c>
      <c r="CR20" s="48">
        <f>data2!Q73</f>
        <v>0</v>
      </c>
      <c r="CS20" s="48">
        <f>data2!R73</f>
        <v>0</v>
      </c>
      <c r="CT20" s="48">
        <f>data2!S73</f>
        <v>0</v>
      </c>
      <c r="CU20" s="48"/>
      <c r="CV20" s="48">
        <f>data2!U73</f>
        <v>0</v>
      </c>
      <c r="CW20" s="48">
        <f>data2!V73</f>
        <v>0</v>
      </c>
      <c r="CX20" s="48"/>
      <c r="CY20" s="48">
        <f>data2!X73</f>
        <v>0</v>
      </c>
      <c r="CZ20" s="48">
        <f>data2!Y73</f>
        <v>0</v>
      </c>
      <c r="DA20" s="48">
        <f>data2!Z73</f>
        <v>0</v>
      </c>
      <c r="DB20" s="48">
        <f>data2!AA73</f>
        <v>0</v>
      </c>
      <c r="DC20" s="48">
        <f>data2!AB73</f>
        <v>0</v>
      </c>
      <c r="DD20" s="48">
        <f>data2!AC73</f>
        <v>0</v>
      </c>
      <c r="DE20" s="48">
        <f>data2!AD73</f>
        <v>0</v>
      </c>
      <c r="DF20" s="48">
        <f>data2!AE73</f>
        <v>0</v>
      </c>
      <c r="DG20" s="48">
        <f>data2!AF73</f>
        <v>0</v>
      </c>
      <c r="DH20" s="49">
        <f>data2!AG73</f>
        <v>0</v>
      </c>
    </row>
    <row r="21" spans="1:112" s="63" customFormat="1">
      <c r="A21" s="14">
        <f t="shared" si="16"/>
        <v>19</v>
      </c>
      <c r="B21" s="63">
        <f ca="1">data4!S20</f>
        <v>0.12828800152468015</v>
      </c>
      <c r="C21" s="63">
        <f>data5!L20</f>
        <v>3852.3</v>
      </c>
      <c r="D21" s="63">
        <f t="shared" si="3"/>
        <v>-0.53527135682055671</v>
      </c>
      <c r="E21" s="63">
        <f t="shared" si="4"/>
        <v>0.22793595955289644</v>
      </c>
      <c r="F21" s="63">
        <f t="shared" si="5"/>
        <v>0.99114327592634965</v>
      </c>
      <c r="G21" s="63">
        <f t="shared" si="6"/>
        <v>0.50880487758230208</v>
      </c>
      <c r="H21" s="63">
        <f t="shared" si="7"/>
        <v>-0.28438987444043684</v>
      </c>
      <c r="I21" s="63">
        <f t="shared" si="8"/>
        <v>0.1200266747639097</v>
      </c>
      <c r="J21" s="63">
        <f t="shared" si="9"/>
        <v>0.52444322396825627</v>
      </c>
      <c r="K21" s="63">
        <f t="shared" si="10"/>
        <v>0.26961103280289772</v>
      </c>
      <c r="L21" s="63">
        <f t="shared" si="11"/>
        <v>-0.20375031024807216</v>
      </c>
      <c r="M21" s="63">
        <f t="shared" si="12"/>
        <v>8.6415486089114479E-2</v>
      </c>
      <c r="N21" s="63">
        <f t="shared" si="13"/>
        <v>0.37658128242630112</v>
      </c>
      <c r="O21" s="63">
        <f t="shared" si="14"/>
        <v>0.1934438642247911</v>
      </c>
      <c r="P21" s="63" t="b">
        <f t="shared" si="15"/>
        <v>1</v>
      </c>
      <c r="Q21" s="47">
        <f>data0!B74</f>
        <v>1.3300853967666626</v>
      </c>
      <c r="R21" s="48">
        <f>data0!C74</f>
        <v>1.3385376930236816</v>
      </c>
      <c r="S21" s="48">
        <f>data0!D74</f>
        <v>1.4162279367446899</v>
      </c>
      <c r="T21" s="48">
        <f>data0!E74</f>
        <v>1.2496975660324097</v>
      </c>
      <c r="U21" s="48">
        <f>data0!F74</f>
        <v>1.2755942344665527</v>
      </c>
      <c r="V21" s="48"/>
      <c r="W21" s="48">
        <f>data0!H74</f>
        <v>0</v>
      </c>
      <c r="X21" s="48">
        <f>data0!I74</f>
        <v>0</v>
      </c>
      <c r="Y21" s="48">
        <f>data0!J74</f>
        <v>0</v>
      </c>
      <c r="Z21" s="48">
        <f>data0!K74</f>
        <v>0</v>
      </c>
      <c r="AA21" s="48">
        <f>data0!L74</f>
        <v>0</v>
      </c>
      <c r="AB21" s="48">
        <f>data0!M74</f>
        <v>0</v>
      </c>
      <c r="AC21" s="48">
        <f>data0!N74</f>
        <v>0</v>
      </c>
      <c r="AD21" s="48">
        <f>data0!O74</f>
        <v>0</v>
      </c>
      <c r="AE21" s="48">
        <f>data0!P74</f>
        <v>0</v>
      </c>
      <c r="AF21" s="48">
        <f>data0!Q74</f>
        <v>0</v>
      </c>
      <c r="AG21" s="48">
        <f>data0!R74</f>
        <v>0</v>
      </c>
      <c r="AH21" s="48">
        <f>data0!S74</f>
        <v>0</v>
      </c>
      <c r="AI21" s="48"/>
      <c r="AJ21" s="48">
        <f>data0!U74</f>
        <v>0</v>
      </c>
      <c r="AK21" s="48">
        <f>data0!V74</f>
        <v>0</v>
      </c>
      <c r="AL21" s="48"/>
      <c r="AM21" s="48">
        <f>data0!X74</f>
        <v>0</v>
      </c>
      <c r="AN21" s="48">
        <f>data0!Y74</f>
        <v>0</v>
      </c>
      <c r="AO21" s="48">
        <f>data0!Z74</f>
        <v>0</v>
      </c>
      <c r="AP21" s="48">
        <f>data0!AA74</f>
        <v>0</v>
      </c>
      <c r="AQ21" s="48">
        <f>data0!AB74</f>
        <v>0</v>
      </c>
      <c r="AR21" s="48">
        <f>data0!AC74</f>
        <v>0</v>
      </c>
      <c r="AS21" s="48">
        <f>data0!AD74</f>
        <v>0</v>
      </c>
      <c r="AT21" s="48">
        <f>data0!AE74</f>
        <v>0</v>
      </c>
      <c r="AU21" s="48">
        <f>data0!AF74</f>
        <v>0</v>
      </c>
      <c r="AV21" s="49">
        <f>data0!AG74</f>
        <v>0</v>
      </c>
      <c r="AW21" s="47">
        <f>data1!B74</f>
        <v>0.76665139198303223</v>
      </c>
      <c r="AX21" s="48">
        <f>data1!C74</f>
        <v>0.69165873527526855</v>
      </c>
      <c r="AY21" s="48">
        <f>data1!D74</f>
        <v>0.79920214414596558</v>
      </c>
      <c r="AZ21" s="48">
        <f>data1!E74</f>
        <v>0.60641533136367798</v>
      </c>
      <c r="BA21" s="48">
        <f>data1!F74</f>
        <v>0.61684596538543701</v>
      </c>
      <c r="BB21" s="48"/>
      <c r="BC21" s="48">
        <f>data1!H74</f>
        <v>0</v>
      </c>
      <c r="BD21" s="48">
        <f>data1!I74</f>
        <v>0</v>
      </c>
      <c r="BE21" s="48">
        <f>data1!J74</f>
        <v>0</v>
      </c>
      <c r="BF21" s="48">
        <f>data1!K74</f>
        <v>0</v>
      </c>
      <c r="BG21" s="48">
        <f>data1!L74</f>
        <v>0</v>
      </c>
      <c r="BH21" s="48">
        <f>data1!M74</f>
        <v>0</v>
      </c>
      <c r="BI21" s="48">
        <f>data1!N74</f>
        <v>0</v>
      </c>
      <c r="BJ21" s="48">
        <f>data1!O74</f>
        <v>0</v>
      </c>
      <c r="BK21" s="48">
        <f>data1!P74</f>
        <v>0</v>
      </c>
      <c r="BL21" s="48">
        <f>data1!Q74</f>
        <v>0</v>
      </c>
      <c r="BM21" s="48">
        <f>data1!R74</f>
        <v>0</v>
      </c>
      <c r="BN21" s="48">
        <f>data1!S74</f>
        <v>0</v>
      </c>
      <c r="BO21" s="48"/>
      <c r="BP21" s="48">
        <f>data1!U74</f>
        <v>0</v>
      </c>
      <c r="BQ21" s="48">
        <f>data1!V74</f>
        <v>0</v>
      </c>
      <c r="BR21" s="48"/>
      <c r="BS21" s="48">
        <f>data1!X74</f>
        <v>0</v>
      </c>
      <c r="BT21" s="48">
        <f>data1!Y74</f>
        <v>0</v>
      </c>
      <c r="BU21" s="48">
        <f>data1!Z74</f>
        <v>0</v>
      </c>
      <c r="BV21" s="48">
        <f>data1!AA74</f>
        <v>0</v>
      </c>
      <c r="BW21" s="48">
        <f>data1!AB74</f>
        <v>0</v>
      </c>
      <c r="BX21" s="48">
        <f>data1!AC74</f>
        <v>0</v>
      </c>
      <c r="BY21" s="48">
        <f>data1!AD74</f>
        <v>0</v>
      </c>
      <c r="BZ21" s="48">
        <f>data1!AE74</f>
        <v>0</v>
      </c>
      <c r="CA21" s="48">
        <f>data1!AF74</f>
        <v>0</v>
      </c>
      <c r="CB21" s="48">
        <f>data1!AG74</f>
        <v>0</v>
      </c>
      <c r="CC21" s="47">
        <f>data2!B74</f>
        <v>0.49347677826881409</v>
      </c>
      <c r="CD21" s="48">
        <f>data2!C74</f>
        <v>0.51829445362091064</v>
      </c>
      <c r="CE21" s="48">
        <f>data2!D74</f>
        <v>0.56882905960083008</v>
      </c>
      <c r="CF21" s="48">
        <f>data2!E74</f>
        <v>0.47675180435180664</v>
      </c>
      <c r="CG21" s="48">
        <f>data2!F74</f>
        <v>0.44869700074195862</v>
      </c>
      <c r="CH21" s="48"/>
      <c r="CI21" s="48">
        <f>data2!H74</f>
        <v>0</v>
      </c>
      <c r="CJ21" s="48">
        <f>data2!I74</f>
        <v>0</v>
      </c>
      <c r="CK21" s="48">
        <f>data2!J74</f>
        <v>0</v>
      </c>
      <c r="CL21" s="48">
        <f>data2!K74</f>
        <v>0</v>
      </c>
      <c r="CM21" s="48">
        <f>data2!L74</f>
        <v>0</v>
      </c>
      <c r="CN21" s="48">
        <f>data2!M74</f>
        <v>0</v>
      </c>
      <c r="CO21" s="48">
        <f>data2!N74</f>
        <v>0</v>
      </c>
      <c r="CP21" s="48">
        <f>data2!O74</f>
        <v>0</v>
      </c>
      <c r="CQ21" s="48">
        <f>data2!P74</f>
        <v>0</v>
      </c>
      <c r="CR21" s="48">
        <f>data2!Q74</f>
        <v>0</v>
      </c>
      <c r="CS21" s="48">
        <f>data2!R74</f>
        <v>0</v>
      </c>
      <c r="CT21" s="48">
        <f>data2!S74</f>
        <v>0</v>
      </c>
      <c r="CU21" s="48"/>
      <c r="CV21" s="48">
        <f>data2!U74</f>
        <v>0</v>
      </c>
      <c r="CW21" s="48">
        <f>data2!V74</f>
        <v>0</v>
      </c>
      <c r="CX21" s="48"/>
      <c r="CY21" s="48">
        <f>data2!X74</f>
        <v>0</v>
      </c>
      <c r="CZ21" s="48">
        <f>data2!Y74</f>
        <v>0</v>
      </c>
      <c r="DA21" s="48">
        <f>data2!Z74</f>
        <v>0</v>
      </c>
      <c r="DB21" s="48">
        <f>data2!AA74</f>
        <v>0</v>
      </c>
      <c r="DC21" s="48">
        <f>data2!AB74</f>
        <v>0</v>
      </c>
      <c r="DD21" s="48">
        <f>data2!AC74</f>
        <v>0</v>
      </c>
      <c r="DE21" s="48">
        <f>data2!AD74</f>
        <v>0</v>
      </c>
      <c r="DF21" s="48">
        <f>data2!AE74</f>
        <v>0</v>
      </c>
      <c r="DG21" s="48">
        <f>data2!AF74</f>
        <v>0</v>
      </c>
      <c r="DH21" s="49">
        <f>data2!AG74</f>
        <v>0</v>
      </c>
    </row>
    <row r="22" spans="1:112" s="63" customFormat="1">
      <c r="A22" s="14">
        <f t="shared" si="16"/>
        <v>20</v>
      </c>
      <c r="B22" s="63">
        <f ca="1">data4!S21</f>
        <v>0.1052422464745905</v>
      </c>
      <c r="C22" s="63">
        <f>data5!L21</f>
        <v>3884.6</v>
      </c>
      <c r="D22" s="63">
        <f t="shared" si="3"/>
        <v>-0.4087097317141854</v>
      </c>
      <c r="E22" s="63">
        <f t="shared" si="4"/>
        <v>0.17399682258737498</v>
      </c>
      <c r="F22" s="63">
        <f t="shared" si="5"/>
        <v>0.7567033768889353</v>
      </c>
      <c r="G22" s="63">
        <f t="shared" si="6"/>
        <v>0.38847103620104023</v>
      </c>
      <c r="H22" s="63">
        <f t="shared" si="7"/>
        <v>-0.22273140582494785</v>
      </c>
      <c r="I22" s="63">
        <f t="shared" si="8"/>
        <v>9.3919091183563758E-2</v>
      </c>
      <c r="J22" s="63">
        <f t="shared" si="9"/>
        <v>0.41056958819207534</v>
      </c>
      <c r="K22" s="63">
        <f t="shared" si="10"/>
        <v>0.21110033133900774</v>
      </c>
      <c r="L22" s="63">
        <f t="shared" si="11"/>
        <v>-0.14020970571459229</v>
      </c>
      <c r="M22" s="63">
        <f t="shared" si="12"/>
        <v>5.9359099330573248E-2</v>
      </c>
      <c r="N22" s="63">
        <f t="shared" si="13"/>
        <v>0.25892790437573882</v>
      </c>
      <c r="O22" s="63">
        <f t="shared" si="14"/>
        <v>0.13304587003011037</v>
      </c>
      <c r="P22" s="63" t="b">
        <f t="shared" si="15"/>
        <v>1</v>
      </c>
      <c r="Q22" s="47">
        <f>data0!B75</f>
        <v>1.0137494802474976</v>
      </c>
      <c r="R22" s="48">
        <f>data0!C75</f>
        <v>1.0232808589935303</v>
      </c>
      <c r="S22" s="48">
        <f>data0!D75</f>
        <v>1.087483286857605</v>
      </c>
      <c r="T22" s="48">
        <f>data0!E75</f>
        <v>0.95188504457473755</v>
      </c>
      <c r="U22" s="48">
        <f>data0!F75</f>
        <v>0.96950918436050415</v>
      </c>
      <c r="V22" s="48"/>
      <c r="W22" s="48">
        <f>data0!H75</f>
        <v>0</v>
      </c>
      <c r="X22" s="48">
        <f>data0!I75</f>
        <v>0</v>
      </c>
      <c r="Y22" s="48">
        <f>data0!J75</f>
        <v>0</v>
      </c>
      <c r="Z22" s="48">
        <f>data0!K75</f>
        <v>0</v>
      </c>
      <c r="AA22" s="48">
        <f>data0!L75</f>
        <v>0</v>
      </c>
      <c r="AB22" s="48">
        <f>data0!M75</f>
        <v>0</v>
      </c>
      <c r="AC22" s="48">
        <f>data0!N75</f>
        <v>0</v>
      </c>
      <c r="AD22" s="48">
        <f>data0!O75</f>
        <v>0</v>
      </c>
      <c r="AE22" s="48">
        <f>data0!P75</f>
        <v>0</v>
      </c>
      <c r="AF22" s="48">
        <f>data0!Q75</f>
        <v>0</v>
      </c>
      <c r="AG22" s="48">
        <f>data0!R75</f>
        <v>0</v>
      </c>
      <c r="AH22" s="48">
        <f>data0!S75</f>
        <v>0</v>
      </c>
      <c r="AI22" s="48"/>
      <c r="AJ22" s="48">
        <f>data0!U75</f>
        <v>0</v>
      </c>
      <c r="AK22" s="48">
        <f>data0!V75</f>
        <v>0</v>
      </c>
      <c r="AL22" s="48"/>
      <c r="AM22" s="48">
        <f>data0!X75</f>
        <v>0</v>
      </c>
      <c r="AN22" s="48">
        <f>data0!Y75</f>
        <v>0</v>
      </c>
      <c r="AO22" s="48">
        <f>data0!Z75</f>
        <v>0</v>
      </c>
      <c r="AP22" s="48">
        <f>data0!AA75</f>
        <v>0</v>
      </c>
      <c r="AQ22" s="48">
        <f>data0!AB75</f>
        <v>0</v>
      </c>
      <c r="AR22" s="48">
        <f>data0!AC75</f>
        <v>0</v>
      </c>
      <c r="AS22" s="48">
        <f>data0!AD75</f>
        <v>0</v>
      </c>
      <c r="AT22" s="48">
        <f>data0!AE75</f>
        <v>0</v>
      </c>
      <c r="AU22" s="48">
        <f>data0!AF75</f>
        <v>0</v>
      </c>
      <c r="AV22" s="49">
        <f>data0!AG75</f>
        <v>0</v>
      </c>
      <c r="AW22" s="47">
        <f>data1!B75</f>
        <v>0.61037176847457886</v>
      </c>
      <c r="AX22" s="48">
        <f>data1!C75</f>
        <v>0.54455089569091797</v>
      </c>
      <c r="AY22" s="48">
        <f>data1!D75</f>
        <v>0.61990320682525635</v>
      </c>
      <c r="AZ22" s="48">
        <f>data1!E75</f>
        <v>0.4684792160987854</v>
      </c>
      <c r="BA22" s="48">
        <f>data1!F75</f>
        <v>0.48034855723381042</v>
      </c>
      <c r="BB22" s="48"/>
      <c r="BC22" s="48">
        <f>data1!H75</f>
        <v>0</v>
      </c>
      <c r="BD22" s="48">
        <f>data1!I75</f>
        <v>0</v>
      </c>
      <c r="BE22" s="48">
        <f>data1!J75</f>
        <v>0</v>
      </c>
      <c r="BF22" s="48">
        <f>data1!K75</f>
        <v>0</v>
      </c>
      <c r="BG22" s="48">
        <f>data1!L75</f>
        <v>0</v>
      </c>
      <c r="BH22" s="48">
        <f>data1!M75</f>
        <v>0</v>
      </c>
      <c r="BI22" s="48">
        <f>data1!N75</f>
        <v>0</v>
      </c>
      <c r="BJ22" s="48">
        <f>data1!O75</f>
        <v>0</v>
      </c>
      <c r="BK22" s="48">
        <f>data1!P75</f>
        <v>0</v>
      </c>
      <c r="BL22" s="48">
        <f>data1!Q75</f>
        <v>0</v>
      </c>
      <c r="BM22" s="48">
        <f>data1!R75</f>
        <v>0</v>
      </c>
      <c r="BN22" s="48">
        <f>data1!S75</f>
        <v>0</v>
      </c>
      <c r="BO22" s="48"/>
      <c r="BP22" s="48">
        <f>data1!U75</f>
        <v>0</v>
      </c>
      <c r="BQ22" s="48">
        <f>data1!V75</f>
        <v>0</v>
      </c>
      <c r="BR22" s="48"/>
      <c r="BS22" s="48">
        <f>data1!X75</f>
        <v>0</v>
      </c>
      <c r="BT22" s="48">
        <f>data1!Y75</f>
        <v>0</v>
      </c>
      <c r="BU22" s="48">
        <f>data1!Z75</f>
        <v>0</v>
      </c>
      <c r="BV22" s="48">
        <f>data1!AA75</f>
        <v>0</v>
      </c>
      <c r="BW22" s="48">
        <f>data1!AB75</f>
        <v>0</v>
      </c>
      <c r="BX22" s="48">
        <f>data1!AC75</f>
        <v>0</v>
      </c>
      <c r="BY22" s="48">
        <f>data1!AD75</f>
        <v>0</v>
      </c>
      <c r="BZ22" s="48">
        <f>data1!AE75</f>
        <v>0</v>
      </c>
      <c r="CA22" s="48">
        <f>data1!AF75</f>
        <v>0</v>
      </c>
      <c r="CB22" s="48">
        <f>data1!AG75</f>
        <v>0</v>
      </c>
      <c r="CC22" s="47">
        <f>data2!B75</f>
        <v>0.33683747053146362</v>
      </c>
      <c r="CD22" s="48">
        <f>data2!C75</f>
        <v>0.35931727290153503</v>
      </c>
      <c r="CE22" s="48">
        <f>data2!D75</f>
        <v>0.39690351486206055</v>
      </c>
      <c r="CF22" s="48">
        <f>data2!E75</f>
        <v>0.32640683650970459</v>
      </c>
      <c r="CG22" s="48">
        <f>data2!F75</f>
        <v>0.30194878578186035</v>
      </c>
      <c r="CH22" s="48"/>
      <c r="CI22" s="48">
        <f>data2!H75</f>
        <v>0</v>
      </c>
      <c r="CJ22" s="48">
        <f>data2!I75</f>
        <v>0</v>
      </c>
      <c r="CK22" s="48">
        <f>data2!J75</f>
        <v>0</v>
      </c>
      <c r="CL22" s="48">
        <f>data2!K75</f>
        <v>0</v>
      </c>
      <c r="CM22" s="48">
        <f>data2!L75</f>
        <v>0</v>
      </c>
      <c r="CN22" s="48">
        <f>data2!M75</f>
        <v>0</v>
      </c>
      <c r="CO22" s="48">
        <f>data2!N75</f>
        <v>0</v>
      </c>
      <c r="CP22" s="48">
        <f>data2!O75</f>
        <v>0</v>
      </c>
      <c r="CQ22" s="48">
        <f>data2!P75</f>
        <v>0</v>
      </c>
      <c r="CR22" s="48">
        <f>data2!Q75</f>
        <v>0</v>
      </c>
      <c r="CS22" s="48">
        <f>data2!R75</f>
        <v>0</v>
      </c>
      <c r="CT22" s="48">
        <f>data2!S75</f>
        <v>0</v>
      </c>
      <c r="CU22" s="48"/>
      <c r="CV22" s="48">
        <f>data2!U75</f>
        <v>0</v>
      </c>
      <c r="CW22" s="48">
        <f>data2!V75</f>
        <v>0</v>
      </c>
      <c r="CX22" s="48"/>
      <c r="CY22" s="48">
        <f>data2!X75</f>
        <v>0</v>
      </c>
      <c r="CZ22" s="48">
        <f>data2!Y75</f>
        <v>0</v>
      </c>
      <c r="DA22" s="48">
        <f>data2!Z75</f>
        <v>0</v>
      </c>
      <c r="DB22" s="48">
        <f>data2!AA75</f>
        <v>0</v>
      </c>
      <c r="DC22" s="48">
        <f>data2!AB75</f>
        <v>0</v>
      </c>
      <c r="DD22" s="48">
        <f>data2!AC75</f>
        <v>0</v>
      </c>
      <c r="DE22" s="48">
        <f>data2!AD75</f>
        <v>0</v>
      </c>
      <c r="DF22" s="48">
        <f>data2!AE75</f>
        <v>0</v>
      </c>
      <c r="DG22" s="48">
        <f>data2!AF75</f>
        <v>0</v>
      </c>
      <c r="DH22" s="49">
        <f>data2!AG75</f>
        <v>0</v>
      </c>
    </row>
    <row r="23" spans="1:112" s="63" customFormat="1">
      <c r="A23" s="14">
        <f t="shared" si="16"/>
        <v>21</v>
      </c>
      <c r="B23" s="63">
        <f ca="1">data4!S22</f>
        <v>8.7497019701430423E-2</v>
      </c>
      <c r="C23" s="63">
        <f>data5!L22</f>
        <v>3874</v>
      </c>
      <c r="D23" s="63">
        <f t="shared" si="3"/>
        <v>-0.31061274259595589</v>
      </c>
      <c r="E23" s="63">
        <f t="shared" si="4"/>
        <v>0.13223708909133386</v>
      </c>
      <c r="F23" s="63">
        <f t="shared" si="5"/>
        <v>0.57508692077862356</v>
      </c>
      <c r="G23" s="63">
        <f t="shared" si="6"/>
        <v>0.29523322112485983</v>
      </c>
      <c r="H23" s="63">
        <f t="shared" si="7"/>
        <v>-0.17729838155430006</v>
      </c>
      <c r="I23" s="63">
        <f t="shared" si="8"/>
        <v>7.4608160503979393E-2</v>
      </c>
      <c r="J23" s="63">
        <f t="shared" si="9"/>
        <v>0.32651470256225884</v>
      </c>
      <c r="K23" s="63">
        <f t="shared" si="10"/>
        <v>0.16793769470551961</v>
      </c>
      <c r="L23" s="63">
        <f t="shared" si="11"/>
        <v>-8.9636537447928433E-2</v>
      </c>
      <c r="M23" s="63">
        <f t="shared" si="12"/>
        <v>3.7821890978977597E-2</v>
      </c>
      <c r="N23" s="63">
        <f t="shared" si="13"/>
        <v>0.16528031940588361</v>
      </c>
      <c r="O23" s="63">
        <f t="shared" si="14"/>
        <v>8.4972285617937349E-2</v>
      </c>
      <c r="P23" s="63" t="b">
        <f t="shared" si="15"/>
        <v>1</v>
      </c>
      <c r="Q23" s="47">
        <f>data0!B76</f>
        <v>0.76719093322753906</v>
      </c>
      <c r="R23" s="48">
        <f>data0!C76</f>
        <v>0.78229737281799316</v>
      </c>
      <c r="S23" s="48">
        <f>data0!D76</f>
        <v>0.82527875900268555</v>
      </c>
      <c r="T23" s="48">
        <f>data0!E76</f>
        <v>0.72492885589599609</v>
      </c>
      <c r="U23" s="48">
        <f>data0!F76</f>
        <v>0.73517966270446777</v>
      </c>
      <c r="V23" s="48"/>
      <c r="W23" s="48">
        <f>data0!H76</f>
        <v>0</v>
      </c>
      <c r="X23" s="48">
        <f>data0!I76</f>
        <v>0</v>
      </c>
      <c r="Y23" s="48">
        <f>data0!J76</f>
        <v>0</v>
      </c>
      <c r="Z23" s="48">
        <f>data0!K76</f>
        <v>0</v>
      </c>
      <c r="AA23" s="48">
        <f>data0!L76</f>
        <v>0</v>
      </c>
      <c r="AB23" s="48">
        <f>data0!M76</f>
        <v>0</v>
      </c>
      <c r="AC23" s="48">
        <f>data0!N76</f>
        <v>0</v>
      </c>
      <c r="AD23" s="48">
        <f>data0!O76</f>
        <v>0</v>
      </c>
      <c r="AE23" s="48">
        <f>data0!P76</f>
        <v>0</v>
      </c>
      <c r="AF23" s="48">
        <f>data0!Q76</f>
        <v>0</v>
      </c>
      <c r="AG23" s="48">
        <f>data0!R76</f>
        <v>0</v>
      </c>
      <c r="AH23" s="48">
        <f>data0!S76</f>
        <v>0</v>
      </c>
      <c r="AI23" s="48"/>
      <c r="AJ23" s="48">
        <f>data0!U76</f>
        <v>0</v>
      </c>
      <c r="AK23" s="48">
        <f>data0!V76</f>
        <v>0</v>
      </c>
      <c r="AL23" s="48"/>
      <c r="AM23" s="48">
        <f>data0!X76</f>
        <v>0</v>
      </c>
      <c r="AN23" s="48">
        <f>data0!Y76</f>
        <v>0</v>
      </c>
      <c r="AO23" s="48">
        <f>data0!Z76</f>
        <v>0</v>
      </c>
      <c r="AP23" s="48">
        <f>data0!AA76</f>
        <v>0</v>
      </c>
      <c r="AQ23" s="48">
        <f>data0!AB76</f>
        <v>0</v>
      </c>
      <c r="AR23" s="48">
        <f>data0!AC76</f>
        <v>0</v>
      </c>
      <c r="AS23" s="48">
        <f>data0!AD76</f>
        <v>0</v>
      </c>
      <c r="AT23" s="48">
        <f>data0!AE76</f>
        <v>0</v>
      </c>
      <c r="AU23" s="48">
        <f>data0!AF76</f>
        <v>0</v>
      </c>
      <c r="AV23" s="49">
        <f>data0!AG76</f>
        <v>0</v>
      </c>
      <c r="AW23" s="47">
        <f>data1!B76</f>
        <v>0.46434292197227478</v>
      </c>
      <c r="AX23" s="48">
        <f>data1!C76</f>
        <v>0.4353889524936676</v>
      </c>
      <c r="AY23" s="48">
        <f>data1!D76</f>
        <v>0.5159565806388855</v>
      </c>
      <c r="AZ23" s="48">
        <f>data1!E76</f>
        <v>0.37190595269203186</v>
      </c>
      <c r="BA23" s="48">
        <f>data1!F76</f>
        <v>0.37604224681854248</v>
      </c>
      <c r="BB23" s="48"/>
      <c r="BC23" s="48">
        <f>data1!H76</f>
        <v>0</v>
      </c>
      <c r="BD23" s="48">
        <f>data1!I76</f>
        <v>0</v>
      </c>
      <c r="BE23" s="48">
        <f>data1!J76</f>
        <v>0</v>
      </c>
      <c r="BF23" s="48">
        <f>data1!K76</f>
        <v>0</v>
      </c>
      <c r="BG23" s="48">
        <f>data1!L76</f>
        <v>0</v>
      </c>
      <c r="BH23" s="48">
        <f>data1!M76</f>
        <v>0</v>
      </c>
      <c r="BI23" s="48">
        <f>data1!N76</f>
        <v>0</v>
      </c>
      <c r="BJ23" s="48">
        <f>data1!O76</f>
        <v>0</v>
      </c>
      <c r="BK23" s="48">
        <f>data1!P76</f>
        <v>0</v>
      </c>
      <c r="BL23" s="48">
        <f>data1!Q76</f>
        <v>0</v>
      </c>
      <c r="BM23" s="48">
        <f>data1!R76</f>
        <v>0</v>
      </c>
      <c r="BN23" s="48">
        <f>data1!S76</f>
        <v>0</v>
      </c>
      <c r="BO23" s="48"/>
      <c r="BP23" s="48">
        <f>data1!U76</f>
        <v>0</v>
      </c>
      <c r="BQ23" s="48">
        <f>data1!V76</f>
        <v>0</v>
      </c>
      <c r="BR23" s="48"/>
      <c r="BS23" s="48">
        <f>data1!X76</f>
        <v>0</v>
      </c>
      <c r="BT23" s="48">
        <f>data1!Y76</f>
        <v>0</v>
      </c>
      <c r="BU23" s="48">
        <f>data1!Z76</f>
        <v>0</v>
      </c>
      <c r="BV23" s="48">
        <f>data1!AA76</f>
        <v>0</v>
      </c>
      <c r="BW23" s="48">
        <f>data1!AB76</f>
        <v>0</v>
      </c>
      <c r="BX23" s="48">
        <f>data1!AC76</f>
        <v>0</v>
      </c>
      <c r="BY23" s="48">
        <f>data1!AD76</f>
        <v>0</v>
      </c>
      <c r="BZ23" s="48">
        <f>data1!AE76</f>
        <v>0</v>
      </c>
      <c r="CA23" s="48">
        <f>data1!AF76</f>
        <v>0</v>
      </c>
      <c r="CB23" s="48">
        <f>data1!AG76</f>
        <v>0</v>
      </c>
      <c r="CC23" s="47">
        <f>data2!B76</f>
        <v>0.21149004995822906</v>
      </c>
      <c r="CD23" s="48">
        <f>data2!C76</f>
        <v>0.23612791299819946</v>
      </c>
      <c r="CE23" s="48">
        <f>data2!D76</f>
        <v>0.25680932402610779</v>
      </c>
      <c r="CF23" s="48">
        <f>data2!E76</f>
        <v>0.206814244389534</v>
      </c>
      <c r="CG23" s="48">
        <f>data2!F76</f>
        <v>0.18559330701828003</v>
      </c>
      <c r="CH23" s="48"/>
      <c r="CI23" s="48">
        <f>data2!H76</f>
        <v>0</v>
      </c>
      <c r="CJ23" s="48">
        <f>data2!I76</f>
        <v>0</v>
      </c>
      <c r="CK23" s="48">
        <f>data2!J76</f>
        <v>0</v>
      </c>
      <c r="CL23" s="48">
        <f>data2!K76</f>
        <v>0</v>
      </c>
      <c r="CM23" s="48">
        <f>data2!L76</f>
        <v>0</v>
      </c>
      <c r="CN23" s="48">
        <f>data2!M76</f>
        <v>0</v>
      </c>
      <c r="CO23" s="48">
        <f>data2!N76</f>
        <v>0</v>
      </c>
      <c r="CP23" s="48">
        <f>data2!O76</f>
        <v>0</v>
      </c>
      <c r="CQ23" s="48">
        <f>data2!P76</f>
        <v>0</v>
      </c>
      <c r="CR23" s="48">
        <f>data2!Q76</f>
        <v>0</v>
      </c>
      <c r="CS23" s="48">
        <f>data2!R76</f>
        <v>0</v>
      </c>
      <c r="CT23" s="48">
        <f>data2!S76</f>
        <v>0</v>
      </c>
      <c r="CU23" s="48"/>
      <c r="CV23" s="48">
        <f>data2!U76</f>
        <v>0</v>
      </c>
      <c r="CW23" s="48">
        <f>data2!V76</f>
        <v>0</v>
      </c>
      <c r="CX23" s="48"/>
      <c r="CY23" s="48">
        <f>data2!X76</f>
        <v>0</v>
      </c>
      <c r="CZ23" s="48">
        <f>data2!Y76</f>
        <v>0</v>
      </c>
      <c r="DA23" s="48">
        <f>data2!Z76</f>
        <v>0</v>
      </c>
      <c r="DB23" s="48">
        <f>data2!AA76</f>
        <v>0</v>
      </c>
      <c r="DC23" s="48">
        <f>data2!AB76</f>
        <v>0</v>
      </c>
      <c r="DD23" s="48">
        <f>data2!AC76</f>
        <v>0</v>
      </c>
      <c r="DE23" s="48">
        <f>data2!AD76</f>
        <v>0</v>
      </c>
      <c r="DF23" s="48">
        <f>data2!AE76</f>
        <v>0</v>
      </c>
      <c r="DG23" s="48">
        <f>data2!AF76</f>
        <v>0</v>
      </c>
      <c r="DH23" s="49">
        <f>data2!AG76</f>
        <v>0</v>
      </c>
    </row>
    <row r="24" spans="1:112" s="63" customFormat="1">
      <c r="A24" s="14">
        <f t="shared" si="16"/>
        <v>22</v>
      </c>
      <c r="B24" s="63">
        <f ca="1">data4!S23</f>
        <v>6.4528090696904072E-2</v>
      </c>
      <c r="C24" s="63">
        <f>data5!L23</f>
        <v>3852.9</v>
      </c>
      <c r="D24" s="63">
        <f t="shared" si="3"/>
        <v>-0.28605986463616462</v>
      </c>
      <c r="E24" s="63">
        <f t="shared" si="4"/>
        <v>0.12176304850085028</v>
      </c>
      <c r="F24" s="63">
        <f t="shared" si="5"/>
        <v>0.5295859616378652</v>
      </c>
      <c r="G24" s="63">
        <f t="shared" si="6"/>
        <v>0.27188194209134325</v>
      </c>
      <c r="H24" s="63">
        <f t="shared" si="7"/>
        <v>-0.1480254830199039</v>
      </c>
      <c r="I24" s="63">
        <f t="shared" si="8"/>
        <v>6.2193104933048117E-2</v>
      </c>
      <c r="J24" s="63">
        <f t="shared" si="9"/>
        <v>0.27241169288600015</v>
      </c>
      <c r="K24" s="63">
        <f t="shared" si="10"/>
        <v>0.140145725301968</v>
      </c>
      <c r="L24" s="63">
        <f t="shared" si="11"/>
        <v>-0.10233132510657131</v>
      </c>
      <c r="M24" s="63">
        <f t="shared" si="12"/>
        <v>4.3241851288696814E-2</v>
      </c>
      <c r="N24" s="63">
        <f t="shared" si="13"/>
        <v>0.18881502768396494</v>
      </c>
      <c r="O24" s="63">
        <f t="shared" si="14"/>
        <v>9.7048784263512086E-2</v>
      </c>
      <c r="P24" s="63" t="b">
        <f t="shared" si="15"/>
        <v>1</v>
      </c>
      <c r="Q24" s="47">
        <f>data0!B77</f>
        <v>0.7051466703414917</v>
      </c>
      <c r="R24" s="48">
        <f>data0!C77</f>
        <v>0.72456920146942139</v>
      </c>
      <c r="S24" s="48">
        <f>data0!D77</f>
        <v>0.76071673631668091</v>
      </c>
      <c r="T24" s="48">
        <f>data0!E77</f>
        <v>0.66486281156539917</v>
      </c>
      <c r="U24" s="48">
        <f>data0!F77</f>
        <v>0.67583298683166504</v>
      </c>
      <c r="V24" s="48"/>
      <c r="W24" s="48">
        <f>data0!H77</f>
        <v>0</v>
      </c>
      <c r="X24" s="48">
        <f>data0!I77</f>
        <v>0</v>
      </c>
      <c r="Y24" s="48">
        <f>data0!J77</f>
        <v>0</v>
      </c>
      <c r="Z24" s="48">
        <f>data0!K77</f>
        <v>0</v>
      </c>
      <c r="AA24" s="48">
        <f>data0!L77</f>
        <v>0</v>
      </c>
      <c r="AB24" s="48">
        <f>data0!M77</f>
        <v>0</v>
      </c>
      <c r="AC24" s="48">
        <f>data0!N77</f>
        <v>0</v>
      </c>
      <c r="AD24" s="48">
        <f>data0!O77</f>
        <v>0</v>
      </c>
      <c r="AE24" s="48">
        <f>data0!P77</f>
        <v>0</v>
      </c>
      <c r="AF24" s="48">
        <f>data0!Q77</f>
        <v>0</v>
      </c>
      <c r="AG24" s="48">
        <f>data0!R77</f>
        <v>0</v>
      </c>
      <c r="AH24" s="48">
        <f>data0!S77</f>
        <v>0</v>
      </c>
      <c r="AI24" s="48"/>
      <c r="AJ24" s="48">
        <f>data0!U77</f>
        <v>0</v>
      </c>
      <c r="AK24" s="48">
        <f>data0!V77</f>
        <v>0</v>
      </c>
      <c r="AL24" s="48"/>
      <c r="AM24" s="48">
        <f>data0!X77</f>
        <v>0</v>
      </c>
      <c r="AN24" s="48">
        <f>data0!Y77</f>
        <v>0</v>
      </c>
      <c r="AO24" s="48">
        <f>data0!Z77</f>
        <v>0</v>
      </c>
      <c r="AP24" s="48">
        <f>data0!AA77</f>
        <v>0</v>
      </c>
      <c r="AQ24" s="48">
        <f>data0!AB77</f>
        <v>0</v>
      </c>
      <c r="AR24" s="48">
        <f>data0!AC77</f>
        <v>0</v>
      </c>
      <c r="AS24" s="48">
        <f>data0!AD77</f>
        <v>0</v>
      </c>
      <c r="AT24" s="48">
        <f>data0!AE77</f>
        <v>0</v>
      </c>
      <c r="AU24" s="48">
        <f>data0!AF77</f>
        <v>0</v>
      </c>
      <c r="AV24" s="49">
        <f>data0!AG77</f>
        <v>0</v>
      </c>
      <c r="AW24" s="47">
        <f>data1!B77</f>
        <v>0.40607526898384094</v>
      </c>
      <c r="AX24" s="48">
        <f>data1!C77</f>
        <v>0.36974790692329407</v>
      </c>
      <c r="AY24" s="48">
        <f>data1!D77</f>
        <v>0.41740509867668152</v>
      </c>
      <c r="AZ24" s="48">
        <f>data1!E77</f>
        <v>0.30536571145057678</v>
      </c>
      <c r="BA24" s="48">
        <f>data1!F77</f>
        <v>0.30500605702400208</v>
      </c>
      <c r="BB24" s="48"/>
      <c r="BC24" s="48">
        <f>data1!H77</f>
        <v>0</v>
      </c>
      <c r="BD24" s="48">
        <f>data1!I77</f>
        <v>0</v>
      </c>
      <c r="BE24" s="48">
        <f>data1!J77</f>
        <v>0</v>
      </c>
      <c r="BF24" s="48">
        <f>data1!K77</f>
        <v>0</v>
      </c>
      <c r="BG24" s="48">
        <f>data1!L77</f>
        <v>0</v>
      </c>
      <c r="BH24" s="48">
        <f>data1!M77</f>
        <v>0</v>
      </c>
      <c r="BI24" s="48">
        <f>data1!N77</f>
        <v>0</v>
      </c>
      <c r="BJ24" s="48">
        <f>data1!O77</f>
        <v>0</v>
      </c>
      <c r="BK24" s="48">
        <f>data1!P77</f>
        <v>0</v>
      </c>
      <c r="BL24" s="48">
        <f>data1!Q77</f>
        <v>0</v>
      </c>
      <c r="BM24" s="48">
        <f>data1!R77</f>
        <v>0</v>
      </c>
      <c r="BN24" s="48">
        <f>data1!S77</f>
        <v>0</v>
      </c>
      <c r="BO24" s="48"/>
      <c r="BP24" s="48">
        <f>data1!U77</f>
        <v>0</v>
      </c>
      <c r="BQ24" s="48">
        <f>data1!V77</f>
        <v>0</v>
      </c>
      <c r="BR24" s="48"/>
      <c r="BS24" s="48">
        <f>data1!X77</f>
        <v>0</v>
      </c>
      <c r="BT24" s="48">
        <f>data1!Y77</f>
        <v>0</v>
      </c>
      <c r="BU24" s="48">
        <f>data1!Z77</f>
        <v>0</v>
      </c>
      <c r="BV24" s="48">
        <f>data1!AA77</f>
        <v>0</v>
      </c>
      <c r="BW24" s="48">
        <f>data1!AB77</f>
        <v>0</v>
      </c>
      <c r="BX24" s="48">
        <f>data1!AC77</f>
        <v>0</v>
      </c>
      <c r="BY24" s="48">
        <f>data1!AD77</f>
        <v>0</v>
      </c>
      <c r="BZ24" s="48">
        <f>data1!AE77</f>
        <v>0</v>
      </c>
      <c r="CA24" s="48">
        <f>data1!AF77</f>
        <v>0</v>
      </c>
      <c r="CB24" s="48">
        <f>data1!AG77</f>
        <v>0</v>
      </c>
      <c r="CC24" s="47">
        <f>data2!B77</f>
        <v>0.24170291423797607</v>
      </c>
      <c r="CD24" s="48">
        <f>data2!C77</f>
        <v>0.26688030362129211</v>
      </c>
      <c r="CE24" s="48">
        <f>data2!D77</f>
        <v>0.29223752021789551</v>
      </c>
      <c r="CF24" s="48">
        <f>data2!E77</f>
        <v>0.23666742444038391</v>
      </c>
      <c r="CG24" s="48">
        <f>data2!F77</f>
        <v>0.21652552485466003</v>
      </c>
      <c r="CH24" s="48"/>
      <c r="CI24" s="48">
        <f>data2!H77</f>
        <v>0</v>
      </c>
      <c r="CJ24" s="48">
        <f>data2!I77</f>
        <v>0</v>
      </c>
      <c r="CK24" s="48">
        <f>data2!J77</f>
        <v>0</v>
      </c>
      <c r="CL24" s="48">
        <f>data2!K77</f>
        <v>0</v>
      </c>
      <c r="CM24" s="48">
        <f>data2!L77</f>
        <v>0</v>
      </c>
      <c r="CN24" s="48">
        <f>data2!M77</f>
        <v>0</v>
      </c>
      <c r="CO24" s="48">
        <f>data2!N77</f>
        <v>0</v>
      </c>
      <c r="CP24" s="48">
        <f>data2!O77</f>
        <v>0</v>
      </c>
      <c r="CQ24" s="48">
        <f>data2!P77</f>
        <v>0</v>
      </c>
      <c r="CR24" s="48">
        <f>data2!Q77</f>
        <v>0</v>
      </c>
      <c r="CS24" s="48">
        <f>data2!R77</f>
        <v>0</v>
      </c>
      <c r="CT24" s="48">
        <f>data2!S77</f>
        <v>0</v>
      </c>
      <c r="CU24" s="48"/>
      <c r="CV24" s="48">
        <f>data2!U77</f>
        <v>0</v>
      </c>
      <c r="CW24" s="48">
        <f>data2!V77</f>
        <v>0</v>
      </c>
      <c r="CX24" s="48"/>
      <c r="CY24" s="48">
        <f>data2!X77</f>
        <v>0</v>
      </c>
      <c r="CZ24" s="48">
        <f>data2!Y77</f>
        <v>0</v>
      </c>
      <c r="DA24" s="48">
        <f>data2!Z77</f>
        <v>0</v>
      </c>
      <c r="DB24" s="48">
        <f>data2!AA77</f>
        <v>0</v>
      </c>
      <c r="DC24" s="48">
        <f>data2!AB77</f>
        <v>0</v>
      </c>
      <c r="DD24" s="48">
        <f>data2!AC77</f>
        <v>0</v>
      </c>
      <c r="DE24" s="48">
        <f>data2!AD77</f>
        <v>0</v>
      </c>
      <c r="DF24" s="48">
        <f>data2!AE77</f>
        <v>0</v>
      </c>
      <c r="DG24" s="48">
        <f>data2!AF77</f>
        <v>0</v>
      </c>
      <c r="DH24" s="49">
        <f>data2!AG77</f>
        <v>0</v>
      </c>
    </row>
    <row r="25" spans="1:112" s="63" customFormat="1">
      <c r="A25" s="14">
        <f t="shared" si="16"/>
        <v>23</v>
      </c>
      <c r="B25" s="63">
        <f ca="1">data4!S24</f>
        <v>4.8396071685701009E-2</v>
      </c>
      <c r="C25" s="63">
        <f>data5!L24</f>
        <v>3862.8</v>
      </c>
      <c r="D25" s="63">
        <f t="shared" si="3"/>
        <v>-0.21342852663548129</v>
      </c>
      <c r="E25" s="63">
        <f t="shared" si="4"/>
        <v>9.082462972608106E-2</v>
      </c>
      <c r="F25" s="63">
        <f t="shared" si="5"/>
        <v>0.39507778608764343</v>
      </c>
      <c r="G25" s="63">
        <f t="shared" si="6"/>
        <v>0.20283543757437489</v>
      </c>
      <c r="H25" s="63">
        <f t="shared" si="7"/>
        <v>-0.11120196452810445</v>
      </c>
      <c r="I25" s="63">
        <f t="shared" si="8"/>
        <v>4.675180079608128E-2</v>
      </c>
      <c r="J25" s="63">
        <f t="shared" si="9"/>
        <v>0.20470556612026702</v>
      </c>
      <c r="K25" s="63">
        <f t="shared" si="10"/>
        <v>0.10530251021612382</v>
      </c>
      <c r="L25" s="63">
        <f t="shared" si="11"/>
        <v>-7.1672499247067534E-2</v>
      </c>
      <c r="M25" s="63">
        <f t="shared" si="12"/>
        <v>3.0175655566412826E-2</v>
      </c>
      <c r="N25" s="63">
        <f t="shared" si="13"/>
        <v>0.13202381037989319</v>
      </c>
      <c r="O25" s="63">
        <f t="shared" si="14"/>
        <v>6.7898769875653575E-2</v>
      </c>
      <c r="P25" s="63" t="b">
        <f t="shared" si="15"/>
        <v>1</v>
      </c>
      <c r="Q25" s="47">
        <f>data0!B78</f>
        <v>0.52350980043411255</v>
      </c>
      <c r="R25" s="48">
        <f>data0!C78</f>
        <v>0.5398750901222229</v>
      </c>
      <c r="S25" s="48">
        <f>data0!D78</f>
        <v>0.57152664661407471</v>
      </c>
      <c r="T25" s="48">
        <f>data0!E78</f>
        <v>0.49545499682426453</v>
      </c>
      <c r="U25" s="48">
        <f>data0!F78</f>
        <v>0.50354772806167603</v>
      </c>
      <c r="V25" s="48"/>
      <c r="W25" s="48">
        <f>data0!H78</f>
        <v>0</v>
      </c>
      <c r="X25" s="48">
        <f>data0!I78</f>
        <v>0</v>
      </c>
      <c r="Y25" s="48">
        <f>data0!J78</f>
        <v>0</v>
      </c>
      <c r="Z25" s="48">
        <f>data0!K78</f>
        <v>0</v>
      </c>
      <c r="AA25" s="48">
        <f>data0!L78</f>
        <v>0</v>
      </c>
      <c r="AB25" s="48">
        <f>data0!M78</f>
        <v>0</v>
      </c>
      <c r="AC25" s="48">
        <f>data0!N78</f>
        <v>0</v>
      </c>
      <c r="AD25" s="48">
        <f>data0!O78</f>
        <v>0</v>
      </c>
      <c r="AE25" s="48">
        <f>data0!P78</f>
        <v>0</v>
      </c>
      <c r="AF25" s="48">
        <f>data0!Q78</f>
        <v>0</v>
      </c>
      <c r="AG25" s="48">
        <f>data0!R78</f>
        <v>0</v>
      </c>
      <c r="AH25" s="48">
        <f>data0!S78</f>
        <v>0</v>
      </c>
      <c r="AI25" s="48"/>
      <c r="AJ25" s="48">
        <f>data0!U78</f>
        <v>0</v>
      </c>
      <c r="AK25" s="48">
        <f>data0!V78</f>
        <v>0</v>
      </c>
      <c r="AL25" s="48"/>
      <c r="AM25" s="48">
        <f>data0!X78</f>
        <v>0</v>
      </c>
      <c r="AN25" s="48">
        <f>data0!Y78</f>
        <v>0</v>
      </c>
      <c r="AO25" s="48">
        <f>data0!Z78</f>
        <v>0</v>
      </c>
      <c r="AP25" s="48">
        <f>data0!AA78</f>
        <v>0</v>
      </c>
      <c r="AQ25" s="48">
        <f>data0!AB78</f>
        <v>0</v>
      </c>
      <c r="AR25" s="48">
        <f>data0!AC78</f>
        <v>0</v>
      </c>
      <c r="AS25" s="48">
        <f>data0!AD78</f>
        <v>0</v>
      </c>
      <c r="AT25" s="48">
        <f>data0!AE78</f>
        <v>0</v>
      </c>
      <c r="AU25" s="48">
        <f>data0!AF78</f>
        <v>0</v>
      </c>
      <c r="AV25" s="49">
        <f>data0!AG78</f>
        <v>0</v>
      </c>
      <c r="AW25" s="47">
        <f>data1!B78</f>
        <v>0.30716410279273987</v>
      </c>
      <c r="AX25" s="48">
        <f>data1!C78</f>
        <v>0.27713108062744141</v>
      </c>
      <c r="AY25" s="48">
        <f>data1!D78</f>
        <v>0.31076088547706604</v>
      </c>
      <c r="AZ25" s="48">
        <f>data1!E78</f>
        <v>0.2307327538728714</v>
      </c>
      <c r="BA25" s="48">
        <f>data1!F78</f>
        <v>0.2300134003162384</v>
      </c>
      <c r="BB25" s="48"/>
      <c r="BC25" s="48">
        <f>data1!H78</f>
        <v>0</v>
      </c>
      <c r="BD25" s="48">
        <f>data1!I78</f>
        <v>0</v>
      </c>
      <c r="BE25" s="48">
        <f>data1!J78</f>
        <v>0</v>
      </c>
      <c r="BF25" s="48">
        <f>data1!K78</f>
        <v>0</v>
      </c>
      <c r="BG25" s="48">
        <f>data1!L78</f>
        <v>0</v>
      </c>
      <c r="BH25" s="48">
        <f>data1!M78</f>
        <v>0</v>
      </c>
      <c r="BI25" s="48">
        <f>data1!N78</f>
        <v>0</v>
      </c>
      <c r="BJ25" s="48">
        <f>data1!O78</f>
        <v>0</v>
      </c>
      <c r="BK25" s="48">
        <f>data1!P78</f>
        <v>0</v>
      </c>
      <c r="BL25" s="48">
        <f>data1!Q78</f>
        <v>0</v>
      </c>
      <c r="BM25" s="48">
        <f>data1!R78</f>
        <v>0</v>
      </c>
      <c r="BN25" s="48">
        <f>data1!S78</f>
        <v>0</v>
      </c>
      <c r="BO25" s="48"/>
      <c r="BP25" s="48">
        <f>data1!U78</f>
        <v>0</v>
      </c>
      <c r="BQ25" s="48">
        <f>data1!V78</f>
        <v>0</v>
      </c>
      <c r="BR25" s="48"/>
      <c r="BS25" s="48">
        <f>data1!X78</f>
        <v>0</v>
      </c>
      <c r="BT25" s="48">
        <f>data1!Y78</f>
        <v>0</v>
      </c>
      <c r="BU25" s="48">
        <f>data1!Z78</f>
        <v>0</v>
      </c>
      <c r="BV25" s="48">
        <f>data1!AA78</f>
        <v>0</v>
      </c>
      <c r="BW25" s="48">
        <f>data1!AB78</f>
        <v>0</v>
      </c>
      <c r="BX25" s="48">
        <f>data1!AC78</f>
        <v>0</v>
      </c>
      <c r="BY25" s="48">
        <f>data1!AD78</f>
        <v>0</v>
      </c>
      <c r="BZ25" s="48">
        <f>data1!AE78</f>
        <v>0</v>
      </c>
      <c r="CA25" s="48">
        <f>data1!AF78</f>
        <v>0</v>
      </c>
      <c r="CB25" s="48">
        <f>data1!AG78</f>
        <v>0</v>
      </c>
      <c r="CC25" s="47">
        <f>data2!B78</f>
        <v>0.16617074608802795</v>
      </c>
      <c r="CD25" s="48">
        <f>data2!C78</f>
        <v>0.18721185624599457</v>
      </c>
      <c r="CE25" s="48">
        <f>data2!D78</f>
        <v>0.20951181650161743</v>
      </c>
      <c r="CF25" s="48">
        <f>data2!E78</f>
        <v>0.16617074608802795</v>
      </c>
      <c r="CG25" s="48">
        <f>data2!F78</f>
        <v>0.14602884650230408</v>
      </c>
      <c r="CH25" s="48"/>
      <c r="CI25" s="48">
        <f>data2!H78</f>
        <v>0</v>
      </c>
      <c r="CJ25" s="48">
        <f>data2!I78</f>
        <v>0</v>
      </c>
      <c r="CK25" s="48">
        <f>data2!J78</f>
        <v>0</v>
      </c>
      <c r="CL25" s="48">
        <f>data2!K78</f>
        <v>0</v>
      </c>
      <c r="CM25" s="48">
        <f>data2!L78</f>
        <v>0</v>
      </c>
      <c r="CN25" s="48">
        <f>data2!M78</f>
        <v>0</v>
      </c>
      <c r="CO25" s="48">
        <f>data2!N78</f>
        <v>0</v>
      </c>
      <c r="CP25" s="48">
        <f>data2!O78</f>
        <v>0</v>
      </c>
      <c r="CQ25" s="48">
        <f>data2!P78</f>
        <v>0</v>
      </c>
      <c r="CR25" s="48">
        <f>data2!Q78</f>
        <v>0</v>
      </c>
      <c r="CS25" s="48">
        <f>data2!R78</f>
        <v>0</v>
      </c>
      <c r="CT25" s="48">
        <f>data2!S78</f>
        <v>0</v>
      </c>
      <c r="CU25" s="48"/>
      <c r="CV25" s="48">
        <f>data2!U78</f>
        <v>0</v>
      </c>
      <c r="CW25" s="48">
        <f>data2!V78</f>
        <v>0</v>
      </c>
      <c r="CX25" s="48"/>
      <c r="CY25" s="48">
        <f>data2!X78</f>
        <v>0</v>
      </c>
      <c r="CZ25" s="48">
        <f>data2!Y78</f>
        <v>0</v>
      </c>
      <c r="DA25" s="48">
        <f>data2!Z78</f>
        <v>0</v>
      </c>
      <c r="DB25" s="48">
        <f>data2!AA78</f>
        <v>0</v>
      </c>
      <c r="DC25" s="48">
        <f>data2!AB78</f>
        <v>0</v>
      </c>
      <c r="DD25" s="48">
        <f>data2!AC78</f>
        <v>0</v>
      </c>
      <c r="DE25" s="48">
        <f>data2!AD78</f>
        <v>0</v>
      </c>
      <c r="DF25" s="48">
        <f>data2!AE78</f>
        <v>0</v>
      </c>
      <c r="DG25" s="48">
        <f>data2!AF78</f>
        <v>0</v>
      </c>
      <c r="DH25" s="49">
        <f>data2!AG78</f>
        <v>0</v>
      </c>
    </row>
    <row r="26" spans="1:112" s="63" customFormat="1">
      <c r="A26" s="14">
        <f t="shared" si="16"/>
        <v>24</v>
      </c>
      <c r="B26" s="63">
        <f ca="1">data4!S25</f>
        <v>1.6900215363934361E-2</v>
      </c>
      <c r="C26" s="63">
        <f>data5!L25</f>
        <v>3782.2</v>
      </c>
      <c r="D26" s="63">
        <f t="shared" si="3"/>
        <v>-0.10586903636685902</v>
      </c>
      <c r="E26" s="63">
        <f t="shared" si="4"/>
        <v>4.4965819038193799E-2</v>
      </c>
      <c r="F26" s="63">
        <f t="shared" si="5"/>
        <v>0.19580067444324661</v>
      </c>
      <c r="G26" s="63">
        <f t="shared" si="6"/>
        <v>0.10055657027003521</v>
      </c>
      <c r="H26" s="63">
        <f t="shared" si="7"/>
        <v>-4.6445547836105661E-2</v>
      </c>
      <c r="I26" s="63">
        <f t="shared" si="8"/>
        <v>1.9174502070607811E-2</v>
      </c>
      <c r="J26" s="63">
        <f t="shared" si="9"/>
        <v>8.4794551977321275E-2</v>
      </c>
      <c r="K26" s="63">
        <f t="shared" si="10"/>
        <v>4.3746699937808983E-2</v>
      </c>
      <c r="L26" s="63">
        <f t="shared" si="11"/>
        <v>-3.9449952215891704E-2</v>
      </c>
      <c r="M26" s="63">
        <f t="shared" si="12"/>
        <v>1.6427314486996882E-2</v>
      </c>
      <c r="N26" s="63">
        <f t="shared" si="13"/>
        <v>7.2304581189885461E-2</v>
      </c>
      <c r="O26" s="63">
        <f t="shared" si="14"/>
        <v>3.7251511135259055E-2</v>
      </c>
      <c r="P26" s="63" t="b">
        <f t="shared" si="15"/>
        <v>1</v>
      </c>
      <c r="Q26" s="47">
        <f>data0!B79</f>
        <v>0.25231337547302246</v>
      </c>
      <c r="R26" s="48">
        <f>data0!C79</f>
        <v>0.27227544784545898</v>
      </c>
      <c r="S26" s="48">
        <f>data0!D79</f>
        <v>0.29097864031791687</v>
      </c>
      <c r="T26" s="48">
        <f>data0!E79</f>
        <v>0.24206258356571198</v>
      </c>
      <c r="U26" s="48">
        <f>data0!F79</f>
        <v>0.24637870490550995</v>
      </c>
      <c r="V26" s="48"/>
      <c r="W26" s="48">
        <f>data0!H79</f>
        <v>0</v>
      </c>
      <c r="X26" s="48">
        <f>data0!I79</f>
        <v>0</v>
      </c>
      <c r="Y26" s="48">
        <f>data0!J79</f>
        <v>0</v>
      </c>
      <c r="Z26" s="48">
        <f>data0!K79</f>
        <v>0</v>
      </c>
      <c r="AA26" s="48">
        <f>data0!L79</f>
        <v>0</v>
      </c>
      <c r="AB26" s="48">
        <f>data0!M79</f>
        <v>0</v>
      </c>
      <c r="AC26" s="48">
        <f>data0!N79</f>
        <v>0</v>
      </c>
      <c r="AD26" s="48">
        <f>data0!O79</f>
        <v>0</v>
      </c>
      <c r="AE26" s="48">
        <f>data0!P79</f>
        <v>0</v>
      </c>
      <c r="AF26" s="48">
        <f>data0!Q79</f>
        <v>0</v>
      </c>
      <c r="AG26" s="48">
        <f>data0!R79</f>
        <v>0</v>
      </c>
      <c r="AH26" s="48">
        <f>data0!S79</f>
        <v>0</v>
      </c>
      <c r="AI26" s="48"/>
      <c r="AJ26" s="48">
        <f>data0!U79</f>
        <v>0</v>
      </c>
      <c r="AK26" s="48">
        <f>data0!V79</f>
        <v>0</v>
      </c>
      <c r="AL26" s="48"/>
      <c r="AM26" s="48">
        <f>data0!X79</f>
        <v>0</v>
      </c>
      <c r="AN26" s="48">
        <f>data0!Y79</f>
        <v>0</v>
      </c>
      <c r="AO26" s="48">
        <f>data0!Z79</f>
        <v>0</v>
      </c>
      <c r="AP26" s="48">
        <f>data0!AA79</f>
        <v>0</v>
      </c>
      <c r="AQ26" s="48">
        <f>data0!AB79</f>
        <v>0</v>
      </c>
      <c r="AR26" s="48">
        <f>data0!AC79</f>
        <v>0</v>
      </c>
      <c r="AS26" s="48">
        <f>data0!AD79</f>
        <v>0</v>
      </c>
      <c r="AT26" s="48">
        <f>data0!AE79</f>
        <v>0</v>
      </c>
      <c r="AU26" s="48">
        <f>data0!AF79</f>
        <v>0</v>
      </c>
      <c r="AV26" s="49">
        <f>data0!AG79</f>
        <v>0</v>
      </c>
      <c r="AW26" s="47">
        <f>data1!B79</f>
        <v>0.12984338402748108</v>
      </c>
      <c r="AX26" s="48">
        <f>data1!C79</f>
        <v>0.12049177289009094</v>
      </c>
      <c r="AY26" s="48">
        <f>data1!D79</f>
        <v>0.1354183703660965</v>
      </c>
      <c r="AZ26" s="48">
        <f>data1!E79</f>
        <v>8.9020043611526489E-2</v>
      </c>
      <c r="BA26" s="48">
        <f>data1!F79</f>
        <v>8.1286989152431488E-2</v>
      </c>
      <c r="BB26" s="48"/>
      <c r="BC26" s="48">
        <f>data1!H79</f>
        <v>0</v>
      </c>
      <c r="BD26" s="48">
        <f>data1!I79</f>
        <v>0</v>
      </c>
      <c r="BE26" s="48">
        <f>data1!J79</f>
        <v>0</v>
      </c>
      <c r="BF26" s="48">
        <f>data1!K79</f>
        <v>0</v>
      </c>
      <c r="BG26" s="48">
        <f>data1!L79</f>
        <v>0</v>
      </c>
      <c r="BH26" s="48">
        <f>data1!M79</f>
        <v>0</v>
      </c>
      <c r="BI26" s="48">
        <f>data1!N79</f>
        <v>0</v>
      </c>
      <c r="BJ26" s="48">
        <f>data1!O79</f>
        <v>0</v>
      </c>
      <c r="BK26" s="48">
        <f>data1!P79</f>
        <v>0</v>
      </c>
      <c r="BL26" s="48">
        <f>data1!Q79</f>
        <v>0</v>
      </c>
      <c r="BM26" s="48">
        <f>data1!R79</f>
        <v>0</v>
      </c>
      <c r="BN26" s="48">
        <f>data1!S79</f>
        <v>0</v>
      </c>
      <c r="BO26" s="48"/>
      <c r="BP26" s="48">
        <f>data1!U79</f>
        <v>0</v>
      </c>
      <c r="BQ26" s="48">
        <f>data1!V79</f>
        <v>0</v>
      </c>
      <c r="BR26" s="48"/>
      <c r="BS26" s="48">
        <f>data1!X79</f>
        <v>0</v>
      </c>
      <c r="BT26" s="48">
        <f>data1!Y79</f>
        <v>0</v>
      </c>
      <c r="BU26" s="48">
        <f>data1!Z79</f>
        <v>0</v>
      </c>
      <c r="BV26" s="48">
        <f>data1!AA79</f>
        <v>0</v>
      </c>
      <c r="BW26" s="48">
        <f>data1!AB79</f>
        <v>0</v>
      </c>
      <c r="BX26" s="48">
        <f>data1!AC79</f>
        <v>0</v>
      </c>
      <c r="BY26" s="48">
        <f>data1!AD79</f>
        <v>0</v>
      </c>
      <c r="BZ26" s="48">
        <f>data1!AE79</f>
        <v>0</v>
      </c>
      <c r="CA26" s="48">
        <f>data1!AF79</f>
        <v>0</v>
      </c>
      <c r="CB26" s="48">
        <f>data1!AG79</f>
        <v>0</v>
      </c>
      <c r="CC26" s="47">
        <f>data2!B79</f>
        <v>8.5603110492229462E-2</v>
      </c>
      <c r="CD26" s="48">
        <f>data2!C79</f>
        <v>0.10574502497911453</v>
      </c>
      <c r="CE26" s="48">
        <f>data2!D79</f>
        <v>0.12085145711898804</v>
      </c>
      <c r="CF26" s="48">
        <f>data2!E79</f>
        <v>8.8660366833209991E-2</v>
      </c>
      <c r="CG26" s="48">
        <f>data2!F79</f>
        <v>7.5532160699367523E-2</v>
      </c>
      <c r="CH26" s="48"/>
      <c r="CI26" s="48">
        <f>data2!H79</f>
        <v>0</v>
      </c>
      <c r="CJ26" s="48">
        <f>data2!I79</f>
        <v>0</v>
      </c>
      <c r="CK26" s="48">
        <f>data2!J79</f>
        <v>0</v>
      </c>
      <c r="CL26" s="48">
        <f>data2!K79</f>
        <v>0</v>
      </c>
      <c r="CM26" s="48">
        <f>data2!L79</f>
        <v>0</v>
      </c>
      <c r="CN26" s="48">
        <f>data2!M79</f>
        <v>0</v>
      </c>
      <c r="CO26" s="48">
        <f>data2!N79</f>
        <v>0</v>
      </c>
      <c r="CP26" s="48">
        <f>data2!O79</f>
        <v>0</v>
      </c>
      <c r="CQ26" s="48">
        <f>data2!P79</f>
        <v>0</v>
      </c>
      <c r="CR26" s="48">
        <f>data2!Q79</f>
        <v>0</v>
      </c>
      <c r="CS26" s="48">
        <f>data2!R79</f>
        <v>0</v>
      </c>
      <c r="CT26" s="48">
        <f>data2!S79</f>
        <v>0</v>
      </c>
      <c r="CU26" s="48"/>
      <c r="CV26" s="48">
        <f>data2!U79</f>
        <v>0</v>
      </c>
      <c r="CW26" s="48">
        <f>data2!V79</f>
        <v>0</v>
      </c>
      <c r="CX26" s="48"/>
      <c r="CY26" s="48">
        <f>data2!X79</f>
        <v>0</v>
      </c>
      <c r="CZ26" s="48">
        <f>data2!Y79</f>
        <v>0</v>
      </c>
      <c r="DA26" s="48">
        <f>data2!Z79</f>
        <v>0</v>
      </c>
      <c r="DB26" s="48">
        <f>data2!AA79</f>
        <v>0</v>
      </c>
      <c r="DC26" s="48">
        <f>data2!AB79</f>
        <v>0</v>
      </c>
      <c r="DD26" s="48">
        <f>data2!AC79</f>
        <v>0</v>
      </c>
      <c r="DE26" s="48">
        <f>data2!AD79</f>
        <v>0</v>
      </c>
      <c r="DF26" s="48">
        <f>data2!AE79</f>
        <v>0</v>
      </c>
      <c r="DG26" s="48">
        <f>data2!AF79</f>
        <v>0</v>
      </c>
      <c r="DH26" s="49">
        <f>data2!AG79</f>
        <v>0</v>
      </c>
    </row>
    <row r="27" spans="1:112" s="63" customFormat="1">
      <c r="A27" s="14">
        <f t="shared" si="16"/>
        <v>25</v>
      </c>
      <c r="B27" s="63">
        <f ca="1">data4!S26</f>
        <v>1.3827448268123942E-2</v>
      </c>
      <c r="C27" s="63">
        <f>data5!L26</f>
        <v>3801.6</v>
      </c>
      <c r="D27" s="63">
        <f t="shared" si="3"/>
        <v>-8.0688356753632645E-2</v>
      </c>
      <c r="E27" s="63">
        <f t="shared" si="4"/>
        <v>3.4243725497147132E-2</v>
      </c>
      <c r="F27" s="63">
        <f t="shared" si="5"/>
        <v>0.14917580774792691</v>
      </c>
      <c r="G27" s="63">
        <f t="shared" si="6"/>
        <v>7.6621388167186513E-2</v>
      </c>
      <c r="H27" s="63">
        <f t="shared" si="7"/>
        <v>-3.6381600847864619E-2</v>
      </c>
      <c r="I27" s="63">
        <f t="shared" si="8"/>
        <v>1.493899575595198E-2</v>
      </c>
      <c r="J27" s="63">
        <f t="shared" si="9"/>
        <v>6.6259592359768582E-2</v>
      </c>
      <c r="K27" s="63">
        <f t="shared" si="10"/>
        <v>3.4213731069211065E-2</v>
      </c>
      <c r="L27" s="63">
        <f t="shared" si="11"/>
        <v>-2.5210884500231151E-2</v>
      </c>
      <c r="M27" s="63">
        <f t="shared" si="12"/>
        <v>1.0244591482754412E-2</v>
      </c>
      <c r="N27" s="63">
        <f t="shared" si="13"/>
        <v>4.5700067465739971E-2</v>
      </c>
      <c r="O27" s="63">
        <f t="shared" si="14"/>
        <v>2.3636983988657042E-2</v>
      </c>
      <c r="P27" s="63" t="b">
        <f t="shared" si="15"/>
        <v>1</v>
      </c>
      <c r="Q27" s="50">
        <f>data0!B80</f>
        <v>0.19134813547134399</v>
      </c>
      <c r="R27" s="51">
        <f>data0!C80</f>
        <v>0.21149004995822906</v>
      </c>
      <c r="S27" s="51">
        <f>data0!D80</f>
        <v>0.221560999751091</v>
      </c>
      <c r="T27" s="51">
        <f>data0!E80</f>
        <v>0.18433442711830139</v>
      </c>
      <c r="U27" s="51">
        <f>data0!F80</f>
        <v>0.18433442711830139</v>
      </c>
      <c r="V27" s="51"/>
      <c r="W27" s="51">
        <f>data0!H80</f>
        <v>0</v>
      </c>
      <c r="X27" s="51">
        <f>data0!I80</f>
        <v>0</v>
      </c>
      <c r="Y27" s="51">
        <f>data0!J80</f>
        <v>0</v>
      </c>
      <c r="Z27" s="51">
        <f>data0!K80</f>
        <v>0</v>
      </c>
      <c r="AA27" s="51">
        <f>data0!L80</f>
        <v>0</v>
      </c>
      <c r="AB27" s="51">
        <f>data0!M80</f>
        <v>0</v>
      </c>
      <c r="AC27" s="51">
        <f>data0!N80</f>
        <v>0</v>
      </c>
      <c r="AD27" s="51">
        <f>data0!O80</f>
        <v>0</v>
      </c>
      <c r="AE27" s="51">
        <f>data0!P80</f>
        <v>0</v>
      </c>
      <c r="AF27" s="51">
        <f>data0!Q80</f>
        <v>0</v>
      </c>
      <c r="AG27" s="51">
        <f>data0!R80</f>
        <v>0</v>
      </c>
      <c r="AH27" s="51">
        <f>data0!S80</f>
        <v>0</v>
      </c>
      <c r="AI27" s="51"/>
      <c r="AJ27" s="51">
        <f>data0!U80</f>
        <v>0</v>
      </c>
      <c r="AK27" s="51">
        <f>data0!V80</f>
        <v>0</v>
      </c>
      <c r="AL27" s="51"/>
      <c r="AM27" s="51">
        <f>data0!X80</f>
        <v>0</v>
      </c>
      <c r="AN27" s="51">
        <f>data0!Y80</f>
        <v>0</v>
      </c>
      <c r="AO27" s="51">
        <f>data0!Z80</f>
        <v>0</v>
      </c>
      <c r="AP27" s="51">
        <f>data0!AA80</f>
        <v>0</v>
      </c>
      <c r="AQ27" s="51">
        <f>data0!AB80</f>
        <v>0</v>
      </c>
      <c r="AR27" s="51">
        <f>data0!AC80</f>
        <v>0</v>
      </c>
      <c r="AS27" s="51">
        <f>data0!AD80</f>
        <v>0</v>
      </c>
      <c r="AT27" s="51">
        <f>data0!AE80</f>
        <v>0</v>
      </c>
      <c r="AU27" s="51">
        <f>data0!AF80</f>
        <v>0</v>
      </c>
      <c r="AV27" s="52">
        <f>data0!AG80</f>
        <v>0</v>
      </c>
      <c r="AW27" s="50">
        <f>data1!B80</f>
        <v>9.5314390957355499E-2</v>
      </c>
      <c r="AX27" s="51">
        <f>data1!C80</f>
        <v>9.2976488173007965E-2</v>
      </c>
      <c r="AY27" s="51">
        <f>data1!D80</f>
        <v>0.11275872588157654</v>
      </c>
      <c r="AZ27" s="51">
        <f>data1!E80</f>
        <v>7.1935385465621948E-2</v>
      </c>
      <c r="BA27" s="51">
        <f>data1!F80</f>
        <v>6.0245886445045471E-2</v>
      </c>
      <c r="BB27" s="51"/>
      <c r="BC27" s="51">
        <f>data1!H80</f>
        <v>0</v>
      </c>
      <c r="BD27" s="51">
        <f>data1!I80</f>
        <v>0</v>
      </c>
      <c r="BE27" s="51">
        <f>data1!J80</f>
        <v>0</v>
      </c>
      <c r="BF27" s="51">
        <f>data1!K80</f>
        <v>0</v>
      </c>
      <c r="BG27" s="51">
        <f>data1!L80</f>
        <v>0</v>
      </c>
      <c r="BH27" s="51">
        <f>data1!M80</f>
        <v>0</v>
      </c>
      <c r="BI27" s="51">
        <f>data1!N80</f>
        <v>0</v>
      </c>
      <c r="BJ27" s="51">
        <f>data1!O80</f>
        <v>0</v>
      </c>
      <c r="BK27" s="51">
        <f>data1!P80</f>
        <v>0</v>
      </c>
      <c r="BL27" s="51">
        <f>data1!Q80</f>
        <v>0</v>
      </c>
      <c r="BM27" s="51">
        <f>data1!R80</f>
        <v>0</v>
      </c>
      <c r="BN27" s="51">
        <f>data1!S80</f>
        <v>0</v>
      </c>
      <c r="BO27" s="51"/>
      <c r="BP27" s="51">
        <f>data1!U80</f>
        <v>0</v>
      </c>
      <c r="BQ27" s="51">
        <f>data1!V80</f>
        <v>0</v>
      </c>
      <c r="BR27" s="51"/>
      <c r="BS27" s="51">
        <f>data1!X80</f>
        <v>0</v>
      </c>
      <c r="BT27" s="51">
        <f>data1!Y80</f>
        <v>0</v>
      </c>
      <c r="BU27" s="51">
        <f>data1!Z80</f>
        <v>0</v>
      </c>
      <c r="BV27" s="51">
        <f>data1!AA80</f>
        <v>0</v>
      </c>
      <c r="BW27" s="51">
        <f>data1!AB80</f>
        <v>0</v>
      </c>
      <c r="BX27" s="51">
        <f>data1!AC80</f>
        <v>0</v>
      </c>
      <c r="BY27" s="51">
        <f>data1!AD80</f>
        <v>0</v>
      </c>
      <c r="BZ27" s="51">
        <f>data1!AE80</f>
        <v>0</v>
      </c>
      <c r="CA27" s="51">
        <f>data1!AF80</f>
        <v>0</v>
      </c>
      <c r="CB27" s="51">
        <f>data1!AG80</f>
        <v>0</v>
      </c>
      <c r="CC27" s="50">
        <f>data2!B80</f>
        <v>5.0354771316051483E-2</v>
      </c>
      <c r="CD27" s="51">
        <f>data2!C80</f>
        <v>7.0496678352355957E-2</v>
      </c>
      <c r="CE27" s="51">
        <f>data2!D80</f>
        <v>8.0567635595798492E-2</v>
      </c>
      <c r="CF27" s="51">
        <f>data2!E80</f>
        <v>5.5390249937772751E-2</v>
      </c>
      <c r="CG27" s="51">
        <f>data2!F80</f>
        <v>4.0283817797899246E-2</v>
      </c>
      <c r="CH27" s="51"/>
      <c r="CI27" s="51">
        <f>data2!H80</f>
        <v>0</v>
      </c>
      <c r="CJ27" s="51">
        <f>data2!I80</f>
        <v>0</v>
      </c>
      <c r="CK27" s="51">
        <f>data2!J80</f>
        <v>0</v>
      </c>
      <c r="CL27" s="51">
        <f>data2!K80</f>
        <v>0</v>
      </c>
      <c r="CM27" s="51">
        <f>data2!L80</f>
        <v>0</v>
      </c>
      <c r="CN27" s="51">
        <f>data2!M80</f>
        <v>0</v>
      </c>
      <c r="CO27" s="51">
        <f>data2!N80</f>
        <v>0</v>
      </c>
      <c r="CP27" s="51">
        <f>data2!O80</f>
        <v>0</v>
      </c>
      <c r="CQ27" s="51">
        <f>data2!P80</f>
        <v>0</v>
      </c>
      <c r="CR27" s="51">
        <f>data2!Q80</f>
        <v>0</v>
      </c>
      <c r="CS27" s="51">
        <f>data2!R80</f>
        <v>0</v>
      </c>
      <c r="CT27" s="51">
        <f>data2!S80</f>
        <v>0</v>
      </c>
      <c r="CU27" s="51"/>
      <c r="CV27" s="51">
        <f>data2!U80</f>
        <v>0</v>
      </c>
      <c r="CW27" s="51">
        <f>data2!V80</f>
        <v>0</v>
      </c>
      <c r="CX27" s="51"/>
      <c r="CY27" s="51">
        <f>data2!X80</f>
        <v>0</v>
      </c>
      <c r="CZ27" s="51">
        <f>data2!Y80</f>
        <v>0</v>
      </c>
      <c r="DA27" s="51">
        <f>data2!Z80</f>
        <v>0</v>
      </c>
      <c r="DB27" s="51">
        <f>data2!AA80</f>
        <v>0</v>
      </c>
      <c r="DC27" s="51">
        <f>data2!AB80</f>
        <v>0</v>
      </c>
      <c r="DD27" s="51">
        <f>data2!AC80</f>
        <v>0</v>
      </c>
      <c r="DE27" s="51">
        <f>data2!AD80</f>
        <v>0</v>
      </c>
      <c r="DF27" s="51">
        <f>data2!AE80</f>
        <v>0</v>
      </c>
      <c r="DG27" s="51">
        <f>data2!AF80</f>
        <v>0</v>
      </c>
      <c r="DH27" s="52">
        <f>data2!AG80</f>
        <v>0</v>
      </c>
    </row>
    <row r="28" spans="1:112">
      <c r="P28" s="74"/>
    </row>
    <row r="29" spans="1:112">
      <c r="P29" s="74"/>
    </row>
    <row r="30" spans="1:112">
      <c r="A30" s="100" t="s">
        <v>62</v>
      </c>
      <c r="B30" s="100"/>
      <c r="C30" s="100"/>
      <c r="P30" s="74"/>
    </row>
    <row r="31" spans="1:112">
      <c r="A31" s="100"/>
      <c r="B31" s="100"/>
      <c r="C31" s="100"/>
    </row>
    <row r="32" spans="1:112">
      <c r="B32" s="101" t="str">
        <f>B1</f>
        <v>Calibration</v>
      </c>
      <c r="C32" s="101"/>
      <c r="Q32" s="102">
        <v>0</v>
      </c>
      <c r="R32" s="103"/>
      <c r="S32" s="103"/>
      <c r="T32" s="102">
        <f>Q32+1</f>
        <v>1</v>
      </c>
      <c r="U32" s="103"/>
      <c r="V32" s="104"/>
      <c r="W32" s="102">
        <f>T32+1</f>
        <v>2</v>
      </c>
      <c r="X32" s="103"/>
      <c r="Y32" s="104"/>
      <c r="Z32" s="102">
        <f>W32+1</f>
        <v>3</v>
      </c>
      <c r="AA32" s="103"/>
      <c r="AB32" s="104"/>
      <c r="AC32" s="102">
        <f>Z32+1</f>
        <v>4</v>
      </c>
      <c r="AD32" s="103"/>
      <c r="AE32" s="104"/>
      <c r="AF32" s="102">
        <f>AC32+1</f>
        <v>5</v>
      </c>
      <c r="AG32" s="103"/>
      <c r="AH32" s="104"/>
      <c r="AI32" s="102">
        <f>AF32+1</f>
        <v>6</v>
      </c>
      <c r="AJ32" s="103"/>
      <c r="AK32" s="104"/>
      <c r="AL32" s="102">
        <f>AI32+1</f>
        <v>7</v>
      </c>
      <c r="AM32" s="103"/>
      <c r="AN32" s="104"/>
      <c r="AO32" s="102">
        <f>AL32+1</f>
        <v>8</v>
      </c>
      <c r="AP32" s="103"/>
      <c r="AQ32" s="104"/>
      <c r="AR32" s="102">
        <f>AO32+1</f>
        <v>9</v>
      </c>
      <c r="AS32" s="103"/>
      <c r="AT32" s="104"/>
      <c r="AU32" s="102">
        <f>AR32+1</f>
        <v>10</v>
      </c>
      <c r="AV32" s="103"/>
      <c r="AW32" s="104"/>
      <c r="AX32" s="102">
        <f>AU32+1</f>
        <v>11</v>
      </c>
      <c r="AY32" s="103"/>
      <c r="AZ32" s="104"/>
      <c r="BA32" s="102">
        <f>AX32+1</f>
        <v>12</v>
      </c>
      <c r="BB32" s="103"/>
      <c r="BC32" s="104"/>
      <c r="BD32" s="102">
        <f>BA32+1</f>
        <v>13</v>
      </c>
      <c r="BE32" s="103"/>
      <c r="BF32" s="104"/>
      <c r="BG32" s="102">
        <f>BD32+1</f>
        <v>14</v>
      </c>
      <c r="BH32" s="103"/>
      <c r="BI32" s="104"/>
      <c r="BJ32" s="102">
        <f>BG32+1</f>
        <v>15</v>
      </c>
      <c r="BK32" s="103"/>
      <c r="BL32" s="104"/>
      <c r="BM32" s="102">
        <f>BJ32+1</f>
        <v>16</v>
      </c>
      <c r="BN32" s="103"/>
      <c r="BO32" s="104"/>
      <c r="BP32" s="102">
        <f>BM32+1</f>
        <v>17</v>
      </c>
      <c r="BQ32" s="103"/>
      <c r="BR32" s="104"/>
      <c r="BS32" s="102">
        <f>BP32+1</f>
        <v>18</v>
      </c>
      <c r="BT32" s="103"/>
      <c r="BU32" s="104"/>
      <c r="BV32" s="102">
        <f>BS32+1</f>
        <v>19</v>
      </c>
      <c r="BW32" s="103"/>
      <c r="BX32" s="104"/>
      <c r="BY32" s="102">
        <f>BV32+1</f>
        <v>20</v>
      </c>
      <c r="BZ32" s="103"/>
      <c r="CA32" s="104"/>
      <c r="CB32" s="102">
        <f>BY32+1</f>
        <v>21</v>
      </c>
      <c r="CC32" s="103"/>
      <c r="CD32" s="104"/>
      <c r="CE32" s="102">
        <f>CB32+1</f>
        <v>22</v>
      </c>
      <c r="CF32" s="103"/>
      <c r="CG32" s="104"/>
      <c r="CH32" s="102">
        <f>CE32+1</f>
        <v>23</v>
      </c>
      <c r="CI32" s="103"/>
      <c r="CJ32" s="104"/>
      <c r="CK32" s="102">
        <f>CH32+1</f>
        <v>24</v>
      </c>
      <c r="CL32" s="103"/>
      <c r="CM32" s="104"/>
      <c r="CN32" s="102">
        <f>CK32+1</f>
        <v>25</v>
      </c>
      <c r="CO32" s="103"/>
      <c r="CP32" s="104"/>
      <c r="CQ32" s="102">
        <f>CN32+1</f>
        <v>26</v>
      </c>
      <c r="CR32" s="103"/>
      <c r="CS32" s="104"/>
      <c r="CT32" s="102">
        <f>CQ32+1</f>
        <v>27</v>
      </c>
      <c r="CU32" s="103"/>
      <c r="CV32" s="104"/>
      <c r="CW32" s="102">
        <f>CT32+1</f>
        <v>28</v>
      </c>
      <c r="CX32" s="103"/>
      <c r="CY32" s="104"/>
      <c r="CZ32" s="102">
        <f>CW32+1</f>
        <v>29</v>
      </c>
      <c r="DA32" s="103"/>
      <c r="DB32" s="104"/>
      <c r="DC32" s="102">
        <f>CZ32+1</f>
        <v>30</v>
      </c>
      <c r="DD32" s="103"/>
      <c r="DE32" s="104"/>
      <c r="DF32" s="102">
        <f>DC32+1</f>
        <v>31</v>
      </c>
      <c r="DG32" s="103"/>
      <c r="DH32" s="104"/>
    </row>
    <row r="33" spans="1:112">
      <c r="B33" s="74" t="str">
        <f>B2</f>
        <v>Lux</v>
      </c>
      <c r="C33" s="74" t="str">
        <f>C2</f>
        <v>CCT</v>
      </c>
      <c r="P33" s="74" t="str">
        <f>P2</f>
        <v>Valid</v>
      </c>
      <c r="Q33" s="56" t="s">
        <v>44</v>
      </c>
      <c r="R33" s="57" t="s">
        <v>45</v>
      </c>
      <c r="S33" s="59" t="s">
        <v>46</v>
      </c>
      <c r="T33" s="56" t="str">
        <f>Q33</f>
        <v>R</v>
      </c>
      <c r="U33" s="57" t="str">
        <f t="shared" ref="U33:V33" si="17">R33</f>
        <v>G</v>
      </c>
      <c r="V33" s="58" t="str">
        <f t="shared" si="17"/>
        <v>B</v>
      </c>
      <c r="W33" s="56" t="str">
        <f>T33</f>
        <v>R</v>
      </c>
      <c r="X33" s="57" t="str">
        <f t="shared" ref="X33:Y33" si="18">U33</f>
        <v>G</v>
      </c>
      <c r="Y33" s="58" t="str">
        <f t="shared" si="18"/>
        <v>B</v>
      </c>
      <c r="Z33" s="56" t="str">
        <f>W33</f>
        <v>R</v>
      </c>
      <c r="AA33" s="57" t="str">
        <f t="shared" ref="AA33:AB33" si="19">X33</f>
        <v>G</v>
      </c>
      <c r="AB33" s="58" t="str">
        <f t="shared" si="19"/>
        <v>B</v>
      </c>
      <c r="AC33" s="56" t="str">
        <f>Z33</f>
        <v>R</v>
      </c>
      <c r="AD33" s="57" t="str">
        <f t="shared" ref="AD33:AE33" si="20">AA33</f>
        <v>G</v>
      </c>
      <c r="AE33" s="58" t="str">
        <f t="shared" si="20"/>
        <v>B</v>
      </c>
      <c r="AF33" s="56" t="str">
        <f>AC33</f>
        <v>R</v>
      </c>
      <c r="AG33" s="57" t="str">
        <f t="shared" ref="AG33:AH33" si="21">AD33</f>
        <v>G</v>
      </c>
      <c r="AH33" s="58" t="str">
        <f t="shared" si="21"/>
        <v>B</v>
      </c>
      <c r="AI33" s="56" t="str">
        <f>AF33</f>
        <v>R</v>
      </c>
      <c r="AJ33" s="57" t="str">
        <f t="shared" ref="AJ33:AK33" si="22">AG33</f>
        <v>G</v>
      </c>
      <c r="AK33" s="58" t="str">
        <f t="shared" si="22"/>
        <v>B</v>
      </c>
      <c r="AL33" s="56" t="str">
        <f>AI33</f>
        <v>R</v>
      </c>
      <c r="AM33" s="57" t="str">
        <f t="shared" ref="AM33:AN33" si="23">AJ33</f>
        <v>G</v>
      </c>
      <c r="AN33" s="58" t="str">
        <f t="shared" si="23"/>
        <v>B</v>
      </c>
      <c r="AO33" s="56" t="str">
        <f>AL33</f>
        <v>R</v>
      </c>
      <c r="AP33" s="57" t="str">
        <f t="shared" ref="AP33:AQ33" si="24">AM33</f>
        <v>G</v>
      </c>
      <c r="AQ33" s="58" t="str">
        <f t="shared" si="24"/>
        <v>B</v>
      </c>
      <c r="AR33" s="56" t="str">
        <f>AO33</f>
        <v>R</v>
      </c>
      <c r="AS33" s="57" t="str">
        <f t="shared" ref="AS33:AT33" si="25">AP33</f>
        <v>G</v>
      </c>
      <c r="AT33" s="58" t="str">
        <f t="shared" si="25"/>
        <v>B</v>
      </c>
      <c r="AU33" s="56" t="str">
        <f>AR33</f>
        <v>R</v>
      </c>
      <c r="AV33" s="57" t="str">
        <f t="shared" ref="AV33:AW33" si="26">AS33</f>
        <v>G</v>
      </c>
      <c r="AW33" s="58" t="str">
        <f t="shared" si="26"/>
        <v>B</v>
      </c>
      <c r="AX33" s="56" t="str">
        <f>AU33</f>
        <v>R</v>
      </c>
      <c r="AY33" s="57" t="str">
        <f t="shared" ref="AY33:AZ33" si="27">AV33</f>
        <v>G</v>
      </c>
      <c r="AZ33" s="58" t="str">
        <f t="shared" si="27"/>
        <v>B</v>
      </c>
      <c r="BA33" s="56" t="str">
        <f>AX33</f>
        <v>R</v>
      </c>
      <c r="BB33" s="57" t="str">
        <f t="shared" ref="BB33:BC33" si="28">AY33</f>
        <v>G</v>
      </c>
      <c r="BC33" s="58" t="str">
        <f t="shared" si="28"/>
        <v>B</v>
      </c>
      <c r="BD33" s="56" t="str">
        <f>BA33</f>
        <v>R</v>
      </c>
      <c r="BE33" s="57" t="str">
        <f t="shared" ref="BE33:BF33" si="29">BB33</f>
        <v>G</v>
      </c>
      <c r="BF33" s="58" t="str">
        <f t="shared" si="29"/>
        <v>B</v>
      </c>
      <c r="BG33" s="56" t="str">
        <f>BD33</f>
        <v>R</v>
      </c>
      <c r="BH33" s="57" t="str">
        <f t="shared" ref="BH33:BI33" si="30">BE33</f>
        <v>G</v>
      </c>
      <c r="BI33" s="58" t="str">
        <f t="shared" si="30"/>
        <v>B</v>
      </c>
      <c r="BJ33" s="56" t="str">
        <f>BG33</f>
        <v>R</v>
      </c>
      <c r="BK33" s="57" t="str">
        <f t="shared" ref="BK33:BL33" si="31">BH33</f>
        <v>G</v>
      </c>
      <c r="BL33" s="58" t="str">
        <f t="shared" si="31"/>
        <v>B</v>
      </c>
      <c r="BM33" s="56" t="str">
        <f>BJ33</f>
        <v>R</v>
      </c>
      <c r="BN33" s="57" t="str">
        <f t="shared" ref="BN33:BO33" si="32">BK33</f>
        <v>G</v>
      </c>
      <c r="BO33" s="58" t="str">
        <f t="shared" si="32"/>
        <v>B</v>
      </c>
      <c r="BP33" s="56" t="str">
        <f>BM33</f>
        <v>R</v>
      </c>
      <c r="BQ33" s="57" t="str">
        <f t="shared" ref="BQ33:BR33" si="33">BN33</f>
        <v>G</v>
      </c>
      <c r="BR33" s="58" t="str">
        <f t="shared" si="33"/>
        <v>B</v>
      </c>
      <c r="BS33" s="56" t="str">
        <f>BP33</f>
        <v>R</v>
      </c>
      <c r="BT33" s="57" t="str">
        <f t="shared" ref="BT33:BU33" si="34">BQ33</f>
        <v>G</v>
      </c>
      <c r="BU33" s="58" t="str">
        <f t="shared" si="34"/>
        <v>B</v>
      </c>
      <c r="BV33" s="56" t="str">
        <f>BS33</f>
        <v>R</v>
      </c>
      <c r="BW33" s="57" t="str">
        <f t="shared" ref="BW33:BX33" si="35">BT33</f>
        <v>G</v>
      </c>
      <c r="BX33" s="58" t="str">
        <f t="shared" si="35"/>
        <v>B</v>
      </c>
      <c r="BY33" s="56" t="str">
        <f>BV33</f>
        <v>R</v>
      </c>
      <c r="BZ33" s="57" t="str">
        <f t="shared" ref="BZ33:CA33" si="36">BW33</f>
        <v>G</v>
      </c>
      <c r="CA33" s="58" t="str">
        <f t="shared" si="36"/>
        <v>B</v>
      </c>
      <c r="CB33" s="56" t="str">
        <f>BY33</f>
        <v>R</v>
      </c>
      <c r="CC33" s="57" t="str">
        <f t="shared" ref="CC33:CD33" si="37">BZ33</f>
        <v>G</v>
      </c>
      <c r="CD33" s="58" t="str">
        <f t="shared" si="37"/>
        <v>B</v>
      </c>
      <c r="CE33" s="56" t="str">
        <f>CB33</f>
        <v>R</v>
      </c>
      <c r="CF33" s="57" t="str">
        <f t="shared" ref="CF33:CG33" si="38">CC33</f>
        <v>G</v>
      </c>
      <c r="CG33" s="58" t="str">
        <f t="shared" si="38"/>
        <v>B</v>
      </c>
      <c r="CH33" s="56" t="str">
        <f>CE33</f>
        <v>R</v>
      </c>
      <c r="CI33" s="57" t="str">
        <f t="shared" ref="CI33:CJ33" si="39">CF33</f>
        <v>G</v>
      </c>
      <c r="CJ33" s="58" t="str">
        <f t="shared" si="39"/>
        <v>B</v>
      </c>
      <c r="CK33" s="56" t="str">
        <f>CH33</f>
        <v>R</v>
      </c>
      <c r="CL33" s="57" t="str">
        <f t="shared" ref="CL33:CM33" si="40">CI33</f>
        <v>G</v>
      </c>
      <c r="CM33" s="58" t="str">
        <f t="shared" si="40"/>
        <v>B</v>
      </c>
      <c r="CN33" s="56" t="str">
        <f>CK33</f>
        <v>R</v>
      </c>
      <c r="CO33" s="57" t="str">
        <f t="shared" ref="CO33:CP33" si="41">CL33</f>
        <v>G</v>
      </c>
      <c r="CP33" s="58" t="str">
        <f t="shared" si="41"/>
        <v>B</v>
      </c>
      <c r="CQ33" s="56" t="str">
        <f>CN33</f>
        <v>R</v>
      </c>
      <c r="CR33" s="57" t="str">
        <f t="shared" ref="CR33:CS33" si="42">CO33</f>
        <v>G</v>
      </c>
      <c r="CS33" s="58" t="str">
        <f t="shared" si="42"/>
        <v>B</v>
      </c>
      <c r="CT33" s="56" t="str">
        <f>CQ33</f>
        <v>R</v>
      </c>
      <c r="CU33" s="57" t="str">
        <f t="shared" ref="CU33:CV33" si="43">CR33</f>
        <v>G</v>
      </c>
      <c r="CV33" s="58" t="str">
        <f t="shared" si="43"/>
        <v>B</v>
      </c>
      <c r="CW33" s="56" t="str">
        <f>CT33</f>
        <v>R</v>
      </c>
      <c r="CX33" s="57" t="str">
        <f t="shared" ref="CX33:CY33" si="44">CU33</f>
        <v>G</v>
      </c>
      <c r="CY33" s="58" t="str">
        <f t="shared" si="44"/>
        <v>B</v>
      </c>
      <c r="CZ33" s="56" t="str">
        <f>CW33</f>
        <v>R</v>
      </c>
      <c r="DA33" s="57" t="str">
        <f t="shared" ref="DA33:DB33" si="45">CX33</f>
        <v>G</v>
      </c>
      <c r="DB33" s="58" t="str">
        <f t="shared" si="45"/>
        <v>B</v>
      </c>
      <c r="DC33" s="56" t="str">
        <f>CZ33</f>
        <v>R</v>
      </c>
      <c r="DD33" s="57" t="str">
        <f t="shared" ref="DD33:DE33" si="46">DA33</f>
        <v>G</v>
      </c>
      <c r="DE33" s="58" t="str">
        <f t="shared" si="46"/>
        <v>B</v>
      </c>
      <c r="DF33" s="56" t="str">
        <f>DC33</f>
        <v>R</v>
      </c>
      <c r="DG33" s="57" t="str">
        <f t="shared" ref="DG33:DH33" si="47">DD33</f>
        <v>G</v>
      </c>
      <c r="DH33" s="58" t="str">
        <f t="shared" si="47"/>
        <v>B</v>
      </c>
    </row>
    <row r="34" spans="1:112">
      <c r="A34" s="14">
        <f t="shared" ref="A34:A58" si="48">A3</f>
        <v>1</v>
      </c>
      <c r="B34" s="74">
        <f t="shared" ref="B34:C49" ca="1" si="49">B3</f>
        <v>23.151758163574332</v>
      </c>
      <c r="C34" s="74">
        <f t="shared" si="49"/>
        <v>3933.1</v>
      </c>
      <c r="P34" s="63" t="b">
        <f>P3</f>
        <v>1</v>
      </c>
      <c r="Q34" s="75">
        <f t="shared" ref="Q34:Q58" ca="1" si="50">INDIRECT("R"&amp;ROW(Q3)&amp;"C"&amp;COLUMN($Q3)+Q$32,FALSE)</f>
        <v>141.31626892089844</v>
      </c>
      <c r="R34" s="75">
        <f t="shared" ref="R34:R58" ca="1" si="51">INDIRECT("R"&amp;ROW(R3)&amp;"C"&amp;COLUMN($R3)+31+Q$32,FALSE)</f>
        <v>94.128646850585938</v>
      </c>
      <c r="S34" s="75">
        <f t="shared" ref="S34:S58" ca="1" si="52">INDIRECT("R"&amp;ROW(S3)&amp;"C"&amp;COLUMN($S3)+62+Q$32,FALSE)</f>
        <v>53.166141510009766</v>
      </c>
      <c r="T34" s="75">
        <f t="shared" ref="T34:T58" ca="1" si="53">INDIRECT("R"&amp;ROW(T3)&amp;"C"&amp;COLUMN($Q3)+T$32,FALSE)</f>
        <v>137.43058776855469</v>
      </c>
      <c r="U34" s="75">
        <f t="shared" ref="U34:U58" ca="1" si="54">INDIRECT("R"&amp;ROW(U3)&amp;"C"&amp;COLUMN($R3)+31+T$32,FALSE)</f>
        <v>93.146759033203125</v>
      </c>
      <c r="V34" s="75">
        <f t="shared" ref="V34:V58" ca="1" si="55">INDIRECT("R"&amp;ROW(V3)&amp;"C"&amp;COLUMN($S3)+62+T$32,FALSE)</f>
        <v>52.350330352783203</v>
      </c>
      <c r="W34" s="75">
        <f t="shared" ref="W34:W58" ca="1" si="56">INDIRECT("R"&amp;ROW(W3)&amp;"C"&amp;COLUMN($Q3)+W$32,FALSE)</f>
        <v>139.90721130371094</v>
      </c>
      <c r="X34" s="75">
        <f t="shared" ref="X34:X58" ca="1" si="57">INDIRECT("R"&amp;ROW(X3)&amp;"C"&amp;COLUMN($R3)+31+W$32,FALSE)</f>
        <v>97.447059631347656</v>
      </c>
      <c r="Y34" s="75">
        <f t="shared" ref="Y34:Y58" ca="1" si="58">INDIRECT("R"&amp;ROW(Y3)&amp;"C"&amp;COLUMN($S3)+62+W$32,FALSE)</f>
        <v>52.975067138671875</v>
      </c>
      <c r="Z34" s="75">
        <f t="shared" ref="Z34:Z58" ca="1" si="59">INDIRECT("R"&amp;ROW(Z3)&amp;"C"&amp;COLUMN($Q3)+Z$32,FALSE)</f>
        <v>132.63229370117187</v>
      </c>
      <c r="AA34" s="75">
        <f t="shared" ref="AA34:AA58" ca="1" si="60">INDIRECT("R"&amp;ROW(AA3)&amp;"C"&amp;COLUMN($R3)+31+Z$32,FALSE)</f>
        <v>87.324241638183594</v>
      </c>
      <c r="AB34" s="75">
        <f t="shared" ref="AB34:AB58" ca="1" si="61">INDIRECT("R"&amp;ROW(AB3)&amp;"C"&amp;COLUMN($S3)+62+Z$32,FALSE)</f>
        <v>50.792858123779297</v>
      </c>
      <c r="AC34" s="75">
        <f t="shared" ref="AC34:AC58" ca="1" si="62">INDIRECT("R"&amp;ROW(AC3)&amp;"C"&amp;COLUMN($Q3)+AC$32,FALSE)</f>
        <v>134.56826782226562</v>
      </c>
      <c r="AD34" s="75">
        <f t="shared" ref="AD34:AD58" ca="1" si="63">INDIRECT("R"&amp;ROW(AD3)&amp;"C"&amp;COLUMN($R3)+31+AC$32,FALSE)</f>
        <v>87.807647705078125</v>
      </c>
      <c r="AE34" s="75">
        <f t="shared" ref="AE34:AE58" ca="1" si="64">INDIRECT("R"&amp;ROW(AE3)&amp;"C"&amp;COLUMN($S3)+62+AC$32,FALSE)</f>
        <v>49.046890258789063</v>
      </c>
      <c r="AF34" s="75"/>
      <c r="AG34" s="75"/>
      <c r="AH34" s="75"/>
      <c r="AI34" s="75">
        <f t="shared" ref="AI34:AI58" ca="1" si="65">INDIRECT("R"&amp;ROW(AI3)&amp;"C"&amp;COLUMN($Q3)+AI$32,FALSE)</f>
        <v>0</v>
      </c>
      <c r="AJ34" s="75">
        <f t="shared" ref="AJ34:AJ58" ca="1" si="66">INDIRECT("R"&amp;ROW(AJ3)&amp;"C"&amp;COLUMN($R3)+31+AI$32,FALSE)</f>
        <v>0</v>
      </c>
      <c r="AK34" s="75">
        <f t="shared" ref="AK34:AK58" ca="1" si="67">INDIRECT("R"&amp;ROW(AK3)&amp;"C"&amp;COLUMN($S3)+62+AI$32,FALSE)</f>
        <v>0</v>
      </c>
      <c r="AL34" s="75">
        <f t="shared" ref="AL34:AL58" ca="1" si="68">INDIRECT("R"&amp;ROW(AL3)&amp;"C"&amp;COLUMN($Q3)+AL$32,FALSE)</f>
        <v>0</v>
      </c>
      <c r="AM34" s="75">
        <f t="shared" ref="AM34:AM58" ca="1" si="69">INDIRECT("R"&amp;ROW(AM3)&amp;"C"&amp;COLUMN($R3)+31+AL$32,FALSE)</f>
        <v>0</v>
      </c>
      <c r="AN34" s="75">
        <f t="shared" ref="AN34:AN58" ca="1" si="70">INDIRECT("R"&amp;ROW(AN3)&amp;"C"&amp;COLUMN($S3)+62+AL$32,FALSE)</f>
        <v>0</v>
      </c>
      <c r="AO34" s="75">
        <f t="shared" ref="AO34:AO58" ca="1" si="71">INDIRECT("R"&amp;ROW(AO3)&amp;"C"&amp;COLUMN($Q3)+AO$32,FALSE)</f>
        <v>0</v>
      </c>
      <c r="AP34" s="75">
        <f t="shared" ref="AP34:AP58" ca="1" si="72">INDIRECT("R"&amp;ROW(AP3)&amp;"C"&amp;COLUMN($R3)+31+AO$32,FALSE)</f>
        <v>0</v>
      </c>
      <c r="AQ34" s="75">
        <f t="shared" ref="AQ34:AQ58" ca="1" si="73">INDIRECT("R"&amp;ROW(AQ3)&amp;"C"&amp;COLUMN($S3)+62+AO$32,FALSE)</f>
        <v>0</v>
      </c>
      <c r="AR34" s="75">
        <f t="shared" ref="AR34:AR58" ca="1" si="74">INDIRECT("R"&amp;ROW(AR3)&amp;"C"&amp;COLUMN($Q3)+AR$32,FALSE)</f>
        <v>0</v>
      </c>
      <c r="AS34" s="75">
        <f t="shared" ref="AS34:AS58" ca="1" si="75">INDIRECT("R"&amp;ROW(AS3)&amp;"C"&amp;COLUMN($R3)+31+AR$32,FALSE)</f>
        <v>0</v>
      </c>
      <c r="AT34" s="75">
        <f t="shared" ref="AT34:AT58" ca="1" si="76">INDIRECT("R"&amp;ROW(AT3)&amp;"C"&amp;COLUMN($S3)+62+AR$32,FALSE)</f>
        <v>0</v>
      </c>
      <c r="AU34" s="75">
        <f t="shared" ref="AU34:AU58" ca="1" si="77">INDIRECT("R"&amp;ROW(AU3)&amp;"C"&amp;COLUMN($Q3)+AU$32,FALSE)</f>
        <v>0</v>
      </c>
      <c r="AV34" s="75">
        <f t="shared" ref="AV34:AV58" ca="1" si="78">INDIRECT("R"&amp;ROW(AV3)&amp;"C"&amp;COLUMN($R3)+31+AU$32,FALSE)</f>
        <v>0</v>
      </c>
      <c r="AW34" s="75">
        <f t="shared" ref="AW34:AW58" ca="1" si="79">INDIRECT("R"&amp;ROW(AW3)&amp;"C"&amp;COLUMN($S3)+62+AU$32,FALSE)</f>
        <v>0</v>
      </c>
      <c r="AX34" s="75">
        <f t="shared" ref="AX34:AX58" ca="1" si="80">INDIRECT("R"&amp;ROW(AX3)&amp;"C"&amp;COLUMN($Q3)+AX$32,FALSE)</f>
        <v>0</v>
      </c>
      <c r="AY34" s="75">
        <f t="shared" ref="AY34:AY58" ca="1" si="81">INDIRECT("R"&amp;ROW(AY3)&amp;"C"&amp;COLUMN($R3)+31+AX$32,FALSE)</f>
        <v>0</v>
      </c>
      <c r="AZ34" s="75">
        <f t="shared" ref="AZ34:AZ58" ca="1" si="82">INDIRECT("R"&amp;ROW(AZ3)&amp;"C"&amp;COLUMN($S3)+62+AX$32,FALSE)</f>
        <v>0</v>
      </c>
      <c r="BA34" s="75">
        <f t="shared" ref="BA34:BA58" ca="1" si="83">INDIRECT("R"&amp;ROW(BA3)&amp;"C"&amp;COLUMN($Q3)+BA$32,FALSE)</f>
        <v>0</v>
      </c>
      <c r="BB34" s="75">
        <f t="shared" ref="BB34:BB58" ca="1" si="84">INDIRECT("R"&amp;ROW(BB3)&amp;"C"&amp;COLUMN($R3)+31+BA$32,FALSE)</f>
        <v>0</v>
      </c>
      <c r="BC34" s="75">
        <f t="shared" ref="BC34:BC58" ca="1" si="85">INDIRECT("R"&amp;ROW(BC3)&amp;"C"&amp;COLUMN($S3)+62+BA$32,FALSE)</f>
        <v>0</v>
      </c>
      <c r="BD34" s="75">
        <f t="shared" ref="BD34:BD58" ca="1" si="86">INDIRECT("R"&amp;ROW(BD3)&amp;"C"&amp;COLUMN($Q3)+BD$32,FALSE)</f>
        <v>0</v>
      </c>
      <c r="BE34" s="75">
        <f t="shared" ref="BE34:BE58" ca="1" si="87">INDIRECT("R"&amp;ROW(BE3)&amp;"C"&amp;COLUMN($R3)+31+BD$32,FALSE)</f>
        <v>0</v>
      </c>
      <c r="BF34" s="75">
        <f t="shared" ref="BF34:BF58" ca="1" si="88">INDIRECT("R"&amp;ROW(BF3)&amp;"C"&amp;COLUMN($S3)+62+BD$32,FALSE)</f>
        <v>0</v>
      </c>
      <c r="BG34" s="75">
        <f t="shared" ref="BG34:BG58" ca="1" si="89">INDIRECT("R"&amp;ROW(BG3)&amp;"C"&amp;COLUMN($Q3)+BG$32,FALSE)</f>
        <v>0</v>
      </c>
      <c r="BH34" s="75">
        <f t="shared" ref="BH34:BH58" ca="1" si="90">INDIRECT("R"&amp;ROW(BH3)&amp;"C"&amp;COLUMN($R3)+31+BG$32,FALSE)</f>
        <v>0</v>
      </c>
      <c r="BI34" s="75">
        <f t="shared" ref="BI34:BI58" ca="1" si="91">INDIRECT("R"&amp;ROW(BI3)&amp;"C"&amp;COLUMN($S3)+62+BG$32,FALSE)</f>
        <v>0</v>
      </c>
      <c r="BJ34" s="75">
        <f t="shared" ref="BJ34:BJ58" ca="1" si="92">INDIRECT("R"&amp;ROW(BJ3)&amp;"C"&amp;COLUMN($Q3)+BJ$32,FALSE)</f>
        <v>0</v>
      </c>
      <c r="BK34" s="75">
        <f t="shared" ref="BK34:BK58" ca="1" si="93">INDIRECT("R"&amp;ROW(BK3)&amp;"C"&amp;COLUMN($R3)+31+BJ$32,FALSE)</f>
        <v>0</v>
      </c>
      <c r="BL34" s="75">
        <f t="shared" ref="BL34:BL58" ca="1" si="94">INDIRECT("R"&amp;ROW(BL3)&amp;"C"&amp;COLUMN($S3)+62+BJ$32,FALSE)</f>
        <v>0</v>
      </c>
      <c r="BM34" s="75">
        <f t="shared" ref="BM34:BM58" ca="1" si="95">INDIRECT("R"&amp;ROW(BM3)&amp;"C"&amp;COLUMN($Q3)+BM$32,FALSE)</f>
        <v>0</v>
      </c>
      <c r="BN34" s="75">
        <f t="shared" ref="BN34:BN58" ca="1" si="96">INDIRECT("R"&amp;ROW(BN3)&amp;"C"&amp;COLUMN($R3)+31+BM$32,FALSE)</f>
        <v>0</v>
      </c>
      <c r="BO34" s="75">
        <f t="shared" ref="BO34:BO58" ca="1" si="97">INDIRECT("R"&amp;ROW(BO3)&amp;"C"&amp;COLUMN($S3)+62+BM$32,FALSE)</f>
        <v>0</v>
      </c>
      <c r="BP34" s="75">
        <f t="shared" ref="BP34:BP58" ca="1" si="98">INDIRECT("R"&amp;ROW(BP3)&amp;"C"&amp;COLUMN($Q3)+BP$32,FALSE)</f>
        <v>0</v>
      </c>
      <c r="BQ34" s="75">
        <f t="shared" ref="BQ34:BQ58" ca="1" si="99">INDIRECT("R"&amp;ROW(BQ3)&amp;"C"&amp;COLUMN($R3)+31+BP$32,FALSE)</f>
        <v>0</v>
      </c>
      <c r="BR34" s="75">
        <f t="shared" ref="BR34:BR58" ca="1" si="100">INDIRECT("R"&amp;ROW(BR3)&amp;"C"&amp;COLUMN($S3)+62+BP$32,FALSE)</f>
        <v>0</v>
      </c>
      <c r="BS34" s="75"/>
      <c r="BT34" s="75"/>
      <c r="BU34" s="75"/>
      <c r="BV34" s="75">
        <f t="shared" ref="BV34:BV58" ca="1" si="101">INDIRECT("R"&amp;ROW(BV3)&amp;"C"&amp;COLUMN($Q3)+BV$32,FALSE)</f>
        <v>0</v>
      </c>
      <c r="BW34" s="75">
        <f t="shared" ref="BW34:BW58" ca="1" si="102">INDIRECT("R"&amp;ROW(BW3)&amp;"C"&amp;COLUMN($R3)+31+BV$32,FALSE)</f>
        <v>0</v>
      </c>
      <c r="BX34" s="75">
        <f t="shared" ref="BX34:BX58" ca="1" si="103">INDIRECT("R"&amp;ROW(BX3)&amp;"C"&amp;COLUMN($S3)+62+BV$32,FALSE)</f>
        <v>0</v>
      </c>
      <c r="BY34" s="75">
        <f t="shared" ref="BY34:BY58" ca="1" si="104">INDIRECT("R"&amp;ROW(BY3)&amp;"C"&amp;COLUMN($Q3)+BY$32,FALSE)</f>
        <v>0</v>
      </c>
      <c r="BZ34" s="75">
        <f t="shared" ref="BZ34:BZ58" ca="1" si="105">INDIRECT("R"&amp;ROW(BZ3)&amp;"C"&amp;COLUMN($R3)+31+BY$32,FALSE)</f>
        <v>0</v>
      </c>
      <c r="CA34" s="75">
        <f t="shared" ref="CA34:CA58" ca="1" si="106">INDIRECT("R"&amp;ROW(CA3)&amp;"C"&amp;COLUMN($S3)+62+BY$32,FALSE)</f>
        <v>0</v>
      </c>
      <c r="CB34" s="75"/>
      <c r="CC34" s="75"/>
      <c r="CD34" s="75"/>
      <c r="CE34" s="75">
        <f t="shared" ref="CE34:CE58" ca="1" si="107">INDIRECT("R"&amp;ROW(CE3)&amp;"C"&amp;COLUMN($Q3)+CE$32,FALSE)</f>
        <v>0</v>
      </c>
      <c r="CF34" s="75">
        <f t="shared" ref="CF34:CF58" ca="1" si="108">INDIRECT("R"&amp;ROW(CF3)&amp;"C"&amp;COLUMN($R3)+31+CE$32,FALSE)</f>
        <v>0</v>
      </c>
      <c r="CG34" s="75">
        <f t="shared" ref="CG34:CG58" ca="1" si="109">INDIRECT("R"&amp;ROW(CG3)&amp;"C"&amp;COLUMN($S3)+62+CE$32,FALSE)</f>
        <v>0</v>
      </c>
      <c r="CH34" s="75">
        <f t="shared" ref="CH34:CH58" ca="1" si="110">INDIRECT("R"&amp;ROW(CH3)&amp;"C"&amp;COLUMN($Q3)+CH$32,FALSE)</f>
        <v>0</v>
      </c>
      <c r="CI34" s="75">
        <f t="shared" ref="CI34:CI58" ca="1" si="111">INDIRECT("R"&amp;ROW(CI3)&amp;"C"&amp;COLUMN($R3)+31+CH$32,FALSE)</f>
        <v>0</v>
      </c>
      <c r="CJ34" s="75">
        <f t="shared" ref="CJ34:CJ58" ca="1" si="112">INDIRECT("R"&amp;ROW(CJ3)&amp;"C"&amp;COLUMN($S3)+62+CH$32,FALSE)</f>
        <v>0</v>
      </c>
      <c r="CK34" s="75">
        <f t="shared" ref="CK34:CK58" ca="1" si="113">INDIRECT("R"&amp;ROW(CK3)&amp;"C"&amp;COLUMN($Q3)+CK$32,FALSE)</f>
        <v>0</v>
      </c>
      <c r="CL34" s="75">
        <f t="shared" ref="CL34:CL58" ca="1" si="114">INDIRECT("R"&amp;ROW(CL3)&amp;"C"&amp;COLUMN($R3)+31+CK$32,FALSE)</f>
        <v>0</v>
      </c>
      <c r="CM34" s="75">
        <f t="shared" ref="CM34:CM58" ca="1" si="115">INDIRECT("R"&amp;ROW(CM3)&amp;"C"&amp;COLUMN($S3)+62+CK$32,FALSE)</f>
        <v>0</v>
      </c>
      <c r="CN34" s="75">
        <f t="shared" ref="CN34:CN58" ca="1" si="116">INDIRECT("R"&amp;ROW(CN3)&amp;"C"&amp;COLUMN($Q3)+CN$32,FALSE)</f>
        <v>0</v>
      </c>
      <c r="CO34" s="75">
        <f t="shared" ref="CO34:CO58" ca="1" si="117">INDIRECT("R"&amp;ROW(CO3)&amp;"C"&amp;COLUMN($R3)+31+CN$32,FALSE)</f>
        <v>0</v>
      </c>
      <c r="CP34" s="75">
        <f t="shared" ref="CP34:CP58" ca="1" si="118">INDIRECT("R"&amp;ROW(CP3)&amp;"C"&amp;COLUMN($S3)+62+CN$32,FALSE)</f>
        <v>0</v>
      </c>
      <c r="CQ34" s="75">
        <f t="shared" ref="CQ34:CQ58" ca="1" si="119">INDIRECT("R"&amp;ROW(CQ3)&amp;"C"&amp;COLUMN($Q3)+CQ$32,FALSE)</f>
        <v>0</v>
      </c>
      <c r="CR34" s="75">
        <f t="shared" ref="CR34:CR58" ca="1" si="120">INDIRECT("R"&amp;ROW(CR3)&amp;"C"&amp;COLUMN($R3)+31+CQ$32,FALSE)</f>
        <v>0</v>
      </c>
      <c r="CS34" s="75">
        <f t="shared" ref="CS34:CS58" ca="1" si="121">INDIRECT("R"&amp;ROW(CS3)&amp;"C"&amp;COLUMN($S3)+62+CQ$32,FALSE)</f>
        <v>0</v>
      </c>
      <c r="CT34" s="75">
        <f t="shared" ref="CT34:CT58" ca="1" si="122">INDIRECT("R"&amp;ROW(CT3)&amp;"C"&amp;COLUMN($Q3)+CT$32,FALSE)</f>
        <v>0</v>
      </c>
      <c r="CU34" s="75">
        <f t="shared" ref="CU34:CU58" ca="1" si="123">INDIRECT("R"&amp;ROW(CU3)&amp;"C"&amp;COLUMN($R3)+31+CT$32,FALSE)</f>
        <v>0</v>
      </c>
      <c r="CV34" s="75">
        <f t="shared" ref="CV34:CV58" ca="1" si="124">INDIRECT("R"&amp;ROW(CV3)&amp;"C"&amp;COLUMN($S3)+62+CT$32,FALSE)</f>
        <v>0</v>
      </c>
      <c r="CW34" s="75">
        <f t="shared" ref="CW34:CW58" ca="1" si="125">INDIRECT("R"&amp;ROW(CW3)&amp;"C"&amp;COLUMN($Q3)+CW$32,FALSE)</f>
        <v>0</v>
      </c>
      <c r="CX34" s="75">
        <f t="shared" ref="CX34:CX58" ca="1" si="126">INDIRECT("R"&amp;ROW(CX3)&amp;"C"&amp;COLUMN($R3)+31+CW$32,FALSE)</f>
        <v>0</v>
      </c>
      <c r="CY34" s="75">
        <f t="shared" ref="CY34:CY58" ca="1" si="127">INDIRECT("R"&amp;ROW(CY3)&amp;"C"&amp;COLUMN($S3)+62+CW$32,FALSE)</f>
        <v>0</v>
      </c>
      <c r="CZ34" s="75">
        <f t="shared" ref="CZ34:CZ58" ca="1" si="128">INDIRECT("R"&amp;ROW(CZ3)&amp;"C"&amp;COLUMN($Q3)+CZ$32,FALSE)</f>
        <v>0</v>
      </c>
      <c r="DA34" s="75">
        <f t="shared" ref="DA34:DA58" ca="1" si="129">INDIRECT("R"&amp;ROW(DA3)&amp;"C"&amp;COLUMN($R3)+31+CZ$32,FALSE)</f>
        <v>0</v>
      </c>
      <c r="DB34" s="75">
        <f t="shared" ref="DB34:DB58" ca="1" si="130">INDIRECT("R"&amp;ROW(DB3)&amp;"C"&amp;COLUMN($S3)+62+CZ$32,FALSE)</f>
        <v>0</v>
      </c>
      <c r="DC34" s="75">
        <f t="shared" ref="DC34:DC58" ca="1" si="131">INDIRECT("R"&amp;ROW(DC3)&amp;"C"&amp;COLUMN($Q3)+DC$32,FALSE)</f>
        <v>0</v>
      </c>
      <c r="DD34" s="75">
        <f t="shared" ref="DD34:DD58" ca="1" si="132">INDIRECT("R"&amp;ROW(DD3)&amp;"C"&amp;COLUMN($R3)+31+DC$32,FALSE)</f>
        <v>0</v>
      </c>
      <c r="DE34" s="75">
        <f t="shared" ref="DE34:DE58" ca="1" si="133">INDIRECT("R"&amp;ROW(DE3)&amp;"C"&amp;COLUMN($S3)+62+DC$32,FALSE)</f>
        <v>0</v>
      </c>
      <c r="DF34" s="75">
        <f t="shared" ref="DF34:DF58" ca="1" si="134">INDIRECT("R"&amp;ROW(DF3)&amp;"C"&amp;COLUMN($Q3)+DF$32,FALSE)</f>
        <v>0</v>
      </c>
      <c r="DG34" s="75">
        <f t="shared" ref="DG34:DG58" ca="1" si="135">INDIRECT("R"&amp;ROW(DG3)&amp;"C"&amp;COLUMN($R3)+31+DF$32,FALSE)</f>
        <v>0</v>
      </c>
      <c r="DH34" s="75">
        <f t="shared" ref="DH34:DH58" ca="1" si="136">INDIRECT("R"&amp;ROW(DH3)&amp;"C"&amp;COLUMN($S3)+62+DF$32,FALSE)</f>
        <v>0</v>
      </c>
    </row>
    <row r="35" spans="1:112">
      <c r="A35" s="14">
        <f t="shared" si="48"/>
        <v>2</v>
      </c>
      <c r="B35" s="74">
        <f t="shared" ca="1" si="49"/>
        <v>18.852958021449371</v>
      </c>
      <c r="C35" s="74">
        <f t="shared" si="49"/>
        <v>3954.7</v>
      </c>
      <c r="P35" s="63" t="b">
        <f t="shared" ref="P35:P58" si="137">P4</f>
        <v>1</v>
      </c>
      <c r="Q35" s="75">
        <f t="shared" ca="1" si="50"/>
        <v>110.00503540039062</v>
      </c>
      <c r="R35" s="75">
        <f t="shared" ca="1" si="51"/>
        <v>76.147026062011719</v>
      </c>
      <c r="S35" s="75">
        <f t="shared" ca="1" si="52"/>
        <v>41.039497375488281</v>
      </c>
      <c r="T35" s="75">
        <f t="shared" ca="1" si="53"/>
        <v>109.96871185302734</v>
      </c>
      <c r="U35" s="75">
        <f t="shared" ca="1" si="54"/>
        <v>75.453926086425781</v>
      </c>
      <c r="V35" s="75">
        <f t="shared" ca="1" si="55"/>
        <v>40.525520324707031</v>
      </c>
      <c r="W35" s="75">
        <f t="shared" ca="1" si="56"/>
        <v>109.99550628662109</v>
      </c>
      <c r="X35" s="75">
        <f t="shared" ca="1" si="57"/>
        <v>78.724288940429688</v>
      </c>
      <c r="Y35" s="75">
        <f t="shared" ca="1" si="58"/>
        <v>40.608604431152344</v>
      </c>
      <c r="Z35" s="75">
        <f t="shared" ca="1" si="59"/>
        <v>105.60870361328125</v>
      </c>
      <c r="AA35" s="75">
        <f t="shared" ca="1" si="60"/>
        <v>70.465927124023438</v>
      </c>
      <c r="AB35" s="75">
        <f t="shared" ca="1" si="61"/>
        <v>39.147956848144531</v>
      </c>
      <c r="AC35" s="75">
        <f t="shared" ca="1" si="62"/>
        <v>107.43010711669922</v>
      </c>
      <c r="AD35" s="75">
        <f t="shared" ca="1" si="63"/>
        <v>71.216575622558594</v>
      </c>
      <c r="AE35" s="75">
        <f t="shared" ca="1" si="64"/>
        <v>37.610340118408203</v>
      </c>
      <c r="AF35" s="75"/>
      <c r="AG35" s="75"/>
      <c r="AH35" s="75"/>
      <c r="AI35" s="75">
        <f t="shared" ca="1" si="65"/>
        <v>0</v>
      </c>
      <c r="AJ35" s="75">
        <f t="shared" ca="1" si="66"/>
        <v>0</v>
      </c>
      <c r="AK35" s="75">
        <f t="shared" ca="1" si="67"/>
        <v>0</v>
      </c>
      <c r="AL35" s="75">
        <f t="shared" ca="1" si="68"/>
        <v>0</v>
      </c>
      <c r="AM35" s="75">
        <f t="shared" ca="1" si="69"/>
        <v>0</v>
      </c>
      <c r="AN35" s="75">
        <f t="shared" ca="1" si="70"/>
        <v>0</v>
      </c>
      <c r="AO35" s="75">
        <f t="shared" ca="1" si="71"/>
        <v>0</v>
      </c>
      <c r="AP35" s="75">
        <f t="shared" ca="1" si="72"/>
        <v>0</v>
      </c>
      <c r="AQ35" s="75">
        <f t="shared" ca="1" si="73"/>
        <v>0</v>
      </c>
      <c r="AR35" s="75">
        <f t="shared" ca="1" si="74"/>
        <v>0</v>
      </c>
      <c r="AS35" s="75">
        <f t="shared" ca="1" si="75"/>
        <v>0</v>
      </c>
      <c r="AT35" s="75">
        <f t="shared" ca="1" si="76"/>
        <v>0</v>
      </c>
      <c r="AU35" s="75">
        <f t="shared" ca="1" si="77"/>
        <v>0</v>
      </c>
      <c r="AV35" s="75">
        <f t="shared" ca="1" si="78"/>
        <v>0</v>
      </c>
      <c r="AW35" s="75">
        <f t="shared" ca="1" si="79"/>
        <v>0</v>
      </c>
      <c r="AX35" s="75">
        <f t="shared" ca="1" si="80"/>
        <v>0</v>
      </c>
      <c r="AY35" s="75">
        <f t="shared" ca="1" si="81"/>
        <v>0</v>
      </c>
      <c r="AZ35" s="75">
        <f t="shared" ca="1" si="82"/>
        <v>0</v>
      </c>
      <c r="BA35" s="75">
        <f t="shared" ca="1" si="83"/>
        <v>0</v>
      </c>
      <c r="BB35" s="75">
        <f t="shared" ca="1" si="84"/>
        <v>0</v>
      </c>
      <c r="BC35" s="75">
        <f t="shared" ca="1" si="85"/>
        <v>0</v>
      </c>
      <c r="BD35" s="75">
        <f t="shared" ca="1" si="86"/>
        <v>0</v>
      </c>
      <c r="BE35" s="75">
        <f t="shared" ca="1" si="87"/>
        <v>0</v>
      </c>
      <c r="BF35" s="75">
        <f t="shared" ca="1" si="88"/>
        <v>0</v>
      </c>
      <c r="BG35" s="75">
        <f t="shared" ca="1" si="89"/>
        <v>0</v>
      </c>
      <c r="BH35" s="75">
        <f t="shared" ca="1" si="90"/>
        <v>0</v>
      </c>
      <c r="BI35" s="75">
        <f t="shared" ca="1" si="91"/>
        <v>0</v>
      </c>
      <c r="BJ35" s="75">
        <f t="shared" ca="1" si="92"/>
        <v>0</v>
      </c>
      <c r="BK35" s="75">
        <f t="shared" ca="1" si="93"/>
        <v>0</v>
      </c>
      <c r="BL35" s="75">
        <f t="shared" ca="1" si="94"/>
        <v>0</v>
      </c>
      <c r="BM35" s="75">
        <f t="shared" ca="1" si="95"/>
        <v>0</v>
      </c>
      <c r="BN35" s="75">
        <f t="shared" ca="1" si="96"/>
        <v>0</v>
      </c>
      <c r="BO35" s="75">
        <f t="shared" ca="1" si="97"/>
        <v>0</v>
      </c>
      <c r="BP35" s="75">
        <f t="shared" ca="1" si="98"/>
        <v>0</v>
      </c>
      <c r="BQ35" s="75">
        <f t="shared" ca="1" si="99"/>
        <v>0</v>
      </c>
      <c r="BR35" s="75">
        <f t="shared" ca="1" si="100"/>
        <v>0</v>
      </c>
      <c r="BS35" s="75"/>
      <c r="BT35" s="75"/>
      <c r="BU35" s="75"/>
      <c r="BV35" s="75">
        <f t="shared" ca="1" si="101"/>
        <v>0</v>
      </c>
      <c r="BW35" s="75">
        <f t="shared" ca="1" si="102"/>
        <v>0</v>
      </c>
      <c r="BX35" s="75">
        <f t="shared" ca="1" si="103"/>
        <v>0</v>
      </c>
      <c r="BY35" s="75">
        <f t="shared" ca="1" si="104"/>
        <v>0</v>
      </c>
      <c r="BZ35" s="75">
        <f t="shared" ca="1" si="105"/>
        <v>0</v>
      </c>
      <c r="CA35" s="75">
        <f t="shared" ca="1" si="106"/>
        <v>0</v>
      </c>
      <c r="CB35" s="75"/>
      <c r="CC35" s="75"/>
      <c r="CD35" s="75"/>
      <c r="CE35" s="75">
        <f t="shared" ca="1" si="107"/>
        <v>0</v>
      </c>
      <c r="CF35" s="75">
        <f t="shared" ca="1" si="108"/>
        <v>0</v>
      </c>
      <c r="CG35" s="75">
        <f t="shared" ca="1" si="109"/>
        <v>0</v>
      </c>
      <c r="CH35" s="75">
        <f t="shared" ca="1" si="110"/>
        <v>0</v>
      </c>
      <c r="CI35" s="75">
        <f t="shared" ca="1" si="111"/>
        <v>0</v>
      </c>
      <c r="CJ35" s="75">
        <f t="shared" ca="1" si="112"/>
        <v>0</v>
      </c>
      <c r="CK35" s="75">
        <f t="shared" ca="1" si="113"/>
        <v>0</v>
      </c>
      <c r="CL35" s="75">
        <f t="shared" ca="1" si="114"/>
        <v>0</v>
      </c>
      <c r="CM35" s="75">
        <f t="shared" ca="1" si="115"/>
        <v>0</v>
      </c>
      <c r="CN35" s="75">
        <f t="shared" ca="1" si="116"/>
        <v>0</v>
      </c>
      <c r="CO35" s="75">
        <f t="shared" ca="1" si="117"/>
        <v>0</v>
      </c>
      <c r="CP35" s="75">
        <f t="shared" ca="1" si="118"/>
        <v>0</v>
      </c>
      <c r="CQ35" s="75">
        <f t="shared" ca="1" si="119"/>
        <v>0</v>
      </c>
      <c r="CR35" s="75">
        <f t="shared" ca="1" si="120"/>
        <v>0</v>
      </c>
      <c r="CS35" s="75">
        <f t="shared" ca="1" si="121"/>
        <v>0</v>
      </c>
      <c r="CT35" s="75">
        <f t="shared" ca="1" si="122"/>
        <v>0</v>
      </c>
      <c r="CU35" s="75">
        <f t="shared" ca="1" si="123"/>
        <v>0</v>
      </c>
      <c r="CV35" s="75">
        <f t="shared" ca="1" si="124"/>
        <v>0</v>
      </c>
      <c r="CW35" s="75">
        <f t="shared" ca="1" si="125"/>
        <v>0</v>
      </c>
      <c r="CX35" s="75">
        <f t="shared" ca="1" si="126"/>
        <v>0</v>
      </c>
      <c r="CY35" s="75">
        <f t="shared" ca="1" si="127"/>
        <v>0</v>
      </c>
      <c r="CZ35" s="75">
        <f t="shared" ca="1" si="128"/>
        <v>0</v>
      </c>
      <c r="DA35" s="75">
        <f t="shared" ca="1" si="129"/>
        <v>0</v>
      </c>
      <c r="DB35" s="75">
        <f t="shared" ca="1" si="130"/>
        <v>0</v>
      </c>
      <c r="DC35" s="75">
        <f t="shared" ca="1" si="131"/>
        <v>0</v>
      </c>
      <c r="DD35" s="75">
        <f t="shared" ca="1" si="132"/>
        <v>0</v>
      </c>
      <c r="DE35" s="75">
        <f t="shared" ca="1" si="133"/>
        <v>0</v>
      </c>
      <c r="DF35" s="75">
        <f t="shared" ca="1" si="134"/>
        <v>0</v>
      </c>
      <c r="DG35" s="75">
        <f t="shared" ca="1" si="135"/>
        <v>0</v>
      </c>
      <c r="DH35" s="75">
        <f t="shared" ca="1" si="136"/>
        <v>0</v>
      </c>
    </row>
    <row r="36" spans="1:112">
      <c r="A36" s="14">
        <f t="shared" si="48"/>
        <v>3</v>
      </c>
      <c r="B36" s="74">
        <f t="shared" ca="1" si="49"/>
        <v>15.437578208746091</v>
      </c>
      <c r="C36" s="74">
        <f t="shared" si="49"/>
        <v>3988.4</v>
      </c>
      <c r="P36" s="63" t="b">
        <f t="shared" si="137"/>
        <v>1</v>
      </c>
      <c r="Q36" s="75">
        <f t="shared" ca="1" si="50"/>
        <v>86.690956115722656</v>
      </c>
      <c r="R36" s="75">
        <f t="shared" ca="1" si="51"/>
        <v>61.706714630126953</v>
      </c>
      <c r="S36" s="75">
        <f t="shared" ca="1" si="52"/>
        <v>31.121767044067383</v>
      </c>
      <c r="T36" s="75">
        <f t="shared" ca="1" si="53"/>
        <v>85.032844543457031</v>
      </c>
      <c r="U36" s="75">
        <f t="shared" ca="1" si="54"/>
        <v>61.033042907714844</v>
      </c>
      <c r="V36" s="75">
        <f t="shared" ca="1" si="55"/>
        <v>30.719827651977539</v>
      </c>
      <c r="W36" s="75">
        <f t="shared" ca="1" si="56"/>
        <v>86.03131103515625</v>
      </c>
      <c r="X36" s="75">
        <f t="shared" ca="1" si="57"/>
        <v>63.310157775878906</v>
      </c>
      <c r="Y36" s="75">
        <f t="shared" ca="1" si="58"/>
        <v>30.692132949829102</v>
      </c>
      <c r="Z36" s="75">
        <f t="shared" ca="1" si="59"/>
        <v>81.625625610351563</v>
      </c>
      <c r="AA36" s="75">
        <f t="shared" ca="1" si="60"/>
        <v>56.578083038330078</v>
      </c>
      <c r="AB36" s="75">
        <f t="shared" ca="1" si="61"/>
        <v>29.396217346191406</v>
      </c>
      <c r="AC36" s="75">
        <f t="shared" ca="1" si="62"/>
        <v>83.419692993164063</v>
      </c>
      <c r="AD36" s="75">
        <f t="shared" ca="1" si="63"/>
        <v>57.304271697998047</v>
      </c>
      <c r="AE36" s="75">
        <f t="shared" ca="1" si="64"/>
        <v>28.359268188476563</v>
      </c>
      <c r="AF36" s="75"/>
      <c r="AG36" s="75"/>
      <c r="AH36" s="75"/>
      <c r="AI36" s="75">
        <f t="shared" ca="1" si="65"/>
        <v>0</v>
      </c>
      <c r="AJ36" s="75">
        <f t="shared" ca="1" si="66"/>
        <v>0</v>
      </c>
      <c r="AK36" s="75">
        <f t="shared" ca="1" si="67"/>
        <v>0</v>
      </c>
      <c r="AL36" s="75">
        <f t="shared" ca="1" si="68"/>
        <v>0</v>
      </c>
      <c r="AM36" s="75">
        <f t="shared" ca="1" si="69"/>
        <v>0</v>
      </c>
      <c r="AN36" s="75">
        <f t="shared" ca="1" si="70"/>
        <v>0</v>
      </c>
      <c r="AO36" s="75">
        <f t="shared" ca="1" si="71"/>
        <v>0</v>
      </c>
      <c r="AP36" s="75">
        <f t="shared" ca="1" si="72"/>
        <v>0</v>
      </c>
      <c r="AQ36" s="75">
        <f t="shared" ca="1" si="73"/>
        <v>0</v>
      </c>
      <c r="AR36" s="75">
        <f t="shared" ca="1" si="74"/>
        <v>0</v>
      </c>
      <c r="AS36" s="75">
        <f t="shared" ca="1" si="75"/>
        <v>0</v>
      </c>
      <c r="AT36" s="75">
        <f t="shared" ca="1" si="76"/>
        <v>0</v>
      </c>
      <c r="AU36" s="75">
        <f t="shared" ca="1" si="77"/>
        <v>0</v>
      </c>
      <c r="AV36" s="75">
        <f t="shared" ca="1" si="78"/>
        <v>0</v>
      </c>
      <c r="AW36" s="75">
        <f t="shared" ca="1" si="79"/>
        <v>0</v>
      </c>
      <c r="AX36" s="75">
        <f t="shared" ca="1" si="80"/>
        <v>0</v>
      </c>
      <c r="AY36" s="75">
        <f t="shared" ca="1" si="81"/>
        <v>0</v>
      </c>
      <c r="AZ36" s="75">
        <f t="shared" ca="1" si="82"/>
        <v>0</v>
      </c>
      <c r="BA36" s="75">
        <f t="shared" ca="1" si="83"/>
        <v>0</v>
      </c>
      <c r="BB36" s="75">
        <f t="shared" ca="1" si="84"/>
        <v>0</v>
      </c>
      <c r="BC36" s="75">
        <f t="shared" ca="1" si="85"/>
        <v>0</v>
      </c>
      <c r="BD36" s="75">
        <f t="shared" ca="1" si="86"/>
        <v>0</v>
      </c>
      <c r="BE36" s="75">
        <f t="shared" ca="1" si="87"/>
        <v>0</v>
      </c>
      <c r="BF36" s="75">
        <f t="shared" ca="1" si="88"/>
        <v>0</v>
      </c>
      <c r="BG36" s="75">
        <f t="shared" ca="1" si="89"/>
        <v>0</v>
      </c>
      <c r="BH36" s="75">
        <f t="shared" ca="1" si="90"/>
        <v>0</v>
      </c>
      <c r="BI36" s="75">
        <f t="shared" ca="1" si="91"/>
        <v>0</v>
      </c>
      <c r="BJ36" s="75">
        <f t="shared" ca="1" si="92"/>
        <v>0</v>
      </c>
      <c r="BK36" s="75">
        <f t="shared" ca="1" si="93"/>
        <v>0</v>
      </c>
      <c r="BL36" s="75">
        <f t="shared" ca="1" si="94"/>
        <v>0</v>
      </c>
      <c r="BM36" s="75">
        <f t="shared" ca="1" si="95"/>
        <v>0</v>
      </c>
      <c r="BN36" s="75">
        <f t="shared" ca="1" si="96"/>
        <v>0</v>
      </c>
      <c r="BO36" s="75">
        <f t="shared" ca="1" si="97"/>
        <v>0</v>
      </c>
      <c r="BP36" s="75">
        <f t="shared" ca="1" si="98"/>
        <v>0</v>
      </c>
      <c r="BQ36" s="75">
        <f t="shared" ca="1" si="99"/>
        <v>0</v>
      </c>
      <c r="BR36" s="75">
        <f t="shared" ca="1" si="100"/>
        <v>0</v>
      </c>
      <c r="BS36" s="75"/>
      <c r="BT36" s="75"/>
      <c r="BU36" s="75"/>
      <c r="BV36" s="75">
        <f t="shared" ca="1" si="101"/>
        <v>0</v>
      </c>
      <c r="BW36" s="75">
        <f t="shared" ca="1" si="102"/>
        <v>0</v>
      </c>
      <c r="BX36" s="75">
        <f t="shared" ca="1" si="103"/>
        <v>0</v>
      </c>
      <c r="BY36" s="75">
        <f t="shared" ca="1" si="104"/>
        <v>0</v>
      </c>
      <c r="BZ36" s="75">
        <f t="shared" ca="1" si="105"/>
        <v>0</v>
      </c>
      <c r="CA36" s="75">
        <f t="shared" ca="1" si="106"/>
        <v>0</v>
      </c>
      <c r="CB36" s="75"/>
      <c r="CC36" s="75"/>
      <c r="CD36" s="75"/>
      <c r="CE36" s="75">
        <f t="shared" ca="1" si="107"/>
        <v>0</v>
      </c>
      <c r="CF36" s="75">
        <f t="shared" ca="1" si="108"/>
        <v>0</v>
      </c>
      <c r="CG36" s="75">
        <f t="shared" ca="1" si="109"/>
        <v>0</v>
      </c>
      <c r="CH36" s="75">
        <f t="shared" ca="1" si="110"/>
        <v>0</v>
      </c>
      <c r="CI36" s="75">
        <f t="shared" ca="1" si="111"/>
        <v>0</v>
      </c>
      <c r="CJ36" s="75">
        <f t="shared" ca="1" si="112"/>
        <v>0</v>
      </c>
      <c r="CK36" s="75">
        <f t="shared" ca="1" si="113"/>
        <v>0</v>
      </c>
      <c r="CL36" s="75">
        <f t="shared" ca="1" si="114"/>
        <v>0</v>
      </c>
      <c r="CM36" s="75">
        <f t="shared" ca="1" si="115"/>
        <v>0</v>
      </c>
      <c r="CN36" s="75">
        <f t="shared" ca="1" si="116"/>
        <v>0</v>
      </c>
      <c r="CO36" s="75">
        <f t="shared" ca="1" si="117"/>
        <v>0</v>
      </c>
      <c r="CP36" s="75">
        <f t="shared" ca="1" si="118"/>
        <v>0</v>
      </c>
      <c r="CQ36" s="75">
        <f t="shared" ca="1" si="119"/>
        <v>0</v>
      </c>
      <c r="CR36" s="75">
        <f t="shared" ca="1" si="120"/>
        <v>0</v>
      </c>
      <c r="CS36" s="75">
        <f t="shared" ca="1" si="121"/>
        <v>0</v>
      </c>
      <c r="CT36" s="75">
        <f t="shared" ca="1" si="122"/>
        <v>0</v>
      </c>
      <c r="CU36" s="75">
        <f t="shared" ca="1" si="123"/>
        <v>0</v>
      </c>
      <c r="CV36" s="75">
        <f t="shared" ca="1" si="124"/>
        <v>0</v>
      </c>
      <c r="CW36" s="75">
        <f t="shared" ca="1" si="125"/>
        <v>0</v>
      </c>
      <c r="CX36" s="75">
        <f t="shared" ca="1" si="126"/>
        <v>0</v>
      </c>
      <c r="CY36" s="75">
        <f t="shared" ca="1" si="127"/>
        <v>0</v>
      </c>
      <c r="CZ36" s="75">
        <f t="shared" ca="1" si="128"/>
        <v>0</v>
      </c>
      <c r="DA36" s="75">
        <f t="shared" ca="1" si="129"/>
        <v>0</v>
      </c>
      <c r="DB36" s="75">
        <f t="shared" ca="1" si="130"/>
        <v>0</v>
      </c>
      <c r="DC36" s="75">
        <f t="shared" ca="1" si="131"/>
        <v>0</v>
      </c>
      <c r="DD36" s="75">
        <f t="shared" ca="1" si="132"/>
        <v>0</v>
      </c>
      <c r="DE36" s="75">
        <f t="shared" ca="1" si="133"/>
        <v>0</v>
      </c>
      <c r="DF36" s="75">
        <f t="shared" ca="1" si="134"/>
        <v>0</v>
      </c>
      <c r="DG36" s="75">
        <f t="shared" ca="1" si="135"/>
        <v>0</v>
      </c>
      <c r="DH36" s="75">
        <f t="shared" ca="1" si="136"/>
        <v>0</v>
      </c>
    </row>
    <row r="37" spans="1:112">
      <c r="A37" s="14">
        <f t="shared" si="48"/>
        <v>4</v>
      </c>
      <c r="B37" s="74">
        <f t="shared" ca="1" si="49"/>
        <v>12.825726800021135</v>
      </c>
      <c r="C37" s="74">
        <f t="shared" si="49"/>
        <v>3978.3</v>
      </c>
      <c r="P37" s="63" t="b">
        <f t="shared" si="137"/>
        <v>1</v>
      </c>
      <c r="Q37" s="75">
        <f t="shared" ca="1" si="50"/>
        <v>70.163803100585938</v>
      </c>
      <c r="R37" s="75">
        <f t="shared" ca="1" si="51"/>
        <v>50.446849822998047</v>
      </c>
      <c r="S37" s="75">
        <f t="shared" ca="1" si="52"/>
        <v>23.340335845947266</v>
      </c>
      <c r="T37" s="75">
        <f t="shared" ca="1" si="53"/>
        <v>68.982620239257813</v>
      </c>
      <c r="U37" s="75">
        <f t="shared" ca="1" si="54"/>
        <v>50.043292999267578</v>
      </c>
      <c r="V37" s="75">
        <f t="shared" ca="1" si="55"/>
        <v>23.080650329589844</v>
      </c>
      <c r="W37" s="75">
        <f t="shared" ca="1" si="56"/>
        <v>69.7325439453125</v>
      </c>
      <c r="X37" s="75">
        <f t="shared" ca="1" si="57"/>
        <v>52.150459289550781</v>
      </c>
      <c r="Y37" s="75">
        <f t="shared" ca="1" si="58"/>
        <v>22.733560562133789</v>
      </c>
      <c r="Z37" s="75">
        <f t="shared" ca="1" si="59"/>
        <v>66.054130554199219</v>
      </c>
      <c r="AA37" s="75">
        <f t="shared" ca="1" si="60"/>
        <v>46.200862884521484</v>
      </c>
      <c r="AB37" s="75">
        <f t="shared" ca="1" si="61"/>
        <v>22.022838592529297</v>
      </c>
      <c r="AC37" s="75">
        <f t="shared" ca="1" si="62"/>
        <v>67.217506408691406</v>
      </c>
      <c r="AD37" s="75">
        <f t="shared" ca="1" si="63"/>
        <v>46.969493865966797</v>
      </c>
      <c r="AE37" s="75">
        <f t="shared" ca="1" si="64"/>
        <v>21.032110214233398</v>
      </c>
      <c r="AF37" s="75"/>
      <c r="AG37" s="75"/>
      <c r="AH37" s="75"/>
      <c r="AI37" s="75">
        <f t="shared" ca="1" si="65"/>
        <v>0</v>
      </c>
      <c r="AJ37" s="75">
        <f t="shared" ca="1" si="66"/>
        <v>0</v>
      </c>
      <c r="AK37" s="75">
        <f t="shared" ca="1" si="67"/>
        <v>0</v>
      </c>
      <c r="AL37" s="75">
        <f t="shared" ca="1" si="68"/>
        <v>0</v>
      </c>
      <c r="AM37" s="75">
        <f t="shared" ca="1" si="69"/>
        <v>0</v>
      </c>
      <c r="AN37" s="75">
        <f t="shared" ca="1" si="70"/>
        <v>0</v>
      </c>
      <c r="AO37" s="75">
        <f t="shared" ca="1" si="71"/>
        <v>0</v>
      </c>
      <c r="AP37" s="75">
        <f t="shared" ca="1" si="72"/>
        <v>0</v>
      </c>
      <c r="AQ37" s="75">
        <f t="shared" ca="1" si="73"/>
        <v>0</v>
      </c>
      <c r="AR37" s="75">
        <f t="shared" ca="1" si="74"/>
        <v>0</v>
      </c>
      <c r="AS37" s="75">
        <f t="shared" ca="1" si="75"/>
        <v>0</v>
      </c>
      <c r="AT37" s="75">
        <f t="shared" ca="1" si="76"/>
        <v>0</v>
      </c>
      <c r="AU37" s="75">
        <f t="shared" ca="1" si="77"/>
        <v>0</v>
      </c>
      <c r="AV37" s="75">
        <f t="shared" ca="1" si="78"/>
        <v>0</v>
      </c>
      <c r="AW37" s="75">
        <f t="shared" ca="1" si="79"/>
        <v>0</v>
      </c>
      <c r="AX37" s="75">
        <f t="shared" ca="1" si="80"/>
        <v>0</v>
      </c>
      <c r="AY37" s="75">
        <f t="shared" ca="1" si="81"/>
        <v>0</v>
      </c>
      <c r="AZ37" s="75">
        <f t="shared" ca="1" si="82"/>
        <v>0</v>
      </c>
      <c r="BA37" s="75">
        <f t="shared" ca="1" si="83"/>
        <v>0</v>
      </c>
      <c r="BB37" s="75">
        <f t="shared" ca="1" si="84"/>
        <v>0</v>
      </c>
      <c r="BC37" s="75">
        <f t="shared" ca="1" si="85"/>
        <v>0</v>
      </c>
      <c r="BD37" s="75">
        <f t="shared" ca="1" si="86"/>
        <v>0</v>
      </c>
      <c r="BE37" s="75">
        <f t="shared" ca="1" si="87"/>
        <v>0</v>
      </c>
      <c r="BF37" s="75">
        <f t="shared" ca="1" si="88"/>
        <v>0</v>
      </c>
      <c r="BG37" s="75">
        <f t="shared" ca="1" si="89"/>
        <v>0</v>
      </c>
      <c r="BH37" s="75">
        <f t="shared" ca="1" si="90"/>
        <v>0</v>
      </c>
      <c r="BI37" s="75">
        <f t="shared" ca="1" si="91"/>
        <v>0</v>
      </c>
      <c r="BJ37" s="75">
        <f t="shared" ca="1" si="92"/>
        <v>0</v>
      </c>
      <c r="BK37" s="75">
        <f t="shared" ca="1" si="93"/>
        <v>0</v>
      </c>
      <c r="BL37" s="75">
        <f t="shared" ca="1" si="94"/>
        <v>0</v>
      </c>
      <c r="BM37" s="75">
        <f t="shared" ca="1" si="95"/>
        <v>0</v>
      </c>
      <c r="BN37" s="75">
        <f t="shared" ca="1" si="96"/>
        <v>0</v>
      </c>
      <c r="BO37" s="75">
        <f t="shared" ca="1" si="97"/>
        <v>0</v>
      </c>
      <c r="BP37" s="75">
        <f t="shared" ca="1" si="98"/>
        <v>0</v>
      </c>
      <c r="BQ37" s="75">
        <f t="shared" ca="1" si="99"/>
        <v>0</v>
      </c>
      <c r="BR37" s="75">
        <f t="shared" ca="1" si="100"/>
        <v>0</v>
      </c>
      <c r="BS37" s="75"/>
      <c r="BT37" s="75"/>
      <c r="BU37" s="75"/>
      <c r="BV37" s="75">
        <f t="shared" ca="1" si="101"/>
        <v>0</v>
      </c>
      <c r="BW37" s="75">
        <f t="shared" ca="1" si="102"/>
        <v>0</v>
      </c>
      <c r="BX37" s="75">
        <f t="shared" ca="1" si="103"/>
        <v>0</v>
      </c>
      <c r="BY37" s="75">
        <f t="shared" ca="1" si="104"/>
        <v>0</v>
      </c>
      <c r="BZ37" s="75">
        <f t="shared" ca="1" si="105"/>
        <v>0</v>
      </c>
      <c r="CA37" s="75">
        <f t="shared" ca="1" si="106"/>
        <v>0</v>
      </c>
      <c r="CB37" s="75"/>
      <c r="CC37" s="75"/>
      <c r="CD37" s="75"/>
      <c r="CE37" s="75">
        <f t="shared" ca="1" si="107"/>
        <v>0</v>
      </c>
      <c r="CF37" s="75">
        <f t="shared" ca="1" si="108"/>
        <v>0</v>
      </c>
      <c r="CG37" s="75">
        <f t="shared" ca="1" si="109"/>
        <v>0</v>
      </c>
      <c r="CH37" s="75">
        <f t="shared" ca="1" si="110"/>
        <v>0</v>
      </c>
      <c r="CI37" s="75">
        <f t="shared" ca="1" si="111"/>
        <v>0</v>
      </c>
      <c r="CJ37" s="75">
        <f t="shared" ca="1" si="112"/>
        <v>0</v>
      </c>
      <c r="CK37" s="75">
        <f t="shared" ca="1" si="113"/>
        <v>0</v>
      </c>
      <c r="CL37" s="75">
        <f t="shared" ca="1" si="114"/>
        <v>0</v>
      </c>
      <c r="CM37" s="75">
        <f t="shared" ca="1" si="115"/>
        <v>0</v>
      </c>
      <c r="CN37" s="75">
        <f t="shared" ca="1" si="116"/>
        <v>0</v>
      </c>
      <c r="CO37" s="75">
        <f t="shared" ca="1" si="117"/>
        <v>0</v>
      </c>
      <c r="CP37" s="75">
        <f t="shared" ca="1" si="118"/>
        <v>0</v>
      </c>
      <c r="CQ37" s="75">
        <f t="shared" ca="1" si="119"/>
        <v>0</v>
      </c>
      <c r="CR37" s="75">
        <f t="shared" ca="1" si="120"/>
        <v>0</v>
      </c>
      <c r="CS37" s="75">
        <f t="shared" ca="1" si="121"/>
        <v>0</v>
      </c>
      <c r="CT37" s="75">
        <f t="shared" ca="1" si="122"/>
        <v>0</v>
      </c>
      <c r="CU37" s="75">
        <f t="shared" ca="1" si="123"/>
        <v>0</v>
      </c>
      <c r="CV37" s="75">
        <f t="shared" ca="1" si="124"/>
        <v>0</v>
      </c>
      <c r="CW37" s="75">
        <f t="shared" ca="1" si="125"/>
        <v>0</v>
      </c>
      <c r="CX37" s="75">
        <f t="shared" ca="1" si="126"/>
        <v>0</v>
      </c>
      <c r="CY37" s="75">
        <f t="shared" ca="1" si="127"/>
        <v>0</v>
      </c>
      <c r="CZ37" s="75">
        <f t="shared" ca="1" si="128"/>
        <v>0</v>
      </c>
      <c r="DA37" s="75">
        <f t="shared" ca="1" si="129"/>
        <v>0</v>
      </c>
      <c r="DB37" s="75">
        <f t="shared" ca="1" si="130"/>
        <v>0</v>
      </c>
      <c r="DC37" s="75">
        <f t="shared" ca="1" si="131"/>
        <v>0</v>
      </c>
      <c r="DD37" s="75">
        <f t="shared" ca="1" si="132"/>
        <v>0</v>
      </c>
      <c r="DE37" s="75">
        <f t="shared" ca="1" si="133"/>
        <v>0</v>
      </c>
      <c r="DF37" s="75">
        <f t="shared" ca="1" si="134"/>
        <v>0</v>
      </c>
      <c r="DG37" s="75">
        <f t="shared" ca="1" si="135"/>
        <v>0</v>
      </c>
      <c r="DH37" s="75">
        <f t="shared" ca="1" si="136"/>
        <v>0</v>
      </c>
    </row>
    <row r="38" spans="1:112">
      <c r="A38" s="14">
        <f t="shared" si="48"/>
        <v>5</v>
      </c>
      <c r="B38" s="74">
        <f t="shared" ca="1" si="49"/>
        <v>9.4994572118508245</v>
      </c>
      <c r="C38" s="74">
        <f t="shared" si="49"/>
        <v>3960.5</v>
      </c>
      <c r="P38" s="63" t="b">
        <f t="shared" si="137"/>
        <v>1</v>
      </c>
      <c r="Q38" s="75">
        <f t="shared" ca="1" si="50"/>
        <v>58.346073150634766</v>
      </c>
      <c r="R38" s="75">
        <f t="shared" ca="1" si="51"/>
        <v>39.825767517089844</v>
      </c>
      <c r="S38" s="75">
        <f t="shared" ca="1" si="52"/>
        <v>21.292695999145508</v>
      </c>
      <c r="T38" s="75">
        <f t="shared" ca="1" si="53"/>
        <v>57.207698822021484</v>
      </c>
      <c r="U38" s="75">
        <f t="shared" ca="1" si="54"/>
        <v>38.769039154052734</v>
      </c>
      <c r="V38" s="75">
        <f t="shared" ca="1" si="55"/>
        <v>21.003335952758789</v>
      </c>
      <c r="W38" s="75">
        <f t="shared" ca="1" si="56"/>
        <v>58.630218505859375</v>
      </c>
      <c r="X38" s="75">
        <f t="shared" ca="1" si="57"/>
        <v>41.00299072265625</v>
      </c>
      <c r="Y38" s="75">
        <f t="shared" ca="1" si="58"/>
        <v>21.318052291870117</v>
      </c>
      <c r="Z38" s="75">
        <f t="shared" ca="1" si="59"/>
        <v>55.028594970703125</v>
      </c>
      <c r="AA38" s="75">
        <f t="shared" ca="1" si="60"/>
        <v>36.057613372802734</v>
      </c>
      <c r="AB38" s="75">
        <f t="shared" ca="1" si="61"/>
        <v>20.158273696899414</v>
      </c>
      <c r="AC38" s="75">
        <f t="shared" ca="1" si="62"/>
        <v>56.161937713623047</v>
      </c>
      <c r="AD38" s="75">
        <f t="shared" ca="1" si="63"/>
        <v>36.736503601074219</v>
      </c>
      <c r="AE38" s="75">
        <f t="shared" ca="1" si="64"/>
        <v>19.435144424438477</v>
      </c>
      <c r="AF38" s="75"/>
      <c r="AG38" s="75"/>
      <c r="AH38" s="75"/>
      <c r="AI38" s="75">
        <f t="shared" ca="1" si="65"/>
        <v>0</v>
      </c>
      <c r="AJ38" s="75">
        <f t="shared" ca="1" si="66"/>
        <v>0</v>
      </c>
      <c r="AK38" s="75">
        <f t="shared" ca="1" si="67"/>
        <v>0</v>
      </c>
      <c r="AL38" s="75">
        <f t="shared" ca="1" si="68"/>
        <v>0</v>
      </c>
      <c r="AM38" s="75">
        <f t="shared" ca="1" si="69"/>
        <v>0</v>
      </c>
      <c r="AN38" s="75">
        <f t="shared" ca="1" si="70"/>
        <v>0</v>
      </c>
      <c r="AO38" s="75">
        <f t="shared" ca="1" si="71"/>
        <v>0</v>
      </c>
      <c r="AP38" s="75">
        <f t="shared" ca="1" si="72"/>
        <v>0</v>
      </c>
      <c r="AQ38" s="75">
        <f t="shared" ca="1" si="73"/>
        <v>0</v>
      </c>
      <c r="AR38" s="75">
        <f t="shared" ca="1" si="74"/>
        <v>0</v>
      </c>
      <c r="AS38" s="75">
        <f t="shared" ca="1" si="75"/>
        <v>0</v>
      </c>
      <c r="AT38" s="75">
        <f t="shared" ca="1" si="76"/>
        <v>0</v>
      </c>
      <c r="AU38" s="75">
        <f t="shared" ca="1" si="77"/>
        <v>0</v>
      </c>
      <c r="AV38" s="75">
        <f t="shared" ca="1" si="78"/>
        <v>0</v>
      </c>
      <c r="AW38" s="75">
        <f t="shared" ca="1" si="79"/>
        <v>0</v>
      </c>
      <c r="AX38" s="75">
        <f t="shared" ca="1" si="80"/>
        <v>0</v>
      </c>
      <c r="AY38" s="75">
        <f t="shared" ca="1" si="81"/>
        <v>0</v>
      </c>
      <c r="AZ38" s="75">
        <f t="shared" ca="1" si="82"/>
        <v>0</v>
      </c>
      <c r="BA38" s="75">
        <f t="shared" ca="1" si="83"/>
        <v>0</v>
      </c>
      <c r="BB38" s="75">
        <f t="shared" ca="1" si="84"/>
        <v>0</v>
      </c>
      <c r="BC38" s="75">
        <f t="shared" ca="1" si="85"/>
        <v>0</v>
      </c>
      <c r="BD38" s="75">
        <f t="shared" ca="1" si="86"/>
        <v>0</v>
      </c>
      <c r="BE38" s="75">
        <f t="shared" ca="1" si="87"/>
        <v>0</v>
      </c>
      <c r="BF38" s="75">
        <f t="shared" ca="1" si="88"/>
        <v>0</v>
      </c>
      <c r="BG38" s="75">
        <f t="shared" ca="1" si="89"/>
        <v>0</v>
      </c>
      <c r="BH38" s="75">
        <f t="shared" ca="1" si="90"/>
        <v>0</v>
      </c>
      <c r="BI38" s="75">
        <f t="shared" ca="1" si="91"/>
        <v>0</v>
      </c>
      <c r="BJ38" s="75">
        <f t="shared" ca="1" si="92"/>
        <v>0</v>
      </c>
      <c r="BK38" s="75">
        <f t="shared" ca="1" si="93"/>
        <v>0</v>
      </c>
      <c r="BL38" s="75">
        <f t="shared" ca="1" si="94"/>
        <v>0</v>
      </c>
      <c r="BM38" s="75">
        <f t="shared" ca="1" si="95"/>
        <v>0</v>
      </c>
      <c r="BN38" s="75">
        <f t="shared" ca="1" si="96"/>
        <v>0</v>
      </c>
      <c r="BO38" s="75">
        <f t="shared" ca="1" si="97"/>
        <v>0</v>
      </c>
      <c r="BP38" s="75">
        <f t="shared" ca="1" si="98"/>
        <v>0</v>
      </c>
      <c r="BQ38" s="75">
        <f t="shared" ca="1" si="99"/>
        <v>0</v>
      </c>
      <c r="BR38" s="75">
        <f t="shared" ca="1" si="100"/>
        <v>0</v>
      </c>
      <c r="BS38" s="75"/>
      <c r="BT38" s="75"/>
      <c r="BU38" s="75"/>
      <c r="BV38" s="75">
        <f t="shared" ca="1" si="101"/>
        <v>0</v>
      </c>
      <c r="BW38" s="75">
        <f t="shared" ca="1" si="102"/>
        <v>0</v>
      </c>
      <c r="BX38" s="75">
        <f t="shared" ca="1" si="103"/>
        <v>0</v>
      </c>
      <c r="BY38" s="75">
        <f t="shared" ca="1" si="104"/>
        <v>0</v>
      </c>
      <c r="BZ38" s="75">
        <f t="shared" ca="1" si="105"/>
        <v>0</v>
      </c>
      <c r="CA38" s="75">
        <f t="shared" ca="1" si="106"/>
        <v>0</v>
      </c>
      <c r="CB38" s="75"/>
      <c r="CC38" s="75"/>
      <c r="CD38" s="75"/>
      <c r="CE38" s="75">
        <f t="shared" ca="1" si="107"/>
        <v>0</v>
      </c>
      <c r="CF38" s="75">
        <f t="shared" ca="1" si="108"/>
        <v>0</v>
      </c>
      <c r="CG38" s="75">
        <f t="shared" ca="1" si="109"/>
        <v>0</v>
      </c>
      <c r="CH38" s="75">
        <f t="shared" ca="1" si="110"/>
        <v>0</v>
      </c>
      <c r="CI38" s="75">
        <f t="shared" ca="1" si="111"/>
        <v>0</v>
      </c>
      <c r="CJ38" s="75">
        <f t="shared" ca="1" si="112"/>
        <v>0</v>
      </c>
      <c r="CK38" s="75">
        <f t="shared" ca="1" si="113"/>
        <v>0</v>
      </c>
      <c r="CL38" s="75">
        <f t="shared" ca="1" si="114"/>
        <v>0</v>
      </c>
      <c r="CM38" s="75">
        <f t="shared" ca="1" si="115"/>
        <v>0</v>
      </c>
      <c r="CN38" s="75">
        <f t="shared" ca="1" si="116"/>
        <v>0</v>
      </c>
      <c r="CO38" s="75">
        <f t="shared" ca="1" si="117"/>
        <v>0</v>
      </c>
      <c r="CP38" s="75">
        <f t="shared" ca="1" si="118"/>
        <v>0</v>
      </c>
      <c r="CQ38" s="75">
        <f t="shared" ca="1" si="119"/>
        <v>0</v>
      </c>
      <c r="CR38" s="75">
        <f t="shared" ca="1" si="120"/>
        <v>0</v>
      </c>
      <c r="CS38" s="75">
        <f t="shared" ca="1" si="121"/>
        <v>0</v>
      </c>
      <c r="CT38" s="75">
        <f t="shared" ca="1" si="122"/>
        <v>0</v>
      </c>
      <c r="CU38" s="75">
        <f t="shared" ca="1" si="123"/>
        <v>0</v>
      </c>
      <c r="CV38" s="75">
        <f t="shared" ca="1" si="124"/>
        <v>0</v>
      </c>
      <c r="CW38" s="75">
        <f t="shared" ca="1" si="125"/>
        <v>0</v>
      </c>
      <c r="CX38" s="75">
        <f t="shared" ca="1" si="126"/>
        <v>0</v>
      </c>
      <c r="CY38" s="75">
        <f t="shared" ca="1" si="127"/>
        <v>0</v>
      </c>
      <c r="CZ38" s="75">
        <f t="shared" ca="1" si="128"/>
        <v>0</v>
      </c>
      <c r="DA38" s="75">
        <f t="shared" ca="1" si="129"/>
        <v>0</v>
      </c>
      <c r="DB38" s="75">
        <f t="shared" ca="1" si="130"/>
        <v>0</v>
      </c>
      <c r="DC38" s="75">
        <f t="shared" ca="1" si="131"/>
        <v>0</v>
      </c>
      <c r="DD38" s="75">
        <f t="shared" ca="1" si="132"/>
        <v>0</v>
      </c>
      <c r="DE38" s="75">
        <f t="shared" ca="1" si="133"/>
        <v>0</v>
      </c>
      <c r="DF38" s="75">
        <f t="shared" ca="1" si="134"/>
        <v>0</v>
      </c>
      <c r="DG38" s="75">
        <f t="shared" ca="1" si="135"/>
        <v>0</v>
      </c>
      <c r="DH38" s="75">
        <f t="shared" ca="1" si="136"/>
        <v>0</v>
      </c>
    </row>
    <row r="39" spans="1:112">
      <c r="A39" s="14">
        <f t="shared" si="48"/>
        <v>6</v>
      </c>
      <c r="B39" s="74">
        <f t="shared" ca="1" si="49"/>
        <v>7.108076789685887</v>
      </c>
      <c r="C39" s="74">
        <f t="shared" si="49"/>
        <v>3971.2</v>
      </c>
      <c r="P39" s="63" t="b">
        <f t="shared" si="137"/>
        <v>1</v>
      </c>
      <c r="Q39" s="75">
        <f t="shared" ca="1" si="50"/>
        <v>43.65057373046875</v>
      </c>
      <c r="R39" s="75">
        <f t="shared" ca="1" si="51"/>
        <v>29.821535110473633</v>
      </c>
      <c r="S39" s="75">
        <f t="shared" ca="1" si="52"/>
        <v>15.698459625244141</v>
      </c>
      <c r="T39" s="75">
        <f t="shared" ca="1" si="53"/>
        <v>43.084800720214844</v>
      </c>
      <c r="U39" s="75">
        <f t="shared" ca="1" si="54"/>
        <v>29.114950180053711</v>
      </c>
      <c r="V39" s="75">
        <f t="shared" ca="1" si="55"/>
        <v>15.584262847900391</v>
      </c>
      <c r="W39" s="75">
        <f t="shared" ca="1" si="56"/>
        <v>43.746067047119141</v>
      </c>
      <c r="X39" s="75">
        <f t="shared" ca="1" si="57"/>
        <v>30.534774780273438</v>
      </c>
      <c r="Y39" s="75">
        <f t="shared" ca="1" si="58"/>
        <v>15.660334587097168</v>
      </c>
      <c r="Z39" s="75">
        <f t="shared" ca="1" si="59"/>
        <v>41.213401794433594</v>
      </c>
      <c r="AA39" s="75">
        <f t="shared" ca="1" si="60"/>
        <v>27.078638076782227</v>
      </c>
      <c r="AB39" s="75">
        <f t="shared" ca="1" si="61"/>
        <v>14.884870529174805</v>
      </c>
      <c r="AC39" s="75">
        <f t="shared" ca="1" si="62"/>
        <v>41.920528411865234</v>
      </c>
      <c r="AD39" s="75">
        <f t="shared" ca="1" si="63"/>
        <v>27.306314468383789</v>
      </c>
      <c r="AE39" s="75">
        <f t="shared" ca="1" si="64"/>
        <v>14.260830879211426</v>
      </c>
      <c r="AF39" s="75"/>
      <c r="AG39" s="75"/>
      <c r="AH39" s="75"/>
      <c r="AI39" s="75">
        <f t="shared" ca="1" si="65"/>
        <v>0</v>
      </c>
      <c r="AJ39" s="75">
        <f t="shared" ca="1" si="66"/>
        <v>0</v>
      </c>
      <c r="AK39" s="75">
        <f t="shared" ca="1" si="67"/>
        <v>0</v>
      </c>
      <c r="AL39" s="75">
        <f t="shared" ca="1" si="68"/>
        <v>0</v>
      </c>
      <c r="AM39" s="75">
        <f t="shared" ca="1" si="69"/>
        <v>0</v>
      </c>
      <c r="AN39" s="75">
        <f t="shared" ca="1" si="70"/>
        <v>0</v>
      </c>
      <c r="AO39" s="75">
        <f t="shared" ca="1" si="71"/>
        <v>0</v>
      </c>
      <c r="AP39" s="75">
        <f t="shared" ca="1" si="72"/>
        <v>0</v>
      </c>
      <c r="AQ39" s="75">
        <f t="shared" ca="1" si="73"/>
        <v>0</v>
      </c>
      <c r="AR39" s="75">
        <f t="shared" ca="1" si="74"/>
        <v>0</v>
      </c>
      <c r="AS39" s="75">
        <f t="shared" ca="1" si="75"/>
        <v>0</v>
      </c>
      <c r="AT39" s="75">
        <f t="shared" ca="1" si="76"/>
        <v>0</v>
      </c>
      <c r="AU39" s="75">
        <f t="shared" ca="1" si="77"/>
        <v>0</v>
      </c>
      <c r="AV39" s="75">
        <f t="shared" ca="1" si="78"/>
        <v>0</v>
      </c>
      <c r="AW39" s="75">
        <f t="shared" ca="1" si="79"/>
        <v>0</v>
      </c>
      <c r="AX39" s="75">
        <f t="shared" ca="1" si="80"/>
        <v>0</v>
      </c>
      <c r="AY39" s="75">
        <f t="shared" ca="1" si="81"/>
        <v>0</v>
      </c>
      <c r="AZ39" s="75">
        <f t="shared" ca="1" si="82"/>
        <v>0</v>
      </c>
      <c r="BA39" s="75">
        <f t="shared" ca="1" si="83"/>
        <v>0</v>
      </c>
      <c r="BB39" s="75">
        <f t="shared" ca="1" si="84"/>
        <v>0</v>
      </c>
      <c r="BC39" s="75">
        <f t="shared" ca="1" si="85"/>
        <v>0</v>
      </c>
      <c r="BD39" s="75">
        <f t="shared" ca="1" si="86"/>
        <v>0</v>
      </c>
      <c r="BE39" s="75">
        <f t="shared" ca="1" si="87"/>
        <v>0</v>
      </c>
      <c r="BF39" s="75">
        <f t="shared" ca="1" si="88"/>
        <v>0</v>
      </c>
      <c r="BG39" s="75">
        <f t="shared" ca="1" si="89"/>
        <v>0</v>
      </c>
      <c r="BH39" s="75">
        <f t="shared" ca="1" si="90"/>
        <v>0</v>
      </c>
      <c r="BI39" s="75">
        <f t="shared" ca="1" si="91"/>
        <v>0</v>
      </c>
      <c r="BJ39" s="75">
        <f t="shared" ca="1" si="92"/>
        <v>0</v>
      </c>
      <c r="BK39" s="75">
        <f t="shared" ca="1" si="93"/>
        <v>0</v>
      </c>
      <c r="BL39" s="75">
        <f t="shared" ca="1" si="94"/>
        <v>0</v>
      </c>
      <c r="BM39" s="75">
        <f t="shared" ca="1" si="95"/>
        <v>0</v>
      </c>
      <c r="BN39" s="75">
        <f t="shared" ca="1" si="96"/>
        <v>0</v>
      </c>
      <c r="BO39" s="75">
        <f t="shared" ca="1" si="97"/>
        <v>0</v>
      </c>
      <c r="BP39" s="75">
        <f t="shared" ca="1" si="98"/>
        <v>0</v>
      </c>
      <c r="BQ39" s="75">
        <f t="shared" ca="1" si="99"/>
        <v>0</v>
      </c>
      <c r="BR39" s="75">
        <f t="shared" ca="1" si="100"/>
        <v>0</v>
      </c>
      <c r="BS39" s="75"/>
      <c r="BT39" s="75"/>
      <c r="BU39" s="75"/>
      <c r="BV39" s="75">
        <f t="shared" ca="1" si="101"/>
        <v>0</v>
      </c>
      <c r="BW39" s="75">
        <f t="shared" ca="1" si="102"/>
        <v>0</v>
      </c>
      <c r="BX39" s="75">
        <f t="shared" ca="1" si="103"/>
        <v>0</v>
      </c>
      <c r="BY39" s="75">
        <f t="shared" ca="1" si="104"/>
        <v>0</v>
      </c>
      <c r="BZ39" s="75">
        <f t="shared" ca="1" si="105"/>
        <v>0</v>
      </c>
      <c r="CA39" s="75">
        <f t="shared" ca="1" si="106"/>
        <v>0</v>
      </c>
      <c r="CB39" s="75"/>
      <c r="CC39" s="75"/>
      <c r="CD39" s="75"/>
      <c r="CE39" s="75">
        <f t="shared" ca="1" si="107"/>
        <v>0</v>
      </c>
      <c r="CF39" s="75">
        <f t="shared" ca="1" si="108"/>
        <v>0</v>
      </c>
      <c r="CG39" s="75">
        <f t="shared" ca="1" si="109"/>
        <v>0</v>
      </c>
      <c r="CH39" s="75">
        <f t="shared" ca="1" si="110"/>
        <v>0</v>
      </c>
      <c r="CI39" s="75">
        <f t="shared" ca="1" si="111"/>
        <v>0</v>
      </c>
      <c r="CJ39" s="75">
        <f t="shared" ca="1" si="112"/>
        <v>0</v>
      </c>
      <c r="CK39" s="75">
        <f t="shared" ca="1" si="113"/>
        <v>0</v>
      </c>
      <c r="CL39" s="75">
        <f t="shared" ca="1" si="114"/>
        <v>0</v>
      </c>
      <c r="CM39" s="75">
        <f t="shared" ca="1" si="115"/>
        <v>0</v>
      </c>
      <c r="CN39" s="75">
        <f t="shared" ca="1" si="116"/>
        <v>0</v>
      </c>
      <c r="CO39" s="75">
        <f t="shared" ca="1" si="117"/>
        <v>0</v>
      </c>
      <c r="CP39" s="75">
        <f t="shared" ca="1" si="118"/>
        <v>0</v>
      </c>
      <c r="CQ39" s="75">
        <f t="shared" ca="1" si="119"/>
        <v>0</v>
      </c>
      <c r="CR39" s="75">
        <f t="shared" ca="1" si="120"/>
        <v>0</v>
      </c>
      <c r="CS39" s="75">
        <f t="shared" ca="1" si="121"/>
        <v>0</v>
      </c>
      <c r="CT39" s="75">
        <f t="shared" ca="1" si="122"/>
        <v>0</v>
      </c>
      <c r="CU39" s="75">
        <f t="shared" ca="1" si="123"/>
        <v>0</v>
      </c>
      <c r="CV39" s="75">
        <f t="shared" ca="1" si="124"/>
        <v>0</v>
      </c>
      <c r="CW39" s="75">
        <f t="shared" ca="1" si="125"/>
        <v>0</v>
      </c>
      <c r="CX39" s="75">
        <f t="shared" ca="1" si="126"/>
        <v>0</v>
      </c>
      <c r="CY39" s="75">
        <f t="shared" ca="1" si="127"/>
        <v>0</v>
      </c>
      <c r="CZ39" s="75">
        <f t="shared" ca="1" si="128"/>
        <v>0</v>
      </c>
      <c r="DA39" s="75">
        <f t="shared" ca="1" si="129"/>
        <v>0</v>
      </c>
      <c r="DB39" s="75">
        <f t="shared" ca="1" si="130"/>
        <v>0</v>
      </c>
      <c r="DC39" s="75">
        <f t="shared" ca="1" si="131"/>
        <v>0</v>
      </c>
      <c r="DD39" s="75">
        <f t="shared" ca="1" si="132"/>
        <v>0</v>
      </c>
      <c r="DE39" s="75">
        <f t="shared" ca="1" si="133"/>
        <v>0</v>
      </c>
      <c r="DF39" s="75">
        <f t="shared" ca="1" si="134"/>
        <v>0</v>
      </c>
      <c r="DG39" s="75">
        <f t="shared" ca="1" si="135"/>
        <v>0</v>
      </c>
      <c r="DH39" s="75">
        <f t="shared" ca="1" si="136"/>
        <v>0</v>
      </c>
    </row>
    <row r="40" spans="1:112">
      <c r="A40" s="14">
        <f t="shared" si="48"/>
        <v>7</v>
      </c>
      <c r="B40" s="74">
        <f t="shared" ca="1" si="49"/>
        <v>5.8108316409221263</v>
      </c>
      <c r="C40" s="74">
        <f t="shared" si="49"/>
        <v>3979.2</v>
      </c>
      <c r="P40" s="63" t="b">
        <f t="shared" si="137"/>
        <v>1</v>
      </c>
      <c r="Q40" s="75">
        <f t="shared" ca="1" si="50"/>
        <v>35.929569244384766</v>
      </c>
      <c r="R40" s="75">
        <f t="shared" ca="1" si="51"/>
        <v>24.369012832641602</v>
      </c>
      <c r="S40" s="75">
        <f t="shared" ca="1" si="52"/>
        <v>12.750008583068848</v>
      </c>
      <c r="T40" s="75">
        <f t="shared" ca="1" si="53"/>
        <v>35.534461975097656</v>
      </c>
      <c r="U40" s="75">
        <f t="shared" ca="1" si="54"/>
        <v>24.037750244140625</v>
      </c>
      <c r="V40" s="75">
        <f t="shared" ca="1" si="55"/>
        <v>12.724471092224121</v>
      </c>
      <c r="W40" s="75">
        <f t="shared" ca="1" si="56"/>
        <v>36.024703979492188</v>
      </c>
      <c r="X40" s="75">
        <f t="shared" ca="1" si="57"/>
        <v>25.075597763061523</v>
      </c>
      <c r="Y40" s="75">
        <f t="shared" ca="1" si="58"/>
        <v>12.80288028717041</v>
      </c>
      <c r="Z40" s="75">
        <f t="shared" ca="1" si="59"/>
        <v>34.130645751953125</v>
      </c>
      <c r="AA40" s="75">
        <f t="shared" ca="1" si="60"/>
        <v>22.226236343383789</v>
      </c>
      <c r="AB40" s="75">
        <f t="shared" ca="1" si="61"/>
        <v>12.190890312194824</v>
      </c>
      <c r="AC40" s="75">
        <f t="shared" ca="1" si="62"/>
        <v>34.491939544677734</v>
      </c>
      <c r="AD40" s="75">
        <f t="shared" ca="1" si="63"/>
        <v>22.076070785522461</v>
      </c>
      <c r="AE40" s="75">
        <f t="shared" ca="1" si="64"/>
        <v>11.613609313964844</v>
      </c>
      <c r="AF40" s="75"/>
      <c r="AG40" s="75"/>
      <c r="AH40" s="75"/>
      <c r="AI40" s="75">
        <f t="shared" ca="1" si="65"/>
        <v>0</v>
      </c>
      <c r="AJ40" s="75">
        <f t="shared" ca="1" si="66"/>
        <v>0</v>
      </c>
      <c r="AK40" s="75">
        <f t="shared" ca="1" si="67"/>
        <v>0</v>
      </c>
      <c r="AL40" s="75">
        <f t="shared" ca="1" si="68"/>
        <v>0</v>
      </c>
      <c r="AM40" s="75">
        <f t="shared" ca="1" si="69"/>
        <v>0</v>
      </c>
      <c r="AN40" s="75">
        <f t="shared" ca="1" si="70"/>
        <v>0</v>
      </c>
      <c r="AO40" s="75">
        <f t="shared" ca="1" si="71"/>
        <v>0</v>
      </c>
      <c r="AP40" s="75">
        <f t="shared" ca="1" si="72"/>
        <v>0</v>
      </c>
      <c r="AQ40" s="75">
        <f t="shared" ca="1" si="73"/>
        <v>0</v>
      </c>
      <c r="AR40" s="75">
        <f t="shared" ca="1" si="74"/>
        <v>0</v>
      </c>
      <c r="AS40" s="75">
        <f t="shared" ca="1" si="75"/>
        <v>0</v>
      </c>
      <c r="AT40" s="75">
        <f t="shared" ca="1" si="76"/>
        <v>0</v>
      </c>
      <c r="AU40" s="75">
        <f t="shared" ca="1" si="77"/>
        <v>0</v>
      </c>
      <c r="AV40" s="75">
        <f t="shared" ca="1" si="78"/>
        <v>0</v>
      </c>
      <c r="AW40" s="75">
        <f t="shared" ca="1" si="79"/>
        <v>0</v>
      </c>
      <c r="AX40" s="75">
        <f t="shared" ca="1" si="80"/>
        <v>0</v>
      </c>
      <c r="AY40" s="75">
        <f t="shared" ca="1" si="81"/>
        <v>0</v>
      </c>
      <c r="AZ40" s="75">
        <f t="shared" ca="1" si="82"/>
        <v>0</v>
      </c>
      <c r="BA40" s="75">
        <f t="shared" ca="1" si="83"/>
        <v>0</v>
      </c>
      <c r="BB40" s="75">
        <f t="shared" ca="1" si="84"/>
        <v>0</v>
      </c>
      <c r="BC40" s="75">
        <f t="shared" ca="1" si="85"/>
        <v>0</v>
      </c>
      <c r="BD40" s="75">
        <f t="shared" ca="1" si="86"/>
        <v>0</v>
      </c>
      <c r="BE40" s="75">
        <f t="shared" ca="1" si="87"/>
        <v>0</v>
      </c>
      <c r="BF40" s="75">
        <f t="shared" ca="1" si="88"/>
        <v>0</v>
      </c>
      <c r="BG40" s="75">
        <f t="shared" ca="1" si="89"/>
        <v>0</v>
      </c>
      <c r="BH40" s="75">
        <f t="shared" ca="1" si="90"/>
        <v>0</v>
      </c>
      <c r="BI40" s="75">
        <f t="shared" ca="1" si="91"/>
        <v>0</v>
      </c>
      <c r="BJ40" s="75">
        <f t="shared" ca="1" si="92"/>
        <v>0</v>
      </c>
      <c r="BK40" s="75">
        <f t="shared" ca="1" si="93"/>
        <v>0</v>
      </c>
      <c r="BL40" s="75">
        <f t="shared" ca="1" si="94"/>
        <v>0</v>
      </c>
      <c r="BM40" s="75">
        <f t="shared" ca="1" si="95"/>
        <v>0</v>
      </c>
      <c r="BN40" s="75">
        <f t="shared" ca="1" si="96"/>
        <v>0</v>
      </c>
      <c r="BO40" s="75">
        <f t="shared" ca="1" si="97"/>
        <v>0</v>
      </c>
      <c r="BP40" s="75">
        <f t="shared" ca="1" si="98"/>
        <v>0</v>
      </c>
      <c r="BQ40" s="75">
        <f t="shared" ca="1" si="99"/>
        <v>0</v>
      </c>
      <c r="BR40" s="75">
        <f t="shared" ca="1" si="100"/>
        <v>0</v>
      </c>
      <c r="BS40" s="75"/>
      <c r="BT40" s="75"/>
      <c r="BU40" s="75"/>
      <c r="BV40" s="75">
        <f t="shared" ca="1" si="101"/>
        <v>0</v>
      </c>
      <c r="BW40" s="75">
        <f t="shared" ca="1" si="102"/>
        <v>0</v>
      </c>
      <c r="BX40" s="75">
        <f t="shared" ca="1" si="103"/>
        <v>0</v>
      </c>
      <c r="BY40" s="75">
        <f t="shared" ca="1" si="104"/>
        <v>0</v>
      </c>
      <c r="BZ40" s="75">
        <f t="shared" ca="1" si="105"/>
        <v>0</v>
      </c>
      <c r="CA40" s="75">
        <f t="shared" ca="1" si="106"/>
        <v>0</v>
      </c>
      <c r="CB40" s="75"/>
      <c r="CC40" s="75"/>
      <c r="CD40" s="75"/>
      <c r="CE40" s="75">
        <f t="shared" ca="1" si="107"/>
        <v>0</v>
      </c>
      <c r="CF40" s="75">
        <f t="shared" ca="1" si="108"/>
        <v>0</v>
      </c>
      <c r="CG40" s="75">
        <f t="shared" ca="1" si="109"/>
        <v>0</v>
      </c>
      <c r="CH40" s="75">
        <f t="shared" ca="1" si="110"/>
        <v>0</v>
      </c>
      <c r="CI40" s="75">
        <f t="shared" ca="1" si="111"/>
        <v>0</v>
      </c>
      <c r="CJ40" s="75">
        <f t="shared" ca="1" si="112"/>
        <v>0</v>
      </c>
      <c r="CK40" s="75">
        <f t="shared" ca="1" si="113"/>
        <v>0</v>
      </c>
      <c r="CL40" s="75">
        <f t="shared" ca="1" si="114"/>
        <v>0</v>
      </c>
      <c r="CM40" s="75">
        <f t="shared" ca="1" si="115"/>
        <v>0</v>
      </c>
      <c r="CN40" s="75">
        <f t="shared" ca="1" si="116"/>
        <v>0</v>
      </c>
      <c r="CO40" s="75">
        <f t="shared" ca="1" si="117"/>
        <v>0</v>
      </c>
      <c r="CP40" s="75">
        <f t="shared" ca="1" si="118"/>
        <v>0</v>
      </c>
      <c r="CQ40" s="75">
        <f t="shared" ca="1" si="119"/>
        <v>0</v>
      </c>
      <c r="CR40" s="75">
        <f t="shared" ca="1" si="120"/>
        <v>0</v>
      </c>
      <c r="CS40" s="75">
        <f t="shared" ca="1" si="121"/>
        <v>0</v>
      </c>
      <c r="CT40" s="75">
        <f t="shared" ca="1" si="122"/>
        <v>0</v>
      </c>
      <c r="CU40" s="75">
        <f t="shared" ca="1" si="123"/>
        <v>0</v>
      </c>
      <c r="CV40" s="75">
        <f t="shared" ca="1" si="124"/>
        <v>0</v>
      </c>
      <c r="CW40" s="75">
        <f t="shared" ca="1" si="125"/>
        <v>0</v>
      </c>
      <c r="CX40" s="75">
        <f t="shared" ca="1" si="126"/>
        <v>0</v>
      </c>
      <c r="CY40" s="75">
        <f t="shared" ca="1" si="127"/>
        <v>0</v>
      </c>
      <c r="CZ40" s="75">
        <f t="shared" ca="1" si="128"/>
        <v>0</v>
      </c>
      <c r="DA40" s="75">
        <f t="shared" ca="1" si="129"/>
        <v>0</v>
      </c>
      <c r="DB40" s="75">
        <f t="shared" ca="1" si="130"/>
        <v>0</v>
      </c>
      <c r="DC40" s="75">
        <f t="shared" ca="1" si="131"/>
        <v>0</v>
      </c>
      <c r="DD40" s="75">
        <f t="shared" ca="1" si="132"/>
        <v>0</v>
      </c>
      <c r="DE40" s="75">
        <f t="shared" ca="1" si="133"/>
        <v>0</v>
      </c>
      <c r="DF40" s="75">
        <f t="shared" ca="1" si="134"/>
        <v>0</v>
      </c>
      <c r="DG40" s="75">
        <f t="shared" ca="1" si="135"/>
        <v>0</v>
      </c>
      <c r="DH40" s="75">
        <f t="shared" ca="1" si="136"/>
        <v>0</v>
      </c>
    </row>
    <row r="41" spans="1:112">
      <c r="A41" s="14">
        <f t="shared" si="48"/>
        <v>8</v>
      </c>
      <c r="B41" s="74">
        <f t="shared" ca="1" si="49"/>
        <v>4.7264524101014667</v>
      </c>
      <c r="C41" s="74">
        <f t="shared" si="49"/>
        <v>4001.7</v>
      </c>
      <c r="P41" s="63" t="b">
        <f t="shared" si="137"/>
        <v>1</v>
      </c>
      <c r="Q41" s="75">
        <f t="shared" ca="1" si="50"/>
        <v>28.470048904418945</v>
      </c>
      <c r="R41" s="75">
        <f t="shared" ca="1" si="51"/>
        <v>19.741588592529297</v>
      </c>
      <c r="S41" s="75">
        <f t="shared" ca="1" si="52"/>
        <v>9.771702766418457</v>
      </c>
      <c r="T41" s="75">
        <f t="shared" ca="1" si="53"/>
        <v>28.254423141479492</v>
      </c>
      <c r="U41" s="75">
        <f t="shared" ca="1" si="54"/>
        <v>19.290193557739258</v>
      </c>
      <c r="V41" s="75">
        <f t="shared" ca="1" si="55"/>
        <v>9.7983188629150391</v>
      </c>
      <c r="W41" s="75">
        <f t="shared" ca="1" si="56"/>
        <v>28.532453536987305</v>
      </c>
      <c r="X41" s="75">
        <f t="shared" ca="1" si="57"/>
        <v>19.989765167236328</v>
      </c>
      <c r="Y41" s="75">
        <f t="shared" ca="1" si="58"/>
        <v>9.7945423126220703</v>
      </c>
      <c r="Z41" s="75">
        <f t="shared" ca="1" si="59"/>
        <v>27.094823837280273</v>
      </c>
      <c r="AA41" s="75">
        <f t="shared" ca="1" si="60"/>
        <v>17.849147796630859</v>
      </c>
      <c r="AB41" s="75">
        <f t="shared" ca="1" si="61"/>
        <v>9.3697643280029297</v>
      </c>
      <c r="AC41" s="75">
        <f t="shared" ca="1" si="62"/>
        <v>27.296783447265625</v>
      </c>
      <c r="AD41" s="75">
        <f t="shared" ca="1" si="63"/>
        <v>18.088872909545898</v>
      </c>
      <c r="AE41" s="75">
        <f t="shared" ca="1" si="64"/>
        <v>8.8577642440795898</v>
      </c>
      <c r="AF41" s="75"/>
      <c r="AG41" s="75"/>
      <c r="AH41" s="75"/>
      <c r="AI41" s="75">
        <f t="shared" ca="1" si="65"/>
        <v>0</v>
      </c>
      <c r="AJ41" s="75">
        <f t="shared" ca="1" si="66"/>
        <v>0</v>
      </c>
      <c r="AK41" s="75">
        <f t="shared" ca="1" si="67"/>
        <v>0</v>
      </c>
      <c r="AL41" s="75">
        <f t="shared" ca="1" si="68"/>
        <v>0</v>
      </c>
      <c r="AM41" s="75">
        <f t="shared" ca="1" si="69"/>
        <v>0</v>
      </c>
      <c r="AN41" s="75">
        <f t="shared" ca="1" si="70"/>
        <v>0</v>
      </c>
      <c r="AO41" s="75">
        <f t="shared" ca="1" si="71"/>
        <v>0</v>
      </c>
      <c r="AP41" s="75">
        <f t="shared" ca="1" si="72"/>
        <v>0</v>
      </c>
      <c r="AQ41" s="75">
        <f t="shared" ca="1" si="73"/>
        <v>0</v>
      </c>
      <c r="AR41" s="75">
        <f t="shared" ca="1" si="74"/>
        <v>0</v>
      </c>
      <c r="AS41" s="75">
        <f t="shared" ca="1" si="75"/>
        <v>0</v>
      </c>
      <c r="AT41" s="75">
        <f t="shared" ca="1" si="76"/>
        <v>0</v>
      </c>
      <c r="AU41" s="75">
        <f t="shared" ca="1" si="77"/>
        <v>0</v>
      </c>
      <c r="AV41" s="75">
        <f t="shared" ca="1" si="78"/>
        <v>0</v>
      </c>
      <c r="AW41" s="75">
        <f t="shared" ca="1" si="79"/>
        <v>0</v>
      </c>
      <c r="AX41" s="75">
        <f t="shared" ca="1" si="80"/>
        <v>0</v>
      </c>
      <c r="AY41" s="75">
        <f t="shared" ca="1" si="81"/>
        <v>0</v>
      </c>
      <c r="AZ41" s="75">
        <f t="shared" ca="1" si="82"/>
        <v>0</v>
      </c>
      <c r="BA41" s="75">
        <f t="shared" ca="1" si="83"/>
        <v>0</v>
      </c>
      <c r="BB41" s="75">
        <f t="shared" ca="1" si="84"/>
        <v>0</v>
      </c>
      <c r="BC41" s="75">
        <f t="shared" ca="1" si="85"/>
        <v>0</v>
      </c>
      <c r="BD41" s="75">
        <f t="shared" ca="1" si="86"/>
        <v>0</v>
      </c>
      <c r="BE41" s="75">
        <f t="shared" ca="1" si="87"/>
        <v>0</v>
      </c>
      <c r="BF41" s="75">
        <f t="shared" ca="1" si="88"/>
        <v>0</v>
      </c>
      <c r="BG41" s="75">
        <f t="shared" ca="1" si="89"/>
        <v>0</v>
      </c>
      <c r="BH41" s="75">
        <f t="shared" ca="1" si="90"/>
        <v>0</v>
      </c>
      <c r="BI41" s="75">
        <f t="shared" ca="1" si="91"/>
        <v>0</v>
      </c>
      <c r="BJ41" s="75">
        <f t="shared" ca="1" si="92"/>
        <v>0</v>
      </c>
      <c r="BK41" s="75">
        <f t="shared" ca="1" si="93"/>
        <v>0</v>
      </c>
      <c r="BL41" s="75">
        <f t="shared" ca="1" si="94"/>
        <v>0</v>
      </c>
      <c r="BM41" s="75">
        <f t="shared" ca="1" si="95"/>
        <v>0</v>
      </c>
      <c r="BN41" s="75">
        <f t="shared" ca="1" si="96"/>
        <v>0</v>
      </c>
      <c r="BO41" s="75">
        <f t="shared" ca="1" si="97"/>
        <v>0</v>
      </c>
      <c r="BP41" s="75">
        <f t="shared" ca="1" si="98"/>
        <v>0</v>
      </c>
      <c r="BQ41" s="75">
        <f t="shared" ca="1" si="99"/>
        <v>0</v>
      </c>
      <c r="BR41" s="75">
        <f t="shared" ca="1" si="100"/>
        <v>0</v>
      </c>
      <c r="BS41" s="75"/>
      <c r="BT41" s="75"/>
      <c r="BU41" s="75"/>
      <c r="BV41" s="75">
        <f t="shared" ca="1" si="101"/>
        <v>0</v>
      </c>
      <c r="BW41" s="75">
        <f t="shared" ca="1" si="102"/>
        <v>0</v>
      </c>
      <c r="BX41" s="75">
        <f t="shared" ca="1" si="103"/>
        <v>0</v>
      </c>
      <c r="BY41" s="75">
        <f t="shared" ca="1" si="104"/>
        <v>0</v>
      </c>
      <c r="BZ41" s="75">
        <f t="shared" ca="1" si="105"/>
        <v>0</v>
      </c>
      <c r="CA41" s="75">
        <f t="shared" ca="1" si="106"/>
        <v>0</v>
      </c>
      <c r="CB41" s="75"/>
      <c r="CC41" s="75"/>
      <c r="CD41" s="75"/>
      <c r="CE41" s="75">
        <f t="shared" ca="1" si="107"/>
        <v>0</v>
      </c>
      <c r="CF41" s="75">
        <f t="shared" ca="1" si="108"/>
        <v>0</v>
      </c>
      <c r="CG41" s="75">
        <f t="shared" ca="1" si="109"/>
        <v>0</v>
      </c>
      <c r="CH41" s="75">
        <f t="shared" ca="1" si="110"/>
        <v>0</v>
      </c>
      <c r="CI41" s="75">
        <f t="shared" ca="1" si="111"/>
        <v>0</v>
      </c>
      <c r="CJ41" s="75">
        <f t="shared" ca="1" si="112"/>
        <v>0</v>
      </c>
      <c r="CK41" s="75">
        <f t="shared" ca="1" si="113"/>
        <v>0</v>
      </c>
      <c r="CL41" s="75">
        <f t="shared" ca="1" si="114"/>
        <v>0</v>
      </c>
      <c r="CM41" s="75">
        <f t="shared" ca="1" si="115"/>
        <v>0</v>
      </c>
      <c r="CN41" s="75">
        <f t="shared" ca="1" si="116"/>
        <v>0</v>
      </c>
      <c r="CO41" s="75">
        <f t="shared" ca="1" si="117"/>
        <v>0</v>
      </c>
      <c r="CP41" s="75">
        <f t="shared" ca="1" si="118"/>
        <v>0</v>
      </c>
      <c r="CQ41" s="75">
        <f t="shared" ca="1" si="119"/>
        <v>0</v>
      </c>
      <c r="CR41" s="75">
        <f t="shared" ca="1" si="120"/>
        <v>0</v>
      </c>
      <c r="CS41" s="75">
        <f t="shared" ca="1" si="121"/>
        <v>0</v>
      </c>
      <c r="CT41" s="75">
        <f t="shared" ca="1" si="122"/>
        <v>0</v>
      </c>
      <c r="CU41" s="75">
        <f t="shared" ca="1" si="123"/>
        <v>0</v>
      </c>
      <c r="CV41" s="75">
        <f t="shared" ca="1" si="124"/>
        <v>0</v>
      </c>
      <c r="CW41" s="75">
        <f t="shared" ca="1" si="125"/>
        <v>0</v>
      </c>
      <c r="CX41" s="75">
        <f t="shared" ca="1" si="126"/>
        <v>0</v>
      </c>
      <c r="CY41" s="75">
        <f t="shared" ca="1" si="127"/>
        <v>0</v>
      </c>
      <c r="CZ41" s="75">
        <f t="shared" ca="1" si="128"/>
        <v>0</v>
      </c>
      <c r="DA41" s="75">
        <f t="shared" ca="1" si="129"/>
        <v>0</v>
      </c>
      <c r="DB41" s="75">
        <f t="shared" ca="1" si="130"/>
        <v>0</v>
      </c>
      <c r="DC41" s="75">
        <f t="shared" ca="1" si="131"/>
        <v>0</v>
      </c>
      <c r="DD41" s="75">
        <f t="shared" ca="1" si="132"/>
        <v>0</v>
      </c>
      <c r="DE41" s="75">
        <f t="shared" ca="1" si="133"/>
        <v>0</v>
      </c>
      <c r="DF41" s="75">
        <f t="shared" ca="1" si="134"/>
        <v>0</v>
      </c>
      <c r="DG41" s="75">
        <f t="shared" ca="1" si="135"/>
        <v>0</v>
      </c>
      <c r="DH41" s="75">
        <f t="shared" ca="1" si="136"/>
        <v>0</v>
      </c>
    </row>
    <row r="42" spans="1:112">
      <c r="A42" s="14">
        <f t="shared" si="48"/>
        <v>9</v>
      </c>
      <c r="B42" s="74">
        <f t="shared" ca="1" si="49"/>
        <v>3.8737596974251551</v>
      </c>
      <c r="C42" s="74">
        <f t="shared" si="49"/>
        <v>4034.1</v>
      </c>
      <c r="P42" s="63" t="b">
        <f t="shared" si="137"/>
        <v>1</v>
      </c>
      <c r="Q42" s="75">
        <f t="shared" ca="1" si="50"/>
        <v>22.28486442565918</v>
      </c>
      <c r="R42" s="75">
        <f t="shared" ca="1" si="51"/>
        <v>15.888909339904785</v>
      </c>
      <c r="S42" s="75">
        <f t="shared" ca="1" si="52"/>
        <v>7.3205046653747559</v>
      </c>
      <c r="T42" s="75">
        <f t="shared" ca="1" si="53"/>
        <v>22.171566009521484</v>
      </c>
      <c r="U42" s="75">
        <f t="shared" ca="1" si="54"/>
        <v>15.511608123779297</v>
      </c>
      <c r="V42" s="75">
        <f t="shared" ca="1" si="55"/>
        <v>7.3744564056396484</v>
      </c>
      <c r="W42" s="75">
        <f t="shared" ca="1" si="56"/>
        <v>22.283605575561523</v>
      </c>
      <c r="X42" s="75">
        <f t="shared" ca="1" si="57"/>
        <v>16.066410064697266</v>
      </c>
      <c r="Y42" s="75">
        <f t="shared" ca="1" si="58"/>
        <v>7.3219437599182129</v>
      </c>
      <c r="Z42" s="75">
        <f t="shared" ca="1" si="59"/>
        <v>21.107461929321289</v>
      </c>
      <c r="AA42" s="75">
        <f t="shared" ca="1" si="60"/>
        <v>14.182241439819336</v>
      </c>
      <c r="AB42" s="75">
        <f t="shared" ca="1" si="61"/>
        <v>7.0048885345458984</v>
      </c>
      <c r="AC42" s="75">
        <f t="shared" ca="1" si="62"/>
        <v>21.285501480102539</v>
      </c>
      <c r="AD42" s="75">
        <f t="shared" ca="1" si="63"/>
        <v>14.360821723937988</v>
      </c>
      <c r="AE42" s="75">
        <f t="shared" ca="1" si="64"/>
        <v>6.5979137420654297</v>
      </c>
      <c r="AF42" s="75"/>
      <c r="AG42" s="75"/>
      <c r="AH42" s="75"/>
      <c r="AI42" s="75">
        <f t="shared" ca="1" si="65"/>
        <v>0</v>
      </c>
      <c r="AJ42" s="75">
        <f t="shared" ca="1" si="66"/>
        <v>0</v>
      </c>
      <c r="AK42" s="75">
        <f t="shared" ca="1" si="67"/>
        <v>0</v>
      </c>
      <c r="AL42" s="75">
        <f t="shared" ca="1" si="68"/>
        <v>0</v>
      </c>
      <c r="AM42" s="75">
        <f t="shared" ca="1" si="69"/>
        <v>0</v>
      </c>
      <c r="AN42" s="75">
        <f t="shared" ca="1" si="70"/>
        <v>0</v>
      </c>
      <c r="AO42" s="75">
        <f t="shared" ca="1" si="71"/>
        <v>0</v>
      </c>
      <c r="AP42" s="75">
        <f t="shared" ca="1" si="72"/>
        <v>0</v>
      </c>
      <c r="AQ42" s="75">
        <f t="shared" ca="1" si="73"/>
        <v>0</v>
      </c>
      <c r="AR42" s="75">
        <f t="shared" ca="1" si="74"/>
        <v>0</v>
      </c>
      <c r="AS42" s="75">
        <f t="shared" ca="1" si="75"/>
        <v>0</v>
      </c>
      <c r="AT42" s="75">
        <f t="shared" ca="1" si="76"/>
        <v>0</v>
      </c>
      <c r="AU42" s="75">
        <f t="shared" ca="1" si="77"/>
        <v>0</v>
      </c>
      <c r="AV42" s="75">
        <f t="shared" ca="1" si="78"/>
        <v>0</v>
      </c>
      <c r="AW42" s="75">
        <f t="shared" ca="1" si="79"/>
        <v>0</v>
      </c>
      <c r="AX42" s="75">
        <f t="shared" ca="1" si="80"/>
        <v>0</v>
      </c>
      <c r="AY42" s="75">
        <f t="shared" ca="1" si="81"/>
        <v>0</v>
      </c>
      <c r="AZ42" s="75">
        <f t="shared" ca="1" si="82"/>
        <v>0</v>
      </c>
      <c r="BA42" s="75">
        <f t="shared" ca="1" si="83"/>
        <v>0</v>
      </c>
      <c r="BB42" s="75">
        <f t="shared" ca="1" si="84"/>
        <v>0</v>
      </c>
      <c r="BC42" s="75">
        <f t="shared" ca="1" si="85"/>
        <v>0</v>
      </c>
      <c r="BD42" s="75">
        <f t="shared" ca="1" si="86"/>
        <v>0</v>
      </c>
      <c r="BE42" s="75">
        <f t="shared" ca="1" si="87"/>
        <v>0</v>
      </c>
      <c r="BF42" s="75">
        <f t="shared" ca="1" si="88"/>
        <v>0</v>
      </c>
      <c r="BG42" s="75">
        <f t="shared" ca="1" si="89"/>
        <v>0</v>
      </c>
      <c r="BH42" s="75">
        <f t="shared" ca="1" si="90"/>
        <v>0</v>
      </c>
      <c r="BI42" s="75">
        <f t="shared" ca="1" si="91"/>
        <v>0</v>
      </c>
      <c r="BJ42" s="75">
        <f t="shared" ca="1" si="92"/>
        <v>0</v>
      </c>
      <c r="BK42" s="75">
        <f t="shared" ca="1" si="93"/>
        <v>0</v>
      </c>
      <c r="BL42" s="75">
        <f t="shared" ca="1" si="94"/>
        <v>0</v>
      </c>
      <c r="BM42" s="75">
        <f t="shared" ca="1" si="95"/>
        <v>0</v>
      </c>
      <c r="BN42" s="75">
        <f t="shared" ca="1" si="96"/>
        <v>0</v>
      </c>
      <c r="BO42" s="75">
        <f t="shared" ca="1" si="97"/>
        <v>0</v>
      </c>
      <c r="BP42" s="75">
        <f t="shared" ca="1" si="98"/>
        <v>0</v>
      </c>
      <c r="BQ42" s="75">
        <f t="shared" ca="1" si="99"/>
        <v>0</v>
      </c>
      <c r="BR42" s="75">
        <f t="shared" ca="1" si="100"/>
        <v>0</v>
      </c>
      <c r="BS42" s="75"/>
      <c r="BT42" s="75"/>
      <c r="BU42" s="75"/>
      <c r="BV42" s="75">
        <f t="shared" ca="1" si="101"/>
        <v>0</v>
      </c>
      <c r="BW42" s="75">
        <f t="shared" ca="1" si="102"/>
        <v>0</v>
      </c>
      <c r="BX42" s="75">
        <f t="shared" ca="1" si="103"/>
        <v>0</v>
      </c>
      <c r="BY42" s="75">
        <f t="shared" ca="1" si="104"/>
        <v>0</v>
      </c>
      <c r="BZ42" s="75">
        <f t="shared" ca="1" si="105"/>
        <v>0</v>
      </c>
      <c r="CA42" s="75">
        <f t="shared" ca="1" si="106"/>
        <v>0</v>
      </c>
      <c r="CB42" s="75"/>
      <c r="CC42" s="75"/>
      <c r="CD42" s="75"/>
      <c r="CE42" s="75">
        <f t="shared" ca="1" si="107"/>
        <v>0</v>
      </c>
      <c r="CF42" s="75">
        <f t="shared" ca="1" si="108"/>
        <v>0</v>
      </c>
      <c r="CG42" s="75">
        <f t="shared" ca="1" si="109"/>
        <v>0</v>
      </c>
      <c r="CH42" s="75">
        <f t="shared" ca="1" si="110"/>
        <v>0</v>
      </c>
      <c r="CI42" s="75">
        <f t="shared" ca="1" si="111"/>
        <v>0</v>
      </c>
      <c r="CJ42" s="75">
        <f t="shared" ca="1" si="112"/>
        <v>0</v>
      </c>
      <c r="CK42" s="75">
        <f t="shared" ca="1" si="113"/>
        <v>0</v>
      </c>
      <c r="CL42" s="75">
        <f t="shared" ca="1" si="114"/>
        <v>0</v>
      </c>
      <c r="CM42" s="75">
        <f t="shared" ca="1" si="115"/>
        <v>0</v>
      </c>
      <c r="CN42" s="75">
        <f t="shared" ca="1" si="116"/>
        <v>0</v>
      </c>
      <c r="CO42" s="75">
        <f t="shared" ca="1" si="117"/>
        <v>0</v>
      </c>
      <c r="CP42" s="75">
        <f t="shared" ca="1" si="118"/>
        <v>0</v>
      </c>
      <c r="CQ42" s="75">
        <f t="shared" ca="1" si="119"/>
        <v>0</v>
      </c>
      <c r="CR42" s="75">
        <f t="shared" ca="1" si="120"/>
        <v>0</v>
      </c>
      <c r="CS42" s="75">
        <f t="shared" ca="1" si="121"/>
        <v>0</v>
      </c>
      <c r="CT42" s="75">
        <f t="shared" ca="1" si="122"/>
        <v>0</v>
      </c>
      <c r="CU42" s="75">
        <f t="shared" ca="1" si="123"/>
        <v>0</v>
      </c>
      <c r="CV42" s="75">
        <f t="shared" ca="1" si="124"/>
        <v>0</v>
      </c>
      <c r="CW42" s="75">
        <f t="shared" ca="1" si="125"/>
        <v>0</v>
      </c>
      <c r="CX42" s="75">
        <f t="shared" ca="1" si="126"/>
        <v>0</v>
      </c>
      <c r="CY42" s="75">
        <f t="shared" ca="1" si="127"/>
        <v>0</v>
      </c>
      <c r="CZ42" s="75">
        <f t="shared" ca="1" si="128"/>
        <v>0</v>
      </c>
      <c r="DA42" s="75">
        <f t="shared" ca="1" si="129"/>
        <v>0</v>
      </c>
      <c r="DB42" s="75">
        <f t="shared" ca="1" si="130"/>
        <v>0</v>
      </c>
      <c r="DC42" s="75">
        <f t="shared" ca="1" si="131"/>
        <v>0</v>
      </c>
      <c r="DD42" s="75">
        <f t="shared" ca="1" si="132"/>
        <v>0</v>
      </c>
      <c r="DE42" s="75">
        <f t="shared" ca="1" si="133"/>
        <v>0</v>
      </c>
      <c r="DF42" s="75">
        <f t="shared" ca="1" si="134"/>
        <v>0</v>
      </c>
      <c r="DG42" s="75">
        <f t="shared" ca="1" si="135"/>
        <v>0</v>
      </c>
      <c r="DH42" s="75">
        <f t="shared" ca="1" si="136"/>
        <v>0</v>
      </c>
    </row>
    <row r="43" spans="1:112">
      <c r="A43" s="14">
        <f t="shared" si="48"/>
        <v>10</v>
      </c>
      <c r="B43" s="74">
        <f t="shared" ca="1" si="49"/>
        <v>3.2207968686872634</v>
      </c>
      <c r="C43" s="74">
        <f t="shared" si="49"/>
        <v>4023.8</v>
      </c>
      <c r="P43" s="63" t="b">
        <f t="shared" si="137"/>
        <v>1</v>
      </c>
      <c r="Q43" s="75">
        <f t="shared" ca="1" si="50"/>
        <v>17.870548248291016</v>
      </c>
      <c r="R43" s="75">
        <f t="shared" ca="1" si="51"/>
        <v>13.022643089294434</v>
      </c>
      <c r="S43" s="75">
        <f t="shared" ca="1" si="52"/>
        <v>5.4408330917358398</v>
      </c>
      <c r="T43" s="75">
        <f t="shared" ca="1" si="53"/>
        <v>17.547199249267578</v>
      </c>
      <c r="U43" s="75">
        <f t="shared" ca="1" si="54"/>
        <v>12.297174453735352</v>
      </c>
      <c r="V43" s="75">
        <f t="shared" ca="1" si="55"/>
        <v>5.4079227447509766</v>
      </c>
      <c r="W43" s="75">
        <f t="shared" ca="1" si="56"/>
        <v>17.715349197387695</v>
      </c>
      <c r="X43" s="75">
        <f t="shared" ca="1" si="57"/>
        <v>12.974086761474609</v>
      </c>
      <c r="Y43" s="75">
        <f t="shared" ca="1" si="58"/>
        <v>5.3638625144958496</v>
      </c>
      <c r="Z43" s="75">
        <f t="shared" ca="1" si="59"/>
        <v>16.909671783447266</v>
      </c>
      <c r="AA43" s="75">
        <f t="shared" ca="1" si="60"/>
        <v>11.50660514831543</v>
      </c>
      <c r="AB43" s="75">
        <f t="shared" ca="1" si="61"/>
        <v>5.1985907554626465</v>
      </c>
      <c r="AC43" s="75">
        <f t="shared" ca="1" si="62"/>
        <v>16.955890655517578</v>
      </c>
      <c r="AD43" s="75">
        <f t="shared" ca="1" si="63"/>
        <v>11.550845146179199</v>
      </c>
      <c r="AE43" s="75">
        <f t="shared" ca="1" si="64"/>
        <v>4.8399930000305176</v>
      </c>
      <c r="AF43" s="75"/>
      <c r="AG43" s="75"/>
      <c r="AH43" s="75"/>
      <c r="AI43" s="75">
        <f t="shared" ca="1" si="65"/>
        <v>0</v>
      </c>
      <c r="AJ43" s="75">
        <f t="shared" ca="1" si="66"/>
        <v>0</v>
      </c>
      <c r="AK43" s="75">
        <f t="shared" ca="1" si="67"/>
        <v>0</v>
      </c>
      <c r="AL43" s="75">
        <f t="shared" ca="1" si="68"/>
        <v>0</v>
      </c>
      <c r="AM43" s="75">
        <f t="shared" ca="1" si="69"/>
        <v>0</v>
      </c>
      <c r="AN43" s="75">
        <f t="shared" ca="1" si="70"/>
        <v>0</v>
      </c>
      <c r="AO43" s="75">
        <f t="shared" ca="1" si="71"/>
        <v>0</v>
      </c>
      <c r="AP43" s="75">
        <f t="shared" ca="1" si="72"/>
        <v>0</v>
      </c>
      <c r="AQ43" s="75">
        <f t="shared" ca="1" si="73"/>
        <v>0</v>
      </c>
      <c r="AR43" s="75">
        <f t="shared" ca="1" si="74"/>
        <v>0</v>
      </c>
      <c r="AS43" s="75">
        <f t="shared" ca="1" si="75"/>
        <v>0</v>
      </c>
      <c r="AT43" s="75">
        <f t="shared" ca="1" si="76"/>
        <v>0</v>
      </c>
      <c r="AU43" s="75">
        <f t="shared" ca="1" si="77"/>
        <v>0</v>
      </c>
      <c r="AV43" s="75">
        <f t="shared" ca="1" si="78"/>
        <v>0</v>
      </c>
      <c r="AW43" s="75">
        <f t="shared" ca="1" si="79"/>
        <v>0</v>
      </c>
      <c r="AX43" s="75">
        <f t="shared" ca="1" si="80"/>
        <v>0</v>
      </c>
      <c r="AY43" s="75">
        <f t="shared" ca="1" si="81"/>
        <v>0</v>
      </c>
      <c r="AZ43" s="75">
        <f t="shared" ca="1" si="82"/>
        <v>0</v>
      </c>
      <c r="BA43" s="75">
        <f t="shared" ca="1" si="83"/>
        <v>0</v>
      </c>
      <c r="BB43" s="75">
        <f t="shared" ca="1" si="84"/>
        <v>0</v>
      </c>
      <c r="BC43" s="75">
        <f t="shared" ca="1" si="85"/>
        <v>0</v>
      </c>
      <c r="BD43" s="75">
        <f t="shared" ca="1" si="86"/>
        <v>0</v>
      </c>
      <c r="BE43" s="75">
        <f t="shared" ca="1" si="87"/>
        <v>0</v>
      </c>
      <c r="BF43" s="75">
        <f t="shared" ca="1" si="88"/>
        <v>0</v>
      </c>
      <c r="BG43" s="75">
        <f t="shared" ca="1" si="89"/>
        <v>0</v>
      </c>
      <c r="BH43" s="75">
        <f t="shared" ca="1" si="90"/>
        <v>0</v>
      </c>
      <c r="BI43" s="75">
        <f t="shared" ca="1" si="91"/>
        <v>0</v>
      </c>
      <c r="BJ43" s="75">
        <f t="shared" ca="1" si="92"/>
        <v>0</v>
      </c>
      <c r="BK43" s="75">
        <f t="shared" ca="1" si="93"/>
        <v>0</v>
      </c>
      <c r="BL43" s="75">
        <f t="shared" ca="1" si="94"/>
        <v>0</v>
      </c>
      <c r="BM43" s="75">
        <f t="shared" ca="1" si="95"/>
        <v>0</v>
      </c>
      <c r="BN43" s="75">
        <f t="shared" ca="1" si="96"/>
        <v>0</v>
      </c>
      <c r="BO43" s="75">
        <f t="shared" ca="1" si="97"/>
        <v>0</v>
      </c>
      <c r="BP43" s="75">
        <f t="shared" ca="1" si="98"/>
        <v>0</v>
      </c>
      <c r="BQ43" s="75">
        <f t="shared" ca="1" si="99"/>
        <v>0</v>
      </c>
      <c r="BR43" s="75">
        <f t="shared" ca="1" si="100"/>
        <v>0</v>
      </c>
      <c r="BS43" s="75"/>
      <c r="BT43" s="75"/>
      <c r="BU43" s="75"/>
      <c r="BV43" s="75">
        <f t="shared" ca="1" si="101"/>
        <v>0</v>
      </c>
      <c r="BW43" s="75">
        <f t="shared" ca="1" si="102"/>
        <v>0</v>
      </c>
      <c r="BX43" s="75">
        <f t="shared" ca="1" si="103"/>
        <v>0</v>
      </c>
      <c r="BY43" s="75">
        <f t="shared" ca="1" si="104"/>
        <v>0</v>
      </c>
      <c r="BZ43" s="75">
        <f t="shared" ca="1" si="105"/>
        <v>0</v>
      </c>
      <c r="CA43" s="75">
        <f t="shared" ca="1" si="106"/>
        <v>0</v>
      </c>
      <c r="CB43" s="75"/>
      <c r="CC43" s="75"/>
      <c r="CD43" s="75"/>
      <c r="CE43" s="75">
        <f t="shared" ca="1" si="107"/>
        <v>0</v>
      </c>
      <c r="CF43" s="75">
        <f t="shared" ca="1" si="108"/>
        <v>0</v>
      </c>
      <c r="CG43" s="75">
        <f t="shared" ca="1" si="109"/>
        <v>0</v>
      </c>
      <c r="CH43" s="75">
        <f t="shared" ca="1" si="110"/>
        <v>0</v>
      </c>
      <c r="CI43" s="75">
        <f t="shared" ca="1" si="111"/>
        <v>0</v>
      </c>
      <c r="CJ43" s="75">
        <f t="shared" ca="1" si="112"/>
        <v>0</v>
      </c>
      <c r="CK43" s="75">
        <f t="shared" ca="1" si="113"/>
        <v>0</v>
      </c>
      <c r="CL43" s="75">
        <f t="shared" ca="1" si="114"/>
        <v>0</v>
      </c>
      <c r="CM43" s="75">
        <f t="shared" ca="1" si="115"/>
        <v>0</v>
      </c>
      <c r="CN43" s="75">
        <f t="shared" ca="1" si="116"/>
        <v>0</v>
      </c>
      <c r="CO43" s="75">
        <f t="shared" ca="1" si="117"/>
        <v>0</v>
      </c>
      <c r="CP43" s="75">
        <f t="shared" ca="1" si="118"/>
        <v>0</v>
      </c>
      <c r="CQ43" s="75">
        <f t="shared" ca="1" si="119"/>
        <v>0</v>
      </c>
      <c r="CR43" s="75">
        <f t="shared" ca="1" si="120"/>
        <v>0</v>
      </c>
      <c r="CS43" s="75">
        <f t="shared" ca="1" si="121"/>
        <v>0</v>
      </c>
      <c r="CT43" s="75">
        <f t="shared" ca="1" si="122"/>
        <v>0</v>
      </c>
      <c r="CU43" s="75">
        <f t="shared" ca="1" si="123"/>
        <v>0</v>
      </c>
      <c r="CV43" s="75">
        <f t="shared" ca="1" si="124"/>
        <v>0</v>
      </c>
      <c r="CW43" s="75">
        <f t="shared" ca="1" si="125"/>
        <v>0</v>
      </c>
      <c r="CX43" s="75">
        <f t="shared" ca="1" si="126"/>
        <v>0</v>
      </c>
      <c r="CY43" s="75">
        <f t="shared" ca="1" si="127"/>
        <v>0</v>
      </c>
      <c r="CZ43" s="75">
        <f t="shared" ca="1" si="128"/>
        <v>0</v>
      </c>
      <c r="DA43" s="75">
        <f t="shared" ca="1" si="129"/>
        <v>0</v>
      </c>
      <c r="DB43" s="75">
        <f t="shared" ca="1" si="130"/>
        <v>0</v>
      </c>
      <c r="DC43" s="75">
        <f t="shared" ca="1" si="131"/>
        <v>0</v>
      </c>
      <c r="DD43" s="75">
        <f t="shared" ca="1" si="132"/>
        <v>0</v>
      </c>
      <c r="DE43" s="75">
        <f t="shared" ca="1" si="133"/>
        <v>0</v>
      </c>
      <c r="DF43" s="75">
        <f t="shared" ca="1" si="134"/>
        <v>0</v>
      </c>
      <c r="DG43" s="75">
        <f t="shared" ca="1" si="135"/>
        <v>0</v>
      </c>
      <c r="DH43" s="75">
        <f t="shared" ca="1" si="136"/>
        <v>0</v>
      </c>
    </row>
    <row r="44" spans="1:112">
      <c r="A44" s="14">
        <f t="shared" si="48"/>
        <v>11</v>
      </c>
      <c r="B44" s="74">
        <f t="shared" ca="1" si="49"/>
        <v>2.38707854456778</v>
      </c>
      <c r="C44" s="74">
        <f t="shared" si="49"/>
        <v>4005.5</v>
      </c>
      <c r="P44" s="63" t="b">
        <f t="shared" si="137"/>
        <v>1</v>
      </c>
      <c r="Q44" s="75">
        <f t="shared" ca="1" si="50"/>
        <v>14.876777648925781</v>
      </c>
      <c r="R44" s="75">
        <f t="shared" ca="1" si="51"/>
        <v>10.252411842346191</v>
      </c>
      <c r="S44" s="75">
        <f t="shared" ca="1" si="52"/>
        <v>4.9885392189025879</v>
      </c>
      <c r="T44" s="75">
        <f t="shared" ca="1" si="53"/>
        <v>14.637413024902344</v>
      </c>
      <c r="U44" s="75">
        <f t="shared" ca="1" si="54"/>
        <v>9.5995979309082031</v>
      </c>
      <c r="V44" s="75">
        <f t="shared" ca="1" si="55"/>
        <v>4.979367733001709</v>
      </c>
      <c r="W44" s="75">
        <f t="shared" ca="1" si="56"/>
        <v>14.951231002807617</v>
      </c>
      <c r="X44" s="75">
        <f t="shared" ca="1" si="57"/>
        <v>10.400777816772461</v>
      </c>
      <c r="Y44" s="75">
        <f t="shared" ca="1" si="58"/>
        <v>5.0935649871826172</v>
      </c>
      <c r="Z44" s="75">
        <f t="shared" ca="1" si="59"/>
        <v>13.930647850036621</v>
      </c>
      <c r="AA44" s="75">
        <f t="shared" ca="1" si="60"/>
        <v>8.9417486190795898</v>
      </c>
      <c r="AB44" s="75">
        <f t="shared" ca="1" si="61"/>
        <v>4.7335286140441895</v>
      </c>
      <c r="AC44" s="75">
        <f t="shared" ca="1" si="62"/>
        <v>14.155086517333984</v>
      </c>
      <c r="AD44" s="75">
        <f t="shared" ca="1" si="63"/>
        <v>9.0944318771362305</v>
      </c>
      <c r="AE44" s="75">
        <f t="shared" ca="1" si="64"/>
        <v>4.5094494819641113</v>
      </c>
      <c r="AF44" s="75"/>
      <c r="AG44" s="75"/>
      <c r="AH44" s="75"/>
      <c r="AI44" s="75">
        <f t="shared" ca="1" si="65"/>
        <v>0</v>
      </c>
      <c r="AJ44" s="75">
        <f t="shared" ca="1" si="66"/>
        <v>0</v>
      </c>
      <c r="AK44" s="75">
        <f t="shared" ca="1" si="67"/>
        <v>0</v>
      </c>
      <c r="AL44" s="75">
        <f t="shared" ca="1" si="68"/>
        <v>0</v>
      </c>
      <c r="AM44" s="75">
        <f t="shared" ca="1" si="69"/>
        <v>0</v>
      </c>
      <c r="AN44" s="75">
        <f t="shared" ca="1" si="70"/>
        <v>0</v>
      </c>
      <c r="AO44" s="75">
        <f t="shared" ca="1" si="71"/>
        <v>0</v>
      </c>
      <c r="AP44" s="75">
        <f t="shared" ca="1" si="72"/>
        <v>0</v>
      </c>
      <c r="AQ44" s="75">
        <f t="shared" ca="1" si="73"/>
        <v>0</v>
      </c>
      <c r="AR44" s="75">
        <f t="shared" ca="1" si="74"/>
        <v>0</v>
      </c>
      <c r="AS44" s="75">
        <f t="shared" ca="1" si="75"/>
        <v>0</v>
      </c>
      <c r="AT44" s="75">
        <f t="shared" ca="1" si="76"/>
        <v>0</v>
      </c>
      <c r="AU44" s="75">
        <f t="shared" ca="1" si="77"/>
        <v>0</v>
      </c>
      <c r="AV44" s="75">
        <f t="shared" ca="1" si="78"/>
        <v>0</v>
      </c>
      <c r="AW44" s="75">
        <f t="shared" ca="1" si="79"/>
        <v>0</v>
      </c>
      <c r="AX44" s="75">
        <f t="shared" ca="1" si="80"/>
        <v>0</v>
      </c>
      <c r="AY44" s="75">
        <f t="shared" ca="1" si="81"/>
        <v>0</v>
      </c>
      <c r="AZ44" s="75">
        <f t="shared" ca="1" si="82"/>
        <v>0</v>
      </c>
      <c r="BA44" s="75">
        <f t="shared" ca="1" si="83"/>
        <v>0</v>
      </c>
      <c r="BB44" s="75">
        <f t="shared" ca="1" si="84"/>
        <v>0</v>
      </c>
      <c r="BC44" s="75">
        <f t="shared" ca="1" si="85"/>
        <v>0</v>
      </c>
      <c r="BD44" s="75">
        <f t="shared" ca="1" si="86"/>
        <v>0</v>
      </c>
      <c r="BE44" s="75">
        <f t="shared" ca="1" si="87"/>
        <v>0</v>
      </c>
      <c r="BF44" s="75">
        <f t="shared" ca="1" si="88"/>
        <v>0</v>
      </c>
      <c r="BG44" s="75">
        <f t="shared" ca="1" si="89"/>
        <v>0</v>
      </c>
      <c r="BH44" s="75">
        <f t="shared" ca="1" si="90"/>
        <v>0</v>
      </c>
      <c r="BI44" s="75">
        <f t="shared" ca="1" si="91"/>
        <v>0</v>
      </c>
      <c r="BJ44" s="75">
        <f t="shared" ca="1" si="92"/>
        <v>0</v>
      </c>
      <c r="BK44" s="75">
        <f t="shared" ca="1" si="93"/>
        <v>0</v>
      </c>
      <c r="BL44" s="75">
        <f t="shared" ca="1" si="94"/>
        <v>0</v>
      </c>
      <c r="BM44" s="75">
        <f t="shared" ca="1" si="95"/>
        <v>0</v>
      </c>
      <c r="BN44" s="75">
        <f t="shared" ca="1" si="96"/>
        <v>0</v>
      </c>
      <c r="BO44" s="75">
        <f t="shared" ca="1" si="97"/>
        <v>0</v>
      </c>
      <c r="BP44" s="75">
        <f t="shared" ca="1" si="98"/>
        <v>0</v>
      </c>
      <c r="BQ44" s="75">
        <f t="shared" ca="1" si="99"/>
        <v>0</v>
      </c>
      <c r="BR44" s="75">
        <f t="shared" ca="1" si="100"/>
        <v>0</v>
      </c>
      <c r="BS44" s="75"/>
      <c r="BT44" s="75"/>
      <c r="BU44" s="75"/>
      <c r="BV44" s="75">
        <f t="shared" ca="1" si="101"/>
        <v>0</v>
      </c>
      <c r="BW44" s="75">
        <f t="shared" ca="1" si="102"/>
        <v>0</v>
      </c>
      <c r="BX44" s="75">
        <f t="shared" ca="1" si="103"/>
        <v>0</v>
      </c>
      <c r="BY44" s="75">
        <f t="shared" ca="1" si="104"/>
        <v>0</v>
      </c>
      <c r="BZ44" s="75">
        <f t="shared" ca="1" si="105"/>
        <v>0</v>
      </c>
      <c r="CA44" s="75">
        <f t="shared" ca="1" si="106"/>
        <v>0</v>
      </c>
      <c r="CB44" s="75"/>
      <c r="CC44" s="75"/>
      <c r="CD44" s="75"/>
      <c r="CE44" s="75">
        <f t="shared" ca="1" si="107"/>
        <v>0</v>
      </c>
      <c r="CF44" s="75">
        <f t="shared" ca="1" si="108"/>
        <v>0</v>
      </c>
      <c r="CG44" s="75">
        <f t="shared" ca="1" si="109"/>
        <v>0</v>
      </c>
      <c r="CH44" s="75">
        <f t="shared" ca="1" si="110"/>
        <v>0</v>
      </c>
      <c r="CI44" s="75">
        <f t="shared" ca="1" si="111"/>
        <v>0</v>
      </c>
      <c r="CJ44" s="75">
        <f t="shared" ca="1" si="112"/>
        <v>0</v>
      </c>
      <c r="CK44" s="75">
        <f t="shared" ca="1" si="113"/>
        <v>0</v>
      </c>
      <c r="CL44" s="75">
        <f t="shared" ca="1" si="114"/>
        <v>0</v>
      </c>
      <c r="CM44" s="75">
        <f t="shared" ca="1" si="115"/>
        <v>0</v>
      </c>
      <c r="CN44" s="75">
        <f t="shared" ca="1" si="116"/>
        <v>0</v>
      </c>
      <c r="CO44" s="75">
        <f t="shared" ca="1" si="117"/>
        <v>0</v>
      </c>
      <c r="CP44" s="75">
        <f t="shared" ca="1" si="118"/>
        <v>0</v>
      </c>
      <c r="CQ44" s="75">
        <f t="shared" ca="1" si="119"/>
        <v>0</v>
      </c>
      <c r="CR44" s="75">
        <f t="shared" ca="1" si="120"/>
        <v>0</v>
      </c>
      <c r="CS44" s="75">
        <f t="shared" ca="1" si="121"/>
        <v>0</v>
      </c>
      <c r="CT44" s="75">
        <f t="shared" ca="1" si="122"/>
        <v>0</v>
      </c>
      <c r="CU44" s="75">
        <f t="shared" ca="1" si="123"/>
        <v>0</v>
      </c>
      <c r="CV44" s="75">
        <f t="shared" ca="1" si="124"/>
        <v>0</v>
      </c>
      <c r="CW44" s="75">
        <f t="shared" ca="1" si="125"/>
        <v>0</v>
      </c>
      <c r="CX44" s="75">
        <f t="shared" ca="1" si="126"/>
        <v>0</v>
      </c>
      <c r="CY44" s="75">
        <f t="shared" ca="1" si="127"/>
        <v>0</v>
      </c>
      <c r="CZ44" s="75">
        <f t="shared" ca="1" si="128"/>
        <v>0</v>
      </c>
      <c r="DA44" s="75">
        <f t="shared" ca="1" si="129"/>
        <v>0</v>
      </c>
      <c r="DB44" s="75">
        <f t="shared" ca="1" si="130"/>
        <v>0</v>
      </c>
      <c r="DC44" s="75">
        <f t="shared" ca="1" si="131"/>
        <v>0</v>
      </c>
      <c r="DD44" s="75">
        <f t="shared" ca="1" si="132"/>
        <v>0</v>
      </c>
      <c r="DE44" s="75">
        <f t="shared" ca="1" si="133"/>
        <v>0</v>
      </c>
      <c r="DF44" s="75">
        <f t="shared" ca="1" si="134"/>
        <v>0</v>
      </c>
      <c r="DG44" s="75">
        <f t="shared" ca="1" si="135"/>
        <v>0</v>
      </c>
      <c r="DH44" s="75">
        <f t="shared" ca="1" si="136"/>
        <v>0</v>
      </c>
    </row>
    <row r="45" spans="1:112">
      <c r="A45" s="14">
        <f t="shared" si="48"/>
        <v>12</v>
      </c>
      <c r="B45" s="74">
        <f t="shared" ca="1" si="49"/>
        <v>2.1590792663518994</v>
      </c>
      <c r="C45" s="74">
        <f t="shared" si="49"/>
        <v>4009.6</v>
      </c>
      <c r="P45" s="63" t="b">
        <f t="shared" si="137"/>
        <v>1</v>
      </c>
      <c r="Q45" s="75">
        <f t="shared" ca="1" si="50"/>
        <v>13.659991264343262</v>
      </c>
      <c r="R45" s="75">
        <f t="shared" ca="1" si="51"/>
        <v>9.2688751220703125</v>
      </c>
      <c r="S45" s="75">
        <f t="shared" ca="1" si="52"/>
        <v>4.645047664642334</v>
      </c>
      <c r="T45" s="75">
        <f t="shared" ca="1" si="53"/>
        <v>13.492201805114746</v>
      </c>
      <c r="U45" s="75">
        <f t="shared" ca="1" si="54"/>
        <v>8.7293596267700195</v>
      </c>
      <c r="V45" s="75">
        <f t="shared" ca="1" si="55"/>
        <v>4.6517019271850586</v>
      </c>
      <c r="W45" s="75">
        <f t="shared" ca="1" si="56"/>
        <v>13.807278633117676</v>
      </c>
      <c r="X45" s="75">
        <f t="shared" ca="1" si="57"/>
        <v>9.2940521240234375</v>
      </c>
      <c r="Y45" s="75">
        <f t="shared" ca="1" si="58"/>
        <v>4.7847824096679687</v>
      </c>
      <c r="Z45" s="75">
        <f t="shared" ca="1" si="59"/>
        <v>12.831295013427734</v>
      </c>
      <c r="AA45" s="75">
        <f t="shared" ca="1" si="60"/>
        <v>8.0177383422851562</v>
      </c>
      <c r="AB45" s="75">
        <f t="shared" ca="1" si="61"/>
        <v>4.4220480918884277</v>
      </c>
      <c r="AC45" s="75">
        <f t="shared" ca="1" si="62"/>
        <v>13.016169548034668</v>
      </c>
      <c r="AD45" s="75">
        <f t="shared" ca="1" si="63"/>
        <v>8.2274303436279297</v>
      </c>
      <c r="AE45" s="75">
        <f t="shared" ca="1" si="64"/>
        <v>4.2096590995788574</v>
      </c>
      <c r="AF45" s="75"/>
      <c r="AG45" s="75"/>
      <c r="AH45" s="75"/>
      <c r="AI45" s="75">
        <f t="shared" ca="1" si="65"/>
        <v>0</v>
      </c>
      <c r="AJ45" s="75">
        <f t="shared" ca="1" si="66"/>
        <v>0</v>
      </c>
      <c r="AK45" s="75">
        <f t="shared" ca="1" si="67"/>
        <v>0</v>
      </c>
      <c r="AL45" s="75">
        <f t="shared" ca="1" si="68"/>
        <v>0</v>
      </c>
      <c r="AM45" s="75">
        <f t="shared" ca="1" si="69"/>
        <v>0</v>
      </c>
      <c r="AN45" s="75">
        <f t="shared" ca="1" si="70"/>
        <v>0</v>
      </c>
      <c r="AO45" s="75">
        <f t="shared" ca="1" si="71"/>
        <v>0</v>
      </c>
      <c r="AP45" s="75">
        <f t="shared" ca="1" si="72"/>
        <v>0</v>
      </c>
      <c r="AQ45" s="75">
        <f t="shared" ca="1" si="73"/>
        <v>0</v>
      </c>
      <c r="AR45" s="75">
        <f t="shared" ca="1" si="74"/>
        <v>0</v>
      </c>
      <c r="AS45" s="75">
        <f t="shared" ca="1" si="75"/>
        <v>0</v>
      </c>
      <c r="AT45" s="75">
        <f t="shared" ca="1" si="76"/>
        <v>0</v>
      </c>
      <c r="AU45" s="75">
        <f t="shared" ca="1" si="77"/>
        <v>0</v>
      </c>
      <c r="AV45" s="75">
        <f t="shared" ca="1" si="78"/>
        <v>0</v>
      </c>
      <c r="AW45" s="75">
        <f t="shared" ca="1" si="79"/>
        <v>0</v>
      </c>
      <c r="AX45" s="75">
        <f t="shared" ca="1" si="80"/>
        <v>0</v>
      </c>
      <c r="AY45" s="75">
        <f t="shared" ca="1" si="81"/>
        <v>0</v>
      </c>
      <c r="AZ45" s="75">
        <f t="shared" ca="1" si="82"/>
        <v>0</v>
      </c>
      <c r="BA45" s="75">
        <f t="shared" ca="1" si="83"/>
        <v>0</v>
      </c>
      <c r="BB45" s="75">
        <f t="shared" ca="1" si="84"/>
        <v>0</v>
      </c>
      <c r="BC45" s="75">
        <f t="shared" ca="1" si="85"/>
        <v>0</v>
      </c>
      <c r="BD45" s="75">
        <f t="shared" ca="1" si="86"/>
        <v>0</v>
      </c>
      <c r="BE45" s="75">
        <f t="shared" ca="1" si="87"/>
        <v>0</v>
      </c>
      <c r="BF45" s="75">
        <f t="shared" ca="1" si="88"/>
        <v>0</v>
      </c>
      <c r="BG45" s="75">
        <f t="shared" ca="1" si="89"/>
        <v>0</v>
      </c>
      <c r="BH45" s="75">
        <f t="shared" ca="1" si="90"/>
        <v>0</v>
      </c>
      <c r="BI45" s="75">
        <f t="shared" ca="1" si="91"/>
        <v>0</v>
      </c>
      <c r="BJ45" s="75">
        <f t="shared" ca="1" si="92"/>
        <v>0</v>
      </c>
      <c r="BK45" s="75">
        <f t="shared" ca="1" si="93"/>
        <v>0</v>
      </c>
      <c r="BL45" s="75">
        <f t="shared" ca="1" si="94"/>
        <v>0</v>
      </c>
      <c r="BM45" s="75">
        <f t="shared" ca="1" si="95"/>
        <v>0</v>
      </c>
      <c r="BN45" s="75">
        <f t="shared" ca="1" si="96"/>
        <v>0</v>
      </c>
      <c r="BO45" s="75">
        <f t="shared" ca="1" si="97"/>
        <v>0</v>
      </c>
      <c r="BP45" s="75">
        <f t="shared" ca="1" si="98"/>
        <v>0</v>
      </c>
      <c r="BQ45" s="75">
        <f t="shared" ca="1" si="99"/>
        <v>0</v>
      </c>
      <c r="BR45" s="75">
        <f t="shared" ca="1" si="100"/>
        <v>0</v>
      </c>
      <c r="BS45" s="75"/>
      <c r="BT45" s="75"/>
      <c r="BU45" s="75"/>
      <c r="BV45" s="75">
        <f t="shared" ca="1" si="101"/>
        <v>0</v>
      </c>
      <c r="BW45" s="75">
        <f t="shared" ca="1" si="102"/>
        <v>0</v>
      </c>
      <c r="BX45" s="75">
        <f t="shared" ca="1" si="103"/>
        <v>0</v>
      </c>
      <c r="BY45" s="75">
        <f t="shared" ca="1" si="104"/>
        <v>0</v>
      </c>
      <c r="BZ45" s="75">
        <f t="shared" ca="1" si="105"/>
        <v>0</v>
      </c>
      <c r="CA45" s="75">
        <f t="shared" ca="1" si="106"/>
        <v>0</v>
      </c>
      <c r="CB45" s="75"/>
      <c r="CC45" s="75"/>
      <c r="CD45" s="75"/>
      <c r="CE45" s="75">
        <f t="shared" ca="1" si="107"/>
        <v>0</v>
      </c>
      <c r="CF45" s="75">
        <f t="shared" ca="1" si="108"/>
        <v>0</v>
      </c>
      <c r="CG45" s="75">
        <f t="shared" ca="1" si="109"/>
        <v>0</v>
      </c>
      <c r="CH45" s="75">
        <f t="shared" ca="1" si="110"/>
        <v>0</v>
      </c>
      <c r="CI45" s="75">
        <f t="shared" ca="1" si="111"/>
        <v>0</v>
      </c>
      <c r="CJ45" s="75">
        <f t="shared" ca="1" si="112"/>
        <v>0</v>
      </c>
      <c r="CK45" s="75">
        <f t="shared" ca="1" si="113"/>
        <v>0</v>
      </c>
      <c r="CL45" s="75">
        <f t="shared" ca="1" si="114"/>
        <v>0</v>
      </c>
      <c r="CM45" s="75">
        <f t="shared" ca="1" si="115"/>
        <v>0</v>
      </c>
      <c r="CN45" s="75">
        <f t="shared" ca="1" si="116"/>
        <v>0</v>
      </c>
      <c r="CO45" s="75">
        <f t="shared" ca="1" si="117"/>
        <v>0</v>
      </c>
      <c r="CP45" s="75">
        <f t="shared" ca="1" si="118"/>
        <v>0</v>
      </c>
      <c r="CQ45" s="75">
        <f t="shared" ca="1" si="119"/>
        <v>0</v>
      </c>
      <c r="CR45" s="75">
        <f t="shared" ca="1" si="120"/>
        <v>0</v>
      </c>
      <c r="CS45" s="75">
        <f t="shared" ca="1" si="121"/>
        <v>0</v>
      </c>
      <c r="CT45" s="75">
        <f t="shared" ca="1" si="122"/>
        <v>0</v>
      </c>
      <c r="CU45" s="75">
        <f t="shared" ca="1" si="123"/>
        <v>0</v>
      </c>
      <c r="CV45" s="75">
        <f t="shared" ca="1" si="124"/>
        <v>0</v>
      </c>
      <c r="CW45" s="75">
        <f t="shared" ca="1" si="125"/>
        <v>0</v>
      </c>
      <c r="CX45" s="75">
        <f t="shared" ca="1" si="126"/>
        <v>0</v>
      </c>
      <c r="CY45" s="75">
        <f t="shared" ca="1" si="127"/>
        <v>0</v>
      </c>
      <c r="CZ45" s="75">
        <f t="shared" ca="1" si="128"/>
        <v>0</v>
      </c>
      <c r="DA45" s="75">
        <f t="shared" ca="1" si="129"/>
        <v>0</v>
      </c>
      <c r="DB45" s="75">
        <f t="shared" ca="1" si="130"/>
        <v>0</v>
      </c>
      <c r="DC45" s="75">
        <f t="shared" ca="1" si="131"/>
        <v>0</v>
      </c>
      <c r="DD45" s="75">
        <f t="shared" ca="1" si="132"/>
        <v>0</v>
      </c>
      <c r="DE45" s="75">
        <f t="shared" ca="1" si="133"/>
        <v>0</v>
      </c>
      <c r="DF45" s="75">
        <f t="shared" ca="1" si="134"/>
        <v>0</v>
      </c>
      <c r="DG45" s="75">
        <f t="shared" ca="1" si="135"/>
        <v>0</v>
      </c>
      <c r="DH45" s="75">
        <f t="shared" ca="1" si="136"/>
        <v>0</v>
      </c>
    </row>
    <row r="46" spans="1:112">
      <c r="A46" s="14">
        <f t="shared" si="48"/>
        <v>13</v>
      </c>
      <c r="B46" s="74">
        <f t="shared" ca="1" si="49"/>
        <v>1.7769039850931945</v>
      </c>
      <c r="C46" s="74">
        <f t="shared" si="49"/>
        <v>4016.5</v>
      </c>
      <c r="P46" s="63" t="b">
        <f t="shared" si="137"/>
        <v>1</v>
      </c>
      <c r="Q46" s="75">
        <f t="shared" ca="1" si="50"/>
        <v>11.151424407958984</v>
      </c>
      <c r="R46" s="75">
        <f t="shared" ca="1" si="51"/>
        <v>7.6792826652526855</v>
      </c>
      <c r="S46" s="75">
        <f t="shared" ca="1" si="52"/>
        <v>3.6751790046691895</v>
      </c>
      <c r="T46" s="75">
        <f t="shared" ca="1" si="53"/>
        <v>10.988490104675293</v>
      </c>
      <c r="U46" s="75">
        <f t="shared" ca="1" si="54"/>
        <v>7.2068467140197754</v>
      </c>
      <c r="V46" s="75">
        <f t="shared" ca="1" si="55"/>
        <v>3.6841709613800049</v>
      </c>
      <c r="W46" s="75">
        <f t="shared" ca="1" si="56"/>
        <v>11.257888793945313</v>
      </c>
      <c r="X46" s="75">
        <f t="shared" ca="1" si="57"/>
        <v>7.5809111595153809</v>
      </c>
      <c r="Y46" s="75">
        <f t="shared" ca="1" si="58"/>
        <v>3.7733707427978516</v>
      </c>
      <c r="Z46" s="75">
        <f t="shared" ca="1" si="59"/>
        <v>10.430631637573242</v>
      </c>
      <c r="AA46" s="75">
        <f t="shared" ca="1" si="60"/>
        <v>6.602409839630127</v>
      </c>
      <c r="AB46" s="75">
        <f t="shared" ca="1" si="61"/>
        <v>3.4836511611938477</v>
      </c>
      <c r="AC46" s="75">
        <f t="shared" ca="1" si="62"/>
        <v>10.603635787963867</v>
      </c>
      <c r="AD46" s="75">
        <f t="shared" ca="1" si="63"/>
        <v>6.7764935493469238</v>
      </c>
      <c r="AE46" s="75">
        <f t="shared" ca="1" si="64"/>
        <v>3.3011150360107422</v>
      </c>
      <c r="AF46" s="75"/>
      <c r="AG46" s="75"/>
      <c r="AH46" s="75"/>
      <c r="AI46" s="75">
        <f t="shared" ca="1" si="65"/>
        <v>0</v>
      </c>
      <c r="AJ46" s="75">
        <f t="shared" ca="1" si="66"/>
        <v>0</v>
      </c>
      <c r="AK46" s="75">
        <f t="shared" ca="1" si="67"/>
        <v>0</v>
      </c>
      <c r="AL46" s="75">
        <f t="shared" ca="1" si="68"/>
        <v>0</v>
      </c>
      <c r="AM46" s="75">
        <f t="shared" ca="1" si="69"/>
        <v>0</v>
      </c>
      <c r="AN46" s="75">
        <f t="shared" ca="1" si="70"/>
        <v>0</v>
      </c>
      <c r="AO46" s="75">
        <f t="shared" ca="1" si="71"/>
        <v>0</v>
      </c>
      <c r="AP46" s="75">
        <f t="shared" ca="1" si="72"/>
        <v>0</v>
      </c>
      <c r="AQ46" s="75">
        <f t="shared" ca="1" si="73"/>
        <v>0</v>
      </c>
      <c r="AR46" s="75">
        <f t="shared" ca="1" si="74"/>
        <v>0</v>
      </c>
      <c r="AS46" s="75">
        <f t="shared" ca="1" si="75"/>
        <v>0</v>
      </c>
      <c r="AT46" s="75">
        <f t="shared" ca="1" si="76"/>
        <v>0</v>
      </c>
      <c r="AU46" s="75">
        <f t="shared" ca="1" si="77"/>
        <v>0</v>
      </c>
      <c r="AV46" s="75">
        <f t="shared" ca="1" si="78"/>
        <v>0</v>
      </c>
      <c r="AW46" s="75">
        <f t="shared" ca="1" si="79"/>
        <v>0</v>
      </c>
      <c r="AX46" s="75">
        <f t="shared" ca="1" si="80"/>
        <v>0</v>
      </c>
      <c r="AY46" s="75">
        <f t="shared" ca="1" si="81"/>
        <v>0</v>
      </c>
      <c r="AZ46" s="75">
        <f t="shared" ca="1" si="82"/>
        <v>0</v>
      </c>
      <c r="BA46" s="75">
        <f t="shared" ca="1" si="83"/>
        <v>0</v>
      </c>
      <c r="BB46" s="75">
        <f t="shared" ca="1" si="84"/>
        <v>0</v>
      </c>
      <c r="BC46" s="75">
        <f t="shared" ca="1" si="85"/>
        <v>0</v>
      </c>
      <c r="BD46" s="75">
        <f t="shared" ca="1" si="86"/>
        <v>0</v>
      </c>
      <c r="BE46" s="75">
        <f t="shared" ca="1" si="87"/>
        <v>0</v>
      </c>
      <c r="BF46" s="75">
        <f t="shared" ca="1" si="88"/>
        <v>0</v>
      </c>
      <c r="BG46" s="75">
        <f t="shared" ca="1" si="89"/>
        <v>0</v>
      </c>
      <c r="BH46" s="75">
        <f t="shared" ca="1" si="90"/>
        <v>0</v>
      </c>
      <c r="BI46" s="75">
        <f t="shared" ca="1" si="91"/>
        <v>0</v>
      </c>
      <c r="BJ46" s="75">
        <f t="shared" ca="1" si="92"/>
        <v>0</v>
      </c>
      <c r="BK46" s="75">
        <f t="shared" ca="1" si="93"/>
        <v>0</v>
      </c>
      <c r="BL46" s="75">
        <f t="shared" ca="1" si="94"/>
        <v>0</v>
      </c>
      <c r="BM46" s="75">
        <f t="shared" ca="1" si="95"/>
        <v>0</v>
      </c>
      <c r="BN46" s="75">
        <f t="shared" ca="1" si="96"/>
        <v>0</v>
      </c>
      <c r="BO46" s="75">
        <f t="shared" ca="1" si="97"/>
        <v>0</v>
      </c>
      <c r="BP46" s="75">
        <f t="shared" ca="1" si="98"/>
        <v>0</v>
      </c>
      <c r="BQ46" s="75">
        <f t="shared" ca="1" si="99"/>
        <v>0</v>
      </c>
      <c r="BR46" s="75">
        <f t="shared" ca="1" si="100"/>
        <v>0</v>
      </c>
      <c r="BS46" s="75"/>
      <c r="BT46" s="75"/>
      <c r="BU46" s="75"/>
      <c r="BV46" s="75">
        <f t="shared" ca="1" si="101"/>
        <v>0</v>
      </c>
      <c r="BW46" s="75">
        <f t="shared" ca="1" si="102"/>
        <v>0</v>
      </c>
      <c r="BX46" s="75">
        <f t="shared" ca="1" si="103"/>
        <v>0</v>
      </c>
      <c r="BY46" s="75">
        <f t="shared" ca="1" si="104"/>
        <v>0</v>
      </c>
      <c r="BZ46" s="75">
        <f t="shared" ca="1" si="105"/>
        <v>0</v>
      </c>
      <c r="CA46" s="75">
        <f t="shared" ca="1" si="106"/>
        <v>0</v>
      </c>
      <c r="CB46" s="75"/>
      <c r="CC46" s="75"/>
      <c r="CD46" s="75"/>
      <c r="CE46" s="75">
        <f t="shared" ca="1" si="107"/>
        <v>0</v>
      </c>
      <c r="CF46" s="75">
        <f t="shared" ca="1" si="108"/>
        <v>0</v>
      </c>
      <c r="CG46" s="75">
        <f t="shared" ca="1" si="109"/>
        <v>0</v>
      </c>
      <c r="CH46" s="75">
        <f t="shared" ca="1" si="110"/>
        <v>0</v>
      </c>
      <c r="CI46" s="75">
        <f t="shared" ca="1" si="111"/>
        <v>0</v>
      </c>
      <c r="CJ46" s="75">
        <f t="shared" ca="1" si="112"/>
        <v>0</v>
      </c>
      <c r="CK46" s="75">
        <f t="shared" ca="1" si="113"/>
        <v>0</v>
      </c>
      <c r="CL46" s="75">
        <f t="shared" ca="1" si="114"/>
        <v>0</v>
      </c>
      <c r="CM46" s="75">
        <f t="shared" ca="1" si="115"/>
        <v>0</v>
      </c>
      <c r="CN46" s="75">
        <f t="shared" ca="1" si="116"/>
        <v>0</v>
      </c>
      <c r="CO46" s="75">
        <f t="shared" ca="1" si="117"/>
        <v>0</v>
      </c>
      <c r="CP46" s="75">
        <f t="shared" ca="1" si="118"/>
        <v>0</v>
      </c>
      <c r="CQ46" s="75">
        <f t="shared" ca="1" si="119"/>
        <v>0</v>
      </c>
      <c r="CR46" s="75">
        <f t="shared" ca="1" si="120"/>
        <v>0</v>
      </c>
      <c r="CS46" s="75">
        <f t="shared" ca="1" si="121"/>
        <v>0</v>
      </c>
      <c r="CT46" s="75">
        <f t="shared" ca="1" si="122"/>
        <v>0</v>
      </c>
      <c r="CU46" s="75">
        <f t="shared" ca="1" si="123"/>
        <v>0</v>
      </c>
      <c r="CV46" s="75">
        <f t="shared" ca="1" si="124"/>
        <v>0</v>
      </c>
      <c r="CW46" s="75">
        <f t="shared" ca="1" si="125"/>
        <v>0</v>
      </c>
      <c r="CX46" s="75">
        <f t="shared" ca="1" si="126"/>
        <v>0</v>
      </c>
      <c r="CY46" s="75">
        <f t="shared" ca="1" si="127"/>
        <v>0</v>
      </c>
      <c r="CZ46" s="75">
        <f t="shared" ca="1" si="128"/>
        <v>0</v>
      </c>
      <c r="DA46" s="75">
        <f t="shared" ca="1" si="129"/>
        <v>0</v>
      </c>
      <c r="DB46" s="75">
        <f t="shared" ca="1" si="130"/>
        <v>0</v>
      </c>
      <c r="DC46" s="75">
        <f t="shared" ca="1" si="131"/>
        <v>0</v>
      </c>
      <c r="DD46" s="75">
        <f t="shared" ca="1" si="132"/>
        <v>0</v>
      </c>
      <c r="DE46" s="75">
        <f t="shared" ca="1" si="133"/>
        <v>0</v>
      </c>
      <c r="DF46" s="75">
        <f t="shared" ca="1" si="134"/>
        <v>0</v>
      </c>
      <c r="DG46" s="75">
        <f t="shared" ca="1" si="135"/>
        <v>0</v>
      </c>
      <c r="DH46" s="75">
        <f t="shared" ca="1" si="136"/>
        <v>0</v>
      </c>
    </row>
    <row r="47" spans="1:112">
      <c r="A47" s="14">
        <f t="shared" si="48"/>
        <v>14</v>
      </c>
      <c r="B47" s="74">
        <f t="shared" ca="1" si="49"/>
        <v>1.4370560182896255</v>
      </c>
      <c r="C47" s="74">
        <f t="shared" si="49"/>
        <v>4064.6</v>
      </c>
      <c r="P47" s="63" t="b">
        <f t="shared" si="137"/>
        <v>1</v>
      </c>
      <c r="Q47" s="75">
        <f t="shared" ca="1" si="50"/>
        <v>8.4234542846679687</v>
      </c>
      <c r="R47" s="75">
        <f t="shared" ca="1" si="51"/>
        <v>6.046349048614502</v>
      </c>
      <c r="S47" s="75">
        <f t="shared" ca="1" si="52"/>
        <v>2.6233038902282715</v>
      </c>
      <c r="T47" s="75">
        <f t="shared" ca="1" si="53"/>
        <v>8.2865972518920898</v>
      </c>
      <c r="U47" s="75">
        <f t="shared" ca="1" si="54"/>
        <v>5.6474676132202148</v>
      </c>
      <c r="V47" s="75">
        <f t="shared" ca="1" si="55"/>
        <v>2.6353530883789062</v>
      </c>
      <c r="W47" s="75">
        <f t="shared" ca="1" si="56"/>
        <v>8.5439462661743164</v>
      </c>
      <c r="X47" s="75">
        <f t="shared" ca="1" si="57"/>
        <v>6.0824966430664063</v>
      </c>
      <c r="Y47" s="75">
        <f t="shared" ca="1" si="58"/>
        <v>2.7013537883758545</v>
      </c>
      <c r="Z47" s="75">
        <f t="shared" ca="1" si="59"/>
        <v>7.8877153396606445</v>
      </c>
      <c r="AA47" s="75">
        <f t="shared" ca="1" si="60"/>
        <v>5.180427074432373</v>
      </c>
      <c r="AB47" s="75">
        <f t="shared" ca="1" si="61"/>
        <v>2.4887845516204834</v>
      </c>
      <c r="AC47" s="75">
        <f t="shared" ca="1" si="62"/>
        <v>8.0130624771118164</v>
      </c>
      <c r="AD47" s="75">
        <f t="shared" ca="1" si="63"/>
        <v>5.4023475646972656</v>
      </c>
      <c r="AE47" s="75">
        <f t="shared" ca="1" si="64"/>
        <v>2.3393387794494629</v>
      </c>
      <c r="AF47" s="75"/>
      <c r="AG47" s="75"/>
      <c r="AH47" s="75"/>
      <c r="AI47" s="75">
        <f t="shared" ca="1" si="65"/>
        <v>0</v>
      </c>
      <c r="AJ47" s="75">
        <f t="shared" ca="1" si="66"/>
        <v>0</v>
      </c>
      <c r="AK47" s="75">
        <f t="shared" ca="1" si="67"/>
        <v>0</v>
      </c>
      <c r="AL47" s="75">
        <f t="shared" ca="1" si="68"/>
        <v>0</v>
      </c>
      <c r="AM47" s="75">
        <f t="shared" ca="1" si="69"/>
        <v>0</v>
      </c>
      <c r="AN47" s="75">
        <f t="shared" ca="1" si="70"/>
        <v>0</v>
      </c>
      <c r="AO47" s="75">
        <f t="shared" ca="1" si="71"/>
        <v>0</v>
      </c>
      <c r="AP47" s="75">
        <f t="shared" ca="1" si="72"/>
        <v>0</v>
      </c>
      <c r="AQ47" s="75">
        <f t="shared" ca="1" si="73"/>
        <v>0</v>
      </c>
      <c r="AR47" s="75">
        <f t="shared" ca="1" si="74"/>
        <v>0</v>
      </c>
      <c r="AS47" s="75">
        <f t="shared" ca="1" si="75"/>
        <v>0</v>
      </c>
      <c r="AT47" s="75">
        <f t="shared" ca="1" si="76"/>
        <v>0</v>
      </c>
      <c r="AU47" s="75">
        <f t="shared" ca="1" si="77"/>
        <v>0</v>
      </c>
      <c r="AV47" s="75">
        <f t="shared" ca="1" si="78"/>
        <v>0</v>
      </c>
      <c r="AW47" s="75">
        <f t="shared" ca="1" si="79"/>
        <v>0</v>
      </c>
      <c r="AX47" s="75">
        <f t="shared" ca="1" si="80"/>
        <v>0</v>
      </c>
      <c r="AY47" s="75">
        <f t="shared" ca="1" si="81"/>
        <v>0</v>
      </c>
      <c r="AZ47" s="75">
        <f t="shared" ca="1" si="82"/>
        <v>0</v>
      </c>
      <c r="BA47" s="75">
        <f t="shared" ca="1" si="83"/>
        <v>0</v>
      </c>
      <c r="BB47" s="75">
        <f t="shared" ca="1" si="84"/>
        <v>0</v>
      </c>
      <c r="BC47" s="75">
        <f t="shared" ca="1" si="85"/>
        <v>0</v>
      </c>
      <c r="BD47" s="75">
        <f t="shared" ca="1" si="86"/>
        <v>0</v>
      </c>
      <c r="BE47" s="75">
        <f t="shared" ca="1" si="87"/>
        <v>0</v>
      </c>
      <c r="BF47" s="75">
        <f t="shared" ca="1" si="88"/>
        <v>0</v>
      </c>
      <c r="BG47" s="75">
        <f t="shared" ca="1" si="89"/>
        <v>0</v>
      </c>
      <c r="BH47" s="75">
        <f t="shared" ca="1" si="90"/>
        <v>0</v>
      </c>
      <c r="BI47" s="75">
        <f t="shared" ca="1" si="91"/>
        <v>0</v>
      </c>
      <c r="BJ47" s="75">
        <f t="shared" ca="1" si="92"/>
        <v>0</v>
      </c>
      <c r="BK47" s="75">
        <f t="shared" ca="1" si="93"/>
        <v>0</v>
      </c>
      <c r="BL47" s="75">
        <f t="shared" ca="1" si="94"/>
        <v>0</v>
      </c>
      <c r="BM47" s="75">
        <f t="shared" ca="1" si="95"/>
        <v>0</v>
      </c>
      <c r="BN47" s="75">
        <f t="shared" ca="1" si="96"/>
        <v>0</v>
      </c>
      <c r="BO47" s="75">
        <f t="shared" ca="1" si="97"/>
        <v>0</v>
      </c>
      <c r="BP47" s="75">
        <f t="shared" ca="1" si="98"/>
        <v>0</v>
      </c>
      <c r="BQ47" s="75">
        <f t="shared" ca="1" si="99"/>
        <v>0</v>
      </c>
      <c r="BR47" s="75">
        <f t="shared" ca="1" si="100"/>
        <v>0</v>
      </c>
      <c r="BS47" s="75"/>
      <c r="BT47" s="75"/>
      <c r="BU47" s="75"/>
      <c r="BV47" s="75">
        <f t="shared" ca="1" si="101"/>
        <v>0</v>
      </c>
      <c r="BW47" s="75">
        <f t="shared" ca="1" si="102"/>
        <v>0</v>
      </c>
      <c r="BX47" s="75">
        <f t="shared" ca="1" si="103"/>
        <v>0</v>
      </c>
      <c r="BY47" s="75">
        <f t="shared" ca="1" si="104"/>
        <v>0</v>
      </c>
      <c r="BZ47" s="75">
        <f t="shared" ca="1" si="105"/>
        <v>0</v>
      </c>
      <c r="CA47" s="75">
        <f t="shared" ca="1" si="106"/>
        <v>0</v>
      </c>
      <c r="CB47" s="75"/>
      <c r="CC47" s="75"/>
      <c r="CD47" s="75"/>
      <c r="CE47" s="75">
        <f t="shared" ca="1" si="107"/>
        <v>0</v>
      </c>
      <c r="CF47" s="75">
        <f t="shared" ca="1" si="108"/>
        <v>0</v>
      </c>
      <c r="CG47" s="75">
        <f t="shared" ca="1" si="109"/>
        <v>0</v>
      </c>
      <c r="CH47" s="75">
        <f t="shared" ca="1" si="110"/>
        <v>0</v>
      </c>
      <c r="CI47" s="75">
        <f t="shared" ca="1" si="111"/>
        <v>0</v>
      </c>
      <c r="CJ47" s="75">
        <f t="shared" ca="1" si="112"/>
        <v>0</v>
      </c>
      <c r="CK47" s="75">
        <f t="shared" ca="1" si="113"/>
        <v>0</v>
      </c>
      <c r="CL47" s="75">
        <f t="shared" ca="1" si="114"/>
        <v>0</v>
      </c>
      <c r="CM47" s="75">
        <f t="shared" ca="1" si="115"/>
        <v>0</v>
      </c>
      <c r="CN47" s="75">
        <f t="shared" ca="1" si="116"/>
        <v>0</v>
      </c>
      <c r="CO47" s="75">
        <f t="shared" ca="1" si="117"/>
        <v>0</v>
      </c>
      <c r="CP47" s="75">
        <f t="shared" ca="1" si="118"/>
        <v>0</v>
      </c>
      <c r="CQ47" s="75">
        <f t="shared" ca="1" si="119"/>
        <v>0</v>
      </c>
      <c r="CR47" s="75">
        <f t="shared" ca="1" si="120"/>
        <v>0</v>
      </c>
      <c r="CS47" s="75">
        <f t="shared" ca="1" si="121"/>
        <v>0</v>
      </c>
      <c r="CT47" s="75">
        <f t="shared" ca="1" si="122"/>
        <v>0</v>
      </c>
      <c r="CU47" s="75">
        <f t="shared" ca="1" si="123"/>
        <v>0</v>
      </c>
      <c r="CV47" s="75">
        <f t="shared" ca="1" si="124"/>
        <v>0</v>
      </c>
      <c r="CW47" s="75">
        <f t="shared" ca="1" si="125"/>
        <v>0</v>
      </c>
      <c r="CX47" s="75">
        <f t="shared" ca="1" si="126"/>
        <v>0</v>
      </c>
      <c r="CY47" s="75">
        <f t="shared" ca="1" si="127"/>
        <v>0</v>
      </c>
      <c r="CZ47" s="75">
        <f t="shared" ca="1" si="128"/>
        <v>0</v>
      </c>
      <c r="DA47" s="75">
        <f t="shared" ca="1" si="129"/>
        <v>0</v>
      </c>
      <c r="DB47" s="75">
        <f t="shared" ca="1" si="130"/>
        <v>0</v>
      </c>
      <c r="DC47" s="75">
        <f t="shared" ca="1" si="131"/>
        <v>0</v>
      </c>
      <c r="DD47" s="75">
        <f t="shared" ca="1" si="132"/>
        <v>0</v>
      </c>
      <c r="DE47" s="75">
        <f t="shared" ca="1" si="133"/>
        <v>0</v>
      </c>
      <c r="DF47" s="75">
        <f t="shared" ca="1" si="134"/>
        <v>0</v>
      </c>
      <c r="DG47" s="75">
        <f t="shared" ca="1" si="135"/>
        <v>0</v>
      </c>
      <c r="DH47" s="75">
        <f t="shared" ca="1" si="136"/>
        <v>0</v>
      </c>
    </row>
    <row r="48" spans="1:112">
      <c r="A48" s="14">
        <f t="shared" si="48"/>
        <v>15</v>
      </c>
      <c r="B48" s="74">
        <f t="shared" ca="1" si="49"/>
        <v>1.1960743068778694</v>
      </c>
      <c r="C48" s="74">
        <f t="shared" si="49"/>
        <v>4054.6</v>
      </c>
      <c r="P48" s="63" t="b">
        <f t="shared" si="137"/>
        <v>1</v>
      </c>
      <c r="Q48" s="75">
        <f t="shared" ca="1" si="50"/>
        <v>6.7255992889404297</v>
      </c>
      <c r="R48" s="75">
        <f t="shared" ca="1" si="51"/>
        <v>4.9148054122924805</v>
      </c>
      <c r="S48" s="75">
        <f t="shared" ca="1" si="52"/>
        <v>1.9183369874954224</v>
      </c>
      <c r="T48" s="75">
        <f t="shared" ca="1" si="53"/>
        <v>6.6223716735839844</v>
      </c>
      <c r="U48" s="75">
        <f t="shared" ca="1" si="54"/>
        <v>4.6207695007324219</v>
      </c>
      <c r="V48" s="75">
        <f t="shared" ca="1" si="55"/>
        <v>1.9339829683303833</v>
      </c>
      <c r="W48" s="75">
        <f t="shared" ca="1" si="56"/>
        <v>6.8103032112121582</v>
      </c>
      <c r="X48" s="75">
        <f t="shared" ca="1" si="57"/>
        <v>4.9405226707458496</v>
      </c>
      <c r="Y48" s="75">
        <f t="shared" ca="1" si="58"/>
        <v>1.9559231996536255</v>
      </c>
      <c r="Z48" s="75">
        <f t="shared" ca="1" si="59"/>
        <v>6.3047771453857422</v>
      </c>
      <c r="AA48" s="75">
        <f t="shared" ca="1" si="60"/>
        <v>4.2551579475402832</v>
      </c>
      <c r="AB48" s="75">
        <f t="shared" ca="1" si="61"/>
        <v>1.8214040994644165</v>
      </c>
      <c r="AC48" s="75">
        <f t="shared" ca="1" si="62"/>
        <v>6.3986530303955078</v>
      </c>
      <c r="AD48" s="75">
        <f t="shared" ca="1" si="63"/>
        <v>4.3734917640686035</v>
      </c>
      <c r="AE48" s="75">
        <f t="shared" ca="1" si="64"/>
        <v>1.6890429258346558</v>
      </c>
      <c r="AF48" s="75"/>
      <c r="AG48" s="75"/>
      <c r="AH48" s="75"/>
      <c r="AI48" s="75">
        <f t="shared" ca="1" si="65"/>
        <v>0</v>
      </c>
      <c r="AJ48" s="75">
        <f t="shared" ca="1" si="66"/>
        <v>0</v>
      </c>
      <c r="AK48" s="75">
        <f t="shared" ca="1" si="67"/>
        <v>0</v>
      </c>
      <c r="AL48" s="75">
        <f t="shared" ca="1" si="68"/>
        <v>0</v>
      </c>
      <c r="AM48" s="75">
        <f t="shared" ca="1" si="69"/>
        <v>0</v>
      </c>
      <c r="AN48" s="75">
        <f t="shared" ca="1" si="70"/>
        <v>0</v>
      </c>
      <c r="AO48" s="75">
        <f t="shared" ca="1" si="71"/>
        <v>0</v>
      </c>
      <c r="AP48" s="75">
        <f t="shared" ca="1" si="72"/>
        <v>0</v>
      </c>
      <c r="AQ48" s="75">
        <f t="shared" ca="1" si="73"/>
        <v>0</v>
      </c>
      <c r="AR48" s="75">
        <f t="shared" ca="1" si="74"/>
        <v>0</v>
      </c>
      <c r="AS48" s="75">
        <f t="shared" ca="1" si="75"/>
        <v>0</v>
      </c>
      <c r="AT48" s="75">
        <f t="shared" ca="1" si="76"/>
        <v>0</v>
      </c>
      <c r="AU48" s="75">
        <f t="shared" ca="1" si="77"/>
        <v>0</v>
      </c>
      <c r="AV48" s="75">
        <f t="shared" ca="1" si="78"/>
        <v>0</v>
      </c>
      <c r="AW48" s="75">
        <f t="shared" ca="1" si="79"/>
        <v>0</v>
      </c>
      <c r="AX48" s="75">
        <f t="shared" ca="1" si="80"/>
        <v>0</v>
      </c>
      <c r="AY48" s="75">
        <f t="shared" ca="1" si="81"/>
        <v>0</v>
      </c>
      <c r="AZ48" s="75">
        <f t="shared" ca="1" si="82"/>
        <v>0</v>
      </c>
      <c r="BA48" s="75">
        <f t="shared" ca="1" si="83"/>
        <v>0</v>
      </c>
      <c r="BB48" s="75">
        <f t="shared" ca="1" si="84"/>
        <v>0</v>
      </c>
      <c r="BC48" s="75">
        <f t="shared" ca="1" si="85"/>
        <v>0</v>
      </c>
      <c r="BD48" s="75">
        <f t="shared" ca="1" si="86"/>
        <v>0</v>
      </c>
      <c r="BE48" s="75">
        <f t="shared" ca="1" si="87"/>
        <v>0</v>
      </c>
      <c r="BF48" s="75">
        <f t="shared" ca="1" si="88"/>
        <v>0</v>
      </c>
      <c r="BG48" s="75">
        <f t="shared" ca="1" si="89"/>
        <v>0</v>
      </c>
      <c r="BH48" s="75">
        <f t="shared" ca="1" si="90"/>
        <v>0</v>
      </c>
      <c r="BI48" s="75">
        <f t="shared" ca="1" si="91"/>
        <v>0</v>
      </c>
      <c r="BJ48" s="75">
        <f t="shared" ca="1" si="92"/>
        <v>0</v>
      </c>
      <c r="BK48" s="75">
        <f t="shared" ca="1" si="93"/>
        <v>0</v>
      </c>
      <c r="BL48" s="75">
        <f t="shared" ca="1" si="94"/>
        <v>0</v>
      </c>
      <c r="BM48" s="75">
        <f t="shared" ca="1" si="95"/>
        <v>0</v>
      </c>
      <c r="BN48" s="75">
        <f t="shared" ca="1" si="96"/>
        <v>0</v>
      </c>
      <c r="BO48" s="75">
        <f t="shared" ca="1" si="97"/>
        <v>0</v>
      </c>
      <c r="BP48" s="75">
        <f t="shared" ca="1" si="98"/>
        <v>0</v>
      </c>
      <c r="BQ48" s="75">
        <f t="shared" ca="1" si="99"/>
        <v>0</v>
      </c>
      <c r="BR48" s="75">
        <f t="shared" ca="1" si="100"/>
        <v>0</v>
      </c>
      <c r="BS48" s="75"/>
      <c r="BT48" s="75"/>
      <c r="BU48" s="75"/>
      <c r="BV48" s="75">
        <f t="shared" ca="1" si="101"/>
        <v>0</v>
      </c>
      <c r="BW48" s="75">
        <f t="shared" ca="1" si="102"/>
        <v>0</v>
      </c>
      <c r="BX48" s="75">
        <f t="shared" ca="1" si="103"/>
        <v>0</v>
      </c>
      <c r="BY48" s="75">
        <f t="shared" ca="1" si="104"/>
        <v>0</v>
      </c>
      <c r="BZ48" s="75">
        <f t="shared" ca="1" si="105"/>
        <v>0</v>
      </c>
      <c r="CA48" s="75">
        <f t="shared" ca="1" si="106"/>
        <v>0</v>
      </c>
      <c r="CB48" s="75"/>
      <c r="CC48" s="75"/>
      <c r="CD48" s="75"/>
      <c r="CE48" s="75">
        <f t="shared" ca="1" si="107"/>
        <v>0</v>
      </c>
      <c r="CF48" s="75">
        <f t="shared" ca="1" si="108"/>
        <v>0</v>
      </c>
      <c r="CG48" s="75">
        <f t="shared" ca="1" si="109"/>
        <v>0</v>
      </c>
      <c r="CH48" s="75">
        <f t="shared" ca="1" si="110"/>
        <v>0</v>
      </c>
      <c r="CI48" s="75">
        <f t="shared" ca="1" si="111"/>
        <v>0</v>
      </c>
      <c r="CJ48" s="75">
        <f t="shared" ca="1" si="112"/>
        <v>0</v>
      </c>
      <c r="CK48" s="75">
        <f t="shared" ca="1" si="113"/>
        <v>0</v>
      </c>
      <c r="CL48" s="75">
        <f t="shared" ca="1" si="114"/>
        <v>0</v>
      </c>
      <c r="CM48" s="75">
        <f t="shared" ca="1" si="115"/>
        <v>0</v>
      </c>
      <c r="CN48" s="75">
        <f t="shared" ca="1" si="116"/>
        <v>0</v>
      </c>
      <c r="CO48" s="75">
        <f t="shared" ca="1" si="117"/>
        <v>0</v>
      </c>
      <c r="CP48" s="75">
        <f t="shared" ca="1" si="118"/>
        <v>0</v>
      </c>
      <c r="CQ48" s="75">
        <f t="shared" ca="1" si="119"/>
        <v>0</v>
      </c>
      <c r="CR48" s="75">
        <f t="shared" ca="1" si="120"/>
        <v>0</v>
      </c>
      <c r="CS48" s="75">
        <f t="shared" ca="1" si="121"/>
        <v>0</v>
      </c>
      <c r="CT48" s="75">
        <f t="shared" ca="1" si="122"/>
        <v>0</v>
      </c>
      <c r="CU48" s="75">
        <f t="shared" ca="1" si="123"/>
        <v>0</v>
      </c>
      <c r="CV48" s="75">
        <f t="shared" ca="1" si="124"/>
        <v>0</v>
      </c>
      <c r="CW48" s="75">
        <f t="shared" ca="1" si="125"/>
        <v>0</v>
      </c>
      <c r="CX48" s="75">
        <f t="shared" ca="1" si="126"/>
        <v>0</v>
      </c>
      <c r="CY48" s="75">
        <f t="shared" ca="1" si="127"/>
        <v>0</v>
      </c>
      <c r="CZ48" s="75">
        <f t="shared" ca="1" si="128"/>
        <v>0</v>
      </c>
      <c r="DA48" s="75">
        <f t="shared" ca="1" si="129"/>
        <v>0</v>
      </c>
      <c r="DB48" s="75">
        <f t="shared" ca="1" si="130"/>
        <v>0</v>
      </c>
      <c r="DC48" s="75">
        <f t="shared" ca="1" si="131"/>
        <v>0</v>
      </c>
      <c r="DD48" s="75">
        <f t="shared" ca="1" si="132"/>
        <v>0</v>
      </c>
      <c r="DE48" s="75">
        <f t="shared" ca="1" si="133"/>
        <v>0</v>
      </c>
      <c r="DF48" s="75">
        <f t="shared" ca="1" si="134"/>
        <v>0</v>
      </c>
      <c r="DG48" s="75">
        <f t="shared" ca="1" si="135"/>
        <v>0</v>
      </c>
      <c r="DH48" s="75">
        <f t="shared" ca="1" si="136"/>
        <v>0</v>
      </c>
    </row>
    <row r="49" spans="1:112">
      <c r="A49" s="14">
        <f t="shared" si="48"/>
        <v>16</v>
      </c>
      <c r="B49" s="74">
        <f t="shared" ca="1" si="49"/>
        <v>0.8864930899240453</v>
      </c>
      <c r="C49" s="74">
        <f t="shared" si="49"/>
        <v>4035.6</v>
      </c>
      <c r="P49" s="63" t="b">
        <f t="shared" si="137"/>
        <v>1</v>
      </c>
      <c r="Q49" s="75">
        <f t="shared" ca="1" si="50"/>
        <v>5.6397342681884766</v>
      </c>
      <c r="R49" s="75">
        <f t="shared" ca="1" si="51"/>
        <v>3.937563419342041</v>
      </c>
      <c r="S49" s="75">
        <f t="shared" ca="1" si="52"/>
        <v>1.7832783460617065</v>
      </c>
      <c r="T49" s="75">
        <f t="shared" ca="1" si="53"/>
        <v>5.5892000198364258</v>
      </c>
      <c r="U49" s="75">
        <f t="shared" ca="1" si="54"/>
        <v>3.6501815319061279</v>
      </c>
      <c r="V49" s="75">
        <f t="shared" ca="1" si="55"/>
        <v>1.8138508796691895</v>
      </c>
      <c r="W49" s="75">
        <f t="shared" ca="1" si="56"/>
        <v>5.8397150039672852</v>
      </c>
      <c r="X49" s="75">
        <f t="shared" ca="1" si="57"/>
        <v>3.9819834232330322</v>
      </c>
      <c r="Y49" s="75">
        <f t="shared" ca="1" si="58"/>
        <v>1.9016120433807373</v>
      </c>
      <c r="Z49" s="75">
        <f t="shared" ca="1" si="59"/>
        <v>5.2895889282226562</v>
      </c>
      <c r="AA49" s="75">
        <f t="shared" ca="1" si="60"/>
        <v>3.3036327362060547</v>
      </c>
      <c r="AB49" s="75">
        <f t="shared" ca="1" si="61"/>
        <v>1.6989340782165527</v>
      </c>
      <c r="AC49" s="75">
        <f t="shared" ca="1" si="62"/>
        <v>5.3780694007873535</v>
      </c>
      <c r="AD49" s="75">
        <f t="shared" ca="1" si="63"/>
        <v>3.4658470153808594</v>
      </c>
      <c r="AE49" s="75">
        <f t="shared" ca="1" si="64"/>
        <v>1.5957068204879761</v>
      </c>
      <c r="AF49" s="75"/>
      <c r="AG49" s="75"/>
      <c r="AH49" s="75"/>
      <c r="AI49" s="75">
        <f t="shared" ca="1" si="65"/>
        <v>0</v>
      </c>
      <c r="AJ49" s="75">
        <f t="shared" ca="1" si="66"/>
        <v>0</v>
      </c>
      <c r="AK49" s="75">
        <f t="shared" ca="1" si="67"/>
        <v>0</v>
      </c>
      <c r="AL49" s="75">
        <f t="shared" ca="1" si="68"/>
        <v>0</v>
      </c>
      <c r="AM49" s="75">
        <f t="shared" ca="1" si="69"/>
        <v>0</v>
      </c>
      <c r="AN49" s="75">
        <f t="shared" ca="1" si="70"/>
        <v>0</v>
      </c>
      <c r="AO49" s="75">
        <f t="shared" ca="1" si="71"/>
        <v>0</v>
      </c>
      <c r="AP49" s="75">
        <f t="shared" ca="1" si="72"/>
        <v>0</v>
      </c>
      <c r="AQ49" s="75">
        <f t="shared" ca="1" si="73"/>
        <v>0</v>
      </c>
      <c r="AR49" s="75">
        <f t="shared" ca="1" si="74"/>
        <v>0</v>
      </c>
      <c r="AS49" s="75">
        <f t="shared" ca="1" si="75"/>
        <v>0</v>
      </c>
      <c r="AT49" s="75">
        <f t="shared" ca="1" si="76"/>
        <v>0</v>
      </c>
      <c r="AU49" s="75">
        <f t="shared" ca="1" si="77"/>
        <v>0</v>
      </c>
      <c r="AV49" s="75">
        <f t="shared" ca="1" si="78"/>
        <v>0</v>
      </c>
      <c r="AW49" s="75">
        <f t="shared" ca="1" si="79"/>
        <v>0</v>
      </c>
      <c r="AX49" s="75">
        <f t="shared" ca="1" si="80"/>
        <v>0</v>
      </c>
      <c r="AY49" s="75">
        <f t="shared" ca="1" si="81"/>
        <v>0</v>
      </c>
      <c r="AZ49" s="75">
        <f t="shared" ca="1" si="82"/>
        <v>0</v>
      </c>
      <c r="BA49" s="75">
        <f t="shared" ca="1" si="83"/>
        <v>0</v>
      </c>
      <c r="BB49" s="75">
        <f t="shared" ca="1" si="84"/>
        <v>0</v>
      </c>
      <c r="BC49" s="75">
        <f t="shared" ca="1" si="85"/>
        <v>0</v>
      </c>
      <c r="BD49" s="75">
        <f t="shared" ca="1" si="86"/>
        <v>0</v>
      </c>
      <c r="BE49" s="75">
        <f t="shared" ca="1" si="87"/>
        <v>0</v>
      </c>
      <c r="BF49" s="75">
        <f t="shared" ca="1" si="88"/>
        <v>0</v>
      </c>
      <c r="BG49" s="75">
        <f t="shared" ca="1" si="89"/>
        <v>0</v>
      </c>
      <c r="BH49" s="75">
        <f t="shared" ca="1" si="90"/>
        <v>0</v>
      </c>
      <c r="BI49" s="75">
        <f t="shared" ca="1" si="91"/>
        <v>0</v>
      </c>
      <c r="BJ49" s="75">
        <f t="shared" ca="1" si="92"/>
        <v>0</v>
      </c>
      <c r="BK49" s="75">
        <f t="shared" ca="1" si="93"/>
        <v>0</v>
      </c>
      <c r="BL49" s="75">
        <f t="shared" ca="1" si="94"/>
        <v>0</v>
      </c>
      <c r="BM49" s="75">
        <f t="shared" ca="1" si="95"/>
        <v>0</v>
      </c>
      <c r="BN49" s="75">
        <f t="shared" ca="1" si="96"/>
        <v>0</v>
      </c>
      <c r="BO49" s="75">
        <f t="shared" ca="1" si="97"/>
        <v>0</v>
      </c>
      <c r="BP49" s="75">
        <f t="shared" ca="1" si="98"/>
        <v>0</v>
      </c>
      <c r="BQ49" s="75">
        <f t="shared" ca="1" si="99"/>
        <v>0</v>
      </c>
      <c r="BR49" s="75">
        <f t="shared" ca="1" si="100"/>
        <v>0</v>
      </c>
      <c r="BS49" s="75"/>
      <c r="BT49" s="75"/>
      <c r="BU49" s="75"/>
      <c r="BV49" s="75">
        <f t="shared" ca="1" si="101"/>
        <v>0</v>
      </c>
      <c r="BW49" s="75">
        <f t="shared" ca="1" si="102"/>
        <v>0</v>
      </c>
      <c r="BX49" s="75">
        <f t="shared" ca="1" si="103"/>
        <v>0</v>
      </c>
      <c r="BY49" s="75">
        <f t="shared" ca="1" si="104"/>
        <v>0</v>
      </c>
      <c r="BZ49" s="75">
        <f t="shared" ca="1" si="105"/>
        <v>0</v>
      </c>
      <c r="CA49" s="75">
        <f t="shared" ca="1" si="106"/>
        <v>0</v>
      </c>
      <c r="CB49" s="75"/>
      <c r="CC49" s="75"/>
      <c r="CD49" s="75"/>
      <c r="CE49" s="75">
        <f t="shared" ca="1" si="107"/>
        <v>0</v>
      </c>
      <c r="CF49" s="75">
        <f t="shared" ca="1" si="108"/>
        <v>0</v>
      </c>
      <c r="CG49" s="75">
        <f t="shared" ca="1" si="109"/>
        <v>0</v>
      </c>
      <c r="CH49" s="75">
        <f t="shared" ca="1" si="110"/>
        <v>0</v>
      </c>
      <c r="CI49" s="75">
        <f t="shared" ca="1" si="111"/>
        <v>0</v>
      </c>
      <c r="CJ49" s="75">
        <f t="shared" ca="1" si="112"/>
        <v>0</v>
      </c>
      <c r="CK49" s="75">
        <f t="shared" ca="1" si="113"/>
        <v>0</v>
      </c>
      <c r="CL49" s="75">
        <f t="shared" ca="1" si="114"/>
        <v>0</v>
      </c>
      <c r="CM49" s="75">
        <f t="shared" ca="1" si="115"/>
        <v>0</v>
      </c>
      <c r="CN49" s="75">
        <f t="shared" ca="1" si="116"/>
        <v>0</v>
      </c>
      <c r="CO49" s="75">
        <f t="shared" ca="1" si="117"/>
        <v>0</v>
      </c>
      <c r="CP49" s="75">
        <f t="shared" ca="1" si="118"/>
        <v>0</v>
      </c>
      <c r="CQ49" s="75">
        <f t="shared" ca="1" si="119"/>
        <v>0</v>
      </c>
      <c r="CR49" s="75">
        <f t="shared" ca="1" si="120"/>
        <v>0</v>
      </c>
      <c r="CS49" s="75">
        <f t="shared" ca="1" si="121"/>
        <v>0</v>
      </c>
      <c r="CT49" s="75">
        <f t="shared" ca="1" si="122"/>
        <v>0</v>
      </c>
      <c r="CU49" s="75">
        <f t="shared" ca="1" si="123"/>
        <v>0</v>
      </c>
      <c r="CV49" s="75">
        <f t="shared" ca="1" si="124"/>
        <v>0</v>
      </c>
      <c r="CW49" s="75">
        <f t="shared" ca="1" si="125"/>
        <v>0</v>
      </c>
      <c r="CX49" s="75">
        <f t="shared" ca="1" si="126"/>
        <v>0</v>
      </c>
      <c r="CY49" s="75">
        <f t="shared" ca="1" si="127"/>
        <v>0</v>
      </c>
      <c r="CZ49" s="75">
        <f t="shared" ca="1" si="128"/>
        <v>0</v>
      </c>
      <c r="DA49" s="75">
        <f t="shared" ca="1" si="129"/>
        <v>0</v>
      </c>
      <c r="DB49" s="75">
        <f t="shared" ca="1" si="130"/>
        <v>0</v>
      </c>
      <c r="DC49" s="75">
        <f t="shared" ca="1" si="131"/>
        <v>0</v>
      </c>
      <c r="DD49" s="75">
        <f t="shared" ca="1" si="132"/>
        <v>0</v>
      </c>
      <c r="DE49" s="75">
        <f t="shared" ca="1" si="133"/>
        <v>0</v>
      </c>
      <c r="DF49" s="75">
        <f t="shared" ca="1" si="134"/>
        <v>0</v>
      </c>
      <c r="DG49" s="75">
        <f t="shared" ca="1" si="135"/>
        <v>0</v>
      </c>
      <c r="DH49" s="75">
        <f t="shared" ca="1" si="136"/>
        <v>0</v>
      </c>
    </row>
    <row r="50" spans="1:112">
      <c r="A50" s="14">
        <f t="shared" si="48"/>
        <v>17</v>
      </c>
      <c r="B50" s="74">
        <f t="shared" ref="B50:C58" ca="1" si="138">B19</f>
        <v>0.66310300227883046</v>
      </c>
      <c r="C50" s="74">
        <f t="shared" si="138"/>
        <v>4046.8</v>
      </c>
      <c r="P50" s="63" t="b">
        <f t="shared" si="137"/>
        <v>1</v>
      </c>
      <c r="Q50" s="75">
        <f t="shared" ca="1" si="50"/>
        <v>4.223146915435791</v>
      </c>
      <c r="R50" s="75">
        <f t="shared" ca="1" si="51"/>
        <v>2.9560048580169678</v>
      </c>
      <c r="S50" s="75">
        <f t="shared" ca="1" si="52"/>
        <v>1.2919596433639526</v>
      </c>
      <c r="T50" s="75">
        <f t="shared" ca="1" si="53"/>
        <v>4.1772880554199219</v>
      </c>
      <c r="U50" s="75">
        <f t="shared" ca="1" si="54"/>
        <v>2.7243731021881104</v>
      </c>
      <c r="V50" s="75">
        <f t="shared" ca="1" si="55"/>
        <v>1.3194748163223267</v>
      </c>
      <c r="W50" s="75">
        <f t="shared" ca="1" si="56"/>
        <v>4.3634209632873535</v>
      </c>
      <c r="X50" s="75">
        <f t="shared" ca="1" si="57"/>
        <v>2.9319067001342773</v>
      </c>
      <c r="Y50" s="75">
        <f t="shared" ca="1" si="58"/>
        <v>1.3836772441864014</v>
      </c>
      <c r="Z50" s="75">
        <f t="shared" ca="1" si="59"/>
        <v>3.9548277854919434</v>
      </c>
      <c r="AA50" s="75">
        <f t="shared" ca="1" si="60"/>
        <v>2.4893240928649902</v>
      </c>
      <c r="AB50" s="75">
        <f t="shared" ca="1" si="61"/>
        <v>1.2311742305755615</v>
      </c>
      <c r="AC50" s="75">
        <f t="shared" ca="1" si="62"/>
        <v>4.0235261917114258</v>
      </c>
      <c r="AD50" s="75">
        <f t="shared" ca="1" si="63"/>
        <v>2.5427360534667969</v>
      </c>
      <c r="AE50" s="75">
        <f t="shared" ca="1" si="64"/>
        <v>1.1491678953170776</v>
      </c>
      <c r="AF50" s="75"/>
      <c r="AG50" s="75"/>
      <c r="AH50" s="75"/>
      <c r="AI50" s="75">
        <f t="shared" ca="1" si="65"/>
        <v>0</v>
      </c>
      <c r="AJ50" s="75">
        <f t="shared" ca="1" si="66"/>
        <v>0</v>
      </c>
      <c r="AK50" s="75">
        <f t="shared" ca="1" si="67"/>
        <v>0</v>
      </c>
      <c r="AL50" s="75">
        <f t="shared" ca="1" si="68"/>
        <v>0</v>
      </c>
      <c r="AM50" s="75">
        <f t="shared" ca="1" si="69"/>
        <v>0</v>
      </c>
      <c r="AN50" s="75">
        <f t="shared" ca="1" si="70"/>
        <v>0</v>
      </c>
      <c r="AO50" s="75">
        <f t="shared" ca="1" si="71"/>
        <v>0</v>
      </c>
      <c r="AP50" s="75">
        <f t="shared" ca="1" si="72"/>
        <v>0</v>
      </c>
      <c r="AQ50" s="75">
        <f t="shared" ca="1" si="73"/>
        <v>0</v>
      </c>
      <c r="AR50" s="75">
        <f t="shared" ca="1" si="74"/>
        <v>0</v>
      </c>
      <c r="AS50" s="75">
        <f t="shared" ca="1" si="75"/>
        <v>0</v>
      </c>
      <c r="AT50" s="75">
        <f t="shared" ca="1" si="76"/>
        <v>0</v>
      </c>
      <c r="AU50" s="75">
        <f t="shared" ca="1" si="77"/>
        <v>0</v>
      </c>
      <c r="AV50" s="75">
        <f t="shared" ca="1" si="78"/>
        <v>0</v>
      </c>
      <c r="AW50" s="75">
        <f t="shared" ca="1" si="79"/>
        <v>0</v>
      </c>
      <c r="AX50" s="75">
        <f t="shared" ca="1" si="80"/>
        <v>0</v>
      </c>
      <c r="AY50" s="75">
        <f t="shared" ca="1" si="81"/>
        <v>0</v>
      </c>
      <c r="AZ50" s="75">
        <f t="shared" ca="1" si="82"/>
        <v>0</v>
      </c>
      <c r="BA50" s="75">
        <f t="shared" ca="1" si="83"/>
        <v>0</v>
      </c>
      <c r="BB50" s="75">
        <f t="shared" ca="1" si="84"/>
        <v>0</v>
      </c>
      <c r="BC50" s="75">
        <f t="shared" ca="1" si="85"/>
        <v>0</v>
      </c>
      <c r="BD50" s="75">
        <f t="shared" ca="1" si="86"/>
        <v>0</v>
      </c>
      <c r="BE50" s="75">
        <f t="shared" ca="1" si="87"/>
        <v>0</v>
      </c>
      <c r="BF50" s="75">
        <f t="shared" ca="1" si="88"/>
        <v>0</v>
      </c>
      <c r="BG50" s="75">
        <f t="shared" ca="1" si="89"/>
        <v>0</v>
      </c>
      <c r="BH50" s="75">
        <f t="shared" ca="1" si="90"/>
        <v>0</v>
      </c>
      <c r="BI50" s="75">
        <f t="shared" ca="1" si="91"/>
        <v>0</v>
      </c>
      <c r="BJ50" s="75">
        <f t="shared" ca="1" si="92"/>
        <v>0</v>
      </c>
      <c r="BK50" s="75">
        <f t="shared" ca="1" si="93"/>
        <v>0</v>
      </c>
      <c r="BL50" s="75">
        <f t="shared" ca="1" si="94"/>
        <v>0</v>
      </c>
      <c r="BM50" s="75">
        <f t="shared" ca="1" si="95"/>
        <v>0</v>
      </c>
      <c r="BN50" s="75">
        <f t="shared" ca="1" si="96"/>
        <v>0</v>
      </c>
      <c r="BO50" s="75">
        <f t="shared" ca="1" si="97"/>
        <v>0</v>
      </c>
      <c r="BP50" s="75">
        <f t="shared" ca="1" si="98"/>
        <v>0</v>
      </c>
      <c r="BQ50" s="75">
        <f t="shared" ca="1" si="99"/>
        <v>0</v>
      </c>
      <c r="BR50" s="75">
        <f t="shared" ca="1" si="100"/>
        <v>0</v>
      </c>
      <c r="BS50" s="75"/>
      <c r="BT50" s="75"/>
      <c r="BU50" s="75"/>
      <c r="BV50" s="75">
        <f t="shared" ca="1" si="101"/>
        <v>0</v>
      </c>
      <c r="BW50" s="75">
        <f t="shared" ca="1" si="102"/>
        <v>0</v>
      </c>
      <c r="BX50" s="75">
        <f t="shared" ca="1" si="103"/>
        <v>0</v>
      </c>
      <c r="BY50" s="75">
        <f t="shared" ca="1" si="104"/>
        <v>0</v>
      </c>
      <c r="BZ50" s="75">
        <f t="shared" ca="1" si="105"/>
        <v>0</v>
      </c>
      <c r="CA50" s="75">
        <f t="shared" ca="1" si="106"/>
        <v>0</v>
      </c>
      <c r="CB50" s="75"/>
      <c r="CC50" s="75"/>
      <c r="CD50" s="75"/>
      <c r="CE50" s="75">
        <f t="shared" ca="1" si="107"/>
        <v>0</v>
      </c>
      <c r="CF50" s="75">
        <f t="shared" ca="1" si="108"/>
        <v>0</v>
      </c>
      <c r="CG50" s="75">
        <f t="shared" ca="1" si="109"/>
        <v>0</v>
      </c>
      <c r="CH50" s="75">
        <f t="shared" ca="1" si="110"/>
        <v>0</v>
      </c>
      <c r="CI50" s="75">
        <f t="shared" ca="1" si="111"/>
        <v>0</v>
      </c>
      <c r="CJ50" s="75">
        <f t="shared" ca="1" si="112"/>
        <v>0</v>
      </c>
      <c r="CK50" s="75">
        <f t="shared" ca="1" si="113"/>
        <v>0</v>
      </c>
      <c r="CL50" s="75">
        <f t="shared" ca="1" si="114"/>
        <v>0</v>
      </c>
      <c r="CM50" s="75">
        <f t="shared" ca="1" si="115"/>
        <v>0</v>
      </c>
      <c r="CN50" s="75">
        <f t="shared" ca="1" si="116"/>
        <v>0</v>
      </c>
      <c r="CO50" s="75">
        <f t="shared" ca="1" si="117"/>
        <v>0</v>
      </c>
      <c r="CP50" s="75">
        <f t="shared" ca="1" si="118"/>
        <v>0</v>
      </c>
      <c r="CQ50" s="75">
        <f t="shared" ca="1" si="119"/>
        <v>0</v>
      </c>
      <c r="CR50" s="75">
        <f t="shared" ca="1" si="120"/>
        <v>0</v>
      </c>
      <c r="CS50" s="75">
        <f t="shared" ca="1" si="121"/>
        <v>0</v>
      </c>
      <c r="CT50" s="75">
        <f t="shared" ca="1" si="122"/>
        <v>0</v>
      </c>
      <c r="CU50" s="75">
        <f t="shared" ca="1" si="123"/>
        <v>0</v>
      </c>
      <c r="CV50" s="75">
        <f t="shared" ca="1" si="124"/>
        <v>0</v>
      </c>
      <c r="CW50" s="75">
        <f t="shared" ca="1" si="125"/>
        <v>0</v>
      </c>
      <c r="CX50" s="75">
        <f t="shared" ca="1" si="126"/>
        <v>0</v>
      </c>
      <c r="CY50" s="75">
        <f t="shared" ca="1" si="127"/>
        <v>0</v>
      </c>
      <c r="CZ50" s="75">
        <f t="shared" ca="1" si="128"/>
        <v>0</v>
      </c>
      <c r="DA50" s="75">
        <f t="shared" ca="1" si="129"/>
        <v>0</v>
      </c>
      <c r="DB50" s="75">
        <f t="shared" ca="1" si="130"/>
        <v>0</v>
      </c>
      <c r="DC50" s="75">
        <f t="shared" ca="1" si="131"/>
        <v>0</v>
      </c>
      <c r="DD50" s="75">
        <f t="shared" ca="1" si="132"/>
        <v>0</v>
      </c>
      <c r="DE50" s="75">
        <f t="shared" ca="1" si="133"/>
        <v>0</v>
      </c>
      <c r="DF50" s="75">
        <f t="shared" ca="1" si="134"/>
        <v>0</v>
      </c>
      <c r="DG50" s="75">
        <f t="shared" ca="1" si="135"/>
        <v>0</v>
      </c>
      <c r="DH50" s="75">
        <f t="shared" ca="1" si="136"/>
        <v>0</v>
      </c>
    </row>
    <row r="51" spans="1:112">
      <c r="A51" s="14">
        <f t="shared" si="48"/>
        <v>18</v>
      </c>
      <c r="B51" s="74">
        <f t="shared" ca="1" si="138"/>
        <v>0.15701835940156691</v>
      </c>
      <c r="C51" s="74">
        <f t="shared" si="138"/>
        <v>3830.6</v>
      </c>
      <c r="P51" s="63" t="b">
        <f t="shared" si="137"/>
        <v>1</v>
      </c>
      <c r="Q51" s="75">
        <f t="shared" ca="1" si="50"/>
        <v>1.7081058025360107</v>
      </c>
      <c r="R51" s="75">
        <f t="shared" ca="1" si="51"/>
        <v>0.95134550333023071</v>
      </c>
      <c r="S51" s="75">
        <f t="shared" ca="1" si="52"/>
        <v>0.68536442518234253</v>
      </c>
      <c r="T51" s="75">
        <f t="shared" ca="1" si="53"/>
        <v>1.7181767225265503</v>
      </c>
      <c r="U51" s="75">
        <f t="shared" ca="1" si="54"/>
        <v>0.85657066106796265</v>
      </c>
      <c r="V51" s="75">
        <f t="shared" ca="1" si="55"/>
        <v>0.71162080764770508</v>
      </c>
      <c r="W51" s="75">
        <f t="shared" ca="1" si="56"/>
        <v>1.8244613409042358</v>
      </c>
      <c r="X51" s="75">
        <f t="shared" ca="1" si="57"/>
        <v>1.0038583278656006</v>
      </c>
      <c r="Y51" s="75">
        <f t="shared" ca="1" si="58"/>
        <v>0.78373605012893677</v>
      </c>
      <c r="Z51" s="75">
        <f t="shared" ca="1" si="59"/>
        <v>1.6070365905761719</v>
      </c>
      <c r="AA51" s="75">
        <f t="shared" ca="1" si="60"/>
        <v>0.73625868558883667</v>
      </c>
      <c r="AB51" s="75">
        <f t="shared" ca="1" si="61"/>
        <v>0.65946769714355469</v>
      </c>
      <c r="AC51" s="75">
        <f t="shared" ca="1" si="62"/>
        <v>1.643004298210144</v>
      </c>
      <c r="AD51" s="75">
        <f t="shared" ca="1" si="63"/>
        <v>0.75963771343231201</v>
      </c>
      <c r="AE51" s="75">
        <f t="shared" ca="1" si="64"/>
        <v>0.63231205940246582</v>
      </c>
      <c r="AF51" s="75"/>
      <c r="AG51" s="75"/>
      <c r="AH51" s="75"/>
      <c r="AI51" s="75">
        <f t="shared" ca="1" si="65"/>
        <v>0</v>
      </c>
      <c r="AJ51" s="75">
        <f t="shared" ca="1" si="66"/>
        <v>0</v>
      </c>
      <c r="AK51" s="75">
        <f t="shared" ca="1" si="67"/>
        <v>0</v>
      </c>
      <c r="AL51" s="75">
        <f t="shared" ca="1" si="68"/>
        <v>0</v>
      </c>
      <c r="AM51" s="75">
        <f t="shared" ca="1" si="69"/>
        <v>0</v>
      </c>
      <c r="AN51" s="75">
        <f t="shared" ca="1" si="70"/>
        <v>0</v>
      </c>
      <c r="AO51" s="75">
        <f t="shared" ca="1" si="71"/>
        <v>0</v>
      </c>
      <c r="AP51" s="75">
        <f t="shared" ca="1" si="72"/>
        <v>0</v>
      </c>
      <c r="AQ51" s="75">
        <f t="shared" ca="1" si="73"/>
        <v>0</v>
      </c>
      <c r="AR51" s="75">
        <f t="shared" ca="1" si="74"/>
        <v>0</v>
      </c>
      <c r="AS51" s="75">
        <f t="shared" ca="1" si="75"/>
        <v>0</v>
      </c>
      <c r="AT51" s="75">
        <f t="shared" ca="1" si="76"/>
        <v>0</v>
      </c>
      <c r="AU51" s="75">
        <f t="shared" ca="1" si="77"/>
        <v>0</v>
      </c>
      <c r="AV51" s="75">
        <f t="shared" ca="1" si="78"/>
        <v>0</v>
      </c>
      <c r="AW51" s="75">
        <f t="shared" ca="1" si="79"/>
        <v>0</v>
      </c>
      <c r="AX51" s="75">
        <f t="shared" ca="1" si="80"/>
        <v>0</v>
      </c>
      <c r="AY51" s="75">
        <f t="shared" ca="1" si="81"/>
        <v>0</v>
      </c>
      <c r="AZ51" s="75">
        <f t="shared" ca="1" si="82"/>
        <v>0</v>
      </c>
      <c r="BA51" s="75">
        <f t="shared" ca="1" si="83"/>
        <v>0</v>
      </c>
      <c r="BB51" s="75">
        <f t="shared" ca="1" si="84"/>
        <v>0</v>
      </c>
      <c r="BC51" s="75">
        <f t="shared" ca="1" si="85"/>
        <v>0</v>
      </c>
      <c r="BD51" s="75">
        <f t="shared" ca="1" si="86"/>
        <v>0</v>
      </c>
      <c r="BE51" s="75">
        <f t="shared" ca="1" si="87"/>
        <v>0</v>
      </c>
      <c r="BF51" s="75">
        <f t="shared" ca="1" si="88"/>
        <v>0</v>
      </c>
      <c r="BG51" s="75">
        <f t="shared" ca="1" si="89"/>
        <v>0</v>
      </c>
      <c r="BH51" s="75">
        <f t="shared" ca="1" si="90"/>
        <v>0</v>
      </c>
      <c r="BI51" s="75">
        <f t="shared" ca="1" si="91"/>
        <v>0</v>
      </c>
      <c r="BJ51" s="75">
        <f t="shared" ca="1" si="92"/>
        <v>0</v>
      </c>
      <c r="BK51" s="75">
        <f t="shared" ca="1" si="93"/>
        <v>0</v>
      </c>
      <c r="BL51" s="75">
        <f t="shared" ca="1" si="94"/>
        <v>0</v>
      </c>
      <c r="BM51" s="75">
        <f t="shared" ca="1" si="95"/>
        <v>0</v>
      </c>
      <c r="BN51" s="75">
        <f t="shared" ca="1" si="96"/>
        <v>0</v>
      </c>
      <c r="BO51" s="75">
        <f t="shared" ca="1" si="97"/>
        <v>0</v>
      </c>
      <c r="BP51" s="75">
        <f t="shared" ca="1" si="98"/>
        <v>0</v>
      </c>
      <c r="BQ51" s="75">
        <f t="shared" ca="1" si="99"/>
        <v>0</v>
      </c>
      <c r="BR51" s="75">
        <f t="shared" ca="1" si="100"/>
        <v>0</v>
      </c>
      <c r="BS51" s="75"/>
      <c r="BT51" s="75"/>
      <c r="BU51" s="75"/>
      <c r="BV51" s="75">
        <f t="shared" ca="1" si="101"/>
        <v>0</v>
      </c>
      <c r="BW51" s="75">
        <f t="shared" ca="1" si="102"/>
        <v>0</v>
      </c>
      <c r="BX51" s="75">
        <f t="shared" ca="1" si="103"/>
        <v>0</v>
      </c>
      <c r="BY51" s="75">
        <f t="shared" ca="1" si="104"/>
        <v>0</v>
      </c>
      <c r="BZ51" s="75">
        <f t="shared" ca="1" si="105"/>
        <v>0</v>
      </c>
      <c r="CA51" s="75">
        <f t="shared" ca="1" si="106"/>
        <v>0</v>
      </c>
      <c r="CB51" s="75"/>
      <c r="CC51" s="75"/>
      <c r="CD51" s="75"/>
      <c r="CE51" s="75">
        <f t="shared" ca="1" si="107"/>
        <v>0</v>
      </c>
      <c r="CF51" s="75">
        <f t="shared" ca="1" si="108"/>
        <v>0</v>
      </c>
      <c r="CG51" s="75">
        <f t="shared" ca="1" si="109"/>
        <v>0</v>
      </c>
      <c r="CH51" s="75">
        <f t="shared" ca="1" si="110"/>
        <v>0</v>
      </c>
      <c r="CI51" s="75">
        <f t="shared" ca="1" si="111"/>
        <v>0</v>
      </c>
      <c r="CJ51" s="75">
        <f t="shared" ca="1" si="112"/>
        <v>0</v>
      </c>
      <c r="CK51" s="75">
        <f t="shared" ca="1" si="113"/>
        <v>0</v>
      </c>
      <c r="CL51" s="75">
        <f t="shared" ca="1" si="114"/>
        <v>0</v>
      </c>
      <c r="CM51" s="75">
        <f t="shared" ca="1" si="115"/>
        <v>0</v>
      </c>
      <c r="CN51" s="75">
        <f t="shared" ca="1" si="116"/>
        <v>0</v>
      </c>
      <c r="CO51" s="75">
        <f t="shared" ca="1" si="117"/>
        <v>0</v>
      </c>
      <c r="CP51" s="75">
        <f t="shared" ca="1" si="118"/>
        <v>0</v>
      </c>
      <c r="CQ51" s="75">
        <f t="shared" ca="1" si="119"/>
        <v>0</v>
      </c>
      <c r="CR51" s="75">
        <f t="shared" ca="1" si="120"/>
        <v>0</v>
      </c>
      <c r="CS51" s="75">
        <f t="shared" ca="1" si="121"/>
        <v>0</v>
      </c>
      <c r="CT51" s="75">
        <f t="shared" ca="1" si="122"/>
        <v>0</v>
      </c>
      <c r="CU51" s="75">
        <f t="shared" ca="1" si="123"/>
        <v>0</v>
      </c>
      <c r="CV51" s="75">
        <f t="shared" ca="1" si="124"/>
        <v>0</v>
      </c>
      <c r="CW51" s="75">
        <f t="shared" ca="1" si="125"/>
        <v>0</v>
      </c>
      <c r="CX51" s="75">
        <f t="shared" ca="1" si="126"/>
        <v>0</v>
      </c>
      <c r="CY51" s="75">
        <f t="shared" ca="1" si="127"/>
        <v>0</v>
      </c>
      <c r="CZ51" s="75">
        <f t="shared" ca="1" si="128"/>
        <v>0</v>
      </c>
      <c r="DA51" s="75">
        <f t="shared" ca="1" si="129"/>
        <v>0</v>
      </c>
      <c r="DB51" s="75">
        <f t="shared" ca="1" si="130"/>
        <v>0</v>
      </c>
      <c r="DC51" s="75">
        <f t="shared" ca="1" si="131"/>
        <v>0</v>
      </c>
      <c r="DD51" s="75">
        <f t="shared" ca="1" si="132"/>
        <v>0</v>
      </c>
      <c r="DE51" s="75">
        <f t="shared" ca="1" si="133"/>
        <v>0</v>
      </c>
      <c r="DF51" s="75">
        <f t="shared" ca="1" si="134"/>
        <v>0</v>
      </c>
      <c r="DG51" s="75">
        <f t="shared" ca="1" si="135"/>
        <v>0</v>
      </c>
      <c r="DH51" s="75">
        <f t="shared" ca="1" si="136"/>
        <v>0</v>
      </c>
    </row>
    <row r="52" spans="1:112">
      <c r="A52" s="14">
        <f t="shared" si="48"/>
        <v>19</v>
      </c>
      <c r="B52" s="74">
        <f t="shared" ca="1" si="138"/>
        <v>0.12828800152468015</v>
      </c>
      <c r="C52" s="74">
        <f t="shared" si="138"/>
        <v>3852.3</v>
      </c>
      <c r="P52" s="63" t="b">
        <f t="shared" si="137"/>
        <v>1</v>
      </c>
      <c r="Q52" s="75">
        <f t="shared" ca="1" si="50"/>
        <v>1.3300853967666626</v>
      </c>
      <c r="R52" s="75">
        <f t="shared" ca="1" si="51"/>
        <v>0.76665139198303223</v>
      </c>
      <c r="S52" s="75">
        <f t="shared" ca="1" si="52"/>
        <v>0.49347677826881409</v>
      </c>
      <c r="T52" s="75">
        <f t="shared" ca="1" si="53"/>
        <v>1.3385376930236816</v>
      </c>
      <c r="U52" s="75">
        <f t="shared" ca="1" si="54"/>
        <v>0.69165873527526855</v>
      </c>
      <c r="V52" s="75">
        <f t="shared" ca="1" si="55"/>
        <v>0.51829445362091064</v>
      </c>
      <c r="W52" s="75">
        <f t="shared" ca="1" si="56"/>
        <v>1.4162279367446899</v>
      </c>
      <c r="X52" s="75">
        <f t="shared" ca="1" si="57"/>
        <v>0.79920214414596558</v>
      </c>
      <c r="Y52" s="75">
        <f t="shared" ca="1" si="58"/>
        <v>0.56882905960083008</v>
      </c>
      <c r="Z52" s="75">
        <f t="shared" ca="1" si="59"/>
        <v>1.2496975660324097</v>
      </c>
      <c r="AA52" s="75">
        <f t="shared" ca="1" si="60"/>
        <v>0.60641533136367798</v>
      </c>
      <c r="AB52" s="75">
        <f t="shared" ca="1" si="61"/>
        <v>0.47675180435180664</v>
      </c>
      <c r="AC52" s="75">
        <f t="shared" ca="1" si="62"/>
        <v>1.2755942344665527</v>
      </c>
      <c r="AD52" s="75">
        <f t="shared" ca="1" si="63"/>
        <v>0.61684596538543701</v>
      </c>
      <c r="AE52" s="75">
        <f t="shared" ca="1" si="64"/>
        <v>0.44869700074195862</v>
      </c>
      <c r="AF52" s="75"/>
      <c r="AG52" s="75"/>
      <c r="AH52" s="75"/>
      <c r="AI52" s="75">
        <f t="shared" ca="1" si="65"/>
        <v>0</v>
      </c>
      <c r="AJ52" s="75">
        <f t="shared" ca="1" si="66"/>
        <v>0</v>
      </c>
      <c r="AK52" s="75">
        <f t="shared" ca="1" si="67"/>
        <v>0</v>
      </c>
      <c r="AL52" s="75">
        <f t="shared" ca="1" si="68"/>
        <v>0</v>
      </c>
      <c r="AM52" s="75">
        <f t="shared" ca="1" si="69"/>
        <v>0</v>
      </c>
      <c r="AN52" s="75">
        <f t="shared" ca="1" si="70"/>
        <v>0</v>
      </c>
      <c r="AO52" s="75">
        <f t="shared" ca="1" si="71"/>
        <v>0</v>
      </c>
      <c r="AP52" s="75">
        <f t="shared" ca="1" si="72"/>
        <v>0</v>
      </c>
      <c r="AQ52" s="75">
        <f t="shared" ca="1" si="73"/>
        <v>0</v>
      </c>
      <c r="AR52" s="75">
        <f t="shared" ca="1" si="74"/>
        <v>0</v>
      </c>
      <c r="AS52" s="75">
        <f t="shared" ca="1" si="75"/>
        <v>0</v>
      </c>
      <c r="AT52" s="75">
        <f t="shared" ca="1" si="76"/>
        <v>0</v>
      </c>
      <c r="AU52" s="75">
        <f t="shared" ca="1" si="77"/>
        <v>0</v>
      </c>
      <c r="AV52" s="75">
        <f t="shared" ca="1" si="78"/>
        <v>0</v>
      </c>
      <c r="AW52" s="75">
        <f t="shared" ca="1" si="79"/>
        <v>0</v>
      </c>
      <c r="AX52" s="75">
        <f t="shared" ca="1" si="80"/>
        <v>0</v>
      </c>
      <c r="AY52" s="75">
        <f t="shared" ca="1" si="81"/>
        <v>0</v>
      </c>
      <c r="AZ52" s="75">
        <f t="shared" ca="1" si="82"/>
        <v>0</v>
      </c>
      <c r="BA52" s="75">
        <f t="shared" ca="1" si="83"/>
        <v>0</v>
      </c>
      <c r="BB52" s="75">
        <f t="shared" ca="1" si="84"/>
        <v>0</v>
      </c>
      <c r="BC52" s="75">
        <f t="shared" ca="1" si="85"/>
        <v>0</v>
      </c>
      <c r="BD52" s="75">
        <f t="shared" ca="1" si="86"/>
        <v>0</v>
      </c>
      <c r="BE52" s="75">
        <f t="shared" ca="1" si="87"/>
        <v>0</v>
      </c>
      <c r="BF52" s="75">
        <f t="shared" ca="1" si="88"/>
        <v>0</v>
      </c>
      <c r="BG52" s="75">
        <f t="shared" ca="1" si="89"/>
        <v>0</v>
      </c>
      <c r="BH52" s="75">
        <f t="shared" ca="1" si="90"/>
        <v>0</v>
      </c>
      <c r="BI52" s="75">
        <f t="shared" ca="1" si="91"/>
        <v>0</v>
      </c>
      <c r="BJ52" s="75">
        <f t="shared" ca="1" si="92"/>
        <v>0</v>
      </c>
      <c r="BK52" s="75">
        <f t="shared" ca="1" si="93"/>
        <v>0</v>
      </c>
      <c r="BL52" s="75">
        <f t="shared" ca="1" si="94"/>
        <v>0</v>
      </c>
      <c r="BM52" s="75">
        <f t="shared" ca="1" si="95"/>
        <v>0</v>
      </c>
      <c r="BN52" s="75">
        <f t="shared" ca="1" si="96"/>
        <v>0</v>
      </c>
      <c r="BO52" s="75">
        <f t="shared" ca="1" si="97"/>
        <v>0</v>
      </c>
      <c r="BP52" s="75">
        <f t="shared" ca="1" si="98"/>
        <v>0</v>
      </c>
      <c r="BQ52" s="75">
        <f t="shared" ca="1" si="99"/>
        <v>0</v>
      </c>
      <c r="BR52" s="75">
        <f t="shared" ca="1" si="100"/>
        <v>0</v>
      </c>
      <c r="BS52" s="75"/>
      <c r="BT52" s="75"/>
      <c r="BU52" s="75"/>
      <c r="BV52" s="75">
        <f t="shared" ca="1" si="101"/>
        <v>0</v>
      </c>
      <c r="BW52" s="75">
        <f t="shared" ca="1" si="102"/>
        <v>0</v>
      </c>
      <c r="BX52" s="75">
        <f t="shared" ca="1" si="103"/>
        <v>0</v>
      </c>
      <c r="BY52" s="75">
        <f t="shared" ca="1" si="104"/>
        <v>0</v>
      </c>
      <c r="BZ52" s="75">
        <f t="shared" ca="1" si="105"/>
        <v>0</v>
      </c>
      <c r="CA52" s="75">
        <f t="shared" ca="1" si="106"/>
        <v>0</v>
      </c>
      <c r="CB52" s="75"/>
      <c r="CC52" s="75"/>
      <c r="CD52" s="75"/>
      <c r="CE52" s="75">
        <f t="shared" ca="1" si="107"/>
        <v>0</v>
      </c>
      <c r="CF52" s="75">
        <f t="shared" ca="1" si="108"/>
        <v>0</v>
      </c>
      <c r="CG52" s="75">
        <f t="shared" ca="1" si="109"/>
        <v>0</v>
      </c>
      <c r="CH52" s="75">
        <f t="shared" ca="1" si="110"/>
        <v>0</v>
      </c>
      <c r="CI52" s="75">
        <f t="shared" ca="1" si="111"/>
        <v>0</v>
      </c>
      <c r="CJ52" s="75">
        <f t="shared" ca="1" si="112"/>
        <v>0</v>
      </c>
      <c r="CK52" s="75">
        <f t="shared" ca="1" si="113"/>
        <v>0</v>
      </c>
      <c r="CL52" s="75">
        <f t="shared" ca="1" si="114"/>
        <v>0</v>
      </c>
      <c r="CM52" s="75">
        <f t="shared" ca="1" si="115"/>
        <v>0</v>
      </c>
      <c r="CN52" s="75">
        <f t="shared" ca="1" si="116"/>
        <v>0</v>
      </c>
      <c r="CO52" s="75">
        <f t="shared" ca="1" si="117"/>
        <v>0</v>
      </c>
      <c r="CP52" s="75">
        <f t="shared" ca="1" si="118"/>
        <v>0</v>
      </c>
      <c r="CQ52" s="75">
        <f t="shared" ca="1" si="119"/>
        <v>0</v>
      </c>
      <c r="CR52" s="75">
        <f t="shared" ca="1" si="120"/>
        <v>0</v>
      </c>
      <c r="CS52" s="75">
        <f t="shared" ca="1" si="121"/>
        <v>0</v>
      </c>
      <c r="CT52" s="75">
        <f t="shared" ca="1" si="122"/>
        <v>0</v>
      </c>
      <c r="CU52" s="75">
        <f t="shared" ca="1" si="123"/>
        <v>0</v>
      </c>
      <c r="CV52" s="75">
        <f t="shared" ca="1" si="124"/>
        <v>0</v>
      </c>
      <c r="CW52" s="75">
        <f t="shared" ca="1" si="125"/>
        <v>0</v>
      </c>
      <c r="CX52" s="75">
        <f t="shared" ca="1" si="126"/>
        <v>0</v>
      </c>
      <c r="CY52" s="75">
        <f t="shared" ca="1" si="127"/>
        <v>0</v>
      </c>
      <c r="CZ52" s="75">
        <f t="shared" ca="1" si="128"/>
        <v>0</v>
      </c>
      <c r="DA52" s="75">
        <f t="shared" ca="1" si="129"/>
        <v>0</v>
      </c>
      <c r="DB52" s="75">
        <f t="shared" ca="1" si="130"/>
        <v>0</v>
      </c>
      <c r="DC52" s="75">
        <f t="shared" ca="1" si="131"/>
        <v>0</v>
      </c>
      <c r="DD52" s="75">
        <f t="shared" ca="1" si="132"/>
        <v>0</v>
      </c>
      <c r="DE52" s="75">
        <f t="shared" ca="1" si="133"/>
        <v>0</v>
      </c>
      <c r="DF52" s="75">
        <f t="shared" ca="1" si="134"/>
        <v>0</v>
      </c>
      <c r="DG52" s="75">
        <f t="shared" ca="1" si="135"/>
        <v>0</v>
      </c>
      <c r="DH52" s="75">
        <f t="shared" ca="1" si="136"/>
        <v>0</v>
      </c>
    </row>
    <row r="53" spans="1:112">
      <c r="A53" s="14">
        <f t="shared" si="48"/>
        <v>20</v>
      </c>
      <c r="B53" s="74">
        <f t="shared" ca="1" si="138"/>
        <v>0.1052422464745905</v>
      </c>
      <c r="C53" s="74">
        <f t="shared" si="138"/>
        <v>3884.6</v>
      </c>
      <c r="P53" s="63" t="b">
        <f t="shared" si="137"/>
        <v>1</v>
      </c>
      <c r="Q53" s="75">
        <f t="shared" ca="1" si="50"/>
        <v>1.0137494802474976</v>
      </c>
      <c r="R53" s="75">
        <f t="shared" ca="1" si="51"/>
        <v>0.61037176847457886</v>
      </c>
      <c r="S53" s="75">
        <f t="shared" ca="1" si="52"/>
        <v>0.33683747053146362</v>
      </c>
      <c r="T53" s="75">
        <f t="shared" ca="1" si="53"/>
        <v>1.0232808589935303</v>
      </c>
      <c r="U53" s="75">
        <f t="shared" ca="1" si="54"/>
        <v>0.54455089569091797</v>
      </c>
      <c r="V53" s="75">
        <f t="shared" ca="1" si="55"/>
        <v>0.35931727290153503</v>
      </c>
      <c r="W53" s="75">
        <f t="shared" ca="1" si="56"/>
        <v>1.087483286857605</v>
      </c>
      <c r="X53" s="75">
        <f t="shared" ca="1" si="57"/>
        <v>0.61990320682525635</v>
      </c>
      <c r="Y53" s="75">
        <f t="shared" ca="1" si="58"/>
        <v>0.39690351486206055</v>
      </c>
      <c r="Z53" s="75">
        <f t="shared" ca="1" si="59"/>
        <v>0.95188504457473755</v>
      </c>
      <c r="AA53" s="75">
        <f t="shared" ca="1" si="60"/>
        <v>0.4684792160987854</v>
      </c>
      <c r="AB53" s="75">
        <f t="shared" ca="1" si="61"/>
        <v>0.32640683650970459</v>
      </c>
      <c r="AC53" s="75">
        <f t="shared" ca="1" si="62"/>
        <v>0.96950918436050415</v>
      </c>
      <c r="AD53" s="75">
        <f t="shared" ca="1" si="63"/>
        <v>0.48034855723381042</v>
      </c>
      <c r="AE53" s="75">
        <f t="shared" ca="1" si="64"/>
        <v>0.30194878578186035</v>
      </c>
      <c r="AF53" s="75"/>
      <c r="AG53" s="75"/>
      <c r="AH53" s="75"/>
      <c r="AI53" s="75">
        <f t="shared" ca="1" si="65"/>
        <v>0</v>
      </c>
      <c r="AJ53" s="75">
        <f t="shared" ca="1" si="66"/>
        <v>0</v>
      </c>
      <c r="AK53" s="75">
        <f t="shared" ca="1" si="67"/>
        <v>0</v>
      </c>
      <c r="AL53" s="75">
        <f t="shared" ca="1" si="68"/>
        <v>0</v>
      </c>
      <c r="AM53" s="75">
        <f t="shared" ca="1" si="69"/>
        <v>0</v>
      </c>
      <c r="AN53" s="75">
        <f t="shared" ca="1" si="70"/>
        <v>0</v>
      </c>
      <c r="AO53" s="75">
        <f t="shared" ca="1" si="71"/>
        <v>0</v>
      </c>
      <c r="AP53" s="75">
        <f t="shared" ca="1" si="72"/>
        <v>0</v>
      </c>
      <c r="AQ53" s="75">
        <f t="shared" ca="1" si="73"/>
        <v>0</v>
      </c>
      <c r="AR53" s="75">
        <f t="shared" ca="1" si="74"/>
        <v>0</v>
      </c>
      <c r="AS53" s="75">
        <f t="shared" ca="1" si="75"/>
        <v>0</v>
      </c>
      <c r="AT53" s="75">
        <f t="shared" ca="1" si="76"/>
        <v>0</v>
      </c>
      <c r="AU53" s="75">
        <f t="shared" ca="1" si="77"/>
        <v>0</v>
      </c>
      <c r="AV53" s="75">
        <f t="shared" ca="1" si="78"/>
        <v>0</v>
      </c>
      <c r="AW53" s="75">
        <f t="shared" ca="1" si="79"/>
        <v>0</v>
      </c>
      <c r="AX53" s="75">
        <f t="shared" ca="1" si="80"/>
        <v>0</v>
      </c>
      <c r="AY53" s="75">
        <f t="shared" ca="1" si="81"/>
        <v>0</v>
      </c>
      <c r="AZ53" s="75">
        <f t="shared" ca="1" si="82"/>
        <v>0</v>
      </c>
      <c r="BA53" s="75">
        <f t="shared" ca="1" si="83"/>
        <v>0</v>
      </c>
      <c r="BB53" s="75">
        <f t="shared" ca="1" si="84"/>
        <v>0</v>
      </c>
      <c r="BC53" s="75">
        <f t="shared" ca="1" si="85"/>
        <v>0</v>
      </c>
      <c r="BD53" s="75">
        <f t="shared" ca="1" si="86"/>
        <v>0</v>
      </c>
      <c r="BE53" s="75">
        <f t="shared" ca="1" si="87"/>
        <v>0</v>
      </c>
      <c r="BF53" s="75">
        <f t="shared" ca="1" si="88"/>
        <v>0</v>
      </c>
      <c r="BG53" s="75">
        <f t="shared" ca="1" si="89"/>
        <v>0</v>
      </c>
      <c r="BH53" s="75">
        <f t="shared" ca="1" si="90"/>
        <v>0</v>
      </c>
      <c r="BI53" s="75">
        <f t="shared" ca="1" si="91"/>
        <v>0</v>
      </c>
      <c r="BJ53" s="75">
        <f t="shared" ca="1" si="92"/>
        <v>0</v>
      </c>
      <c r="BK53" s="75">
        <f t="shared" ca="1" si="93"/>
        <v>0</v>
      </c>
      <c r="BL53" s="75">
        <f t="shared" ca="1" si="94"/>
        <v>0</v>
      </c>
      <c r="BM53" s="75">
        <f t="shared" ca="1" si="95"/>
        <v>0</v>
      </c>
      <c r="BN53" s="75">
        <f t="shared" ca="1" si="96"/>
        <v>0</v>
      </c>
      <c r="BO53" s="75">
        <f t="shared" ca="1" si="97"/>
        <v>0</v>
      </c>
      <c r="BP53" s="75">
        <f t="shared" ca="1" si="98"/>
        <v>0</v>
      </c>
      <c r="BQ53" s="75">
        <f t="shared" ca="1" si="99"/>
        <v>0</v>
      </c>
      <c r="BR53" s="75">
        <f t="shared" ca="1" si="100"/>
        <v>0</v>
      </c>
      <c r="BS53" s="75"/>
      <c r="BT53" s="75"/>
      <c r="BU53" s="75"/>
      <c r="BV53" s="75">
        <f t="shared" ca="1" si="101"/>
        <v>0</v>
      </c>
      <c r="BW53" s="75">
        <f t="shared" ca="1" si="102"/>
        <v>0</v>
      </c>
      <c r="BX53" s="75">
        <f t="shared" ca="1" si="103"/>
        <v>0</v>
      </c>
      <c r="BY53" s="75">
        <f t="shared" ca="1" si="104"/>
        <v>0</v>
      </c>
      <c r="BZ53" s="75">
        <f t="shared" ca="1" si="105"/>
        <v>0</v>
      </c>
      <c r="CA53" s="75">
        <f t="shared" ca="1" si="106"/>
        <v>0</v>
      </c>
      <c r="CB53" s="75"/>
      <c r="CC53" s="75"/>
      <c r="CD53" s="75"/>
      <c r="CE53" s="75">
        <f t="shared" ca="1" si="107"/>
        <v>0</v>
      </c>
      <c r="CF53" s="75">
        <f t="shared" ca="1" si="108"/>
        <v>0</v>
      </c>
      <c r="CG53" s="75">
        <f t="shared" ca="1" si="109"/>
        <v>0</v>
      </c>
      <c r="CH53" s="75">
        <f t="shared" ca="1" si="110"/>
        <v>0</v>
      </c>
      <c r="CI53" s="75">
        <f t="shared" ca="1" si="111"/>
        <v>0</v>
      </c>
      <c r="CJ53" s="75">
        <f t="shared" ca="1" si="112"/>
        <v>0</v>
      </c>
      <c r="CK53" s="75">
        <f t="shared" ca="1" si="113"/>
        <v>0</v>
      </c>
      <c r="CL53" s="75">
        <f t="shared" ca="1" si="114"/>
        <v>0</v>
      </c>
      <c r="CM53" s="75">
        <f t="shared" ca="1" si="115"/>
        <v>0</v>
      </c>
      <c r="CN53" s="75">
        <f t="shared" ca="1" si="116"/>
        <v>0</v>
      </c>
      <c r="CO53" s="75">
        <f t="shared" ca="1" si="117"/>
        <v>0</v>
      </c>
      <c r="CP53" s="75">
        <f t="shared" ca="1" si="118"/>
        <v>0</v>
      </c>
      <c r="CQ53" s="75">
        <f t="shared" ca="1" si="119"/>
        <v>0</v>
      </c>
      <c r="CR53" s="75">
        <f t="shared" ca="1" si="120"/>
        <v>0</v>
      </c>
      <c r="CS53" s="75">
        <f t="shared" ca="1" si="121"/>
        <v>0</v>
      </c>
      <c r="CT53" s="75">
        <f t="shared" ca="1" si="122"/>
        <v>0</v>
      </c>
      <c r="CU53" s="75">
        <f t="shared" ca="1" si="123"/>
        <v>0</v>
      </c>
      <c r="CV53" s="75">
        <f t="shared" ca="1" si="124"/>
        <v>0</v>
      </c>
      <c r="CW53" s="75">
        <f t="shared" ca="1" si="125"/>
        <v>0</v>
      </c>
      <c r="CX53" s="75">
        <f t="shared" ca="1" si="126"/>
        <v>0</v>
      </c>
      <c r="CY53" s="75">
        <f t="shared" ca="1" si="127"/>
        <v>0</v>
      </c>
      <c r="CZ53" s="75">
        <f t="shared" ca="1" si="128"/>
        <v>0</v>
      </c>
      <c r="DA53" s="75">
        <f t="shared" ca="1" si="129"/>
        <v>0</v>
      </c>
      <c r="DB53" s="75">
        <f t="shared" ca="1" si="130"/>
        <v>0</v>
      </c>
      <c r="DC53" s="75">
        <f t="shared" ca="1" si="131"/>
        <v>0</v>
      </c>
      <c r="DD53" s="75">
        <f t="shared" ca="1" si="132"/>
        <v>0</v>
      </c>
      <c r="DE53" s="75">
        <f t="shared" ca="1" si="133"/>
        <v>0</v>
      </c>
      <c r="DF53" s="75">
        <f t="shared" ca="1" si="134"/>
        <v>0</v>
      </c>
      <c r="DG53" s="75">
        <f t="shared" ca="1" si="135"/>
        <v>0</v>
      </c>
      <c r="DH53" s="75">
        <f t="shared" ca="1" si="136"/>
        <v>0</v>
      </c>
    </row>
    <row r="54" spans="1:112">
      <c r="A54" s="14">
        <f t="shared" si="48"/>
        <v>21</v>
      </c>
      <c r="B54" s="74">
        <f t="shared" ca="1" si="138"/>
        <v>8.7497019701430423E-2</v>
      </c>
      <c r="C54" s="74">
        <f t="shared" si="138"/>
        <v>3874</v>
      </c>
      <c r="P54" s="63" t="b">
        <f t="shared" si="137"/>
        <v>1</v>
      </c>
      <c r="Q54" s="75">
        <f t="shared" ca="1" si="50"/>
        <v>0.76719093322753906</v>
      </c>
      <c r="R54" s="75">
        <f t="shared" ca="1" si="51"/>
        <v>0.46434292197227478</v>
      </c>
      <c r="S54" s="75">
        <f t="shared" ca="1" si="52"/>
        <v>0.21149004995822906</v>
      </c>
      <c r="T54" s="75">
        <f t="shared" ca="1" si="53"/>
        <v>0.78229737281799316</v>
      </c>
      <c r="U54" s="75">
        <f t="shared" ca="1" si="54"/>
        <v>0.4353889524936676</v>
      </c>
      <c r="V54" s="75">
        <f t="shared" ca="1" si="55"/>
        <v>0.23612791299819946</v>
      </c>
      <c r="W54" s="75">
        <f t="shared" ca="1" si="56"/>
        <v>0.82527875900268555</v>
      </c>
      <c r="X54" s="75">
        <f t="shared" ca="1" si="57"/>
        <v>0.5159565806388855</v>
      </c>
      <c r="Y54" s="75">
        <f t="shared" ca="1" si="58"/>
        <v>0.25680932402610779</v>
      </c>
      <c r="Z54" s="75">
        <f t="shared" ca="1" si="59"/>
        <v>0.72492885589599609</v>
      </c>
      <c r="AA54" s="75">
        <f t="shared" ca="1" si="60"/>
        <v>0.37190595269203186</v>
      </c>
      <c r="AB54" s="75">
        <f t="shared" ca="1" si="61"/>
        <v>0.206814244389534</v>
      </c>
      <c r="AC54" s="75">
        <f t="shared" ca="1" si="62"/>
        <v>0.73517966270446777</v>
      </c>
      <c r="AD54" s="75">
        <f t="shared" ca="1" si="63"/>
        <v>0.37604224681854248</v>
      </c>
      <c r="AE54" s="75">
        <f t="shared" ca="1" si="64"/>
        <v>0.18559330701828003</v>
      </c>
      <c r="AF54" s="75"/>
      <c r="AG54" s="75"/>
      <c r="AH54" s="75"/>
      <c r="AI54" s="75">
        <f t="shared" ca="1" si="65"/>
        <v>0</v>
      </c>
      <c r="AJ54" s="75">
        <f t="shared" ca="1" si="66"/>
        <v>0</v>
      </c>
      <c r="AK54" s="75">
        <f t="shared" ca="1" si="67"/>
        <v>0</v>
      </c>
      <c r="AL54" s="75">
        <f t="shared" ca="1" si="68"/>
        <v>0</v>
      </c>
      <c r="AM54" s="75">
        <f t="shared" ca="1" si="69"/>
        <v>0</v>
      </c>
      <c r="AN54" s="75">
        <f t="shared" ca="1" si="70"/>
        <v>0</v>
      </c>
      <c r="AO54" s="75">
        <f t="shared" ca="1" si="71"/>
        <v>0</v>
      </c>
      <c r="AP54" s="75">
        <f t="shared" ca="1" si="72"/>
        <v>0</v>
      </c>
      <c r="AQ54" s="75">
        <f t="shared" ca="1" si="73"/>
        <v>0</v>
      </c>
      <c r="AR54" s="75">
        <f t="shared" ca="1" si="74"/>
        <v>0</v>
      </c>
      <c r="AS54" s="75">
        <f t="shared" ca="1" si="75"/>
        <v>0</v>
      </c>
      <c r="AT54" s="75">
        <f t="shared" ca="1" si="76"/>
        <v>0</v>
      </c>
      <c r="AU54" s="75">
        <f t="shared" ca="1" si="77"/>
        <v>0</v>
      </c>
      <c r="AV54" s="75">
        <f t="shared" ca="1" si="78"/>
        <v>0</v>
      </c>
      <c r="AW54" s="75">
        <f t="shared" ca="1" si="79"/>
        <v>0</v>
      </c>
      <c r="AX54" s="75">
        <f t="shared" ca="1" si="80"/>
        <v>0</v>
      </c>
      <c r="AY54" s="75">
        <f t="shared" ca="1" si="81"/>
        <v>0</v>
      </c>
      <c r="AZ54" s="75">
        <f t="shared" ca="1" si="82"/>
        <v>0</v>
      </c>
      <c r="BA54" s="75">
        <f t="shared" ca="1" si="83"/>
        <v>0</v>
      </c>
      <c r="BB54" s="75">
        <f t="shared" ca="1" si="84"/>
        <v>0</v>
      </c>
      <c r="BC54" s="75">
        <f t="shared" ca="1" si="85"/>
        <v>0</v>
      </c>
      <c r="BD54" s="75">
        <f t="shared" ca="1" si="86"/>
        <v>0</v>
      </c>
      <c r="BE54" s="75">
        <f t="shared" ca="1" si="87"/>
        <v>0</v>
      </c>
      <c r="BF54" s="75">
        <f t="shared" ca="1" si="88"/>
        <v>0</v>
      </c>
      <c r="BG54" s="75">
        <f t="shared" ca="1" si="89"/>
        <v>0</v>
      </c>
      <c r="BH54" s="75">
        <f t="shared" ca="1" si="90"/>
        <v>0</v>
      </c>
      <c r="BI54" s="75">
        <f t="shared" ca="1" si="91"/>
        <v>0</v>
      </c>
      <c r="BJ54" s="75">
        <f t="shared" ca="1" si="92"/>
        <v>0</v>
      </c>
      <c r="BK54" s="75">
        <f t="shared" ca="1" si="93"/>
        <v>0</v>
      </c>
      <c r="BL54" s="75">
        <f t="shared" ca="1" si="94"/>
        <v>0</v>
      </c>
      <c r="BM54" s="75">
        <f t="shared" ca="1" si="95"/>
        <v>0</v>
      </c>
      <c r="BN54" s="75">
        <f t="shared" ca="1" si="96"/>
        <v>0</v>
      </c>
      <c r="BO54" s="75">
        <f t="shared" ca="1" si="97"/>
        <v>0</v>
      </c>
      <c r="BP54" s="75">
        <f t="shared" ca="1" si="98"/>
        <v>0</v>
      </c>
      <c r="BQ54" s="75">
        <f t="shared" ca="1" si="99"/>
        <v>0</v>
      </c>
      <c r="BR54" s="75">
        <f t="shared" ca="1" si="100"/>
        <v>0</v>
      </c>
      <c r="BS54" s="75"/>
      <c r="BT54" s="75"/>
      <c r="BU54" s="75"/>
      <c r="BV54" s="75">
        <f t="shared" ca="1" si="101"/>
        <v>0</v>
      </c>
      <c r="BW54" s="75">
        <f t="shared" ca="1" si="102"/>
        <v>0</v>
      </c>
      <c r="BX54" s="75">
        <f t="shared" ca="1" si="103"/>
        <v>0</v>
      </c>
      <c r="BY54" s="75">
        <f t="shared" ca="1" si="104"/>
        <v>0</v>
      </c>
      <c r="BZ54" s="75">
        <f t="shared" ca="1" si="105"/>
        <v>0</v>
      </c>
      <c r="CA54" s="75">
        <f t="shared" ca="1" si="106"/>
        <v>0</v>
      </c>
      <c r="CB54" s="75"/>
      <c r="CC54" s="75"/>
      <c r="CD54" s="75"/>
      <c r="CE54" s="75">
        <f t="shared" ca="1" si="107"/>
        <v>0</v>
      </c>
      <c r="CF54" s="75">
        <f t="shared" ca="1" si="108"/>
        <v>0</v>
      </c>
      <c r="CG54" s="75">
        <f t="shared" ca="1" si="109"/>
        <v>0</v>
      </c>
      <c r="CH54" s="75">
        <f t="shared" ca="1" si="110"/>
        <v>0</v>
      </c>
      <c r="CI54" s="75">
        <f t="shared" ca="1" si="111"/>
        <v>0</v>
      </c>
      <c r="CJ54" s="75">
        <f t="shared" ca="1" si="112"/>
        <v>0</v>
      </c>
      <c r="CK54" s="75">
        <f t="shared" ca="1" si="113"/>
        <v>0</v>
      </c>
      <c r="CL54" s="75">
        <f t="shared" ca="1" si="114"/>
        <v>0</v>
      </c>
      <c r="CM54" s="75">
        <f t="shared" ca="1" si="115"/>
        <v>0</v>
      </c>
      <c r="CN54" s="75">
        <f t="shared" ca="1" si="116"/>
        <v>0</v>
      </c>
      <c r="CO54" s="75">
        <f t="shared" ca="1" si="117"/>
        <v>0</v>
      </c>
      <c r="CP54" s="75">
        <f t="shared" ca="1" si="118"/>
        <v>0</v>
      </c>
      <c r="CQ54" s="75">
        <f t="shared" ca="1" si="119"/>
        <v>0</v>
      </c>
      <c r="CR54" s="75">
        <f t="shared" ca="1" si="120"/>
        <v>0</v>
      </c>
      <c r="CS54" s="75">
        <f t="shared" ca="1" si="121"/>
        <v>0</v>
      </c>
      <c r="CT54" s="75">
        <f t="shared" ca="1" si="122"/>
        <v>0</v>
      </c>
      <c r="CU54" s="75">
        <f t="shared" ca="1" si="123"/>
        <v>0</v>
      </c>
      <c r="CV54" s="75">
        <f t="shared" ca="1" si="124"/>
        <v>0</v>
      </c>
      <c r="CW54" s="75">
        <f t="shared" ca="1" si="125"/>
        <v>0</v>
      </c>
      <c r="CX54" s="75">
        <f t="shared" ca="1" si="126"/>
        <v>0</v>
      </c>
      <c r="CY54" s="75">
        <f t="shared" ca="1" si="127"/>
        <v>0</v>
      </c>
      <c r="CZ54" s="75">
        <f t="shared" ca="1" si="128"/>
        <v>0</v>
      </c>
      <c r="DA54" s="75">
        <f t="shared" ca="1" si="129"/>
        <v>0</v>
      </c>
      <c r="DB54" s="75">
        <f t="shared" ca="1" si="130"/>
        <v>0</v>
      </c>
      <c r="DC54" s="75">
        <f t="shared" ca="1" si="131"/>
        <v>0</v>
      </c>
      <c r="DD54" s="75">
        <f t="shared" ca="1" si="132"/>
        <v>0</v>
      </c>
      <c r="DE54" s="75">
        <f t="shared" ca="1" si="133"/>
        <v>0</v>
      </c>
      <c r="DF54" s="75">
        <f t="shared" ca="1" si="134"/>
        <v>0</v>
      </c>
      <c r="DG54" s="75">
        <f t="shared" ca="1" si="135"/>
        <v>0</v>
      </c>
      <c r="DH54" s="75">
        <f t="shared" ca="1" si="136"/>
        <v>0</v>
      </c>
    </row>
    <row r="55" spans="1:112">
      <c r="A55" s="14">
        <f t="shared" si="48"/>
        <v>22</v>
      </c>
      <c r="B55" s="74">
        <f t="shared" ca="1" si="138"/>
        <v>6.4528090696904072E-2</v>
      </c>
      <c r="C55" s="74">
        <f t="shared" si="138"/>
        <v>3852.9</v>
      </c>
      <c r="P55" s="63" t="b">
        <f t="shared" si="137"/>
        <v>1</v>
      </c>
      <c r="Q55" s="75">
        <f t="shared" ca="1" si="50"/>
        <v>0.7051466703414917</v>
      </c>
      <c r="R55" s="75">
        <f t="shared" ca="1" si="51"/>
        <v>0.40607526898384094</v>
      </c>
      <c r="S55" s="75">
        <f t="shared" ca="1" si="52"/>
        <v>0.24170291423797607</v>
      </c>
      <c r="T55" s="75">
        <f t="shared" ca="1" si="53"/>
        <v>0.72456920146942139</v>
      </c>
      <c r="U55" s="75">
        <f t="shared" ca="1" si="54"/>
        <v>0.36974790692329407</v>
      </c>
      <c r="V55" s="75">
        <f t="shared" ca="1" si="55"/>
        <v>0.26688030362129211</v>
      </c>
      <c r="W55" s="75">
        <f t="shared" ca="1" si="56"/>
        <v>0.76071673631668091</v>
      </c>
      <c r="X55" s="75">
        <f t="shared" ca="1" si="57"/>
        <v>0.41740509867668152</v>
      </c>
      <c r="Y55" s="75">
        <f t="shared" ca="1" si="58"/>
        <v>0.29223752021789551</v>
      </c>
      <c r="Z55" s="75">
        <f t="shared" ca="1" si="59"/>
        <v>0.66486281156539917</v>
      </c>
      <c r="AA55" s="75">
        <f t="shared" ca="1" si="60"/>
        <v>0.30536571145057678</v>
      </c>
      <c r="AB55" s="75">
        <f t="shared" ca="1" si="61"/>
        <v>0.23666742444038391</v>
      </c>
      <c r="AC55" s="75">
        <f t="shared" ca="1" si="62"/>
        <v>0.67583298683166504</v>
      </c>
      <c r="AD55" s="75">
        <f t="shared" ca="1" si="63"/>
        <v>0.30500605702400208</v>
      </c>
      <c r="AE55" s="75">
        <f t="shared" ca="1" si="64"/>
        <v>0.21652552485466003</v>
      </c>
      <c r="AF55" s="75"/>
      <c r="AG55" s="75"/>
      <c r="AH55" s="75"/>
      <c r="AI55" s="75">
        <f t="shared" ca="1" si="65"/>
        <v>0</v>
      </c>
      <c r="AJ55" s="75">
        <f t="shared" ca="1" si="66"/>
        <v>0</v>
      </c>
      <c r="AK55" s="75">
        <f t="shared" ca="1" si="67"/>
        <v>0</v>
      </c>
      <c r="AL55" s="75">
        <f t="shared" ca="1" si="68"/>
        <v>0</v>
      </c>
      <c r="AM55" s="75">
        <f t="shared" ca="1" si="69"/>
        <v>0</v>
      </c>
      <c r="AN55" s="75">
        <f t="shared" ca="1" si="70"/>
        <v>0</v>
      </c>
      <c r="AO55" s="75">
        <f t="shared" ca="1" si="71"/>
        <v>0</v>
      </c>
      <c r="AP55" s="75">
        <f t="shared" ca="1" si="72"/>
        <v>0</v>
      </c>
      <c r="AQ55" s="75">
        <f t="shared" ca="1" si="73"/>
        <v>0</v>
      </c>
      <c r="AR55" s="75">
        <f t="shared" ca="1" si="74"/>
        <v>0</v>
      </c>
      <c r="AS55" s="75">
        <f t="shared" ca="1" si="75"/>
        <v>0</v>
      </c>
      <c r="AT55" s="75">
        <f t="shared" ca="1" si="76"/>
        <v>0</v>
      </c>
      <c r="AU55" s="75">
        <f t="shared" ca="1" si="77"/>
        <v>0</v>
      </c>
      <c r="AV55" s="75">
        <f t="shared" ca="1" si="78"/>
        <v>0</v>
      </c>
      <c r="AW55" s="75">
        <f t="shared" ca="1" si="79"/>
        <v>0</v>
      </c>
      <c r="AX55" s="75">
        <f t="shared" ca="1" si="80"/>
        <v>0</v>
      </c>
      <c r="AY55" s="75">
        <f t="shared" ca="1" si="81"/>
        <v>0</v>
      </c>
      <c r="AZ55" s="75">
        <f t="shared" ca="1" si="82"/>
        <v>0</v>
      </c>
      <c r="BA55" s="75">
        <f t="shared" ca="1" si="83"/>
        <v>0</v>
      </c>
      <c r="BB55" s="75">
        <f t="shared" ca="1" si="84"/>
        <v>0</v>
      </c>
      <c r="BC55" s="75">
        <f t="shared" ca="1" si="85"/>
        <v>0</v>
      </c>
      <c r="BD55" s="75">
        <f t="shared" ca="1" si="86"/>
        <v>0</v>
      </c>
      <c r="BE55" s="75">
        <f t="shared" ca="1" si="87"/>
        <v>0</v>
      </c>
      <c r="BF55" s="75">
        <f t="shared" ca="1" si="88"/>
        <v>0</v>
      </c>
      <c r="BG55" s="75">
        <f t="shared" ca="1" si="89"/>
        <v>0</v>
      </c>
      <c r="BH55" s="75">
        <f t="shared" ca="1" si="90"/>
        <v>0</v>
      </c>
      <c r="BI55" s="75">
        <f t="shared" ca="1" si="91"/>
        <v>0</v>
      </c>
      <c r="BJ55" s="75">
        <f t="shared" ca="1" si="92"/>
        <v>0</v>
      </c>
      <c r="BK55" s="75">
        <f t="shared" ca="1" si="93"/>
        <v>0</v>
      </c>
      <c r="BL55" s="75">
        <f t="shared" ca="1" si="94"/>
        <v>0</v>
      </c>
      <c r="BM55" s="75">
        <f t="shared" ca="1" si="95"/>
        <v>0</v>
      </c>
      <c r="BN55" s="75">
        <f t="shared" ca="1" si="96"/>
        <v>0</v>
      </c>
      <c r="BO55" s="75">
        <f t="shared" ca="1" si="97"/>
        <v>0</v>
      </c>
      <c r="BP55" s="75">
        <f t="shared" ca="1" si="98"/>
        <v>0</v>
      </c>
      <c r="BQ55" s="75">
        <f t="shared" ca="1" si="99"/>
        <v>0</v>
      </c>
      <c r="BR55" s="75">
        <f t="shared" ca="1" si="100"/>
        <v>0</v>
      </c>
      <c r="BS55" s="75"/>
      <c r="BT55" s="75"/>
      <c r="BU55" s="75"/>
      <c r="BV55" s="75">
        <f t="shared" ca="1" si="101"/>
        <v>0</v>
      </c>
      <c r="BW55" s="75">
        <f t="shared" ca="1" si="102"/>
        <v>0</v>
      </c>
      <c r="BX55" s="75">
        <f t="shared" ca="1" si="103"/>
        <v>0</v>
      </c>
      <c r="BY55" s="75">
        <f t="shared" ca="1" si="104"/>
        <v>0</v>
      </c>
      <c r="BZ55" s="75">
        <f t="shared" ca="1" si="105"/>
        <v>0</v>
      </c>
      <c r="CA55" s="75">
        <f t="shared" ca="1" si="106"/>
        <v>0</v>
      </c>
      <c r="CB55" s="75"/>
      <c r="CC55" s="75"/>
      <c r="CD55" s="75"/>
      <c r="CE55" s="75">
        <f t="shared" ca="1" si="107"/>
        <v>0</v>
      </c>
      <c r="CF55" s="75">
        <f t="shared" ca="1" si="108"/>
        <v>0</v>
      </c>
      <c r="CG55" s="75">
        <f t="shared" ca="1" si="109"/>
        <v>0</v>
      </c>
      <c r="CH55" s="75">
        <f t="shared" ca="1" si="110"/>
        <v>0</v>
      </c>
      <c r="CI55" s="75">
        <f t="shared" ca="1" si="111"/>
        <v>0</v>
      </c>
      <c r="CJ55" s="75">
        <f t="shared" ca="1" si="112"/>
        <v>0</v>
      </c>
      <c r="CK55" s="75">
        <f t="shared" ca="1" si="113"/>
        <v>0</v>
      </c>
      <c r="CL55" s="75">
        <f t="shared" ca="1" si="114"/>
        <v>0</v>
      </c>
      <c r="CM55" s="75">
        <f t="shared" ca="1" si="115"/>
        <v>0</v>
      </c>
      <c r="CN55" s="75">
        <f t="shared" ca="1" si="116"/>
        <v>0</v>
      </c>
      <c r="CO55" s="75">
        <f t="shared" ca="1" si="117"/>
        <v>0</v>
      </c>
      <c r="CP55" s="75">
        <f t="shared" ca="1" si="118"/>
        <v>0</v>
      </c>
      <c r="CQ55" s="75">
        <f t="shared" ca="1" si="119"/>
        <v>0</v>
      </c>
      <c r="CR55" s="75">
        <f t="shared" ca="1" si="120"/>
        <v>0</v>
      </c>
      <c r="CS55" s="75">
        <f t="shared" ca="1" si="121"/>
        <v>0</v>
      </c>
      <c r="CT55" s="75">
        <f t="shared" ca="1" si="122"/>
        <v>0</v>
      </c>
      <c r="CU55" s="75">
        <f t="shared" ca="1" si="123"/>
        <v>0</v>
      </c>
      <c r="CV55" s="75">
        <f t="shared" ca="1" si="124"/>
        <v>0</v>
      </c>
      <c r="CW55" s="75">
        <f t="shared" ca="1" si="125"/>
        <v>0</v>
      </c>
      <c r="CX55" s="75">
        <f t="shared" ca="1" si="126"/>
        <v>0</v>
      </c>
      <c r="CY55" s="75">
        <f t="shared" ca="1" si="127"/>
        <v>0</v>
      </c>
      <c r="CZ55" s="75">
        <f t="shared" ca="1" si="128"/>
        <v>0</v>
      </c>
      <c r="DA55" s="75">
        <f t="shared" ca="1" si="129"/>
        <v>0</v>
      </c>
      <c r="DB55" s="75">
        <f t="shared" ca="1" si="130"/>
        <v>0</v>
      </c>
      <c r="DC55" s="75">
        <f t="shared" ca="1" si="131"/>
        <v>0</v>
      </c>
      <c r="DD55" s="75">
        <f t="shared" ca="1" si="132"/>
        <v>0</v>
      </c>
      <c r="DE55" s="75">
        <f t="shared" ca="1" si="133"/>
        <v>0</v>
      </c>
      <c r="DF55" s="75">
        <f t="shared" ca="1" si="134"/>
        <v>0</v>
      </c>
      <c r="DG55" s="75">
        <f t="shared" ca="1" si="135"/>
        <v>0</v>
      </c>
      <c r="DH55" s="75">
        <f t="shared" ca="1" si="136"/>
        <v>0</v>
      </c>
    </row>
    <row r="56" spans="1:112">
      <c r="A56" s="14">
        <f t="shared" si="48"/>
        <v>23</v>
      </c>
      <c r="B56" s="74">
        <f t="shared" ca="1" si="138"/>
        <v>4.8396071685701009E-2</v>
      </c>
      <c r="C56" s="74">
        <f t="shared" si="138"/>
        <v>3862.8</v>
      </c>
      <c r="P56" s="63" t="b">
        <f t="shared" si="137"/>
        <v>1</v>
      </c>
      <c r="Q56" s="75">
        <f t="shared" ca="1" si="50"/>
        <v>0.52350980043411255</v>
      </c>
      <c r="R56" s="75">
        <f t="shared" ca="1" si="51"/>
        <v>0.30716410279273987</v>
      </c>
      <c r="S56" s="75">
        <f t="shared" ca="1" si="52"/>
        <v>0.16617074608802795</v>
      </c>
      <c r="T56" s="75">
        <f t="shared" ca="1" si="53"/>
        <v>0.5398750901222229</v>
      </c>
      <c r="U56" s="75">
        <f t="shared" ca="1" si="54"/>
        <v>0.27713108062744141</v>
      </c>
      <c r="V56" s="75">
        <f t="shared" ca="1" si="55"/>
        <v>0.18721185624599457</v>
      </c>
      <c r="W56" s="75">
        <f t="shared" ca="1" si="56"/>
        <v>0.57152664661407471</v>
      </c>
      <c r="X56" s="75">
        <f t="shared" ca="1" si="57"/>
        <v>0.31076088547706604</v>
      </c>
      <c r="Y56" s="75">
        <f t="shared" ca="1" si="58"/>
        <v>0.20951181650161743</v>
      </c>
      <c r="Z56" s="75">
        <f t="shared" ca="1" si="59"/>
        <v>0.49545499682426453</v>
      </c>
      <c r="AA56" s="75">
        <f t="shared" ca="1" si="60"/>
        <v>0.2307327538728714</v>
      </c>
      <c r="AB56" s="75">
        <f t="shared" ca="1" si="61"/>
        <v>0.16617074608802795</v>
      </c>
      <c r="AC56" s="75">
        <f t="shared" ca="1" si="62"/>
        <v>0.50354772806167603</v>
      </c>
      <c r="AD56" s="75">
        <f t="shared" ca="1" si="63"/>
        <v>0.2300134003162384</v>
      </c>
      <c r="AE56" s="75">
        <f t="shared" ca="1" si="64"/>
        <v>0.14602884650230408</v>
      </c>
      <c r="AF56" s="75"/>
      <c r="AG56" s="75"/>
      <c r="AH56" s="75"/>
      <c r="AI56" s="75">
        <f t="shared" ca="1" si="65"/>
        <v>0</v>
      </c>
      <c r="AJ56" s="75">
        <f t="shared" ca="1" si="66"/>
        <v>0</v>
      </c>
      <c r="AK56" s="75">
        <f t="shared" ca="1" si="67"/>
        <v>0</v>
      </c>
      <c r="AL56" s="75">
        <f t="shared" ca="1" si="68"/>
        <v>0</v>
      </c>
      <c r="AM56" s="75">
        <f t="shared" ca="1" si="69"/>
        <v>0</v>
      </c>
      <c r="AN56" s="75">
        <f t="shared" ca="1" si="70"/>
        <v>0</v>
      </c>
      <c r="AO56" s="75">
        <f t="shared" ca="1" si="71"/>
        <v>0</v>
      </c>
      <c r="AP56" s="75">
        <f t="shared" ca="1" si="72"/>
        <v>0</v>
      </c>
      <c r="AQ56" s="75">
        <f t="shared" ca="1" si="73"/>
        <v>0</v>
      </c>
      <c r="AR56" s="75">
        <f t="shared" ca="1" si="74"/>
        <v>0</v>
      </c>
      <c r="AS56" s="75">
        <f t="shared" ca="1" si="75"/>
        <v>0</v>
      </c>
      <c r="AT56" s="75">
        <f t="shared" ca="1" si="76"/>
        <v>0</v>
      </c>
      <c r="AU56" s="75">
        <f t="shared" ca="1" si="77"/>
        <v>0</v>
      </c>
      <c r="AV56" s="75">
        <f t="shared" ca="1" si="78"/>
        <v>0</v>
      </c>
      <c r="AW56" s="75">
        <f t="shared" ca="1" si="79"/>
        <v>0</v>
      </c>
      <c r="AX56" s="75">
        <f t="shared" ca="1" si="80"/>
        <v>0</v>
      </c>
      <c r="AY56" s="75">
        <f t="shared" ca="1" si="81"/>
        <v>0</v>
      </c>
      <c r="AZ56" s="75">
        <f t="shared" ca="1" si="82"/>
        <v>0</v>
      </c>
      <c r="BA56" s="75">
        <f t="shared" ca="1" si="83"/>
        <v>0</v>
      </c>
      <c r="BB56" s="75">
        <f t="shared" ca="1" si="84"/>
        <v>0</v>
      </c>
      <c r="BC56" s="75">
        <f t="shared" ca="1" si="85"/>
        <v>0</v>
      </c>
      <c r="BD56" s="75">
        <f t="shared" ca="1" si="86"/>
        <v>0</v>
      </c>
      <c r="BE56" s="75">
        <f t="shared" ca="1" si="87"/>
        <v>0</v>
      </c>
      <c r="BF56" s="75">
        <f t="shared" ca="1" si="88"/>
        <v>0</v>
      </c>
      <c r="BG56" s="75">
        <f t="shared" ca="1" si="89"/>
        <v>0</v>
      </c>
      <c r="BH56" s="75">
        <f t="shared" ca="1" si="90"/>
        <v>0</v>
      </c>
      <c r="BI56" s="75">
        <f t="shared" ca="1" si="91"/>
        <v>0</v>
      </c>
      <c r="BJ56" s="75">
        <f t="shared" ca="1" si="92"/>
        <v>0</v>
      </c>
      <c r="BK56" s="75">
        <f t="shared" ca="1" si="93"/>
        <v>0</v>
      </c>
      <c r="BL56" s="75">
        <f t="shared" ca="1" si="94"/>
        <v>0</v>
      </c>
      <c r="BM56" s="75">
        <f t="shared" ca="1" si="95"/>
        <v>0</v>
      </c>
      <c r="BN56" s="75">
        <f t="shared" ca="1" si="96"/>
        <v>0</v>
      </c>
      <c r="BO56" s="75">
        <f t="shared" ca="1" si="97"/>
        <v>0</v>
      </c>
      <c r="BP56" s="75">
        <f t="shared" ca="1" si="98"/>
        <v>0</v>
      </c>
      <c r="BQ56" s="75">
        <f t="shared" ca="1" si="99"/>
        <v>0</v>
      </c>
      <c r="BR56" s="75">
        <f t="shared" ca="1" si="100"/>
        <v>0</v>
      </c>
      <c r="BS56" s="75"/>
      <c r="BT56" s="75"/>
      <c r="BU56" s="75"/>
      <c r="BV56" s="75">
        <f t="shared" ca="1" si="101"/>
        <v>0</v>
      </c>
      <c r="BW56" s="75">
        <f t="shared" ca="1" si="102"/>
        <v>0</v>
      </c>
      <c r="BX56" s="75">
        <f t="shared" ca="1" si="103"/>
        <v>0</v>
      </c>
      <c r="BY56" s="75">
        <f t="shared" ca="1" si="104"/>
        <v>0</v>
      </c>
      <c r="BZ56" s="75">
        <f t="shared" ca="1" si="105"/>
        <v>0</v>
      </c>
      <c r="CA56" s="75">
        <f t="shared" ca="1" si="106"/>
        <v>0</v>
      </c>
      <c r="CB56" s="75"/>
      <c r="CC56" s="75"/>
      <c r="CD56" s="75"/>
      <c r="CE56" s="75">
        <f t="shared" ca="1" si="107"/>
        <v>0</v>
      </c>
      <c r="CF56" s="75">
        <f t="shared" ca="1" si="108"/>
        <v>0</v>
      </c>
      <c r="CG56" s="75">
        <f t="shared" ca="1" si="109"/>
        <v>0</v>
      </c>
      <c r="CH56" s="75">
        <f t="shared" ca="1" si="110"/>
        <v>0</v>
      </c>
      <c r="CI56" s="75">
        <f t="shared" ca="1" si="111"/>
        <v>0</v>
      </c>
      <c r="CJ56" s="75">
        <f t="shared" ca="1" si="112"/>
        <v>0</v>
      </c>
      <c r="CK56" s="75">
        <f t="shared" ca="1" si="113"/>
        <v>0</v>
      </c>
      <c r="CL56" s="75">
        <f t="shared" ca="1" si="114"/>
        <v>0</v>
      </c>
      <c r="CM56" s="75">
        <f t="shared" ca="1" si="115"/>
        <v>0</v>
      </c>
      <c r="CN56" s="75">
        <f t="shared" ca="1" si="116"/>
        <v>0</v>
      </c>
      <c r="CO56" s="75">
        <f t="shared" ca="1" si="117"/>
        <v>0</v>
      </c>
      <c r="CP56" s="75">
        <f t="shared" ca="1" si="118"/>
        <v>0</v>
      </c>
      <c r="CQ56" s="75">
        <f t="shared" ca="1" si="119"/>
        <v>0</v>
      </c>
      <c r="CR56" s="75">
        <f t="shared" ca="1" si="120"/>
        <v>0</v>
      </c>
      <c r="CS56" s="75">
        <f t="shared" ca="1" si="121"/>
        <v>0</v>
      </c>
      <c r="CT56" s="75">
        <f t="shared" ca="1" si="122"/>
        <v>0</v>
      </c>
      <c r="CU56" s="75">
        <f t="shared" ca="1" si="123"/>
        <v>0</v>
      </c>
      <c r="CV56" s="75">
        <f t="shared" ca="1" si="124"/>
        <v>0</v>
      </c>
      <c r="CW56" s="75">
        <f t="shared" ca="1" si="125"/>
        <v>0</v>
      </c>
      <c r="CX56" s="75">
        <f t="shared" ca="1" si="126"/>
        <v>0</v>
      </c>
      <c r="CY56" s="75">
        <f t="shared" ca="1" si="127"/>
        <v>0</v>
      </c>
      <c r="CZ56" s="75">
        <f t="shared" ca="1" si="128"/>
        <v>0</v>
      </c>
      <c r="DA56" s="75">
        <f t="shared" ca="1" si="129"/>
        <v>0</v>
      </c>
      <c r="DB56" s="75">
        <f t="shared" ca="1" si="130"/>
        <v>0</v>
      </c>
      <c r="DC56" s="75">
        <f t="shared" ca="1" si="131"/>
        <v>0</v>
      </c>
      <c r="DD56" s="75">
        <f t="shared" ca="1" si="132"/>
        <v>0</v>
      </c>
      <c r="DE56" s="75">
        <f t="shared" ca="1" si="133"/>
        <v>0</v>
      </c>
      <c r="DF56" s="75">
        <f t="shared" ca="1" si="134"/>
        <v>0</v>
      </c>
      <c r="DG56" s="75">
        <f t="shared" ca="1" si="135"/>
        <v>0</v>
      </c>
      <c r="DH56" s="75">
        <f t="shared" ca="1" si="136"/>
        <v>0</v>
      </c>
    </row>
    <row r="57" spans="1:112">
      <c r="A57" s="14">
        <f t="shared" si="48"/>
        <v>24</v>
      </c>
      <c r="B57" s="74">
        <f t="shared" ca="1" si="138"/>
        <v>1.6900215363934361E-2</v>
      </c>
      <c r="C57" s="74">
        <f t="shared" si="138"/>
        <v>3782.2</v>
      </c>
      <c r="P57" s="63" t="b">
        <f t="shared" si="137"/>
        <v>1</v>
      </c>
      <c r="Q57" s="75">
        <f t="shared" ca="1" si="50"/>
        <v>0.25231337547302246</v>
      </c>
      <c r="R57" s="75">
        <f t="shared" ca="1" si="51"/>
        <v>0.12984338402748108</v>
      </c>
      <c r="S57" s="75">
        <f t="shared" ca="1" si="52"/>
        <v>8.5603110492229462E-2</v>
      </c>
      <c r="T57" s="75">
        <f t="shared" ca="1" si="53"/>
        <v>0.27227544784545898</v>
      </c>
      <c r="U57" s="75">
        <f t="shared" ca="1" si="54"/>
        <v>0.12049177289009094</v>
      </c>
      <c r="V57" s="75">
        <f t="shared" ca="1" si="55"/>
        <v>0.10574502497911453</v>
      </c>
      <c r="W57" s="75">
        <f t="shared" ca="1" si="56"/>
        <v>0.29097864031791687</v>
      </c>
      <c r="X57" s="75">
        <f t="shared" ca="1" si="57"/>
        <v>0.1354183703660965</v>
      </c>
      <c r="Y57" s="75">
        <f t="shared" ca="1" si="58"/>
        <v>0.12085145711898804</v>
      </c>
      <c r="Z57" s="75">
        <f t="shared" ca="1" si="59"/>
        <v>0.24206258356571198</v>
      </c>
      <c r="AA57" s="75">
        <f t="shared" ca="1" si="60"/>
        <v>8.9020043611526489E-2</v>
      </c>
      <c r="AB57" s="75">
        <f t="shared" ca="1" si="61"/>
        <v>8.8660366833209991E-2</v>
      </c>
      <c r="AC57" s="75">
        <f t="shared" ca="1" si="62"/>
        <v>0.24637870490550995</v>
      </c>
      <c r="AD57" s="75">
        <f t="shared" ca="1" si="63"/>
        <v>8.1286989152431488E-2</v>
      </c>
      <c r="AE57" s="75">
        <f t="shared" ca="1" si="64"/>
        <v>7.5532160699367523E-2</v>
      </c>
      <c r="AF57" s="75"/>
      <c r="AG57" s="75"/>
      <c r="AH57" s="75"/>
      <c r="AI57" s="75">
        <f t="shared" ca="1" si="65"/>
        <v>0</v>
      </c>
      <c r="AJ57" s="75">
        <f t="shared" ca="1" si="66"/>
        <v>0</v>
      </c>
      <c r="AK57" s="75">
        <f t="shared" ca="1" si="67"/>
        <v>0</v>
      </c>
      <c r="AL57" s="75">
        <f t="shared" ca="1" si="68"/>
        <v>0</v>
      </c>
      <c r="AM57" s="75">
        <f t="shared" ca="1" si="69"/>
        <v>0</v>
      </c>
      <c r="AN57" s="75">
        <f t="shared" ca="1" si="70"/>
        <v>0</v>
      </c>
      <c r="AO57" s="75">
        <f t="shared" ca="1" si="71"/>
        <v>0</v>
      </c>
      <c r="AP57" s="75">
        <f t="shared" ca="1" si="72"/>
        <v>0</v>
      </c>
      <c r="AQ57" s="75">
        <f t="shared" ca="1" si="73"/>
        <v>0</v>
      </c>
      <c r="AR57" s="75">
        <f t="shared" ca="1" si="74"/>
        <v>0</v>
      </c>
      <c r="AS57" s="75">
        <f t="shared" ca="1" si="75"/>
        <v>0</v>
      </c>
      <c r="AT57" s="75">
        <f t="shared" ca="1" si="76"/>
        <v>0</v>
      </c>
      <c r="AU57" s="75">
        <f t="shared" ca="1" si="77"/>
        <v>0</v>
      </c>
      <c r="AV57" s="75">
        <f t="shared" ca="1" si="78"/>
        <v>0</v>
      </c>
      <c r="AW57" s="75">
        <f t="shared" ca="1" si="79"/>
        <v>0</v>
      </c>
      <c r="AX57" s="75">
        <f t="shared" ca="1" si="80"/>
        <v>0</v>
      </c>
      <c r="AY57" s="75">
        <f t="shared" ca="1" si="81"/>
        <v>0</v>
      </c>
      <c r="AZ57" s="75">
        <f t="shared" ca="1" si="82"/>
        <v>0</v>
      </c>
      <c r="BA57" s="75">
        <f t="shared" ca="1" si="83"/>
        <v>0</v>
      </c>
      <c r="BB57" s="75">
        <f t="shared" ca="1" si="84"/>
        <v>0</v>
      </c>
      <c r="BC57" s="75">
        <f t="shared" ca="1" si="85"/>
        <v>0</v>
      </c>
      <c r="BD57" s="75">
        <f t="shared" ca="1" si="86"/>
        <v>0</v>
      </c>
      <c r="BE57" s="75">
        <f t="shared" ca="1" si="87"/>
        <v>0</v>
      </c>
      <c r="BF57" s="75">
        <f t="shared" ca="1" si="88"/>
        <v>0</v>
      </c>
      <c r="BG57" s="75">
        <f t="shared" ca="1" si="89"/>
        <v>0</v>
      </c>
      <c r="BH57" s="75">
        <f t="shared" ca="1" si="90"/>
        <v>0</v>
      </c>
      <c r="BI57" s="75">
        <f t="shared" ca="1" si="91"/>
        <v>0</v>
      </c>
      <c r="BJ57" s="75">
        <f t="shared" ca="1" si="92"/>
        <v>0</v>
      </c>
      <c r="BK57" s="75">
        <f t="shared" ca="1" si="93"/>
        <v>0</v>
      </c>
      <c r="BL57" s="75">
        <f t="shared" ca="1" si="94"/>
        <v>0</v>
      </c>
      <c r="BM57" s="75">
        <f t="shared" ca="1" si="95"/>
        <v>0</v>
      </c>
      <c r="BN57" s="75">
        <f t="shared" ca="1" si="96"/>
        <v>0</v>
      </c>
      <c r="BO57" s="75">
        <f t="shared" ca="1" si="97"/>
        <v>0</v>
      </c>
      <c r="BP57" s="75">
        <f t="shared" ca="1" si="98"/>
        <v>0</v>
      </c>
      <c r="BQ57" s="75">
        <f t="shared" ca="1" si="99"/>
        <v>0</v>
      </c>
      <c r="BR57" s="75">
        <f t="shared" ca="1" si="100"/>
        <v>0</v>
      </c>
      <c r="BS57" s="75"/>
      <c r="BT57" s="75"/>
      <c r="BU57" s="75"/>
      <c r="BV57" s="75">
        <f t="shared" ca="1" si="101"/>
        <v>0</v>
      </c>
      <c r="BW57" s="75">
        <f t="shared" ca="1" si="102"/>
        <v>0</v>
      </c>
      <c r="BX57" s="75">
        <f t="shared" ca="1" si="103"/>
        <v>0</v>
      </c>
      <c r="BY57" s="75">
        <f t="shared" ca="1" si="104"/>
        <v>0</v>
      </c>
      <c r="BZ57" s="75">
        <f t="shared" ca="1" si="105"/>
        <v>0</v>
      </c>
      <c r="CA57" s="75">
        <f t="shared" ca="1" si="106"/>
        <v>0</v>
      </c>
      <c r="CB57" s="75"/>
      <c r="CC57" s="75"/>
      <c r="CD57" s="75"/>
      <c r="CE57" s="75">
        <f t="shared" ca="1" si="107"/>
        <v>0</v>
      </c>
      <c r="CF57" s="75">
        <f t="shared" ca="1" si="108"/>
        <v>0</v>
      </c>
      <c r="CG57" s="75">
        <f t="shared" ca="1" si="109"/>
        <v>0</v>
      </c>
      <c r="CH57" s="75">
        <f t="shared" ca="1" si="110"/>
        <v>0</v>
      </c>
      <c r="CI57" s="75">
        <f t="shared" ca="1" si="111"/>
        <v>0</v>
      </c>
      <c r="CJ57" s="75">
        <f t="shared" ca="1" si="112"/>
        <v>0</v>
      </c>
      <c r="CK57" s="75">
        <f t="shared" ca="1" si="113"/>
        <v>0</v>
      </c>
      <c r="CL57" s="75">
        <f t="shared" ca="1" si="114"/>
        <v>0</v>
      </c>
      <c r="CM57" s="75">
        <f t="shared" ca="1" si="115"/>
        <v>0</v>
      </c>
      <c r="CN57" s="75">
        <f t="shared" ca="1" si="116"/>
        <v>0</v>
      </c>
      <c r="CO57" s="75">
        <f t="shared" ca="1" si="117"/>
        <v>0</v>
      </c>
      <c r="CP57" s="75">
        <f t="shared" ca="1" si="118"/>
        <v>0</v>
      </c>
      <c r="CQ57" s="75">
        <f t="shared" ca="1" si="119"/>
        <v>0</v>
      </c>
      <c r="CR57" s="75">
        <f t="shared" ca="1" si="120"/>
        <v>0</v>
      </c>
      <c r="CS57" s="75">
        <f t="shared" ca="1" si="121"/>
        <v>0</v>
      </c>
      <c r="CT57" s="75">
        <f t="shared" ca="1" si="122"/>
        <v>0</v>
      </c>
      <c r="CU57" s="75">
        <f t="shared" ca="1" si="123"/>
        <v>0</v>
      </c>
      <c r="CV57" s="75">
        <f t="shared" ca="1" si="124"/>
        <v>0</v>
      </c>
      <c r="CW57" s="75">
        <f t="shared" ca="1" si="125"/>
        <v>0</v>
      </c>
      <c r="CX57" s="75">
        <f t="shared" ca="1" si="126"/>
        <v>0</v>
      </c>
      <c r="CY57" s="75">
        <f t="shared" ca="1" si="127"/>
        <v>0</v>
      </c>
      <c r="CZ57" s="75">
        <f t="shared" ca="1" si="128"/>
        <v>0</v>
      </c>
      <c r="DA57" s="75">
        <f t="shared" ca="1" si="129"/>
        <v>0</v>
      </c>
      <c r="DB57" s="75">
        <f t="shared" ca="1" si="130"/>
        <v>0</v>
      </c>
      <c r="DC57" s="75">
        <f t="shared" ca="1" si="131"/>
        <v>0</v>
      </c>
      <c r="DD57" s="75">
        <f t="shared" ca="1" si="132"/>
        <v>0</v>
      </c>
      <c r="DE57" s="75">
        <f t="shared" ca="1" si="133"/>
        <v>0</v>
      </c>
      <c r="DF57" s="75">
        <f t="shared" ca="1" si="134"/>
        <v>0</v>
      </c>
      <c r="DG57" s="75">
        <f t="shared" ca="1" si="135"/>
        <v>0</v>
      </c>
      <c r="DH57" s="75">
        <f t="shared" ca="1" si="136"/>
        <v>0</v>
      </c>
    </row>
    <row r="58" spans="1:112">
      <c r="A58" s="14">
        <f t="shared" si="48"/>
        <v>25</v>
      </c>
      <c r="B58" s="74">
        <f t="shared" ca="1" si="138"/>
        <v>1.3827448268123942E-2</v>
      </c>
      <c r="C58" s="74">
        <f t="shared" si="138"/>
        <v>3801.6</v>
      </c>
      <c r="P58" s="63" t="b">
        <f t="shared" si="137"/>
        <v>1</v>
      </c>
      <c r="Q58" s="75">
        <f t="shared" ca="1" si="50"/>
        <v>0.19134813547134399</v>
      </c>
      <c r="R58" s="75">
        <f t="shared" ca="1" si="51"/>
        <v>9.5314390957355499E-2</v>
      </c>
      <c r="S58" s="75">
        <f t="shared" ca="1" si="52"/>
        <v>5.0354771316051483E-2</v>
      </c>
      <c r="T58" s="75">
        <f t="shared" ca="1" si="53"/>
        <v>0.21149004995822906</v>
      </c>
      <c r="U58" s="75">
        <f t="shared" ca="1" si="54"/>
        <v>9.2976488173007965E-2</v>
      </c>
      <c r="V58" s="75">
        <f t="shared" ca="1" si="55"/>
        <v>7.0496678352355957E-2</v>
      </c>
      <c r="W58" s="75">
        <f t="shared" ca="1" si="56"/>
        <v>0.221560999751091</v>
      </c>
      <c r="X58" s="75">
        <f t="shared" ca="1" si="57"/>
        <v>0.11275872588157654</v>
      </c>
      <c r="Y58" s="75">
        <f t="shared" ca="1" si="58"/>
        <v>8.0567635595798492E-2</v>
      </c>
      <c r="Z58" s="75">
        <f t="shared" ca="1" si="59"/>
        <v>0.18433442711830139</v>
      </c>
      <c r="AA58" s="75">
        <f t="shared" ca="1" si="60"/>
        <v>7.1935385465621948E-2</v>
      </c>
      <c r="AB58" s="75">
        <f t="shared" ca="1" si="61"/>
        <v>5.5390249937772751E-2</v>
      </c>
      <c r="AC58" s="75">
        <f t="shared" ca="1" si="62"/>
        <v>0.18433442711830139</v>
      </c>
      <c r="AD58" s="75">
        <f t="shared" ca="1" si="63"/>
        <v>6.0245886445045471E-2</v>
      </c>
      <c r="AE58" s="75">
        <f t="shared" ca="1" si="64"/>
        <v>4.0283817797899246E-2</v>
      </c>
      <c r="AF58" s="75"/>
      <c r="AG58" s="75"/>
      <c r="AH58" s="75"/>
      <c r="AI58" s="75">
        <f t="shared" ca="1" si="65"/>
        <v>0</v>
      </c>
      <c r="AJ58" s="75">
        <f t="shared" ca="1" si="66"/>
        <v>0</v>
      </c>
      <c r="AK58" s="75">
        <f t="shared" ca="1" si="67"/>
        <v>0</v>
      </c>
      <c r="AL58" s="75">
        <f t="shared" ca="1" si="68"/>
        <v>0</v>
      </c>
      <c r="AM58" s="75">
        <f t="shared" ca="1" si="69"/>
        <v>0</v>
      </c>
      <c r="AN58" s="75">
        <f t="shared" ca="1" si="70"/>
        <v>0</v>
      </c>
      <c r="AO58" s="75">
        <f t="shared" ca="1" si="71"/>
        <v>0</v>
      </c>
      <c r="AP58" s="75">
        <f t="shared" ca="1" si="72"/>
        <v>0</v>
      </c>
      <c r="AQ58" s="75">
        <f t="shared" ca="1" si="73"/>
        <v>0</v>
      </c>
      <c r="AR58" s="75">
        <f t="shared" ca="1" si="74"/>
        <v>0</v>
      </c>
      <c r="AS58" s="75">
        <f t="shared" ca="1" si="75"/>
        <v>0</v>
      </c>
      <c r="AT58" s="75">
        <f t="shared" ca="1" si="76"/>
        <v>0</v>
      </c>
      <c r="AU58" s="75">
        <f t="shared" ca="1" si="77"/>
        <v>0</v>
      </c>
      <c r="AV58" s="75">
        <f t="shared" ca="1" si="78"/>
        <v>0</v>
      </c>
      <c r="AW58" s="75">
        <f t="shared" ca="1" si="79"/>
        <v>0</v>
      </c>
      <c r="AX58" s="75">
        <f t="shared" ca="1" si="80"/>
        <v>0</v>
      </c>
      <c r="AY58" s="75">
        <f t="shared" ca="1" si="81"/>
        <v>0</v>
      </c>
      <c r="AZ58" s="75">
        <f t="shared" ca="1" si="82"/>
        <v>0</v>
      </c>
      <c r="BA58" s="75">
        <f t="shared" ca="1" si="83"/>
        <v>0</v>
      </c>
      <c r="BB58" s="75">
        <f t="shared" ca="1" si="84"/>
        <v>0</v>
      </c>
      <c r="BC58" s="75">
        <f t="shared" ca="1" si="85"/>
        <v>0</v>
      </c>
      <c r="BD58" s="75">
        <f t="shared" ca="1" si="86"/>
        <v>0</v>
      </c>
      <c r="BE58" s="75">
        <f t="shared" ca="1" si="87"/>
        <v>0</v>
      </c>
      <c r="BF58" s="75">
        <f t="shared" ca="1" si="88"/>
        <v>0</v>
      </c>
      <c r="BG58" s="75">
        <f t="shared" ca="1" si="89"/>
        <v>0</v>
      </c>
      <c r="BH58" s="75">
        <f t="shared" ca="1" si="90"/>
        <v>0</v>
      </c>
      <c r="BI58" s="75">
        <f t="shared" ca="1" si="91"/>
        <v>0</v>
      </c>
      <c r="BJ58" s="75">
        <f t="shared" ca="1" si="92"/>
        <v>0</v>
      </c>
      <c r="BK58" s="75">
        <f t="shared" ca="1" si="93"/>
        <v>0</v>
      </c>
      <c r="BL58" s="75">
        <f t="shared" ca="1" si="94"/>
        <v>0</v>
      </c>
      <c r="BM58" s="75">
        <f t="shared" ca="1" si="95"/>
        <v>0</v>
      </c>
      <c r="BN58" s="75">
        <f t="shared" ca="1" si="96"/>
        <v>0</v>
      </c>
      <c r="BO58" s="75">
        <f t="shared" ca="1" si="97"/>
        <v>0</v>
      </c>
      <c r="BP58" s="75">
        <f t="shared" ca="1" si="98"/>
        <v>0</v>
      </c>
      <c r="BQ58" s="75">
        <f t="shared" ca="1" si="99"/>
        <v>0</v>
      </c>
      <c r="BR58" s="75">
        <f t="shared" ca="1" si="100"/>
        <v>0</v>
      </c>
      <c r="BS58" s="75"/>
      <c r="BT58" s="75"/>
      <c r="BU58" s="75"/>
      <c r="BV58" s="75">
        <f t="shared" ca="1" si="101"/>
        <v>0</v>
      </c>
      <c r="BW58" s="75">
        <f t="shared" ca="1" si="102"/>
        <v>0</v>
      </c>
      <c r="BX58" s="75">
        <f t="shared" ca="1" si="103"/>
        <v>0</v>
      </c>
      <c r="BY58" s="75">
        <f t="shared" ca="1" si="104"/>
        <v>0</v>
      </c>
      <c r="BZ58" s="75">
        <f t="shared" ca="1" si="105"/>
        <v>0</v>
      </c>
      <c r="CA58" s="75">
        <f t="shared" ca="1" si="106"/>
        <v>0</v>
      </c>
      <c r="CB58" s="75"/>
      <c r="CC58" s="75"/>
      <c r="CD58" s="75"/>
      <c r="CE58" s="75">
        <f t="shared" ca="1" si="107"/>
        <v>0</v>
      </c>
      <c r="CF58" s="75">
        <f t="shared" ca="1" si="108"/>
        <v>0</v>
      </c>
      <c r="CG58" s="75">
        <f t="shared" ca="1" si="109"/>
        <v>0</v>
      </c>
      <c r="CH58" s="75">
        <f t="shared" ca="1" si="110"/>
        <v>0</v>
      </c>
      <c r="CI58" s="75">
        <f t="shared" ca="1" si="111"/>
        <v>0</v>
      </c>
      <c r="CJ58" s="75">
        <f t="shared" ca="1" si="112"/>
        <v>0</v>
      </c>
      <c r="CK58" s="75">
        <f t="shared" ca="1" si="113"/>
        <v>0</v>
      </c>
      <c r="CL58" s="75">
        <f t="shared" ca="1" si="114"/>
        <v>0</v>
      </c>
      <c r="CM58" s="75">
        <f t="shared" ca="1" si="115"/>
        <v>0</v>
      </c>
      <c r="CN58" s="75">
        <f t="shared" ca="1" si="116"/>
        <v>0</v>
      </c>
      <c r="CO58" s="75">
        <f t="shared" ca="1" si="117"/>
        <v>0</v>
      </c>
      <c r="CP58" s="75">
        <f t="shared" ca="1" si="118"/>
        <v>0</v>
      </c>
      <c r="CQ58" s="75">
        <f t="shared" ca="1" si="119"/>
        <v>0</v>
      </c>
      <c r="CR58" s="75">
        <f t="shared" ca="1" si="120"/>
        <v>0</v>
      </c>
      <c r="CS58" s="75">
        <f t="shared" ca="1" si="121"/>
        <v>0</v>
      </c>
      <c r="CT58" s="75">
        <f t="shared" ca="1" si="122"/>
        <v>0</v>
      </c>
      <c r="CU58" s="75">
        <f t="shared" ca="1" si="123"/>
        <v>0</v>
      </c>
      <c r="CV58" s="75">
        <f t="shared" ca="1" si="124"/>
        <v>0</v>
      </c>
      <c r="CW58" s="75">
        <f t="shared" ca="1" si="125"/>
        <v>0</v>
      </c>
      <c r="CX58" s="75">
        <f t="shared" ca="1" si="126"/>
        <v>0</v>
      </c>
      <c r="CY58" s="75">
        <f t="shared" ca="1" si="127"/>
        <v>0</v>
      </c>
      <c r="CZ58" s="75">
        <f t="shared" ca="1" si="128"/>
        <v>0</v>
      </c>
      <c r="DA58" s="75">
        <f t="shared" ca="1" si="129"/>
        <v>0</v>
      </c>
      <c r="DB58" s="75">
        <f t="shared" ca="1" si="130"/>
        <v>0</v>
      </c>
      <c r="DC58" s="75">
        <f t="shared" ca="1" si="131"/>
        <v>0</v>
      </c>
      <c r="DD58" s="75">
        <f t="shared" ca="1" si="132"/>
        <v>0</v>
      </c>
      <c r="DE58" s="75">
        <f t="shared" ca="1" si="133"/>
        <v>0</v>
      </c>
      <c r="DF58" s="75">
        <f t="shared" ca="1" si="134"/>
        <v>0</v>
      </c>
      <c r="DG58" s="75">
        <f t="shared" ca="1" si="135"/>
        <v>0</v>
      </c>
      <c r="DH58" s="75">
        <f t="shared" ca="1" si="136"/>
        <v>0</v>
      </c>
    </row>
    <row r="59" spans="1:112">
      <c r="B59" s="74"/>
      <c r="C59" s="74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AZ59" s="75"/>
      <c r="BA59" s="75"/>
      <c r="BB59" s="75"/>
      <c r="BC59" s="75"/>
      <c r="BD59" s="75"/>
      <c r="BE59" s="75"/>
      <c r="BF59" s="75"/>
      <c r="BG59" s="75"/>
      <c r="BH59" s="75"/>
      <c r="BI59" s="75"/>
      <c r="BJ59" s="75"/>
      <c r="BK59" s="75"/>
      <c r="BL59" s="75"/>
      <c r="BM59" s="75"/>
      <c r="BN59" s="75"/>
      <c r="BO59" s="75"/>
      <c r="BP59" s="75"/>
      <c r="BQ59" s="75"/>
      <c r="BR59" s="75"/>
      <c r="BS59" s="75"/>
      <c r="BT59" s="75"/>
      <c r="BU59" s="75"/>
      <c r="BV59" s="75"/>
      <c r="BW59" s="75"/>
      <c r="BX59" s="75"/>
      <c r="BY59" s="75"/>
      <c r="BZ59" s="75"/>
      <c r="CA59" s="75"/>
      <c r="CB59" s="75"/>
      <c r="CC59" s="75"/>
      <c r="CD59" s="75"/>
      <c r="CE59" s="75"/>
      <c r="CF59" s="75"/>
      <c r="CG59" s="75"/>
      <c r="CH59" s="75"/>
      <c r="CI59" s="75"/>
      <c r="CJ59" s="75"/>
      <c r="CK59" s="75"/>
      <c r="CL59" s="75"/>
      <c r="CM59" s="75"/>
      <c r="CN59" s="75"/>
      <c r="CO59" s="75"/>
      <c r="CP59" s="75"/>
      <c r="CQ59" s="75"/>
      <c r="CR59" s="75"/>
      <c r="CS59" s="75"/>
      <c r="CT59" s="75"/>
      <c r="CU59" s="75"/>
      <c r="CV59" s="75"/>
      <c r="CW59" s="75"/>
      <c r="CX59" s="75"/>
      <c r="CY59" s="75"/>
      <c r="CZ59" s="75"/>
      <c r="DA59" s="75"/>
      <c r="DB59" s="75"/>
      <c r="DC59" s="75"/>
      <c r="DD59" s="75"/>
      <c r="DE59" s="75"/>
      <c r="DF59" s="75"/>
      <c r="DG59" s="75"/>
      <c r="DH59" s="75"/>
    </row>
    <row r="60" spans="1:112">
      <c r="B60" s="74"/>
      <c r="C60" s="74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5"/>
      <c r="BA60" s="75"/>
      <c r="BB60" s="75"/>
      <c r="BC60" s="75"/>
      <c r="BD60" s="75"/>
      <c r="BE60" s="75"/>
      <c r="BF60" s="75"/>
      <c r="BG60" s="75"/>
      <c r="BH60" s="75"/>
      <c r="BI60" s="75"/>
      <c r="BJ60" s="75"/>
      <c r="BK60" s="75"/>
      <c r="BL60" s="75"/>
      <c r="BM60" s="75"/>
      <c r="BN60" s="75"/>
      <c r="BO60" s="75"/>
      <c r="BP60" s="75"/>
      <c r="BQ60" s="75"/>
      <c r="BR60" s="75"/>
      <c r="BS60" s="75"/>
      <c r="BT60" s="75"/>
      <c r="BU60" s="75"/>
      <c r="BV60" s="75"/>
      <c r="BW60" s="75"/>
      <c r="BX60" s="75"/>
      <c r="BY60" s="75"/>
      <c r="BZ60" s="75"/>
      <c r="CA60" s="75"/>
      <c r="CB60" s="75"/>
      <c r="CC60" s="75"/>
      <c r="CD60" s="75"/>
      <c r="CE60" s="75"/>
      <c r="CF60" s="75"/>
      <c r="CG60" s="75"/>
      <c r="CH60" s="75"/>
      <c r="CI60" s="75"/>
      <c r="CJ60" s="75"/>
      <c r="CK60" s="75"/>
      <c r="CL60" s="75"/>
      <c r="CM60" s="75"/>
      <c r="CN60" s="75"/>
      <c r="CO60" s="75"/>
      <c r="CP60" s="75"/>
      <c r="CQ60" s="75"/>
      <c r="CR60" s="75"/>
      <c r="CS60" s="75"/>
      <c r="CT60" s="75"/>
      <c r="CU60" s="75"/>
      <c r="CV60" s="75"/>
      <c r="CW60" s="75"/>
      <c r="CX60" s="75"/>
      <c r="CY60" s="75"/>
      <c r="CZ60" s="75"/>
      <c r="DA60" s="75"/>
      <c r="DB60" s="75"/>
      <c r="DC60" s="75"/>
      <c r="DD60" s="75"/>
      <c r="DE60" s="75"/>
      <c r="DF60" s="75"/>
      <c r="DG60" s="75"/>
      <c r="DH60" s="75"/>
    </row>
    <row r="61" spans="1:112">
      <c r="A61" s="110" t="s">
        <v>63</v>
      </c>
      <c r="B61" s="110"/>
      <c r="C61" s="110"/>
      <c r="Q61" s="75"/>
      <c r="R61" s="75"/>
      <c r="S61" s="75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AZ61" s="75"/>
      <c r="BA61" s="75"/>
      <c r="BB61" s="75"/>
      <c r="BC61" s="75"/>
      <c r="BD61" s="75"/>
      <c r="BE61" s="75"/>
      <c r="BF61" s="75"/>
      <c r="BG61" s="75"/>
      <c r="BH61" s="75"/>
      <c r="BI61" s="75"/>
      <c r="BJ61" s="75"/>
      <c r="BK61" s="75"/>
      <c r="BL61" s="75"/>
      <c r="BM61" s="75"/>
      <c r="BN61" s="75"/>
      <c r="BO61" s="75"/>
      <c r="BP61" s="75"/>
      <c r="BQ61" s="75"/>
      <c r="BR61" s="75"/>
      <c r="BS61" s="75"/>
      <c r="BT61" s="75"/>
      <c r="BU61" s="75"/>
      <c r="BV61" s="75"/>
      <c r="BW61" s="75"/>
      <c r="BX61" s="75"/>
      <c r="BY61" s="75"/>
      <c r="BZ61" s="75"/>
      <c r="CA61" s="75"/>
      <c r="CB61" s="75"/>
      <c r="CC61" s="75"/>
      <c r="CD61" s="75"/>
      <c r="CE61" s="75"/>
      <c r="CF61" s="75"/>
      <c r="CG61" s="75"/>
      <c r="CH61" s="75"/>
      <c r="CI61" s="75"/>
      <c r="CJ61" s="75"/>
      <c r="CK61" s="75"/>
      <c r="CL61" s="75"/>
      <c r="CM61" s="75"/>
      <c r="CN61" s="75"/>
      <c r="CO61" s="75"/>
      <c r="CP61" s="75"/>
      <c r="CQ61" s="75"/>
      <c r="CR61" s="75"/>
      <c r="CS61" s="75"/>
      <c r="CT61" s="75"/>
      <c r="CU61" s="75"/>
      <c r="CV61" s="75"/>
      <c r="CW61" s="75"/>
      <c r="CX61" s="75"/>
      <c r="CY61" s="75"/>
      <c r="CZ61" s="75"/>
      <c r="DA61" s="75"/>
      <c r="DB61" s="75"/>
      <c r="DC61" s="75"/>
      <c r="DD61" s="75"/>
      <c r="DE61" s="75"/>
      <c r="DF61" s="75"/>
      <c r="DG61" s="75"/>
      <c r="DH61" s="75"/>
    </row>
    <row r="62" spans="1:112">
      <c r="A62" s="110"/>
      <c r="B62" s="110"/>
      <c r="C62" s="110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75"/>
      <c r="AK62" s="75"/>
      <c r="AL62" s="75"/>
      <c r="AM62" s="75"/>
      <c r="AN62" s="75"/>
      <c r="AO62" s="75"/>
      <c r="AP62" s="75"/>
      <c r="AQ62" s="75"/>
      <c r="AR62" s="75"/>
      <c r="AS62" s="75"/>
      <c r="AT62" s="75"/>
      <c r="AU62" s="75"/>
      <c r="AV62" s="75"/>
      <c r="AW62" s="75"/>
      <c r="AX62" s="75"/>
      <c r="AY62" s="75"/>
      <c r="AZ62" s="75"/>
      <c r="BA62" s="75"/>
      <c r="BB62" s="75"/>
      <c r="BC62" s="75"/>
      <c r="BD62" s="75"/>
      <c r="BE62" s="75"/>
      <c r="BF62" s="75"/>
      <c r="BG62" s="75"/>
      <c r="BH62" s="75"/>
      <c r="BI62" s="75"/>
      <c r="BJ62" s="75"/>
      <c r="BK62" s="75"/>
      <c r="BL62" s="75"/>
      <c r="BM62" s="75"/>
      <c r="BN62" s="75"/>
      <c r="BO62" s="75"/>
      <c r="BP62" s="75"/>
      <c r="BQ62" s="75"/>
      <c r="BR62" s="75"/>
      <c r="BS62" s="75"/>
      <c r="BT62" s="75"/>
      <c r="BU62" s="75"/>
      <c r="BV62" s="75"/>
      <c r="BW62" s="75"/>
      <c r="BX62" s="75"/>
      <c r="BY62" s="75"/>
      <c r="BZ62" s="75"/>
      <c r="CA62" s="75"/>
      <c r="CB62" s="75"/>
      <c r="CC62" s="75"/>
      <c r="CD62" s="75"/>
      <c r="CE62" s="75"/>
      <c r="CF62" s="75"/>
      <c r="CG62" s="75"/>
      <c r="CH62" s="75"/>
      <c r="CI62" s="75"/>
      <c r="CJ62" s="75"/>
      <c r="CK62" s="75"/>
      <c r="CL62" s="75"/>
      <c r="CM62" s="75"/>
      <c r="CN62" s="75"/>
      <c r="CO62" s="75"/>
      <c r="CP62" s="75"/>
      <c r="CQ62" s="75"/>
      <c r="CR62" s="75"/>
      <c r="CS62" s="75"/>
      <c r="CT62" s="75"/>
      <c r="CU62" s="75"/>
      <c r="CV62" s="75"/>
      <c r="CW62" s="75"/>
      <c r="CX62" s="75"/>
      <c r="CY62" s="75"/>
      <c r="CZ62" s="75"/>
      <c r="DA62" s="75"/>
      <c r="DB62" s="75"/>
      <c r="DC62" s="75"/>
      <c r="DD62" s="75"/>
      <c r="DE62" s="75"/>
      <c r="DF62" s="75"/>
      <c r="DG62" s="75"/>
      <c r="DH62" s="75"/>
    </row>
    <row r="63" spans="1:112" ht="15.75" thickBot="1">
      <c r="B63" s="101" t="str">
        <f>B1</f>
        <v>Calibration</v>
      </c>
      <c r="C63" s="101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5"/>
      <c r="BA63" s="75"/>
      <c r="BB63" s="75"/>
      <c r="BC63" s="75"/>
      <c r="BD63" s="75"/>
      <c r="BE63" s="75"/>
      <c r="BF63" s="75"/>
      <c r="BG63" s="75"/>
      <c r="BH63" s="75"/>
      <c r="BI63" s="75"/>
      <c r="BJ63" s="75"/>
      <c r="BK63" s="75"/>
      <c r="BL63" s="75"/>
      <c r="BM63" s="75"/>
      <c r="BN63" s="75"/>
      <c r="BO63" s="75"/>
      <c r="BP63" s="75"/>
      <c r="BQ63" s="75"/>
      <c r="BR63" s="75"/>
      <c r="BS63" s="75"/>
      <c r="BT63" s="75"/>
      <c r="BU63" s="75"/>
      <c r="BV63" s="75"/>
      <c r="BW63" s="75"/>
      <c r="BX63" s="75"/>
      <c r="BY63" s="75"/>
      <c r="BZ63" s="75"/>
      <c r="CA63" s="75"/>
      <c r="CB63" s="75"/>
      <c r="CC63" s="75"/>
      <c r="CD63" s="75"/>
      <c r="CE63" s="75"/>
      <c r="CF63" s="75"/>
      <c r="CG63" s="75"/>
      <c r="CH63" s="75"/>
      <c r="CI63" s="75"/>
      <c r="CJ63" s="75"/>
      <c r="CK63" s="75"/>
      <c r="CL63" s="75"/>
      <c r="CM63" s="75"/>
      <c r="CN63" s="75"/>
      <c r="CO63" s="75"/>
      <c r="CP63" s="75"/>
      <c r="CQ63" s="75"/>
      <c r="CR63" s="75"/>
      <c r="CS63" s="75"/>
      <c r="CT63" s="75"/>
      <c r="CU63" s="75"/>
      <c r="CV63" s="75"/>
      <c r="CW63" s="75"/>
      <c r="CX63" s="75"/>
      <c r="CY63" s="75"/>
      <c r="CZ63" s="75"/>
      <c r="DA63" s="75"/>
      <c r="DB63" s="75"/>
      <c r="DC63" s="75"/>
      <c r="DD63" s="75"/>
      <c r="DE63" s="75"/>
      <c r="DF63" s="75"/>
      <c r="DG63" s="75"/>
      <c r="DH63" s="75"/>
    </row>
    <row r="64" spans="1:112">
      <c r="B64" s="71" t="str">
        <f t="shared" ref="B64:C65" si="139">B2</f>
        <v>Lux</v>
      </c>
      <c r="C64" s="71" t="str">
        <f t="shared" si="139"/>
        <v>CCT</v>
      </c>
      <c r="E64" s="91" t="s">
        <v>47</v>
      </c>
      <c r="F64" s="92"/>
      <c r="P64" s="74" t="str">
        <f>P2</f>
        <v>Valid</v>
      </c>
      <c r="Q64" s="75"/>
      <c r="R64" s="75"/>
      <c r="S64" s="75"/>
    </row>
    <row r="65" spans="1:112">
      <c r="A65" s="14">
        <f>A3</f>
        <v>1</v>
      </c>
      <c r="B65" s="14">
        <f t="shared" ca="1" si="139"/>
        <v>23.151758163574332</v>
      </c>
      <c r="C65" s="14">
        <f t="shared" si="139"/>
        <v>3933.1</v>
      </c>
      <c r="E65" s="64" t="s">
        <v>48</v>
      </c>
      <c r="F65" s="67">
        <f>Summary!L3</f>
        <v>0.66074358048542203</v>
      </c>
      <c r="P65" s="63" t="b">
        <f>P34</f>
        <v>1</v>
      </c>
      <c r="Q65" s="75">
        <f t="shared" ref="Q65:Q89" ca="1" si="140">getRed(Q34:S34,$F$65:$F$73)</f>
        <v>127.11196882225512</v>
      </c>
      <c r="R65" s="75">
        <f t="shared" ref="R65:R89" ca="1" si="141">getGreen(Q34:S34,$F$65:$F$73)</f>
        <v>104.47815153555905</v>
      </c>
      <c r="S65" s="75">
        <f t="shared" ref="S65:S89" ca="1" si="142">getBlue(Q34:S34,$F$65:$F$73)</f>
        <v>25.124328782314834</v>
      </c>
      <c r="T65" s="75">
        <f t="shared" ref="T65:T89" ca="1" si="143">getRed(T34:V34,$F$65:$F$73)</f>
        <v>124.20924891007235</v>
      </c>
      <c r="U65" s="75">
        <f t="shared" ref="U65:U89" ca="1" si="144">getGreen(T34:V34,$F$65:$F$73)</f>
        <v>103.13132247208382</v>
      </c>
      <c r="V65" s="75">
        <f t="shared" ref="V65:V89" ca="1" si="145">getBlue(T34:V34,$F$65:$F$73)</f>
        <v>24.840977654292999</v>
      </c>
      <c r="W65" s="75">
        <f t="shared" ref="W65:W89" ca="1" si="146">getRed(W34:Y34,$F$65:$F$73)</f>
        <v>127.50202092350857</v>
      </c>
      <c r="X65" s="75">
        <f t="shared" ref="X65:X89" ca="1" si="147">getGreen(W34:Y34,$F$65:$F$73)</f>
        <v>108.21520148702122</v>
      </c>
      <c r="Y65" s="75">
        <f t="shared" ref="Y65:Y89" ca="1" si="148">getBlue(W34:Y34,$F$65:$F$73)</f>
        <v>23.462890956547653</v>
      </c>
      <c r="Z65" s="75">
        <f t="shared" ref="Z65:Z89" ca="1" si="149">getRed(Z34:AB34,$F$65:$F$73)</f>
        <v>118.84149669227551</v>
      </c>
      <c r="AA65" s="75">
        <f t="shared" ref="AA65:AA89" ca="1" si="150">getGreen(Z34:AB34,$F$65:$F$73)</f>
        <v>96.390916011390772</v>
      </c>
      <c r="AB65" s="75">
        <f t="shared" ref="AB65:AB89" ca="1" si="151">getBlue(Z34:AB34,$F$65:$F$73)</f>
        <v>25.687254688823536</v>
      </c>
      <c r="AC65" s="75">
        <f t="shared" ref="AC65:AC89" ca="1" si="152">getRed(AC34:AE34,$F$65:$F$73)</f>
        <v>120.42265976173347</v>
      </c>
      <c r="AD65" s="75">
        <f t="shared" ref="AD65:AD89" ca="1" si="153">getGreen(AC34:AE34,$F$65:$F$73)</f>
        <v>98.207046290501395</v>
      </c>
      <c r="AE65" s="75">
        <f t="shared" ref="AE65:AE89" ca="1" si="154">getBlue(AC34:AE34,$F$65:$F$73)</f>
        <v>21.926763243021309</v>
      </c>
      <c r="AF65" s="75"/>
      <c r="AG65" s="75"/>
      <c r="AH65" s="75"/>
      <c r="AI65" s="75">
        <f t="shared" ref="AI65:AI89" ca="1" si="155">getRed(AI34:AK34,$F$65:$F$73)</f>
        <v>0</v>
      </c>
      <c r="AJ65" s="75">
        <f t="shared" ref="AJ65:AJ89" ca="1" si="156">getGreen(AI34:AK34,$F$65:$F$73)</f>
        <v>0</v>
      </c>
      <c r="AK65" s="75">
        <f t="shared" ref="AK65:AK89" ca="1" si="157">getBlue(AI34:AK34,$F$65:$F$73)</f>
        <v>0</v>
      </c>
      <c r="AL65" s="75">
        <f t="shared" ref="AL65:AL89" ca="1" si="158">getRed(AL34:AN34,$F$65:$F$73)</f>
        <v>0</v>
      </c>
      <c r="AM65" s="75">
        <f t="shared" ref="AM65:AM89" ca="1" si="159">getGreen(AL34:AN34,$F$65:$F$73)</f>
        <v>0</v>
      </c>
      <c r="AN65" s="75">
        <f t="shared" ref="AN65:AN89" ca="1" si="160">getBlue(AL34:AN34,$F$65:$F$73)</f>
        <v>0</v>
      </c>
      <c r="AO65" s="75">
        <f t="shared" ref="AO65:AO89" ca="1" si="161">getRed(AO34:AQ34,$F$65:$F$73)</f>
        <v>0</v>
      </c>
      <c r="AP65" s="75">
        <f t="shared" ref="AP65:AP89" ca="1" si="162">getGreen(AO34:AQ34,$F$65:$F$73)</f>
        <v>0</v>
      </c>
      <c r="AQ65" s="75">
        <f t="shared" ref="AQ65:AQ89" ca="1" si="163">getBlue(AO34:AQ34,$F$65:$F$73)</f>
        <v>0</v>
      </c>
      <c r="AR65" s="75">
        <f t="shared" ref="AR65:AR89" ca="1" si="164">getRed(AR34:AT34,$F$65:$F$73)</f>
        <v>0</v>
      </c>
      <c r="AS65" s="75">
        <f t="shared" ref="AS65:AS89" ca="1" si="165">getGreen(AR34:AT34,$F$65:$F$73)</f>
        <v>0</v>
      </c>
      <c r="AT65" s="75">
        <f t="shared" ref="AT65:AT89" ca="1" si="166">getBlue(AR34:AT34,$F$65:$F$73)</f>
        <v>0</v>
      </c>
      <c r="AU65" s="75">
        <f t="shared" ref="AU65:AU89" ca="1" si="167">getRed(AU34:AW34,$F$65:$F$73)</f>
        <v>0</v>
      </c>
      <c r="AV65" s="75">
        <f t="shared" ref="AV65:AV89" ca="1" si="168">getGreen(AU34:AW34,$F$65:$F$73)</f>
        <v>0</v>
      </c>
      <c r="AW65" s="75">
        <f t="shared" ref="AW65:AW89" ca="1" si="169">getBlue(AU34:AW34,$F$65:$F$73)</f>
        <v>0</v>
      </c>
      <c r="AX65" s="75">
        <f t="shared" ref="AX65:AX89" ca="1" si="170">getRed(AX34:AZ34,$F$65:$F$73)</f>
        <v>0</v>
      </c>
      <c r="AY65" s="75">
        <f t="shared" ref="AY65:AY89" ca="1" si="171">getGreen(AX34:AZ34,$F$65:$F$73)</f>
        <v>0</v>
      </c>
      <c r="AZ65" s="75">
        <f t="shared" ref="AZ65:AZ89" ca="1" si="172">getBlue(AX34:AZ34,$F$65:$F$73)</f>
        <v>0</v>
      </c>
      <c r="BA65" s="75">
        <f t="shared" ref="BA65:BA89" ca="1" si="173">getRed(BA34:BC34,$F$65:$F$73)</f>
        <v>0</v>
      </c>
      <c r="BB65" s="75">
        <f t="shared" ref="BB65:BB89" ca="1" si="174">getGreen(BA34:BC34,$F$65:$F$73)</f>
        <v>0</v>
      </c>
      <c r="BC65" s="75">
        <f t="shared" ref="BC65:BC89" ca="1" si="175">getBlue(BA34:BC34,$F$65:$F$73)</f>
        <v>0</v>
      </c>
      <c r="BD65" s="75">
        <f t="shared" ref="BD65:BD89" ca="1" si="176">getRed(BD34:BF34,$F$65:$F$73)</f>
        <v>0</v>
      </c>
      <c r="BE65" s="75">
        <f t="shared" ref="BE65:BE89" ca="1" si="177">getGreen(BD34:BF34,$F$65:$F$73)</f>
        <v>0</v>
      </c>
      <c r="BF65" s="75">
        <f t="shared" ref="BF65:BF89" ca="1" si="178">getBlue(BD34:BF34,$F$65:$F$73)</f>
        <v>0</v>
      </c>
      <c r="BG65" s="75">
        <f t="shared" ref="BG65:BG89" ca="1" si="179">getRed(BG34:BI34,$F$65:$F$73)</f>
        <v>0</v>
      </c>
      <c r="BH65" s="75">
        <f t="shared" ref="BH65:BH89" ca="1" si="180">getGreen(BG34:BI34,$F$65:$F$73)</f>
        <v>0</v>
      </c>
      <c r="BI65" s="75">
        <f t="shared" ref="BI65:BI89" ca="1" si="181">getBlue(BG34:BI34,$F$65:$F$73)</f>
        <v>0</v>
      </c>
      <c r="BJ65" s="75">
        <f t="shared" ref="BJ65:BJ89" ca="1" si="182">getRed(BJ34:BL34,$F$65:$F$73)</f>
        <v>0</v>
      </c>
      <c r="BK65" s="75">
        <f t="shared" ref="BK65:BK89" ca="1" si="183">getGreen(BJ34:BL34,$F$65:$F$73)</f>
        <v>0</v>
      </c>
      <c r="BL65" s="75">
        <f t="shared" ref="BL65:BL89" ca="1" si="184">getBlue(BJ34:BL34,$F$65:$F$73)</f>
        <v>0</v>
      </c>
      <c r="BM65" s="75">
        <f t="shared" ref="BM65:BM89" ca="1" si="185">getRed(BM34:BO34,$F$65:$F$73)</f>
        <v>0</v>
      </c>
      <c r="BN65" s="75">
        <f t="shared" ref="BN65:BN89" ca="1" si="186">getGreen(BM34:BO34,$F$65:$F$73)</f>
        <v>0</v>
      </c>
      <c r="BO65" s="75">
        <f t="shared" ref="BO65:BO89" ca="1" si="187">getBlue(BM34:BO34,$F$65:$F$73)</f>
        <v>0</v>
      </c>
      <c r="BP65" s="75">
        <f t="shared" ref="BP65:BP89" ca="1" si="188">getRed(BP34:BR34,$F$65:$F$73)</f>
        <v>0</v>
      </c>
      <c r="BQ65" s="75">
        <f t="shared" ref="BQ65:BQ89" ca="1" si="189">getGreen(BP34:BR34,$F$65:$F$73)</f>
        <v>0</v>
      </c>
      <c r="BR65" s="75">
        <f t="shared" ref="BR65:BR89" ca="1" si="190">getBlue(BP34:BR34,$F$65:$F$73)</f>
        <v>0</v>
      </c>
      <c r="BS65" s="75"/>
      <c r="BT65" s="75"/>
      <c r="BU65" s="75"/>
      <c r="BV65" s="75">
        <f t="shared" ref="BV65:BV89" ca="1" si="191">getRed(BV34:BX34,$F$65:$F$73)</f>
        <v>0</v>
      </c>
      <c r="BW65" s="75">
        <f t="shared" ref="BW65:BW89" ca="1" si="192">getGreen(BV34:BX34,$F$65:$F$73)</f>
        <v>0</v>
      </c>
      <c r="BX65" s="75">
        <f t="shared" ref="BX65:BX89" ca="1" si="193">getBlue(BV34:BX34,$F$65:$F$73)</f>
        <v>0</v>
      </c>
      <c r="BY65" s="75">
        <f t="shared" ref="BY65:BY89" ca="1" si="194">getRed(BY34:CA34,$F$65:$F$73)</f>
        <v>0</v>
      </c>
      <c r="BZ65" s="75">
        <f t="shared" ref="BZ65:BZ89" ca="1" si="195">getGreen(BY34:CA34,$F$65:$F$73)</f>
        <v>0</v>
      </c>
      <c r="CA65" s="75">
        <f t="shared" ref="CA65:CA89" ca="1" si="196">getBlue(BY34:CA34,$F$65:$F$73)</f>
        <v>0</v>
      </c>
      <c r="CB65" s="75"/>
      <c r="CC65" s="75"/>
      <c r="CD65" s="75"/>
      <c r="CE65" s="75">
        <f t="shared" ref="CE65:CE89" ca="1" si="197">getRed(CE34:CG34,$F$65:$F$73)</f>
        <v>0</v>
      </c>
      <c r="CF65" s="75">
        <f t="shared" ref="CF65:CF89" ca="1" si="198">getGreen(CE34:CG34,$F$65:$F$73)</f>
        <v>0</v>
      </c>
      <c r="CG65" s="75">
        <f t="shared" ref="CG65:CG89" ca="1" si="199">getBlue(CE34:CG34,$F$65:$F$73)</f>
        <v>0</v>
      </c>
      <c r="CH65" s="75">
        <f t="shared" ref="CH65:CH89" ca="1" si="200">getRed(CH34:CJ34,$F$65:$F$73)</f>
        <v>0</v>
      </c>
      <c r="CI65" s="75">
        <f t="shared" ref="CI65:CI89" ca="1" si="201">getGreen(CH34:CJ34,$F$65:$F$73)</f>
        <v>0</v>
      </c>
      <c r="CJ65" s="75">
        <f t="shared" ref="CJ65:CJ89" ca="1" si="202">getBlue(CH34:CJ34,$F$65:$F$73)</f>
        <v>0</v>
      </c>
      <c r="CK65" s="75">
        <f t="shared" ref="CK65:CK89" ca="1" si="203">getRed(CK34:CM34,$F$65:$F$73)</f>
        <v>0</v>
      </c>
      <c r="CL65" s="75">
        <f t="shared" ref="CL65:CL89" ca="1" si="204">getGreen(CK34:CM34,$F$65:$F$73)</f>
        <v>0</v>
      </c>
      <c r="CM65" s="75">
        <f t="shared" ref="CM65:CM89" ca="1" si="205">getBlue(CK34:CM34,$F$65:$F$73)</f>
        <v>0</v>
      </c>
      <c r="CN65" s="75">
        <f t="shared" ref="CN65:CN89" ca="1" si="206">getRed(CN34:CP34,$F$65:$F$73)</f>
        <v>0</v>
      </c>
      <c r="CO65" s="75">
        <f t="shared" ref="CO65:CO89" ca="1" si="207">getGreen(CN34:CP34,$F$65:$F$73)</f>
        <v>0</v>
      </c>
      <c r="CP65" s="75">
        <f t="shared" ref="CP65:CP89" ca="1" si="208">getBlue(CN34:CP34,$F$65:$F$73)</f>
        <v>0</v>
      </c>
      <c r="CQ65" s="75">
        <f t="shared" ref="CQ65:CQ89" ca="1" si="209">getRed(CQ34:CS34,$F$65:$F$73)</f>
        <v>0</v>
      </c>
      <c r="CR65" s="75">
        <f t="shared" ref="CR65:CR89" ca="1" si="210">getGreen(CQ34:CS34,$F$65:$F$73)</f>
        <v>0</v>
      </c>
      <c r="CS65" s="75">
        <f t="shared" ref="CS65:CS89" ca="1" si="211">getBlue(CQ34:CS34,$F$65:$F$73)</f>
        <v>0</v>
      </c>
      <c r="CT65" s="75">
        <f t="shared" ref="CT65:CT89" ca="1" si="212">getRed(CT34:CV34,$F$65:$F$73)</f>
        <v>0</v>
      </c>
      <c r="CU65" s="75">
        <f t="shared" ref="CU65:CU89" ca="1" si="213">getGreen(CT34:CV34,$F$65:$F$73)</f>
        <v>0</v>
      </c>
      <c r="CV65" s="75">
        <f t="shared" ref="CV65:CV89" ca="1" si="214">getBlue(CT34:CV34,$F$65:$F$73)</f>
        <v>0</v>
      </c>
      <c r="CW65" s="75">
        <f t="shared" ref="CW65:CW89" ca="1" si="215">getRed(CW34:CY34,$F$65:$F$73)</f>
        <v>0</v>
      </c>
      <c r="CX65" s="75">
        <f t="shared" ref="CX65:CX89" ca="1" si="216">getGreen(CW34:CY34,$F$65:$F$73)</f>
        <v>0</v>
      </c>
      <c r="CY65" s="75">
        <f t="shared" ref="CY65:CY89" ca="1" si="217">getBlue(CW34:CY34,$F$65:$F$73)</f>
        <v>0</v>
      </c>
      <c r="CZ65" s="75">
        <f t="shared" ref="CZ65:CZ89" ca="1" si="218">getRed(CZ34:DB34,$F$65:$F$73)</f>
        <v>0</v>
      </c>
      <c r="DA65" s="75">
        <f t="shared" ref="DA65:DA89" ca="1" si="219">getGreen(CZ34:DB34,$F$65:$F$73)</f>
        <v>0</v>
      </c>
      <c r="DB65" s="75">
        <f t="shared" ref="DB65:DB89" ca="1" si="220">getBlue(CZ34:DB34,$F$65:$F$73)</f>
        <v>0</v>
      </c>
      <c r="DC65" s="75">
        <f t="shared" ref="DC65:DC89" ca="1" si="221">getRed(DC34:DE34,$F$65:$F$73)</f>
        <v>0</v>
      </c>
      <c r="DD65" s="75">
        <f t="shared" ref="DD65:DD89" ca="1" si="222">getGreen(DC34:DE34,$F$65:$F$73)</f>
        <v>0</v>
      </c>
      <c r="DE65" s="75">
        <f t="shared" ref="DE65:DE89" ca="1" si="223">getBlue(DC34:DE34,$F$65:$F$73)</f>
        <v>0</v>
      </c>
      <c r="DF65" s="75">
        <f t="shared" ref="DF65:DF89" ca="1" si="224">getRed(DF34:DH34,$F$65:$F$73)</f>
        <v>0</v>
      </c>
      <c r="DG65" s="75">
        <f t="shared" ref="DG65:DG89" ca="1" si="225">getGreen(DF34:DH34,$F$65:$F$73)</f>
        <v>0</v>
      </c>
      <c r="DH65" s="75">
        <f t="shared" ref="DH65:DH89" ca="1" si="226">getBlue(DF34:DH34,$F$65:$F$73)</f>
        <v>0</v>
      </c>
    </row>
    <row r="66" spans="1:112">
      <c r="A66" s="14">
        <f t="shared" ref="A66:C81" si="227">A4</f>
        <v>2</v>
      </c>
      <c r="B66" s="14">
        <f t="shared" ca="1" si="227"/>
        <v>18.852958021449371</v>
      </c>
      <c r="C66" s="14">
        <f t="shared" si="227"/>
        <v>3954.7</v>
      </c>
      <c r="E66" s="64" t="s">
        <v>49</v>
      </c>
      <c r="F66" s="67">
        <f>Summary!L4</f>
        <v>1.1652039920080326</v>
      </c>
      <c r="P66" s="63" t="b">
        <f t="shared" ref="P66:P89" si="228">P35</f>
        <v>1</v>
      </c>
      <c r="Q66" s="75">
        <f t="shared" ca="1" si="140"/>
        <v>100.10379549154285</v>
      </c>
      <c r="R66" s="75">
        <f t="shared" ca="1" si="141"/>
        <v>84.863790897518612</v>
      </c>
      <c r="S66" s="75">
        <f t="shared" ca="1" si="142"/>
        <v>17.560744739916181</v>
      </c>
      <c r="T66" s="75">
        <f t="shared" ca="1" si="143"/>
        <v>99.839179337634619</v>
      </c>
      <c r="U66" s="75">
        <f t="shared" ca="1" si="144"/>
        <v>84.325262603601161</v>
      </c>
      <c r="V66" s="75">
        <f t="shared" ca="1" si="145"/>
        <v>16.965080561594249</v>
      </c>
      <c r="W66" s="75">
        <f t="shared" ca="1" si="146"/>
        <v>101.1415308234992</v>
      </c>
      <c r="X66" s="75">
        <f t="shared" ca="1" si="147"/>
        <v>88.09584908611383</v>
      </c>
      <c r="Y66" s="75">
        <f t="shared" ca="1" si="148"/>
        <v>15.554363305567504</v>
      </c>
      <c r="Z66" s="75">
        <f t="shared" ca="1" si="149"/>
        <v>95.078715039383283</v>
      </c>
      <c r="AA66" s="75">
        <f t="shared" ca="1" si="150"/>
        <v>78.533073998798443</v>
      </c>
      <c r="AB66" s="75">
        <f t="shared" ca="1" si="151"/>
        <v>17.658297880044206</v>
      </c>
      <c r="AC66" s="75">
        <f t="shared" ca="1" si="152"/>
        <v>96.676303192774114</v>
      </c>
      <c r="AD66" s="75">
        <f t="shared" ca="1" si="153"/>
        <v>80.530248631987433</v>
      </c>
      <c r="AE66" s="75">
        <f t="shared" ca="1" si="154"/>
        <v>14.170064763687641</v>
      </c>
      <c r="AF66" s="75"/>
      <c r="AG66" s="75"/>
      <c r="AH66" s="75"/>
      <c r="AI66" s="75">
        <f t="shared" ca="1" si="155"/>
        <v>0</v>
      </c>
      <c r="AJ66" s="75">
        <f t="shared" ca="1" si="156"/>
        <v>0</v>
      </c>
      <c r="AK66" s="75">
        <f t="shared" ca="1" si="157"/>
        <v>0</v>
      </c>
      <c r="AL66" s="75">
        <f t="shared" ca="1" si="158"/>
        <v>0</v>
      </c>
      <c r="AM66" s="75">
        <f t="shared" ca="1" si="159"/>
        <v>0</v>
      </c>
      <c r="AN66" s="75">
        <f t="shared" ca="1" si="160"/>
        <v>0</v>
      </c>
      <c r="AO66" s="75">
        <f t="shared" ca="1" si="161"/>
        <v>0</v>
      </c>
      <c r="AP66" s="75">
        <f t="shared" ca="1" si="162"/>
        <v>0</v>
      </c>
      <c r="AQ66" s="75">
        <f t="shared" ca="1" si="163"/>
        <v>0</v>
      </c>
      <c r="AR66" s="75">
        <f t="shared" ca="1" si="164"/>
        <v>0</v>
      </c>
      <c r="AS66" s="75">
        <f t="shared" ca="1" si="165"/>
        <v>0</v>
      </c>
      <c r="AT66" s="75">
        <f t="shared" ca="1" si="166"/>
        <v>0</v>
      </c>
      <c r="AU66" s="75">
        <f t="shared" ca="1" si="167"/>
        <v>0</v>
      </c>
      <c r="AV66" s="75">
        <f t="shared" ca="1" si="168"/>
        <v>0</v>
      </c>
      <c r="AW66" s="75">
        <f t="shared" ca="1" si="169"/>
        <v>0</v>
      </c>
      <c r="AX66" s="75">
        <f t="shared" ca="1" si="170"/>
        <v>0</v>
      </c>
      <c r="AY66" s="75">
        <f t="shared" ca="1" si="171"/>
        <v>0</v>
      </c>
      <c r="AZ66" s="75">
        <f t="shared" ca="1" si="172"/>
        <v>0</v>
      </c>
      <c r="BA66" s="75">
        <f t="shared" ca="1" si="173"/>
        <v>0</v>
      </c>
      <c r="BB66" s="75">
        <f t="shared" ca="1" si="174"/>
        <v>0</v>
      </c>
      <c r="BC66" s="75">
        <f t="shared" ca="1" si="175"/>
        <v>0</v>
      </c>
      <c r="BD66" s="75">
        <f t="shared" ca="1" si="176"/>
        <v>0</v>
      </c>
      <c r="BE66" s="75">
        <f t="shared" ca="1" si="177"/>
        <v>0</v>
      </c>
      <c r="BF66" s="75">
        <f t="shared" ca="1" si="178"/>
        <v>0</v>
      </c>
      <c r="BG66" s="75">
        <f t="shared" ca="1" si="179"/>
        <v>0</v>
      </c>
      <c r="BH66" s="75">
        <f t="shared" ca="1" si="180"/>
        <v>0</v>
      </c>
      <c r="BI66" s="75">
        <f t="shared" ca="1" si="181"/>
        <v>0</v>
      </c>
      <c r="BJ66" s="75">
        <f t="shared" ca="1" si="182"/>
        <v>0</v>
      </c>
      <c r="BK66" s="75">
        <f t="shared" ca="1" si="183"/>
        <v>0</v>
      </c>
      <c r="BL66" s="75">
        <f t="shared" ca="1" si="184"/>
        <v>0</v>
      </c>
      <c r="BM66" s="75">
        <f t="shared" ca="1" si="185"/>
        <v>0</v>
      </c>
      <c r="BN66" s="75">
        <f t="shared" ca="1" si="186"/>
        <v>0</v>
      </c>
      <c r="BO66" s="75">
        <f t="shared" ca="1" si="187"/>
        <v>0</v>
      </c>
      <c r="BP66" s="75">
        <f t="shared" ca="1" si="188"/>
        <v>0</v>
      </c>
      <c r="BQ66" s="75">
        <f t="shared" ca="1" si="189"/>
        <v>0</v>
      </c>
      <c r="BR66" s="75">
        <f t="shared" ca="1" si="190"/>
        <v>0</v>
      </c>
      <c r="BS66" s="75"/>
      <c r="BT66" s="75"/>
      <c r="BU66" s="75"/>
      <c r="BV66" s="75">
        <f t="shared" ca="1" si="191"/>
        <v>0</v>
      </c>
      <c r="BW66" s="75">
        <f t="shared" ca="1" si="192"/>
        <v>0</v>
      </c>
      <c r="BX66" s="75">
        <f t="shared" ca="1" si="193"/>
        <v>0</v>
      </c>
      <c r="BY66" s="75">
        <f t="shared" ca="1" si="194"/>
        <v>0</v>
      </c>
      <c r="BZ66" s="75">
        <f t="shared" ca="1" si="195"/>
        <v>0</v>
      </c>
      <c r="CA66" s="75">
        <f t="shared" ca="1" si="196"/>
        <v>0</v>
      </c>
      <c r="CB66" s="75"/>
      <c r="CC66" s="75"/>
      <c r="CD66" s="75"/>
      <c r="CE66" s="75">
        <f t="shared" ca="1" si="197"/>
        <v>0</v>
      </c>
      <c r="CF66" s="75">
        <f t="shared" ca="1" si="198"/>
        <v>0</v>
      </c>
      <c r="CG66" s="75">
        <f t="shared" ca="1" si="199"/>
        <v>0</v>
      </c>
      <c r="CH66" s="75">
        <f t="shared" ca="1" si="200"/>
        <v>0</v>
      </c>
      <c r="CI66" s="75">
        <f t="shared" ca="1" si="201"/>
        <v>0</v>
      </c>
      <c r="CJ66" s="75">
        <f t="shared" ca="1" si="202"/>
        <v>0</v>
      </c>
      <c r="CK66" s="75">
        <f t="shared" ca="1" si="203"/>
        <v>0</v>
      </c>
      <c r="CL66" s="75">
        <f t="shared" ca="1" si="204"/>
        <v>0</v>
      </c>
      <c r="CM66" s="75">
        <f t="shared" ca="1" si="205"/>
        <v>0</v>
      </c>
      <c r="CN66" s="75">
        <f t="shared" ca="1" si="206"/>
        <v>0</v>
      </c>
      <c r="CO66" s="75">
        <f t="shared" ca="1" si="207"/>
        <v>0</v>
      </c>
      <c r="CP66" s="75">
        <f t="shared" ca="1" si="208"/>
        <v>0</v>
      </c>
      <c r="CQ66" s="75">
        <f t="shared" ca="1" si="209"/>
        <v>0</v>
      </c>
      <c r="CR66" s="75">
        <f t="shared" ca="1" si="210"/>
        <v>0</v>
      </c>
      <c r="CS66" s="75">
        <f t="shared" ca="1" si="211"/>
        <v>0</v>
      </c>
      <c r="CT66" s="75">
        <f t="shared" ca="1" si="212"/>
        <v>0</v>
      </c>
      <c r="CU66" s="75">
        <f t="shared" ca="1" si="213"/>
        <v>0</v>
      </c>
      <c r="CV66" s="75">
        <f t="shared" ca="1" si="214"/>
        <v>0</v>
      </c>
      <c r="CW66" s="75">
        <f t="shared" ca="1" si="215"/>
        <v>0</v>
      </c>
      <c r="CX66" s="75">
        <f t="shared" ca="1" si="216"/>
        <v>0</v>
      </c>
      <c r="CY66" s="75">
        <f t="shared" ca="1" si="217"/>
        <v>0</v>
      </c>
      <c r="CZ66" s="75">
        <f t="shared" ca="1" si="218"/>
        <v>0</v>
      </c>
      <c r="DA66" s="75">
        <f t="shared" ca="1" si="219"/>
        <v>0</v>
      </c>
      <c r="DB66" s="75">
        <f t="shared" ca="1" si="220"/>
        <v>0</v>
      </c>
      <c r="DC66" s="75">
        <f t="shared" ca="1" si="221"/>
        <v>0</v>
      </c>
      <c r="DD66" s="75">
        <f t="shared" ca="1" si="222"/>
        <v>0</v>
      </c>
      <c r="DE66" s="75">
        <f t="shared" ca="1" si="223"/>
        <v>0</v>
      </c>
      <c r="DF66" s="75">
        <f t="shared" ca="1" si="224"/>
        <v>0</v>
      </c>
      <c r="DG66" s="75">
        <f t="shared" ca="1" si="225"/>
        <v>0</v>
      </c>
      <c r="DH66" s="75">
        <f t="shared" ca="1" si="226"/>
        <v>0</v>
      </c>
    </row>
    <row r="67" spans="1:112">
      <c r="A67" s="14">
        <f t="shared" si="227"/>
        <v>3</v>
      </c>
      <c r="B67" s="14">
        <f t="shared" ca="1" si="227"/>
        <v>15.437578208746091</v>
      </c>
      <c r="C67" s="14">
        <f t="shared" si="227"/>
        <v>3988.4</v>
      </c>
      <c r="E67" s="64" t="s">
        <v>50</v>
      </c>
      <c r="F67" s="67">
        <f>Summary!L5</f>
        <v>1.8139612408374231</v>
      </c>
      <c r="P67" s="63" t="b">
        <f t="shared" si="228"/>
        <v>1</v>
      </c>
      <c r="Q67" s="75">
        <f t="shared" ca="1" si="140"/>
        <v>79.635682947628752</v>
      </c>
      <c r="R67" s="75">
        <f t="shared" ca="1" si="141"/>
        <v>69.509453091704898</v>
      </c>
      <c r="S67" s="75">
        <f t="shared" ca="1" si="142"/>
        <v>10.817909048645969</v>
      </c>
      <c r="T67" s="75">
        <f t="shared" ca="1" si="143"/>
        <v>78.300001340938124</v>
      </c>
      <c r="U67" s="75">
        <f t="shared" ca="1" si="144"/>
        <v>68.666776597642084</v>
      </c>
      <c r="V67" s="75">
        <f t="shared" ca="1" si="145"/>
        <v>10.720584229282784</v>
      </c>
      <c r="W67" s="75">
        <f t="shared" ca="1" si="146"/>
        <v>79.859669957298124</v>
      </c>
      <c r="X67" s="75">
        <f t="shared" ca="1" si="147"/>
        <v>71.499176513194513</v>
      </c>
      <c r="Y67" s="75">
        <f t="shared" ca="1" si="148"/>
        <v>9.399266487102091</v>
      </c>
      <c r="Z67" s="75">
        <f t="shared" ca="1" si="149"/>
        <v>74.375895867613877</v>
      </c>
      <c r="AA67" s="75">
        <f t="shared" ca="1" si="150"/>
        <v>63.62357544079179</v>
      </c>
      <c r="AB67" s="75">
        <f t="shared" ca="1" si="151"/>
        <v>11.079185988223568</v>
      </c>
      <c r="AC67" s="75">
        <f t="shared" ca="1" si="152"/>
        <v>75.913855601481487</v>
      </c>
      <c r="AD67" s="75">
        <f t="shared" ca="1" si="153"/>
        <v>65.319823455663695</v>
      </c>
      <c r="AE67" s="75">
        <f t="shared" ca="1" si="154"/>
        <v>8.5159151816920406</v>
      </c>
      <c r="AF67" s="75"/>
      <c r="AG67" s="75"/>
      <c r="AH67" s="75"/>
      <c r="AI67" s="75">
        <f t="shared" ca="1" si="155"/>
        <v>0</v>
      </c>
      <c r="AJ67" s="75">
        <f t="shared" ca="1" si="156"/>
        <v>0</v>
      </c>
      <c r="AK67" s="75">
        <f t="shared" ca="1" si="157"/>
        <v>0</v>
      </c>
      <c r="AL67" s="75">
        <f t="shared" ca="1" si="158"/>
        <v>0</v>
      </c>
      <c r="AM67" s="75">
        <f t="shared" ca="1" si="159"/>
        <v>0</v>
      </c>
      <c r="AN67" s="75">
        <f t="shared" ca="1" si="160"/>
        <v>0</v>
      </c>
      <c r="AO67" s="75">
        <f t="shared" ca="1" si="161"/>
        <v>0</v>
      </c>
      <c r="AP67" s="75">
        <f t="shared" ca="1" si="162"/>
        <v>0</v>
      </c>
      <c r="AQ67" s="75">
        <f t="shared" ca="1" si="163"/>
        <v>0</v>
      </c>
      <c r="AR67" s="75">
        <f t="shared" ca="1" si="164"/>
        <v>0</v>
      </c>
      <c r="AS67" s="75">
        <f t="shared" ca="1" si="165"/>
        <v>0</v>
      </c>
      <c r="AT67" s="75">
        <f t="shared" ca="1" si="166"/>
        <v>0</v>
      </c>
      <c r="AU67" s="75">
        <f t="shared" ca="1" si="167"/>
        <v>0</v>
      </c>
      <c r="AV67" s="75">
        <f t="shared" ca="1" si="168"/>
        <v>0</v>
      </c>
      <c r="AW67" s="75">
        <f t="shared" ca="1" si="169"/>
        <v>0</v>
      </c>
      <c r="AX67" s="75">
        <f t="shared" ca="1" si="170"/>
        <v>0</v>
      </c>
      <c r="AY67" s="75">
        <f t="shared" ca="1" si="171"/>
        <v>0</v>
      </c>
      <c r="AZ67" s="75">
        <f t="shared" ca="1" si="172"/>
        <v>0</v>
      </c>
      <c r="BA67" s="75">
        <f t="shared" ca="1" si="173"/>
        <v>0</v>
      </c>
      <c r="BB67" s="75">
        <f t="shared" ca="1" si="174"/>
        <v>0</v>
      </c>
      <c r="BC67" s="75">
        <f t="shared" ca="1" si="175"/>
        <v>0</v>
      </c>
      <c r="BD67" s="75">
        <f t="shared" ca="1" si="176"/>
        <v>0</v>
      </c>
      <c r="BE67" s="75">
        <f t="shared" ca="1" si="177"/>
        <v>0</v>
      </c>
      <c r="BF67" s="75">
        <f t="shared" ca="1" si="178"/>
        <v>0</v>
      </c>
      <c r="BG67" s="75">
        <f t="shared" ca="1" si="179"/>
        <v>0</v>
      </c>
      <c r="BH67" s="75">
        <f t="shared" ca="1" si="180"/>
        <v>0</v>
      </c>
      <c r="BI67" s="75">
        <f t="shared" ca="1" si="181"/>
        <v>0</v>
      </c>
      <c r="BJ67" s="75">
        <f t="shared" ca="1" si="182"/>
        <v>0</v>
      </c>
      <c r="BK67" s="75">
        <f t="shared" ca="1" si="183"/>
        <v>0</v>
      </c>
      <c r="BL67" s="75">
        <f t="shared" ca="1" si="184"/>
        <v>0</v>
      </c>
      <c r="BM67" s="75">
        <f t="shared" ca="1" si="185"/>
        <v>0</v>
      </c>
      <c r="BN67" s="75">
        <f t="shared" ca="1" si="186"/>
        <v>0</v>
      </c>
      <c r="BO67" s="75">
        <f t="shared" ca="1" si="187"/>
        <v>0</v>
      </c>
      <c r="BP67" s="75">
        <f t="shared" ca="1" si="188"/>
        <v>0</v>
      </c>
      <c r="BQ67" s="75">
        <f t="shared" ca="1" si="189"/>
        <v>0</v>
      </c>
      <c r="BR67" s="75">
        <f t="shared" ca="1" si="190"/>
        <v>0</v>
      </c>
      <c r="BS67" s="75"/>
      <c r="BT67" s="75"/>
      <c r="BU67" s="75"/>
      <c r="BV67" s="75">
        <f t="shared" ca="1" si="191"/>
        <v>0</v>
      </c>
      <c r="BW67" s="75">
        <f t="shared" ca="1" si="192"/>
        <v>0</v>
      </c>
      <c r="BX67" s="75">
        <f t="shared" ca="1" si="193"/>
        <v>0</v>
      </c>
      <c r="BY67" s="75">
        <f t="shared" ca="1" si="194"/>
        <v>0</v>
      </c>
      <c r="BZ67" s="75">
        <f t="shared" ca="1" si="195"/>
        <v>0</v>
      </c>
      <c r="CA67" s="75">
        <f t="shared" ca="1" si="196"/>
        <v>0</v>
      </c>
      <c r="CB67" s="75"/>
      <c r="CC67" s="75"/>
      <c r="CD67" s="75"/>
      <c r="CE67" s="75">
        <f t="shared" ca="1" si="197"/>
        <v>0</v>
      </c>
      <c r="CF67" s="75">
        <f t="shared" ca="1" si="198"/>
        <v>0</v>
      </c>
      <c r="CG67" s="75">
        <f t="shared" ca="1" si="199"/>
        <v>0</v>
      </c>
      <c r="CH67" s="75">
        <f t="shared" ca="1" si="200"/>
        <v>0</v>
      </c>
      <c r="CI67" s="75">
        <f t="shared" ca="1" si="201"/>
        <v>0</v>
      </c>
      <c r="CJ67" s="75">
        <f t="shared" ca="1" si="202"/>
        <v>0</v>
      </c>
      <c r="CK67" s="75">
        <f t="shared" ca="1" si="203"/>
        <v>0</v>
      </c>
      <c r="CL67" s="75">
        <f t="shared" ca="1" si="204"/>
        <v>0</v>
      </c>
      <c r="CM67" s="75">
        <f t="shared" ca="1" si="205"/>
        <v>0</v>
      </c>
      <c r="CN67" s="75">
        <f t="shared" ca="1" si="206"/>
        <v>0</v>
      </c>
      <c r="CO67" s="75">
        <f t="shared" ca="1" si="207"/>
        <v>0</v>
      </c>
      <c r="CP67" s="75">
        <f t="shared" ca="1" si="208"/>
        <v>0</v>
      </c>
      <c r="CQ67" s="75">
        <f t="shared" ca="1" si="209"/>
        <v>0</v>
      </c>
      <c r="CR67" s="75">
        <f t="shared" ca="1" si="210"/>
        <v>0</v>
      </c>
      <c r="CS67" s="75">
        <f t="shared" ca="1" si="211"/>
        <v>0</v>
      </c>
      <c r="CT67" s="75">
        <f t="shared" ca="1" si="212"/>
        <v>0</v>
      </c>
      <c r="CU67" s="75">
        <f t="shared" ca="1" si="213"/>
        <v>0</v>
      </c>
      <c r="CV67" s="75">
        <f t="shared" ca="1" si="214"/>
        <v>0</v>
      </c>
      <c r="CW67" s="75">
        <f t="shared" ca="1" si="215"/>
        <v>0</v>
      </c>
      <c r="CX67" s="75">
        <f t="shared" ca="1" si="216"/>
        <v>0</v>
      </c>
      <c r="CY67" s="75">
        <f t="shared" ca="1" si="217"/>
        <v>0</v>
      </c>
      <c r="CZ67" s="75">
        <f t="shared" ca="1" si="218"/>
        <v>0</v>
      </c>
      <c r="DA67" s="75">
        <f t="shared" ca="1" si="219"/>
        <v>0</v>
      </c>
      <c r="DB67" s="75">
        <f t="shared" ca="1" si="220"/>
        <v>0</v>
      </c>
      <c r="DC67" s="75">
        <f t="shared" ca="1" si="221"/>
        <v>0</v>
      </c>
      <c r="DD67" s="75">
        <f t="shared" ca="1" si="222"/>
        <v>0</v>
      </c>
      <c r="DE67" s="75">
        <f t="shared" ca="1" si="223"/>
        <v>0</v>
      </c>
      <c r="DF67" s="75">
        <f t="shared" ca="1" si="224"/>
        <v>0</v>
      </c>
      <c r="DG67" s="75">
        <f t="shared" ca="1" si="225"/>
        <v>0</v>
      </c>
      <c r="DH67" s="75">
        <f t="shared" ca="1" si="226"/>
        <v>0</v>
      </c>
    </row>
    <row r="68" spans="1:112">
      <c r="A68" s="14">
        <f t="shared" si="227"/>
        <v>4</v>
      </c>
      <c r="B68" s="14">
        <f t="shared" ca="1" si="227"/>
        <v>12.825726800021135</v>
      </c>
      <c r="C68" s="14">
        <f t="shared" si="227"/>
        <v>3978.3</v>
      </c>
      <c r="E68" s="65" t="s">
        <v>51</v>
      </c>
      <c r="F68" s="67">
        <f>Summary!L6</f>
        <v>0.59695550512102591</v>
      </c>
      <c r="P68" s="63" t="b">
        <f t="shared" si="228"/>
        <v>1</v>
      </c>
      <c r="Q68" s="75">
        <f t="shared" ca="1" si="140"/>
        <v>64.770273427577322</v>
      </c>
      <c r="R68" s="75">
        <f t="shared" ca="1" si="141"/>
        <v>57.834401868816883</v>
      </c>
      <c r="S68" s="75">
        <f t="shared" ca="1" si="142"/>
        <v>5.162957812897111</v>
      </c>
      <c r="T68" s="75">
        <f t="shared" ca="1" si="143"/>
        <v>63.847193107117754</v>
      </c>
      <c r="U68" s="75">
        <f t="shared" ca="1" si="144"/>
        <v>57.308806540986339</v>
      </c>
      <c r="V68" s="75">
        <f t="shared" ca="1" si="145"/>
        <v>5.1056224602104576</v>
      </c>
      <c r="W68" s="75">
        <f t="shared" ca="1" si="146"/>
        <v>65.195967091734033</v>
      </c>
      <c r="X68" s="75">
        <f t="shared" ca="1" si="147"/>
        <v>60.073211158992777</v>
      </c>
      <c r="Y68" s="75">
        <f t="shared" ca="1" si="148"/>
        <v>3.332457653331101</v>
      </c>
      <c r="Z68" s="75">
        <f t="shared" ca="1" si="149"/>
        <v>60.464062657968356</v>
      </c>
      <c r="AA68" s="75">
        <f t="shared" ca="1" si="150"/>
        <v>52.91585196656662</v>
      </c>
      <c r="AB68" s="75">
        <f t="shared" ca="1" si="151"/>
        <v>5.5650222261140643</v>
      </c>
      <c r="AC68" s="75">
        <f t="shared" ca="1" si="152"/>
        <v>61.599091073028376</v>
      </c>
      <c r="AD68" s="75">
        <f t="shared" ca="1" si="153"/>
        <v>54.533052660325858</v>
      </c>
      <c r="AE68" s="75">
        <f t="shared" ca="1" si="154"/>
        <v>3.183754351185168</v>
      </c>
      <c r="AF68" s="75"/>
      <c r="AG68" s="75"/>
      <c r="AH68" s="75"/>
      <c r="AI68" s="75">
        <f t="shared" ca="1" si="155"/>
        <v>0</v>
      </c>
      <c r="AJ68" s="75">
        <f t="shared" ca="1" si="156"/>
        <v>0</v>
      </c>
      <c r="AK68" s="75">
        <f t="shared" ca="1" si="157"/>
        <v>0</v>
      </c>
      <c r="AL68" s="75">
        <f t="shared" ca="1" si="158"/>
        <v>0</v>
      </c>
      <c r="AM68" s="75">
        <f t="shared" ca="1" si="159"/>
        <v>0</v>
      </c>
      <c r="AN68" s="75">
        <f t="shared" ca="1" si="160"/>
        <v>0</v>
      </c>
      <c r="AO68" s="75">
        <f t="shared" ca="1" si="161"/>
        <v>0</v>
      </c>
      <c r="AP68" s="75">
        <f t="shared" ca="1" si="162"/>
        <v>0</v>
      </c>
      <c r="AQ68" s="75">
        <f t="shared" ca="1" si="163"/>
        <v>0</v>
      </c>
      <c r="AR68" s="75">
        <f t="shared" ca="1" si="164"/>
        <v>0</v>
      </c>
      <c r="AS68" s="75">
        <f t="shared" ca="1" si="165"/>
        <v>0</v>
      </c>
      <c r="AT68" s="75">
        <f t="shared" ca="1" si="166"/>
        <v>0</v>
      </c>
      <c r="AU68" s="75">
        <f t="shared" ca="1" si="167"/>
        <v>0</v>
      </c>
      <c r="AV68" s="75">
        <f t="shared" ca="1" si="168"/>
        <v>0</v>
      </c>
      <c r="AW68" s="75">
        <f t="shared" ca="1" si="169"/>
        <v>0</v>
      </c>
      <c r="AX68" s="75">
        <f t="shared" ca="1" si="170"/>
        <v>0</v>
      </c>
      <c r="AY68" s="75">
        <f t="shared" ca="1" si="171"/>
        <v>0</v>
      </c>
      <c r="AZ68" s="75">
        <f t="shared" ca="1" si="172"/>
        <v>0</v>
      </c>
      <c r="BA68" s="75">
        <f t="shared" ca="1" si="173"/>
        <v>0</v>
      </c>
      <c r="BB68" s="75">
        <f t="shared" ca="1" si="174"/>
        <v>0</v>
      </c>
      <c r="BC68" s="75">
        <f t="shared" ca="1" si="175"/>
        <v>0</v>
      </c>
      <c r="BD68" s="75">
        <f t="shared" ca="1" si="176"/>
        <v>0</v>
      </c>
      <c r="BE68" s="75">
        <f t="shared" ca="1" si="177"/>
        <v>0</v>
      </c>
      <c r="BF68" s="75">
        <f t="shared" ca="1" si="178"/>
        <v>0</v>
      </c>
      <c r="BG68" s="75">
        <f t="shared" ca="1" si="179"/>
        <v>0</v>
      </c>
      <c r="BH68" s="75">
        <f t="shared" ca="1" si="180"/>
        <v>0</v>
      </c>
      <c r="BI68" s="75">
        <f t="shared" ca="1" si="181"/>
        <v>0</v>
      </c>
      <c r="BJ68" s="75">
        <f t="shared" ca="1" si="182"/>
        <v>0</v>
      </c>
      <c r="BK68" s="75">
        <f t="shared" ca="1" si="183"/>
        <v>0</v>
      </c>
      <c r="BL68" s="75">
        <f t="shared" ca="1" si="184"/>
        <v>0</v>
      </c>
      <c r="BM68" s="75">
        <f t="shared" ca="1" si="185"/>
        <v>0</v>
      </c>
      <c r="BN68" s="75">
        <f t="shared" ca="1" si="186"/>
        <v>0</v>
      </c>
      <c r="BO68" s="75">
        <f t="shared" ca="1" si="187"/>
        <v>0</v>
      </c>
      <c r="BP68" s="75">
        <f t="shared" ca="1" si="188"/>
        <v>0</v>
      </c>
      <c r="BQ68" s="75">
        <f t="shared" ca="1" si="189"/>
        <v>0</v>
      </c>
      <c r="BR68" s="75">
        <f t="shared" ca="1" si="190"/>
        <v>0</v>
      </c>
      <c r="BS68" s="75"/>
      <c r="BT68" s="75"/>
      <c r="BU68" s="75"/>
      <c r="BV68" s="75">
        <f t="shared" ca="1" si="191"/>
        <v>0</v>
      </c>
      <c r="BW68" s="75">
        <f t="shared" ca="1" si="192"/>
        <v>0</v>
      </c>
      <c r="BX68" s="75">
        <f t="shared" ca="1" si="193"/>
        <v>0</v>
      </c>
      <c r="BY68" s="75">
        <f t="shared" ca="1" si="194"/>
        <v>0</v>
      </c>
      <c r="BZ68" s="75">
        <f t="shared" ca="1" si="195"/>
        <v>0</v>
      </c>
      <c r="CA68" s="75">
        <f t="shared" ca="1" si="196"/>
        <v>0</v>
      </c>
      <c r="CB68" s="75"/>
      <c r="CC68" s="75"/>
      <c r="CD68" s="75"/>
      <c r="CE68" s="75">
        <f t="shared" ca="1" si="197"/>
        <v>0</v>
      </c>
      <c r="CF68" s="75">
        <f t="shared" ca="1" si="198"/>
        <v>0</v>
      </c>
      <c r="CG68" s="75">
        <f t="shared" ca="1" si="199"/>
        <v>0</v>
      </c>
      <c r="CH68" s="75">
        <f t="shared" ca="1" si="200"/>
        <v>0</v>
      </c>
      <c r="CI68" s="75">
        <f t="shared" ca="1" si="201"/>
        <v>0</v>
      </c>
      <c r="CJ68" s="75">
        <f t="shared" ca="1" si="202"/>
        <v>0</v>
      </c>
      <c r="CK68" s="75">
        <f t="shared" ca="1" si="203"/>
        <v>0</v>
      </c>
      <c r="CL68" s="75">
        <f t="shared" ca="1" si="204"/>
        <v>0</v>
      </c>
      <c r="CM68" s="75">
        <f t="shared" ca="1" si="205"/>
        <v>0</v>
      </c>
      <c r="CN68" s="75">
        <f t="shared" ca="1" si="206"/>
        <v>0</v>
      </c>
      <c r="CO68" s="75">
        <f t="shared" ca="1" si="207"/>
        <v>0</v>
      </c>
      <c r="CP68" s="75">
        <f t="shared" ca="1" si="208"/>
        <v>0</v>
      </c>
      <c r="CQ68" s="75">
        <f t="shared" ca="1" si="209"/>
        <v>0</v>
      </c>
      <c r="CR68" s="75">
        <f t="shared" ca="1" si="210"/>
        <v>0</v>
      </c>
      <c r="CS68" s="75">
        <f t="shared" ca="1" si="211"/>
        <v>0</v>
      </c>
      <c r="CT68" s="75">
        <f t="shared" ca="1" si="212"/>
        <v>0</v>
      </c>
      <c r="CU68" s="75">
        <f t="shared" ca="1" si="213"/>
        <v>0</v>
      </c>
      <c r="CV68" s="75">
        <f t="shared" ca="1" si="214"/>
        <v>0</v>
      </c>
      <c r="CW68" s="75">
        <f t="shared" ca="1" si="215"/>
        <v>0</v>
      </c>
      <c r="CX68" s="75">
        <f t="shared" ca="1" si="216"/>
        <v>0</v>
      </c>
      <c r="CY68" s="75">
        <f t="shared" ca="1" si="217"/>
        <v>0</v>
      </c>
      <c r="CZ68" s="75">
        <f t="shared" ca="1" si="218"/>
        <v>0</v>
      </c>
      <c r="DA68" s="75">
        <f t="shared" ca="1" si="219"/>
        <v>0</v>
      </c>
      <c r="DB68" s="75">
        <f t="shared" ca="1" si="220"/>
        <v>0</v>
      </c>
      <c r="DC68" s="75">
        <f t="shared" ca="1" si="221"/>
        <v>0</v>
      </c>
      <c r="DD68" s="75">
        <f t="shared" ca="1" si="222"/>
        <v>0</v>
      </c>
      <c r="DE68" s="75">
        <f t="shared" ca="1" si="223"/>
        <v>0</v>
      </c>
      <c r="DF68" s="75">
        <f t="shared" ca="1" si="224"/>
        <v>0</v>
      </c>
      <c r="DG68" s="75">
        <f t="shared" ca="1" si="225"/>
        <v>0</v>
      </c>
      <c r="DH68" s="75">
        <f t="shared" ca="1" si="226"/>
        <v>0</v>
      </c>
    </row>
    <row r="69" spans="1:112">
      <c r="A69" s="14">
        <f t="shared" si="227"/>
        <v>5</v>
      </c>
      <c r="B69" s="14">
        <f t="shared" ca="1" si="227"/>
        <v>9.4994572118508245</v>
      </c>
      <c r="C69" s="14">
        <f t="shared" si="227"/>
        <v>3960.5</v>
      </c>
      <c r="E69" s="65" t="s">
        <v>52</v>
      </c>
      <c r="F69" s="67">
        <f>Summary!L7</f>
        <v>-9.6484901571266768E-2</v>
      </c>
      <c r="P69" s="63" t="b">
        <f t="shared" si="228"/>
        <v>1</v>
      </c>
      <c r="Q69" s="75">
        <f t="shared" ca="1" si="140"/>
        <v>52.903003432577279</v>
      </c>
      <c r="R69" s="75">
        <f t="shared" ca="1" si="141"/>
        <v>44.610102072641553</v>
      </c>
      <c r="S69" s="75">
        <f t="shared" ca="1" si="142"/>
        <v>8.7210827474724155</v>
      </c>
      <c r="T69" s="75">
        <f t="shared" ca="1" si="143"/>
        <v>51.752466978213164</v>
      </c>
      <c r="U69" s="75">
        <f t="shared" ca="1" si="144"/>
        <v>43.346351967707953</v>
      </c>
      <c r="V69" s="75">
        <f t="shared" ca="1" si="145"/>
        <v>8.9127364999742653</v>
      </c>
      <c r="W69" s="75">
        <f t="shared" ca="1" si="146"/>
        <v>53.55347161067089</v>
      </c>
      <c r="X69" s="75">
        <f t="shared" ca="1" si="147"/>
        <v>46.014987975906394</v>
      </c>
      <c r="Y69" s="75">
        <f t="shared" ca="1" si="148"/>
        <v>8.1535008729427663</v>
      </c>
      <c r="Z69" s="75">
        <f t="shared" ca="1" si="149"/>
        <v>49.297032398999058</v>
      </c>
      <c r="AA69" s="75">
        <f t="shared" ca="1" si="150"/>
        <v>40.280692093871174</v>
      </c>
      <c r="AB69" s="75">
        <f t="shared" ca="1" si="151"/>
        <v>9.0791648805359912</v>
      </c>
      <c r="AC69" s="75">
        <f t="shared" ca="1" si="152"/>
        <v>50.359759858533316</v>
      </c>
      <c r="AD69" s="75">
        <f t="shared" ca="1" si="153"/>
        <v>41.645181630375468</v>
      </c>
      <c r="AE69" s="75">
        <f t="shared" ca="1" si="154"/>
        <v>7.2316561596732472</v>
      </c>
      <c r="AF69" s="75"/>
      <c r="AG69" s="75"/>
      <c r="AH69" s="75"/>
      <c r="AI69" s="75">
        <f t="shared" ca="1" si="155"/>
        <v>0</v>
      </c>
      <c r="AJ69" s="75">
        <f t="shared" ca="1" si="156"/>
        <v>0</v>
      </c>
      <c r="AK69" s="75">
        <f t="shared" ca="1" si="157"/>
        <v>0</v>
      </c>
      <c r="AL69" s="75">
        <f t="shared" ca="1" si="158"/>
        <v>0</v>
      </c>
      <c r="AM69" s="75">
        <f t="shared" ca="1" si="159"/>
        <v>0</v>
      </c>
      <c r="AN69" s="75">
        <f t="shared" ca="1" si="160"/>
        <v>0</v>
      </c>
      <c r="AO69" s="75">
        <f t="shared" ca="1" si="161"/>
        <v>0</v>
      </c>
      <c r="AP69" s="75">
        <f t="shared" ca="1" si="162"/>
        <v>0</v>
      </c>
      <c r="AQ69" s="75">
        <f t="shared" ca="1" si="163"/>
        <v>0</v>
      </c>
      <c r="AR69" s="75">
        <f t="shared" ca="1" si="164"/>
        <v>0</v>
      </c>
      <c r="AS69" s="75">
        <f t="shared" ca="1" si="165"/>
        <v>0</v>
      </c>
      <c r="AT69" s="75">
        <f t="shared" ca="1" si="166"/>
        <v>0</v>
      </c>
      <c r="AU69" s="75">
        <f t="shared" ca="1" si="167"/>
        <v>0</v>
      </c>
      <c r="AV69" s="75">
        <f t="shared" ca="1" si="168"/>
        <v>0</v>
      </c>
      <c r="AW69" s="75">
        <f t="shared" ca="1" si="169"/>
        <v>0</v>
      </c>
      <c r="AX69" s="75">
        <f t="shared" ca="1" si="170"/>
        <v>0</v>
      </c>
      <c r="AY69" s="75">
        <f t="shared" ca="1" si="171"/>
        <v>0</v>
      </c>
      <c r="AZ69" s="75">
        <f t="shared" ca="1" si="172"/>
        <v>0</v>
      </c>
      <c r="BA69" s="75">
        <f t="shared" ca="1" si="173"/>
        <v>0</v>
      </c>
      <c r="BB69" s="75">
        <f t="shared" ca="1" si="174"/>
        <v>0</v>
      </c>
      <c r="BC69" s="75">
        <f t="shared" ca="1" si="175"/>
        <v>0</v>
      </c>
      <c r="BD69" s="75">
        <f t="shared" ca="1" si="176"/>
        <v>0</v>
      </c>
      <c r="BE69" s="75">
        <f t="shared" ca="1" si="177"/>
        <v>0</v>
      </c>
      <c r="BF69" s="75">
        <f t="shared" ca="1" si="178"/>
        <v>0</v>
      </c>
      <c r="BG69" s="75">
        <f t="shared" ca="1" si="179"/>
        <v>0</v>
      </c>
      <c r="BH69" s="75">
        <f t="shared" ca="1" si="180"/>
        <v>0</v>
      </c>
      <c r="BI69" s="75">
        <f t="shared" ca="1" si="181"/>
        <v>0</v>
      </c>
      <c r="BJ69" s="75">
        <f t="shared" ca="1" si="182"/>
        <v>0</v>
      </c>
      <c r="BK69" s="75">
        <f t="shared" ca="1" si="183"/>
        <v>0</v>
      </c>
      <c r="BL69" s="75">
        <f t="shared" ca="1" si="184"/>
        <v>0</v>
      </c>
      <c r="BM69" s="75">
        <f t="shared" ca="1" si="185"/>
        <v>0</v>
      </c>
      <c r="BN69" s="75">
        <f t="shared" ca="1" si="186"/>
        <v>0</v>
      </c>
      <c r="BO69" s="75">
        <f t="shared" ca="1" si="187"/>
        <v>0</v>
      </c>
      <c r="BP69" s="75">
        <f t="shared" ca="1" si="188"/>
        <v>0</v>
      </c>
      <c r="BQ69" s="75">
        <f t="shared" ca="1" si="189"/>
        <v>0</v>
      </c>
      <c r="BR69" s="75">
        <f t="shared" ca="1" si="190"/>
        <v>0</v>
      </c>
      <c r="BS69" s="75"/>
      <c r="BT69" s="75"/>
      <c r="BU69" s="75"/>
      <c r="BV69" s="75">
        <f t="shared" ca="1" si="191"/>
        <v>0</v>
      </c>
      <c r="BW69" s="75">
        <f t="shared" ca="1" si="192"/>
        <v>0</v>
      </c>
      <c r="BX69" s="75">
        <f t="shared" ca="1" si="193"/>
        <v>0</v>
      </c>
      <c r="BY69" s="75">
        <f t="shared" ca="1" si="194"/>
        <v>0</v>
      </c>
      <c r="BZ69" s="75">
        <f t="shared" ca="1" si="195"/>
        <v>0</v>
      </c>
      <c r="CA69" s="75">
        <f t="shared" ca="1" si="196"/>
        <v>0</v>
      </c>
      <c r="CB69" s="75"/>
      <c r="CC69" s="75"/>
      <c r="CD69" s="75"/>
      <c r="CE69" s="75">
        <f t="shared" ca="1" si="197"/>
        <v>0</v>
      </c>
      <c r="CF69" s="75">
        <f t="shared" ca="1" si="198"/>
        <v>0</v>
      </c>
      <c r="CG69" s="75">
        <f t="shared" ca="1" si="199"/>
        <v>0</v>
      </c>
      <c r="CH69" s="75">
        <f t="shared" ca="1" si="200"/>
        <v>0</v>
      </c>
      <c r="CI69" s="75">
        <f t="shared" ca="1" si="201"/>
        <v>0</v>
      </c>
      <c r="CJ69" s="75">
        <f t="shared" ca="1" si="202"/>
        <v>0</v>
      </c>
      <c r="CK69" s="75">
        <f t="shared" ca="1" si="203"/>
        <v>0</v>
      </c>
      <c r="CL69" s="75">
        <f t="shared" ca="1" si="204"/>
        <v>0</v>
      </c>
      <c r="CM69" s="75">
        <f t="shared" ca="1" si="205"/>
        <v>0</v>
      </c>
      <c r="CN69" s="75">
        <f t="shared" ca="1" si="206"/>
        <v>0</v>
      </c>
      <c r="CO69" s="75">
        <f t="shared" ca="1" si="207"/>
        <v>0</v>
      </c>
      <c r="CP69" s="75">
        <f t="shared" ca="1" si="208"/>
        <v>0</v>
      </c>
      <c r="CQ69" s="75">
        <f t="shared" ca="1" si="209"/>
        <v>0</v>
      </c>
      <c r="CR69" s="75">
        <f t="shared" ca="1" si="210"/>
        <v>0</v>
      </c>
      <c r="CS69" s="75">
        <f t="shared" ca="1" si="211"/>
        <v>0</v>
      </c>
      <c r="CT69" s="75">
        <f t="shared" ca="1" si="212"/>
        <v>0</v>
      </c>
      <c r="CU69" s="75">
        <f t="shared" ca="1" si="213"/>
        <v>0</v>
      </c>
      <c r="CV69" s="75">
        <f t="shared" ca="1" si="214"/>
        <v>0</v>
      </c>
      <c r="CW69" s="75">
        <f t="shared" ca="1" si="215"/>
        <v>0</v>
      </c>
      <c r="CX69" s="75">
        <f t="shared" ca="1" si="216"/>
        <v>0</v>
      </c>
      <c r="CY69" s="75">
        <f t="shared" ca="1" si="217"/>
        <v>0</v>
      </c>
      <c r="CZ69" s="75">
        <f t="shared" ca="1" si="218"/>
        <v>0</v>
      </c>
      <c r="DA69" s="75">
        <f t="shared" ca="1" si="219"/>
        <v>0</v>
      </c>
      <c r="DB69" s="75">
        <f t="shared" ca="1" si="220"/>
        <v>0</v>
      </c>
      <c r="DC69" s="75">
        <f t="shared" ca="1" si="221"/>
        <v>0</v>
      </c>
      <c r="DD69" s="75">
        <f t="shared" ca="1" si="222"/>
        <v>0</v>
      </c>
      <c r="DE69" s="75">
        <f t="shared" ca="1" si="223"/>
        <v>0</v>
      </c>
      <c r="DF69" s="75">
        <f t="shared" ca="1" si="224"/>
        <v>0</v>
      </c>
      <c r="DG69" s="75">
        <f t="shared" ca="1" si="225"/>
        <v>0</v>
      </c>
      <c r="DH69" s="75">
        <f t="shared" ca="1" si="226"/>
        <v>0</v>
      </c>
    </row>
    <row r="70" spans="1:112">
      <c r="A70" s="14">
        <f t="shared" si="227"/>
        <v>6</v>
      </c>
      <c r="B70" s="14">
        <f t="shared" ca="1" si="227"/>
        <v>7.108076789685887</v>
      </c>
      <c r="C70" s="14">
        <f t="shared" si="227"/>
        <v>3971.2</v>
      </c>
      <c r="E70" s="65" t="s">
        <v>53</v>
      </c>
      <c r="F70" s="67">
        <f>Summary!L8</f>
        <v>0.14120126894658366</v>
      </c>
      <c r="P70" s="63" t="b">
        <f t="shared" si="228"/>
        <v>1</v>
      </c>
      <c r="Q70" s="75">
        <f t="shared" ca="1" si="140"/>
        <v>39.603674465782788</v>
      </c>
      <c r="R70" s="75">
        <f t="shared" ca="1" si="141"/>
        <v>33.529017280908505</v>
      </c>
      <c r="S70" s="75">
        <f t="shared" ca="1" si="142"/>
        <v>6.0923114246262395</v>
      </c>
      <c r="T70" s="75">
        <f t="shared" ca="1" si="143"/>
        <v>38.958422342648554</v>
      </c>
      <c r="U70" s="75">
        <f t="shared" ca="1" si="144"/>
        <v>32.673727553682944</v>
      </c>
      <c r="V70" s="75">
        <f t="shared" ca="1" si="145"/>
        <v>6.327610145140155</v>
      </c>
      <c r="W70" s="75">
        <f t="shared" ca="1" si="146"/>
        <v>39.950527946022376</v>
      </c>
      <c r="X70" s="75">
        <f t="shared" ca="1" si="147"/>
        <v>34.396200659980607</v>
      </c>
      <c r="Y70" s="75">
        <f t="shared" ca="1" si="148"/>
        <v>5.6657950010404647</v>
      </c>
      <c r="Z70" s="75">
        <f t="shared" ca="1" si="149"/>
        <v>36.963303238043565</v>
      </c>
      <c r="AA70" s="75">
        <f t="shared" ca="1" si="150"/>
        <v>30.367384863094056</v>
      </c>
      <c r="AB70" s="75">
        <f t="shared" ca="1" si="151"/>
        <v>6.3792388490491314</v>
      </c>
      <c r="AC70" s="75">
        <f t="shared" ca="1" si="152"/>
        <v>37.560119676903504</v>
      </c>
      <c r="AD70" s="75">
        <f t="shared" ca="1" si="153"/>
        <v>31.082966589197426</v>
      </c>
      <c r="AE70" s="75">
        <f t="shared" ca="1" si="154"/>
        <v>5.0061983123267346</v>
      </c>
      <c r="AF70" s="75"/>
      <c r="AG70" s="75"/>
      <c r="AH70" s="75"/>
      <c r="AI70" s="75">
        <f t="shared" ca="1" si="155"/>
        <v>0</v>
      </c>
      <c r="AJ70" s="75">
        <f t="shared" ca="1" si="156"/>
        <v>0</v>
      </c>
      <c r="AK70" s="75">
        <f t="shared" ca="1" si="157"/>
        <v>0</v>
      </c>
      <c r="AL70" s="75">
        <f t="shared" ca="1" si="158"/>
        <v>0</v>
      </c>
      <c r="AM70" s="75">
        <f t="shared" ca="1" si="159"/>
        <v>0</v>
      </c>
      <c r="AN70" s="75">
        <f t="shared" ca="1" si="160"/>
        <v>0</v>
      </c>
      <c r="AO70" s="75">
        <f t="shared" ca="1" si="161"/>
        <v>0</v>
      </c>
      <c r="AP70" s="75">
        <f t="shared" ca="1" si="162"/>
        <v>0</v>
      </c>
      <c r="AQ70" s="75">
        <f t="shared" ca="1" si="163"/>
        <v>0</v>
      </c>
      <c r="AR70" s="75">
        <f t="shared" ca="1" si="164"/>
        <v>0</v>
      </c>
      <c r="AS70" s="75">
        <f t="shared" ca="1" si="165"/>
        <v>0</v>
      </c>
      <c r="AT70" s="75">
        <f t="shared" ca="1" si="166"/>
        <v>0</v>
      </c>
      <c r="AU70" s="75">
        <f t="shared" ca="1" si="167"/>
        <v>0</v>
      </c>
      <c r="AV70" s="75">
        <f t="shared" ca="1" si="168"/>
        <v>0</v>
      </c>
      <c r="AW70" s="75">
        <f t="shared" ca="1" si="169"/>
        <v>0</v>
      </c>
      <c r="AX70" s="75">
        <f t="shared" ca="1" si="170"/>
        <v>0</v>
      </c>
      <c r="AY70" s="75">
        <f t="shared" ca="1" si="171"/>
        <v>0</v>
      </c>
      <c r="AZ70" s="75">
        <f t="shared" ca="1" si="172"/>
        <v>0</v>
      </c>
      <c r="BA70" s="75">
        <f t="shared" ca="1" si="173"/>
        <v>0</v>
      </c>
      <c r="BB70" s="75">
        <f t="shared" ca="1" si="174"/>
        <v>0</v>
      </c>
      <c r="BC70" s="75">
        <f t="shared" ca="1" si="175"/>
        <v>0</v>
      </c>
      <c r="BD70" s="75">
        <f t="shared" ca="1" si="176"/>
        <v>0</v>
      </c>
      <c r="BE70" s="75">
        <f t="shared" ca="1" si="177"/>
        <v>0</v>
      </c>
      <c r="BF70" s="75">
        <f t="shared" ca="1" si="178"/>
        <v>0</v>
      </c>
      <c r="BG70" s="75">
        <f t="shared" ca="1" si="179"/>
        <v>0</v>
      </c>
      <c r="BH70" s="75">
        <f t="shared" ca="1" si="180"/>
        <v>0</v>
      </c>
      <c r="BI70" s="75">
        <f t="shared" ca="1" si="181"/>
        <v>0</v>
      </c>
      <c r="BJ70" s="75">
        <f t="shared" ca="1" si="182"/>
        <v>0</v>
      </c>
      <c r="BK70" s="75">
        <f t="shared" ca="1" si="183"/>
        <v>0</v>
      </c>
      <c r="BL70" s="75">
        <f t="shared" ca="1" si="184"/>
        <v>0</v>
      </c>
      <c r="BM70" s="75">
        <f t="shared" ca="1" si="185"/>
        <v>0</v>
      </c>
      <c r="BN70" s="75">
        <f t="shared" ca="1" si="186"/>
        <v>0</v>
      </c>
      <c r="BO70" s="75">
        <f t="shared" ca="1" si="187"/>
        <v>0</v>
      </c>
      <c r="BP70" s="75">
        <f t="shared" ca="1" si="188"/>
        <v>0</v>
      </c>
      <c r="BQ70" s="75">
        <f t="shared" ca="1" si="189"/>
        <v>0</v>
      </c>
      <c r="BR70" s="75">
        <f t="shared" ca="1" si="190"/>
        <v>0</v>
      </c>
      <c r="BS70" s="75"/>
      <c r="BT70" s="75"/>
      <c r="BU70" s="75"/>
      <c r="BV70" s="75">
        <f t="shared" ca="1" si="191"/>
        <v>0</v>
      </c>
      <c r="BW70" s="75">
        <f t="shared" ca="1" si="192"/>
        <v>0</v>
      </c>
      <c r="BX70" s="75">
        <f t="shared" ca="1" si="193"/>
        <v>0</v>
      </c>
      <c r="BY70" s="75">
        <f t="shared" ca="1" si="194"/>
        <v>0</v>
      </c>
      <c r="BZ70" s="75">
        <f t="shared" ca="1" si="195"/>
        <v>0</v>
      </c>
      <c r="CA70" s="75">
        <f t="shared" ca="1" si="196"/>
        <v>0</v>
      </c>
      <c r="CB70" s="75"/>
      <c r="CC70" s="75"/>
      <c r="CD70" s="75"/>
      <c r="CE70" s="75">
        <f t="shared" ca="1" si="197"/>
        <v>0</v>
      </c>
      <c r="CF70" s="75">
        <f t="shared" ca="1" si="198"/>
        <v>0</v>
      </c>
      <c r="CG70" s="75">
        <f t="shared" ca="1" si="199"/>
        <v>0</v>
      </c>
      <c r="CH70" s="75">
        <f t="shared" ca="1" si="200"/>
        <v>0</v>
      </c>
      <c r="CI70" s="75">
        <f t="shared" ca="1" si="201"/>
        <v>0</v>
      </c>
      <c r="CJ70" s="75">
        <f t="shared" ca="1" si="202"/>
        <v>0</v>
      </c>
      <c r="CK70" s="75">
        <f t="shared" ca="1" si="203"/>
        <v>0</v>
      </c>
      <c r="CL70" s="75">
        <f t="shared" ca="1" si="204"/>
        <v>0</v>
      </c>
      <c r="CM70" s="75">
        <f t="shared" ca="1" si="205"/>
        <v>0</v>
      </c>
      <c r="CN70" s="75">
        <f t="shared" ca="1" si="206"/>
        <v>0</v>
      </c>
      <c r="CO70" s="75">
        <f t="shared" ca="1" si="207"/>
        <v>0</v>
      </c>
      <c r="CP70" s="75">
        <f t="shared" ca="1" si="208"/>
        <v>0</v>
      </c>
      <c r="CQ70" s="75">
        <f t="shared" ca="1" si="209"/>
        <v>0</v>
      </c>
      <c r="CR70" s="75">
        <f t="shared" ca="1" si="210"/>
        <v>0</v>
      </c>
      <c r="CS70" s="75">
        <f t="shared" ca="1" si="211"/>
        <v>0</v>
      </c>
      <c r="CT70" s="75">
        <f t="shared" ca="1" si="212"/>
        <v>0</v>
      </c>
      <c r="CU70" s="75">
        <f t="shared" ca="1" si="213"/>
        <v>0</v>
      </c>
      <c r="CV70" s="75">
        <f t="shared" ca="1" si="214"/>
        <v>0</v>
      </c>
      <c r="CW70" s="75">
        <f t="shared" ca="1" si="215"/>
        <v>0</v>
      </c>
      <c r="CX70" s="75">
        <f t="shared" ca="1" si="216"/>
        <v>0</v>
      </c>
      <c r="CY70" s="75">
        <f t="shared" ca="1" si="217"/>
        <v>0</v>
      </c>
      <c r="CZ70" s="75">
        <f t="shared" ca="1" si="218"/>
        <v>0</v>
      </c>
      <c r="DA70" s="75">
        <f t="shared" ca="1" si="219"/>
        <v>0</v>
      </c>
      <c r="DB70" s="75">
        <f t="shared" ca="1" si="220"/>
        <v>0</v>
      </c>
      <c r="DC70" s="75">
        <f t="shared" ca="1" si="221"/>
        <v>0</v>
      </c>
      <c r="DD70" s="75">
        <f t="shared" ca="1" si="222"/>
        <v>0</v>
      </c>
      <c r="DE70" s="75">
        <f t="shared" ca="1" si="223"/>
        <v>0</v>
      </c>
      <c r="DF70" s="75">
        <f t="shared" ca="1" si="224"/>
        <v>0</v>
      </c>
      <c r="DG70" s="75">
        <f t="shared" ca="1" si="225"/>
        <v>0</v>
      </c>
      <c r="DH70" s="75">
        <f t="shared" ca="1" si="226"/>
        <v>0</v>
      </c>
    </row>
    <row r="71" spans="1:112">
      <c r="A71" s="14">
        <f t="shared" si="227"/>
        <v>7</v>
      </c>
      <c r="B71" s="14">
        <f t="shared" ca="1" si="227"/>
        <v>5.8108316409221263</v>
      </c>
      <c r="C71" s="14">
        <f t="shared" si="227"/>
        <v>3979.2</v>
      </c>
      <c r="E71" s="65" t="s">
        <v>54</v>
      </c>
      <c r="F71" s="67">
        <f>Summary!L9</f>
        <v>-0.4592691191004179</v>
      </c>
      <c r="P71" s="63" t="b">
        <f t="shared" si="228"/>
        <v>1</v>
      </c>
      <c r="Q71" s="75">
        <f t="shared" ca="1" si="140"/>
        <v>32.539376321209659</v>
      </c>
      <c r="R71" s="75">
        <f t="shared" ca="1" si="141"/>
        <v>27.483233560582889</v>
      </c>
      <c r="S71" s="75">
        <f t="shared" ca="1" si="142"/>
        <v>4.7878138435166937</v>
      </c>
      <c r="T71" s="75">
        <f t="shared" ca="1" si="143"/>
        <v>32.149278390530782</v>
      </c>
      <c r="U71" s="75">
        <f t="shared" ca="1" si="144"/>
        <v>27.045904939050672</v>
      </c>
      <c r="V71" s="75">
        <f t="shared" ca="1" si="145"/>
        <v>4.9732891528649477</v>
      </c>
      <c r="W71" s="75">
        <f t="shared" ca="1" si="146"/>
        <v>32.877566807846669</v>
      </c>
      <c r="X71" s="75">
        <f t="shared" ca="1" si="147"/>
        <v>28.293907616119451</v>
      </c>
      <c r="Y71" s="75">
        <f t="shared" ca="1" si="148"/>
        <v>4.5295963375050272</v>
      </c>
      <c r="Z71" s="75">
        <f t="shared" ca="1" si="149"/>
        <v>30.541208945035294</v>
      </c>
      <c r="AA71" s="75">
        <f t="shared" ca="1" si="150"/>
        <v>24.989695836879957</v>
      </c>
      <c r="AB71" s="75">
        <f t="shared" ca="1" si="151"/>
        <v>5.1309606276266226</v>
      </c>
      <c r="AC71" s="75">
        <f t="shared" ca="1" si="152"/>
        <v>30.757503710644293</v>
      </c>
      <c r="AD71" s="75">
        <f t="shared" ca="1" si="153"/>
        <v>25.183092806254116</v>
      </c>
      <c r="AE71" s="75">
        <f t="shared" ca="1" si="154"/>
        <v>4.0874583021209716</v>
      </c>
      <c r="AF71" s="75"/>
      <c r="AG71" s="75"/>
      <c r="AH71" s="75"/>
      <c r="AI71" s="75">
        <f t="shared" ca="1" si="155"/>
        <v>0</v>
      </c>
      <c r="AJ71" s="75">
        <f t="shared" ca="1" si="156"/>
        <v>0</v>
      </c>
      <c r="AK71" s="75">
        <f t="shared" ca="1" si="157"/>
        <v>0</v>
      </c>
      <c r="AL71" s="75">
        <f t="shared" ca="1" si="158"/>
        <v>0</v>
      </c>
      <c r="AM71" s="75">
        <f t="shared" ca="1" si="159"/>
        <v>0</v>
      </c>
      <c r="AN71" s="75">
        <f t="shared" ca="1" si="160"/>
        <v>0</v>
      </c>
      <c r="AO71" s="75">
        <f t="shared" ca="1" si="161"/>
        <v>0</v>
      </c>
      <c r="AP71" s="75">
        <f t="shared" ca="1" si="162"/>
        <v>0</v>
      </c>
      <c r="AQ71" s="75">
        <f t="shared" ca="1" si="163"/>
        <v>0</v>
      </c>
      <c r="AR71" s="75">
        <f t="shared" ca="1" si="164"/>
        <v>0</v>
      </c>
      <c r="AS71" s="75">
        <f t="shared" ca="1" si="165"/>
        <v>0</v>
      </c>
      <c r="AT71" s="75">
        <f t="shared" ca="1" si="166"/>
        <v>0</v>
      </c>
      <c r="AU71" s="75">
        <f t="shared" ca="1" si="167"/>
        <v>0</v>
      </c>
      <c r="AV71" s="75">
        <f t="shared" ca="1" si="168"/>
        <v>0</v>
      </c>
      <c r="AW71" s="75">
        <f t="shared" ca="1" si="169"/>
        <v>0</v>
      </c>
      <c r="AX71" s="75">
        <f t="shared" ca="1" si="170"/>
        <v>0</v>
      </c>
      <c r="AY71" s="75">
        <f t="shared" ca="1" si="171"/>
        <v>0</v>
      </c>
      <c r="AZ71" s="75">
        <f t="shared" ca="1" si="172"/>
        <v>0</v>
      </c>
      <c r="BA71" s="75">
        <f t="shared" ca="1" si="173"/>
        <v>0</v>
      </c>
      <c r="BB71" s="75">
        <f t="shared" ca="1" si="174"/>
        <v>0</v>
      </c>
      <c r="BC71" s="75">
        <f t="shared" ca="1" si="175"/>
        <v>0</v>
      </c>
      <c r="BD71" s="75">
        <f t="shared" ca="1" si="176"/>
        <v>0</v>
      </c>
      <c r="BE71" s="75">
        <f t="shared" ca="1" si="177"/>
        <v>0</v>
      </c>
      <c r="BF71" s="75">
        <f t="shared" ca="1" si="178"/>
        <v>0</v>
      </c>
      <c r="BG71" s="75">
        <f t="shared" ca="1" si="179"/>
        <v>0</v>
      </c>
      <c r="BH71" s="75">
        <f t="shared" ca="1" si="180"/>
        <v>0</v>
      </c>
      <c r="BI71" s="75">
        <f t="shared" ca="1" si="181"/>
        <v>0</v>
      </c>
      <c r="BJ71" s="75">
        <f t="shared" ca="1" si="182"/>
        <v>0</v>
      </c>
      <c r="BK71" s="75">
        <f t="shared" ca="1" si="183"/>
        <v>0</v>
      </c>
      <c r="BL71" s="75">
        <f t="shared" ca="1" si="184"/>
        <v>0</v>
      </c>
      <c r="BM71" s="75">
        <f t="shared" ca="1" si="185"/>
        <v>0</v>
      </c>
      <c r="BN71" s="75">
        <f t="shared" ca="1" si="186"/>
        <v>0</v>
      </c>
      <c r="BO71" s="75">
        <f t="shared" ca="1" si="187"/>
        <v>0</v>
      </c>
      <c r="BP71" s="75">
        <f t="shared" ca="1" si="188"/>
        <v>0</v>
      </c>
      <c r="BQ71" s="75">
        <f t="shared" ca="1" si="189"/>
        <v>0</v>
      </c>
      <c r="BR71" s="75">
        <f t="shared" ca="1" si="190"/>
        <v>0</v>
      </c>
      <c r="BS71" s="75"/>
      <c r="BT71" s="75"/>
      <c r="BU71" s="75"/>
      <c r="BV71" s="75">
        <f t="shared" ca="1" si="191"/>
        <v>0</v>
      </c>
      <c r="BW71" s="75">
        <f t="shared" ca="1" si="192"/>
        <v>0</v>
      </c>
      <c r="BX71" s="75">
        <f t="shared" ca="1" si="193"/>
        <v>0</v>
      </c>
      <c r="BY71" s="75">
        <f t="shared" ca="1" si="194"/>
        <v>0</v>
      </c>
      <c r="BZ71" s="75">
        <f t="shared" ca="1" si="195"/>
        <v>0</v>
      </c>
      <c r="CA71" s="75">
        <f t="shared" ca="1" si="196"/>
        <v>0</v>
      </c>
      <c r="CB71" s="75"/>
      <c r="CC71" s="75"/>
      <c r="CD71" s="75"/>
      <c r="CE71" s="75">
        <f t="shared" ca="1" si="197"/>
        <v>0</v>
      </c>
      <c r="CF71" s="75">
        <f t="shared" ca="1" si="198"/>
        <v>0</v>
      </c>
      <c r="CG71" s="75">
        <f t="shared" ca="1" si="199"/>
        <v>0</v>
      </c>
      <c r="CH71" s="75">
        <f t="shared" ca="1" si="200"/>
        <v>0</v>
      </c>
      <c r="CI71" s="75">
        <f t="shared" ca="1" si="201"/>
        <v>0</v>
      </c>
      <c r="CJ71" s="75">
        <f t="shared" ca="1" si="202"/>
        <v>0</v>
      </c>
      <c r="CK71" s="75">
        <f t="shared" ca="1" si="203"/>
        <v>0</v>
      </c>
      <c r="CL71" s="75">
        <f t="shared" ca="1" si="204"/>
        <v>0</v>
      </c>
      <c r="CM71" s="75">
        <f t="shared" ca="1" si="205"/>
        <v>0</v>
      </c>
      <c r="CN71" s="75">
        <f t="shared" ca="1" si="206"/>
        <v>0</v>
      </c>
      <c r="CO71" s="75">
        <f t="shared" ca="1" si="207"/>
        <v>0</v>
      </c>
      <c r="CP71" s="75">
        <f t="shared" ca="1" si="208"/>
        <v>0</v>
      </c>
      <c r="CQ71" s="75">
        <f t="shared" ca="1" si="209"/>
        <v>0</v>
      </c>
      <c r="CR71" s="75">
        <f t="shared" ca="1" si="210"/>
        <v>0</v>
      </c>
      <c r="CS71" s="75">
        <f t="shared" ca="1" si="211"/>
        <v>0</v>
      </c>
      <c r="CT71" s="75">
        <f t="shared" ca="1" si="212"/>
        <v>0</v>
      </c>
      <c r="CU71" s="75">
        <f t="shared" ca="1" si="213"/>
        <v>0</v>
      </c>
      <c r="CV71" s="75">
        <f t="shared" ca="1" si="214"/>
        <v>0</v>
      </c>
      <c r="CW71" s="75">
        <f t="shared" ca="1" si="215"/>
        <v>0</v>
      </c>
      <c r="CX71" s="75">
        <f t="shared" ca="1" si="216"/>
        <v>0</v>
      </c>
      <c r="CY71" s="75">
        <f t="shared" ca="1" si="217"/>
        <v>0</v>
      </c>
      <c r="CZ71" s="75">
        <f t="shared" ca="1" si="218"/>
        <v>0</v>
      </c>
      <c r="DA71" s="75">
        <f t="shared" ca="1" si="219"/>
        <v>0</v>
      </c>
      <c r="DB71" s="75">
        <f t="shared" ca="1" si="220"/>
        <v>0</v>
      </c>
      <c r="DC71" s="75">
        <f t="shared" ca="1" si="221"/>
        <v>0</v>
      </c>
      <c r="DD71" s="75">
        <f t="shared" ca="1" si="222"/>
        <v>0</v>
      </c>
      <c r="DE71" s="75">
        <f t="shared" ca="1" si="223"/>
        <v>0</v>
      </c>
      <c r="DF71" s="75">
        <f t="shared" ca="1" si="224"/>
        <v>0</v>
      </c>
      <c r="DG71" s="75">
        <f t="shared" ca="1" si="225"/>
        <v>0</v>
      </c>
      <c r="DH71" s="75">
        <f t="shared" ca="1" si="226"/>
        <v>0</v>
      </c>
    </row>
    <row r="72" spans="1:112">
      <c r="A72" s="14">
        <f t="shared" si="227"/>
        <v>8</v>
      </c>
      <c r="B72" s="14">
        <f t="shared" ca="1" si="227"/>
        <v>4.7264524101014667</v>
      </c>
      <c r="C72" s="14">
        <f t="shared" si="227"/>
        <v>4001.7</v>
      </c>
      <c r="E72" s="65" t="s">
        <v>55</v>
      </c>
      <c r="F72" s="67">
        <f>Summary!L10</f>
        <v>-0.10345612486126957</v>
      </c>
      <c r="P72" s="63" t="b">
        <f t="shared" si="228"/>
        <v>1</v>
      </c>
      <c r="Q72" s="75">
        <f t="shared" ca="1" si="140"/>
        <v>25.97520258925914</v>
      </c>
      <c r="R72" s="75">
        <f t="shared" ca="1" si="141"/>
        <v>22.457855455024522</v>
      </c>
      <c r="S72" s="75">
        <f t="shared" ca="1" si="142"/>
        <v>2.9874164625617108</v>
      </c>
      <c r="T72" s="75">
        <f t="shared" ca="1" si="143"/>
        <v>25.652986644194574</v>
      </c>
      <c r="U72" s="75">
        <f t="shared" ca="1" si="144"/>
        <v>21.882168225401724</v>
      </c>
      <c r="V72" s="75">
        <f t="shared" ca="1" si="145"/>
        <v>3.2909861888926435</v>
      </c>
      <c r="W72" s="75">
        <f t="shared" ca="1" si="146"/>
        <v>26.112869395496514</v>
      </c>
      <c r="X72" s="75">
        <f t="shared" ca="1" si="147"/>
        <v>22.745076712343923</v>
      </c>
      <c r="Y72" s="75">
        <f t="shared" ca="1" si="148"/>
        <v>2.8990254711532204</v>
      </c>
      <c r="Z72" s="75">
        <f t="shared" ca="1" si="149"/>
        <v>24.345711772174727</v>
      </c>
      <c r="AA72" s="75">
        <f t="shared" ca="1" si="150"/>
        <v>20.24160669160926</v>
      </c>
      <c r="AB72" s="75">
        <f t="shared" ca="1" si="151"/>
        <v>3.4170304358907138</v>
      </c>
      <c r="AC72" s="75">
        <f t="shared" ca="1" si="152"/>
        <v>24.606352063683339</v>
      </c>
      <c r="AD72" s="75">
        <f t="shared" ca="1" si="153"/>
        <v>20.828156274811459</v>
      </c>
      <c r="AE72" s="75">
        <f t="shared" ca="1" si="154"/>
        <v>2.3362935845347605</v>
      </c>
      <c r="AF72" s="75"/>
      <c r="AG72" s="75"/>
      <c r="AH72" s="75"/>
      <c r="AI72" s="75">
        <f t="shared" ca="1" si="155"/>
        <v>0</v>
      </c>
      <c r="AJ72" s="75">
        <f t="shared" ca="1" si="156"/>
        <v>0</v>
      </c>
      <c r="AK72" s="75">
        <f t="shared" ca="1" si="157"/>
        <v>0</v>
      </c>
      <c r="AL72" s="75">
        <f t="shared" ca="1" si="158"/>
        <v>0</v>
      </c>
      <c r="AM72" s="75">
        <f t="shared" ca="1" si="159"/>
        <v>0</v>
      </c>
      <c r="AN72" s="75">
        <f t="shared" ca="1" si="160"/>
        <v>0</v>
      </c>
      <c r="AO72" s="75">
        <f t="shared" ca="1" si="161"/>
        <v>0</v>
      </c>
      <c r="AP72" s="75">
        <f t="shared" ca="1" si="162"/>
        <v>0</v>
      </c>
      <c r="AQ72" s="75">
        <f t="shared" ca="1" si="163"/>
        <v>0</v>
      </c>
      <c r="AR72" s="75">
        <f t="shared" ca="1" si="164"/>
        <v>0</v>
      </c>
      <c r="AS72" s="75">
        <f t="shared" ca="1" si="165"/>
        <v>0</v>
      </c>
      <c r="AT72" s="75">
        <f t="shared" ca="1" si="166"/>
        <v>0</v>
      </c>
      <c r="AU72" s="75">
        <f t="shared" ca="1" si="167"/>
        <v>0</v>
      </c>
      <c r="AV72" s="75">
        <f t="shared" ca="1" si="168"/>
        <v>0</v>
      </c>
      <c r="AW72" s="75">
        <f t="shared" ca="1" si="169"/>
        <v>0</v>
      </c>
      <c r="AX72" s="75">
        <f t="shared" ca="1" si="170"/>
        <v>0</v>
      </c>
      <c r="AY72" s="75">
        <f t="shared" ca="1" si="171"/>
        <v>0</v>
      </c>
      <c r="AZ72" s="75">
        <f t="shared" ca="1" si="172"/>
        <v>0</v>
      </c>
      <c r="BA72" s="75">
        <f t="shared" ca="1" si="173"/>
        <v>0</v>
      </c>
      <c r="BB72" s="75">
        <f t="shared" ca="1" si="174"/>
        <v>0</v>
      </c>
      <c r="BC72" s="75">
        <f t="shared" ca="1" si="175"/>
        <v>0</v>
      </c>
      <c r="BD72" s="75">
        <f t="shared" ca="1" si="176"/>
        <v>0</v>
      </c>
      <c r="BE72" s="75">
        <f t="shared" ca="1" si="177"/>
        <v>0</v>
      </c>
      <c r="BF72" s="75">
        <f t="shared" ca="1" si="178"/>
        <v>0</v>
      </c>
      <c r="BG72" s="75">
        <f t="shared" ca="1" si="179"/>
        <v>0</v>
      </c>
      <c r="BH72" s="75">
        <f t="shared" ca="1" si="180"/>
        <v>0</v>
      </c>
      <c r="BI72" s="75">
        <f t="shared" ca="1" si="181"/>
        <v>0</v>
      </c>
      <c r="BJ72" s="75">
        <f t="shared" ca="1" si="182"/>
        <v>0</v>
      </c>
      <c r="BK72" s="75">
        <f t="shared" ca="1" si="183"/>
        <v>0</v>
      </c>
      <c r="BL72" s="75">
        <f t="shared" ca="1" si="184"/>
        <v>0</v>
      </c>
      <c r="BM72" s="75">
        <f t="shared" ca="1" si="185"/>
        <v>0</v>
      </c>
      <c r="BN72" s="75">
        <f t="shared" ca="1" si="186"/>
        <v>0</v>
      </c>
      <c r="BO72" s="75">
        <f t="shared" ca="1" si="187"/>
        <v>0</v>
      </c>
      <c r="BP72" s="75">
        <f t="shared" ca="1" si="188"/>
        <v>0</v>
      </c>
      <c r="BQ72" s="75">
        <f t="shared" ca="1" si="189"/>
        <v>0</v>
      </c>
      <c r="BR72" s="75">
        <f t="shared" ca="1" si="190"/>
        <v>0</v>
      </c>
      <c r="BS72" s="75"/>
      <c r="BT72" s="75"/>
      <c r="BU72" s="75"/>
      <c r="BV72" s="75">
        <f t="shared" ca="1" si="191"/>
        <v>0</v>
      </c>
      <c r="BW72" s="75">
        <f t="shared" ca="1" si="192"/>
        <v>0</v>
      </c>
      <c r="BX72" s="75">
        <f t="shared" ca="1" si="193"/>
        <v>0</v>
      </c>
      <c r="BY72" s="75">
        <f t="shared" ca="1" si="194"/>
        <v>0</v>
      </c>
      <c r="BZ72" s="75">
        <f t="shared" ca="1" si="195"/>
        <v>0</v>
      </c>
      <c r="CA72" s="75">
        <f t="shared" ca="1" si="196"/>
        <v>0</v>
      </c>
      <c r="CB72" s="75"/>
      <c r="CC72" s="75"/>
      <c r="CD72" s="75"/>
      <c r="CE72" s="75">
        <f t="shared" ca="1" si="197"/>
        <v>0</v>
      </c>
      <c r="CF72" s="75">
        <f t="shared" ca="1" si="198"/>
        <v>0</v>
      </c>
      <c r="CG72" s="75">
        <f t="shared" ca="1" si="199"/>
        <v>0</v>
      </c>
      <c r="CH72" s="75">
        <f t="shared" ca="1" si="200"/>
        <v>0</v>
      </c>
      <c r="CI72" s="75">
        <f t="shared" ca="1" si="201"/>
        <v>0</v>
      </c>
      <c r="CJ72" s="75">
        <f t="shared" ca="1" si="202"/>
        <v>0</v>
      </c>
      <c r="CK72" s="75">
        <f t="shared" ca="1" si="203"/>
        <v>0</v>
      </c>
      <c r="CL72" s="75">
        <f t="shared" ca="1" si="204"/>
        <v>0</v>
      </c>
      <c r="CM72" s="75">
        <f t="shared" ca="1" si="205"/>
        <v>0</v>
      </c>
      <c r="CN72" s="75">
        <f t="shared" ca="1" si="206"/>
        <v>0</v>
      </c>
      <c r="CO72" s="75">
        <f t="shared" ca="1" si="207"/>
        <v>0</v>
      </c>
      <c r="CP72" s="75">
        <f t="shared" ca="1" si="208"/>
        <v>0</v>
      </c>
      <c r="CQ72" s="75">
        <f t="shared" ca="1" si="209"/>
        <v>0</v>
      </c>
      <c r="CR72" s="75">
        <f t="shared" ca="1" si="210"/>
        <v>0</v>
      </c>
      <c r="CS72" s="75">
        <f t="shared" ca="1" si="211"/>
        <v>0</v>
      </c>
      <c r="CT72" s="75">
        <f t="shared" ca="1" si="212"/>
        <v>0</v>
      </c>
      <c r="CU72" s="75">
        <f t="shared" ca="1" si="213"/>
        <v>0</v>
      </c>
      <c r="CV72" s="75">
        <f t="shared" ca="1" si="214"/>
        <v>0</v>
      </c>
      <c r="CW72" s="75">
        <f t="shared" ca="1" si="215"/>
        <v>0</v>
      </c>
      <c r="CX72" s="75">
        <f t="shared" ca="1" si="216"/>
        <v>0</v>
      </c>
      <c r="CY72" s="75">
        <f t="shared" ca="1" si="217"/>
        <v>0</v>
      </c>
      <c r="CZ72" s="75">
        <f t="shared" ca="1" si="218"/>
        <v>0</v>
      </c>
      <c r="DA72" s="75">
        <f t="shared" ca="1" si="219"/>
        <v>0</v>
      </c>
      <c r="DB72" s="75">
        <f t="shared" ca="1" si="220"/>
        <v>0</v>
      </c>
      <c r="DC72" s="75">
        <f t="shared" ca="1" si="221"/>
        <v>0</v>
      </c>
      <c r="DD72" s="75">
        <f t="shared" ca="1" si="222"/>
        <v>0</v>
      </c>
      <c r="DE72" s="75">
        <f t="shared" ca="1" si="223"/>
        <v>0</v>
      </c>
      <c r="DF72" s="75">
        <f t="shared" ca="1" si="224"/>
        <v>0</v>
      </c>
      <c r="DG72" s="75">
        <f t="shared" ca="1" si="225"/>
        <v>0</v>
      </c>
      <c r="DH72" s="75">
        <f t="shared" ca="1" si="226"/>
        <v>0</v>
      </c>
    </row>
    <row r="73" spans="1:112" ht="15.75" thickBot="1">
      <c r="A73" s="14">
        <f t="shared" si="227"/>
        <v>9</v>
      </c>
      <c r="B73" s="14">
        <f t="shared" ca="1" si="227"/>
        <v>3.8737596974251551</v>
      </c>
      <c r="C73" s="14">
        <f t="shared" si="227"/>
        <v>4034.1</v>
      </c>
      <c r="E73" s="66" t="s">
        <v>56</v>
      </c>
      <c r="F73" s="68">
        <f>Summary!L11</f>
        <v>-0.26235982838399025</v>
      </c>
      <c r="P73" s="63" t="b">
        <f t="shared" si="228"/>
        <v>1</v>
      </c>
      <c r="Q73" s="75">
        <f t="shared" ca="1" si="140"/>
        <v>20.525020207807898</v>
      </c>
      <c r="R73" s="75">
        <f t="shared" ca="1" si="141"/>
        <v>18.262800003577635</v>
      </c>
      <c r="S73" s="75">
        <f t="shared" ca="1" si="142"/>
        <v>1.5353139768092667</v>
      </c>
      <c r="T73" s="75">
        <f t="shared" ca="1" si="143"/>
        <v>20.29789886396161</v>
      </c>
      <c r="U73" s="75">
        <f t="shared" ca="1" si="144"/>
        <v>17.775654472997921</v>
      </c>
      <c r="V73" s="75">
        <f t="shared" ca="1" si="145"/>
        <v>1.8340041681753252</v>
      </c>
      <c r="W73" s="75">
        <f t="shared" ca="1" si="146"/>
        <v>20.59410909864982</v>
      </c>
      <c r="X73" s="75">
        <f t="shared" ca="1" si="147"/>
        <v>18.468647320010174</v>
      </c>
      <c r="Y73" s="75">
        <f t="shared" ca="1" si="148"/>
        <v>1.4536862118326737</v>
      </c>
      <c r="Z73" s="75">
        <f t="shared" ca="1" si="149"/>
        <v>19.094011426339474</v>
      </c>
      <c r="AA73" s="75">
        <f t="shared" ca="1" si="150"/>
        <v>16.249367257196333</v>
      </c>
      <c r="AB73" s="75">
        <f t="shared" ca="1" si="151"/>
        <v>1.995977535468324</v>
      </c>
      <c r="AC73" s="75">
        <f t="shared" ca="1" si="152"/>
        <v>19.308033512015363</v>
      </c>
      <c r="AD73" s="75">
        <f t="shared" ca="1" si="153"/>
        <v>16.704531648870343</v>
      </c>
      <c r="AE73" s="75">
        <f t="shared" ca="1" si="154"/>
        <v>1.1393409292948093</v>
      </c>
      <c r="AF73" s="75"/>
      <c r="AG73" s="75"/>
      <c r="AH73" s="75"/>
      <c r="AI73" s="75">
        <f t="shared" ca="1" si="155"/>
        <v>0</v>
      </c>
      <c r="AJ73" s="75">
        <f t="shared" ca="1" si="156"/>
        <v>0</v>
      </c>
      <c r="AK73" s="75">
        <f t="shared" ca="1" si="157"/>
        <v>0</v>
      </c>
      <c r="AL73" s="75">
        <f t="shared" ca="1" si="158"/>
        <v>0</v>
      </c>
      <c r="AM73" s="75">
        <f t="shared" ca="1" si="159"/>
        <v>0</v>
      </c>
      <c r="AN73" s="75">
        <f t="shared" ca="1" si="160"/>
        <v>0</v>
      </c>
      <c r="AO73" s="75">
        <f t="shared" ca="1" si="161"/>
        <v>0</v>
      </c>
      <c r="AP73" s="75">
        <f t="shared" ca="1" si="162"/>
        <v>0</v>
      </c>
      <c r="AQ73" s="75">
        <f t="shared" ca="1" si="163"/>
        <v>0</v>
      </c>
      <c r="AR73" s="75">
        <f t="shared" ca="1" si="164"/>
        <v>0</v>
      </c>
      <c r="AS73" s="75">
        <f t="shared" ca="1" si="165"/>
        <v>0</v>
      </c>
      <c r="AT73" s="75">
        <f t="shared" ca="1" si="166"/>
        <v>0</v>
      </c>
      <c r="AU73" s="75">
        <f t="shared" ca="1" si="167"/>
        <v>0</v>
      </c>
      <c r="AV73" s="75">
        <f t="shared" ca="1" si="168"/>
        <v>0</v>
      </c>
      <c r="AW73" s="75">
        <f t="shared" ca="1" si="169"/>
        <v>0</v>
      </c>
      <c r="AX73" s="75">
        <f t="shared" ca="1" si="170"/>
        <v>0</v>
      </c>
      <c r="AY73" s="75">
        <f t="shared" ca="1" si="171"/>
        <v>0</v>
      </c>
      <c r="AZ73" s="75">
        <f t="shared" ca="1" si="172"/>
        <v>0</v>
      </c>
      <c r="BA73" s="75">
        <f t="shared" ca="1" si="173"/>
        <v>0</v>
      </c>
      <c r="BB73" s="75">
        <f t="shared" ca="1" si="174"/>
        <v>0</v>
      </c>
      <c r="BC73" s="75">
        <f t="shared" ca="1" si="175"/>
        <v>0</v>
      </c>
      <c r="BD73" s="75">
        <f t="shared" ca="1" si="176"/>
        <v>0</v>
      </c>
      <c r="BE73" s="75">
        <f t="shared" ca="1" si="177"/>
        <v>0</v>
      </c>
      <c r="BF73" s="75">
        <f t="shared" ca="1" si="178"/>
        <v>0</v>
      </c>
      <c r="BG73" s="75">
        <f t="shared" ca="1" si="179"/>
        <v>0</v>
      </c>
      <c r="BH73" s="75">
        <f t="shared" ca="1" si="180"/>
        <v>0</v>
      </c>
      <c r="BI73" s="75">
        <f t="shared" ca="1" si="181"/>
        <v>0</v>
      </c>
      <c r="BJ73" s="75">
        <f t="shared" ca="1" si="182"/>
        <v>0</v>
      </c>
      <c r="BK73" s="75">
        <f t="shared" ca="1" si="183"/>
        <v>0</v>
      </c>
      <c r="BL73" s="75">
        <f t="shared" ca="1" si="184"/>
        <v>0</v>
      </c>
      <c r="BM73" s="75">
        <f t="shared" ca="1" si="185"/>
        <v>0</v>
      </c>
      <c r="BN73" s="75">
        <f t="shared" ca="1" si="186"/>
        <v>0</v>
      </c>
      <c r="BO73" s="75">
        <f t="shared" ca="1" si="187"/>
        <v>0</v>
      </c>
      <c r="BP73" s="75">
        <f t="shared" ca="1" si="188"/>
        <v>0</v>
      </c>
      <c r="BQ73" s="75">
        <f t="shared" ca="1" si="189"/>
        <v>0</v>
      </c>
      <c r="BR73" s="75">
        <f t="shared" ca="1" si="190"/>
        <v>0</v>
      </c>
      <c r="BS73" s="75"/>
      <c r="BT73" s="75"/>
      <c r="BU73" s="75"/>
      <c r="BV73" s="75">
        <f t="shared" ca="1" si="191"/>
        <v>0</v>
      </c>
      <c r="BW73" s="75">
        <f t="shared" ca="1" si="192"/>
        <v>0</v>
      </c>
      <c r="BX73" s="75">
        <f t="shared" ca="1" si="193"/>
        <v>0</v>
      </c>
      <c r="BY73" s="75">
        <f t="shared" ca="1" si="194"/>
        <v>0</v>
      </c>
      <c r="BZ73" s="75">
        <f t="shared" ca="1" si="195"/>
        <v>0</v>
      </c>
      <c r="CA73" s="75">
        <f t="shared" ca="1" si="196"/>
        <v>0</v>
      </c>
      <c r="CB73" s="75"/>
      <c r="CC73" s="75"/>
      <c r="CD73" s="75"/>
      <c r="CE73" s="75">
        <f t="shared" ca="1" si="197"/>
        <v>0</v>
      </c>
      <c r="CF73" s="75">
        <f t="shared" ca="1" si="198"/>
        <v>0</v>
      </c>
      <c r="CG73" s="75">
        <f t="shared" ca="1" si="199"/>
        <v>0</v>
      </c>
      <c r="CH73" s="75">
        <f t="shared" ca="1" si="200"/>
        <v>0</v>
      </c>
      <c r="CI73" s="75">
        <f t="shared" ca="1" si="201"/>
        <v>0</v>
      </c>
      <c r="CJ73" s="75">
        <f t="shared" ca="1" si="202"/>
        <v>0</v>
      </c>
      <c r="CK73" s="75">
        <f t="shared" ca="1" si="203"/>
        <v>0</v>
      </c>
      <c r="CL73" s="75">
        <f t="shared" ca="1" si="204"/>
        <v>0</v>
      </c>
      <c r="CM73" s="75">
        <f t="shared" ca="1" si="205"/>
        <v>0</v>
      </c>
      <c r="CN73" s="75">
        <f t="shared" ca="1" si="206"/>
        <v>0</v>
      </c>
      <c r="CO73" s="75">
        <f t="shared" ca="1" si="207"/>
        <v>0</v>
      </c>
      <c r="CP73" s="75">
        <f t="shared" ca="1" si="208"/>
        <v>0</v>
      </c>
      <c r="CQ73" s="75">
        <f t="shared" ca="1" si="209"/>
        <v>0</v>
      </c>
      <c r="CR73" s="75">
        <f t="shared" ca="1" si="210"/>
        <v>0</v>
      </c>
      <c r="CS73" s="75">
        <f t="shared" ca="1" si="211"/>
        <v>0</v>
      </c>
      <c r="CT73" s="75">
        <f t="shared" ca="1" si="212"/>
        <v>0</v>
      </c>
      <c r="CU73" s="75">
        <f t="shared" ca="1" si="213"/>
        <v>0</v>
      </c>
      <c r="CV73" s="75">
        <f t="shared" ca="1" si="214"/>
        <v>0</v>
      </c>
      <c r="CW73" s="75">
        <f t="shared" ca="1" si="215"/>
        <v>0</v>
      </c>
      <c r="CX73" s="75">
        <f t="shared" ca="1" si="216"/>
        <v>0</v>
      </c>
      <c r="CY73" s="75">
        <f t="shared" ca="1" si="217"/>
        <v>0</v>
      </c>
      <c r="CZ73" s="75">
        <f t="shared" ca="1" si="218"/>
        <v>0</v>
      </c>
      <c r="DA73" s="75">
        <f t="shared" ca="1" si="219"/>
        <v>0</v>
      </c>
      <c r="DB73" s="75">
        <f t="shared" ca="1" si="220"/>
        <v>0</v>
      </c>
      <c r="DC73" s="75">
        <f t="shared" ca="1" si="221"/>
        <v>0</v>
      </c>
      <c r="DD73" s="75">
        <f t="shared" ca="1" si="222"/>
        <v>0</v>
      </c>
      <c r="DE73" s="75">
        <f t="shared" ca="1" si="223"/>
        <v>0</v>
      </c>
      <c r="DF73" s="75">
        <f t="shared" ca="1" si="224"/>
        <v>0</v>
      </c>
      <c r="DG73" s="75">
        <f t="shared" ca="1" si="225"/>
        <v>0</v>
      </c>
      <c r="DH73" s="75">
        <f t="shared" ca="1" si="226"/>
        <v>0</v>
      </c>
    </row>
    <row r="74" spans="1:112">
      <c r="A74" s="14">
        <f t="shared" si="227"/>
        <v>10</v>
      </c>
      <c r="B74" s="14">
        <f t="shared" ca="1" si="227"/>
        <v>3.2207968686872634</v>
      </c>
      <c r="C74" s="14">
        <f t="shared" si="227"/>
        <v>4023.8</v>
      </c>
      <c r="P74" s="63" t="b">
        <f t="shared" si="228"/>
        <v>1</v>
      </c>
      <c r="Q74" s="75">
        <f t="shared" ca="1" si="140"/>
        <v>16.597567192176314</v>
      </c>
      <c r="R74" s="75">
        <f t="shared" ca="1" si="141"/>
        <v>15.20262687006065</v>
      </c>
      <c r="S74" s="75">
        <f t="shared" ca="1" si="142"/>
        <v>0.318163386620405</v>
      </c>
      <c r="T74" s="75">
        <f t="shared" ca="1" si="143"/>
        <v>16.099864638515943</v>
      </c>
      <c r="U74" s="75">
        <f t="shared" ca="1" si="144"/>
        <v>14.32171958030264</v>
      </c>
      <c r="V74" s="75">
        <f t="shared" ca="1" si="145"/>
        <v>0.66440489670720504</v>
      </c>
      <c r="W74" s="75">
        <f t="shared" ca="1" si="146"/>
        <v>16.480775135097492</v>
      </c>
      <c r="X74" s="75">
        <f t="shared" ca="1" si="147"/>
        <v>15.161704414680051</v>
      </c>
      <c r="Y74" s="75">
        <f t="shared" ca="1" si="148"/>
        <v>0.23077570404323133</v>
      </c>
      <c r="Z74" s="75">
        <f t="shared" ca="1" si="149"/>
        <v>15.380139922073528</v>
      </c>
      <c r="AA74" s="75">
        <f t="shared" ca="1" si="150"/>
        <v>13.407676154404683</v>
      </c>
      <c r="AB74" s="75">
        <f t="shared" ca="1" si="151"/>
        <v>0.78056690968951581</v>
      </c>
      <c r="AC74" s="75">
        <f t="shared" ca="1" si="152"/>
        <v>15.450989772289546</v>
      </c>
      <c r="AD74" s="75">
        <f t="shared" ca="1" si="153"/>
        <v>13.658729883846449</v>
      </c>
      <c r="AE74" s="75">
        <f t="shared" ca="1" si="154"/>
        <v>0.10035651499007252</v>
      </c>
      <c r="AF74" s="75"/>
      <c r="AG74" s="75"/>
      <c r="AH74" s="75"/>
      <c r="AI74" s="75">
        <f t="shared" ca="1" si="155"/>
        <v>0</v>
      </c>
      <c r="AJ74" s="75">
        <f t="shared" ca="1" si="156"/>
        <v>0</v>
      </c>
      <c r="AK74" s="75">
        <f t="shared" ca="1" si="157"/>
        <v>0</v>
      </c>
      <c r="AL74" s="75">
        <f t="shared" ca="1" si="158"/>
        <v>0</v>
      </c>
      <c r="AM74" s="75">
        <f t="shared" ca="1" si="159"/>
        <v>0</v>
      </c>
      <c r="AN74" s="75">
        <f t="shared" ca="1" si="160"/>
        <v>0</v>
      </c>
      <c r="AO74" s="75">
        <f t="shared" ca="1" si="161"/>
        <v>0</v>
      </c>
      <c r="AP74" s="75">
        <f t="shared" ca="1" si="162"/>
        <v>0</v>
      </c>
      <c r="AQ74" s="75">
        <f t="shared" ca="1" si="163"/>
        <v>0</v>
      </c>
      <c r="AR74" s="75">
        <f t="shared" ca="1" si="164"/>
        <v>0</v>
      </c>
      <c r="AS74" s="75">
        <f t="shared" ca="1" si="165"/>
        <v>0</v>
      </c>
      <c r="AT74" s="75">
        <f t="shared" ca="1" si="166"/>
        <v>0</v>
      </c>
      <c r="AU74" s="75">
        <f t="shared" ca="1" si="167"/>
        <v>0</v>
      </c>
      <c r="AV74" s="75">
        <f t="shared" ca="1" si="168"/>
        <v>0</v>
      </c>
      <c r="AW74" s="75">
        <f t="shared" ca="1" si="169"/>
        <v>0</v>
      </c>
      <c r="AX74" s="75">
        <f t="shared" ca="1" si="170"/>
        <v>0</v>
      </c>
      <c r="AY74" s="75">
        <f t="shared" ca="1" si="171"/>
        <v>0</v>
      </c>
      <c r="AZ74" s="75">
        <f t="shared" ca="1" si="172"/>
        <v>0</v>
      </c>
      <c r="BA74" s="75">
        <f t="shared" ca="1" si="173"/>
        <v>0</v>
      </c>
      <c r="BB74" s="75">
        <f t="shared" ca="1" si="174"/>
        <v>0</v>
      </c>
      <c r="BC74" s="75">
        <f t="shared" ca="1" si="175"/>
        <v>0</v>
      </c>
      <c r="BD74" s="75">
        <f t="shared" ca="1" si="176"/>
        <v>0</v>
      </c>
      <c r="BE74" s="75">
        <f t="shared" ca="1" si="177"/>
        <v>0</v>
      </c>
      <c r="BF74" s="75">
        <f t="shared" ca="1" si="178"/>
        <v>0</v>
      </c>
      <c r="BG74" s="75">
        <f t="shared" ca="1" si="179"/>
        <v>0</v>
      </c>
      <c r="BH74" s="75">
        <f t="shared" ca="1" si="180"/>
        <v>0</v>
      </c>
      <c r="BI74" s="75">
        <f t="shared" ca="1" si="181"/>
        <v>0</v>
      </c>
      <c r="BJ74" s="75">
        <f t="shared" ca="1" si="182"/>
        <v>0</v>
      </c>
      <c r="BK74" s="75">
        <f t="shared" ca="1" si="183"/>
        <v>0</v>
      </c>
      <c r="BL74" s="75">
        <f t="shared" ca="1" si="184"/>
        <v>0</v>
      </c>
      <c r="BM74" s="75">
        <f t="shared" ca="1" si="185"/>
        <v>0</v>
      </c>
      <c r="BN74" s="75">
        <f t="shared" ca="1" si="186"/>
        <v>0</v>
      </c>
      <c r="BO74" s="75">
        <f t="shared" ca="1" si="187"/>
        <v>0</v>
      </c>
      <c r="BP74" s="75">
        <f t="shared" ca="1" si="188"/>
        <v>0</v>
      </c>
      <c r="BQ74" s="75">
        <f t="shared" ca="1" si="189"/>
        <v>0</v>
      </c>
      <c r="BR74" s="75">
        <f t="shared" ca="1" si="190"/>
        <v>0</v>
      </c>
      <c r="BS74" s="75"/>
      <c r="BT74" s="75"/>
      <c r="BU74" s="75"/>
      <c r="BV74" s="75">
        <f t="shared" ca="1" si="191"/>
        <v>0</v>
      </c>
      <c r="BW74" s="75">
        <f t="shared" ca="1" si="192"/>
        <v>0</v>
      </c>
      <c r="BX74" s="75">
        <f t="shared" ca="1" si="193"/>
        <v>0</v>
      </c>
      <c r="BY74" s="75">
        <f t="shared" ca="1" si="194"/>
        <v>0</v>
      </c>
      <c r="BZ74" s="75">
        <f t="shared" ca="1" si="195"/>
        <v>0</v>
      </c>
      <c r="CA74" s="75">
        <f t="shared" ca="1" si="196"/>
        <v>0</v>
      </c>
      <c r="CB74" s="75"/>
      <c r="CC74" s="75"/>
      <c r="CD74" s="75"/>
      <c r="CE74" s="75">
        <f t="shared" ca="1" si="197"/>
        <v>0</v>
      </c>
      <c r="CF74" s="75">
        <f t="shared" ca="1" si="198"/>
        <v>0</v>
      </c>
      <c r="CG74" s="75">
        <f t="shared" ca="1" si="199"/>
        <v>0</v>
      </c>
      <c r="CH74" s="75">
        <f t="shared" ca="1" si="200"/>
        <v>0</v>
      </c>
      <c r="CI74" s="75">
        <f t="shared" ca="1" si="201"/>
        <v>0</v>
      </c>
      <c r="CJ74" s="75">
        <f t="shared" ca="1" si="202"/>
        <v>0</v>
      </c>
      <c r="CK74" s="75">
        <f t="shared" ca="1" si="203"/>
        <v>0</v>
      </c>
      <c r="CL74" s="75">
        <f t="shared" ca="1" si="204"/>
        <v>0</v>
      </c>
      <c r="CM74" s="75">
        <f t="shared" ca="1" si="205"/>
        <v>0</v>
      </c>
      <c r="CN74" s="75">
        <f t="shared" ca="1" si="206"/>
        <v>0</v>
      </c>
      <c r="CO74" s="75">
        <f t="shared" ca="1" si="207"/>
        <v>0</v>
      </c>
      <c r="CP74" s="75">
        <f t="shared" ca="1" si="208"/>
        <v>0</v>
      </c>
      <c r="CQ74" s="75">
        <f t="shared" ca="1" si="209"/>
        <v>0</v>
      </c>
      <c r="CR74" s="75">
        <f t="shared" ca="1" si="210"/>
        <v>0</v>
      </c>
      <c r="CS74" s="75">
        <f t="shared" ca="1" si="211"/>
        <v>0</v>
      </c>
      <c r="CT74" s="75">
        <f t="shared" ca="1" si="212"/>
        <v>0</v>
      </c>
      <c r="CU74" s="75">
        <f t="shared" ca="1" si="213"/>
        <v>0</v>
      </c>
      <c r="CV74" s="75">
        <f t="shared" ca="1" si="214"/>
        <v>0</v>
      </c>
      <c r="CW74" s="75">
        <f t="shared" ca="1" si="215"/>
        <v>0</v>
      </c>
      <c r="CX74" s="75">
        <f t="shared" ca="1" si="216"/>
        <v>0</v>
      </c>
      <c r="CY74" s="75">
        <f t="shared" ca="1" si="217"/>
        <v>0</v>
      </c>
      <c r="CZ74" s="75">
        <f t="shared" ca="1" si="218"/>
        <v>0</v>
      </c>
      <c r="DA74" s="75">
        <f t="shared" ca="1" si="219"/>
        <v>0</v>
      </c>
      <c r="DB74" s="75">
        <f t="shared" ca="1" si="220"/>
        <v>0</v>
      </c>
      <c r="DC74" s="75">
        <f t="shared" ca="1" si="221"/>
        <v>0</v>
      </c>
      <c r="DD74" s="75">
        <f t="shared" ca="1" si="222"/>
        <v>0</v>
      </c>
      <c r="DE74" s="75">
        <f t="shared" ca="1" si="223"/>
        <v>0</v>
      </c>
      <c r="DF74" s="75">
        <f t="shared" ca="1" si="224"/>
        <v>0</v>
      </c>
      <c r="DG74" s="75">
        <f t="shared" ca="1" si="225"/>
        <v>0</v>
      </c>
      <c r="DH74" s="75">
        <f t="shared" ca="1" si="226"/>
        <v>0</v>
      </c>
    </row>
    <row r="75" spans="1:112">
      <c r="A75" s="14">
        <f t="shared" si="227"/>
        <v>11</v>
      </c>
      <c r="B75" s="14">
        <f t="shared" ca="1" si="227"/>
        <v>2.38707854456778</v>
      </c>
      <c r="C75" s="14">
        <f t="shared" si="227"/>
        <v>4005.5</v>
      </c>
      <c r="P75" s="63" t="b">
        <f t="shared" si="228"/>
        <v>1</v>
      </c>
      <c r="Q75" s="75">
        <f t="shared" ca="1" si="140"/>
        <v>13.555612200164722</v>
      </c>
      <c r="R75" s="75">
        <f t="shared" ca="1" si="141"/>
        <v>11.724223971279113</v>
      </c>
      <c r="S75" s="75">
        <f t="shared" ca="1" si="142"/>
        <v>1.3779292943686419</v>
      </c>
      <c r="T75" s="75">
        <f t="shared" ca="1" si="143"/>
        <v>13.140545919591185</v>
      </c>
      <c r="U75" s="75">
        <f t="shared" ca="1" si="144"/>
        <v>10.929088394453425</v>
      </c>
      <c r="V75" s="75">
        <f t="shared" ca="1" si="145"/>
        <v>1.7168940665511607</v>
      </c>
      <c r="W75" s="75">
        <f t="shared" ca="1" si="146"/>
        <v>13.656631857772023</v>
      </c>
      <c r="X75" s="75">
        <f t="shared" ca="1" si="147"/>
        <v>11.853146557533487</v>
      </c>
      <c r="Y75" s="75">
        <f t="shared" ca="1" si="148"/>
        <v>1.4838607148830252</v>
      </c>
      <c r="Z75" s="75">
        <f t="shared" ca="1" si="149"/>
        <v>12.429749572524498</v>
      </c>
      <c r="AA75" s="75">
        <f t="shared" ca="1" si="150"/>
        <v>10.177835779658725</v>
      </c>
      <c r="AB75" s="75">
        <f t="shared" ca="1" si="151"/>
        <v>1.7166642372535643</v>
      </c>
      <c r="AC75" s="75">
        <f t="shared" ca="1" si="152"/>
        <v>12.652554971808529</v>
      </c>
      <c r="AD75" s="75">
        <f t="shared" ca="1" si="153"/>
        <v>10.512583632036959</v>
      </c>
      <c r="AE75" s="75">
        <f t="shared" ca="1" si="154"/>
        <v>1.1954104295454506</v>
      </c>
      <c r="AF75" s="75"/>
      <c r="AG75" s="75"/>
      <c r="AH75" s="75"/>
      <c r="AI75" s="75">
        <f t="shared" ca="1" si="155"/>
        <v>0</v>
      </c>
      <c r="AJ75" s="75">
        <f t="shared" ca="1" si="156"/>
        <v>0</v>
      </c>
      <c r="AK75" s="75">
        <f t="shared" ca="1" si="157"/>
        <v>0</v>
      </c>
      <c r="AL75" s="75">
        <f t="shared" ca="1" si="158"/>
        <v>0</v>
      </c>
      <c r="AM75" s="75">
        <f t="shared" ca="1" si="159"/>
        <v>0</v>
      </c>
      <c r="AN75" s="75">
        <f t="shared" ca="1" si="160"/>
        <v>0</v>
      </c>
      <c r="AO75" s="75">
        <f t="shared" ca="1" si="161"/>
        <v>0</v>
      </c>
      <c r="AP75" s="75">
        <f t="shared" ca="1" si="162"/>
        <v>0</v>
      </c>
      <c r="AQ75" s="75">
        <f t="shared" ca="1" si="163"/>
        <v>0</v>
      </c>
      <c r="AR75" s="75">
        <f t="shared" ca="1" si="164"/>
        <v>0</v>
      </c>
      <c r="AS75" s="75">
        <f t="shared" ca="1" si="165"/>
        <v>0</v>
      </c>
      <c r="AT75" s="75">
        <f t="shared" ca="1" si="166"/>
        <v>0</v>
      </c>
      <c r="AU75" s="75">
        <f t="shared" ca="1" si="167"/>
        <v>0</v>
      </c>
      <c r="AV75" s="75">
        <f t="shared" ca="1" si="168"/>
        <v>0</v>
      </c>
      <c r="AW75" s="75">
        <f t="shared" ca="1" si="169"/>
        <v>0</v>
      </c>
      <c r="AX75" s="75">
        <f t="shared" ca="1" si="170"/>
        <v>0</v>
      </c>
      <c r="AY75" s="75">
        <f t="shared" ca="1" si="171"/>
        <v>0</v>
      </c>
      <c r="AZ75" s="75">
        <f t="shared" ca="1" si="172"/>
        <v>0</v>
      </c>
      <c r="BA75" s="75">
        <f t="shared" ca="1" si="173"/>
        <v>0</v>
      </c>
      <c r="BB75" s="75">
        <f t="shared" ca="1" si="174"/>
        <v>0</v>
      </c>
      <c r="BC75" s="75">
        <f t="shared" ca="1" si="175"/>
        <v>0</v>
      </c>
      <c r="BD75" s="75">
        <f t="shared" ca="1" si="176"/>
        <v>0</v>
      </c>
      <c r="BE75" s="75">
        <f t="shared" ca="1" si="177"/>
        <v>0</v>
      </c>
      <c r="BF75" s="75">
        <f t="shared" ca="1" si="178"/>
        <v>0</v>
      </c>
      <c r="BG75" s="75">
        <f t="shared" ca="1" si="179"/>
        <v>0</v>
      </c>
      <c r="BH75" s="75">
        <f t="shared" ca="1" si="180"/>
        <v>0</v>
      </c>
      <c r="BI75" s="75">
        <f t="shared" ca="1" si="181"/>
        <v>0</v>
      </c>
      <c r="BJ75" s="75">
        <f t="shared" ca="1" si="182"/>
        <v>0</v>
      </c>
      <c r="BK75" s="75">
        <f t="shared" ca="1" si="183"/>
        <v>0</v>
      </c>
      <c r="BL75" s="75">
        <f t="shared" ca="1" si="184"/>
        <v>0</v>
      </c>
      <c r="BM75" s="75">
        <f t="shared" ca="1" si="185"/>
        <v>0</v>
      </c>
      <c r="BN75" s="75">
        <f t="shared" ca="1" si="186"/>
        <v>0</v>
      </c>
      <c r="BO75" s="75">
        <f t="shared" ca="1" si="187"/>
        <v>0</v>
      </c>
      <c r="BP75" s="75">
        <f t="shared" ca="1" si="188"/>
        <v>0</v>
      </c>
      <c r="BQ75" s="75">
        <f t="shared" ca="1" si="189"/>
        <v>0</v>
      </c>
      <c r="BR75" s="75">
        <f t="shared" ca="1" si="190"/>
        <v>0</v>
      </c>
      <c r="BS75" s="75"/>
      <c r="BT75" s="75"/>
      <c r="BU75" s="75"/>
      <c r="BV75" s="75">
        <f t="shared" ca="1" si="191"/>
        <v>0</v>
      </c>
      <c r="BW75" s="75">
        <f t="shared" ca="1" si="192"/>
        <v>0</v>
      </c>
      <c r="BX75" s="75">
        <f t="shared" ca="1" si="193"/>
        <v>0</v>
      </c>
      <c r="BY75" s="75">
        <f t="shared" ca="1" si="194"/>
        <v>0</v>
      </c>
      <c r="BZ75" s="75">
        <f t="shared" ca="1" si="195"/>
        <v>0</v>
      </c>
      <c r="CA75" s="75">
        <f t="shared" ca="1" si="196"/>
        <v>0</v>
      </c>
      <c r="CB75" s="75"/>
      <c r="CC75" s="75"/>
      <c r="CD75" s="75"/>
      <c r="CE75" s="75">
        <f t="shared" ca="1" si="197"/>
        <v>0</v>
      </c>
      <c r="CF75" s="75">
        <f t="shared" ca="1" si="198"/>
        <v>0</v>
      </c>
      <c r="CG75" s="75">
        <f t="shared" ca="1" si="199"/>
        <v>0</v>
      </c>
      <c r="CH75" s="75">
        <f t="shared" ca="1" si="200"/>
        <v>0</v>
      </c>
      <c r="CI75" s="75">
        <f t="shared" ca="1" si="201"/>
        <v>0</v>
      </c>
      <c r="CJ75" s="75">
        <f t="shared" ca="1" si="202"/>
        <v>0</v>
      </c>
      <c r="CK75" s="75">
        <f t="shared" ca="1" si="203"/>
        <v>0</v>
      </c>
      <c r="CL75" s="75">
        <f t="shared" ca="1" si="204"/>
        <v>0</v>
      </c>
      <c r="CM75" s="75">
        <f t="shared" ca="1" si="205"/>
        <v>0</v>
      </c>
      <c r="CN75" s="75">
        <f t="shared" ca="1" si="206"/>
        <v>0</v>
      </c>
      <c r="CO75" s="75">
        <f t="shared" ca="1" si="207"/>
        <v>0</v>
      </c>
      <c r="CP75" s="75">
        <f t="shared" ca="1" si="208"/>
        <v>0</v>
      </c>
      <c r="CQ75" s="75">
        <f t="shared" ca="1" si="209"/>
        <v>0</v>
      </c>
      <c r="CR75" s="75">
        <f t="shared" ca="1" si="210"/>
        <v>0</v>
      </c>
      <c r="CS75" s="75">
        <f t="shared" ca="1" si="211"/>
        <v>0</v>
      </c>
      <c r="CT75" s="75">
        <f t="shared" ca="1" si="212"/>
        <v>0</v>
      </c>
      <c r="CU75" s="75">
        <f t="shared" ca="1" si="213"/>
        <v>0</v>
      </c>
      <c r="CV75" s="75">
        <f t="shared" ca="1" si="214"/>
        <v>0</v>
      </c>
      <c r="CW75" s="75">
        <f t="shared" ca="1" si="215"/>
        <v>0</v>
      </c>
      <c r="CX75" s="75">
        <f t="shared" ca="1" si="216"/>
        <v>0</v>
      </c>
      <c r="CY75" s="75">
        <f t="shared" ca="1" si="217"/>
        <v>0</v>
      </c>
      <c r="CZ75" s="75">
        <f t="shared" ca="1" si="218"/>
        <v>0</v>
      </c>
      <c r="DA75" s="75">
        <f t="shared" ca="1" si="219"/>
        <v>0</v>
      </c>
      <c r="DB75" s="75">
        <f t="shared" ca="1" si="220"/>
        <v>0</v>
      </c>
      <c r="DC75" s="75">
        <f t="shared" ca="1" si="221"/>
        <v>0</v>
      </c>
      <c r="DD75" s="75">
        <f t="shared" ca="1" si="222"/>
        <v>0</v>
      </c>
      <c r="DE75" s="75">
        <f t="shared" ca="1" si="223"/>
        <v>0</v>
      </c>
      <c r="DF75" s="75">
        <f t="shared" ca="1" si="224"/>
        <v>0</v>
      </c>
      <c r="DG75" s="75">
        <f t="shared" ca="1" si="225"/>
        <v>0</v>
      </c>
      <c r="DH75" s="75">
        <f t="shared" ca="1" si="226"/>
        <v>0</v>
      </c>
    </row>
    <row r="76" spans="1:112">
      <c r="A76" s="14">
        <f t="shared" si="227"/>
        <v>12</v>
      </c>
      <c r="B76" s="14">
        <f t="shared" ca="1" si="227"/>
        <v>2.1590792663518994</v>
      </c>
      <c r="C76" s="14">
        <f t="shared" si="227"/>
        <v>4009.6</v>
      </c>
      <c r="P76" s="63" t="b">
        <f t="shared" si="228"/>
        <v>1</v>
      </c>
      <c r="Q76" s="75">
        <f t="shared" ca="1" si="140"/>
        <v>12.385585773453606</v>
      </c>
      <c r="R76" s="75">
        <f t="shared" ca="1" si="141"/>
        <v>10.561824114603191</v>
      </c>
      <c r="S76" s="75">
        <f t="shared" ca="1" si="142"/>
        <v>1.4512731438949502</v>
      </c>
      <c r="T76" s="75">
        <f t="shared" ca="1" si="143"/>
        <v>12.061492210059818</v>
      </c>
      <c r="U76" s="75">
        <f t="shared" ca="1" si="144"/>
        <v>9.902011417452476</v>
      </c>
      <c r="V76" s="75">
        <f t="shared" ca="1" si="145"/>
        <v>1.7515931157321063</v>
      </c>
      <c r="W76" s="75">
        <f t="shared" ca="1" si="146"/>
        <v>12.483927296854844</v>
      </c>
      <c r="X76" s="75">
        <f t="shared" ca="1" si="147"/>
        <v>10.540615435163806</v>
      </c>
      <c r="Y76" s="75">
        <f t="shared" ca="1" si="148"/>
        <v>1.6651238112069762</v>
      </c>
      <c r="Z76" s="75">
        <f t="shared" ca="1" si="149"/>
        <v>11.358755132549412</v>
      </c>
      <c r="AA76" s="75">
        <f t="shared" ca="1" si="150"/>
        <v>9.0869870579882122</v>
      </c>
      <c r="AB76" s="75">
        <f t="shared" ca="1" si="151"/>
        <v>1.7977073814266533</v>
      </c>
      <c r="AC76" s="75">
        <f t="shared" ca="1" si="152"/>
        <v>11.577159734100784</v>
      </c>
      <c r="AD76" s="75">
        <f t="shared" ca="1" si="153"/>
        <v>9.4753964195889395</v>
      </c>
      <c r="AE76" s="75">
        <f t="shared" ca="1" si="154"/>
        <v>1.2779527900408125</v>
      </c>
      <c r="AF76" s="75"/>
      <c r="AG76" s="75"/>
      <c r="AH76" s="75"/>
      <c r="AI76" s="75">
        <f t="shared" ca="1" si="155"/>
        <v>0</v>
      </c>
      <c r="AJ76" s="75">
        <f t="shared" ca="1" si="156"/>
        <v>0</v>
      </c>
      <c r="AK76" s="75">
        <f t="shared" ca="1" si="157"/>
        <v>0</v>
      </c>
      <c r="AL76" s="75">
        <f t="shared" ca="1" si="158"/>
        <v>0</v>
      </c>
      <c r="AM76" s="75">
        <f t="shared" ca="1" si="159"/>
        <v>0</v>
      </c>
      <c r="AN76" s="75">
        <f t="shared" ca="1" si="160"/>
        <v>0</v>
      </c>
      <c r="AO76" s="75">
        <f t="shared" ca="1" si="161"/>
        <v>0</v>
      </c>
      <c r="AP76" s="75">
        <f t="shared" ca="1" si="162"/>
        <v>0</v>
      </c>
      <c r="AQ76" s="75">
        <f t="shared" ca="1" si="163"/>
        <v>0</v>
      </c>
      <c r="AR76" s="75">
        <f t="shared" ca="1" si="164"/>
        <v>0</v>
      </c>
      <c r="AS76" s="75">
        <f t="shared" ca="1" si="165"/>
        <v>0</v>
      </c>
      <c r="AT76" s="75">
        <f t="shared" ca="1" si="166"/>
        <v>0</v>
      </c>
      <c r="AU76" s="75">
        <f t="shared" ca="1" si="167"/>
        <v>0</v>
      </c>
      <c r="AV76" s="75">
        <f t="shared" ca="1" si="168"/>
        <v>0</v>
      </c>
      <c r="AW76" s="75">
        <f t="shared" ca="1" si="169"/>
        <v>0</v>
      </c>
      <c r="AX76" s="75">
        <f t="shared" ca="1" si="170"/>
        <v>0</v>
      </c>
      <c r="AY76" s="75">
        <f t="shared" ca="1" si="171"/>
        <v>0</v>
      </c>
      <c r="AZ76" s="75">
        <f t="shared" ca="1" si="172"/>
        <v>0</v>
      </c>
      <c r="BA76" s="75">
        <f t="shared" ca="1" si="173"/>
        <v>0</v>
      </c>
      <c r="BB76" s="75">
        <f t="shared" ca="1" si="174"/>
        <v>0</v>
      </c>
      <c r="BC76" s="75">
        <f t="shared" ca="1" si="175"/>
        <v>0</v>
      </c>
      <c r="BD76" s="75">
        <f t="shared" ca="1" si="176"/>
        <v>0</v>
      </c>
      <c r="BE76" s="75">
        <f t="shared" ca="1" si="177"/>
        <v>0</v>
      </c>
      <c r="BF76" s="75">
        <f t="shared" ca="1" si="178"/>
        <v>0</v>
      </c>
      <c r="BG76" s="75">
        <f t="shared" ca="1" si="179"/>
        <v>0</v>
      </c>
      <c r="BH76" s="75">
        <f t="shared" ca="1" si="180"/>
        <v>0</v>
      </c>
      <c r="BI76" s="75">
        <f t="shared" ca="1" si="181"/>
        <v>0</v>
      </c>
      <c r="BJ76" s="75">
        <f t="shared" ca="1" si="182"/>
        <v>0</v>
      </c>
      <c r="BK76" s="75">
        <f t="shared" ca="1" si="183"/>
        <v>0</v>
      </c>
      <c r="BL76" s="75">
        <f t="shared" ca="1" si="184"/>
        <v>0</v>
      </c>
      <c r="BM76" s="75">
        <f t="shared" ca="1" si="185"/>
        <v>0</v>
      </c>
      <c r="BN76" s="75">
        <f t="shared" ca="1" si="186"/>
        <v>0</v>
      </c>
      <c r="BO76" s="75">
        <f t="shared" ca="1" si="187"/>
        <v>0</v>
      </c>
      <c r="BP76" s="75">
        <f t="shared" ca="1" si="188"/>
        <v>0</v>
      </c>
      <c r="BQ76" s="75">
        <f t="shared" ca="1" si="189"/>
        <v>0</v>
      </c>
      <c r="BR76" s="75">
        <f t="shared" ca="1" si="190"/>
        <v>0</v>
      </c>
      <c r="BS76" s="75"/>
      <c r="BT76" s="75"/>
      <c r="BU76" s="75"/>
      <c r="BV76" s="75">
        <f t="shared" ca="1" si="191"/>
        <v>0</v>
      </c>
      <c r="BW76" s="75">
        <f t="shared" ca="1" si="192"/>
        <v>0</v>
      </c>
      <c r="BX76" s="75">
        <f t="shared" ca="1" si="193"/>
        <v>0</v>
      </c>
      <c r="BY76" s="75">
        <f t="shared" ca="1" si="194"/>
        <v>0</v>
      </c>
      <c r="BZ76" s="75">
        <f t="shared" ca="1" si="195"/>
        <v>0</v>
      </c>
      <c r="CA76" s="75">
        <f t="shared" ca="1" si="196"/>
        <v>0</v>
      </c>
      <c r="CB76" s="75"/>
      <c r="CC76" s="75"/>
      <c r="CD76" s="75"/>
      <c r="CE76" s="75">
        <f t="shared" ca="1" si="197"/>
        <v>0</v>
      </c>
      <c r="CF76" s="75">
        <f t="shared" ca="1" si="198"/>
        <v>0</v>
      </c>
      <c r="CG76" s="75">
        <f t="shared" ca="1" si="199"/>
        <v>0</v>
      </c>
      <c r="CH76" s="75">
        <f t="shared" ca="1" si="200"/>
        <v>0</v>
      </c>
      <c r="CI76" s="75">
        <f t="shared" ca="1" si="201"/>
        <v>0</v>
      </c>
      <c r="CJ76" s="75">
        <f t="shared" ca="1" si="202"/>
        <v>0</v>
      </c>
      <c r="CK76" s="75">
        <f t="shared" ca="1" si="203"/>
        <v>0</v>
      </c>
      <c r="CL76" s="75">
        <f t="shared" ca="1" si="204"/>
        <v>0</v>
      </c>
      <c r="CM76" s="75">
        <f t="shared" ca="1" si="205"/>
        <v>0</v>
      </c>
      <c r="CN76" s="75">
        <f t="shared" ca="1" si="206"/>
        <v>0</v>
      </c>
      <c r="CO76" s="75">
        <f t="shared" ca="1" si="207"/>
        <v>0</v>
      </c>
      <c r="CP76" s="75">
        <f t="shared" ca="1" si="208"/>
        <v>0</v>
      </c>
      <c r="CQ76" s="75">
        <f t="shared" ca="1" si="209"/>
        <v>0</v>
      </c>
      <c r="CR76" s="75">
        <f t="shared" ca="1" si="210"/>
        <v>0</v>
      </c>
      <c r="CS76" s="75">
        <f t="shared" ca="1" si="211"/>
        <v>0</v>
      </c>
      <c r="CT76" s="75">
        <f t="shared" ca="1" si="212"/>
        <v>0</v>
      </c>
      <c r="CU76" s="75">
        <f t="shared" ca="1" si="213"/>
        <v>0</v>
      </c>
      <c r="CV76" s="75">
        <f t="shared" ca="1" si="214"/>
        <v>0</v>
      </c>
      <c r="CW76" s="75">
        <f t="shared" ca="1" si="215"/>
        <v>0</v>
      </c>
      <c r="CX76" s="75">
        <f t="shared" ca="1" si="216"/>
        <v>0</v>
      </c>
      <c r="CY76" s="75">
        <f t="shared" ca="1" si="217"/>
        <v>0</v>
      </c>
      <c r="CZ76" s="75">
        <f t="shared" ca="1" si="218"/>
        <v>0</v>
      </c>
      <c r="DA76" s="75">
        <f t="shared" ca="1" si="219"/>
        <v>0</v>
      </c>
      <c r="DB76" s="75">
        <f t="shared" ca="1" si="220"/>
        <v>0</v>
      </c>
      <c r="DC76" s="75">
        <f t="shared" ca="1" si="221"/>
        <v>0</v>
      </c>
      <c r="DD76" s="75">
        <f t="shared" ca="1" si="222"/>
        <v>0</v>
      </c>
      <c r="DE76" s="75">
        <f t="shared" ca="1" si="223"/>
        <v>0</v>
      </c>
      <c r="DF76" s="75">
        <f t="shared" ca="1" si="224"/>
        <v>0</v>
      </c>
      <c r="DG76" s="75">
        <f t="shared" ca="1" si="225"/>
        <v>0</v>
      </c>
      <c r="DH76" s="75">
        <f t="shared" ca="1" si="226"/>
        <v>0</v>
      </c>
    </row>
    <row r="77" spans="1:112">
      <c r="A77" s="14">
        <f t="shared" si="227"/>
        <v>13</v>
      </c>
      <c r="B77" s="14">
        <f t="shared" ca="1" si="227"/>
        <v>1.7769039850931945</v>
      </c>
      <c r="C77" s="14">
        <f t="shared" si="227"/>
        <v>4016.5</v>
      </c>
      <c r="P77" s="63" t="b">
        <f t="shared" si="228"/>
        <v>1</v>
      </c>
      <c r="Q77" s="75">
        <f t="shared" ca="1" si="140"/>
        <v>10.162907045392403</v>
      </c>
      <c r="R77" s="75">
        <f t="shared" ca="1" si="141"/>
        <v>8.815912101515325</v>
      </c>
      <c r="S77" s="75">
        <f t="shared" ca="1" si="142"/>
        <v>0.919244026143754</v>
      </c>
      <c r="T77" s="75">
        <f t="shared" ca="1" si="143"/>
        <v>9.8683309505800985</v>
      </c>
      <c r="U77" s="75">
        <f t="shared" ca="1" si="144"/>
        <v>8.2338085685359648</v>
      </c>
      <c r="V77" s="75">
        <f t="shared" ca="1" si="145"/>
        <v>1.1909694764382637</v>
      </c>
      <c r="W77" s="75">
        <f t="shared" ca="1" si="146"/>
        <v>10.188191689527182</v>
      </c>
      <c r="X77" s="75">
        <f t="shared" ca="1" si="147"/>
        <v>8.666259089035524</v>
      </c>
      <c r="Y77" s="75">
        <f t="shared" ca="1" si="148"/>
        <v>1.1241963899989986</v>
      </c>
      <c r="Z77" s="75">
        <f t="shared" ca="1" si="149"/>
        <v>9.2741022765580308</v>
      </c>
      <c r="AA77" s="75">
        <f t="shared" ca="1" si="150"/>
        <v>7.5450394234648623</v>
      </c>
      <c r="AB77" s="75">
        <f t="shared" ca="1" si="151"/>
        <v>1.2195829548807018</v>
      </c>
      <c r="AC77" s="75">
        <f t="shared" ca="1" si="152"/>
        <v>9.4687152852045156</v>
      </c>
      <c r="AD77" s="75">
        <f t="shared" ca="1" si="153"/>
        <v>7.8740293182714174</v>
      </c>
      <c r="AE77" s="75">
        <f t="shared" ca="1" si="154"/>
        <v>0.77315432980238186</v>
      </c>
      <c r="AF77" s="75"/>
      <c r="AG77" s="75"/>
      <c r="AH77" s="75"/>
      <c r="AI77" s="75">
        <f t="shared" ca="1" si="155"/>
        <v>0</v>
      </c>
      <c r="AJ77" s="75">
        <f t="shared" ca="1" si="156"/>
        <v>0</v>
      </c>
      <c r="AK77" s="75">
        <f t="shared" ca="1" si="157"/>
        <v>0</v>
      </c>
      <c r="AL77" s="75">
        <f t="shared" ca="1" si="158"/>
        <v>0</v>
      </c>
      <c r="AM77" s="75">
        <f t="shared" ca="1" si="159"/>
        <v>0</v>
      </c>
      <c r="AN77" s="75">
        <f t="shared" ca="1" si="160"/>
        <v>0</v>
      </c>
      <c r="AO77" s="75">
        <f t="shared" ca="1" si="161"/>
        <v>0</v>
      </c>
      <c r="AP77" s="75">
        <f t="shared" ca="1" si="162"/>
        <v>0</v>
      </c>
      <c r="AQ77" s="75">
        <f t="shared" ca="1" si="163"/>
        <v>0</v>
      </c>
      <c r="AR77" s="75">
        <f t="shared" ca="1" si="164"/>
        <v>0</v>
      </c>
      <c r="AS77" s="75">
        <f t="shared" ca="1" si="165"/>
        <v>0</v>
      </c>
      <c r="AT77" s="75">
        <f t="shared" ca="1" si="166"/>
        <v>0</v>
      </c>
      <c r="AU77" s="75">
        <f t="shared" ca="1" si="167"/>
        <v>0</v>
      </c>
      <c r="AV77" s="75">
        <f t="shared" ca="1" si="168"/>
        <v>0</v>
      </c>
      <c r="AW77" s="75">
        <f t="shared" ca="1" si="169"/>
        <v>0</v>
      </c>
      <c r="AX77" s="75">
        <f t="shared" ca="1" si="170"/>
        <v>0</v>
      </c>
      <c r="AY77" s="75">
        <f t="shared" ca="1" si="171"/>
        <v>0</v>
      </c>
      <c r="AZ77" s="75">
        <f t="shared" ca="1" si="172"/>
        <v>0</v>
      </c>
      <c r="BA77" s="75">
        <f t="shared" ca="1" si="173"/>
        <v>0</v>
      </c>
      <c r="BB77" s="75">
        <f t="shared" ca="1" si="174"/>
        <v>0</v>
      </c>
      <c r="BC77" s="75">
        <f t="shared" ca="1" si="175"/>
        <v>0</v>
      </c>
      <c r="BD77" s="75">
        <f t="shared" ca="1" si="176"/>
        <v>0</v>
      </c>
      <c r="BE77" s="75">
        <f t="shared" ca="1" si="177"/>
        <v>0</v>
      </c>
      <c r="BF77" s="75">
        <f t="shared" ca="1" si="178"/>
        <v>0</v>
      </c>
      <c r="BG77" s="75">
        <f t="shared" ca="1" si="179"/>
        <v>0</v>
      </c>
      <c r="BH77" s="75">
        <f t="shared" ca="1" si="180"/>
        <v>0</v>
      </c>
      <c r="BI77" s="75">
        <f t="shared" ca="1" si="181"/>
        <v>0</v>
      </c>
      <c r="BJ77" s="75">
        <f t="shared" ca="1" si="182"/>
        <v>0</v>
      </c>
      <c r="BK77" s="75">
        <f t="shared" ca="1" si="183"/>
        <v>0</v>
      </c>
      <c r="BL77" s="75">
        <f t="shared" ca="1" si="184"/>
        <v>0</v>
      </c>
      <c r="BM77" s="75">
        <f t="shared" ca="1" si="185"/>
        <v>0</v>
      </c>
      <c r="BN77" s="75">
        <f t="shared" ca="1" si="186"/>
        <v>0</v>
      </c>
      <c r="BO77" s="75">
        <f t="shared" ca="1" si="187"/>
        <v>0</v>
      </c>
      <c r="BP77" s="75">
        <f t="shared" ca="1" si="188"/>
        <v>0</v>
      </c>
      <c r="BQ77" s="75">
        <f t="shared" ca="1" si="189"/>
        <v>0</v>
      </c>
      <c r="BR77" s="75">
        <f t="shared" ca="1" si="190"/>
        <v>0</v>
      </c>
      <c r="BS77" s="75"/>
      <c r="BT77" s="75"/>
      <c r="BU77" s="75"/>
      <c r="BV77" s="75">
        <f t="shared" ca="1" si="191"/>
        <v>0</v>
      </c>
      <c r="BW77" s="75">
        <f t="shared" ca="1" si="192"/>
        <v>0</v>
      </c>
      <c r="BX77" s="75">
        <f t="shared" ca="1" si="193"/>
        <v>0</v>
      </c>
      <c r="BY77" s="75">
        <f t="shared" ca="1" si="194"/>
        <v>0</v>
      </c>
      <c r="BZ77" s="75">
        <f t="shared" ca="1" si="195"/>
        <v>0</v>
      </c>
      <c r="CA77" s="75">
        <f t="shared" ca="1" si="196"/>
        <v>0</v>
      </c>
      <c r="CB77" s="75"/>
      <c r="CC77" s="75"/>
      <c r="CD77" s="75"/>
      <c r="CE77" s="75">
        <f t="shared" ca="1" si="197"/>
        <v>0</v>
      </c>
      <c r="CF77" s="75">
        <f t="shared" ca="1" si="198"/>
        <v>0</v>
      </c>
      <c r="CG77" s="75">
        <f t="shared" ca="1" si="199"/>
        <v>0</v>
      </c>
      <c r="CH77" s="75">
        <f t="shared" ca="1" si="200"/>
        <v>0</v>
      </c>
      <c r="CI77" s="75">
        <f t="shared" ca="1" si="201"/>
        <v>0</v>
      </c>
      <c r="CJ77" s="75">
        <f t="shared" ca="1" si="202"/>
        <v>0</v>
      </c>
      <c r="CK77" s="75">
        <f t="shared" ca="1" si="203"/>
        <v>0</v>
      </c>
      <c r="CL77" s="75">
        <f t="shared" ca="1" si="204"/>
        <v>0</v>
      </c>
      <c r="CM77" s="75">
        <f t="shared" ca="1" si="205"/>
        <v>0</v>
      </c>
      <c r="CN77" s="75">
        <f t="shared" ca="1" si="206"/>
        <v>0</v>
      </c>
      <c r="CO77" s="75">
        <f t="shared" ca="1" si="207"/>
        <v>0</v>
      </c>
      <c r="CP77" s="75">
        <f t="shared" ca="1" si="208"/>
        <v>0</v>
      </c>
      <c r="CQ77" s="75">
        <f t="shared" ca="1" si="209"/>
        <v>0</v>
      </c>
      <c r="CR77" s="75">
        <f t="shared" ca="1" si="210"/>
        <v>0</v>
      </c>
      <c r="CS77" s="75">
        <f t="shared" ca="1" si="211"/>
        <v>0</v>
      </c>
      <c r="CT77" s="75">
        <f t="shared" ca="1" si="212"/>
        <v>0</v>
      </c>
      <c r="CU77" s="75">
        <f t="shared" ca="1" si="213"/>
        <v>0</v>
      </c>
      <c r="CV77" s="75">
        <f t="shared" ca="1" si="214"/>
        <v>0</v>
      </c>
      <c r="CW77" s="75">
        <f t="shared" ca="1" si="215"/>
        <v>0</v>
      </c>
      <c r="CX77" s="75">
        <f t="shared" ca="1" si="216"/>
        <v>0</v>
      </c>
      <c r="CY77" s="75">
        <f t="shared" ca="1" si="217"/>
        <v>0</v>
      </c>
      <c r="CZ77" s="75">
        <f t="shared" ca="1" si="218"/>
        <v>0</v>
      </c>
      <c r="DA77" s="75">
        <f t="shared" ca="1" si="219"/>
        <v>0</v>
      </c>
      <c r="DB77" s="75">
        <f t="shared" ca="1" si="220"/>
        <v>0</v>
      </c>
      <c r="DC77" s="75">
        <f t="shared" ca="1" si="221"/>
        <v>0</v>
      </c>
      <c r="DD77" s="75">
        <f t="shared" ca="1" si="222"/>
        <v>0</v>
      </c>
      <c r="DE77" s="75">
        <f t="shared" ca="1" si="223"/>
        <v>0</v>
      </c>
      <c r="DF77" s="75">
        <f t="shared" ca="1" si="224"/>
        <v>0</v>
      </c>
      <c r="DG77" s="75">
        <f t="shared" ca="1" si="225"/>
        <v>0</v>
      </c>
      <c r="DH77" s="75">
        <f t="shared" ca="1" si="226"/>
        <v>0</v>
      </c>
    </row>
    <row r="78" spans="1:112">
      <c r="A78" s="14">
        <f t="shared" si="227"/>
        <v>14</v>
      </c>
      <c r="B78" s="14">
        <f t="shared" ca="1" si="227"/>
        <v>1.4370560182896255</v>
      </c>
      <c r="C78" s="14">
        <f t="shared" si="227"/>
        <v>4064.6</v>
      </c>
      <c r="P78" s="63" t="b">
        <f t="shared" si="228"/>
        <v>1</v>
      </c>
      <c r="Q78" s="75">
        <f t="shared" ca="1" si="140"/>
        <v>7.7833918250970351</v>
      </c>
      <c r="R78" s="75">
        <f t="shared" ca="1" si="141"/>
        <v>7.0272858687200559</v>
      </c>
      <c r="S78" s="75">
        <f t="shared" ca="1" si="142"/>
        <v>0.30025929610650415</v>
      </c>
      <c r="T78" s="75">
        <f t="shared" ca="1" si="143"/>
        <v>7.5348636547777952</v>
      </c>
      <c r="U78" s="75">
        <f t="shared" ca="1" si="144"/>
        <v>6.5335427408049709</v>
      </c>
      <c r="V78" s="75">
        <f t="shared" ca="1" si="145"/>
        <v>0.53763129164804246</v>
      </c>
      <c r="W78" s="75">
        <f t="shared" ca="1" si="146"/>
        <v>7.8722881674829859</v>
      </c>
      <c r="X78" s="75">
        <f t="shared" ca="1" si="147"/>
        <v>7.0474617337578183</v>
      </c>
      <c r="Y78" s="75">
        <f t="shared" ca="1" si="148"/>
        <v>0.4020235883034472</v>
      </c>
      <c r="Z78" s="75">
        <f t="shared" ca="1" si="149"/>
        <v>7.0964320871803643</v>
      </c>
      <c r="AA78" s="75">
        <f t="shared" ca="1" si="150"/>
        <v>6.0021528955597718</v>
      </c>
      <c r="AB78" s="75">
        <f t="shared" ca="1" si="151"/>
        <v>0.56888750498633178</v>
      </c>
      <c r="AC78" s="75">
        <f t="shared" ca="1" si="152"/>
        <v>7.2763149390496187</v>
      </c>
      <c r="AD78" s="75">
        <f t="shared" ca="1" si="153"/>
        <v>6.3613334268764818</v>
      </c>
      <c r="AE78" s="75">
        <f t="shared" ca="1" si="154"/>
        <v>0.16866104113181266</v>
      </c>
      <c r="AF78" s="75"/>
      <c r="AG78" s="75"/>
      <c r="AH78" s="75"/>
      <c r="AI78" s="75">
        <f t="shared" ca="1" si="155"/>
        <v>0</v>
      </c>
      <c r="AJ78" s="75">
        <f t="shared" ca="1" si="156"/>
        <v>0</v>
      </c>
      <c r="AK78" s="75">
        <f t="shared" ca="1" si="157"/>
        <v>0</v>
      </c>
      <c r="AL78" s="75">
        <f t="shared" ca="1" si="158"/>
        <v>0</v>
      </c>
      <c r="AM78" s="75">
        <f t="shared" ca="1" si="159"/>
        <v>0</v>
      </c>
      <c r="AN78" s="75">
        <f t="shared" ca="1" si="160"/>
        <v>0</v>
      </c>
      <c r="AO78" s="75">
        <f t="shared" ca="1" si="161"/>
        <v>0</v>
      </c>
      <c r="AP78" s="75">
        <f t="shared" ca="1" si="162"/>
        <v>0</v>
      </c>
      <c r="AQ78" s="75">
        <f t="shared" ca="1" si="163"/>
        <v>0</v>
      </c>
      <c r="AR78" s="75">
        <f t="shared" ca="1" si="164"/>
        <v>0</v>
      </c>
      <c r="AS78" s="75">
        <f t="shared" ca="1" si="165"/>
        <v>0</v>
      </c>
      <c r="AT78" s="75">
        <f t="shared" ca="1" si="166"/>
        <v>0</v>
      </c>
      <c r="AU78" s="75">
        <f t="shared" ca="1" si="167"/>
        <v>0</v>
      </c>
      <c r="AV78" s="75">
        <f t="shared" ca="1" si="168"/>
        <v>0</v>
      </c>
      <c r="AW78" s="75">
        <f t="shared" ca="1" si="169"/>
        <v>0</v>
      </c>
      <c r="AX78" s="75">
        <f t="shared" ca="1" si="170"/>
        <v>0</v>
      </c>
      <c r="AY78" s="75">
        <f t="shared" ca="1" si="171"/>
        <v>0</v>
      </c>
      <c r="AZ78" s="75">
        <f t="shared" ca="1" si="172"/>
        <v>0</v>
      </c>
      <c r="BA78" s="75">
        <f t="shared" ca="1" si="173"/>
        <v>0</v>
      </c>
      <c r="BB78" s="75">
        <f t="shared" ca="1" si="174"/>
        <v>0</v>
      </c>
      <c r="BC78" s="75">
        <f t="shared" ca="1" si="175"/>
        <v>0</v>
      </c>
      <c r="BD78" s="75">
        <f t="shared" ca="1" si="176"/>
        <v>0</v>
      </c>
      <c r="BE78" s="75">
        <f t="shared" ca="1" si="177"/>
        <v>0</v>
      </c>
      <c r="BF78" s="75">
        <f t="shared" ca="1" si="178"/>
        <v>0</v>
      </c>
      <c r="BG78" s="75">
        <f t="shared" ca="1" si="179"/>
        <v>0</v>
      </c>
      <c r="BH78" s="75">
        <f t="shared" ca="1" si="180"/>
        <v>0</v>
      </c>
      <c r="BI78" s="75">
        <f t="shared" ca="1" si="181"/>
        <v>0</v>
      </c>
      <c r="BJ78" s="75">
        <f t="shared" ca="1" si="182"/>
        <v>0</v>
      </c>
      <c r="BK78" s="75">
        <f t="shared" ca="1" si="183"/>
        <v>0</v>
      </c>
      <c r="BL78" s="75">
        <f t="shared" ca="1" si="184"/>
        <v>0</v>
      </c>
      <c r="BM78" s="75">
        <f t="shared" ca="1" si="185"/>
        <v>0</v>
      </c>
      <c r="BN78" s="75">
        <f t="shared" ca="1" si="186"/>
        <v>0</v>
      </c>
      <c r="BO78" s="75">
        <f t="shared" ca="1" si="187"/>
        <v>0</v>
      </c>
      <c r="BP78" s="75">
        <f t="shared" ca="1" si="188"/>
        <v>0</v>
      </c>
      <c r="BQ78" s="75">
        <f t="shared" ca="1" si="189"/>
        <v>0</v>
      </c>
      <c r="BR78" s="75">
        <f t="shared" ca="1" si="190"/>
        <v>0</v>
      </c>
      <c r="BS78" s="75"/>
      <c r="BT78" s="75"/>
      <c r="BU78" s="75"/>
      <c r="BV78" s="75">
        <f t="shared" ca="1" si="191"/>
        <v>0</v>
      </c>
      <c r="BW78" s="75">
        <f t="shared" ca="1" si="192"/>
        <v>0</v>
      </c>
      <c r="BX78" s="75">
        <f t="shared" ca="1" si="193"/>
        <v>0</v>
      </c>
      <c r="BY78" s="75">
        <f t="shared" ca="1" si="194"/>
        <v>0</v>
      </c>
      <c r="BZ78" s="75">
        <f t="shared" ca="1" si="195"/>
        <v>0</v>
      </c>
      <c r="CA78" s="75">
        <f t="shared" ca="1" si="196"/>
        <v>0</v>
      </c>
      <c r="CB78" s="75"/>
      <c r="CC78" s="75"/>
      <c r="CD78" s="75"/>
      <c r="CE78" s="75">
        <f t="shared" ca="1" si="197"/>
        <v>0</v>
      </c>
      <c r="CF78" s="75">
        <f t="shared" ca="1" si="198"/>
        <v>0</v>
      </c>
      <c r="CG78" s="75">
        <f t="shared" ca="1" si="199"/>
        <v>0</v>
      </c>
      <c r="CH78" s="75">
        <f t="shared" ca="1" si="200"/>
        <v>0</v>
      </c>
      <c r="CI78" s="75">
        <f t="shared" ca="1" si="201"/>
        <v>0</v>
      </c>
      <c r="CJ78" s="75">
        <f t="shared" ca="1" si="202"/>
        <v>0</v>
      </c>
      <c r="CK78" s="75">
        <f t="shared" ca="1" si="203"/>
        <v>0</v>
      </c>
      <c r="CL78" s="75">
        <f t="shared" ca="1" si="204"/>
        <v>0</v>
      </c>
      <c r="CM78" s="75">
        <f t="shared" ca="1" si="205"/>
        <v>0</v>
      </c>
      <c r="CN78" s="75">
        <f t="shared" ca="1" si="206"/>
        <v>0</v>
      </c>
      <c r="CO78" s="75">
        <f t="shared" ca="1" si="207"/>
        <v>0</v>
      </c>
      <c r="CP78" s="75">
        <f t="shared" ca="1" si="208"/>
        <v>0</v>
      </c>
      <c r="CQ78" s="75">
        <f t="shared" ca="1" si="209"/>
        <v>0</v>
      </c>
      <c r="CR78" s="75">
        <f t="shared" ca="1" si="210"/>
        <v>0</v>
      </c>
      <c r="CS78" s="75">
        <f t="shared" ca="1" si="211"/>
        <v>0</v>
      </c>
      <c r="CT78" s="75">
        <f t="shared" ca="1" si="212"/>
        <v>0</v>
      </c>
      <c r="CU78" s="75">
        <f t="shared" ca="1" si="213"/>
        <v>0</v>
      </c>
      <c r="CV78" s="75">
        <f t="shared" ca="1" si="214"/>
        <v>0</v>
      </c>
      <c r="CW78" s="75">
        <f t="shared" ca="1" si="215"/>
        <v>0</v>
      </c>
      <c r="CX78" s="75">
        <f t="shared" ca="1" si="216"/>
        <v>0</v>
      </c>
      <c r="CY78" s="75">
        <f t="shared" ca="1" si="217"/>
        <v>0</v>
      </c>
      <c r="CZ78" s="75">
        <f t="shared" ca="1" si="218"/>
        <v>0</v>
      </c>
      <c r="DA78" s="75">
        <f t="shared" ca="1" si="219"/>
        <v>0</v>
      </c>
      <c r="DB78" s="75">
        <f t="shared" ca="1" si="220"/>
        <v>0</v>
      </c>
      <c r="DC78" s="75">
        <f t="shared" ca="1" si="221"/>
        <v>0</v>
      </c>
      <c r="DD78" s="75">
        <f t="shared" ca="1" si="222"/>
        <v>0</v>
      </c>
      <c r="DE78" s="75">
        <f t="shared" ca="1" si="223"/>
        <v>0</v>
      </c>
      <c r="DF78" s="75">
        <f t="shared" ca="1" si="224"/>
        <v>0</v>
      </c>
      <c r="DG78" s="75">
        <f t="shared" ca="1" si="225"/>
        <v>0</v>
      </c>
      <c r="DH78" s="75">
        <f t="shared" ca="1" si="226"/>
        <v>0</v>
      </c>
    </row>
    <row r="79" spans="1:112">
      <c r="A79" s="14">
        <f t="shared" si="227"/>
        <v>15</v>
      </c>
      <c r="B79" s="14">
        <f t="shared" ca="1" si="227"/>
        <v>1.1960743068778694</v>
      </c>
      <c r="C79" s="14">
        <f t="shared" si="227"/>
        <v>4054.6</v>
      </c>
      <c r="P79" s="63" t="b">
        <f t="shared" si="228"/>
        <v>1</v>
      </c>
      <c r="Q79" s="75">
        <f t="shared" ca="1" si="140"/>
        <v>6.2601680618785167</v>
      </c>
      <c r="R79" s="75">
        <f t="shared" ca="1" si="141"/>
        <v>5.8067190875818167</v>
      </c>
      <c r="S79" s="75">
        <f t="shared" ca="1" si="142"/>
        <v>0</v>
      </c>
      <c r="T79" s="75">
        <f t="shared" ca="1" si="143"/>
        <v>6.0749857055803256</v>
      </c>
      <c r="U79" s="75">
        <f t="shared" ca="1" si="144"/>
        <v>5.4387505826256293</v>
      </c>
      <c r="V79" s="75">
        <f t="shared" ca="1" si="145"/>
        <v>6.6307111785147768E-2</v>
      </c>
      <c r="W79" s="75">
        <f t="shared" ca="1" si="146"/>
        <v>6.3238832212965788</v>
      </c>
      <c r="X79" s="75">
        <f t="shared" ca="1" si="147"/>
        <v>5.8305071619498854</v>
      </c>
      <c r="Y79" s="75">
        <f t="shared" ca="1" si="148"/>
        <v>0</v>
      </c>
      <c r="Z79" s="75">
        <f t="shared" ca="1" si="149"/>
        <v>5.7281044463792732</v>
      </c>
      <c r="AA79" s="75">
        <f t="shared" ca="1" si="150"/>
        <v>5.020730963939199</v>
      </c>
      <c r="AB79" s="75">
        <f t="shared" ca="1" si="151"/>
        <v>9.569331045990391E-2</v>
      </c>
      <c r="AC79" s="75">
        <f t="shared" ca="1" si="152"/>
        <v>5.8452455369615741</v>
      </c>
      <c r="AD79" s="75">
        <f t="shared" ca="1" si="153"/>
        <v>5.2448912885575742</v>
      </c>
      <c r="AE79" s="75">
        <f t="shared" ca="1" si="154"/>
        <v>0</v>
      </c>
      <c r="AF79" s="75"/>
      <c r="AG79" s="75"/>
      <c r="AH79" s="75"/>
      <c r="AI79" s="75">
        <f t="shared" ca="1" si="155"/>
        <v>0</v>
      </c>
      <c r="AJ79" s="75">
        <f t="shared" ca="1" si="156"/>
        <v>0</v>
      </c>
      <c r="AK79" s="75">
        <f t="shared" ca="1" si="157"/>
        <v>0</v>
      </c>
      <c r="AL79" s="75">
        <f t="shared" ca="1" si="158"/>
        <v>0</v>
      </c>
      <c r="AM79" s="75">
        <f t="shared" ca="1" si="159"/>
        <v>0</v>
      </c>
      <c r="AN79" s="75">
        <f t="shared" ca="1" si="160"/>
        <v>0</v>
      </c>
      <c r="AO79" s="75">
        <f t="shared" ca="1" si="161"/>
        <v>0</v>
      </c>
      <c r="AP79" s="75">
        <f t="shared" ca="1" si="162"/>
        <v>0</v>
      </c>
      <c r="AQ79" s="75">
        <f t="shared" ca="1" si="163"/>
        <v>0</v>
      </c>
      <c r="AR79" s="75">
        <f t="shared" ca="1" si="164"/>
        <v>0</v>
      </c>
      <c r="AS79" s="75">
        <f t="shared" ca="1" si="165"/>
        <v>0</v>
      </c>
      <c r="AT79" s="75">
        <f t="shared" ca="1" si="166"/>
        <v>0</v>
      </c>
      <c r="AU79" s="75">
        <f t="shared" ca="1" si="167"/>
        <v>0</v>
      </c>
      <c r="AV79" s="75">
        <f t="shared" ca="1" si="168"/>
        <v>0</v>
      </c>
      <c r="AW79" s="75">
        <f t="shared" ca="1" si="169"/>
        <v>0</v>
      </c>
      <c r="AX79" s="75">
        <f t="shared" ca="1" si="170"/>
        <v>0</v>
      </c>
      <c r="AY79" s="75">
        <f t="shared" ca="1" si="171"/>
        <v>0</v>
      </c>
      <c r="AZ79" s="75">
        <f t="shared" ca="1" si="172"/>
        <v>0</v>
      </c>
      <c r="BA79" s="75">
        <f t="shared" ca="1" si="173"/>
        <v>0</v>
      </c>
      <c r="BB79" s="75">
        <f t="shared" ca="1" si="174"/>
        <v>0</v>
      </c>
      <c r="BC79" s="75">
        <f t="shared" ca="1" si="175"/>
        <v>0</v>
      </c>
      <c r="BD79" s="75">
        <f t="shared" ca="1" si="176"/>
        <v>0</v>
      </c>
      <c r="BE79" s="75">
        <f t="shared" ca="1" si="177"/>
        <v>0</v>
      </c>
      <c r="BF79" s="75">
        <f t="shared" ca="1" si="178"/>
        <v>0</v>
      </c>
      <c r="BG79" s="75">
        <f t="shared" ca="1" si="179"/>
        <v>0</v>
      </c>
      <c r="BH79" s="75">
        <f t="shared" ca="1" si="180"/>
        <v>0</v>
      </c>
      <c r="BI79" s="75">
        <f t="shared" ca="1" si="181"/>
        <v>0</v>
      </c>
      <c r="BJ79" s="75">
        <f t="shared" ca="1" si="182"/>
        <v>0</v>
      </c>
      <c r="BK79" s="75">
        <f t="shared" ca="1" si="183"/>
        <v>0</v>
      </c>
      <c r="BL79" s="75">
        <f t="shared" ca="1" si="184"/>
        <v>0</v>
      </c>
      <c r="BM79" s="75">
        <f t="shared" ca="1" si="185"/>
        <v>0</v>
      </c>
      <c r="BN79" s="75">
        <f t="shared" ca="1" si="186"/>
        <v>0</v>
      </c>
      <c r="BO79" s="75">
        <f t="shared" ca="1" si="187"/>
        <v>0</v>
      </c>
      <c r="BP79" s="75">
        <f t="shared" ca="1" si="188"/>
        <v>0</v>
      </c>
      <c r="BQ79" s="75">
        <f t="shared" ca="1" si="189"/>
        <v>0</v>
      </c>
      <c r="BR79" s="75">
        <f t="shared" ca="1" si="190"/>
        <v>0</v>
      </c>
      <c r="BS79" s="75"/>
      <c r="BT79" s="75"/>
      <c r="BU79" s="75"/>
      <c r="BV79" s="75">
        <f t="shared" ca="1" si="191"/>
        <v>0</v>
      </c>
      <c r="BW79" s="75">
        <f t="shared" ca="1" si="192"/>
        <v>0</v>
      </c>
      <c r="BX79" s="75">
        <f t="shared" ca="1" si="193"/>
        <v>0</v>
      </c>
      <c r="BY79" s="75">
        <f t="shared" ca="1" si="194"/>
        <v>0</v>
      </c>
      <c r="BZ79" s="75">
        <f t="shared" ca="1" si="195"/>
        <v>0</v>
      </c>
      <c r="CA79" s="75">
        <f t="shared" ca="1" si="196"/>
        <v>0</v>
      </c>
      <c r="CB79" s="75"/>
      <c r="CC79" s="75"/>
      <c r="CD79" s="75"/>
      <c r="CE79" s="75">
        <f t="shared" ca="1" si="197"/>
        <v>0</v>
      </c>
      <c r="CF79" s="75">
        <f t="shared" ca="1" si="198"/>
        <v>0</v>
      </c>
      <c r="CG79" s="75">
        <f t="shared" ca="1" si="199"/>
        <v>0</v>
      </c>
      <c r="CH79" s="75">
        <f t="shared" ca="1" si="200"/>
        <v>0</v>
      </c>
      <c r="CI79" s="75">
        <f t="shared" ca="1" si="201"/>
        <v>0</v>
      </c>
      <c r="CJ79" s="75">
        <f t="shared" ca="1" si="202"/>
        <v>0</v>
      </c>
      <c r="CK79" s="75">
        <f t="shared" ca="1" si="203"/>
        <v>0</v>
      </c>
      <c r="CL79" s="75">
        <f t="shared" ca="1" si="204"/>
        <v>0</v>
      </c>
      <c r="CM79" s="75">
        <f t="shared" ca="1" si="205"/>
        <v>0</v>
      </c>
      <c r="CN79" s="75">
        <f t="shared" ca="1" si="206"/>
        <v>0</v>
      </c>
      <c r="CO79" s="75">
        <f t="shared" ca="1" si="207"/>
        <v>0</v>
      </c>
      <c r="CP79" s="75">
        <f t="shared" ca="1" si="208"/>
        <v>0</v>
      </c>
      <c r="CQ79" s="75">
        <f t="shared" ca="1" si="209"/>
        <v>0</v>
      </c>
      <c r="CR79" s="75">
        <f t="shared" ca="1" si="210"/>
        <v>0</v>
      </c>
      <c r="CS79" s="75">
        <f t="shared" ca="1" si="211"/>
        <v>0</v>
      </c>
      <c r="CT79" s="75">
        <f t="shared" ca="1" si="212"/>
        <v>0</v>
      </c>
      <c r="CU79" s="75">
        <f t="shared" ca="1" si="213"/>
        <v>0</v>
      </c>
      <c r="CV79" s="75">
        <f t="shared" ca="1" si="214"/>
        <v>0</v>
      </c>
      <c r="CW79" s="75">
        <f t="shared" ca="1" si="215"/>
        <v>0</v>
      </c>
      <c r="CX79" s="75">
        <f t="shared" ca="1" si="216"/>
        <v>0</v>
      </c>
      <c r="CY79" s="75">
        <f t="shared" ca="1" si="217"/>
        <v>0</v>
      </c>
      <c r="CZ79" s="75">
        <f t="shared" ca="1" si="218"/>
        <v>0</v>
      </c>
      <c r="DA79" s="75">
        <f t="shared" ca="1" si="219"/>
        <v>0</v>
      </c>
      <c r="DB79" s="75">
        <f t="shared" ca="1" si="220"/>
        <v>0</v>
      </c>
      <c r="DC79" s="75">
        <f t="shared" ca="1" si="221"/>
        <v>0</v>
      </c>
      <c r="DD79" s="75">
        <f t="shared" ca="1" si="222"/>
        <v>0</v>
      </c>
      <c r="DE79" s="75">
        <f t="shared" ca="1" si="223"/>
        <v>0</v>
      </c>
      <c r="DF79" s="75">
        <f t="shared" ca="1" si="224"/>
        <v>0</v>
      </c>
      <c r="DG79" s="75">
        <f t="shared" ca="1" si="225"/>
        <v>0</v>
      </c>
      <c r="DH79" s="75">
        <f t="shared" ca="1" si="226"/>
        <v>0</v>
      </c>
    </row>
    <row r="80" spans="1:112">
      <c r="A80" s="14">
        <f t="shared" si="227"/>
        <v>16</v>
      </c>
      <c r="B80" s="14">
        <f t="shared" ca="1" si="227"/>
        <v>0.8864930899240453</v>
      </c>
      <c r="C80" s="14">
        <f t="shared" si="227"/>
        <v>4035.6</v>
      </c>
      <c r="P80" s="63" t="b">
        <f t="shared" si="228"/>
        <v>1</v>
      </c>
      <c r="Q80" s="75">
        <f t="shared" ca="1" si="140"/>
        <v>5.1658419745414159</v>
      </c>
      <c r="R80" s="75">
        <f t="shared" ca="1" si="141"/>
        <v>4.5616528896040087</v>
      </c>
      <c r="S80" s="75">
        <f t="shared" ca="1" si="142"/>
        <v>0.30248679920943972</v>
      </c>
      <c r="T80" s="75">
        <f t="shared" ca="1" si="143"/>
        <v>5.0171494047242042</v>
      </c>
      <c r="U80" s="75">
        <f t="shared" ca="1" si="144"/>
        <v>4.2021194008265379</v>
      </c>
      <c r="V80" s="75">
        <f t="shared" ca="1" si="145"/>
        <v>0.50419579510779333</v>
      </c>
      <c r="W80" s="75">
        <f t="shared" ca="1" si="146"/>
        <v>5.3079547609869637</v>
      </c>
      <c r="X80" s="75">
        <f t="shared" ca="1" si="147"/>
        <v>4.5829883859872549</v>
      </c>
      <c r="Y80" s="75">
        <f t="shared" ca="1" si="148"/>
        <v>0.4584701258139055</v>
      </c>
      <c r="Z80" s="75">
        <f t="shared" ca="1" si="149"/>
        <v>4.6898186427239184</v>
      </c>
      <c r="AA80" s="75">
        <f t="shared" ca="1" si="150"/>
        <v>3.8105216936123512</v>
      </c>
      <c r="AB80" s="75">
        <f t="shared" ca="1" si="151"/>
        <v>0.51689403826522162</v>
      </c>
      <c r="AC80" s="75">
        <f t="shared" ca="1" si="152"/>
        <v>4.8188453793183514</v>
      </c>
      <c r="AD80" s="75">
        <f t="shared" ca="1" si="153"/>
        <v>4.0693332223660175</v>
      </c>
      <c r="AE80" s="75">
        <f t="shared" ca="1" si="154"/>
        <v>0.2358395819999172</v>
      </c>
      <c r="AF80" s="75"/>
      <c r="AG80" s="75"/>
      <c r="AH80" s="75"/>
      <c r="AI80" s="75">
        <f t="shared" ca="1" si="155"/>
        <v>0</v>
      </c>
      <c r="AJ80" s="75">
        <f t="shared" ca="1" si="156"/>
        <v>0</v>
      </c>
      <c r="AK80" s="75">
        <f t="shared" ca="1" si="157"/>
        <v>0</v>
      </c>
      <c r="AL80" s="75">
        <f t="shared" ca="1" si="158"/>
        <v>0</v>
      </c>
      <c r="AM80" s="75">
        <f t="shared" ca="1" si="159"/>
        <v>0</v>
      </c>
      <c r="AN80" s="75">
        <f t="shared" ca="1" si="160"/>
        <v>0</v>
      </c>
      <c r="AO80" s="75">
        <f t="shared" ca="1" si="161"/>
        <v>0</v>
      </c>
      <c r="AP80" s="75">
        <f t="shared" ca="1" si="162"/>
        <v>0</v>
      </c>
      <c r="AQ80" s="75">
        <f t="shared" ca="1" si="163"/>
        <v>0</v>
      </c>
      <c r="AR80" s="75">
        <f t="shared" ca="1" si="164"/>
        <v>0</v>
      </c>
      <c r="AS80" s="75">
        <f t="shared" ca="1" si="165"/>
        <v>0</v>
      </c>
      <c r="AT80" s="75">
        <f t="shared" ca="1" si="166"/>
        <v>0</v>
      </c>
      <c r="AU80" s="75">
        <f t="shared" ca="1" si="167"/>
        <v>0</v>
      </c>
      <c r="AV80" s="75">
        <f t="shared" ca="1" si="168"/>
        <v>0</v>
      </c>
      <c r="AW80" s="75">
        <f t="shared" ca="1" si="169"/>
        <v>0</v>
      </c>
      <c r="AX80" s="75">
        <f t="shared" ca="1" si="170"/>
        <v>0</v>
      </c>
      <c r="AY80" s="75">
        <f t="shared" ca="1" si="171"/>
        <v>0</v>
      </c>
      <c r="AZ80" s="75">
        <f t="shared" ca="1" si="172"/>
        <v>0</v>
      </c>
      <c r="BA80" s="75">
        <f t="shared" ca="1" si="173"/>
        <v>0</v>
      </c>
      <c r="BB80" s="75">
        <f t="shared" ca="1" si="174"/>
        <v>0</v>
      </c>
      <c r="BC80" s="75">
        <f t="shared" ca="1" si="175"/>
        <v>0</v>
      </c>
      <c r="BD80" s="75">
        <f t="shared" ca="1" si="176"/>
        <v>0</v>
      </c>
      <c r="BE80" s="75">
        <f t="shared" ca="1" si="177"/>
        <v>0</v>
      </c>
      <c r="BF80" s="75">
        <f t="shared" ca="1" si="178"/>
        <v>0</v>
      </c>
      <c r="BG80" s="75">
        <f t="shared" ca="1" si="179"/>
        <v>0</v>
      </c>
      <c r="BH80" s="75">
        <f t="shared" ca="1" si="180"/>
        <v>0</v>
      </c>
      <c r="BI80" s="75">
        <f t="shared" ca="1" si="181"/>
        <v>0</v>
      </c>
      <c r="BJ80" s="75">
        <f t="shared" ca="1" si="182"/>
        <v>0</v>
      </c>
      <c r="BK80" s="75">
        <f t="shared" ca="1" si="183"/>
        <v>0</v>
      </c>
      <c r="BL80" s="75">
        <f t="shared" ca="1" si="184"/>
        <v>0</v>
      </c>
      <c r="BM80" s="75">
        <f t="shared" ca="1" si="185"/>
        <v>0</v>
      </c>
      <c r="BN80" s="75">
        <f t="shared" ca="1" si="186"/>
        <v>0</v>
      </c>
      <c r="BO80" s="75">
        <f t="shared" ca="1" si="187"/>
        <v>0</v>
      </c>
      <c r="BP80" s="75">
        <f t="shared" ca="1" si="188"/>
        <v>0</v>
      </c>
      <c r="BQ80" s="75">
        <f t="shared" ca="1" si="189"/>
        <v>0</v>
      </c>
      <c r="BR80" s="75">
        <f t="shared" ca="1" si="190"/>
        <v>0</v>
      </c>
      <c r="BS80" s="75"/>
      <c r="BT80" s="75"/>
      <c r="BU80" s="75"/>
      <c r="BV80" s="75">
        <f t="shared" ca="1" si="191"/>
        <v>0</v>
      </c>
      <c r="BW80" s="75">
        <f t="shared" ca="1" si="192"/>
        <v>0</v>
      </c>
      <c r="BX80" s="75">
        <f t="shared" ca="1" si="193"/>
        <v>0</v>
      </c>
      <c r="BY80" s="75">
        <f t="shared" ca="1" si="194"/>
        <v>0</v>
      </c>
      <c r="BZ80" s="75">
        <f t="shared" ca="1" si="195"/>
        <v>0</v>
      </c>
      <c r="CA80" s="75">
        <f t="shared" ca="1" si="196"/>
        <v>0</v>
      </c>
      <c r="CB80" s="75"/>
      <c r="CC80" s="75"/>
      <c r="CD80" s="75"/>
      <c r="CE80" s="75">
        <f t="shared" ca="1" si="197"/>
        <v>0</v>
      </c>
      <c r="CF80" s="75">
        <f t="shared" ca="1" si="198"/>
        <v>0</v>
      </c>
      <c r="CG80" s="75">
        <f t="shared" ca="1" si="199"/>
        <v>0</v>
      </c>
      <c r="CH80" s="75">
        <f t="shared" ca="1" si="200"/>
        <v>0</v>
      </c>
      <c r="CI80" s="75">
        <f t="shared" ca="1" si="201"/>
        <v>0</v>
      </c>
      <c r="CJ80" s="75">
        <f t="shared" ca="1" si="202"/>
        <v>0</v>
      </c>
      <c r="CK80" s="75">
        <f t="shared" ca="1" si="203"/>
        <v>0</v>
      </c>
      <c r="CL80" s="75">
        <f t="shared" ca="1" si="204"/>
        <v>0</v>
      </c>
      <c r="CM80" s="75">
        <f t="shared" ca="1" si="205"/>
        <v>0</v>
      </c>
      <c r="CN80" s="75">
        <f t="shared" ca="1" si="206"/>
        <v>0</v>
      </c>
      <c r="CO80" s="75">
        <f t="shared" ca="1" si="207"/>
        <v>0</v>
      </c>
      <c r="CP80" s="75">
        <f t="shared" ca="1" si="208"/>
        <v>0</v>
      </c>
      <c r="CQ80" s="75">
        <f t="shared" ca="1" si="209"/>
        <v>0</v>
      </c>
      <c r="CR80" s="75">
        <f t="shared" ca="1" si="210"/>
        <v>0</v>
      </c>
      <c r="CS80" s="75">
        <f t="shared" ca="1" si="211"/>
        <v>0</v>
      </c>
      <c r="CT80" s="75">
        <f t="shared" ca="1" si="212"/>
        <v>0</v>
      </c>
      <c r="CU80" s="75">
        <f t="shared" ca="1" si="213"/>
        <v>0</v>
      </c>
      <c r="CV80" s="75">
        <f t="shared" ca="1" si="214"/>
        <v>0</v>
      </c>
      <c r="CW80" s="75">
        <f t="shared" ca="1" si="215"/>
        <v>0</v>
      </c>
      <c r="CX80" s="75">
        <f t="shared" ca="1" si="216"/>
        <v>0</v>
      </c>
      <c r="CY80" s="75">
        <f t="shared" ca="1" si="217"/>
        <v>0</v>
      </c>
      <c r="CZ80" s="75">
        <f t="shared" ca="1" si="218"/>
        <v>0</v>
      </c>
      <c r="DA80" s="75">
        <f t="shared" ca="1" si="219"/>
        <v>0</v>
      </c>
      <c r="DB80" s="75">
        <f t="shared" ca="1" si="220"/>
        <v>0</v>
      </c>
      <c r="DC80" s="75">
        <f t="shared" ca="1" si="221"/>
        <v>0</v>
      </c>
      <c r="DD80" s="75">
        <f t="shared" ca="1" si="222"/>
        <v>0</v>
      </c>
      <c r="DE80" s="75">
        <f t="shared" ca="1" si="223"/>
        <v>0</v>
      </c>
      <c r="DF80" s="75">
        <f t="shared" ca="1" si="224"/>
        <v>0</v>
      </c>
      <c r="DG80" s="75">
        <f t="shared" ca="1" si="225"/>
        <v>0</v>
      </c>
      <c r="DH80" s="75">
        <f t="shared" ca="1" si="226"/>
        <v>0</v>
      </c>
    </row>
    <row r="81" spans="1:112">
      <c r="A81" s="14">
        <f t="shared" si="227"/>
        <v>17</v>
      </c>
      <c r="B81" s="14">
        <f t="shared" ca="1" si="227"/>
        <v>0.66310300227883046</v>
      </c>
      <c r="C81" s="14">
        <f t="shared" si="227"/>
        <v>4046.8</v>
      </c>
      <c r="P81" s="63" t="b">
        <f t="shared" si="228"/>
        <v>1</v>
      </c>
      <c r="Q81" s="75">
        <f t="shared" ca="1" si="140"/>
        <v>3.8740028386547936</v>
      </c>
      <c r="R81" s="75">
        <f t="shared" ca="1" si="141"/>
        <v>3.4477936286068176</v>
      </c>
      <c r="S81" s="75">
        <f t="shared" ca="1" si="142"/>
        <v>0.14423223312990435</v>
      </c>
      <c r="T81" s="75">
        <f t="shared" ca="1" si="143"/>
        <v>3.7505841901285932</v>
      </c>
      <c r="U81" s="75">
        <f t="shared" ca="1" si="144"/>
        <v>3.155625772082213</v>
      </c>
      <c r="V81" s="75">
        <f t="shared" ca="1" si="145"/>
        <v>0.31298581034198203</v>
      </c>
      <c r="W81" s="75">
        <f t="shared" ca="1" si="146"/>
        <v>3.9513357097479944</v>
      </c>
      <c r="X81" s="75">
        <f t="shared" ca="1" si="147"/>
        <v>3.3937114472895096</v>
      </c>
      <c r="Y81" s="75">
        <f t="shared" ca="1" si="148"/>
        <v>0.29574838854608543</v>
      </c>
      <c r="Z81" s="75">
        <f t="shared" ca="1" si="149"/>
        <v>3.5165128716554883</v>
      </c>
      <c r="AA81" s="75">
        <f t="shared" ca="1" si="150"/>
        <v>2.8923980927080692</v>
      </c>
      <c r="AB81" s="75">
        <f t="shared" ca="1" si="151"/>
        <v>0.30642237155053015</v>
      </c>
      <c r="AC81" s="75">
        <f t="shared" ca="1" si="152"/>
        <v>3.5882004732704886</v>
      </c>
      <c r="AD81" s="75">
        <f t="shared" ca="1" si="153"/>
        <v>3.0098218047558327</v>
      </c>
      <c r="AE81" s="75">
        <f t="shared" ca="1" si="154"/>
        <v>0.11935442789077486</v>
      </c>
      <c r="AF81" s="75"/>
      <c r="AG81" s="75"/>
      <c r="AH81" s="75"/>
      <c r="AI81" s="75">
        <f t="shared" ca="1" si="155"/>
        <v>0</v>
      </c>
      <c r="AJ81" s="75">
        <f t="shared" ca="1" si="156"/>
        <v>0</v>
      </c>
      <c r="AK81" s="75">
        <f t="shared" ca="1" si="157"/>
        <v>0</v>
      </c>
      <c r="AL81" s="75">
        <f t="shared" ca="1" si="158"/>
        <v>0</v>
      </c>
      <c r="AM81" s="75">
        <f t="shared" ca="1" si="159"/>
        <v>0</v>
      </c>
      <c r="AN81" s="75">
        <f t="shared" ca="1" si="160"/>
        <v>0</v>
      </c>
      <c r="AO81" s="75">
        <f t="shared" ca="1" si="161"/>
        <v>0</v>
      </c>
      <c r="AP81" s="75">
        <f t="shared" ca="1" si="162"/>
        <v>0</v>
      </c>
      <c r="AQ81" s="75">
        <f t="shared" ca="1" si="163"/>
        <v>0</v>
      </c>
      <c r="AR81" s="75">
        <f t="shared" ca="1" si="164"/>
        <v>0</v>
      </c>
      <c r="AS81" s="75">
        <f t="shared" ca="1" si="165"/>
        <v>0</v>
      </c>
      <c r="AT81" s="75">
        <f t="shared" ca="1" si="166"/>
        <v>0</v>
      </c>
      <c r="AU81" s="75">
        <f t="shared" ca="1" si="167"/>
        <v>0</v>
      </c>
      <c r="AV81" s="75">
        <f t="shared" ca="1" si="168"/>
        <v>0</v>
      </c>
      <c r="AW81" s="75">
        <f t="shared" ca="1" si="169"/>
        <v>0</v>
      </c>
      <c r="AX81" s="75">
        <f t="shared" ca="1" si="170"/>
        <v>0</v>
      </c>
      <c r="AY81" s="75">
        <f t="shared" ca="1" si="171"/>
        <v>0</v>
      </c>
      <c r="AZ81" s="75">
        <f t="shared" ca="1" si="172"/>
        <v>0</v>
      </c>
      <c r="BA81" s="75">
        <f t="shared" ca="1" si="173"/>
        <v>0</v>
      </c>
      <c r="BB81" s="75">
        <f t="shared" ca="1" si="174"/>
        <v>0</v>
      </c>
      <c r="BC81" s="75">
        <f t="shared" ca="1" si="175"/>
        <v>0</v>
      </c>
      <c r="BD81" s="75">
        <f t="shared" ca="1" si="176"/>
        <v>0</v>
      </c>
      <c r="BE81" s="75">
        <f t="shared" ca="1" si="177"/>
        <v>0</v>
      </c>
      <c r="BF81" s="75">
        <f t="shared" ca="1" si="178"/>
        <v>0</v>
      </c>
      <c r="BG81" s="75">
        <f t="shared" ca="1" si="179"/>
        <v>0</v>
      </c>
      <c r="BH81" s="75">
        <f t="shared" ca="1" si="180"/>
        <v>0</v>
      </c>
      <c r="BI81" s="75">
        <f t="shared" ca="1" si="181"/>
        <v>0</v>
      </c>
      <c r="BJ81" s="75">
        <f t="shared" ca="1" si="182"/>
        <v>0</v>
      </c>
      <c r="BK81" s="75">
        <f t="shared" ca="1" si="183"/>
        <v>0</v>
      </c>
      <c r="BL81" s="75">
        <f t="shared" ca="1" si="184"/>
        <v>0</v>
      </c>
      <c r="BM81" s="75">
        <f t="shared" ca="1" si="185"/>
        <v>0</v>
      </c>
      <c r="BN81" s="75">
        <f t="shared" ca="1" si="186"/>
        <v>0</v>
      </c>
      <c r="BO81" s="75">
        <f t="shared" ca="1" si="187"/>
        <v>0</v>
      </c>
      <c r="BP81" s="75">
        <f t="shared" ca="1" si="188"/>
        <v>0</v>
      </c>
      <c r="BQ81" s="75">
        <f t="shared" ca="1" si="189"/>
        <v>0</v>
      </c>
      <c r="BR81" s="75">
        <f t="shared" ca="1" si="190"/>
        <v>0</v>
      </c>
      <c r="BS81" s="75"/>
      <c r="BT81" s="75"/>
      <c r="BU81" s="75"/>
      <c r="BV81" s="75">
        <f t="shared" ca="1" si="191"/>
        <v>0</v>
      </c>
      <c r="BW81" s="75">
        <f t="shared" ca="1" si="192"/>
        <v>0</v>
      </c>
      <c r="BX81" s="75">
        <f t="shared" ca="1" si="193"/>
        <v>0</v>
      </c>
      <c r="BY81" s="75">
        <f t="shared" ca="1" si="194"/>
        <v>0</v>
      </c>
      <c r="BZ81" s="75">
        <f t="shared" ca="1" si="195"/>
        <v>0</v>
      </c>
      <c r="CA81" s="75">
        <f t="shared" ca="1" si="196"/>
        <v>0</v>
      </c>
      <c r="CB81" s="75"/>
      <c r="CC81" s="75"/>
      <c r="CD81" s="75"/>
      <c r="CE81" s="75">
        <f t="shared" ca="1" si="197"/>
        <v>0</v>
      </c>
      <c r="CF81" s="75">
        <f t="shared" ca="1" si="198"/>
        <v>0</v>
      </c>
      <c r="CG81" s="75">
        <f t="shared" ca="1" si="199"/>
        <v>0</v>
      </c>
      <c r="CH81" s="75">
        <f t="shared" ca="1" si="200"/>
        <v>0</v>
      </c>
      <c r="CI81" s="75">
        <f t="shared" ca="1" si="201"/>
        <v>0</v>
      </c>
      <c r="CJ81" s="75">
        <f t="shared" ca="1" si="202"/>
        <v>0</v>
      </c>
      <c r="CK81" s="75">
        <f t="shared" ca="1" si="203"/>
        <v>0</v>
      </c>
      <c r="CL81" s="75">
        <f t="shared" ca="1" si="204"/>
        <v>0</v>
      </c>
      <c r="CM81" s="75">
        <f t="shared" ca="1" si="205"/>
        <v>0</v>
      </c>
      <c r="CN81" s="75">
        <f t="shared" ca="1" si="206"/>
        <v>0</v>
      </c>
      <c r="CO81" s="75">
        <f t="shared" ca="1" si="207"/>
        <v>0</v>
      </c>
      <c r="CP81" s="75">
        <f t="shared" ca="1" si="208"/>
        <v>0</v>
      </c>
      <c r="CQ81" s="75">
        <f t="shared" ca="1" si="209"/>
        <v>0</v>
      </c>
      <c r="CR81" s="75">
        <f t="shared" ca="1" si="210"/>
        <v>0</v>
      </c>
      <c r="CS81" s="75">
        <f t="shared" ca="1" si="211"/>
        <v>0</v>
      </c>
      <c r="CT81" s="75">
        <f t="shared" ca="1" si="212"/>
        <v>0</v>
      </c>
      <c r="CU81" s="75">
        <f t="shared" ca="1" si="213"/>
        <v>0</v>
      </c>
      <c r="CV81" s="75">
        <f t="shared" ca="1" si="214"/>
        <v>0</v>
      </c>
      <c r="CW81" s="75">
        <f t="shared" ca="1" si="215"/>
        <v>0</v>
      </c>
      <c r="CX81" s="75">
        <f t="shared" ca="1" si="216"/>
        <v>0</v>
      </c>
      <c r="CY81" s="75">
        <f t="shared" ca="1" si="217"/>
        <v>0</v>
      </c>
      <c r="CZ81" s="75">
        <f t="shared" ca="1" si="218"/>
        <v>0</v>
      </c>
      <c r="DA81" s="75">
        <f t="shared" ca="1" si="219"/>
        <v>0</v>
      </c>
      <c r="DB81" s="75">
        <f t="shared" ca="1" si="220"/>
        <v>0</v>
      </c>
      <c r="DC81" s="75">
        <f t="shared" ca="1" si="221"/>
        <v>0</v>
      </c>
      <c r="DD81" s="75">
        <f t="shared" ca="1" si="222"/>
        <v>0</v>
      </c>
      <c r="DE81" s="75">
        <f t="shared" ca="1" si="223"/>
        <v>0</v>
      </c>
      <c r="DF81" s="75">
        <f t="shared" ca="1" si="224"/>
        <v>0</v>
      </c>
      <c r="DG81" s="75">
        <f t="shared" ca="1" si="225"/>
        <v>0</v>
      </c>
      <c r="DH81" s="75">
        <f t="shared" ca="1" si="226"/>
        <v>0</v>
      </c>
    </row>
    <row r="82" spans="1:112">
      <c r="A82" s="14">
        <f t="shared" ref="A82:C89" si="229">A20</f>
        <v>18</v>
      </c>
      <c r="B82" s="14">
        <f t="shared" ca="1" si="229"/>
        <v>0.15701835940156691</v>
      </c>
      <c r="C82" s="14">
        <f t="shared" si="229"/>
        <v>3830.6</v>
      </c>
      <c r="P82" s="63" t="b">
        <f t="shared" si="228"/>
        <v>1</v>
      </c>
      <c r="Q82" s="75">
        <f t="shared" ca="1" si="140"/>
        <v>1.4601702471320404</v>
      </c>
      <c r="R82" s="75">
        <f t="shared" ca="1" si="141"/>
        <v>1.0227758580368171</v>
      </c>
      <c r="S82" s="75">
        <f t="shared" ca="1" si="142"/>
        <v>0.46991677229338219</v>
      </c>
      <c r="T82" s="75">
        <f t="shared" ca="1" si="143"/>
        <v>1.4277681825530417</v>
      </c>
      <c r="U82" s="75">
        <f t="shared" ca="1" si="144"/>
        <v>0.89994988609274473</v>
      </c>
      <c r="V82" s="75">
        <f t="shared" ca="1" si="145"/>
        <v>0.56075921741536883</v>
      </c>
      <c r="W82" s="75">
        <f t="shared" ca="1" si="146"/>
        <v>1.5514929266633815</v>
      </c>
      <c r="X82" s="75">
        <f t="shared" ca="1" si="147"/>
        <v>1.0504649788036182</v>
      </c>
      <c r="Y82" s="75">
        <f t="shared" ca="1" si="148"/>
        <v>0.60153177069834529</v>
      </c>
      <c r="Z82" s="75">
        <f t="shared" ca="1" si="149"/>
        <v>1.3102027113856165</v>
      </c>
      <c r="AA82" s="75">
        <f t="shared" ca="1" si="150"/>
        <v>0.76938552784367964</v>
      </c>
      <c r="AB82" s="75">
        <f t="shared" ca="1" si="151"/>
        <v>0.54427039336566208</v>
      </c>
      <c r="AC82" s="75">
        <f t="shared" ca="1" si="152"/>
        <v>1.3449208591093997</v>
      </c>
      <c r="AD82" s="75">
        <f t="shared" ca="1" si="153"/>
        <v>0.81707669759115298</v>
      </c>
      <c r="AE82" s="75">
        <f t="shared" ca="1" si="154"/>
        <v>0.47713489854085772</v>
      </c>
      <c r="AF82" s="75"/>
      <c r="AG82" s="75"/>
      <c r="AH82" s="75"/>
      <c r="AI82" s="75">
        <f t="shared" ca="1" si="155"/>
        <v>0</v>
      </c>
      <c r="AJ82" s="75">
        <f t="shared" ca="1" si="156"/>
        <v>0</v>
      </c>
      <c r="AK82" s="75">
        <f t="shared" ca="1" si="157"/>
        <v>0</v>
      </c>
      <c r="AL82" s="75">
        <f t="shared" ca="1" si="158"/>
        <v>0</v>
      </c>
      <c r="AM82" s="75">
        <f t="shared" ca="1" si="159"/>
        <v>0</v>
      </c>
      <c r="AN82" s="75">
        <f t="shared" ca="1" si="160"/>
        <v>0</v>
      </c>
      <c r="AO82" s="75">
        <f t="shared" ca="1" si="161"/>
        <v>0</v>
      </c>
      <c r="AP82" s="75">
        <f t="shared" ca="1" si="162"/>
        <v>0</v>
      </c>
      <c r="AQ82" s="75">
        <f t="shared" ca="1" si="163"/>
        <v>0</v>
      </c>
      <c r="AR82" s="75">
        <f t="shared" ca="1" si="164"/>
        <v>0</v>
      </c>
      <c r="AS82" s="75">
        <f t="shared" ca="1" si="165"/>
        <v>0</v>
      </c>
      <c r="AT82" s="75">
        <f t="shared" ca="1" si="166"/>
        <v>0</v>
      </c>
      <c r="AU82" s="75">
        <f t="shared" ca="1" si="167"/>
        <v>0</v>
      </c>
      <c r="AV82" s="75">
        <f t="shared" ca="1" si="168"/>
        <v>0</v>
      </c>
      <c r="AW82" s="75">
        <f t="shared" ca="1" si="169"/>
        <v>0</v>
      </c>
      <c r="AX82" s="75">
        <f t="shared" ca="1" si="170"/>
        <v>0</v>
      </c>
      <c r="AY82" s="75">
        <f t="shared" ca="1" si="171"/>
        <v>0</v>
      </c>
      <c r="AZ82" s="75">
        <f t="shared" ca="1" si="172"/>
        <v>0</v>
      </c>
      <c r="BA82" s="75">
        <f t="shared" ca="1" si="173"/>
        <v>0</v>
      </c>
      <c r="BB82" s="75">
        <f t="shared" ca="1" si="174"/>
        <v>0</v>
      </c>
      <c r="BC82" s="75">
        <f t="shared" ca="1" si="175"/>
        <v>0</v>
      </c>
      <c r="BD82" s="75">
        <f t="shared" ca="1" si="176"/>
        <v>0</v>
      </c>
      <c r="BE82" s="75">
        <f t="shared" ca="1" si="177"/>
        <v>0</v>
      </c>
      <c r="BF82" s="75">
        <f t="shared" ca="1" si="178"/>
        <v>0</v>
      </c>
      <c r="BG82" s="75">
        <f t="shared" ca="1" si="179"/>
        <v>0</v>
      </c>
      <c r="BH82" s="75">
        <f t="shared" ca="1" si="180"/>
        <v>0</v>
      </c>
      <c r="BI82" s="75">
        <f t="shared" ca="1" si="181"/>
        <v>0</v>
      </c>
      <c r="BJ82" s="75">
        <f t="shared" ca="1" si="182"/>
        <v>0</v>
      </c>
      <c r="BK82" s="75">
        <f t="shared" ca="1" si="183"/>
        <v>0</v>
      </c>
      <c r="BL82" s="75">
        <f t="shared" ca="1" si="184"/>
        <v>0</v>
      </c>
      <c r="BM82" s="75">
        <f t="shared" ca="1" si="185"/>
        <v>0</v>
      </c>
      <c r="BN82" s="75">
        <f t="shared" ca="1" si="186"/>
        <v>0</v>
      </c>
      <c r="BO82" s="75">
        <f t="shared" ca="1" si="187"/>
        <v>0</v>
      </c>
      <c r="BP82" s="75">
        <f t="shared" ca="1" si="188"/>
        <v>0</v>
      </c>
      <c r="BQ82" s="75">
        <f t="shared" ca="1" si="189"/>
        <v>0</v>
      </c>
      <c r="BR82" s="75">
        <f t="shared" ca="1" si="190"/>
        <v>0</v>
      </c>
      <c r="BS82" s="75"/>
      <c r="BT82" s="75"/>
      <c r="BU82" s="75"/>
      <c r="BV82" s="75">
        <f t="shared" ca="1" si="191"/>
        <v>0</v>
      </c>
      <c r="BW82" s="75">
        <f t="shared" ca="1" si="192"/>
        <v>0</v>
      </c>
      <c r="BX82" s="75">
        <f t="shared" ca="1" si="193"/>
        <v>0</v>
      </c>
      <c r="BY82" s="75">
        <f t="shared" ca="1" si="194"/>
        <v>0</v>
      </c>
      <c r="BZ82" s="75">
        <f t="shared" ca="1" si="195"/>
        <v>0</v>
      </c>
      <c r="CA82" s="75">
        <f t="shared" ca="1" si="196"/>
        <v>0</v>
      </c>
      <c r="CB82" s="75"/>
      <c r="CC82" s="75"/>
      <c r="CD82" s="75"/>
      <c r="CE82" s="75">
        <f t="shared" ca="1" si="197"/>
        <v>0</v>
      </c>
      <c r="CF82" s="75">
        <f t="shared" ca="1" si="198"/>
        <v>0</v>
      </c>
      <c r="CG82" s="75">
        <f t="shared" ca="1" si="199"/>
        <v>0</v>
      </c>
      <c r="CH82" s="75">
        <f t="shared" ca="1" si="200"/>
        <v>0</v>
      </c>
      <c r="CI82" s="75">
        <f t="shared" ca="1" si="201"/>
        <v>0</v>
      </c>
      <c r="CJ82" s="75">
        <f t="shared" ca="1" si="202"/>
        <v>0</v>
      </c>
      <c r="CK82" s="75">
        <f t="shared" ca="1" si="203"/>
        <v>0</v>
      </c>
      <c r="CL82" s="75">
        <f t="shared" ca="1" si="204"/>
        <v>0</v>
      </c>
      <c r="CM82" s="75">
        <f t="shared" ca="1" si="205"/>
        <v>0</v>
      </c>
      <c r="CN82" s="75">
        <f t="shared" ca="1" si="206"/>
        <v>0</v>
      </c>
      <c r="CO82" s="75">
        <f t="shared" ca="1" si="207"/>
        <v>0</v>
      </c>
      <c r="CP82" s="75">
        <f t="shared" ca="1" si="208"/>
        <v>0</v>
      </c>
      <c r="CQ82" s="75">
        <f t="shared" ca="1" si="209"/>
        <v>0</v>
      </c>
      <c r="CR82" s="75">
        <f t="shared" ca="1" si="210"/>
        <v>0</v>
      </c>
      <c r="CS82" s="75">
        <f t="shared" ca="1" si="211"/>
        <v>0</v>
      </c>
      <c r="CT82" s="75">
        <f t="shared" ca="1" si="212"/>
        <v>0</v>
      </c>
      <c r="CU82" s="75">
        <f t="shared" ca="1" si="213"/>
        <v>0</v>
      </c>
      <c r="CV82" s="75">
        <f t="shared" ca="1" si="214"/>
        <v>0</v>
      </c>
      <c r="CW82" s="75">
        <f t="shared" ca="1" si="215"/>
        <v>0</v>
      </c>
      <c r="CX82" s="75">
        <f t="shared" ca="1" si="216"/>
        <v>0</v>
      </c>
      <c r="CY82" s="75">
        <f t="shared" ca="1" si="217"/>
        <v>0</v>
      </c>
      <c r="CZ82" s="75">
        <f t="shared" ca="1" si="218"/>
        <v>0</v>
      </c>
      <c r="DA82" s="75">
        <f t="shared" ca="1" si="219"/>
        <v>0</v>
      </c>
      <c r="DB82" s="75">
        <f t="shared" ca="1" si="220"/>
        <v>0</v>
      </c>
      <c r="DC82" s="75">
        <f t="shared" ca="1" si="221"/>
        <v>0</v>
      </c>
      <c r="DD82" s="75">
        <f t="shared" ca="1" si="222"/>
        <v>0</v>
      </c>
      <c r="DE82" s="75">
        <f t="shared" ca="1" si="223"/>
        <v>0</v>
      </c>
      <c r="DF82" s="75">
        <f t="shared" ca="1" si="224"/>
        <v>0</v>
      </c>
      <c r="DG82" s="75">
        <f t="shared" ca="1" si="225"/>
        <v>0</v>
      </c>
      <c r="DH82" s="75">
        <f t="shared" ca="1" si="226"/>
        <v>0</v>
      </c>
    </row>
    <row r="83" spans="1:112">
      <c r="A83" s="14">
        <f t="shared" si="229"/>
        <v>19</v>
      </c>
      <c r="B83" s="14">
        <f t="shared" ca="1" si="229"/>
        <v>0.12828800152468015</v>
      </c>
      <c r="C83" s="14">
        <f t="shared" si="229"/>
        <v>3852.3</v>
      </c>
      <c r="P83" s="63" t="b">
        <f t="shared" si="228"/>
        <v>1</v>
      </c>
      <c r="Q83" s="75">
        <f t="shared" ca="1" si="140"/>
        <v>1.1497791368911683</v>
      </c>
      <c r="R83" s="75">
        <f t="shared" ca="1" si="141"/>
        <v>0.84806167380621655</v>
      </c>
      <c r="S83" s="75">
        <f t="shared" ca="1" si="142"/>
        <v>0.28067924702073338</v>
      </c>
      <c r="T83" s="75">
        <f t="shared" ca="1" si="143"/>
        <v>1.1242020740305203</v>
      </c>
      <c r="U83" s="75">
        <f t="shared" ca="1" si="144"/>
        <v>0.74878958696395448</v>
      </c>
      <c r="V83" s="75">
        <f t="shared" ca="1" si="145"/>
        <v>0.35980114187162276</v>
      </c>
      <c r="W83" s="75">
        <f t="shared" ca="1" si="146"/>
        <v>1.2147325654119463</v>
      </c>
      <c r="X83" s="75">
        <f t="shared" ca="1" si="147"/>
        <v>0.85983863786630033</v>
      </c>
      <c r="Y83" s="75">
        <f t="shared" ca="1" si="148"/>
        <v>0.38570814380468865</v>
      </c>
      <c r="Z83" s="75">
        <f t="shared" ca="1" si="149"/>
        <v>1.0345270073191273</v>
      </c>
      <c r="AA83" s="75">
        <f t="shared" ca="1" si="150"/>
        <v>0.6570781441247</v>
      </c>
      <c r="AB83" s="75">
        <f t="shared" ca="1" si="151"/>
        <v>0.34168484035755392</v>
      </c>
      <c r="AC83" s="75">
        <f t="shared" ca="1" si="152"/>
        <v>1.0575408104929251</v>
      </c>
      <c r="AD83" s="75">
        <f t="shared" ca="1" si="153"/>
        <v>0.68850600453201249</v>
      </c>
      <c r="AE83" s="75">
        <f t="shared" ca="1" si="154"/>
        <v>0.28097055645662733</v>
      </c>
      <c r="AF83" s="75"/>
      <c r="AG83" s="75"/>
      <c r="AH83" s="75"/>
      <c r="AI83" s="75">
        <f t="shared" ca="1" si="155"/>
        <v>0</v>
      </c>
      <c r="AJ83" s="75">
        <f t="shared" ca="1" si="156"/>
        <v>0</v>
      </c>
      <c r="AK83" s="75">
        <f t="shared" ca="1" si="157"/>
        <v>0</v>
      </c>
      <c r="AL83" s="75">
        <f t="shared" ca="1" si="158"/>
        <v>0</v>
      </c>
      <c r="AM83" s="75">
        <f t="shared" ca="1" si="159"/>
        <v>0</v>
      </c>
      <c r="AN83" s="75">
        <f t="shared" ca="1" si="160"/>
        <v>0</v>
      </c>
      <c r="AO83" s="75">
        <f t="shared" ca="1" si="161"/>
        <v>0</v>
      </c>
      <c r="AP83" s="75">
        <f t="shared" ca="1" si="162"/>
        <v>0</v>
      </c>
      <c r="AQ83" s="75">
        <f t="shared" ca="1" si="163"/>
        <v>0</v>
      </c>
      <c r="AR83" s="75">
        <f t="shared" ca="1" si="164"/>
        <v>0</v>
      </c>
      <c r="AS83" s="75">
        <f t="shared" ca="1" si="165"/>
        <v>0</v>
      </c>
      <c r="AT83" s="75">
        <f t="shared" ca="1" si="166"/>
        <v>0</v>
      </c>
      <c r="AU83" s="75">
        <f t="shared" ca="1" si="167"/>
        <v>0</v>
      </c>
      <c r="AV83" s="75">
        <f t="shared" ca="1" si="168"/>
        <v>0</v>
      </c>
      <c r="AW83" s="75">
        <f t="shared" ca="1" si="169"/>
        <v>0</v>
      </c>
      <c r="AX83" s="75">
        <f t="shared" ca="1" si="170"/>
        <v>0</v>
      </c>
      <c r="AY83" s="75">
        <f t="shared" ca="1" si="171"/>
        <v>0</v>
      </c>
      <c r="AZ83" s="75">
        <f t="shared" ca="1" si="172"/>
        <v>0</v>
      </c>
      <c r="BA83" s="75">
        <f t="shared" ca="1" si="173"/>
        <v>0</v>
      </c>
      <c r="BB83" s="75">
        <f t="shared" ca="1" si="174"/>
        <v>0</v>
      </c>
      <c r="BC83" s="75">
        <f t="shared" ca="1" si="175"/>
        <v>0</v>
      </c>
      <c r="BD83" s="75">
        <f t="shared" ca="1" si="176"/>
        <v>0</v>
      </c>
      <c r="BE83" s="75">
        <f t="shared" ca="1" si="177"/>
        <v>0</v>
      </c>
      <c r="BF83" s="75">
        <f t="shared" ca="1" si="178"/>
        <v>0</v>
      </c>
      <c r="BG83" s="75">
        <f t="shared" ca="1" si="179"/>
        <v>0</v>
      </c>
      <c r="BH83" s="75">
        <f t="shared" ca="1" si="180"/>
        <v>0</v>
      </c>
      <c r="BI83" s="75">
        <f t="shared" ca="1" si="181"/>
        <v>0</v>
      </c>
      <c r="BJ83" s="75">
        <f t="shared" ca="1" si="182"/>
        <v>0</v>
      </c>
      <c r="BK83" s="75">
        <f t="shared" ca="1" si="183"/>
        <v>0</v>
      </c>
      <c r="BL83" s="75">
        <f t="shared" ca="1" si="184"/>
        <v>0</v>
      </c>
      <c r="BM83" s="75">
        <f t="shared" ca="1" si="185"/>
        <v>0</v>
      </c>
      <c r="BN83" s="75">
        <f t="shared" ca="1" si="186"/>
        <v>0</v>
      </c>
      <c r="BO83" s="75">
        <f t="shared" ca="1" si="187"/>
        <v>0</v>
      </c>
      <c r="BP83" s="75">
        <f t="shared" ca="1" si="188"/>
        <v>0</v>
      </c>
      <c r="BQ83" s="75">
        <f t="shared" ca="1" si="189"/>
        <v>0</v>
      </c>
      <c r="BR83" s="75">
        <f t="shared" ca="1" si="190"/>
        <v>0</v>
      </c>
      <c r="BS83" s="75"/>
      <c r="BT83" s="75"/>
      <c r="BU83" s="75"/>
      <c r="BV83" s="75">
        <f t="shared" ca="1" si="191"/>
        <v>0</v>
      </c>
      <c r="BW83" s="75">
        <f t="shared" ca="1" si="192"/>
        <v>0</v>
      </c>
      <c r="BX83" s="75">
        <f t="shared" ca="1" si="193"/>
        <v>0</v>
      </c>
      <c r="BY83" s="75">
        <f t="shared" ca="1" si="194"/>
        <v>0</v>
      </c>
      <c r="BZ83" s="75">
        <f t="shared" ca="1" si="195"/>
        <v>0</v>
      </c>
      <c r="CA83" s="75">
        <f t="shared" ca="1" si="196"/>
        <v>0</v>
      </c>
      <c r="CB83" s="75"/>
      <c r="CC83" s="75"/>
      <c r="CD83" s="75"/>
      <c r="CE83" s="75">
        <f t="shared" ca="1" si="197"/>
        <v>0</v>
      </c>
      <c r="CF83" s="75">
        <f t="shared" ca="1" si="198"/>
        <v>0</v>
      </c>
      <c r="CG83" s="75">
        <f t="shared" ca="1" si="199"/>
        <v>0</v>
      </c>
      <c r="CH83" s="75">
        <f t="shared" ca="1" si="200"/>
        <v>0</v>
      </c>
      <c r="CI83" s="75">
        <f t="shared" ca="1" si="201"/>
        <v>0</v>
      </c>
      <c r="CJ83" s="75">
        <f t="shared" ca="1" si="202"/>
        <v>0</v>
      </c>
      <c r="CK83" s="75">
        <f t="shared" ca="1" si="203"/>
        <v>0</v>
      </c>
      <c r="CL83" s="75">
        <f t="shared" ca="1" si="204"/>
        <v>0</v>
      </c>
      <c r="CM83" s="75">
        <f t="shared" ca="1" si="205"/>
        <v>0</v>
      </c>
      <c r="CN83" s="75">
        <f t="shared" ca="1" si="206"/>
        <v>0</v>
      </c>
      <c r="CO83" s="75">
        <f t="shared" ca="1" si="207"/>
        <v>0</v>
      </c>
      <c r="CP83" s="75">
        <f t="shared" ca="1" si="208"/>
        <v>0</v>
      </c>
      <c r="CQ83" s="75">
        <f t="shared" ca="1" si="209"/>
        <v>0</v>
      </c>
      <c r="CR83" s="75">
        <f t="shared" ca="1" si="210"/>
        <v>0</v>
      </c>
      <c r="CS83" s="75">
        <f t="shared" ca="1" si="211"/>
        <v>0</v>
      </c>
      <c r="CT83" s="75">
        <f t="shared" ca="1" si="212"/>
        <v>0</v>
      </c>
      <c r="CU83" s="75">
        <f t="shared" ca="1" si="213"/>
        <v>0</v>
      </c>
      <c r="CV83" s="75">
        <f t="shared" ca="1" si="214"/>
        <v>0</v>
      </c>
      <c r="CW83" s="75">
        <f t="shared" ca="1" si="215"/>
        <v>0</v>
      </c>
      <c r="CX83" s="75">
        <f t="shared" ca="1" si="216"/>
        <v>0</v>
      </c>
      <c r="CY83" s="75">
        <f t="shared" ca="1" si="217"/>
        <v>0</v>
      </c>
      <c r="CZ83" s="75">
        <f t="shared" ca="1" si="218"/>
        <v>0</v>
      </c>
      <c r="DA83" s="75">
        <f t="shared" ca="1" si="219"/>
        <v>0</v>
      </c>
      <c r="DB83" s="75">
        <f t="shared" ca="1" si="220"/>
        <v>0</v>
      </c>
      <c r="DC83" s="75">
        <f t="shared" ca="1" si="221"/>
        <v>0</v>
      </c>
      <c r="DD83" s="75">
        <f t="shared" ca="1" si="222"/>
        <v>0</v>
      </c>
      <c r="DE83" s="75">
        <f t="shared" ca="1" si="223"/>
        <v>0</v>
      </c>
      <c r="DF83" s="75">
        <f t="shared" ca="1" si="224"/>
        <v>0</v>
      </c>
      <c r="DG83" s="75">
        <f t="shared" ca="1" si="225"/>
        <v>0</v>
      </c>
      <c r="DH83" s="75">
        <f t="shared" ca="1" si="226"/>
        <v>0</v>
      </c>
    </row>
    <row r="84" spans="1:112">
      <c r="A84" s="14">
        <f t="shared" si="229"/>
        <v>20</v>
      </c>
      <c r="B84" s="14">
        <f t="shared" ca="1" si="229"/>
        <v>0.1052422464745905</v>
      </c>
      <c r="C84" s="14">
        <f t="shared" si="229"/>
        <v>3884.6</v>
      </c>
      <c r="P84" s="63" t="b">
        <f t="shared" si="228"/>
        <v>1</v>
      </c>
      <c r="Q84" s="75">
        <f t="shared" ca="1" si="140"/>
        <v>0.88910616740753823</v>
      </c>
      <c r="R84" s="75">
        <f t="shared" ca="1" si="141"/>
        <v>0.69774213313400468</v>
      </c>
      <c r="S84" s="75">
        <f t="shared" ca="1" si="142"/>
        <v>0.13028204361510148</v>
      </c>
      <c r="T84" s="75">
        <f t="shared" ca="1" si="143"/>
        <v>0.86800881310663913</v>
      </c>
      <c r="U84" s="75">
        <f t="shared" ca="1" si="144"/>
        <v>0.61058567963886479</v>
      </c>
      <c r="V84" s="75">
        <f t="shared" ca="1" si="145"/>
        <v>0.20059567222092403</v>
      </c>
      <c r="W84" s="75">
        <f t="shared" ca="1" si="146"/>
        <v>0.93775551787692213</v>
      </c>
      <c r="X84" s="75">
        <f t="shared" ca="1" si="147"/>
        <v>0.68883562392733233</v>
      </c>
      <c r="Y84" s="75">
        <f t="shared" ca="1" si="148"/>
        <v>0.22086612340252801</v>
      </c>
      <c r="Z84" s="75">
        <f t="shared" ca="1" si="149"/>
        <v>0.79292728967278248</v>
      </c>
      <c r="AA84" s="75">
        <f t="shared" ca="1" si="150"/>
        <v>0.52781178788806726</v>
      </c>
      <c r="AB84" s="75">
        <f t="shared" ca="1" si="151"/>
        <v>0.19049925592575151</v>
      </c>
      <c r="AC84" s="75">
        <f t="shared" ca="1" si="152"/>
        <v>0.81081324899829643</v>
      </c>
      <c r="AD84" s="75">
        <f t="shared" ca="1" si="153"/>
        <v>0.55763019634904953</v>
      </c>
      <c r="AE84" s="75">
        <f t="shared" ca="1" si="154"/>
        <v>0.13717711384091213</v>
      </c>
      <c r="AF84" s="75"/>
      <c r="AG84" s="75"/>
      <c r="AH84" s="75"/>
      <c r="AI84" s="75">
        <f t="shared" ca="1" si="155"/>
        <v>0</v>
      </c>
      <c r="AJ84" s="75">
        <f t="shared" ca="1" si="156"/>
        <v>0</v>
      </c>
      <c r="AK84" s="75">
        <f t="shared" ca="1" si="157"/>
        <v>0</v>
      </c>
      <c r="AL84" s="75">
        <f t="shared" ca="1" si="158"/>
        <v>0</v>
      </c>
      <c r="AM84" s="75">
        <f t="shared" ca="1" si="159"/>
        <v>0</v>
      </c>
      <c r="AN84" s="75">
        <f t="shared" ca="1" si="160"/>
        <v>0</v>
      </c>
      <c r="AO84" s="75">
        <f t="shared" ca="1" si="161"/>
        <v>0</v>
      </c>
      <c r="AP84" s="75">
        <f t="shared" ca="1" si="162"/>
        <v>0</v>
      </c>
      <c r="AQ84" s="75">
        <f t="shared" ca="1" si="163"/>
        <v>0</v>
      </c>
      <c r="AR84" s="75">
        <f t="shared" ca="1" si="164"/>
        <v>0</v>
      </c>
      <c r="AS84" s="75">
        <f t="shared" ca="1" si="165"/>
        <v>0</v>
      </c>
      <c r="AT84" s="75">
        <f t="shared" ca="1" si="166"/>
        <v>0</v>
      </c>
      <c r="AU84" s="75">
        <f t="shared" ca="1" si="167"/>
        <v>0</v>
      </c>
      <c r="AV84" s="75">
        <f t="shared" ca="1" si="168"/>
        <v>0</v>
      </c>
      <c r="AW84" s="75">
        <f t="shared" ca="1" si="169"/>
        <v>0</v>
      </c>
      <c r="AX84" s="75">
        <f t="shared" ca="1" si="170"/>
        <v>0</v>
      </c>
      <c r="AY84" s="75">
        <f t="shared" ca="1" si="171"/>
        <v>0</v>
      </c>
      <c r="AZ84" s="75">
        <f t="shared" ca="1" si="172"/>
        <v>0</v>
      </c>
      <c r="BA84" s="75">
        <f t="shared" ca="1" si="173"/>
        <v>0</v>
      </c>
      <c r="BB84" s="75">
        <f t="shared" ca="1" si="174"/>
        <v>0</v>
      </c>
      <c r="BC84" s="75">
        <f t="shared" ca="1" si="175"/>
        <v>0</v>
      </c>
      <c r="BD84" s="75">
        <f t="shared" ca="1" si="176"/>
        <v>0</v>
      </c>
      <c r="BE84" s="75">
        <f t="shared" ca="1" si="177"/>
        <v>0</v>
      </c>
      <c r="BF84" s="75">
        <f t="shared" ca="1" si="178"/>
        <v>0</v>
      </c>
      <c r="BG84" s="75">
        <f t="shared" ca="1" si="179"/>
        <v>0</v>
      </c>
      <c r="BH84" s="75">
        <f t="shared" ca="1" si="180"/>
        <v>0</v>
      </c>
      <c r="BI84" s="75">
        <f t="shared" ca="1" si="181"/>
        <v>0</v>
      </c>
      <c r="BJ84" s="75">
        <f t="shared" ca="1" si="182"/>
        <v>0</v>
      </c>
      <c r="BK84" s="75">
        <f t="shared" ca="1" si="183"/>
        <v>0</v>
      </c>
      <c r="BL84" s="75">
        <f t="shared" ca="1" si="184"/>
        <v>0</v>
      </c>
      <c r="BM84" s="75">
        <f t="shared" ca="1" si="185"/>
        <v>0</v>
      </c>
      <c r="BN84" s="75">
        <f t="shared" ca="1" si="186"/>
        <v>0</v>
      </c>
      <c r="BO84" s="75">
        <f t="shared" ca="1" si="187"/>
        <v>0</v>
      </c>
      <c r="BP84" s="75">
        <f t="shared" ca="1" si="188"/>
        <v>0</v>
      </c>
      <c r="BQ84" s="75">
        <f t="shared" ca="1" si="189"/>
        <v>0</v>
      </c>
      <c r="BR84" s="75">
        <f t="shared" ca="1" si="190"/>
        <v>0</v>
      </c>
      <c r="BS84" s="75"/>
      <c r="BT84" s="75"/>
      <c r="BU84" s="75"/>
      <c r="BV84" s="75">
        <f t="shared" ca="1" si="191"/>
        <v>0</v>
      </c>
      <c r="BW84" s="75">
        <f t="shared" ca="1" si="192"/>
        <v>0</v>
      </c>
      <c r="BX84" s="75">
        <f t="shared" ca="1" si="193"/>
        <v>0</v>
      </c>
      <c r="BY84" s="75">
        <f t="shared" ca="1" si="194"/>
        <v>0</v>
      </c>
      <c r="BZ84" s="75">
        <f t="shared" ca="1" si="195"/>
        <v>0</v>
      </c>
      <c r="CA84" s="75">
        <f t="shared" ca="1" si="196"/>
        <v>0</v>
      </c>
      <c r="CB84" s="75"/>
      <c r="CC84" s="75"/>
      <c r="CD84" s="75"/>
      <c r="CE84" s="75">
        <f t="shared" ca="1" si="197"/>
        <v>0</v>
      </c>
      <c r="CF84" s="75">
        <f t="shared" ca="1" si="198"/>
        <v>0</v>
      </c>
      <c r="CG84" s="75">
        <f t="shared" ca="1" si="199"/>
        <v>0</v>
      </c>
      <c r="CH84" s="75">
        <f t="shared" ca="1" si="200"/>
        <v>0</v>
      </c>
      <c r="CI84" s="75">
        <f t="shared" ca="1" si="201"/>
        <v>0</v>
      </c>
      <c r="CJ84" s="75">
        <f t="shared" ca="1" si="202"/>
        <v>0</v>
      </c>
      <c r="CK84" s="75">
        <f t="shared" ca="1" si="203"/>
        <v>0</v>
      </c>
      <c r="CL84" s="75">
        <f t="shared" ca="1" si="204"/>
        <v>0</v>
      </c>
      <c r="CM84" s="75">
        <f t="shared" ca="1" si="205"/>
        <v>0</v>
      </c>
      <c r="CN84" s="75">
        <f t="shared" ca="1" si="206"/>
        <v>0</v>
      </c>
      <c r="CO84" s="75">
        <f t="shared" ca="1" si="207"/>
        <v>0</v>
      </c>
      <c r="CP84" s="75">
        <f t="shared" ca="1" si="208"/>
        <v>0</v>
      </c>
      <c r="CQ84" s="75">
        <f t="shared" ca="1" si="209"/>
        <v>0</v>
      </c>
      <c r="CR84" s="75">
        <f t="shared" ca="1" si="210"/>
        <v>0</v>
      </c>
      <c r="CS84" s="75">
        <f t="shared" ca="1" si="211"/>
        <v>0</v>
      </c>
      <c r="CT84" s="75">
        <f t="shared" ca="1" si="212"/>
        <v>0</v>
      </c>
      <c r="CU84" s="75">
        <f t="shared" ca="1" si="213"/>
        <v>0</v>
      </c>
      <c r="CV84" s="75">
        <f t="shared" ca="1" si="214"/>
        <v>0</v>
      </c>
      <c r="CW84" s="75">
        <f t="shared" ca="1" si="215"/>
        <v>0</v>
      </c>
      <c r="CX84" s="75">
        <f t="shared" ca="1" si="216"/>
        <v>0</v>
      </c>
      <c r="CY84" s="75">
        <f t="shared" ca="1" si="217"/>
        <v>0</v>
      </c>
      <c r="CZ84" s="75">
        <f t="shared" ca="1" si="218"/>
        <v>0</v>
      </c>
      <c r="DA84" s="75">
        <f t="shared" ca="1" si="219"/>
        <v>0</v>
      </c>
      <c r="DB84" s="75">
        <f t="shared" ca="1" si="220"/>
        <v>0</v>
      </c>
      <c r="DC84" s="75">
        <f t="shared" ca="1" si="221"/>
        <v>0</v>
      </c>
      <c r="DD84" s="75">
        <f t="shared" ca="1" si="222"/>
        <v>0</v>
      </c>
      <c r="DE84" s="75">
        <f t="shared" ca="1" si="223"/>
        <v>0</v>
      </c>
      <c r="DF84" s="75">
        <f t="shared" ca="1" si="224"/>
        <v>0</v>
      </c>
      <c r="DG84" s="75">
        <f t="shared" ca="1" si="225"/>
        <v>0</v>
      </c>
      <c r="DH84" s="75">
        <f t="shared" ca="1" si="226"/>
        <v>0</v>
      </c>
    </row>
    <row r="85" spans="1:112">
      <c r="A85" s="14">
        <f t="shared" si="229"/>
        <v>21</v>
      </c>
      <c r="B85" s="14">
        <f t="shared" ca="1" si="229"/>
        <v>8.7497019701430423E-2</v>
      </c>
      <c r="C85" s="14">
        <f t="shared" si="229"/>
        <v>3874</v>
      </c>
      <c r="P85" s="63" t="b">
        <f t="shared" si="228"/>
        <v>1</v>
      </c>
      <c r="Q85" s="75">
        <f t="shared" ca="1" si="140"/>
        <v>0.67658649368440527</v>
      </c>
      <c r="R85" s="75">
        <f t="shared" ca="1" si="141"/>
        <v>0.55410157981159203</v>
      </c>
      <c r="S85" s="75">
        <f t="shared" ca="1" si="142"/>
        <v>1.8673859652361204E-2</v>
      </c>
      <c r="T85" s="75">
        <f t="shared" ca="1" si="143"/>
        <v>0.67357682406920727</v>
      </c>
      <c r="U85" s="75">
        <f t="shared" ca="1" si="144"/>
        <v>0.50966497504634156</v>
      </c>
      <c r="V85" s="75">
        <f t="shared" ca="1" si="145"/>
        <v>7.4310532050352054E-2</v>
      </c>
      <c r="W85" s="75">
        <f t="shared" ca="1" si="146"/>
        <v>0.73243667588039152</v>
      </c>
      <c r="X85" s="75">
        <f t="shared" ca="1" si="147"/>
        <v>0.59954685460189672</v>
      </c>
      <c r="Y85" s="75">
        <f t="shared" ca="1" si="148"/>
        <v>6.5416705987334678E-2</v>
      </c>
      <c r="Z85" s="75">
        <f t="shared" ca="1" si="149"/>
        <v>0.61249985690537379</v>
      </c>
      <c r="AA85" s="75">
        <f t="shared" ca="1" si="150"/>
        <v>0.44194256813947258</v>
      </c>
      <c r="AB85" s="75">
        <f t="shared" ca="1" si="151"/>
        <v>6.2114989054944794E-2</v>
      </c>
      <c r="AC85" s="75">
        <f t="shared" ca="1" si="152"/>
        <v>0.62225738139472342</v>
      </c>
      <c r="AD85" s="75">
        <f t="shared" ca="1" si="153"/>
        <v>0.45980496154766853</v>
      </c>
      <c r="AE85" s="75">
        <f t="shared" ca="1" si="154"/>
        <v>1.972880334938841E-2</v>
      </c>
      <c r="AF85" s="75"/>
      <c r="AG85" s="75"/>
      <c r="AH85" s="75"/>
      <c r="AI85" s="75">
        <f t="shared" ca="1" si="155"/>
        <v>0</v>
      </c>
      <c r="AJ85" s="75">
        <f t="shared" ca="1" si="156"/>
        <v>0</v>
      </c>
      <c r="AK85" s="75">
        <f t="shared" ca="1" si="157"/>
        <v>0</v>
      </c>
      <c r="AL85" s="75">
        <f t="shared" ca="1" si="158"/>
        <v>0</v>
      </c>
      <c r="AM85" s="75">
        <f t="shared" ca="1" si="159"/>
        <v>0</v>
      </c>
      <c r="AN85" s="75">
        <f t="shared" ca="1" si="160"/>
        <v>0</v>
      </c>
      <c r="AO85" s="75">
        <f t="shared" ca="1" si="161"/>
        <v>0</v>
      </c>
      <c r="AP85" s="75">
        <f t="shared" ca="1" si="162"/>
        <v>0</v>
      </c>
      <c r="AQ85" s="75">
        <f t="shared" ca="1" si="163"/>
        <v>0</v>
      </c>
      <c r="AR85" s="75">
        <f t="shared" ca="1" si="164"/>
        <v>0</v>
      </c>
      <c r="AS85" s="75">
        <f t="shared" ca="1" si="165"/>
        <v>0</v>
      </c>
      <c r="AT85" s="75">
        <f t="shared" ca="1" si="166"/>
        <v>0</v>
      </c>
      <c r="AU85" s="75">
        <f t="shared" ca="1" si="167"/>
        <v>0</v>
      </c>
      <c r="AV85" s="75">
        <f t="shared" ca="1" si="168"/>
        <v>0</v>
      </c>
      <c r="AW85" s="75">
        <f t="shared" ca="1" si="169"/>
        <v>0</v>
      </c>
      <c r="AX85" s="75">
        <f t="shared" ca="1" si="170"/>
        <v>0</v>
      </c>
      <c r="AY85" s="75">
        <f t="shared" ca="1" si="171"/>
        <v>0</v>
      </c>
      <c r="AZ85" s="75">
        <f t="shared" ca="1" si="172"/>
        <v>0</v>
      </c>
      <c r="BA85" s="75">
        <f t="shared" ca="1" si="173"/>
        <v>0</v>
      </c>
      <c r="BB85" s="75">
        <f t="shared" ca="1" si="174"/>
        <v>0</v>
      </c>
      <c r="BC85" s="75">
        <f t="shared" ca="1" si="175"/>
        <v>0</v>
      </c>
      <c r="BD85" s="75">
        <f t="shared" ca="1" si="176"/>
        <v>0</v>
      </c>
      <c r="BE85" s="75">
        <f t="shared" ca="1" si="177"/>
        <v>0</v>
      </c>
      <c r="BF85" s="75">
        <f t="shared" ca="1" si="178"/>
        <v>0</v>
      </c>
      <c r="BG85" s="75">
        <f t="shared" ca="1" si="179"/>
        <v>0</v>
      </c>
      <c r="BH85" s="75">
        <f t="shared" ca="1" si="180"/>
        <v>0</v>
      </c>
      <c r="BI85" s="75">
        <f t="shared" ca="1" si="181"/>
        <v>0</v>
      </c>
      <c r="BJ85" s="75">
        <f t="shared" ca="1" si="182"/>
        <v>0</v>
      </c>
      <c r="BK85" s="75">
        <f t="shared" ca="1" si="183"/>
        <v>0</v>
      </c>
      <c r="BL85" s="75">
        <f t="shared" ca="1" si="184"/>
        <v>0</v>
      </c>
      <c r="BM85" s="75">
        <f t="shared" ca="1" si="185"/>
        <v>0</v>
      </c>
      <c r="BN85" s="75">
        <f t="shared" ca="1" si="186"/>
        <v>0</v>
      </c>
      <c r="BO85" s="75">
        <f t="shared" ca="1" si="187"/>
        <v>0</v>
      </c>
      <c r="BP85" s="75">
        <f t="shared" ca="1" si="188"/>
        <v>0</v>
      </c>
      <c r="BQ85" s="75">
        <f t="shared" ca="1" si="189"/>
        <v>0</v>
      </c>
      <c r="BR85" s="75">
        <f t="shared" ca="1" si="190"/>
        <v>0</v>
      </c>
      <c r="BS85" s="75"/>
      <c r="BT85" s="75"/>
      <c r="BU85" s="75"/>
      <c r="BV85" s="75">
        <f t="shared" ca="1" si="191"/>
        <v>0</v>
      </c>
      <c r="BW85" s="75">
        <f t="shared" ca="1" si="192"/>
        <v>0</v>
      </c>
      <c r="BX85" s="75">
        <f t="shared" ca="1" si="193"/>
        <v>0</v>
      </c>
      <c r="BY85" s="75">
        <f t="shared" ca="1" si="194"/>
        <v>0</v>
      </c>
      <c r="BZ85" s="75">
        <f t="shared" ca="1" si="195"/>
        <v>0</v>
      </c>
      <c r="CA85" s="75">
        <f t="shared" ca="1" si="196"/>
        <v>0</v>
      </c>
      <c r="CB85" s="75"/>
      <c r="CC85" s="75"/>
      <c r="CD85" s="75"/>
      <c r="CE85" s="75">
        <f t="shared" ca="1" si="197"/>
        <v>0</v>
      </c>
      <c r="CF85" s="75">
        <f t="shared" ca="1" si="198"/>
        <v>0</v>
      </c>
      <c r="CG85" s="75">
        <f t="shared" ca="1" si="199"/>
        <v>0</v>
      </c>
      <c r="CH85" s="75">
        <f t="shared" ca="1" si="200"/>
        <v>0</v>
      </c>
      <c r="CI85" s="75">
        <f t="shared" ca="1" si="201"/>
        <v>0</v>
      </c>
      <c r="CJ85" s="75">
        <f t="shared" ca="1" si="202"/>
        <v>0</v>
      </c>
      <c r="CK85" s="75">
        <f t="shared" ca="1" si="203"/>
        <v>0</v>
      </c>
      <c r="CL85" s="75">
        <f t="shared" ca="1" si="204"/>
        <v>0</v>
      </c>
      <c r="CM85" s="75">
        <f t="shared" ca="1" si="205"/>
        <v>0</v>
      </c>
      <c r="CN85" s="75">
        <f t="shared" ca="1" si="206"/>
        <v>0</v>
      </c>
      <c r="CO85" s="75">
        <f t="shared" ca="1" si="207"/>
        <v>0</v>
      </c>
      <c r="CP85" s="75">
        <f t="shared" ca="1" si="208"/>
        <v>0</v>
      </c>
      <c r="CQ85" s="75">
        <f t="shared" ca="1" si="209"/>
        <v>0</v>
      </c>
      <c r="CR85" s="75">
        <f t="shared" ca="1" si="210"/>
        <v>0</v>
      </c>
      <c r="CS85" s="75">
        <f t="shared" ca="1" si="211"/>
        <v>0</v>
      </c>
      <c r="CT85" s="75">
        <f t="shared" ca="1" si="212"/>
        <v>0</v>
      </c>
      <c r="CU85" s="75">
        <f t="shared" ca="1" si="213"/>
        <v>0</v>
      </c>
      <c r="CV85" s="75">
        <f t="shared" ca="1" si="214"/>
        <v>0</v>
      </c>
      <c r="CW85" s="75">
        <f t="shared" ca="1" si="215"/>
        <v>0</v>
      </c>
      <c r="CX85" s="75">
        <f t="shared" ca="1" si="216"/>
        <v>0</v>
      </c>
      <c r="CY85" s="75">
        <f t="shared" ca="1" si="217"/>
        <v>0</v>
      </c>
      <c r="CZ85" s="75">
        <f t="shared" ca="1" si="218"/>
        <v>0</v>
      </c>
      <c r="DA85" s="75">
        <f t="shared" ca="1" si="219"/>
        <v>0</v>
      </c>
      <c r="DB85" s="75">
        <f t="shared" ca="1" si="220"/>
        <v>0</v>
      </c>
      <c r="DC85" s="75">
        <f t="shared" ca="1" si="221"/>
        <v>0</v>
      </c>
      <c r="DD85" s="75">
        <f t="shared" ca="1" si="222"/>
        <v>0</v>
      </c>
      <c r="DE85" s="75">
        <f t="shared" ca="1" si="223"/>
        <v>0</v>
      </c>
      <c r="DF85" s="75">
        <f t="shared" ca="1" si="224"/>
        <v>0</v>
      </c>
      <c r="DG85" s="75">
        <f t="shared" ca="1" si="225"/>
        <v>0</v>
      </c>
      <c r="DH85" s="75">
        <f t="shared" ca="1" si="226"/>
        <v>0</v>
      </c>
    </row>
    <row r="86" spans="1:112">
      <c r="A86" s="14">
        <f t="shared" si="229"/>
        <v>22</v>
      </c>
      <c r="B86" s="14">
        <f t="shared" ca="1" si="229"/>
        <v>6.4528090696904072E-2</v>
      </c>
      <c r="C86" s="14">
        <f t="shared" si="229"/>
        <v>3852.9</v>
      </c>
      <c r="P86" s="63" t="b">
        <f t="shared" si="228"/>
        <v>1</v>
      </c>
      <c r="Q86" s="75">
        <f t="shared" ca="1" si="140"/>
        <v>0.61068224780769775</v>
      </c>
      <c r="R86" s="75">
        <f t="shared" ca="1" si="141"/>
        <v>0.45983166295746775</v>
      </c>
      <c r="S86" s="75">
        <f t="shared" ca="1" si="142"/>
        <v>0.11285257723589771</v>
      </c>
      <c r="T86" s="75">
        <f t="shared" ca="1" si="143"/>
        <v>0.60758169165635922</v>
      </c>
      <c r="U86" s="75">
        <f t="shared" ca="1" si="144"/>
        <v>0.40722494752754629</v>
      </c>
      <c r="V86" s="75">
        <f t="shared" ca="1" si="145"/>
        <v>0.17216702385321198</v>
      </c>
      <c r="W86" s="75">
        <f t="shared" ca="1" si="146"/>
        <v>0.64864701703129957</v>
      </c>
      <c r="X86" s="75">
        <f t="shared" ca="1" si="147"/>
        <v>0.45513287246874018</v>
      </c>
      <c r="Y86" s="75">
        <f t="shared" ca="1" si="148"/>
        <v>0.1886998295184123</v>
      </c>
      <c r="Z86" s="75">
        <f t="shared" ca="1" si="149"/>
        <v>0.54466264239066187</v>
      </c>
      <c r="AA86" s="75">
        <f t="shared" ca="1" si="150"/>
        <v>0.33855135354304627</v>
      </c>
      <c r="AB86" s="75">
        <f t="shared" ca="1" si="151"/>
        <v>0.15920702231741993</v>
      </c>
      <c r="AC86" s="75">
        <f t="shared" ca="1" si="152"/>
        <v>0.55305333709192572</v>
      </c>
      <c r="AD86" s="75">
        <f t="shared" ca="1" si="153"/>
        <v>0.35071596753971096</v>
      </c>
      <c r="AE86" s="75">
        <f t="shared" ca="1" si="154"/>
        <v>0.12078283815530141</v>
      </c>
      <c r="AF86" s="75"/>
      <c r="AG86" s="75"/>
      <c r="AH86" s="75"/>
      <c r="AI86" s="75">
        <f t="shared" ca="1" si="155"/>
        <v>0</v>
      </c>
      <c r="AJ86" s="75">
        <f t="shared" ca="1" si="156"/>
        <v>0</v>
      </c>
      <c r="AK86" s="75">
        <f t="shared" ca="1" si="157"/>
        <v>0</v>
      </c>
      <c r="AL86" s="75">
        <f t="shared" ca="1" si="158"/>
        <v>0</v>
      </c>
      <c r="AM86" s="75">
        <f t="shared" ca="1" si="159"/>
        <v>0</v>
      </c>
      <c r="AN86" s="75">
        <f t="shared" ca="1" si="160"/>
        <v>0</v>
      </c>
      <c r="AO86" s="75">
        <f t="shared" ca="1" si="161"/>
        <v>0</v>
      </c>
      <c r="AP86" s="75">
        <f t="shared" ca="1" si="162"/>
        <v>0</v>
      </c>
      <c r="AQ86" s="75">
        <f t="shared" ca="1" si="163"/>
        <v>0</v>
      </c>
      <c r="AR86" s="75">
        <f t="shared" ca="1" si="164"/>
        <v>0</v>
      </c>
      <c r="AS86" s="75">
        <f t="shared" ca="1" si="165"/>
        <v>0</v>
      </c>
      <c r="AT86" s="75">
        <f t="shared" ca="1" si="166"/>
        <v>0</v>
      </c>
      <c r="AU86" s="75">
        <f t="shared" ca="1" si="167"/>
        <v>0</v>
      </c>
      <c r="AV86" s="75">
        <f t="shared" ca="1" si="168"/>
        <v>0</v>
      </c>
      <c r="AW86" s="75">
        <f t="shared" ca="1" si="169"/>
        <v>0</v>
      </c>
      <c r="AX86" s="75">
        <f t="shared" ca="1" si="170"/>
        <v>0</v>
      </c>
      <c r="AY86" s="75">
        <f t="shared" ca="1" si="171"/>
        <v>0</v>
      </c>
      <c r="AZ86" s="75">
        <f t="shared" ca="1" si="172"/>
        <v>0</v>
      </c>
      <c r="BA86" s="75">
        <f t="shared" ca="1" si="173"/>
        <v>0</v>
      </c>
      <c r="BB86" s="75">
        <f t="shared" ca="1" si="174"/>
        <v>0</v>
      </c>
      <c r="BC86" s="75">
        <f t="shared" ca="1" si="175"/>
        <v>0</v>
      </c>
      <c r="BD86" s="75">
        <f t="shared" ca="1" si="176"/>
        <v>0</v>
      </c>
      <c r="BE86" s="75">
        <f t="shared" ca="1" si="177"/>
        <v>0</v>
      </c>
      <c r="BF86" s="75">
        <f t="shared" ca="1" si="178"/>
        <v>0</v>
      </c>
      <c r="BG86" s="75">
        <f t="shared" ca="1" si="179"/>
        <v>0</v>
      </c>
      <c r="BH86" s="75">
        <f t="shared" ca="1" si="180"/>
        <v>0</v>
      </c>
      <c r="BI86" s="75">
        <f t="shared" ca="1" si="181"/>
        <v>0</v>
      </c>
      <c r="BJ86" s="75">
        <f t="shared" ca="1" si="182"/>
        <v>0</v>
      </c>
      <c r="BK86" s="75">
        <f t="shared" ca="1" si="183"/>
        <v>0</v>
      </c>
      <c r="BL86" s="75">
        <f t="shared" ca="1" si="184"/>
        <v>0</v>
      </c>
      <c r="BM86" s="75">
        <f t="shared" ca="1" si="185"/>
        <v>0</v>
      </c>
      <c r="BN86" s="75">
        <f t="shared" ca="1" si="186"/>
        <v>0</v>
      </c>
      <c r="BO86" s="75">
        <f t="shared" ca="1" si="187"/>
        <v>0</v>
      </c>
      <c r="BP86" s="75">
        <f t="shared" ca="1" si="188"/>
        <v>0</v>
      </c>
      <c r="BQ86" s="75">
        <f t="shared" ca="1" si="189"/>
        <v>0</v>
      </c>
      <c r="BR86" s="75">
        <f t="shared" ca="1" si="190"/>
        <v>0</v>
      </c>
      <c r="BS86" s="75"/>
      <c r="BT86" s="75"/>
      <c r="BU86" s="75"/>
      <c r="BV86" s="75">
        <f t="shared" ca="1" si="191"/>
        <v>0</v>
      </c>
      <c r="BW86" s="75">
        <f t="shared" ca="1" si="192"/>
        <v>0</v>
      </c>
      <c r="BX86" s="75">
        <f t="shared" ca="1" si="193"/>
        <v>0</v>
      </c>
      <c r="BY86" s="75">
        <f t="shared" ca="1" si="194"/>
        <v>0</v>
      </c>
      <c r="BZ86" s="75">
        <f t="shared" ca="1" si="195"/>
        <v>0</v>
      </c>
      <c r="CA86" s="75">
        <f t="shared" ca="1" si="196"/>
        <v>0</v>
      </c>
      <c r="CB86" s="75"/>
      <c r="CC86" s="75"/>
      <c r="CD86" s="75"/>
      <c r="CE86" s="75">
        <f t="shared" ca="1" si="197"/>
        <v>0</v>
      </c>
      <c r="CF86" s="75">
        <f t="shared" ca="1" si="198"/>
        <v>0</v>
      </c>
      <c r="CG86" s="75">
        <f t="shared" ca="1" si="199"/>
        <v>0</v>
      </c>
      <c r="CH86" s="75">
        <f t="shared" ca="1" si="200"/>
        <v>0</v>
      </c>
      <c r="CI86" s="75">
        <f t="shared" ca="1" si="201"/>
        <v>0</v>
      </c>
      <c r="CJ86" s="75">
        <f t="shared" ca="1" si="202"/>
        <v>0</v>
      </c>
      <c r="CK86" s="75">
        <f t="shared" ca="1" si="203"/>
        <v>0</v>
      </c>
      <c r="CL86" s="75">
        <f t="shared" ca="1" si="204"/>
        <v>0</v>
      </c>
      <c r="CM86" s="75">
        <f t="shared" ca="1" si="205"/>
        <v>0</v>
      </c>
      <c r="CN86" s="75">
        <f t="shared" ca="1" si="206"/>
        <v>0</v>
      </c>
      <c r="CO86" s="75">
        <f t="shared" ca="1" si="207"/>
        <v>0</v>
      </c>
      <c r="CP86" s="75">
        <f t="shared" ca="1" si="208"/>
        <v>0</v>
      </c>
      <c r="CQ86" s="75">
        <f t="shared" ca="1" si="209"/>
        <v>0</v>
      </c>
      <c r="CR86" s="75">
        <f t="shared" ca="1" si="210"/>
        <v>0</v>
      </c>
      <c r="CS86" s="75">
        <f t="shared" ca="1" si="211"/>
        <v>0</v>
      </c>
      <c r="CT86" s="75">
        <f t="shared" ca="1" si="212"/>
        <v>0</v>
      </c>
      <c r="CU86" s="75">
        <f t="shared" ca="1" si="213"/>
        <v>0</v>
      </c>
      <c r="CV86" s="75">
        <f t="shared" ca="1" si="214"/>
        <v>0</v>
      </c>
      <c r="CW86" s="75">
        <f t="shared" ca="1" si="215"/>
        <v>0</v>
      </c>
      <c r="CX86" s="75">
        <f t="shared" ca="1" si="216"/>
        <v>0</v>
      </c>
      <c r="CY86" s="75">
        <f t="shared" ca="1" si="217"/>
        <v>0</v>
      </c>
      <c r="CZ86" s="75">
        <f t="shared" ca="1" si="218"/>
        <v>0</v>
      </c>
      <c r="DA86" s="75">
        <f t="shared" ca="1" si="219"/>
        <v>0</v>
      </c>
      <c r="DB86" s="75">
        <f t="shared" ca="1" si="220"/>
        <v>0</v>
      </c>
      <c r="DC86" s="75">
        <f t="shared" ca="1" si="221"/>
        <v>0</v>
      </c>
      <c r="DD86" s="75">
        <f t="shared" ca="1" si="222"/>
        <v>0</v>
      </c>
      <c r="DE86" s="75">
        <f t="shared" ca="1" si="223"/>
        <v>0</v>
      </c>
      <c r="DF86" s="75">
        <f t="shared" ca="1" si="224"/>
        <v>0</v>
      </c>
      <c r="DG86" s="75">
        <f t="shared" ca="1" si="225"/>
        <v>0</v>
      </c>
      <c r="DH86" s="75">
        <f t="shared" ca="1" si="226"/>
        <v>0</v>
      </c>
    </row>
    <row r="87" spans="1:112">
      <c r="A87" s="14">
        <f t="shared" si="229"/>
        <v>23</v>
      </c>
      <c r="B87" s="14">
        <f t="shared" ca="1" si="229"/>
        <v>4.8396071685701009E-2</v>
      </c>
      <c r="C87" s="14">
        <f t="shared" si="229"/>
        <v>3862.8</v>
      </c>
      <c r="P87" s="63" t="b">
        <f t="shared" si="228"/>
        <v>1</v>
      </c>
      <c r="Q87" s="75">
        <f t="shared" ca="1" si="140"/>
        <v>0.45646818400692568</v>
      </c>
      <c r="R87" s="75">
        <f t="shared" ca="1" si="141"/>
        <v>0.35511602652173907</v>
      </c>
      <c r="S87" s="75">
        <f t="shared" ca="1" si="142"/>
        <v>5.6999976211585972E-2</v>
      </c>
      <c r="T87" s="75">
        <f t="shared" ca="1" si="143"/>
        <v>0.45409397528237128</v>
      </c>
      <c r="U87" s="75">
        <f t="shared" ca="1" si="144"/>
        <v>0.31155399599218137</v>
      </c>
      <c r="V87" s="75">
        <f t="shared" ca="1" si="145"/>
        <v>0.10638956824906894</v>
      </c>
      <c r="W87" s="75">
        <f t="shared" ca="1" si="146"/>
        <v>0.48685063176257171</v>
      </c>
      <c r="X87" s="75">
        <f t="shared" ca="1" si="147"/>
        <v>0.3440135050376576</v>
      </c>
      <c r="Y87" s="75">
        <f t="shared" ca="1" si="148"/>
        <v>0.1248961505421782</v>
      </c>
      <c r="Z87" s="75">
        <f t="shared" ca="1" si="149"/>
        <v>0.40778399036055296</v>
      </c>
      <c r="AA87" s="75">
        <f t="shared" ca="1" si="150"/>
        <v>0.26144210499887144</v>
      </c>
      <c r="AB87" s="75">
        <f t="shared" ca="1" si="151"/>
        <v>9.8639378224381652E-2</v>
      </c>
      <c r="AC87" s="75">
        <f t="shared" ca="1" si="152"/>
        <v>0.41413155463861179</v>
      </c>
      <c r="AD87" s="75">
        <f t="shared" ca="1" si="153"/>
        <v>0.2727141752099233</v>
      </c>
      <c r="AE87" s="75">
        <f t="shared" ca="1" si="154"/>
        <v>6.0926375363076282E-2</v>
      </c>
      <c r="AF87" s="75"/>
      <c r="AG87" s="75"/>
      <c r="AH87" s="75"/>
      <c r="AI87" s="75">
        <f t="shared" ca="1" si="155"/>
        <v>0</v>
      </c>
      <c r="AJ87" s="75">
        <f t="shared" ca="1" si="156"/>
        <v>0</v>
      </c>
      <c r="AK87" s="75">
        <f t="shared" ca="1" si="157"/>
        <v>0</v>
      </c>
      <c r="AL87" s="75">
        <f t="shared" ca="1" si="158"/>
        <v>0</v>
      </c>
      <c r="AM87" s="75">
        <f t="shared" ca="1" si="159"/>
        <v>0</v>
      </c>
      <c r="AN87" s="75">
        <f t="shared" ca="1" si="160"/>
        <v>0</v>
      </c>
      <c r="AO87" s="75">
        <f t="shared" ca="1" si="161"/>
        <v>0</v>
      </c>
      <c r="AP87" s="75">
        <f t="shared" ca="1" si="162"/>
        <v>0</v>
      </c>
      <c r="AQ87" s="75">
        <f t="shared" ca="1" si="163"/>
        <v>0</v>
      </c>
      <c r="AR87" s="75">
        <f t="shared" ca="1" si="164"/>
        <v>0</v>
      </c>
      <c r="AS87" s="75">
        <f t="shared" ca="1" si="165"/>
        <v>0</v>
      </c>
      <c r="AT87" s="75">
        <f t="shared" ca="1" si="166"/>
        <v>0</v>
      </c>
      <c r="AU87" s="75">
        <f t="shared" ca="1" si="167"/>
        <v>0</v>
      </c>
      <c r="AV87" s="75">
        <f t="shared" ca="1" si="168"/>
        <v>0</v>
      </c>
      <c r="AW87" s="75">
        <f t="shared" ca="1" si="169"/>
        <v>0</v>
      </c>
      <c r="AX87" s="75">
        <f t="shared" ca="1" si="170"/>
        <v>0</v>
      </c>
      <c r="AY87" s="75">
        <f t="shared" ca="1" si="171"/>
        <v>0</v>
      </c>
      <c r="AZ87" s="75">
        <f t="shared" ca="1" si="172"/>
        <v>0</v>
      </c>
      <c r="BA87" s="75">
        <f t="shared" ca="1" si="173"/>
        <v>0</v>
      </c>
      <c r="BB87" s="75">
        <f t="shared" ca="1" si="174"/>
        <v>0</v>
      </c>
      <c r="BC87" s="75">
        <f t="shared" ca="1" si="175"/>
        <v>0</v>
      </c>
      <c r="BD87" s="75">
        <f t="shared" ca="1" si="176"/>
        <v>0</v>
      </c>
      <c r="BE87" s="75">
        <f t="shared" ca="1" si="177"/>
        <v>0</v>
      </c>
      <c r="BF87" s="75">
        <f t="shared" ca="1" si="178"/>
        <v>0</v>
      </c>
      <c r="BG87" s="75">
        <f t="shared" ca="1" si="179"/>
        <v>0</v>
      </c>
      <c r="BH87" s="75">
        <f t="shared" ca="1" si="180"/>
        <v>0</v>
      </c>
      <c r="BI87" s="75">
        <f t="shared" ca="1" si="181"/>
        <v>0</v>
      </c>
      <c r="BJ87" s="75">
        <f t="shared" ca="1" si="182"/>
        <v>0</v>
      </c>
      <c r="BK87" s="75">
        <f t="shared" ca="1" si="183"/>
        <v>0</v>
      </c>
      <c r="BL87" s="75">
        <f t="shared" ca="1" si="184"/>
        <v>0</v>
      </c>
      <c r="BM87" s="75">
        <f t="shared" ca="1" si="185"/>
        <v>0</v>
      </c>
      <c r="BN87" s="75">
        <f t="shared" ca="1" si="186"/>
        <v>0</v>
      </c>
      <c r="BO87" s="75">
        <f t="shared" ca="1" si="187"/>
        <v>0</v>
      </c>
      <c r="BP87" s="75">
        <f t="shared" ca="1" si="188"/>
        <v>0</v>
      </c>
      <c r="BQ87" s="75">
        <f t="shared" ca="1" si="189"/>
        <v>0</v>
      </c>
      <c r="BR87" s="75">
        <f t="shared" ca="1" si="190"/>
        <v>0</v>
      </c>
      <c r="BS87" s="75"/>
      <c r="BT87" s="75"/>
      <c r="BU87" s="75"/>
      <c r="BV87" s="75">
        <f t="shared" ca="1" si="191"/>
        <v>0</v>
      </c>
      <c r="BW87" s="75">
        <f t="shared" ca="1" si="192"/>
        <v>0</v>
      </c>
      <c r="BX87" s="75">
        <f t="shared" ca="1" si="193"/>
        <v>0</v>
      </c>
      <c r="BY87" s="75">
        <f t="shared" ca="1" si="194"/>
        <v>0</v>
      </c>
      <c r="BZ87" s="75">
        <f t="shared" ca="1" si="195"/>
        <v>0</v>
      </c>
      <c r="CA87" s="75">
        <f t="shared" ca="1" si="196"/>
        <v>0</v>
      </c>
      <c r="CB87" s="75"/>
      <c r="CC87" s="75"/>
      <c r="CD87" s="75"/>
      <c r="CE87" s="75">
        <f t="shared" ca="1" si="197"/>
        <v>0</v>
      </c>
      <c r="CF87" s="75">
        <f t="shared" ca="1" si="198"/>
        <v>0</v>
      </c>
      <c r="CG87" s="75">
        <f t="shared" ca="1" si="199"/>
        <v>0</v>
      </c>
      <c r="CH87" s="75">
        <f t="shared" ca="1" si="200"/>
        <v>0</v>
      </c>
      <c r="CI87" s="75">
        <f t="shared" ca="1" si="201"/>
        <v>0</v>
      </c>
      <c r="CJ87" s="75">
        <f t="shared" ca="1" si="202"/>
        <v>0</v>
      </c>
      <c r="CK87" s="75">
        <f t="shared" ca="1" si="203"/>
        <v>0</v>
      </c>
      <c r="CL87" s="75">
        <f t="shared" ca="1" si="204"/>
        <v>0</v>
      </c>
      <c r="CM87" s="75">
        <f t="shared" ca="1" si="205"/>
        <v>0</v>
      </c>
      <c r="CN87" s="75">
        <f t="shared" ca="1" si="206"/>
        <v>0</v>
      </c>
      <c r="CO87" s="75">
        <f t="shared" ca="1" si="207"/>
        <v>0</v>
      </c>
      <c r="CP87" s="75">
        <f t="shared" ca="1" si="208"/>
        <v>0</v>
      </c>
      <c r="CQ87" s="75">
        <f t="shared" ca="1" si="209"/>
        <v>0</v>
      </c>
      <c r="CR87" s="75">
        <f t="shared" ca="1" si="210"/>
        <v>0</v>
      </c>
      <c r="CS87" s="75">
        <f t="shared" ca="1" si="211"/>
        <v>0</v>
      </c>
      <c r="CT87" s="75">
        <f t="shared" ca="1" si="212"/>
        <v>0</v>
      </c>
      <c r="CU87" s="75">
        <f t="shared" ca="1" si="213"/>
        <v>0</v>
      </c>
      <c r="CV87" s="75">
        <f t="shared" ca="1" si="214"/>
        <v>0</v>
      </c>
      <c r="CW87" s="75">
        <f t="shared" ca="1" si="215"/>
        <v>0</v>
      </c>
      <c r="CX87" s="75">
        <f t="shared" ca="1" si="216"/>
        <v>0</v>
      </c>
      <c r="CY87" s="75">
        <f t="shared" ca="1" si="217"/>
        <v>0</v>
      </c>
      <c r="CZ87" s="75">
        <f t="shared" ca="1" si="218"/>
        <v>0</v>
      </c>
      <c r="DA87" s="75">
        <f t="shared" ca="1" si="219"/>
        <v>0</v>
      </c>
      <c r="DB87" s="75">
        <f t="shared" ca="1" si="220"/>
        <v>0</v>
      </c>
      <c r="DC87" s="75">
        <f t="shared" ca="1" si="221"/>
        <v>0</v>
      </c>
      <c r="DD87" s="75">
        <f t="shared" ca="1" si="222"/>
        <v>0</v>
      </c>
      <c r="DE87" s="75">
        <f t="shared" ca="1" si="223"/>
        <v>0</v>
      </c>
      <c r="DF87" s="75">
        <f t="shared" ca="1" si="224"/>
        <v>0</v>
      </c>
      <c r="DG87" s="75">
        <f t="shared" ca="1" si="225"/>
        <v>0</v>
      </c>
      <c r="DH87" s="75">
        <f t="shared" ca="1" si="226"/>
        <v>0</v>
      </c>
    </row>
    <row r="88" spans="1:112">
      <c r="A88" s="14">
        <f t="shared" si="229"/>
        <v>24</v>
      </c>
      <c r="B88" s="14">
        <f t="shared" ca="1" si="229"/>
        <v>1.6900215363934361E-2</v>
      </c>
      <c r="C88" s="14">
        <f t="shared" si="229"/>
        <v>3782.2</v>
      </c>
      <c r="P88" s="63" t="b">
        <f t="shared" si="228"/>
        <v>1</v>
      </c>
      <c r="Q88" s="75">
        <f t="shared" ca="1" si="140"/>
        <v>0.212471805078736</v>
      </c>
      <c r="R88" s="75">
        <f t="shared" ca="1" si="141"/>
        <v>0.14699687784499305</v>
      </c>
      <c r="S88" s="75">
        <f t="shared" ca="1" si="142"/>
        <v>4.6136396252480907E-2</v>
      </c>
      <c r="T88" s="75">
        <f t="shared" ca="1" si="143"/>
        <v>0.22068893513437551</v>
      </c>
      <c r="U88" s="75">
        <f t="shared" ca="1" si="144"/>
        <v>0.1286058800417311</v>
      </c>
      <c r="V88" s="75">
        <f t="shared" ca="1" si="145"/>
        <v>8.3377388630675717E-2</v>
      </c>
      <c r="W88" s="75">
        <f t="shared" ca="1" si="146"/>
        <v>0.23797145284543803</v>
      </c>
      <c r="X88" s="75">
        <f t="shared" ca="1" si="147"/>
        <v>0.14099152564263476</v>
      </c>
      <c r="Y88" s="75">
        <f t="shared" ca="1" si="148"/>
        <v>0.10016620355009408</v>
      </c>
      <c r="Z88" s="75">
        <f t="shared" ca="1" si="149"/>
        <v>0.18940162000573779</v>
      </c>
      <c r="AA88" s="75">
        <f t="shared" ca="1" si="150"/>
        <v>9.6106746523125036E-2</v>
      </c>
      <c r="AB88" s="75">
        <f t="shared" ca="1" si="151"/>
        <v>7.3034118520288474E-2</v>
      </c>
      <c r="AC88" s="75">
        <f t="shared" ca="1" si="152"/>
        <v>0.19004023236697359</v>
      </c>
      <c r="AD88" s="75">
        <f t="shared" ca="1" si="153"/>
        <v>9.4831741883694726E-2</v>
      </c>
      <c r="AE88" s="75">
        <f t="shared" ca="1" si="154"/>
        <v>5.2090317068303617E-2</v>
      </c>
      <c r="AF88" s="75"/>
      <c r="AG88" s="75"/>
      <c r="AH88" s="75"/>
      <c r="AI88" s="75">
        <f t="shared" ca="1" si="155"/>
        <v>0</v>
      </c>
      <c r="AJ88" s="75">
        <f t="shared" ca="1" si="156"/>
        <v>0</v>
      </c>
      <c r="AK88" s="75">
        <f t="shared" ca="1" si="157"/>
        <v>0</v>
      </c>
      <c r="AL88" s="75">
        <f t="shared" ca="1" si="158"/>
        <v>0</v>
      </c>
      <c r="AM88" s="75">
        <f t="shared" ca="1" si="159"/>
        <v>0</v>
      </c>
      <c r="AN88" s="75">
        <f t="shared" ca="1" si="160"/>
        <v>0</v>
      </c>
      <c r="AO88" s="75">
        <f t="shared" ca="1" si="161"/>
        <v>0</v>
      </c>
      <c r="AP88" s="75">
        <f t="shared" ca="1" si="162"/>
        <v>0</v>
      </c>
      <c r="AQ88" s="75">
        <f t="shared" ca="1" si="163"/>
        <v>0</v>
      </c>
      <c r="AR88" s="75">
        <f t="shared" ca="1" si="164"/>
        <v>0</v>
      </c>
      <c r="AS88" s="75">
        <f t="shared" ca="1" si="165"/>
        <v>0</v>
      </c>
      <c r="AT88" s="75">
        <f t="shared" ca="1" si="166"/>
        <v>0</v>
      </c>
      <c r="AU88" s="75">
        <f t="shared" ca="1" si="167"/>
        <v>0</v>
      </c>
      <c r="AV88" s="75">
        <f t="shared" ca="1" si="168"/>
        <v>0</v>
      </c>
      <c r="AW88" s="75">
        <f t="shared" ca="1" si="169"/>
        <v>0</v>
      </c>
      <c r="AX88" s="75">
        <f t="shared" ca="1" si="170"/>
        <v>0</v>
      </c>
      <c r="AY88" s="75">
        <f t="shared" ca="1" si="171"/>
        <v>0</v>
      </c>
      <c r="AZ88" s="75">
        <f t="shared" ca="1" si="172"/>
        <v>0</v>
      </c>
      <c r="BA88" s="75">
        <f t="shared" ca="1" si="173"/>
        <v>0</v>
      </c>
      <c r="BB88" s="75">
        <f t="shared" ca="1" si="174"/>
        <v>0</v>
      </c>
      <c r="BC88" s="75">
        <f t="shared" ca="1" si="175"/>
        <v>0</v>
      </c>
      <c r="BD88" s="75">
        <f t="shared" ca="1" si="176"/>
        <v>0</v>
      </c>
      <c r="BE88" s="75">
        <f t="shared" ca="1" si="177"/>
        <v>0</v>
      </c>
      <c r="BF88" s="75">
        <f t="shared" ca="1" si="178"/>
        <v>0</v>
      </c>
      <c r="BG88" s="75">
        <f t="shared" ca="1" si="179"/>
        <v>0</v>
      </c>
      <c r="BH88" s="75">
        <f t="shared" ca="1" si="180"/>
        <v>0</v>
      </c>
      <c r="BI88" s="75">
        <f t="shared" ca="1" si="181"/>
        <v>0</v>
      </c>
      <c r="BJ88" s="75">
        <f t="shared" ca="1" si="182"/>
        <v>0</v>
      </c>
      <c r="BK88" s="75">
        <f t="shared" ca="1" si="183"/>
        <v>0</v>
      </c>
      <c r="BL88" s="75">
        <f t="shared" ca="1" si="184"/>
        <v>0</v>
      </c>
      <c r="BM88" s="75">
        <f t="shared" ca="1" si="185"/>
        <v>0</v>
      </c>
      <c r="BN88" s="75">
        <f t="shared" ca="1" si="186"/>
        <v>0</v>
      </c>
      <c r="BO88" s="75">
        <f t="shared" ca="1" si="187"/>
        <v>0</v>
      </c>
      <c r="BP88" s="75">
        <f t="shared" ca="1" si="188"/>
        <v>0</v>
      </c>
      <c r="BQ88" s="75">
        <f t="shared" ca="1" si="189"/>
        <v>0</v>
      </c>
      <c r="BR88" s="75">
        <f t="shared" ca="1" si="190"/>
        <v>0</v>
      </c>
      <c r="BS88" s="75"/>
      <c r="BT88" s="75"/>
      <c r="BU88" s="75"/>
      <c r="BV88" s="75">
        <f t="shared" ca="1" si="191"/>
        <v>0</v>
      </c>
      <c r="BW88" s="75">
        <f t="shared" ca="1" si="192"/>
        <v>0</v>
      </c>
      <c r="BX88" s="75">
        <f t="shared" ca="1" si="193"/>
        <v>0</v>
      </c>
      <c r="BY88" s="75">
        <f t="shared" ca="1" si="194"/>
        <v>0</v>
      </c>
      <c r="BZ88" s="75">
        <f t="shared" ca="1" si="195"/>
        <v>0</v>
      </c>
      <c r="CA88" s="75">
        <f t="shared" ca="1" si="196"/>
        <v>0</v>
      </c>
      <c r="CB88" s="75"/>
      <c r="CC88" s="75"/>
      <c r="CD88" s="75"/>
      <c r="CE88" s="75">
        <f t="shared" ca="1" si="197"/>
        <v>0</v>
      </c>
      <c r="CF88" s="75">
        <f t="shared" ca="1" si="198"/>
        <v>0</v>
      </c>
      <c r="CG88" s="75">
        <f t="shared" ca="1" si="199"/>
        <v>0</v>
      </c>
      <c r="CH88" s="75">
        <f t="shared" ca="1" si="200"/>
        <v>0</v>
      </c>
      <c r="CI88" s="75">
        <f t="shared" ca="1" si="201"/>
        <v>0</v>
      </c>
      <c r="CJ88" s="75">
        <f t="shared" ca="1" si="202"/>
        <v>0</v>
      </c>
      <c r="CK88" s="75">
        <f t="shared" ca="1" si="203"/>
        <v>0</v>
      </c>
      <c r="CL88" s="75">
        <f t="shared" ca="1" si="204"/>
        <v>0</v>
      </c>
      <c r="CM88" s="75">
        <f t="shared" ca="1" si="205"/>
        <v>0</v>
      </c>
      <c r="CN88" s="75">
        <f t="shared" ca="1" si="206"/>
        <v>0</v>
      </c>
      <c r="CO88" s="75">
        <f t="shared" ca="1" si="207"/>
        <v>0</v>
      </c>
      <c r="CP88" s="75">
        <f t="shared" ca="1" si="208"/>
        <v>0</v>
      </c>
      <c r="CQ88" s="75">
        <f t="shared" ca="1" si="209"/>
        <v>0</v>
      </c>
      <c r="CR88" s="75">
        <f t="shared" ca="1" si="210"/>
        <v>0</v>
      </c>
      <c r="CS88" s="75">
        <f t="shared" ca="1" si="211"/>
        <v>0</v>
      </c>
      <c r="CT88" s="75">
        <f t="shared" ca="1" si="212"/>
        <v>0</v>
      </c>
      <c r="CU88" s="75">
        <f t="shared" ca="1" si="213"/>
        <v>0</v>
      </c>
      <c r="CV88" s="75">
        <f t="shared" ca="1" si="214"/>
        <v>0</v>
      </c>
      <c r="CW88" s="75">
        <f t="shared" ca="1" si="215"/>
        <v>0</v>
      </c>
      <c r="CX88" s="75">
        <f t="shared" ca="1" si="216"/>
        <v>0</v>
      </c>
      <c r="CY88" s="75">
        <f t="shared" ca="1" si="217"/>
        <v>0</v>
      </c>
      <c r="CZ88" s="75">
        <f t="shared" ca="1" si="218"/>
        <v>0</v>
      </c>
      <c r="DA88" s="75">
        <f t="shared" ca="1" si="219"/>
        <v>0</v>
      </c>
      <c r="DB88" s="75">
        <f t="shared" ca="1" si="220"/>
        <v>0</v>
      </c>
      <c r="DC88" s="75">
        <f t="shared" ca="1" si="221"/>
        <v>0</v>
      </c>
      <c r="DD88" s="75">
        <f t="shared" ca="1" si="222"/>
        <v>0</v>
      </c>
      <c r="DE88" s="75">
        <f t="shared" ca="1" si="223"/>
        <v>0</v>
      </c>
      <c r="DF88" s="75">
        <f t="shared" ca="1" si="224"/>
        <v>0</v>
      </c>
      <c r="DG88" s="75">
        <f t="shared" ca="1" si="225"/>
        <v>0</v>
      </c>
      <c r="DH88" s="75">
        <f t="shared" ca="1" si="226"/>
        <v>0</v>
      </c>
    </row>
    <row r="89" spans="1:112">
      <c r="A89" s="14">
        <f t="shared" si="229"/>
        <v>25</v>
      </c>
      <c r="B89" s="14">
        <f t="shared" ca="1" si="229"/>
        <v>1.3827448268123942E-2</v>
      </c>
      <c r="C89" s="14">
        <f t="shared" si="229"/>
        <v>3801.6</v>
      </c>
      <c r="P89" s="63" t="b">
        <f t="shared" si="228"/>
        <v>1</v>
      </c>
      <c r="Q89" s="75">
        <f t="shared" ca="1" si="140"/>
        <v>0.16081713172241721</v>
      </c>
      <c r="R89" s="75">
        <f t="shared" ca="1" si="141"/>
        <v>0.11559592522521427</v>
      </c>
      <c r="S89" s="75">
        <f t="shared" ca="1" si="142"/>
        <v>1.0071053794912761E-2</v>
      </c>
      <c r="T89" s="75">
        <f t="shared" ca="1" si="143"/>
        <v>0.17191954044819915</v>
      </c>
      <c r="U89" s="75">
        <f t="shared" ca="1" si="144"/>
        <v>0.1054069214949848</v>
      </c>
      <c r="V89" s="75">
        <f t="shared" ca="1" si="145"/>
        <v>4.3940384646725603E-2</v>
      </c>
      <c r="W89" s="75">
        <f t="shared" ca="1" si="146"/>
        <v>0.18573461182188583</v>
      </c>
      <c r="X89" s="75">
        <f t="shared" ca="1" si="147"/>
        <v>0.12472482558797891</v>
      </c>
      <c r="Y89" s="75">
        <f t="shared" ca="1" si="148"/>
        <v>5.0904166094104843E-2</v>
      </c>
      <c r="Z89" s="75">
        <f t="shared" ca="1" si="149"/>
        <v>0.14664036147204196</v>
      </c>
      <c r="AA89" s="75">
        <f t="shared" ca="1" si="150"/>
        <v>8.450596414653827E-2</v>
      </c>
      <c r="AB89" s="75">
        <f t="shared" ca="1" si="151"/>
        <v>3.1647762823829438E-2</v>
      </c>
      <c r="AC89" s="75">
        <f t="shared" ca="1" si="152"/>
        <v>0.14299268149022046</v>
      </c>
      <c r="AD89" s="75">
        <f t="shared" ca="1" si="153"/>
        <v>7.8969402718567325E-2</v>
      </c>
      <c r="AE89" s="75">
        <f t="shared" ca="1" si="154"/>
        <v>9.8084364579052279E-3</v>
      </c>
      <c r="AF89" s="75"/>
      <c r="AG89" s="75"/>
      <c r="AH89" s="75"/>
      <c r="AI89" s="75">
        <f t="shared" ca="1" si="155"/>
        <v>0</v>
      </c>
      <c r="AJ89" s="75">
        <f t="shared" ca="1" si="156"/>
        <v>0</v>
      </c>
      <c r="AK89" s="75">
        <f t="shared" ca="1" si="157"/>
        <v>0</v>
      </c>
      <c r="AL89" s="75">
        <f t="shared" ca="1" si="158"/>
        <v>0</v>
      </c>
      <c r="AM89" s="75">
        <f t="shared" ca="1" si="159"/>
        <v>0</v>
      </c>
      <c r="AN89" s="75">
        <f t="shared" ca="1" si="160"/>
        <v>0</v>
      </c>
      <c r="AO89" s="75">
        <f t="shared" ca="1" si="161"/>
        <v>0</v>
      </c>
      <c r="AP89" s="75">
        <f t="shared" ca="1" si="162"/>
        <v>0</v>
      </c>
      <c r="AQ89" s="75">
        <f t="shared" ca="1" si="163"/>
        <v>0</v>
      </c>
      <c r="AR89" s="75">
        <f t="shared" ca="1" si="164"/>
        <v>0</v>
      </c>
      <c r="AS89" s="75">
        <f t="shared" ca="1" si="165"/>
        <v>0</v>
      </c>
      <c r="AT89" s="75">
        <f t="shared" ca="1" si="166"/>
        <v>0</v>
      </c>
      <c r="AU89" s="75">
        <f t="shared" ca="1" si="167"/>
        <v>0</v>
      </c>
      <c r="AV89" s="75">
        <f t="shared" ca="1" si="168"/>
        <v>0</v>
      </c>
      <c r="AW89" s="75">
        <f t="shared" ca="1" si="169"/>
        <v>0</v>
      </c>
      <c r="AX89" s="75">
        <f t="shared" ca="1" si="170"/>
        <v>0</v>
      </c>
      <c r="AY89" s="75">
        <f t="shared" ca="1" si="171"/>
        <v>0</v>
      </c>
      <c r="AZ89" s="75">
        <f t="shared" ca="1" si="172"/>
        <v>0</v>
      </c>
      <c r="BA89" s="75">
        <f t="shared" ca="1" si="173"/>
        <v>0</v>
      </c>
      <c r="BB89" s="75">
        <f t="shared" ca="1" si="174"/>
        <v>0</v>
      </c>
      <c r="BC89" s="75">
        <f t="shared" ca="1" si="175"/>
        <v>0</v>
      </c>
      <c r="BD89" s="75">
        <f t="shared" ca="1" si="176"/>
        <v>0</v>
      </c>
      <c r="BE89" s="75">
        <f t="shared" ca="1" si="177"/>
        <v>0</v>
      </c>
      <c r="BF89" s="75">
        <f t="shared" ca="1" si="178"/>
        <v>0</v>
      </c>
      <c r="BG89" s="75">
        <f t="shared" ca="1" si="179"/>
        <v>0</v>
      </c>
      <c r="BH89" s="75">
        <f t="shared" ca="1" si="180"/>
        <v>0</v>
      </c>
      <c r="BI89" s="75">
        <f t="shared" ca="1" si="181"/>
        <v>0</v>
      </c>
      <c r="BJ89" s="75">
        <f t="shared" ca="1" si="182"/>
        <v>0</v>
      </c>
      <c r="BK89" s="75">
        <f t="shared" ca="1" si="183"/>
        <v>0</v>
      </c>
      <c r="BL89" s="75">
        <f t="shared" ca="1" si="184"/>
        <v>0</v>
      </c>
      <c r="BM89" s="75">
        <f t="shared" ca="1" si="185"/>
        <v>0</v>
      </c>
      <c r="BN89" s="75">
        <f t="shared" ca="1" si="186"/>
        <v>0</v>
      </c>
      <c r="BO89" s="75">
        <f t="shared" ca="1" si="187"/>
        <v>0</v>
      </c>
      <c r="BP89" s="75">
        <f t="shared" ca="1" si="188"/>
        <v>0</v>
      </c>
      <c r="BQ89" s="75">
        <f t="shared" ca="1" si="189"/>
        <v>0</v>
      </c>
      <c r="BR89" s="75">
        <f t="shared" ca="1" si="190"/>
        <v>0</v>
      </c>
      <c r="BS89" s="75"/>
      <c r="BT89" s="75"/>
      <c r="BU89" s="75"/>
      <c r="BV89" s="75">
        <f t="shared" ca="1" si="191"/>
        <v>0</v>
      </c>
      <c r="BW89" s="75">
        <f t="shared" ca="1" si="192"/>
        <v>0</v>
      </c>
      <c r="BX89" s="75">
        <f t="shared" ca="1" si="193"/>
        <v>0</v>
      </c>
      <c r="BY89" s="75">
        <f t="shared" ca="1" si="194"/>
        <v>0</v>
      </c>
      <c r="BZ89" s="75">
        <f t="shared" ca="1" si="195"/>
        <v>0</v>
      </c>
      <c r="CA89" s="75">
        <f t="shared" ca="1" si="196"/>
        <v>0</v>
      </c>
      <c r="CB89" s="75"/>
      <c r="CC89" s="75"/>
      <c r="CD89" s="75"/>
      <c r="CE89" s="75">
        <f t="shared" ca="1" si="197"/>
        <v>0</v>
      </c>
      <c r="CF89" s="75">
        <f t="shared" ca="1" si="198"/>
        <v>0</v>
      </c>
      <c r="CG89" s="75">
        <f t="shared" ca="1" si="199"/>
        <v>0</v>
      </c>
      <c r="CH89" s="75">
        <f t="shared" ca="1" si="200"/>
        <v>0</v>
      </c>
      <c r="CI89" s="75">
        <f t="shared" ca="1" si="201"/>
        <v>0</v>
      </c>
      <c r="CJ89" s="75">
        <f t="shared" ca="1" si="202"/>
        <v>0</v>
      </c>
      <c r="CK89" s="75">
        <f t="shared" ca="1" si="203"/>
        <v>0</v>
      </c>
      <c r="CL89" s="75">
        <f t="shared" ca="1" si="204"/>
        <v>0</v>
      </c>
      <c r="CM89" s="75">
        <f t="shared" ca="1" si="205"/>
        <v>0</v>
      </c>
      <c r="CN89" s="75">
        <f t="shared" ca="1" si="206"/>
        <v>0</v>
      </c>
      <c r="CO89" s="75">
        <f t="shared" ca="1" si="207"/>
        <v>0</v>
      </c>
      <c r="CP89" s="75">
        <f t="shared" ca="1" si="208"/>
        <v>0</v>
      </c>
      <c r="CQ89" s="75">
        <f t="shared" ca="1" si="209"/>
        <v>0</v>
      </c>
      <c r="CR89" s="75">
        <f t="shared" ca="1" si="210"/>
        <v>0</v>
      </c>
      <c r="CS89" s="75">
        <f t="shared" ca="1" si="211"/>
        <v>0</v>
      </c>
      <c r="CT89" s="75">
        <f t="shared" ca="1" si="212"/>
        <v>0</v>
      </c>
      <c r="CU89" s="75">
        <f t="shared" ca="1" si="213"/>
        <v>0</v>
      </c>
      <c r="CV89" s="75">
        <f t="shared" ca="1" si="214"/>
        <v>0</v>
      </c>
      <c r="CW89" s="75">
        <f t="shared" ca="1" si="215"/>
        <v>0</v>
      </c>
      <c r="CX89" s="75">
        <f t="shared" ca="1" si="216"/>
        <v>0</v>
      </c>
      <c r="CY89" s="75">
        <f t="shared" ca="1" si="217"/>
        <v>0</v>
      </c>
      <c r="CZ89" s="75">
        <f t="shared" ca="1" si="218"/>
        <v>0</v>
      </c>
      <c r="DA89" s="75">
        <f t="shared" ca="1" si="219"/>
        <v>0</v>
      </c>
      <c r="DB89" s="75">
        <f t="shared" ca="1" si="220"/>
        <v>0</v>
      </c>
      <c r="DC89" s="75">
        <f t="shared" ca="1" si="221"/>
        <v>0</v>
      </c>
      <c r="DD89" s="75">
        <f t="shared" ca="1" si="222"/>
        <v>0</v>
      </c>
      <c r="DE89" s="75">
        <f t="shared" ca="1" si="223"/>
        <v>0</v>
      </c>
      <c r="DF89" s="75">
        <f t="shared" ca="1" si="224"/>
        <v>0</v>
      </c>
      <c r="DG89" s="75">
        <f t="shared" ca="1" si="225"/>
        <v>0</v>
      </c>
      <c r="DH89" s="75">
        <f t="shared" ca="1" si="226"/>
        <v>0</v>
      </c>
    </row>
    <row r="90" spans="1:112">
      <c r="P90" s="14">
        <f>ROW(P65)+MATCH(TRUE,P65:P89,0)-1</f>
        <v>65</v>
      </c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5"/>
      <c r="AB90" s="75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5"/>
      <c r="BA90" s="75"/>
      <c r="BB90" s="75"/>
      <c r="BC90" s="75"/>
      <c r="BD90" s="75"/>
      <c r="BE90" s="75"/>
      <c r="BF90" s="75"/>
      <c r="BG90" s="75"/>
      <c r="BH90" s="75"/>
      <c r="BI90" s="75"/>
      <c r="BJ90" s="75"/>
      <c r="BK90" s="75"/>
      <c r="BL90" s="75"/>
      <c r="BM90" s="75"/>
      <c r="BN90" s="75"/>
      <c r="BO90" s="75"/>
      <c r="BP90" s="75"/>
      <c r="BQ90" s="75"/>
      <c r="BR90" s="75"/>
      <c r="BS90" s="75"/>
      <c r="BT90" s="75"/>
      <c r="BU90" s="75"/>
      <c r="BV90" s="75"/>
      <c r="BW90" s="75"/>
      <c r="BX90" s="75"/>
      <c r="BY90" s="75"/>
      <c r="BZ90" s="75"/>
      <c r="CA90" s="75"/>
      <c r="CB90" s="75"/>
      <c r="CC90" s="75"/>
      <c r="CD90" s="75"/>
      <c r="CE90" s="75"/>
      <c r="CF90" s="75"/>
      <c r="CG90" s="75"/>
      <c r="CH90" s="75"/>
      <c r="CI90" s="75"/>
      <c r="CJ90" s="75"/>
      <c r="CK90" s="75"/>
      <c r="CL90" s="75"/>
      <c r="CM90" s="75"/>
      <c r="CN90" s="75"/>
      <c r="CO90" s="75"/>
      <c r="CP90" s="75"/>
      <c r="CQ90" s="75"/>
      <c r="CR90" s="75"/>
      <c r="CS90" s="75"/>
      <c r="CT90" s="75"/>
      <c r="CU90" s="75"/>
      <c r="CV90" s="75"/>
      <c r="CW90" s="75"/>
      <c r="CX90" s="75"/>
      <c r="CY90" s="75"/>
      <c r="CZ90" s="75"/>
      <c r="DA90" s="75"/>
      <c r="DB90" s="75"/>
      <c r="DC90" s="75"/>
      <c r="DD90" s="75"/>
      <c r="DE90" s="75"/>
      <c r="DF90" s="75"/>
      <c r="DG90" s="75"/>
      <c r="DH90" s="75"/>
    </row>
    <row r="91" spans="1:112">
      <c r="Q91" s="75"/>
      <c r="R91" s="75"/>
      <c r="S91" s="75"/>
      <c r="T91" s="75"/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  <c r="AI91" s="75"/>
      <c r="AJ91" s="75"/>
      <c r="AK91" s="75"/>
      <c r="AL91" s="75"/>
      <c r="AM91" s="75"/>
      <c r="AN91" s="75"/>
      <c r="AO91" s="75"/>
      <c r="AP91" s="75"/>
      <c r="AQ91" s="75"/>
      <c r="AR91" s="75"/>
      <c r="AS91" s="75"/>
      <c r="AT91" s="75"/>
      <c r="AU91" s="75"/>
      <c r="AV91" s="75"/>
      <c r="AW91" s="75"/>
      <c r="AX91" s="75"/>
      <c r="AY91" s="75"/>
      <c r="AZ91" s="75"/>
      <c r="BA91" s="75"/>
      <c r="BB91" s="75"/>
      <c r="BC91" s="75"/>
      <c r="BD91" s="75"/>
      <c r="BE91" s="75"/>
      <c r="BF91" s="75"/>
      <c r="BG91" s="75"/>
      <c r="BH91" s="75"/>
      <c r="BI91" s="75"/>
      <c r="BJ91" s="75"/>
      <c r="BK91" s="75"/>
      <c r="BL91" s="75"/>
      <c r="BM91" s="75"/>
      <c r="BN91" s="75"/>
      <c r="BO91" s="75"/>
      <c r="BP91" s="75"/>
      <c r="BQ91" s="75"/>
      <c r="BR91" s="75"/>
      <c r="BS91" s="75"/>
      <c r="BT91" s="75"/>
      <c r="BU91" s="75"/>
      <c r="BV91" s="75"/>
      <c r="BW91" s="75"/>
      <c r="BX91" s="75"/>
      <c r="BY91" s="75"/>
      <c r="BZ91" s="75"/>
      <c r="CA91" s="75"/>
      <c r="CB91" s="75"/>
      <c r="CC91" s="75"/>
      <c r="CD91" s="75"/>
      <c r="CE91" s="75"/>
      <c r="CF91" s="75"/>
      <c r="CG91" s="75"/>
      <c r="CH91" s="75"/>
      <c r="CI91" s="75"/>
      <c r="CJ91" s="75"/>
      <c r="CK91" s="75"/>
      <c r="CL91" s="75"/>
      <c r="CM91" s="75"/>
      <c r="CN91" s="75"/>
      <c r="CO91" s="75"/>
      <c r="CP91" s="75"/>
      <c r="CQ91" s="75"/>
      <c r="CR91" s="75"/>
      <c r="CS91" s="75"/>
      <c r="CT91" s="75"/>
      <c r="CU91" s="75"/>
      <c r="CV91" s="75"/>
      <c r="CW91" s="75"/>
      <c r="CX91" s="75"/>
      <c r="CY91" s="75"/>
      <c r="CZ91" s="75"/>
      <c r="DA91" s="75"/>
      <c r="DB91" s="75"/>
      <c r="DC91" s="75"/>
      <c r="DD91" s="75"/>
      <c r="DE91" s="75"/>
      <c r="DF91" s="75"/>
      <c r="DG91" s="75"/>
      <c r="DH91" s="75"/>
    </row>
    <row r="92" spans="1:112">
      <c r="Q92" s="75"/>
      <c r="R92" s="75"/>
      <c r="S92" s="75"/>
      <c r="T92" s="75"/>
      <c r="U92" s="75"/>
      <c r="V92" s="75"/>
      <c r="W92" s="75"/>
      <c r="X92" s="75"/>
      <c r="Y92" s="75"/>
      <c r="Z92" s="75"/>
      <c r="AA92" s="75"/>
      <c r="AB92" s="75"/>
      <c r="AC92" s="75"/>
      <c r="AD92" s="75"/>
      <c r="AE92" s="75"/>
      <c r="AF92" s="75"/>
      <c r="AG92" s="75"/>
      <c r="AH92" s="75"/>
      <c r="AI92" s="75"/>
      <c r="AJ92" s="75"/>
      <c r="AK92" s="75"/>
      <c r="AL92" s="75"/>
      <c r="AM92" s="75"/>
      <c r="AN92" s="75"/>
      <c r="AO92" s="75"/>
      <c r="AP92" s="75"/>
      <c r="AQ92" s="75"/>
      <c r="AR92" s="75"/>
      <c r="AS92" s="75"/>
      <c r="AT92" s="75"/>
      <c r="AU92" s="75"/>
      <c r="AV92" s="75"/>
      <c r="AW92" s="75"/>
      <c r="AX92" s="75"/>
      <c r="AY92" s="75"/>
      <c r="AZ92" s="75"/>
      <c r="BA92" s="75"/>
      <c r="BB92" s="75"/>
      <c r="BC92" s="75"/>
      <c r="BD92" s="75"/>
      <c r="BE92" s="75"/>
      <c r="BF92" s="75"/>
      <c r="BG92" s="75"/>
      <c r="BH92" s="75"/>
      <c r="BI92" s="75"/>
      <c r="BJ92" s="75"/>
      <c r="BK92" s="75"/>
      <c r="BL92" s="75"/>
      <c r="BM92" s="75"/>
      <c r="BN92" s="75"/>
      <c r="BO92" s="75"/>
      <c r="BP92" s="75"/>
      <c r="BQ92" s="75"/>
      <c r="BR92" s="75"/>
      <c r="BS92" s="75"/>
      <c r="BT92" s="75"/>
      <c r="BU92" s="75"/>
      <c r="BV92" s="75"/>
      <c r="BW92" s="75"/>
      <c r="BX92" s="75"/>
      <c r="BY92" s="75"/>
      <c r="BZ92" s="75"/>
      <c r="CA92" s="75"/>
      <c r="CB92" s="75"/>
      <c r="CC92" s="75"/>
      <c r="CD92" s="75"/>
      <c r="CE92" s="75"/>
      <c r="CF92" s="75"/>
      <c r="CG92" s="75"/>
      <c r="CH92" s="75"/>
      <c r="CI92" s="75"/>
      <c r="CJ92" s="75"/>
      <c r="CK92" s="75"/>
      <c r="CL92" s="75"/>
      <c r="CM92" s="75"/>
      <c r="CN92" s="75"/>
      <c r="CO92" s="75"/>
      <c r="CP92" s="75"/>
      <c r="CQ92" s="75"/>
      <c r="CR92" s="75"/>
      <c r="CS92" s="75"/>
      <c r="CT92" s="75"/>
      <c r="CU92" s="75"/>
      <c r="CV92" s="75"/>
      <c r="CW92" s="75"/>
      <c r="CX92" s="75"/>
      <c r="CY92" s="75"/>
      <c r="CZ92" s="75"/>
      <c r="DA92" s="75"/>
      <c r="DB92" s="75"/>
      <c r="DC92" s="75"/>
      <c r="DD92" s="75"/>
      <c r="DE92" s="75"/>
      <c r="DF92" s="75"/>
      <c r="DG92" s="75"/>
      <c r="DH92" s="75"/>
    </row>
    <row r="93" spans="1:112"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5"/>
      <c r="BA93" s="75"/>
      <c r="BB93" s="75"/>
      <c r="BC93" s="75"/>
      <c r="BD93" s="75"/>
      <c r="BE93" s="75"/>
      <c r="BF93" s="75"/>
      <c r="BG93" s="75"/>
      <c r="BH93" s="75"/>
      <c r="BI93" s="75"/>
      <c r="BJ93" s="75"/>
      <c r="BK93" s="75"/>
      <c r="BL93" s="75"/>
      <c r="BM93" s="75"/>
      <c r="BN93" s="75"/>
      <c r="BO93" s="75"/>
      <c r="BP93" s="75"/>
      <c r="BQ93" s="75"/>
      <c r="BR93" s="75"/>
      <c r="BS93" s="75"/>
      <c r="BT93" s="75"/>
      <c r="BU93" s="75"/>
      <c r="BV93" s="75"/>
      <c r="BW93" s="75"/>
      <c r="BX93" s="75"/>
      <c r="BY93" s="75"/>
      <c r="BZ93" s="75"/>
      <c r="CA93" s="75"/>
      <c r="CB93" s="75"/>
      <c r="CC93" s="75"/>
      <c r="CD93" s="75"/>
      <c r="CE93" s="75"/>
      <c r="CF93" s="75"/>
      <c r="CG93" s="75"/>
      <c r="CH93" s="75"/>
      <c r="CI93" s="75"/>
      <c r="CJ93" s="75"/>
      <c r="CK93" s="75"/>
      <c r="CL93" s="75"/>
      <c r="CM93" s="75"/>
      <c r="CN93" s="75"/>
      <c r="CO93" s="75"/>
      <c r="CP93" s="75"/>
      <c r="CQ93" s="75"/>
      <c r="CR93" s="75"/>
      <c r="CS93" s="75"/>
      <c r="CT93" s="75"/>
      <c r="CU93" s="75"/>
      <c r="CV93" s="75"/>
      <c r="CW93" s="75"/>
      <c r="CX93" s="75"/>
      <c r="CY93" s="75"/>
      <c r="CZ93" s="75"/>
      <c r="DA93" s="75"/>
      <c r="DB93" s="75"/>
      <c r="DC93" s="75"/>
      <c r="DD93" s="75"/>
      <c r="DE93" s="75"/>
      <c r="DF93" s="75"/>
      <c r="DG93" s="75"/>
      <c r="DH93" s="75"/>
    </row>
    <row r="94" spans="1:112">
      <c r="Q94" s="75"/>
      <c r="R94" s="75"/>
      <c r="S94" s="75"/>
      <c r="T94" s="75"/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5"/>
      <c r="AF94" s="75"/>
      <c r="AG94" s="75"/>
      <c r="AH94" s="75"/>
      <c r="AI94" s="75"/>
      <c r="AJ94" s="75"/>
      <c r="AK94" s="75"/>
      <c r="AL94" s="75"/>
      <c r="AM94" s="75"/>
      <c r="AN94" s="75"/>
      <c r="AO94" s="75"/>
      <c r="AP94" s="75"/>
      <c r="AQ94" s="75"/>
      <c r="AR94" s="75"/>
      <c r="AS94" s="75"/>
      <c r="AT94" s="75"/>
      <c r="AU94" s="75"/>
      <c r="AV94" s="75"/>
      <c r="AW94" s="75"/>
      <c r="AX94" s="75"/>
      <c r="AY94" s="75"/>
      <c r="AZ94" s="75"/>
      <c r="BA94" s="75"/>
      <c r="BB94" s="75"/>
      <c r="BC94" s="75"/>
      <c r="BD94" s="75"/>
      <c r="BE94" s="75"/>
      <c r="BF94" s="75"/>
      <c r="BG94" s="75"/>
      <c r="BH94" s="75"/>
      <c r="BI94" s="75"/>
      <c r="BJ94" s="75"/>
      <c r="BK94" s="75"/>
      <c r="BL94" s="75"/>
      <c r="BM94" s="75"/>
      <c r="BN94" s="75"/>
      <c r="BO94" s="75"/>
      <c r="BP94" s="75"/>
      <c r="BQ94" s="75"/>
      <c r="BR94" s="75"/>
      <c r="BS94" s="75"/>
      <c r="BT94" s="75"/>
      <c r="BU94" s="75"/>
      <c r="BV94" s="75"/>
      <c r="BW94" s="75"/>
      <c r="BX94" s="75"/>
      <c r="BY94" s="75"/>
      <c r="BZ94" s="75"/>
      <c r="CA94" s="75"/>
      <c r="CB94" s="75"/>
      <c r="CC94" s="75"/>
      <c r="CD94" s="75"/>
      <c r="CE94" s="75"/>
      <c r="CF94" s="75"/>
      <c r="CG94" s="75"/>
      <c r="CH94" s="75"/>
      <c r="CI94" s="75"/>
      <c r="CJ94" s="75"/>
      <c r="CK94" s="75"/>
      <c r="CL94" s="75"/>
      <c r="CM94" s="75"/>
      <c r="CN94" s="75"/>
      <c r="CO94" s="75"/>
      <c r="CP94" s="75"/>
      <c r="CQ94" s="75"/>
      <c r="CR94" s="75"/>
      <c r="CS94" s="75"/>
      <c r="CT94" s="75"/>
      <c r="CU94" s="75"/>
      <c r="CV94" s="75"/>
      <c r="CW94" s="75"/>
      <c r="CX94" s="75"/>
      <c r="CY94" s="75"/>
      <c r="CZ94" s="75"/>
      <c r="DA94" s="75"/>
      <c r="DB94" s="75"/>
      <c r="DC94" s="75"/>
      <c r="DD94" s="75"/>
      <c r="DE94" s="75"/>
      <c r="DF94" s="75"/>
      <c r="DG94" s="75"/>
      <c r="DH94" s="75"/>
    </row>
    <row r="95" spans="1:112">
      <c r="A95" s="100" t="s">
        <v>40</v>
      </c>
      <c r="B95" s="100"/>
      <c r="C95" s="100"/>
      <c r="D95" s="101" t="e">
        <f ca="1">partNumber&amp;": "&amp;D97</f>
        <v>#VALUE!</v>
      </c>
      <c r="E95" s="101"/>
      <c r="F95" s="101"/>
      <c r="G95" s="101"/>
      <c r="L95" s="101" t="str">
        <f>partNumber&amp;": CCT in/out Scatter Plot"</f>
        <v>29121: CCT in/out Scatter Plot</v>
      </c>
      <c r="M95" s="101"/>
      <c r="N95" s="101"/>
      <c r="O95" s="101"/>
      <c r="Q95" s="75"/>
      <c r="R95" s="75"/>
      <c r="S95" s="75"/>
      <c r="T95" s="75"/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5"/>
      <c r="AF95" s="75"/>
      <c r="AG95" s="75"/>
      <c r="AH95" s="75"/>
      <c r="AI95" s="75"/>
      <c r="AJ95" s="75"/>
      <c r="AK95" s="75"/>
      <c r="AL95" s="75"/>
      <c r="AM95" s="75"/>
      <c r="AN95" s="75"/>
      <c r="AO95" s="75"/>
      <c r="AP95" s="75"/>
      <c r="AQ95" s="75"/>
      <c r="AR95" s="75"/>
      <c r="AS95" s="75"/>
      <c r="AT95" s="75"/>
      <c r="AU95" s="75"/>
      <c r="AV95" s="75"/>
      <c r="AW95" s="75"/>
      <c r="AX95" s="75"/>
      <c r="AY95" s="75"/>
      <c r="AZ95" s="75"/>
      <c r="BA95" s="75"/>
      <c r="BB95" s="75"/>
      <c r="BC95" s="75"/>
      <c r="BD95" s="75"/>
      <c r="BE95" s="75"/>
      <c r="BF95" s="75"/>
      <c r="BG95" s="75"/>
      <c r="BH95" s="75"/>
      <c r="BI95" s="75"/>
      <c r="BJ95" s="75"/>
      <c r="BK95" s="75"/>
      <c r="BL95" s="75"/>
      <c r="BM95" s="75"/>
      <c r="BN95" s="75"/>
      <c r="BO95" s="75"/>
      <c r="BP95" s="75"/>
      <c r="BQ95" s="75"/>
      <c r="BR95" s="75"/>
      <c r="BS95" s="75"/>
      <c r="BT95" s="75"/>
      <c r="BU95" s="75"/>
      <c r="BV95" s="75"/>
      <c r="BW95" s="75"/>
      <c r="BX95" s="75"/>
      <c r="BY95" s="75"/>
      <c r="BZ95" s="75"/>
      <c r="CA95" s="75"/>
      <c r="CB95" s="75"/>
      <c r="CC95" s="75"/>
      <c r="CD95" s="75"/>
      <c r="CE95" s="75"/>
      <c r="CF95" s="75"/>
      <c r="CG95" s="75"/>
      <c r="CH95" s="75"/>
      <c r="CI95" s="75"/>
      <c r="CJ95" s="75"/>
      <c r="CK95" s="75"/>
      <c r="CL95" s="75"/>
      <c r="CM95" s="75"/>
      <c r="CN95" s="75"/>
      <c r="CO95" s="75"/>
      <c r="CP95" s="75"/>
      <c r="CQ95" s="75"/>
      <c r="CR95" s="75"/>
      <c r="CS95" s="75"/>
      <c r="CT95" s="75"/>
      <c r="CU95" s="75"/>
      <c r="CV95" s="75"/>
      <c r="CW95" s="75"/>
      <c r="CX95" s="75"/>
      <c r="CY95" s="75"/>
      <c r="CZ95" s="75"/>
      <c r="DA95" s="75"/>
      <c r="DB95" s="75"/>
      <c r="DC95" s="75"/>
      <c r="DD95" s="75"/>
      <c r="DE95" s="75"/>
      <c r="DF95" s="75"/>
      <c r="DG95" s="75"/>
      <c r="DH95" s="75"/>
    </row>
    <row r="96" spans="1:112" ht="15.75" thickBot="1">
      <c r="A96" s="100"/>
      <c r="B96" s="100"/>
      <c r="C96" s="100"/>
      <c r="H96" s="101" t="str">
        <f>"Range= " &amp;range0!$P$1&amp;" Lux"</f>
        <v>Range= 330 Lux</v>
      </c>
      <c r="I96" s="101"/>
      <c r="J96" s="101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5"/>
      <c r="AB96" s="75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5"/>
      <c r="BA96" s="75"/>
      <c r="BB96" s="75"/>
      <c r="BC96" s="75"/>
      <c r="BD96" s="75"/>
      <c r="BE96" s="75"/>
      <c r="BF96" s="75"/>
      <c r="BG96" s="75"/>
      <c r="BH96" s="75"/>
      <c r="BI96" s="75"/>
      <c r="BJ96" s="75"/>
      <c r="BK96" s="75"/>
      <c r="BL96" s="75"/>
      <c r="BM96" s="75"/>
      <c r="BN96" s="75"/>
      <c r="BO96" s="75"/>
      <c r="BP96" s="75"/>
      <c r="BQ96" s="75"/>
      <c r="BR96" s="75"/>
      <c r="BS96" s="75"/>
      <c r="BT96" s="75"/>
      <c r="BU96" s="75"/>
      <c r="BV96" s="75"/>
      <c r="BW96" s="75"/>
      <c r="BX96" s="75"/>
      <c r="BY96" s="75"/>
      <c r="BZ96" s="75"/>
      <c r="CA96" s="75"/>
      <c r="CB96" s="75"/>
      <c r="CC96" s="75"/>
      <c r="CD96" s="75"/>
      <c r="CE96" s="75"/>
      <c r="CF96" s="75"/>
      <c r="CG96" s="75"/>
      <c r="CH96" s="75"/>
      <c r="CI96" s="75"/>
      <c r="CJ96" s="75"/>
      <c r="CK96" s="75"/>
      <c r="CL96" s="75"/>
      <c r="CM96" s="75"/>
      <c r="CN96" s="75"/>
      <c r="CO96" s="75"/>
      <c r="CP96" s="75"/>
      <c r="CQ96" s="75"/>
      <c r="CR96" s="75"/>
      <c r="CS96" s="75"/>
      <c r="CT96" s="75"/>
      <c r="CU96" s="75"/>
      <c r="CV96" s="75"/>
      <c r="CW96" s="75"/>
      <c r="CX96" s="75"/>
      <c r="CY96" s="75"/>
      <c r="CZ96" s="75"/>
      <c r="DA96" s="75"/>
      <c r="DB96" s="75"/>
      <c r="DC96" s="75"/>
      <c r="DD96" s="75"/>
      <c r="DE96" s="75"/>
      <c r="DF96" s="75"/>
      <c r="DG96" s="75"/>
      <c r="DH96" s="75"/>
    </row>
    <row r="97" spans="1:112" ht="15.75" thickBot="1">
      <c r="B97" s="101" t="str">
        <f>B1</f>
        <v>Calibration</v>
      </c>
      <c r="C97" s="101"/>
      <c r="D97" s="101" t="e">
        <f ca="1">"CCT Variation Vs. Lux= "&amp;INT(G98*1000+0.5)/10&amp;"%"</f>
        <v>#VALUE!</v>
      </c>
      <c r="E97" s="101"/>
      <c r="F97" s="101"/>
      <c r="G97" s="101"/>
      <c r="H97" s="101" t="str">
        <f>"Nominal CCT="&amp;10*INT(AVERAGE(C102:C123)/10)</f>
        <v>Nominal CCT=3950</v>
      </c>
      <c r="I97" s="101"/>
      <c r="J97" s="101"/>
      <c r="L97" s="101" t="e">
        <f ca="1">"Nominal Error= "&amp;(INT(AVERAGE(I102:I123)*1000))/10&amp;"%"</f>
        <v>#VALUE!</v>
      </c>
      <c r="M97" s="101"/>
      <c r="N97" s="101"/>
      <c r="O97" s="82" t="e">
        <f ca="1">AVERAGE(I102:I123)</f>
        <v>#VALUE!</v>
      </c>
      <c r="Q97" s="75"/>
      <c r="R97" s="75"/>
      <c r="S97" s="75"/>
      <c r="T97" s="75"/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5"/>
      <c r="AI97" s="75"/>
      <c r="AJ97" s="75"/>
      <c r="AK97" s="75"/>
      <c r="AL97" s="75"/>
      <c r="AM97" s="75"/>
      <c r="AN97" s="75"/>
      <c r="AO97" s="75"/>
      <c r="AP97" s="75"/>
      <c r="AQ97" s="75"/>
      <c r="AR97" s="75"/>
      <c r="AS97" s="75"/>
      <c r="AT97" s="75"/>
      <c r="AU97" s="75"/>
      <c r="AV97" s="75"/>
      <c r="AW97" s="75"/>
      <c r="AX97" s="75"/>
      <c r="AY97" s="75"/>
      <c r="AZ97" s="75"/>
      <c r="BA97" s="75"/>
      <c r="BB97" s="75"/>
      <c r="BC97" s="75"/>
      <c r="BD97" s="75"/>
      <c r="BE97" s="75"/>
      <c r="BF97" s="75"/>
      <c r="BG97" s="75"/>
      <c r="BH97" s="75"/>
      <c r="BI97" s="75"/>
      <c r="BJ97" s="75"/>
      <c r="BK97" s="75"/>
      <c r="BL97" s="75"/>
      <c r="BM97" s="75"/>
      <c r="BN97" s="75"/>
      <c r="BO97" s="75"/>
      <c r="BP97" s="75"/>
      <c r="BQ97" s="75"/>
      <c r="BR97" s="75"/>
      <c r="BS97" s="75"/>
      <c r="BT97" s="75"/>
      <c r="BU97" s="75"/>
      <c r="BV97" s="75"/>
      <c r="BW97" s="75"/>
      <c r="BX97" s="75"/>
      <c r="BY97" s="75"/>
      <c r="BZ97" s="75"/>
      <c r="CA97" s="75"/>
      <c r="CB97" s="75"/>
      <c r="CC97" s="75"/>
      <c r="CD97" s="75"/>
      <c r="CE97" s="75"/>
      <c r="CF97" s="75"/>
      <c r="CG97" s="75"/>
      <c r="CH97" s="75"/>
      <c r="CI97" s="75"/>
      <c r="CJ97" s="75"/>
      <c r="CK97" s="75"/>
      <c r="CL97" s="75"/>
      <c r="CM97" s="75"/>
      <c r="CN97" s="75"/>
      <c r="CO97" s="75"/>
      <c r="CP97" s="75"/>
      <c r="CQ97" s="75"/>
      <c r="CR97" s="75"/>
      <c r="CS97" s="75"/>
      <c r="CT97" s="75"/>
      <c r="CU97" s="75"/>
      <c r="CV97" s="75"/>
      <c r="CW97" s="75"/>
      <c r="CX97" s="75"/>
      <c r="CY97" s="75"/>
      <c r="CZ97" s="75"/>
      <c r="DA97" s="75"/>
      <c r="DB97" s="75"/>
      <c r="DC97" s="75"/>
      <c r="DD97" s="75"/>
      <c r="DE97" s="75"/>
      <c r="DF97" s="75"/>
      <c r="DG97" s="75"/>
      <c r="DH97" s="75"/>
    </row>
    <row r="98" spans="1:112" ht="15.75" thickBot="1">
      <c r="B98" s="74" t="str">
        <f>B2</f>
        <v>Lux</v>
      </c>
      <c r="C98" s="74" t="str">
        <f>C2</f>
        <v>CCT</v>
      </c>
      <c r="D98" s="74" t="str">
        <f>D2</f>
        <v>-1.5σ</v>
      </c>
      <c r="E98" s="74" t="str">
        <f t="shared" ref="E98:F98" si="230">E2</f>
        <v>AVG</v>
      </c>
      <c r="F98" s="74" t="str">
        <f t="shared" si="230"/>
        <v>+1.5σ</v>
      </c>
      <c r="G98" s="82" t="e">
        <f ca="1">MAX(G99:G123)</f>
        <v>#VALUE!</v>
      </c>
      <c r="H98" s="74" t="str">
        <f>H2</f>
        <v>-1.5σ</v>
      </c>
      <c r="I98" s="74" t="str">
        <f t="shared" ref="I98:J98" si="231">I2</f>
        <v>AVG</v>
      </c>
      <c r="J98" s="74" t="str">
        <f t="shared" si="231"/>
        <v>+1.5σ</v>
      </c>
      <c r="L98" s="74" t="str">
        <f>L2</f>
        <v>-1.5σ</v>
      </c>
      <c r="M98" s="74" t="str">
        <f t="shared" ref="M98:O98" si="232">M2</f>
        <v>AVG</v>
      </c>
      <c r="N98" s="74" t="str">
        <f t="shared" si="232"/>
        <v>+1.5σ</v>
      </c>
      <c r="O98" s="74" t="str">
        <f t="shared" si="232"/>
        <v>STDEV</v>
      </c>
      <c r="P98" s="74"/>
      <c r="Q98" s="75"/>
      <c r="R98" s="75"/>
      <c r="S98" s="75"/>
    </row>
    <row r="99" spans="1:112">
      <c r="A99" s="14">
        <f>A3</f>
        <v>1</v>
      </c>
      <c r="B99" s="63">
        <f ca="1">B3</f>
        <v>23.151758163574332</v>
      </c>
      <c r="C99" s="63">
        <f>C3</f>
        <v>3933.1</v>
      </c>
      <c r="D99" s="2" t="e">
        <f t="shared" ref="D99:E123" ca="1" si="233">H99-$O$97</f>
        <v>#VALUE!</v>
      </c>
      <c r="E99" s="2" t="e">
        <f ca="1">I99-$O$97</f>
        <v>#VALUE!</v>
      </c>
      <c r="F99" s="2" t="e">
        <f t="shared" ref="F99:F123" ca="1" si="234">J99-$O$97</f>
        <v>#VALUE!</v>
      </c>
      <c r="G99" s="2" t="e">
        <f ca="1">MAX(ABS(D99),ABS(F99))*(P99=TRUE)</f>
        <v>#VALUE!</v>
      </c>
      <c r="H99" s="2" t="e">
        <f t="shared" ref="H99:I123" ca="1" si="235">L99/$C99-1</f>
        <v>#VALUE!</v>
      </c>
      <c r="I99" s="2" t="e">
        <f ca="1">M99/$C99-1</f>
        <v>#VALUE!</v>
      </c>
      <c r="J99" s="2" t="e">
        <f t="shared" ref="J99:J123" ca="1" si="236">N99/$C99-1</f>
        <v>#VALUE!</v>
      </c>
      <c r="L99" s="61" t="e">
        <f ca="1">M99-1.5*O99</f>
        <v>#VALUE!</v>
      </c>
      <c r="M99" s="63" t="e">
        <f ca="1">AVERAGE(Q99:DH99)</f>
        <v>#VALUE!</v>
      </c>
      <c r="N99" s="61" t="e">
        <f ca="1">M99+1.5*O99</f>
        <v>#VALUE!</v>
      </c>
      <c r="O99" s="61" t="e">
        <f ca="1">STDEV(Q99:DH99)</f>
        <v>#VALUE!</v>
      </c>
      <c r="P99" s="63" t="b">
        <f>P65</f>
        <v>1</v>
      </c>
      <c r="Q99" s="75">
        <f t="shared" ref="Q99:Q123" ca="1" si="237">getCCT(Q65,R65,S65)</f>
        <v>2225.0144669271376</v>
      </c>
      <c r="R99" s="75"/>
      <c r="S99" s="75"/>
      <c r="T99" s="75">
        <f t="shared" ref="T99:T123" ca="1" si="238">getCCT(T65,U65,V65)</f>
        <v>2268.7927462718926</v>
      </c>
      <c r="U99" s="75"/>
      <c r="V99" s="75"/>
      <c r="W99" s="75">
        <f t="shared" ref="W99:W123" ca="1" si="239">getCCT(W65,X65,Y65)</f>
        <v>2342.436087869874</v>
      </c>
      <c r="X99" s="75"/>
      <c r="Y99" s="75"/>
      <c r="Z99" s="75">
        <f t="shared" ref="Z99:Z123" ca="1" si="240">getCCT(Z65,AA65,AB65)</f>
        <v>2190.2596709569225</v>
      </c>
      <c r="AA99" s="75"/>
      <c r="AB99" s="75"/>
      <c r="AC99" s="75">
        <f t="shared" ref="AC99:AC123" ca="1" si="241">getCCT(AC65,AD65,AE65)</f>
        <v>2178.2236052038734</v>
      </c>
      <c r="AD99" s="75"/>
      <c r="AE99" s="75"/>
      <c r="AF99" s="75"/>
      <c r="AG99" s="75"/>
      <c r="AH99" s="75"/>
      <c r="AI99" s="75" t="e">
        <f t="shared" ref="AI99:AI123" ca="1" si="242">getCCT(AI65,AJ65,AK65)</f>
        <v>#VALUE!</v>
      </c>
      <c r="AJ99" s="75"/>
      <c r="AK99" s="75"/>
      <c r="AL99" s="75" t="e">
        <f t="shared" ref="AL99:AL123" ca="1" si="243">getCCT(AL65,AM65,AN65)</f>
        <v>#VALUE!</v>
      </c>
      <c r="AM99" s="75"/>
      <c r="AN99" s="75"/>
      <c r="AO99" s="75" t="e">
        <f t="shared" ref="AO99:AO123" ca="1" si="244">getCCT(AO65,AP65,AQ65)</f>
        <v>#VALUE!</v>
      </c>
      <c r="AP99" s="75"/>
      <c r="AQ99" s="75"/>
      <c r="AR99" s="75" t="e">
        <f t="shared" ref="AR99:AR123" ca="1" si="245">getCCT(AR65,AS65,AT65)</f>
        <v>#VALUE!</v>
      </c>
      <c r="AS99" s="75"/>
      <c r="AT99" s="75"/>
      <c r="AU99" s="75" t="e">
        <f t="shared" ref="AU99:AU123" ca="1" si="246">getCCT(AU65,AV65,AW65)</f>
        <v>#VALUE!</v>
      </c>
      <c r="AV99" s="75"/>
      <c r="AW99" s="75"/>
      <c r="AX99" s="75" t="e">
        <f t="shared" ref="AX99:AX123" ca="1" si="247">getCCT(AX65,AY65,AZ65)</f>
        <v>#VALUE!</v>
      </c>
      <c r="AY99" s="75"/>
      <c r="AZ99" s="75"/>
      <c r="BA99" s="75" t="e">
        <f t="shared" ref="BA99:BA123" ca="1" si="248">getCCT(BA65,BB65,BC65)</f>
        <v>#VALUE!</v>
      </c>
      <c r="BB99" s="75"/>
      <c r="BC99" s="75"/>
      <c r="BD99" s="75" t="e">
        <f t="shared" ref="BD99:BD123" ca="1" si="249">getCCT(BD65,BE65,BF65)</f>
        <v>#VALUE!</v>
      </c>
      <c r="BE99" s="75"/>
      <c r="BF99" s="75"/>
      <c r="BG99" s="75" t="e">
        <f t="shared" ref="BG99:BG123" ca="1" si="250">getCCT(BG65,BH65,BI65)</f>
        <v>#VALUE!</v>
      </c>
      <c r="BH99" s="75"/>
      <c r="BI99" s="75"/>
      <c r="BJ99" s="75" t="e">
        <f t="shared" ref="BJ99:BJ123" ca="1" si="251">getCCT(BJ65,BK65,BL65)</f>
        <v>#VALUE!</v>
      </c>
      <c r="BK99" s="75"/>
      <c r="BL99" s="75"/>
      <c r="BM99" s="75" t="e">
        <f t="shared" ref="BM99:BM123" ca="1" si="252">getCCT(BM65,BN65,BO65)</f>
        <v>#VALUE!</v>
      </c>
      <c r="BN99" s="75"/>
      <c r="BO99" s="75"/>
      <c r="BP99" s="75" t="e">
        <f t="shared" ref="BP99:BP123" ca="1" si="253">getCCT(BP65,BQ65,BR65)</f>
        <v>#VALUE!</v>
      </c>
      <c r="BQ99" s="75"/>
      <c r="BR99" s="75"/>
      <c r="BS99" s="75"/>
      <c r="BT99" s="75"/>
      <c r="BU99" s="75"/>
      <c r="BV99" s="75" t="e">
        <f t="shared" ref="BV99:BV123" ca="1" si="254">getCCT(BV65,BW65,BX65)</f>
        <v>#VALUE!</v>
      </c>
      <c r="BW99" s="75"/>
      <c r="BX99" s="75"/>
      <c r="BY99" s="75" t="e">
        <f t="shared" ref="BY99:BY123" ca="1" si="255">getCCT(BY65,BZ65,CA65)</f>
        <v>#VALUE!</v>
      </c>
      <c r="BZ99" s="75"/>
      <c r="CA99" s="75"/>
      <c r="CB99" s="75"/>
      <c r="CC99" s="75"/>
      <c r="CD99" s="75"/>
      <c r="CE99" s="75" t="e">
        <f t="shared" ref="CE99:CE123" ca="1" si="256">getCCT(CE65,CF65,CG65)</f>
        <v>#VALUE!</v>
      </c>
      <c r="CF99" s="75"/>
      <c r="CG99" s="75"/>
      <c r="CH99" s="75" t="e">
        <f t="shared" ref="CH99:CH123" ca="1" si="257">getCCT(CH65,CI65,CJ65)</f>
        <v>#VALUE!</v>
      </c>
      <c r="CI99" s="75"/>
      <c r="CJ99" s="75"/>
      <c r="CK99" s="75" t="e">
        <f t="shared" ref="CK99:CK123" ca="1" si="258">getCCT(CK65,CL65,CM65)</f>
        <v>#VALUE!</v>
      </c>
      <c r="CL99" s="75"/>
      <c r="CM99" s="75"/>
      <c r="CN99" s="75" t="e">
        <f t="shared" ref="CN99:CN123" ca="1" si="259">getCCT(CN65,CO65,CP65)</f>
        <v>#VALUE!</v>
      </c>
      <c r="CO99" s="75"/>
      <c r="CP99" s="75"/>
      <c r="CQ99" s="75" t="e">
        <f t="shared" ref="CQ99:CQ123" ca="1" si="260">getCCT(CQ65,CR65,CS65)</f>
        <v>#VALUE!</v>
      </c>
      <c r="CR99" s="75"/>
      <c r="CS99" s="75"/>
      <c r="CT99" s="75" t="e">
        <f t="shared" ref="CT99:CT123" ca="1" si="261">getCCT(CT65,CU65,CV65)</f>
        <v>#VALUE!</v>
      </c>
      <c r="CU99" s="75"/>
      <c r="CV99" s="75"/>
      <c r="CW99" s="75" t="e">
        <f t="shared" ref="CW99:CW123" ca="1" si="262">getCCT(CW65,CX65,CY65)</f>
        <v>#VALUE!</v>
      </c>
      <c r="CX99" s="75"/>
      <c r="CY99" s="75"/>
      <c r="CZ99" s="75" t="e">
        <f t="shared" ref="CZ99:CZ123" ca="1" si="263">getCCT(CZ65,DA65,DB65)</f>
        <v>#VALUE!</v>
      </c>
      <c r="DA99" s="75"/>
      <c r="DB99" s="75"/>
      <c r="DC99" s="75" t="e">
        <f t="shared" ref="DC99:DC123" ca="1" si="264">getCCT(DC65,DD65,DE65)</f>
        <v>#VALUE!</v>
      </c>
      <c r="DD99" s="75"/>
      <c r="DE99" s="75"/>
      <c r="DF99" s="75" t="e">
        <f t="shared" ref="DF99:DF123" ca="1" si="265">getCCT(DF65,DG65,DH65)</f>
        <v>#VALUE!</v>
      </c>
      <c r="DG99" s="75"/>
      <c r="DH99" s="75"/>
    </row>
    <row r="100" spans="1:112">
      <c r="A100" s="14">
        <f t="shared" ref="A100:C115" si="266">A4</f>
        <v>2</v>
      </c>
      <c r="B100" s="63">
        <f t="shared" ca="1" si="266"/>
        <v>18.852958021449371</v>
      </c>
      <c r="C100" s="63">
        <f t="shared" si="266"/>
        <v>3954.7</v>
      </c>
      <c r="D100" s="2" t="e">
        <f t="shared" ca="1" si="233"/>
        <v>#VALUE!</v>
      </c>
      <c r="E100" s="2" t="e">
        <f t="shared" ca="1" si="233"/>
        <v>#VALUE!</v>
      </c>
      <c r="F100" s="2" t="e">
        <f t="shared" ca="1" si="234"/>
        <v>#VALUE!</v>
      </c>
      <c r="G100" s="2" t="e">
        <f t="shared" ref="G100:G123" ca="1" si="267">MAX(ABS(D100),ABS(F100))*(P100=TRUE)</f>
        <v>#VALUE!</v>
      </c>
      <c r="H100" s="2" t="e">
        <f t="shared" ca="1" si="235"/>
        <v>#VALUE!</v>
      </c>
      <c r="I100" s="2" t="e">
        <f t="shared" ca="1" si="235"/>
        <v>#VALUE!</v>
      </c>
      <c r="J100" s="2" t="e">
        <f t="shared" ca="1" si="236"/>
        <v>#VALUE!</v>
      </c>
      <c r="L100" s="61" t="e">
        <f t="shared" ref="L100:L123" ca="1" si="268">M100-1.5*O100</f>
        <v>#VALUE!</v>
      </c>
      <c r="M100" s="63" t="e">
        <f t="shared" ref="M100:M123" ca="1" si="269">AVERAGE(Q100:DH100)</f>
        <v>#VALUE!</v>
      </c>
      <c r="N100" s="61" t="e">
        <f t="shared" ref="N100:N123" ca="1" si="270">M100+1.5*O100</f>
        <v>#VALUE!</v>
      </c>
      <c r="O100" s="61" t="e">
        <f t="shared" ref="O100:O123" ca="1" si="271">STDEV(Q100:DH100)</f>
        <v>#VALUE!</v>
      </c>
      <c r="P100" s="63" t="b">
        <f t="shared" ref="P100:P123" si="272">P66</f>
        <v>1</v>
      </c>
      <c r="Q100" s="75">
        <f t="shared" ca="1" si="237"/>
        <v>2328.0685049216013</v>
      </c>
      <c r="R100" s="75"/>
      <c r="S100" s="75"/>
      <c r="T100" s="75">
        <f t="shared" ca="1" si="238"/>
        <v>2306.7030862432193</v>
      </c>
      <c r="U100" s="75"/>
      <c r="V100" s="75"/>
      <c r="W100" s="75">
        <f t="shared" ca="1" si="239"/>
        <v>2416.7268927673917</v>
      </c>
      <c r="X100" s="75"/>
      <c r="Y100" s="75"/>
      <c r="Z100" s="75">
        <f t="shared" ca="1" si="240"/>
        <v>2232.5576823825108</v>
      </c>
      <c r="AA100" s="75"/>
      <c r="AB100" s="75"/>
      <c r="AC100" s="75">
        <f t="shared" ca="1" si="241"/>
        <v>2226.7726734490925</v>
      </c>
      <c r="AD100" s="75"/>
      <c r="AE100" s="75"/>
      <c r="AF100" s="75"/>
      <c r="AG100" s="75"/>
      <c r="AH100" s="75"/>
      <c r="AI100" s="75" t="e">
        <f t="shared" ca="1" si="242"/>
        <v>#VALUE!</v>
      </c>
      <c r="AJ100" s="75"/>
      <c r="AK100" s="75"/>
      <c r="AL100" s="75" t="e">
        <f t="shared" ca="1" si="243"/>
        <v>#VALUE!</v>
      </c>
      <c r="AM100" s="75"/>
      <c r="AN100" s="75"/>
      <c r="AO100" s="75" t="e">
        <f t="shared" ca="1" si="244"/>
        <v>#VALUE!</v>
      </c>
      <c r="AP100" s="75"/>
      <c r="AQ100" s="75"/>
      <c r="AR100" s="75" t="e">
        <f t="shared" ca="1" si="245"/>
        <v>#VALUE!</v>
      </c>
      <c r="AS100" s="75"/>
      <c r="AT100" s="75"/>
      <c r="AU100" s="75" t="e">
        <f t="shared" ca="1" si="246"/>
        <v>#VALUE!</v>
      </c>
      <c r="AV100" s="75"/>
      <c r="AW100" s="75"/>
      <c r="AX100" s="75" t="e">
        <f t="shared" ca="1" si="247"/>
        <v>#VALUE!</v>
      </c>
      <c r="AY100" s="75"/>
      <c r="AZ100" s="75"/>
      <c r="BA100" s="75" t="e">
        <f t="shared" ca="1" si="248"/>
        <v>#VALUE!</v>
      </c>
      <c r="BB100" s="75"/>
      <c r="BC100" s="75"/>
      <c r="BD100" s="75" t="e">
        <f t="shared" ca="1" si="249"/>
        <v>#VALUE!</v>
      </c>
      <c r="BE100" s="75"/>
      <c r="BF100" s="75"/>
      <c r="BG100" s="75" t="e">
        <f t="shared" ca="1" si="250"/>
        <v>#VALUE!</v>
      </c>
      <c r="BH100" s="75"/>
      <c r="BI100" s="75"/>
      <c r="BJ100" s="75" t="e">
        <f t="shared" ca="1" si="251"/>
        <v>#VALUE!</v>
      </c>
      <c r="BK100" s="75"/>
      <c r="BL100" s="75"/>
      <c r="BM100" s="75" t="e">
        <f t="shared" ca="1" si="252"/>
        <v>#VALUE!</v>
      </c>
      <c r="BN100" s="75"/>
      <c r="BO100" s="75"/>
      <c r="BP100" s="75" t="e">
        <f t="shared" ca="1" si="253"/>
        <v>#VALUE!</v>
      </c>
      <c r="BQ100" s="75"/>
      <c r="BR100" s="75"/>
      <c r="BS100" s="75"/>
      <c r="BT100" s="75"/>
      <c r="BU100" s="75"/>
      <c r="BV100" s="75" t="e">
        <f t="shared" ca="1" si="254"/>
        <v>#VALUE!</v>
      </c>
      <c r="BW100" s="75"/>
      <c r="BX100" s="75"/>
      <c r="BY100" s="75" t="e">
        <f t="shared" ca="1" si="255"/>
        <v>#VALUE!</v>
      </c>
      <c r="BZ100" s="75"/>
      <c r="CA100" s="75"/>
      <c r="CB100" s="75"/>
      <c r="CC100" s="75"/>
      <c r="CD100" s="75"/>
      <c r="CE100" s="75" t="e">
        <f t="shared" ca="1" si="256"/>
        <v>#VALUE!</v>
      </c>
      <c r="CF100" s="75"/>
      <c r="CG100" s="75"/>
      <c r="CH100" s="75" t="e">
        <f t="shared" ca="1" si="257"/>
        <v>#VALUE!</v>
      </c>
      <c r="CI100" s="75"/>
      <c r="CJ100" s="75"/>
      <c r="CK100" s="75" t="e">
        <f t="shared" ca="1" si="258"/>
        <v>#VALUE!</v>
      </c>
      <c r="CL100" s="75"/>
      <c r="CM100" s="75"/>
      <c r="CN100" s="75" t="e">
        <f t="shared" ca="1" si="259"/>
        <v>#VALUE!</v>
      </c>
      <c r="CO100" s="75"/>
      <c r="CP100" s="75"/>
      <c r="CQ100" s="75" t="e">
        <f t="shared" ca="1" si="260"/>
        <v>#VALUE!</v>
      </c>
      <c r="CR100" s="75"/>
      <c r="CS100" s="75"/>
      <c r="CT100" s="75" t="e">
        <f t="shared" ca="1" si="261"/>
        <v>#VALUE!</v>
      </c>
      <c r="CU100" s="75"/>
      <c r="CV100" s="75"/>
      <c r="CW100" s="75" t="e">
        <f t="shared" ca="1" si="262"/>
        <v>#VALUE!</v>
      </c>
      <c r="CX100" s="75"/>
      <c r="CY100" s="75"/>
      <c r="CZ100" s="75" t="e">
        <f t="shared" ca="1" si="263"/>
        <v>#VALUE!</v>
      </c>
      <c r="DA100" s="75"/>
      <c r="DB100" s="75"/>
      <c r="DC100" s="75" t="e">
        <f t="shared" ca="1" si="264"/>
        <v>#VALUE!</v>
      </c>
      <c r="DD100" s="75"/>
      <c r="DE100" s="75"/>
      <c r="DF100" s="75" t="e">
        <f t="shared" ca="1" si="265"/>
        <v>#VALUE!</v>
      </c>
      <c r="DG100" s="75"/>
      <c r="DH100" s="75"/>
    </row>
    <row r="101" spans="1:112">
      <c r="A101" s="14">
        <f t="shared" si="266"/>
        <v>3</v>
      </c>
      <c r="B101" s="63">
        <f t="shared" ca="1" si="266"/>
        <v>15.437578208746091</v>
      </c>
      <c r="C101" s="63">
        <f t="shared" si="266"/>
        <v>3988.4</v>
      </c>
      <c r="D101" s="2" t="e">
        <f t="shared" ca="1" si="233"/>
        <v>#VALUE!</v>
      </c>
      <c r="E101" s="2" t="e">
        <f t="shared" ca="1" si="233"/>
        <v>#VALUE!</v>
      </c>
      <c r="F101" s="2" t="e">
        <f t="shared" ca="1" si="234"/>
        <v>#VALUE!</v>
      </c>
      <c r="G101" s="2" t="e">
        <f t="shared" ca="1" si="267"/>
        <v>#VALUE!</v>
      </c>
      <c r="H101" s="2" t="e">
        <f t="shared" ca="1" si="235"/>
        <v>#VALUE!</v>
      </c>
      <c r="I101" s="2" t="e">
        <f t="shared" ca="1" si="235"/>
        <v>#VALUE!</v>
      </c>
      <c r="J101" s="2" t="e">
        <f t="shared" ca="1" si="236"/>
        <v>#VALUE!</v>
      </c>
      <c r="L101" s="61" t="e">
        <f t="shared" ca="1" si="268"/>
        <v>#VALUE!</v>
      </c>
      <c r="M101" s="63" t="e">
        <f t="shared" ca="1" si="269"/>
        <v>#VALUE!</v>
      </c>
      <c r="N101" s="61" t="e">
        <f t="shared" ca="1" si="270"/>
        <v>#VALUE!</v>
      </c>
      <c r="O101" s="61" t="e">
        <f t="shared" ca="1" si="271"/>
        <v>#VALUE!</v>
      </c>
      <c r="P101" s="63" t="b">
        <f t="shared" si="272"/>
        <v>1</v>
      </c>
      <c r="Q101" s="75">
        <f t="shared" ca="1" si="237"/>
        <v>2404.9283910334134</v>
      </c>
      <c r="R101" s="75"/>
      <c r="S101" s="75"/>
      <c r="T101" s="75">
        <f t="shared" ca="1" si="238"/>
        <v>2425.8368320396794</v>
      </c>
      <c r="U101" s="75"/>
      <c r="V101" s="75"/>
      <c r="W101" s="75">
        <f t="shared" ca="1" si="239"/>
        <v>2490.2816813141631</v>
      </c>
      <c r="X101" s="75"/>
      <c r="Y101" s="75"/>
      <c r="Z101" s="75">
        <f t="shared" ca="1" si="240"/>
        <v>2336.2411786746052</v>
      </c>
      <c r="AA101" s="75"/>
      <c r="AB101" s="75"/>
      <c r="AC101" s="75">
        <f t="shared" ca="1" si="241"/>
        <v>2320.696626808081</v>
      </c>
      <c r="AD101" s="75"/>
      <c r="AE101" s="75"/>
      <c r="AF101" s="75"/>
      <c r="AG101" s="75"/>
      <c r="AH101" s="75"/>
      <c r="AI101" s="75" t="e">
        <f t="shared" ca="1" si="242"/>
        <v>#VALUE!</v>
      </c>
      <c r="AJ101" s="75"/>
      <c r="AK101" s="75"/>
      <c r="AL101" s="75" t="e">
        <f t="shared" ca="1" si="243"/>
        <v>#VALUE!</v>
      </c>
      <c r="AM101" s="75"/>
      <c r="AN101" s="75"/>
      <c r="AO101" s="75" t="e">
        <f t="shared" ca="1" si="244"/>
        <v>#VALUE!</v>
      </c>
      <c r="AP101" s="75"/>
      <c r="AQ101" s="75"/>
      <c r="AR101" s="75" t="e">
        <f t="shared" ca="1" si="245"/>
        <v>#VALUE!</v>
      </c>
      <c r="AS101" s="75"/>
      <c r="AT101" s="75"/>
      <c r="AU101" s="75" t="e">
        <f t="shared" ca="1" si="246"/>
        <v>#VALUE!</v>
      </c>
      <c r="AV101" s="75"/>
      <c r="AW101" s="75"/>
      <c r="AX101" s="75" t="e">
        <f t="shared" ca="1" si="247"/>
        <v>#VALUE!</v>
      </c>
      <c r="AY101" s="75"/>
      <c r="AZ101" s="75"/>
      <c r="BA101" s="75" t="e">
        <f t="shared" ca="1" si="248"/>
        <v>#VALUE!</v>
      </c>
      <c r="BB101" s="75"/>
      <c r="BC101" s="75"/>
      <c r="BD101" s="75" t="e">
        <f t="shared" ca="1" si="249"/>
        <v>#VALUE!</v>
      </c>
      <c r="BE101" s="75"/>
      <c r="BF101" s="75"/>
      <c r="BG101" s="75" t="e">
        <f t="shared" ca="1" si="250"/>
        <v>#VALUE!</v>
      </c>
      <c r="BH101" s="75"/>
      <c r="BI101" s="75"/>
      <c r="BJ101" s="75" t="e">
        <f t="shared" ca="1" si="251"/>
        <v>#VALUE!</v>
      </c>
      <c r="BK101" s="75"/>
      <c r="BL101" s="75"/>
      <c r="BM101" s="75" t="e">
        <f t="shared" ca="1" si="252"/>
        <v>#VALUE!</v>
      </c>
      <c r="BN101" s="75"/>
      <c r="BO101" s="75"/>
      <c r="BP101" s="75" t="e">
        <f t="shared" ca="1" si="253"/>
        <v>#VALUE!</v>
      </c>
      <c r="BQ101" s="75"/>
      <c r="BR101" s="75"/>
      <c r="BS101" s="75"/>
      <c r="BT101" s="75"/>
      <c r="BU101" s="75"/>
      <c r="BV101" s="75" t="e">
        <f t="shared" ca="1" si="254"/>
        <v>#VALUE!</v>
      </c>
      <c r="BW101" s="75"/>
      <c r="BX101" s="75"/>
      <c r="BY101" s="75" t="e">
        <f t="shared" ca="1" si="255"/>
        <v>#VALUE!</v>
      </c>
      <c r="BZ101" s="75"/>
      <c r="CA101" s="75"/>
      <c r="CB101" s="75"/>
      <c r="CC101" s="75"/>
      <c r="CD101" s="75"/>
      <c r="CE101" s="75" t="e">
        <f t="shared" ca="1" si="256"/>
        <v>#VALUE!</v>
      </c>
      <c r="CF101" s="75"/>
      <c r="CG101" s="75"/>
      <c r="CH101" s="75" t="e">
        <f t="shared" ca="1" si="257"/>
        <v>#VALUE!</v>
      </c>
      <c r="CI101" s="75"/>
      <c r="CJ101" s="75"/>
      <c r="CK101" s="75" t="e">
        <f t="shared" ca="1" si="258"/>
        <v>#VALUE!</v>
      </c>
      <c r="CL101" s="75"/>
      <c r="CM101" s="75"/>
      <c r="CN101" s="75" t="e">
        <f t="shared" ca="1" si="259"/>
        <v>#VALUE!</v>
      </c>
      <c r="CO101" s="75"/>
      <c r="CP101" s="75"/>
      <c r="CQ101" s="75" t="e">
        <f t="shared" ca="1" si="260"/>
        <v>#VALUE!</v>
      </c>
      <c r="CR101" s="75"/>
      <c r="CS101" s="75"/>
      <c r="CT101" s="75" t="e">
        <f t="shared" ca="1" si="261"/>
        <v>#VALUE!</v>
      </c>
      <c r="CU101" s="75"/>
      <c r="CV101" s="75"/>
      <c r="CW101" s="75" t="e">
        <f t="shared" ca="1" si="262"/>
        <v>#VALUE!</v>
      </c>
      <c r="CX101" s="75"/>
      <c r="CY101" s="75"/>
      <c r="CZ101" s="75" t="e">
        <f t="shared" ca="1" si="263"/>
        <v>#VALUE!</v>
      </c>
      <c r="DA101" s="75"/>
      <c r="DB101" s="75"/>
      <c r="DC101" s="75" t="e">
        <f t="shared" ca="1" si="264"/>
        <v>#VALUE!</v>
      </c>
      <c r="DD101" s="75"/>
      <c r="DE101" s="75"/>
      <c r="DF101" s="75" t="e">
        <f t="shared" ca="1" si="265"/>
        <v>#VALUE!</v>
      </c>
      <c r="DG101" s="75"/>
      <c r="DH101" s="75"/>
    </row>
    <row r="102" spans="1:112">
      <c r="A102" s="14">
        <f t="shared" si="266"/>
        <v>4</v>
      </c>
      <c r="B102" s="63">
        <f t="shared" ca="1" si="266"/>
        <v>12.825726800021135</v>
      </c>
      <c r="C102" s="63">
        <f t="shared" si="266"/>
        <v>3978.3</v>
      </c>
      <c r="D102" s="2" t="e">
        <f t="shared" ca="1" si="233"/>
        <v>#VALUE!</v>
      </c>
      <c r="E102" s="2" t="e">
        <f t="shared" ca="1" si="233"/>
        <v>#VALUE!</v>
      </c>
      <c r="F102" s="2" t="e">
        <f t="shared" ca="1" si="234"/>
        <v>#VALUE!</v>
      </c>
      <c r="G102" s="2" t="e">
        <f t="shared" ca="1" si="267"/>
        <v>#VALUE!</v>
      </c>
      <c r="H102" s="2" t="e">
        <f t="shared" ca="1" si="235"/>
        <v>#VALUE!</v>
      </c>
      <c r="I102" s="2" t="e">
        <f t="shared" ca="1" si="235"/>
        <v>#VALUE!</v>
      </c>
      <c r="J102" s="2" t="e">
        <f t="shared" ca="1" si="236"/>
        <v>#VALUE!</v>
      </c>
      <c r="L102" s="61" t="e">
        <f t="shared" ca="1" si="268"/>
        <v>#VALUE!</v>
      </c>
      <c r="M102" s="63" t="e">
        <f t="shared" ca="1" si="269"/>
        <v>#VALUE!</v>
      </c>
      <c r="N102" s="61" t="e">
        <f t="shared" ca="1" si="270"/>
        <v>#VALUE!</v>
      </c>
      <c r="O102" s="61" t="e">
        <f t="shared" ca="1" si="271"/>
        <v>#VALUE!</v>
      </c>
      <c r="P102" s="63" t="b">
        <f t="shared" si="272"/>
        <v>1</v>
      </c>
      <c r="Q102" s="75">
        <f t="shared" ca="1" si="237"/>
        <v>2435.6507664677033</v>
      </c>
      <c r="R102" s="75"/>
      <c r="S102" s="75"/>
      <c r="T102" s="75">
        <f t="shared" ca="1" si="238"/>
        <v>2457.3275602727631</v>
      </c>
      <c r="U102" s="75"/>
      <c r="V102" s="75"/>
      <c r="W102" s="75">
        <f t="shared" ca="1" si="239"/>
        <v>2532.2114325658536</v>
      </c>
      <c r="X102" s="75"/>
      <c r="Y102" s="75"/>
      <c r="Z102" s="75">
        <f t="shared" ca="1" si="240"/>
        <v>2367.5850898341623</v>
      </c>
      <c r="AA102" s="75"/>
      <c r="AB102" s="75"/>
      <c r="AC102" s="75">
        <f t="shared" ca="1" si="241"/>
        <v>2371.0220800867096</v>
      </c>
      <c r="AD102" s="75"/>
      <c r="AE102" s="75"/>
      <c r="AF102" s="75"/>
      <c r="AG102" s="75"/>
      <c r="AH102" s="75"/>
      <c r="AI102" s="75" t="e">
        <f t="shared" ca="1" si="242"/>
        <v>#VALUE!</v>
      </c>
      <c r="AJ102" s="75"/>
      <c r="AK102" s="75"/>
      <c r="AL102" s="75" t="e">
        <f t="shared" ca="1" si="243"/>
        <v>#VALUE!</v>
      </c>
      <c r="AM102" s="75"/>
      <c r="AN102" s="75"/>
      <c r="AO102" s="75" t="e">
        <f t="shared" ca="1" si="244"/>
        <v>#VALUE!</v>
      </c>
      <c r="AP102" s="75"/>
      <c r="AQ102" s="75"/>
      <c r="AR102" s="75" t="e">
        <f t="shared" ca="1" si="245"/>
        <v>#VALUE!</v>
      </c>
      <c r="AS102" s="75"/>
      <c r="AT102" s="75"/>
      <c r="AU102" s="75" t="e">
        <f t="shared" ca="1" si="246"/>
        <v>#VALUE!</v>
      </c>
      <c r="AV102" s="75"/>
      <c r="AW102" s="75"/>
      <c r="AX102" s="75" t="e">
        <f t="shared" ca="1" si="247"/>
        <v>#VALUE!</v>
      </c>
      <c r="AY102" s="75"/>
      <c r="AZ102" s="75"/>
      <c r="BA102" s="75" t="e">
        <f t="shared" ca="1" si="248"/>
        <v>#VALUE!</v>
      </c>
      <c r="BB102" s="75"/>
      <c r="BC102" s="75"/>
      <c r="BD102" s="75" t="e">
        <f t="shared" ca="1" si="249"/>
        <v>#VALUE!</v>
      </c>
      <c r="BE102" s="75"/>
      <c r="BF102" s="75"/>
      <c r="BG102" s="75" t="e">
        <f t="shared" ca="1" si="250"/>
        <v>#VALUE!</v>
      </c>
      <c r="BH102" s="75"/>
      <c r="BI102" s="75"/>
      <c r="BJ102" s="75" t="e">
        <f t="shared" ca="1" si="251"/>
        <v>#VALUE!</v>
      </c>
      <c r="BK102" s="75"/>
      <c r="BL102" s="75"/>
      <c r="BM102" s="75" t="e">
        <f t="shared" ca="1" si="252"/>
        <v>#VALUE!</v>
      </c>
      <c r="BN102" s="75"/>
      <c r="BO102" s="75"/>
      <c r="BP102" s="75" t="e">
        <f t="shared" ca="1" si="253"/>
        <v>#VALUE!</v>
      </c>
      <c r="BQ102" s="75"/>
      <c r="BR102" s="75"/>
      <c r="BS102" s="75"/>
      <c r="BT102" s="75"/>
      <c r="BU102" s="75"/>
      <c r="BV102" s="75" t="e">
        <f t="shared" ca="1" si="254"/>
        <v>#VALUE!</v>
      </c>
      <c r="BW102" s="75"/>
      <c r="BX102" s="75"/>
      <c r="BY102" s="75" t="e">
        <f t="shared" ca="1" si="255"/>
        <v>#VALUE!</v>
      </c>
      <c r="BZ102" s="75"/>
      <c r="CA102" s="75"/>
      <c r="CB102" s="75"/>
      <c r="CC102" s="75"/>
      <c r="CD102" s="75"/>
      <c r="CE102" s="75" t="e">
        <f t="shared" ca="1" si="256"/>
        <v>#VALUE!</v>
      </c>
      <c r="CF102" s="75"/>
      <c r="CG102" s="75"/>
      <c r="CH102" s="75" t="e">
        <f t="shared" ca="1" si="257"/>
        <v>#VALUE!</v>
      </c>
      <c r="CI102" s="75"/>
      <c r="CJ102" s="75"/>
      <c r="CK102" s="75" t="e">
        <f t="shared" ca="1" si="258"/>
        <v>#VALUE!</v>
      </c>
      <c r="CL102" s="75"/>
      <c r="CM102" s="75"/>
      <c r="CN102" s="75" t="e">
        <f t="shared" ca="1" si="259"/>
        <v>#VALUE!</v>
      </c>
      <c r="CO102" s="75"/>
      <c r="CP102" s="75"/>
      <c r="CQ102" s="75" t="e">
        <f t="shared" ca="1" si="260"/>
        <v>#VALUE!</v>
      </c>
      <c r="CR102" s="75"/>
      <c r="CS102" s="75"/>
      <c r="CT102" s="75" t="e">
        <f t="shared" ca="1" si="261"/>
        <v>#VALUE!</v>
      </c>
      <c r="CU102" s="75"/>
      <c r="CV102" s="75"/>
      <c r="CW102" s="75" t="e">
        <f t="shared" ca="1" si="262"/>
        <v>#VALUE!</v>
      </c>
      <c r="CX102" s="75"/>
      <c r="CY102" s="75"/>
      <c r="CZ102" s="75" t="e">
        <f t="shared" ca="1" si="263"/>
        <v>#VALUE!</v>
      </c>
      <c r="DA102" s="75"/>
      <c r="DB102" s="75"/>
      <c r="DC102" s="75" t="e">
        <f t="shared" ca="1" si="264"/>
        <v>#VALUE!</v>
      </c>
      <c r="DD102" s="75"/>
      <c r="DE102" s="75"/>
      <c r="DF102" s="75" t="e">
        <f t="shared" ca="1" si="265"/>
        <v>#VALUE!</v>
      </c>
      <c r="DG102" s="75"/>
      <c r="DH102" s="75"/>
    </row>
    <row r="103" spans="1:112">
      <c r="A103" s="14">
        <f t="shared" si="266"/>
        <v>5</v>
      </c>
      <c r="B103" s="63">
        <f t="shared" ca="1" si="266"/>
        <v>9.4994572118508245</v>
      </c>
      <c r="C103" s="63">
        <f t="shared" si="266"/>
        <v>3960.5</v>
      </c>
      <c r="D103" s="2" t="e">
        <f t="shared" ca="1" si="233"/>
        <v>#VALUE!</v>
      </c>
      <c r="E103" s="2" t="e">
        <f t="shared" ca="1" si="233"/>
        <v>#VALUE!</v>
      </c>
      <c r="F103" s="2" t="e">
        <f t="shared" ca="1" si="234"/>
        <v>#VALUE!</v>
      </c>
      <c r="G103" s="2" t="e">
        <f t="shared" ca="1" si="267"/>
        <v>#VALUE!</v>
      </c>
      <c r="H103" s="2" t="e">
        <f t="shared" ca="1" si="235"/>
        <v>#VALUE!</v>
      </c>
      <c r="I103" s="2" t="e">
        <f t="shared" ca="1" si="235"/>
        <v>#VALUE!</v>
      </c>
      <c r="J103" s="2" t="e">
        <f t="shared" ca="1" si="236"/>
        <v>#VALUE!</v>
      </c>
      <c r="L103" s="61" t="e">
        <f t="shared" ca="1" si="268"/>
        <v>#VALUE!</v>
      </c>
      <c r="M103" s="63" t="e">
        <f t="shared" ca="1" si="269"/>
        <v>#VALUE!</v>
      </c>
      <c r="N103" s="61" t="e">
        <f t="shared" ca="1" si="270"/>
        <v>#VALUE!</v>
      </c>
      <c r="O103" s="61" t="e">
        <f t="shared" ca="1" si="271"/>
        <v>#VALUE!</v>
      </c>
      <c r="P103" s="63" t="b">
        <f t="shared" si="272"/>
        <v>1</v>
      </c>
      <c r="Q103" s="75">
        <f t="shared" ca="1" si="237"/>
        <v>2294.6219689344612</v>
      </c>
      <c r="T103" s="75">
        <f t="shared" ca="1" si="238"/>
        <v>2274.9343872286372</v>
      </c>
      <c r="W103" s="75">
        <f t="shared" ca="1" si="239"/>
        <v>2358.1313782147145</v>
      </c>
      <c r="Z103" s="75">
        <f t="shared" ca="1" si="240"/>
        <v>2187.8928258838155</v>
      </c>
      <c r="AC103" s="75">
        <f t="shared" ca="1" si="241"/>
        <v>2195.4609245138304</v>
      </c>
      <c r="AF103" s="75"/>
      <c r="AI103" s="75" t="e">
        <f t="shared" ca="1" si="242"/>
        <v>#VALUE!</v>
      </c>
      <c r="AL103" s="75" t="e">
        <f t="shared" ca="1" si="243"/>
        <v>#VALUE!</v>
      </c>
      <c r="AO103" s="75" t="e">
        <f t="shared" ca="1" si="244"/>
        <v>#VALUE!</v>
      </c>
      <c r="AR103" s="75" t="e">
        <f t="shared" ca="1" si="245"/>
        <v>#VALUE!</v>
      </c>
      <c r="AU103" s="75" t="e">
        <f t="shared" ca="1" si="246"/>
        <v>#VALUE!</v>
      </c>
      <c r="AX103" s="75" t="e">
        <f t="shared" ca="1" si="247"/>
        <v>#VALUE!</v>
      </c>
      <c r="BA103" s="75" t="e">
        <f t="shared" ca="1" si="248"/>
        <v>#VALUE!</v>
      </c>
      <c r="BD103" s="75" t="e">
        <f t="shared" ca="1" si="249"/>
        <v>#VALUE!</v>
      </c>
      <c r="BG103" s="75" t="e">
        <f t="shared" ca="1" si="250"/>
        <v>#VALUE!</v>
      </c>
      <c r="BJ103" s="75" t="e">
        <f t="shared" ca="1" si="251"/>
        <v>#VALUE!</v>
      </c>
      <c r="BM103" s="75" t="e">
        <f t="shared" ca="1" si="252"/>
        <v>#VALUE!</v>
      </c>
      <c r="BP103" s="75" t="e">
        <f t="shared" ca="1" si="253"/>
        <v>#VALUE!</v>
      </c>
      <c r="BS103" s="75"/>
      <c r="BV103" s="75" t="e">
        <f t="shared" ca="1" si="254"/>
        <v>#VALUE!</v>
      </c>
      <c r="BY103" s="75" t="e">
        <f t="shared" ca="1" si="255"/>
        <v>#VALUE!</v>
      </c>
      <c r="CB103" s="75"/>
      <c r="CE103" s="75" t="e">
        <f t="shared" ca="1" si="256"/>
        <v>#VALUE!</v>
      </c>
      <c r="CH103" s="75" t="e">
        <f t="shared" ca="1" si="257"/>
        <v>#VALUE!</v>
      </c>
      <c r="CK103" s="75" t="e">
        <f t="shared" ca="1" si="258"/>
        <v>#VALUE!</v>
      </c>
      <c r="CN103" s="75" t="e">
        <f t="shared" ca="1" si="259"/>
        <v>#VALUE!</v>
      </c>
      <c r="CQ103" s="75" t="e">
        <f t="shared" ca="1" si="260"/>
        <v>#VALUE!</v>
      </c>
      <c r="CT103" s="75" t="e">
        <f t="shared" ca="1" si="261"/>
        <v>#VALUE!</v>
      </c>
      <c r="CW103" s="75" t="e">
        <f t="shared" ca="1" si="262"/>
        <v>#VALUE!</v>
      </c>
      <c r="CZ103" s="75" t="e">
        <f t="shared" ca="1" si="263"/>
        <v>#VALUE!</v>
      </c>
      <c r="DC103" s="75" t="e">
        <f t="shared" ca="1" si="264"/>
        <v>#VALUE!</v>
      </c>
      <c r="DF103" s="75" t="e">
        <f t="shared" ca="1" si="265"/>
        <v>#VALUE!</v>
      </c>
    </row>
    <row r="104" spans="1:112">
      <c r="A104" s="14">
        <f t="shared" si="266"/>
        <v>6</v>
      </c>
      <c r="B104" s="63">
        <f t="shared" ca="1" si="266"/>
        <v>7.108076789685887</v>
      </c>
      <c r="C104" s="63">
        <f t="shared" si="266"/>
        <v>3971.2</v>
      </c>
      <c r="D104" s="2" t="e">
        <f t="shared" ca="1" si="233"/>
        <v>#VALUE!</v>
      </c>
      <c r="E104" s="2" t="e">
        <f t="shared" ca="1" si="233"/>
        <v>#VALUE!</v>
      </c>
      <c r="F104" s="2" t="e">
        <f t="shared" ca="1" si="234"/>
        <v>#VALUE!</v>
      </c>
      <c r="G104" s="2" t="e">
        <f t="shared" ca="1" si="267"/>
        <v>#VALUE!</v>
      </c>
      <c r="H104" s="2" t="e">
        <f t="shared" ca="1" si="235"/>
        <v>#VALUE!</v>
      </c>
      <c r="I104" s="2" t="e">
        <f t="shared" ca="1" si="235"/>
        <v>#VALUE!</v>
      </c>
      <c r="J104" s="2" t="e">
        <f t="shared" ca="1" si="236"/>
        <v>#VALUE!</v>
      </c>
      <c r="L104" s="61" t="e">
        <f t="shared" ca="1" si="268"/>
        <v>#VALUE!</v>
      </c>
      <c r="M104" s="63" t="e">
        <f t="shared" ca="1" si="269"/>
        <v>#VALUE!</v>
      </c>
      <c r="N104" s="61" t="e">
        <f t="shared" ca="1" si="270"/>
        <v>#VALUE!</v>
      </c>
      <c r="O104" s="61" t="e">
        <f t="shared" ca="1" si="271"/>
        <v>#VALUE!</v>
      </c>
      <c r="P104" s="63" t="b">
        <f t="shared" si="272"/>
        <v>1</v>
      </c>
      <c r="Q104" s="75">
        <f t="shared" ca="1" si="237"/>
        <v>2299.1501393384879</v>
      </c>
      <c r="T104" s="75">
        <f t="shared" ca="1" si="238"/>
        <v>2270.0390022567935</v>
      </c>
      <c r="W104" s="75">
        <f t="shared" ca="1" si="239"/>
        <v>2354.9405251165754</v>
      </c>
      <c r="Z104" s="75">
        <f t="shared" ca="1" si="240"/>
        <v>2197.9600971725058</v>
      </c>
      <c r="AC104" s="75">
        <f t="shared" ca="1" si="241"/>
        <v>2188.4501693737989</v>
      </c>
      <c r="AF104" s="75"/>
      <c r="AI104" s="75" t="e">
        <f t="shared" ca="1" si="242"/>
        <v>#VALUE!</v>
      </c>
      <c r="AL104" s="75" t="e">
        <f t="shared" ca="1" si="243"/>
        <v>#VALUE!</v>
      </c>
      <c r="AO104" s="75" t="e">
        <f t="shared" ca="1" si="244"/>
        <v>#VALUE!</v>
      </c>
      <c r="AR104" s="75" t="e">
        <f t="shared" ca="1" si="245"/>
        <v>#VALUE!</v>
      </c>
      <c r="AU104" s="75" t="e">
        <f t="shared" ca="1" si="246"/>
        <v>#VALUE!</v>
      </c>
      <c r="AX104" s="75" t="e">
        <f t="shared" ca="1" si="247"/>
        <v>#VALUE!</v>
      </c>
      <c r="BA104" s="75" t="e">
        <f t="shared" ca="1" si="248"/>
        <v>#VALUE!</v>
      </c>
      <c r="BD104" s="75" t="e">
        <f t="shared" ca="1" si="249"/>
        <v>#VALUE!</v>
      </c>
      <c r="BG104" s="75" t="e">
        <f t="shared" ca="1" si="250"/>
        <v>#VALUE!</v>
      </c>
      <c r="BJ104" s="75" t="e">
        <f t="shared" ca="1" si="251"/>
        <v>#VALUE!</v>
      </c>
      <c r="BM104" s="75" t="e">
        <f t="shared" ca="1" si="252"/>
        <v>#VALUE!</v>
      </c>
      <c r="BP104" s="75" t="e">
        <f t="shared" ca="1" si="253"/>
        <v>#VALUE!</v>
      </c>
      <c r="BS104" s="75"/>
      <c r="BV104" s="75" t="e">
        <f t="shared" ca="1" si="254"/>
        <v>#VALUE!</v>
      </c>
      <c r="BY104" s="75" t="e">
        <f t="shared" ca="1" si="255"/>
        <v>#VALUE!</v>
      </c>
      <c r="CB104" s="75"/>
      <c r="CE104" s="75" t="e">
        <f t="shared" ca="1" si="256"/>
        <v>#VALUE!</v>
      </c>
      <c r="CH104" s="75" t="e">
        <f t="shared" ca="1" si="257"/>
        <v>#VALUE!</v>
      </c>
      <c r="CK104" s="75" t="e">
        <f t="shared" ca="1" si="258"/>
        <v>#VALUE!</v>
      </c>
      <c r="CN104" s="75" t="e">
        <f t="shared" ca="1" si="259"/>
        <v>#VALUE!</v>
      </c>
      <c r="CQ104" s="75" t="e">
        <f t="shared" ca="1" si="260"/>
        <v>#VALUE!</v>
      </c>
      <c r="CT104" s="75" t="e">
        <f t="shared" ca="1" si="261"/>
        <v>#VALUE!</v>
      </c>
      <c r="CW104" s="75" t="e">
        <f t="shared" ca="1" si="262"/>
        <v>#VALUE!</v>
      </c>
      <c r="CZ104" s="75" t="e">
        <f t="shared" ca="1" si="263"/>
        <v>#VALUE!</v>
      </c>
      <c r="DC104" s="75" t="e">
        <f t="shared" ca="1" si="264"/>
        <v>#VALUE!</v>
      </c>
      <c r="DF104" s="75" t="e">
        <f t="shared" ca="1" si="265"/>
        <v>#VALUE!</v>
      </c>
    </row>
    <row r="105" spans="1:112">
      <c r="A105" s="14">
        <f t="shared" si="266"/>
        <v>7</v>
      </c>
      <c r="B105" s="63">
        <f t="shared" ca="1" si="266"/>
        <v>5.8108316409221263</v>
      </c>
      <c r="C105" s="63">
        <f t="shared" si="266"/>
        <v>3979.2</v>
      </c>
      <c r="D105" s="2" t="e">
        <f t="shared" ca="1" si="233"/>
        <v>#VALUE!</v>
      </c>
      <c r="E105" s="2" t="e">
        <f t="shared" ca="1" si="233"/>
        <v>#VALUE!</v>
      </c>
      <c r="F105" s="2" t="e">
        <f t="shared" ca="1" si="234"/>
        <v>#VALUE!</v>
      </c>
      <c r="G105" s="2" t="e">
        <f t="shared" ca="1" si="267"/>
        <v>#VALUE!</v>
      </c>
      <c r="H105" s="2" t="e">
        <f t="shared" ca="1" si="235"/>
        <v>#VALUE!</v>
      </c>
      <c r="I105" s="2" t="e">
        <f t="shared" ca="1" si="235"/>
        <v>#VALUE!</v>
      </c>
      <c r="J105" s="2" t="e">
        <f t="shared" ca="1" si="236"/>
        <v>#VALUE!</v>
      </c>
      <c r="L105" s="61" t="e">
        <f t="shared" ca="1" si="268"/>
        <v>#VALUE!</v>
      </c>
      <c r="M105" s="63" t="e">
        <f t="shared" ca="1" si="269"/>
        <v>#VALUE!</v>
      </c>
      <c r="N105" s="61" t="e">
        <f t="shared" ca="1" si="270"/>
        <v>#VALUE!</v>
      </c>
      <c r="O105" s="61" t="e">
        <f t="shared" ca="1" si="271"/>
        <v>#VALUE!</v>
      </c>
      <c r="P105" s="63" t="b">
        <f t="shared" si="272"/>
        <v>1</v>
      </c>
      <c r="Q105" s="75">
        <f t="shared" ca="1" si="237"/>
        <v>2282.5539121336196</v>
      </c>
      <c r="T105" s="75">
        <f t="shared" ca="1" si="238"/>
        <v>2274.3818486387963</v>
      </c>
      <c r="W105" s="75">
        <f t="shared" ca="1" si="239"/>
        <v>2348.6704947796561</v>
      </c>
      <c r="Z105" s="75">
        <f t="shared" ca="1" si="240"/>
        <v>2177.6185135798478</v>
      </c>
      <c r="AC105" s="75">
        <f t="shared" ca="1" si="241"/>
        <v>2147.4492729878903</v>
      </c>
      <c r="AF105" s="75"/>
      <c r="AI105" s="75" t="e">
        <f t="shared" ca="1" si="242"/>
        <v>#VALUE!</v>
      </c>
      <c r="AL105" s="75" t="e">
        <f t="shared" ca="1" si="243"/>
        <v>#VALUE!</v>
      </c>
      <c r="AO105" s="75" t="e">
        <f t="shared" ca="1" si="244"/>
        <v>#VALUE!</v>
      </c>
      <c r="AR105" s="75" t="e">
        <f t="shared" ca="1" si="245"/>
        <v>#VALUE!</v>
      </c>
      <c r="AU105" s="75" t="e">
        <f t="shared" ca="1" si="246"/>
        <v>#VALUE!</v>
      </c>
      <c r="AX105" s="75" t="e">
        <f t="shared" ca="1" si="247"/>
        <v>#VALUE!</v>
      </c>
      <c r="BA105" s="75" t="e">
        <f t="shared" ca="1" si="248"/>
        <v>#VALUE!</v>
      </c>
      <c r="BD105" s="75" t="e">
        <f t="shared" ca="1" si="249"/>
        <v>#VALUE!</v>
      </c>
      <c r="BG105" s="75" t="e">
        <f t="shared" ca="1" si="250"/>
        <v>#VALUE!</v>
      </c>
      <c r="BJ105" s="75" t="e">
        <f t="shared" ca="1" si="251"/>
        <v>#VALUE!</v>
      </c>
      <c r="BM105" s="75" t="e">
        <f t="shared" ca="1" si="252"/>
        <v>#VALUE!</v>
      </c>
      <c r="BP105" s="75" t="e">
        <f t="shared" ca="1" si="253"/>
        <v>#VALUE!</v>
      </c>
      <c r="BS105" s="75"/>
      <c r="BV105" s="75" t="e">
        <f t="shared" ca="1" si="254"/>
        <v>#VALUE!</v>
      </c>
      <c r="BY105" s="75" t="e">
        <f t="shared" ca="1" si="255"/>
        <v>#VALUE!</v>
      </c>
      <c r="CB105" s="75"/>
      <c r="CE105" s="75" t="e">
        <f t="shared" ca="1" si="256"/>
        <v>#VALUE!</v>
      </c>
      <c r="CH105" s="75" t="e">
        <f t="shared" ca="1" si="257"/>
        <v>#VALUE!</v>
      </c>
      <c r="CK105" s="75" t="e">
        <f t="shared" ca="1" si="258"/>
        <v>#VALUE!</v>
      </c>
      <c r="CN105" s="75" t="e">
        <f t="shared" ca="1" si="259"/>
        <v>#VALUE!</v>
      </c>
      <c r="CQ105" s="75" t="e">
        <f t="shared" ca="1" si="260"/>
        <v>#VALUE!</v>
      </c>
      <c r="CT105" s="75" t="e">
        <f t="shared" ca="1" si="261"/>
        <v>#VALUE!</v>
      </c>
      <c r="CW105" s="75" t="e">
        <f t="shared" ca="1" si="262"/>
        <v>#VALUE!</v>
      </c>
      <c r="CZ105" s="75" t="e">
        <f t="shared" ca="1" si="263"/>
        <v>#VALUE!</v>
      </c>
      <c r="DC105" s="75" t="e">
        <f t="shared" ca="1" si="264"/>
        <v>#VALUE!</v>
      </c>
      <c r="DF105" s="75" t="e">
        <f t="shared" ca="1" si="265"/>
        <v>#VALUE!</v>
      </c>
    </row>
    <row r="106" spans="1:112">
      <c r="A106" s="14">
        <f t="shared" si="266"/>
        <v>8</v>
      </c>
      <c r="B106" s="63">
        <f t="shared" ca="1" si="266"/>
        <v>4.7264524101014667</v>
      </c>
      <c r="C106" s="63">
        <f t="shared" si="266"/>
        <v>4001.7</v>
      </c>
      <c r="D106" s="2" t="e">
        <f t="shared" ca="1" si="233"/>
        <v>#VALUE!</v>
      </c>
      <c r="E106" s="2" t="e">
        <f t="shared" ca="1" si="233"/>
        <v>#VALUE!</v>
      </c>
      <c r="F106" s="2" t="e">
        <f t="shared" ca="1" si="234"/>
        <v>#VALUE!</v>
      </c>
      <c r="G106" s="2" t="e">
        <f t="shared" ca="1" si="267"/>
        <v>#VALUE!</v>
      </c>
      <c r="H106" s="2" t="e">
        <f t="shared" ca="1" si="235"/>
        <v>#VALUE!</v>
      </c>
      <c r="I106" s="2" t="e">
        <f t="shared" ca="1" si="235"/>
        <v>#VALUE!</v>
      </c>
      <c r="J106" s="2" t="e">
        <f t="shared" ca="1" si="236"/>
        <v>#VALUE!</v>
      </c>
      <c r="L106" s="61" t="e">
        <f t="shared" ca="1" si="268"/>
        <v>#VALUE!</v>
      </c>
      <c r="M106" s="63" t="e">
        <f t="shared" ca="1" si="269"/>
        <v>#VALUE!</v>
      </c>
      <c r="N106" s="61" t="e">
        <f t="shared" ca="1" si="270"/>
        <v>#VALUE!</v>
      </c>
      <c r="O106" s="61" t="e">
        <f t="shared" ca="1" si="271"/>
        <v>#VALUE!</v>
      </c>
      <c r="P106" s="63" t="b">
        <f t="shared" si="272"/>
        <v>1</v>
      </c>
      <c r="Q106" s="75">
        <f t="shared" ca="1" si="237"/>
        <v>2343.0266278429417</v>
      </c>
      <c r="T106" s="75">
        <f t="shared" ca="1" si="238"/>
        <v>2302.6719801264449</v>
      </c>
      <c r="W106" s="75">
        <f t="shared" ca="1" si="239"/>
        <v>2368.8448031675321</v>
      </c>
      <c r="Z106" s="75">
        <f t="shared" ca="1" si="240"/>
        <v>2213.3028944579237</v>
      </c>
      <c r="AC106" s="75">
        <f t="shared" ca="1" si="241"/>
        <v>2238.878179774129</v>
      </c>
      <c r="AF106" s="75"/>
      <c r="AI106" s="75" t="e">
        <f t="shared" ca="1" si="242"/>
        <v>#VALUE!</v>
      </c>
      <c r="AL106" s="75" t="e">
        <f t="shared" ca="1" si="243"/>
        <v>#VALUE!</v>
      </c>
      <c r="AO106" s="75" t="e">
        <f t="shared" ca="1" si="244"/>
        <v>#VALUE!</v>
      </c>
      <c r="AR106" s="75" t="e">
        <f t="shared" ca="1" si="245"/>
        <v>#VALUE!</v>
      </c>
      <c r="AU106" s="75" t="e">
        <f t="shared" ca="1" si="246"/>
        <v>#VALUE!</v>
      </c>
      <c r="AX106" s="75" t="e">
        <f t="shared" ca="1" si="247"/>
        <v>#VALUE!</v>
      </c>
      <c r="BA106" s="75" t="e">
        <f t="shared" ca="1" si="248"/>
        <v>#VALUE!</v>
      </c>
      <c r="BD106" s="75" t="e">
        <f t="shared" ca="1" si="249"/>
        <v>#VALUE!</v>
      </c>
      <c r="BG106" s="75" t="e">
        <f t="shared" ca="1" si="250"/>
        <v>#VALUE!</v>
      </c>
      <c r="BJ106" s="75" t="e">
        <f t="shared" ca="1" si="251"/>
        <v>#VALUE!</v>
      </c>
      <c r="BM106" s="75" t="e">
        <f t="shared" ca="1" si="252"/>
        <v>#VALUE!</v>
      </c>
      <c r="BP106" s="75" t="e">
        <f t="shared" ca="1" si="253"/>
        <v>#VALUE!</v>
      </c>
      <c r="BS106" s="75"/>
      <c r="BV106" s="75" t="e">
        <f t="shared" ca="1" si="254"/>
        <v>#VALUE!</v>
      </c>
      <c r="BY106" s="75" t="e">
        <f t="shared" ca="1" si="255"/>
        <v>#VALUE!</v>
      </c>
      <c r="CB106" s="75"/>
      <c r="CE106" s="75" t="e">
        <f t="shared" ca="1" si="256"/>
        <v>#VALUE!</v>
      </c>
      <c r="CH106" s="75" t="e">
        <f t="shared" ca="1" si="257"/>
        <v>#VALUE!</v>
      </c>
      <c r="CK106" s="75" t="e">
        <f t="shared" ca="1" si="258"/>
        <v>#VALUE!</v>
      </c>
      <c r="CN106" s="75" t="e">
        <f t="shared" ca="1" si="259"/>
        <v>#VALUE!</v>
      </c>
      <c r="CQ106" s="75" t="e">
        <f t="shared" ca="1" si="260"/>
        <v>#VALUE!</v>
      </c>
      <c r="CT106" s="75" t="e">
        <f t="shared" ca="1" si="261"/>
        <v>#VALUE!</v>
      </c>
      <c r="CW106" s="75" t="e">
        <f t="shared" ca="1" si="262"/>
        <v>#VALUE!</v>
      </c>
      <c r="CZ106" s="75" t="e">
        <f t="shared" ca="1" si="263"/>
        <v>#VALUE!</v>
      </c>
      <c r="DC106" s="75" t="e">
        <f t="shared" ca="1" si="264"/>
        <v>#VALUE!</v>
      </c>
      <c r="DF106" s="75" t="e">
        <f t="shared" ca="1" si="265"/>
        <v>#VALUE!</v>
      </c>
    </row>
    <row r="107" spans="1:112">
      <c r="A107" s="14">
        <f t="shared" si="266"/>
        <v>9</v>
      </c>
      <c r="B107" s="63">
        <f t="shared" ca="1" si="266"/>
        <v>3.8737596974251551</v>
      </c>
      <c r="C107" s="63">
        <f t="shared" si="266"/>
        <v>4034.1</v>
      </c>
      <c r="D107" s="2" t="e">
        <f t="shared" ca="1" si="233"/>
        <v>#VALUE!</v>
      </c>
      <c r="E107" s="2" t="e">
        <f t="shared" ca="1" si="233"/>
        <v>#VALUE!</v>
      </c>
      <c r="F107" s="2" t="e">
        <f t="shared" ca="1" si="234"/>
        <v>#VALUE!</v>
      </c>
      <c r="G107" s="2" t="e">
        <f t="shared" ca="1" si="267"/>
        <v>#VALUE!</v>
      </c>
      <c r="H107" s="2" t="e">
        <f t="shared" ca="1" si="235"/>
        <v>#VALUE!</v>
      </c>
      <c r="I107" s="2" t="e">
        <f t="shared" ca="1" si="235"/>
        <v>#VALUE!</v>
      </c>
      <c r="J107" s="2" t="e">
        <f t="shared" ca="1" si="236"/>
        <v>#VALUE!</v>
      </c>
      <c r="L107" s="61" t="e">
        <f t="shared" ca="1" si="268"/>
        <v>#VALUE!</v>
      </c>
      <c r="M107" s="63" t="e">
        <f t="shared" ca="1" si="269"/>
        <v>#VALUE!</v>
      </c>
      <c r="N107" s="61" t="e">
        <f t="shared" ca="1" si="270"/>
        <v>#VALUE!</v>
      </c>
      <c r="O107" s="61" t="e">
        <f t="shared" ca="1" si="271"/>
        <v>#VALUE!</v>
      </c>
      <c r="P107" s="63" t="b">
        <f t="shared" si="272"/>
        <v>1</v>
      </c>
      <c r="Q107" s="75">
        <f t="shared" ca="1" si="237"/>
        <v>2415.9426907378665</v>
      </c>
      <c r="T107" s="75">
        <f t="shared" ca="1" si="238"/>
        <v>2368.4407081370682</v>
      </c>
      <c r="W107" s="75">
        <f t="shared" ca="1" si="239"/>
        <v>2443.1992460754668</v>
      </c>
      <c r="Z107" s="75">
        <f t="shared" ca="1" si="240"/>
        <v>2269.1890942022069</v>
      </c>
      <c r="AC107" s="75">
        <f t="shared" ca="1" si="241"/>
        <v>2288.3777963605439</v>
      </c>
      <c r="AF107" s="75"/>
      <c r="AI107" s="75" t="e">
        <f t="shared" ca="1" si="242"/>
        <v>#VALUE!</v>
      </c>
      <c r="AL107" s="75" t="e">
        <f t="shared" ca="1" si="243"/>
        <v>#VALUE!</v>
      </c>
      <c r="AO107" s="75" t="e">
        <f t="shared" ca="1" si="244"/>
        <v>#VALUE!</v>
      </c>
      <c r="AR107" s="75" t="e">
        <f t="shared" ca="1" si="245"/>
        <v>#VALUE!</v>
      </c>
      <c r="AU107" s="75" t="e">
        <f t="shared" ca="1" si="246"/>
        <v>#VALUE!</v>
      </c>
      <c r="AX107" s="75" t="e">
        <f t="shared" ca="1" si="247"/>
        <v>#VALUE!</v>
      </c>
      <c r="BA107" s="75" t="e">
        <f t="shared" ca="1" si="248"/>
        <v>#VALUE!</v>
      </c>
      <c r="BD107" s="75" t="e">
        <f t="shared" ca="1" si="249"/>
        <v>#VALUE!</v>
      </c>
      <c r="BG107" s="75" t="e">
        <f t="shared" ca="1" si="250"/>
        <v>#VALUE!</v>
      </c>
      <c r="BJ107" s="75" t="e">
        <f t="shared" ca="1" si="251"/>
        <v>#VALUE!</v>
      </c>
      <c r="BM107" s="75" t="e">
        <f t="shared" ca="1" si="252"/>
        <v>#VALUE!</v>
      </c>
      <c r="BP107" s="75" t="e">
        <f t="shared" ca="1" si="253"/>
        <v>#VALUE!</v>
      </c>
      <c r="BS107" s="75"/>
      <c r="BV107" s="75" t="e">
        <f t="shared" ca="1" si="254"/>
        <v>#VALUE!</v>
      </c>
      <c r="BY107" s="75" t="e">
        <f t="shared" ca="1" si="255"/>
        <v>#VALUE!</v>
      </c>
      <c r="CB107" s="75"/>
      <c r="CE107" s="75" t="e">
        <f t="shared" ca="1" si="256"/>
        <v>#VALUE!</v>
      </c>
      <c r="CH107" s="75" t="e">
        <f t="shared" ca="1" si="257"/>
        <v>#VALUE!</v>
      </c>
      <c r="CK107" s="75" t="e">
        <f t="shared" ca="1" si="258"/>
        <v>#VALUE!</v>
      </c>
      <c r="CN107" s="75" t="e">
        <f t="shared" ca="1" si="259"/>
        <v>#VALUE!</v>
      </c>
      <c r="CQ107" s="75" t="e">
        <f t="shared" ca="1" si="260"/>
        <v>#VALUE!</v>
      </c>
      <c r="CT107" s="75" t="e">
        <f t="shared" ca="1" si="261"/>
        <v>#VALUE!</v>
      </c>
      <c r="CW107" s="75" t="e">
        <f t="shared" ca="1" si="262"/>
        <v>#VALUE!</v>
      </c>
      <c r="CZ107" s="75" t="e">
        <f t="shared" ca="1" si="263"/>
        <v>#VALUE!</v>
      </c>
      <c r="DC107" s="75" t="e">
        <f t="shared" ca="1" si="264"/>
        <v>#VALUE!</v>
      </c>
      <c r="DF107" s="75" t="e">
        <f t="shared" ca="1" si="265"/>
        <v>#VALUE!</v>
      </c>
    </row>
    <row r="108" spans="1:112">
      <c r="A108" s="14">
        <f t="shared" si="266"/>
        <v>10</v>
      </c>
      <c r="B108" s="63">
        <f t="shared" ca="1" si="266"/>
        <v>3.2207968686872634</v>
      </c>
      <c r="C108" s="63">
        <f t="shared" si="266"/>
        <v>4023.8</v>
      </c>
      <c r="D108" s="2" t="e">
        <f t="shared" ca="1" si="233"/>
        <v>#VALUE!</v>
      </c>
      <c r="E108" s="2" t="e">
        <f t="shared" ca="1" si="233"/>
        <v>#VALUE!</v>
      </c>
      <c r="F108" s="2" t="e">
        <f t="shared" ca="1" si="234"/>
        <v>#VALUE!</v>
      </c>
      <c r="G108" s="2" t="e">
        <f t="shared" ca="1" si="267"/>
        <v>#VALUE!</v>
      </c>
      <c r="H108" s="2" t="e">
        <f t="shared" ca="1" si="235"/>
        <v>#VALUE!</v>
      </c>
      <c r="I108" s="2" t="e">
        <f t="shared" ca="1" si="235"/>
        <v>#VALUE!</v>
      </c>
      <c r="J108" s="2" t="e">
        <f t="shared" ca="1" si="236"/>
        <v>#VALUE!</v>
      </c>
      <c r="L108" s="61" t="e">
        <f t="shared" ca="1" si="268"/>
        <v>#VALUE!</v>
      </c>
      <c r="M108" s="63" t="e">
        <f t="shared" ca="1" si="269"/>
        <v>#VALUE!</v>
      </c>
      <c r="N108" s="61" t="e">
        <f t="shared" ca="1" si="270"/>
        <v>#VALUE!</v>
      </c>
      <c r="O108" s="61" t="e">
        <f t="shared" ca="1" si="271"/>
        <v>#VALUE!</v>
      </c>
      <c r="P108" s="63" t="b">
        <f t="shared" si="272"/>
        <v>1</v>
      </c>
      <c r="Q108" s="75">
        <f t="shared" ca="1" si="237"/>
        <v>2472.1793295419834</v>
      </c>
      <c r="T108" s="75">
        <f t="shared" ca="1" si="238"/>
        <v>2379.2100426541938</v>
      </c>
      <c r="W108" s="75">
        <f t="shared" ca="1" si="239"/>
        <v>2484.0623535358318</v>
      </c>
      <c r="Z108" s="75">
        <f t="shared" ca="1" si="240"/>
        <v>2309.6458000931439</v>
      </c>
      <c r="AC108" s="75">
        <f t="shared" ca="1" si="241"/>
        <v>2319.9914989438521</v>
      </c>
      <c r="AF108" s="75"/>
      <c r="AI108" s="75" t="e">
        <f t="shared" ca="1" si="242"/>
        <v>#VALUE!</v>
      </c>
      <c r="AL108" s="75" t="e">
        <f t="shared" ca="1" si="243"/>
        <v>#VALUE!</v>
      </c>
      <c r="AO108" s="75" t="e">
        <f t="shared" ca="1" si="244"/>
        <v>#VALUE!</v>
      </c>
      <c r="AR108" s="75" t="e">
        <f t="shared" ca="1" si="245"/>
        <v>#VALUE!</v>
      </c>
      <c r="AU108" s="75" t="e">
        <f t="shared" ca="1" si="246"/>
        <v>#VALUE!</v>
      </c>
      <c r="AX108" s="75" t="e">
        <f t="shared" ca="1" si="247"/>
        <v>#VALUE!</v>
      </c>
      <c r="BA108" s="75" t="e">
        <f t="shared" ca="1" si="248"/>
        <v>#VALUE!</v>
      </c>
      <c r="BD108" s="75" t="e">
        <f t="shared" ca="1" si="249"/>
        <v>#VALUE!</v>
      </c>
      <c r="BG108" s="75" t="e">
        <f t="shared" ca="1" si="250"/>
        <v>#VALUE!</v>
      </c>
      <c r="BJ108" s="75" t="e">
        <f t="shared" ca="1" si="251"/>
        <v>#VALUE!</v>
      </c>
      <c r="BM108" s="75" t="e">
        <f t="shared" ca="1" si="252"/>
        <v>#VALUE!</v>
      </c>
      <c r="BP108" s="75" t="e">
        <f t="shared" ca="1" si="253"/>
        <v>#VALUE!</v>
      </c>
      <c r="BS108" s="75"/>
      <c r="BV108" s="75" t="e">
        <f t="shared" ca="1" si="254"/>
        <v>#VALUE!</v>
      </c>
      <c r="BY108" s="75" t="e">
        <f t="shared" ca="1" si="255"/>
        <v>#VALUE!</v>
      </c>
      <c r="CB108" s="75"/>
      <c r="CE108" s="75" t="e">
        <f t="shared" ca="1" si="256"/>
        <v>#VALUE!</v>
      </c>
      <c r="CH108" s="75" t="e">
        <f t="shared" ca="1" si="257"/>
        <v>#VALUE!</v>
      </c>
      <c r="CK108" s="75" t="e">
        <f t="shared" ca="1" si="258"/>
        <v>#VALUE!</v>
      </c>
      <c r="CN108" s="75" t="e">
        <f t="shared" ca="1" si="259"/>
        <v>#VALUE!</v>
      </c>
      <c r="CQ108" s="75" t="e">
        <f t="shared" ca="1" si="260"/>
        <v>#VALUE!</v>
      </c>
      <c r="CT108" s="75" t="e">
        <f t="shared" ca="1" si="261"/>
        <v>#VALUE!</v>
      </c>
      <c r="CW108" s="75" t="e">
        <f t="shared" ca="1" si="262"/>
        <v>#VALUE!</v>
      </c>
      <c r="CZ108" s="75" t="e">
        <f t="shared" ca="1" si="263"/>
        <v>#VALUE!</v>
      </c>
      <c r="DC108" s="75" t="e">
        <f t="shared" ca="1" si="264"/>
        <v>#VALUE!</v>
      </c>
      <c r="DF108" s="75" t="e">
        <f t="shared" ca="1" si="265"/>
        <v>#VALUE!</v>
      </c>
    </row>
    <row r="109" spans="1:112">
      <c r="A109" s="14">
        <f t="shared" si="266"/>
        <v>11</v>
      </c>
      <c r="B109" s="63">
        <f t="shared" ca="1" si="266"/>
        <v>2.38707854456778</v>
      </c>
      <c r="C109" s="63">
        <f t="shared" si="266"/>
        <v>4005.5</v>
      </c>
      <c r="D109" s="2" t="e">
        <f t="shared" ca="1" si="233"/>
        <v>#VALUE!</v>
      </c>
      <c r="E109" s="2" t="e">
        <f t="shared" ca="1" si="233"/>
        <v>#VALUE!</v>
      </c>
      <c r="F109" s="2" t="e">
        <f t="shared" ca="1" si="234"/>
        <v>#VALUE!</v>
      </c>
      <c r="G109" s="2" t="e">
        <f t="shared" ca="1" si="267"/>
        <v>#VALUE!</v>
      </c>
      <c r="H109" s="2" t="e">
        <f t="shared" ca="1" si="235"/>
        <v>#VALUE!</v>
      </c>
      <c r="I109" s="2" t="e">
        <f t="shared" ca="1" si="235"/>
        <v>#VALUE!</v>
      </c>
      <c r="J109" s="2" t="e">
        <f t="shared" ca="1" si="236"/>
        <v>#VALUE!</v>
      </c>
      <c r="L109" s="61" t="e">
        <f t="shared" ca="1" si="268"/>
        <v>#VALUE!</v>
      </c>
      <c r="M109" s="63" t="e">
        <f t="shared" ca="1" si="269"/>
        <v>#VALUE!</v>
      </c>
      <c r="N109" s="61" t="e">
        <f t="shared" ca="1" si="270"/>
        <v>#VALUE!</v>
      </c>
      <c r="O109" s="61" t="e">
        <f t="shared" ca="1" si="271"/>
        <v>#VALUE!</v>
      </c>
      <c r="P109" s="63" t="b">
        <f t="shared" si="272"/>
        <v>1</v>
      </c>
      <c r="Q109" s="75">
        <f t="shared" ca="1" si="237"/>
        <v>2330.3573360827068</v>
      </c>
      <c r="T109" s="75">
        <f t="shared" ca="1" si="238"/>
        <v>2205.2688485200806</v>
      </c>
      <c r="W109" s="75">
        <f t="shared" ca="1" si="239"/>
        <v>2351.8909098355807</v>
      </c>
      <c r="Z109" s="75">
        <f t="shared" ca="1" si="240"/>
        <v>2152.488157140057</v>
      </c>
      <c r="AC109" s="75">
        <f t="shared" ca="1" si="241"/>
        <v>2167.8842887792816</v>
      </c>
      <c r="AF109" s="75"/>
      <c r="AI109" s="75" t="e">
        <f t="shared" ca="1" si="242"/>
        <v>#VALUE!</v>
      </c>
      <c r="AL109" s="75" t="e">
        <f t="shared" ca="1" si="243"/>
        <v>#VALUE!</v>
      </c>
      <c r="AO109" s="75" t="e">
        <f t="shared" ca="1" si="244"/>
        <v>#VALUE!</v>
      </c>
      <c r="AR109" s="75" t="e">
        <f t="shared" ca="1" si="245"/>
        <v>#VALUE!</v>
      </c>
      <c r="AU109" s="75" t="e">
        <f t="shared" ca="1" si="246"/>
        <v>#VALUE!</v>
      </c>
      <c r="AX109" s="75" t="e">
        <f t="shared" ca="1" si="247"/>
        <v>#VALUE!</v>
      </c>
      <c r="BA109" s="75" t="e">
        <f t="shared" ca="1" si="248"/>
        <v>#VALUE!</v>
      </c>
      <c r="BD109" s="75" t="e">
        <f t="shared" ca="1" si="249"/>
        <v>#VALUE!</v>
      </c>
      <c r="BG109" s="75" t="e">
        <f t="shared" ca="1" si="250"/>
        <v>#VALUE!</v>
      </c>
      <c r="BJ109" s="75" t="e">
        <f t="shared" ca="1" si="251"/>
        <v>#VALUE!</v>
      </c>
      <c r="BM109" s="75" t="e">
        <f t="shared" ca="1" si="252"/>
        <v>#VALUE!</v>
      </c>
      <c r="BP109" s="75" t="e">
        <f t="shared" ca="1" si="253"/>
        <v>#VALUE!</v>
      </c>
      <c r="BS109" s="75"/>
      <c r="BV109" s="75" t="e">
        <f t="shared" ca="1" si="254"/>
        <v>#VALUE!</v>
      </c>
      <c r="BY109" s="75" t="e">
        <f t="shared" ca="1" si="255"/>
        <v>#VALUE!</v>
      </c>
      <c r="CB109" s="75"/>
      <c r="CE109" s="75" t="e">
        <f t="shared" ca="1" si="256"/>
        <v>#VALUE!</v>
      </c>
      <c r="CH109" s="75" t="e">
        <f t="shared" ca="1" si="257"/>
        <v>#VALUE!</v>
      </c>
      <c r="CK109" s="75" t="e">
        <f t="shared" ca="1" si="258"/>
        <v>#VALUE!</v>
      </c>
      <c r="CN109" s="75" t="e">
        <f t="shared" ca="1" si="259"/>
        <v>#VALUE!</v>
      </c>
      <c r="CQ109" s="75" t="e">
        <f t="shared" ca="1" si="260"/>
        <v>#VALUE!</v>
      </c>
      <c r="CT109" s="75" t="e">
        <f t="shared" ca="1" si="261"/>
        <v>#VALUE!</v>
      </c>
      <c r="CW109" s="75" t="e">
        <f t="shared" ca="1" si="262"/>
        <v>#VALUE!</v>
      </c>
      <c r="CZ109" s="75" t="e">
        <f t="shared" ca="1" si="263"/>
        <v>#VALUE!</v>
      </c>
      <c r="DC109" s="75" t="e">
        <f t="shared" ca="1" si="264"/>
        <v>#VALUE!</v>
      </c>
      <c r="DF109" s="75" t="e">
        <f t="shared" ca="1" si="265"/>
        <v>#VALUE!</v>
      </c>
    </row>
    <row r="110" spans="1:112">
      <c r="A110" s="14">
        <f t="shared" si="266"/>
        <v>12</v>
      </c>
      <c r="B110" s="63">
        <f t="shared" ca="1" si="266"/>
        <v>2.1590792663518994</v>
      </c>
      <c r="C110" s="63">
        <f t="shared" si="266"/>
        <v>4009.6</v>
      </c>
      <c r="D110" s="2" t="e">
        <f t="shared" ca="1" si="233"/>
        <v>#VALUE!</v>
      </c>
      <c r="E110" s="2" t="e">
        <f t="shared" ca="1" si="233"/>
        <v>#VALUE!</v>
      </c>
      <c r="F110" s="2" t="e">
        <f t="shared" ca="1" si="234"/>
        <v>#VALUE!</v>
      </c>
      <c r="G110" s="2" t="e">
        <f t="shared" ca="1" si="267"/>
        <v>#VALUE!</v>
      </c>
      <c r="H110" s="2" t="e">
        <f t="shared" ca="1" si="235"/>
        <v>#VALUE!</v>
      </c>
      <c r="I110" s="2" t="e">
        <f t="shared" ca="1" si="235"/>
        <v>#VALUE!</v>
      </c>
      <c r="J110" s="2" t="e">
        <f t="shared" ca="1" si="236"/>
        <v>#VALUE!</v>
      </c>
      <c r="L110" s="61" t="e">
        <f t="shared" ca="1" si="268"/>
        <v>#VALUE!</v>
      </c>
      <c r="M110" s="63" t="e">
        <f t="shared" ca="1" si="269"/>
        <v>#VALUE!</v>
      </c>
      <c r="N110" s="61" t="e">
        <f t="shared" ca="1" si="270"/>
        <v>#VALUE!</v>
      </c>
      <c r="O110" s="61" t="e">
        <f t="shared" ca="1" si="271"/>
        <v>#VALUE!</v>
      </c>
      <c r="P110" s="63" t="b">
        <f t="shared" si="272"/>
        <v>1</v>
      </c>
      <c r="Q110" s="75">
        <f t="shared" ca="1" si="237"/>
        <v>2289.9876819067886</v>
      </c>
      <c r="T110" s="75">
        <f t="shared" ca="1" si="238"/>
        <v>2168.9545629174763</v>
      </c>
      <c r="W110" s="75">
        <f t="shared" ca="1" si="239"/>
        <v>2267.0793099443163</v>
      </c>
      <c r="Z110" s="75">
        <f t="shared" ca="1" si="240"/>
        <v>2083.4341670575213</v>
      </c>
      <c r="AC110" s="75">
        <f t="shared" ca="1" si="241"/>
        <v>2126.1376568486949</v>
      </c>
      <c r="AF110" s="75"/>
      <c r="AI110" s="75" t="e">
        <f t="shared" ca="1" si="242"/>
        <v>#VALUE!</v>
      </c>
      <c r="AL110" s="75" t="e">
        <f t="shared" ca="1" si="243"/>
        <v>#VALUE!</v>
      </c>
      <c r="AO110" s="75" t="e">
        <f t="shared" ca="1" si="244"/>
        <v>#VALUE!</v>
      </c>
      <c r="AR110" s="75" t="e">
        <f t="shared" ca="1" si="245"/>
        <v>#VALUE!</v>
      </c>
      <c r="AU110" s="75" t="e">
        <f t="shared" ca="1" si="246"/>
        <v>#VALUE!</v>
      </c>
      <c r="AX110" s="75" t="e">
        <f t="shared" ca="1" si="247"/>
        <v>#VALUE!</v>
      </c>
      <c r="BA110" s="75" t="e">
        <f t="shared" ca="1" si="248"/>
        <v>#VALUE!</v>
      </c>
      <c r="BD110" s="75" t="e">
        <f t="shared" ca="1" si="249"/>
        <v>#VALUE!</v>
      </c>
      <c r="BG110" s="75" t="e">
        <f t="shared" ca="1" si="250"/>
        <v>#VALUE!</v>
      </c>
      <c r="BJ110" s="75" t="e">
        <f t="shared" ca="1" si="251"/>
        <v>#VALUE!</v>
      </c>
      <c r="BM110" s="75" t="e">
        <f t="shared" ca="1" si="252"/>
        <v>#VALUE!</v>
      </c>
      <c r="BP110" s="75" t="e">
        <f t="shared" ca="1" si="253"/>
        <v>#VALUE!</v>
      </c>
      <c r="BS110" s="75"/>
      <c r="BV110" s="75" t="e">
        <f t="shared" ca="1" si="254"/>
        <v>#VALUE!</v>
      </c>
      <c r="BY110" s="75" t="e">
        <f t="shared" ca="1" si="255"/>
        <v>#VALUE!</v>
      </c>
      <c r="CB110" s="75"/>
      <c r="CE110" s="75" t="e">
        <f t="shared" ca="1" si="256"/>
        <v>#VALUE!</v>
      </c>
      <c r="CH110" s="75" t="e">
        <f t="shared" ca="1" si="257"/>
        <v>#VALUE!</v>
      </c>
      <c r="CK110" s="75" t="e">
        <f t="shared" ca="1" si="258"/>
        <v>#VALUE!</v>
      </c>
      <c r="CN110" s="75" t="e">
        <f t="shared" ca="1" si="259"/>
        <v>#VALUE!</v>
      </c>
      <c r="CQ110" s="75" t="e">
        <f t="shared" ca="1" si="260"/>
        <v>#VALUE!</v>
      </c>
      <c r="CT110" s="75" t="e">
        <f t="shared" ca="1" si="261"/>
        <v>#VALUE!</v>
      </c>
      <c r="CW110" s="75" t="e">
        <f t="shared" ca="1" si="262"/>
        <v>#VALUE!</v>
      </c>
      <c r="CZ110" s="75" t="e">
        <f t="shared" ca="1" si="263"/>
        <v>#VALUE!</v>
      </c>
      <c r="DC110" s="75" t="e">
        <f t="shared" ca="1" si="264"/>
        <v>#VALUE!</v>
      </c>
      <c r="DF110" s="75" t="e">
        <f t="shared" ca="1" si="265"/>
        <v>#VALUE!</v>
      </c>
    </row>
    <row r="111" spans="1:112">
      <c r="A111" s="14">
        <f t="shared" si="266"/>
        <v>13</v>
      </c>
      <c r="B111" s="63">
        <f t="shared" ca="1" si="266"/>
        <v>1.7769039850931945</v>
      </c>
      <c r="C111" s="63">
        <f t="shared" si="266"/>
        <v>4016.5</v>
      </c>
      <c r="D111" s="2" t="e">
        <f t="shared" ca="1" si="233"/>
        <v>#VALUE!</v>
      </c>
      <c r="E111" s="2" t="e">
        <f t="shared" ca="1" si="233"/>
        <v>#VALUE!</v>
      </c>
      <c r="F111" s="2" t="e">
        <f t="shared" ca="1" si="234"/>
        <v>#VALUE!</v>
      </c>
      <c r="G111" s="2" t="e">
        <f t="shared" ca="1" si="267"/>
        <v>#VALUE!</v>
      </c>
      <c r="H111" s="2" t="e">
        <f t="shared" ca="1" si="235"/>
        <v>#VALUE!</v>
      </c>
      <c r="I111" s="2" t="e">
        <f t="shared" ca="1" si="235"/>
        <v>#VALUE!</v>
      </c>
      <c r="J111" s="2" t="e">
        <f t="shared" ca="1" si="236"/>
        <v>#VALUE!</v>
      </c>
      <c r="L111" s="61" t="e">
        <f t="shared" ca="1" si="268"/>
        <v>#VALUE!</v>
      </c>
      <c r="M111" s="63" t="e">
        <f t="shared" ca="1" si="269"/>
        <v>#VALUE!</v>
      </c>
      <c r="N111" s="61" t="e">
        <f t="shared" ca="1" si="270"/>
        <v>#VALUE!</v>
      </c>
      <c r="O111" s="61" t="e">
        <f t="shared" ca="1" si="271"/>
        <v>#VALUE!</v>
      </c>
      <c r="P111" s="63" t="b">
        <f t="shared" si="272"/>
        <v>1</v>
      </c>
      <c r="Q111" s="75">
        <f t="shared" ca="1" si="237"/>
        <v>2330.4978084748582</v>
      </c>
      <c r="T111" s="75">
        <f t="shared" ca="1" si="238"/>
        <v>2208.0738600003156</v>
      </c>
      <c r="W111" s="75">
        <f t="shared" ca="1" si="239"/>
        <v>2273.1463081233942</v>
      </c>
      <c r="Z111" s="75">
        <f t="shared" ca="1" si="240"/>
        <v>2122.3803559616131</v>
      </c>
      <c r="AC111" s="75">
        <f t="shared" ca="1" si="241"/>
        <v>2159.6833212706892</v>
      </c>
      <c r="AF111" s="75"/>
      <c r="AI111" s="75" t="e">
        <f t="shared" ca="1" si="242"/>
        <v>#VALUE!</v>
      </c>
      <c r="AL111" s="75" t="e">
        <f t="shared" ca="1" si="243"/>
        <v>#VALUE!</v>
      </c>
      <c r="AO111" s="75" t="e">
        <f t="shared" ca="1" si="244"/>
        <v>#VALUE!</v>
      </c>
      <c r="AR111" s="75" t="e">
        <f t="shared" ca="1" si="245"/>
        <v>#VALUE!</v>
      </c>
      <c r="AU111" s="75" t="e">
        <f t="shared" ca="1" si="246"/>
        <v>#VALUE!</v>
      </c>
      <c r="AX111" s="75" t="e">
        <f t="shared" ca="1" si="247"/>
        <v>#VALUE!</v>
      </c>
      <c r="BA111" s="75" t="e">
        <f t="shared" ca="1" si="248"/>
        <v>#VALUE!</v>
      </c>
      <c r="BD111" s="75" t="e">
        <f t="shared" ca="1" si="249"/>
        <v>#VALUE!</v>
      </c>
      <c r="BG111" s="75" t="e">
        <f t="shared" ca="1" si="250"/>
        <v>#VALUE!</v>
      </c>
      <c r="BJ111" s="75" t="e">
        <f t="shared" ca="1" si="251"/>
        <v>#VALUE!</v>
      </c>
      <c r="BM111" s="75" t="e">
        <f t="shared" ca="1" si="252"/>
        <v>#VALUE!</v>
      </c>
      <c r="BP111" s="75" t="e">
        <f t="shared" ca="1" si="253"/>
        <v>#VALUE!</v>
      </c>
      <c r="BS111" s="75"/>
      <c r="BV111" s="75" t="e">
        <f t="shared" ca="1" si="254"/>
        <v>#VALUE!</v>
      </c>
      <c r="BY111" s="75" t="e">
        <f t="shared" ca="1" si="255"/>
        <v>#VALUE!</v>
      </c>
      <c r="CB111" s="75"/>
      <c r="CE111" s="75" t="e">
        <f t="shared" ca="1" si="256"/>
        <v>#VALUE!</v>
      </c>
      <c r="CH111" s="75" t="e">
        <f t="shared" ca="1" si="257"/>
        <v>#VALUE!</v>
      </c>
      <c r="CK111" s="75" t="e">
        <f t="shared" ca="1" si="258"/>
        <v>#VALUE!</v>
      </c>
      <c r="CN111" s="75" t="e">
        <f t="shared" ca="1" si="259"/>
        <v>#VALUE!</v>
      </c>
      <c r="CQ111" s="75" t="e">
        <f t="shared" ca="1" si="260"/>
        <v>#VALUE!</v>
      </c>
      <c r="CT111" s="75" t="e">
        <f t="shared" ca="1" si="261"/>
        <v>#VALUE!</v>
      </c>
      <c r="CW111" s="75" t="e">
        <f t="shared" ca="1" si="262"/>
        <v>#VALUE!</v>
      </c>
      <c r="CZ111" s="75" t="e">
        <f t="shared" ca="1" si="263"/>
        <v>#VALUE!</v>
      </c>
      <c r="DC111" s="75" t="e">
        <f t="shared" ca="1" si="264"/>
        <v>#VALUE!</v>
      </c>
      <c r="DF111" s="75" t="e">
        <f t="shared" ca="1" si="265"/>
        <v>#VALUE!</v>
      </c>
    </row>
    <row r="112" spans="1:112">
      <c r="A112" s="14">
        <f t="shared" si="266"/>
        <v>14</v>
      </c>
      <c r="B112" s="63">
        <f t="shared" ca="1" si="266"/>
        <v>1.4370560182896255</v>
      </c>
      <c r="C112" s="63">
        <f t="shared" si="266"/>
        <v>4064.6</v>
      </c>
      <c r="D112" s="2" t="e">
        <f t="shared" ca="1" si="233"/>
        <v>#VALUE!</v>
      </c>
      <c r="E112" s="2" t="e">
        <f t="shared" ca="1" si="233"/>
        <v>#VALUE!</v>
      </c>
      <c r="F112" s="2" t="e">
        <f t="shared" ca="1" si="234"/>
        <v>#VALUE!</v>
      </c>
      <c r="G112" s="2" t="e">
        <f t="shared" ca="1" si="267"/>
        <v>#VALUE!</v>
      </c>
      <c r="H112" s="2" t="e">
        <f t="shared" ca="1" si="235"/>
        <v>#VALUE!</v>
      </c>
      <c r="I112" s="2" t="e">
        <f t="shared" ca="1" si="235"/>
        <v>#VALUE!</v>
      </c>
      <c r="J112" s="2" t="e">
        <f t="shared" ca="1" si="236"/>
        <v>#VALUE!</v>
      </c>
      <c r="L112" s="61" t="e">
        <f t="shared" ca="1" si="268"/>
        <v>#VALUE!</v>
      </c>
      <c r="M112" s="63" t="e">
        <f t="shared" ca="1" si="269"/>
        <v>#VALUE!</v>
      </c>
      <c r="N112" s="61" t="e">
        <f t="shared" ca="1" si="270"/>
        <v>#VALUE!</v>
      </c>
      <c r="O112" s="61" t="e">
        <f t="shared" ca="1" si="271"/>
        <v>#VALUE!</v>
      </c>
      <c r="P112" s="63" t="b">
        <f t="shared" si="272"/>
        <v>1</v>
      </c>
      <c r="Q112" s="75">
        <f t="shared" ca="1" si="237"/>
        <v>2435.4444359111385</v>
      </c>
      <c r="T112" s="75">
        <f t="shared" ca="1" si="238"/>
        <v>2309.388449137914</v>
      </c>
      <c r="W112" s="75">
        <f t="shared" ca="1" si="239"/>
        <v>2414.8406424796581</v>
      </c>
      <c r="Z112" s="75">
        <f t="shared" ca="1" si="240"/>
        <v>2221.8677775100055</v>
      </c>
      <c r="AC112" s="75">
        <f t="shared" ca="1" si="241"/>
        <v>2293.7657527909364</v>
      </c>
      <c r="AF112" s="75"/>
      <c r="AI112" s="75" t="e">
        <f t="shared" ca="1" si="242"/>
        <v>#VALUE!</v>
      </c>
      <c r="AL112" s="75" t="e">
        <f t="shared" ca="1" si="243"/>
        <v>#VALUE!</v>
      </c>
      <c r="AO112" s="75" t="e">
        <f t="shared" ca="1" si="244"/>
        <v>#VALUE!</v>
      </c>
      <c r="AR112" s="75" t="e">
        <f t="shared" ca="1" si="245"/>
        <v>#VALUE!</v>
      </c>
      <c r="AU112" s="75" t="e">
        <f t="shared" ca="1" si="246"/>
        <v>#VALUE!</v>
      </c>
      <c r="AX112" s="75" t="e">
        <f t="shared" ca="1" si="247"/>
        <v>#VALUE!</v>
      </c>
      <c r="BA112" s="75" t="e">
        <f t="shared" ca="1" si="248"/>
        <v>#VALUE!</v>
      </c>
      <c r="BD112" s="75" t="e">
        <f t="shared" ca="1" si="249"/>
        <v>#VALUE!</v>
      </c>
      <c r="BG112" s="75" t="e">
        <f t="shared" ca="1" si="250"/>
        <v>#VALUE!</v>
      </c>
      <c r="BJ112" s="75" t="e">
        <f t="shared" ca="1" si="251"/>
        <v>#VALUE!</v>
      </c>
      <c r="BM112" s="75" t="e">
        <f t="shared" ca="1" si="252"/>
        <v>#VALUE!</v>
      </c>
      <c r="BP112" s="75" t="e">
        <f t="shared" ca="1" si="253"/>
        <v>#VALUE!</v>
      </c>
      <c r="BS112" s="75"/>
      <c r="BV112" s="75" t="e">
        <f t="shared" ca="1" si="254"/>
        <v>#VALUE!</v>
      </c>
      <c r="BY112" s="75" t="e">
        <f t="shared" ca="1" si="255"/>
        <v>#VALUE!</v>
      </c>
      <c r="CB112" s="75"/>
      <c r="CE112" s="75" t="e">
        <f t="shared" ca="1" si="256"/>
        <v>#VALUE!</v>
      </c>
      <c r="CH112" s="75" t="e">
        <f t="shared" ca="1" si="257"/>
        <v>#VALUE!</v>
      </c>
      <c r="CK112" s="75" t="e">
        <f t="shared" ca="1" si="258"/>
        <v>#VALUE!</v>
      </c>
      <c r="CN112" s="75" t="e">
        <f t="shared" ca="1" si="259"/>
        <v>#VALUE!</v>
      </c>
      <c r="CQ112" s="75" t="e">
        <f t="shared" ca="1" si="260"/>
        <v>#VALUE!</v>
      </c>
      <c r="CT112" s="75" t="e">
        <f t="shared" ca="1" si="261"/>
        <v>#VALUE!</v>
      </c>
      <c r="CW112" s="75" t="e">
        <f t="shared" ca="1" si="262"/>
        <v>#VALUE!</v>
      </c>
      <c r="CZ112" s="75" t="e">
        <f t="shared" ca="1" si="263"/>
        <v>#VALUE!</v>
      </c>
      <c r="DC112" s="75" t="e">
        <f t="shared" ca="1" si="264"/>
        <v>#VALUE!</v>
      </c>
      <c r="DF112" s="75" t="e">
        <f t="shared" ca="1" si="265"/>
        <v>#VALUE!</v>
      </c>
    </row>
    <row r="113" spans="1:110">
      <c r="A113" s="14">
        <f t="shared" si="266"/>
        <v>15</v>
      </c>
      <c r="B113" s="63">
        <f t="shared" ca="1" si="266"/>
        <v>1.1960743068778694</v>
      </c>
      <c r="C113" s="63">
        <f t="shared" si="266"/>
        <v>4054.6</v>
      </c>
      <c r="D113" s="2" t="e">
        <f t="shared" ca="1" si="233"/>
        <v>#VALUE!</v>
      </c>
      <c r="E113" s="2" t="e">
        <f t="shared" ca="1" si="233"/>
        <v>#VALUE!</v>
      </c>
      <c r="F113" s="2" t="e">
        <f t="shared" ca="1" si="234"/>
        <v>#VALUE!</v>
      </c>
      <c r="G113" s="2" t="e">
        <f t="shared" ca="1" si="267"/>
        <v>#VALUE!</v>
      </c>
      <c r="H113" s="2" t="e">
        <f t="shared" ca="1" si="235"/>
        <v>#VALUE!</v>
      </c>
      <c r="I113" s="2" t="e">
        <f t="shared" ca="1" si="235"/>
        <v>#VALUE!</v>
      </c>
      <c r="J113" s="2" t="e">
        <f t="shared" ca="1" si="236"/>
        <v>#VALUE!</v>
      </c>
      <c r="L113" s="61" t="e">
        <f t="shared" ca="1" si="268"/>
        <v>#VALUE!</v>
      </c>
      <c r="M113" s="63" t="e">
        <f t="shared" ca="1" si="269"/>
        <v>#VALUE!</v>
      </c>
      <c r="N113" s="61" t="e">
        <f t="shared" ca="1" si="270"/>
        <v>#VALUE!</v>
      </c>
      <c r="O113" s="61" t="e">
        <f t="shared" ca="1" si="271"/>
        <v>#VALUE!</v>
      </c>
      <c r="P113" s="63" t="b">
        <f t="shared" si="272"/>
        <v>1</v>
      </c>
      <c r="Q113" s="75">
        <f t="shared" ca="1" si="237"/>
        <v>2501.7529722466652</v>
      </c>
      <c r="T113" s="75">
        <f t="shared" ca="1" si="238"/>
        <v>2373.2010384366254</v>
      </c>
      <c r="W113" s="75">
        <f t="shared" ca="1" si="239"/>
        <v>2477.6298943617539</v>
      </c>
      <c r="Z113" s="75">
        <f t="shared" ca="1" si="240"/>
        <v>2297.3733100966479</v>
      </c>
      <c r="AC113" s="75">
        <f t="shared" ca="1" si="241"/>
        <v>2370.9609245470683</v>
      </c>
      <c r="AF113" s="75"/>
      <c r="AI113" s="75" t="e">
        <f t="shared" ca="1" si="242"/>
        <v>#VALUE!</v>
      </c>
      <c r="AL113" s="75" t="e">
        <f t="shared" ca="1" si="243"/>
        <v>#VALUE!</v>
      </c>
      <c r="AO113" s="75" t="e">
        <f t="shared" ca="1" si="244"/>
        <v>#VALUE!</v>
      </c>
      <c r="AR113" s="75" t="e">
        <f t="shared" ca="1" si="245"/>
        <v>#VALUE!</v>
      </c>
      <c r="AU113" s="75" t="e">
        <f t="shared" ca="1" si="246"/>
        <v>#VALUE!</v>
      </c>
      <c r="AX113" s="75" t="e">
        <f t="shared" ca="1" si="247"/>
        <v>#VALUE!</v>
      </c>
      <c r="BA113" s="75" t="e">
        <f t="shared" ca="1" si="248"/>
        <v>#VALUE!</v>
      </c>
      <c r="BD113" s="75" t="e">
        <f t="shared" ca="1" si="249"/>
        <v>#VALUE!</v>
      </c>
      <c r="BG113" s="75" t="e">
        <f t="shared" ca="1" si="250"/>
        <v>#VALUE!</v>
      </c>
      <c r="BJ113" s="75" t="e">
        <f t="shared" ca="1" si="251"/>
        <v>#VALUE!</v>
      </c>
      <c r="BM113" s="75" t="e">
        <f t="shared" ca="1" si="252"/>
        <v>#VALUE!</v>
      </c>
      <c r="BP113" s="75" t="e">
        <f t="shared" ca="1" si="253"/>
        <v>#VALUE!</v>
      </c>
      <c r="BS113" s="75"/>
      <c r="BV113" s="75" t="e">
        <f t="shared" ca="1" si="254"/>
        <v>#VALUE!</v>
      </c>
      <c r="BY113" s="75" t="e">
        <f t="shared" ca="1" si="255"/>
        <v>#VALUE!</v>
      </c>
      <c r="CB113" s="75"/>
      <c r="CE113" s="75" t="e">
        <f t="shared" ca="1" si="256"/>
        <v>#VALUE!</v>
      </c>
      <c r="CH113" s="75" t="e">
        <f t="shared" ca="1" si="257"/>
        <v>#VALUE!</v>
      </c>
      <c r="CK113" s="75" t="e">
        <f t="shared" ca="1" si="258"/>
        <v>#VALUE!</v>
      </c>
      <c r="CN113" s="75" t="e">
        <f t="shared" ca="1" si="259"/>
        <v>#VALUE!</v>
      </c>
      <c r="CQ113" s="75" t="e">
        <f t="shared" ca="1" si="260"/>
        <v>#VALUE!</v>
      </c>
      <c r="CT113" s="75" t="e">
        <f t="shared" ca="1" si="261"/>
        <v>#VALUE!</v>
      </c>
      <c r="CW113" s="75" t="e">
        <f t="shared" ca="1" si="262"/>
        <v>#VALUE!</v>
      </c>
      <c r="CZ113" s="75" t="e">
        <f t="shared" ca="1" si="263"/>
        <v>#VALUE!</v>
      </c>
      <c r="DC113" s="75" t="e">
        <f t="shared" ca="1" si="264"/>
        <v>#VALUE!</v>
      </c>
      <c r="DF113" s="75" t="e">
        <f t="shared" ca="1" si="265"/>
        <v>#VALUE!</v>
      </c>
    </row>
    <row r="114" spans="1:110">
      <c r="A114" s="14">
        <f t="shared" si="266"/>
        <v>16</v>
      </c>
      <c r="B114" s="63">
        <f t="shared" ca="1" si="266"/>
        <v>0.8864930899240453</v>
      </c>
      <c r="C114" s="63">
        <f t="shared" si="266"/>
        <v>4035.6</v>
      </c>
      <c r="D114" s="2" t="e">
        <f t="shared" ca="1" si="233"/>
        <v>#VALUE!</v>
      </c>
      <c r="E114" s="2" t="e">
        <f t="shared" ca="1" si="233"/>
        <v>#VALUE!</v>
      </c>
      <c r="F114" s="2" t="e">
        <f t="shared" ca="1" si="234"/>
        <v>#VALUE!</v>
      </c>
      <c r="G114" s="2" t="e">
        <f t="shared" ca="1" si="267"/>
        <v>#VALUE!</v>
      </c>
      <c r="H114" s="2" t="e">
        <f t="shared" ca="1" si="235"/>
        <v>#VALUE!</v>
      </c>
      <c r="I114" s="2" t="e">
        <f t="shared" ca="1" si="235"/>
        <v>#VALUE!</v>
      </c>
      <c r="J114" s="2" t="e">
        <f t="shared" ca="1" si="236"/>
        <v>#VALUE!</v>
      </c>
      <c r="L114" s="61" t="e">
        <f t="shared" ca="1" si="268"/>
        <v>#VALUE!</v>
      </c>
      <c r="M114" s="63" t="e">
        <f t="shared" ca="1" si="269"/>
        <v>#VALUE!</v>
      </c>
      <c r="N114" s="61" t="e">
        <f t="shared" ca="1" si="270"/>
        <v>#VALUE!</v>
      </c>
      <c r="O114" s="61" t="e">
        <f t="shared" ca="1" si="271"/>
        <v>#VALUE!</v>
      </c>
      <c r="P114" s="63" t="b">
        <f t="shared" si="272"/>
        <v>1</v>
      </c>
      <c r="Q114" s="75">
        <f t="shared" ca="1" si="237"/>
        <v>2368.0947337836928</v>
      </c>
      <c r="T114" s="75">
        <f t="shared" ca="1" si="238"/>
        <v>2203.6105529152896</v>
      </c>
      <c r="W114" s="75">
        <f t="shared" ca="1" si="239"/>
        <v>2307.8123384649966</v>
      </c>
      <c r="Z114" s="75">
        <f t="shared" ca="1" si="240"/>
        <v>2099.3738666493869</v>
      </c>
      <c r="AC114" s="75">
        <f t="shared" ca="1" si="241"/>
        <v>2187.4882845009975</v>
      </c>
      <c r="AF114" s="75"/>
      <c r="AI114" s="75" t="e">
        <f t="shared" ca="1" si="242"/>
        <v>#VALUE!</v>
      </c>
      <c r="AL114" s="75" t="e">
        <f t="shared" ca="1" si="243"/>
        <v>#VALUE!</v>
      </c>
      <c r="AO114" s="75" t="e">
        <f t="shared" ca="1" si="244"/>
        <v>#VALUE!</v>
      </c>
      <c r="AR114" s="75" t="e">
        <f t="shared" ca="1" si="245"/>
        <v>#VALUE!</v>
      </c>
      <c r="AU114" s="75" t="e">
        <f t="shared" ca="1" si="246"/>
        <v>#VALUE!</v>
      </c>
      <c r="AX114" s="75" t="e">
        <f t="shared" ca="1" si="247"/>
        <v>#VALUE!</v>
      </c>
      <c r="BA114" s="75" t="e">
        <f t="shared" ca="1" si="248"/>
        <v>#VALUE!</v>
      </c>
      <c r="BD114" s="75" t="e">
        <f t="shared" ca="1" si="249"/>
        <v>#VALUE!</v>
      </c>
      <c r="BG114" s="75" t="e">
        <f t="shared" ca="1" si="250"/>
        <v>#VALUE!</v>
      </c>
      <c r="BJ114" s="75" t="e">
        <f t="shared" ca="1" si="251"/>
        <v>#VALUE!</v>
      </c>
      <c r="BM114" s="75" t="e">
        <f t="shared" ca="1" si="252"/>
        <v>#VALUE!</v>
      </c>
      <c r="BP114" s="75" t="e">
        <f t="shared" ca="1" si="253"/>
        <v>#VALUE!</v>
      </c>
      <c r="BS114" s="75"/>
      <c r="BV114" s="75" t="e">
        <f t="shared" ca="1" si="254"/>
        <v>#VALUE!</v>
      </c>
      <c r="BY114" s="75" t="e">
        <f t="shared" ca="1" si="255"/>
        <v>#VALUE!</v>
      </c>
      <c r="CB114" s="75"/>
      <c r="CE114" s="75" t="e">
        <f t="shared" ca="1" si="256"/>
        <v>#VALUE!</v>
      </c>
      <c r="CH114" s="75" t="e">
        <f t="shared" ca="1" si="257"/>
        <v>#VALUE!</v>
      </c>
      <c r="CK114" s="75" t="e">
        <f t="shared" ca="1" si="258"/>
        <v>#VALUE!</v>
      </c>
      <c r="CN114" s="75" t="e">
        <f t="shared" ca="1" si="259"/>
        <v>#VALUE!</v>
      </c>
      <c r="CQ114" s="75" t="e">
        <f t="shared" ca="1" si="260"/>
        <v>#VALUE!</v>
      </c>
      <c r="CT114" s="75" t="e">
        <f t="shared" ca="1" si="261"/>
        <v>#VALUE!</v>
      </c>
      <c r="CW114" s="75" t="e">
        <f t="shared" ca="1" si="262"/>
        <v>#VALUE!</v>
      </c>
      <c r="CZ114" s="75" t="e">
        <f t="shared" ca="1" si="263"/>
        <v>#VALUE!</v>
      </c>
      <c r="DC114" s="75" t="e">
        <f t="shared" ca="1" si="264"/>
        <v>#VALUE!</v>
      </c>
      <c r="DF114" s="75" t="e">
        <f t="shared" ca="1" si="265"/>
        <v>#VALUE!</v>
      </c>
    </row>
    <row r="115" spans="1:110">
      <c r="A115" s="14">
        <f t="shared" si="266"/>
        <v>17</v>
      </c>
      <c r="B115" s="63">
        <f t="shared" ca="1" si="266"/>
        <v>0.66310300227883046</v>
      </c>
      <c r="C115" s="63">
        <f t="shared" si="266"/>
        <v>4046.8</v>
      </c>
      <c r="D115" s="2" t="e">
        <f t="shared" ca="1" si="233"/>
        <v>#VALUE!</v>
      </c>
      <c r="E115" s="2" t="e">
        <f t="shared" ca="1" si="233"/>
        <v>#VALUE!</v>
      </c>
      <c r="F115" s="2" t="e">
        <f t="shared" ca="1" si="234"/>
        <v>#VALUE!</v>
      </c>
      <c r="G115" s="2" t="e">
        <f t="shared" ca="1" si="267"/>
        <v>#VALUE!</v>
      </c>
      <c r="H115" s="2" t="e">
        <f t="shared" ca="1" si="235"/>
        <v>#VALUE!</v>
      </c>
      <c r="I115" s="2" t="e">
        <f t="shared" ca="1" si="235"/>
        <v>#VALUE!</v>
      </c>
      <c r="J115" s="2" t="e">
        <f t="shared" ca="1" si="236"/>
        <v>#VALUE!</v>
      </c>
      <c r="L115" s="61" t="e">
        <f t="shared" ca="1" si="268"/>
        <v>#VALUE!</v>
      </c>
      <c r="M115" s="63" t="e">
        <f t="shared" ca="1" si="269"/>
        <v>#VALUE!</v>
      </c>
      <c r="N115" s="61" t="e">
        <f t="shared" ca="1" si="270"/>
        <v>#VALUE!</v>
      </c>
      <c r="O115" s="61" t="e">
        <f t="shared" ca="1" si="271"/>
        <v>#VALUE!</v>
      </c>
      <c r="P115" s="63" t="b">
        <f t="shared" si="272"/>
        <v>1</v>
      </c>
      <c r="Q115" s="75">
        <f t="shared" ca="1" si="237"/>
        <v>2376.9205547757738</v>
      </c>
      <c r="T115" s="75">
        <f t="shared" ca="1" si="238"/>
        <v>2205.0212651761944</v>
      </c>
      <c r="W115" s="75">
        <f t="shared" ca="1" si="239"/>
        <v>2275.6874258432267</v>
      </c>
      <c r="Z115" s="75">
        <f t="shared" ca="1" si="240"/>
        <v>2124.2794705454685</v>
      </c>
      <c r="AC115" s="75">
        <f t="shared" ca="1" si="241"/>
        <v>2149.5163548260984</v>
      </c>
      <c r="AF115" s="75"/>
      <c r="AI115" s="75" t="e">
        <f t="shared" ca="1" si="242"/>
        <v>#VALUE!</v>
      </c>
      <c r="AL115" s="75" t="e">
        <f t="shared" ca="1" si="243"/>
        <v>#VALUE!</v>
      </c>
      <c r="AO115" s="75" t="e">
        <f t="shared" ca="1" si="244"/>
        <v>#VALUE!</v>
      </c>
      <c r="AR115" s="75" t="e">
        <f t="shared" ca="1" si="245"/>
        <v>#VALUE!</v>
      </c>
      <c r="AU115" s="75" t="e">
        <f t="shared" ca="1" si="246"/>
        <v>#VALUE!</v>
      </c>
      <c r="AX115" s="75" t="e">
        <f t="shared" ca="1" si="247"/>
        <v>#VALUE!</v>
      </c>
      <c r="BA115" s="75" t="e">
        <f t="shared" ca="1" si="248"/>
        <v>#VALUE!</v>
      </c>
      <c r="BD115" s="75" t="e">
        <f t="shared" ca="1" si="249"/>
        <v>#VALUE!</v>
      </c>
      <c r="BG115" s="75" t="e">
        <f t="shared" ca="1" si="250"/>
        <v>#VALUE!</v>
      </c>
      <c r="BJ115" s="75" t="e">
        <f t="shared" ca="1" si="251"/>
        <v>#VALUE!</v>
      </c>
      <c r="BM115" s="75" t="e">
        <f t="shared" ca="1" si="252"/>
        <v>#VALUE!</v>
      </c>
      <c r="BP115" s="75" t="e">
        <f t="shared" ca="1" si="253"/>
        <v>#VALUE!</v>
      </c>
      <c r="BS115" s="75"/>
      <c r="BV115" s="75" t="e">
        <f t="shared" ca="1" si="254"/>
        <v>#VALUE!</v>
      </c>
      <c r="BY115" s="75" t="e">
        <f t="shared" ca="1" si="255"/>
        <v>#VALUE!</v>
      </c>
      <c r="CB115" s="75"/>
      <c r="CE115" s="75" t="e">
        <f t="shared" ca="1" si="256"/>
        <v>#VALUE!</v>
      </c>
      <c r="CH115" s="75" t="e">
        <f t="shared" ca="1" si="257"/>
        <v>#VALUE!</v>
      </c>
      <c r="CK115" s="75" t="e">
        <f t="shared" ca="1" si="258"/>
        <v>#VALUE!</v>
      </c>
      <c r="CN115" s="75" t="e">
        <f t="shared" ca="1" si="259"/>
        <v>#VALUE!</v>
      </c>
      <c r="CQ115" s="75" t="e">
        <f t="shared" ca="1" si="260"/>
        <v>#VALUE!</v>
      </c>
      <c r="CT115" s="75" t="e">
        <f t="shared" ca="1" si="261"/>
        <v>#VALUE!</v>
      </c>
      <c r="CW115" s="75" t="e">
        <f t="shared" ca="1" si="262"/>
        <v>#VALUE!</v>
      </c>
      <c r="CZ115" s="75" t="e">
        <f t="shared" ca="1" si="263"/>
        <v>#VALUE!</v>
      </c>
      <c r="DC115" s="75" t="e">
        <f t="shared" ca="1" si="264"/>
        <v>#VALUE!</v>
      </c>
      <c r="DF115" s="75" t="e">
        <f t="shared" ca="1" si="265"/>
        <v>#VALUE!</v>
      </c>
    </row>
    <row r="116" spans="1:110">
      <c r="A116" s="14">
        <f t="shared" ref="A116:C123" si="273">A20</f>
        <v>18</v>
      </c>
      <c r="B116" s="63">
        <f t="shared" ca="1" si="273"/>
        <v>0.15701835940156691</v>
      </c>
      <c r="C116" s="63">
        <f t="shared" si="273"/>
        <v>3830.6</v>
      </c>
      <c r="D116" s="2" t="e">
        <f t="shared" ca="1" si="233"/>
        <v>#VALUE!</v>
      </c>
      <c r="E116" s="2" t="e">
        <f t="shared" ca="1" si="233"/>
        <v>#VALUE!</v>
      </c>
      <c r="F116" s="2" t="e">
        <f t="shared" ca="1" si="234"/>
        <v>#VALUE!</v>
      </c>
      <c r="G116" s="2" t="e">
        <f t="shared" ca="1" si="267"/>
        <v>#VALUE!</v>
      </c>
      <c r="H116" s="2" t="e">
        <f t="shared" ca="1" si="235"/>
        <v>#VALUE!</v>
      </c>
      <c r="I116" s="2" t="e">
        <f t="shared" ca="1" si="235"/>
        <v>#VALUE!</v>
      </c>
      <c r="J116" s="2" t="e">
        <f t="shared" ca="1" si="236"/>
        <v>#VALUE!</v>
      </c>
      <c r="L116" s="61" t="e">
        <f t="shared" ca="1" si="268"/>
        <v>#VALUE!</v>
      </c>
      <c r="M116" s="63" t="e">
        <f t="shared" ca="1" si="269"/>
        <v>#VALUE!</v>
      </c>
      <c r="N116" s="61" t="e">
        <f t="shared" ca="1" si="270"/>
        <v>#VALUE!</v>
      </c>
      <c r="O116" s="61" t="e">
        <f t="shared" ca="1" si="271"/>
        <v>#VALUE!</v>
      </c>
      <c r="P116" s="63" t="b">
        <f t="shared" si="272"/>
        <v>1</v>
      </c>
      <c r="Q116" s="75">
        <f t="shared" ca="1" si="237"/>
        <v>1759.907751895827</v>
      </c>
      <c r="T116" s="75">
        <f t="shared" ca="1" si="238"/>
        <v>1620.3767874226635</v>
      </c>
      <c r="W116" s="75">
        <f t="shared" ca="1" si="239"/>
        <v>1703.6716719150927</v>
      </c>
      <c r="Z116" s="75">
        <f t="shared" ca="1" si="240"/>
        <v>1747.8039711478118</v>
      </c>
      <c r="AC116" s="75">
        <f t="shared" ca="1" si="241"/>
        <v>1660.6780308812067</v>
      </c>
      <c r="AF116" s="75"/>
      <c r="AI116" s="75" t="e">
        <f t="shared" ca="1" si="242"/>
        <v>#VALUE!</v>
      </c>
      <c r="AL116" s="75" t="e">
        <f t="shared" ca="1" si="243"/>
        <v>#VALUE!</v>
      </c>
      <c r="AO116" s="75" t="e">
        <f t="shared" ca="1" si="244"/>
        <v>#VALUE!</v>
      </c>
      <c r="AR116" s="75" t="e">
        <f t="shared" ca="1" si="245"/>
        <v>#VALUE!</v>
      </c>
      <c r="AU116" s="75" t="e">
        <f t="shared" ca="1" si="246"/>
        <v>#VALUE!</v>
      </c>
      <c r="AX116" s="75" t="e">
        <f t="shared" ca="1" si="247"/>
        <v>#VALUE!</v>
      </c>
      <c r="BA116" s="75" t="e">
        <f t="shared" ca="1" si="248"/>
        <v>#VALUE!</v>
      </c>
      <c r="BD116" s="75" t="e">
        <f t="shared" ca="1" si="249"/>
        <v>#VALUE!</v>
      </c>
      <c r="BG116" s="75" t="e">
        <f t="shared" ca="1" si="250"/>
        <v>#VALUE!</v>
      </c>
      <c r="BJ116" s="75" t="e">
        <f t="shared" ca="1" si="251"/>
        <v>#VALUE!</v>
      </c>
      <c r="BM116" s="75" t="e">
        <f t="shared" ca="1" si="252"/>
        <v>#VALUE!</v>
      </c>
      <c r="BP116" s="75" t="e">
        <f t="shared" ca="1" si="253"/>
        <v>#VALUE!</v>
      </c>
      <c r="BS116" s="75"/>
      <c r="BV116" s="75" t="e">
        <f t="shared" ca="1" si="254"/>
        <v>#VALUE!</v>
      </c>
      <c r="BY116" s="75" t="e">
        <f t="shared" ca="1" si="255"/>
        <v>#VALUE!</v>
      </c>
      <c r="CB116" s="75"/>
      <c r="CE116" s="75" t="e">
        <f t="shared" ca="1" si="256"/>
        <v>#VALUE!</v>
      </c>
      <c r="CH116" s="75" t="e">
        <f t="shared" ca="1" si="257"/>
        <v>#VALUE!</v>
      </c>
      <c r="CK116" s="75" t="e">
        <f t="shared" ca="1" si="258"/>
        <v>#VALUE!</v>
      </c>
      <c r="CN116" s="75" t="e">
        <f t="shared" ca="1" si="259"/>
        <v>#VALUE!</v>
      </c>
      <c r="CQ116" s="75" t="e">
        <f t="shared" ca="1" si="260"/>
        <v>#VALUE!</v>
      </c>
      <c r="CT116" s="75" t="e">
        <f t="shared" ca="1" si="261"/>
        <v>#VALUE!</v>
      </c>
      <c r="CW116" s="75" t="e">
        <f t="shared" ca="1" si="262"/>
        <v>#VALUE!</v>
      </c>
      <c r="CZ116" s="75" t="e">
        <f t="shared" ca="1" si="263"/>
        <v>#VALUE!</v>
      </c>
      <c r="DC116" s="75" t="e">
        <f t="shared" ca="1" si="264"/>
        <v>#VALUE!</v>
      </c>
      <c r="DF116" s="75" t="e">
        <f t="shared" ca="1" si="265"/>
        <v>#VALUE!</v>
      </c>
    </row>
    <row r="117" spans="1:110">
      <c r="A117" s="14">
        <f t="shared" si="273"/>
        <v>19</v>
      </c>
      <c r="B117" s="63">
        <f t="shared" ca="1" si="273"/>
        <v>0.12828800152468015</v>
      </c>
      <c r="C117" s="63">
        <f t="shared" si="273"/>
        <v>3852.3</v>
      </c>
      <c r="D117" s="2" t="e">
        <f t="shared" ca="1" si="233"/>
        <v>#VALUE!</v>
      </c>
      <c r="E117" s="2" t="e">
        <f t="shared" ca="1" si="233"/>
        <v>#VALUE!</v>
      </c>
      <c r="F117" s="2" t="e">
        <f t="shared" ca="1" si="234"/>
        <v>#VALUE!</v>
      </c>
      <c r="G117" s="2" t="e">
        <f t="shared" ca="1" si="267"/>
        <v>#VALUE!</v>
      </c>
      <c r="H117" s="2" t="e">
        <f t="shared" ca="1" si="235"/>
        <v>#VALUE!</v>
      </c>
      <c r="I117" s="2" t="e">
        <f t="shared" ca="1" si="235"/>
        <v>#VALUE!</v>
      </c>
      <c r="J117" s="2" t="e">
        <f t="shared" ca="1" si="236"/>
        <v>#VALUE!</v>
      </c>
      <c r="L117" s="61" t="e">
        <f t="shared" ca="1" si="268"/>
        <v>#VALUE!</v>
      </c>
      <c r="M117" s="63" t="e">
        <f t="shared" ca="1" si="269"/>
        <v>#VALUE!</v>
      </c>
      <c r="N117" s="61" t="e">
        <f t="shared" ca="1" si="270"/>
        <v>#VALUE!</v>
      </c>
      <c r="O117" s="61" t="e">
        <f t="shared" ca="1" si="271"/>
        <v>#VALUE!</v>
      </c>
      <c r="P117" s="63" t="b">
        <f t="shared" si="272"/>
        <v>1</v>
      </c>
      <c r="Q117" s="75">
        <f t="shared" ca="1" si="237"/>
        <v>1867.9501811498662</v>
      </c>
      <c r="T117" s="75">
        <f t="shared" ca="1" si="238"/>
        <v>1654.1527338593373</v>
      </c>
      <c r="W117" s="75">
        <f t="shared" ca="1" si="239"/>
        <v>1786.6898503122609</v>
      </c>
      <c r="Z117" s="75">
        <f t="shared" ca="1" si="240"/>
        <v>1620.2909607772697</v>
      </c>
      <c r="AC117" s="75">
        <f t="shared" ca="1" si="241"/>
        <v>1624.5531888769667</v>
      </c>
      <c r="AF117" s="75"/>
      <c r="AI117" s="75" t="e">
        <f t="shared" ca="1" si="242"/>
        <v>#VALUE!</v>
      </c>
      <c r="AL117" s="75" t="e">
        <f t="shared" ca="1" si="243"/>
        <v>#VALUE!</v>
      </c>
      <c r="AO117" s="75" t="e">
        <f t="shared" ca="1" si="244"/>
        <v>#VALUE!</v>
      </c>
      <c r="AR117" s="75" t="e">
        <f t="shared" ca="1" si="245"/>
        <v>#VALUE!</v>
      </c>
      <c r="AU117" s="75" t="e">
        <f t="shared" ca="1" si="246"/>
        <v>#VALUE!</v>
      </c>
      <c r="AX117" s="75" t="e">
        <f t="shared" ca="1" si="247"/>
        <v>#VALUE!</v>
      </c>
      <c r="BA117" s="75" t="e">
        <f t="shared" ca="1" si="248"/>
        <v>#VALUE!</v>
      </c>
      <c r="BD117" s="75" t="e">
        <f t="shared" ca="1" si="249"/>
        <v>#VALUE!</v>
      </c>
      <c r="BG117" s="75" t="e">
        <f t="shared" ca="1" si="250"/>
        <v>#VALUE!</v>
      </c>
      <c r="BJ117" s="75" t="e">
        <f t="shared" ca="1" si="251"/>
        <v>#VALUE!</v>
      </c>
      <c r="BM117" s="75" t="e">
        <f t="shared" ca="1" si="252"/>
        <v>#VALUE!</v>
      </c>
      <c r="BP117" s="75" t="e">
        <f t="shared" ca="1" si="253"/>
        <v>#VALUE!</v>
      </c>
      <c r="BS117" s="75"/>
      <c r="BV117" s="75" t="e">
        <f t="shared" ca="1" si="254"/>
        <v>#VALUE!</v>
      </c>
      <c r="BY117" s="75" t="e">
        <f t="shared" ca="1" si="255"/>
        <v>#VALUE!</v>
      </c>
      <c r="CB117" s="75"/>
      <c r="CE117" s="75" t="e">
        <f t="shared" ca="1" si="256"/>
        <v>#VALUE!</v>
      </c>
      <c r="CH117" s="75" t="e">
        <f t="shared" ca="1" si="257"/>
        <v>#VALUE!</v>
      </c>
      <c r="CK117" s="75" t="e">
        <f t="shared" ca="1" si="258"/>
        <v>#VALUE!</v>
      </c>
      <c r="CN117" s="75" t="e">
        <f t="shared" ca="1" si="259"/>
        <v>#VALUE!</v>
      </c>
      <c r="CQ117" s="75" t="e">
        <f t="shared" ca="1" si="260"/>
        <v>#VALUE!</v>
      </c>
      <c r="CT117" s="75" t="e">
        <f t="shared" ca="1" si="261"/>
        <v>#VALUE!</v>
      </c>
      <c r="CW117" s="75" t="e">
        <f t="shared" ca="1" si="262"/>
        <v>#VALUE!</v>
      </c>
      <c r="CZ117" s="75" t="e">
        <f t="shared" ca="1" si="263"/>
        <v>#VALUE!</v>
      </c>
      <c r="DC117" s="75" t="e">
        <f t="shared" ca="1" si="264"/>
        <v>#VALUE!</v>
      </c>
      <c r="DF117" s="75" t="e">
        <f t="shared" ca="1" si="265"/>
        <v>#VALUE!</v>
      </c>
    </row>
    <row r="118" spans="1:110">
      <c r="A118" s="14">
        <f t="shared" si="273"/>
        <v>20</v>
      </c>
      <c r="B118" s="63">
        <f t="shared" ca="1" si="273"/>
        <v>0.1052422464745905</v>
      </c>
      <c r="C118" s="63">
        <f t="shared" si="273"/>
        <v>3884.6</v>
      </c>
      <c r="D118" s="2" t="e">
        <f t="shared" ca="1" si="233"/>
        <v>#VALUE!</v>
      </c>
      <c r="E118" s="2" t="e">
        <f t="shared" ca="1" si="233"/>
        <v>#VALUE!</v>
      </c>
      <c r="F118" s="2" t="e">
        <f t="shared" ca="1" si="234"/>
        <v>#VALUE!</v>
      </c>
      <c r="G118" s="2" t="e">
        <f t="shared" ca="1" si="267"/>
        <v>#VALUE!</v>
      </c>
      <c r="H118" s="2" t="e">
        <f t="shared" ca="1" si="235"/>
        <v>#VALUE!</v>
      </c>
      <c r="I118" s="2" t="e">
        <f t="shared" ca="1" si="235"/>
        <v>#VALUE!</v>
      </c>
      <c r="J118" s="2" t="e">
        <f t="shared" ca="1" si="236"/>
        <v>#VALUE!</v>
      </c>
      <c r="L118" s="61" t="e">
        <f t="shared" ca="1" si="268"/>
        <v>#VALUE!</v>
      </c>
      <c r="M118" s="63" t="e">
        <f t="shared" ca="1" si="269"/>
        <v>#VALUE!</v>
      </c>
      <c r="N118" s="61" t="e">
        <f t="shared" ca="1" si="270"/>
        <v>#VALUE!</v>
      </c>
      <c r="O118" s="61" t="e">
        <f t="shared" ca="1" si="271"/>
        <v>#VALUE!</v>
      </c>
      <c r="P118" s="63" t="b">
        <f t="shared" si="272"/>
        <v>1</v>
      </c>
      <c r="Q118" s="75">
        <f t="shared" ca="1" si="237"/>
        <v>2005.4309148272803</v>
      </c>
      <c r="T118" s="75">
        <f t="shared" ca="1" si="238"/>
        <v>1731.7317237407494</v>
      </c>
      <c r="W118" s="75">
        <f t="shared" ca="1" si="239"/>
        <v>1849.9695939808851</v>
      </c>
      <c r="Z118" s="75">
        <f t="shared" ca="1" si="240"/>
        <v>1639.7760663728502</v>
      </c>
      <c r="AC118" s="75">
        <f t="shared" ca="1" si="241"/>
        <v>1669.8161781248241</v>
      </c>
      <c r="AF118" s="75"/>
      <c r="AI118" s="75" t="e">
        <f t="shared" ca="1" si="242"/>
        <v>#VALUE!</v>
      </c>
      <c r="AL118" s="75" t="e">
        <f t="shared" ca="1" si="243"/>
        <v>#VALUE!</v>
      </c>
      <c r="AO118" s="75" t="e">
        <f t="shared" ca="1" si="244"/>
        <v>#VALUE!</v>
      </c>
      <c r="AR118" s="75" t="e">
        <f t="shared" ca="1" si="245"/>
        <v>#VALUE!</v>
      </c>
      <c r="AU118" s="75" t="e">
        <f t="shared" ca="1" si="246"/>
        <v>#VALUE!</v>
      </c>
      <c r="AX118" s="75" t="e">
        <f t="shared" ca="1" si="247"/>
        <v>#VALUE!</v>
      </c>
      <c r="BA118" s="75" t="e">
        <f t="shared" ca="1" si="248"/>
        <v>#VALUE!</v>
      </c>
      <c r="BD118" s="75" t="e">
        <f t="shared" ca="1" si="249"/>
        <v>#VALUE!</v>
      </c>
      <c r="BG118" s="75" t="e">
        <f t="shared" ca="1" si="250"/>
        <v>#VALUE!</v>
      </c>
      <c r="BJ118" s="75" t="e">
        <f t="shared" ca="1" si="251"/>
        <v>#VALUE!</v>
      </c>
      <c r="BM118" s="75" t="e">
        <f t="shared" ca="1" si="252"/>
        <v>#VALUE!</v>
      </c>
      <c r="BP118" s="75" t="e">
        <f t="shared" ca="1" si="253"/>
        <v>#VALUE!</v>
      </c>
      <c r="BS118" s="75"/>
      <c r="BV118" s="75" t="e">
        <f t="shared" ca="1" si="254"/>
        <v>#VALUE!</v>
      </c>
      <c r="BY118" s="75" t="e">
        <f t="shared" ca="1" si="255"/>
        <v>#VALUE!</v>
      </c>
      <c r="CB118" s="75"/>
      <c r="CE118" s="75" t="e">
        <f t="shared" ca="1" si="256"/>
        <v>#VALUE!</v>
      </c>
      <c r="CH118" s="75" t="e">
        <f t="shared" ca="1" si="257"/>
        <v>#VALUE!</v>
      </c>
      <c r="CK118" s="75" t="e">
        <f t="shared" ca="1" si="258"/>
        <v>#VALUE!</v>
      </c>
      <c r="CN118" s="75" t="e">
        <f t="shared" ca="1" si="259"/>
        <v>#VALUE!</v>
      </c>
      <c r="CQ118" s="75" t="e">
        <f t="shared" ca="1" si="260"/>
        <v>#VALUE!</v>
      </c>
      <c r="CT118" s="75" t="e">
        <f t="shared" ca="1" si="261"/>
        <v>#VALUE!</v>
      </c>
      <c r="CW118" s="75" t="e">
        <f t="shared" ca="1" si="262"/>
        <v>#VALUE!</v>
      </c>
      <c r="CZ118" s="75" t="e">
        <f t="shared" ca="1" si="263"/>
        <v>#VALUE!</v>
      </c>
      <c r="DC118" s="75" t="e">
        <f t="shared" ca="1" si="264"/>
        <v>#VALUE!</v>
      </c>
      <c r="DF118" s="75" t="e">
        <f t="shared" ca="1" si="265"/>
        <v>#VALUE!</v>
      </c>
    </row>
    <row r="119" spans="1:110">
      <c r="A119" s="14">
        <f t="shared" si="273"/>
        <v>21</v>
      </c>
      <c r="B119" s="63">
        <f t="shared" ca="1" si="273"/>
        <v>8.7497019701430423E-2</v>
      </c>
      <c r="C119" s="63">
        <f t="shared" si="273"/>
        <v>3874</v>
      </c>
      <c r="D119" s="2" t="e">
        <f t="shared" ca="1" si="233"/>
        <v>#VALUE!</v>
      </c>
      <c r="E119" s="2" t="e">
        <f t="shared" ca="1" si="233"/>
        <v>#VALUE!</v>
      </c>
      <c r="F119" s="2" t="e">
        <f t="shared" ca="1" si="234"/>
        <v>#VALUE!</v>
      </c>
      <c r="G119" s="2" t="e">
        <f t="shared" ca="1" si="267"/>
        <v>#VALUE!</v>
      </c>
      <c r="H119" s="2" t="e">
        <f t="shared" ca="1" si="235"/>
        <v>#VALUE!</v>
      </c>
      <c r="I119" s="2" t="e">
        <f t="shared" ca="1" si="235"/>
        <v>#VALUE!</v>
      </c>
      <c r="J119" s="2" t="e">
        <f t="shared" ca="1" si="236"/>
        <v>#VALUE!</v>
      </c>
      <c r="L119" s="61" t="e">
        <f t="shared" ca="1" si="268"/>
        <v>#VALUE!</v>
      </c>
      <c r="M119" s="63" t="e">
        <f t="shared" ca="1" si="269"/>
        <v>#VALUE!</v>
      </c>
      <c r="N119" s="61" t="e">
        <f t="shared" ca="1" si="270"/>
        <v>#VALUE!</v>
      </c>
      <c r="O119" s="61" t="e">
        <f t="shared" ca="1" si="271"/>
        <v>#VALUE!</v>
      </c>
      <c r="P119" s="63" t="b">
        <f t="shared" si="272"/>
        <v>1</v>
      </c>
      <c r="Q119" s="75">
        <f t="shared" ca="1" si="237"/>
        <v>2061.3993277743607</v>
      </c>
      <c r="T119" s="75">
        <f t="shared" ca="1" si="238"/>
        <v>1865.5126765347575</v>
      </c>
      <c r="W119" s="75">
        <f t="shared" ca="1" si="239"/>
        <v>2108.6797997906447</v>
      </c>
      <c r="Z119" s="75">
        <f t="shared" ca="1" si="240"/>
        <v>1740.1805267736886</v>
      </c>
      <c r="AC119" s="75">
        <f t="shared" ca="1" si="241"/>
        <v>1767.0736760178377</v>
      </c>
      <c r="AF119" s="75"/>
      <c r="AI119" s="75" t="e">
        <f t="shared" ca="1" si="242"/>
        <v>#VALUE!</v>
      </c>
      <c r="AL119" s="75" t="e">
        <f t="shared" ca="1" si="243"/>
        <v>#VALUE!</v>
      </c>
      <c r="AO119" s="75" t="e">
        <f t="shared" ca="1" si="244"/>
        <v>#VALUE!</v>
      </c>
      <c r="AR119" s="75" t="e">
        <f t="shared" ca="1" si="245"/>
        <v>#VALUE!</v>
      </c>
      <c r="AU119" s="75" t="e">
        <f t="shared" ca="1" si="246"/>
        <v>#VALUE!</v>
      </c>
      <c r="AX119" s="75" t="e">
        <f t="shared" ca="1" si="247"/>
        <v>#VALUE!</v>
      </c>
      <c r="BA119" s="75" t="e">
        <f t="shared" ca="1" si="248"/>
        <v>#VALUE!</v>
      </c>
      <c r="BD119" s="75" t="e">
        <f t="shared" ca="1" si="249"/>
        <v>#VALUE!</v>
      </c>
      <c r="BG119" s="75" t="e">
        <f t="shared" ca="1" si="250"/>
        <v>#VALUE!</v>
      </c>
      <c r="BJ119" s="75" t="e">
        <f t="shared" ca="1" si="251"/>
        <v>#VALUE!</v>
      </c>
      <c r="BM119" s="75" t="e">
        <f t="shared" ca="1" si="252"/>
        <v>#VALUE!</v>
      </c>
      <c r="BP119" s="75" t="e">
        <f t="shared" ca="1" si="253"/>
        <v>#VALUE!</v>
      </c>
      <c r="BS119" s="75"/>
      <c r="BV119" s="75" t="e">
        <f t="shared" ca="1" si="254"/>
        <v>#VALUE!</v>
      </c>
      <c r="BY119" s="75" t="e">
        <f t="shared" ca="1" si="255"/>
        <v>#VALUE!</v>
      </c>
      <c r="CB119" s="75"/>
      <c r="CE119" s="75" t="e">
        <f t="shared" ca="1" si="256"/>
        <v>#VALUE!</v>
      </c>
      <c r="CH119" s="75" t="e">
        <f t="shared" ca="1" si="257"/>
        <v>#VALUE!</v>
      </c>
      <c r="CK119" s="75" t="e">
        <f t="shared" ca="1" si="258"/>
        <v>#VALUE!</v>
      </c>
      <c r="CN119" s="75" t="e">
        <f t="shared" ca="1" si="259"/>
        <v>#VALUE!</v>
      </c>
      <c r="CQ119" s="75" t="e">
        <f t="shared" ca="1" si="260"/>
        <v>#VALUE!</v>
      </c>
      <c r="CT119" s="75" t="e">
        <f t="shared" ca="1" si="261"/>
        <v>#VALUE!</v>
      </c>
      <c r="CW119" s="75" t="e">
        <f t="shared" ca="1" si="262"/>
        <v>#VALUE!</v>
      </c>
      <c r="CZ119" s="75" t="e">
        <f t="shared" ca="1" si="263"/>
        <v>#VALUE!</v>
      </c>
      <c r="DC119" s="75" t="e">
        <f t="shared" ca="1" si="264"/>
        <v>#VALUE!</v>
      </c>
      <c r="DF119" s="75" t="e">
        <f t="shared" ca="1" si="265"/>
        <v>#VALUE!</v>
      </c>
    </row>
    <row r="120" spans="1:110">
      <c r="A120" s="14">
        <f t="shared" si="273"/>
        <v>22</v>
      </c>
      <c r="B120" s="63">
        <f t="shared" ca="1" si="273"/>
        <v>6.4528090696904072E-2</v>
      </c>
      <c r="C120" s="63">
        <f t="shared" si="273"/>
        <v>3852.9</v>
      </c>
      <c r="D120" s="2" t="e">
        <f t="shared" ca="1" si="233"/>
        <v>#VALUE!</v>
      </c>
      <c r="E120" s="2" t="e">
        <f t="shared" ca="1" si="233"/>
        <v>#VALUE!</v>
      </c>
      <c r="F120" s="2" t="e">
        <f t="shared" ca="1" si="234"/>
        <v>#VALUE!</v>
      </c>
      <c r="G120" s="2" t="e">
        <f t="shared" ca="1" si="267"/>
        <v>#VALUE!</v>
      </c>
      <c r="H120" s="2" t="e">
        <f t="shared" ca="1" si="235"/>
        <v>#VALUE!</v>
      </c>
      <c r="I120" s="2" t="e">
        <f t="shared" ca="1" si="235"/>
        <v>#VALUE!</v>
      </c>
      <c r="J120" s="2" t="e">
        <f t="shared" ca="1" si="236"/>
        <v>#VALUE!</v>
      </c>
      <c r="L120" s="61" t="e">
        <f t="shared" ca="1" si="268"/>
        <v>#VALUE!</v>
      </c>
      <c r="M120" s="63" t="e">
        <f t="shared" ca="1" si="269"/>
        <v>#VALUE!</v>
      </c>
      <c r="N120" s="61" t="e">
        <f t="shared" ca="1" si="270"/>
        <v>#VALUE!</v>
      </c>
      <c r="O120" s="61" t="e">
        <f t="shared" ca="1" si="271"/>
        <v>#VALUE!</v>
      </c>
      <c r="P120" s="63" t="b">
        <f t="shared" si="272"/>
        <v>1</v>
      </c>
      <c r="Q120" s="75">
        <f t="shared" ca="1" si="237"/>
        <v>1895.3998561462508</v>
      </c>
      <c r="T120" s="75">
        <f t="shared" ca="1" si="238"/>
        <v>1655.7008839223181</v>
      </c>
      <c r="W120" s="75">
        <f t="shared" ca="1" si="239"/>
        <v>1750.2742474176032</v>
      </c>
      <c r="Z120" s="75">
        <f t="shared" ca="1" si="240"/>
        <v>1634.1729838041913</v>
      </c>
      <c r="AC120" s="75">
        <f t="shared" ca="1" si="241"/>
        <v>1623.9963104666695</v>
      </c>
      <c r="AF120" s="75"/>
      <c r="AI120" s="75" t="e">
        <f t="shared" ca="1" si="242"/>
        <v>#VALUE!</v>
      </c>
      <c r="AL120" s="75" t="e">
        <f t="shared" ca="1" si="243"/>
        <v>#VALUE!</v>
      </c>
      <c r="AO120" s="75" t="e">
        <f t="shared" ca="1" si="244"/>
        <v>#VALUE!</v>
      </c>
      <c r="AR120" s="75" t="e">
        <f t="shared" ca="1" si="245"/>
        <v>#VALUE!</v>
      </c>
      <c r="AU120" s="75" t="e">
        <f t="shared" ca="1" si="246"/>
        <v>#VALUE!</v>
      </c>
      <c r="AX120" s="75" t="e">
        <f t="shared" ca="1" si="247"/>
        <v>#VALUE!</v>
      </c>
      <c r="BA120" s="75" t="e">
        <f t="shared" ca="1" si="248"/>
        <v>#VALUE!</v>
      </c>
      <c r="BD120" s="75" t="e">
        <f t="shared" ca="1" si="249"/>
        <v>#VALUE!</v>
      </c>
      <c r="BG120" s="75" t="e">
        <f t="shared" ca="1" si="250"/>
        <v>#VALUE!</v>
      </c>
      <c r="BJ120" s="75" t="e">
        <f t="shared" ca="1" si="251"/>
        <v>#VALUE!</v>
      </c>
      <c r="BM120" s="75" t="e">
        <f t="shared" ca="1" si="252"/>
        <v>#VALUE!</v>
      </c>
      <c r="BP120" s="75" t="e">
        <f t="shared" ca="1" si="253"/>
        <v>#VALUE!</v>
      </c>
      <c r="BS120" s="75"/>
      <c r="BV120" s="75" t="e">
        <f t="shared" ca="1" si="254"/>
        <v>#VALUE!</v>
      </c>
      <c r="BY120" s="75" t="e">
        <f t="shared" ca="1" si="255"/>
        <v>#VALUE!</v>
      </c>
      <c r="CB120" s="75"/>
      <c r="CE120" s="75" t="e">
        <f t="shared" ca="1" si="256"/>
        <v>#VALUE!</v>
      </c>
      <c r="CH120" s="75" t="e">
        <f t="shared" ca="1" si="257"/>
        <v>#VALUE!</v>
      </c>
      <c r="CK120" s="75" t="e">
        <f t="shared" ca="1" si="258"/>
        <v>#VALUE!</v>
      </c>
      <c r="CN120" s="75" t="e">
        <f t="shared" ca="1" si="259"/>
        <v>#VALUE!</v>
      </c>
      <c r="CQ120" s="75" t="e">
        <f t="shared" ca="1" si="260"/>
        <v>#VALUE!</v>
      </c>
      <c r="CT120" s="75" t="e">
        <f t="shared" ca="1" si="261"/>
        <v>#VALUE!</v>
      </c>
      <c r="CW120" s="75" t="e">
        <f t="shared" ca="1" si="262"/>
        <v>#VALUE!</v>
      </c>
      <c r="CZ120" s="75" t="e">
        <f t="shared" ca="1" si="263"/>
        <v>#VALUE!</v>
      </c>
      <c r="DC120" s="75" t="e">
        <f t="shared" ca="1" si="264"/>
        <v>#VALUE!</v>
      </c>
      <c r="DF120" s="75" t="e">
        <f t="shared" ca="1" si="265"/>
        <v>#VALUE!</v>
      </c>
    </row>
    <row r="121" spans="1:110">
      <c r="A121" s="14">
        <f t="shared" si="273"/>
        <v>23</v>
      </c>
      <c r="B121" s="63">
        <f t="shared" ca="1" si="273"/>
        <v>4.8396071685701009E-2</v>
      </c>
      <c r="C121" s="63">
        <f t="shared" si="273"/>
        <v>3862.8</v>
      </c>
      <c r="D121" s="2" t="e">
        <f t="shared" ca="1" si="233"/>
        <v>#VALUE!</v>
      </c>
      <c r="E121" s="2" t="e">
        <f t="shared" ca="1" si="233"/>
        <v>#VALUE!</v>
      </c>
      <c r="F121" s="2" t="e">
        <f t="shared" ca="1" si="234"/>
        <v>#VALUE!</v>
      </c>
      <c r="G121" s="2" t="e">
        <f t="shared" ca="1" si="267"/>
        <v>#VALUE!</v>
      </c>
      <c r="H121" s="2" t="e">
        <f t="shared" ca="1" si="235"/>
        <v>#VALUE!</v>
      </c>
      <c r="I121" s="2" t="e">
        <f t="shared" ca="1" si="235"/>
        <v>#VALUE!</v>
      </c>
      <c r="J121" s="2" t="e">
        <f t="shared" ca="1" si="236"/>
        <v>#VALUE!</v>
      </c>
      <c r="L121" s="61" t="e">
        <f t="shared" ca="1" si="268"/>
        <v>#VALUE!</v>
      </c>
      <c r="M121" s="63" t="e">
        <f t="shared" ca="1" si="269"/>
        <v>#VALUE!</v>
      </c>
      <c r="N121" s="61" t="e">
        <f t="shared" ca="1" si="270"/>
        <v>#VALUE!</v>
      </c>
      <c r="O121" s="61" t="e">
        <f t="shared" ca="1" si="271"/>
        <v>#VALUE!</v>
      </c>
      <c r="P121" s="63" t="b">
        <f t="shared" si="272"/>
        <v>1</v>
      </c>
      <c r="Q121" s="75">
        <f t="shared" ca="1" si="237"/>
        <v>1960.4427917903045</v>
      </c>
      <c r="T121" s="75">
        <f t="shared" ca="1" si="238"/>
        <v>1681.8875661269133</v>
      </c>
      <c r="W121" s="75">
        <f t="shared" ca="1" si="239"/>
        <v>1752.8848494074182</v>
      </c>
      <c r="Z121" s="75">
        <f t="shared" ca="1" si="240"/>
        <v>1620.2880288554932</v>
      </c>
      <c r="AC121" s="75">
        <f t="shared" ca="1" si="241"/>
        <v>1623.4193989888436</v>
      </c>
      <c r="AF121" s="75"/>
      <c r="AI121" s="75" t="e">
        <f t="shared" ca="1" si="242"/>
        <v>#VALUE!</v>
      </c>
      <c r="AL121" s="75" t="e">
        <f t="shared" ca="1" si="243"/>
        <v>#VALUE!</v>
      </c>
      <c r="AO121" s="75" t="e">
        <f t="shared" ca="1" si="244"/>
        <v>#VALUE!</v>
      </c>
      <c r="AR121" s="75" t="e">
        <f t="shared" ca="1" si="245"/>
        <v>#VALUE!</v>
      </c>
      <c r="AU121" s="75" t="e">
        <f t="shared" ca="1" si="246"/>
        <v>#VALUE!</v>
      </c>
      <c r="AX121" s="75" t="e">
        <f t="shared" ca="1" si="247"/>
        <v>#VALUE!</v>
      </c>
      <c r="BA121" s="75" t="e">
        <f t="shared" ca="1" si="248"/>
        <v>#VALUE!</v>
      </c>
      <c r="BD121" s="75" t="e">
        <f t="shared" ca="1" si="249"/>
        <v>#VALUE!</v>
      </c>
      <c r="BG121" s="75" t="e">
        <f t="shared" ca="1" si="250"/>
        <v>#VALUE!</v>
      </c>
      <c r="BJ121" s="75" t="e">
        <f t="shared" ca="1" si="251"/>
        <v>#VALUE!</v>
      </c>
      <c r="BM121" s="75" t="e">
        <f t="shared" ca="1" si="252"/>
        <v>#VALUE!</v>
      </c>
      <c r="BP121" s="75" t="e">
        <f t="shared" ca="1" si="253"/>
        <v>#VALUE!</v>
      </c>
      <c r="BS121" s="75"/>
      <c r="BV121" s="75" t="e">
        <f t="shared" ca="1" si="254"/>
        <v>#VALUE!</v>
      </c>
      <c r="BY121" s="75" t="e">
        <f t="shared" ca="1" si="255"/>
        <v>#VALUE!</v>
      </c>
      <c r="CB121" s="75"/>
      <c r="CE121" s="75" t="e">
        <f t="shared" ca="1" si="256"/>
        <v>#VALUE!</v>
      </c>
      <c r="CH121" s="75" t="e">
        <f t="shared" ca="1" si="257"/>
        <v>#VALUE!</v>
      </c>
      <c r="CK121" s="75" t="e">
        <f t="shared" ca="1" si="258"/>
        <v>#VALUE!</v>
      </c>
      <c r="CN121" s="75" t="e">
        <f t="shared" ca="1" si="259"/>
        <v>#VALUE!</v>
      </c>
      <c r="CQ121" s="75" t="e">
        <f t="shared" ca="1" si="260"/>
        <v>#VALUE!</v>
      </c>
      <c r="CT121" s="75" t="e">
        <f t="shared" ca="1" si="261"/>
        <v>#VALUE!</v>
      </c>
      <c r="CW121" s="75" t="e">
        <f t="shared" ca="1" si="262"/>
        <v>#VALUE!</v>
      </c>
      <c r="CZ121" s="75" t="e">
        <f t="shared" ca="1" si="263"/>
        <v>#VALUE!</v>
      </c>
      <c r="DC121" s="75" t="e">
        <f t="shared" ca="1" si="264"/>
        <v>#VALUE!</v>
      </c>
      <c r="DF121" s="75" t="e">
        <f t="shared" ca="1" si="265"/>
        <v>#VALUE!</v>
      </c>
    </row>
    <row r="122" spans="1:110">
      <c r="A122" s="14">
        <f t="shared" si="273"/>
        <v>24</v>
      </c>
      <c r="B122" s="63">
        <f t="shared" ca="1" si="273"/>
        <v>1.6900215363934361E-2</v>
      </c>
      <c r="C122" s="63">
        <f t="shared" si="273"/>
        <v>3782.2</v>
      </c>
      <c r="D122" s="2" t="e">
        <f t="shared" ca="1" si="233"/>
        <v>#VALUE!</v>
      </c>
      <c r="E122" s="2" t="e">
        <f t="shared" ca="1" si="233"/>
        <v>#VALUE!</v>
      </c>
      <c r="F122" s="2" t="e">
        <f t="shared" ca="1" si="234"/>
        <v>#VALUE!</v>
      </c>
      <c r="G122" s="2" t="e">
        <f t="shared" ca="1" si="267"/>
        <v>#VALUE!</v>
      </c>
      <c r="H122" s="2" t="e">
        <f t="shared" ca="1" si="235"/>
        <v>#VALUE!</v>
      </c>
      <c r="I122" s="2" t="e">
        <f t="shared" ca="1" si="235"/>
        <v>#VALUE!</v>
      </c>
      <c r="J122" s="2" t="e">
        <f t="shared" ca="1" si="236"/>
        <v>#VALUE!</v>
      </c>
      <c r="L122" s="61" t="e">
        <f t="shared" ca="1" si="268"/>
        <v>#VALUE!</v>
      </c>
      <c r="M122" s="63" t="e">
        <f t="shared" ca="1" si="269"/>
        <v>#VALUE!</v>
      </c>
      <c r="N122" s="61" t="e">
        <f t="shared" ca="1" si="270"/>
        <v>#VALUE!</v>
      </c>
      <c r="O122" s="61" t="e">
        <f t="shared" ca="1" si="271"/>
        <v>#VALUE!</v>
      </c>
      <c r="P122" s="63" t="b">
        <f t="shared" si="272"/>
        <v>1</v>
      </c>
      <c r="Q122" s="75">
        <f t="shared" ca="1" si="237"/>
        <v>1692.3509047111374</v>
      </c>
      <c r="T122" s="75">
        <f t="shared" ca="1" si="238"/>
        <v>1785.8011866305292</v>
      </c>
      <c r="W122" s="75">
        <f t="shared" ca="1" si="239"/>
        <v>1714.8829327751664</v>
      </c>
      <c r="Z122" s="75">
        <f t="shared" ca="1" si="240"/>
        <v>3209.0326880330385</v>
      </c>
      <c r="AC122" s="75">
        <f t="shared" ca="1" si="241"/>
        <v>3301.8978295670217</v>
      </c>
      <c r="AF122" s="75"/>
      <c r="AI122" s="75" t="e">
        <f t="shared" ca="1" si="242"/>
        <v>#VALUE!</v>
      </c>
      <c r="AL122" s="75" t="e">
        <f t="shared" ca="1" si="243"/>
        <v>#VALUE!</v>
      </c>
      <c r="AO122" s="75" t="e">
        <f t="shared" ca="1" si="244"/>
        <v>#VALUE!</v>
      </c>
      <c r="AR122" s="75" t="e">
        <f t="shared" ca="1" si="245"/>
        <v>#VALUE!</v>
      </c>
      <c r="AU122" s="75" t="e">
        <f t="shared" ca="1" si="246"/>
        <v>#VALUE!</v>
      </c>
      <c r="AX122" s="75" t="e">
        <f t="shared" ca="1" si="247"/>
        <v>#VALUE!</v>
      </c>
      <c r="BA122" s="75" t="e">
        <f t="shared" ca="1" si="248"/>
        <v>#VALUE!</v>
      </c>
      <c r="BD122" s="75" t="e">
        <f t="shared" ca="1" si="249"/>
        <v>#VALUE!</v>
      </c>
      <c r="BG122" s="75" t="e">
        <f t="shared" ca="1" si="250"/>
        <v>#VALUE!</v>
      </c>
      <c r="BJ122" s="75" t="e">
        <f t="shared" ca="1" si="251"/>
        <v>#VALUE!</v>
      </c>
      <c r="BM122" s="75" t="e">
        <f t="shared" ca="1" si="252"/>
        <v>#VALUE!</v>
      </c>
      <c r="BP122" s="75" t="e">
        <f t="shared" ca="1" si="253"/>
        <v>#VALUE!</v>
      </c>
      <c r="BS122" s="75"/>
      <c r="BV122" s="75" t="e">
        <f t="shared" ca="1" si="254"/>
        <v>#VALUE!</v>
      </c>
      <c r="BY122" s="75" t="e">
        <f t="shared" ca="1" si="255"/>
        <v>#VALUE!</v>
      </c>
      <c r="CB122" s="75"/>
      <c r="CE122" s="75" t="e">
        <f t="shared" ca="1" si="256"/>
        <v>#VALUE!</v>
      </c>
      <c r="CH122" s="75" t="e">
        <f t="shared" ca="1" si="257"/>
        <v>#VALUE!</v>
      </c>
      <c r="CK122" s="75" t="e">
        <f t="shared" ca="1" si="258"/>
        <v>#VALUE!</v>
      </c>
      <c r="CN122" s="75" t="e">
        <f t="shared" ca="1" si="259"/>
        <v>#VALUE!</v>
      </c>
      <c r="CQ122" s="75" t="e">
        <f t="shared" ca="1" si="260"/>
        <v>#VALUE!</v>
      </c>
      <c r="CT122" s="75" t="e">
        <f t="shared" ca="1" si="261"/>
        <v>#VALUE!</v>
      </c>
      <c r="CW122" s="75" t="e">
        <f t="shared" ca="1" si="262"/>
        <v>#VALUE!</v>
      </c>
      <c r="CZ122" s="75" t="e">
        <f t="shared" ca="1" si="263"/>
        <v>#VALUE!</v>
      </c>
      <c r="DC122" s="75" t="e">
        <f t="shared" ca="1" si="264"/>
        <v>#VALUE!</v>
      </c>
      <c r="DF122" s="75" t="e">
        <f t="shared" ca="1" si="265"/>
        <v>#VALUE!</v>
      </c>
    </row>
    <row r="123" spans="1:110">
      <c r="A123" s="14">
        <f t="shared" si="273"/>
        <v>25</v>
      </c>
      <c r="B123" s="63">
        <f t="shared" ca="1" si="273"/>
        <v>1.3827448268123942E-2</v>
      </c>
      <c r="C123" s="63">
        <f t="shared" si="273"/>
        <v>3801.6</v>
      </c>
      <c r="D123" s="2" t="e">
        <f t="shared" ca="1" si="233"/>
        <v>#VALUE!</v>
      </c>
      <c r="E123" s="2" t="e">
        <f t="shared" ca="1" si="233"/>
        <v>#VALUE!</v>
      </c>
      <c r="F123" s="2" t="e">
        <f t="shared" ca="1" si="234"/>
        <v>#VALUE!</v>
      </c>
      <c r="G123" s="2" t="e">
        <f t="shared" ca="1" si="267"/>
        <v>#VALUE!</v>
      </c>
      <c r="H123" s="2" t="e">
        <f t="shared" ca="1" si="235"/>
        <v>#VALUE!</v>
      </c>
      <c r="I123" s="2" t="e">
        <f t="shared" ca="1" si="235"/>
        <v>#VALUE!</v>
      </c>
      <c r="J123" s="2" t="e">
        <f t="shared" ca="1" si="236"/>
        <v>#VALUE!</v>
      </c>
      <c r="L123" s="61" t="e">
        <f t="shared" ca="1" si="268"/>
        <v>#VALUE!</v>
      </c>
      <c r="M123" s="63" t="e">
        <f t="shared" ca="1" si="269"/>
        <v>#VALUE!</v>
      </c>
      <c r="N123" s="61" t="e">
        <f t="shared" ca="1" si="270"/>
        <v>#VALUE!</v>
      </c>
      <c r="O123" s="61" t="e">
        <f t="shared" ca="1" si="271"/>
        <v>#VALUE!</v>
      </c>
      <c r="P123" s="63" t="b">
        <f t="shared" si="272"/>
        <v>1</v>
      </c>
      <c r="Q123" s="75">
        <f t="shared" ca="1" si="237"/>
        <v>1719.2508092681712</v>
      </c>
      <c r="T123" s="75">
        <f t="shared" ca="1" si="238"/>
        <v>1657.065387692805</v>
      </c>
      <c r="W123" s="75">
        <f t="shared" ca="1" si="239"/>
        <v>1656.5645112428276</v>
      </c>
      <c r="Z123" s="75">
        <f t="shared" ca="1" si="240"/>
        <v>1858.7407695011809</v>
      </c>
      <c r="AC123" s="75">
        <f t="shared" ca="1" si="241"/>
        <v>2101.6345870059035</v>
      </c>
      <c r="AF123" s="75"/>
      <c r="AI123" s="75" t="e">
        <f t="shared" ca="1" si="242"/>
        <v>#VALUE!</v>
      </c>
      <c r="AL123" s="75" t="e">
        <f t="shared" ca="1" si="243"/>
        <v>#VALUE!</v>
      </c>
      <c r="AO123" s="75" t="e">
        <f t="shared" ca="1" si="244"/>
        <v>#VALUE!</v>
      </c>
      <c r="AR123" s="75" t="e">
        <f t="shared" ca="1" si="245"/>
        <v>#VALUE!</v>
      </c>
      <c r="AU123" s="75" t="e">
        <f t="shared" ca="1" si="246"/>
        <v>#VALUE!</v>
      </c>
      <c r="AX123" s="75" t="e">
        <f t="shared" ca="1" si="247"/>
        <v>#VALUE!</v>
      </c>
      <c r="BA123" s="75" t="e">
        <f t="shared" ca="1" si="248"/>
        <v>#VALUE!</v>
      </c>
      <c r="BD123" s="75" t="e">
        <f t="shared" ca="1" si="249"/>
        <v>#VALUE!</v>
      </c>
      <c r="BG123" s="75" t="e">
        <f t="shared" ca="1" si="250"/>
        <v>#VALUE!</v>
      </c>
      <c r="BJ123" s="75" t="e">
        <f t="shared" ca="1" si="251"/>
        <v>#VALUE!</v>
      </c>
      <c r="BM123" s="75" t="e">
        <f t="shared" ca="1" si="252"/>
        <v>#VALUE!</v>
      </c>
      <c r="BP123" s="75" t="e">
        <f t="shared" ca="1" si="253"/>
        <v>#VALUE!</v>
      </c>
      <c r="BS123" s="75"/>
      <c r="BV123" s="75" t="e">
        <f t="shared" ca="1" si="254"/>
        <v>#VALUE!</v>
      </c>
      <c r="BY123" s="75" t="e">
        <f t="shared" ca="1" si="255"/>
        <v>#VALUE!</v>
      </c>
      <c r="CB123" s="75"/>
      <c r="CE123" s="75" t="e">
        <f t="shared" ca="1" si="256"/>
        <v>#VALUE!</v>
      </c>
      <c r="CH123" s="75" t="e">
        <f t="shared" ca="1" si="257"/>
        <v>#VALUE!</v>
      </c>
      <c r="CK123" s="75" t="e">
        <f t="shared" ca="1" si="258"/>
        <v>#VALUE!</v>
      </c>
      <c r="CN123" s="75" t="e">
        <f t="shared" ca="1" si="259"/>
        <v>#VALUE!</v>
      </c>
      <c r="CQ123" s="75" t="e">
        <f t="shared" ca="1" si="260"/>
        <v>#VALUE!</v>
      </c>
      <c r="CT123" s="75" t="e">
        <f t="shared" ca="1" si="261"/>
        <v>#VALUE!</v>
      </c>
      <c r="CW123" s="75" t="e">
        <f t="shared" ca="1" si="262"/>
        <v>#VALUE!</v>
      </c>
      <c r="CZ123" s="75" t="e">
        <f t="shared" ca="1" si="263"/>
        <v>#VALUE!</v>
      </c>
      <c r="DC123" s="75" t="e">
        <f t="shared" ca="1" si="264"/>
        <v>#VALUE!</v>
      </c>
      <c r="DF123" s="75" t="e">
        <f t="shared" ca="1" si="265"/>
        <v>#VALUE!</v>
      </c>
    </row>
    <row r="124" spans="1:110">
      <c r="B124" s="63"/>
      <c r="J124" s="2"/>
      <c r="M124" s="63"/>
      <c r="Q124" s="75"/>
      <c r="T124" s="75"/>
      <c r="W124" s="75"/>
      <c r="Z124" s="75"/>
      <c r="AC124" s="75"/>
      <c r="AF124" s="75"/>
      <c r="AI124" s="75"/>
      <c r="AL124" s="75"/>
      <c r="AO124" s="75"/>
      <c r="AR124" s="75"/>
      <c r="AU124" s="75"/>
      <c r="AX124" s="75"/>
      <c r="BA124" s="75"/>
      <c r="BD124" s="75"/>
      <c r="BG124" s="75"/>
      <c r="BJ124" s="75"/>
      <c r="BM124" s="75"/>
      <c r="BP124" s="75"/>
      <c r="BS124" s="75"/>
      <c r="BV124" s="75"/>
      <c r="BY124" s="75"/>
      <c r="CB124" s="75"/>
      <c r="CE124" s="75"/>
      <c r="CH124" s="75"/>
      <c r="CK124" s="75"/>
      <c r="CN124" s="75"/>
      <c r="CQ124" s="75"/>
      <c r="CT124" s="75"/>
      <c r="CW124" s="75"/>
      <c r="CZ124" s="75"/>
      <c r="DC124" s="75"/>
      <c r="DF124" s="75"/>
    </row>
    <row r="125" spans="1:110">
      <c r="B125" s="63"/>
      <c r="J125" s="2"/>
      <c r="M125" s="63"/>
      <c r="Q125" s="75"/>
      <c r="T125" s="75"/>
      <c r="W125" s="75"/>
      <c r="Z125" s="75"/>
      <c r="AC125" s="75"/>
      <c r="AF125" s="75"/>
      <c r="AI125" s="75"/>
      <c r="AL125" s="75"/>
      <c r="AO125" s="75"/>
      <c r="AR125" s="75"/>
      <c r="AU125" s="75"/>
      <c r="AX125" s="75"/>
      <c r="BA125" s="75"/>
      <c r="BD125" s="75"/>
      <c r="BG125" s="75"/>
      <c r="BJ125" s="75"/>
      <c r="BM125" s="75"/>
      <c r="BP125" s="75"/>
      <c r="BS125" s="75"/>
      <c r="BV125" s="75"/>
      <c r="BY125" s="75"/>
      <c r="CB125" s="75"/>
      <c r="CE125" s="75"/>
      <c r="CH125" s="75"/>
      <c r="CK125" s="75"/>
      <c r="CN125" s="75"/>
      <c r="CQ125" s="75"/>
      <c r="CT125" s="75"/>
      <c r="CW125" s="75"/>
      <c r="CZ125" s="75"/>
      <c r="DC125" s="75"/>
      <c r="DF125" s="75"/>
    </row>
    <row r="126" spans="1:110">
      <c r="B126" s="63"/>
      <c r="J126" s="2"/>
      <c r="M126" s="63"/>
      <c r="Q126" s="75"/>
      <c r="T126" s="75"/>
      <c r="W126" s="75"/>
      <c r="Z126" s="75"/>
      <c r="AC126" s="75"/>
      <c r="AF126" s="75"/>
      <c r="AI126" s="75"/>
      <c r="AL126" s="75"/>
      <c r="AO126" s="75"/>
      <c r="AR126" s="75"/>
      <c r="AU126" s="75"/>
      <c r="AX126" s="75"/>
      <c r="BA126" s="75"/>
      <c r="BD126" s="75"/>
      <c r="BG126" s="75"/>
      <c r="BJ126" s="75"/>
      <c r="BM126" s="75"/>
      <c r="BP126" s="75"/>
      <c r="BS126" s="75"/>
      <c r="BV126" s="75"/>
      <c r="BY126" s="75"/>
      <c r="CB126" s="75"/>
      <c r="CE126" s="75"/>
      <c r="CH126" s="75"/>
      <c r="CK126" s="75"/>
      <c r="CN126" s="75"/>
      <c r="CQ126" s="75"/>
      <c r="CT126" s="75"/>
      <c r="CW126" s="75"/>
      <c r="CZ126" s="75"/>
      <c r="DC126" s="75"/>
      <c r="DF126" s="75"/>
    </row>
    <row r="127" spans="1:110">
      <c r="A127" s="100" t="s">
        <v>60</v>
      </c>
      <c r="B127" s="100"/>
      <c r="C127" s="100"/>
      <c r="J127" s="2"/>
      <c r="M127" s="63"/>
      <c r="Q127" s="75"/>
      <c r="T127" s="75"/>
      <c r="W127" s="75"/>
      <c r="Z127" s="75"/>
      <c r="AC127" s="75"/>
      <c r="AF127" s="75"/>
      <c r="AI127" s="75"/>
      <c r="AL127" s="75"/>
      <c r="AO127" s="75"/>
      <c r="AR127" s="75"/>
      <c r="AU127" s="75"/>
      <c r="AX127" s="75"/>
      <c r="BA127" s="75"/>
      <c r="BD127" s="75"/>
      <c r="BG127" s="75"/>
      <c r="BJ127" s="75"/>
      <c r="BM127" s="75"/>
      <c r="BP127" s="75"/>
      <c r="BS127" s="75"/>
      <c r="BV127" s="75"/>
      <c r="BY127" s="75"/>
      <c r="CB127" s="75"/>
      <c r="CE127" s="75"/>
      <c r="CH127" s="75"/>
      <c r="CK127" s="75"/>
      <c r="CN127" s="75"/>
      <c r="CQ127" s="75"/>
      <c r="CT127" s="75"/>
      <c r="CW127" s="75"/>
      <c r="CZ127" s="75"/>
      <c r="DC127" s="75"/>
      <c r="DF127" s="75"/>
    </row>
    <row r="128" spans="1:110" ht="15.75" thickBot="1">
      <c r="A128" s="100"/>
      <c r="B128" s="100"/>
      <c r="C128" s="100"/>
      <c r="J128" s="2"/>
      <c r="M128" s="63"/>
      <c r="Q128" s="75"/>
      <c r="T128" s="75"/>
      <c r="W128" s="75"/>
      <c r="Z128" s="75"/>
      <c r="AC128" s="75"/>
      <c r="AF128" s="75"/>
      <c r="AI128" s="75"/>
      <c r="AL128" s="75"/>
      <c r="AO128" s="75"/>
      <c r="AR128" s="75"/>
      <c r="AU128" s="75"/>
      <c r="AX128" s="75"/>
      <c r="BA128" s="75"/>
      <c r="BD128" s="75"/>
      <c r="BG128" s="75"/>
      <c r="BJ128" s="75"/>
      <c r="BM128" s="75"/>
      <c r="BP128" s="75"/>
      <c r="BS128" s="75"/>
      <c r="BV128" s="75"/>
      <c r="BY128" s="75"/>
      <c r="CB128" s="75"/>
      <c r="CE128" s="75"/>
      <c r="CH128" s="75"/>
      <c r="CK128" s="75"/>
      <c r="CN128" s="75"/>
      <c r="CQ128" s="75"/>
      <c r="CT128" s="75"/>
      <c r="CW128" s="75"/>
      <c r="CZ128" s="75"/>
      <c r="DC128" s="75"/>
      <c r="DF128" s="75"/>
    </row>
    <row r="129" spans="1:110" ht="15.75" thickBot="1">
      <c r="B129" s="113" t="str">
        <f>B1</f>
        <v>Calibration</v>
      </c>
      <c r="C129" s="113"/>
      <c r="E129" s="101" t="str">
        <f ca="1">partNumber&amp;": "&amp; "Gain Variation= +/-"&amp;INT(I129*1000)/10&amp;"%"</f>
        <v>29121: Gain Variation= +/-335.1%</v>
      </c>
      <c r="F129" s="101"/>
      <c r="G129" s="101"/>
      <c r="H129" s="101"/>
      <c r="I129" s="89">
        <f ca="1">O141*1.5/M141</f>
        <v>3.3516707140709663</v>
      </c>
      <c r="J129" s="2"/>
      <c r="M129" s="63"/>
      <c r="Q129" s="75"/>
      <c r="T129" s="75"/>
      <c r="W129" s="75"/>
      <c r="Z129" s="75"/>
      <c r="AC129" s="75"/>
      <c r="AF129" s="75"/>
      <c r="AI129" s="75"/>
      <c r="AL129" s="75"/>
      <c r="AO129" s="75"/>
      <c r="AR129" s="75"/>
      <c r="AU129" s="75"/>
      <c r="AX129" s="75"/>
      <c r="BA129" s="75"/>
      <c r="BD129" s="75"/>
      <c r="BG129" s="75"/>
      <c r="BJ129" s="75"/>
      <c r="BM129" s="75"/>
      <c r="BP129" s="75"/>
      <c r="BS129" s="75"/>
      <c r="BV129" s="75"/>
      <c r="BY129" s="75"/>
      <c r="CB129" s="75"/>
      <c r="CE129" s="75"/>
      <c r="CH129" s="75"/>
      <c r="CK129" s="75"/>
      <c r="CN129" s="75"/>
      <c r="CQ129" s="75"/>
      <c r="CT129" s="75"/>
      <c r="CW129" s="75"/>
      <c r="CZ129" s="75"/>
      <c r="DC129" s="75"/>
      <c r="DF129" s="75"/>
    </row>
    <row r="130" spans="1:110" ht="15.75" thickBot="1">
      <c r="B130" s="74" t="str">
        <f>B2</f>
        <v>Lux</v>
      </c>
      <c r="C130" s="74" t="str">
        <f>C2</f>
        <v>CCT</v>
      </c>
      <c r="E130" s="101" t="str">
        <f ca="1">partNumber&amp;": "&amp; "Nominal Gain Error= +/-"&amp;INT(I130*1000)/10&amp;"%"</f>
        <v>29121: Nominal Gain Error= +/--20.3%</v>
      </c>
      <c r="F130" s="101"/>
      <c r="G130" s="101"/>
      <c r="H130" s="101"/>
      <c r="I130" s="89">
        <f ca="1">M141/B141-1</f>
        <v>-0.20264851084542335</v>
      </c>
      <c r="J130" s="2"/>
      <c r="L130" s="74" t="str">
        <f>L2</f>
        <v>-1.5σ</v>
      </c>
      <c r="M130" s="74" t="str">
        <f t="shared" ref="M130:O130" si="274">M2</f>
        <v>AVG</v>
      </c>
      <c r="N130" s="74" t="str">
        <f t="shared" si="274"/>
        <v>+1.5σ</v>
      </c>
      <c r="O130" s="74" t="str">
        <f t="shared" si="274"/>
        <v>STDEV</v>
      </c>
      <c r="Q130" s="75" t="str">
        <f t="shared" ref="Q130" si="275">getCCT(Q98,R98,S98)</f>
        <v/>
      </c>
      <c r="T130" s="75" t="str">
        <f t="shared" ref="T130" si="276">getCCT(T98,U98,V98)</f>
        <v/>
      </c>
      <c r="W130" s="75" t="str">
        <f t="shared" ref="W130" si="277">getCCT(W98,X98,Y98)</f>
        <v/>
      </c>
      <c r="Z130" s="75" t="str">
        <f t="shared" ref="Z130" si="278">getCCT(Z98,AA98,AB98)</f>
        <v/>
      </c>
      <c r="AC130" s="75" t="str">
        <f t="shared" ref="AC130" si="279">getCCT(AC98,AD98,AE98)</f>
        <v/>
      </c>
      <c r="AF130" s="75"/>
      <c r="AI130" s="75" t="str">
        <f t="shared" ref="AI130" si="280">getCCT(AI98,AJ98,AK98)</f>
        <v/>
      </c>
      <c r="AL130" s="75" t="str">
        <f t="shared" ref="AL130" si="281">getCCT(AL98,AM98,AN98)</f>
        <v/>
      </c>
      <c r="AO130" s="75" t="str">
        <f t="shared" ref="AO130" si="282">getCCT(AO98,AP98,AQ98)</f>
        <v/>
      </c>
      <c r="AR130" s="75" t="str">
        <f t="shared" ref="AR130" si="283">getCCT(AR98,AS98,AT98)</f>
        <v/>
      </c>
      <c r="AU130" s="75" t="str">
        <f t="shared" ref="AU130" si="284">getCCT(AU98,AV98,AW98)</f>
        <v/>
      </c>
      <c r="AX130" s="75" t="str">
        <f t="shared" ref="AX130" si="285">getCCT(AX98,AY98,AZ98)</f>
        <v/>
      </c>
      <c r="BA130" s="75" t="str">
        <f t="shared" ref="BA130" si="286">getCCT(BA98,BB98,BC98)</f>
        <v/>
      </c>
      <c r="BD130" s="75" t="str">
        <f t="shared" ref="BD130" si="287">getCCT(BD98,BE98,BF98)</f>
        <v/>
      </c>
      <c r="BG130" s="75" t="str">
        <f t="shared" ref="BG130" si="288">getCCT(BG98,BH98,BI98)</f>
        <v/>
      </c>
      <c r="BJ130" s="75" t="str">
        <f t="shared" ref="BJ130" si="289">getCCT(BJ98,BK98,BL98)</f>
        <v/>
      </c>
      <c r="BM130" s="75" t="str">
        <f t="shared" ref="BM130" si="290">getCCT(BM98,BN98,BO98)</f>
        <v/>
      </c>
      <c r="BP130" s="75" t="str">
        <f t="shared" ref="BP130" si="291">getCCT(BP98,BQ98,BR98)</f>
        <v/>
      </c>
      <c r="BS130" s="75"/>
      <c r="BV130" s="75" t="str">
        <f t="shared" ref="BV130" si="292">getCCT(BV98,BW98,BX98)</f>
        <v/>
      </c>
      <c r="BY130" s="75" t="str">
        <f t="shared" ref="BY130" si="293">getCCT(BY98,BZ98,CA98)</f>
        <v/>
      </c>
      <c r="CB130" s="75"/>
      <c r="CE130" s="75" t="str">
        <f t="shared" ref="CE130" si="294">getCCT(CE98,CF98,CG98)</f>
        <v/>
      </c>
      <c r="CH130" s="75" t="str">
        <f t="shared" ref="CH130" si="295">getCCT(CH98,CI98,CJ98)</f>
        <v/>
      </c>
      <c r="CK130" s="75" t="str">
        <f t="shared" ref="CK130" si="296">getCCT(CK98,CL98,CM98)</f>
        <v/>
      </c>
      <c r="CN130" s="75" t="str">
        <f t="shared" ref="CN130" si="297">getCCT(CN98,CO98,CP98)</f>
        <v/>
      </c>
      <c r="CQ130" s="75" t="str">
        <f t="shared" ref="CQ130" si="298">getCCT(CQ98,CR98,CS98)</f>
        <v/>
      </c>
      <c r="CT130" s="75" t="str">
        <f t="shared" ref="CT130" si="299">getCCT(CT98,CU98,CV98)</f>
        <v/>
      </c>
      <c r="CW130" s="75" t="str">
        <f t="shared" ref="CW130" si="300">getCCT(CW98,CX98,CY98)</f>
        <v/>
      </c>
      <c r="CZ130" s="75" t="str">
        <f t="shared" ref="CZ130" si="301">getCCT(CZ98,DA98,DB98)</f>
        <v/>
      </c>
      <c r="DC130" s="75" t="str">
        <f t="shared" ref="DC130" si="302">getCCT(DC98,DD98,DE98)</f>
        <v/>
      </c>
      <c r="DF130" s="75" t="str">
        <f t="shared" ref="DF130" si="303">getCCT(DF98,DG98,DH98)</f>
        <v/>
      </c>
    </row>
    <row r="131" spans="1:110">
      <c r="A131" s="14">
        <f>A3</f>
        <v>1</v>
      </c>
      <c r="B131" s="63">
        <f t="shared" ref="B131:C146" ca="1" si="304">B3</f>
        <v>23.151758163574332</v>
      </c>
      <c r="C131" s="63">
        <f>C3</f>
        <v>3933.1</v>
      </c>
      <c r="I131" s="2"/>
      <c r="J131" s="2"/>
      <c r="L131" s="61">
        <f t="shared" ref="L131:L155" ca="1" si="305">M131-1.5*O131</f>
        <v>-41.327786522325496</v>
      </c>
      <c r="M131" s="63">
        <f t="shared" ref="M131:M155" ca="1" si="306">AVERAGE(Q131:DH131)</f>
        <v>17.600780613674353</v>
      </c>
      <c r="N131" s="61">
        <f t="shared" ref="N131:N155" ca="1" si="307">M131+1.5*O131</f>
        <v>76.529347749674201</v>
      </c>
      <c r="O131" s="61">
        <f t="shared" ref="O131:O155" ca="1" si="308">STDEV(Q131:DH131)</f>
        <v>39.285711423999899</v>
      </c>
      <c r="P131" s="63" t="b">
        <f>P99</f>
        <v>1</v>
      </c>
      <c r="Q131" s="75">
        <f t="shared" ref="Q131:Q155" ca="1" si="309">R65</f>
        <v>104.47815153555905</v>
      </c>
      <c r="T131" s="75">
        <f t="shared" ref="T131:AI146" ca="1" si="310">U65</f>
        <v>103.13132247208382</v>
      </c>
      <c r="W131" s="75">
        <f t="shared" ref="W131" ca="1" si="311">X65</f>
        <v>108.21520148702122</v>
      </c>
      <c r="Z131" s="75">
        <f t="shared" ref="Z131" ca="1" si="312">AA65</f>
        <v>96.390916011390772</v>
      </c>
      <c r="AC131" s="75">
        <f t="shared" ref="AC131" ca="1" si="313">AD65</f>
        <v>98.207046290501395</v>
      </c>
      <c r="AF131" s="75"/>
      <c r="AI131" s="75">
        <f t="shared" ref="AI131" ca="1" si="314">AJ65</f>
        <v>0</v>
      </c>
      <c r="AL131" s="75">
        <f t="shared" ref="AL131:AX146" ca="1" si="315">AM65</f>
        <v>0</v>
      </c>
      <c r="AO131" s="75">
        <f t="shared" ref="AO131" ca="1" si="316">AP65</f>
        <v>0</v>
      </c>
      <c r="AR131" s="75">
        <f t="shared" ref="AR131" ca="1" si="317">AS65</f>
        <v>0</v>
      </c>
      <c r="AU131" s="75">
        <f t="shared" ref="AU131" ca="1" si="318">AV65</f>
        <v>0</v>
      </c>
      <c r="AX131" s="75">
        <f t="shared" ref="AX131" ca="1" si="319">AY65</f>
        <v>0</v>
      </c>
      <c r="BA131" s="75">
        <f t="shared" ref="BA131:BP146" ca="1" si="320">BB65</f>
        <v>0</v>
      </c>
      <c r="BD131" s="75">
        <f t="shared" ref="BD131" ca="1" si="321">BE65</f>
        <v>0</v>
      </c>
      <c r="BG131" s="75">
        <f t="shared" ref="BG131" ca="1" si="322">BH65</f>
        <v>0</v>
      </c>
      <c r="BJ131" s="75">
        <f t="shared" ref="BJ131" ca="1" si="323">BK65</f>
        <v>0</v>
      </c>
      <c r="BM131" s="75">
        <f t="shared" ref="BM131" ca="1" si="324">BN65</f>
        <v>0</v>
      </c>
      <c r="BP131" s="75">
        <f t="shared" ref="BP131" ca="1" si="325">BQ65</f>
        <v>0</v>
      </c>
      <c r="BS131" s="75"/>
      <c r="BV131" s="75">
        <f t="shared" ref="BV131:CE146" ca="1" si="326">BW65</f>
        <v>0</v>
      </c>
      <c r="BY131" s="75">
        <f t="shared" ref="BY131" ca="1" si="327">BZ65</f>
        <v>0</v>
      </c>
      <c r="CB131" s="75"/>
      <c r="CE131" s="75">
        <f t="shared" ref="CE131" ca="1" si="328">CF65</f>
        <v>0</v>
      </c>
      <c r="CH131" s="75">
        <f t="shared" ref="CH131:CW146" ca="1" si="329">CI65</f>
        <v>0</v>
      </c>
      <c r="CK131" s="75">
        <f t="shared" ref="CK131" ca="1" si="330">CL65</f>
        <v>0</v>
      </c>
      <c r="CN131" s="75">
        <f t="shared" ref="CN131" ca="1" si="331">CO65</f>
        <v>0</v>
      </c>
      <c r="CQ131" s="75">
        <f t="shared" ref="CQ131" ca="1" si="332">CR65</f>
        <v>0</v>
      </c>
      <c r="CT131" s="75">
        <f t="shared" ref="CT131" ca="1" si="333">CU65</f>
        <v>0</v>
      </c>
      <c r="CW131" s="75">
        <f t="shared" ref="CW131" ca="1" si="334">CX65</f>
        <v>0</v>
      </c>
      <c r="CZ131" s="75">
        <f t="shared" ref="CZ131:DF146" ca="1" si="335">DA65</f>
        <v>0</v>
      </c>
      <c r="DC131" s="75">
        <f t="shared" ref="DC131" ca="1" si="336">DD65</f>
        <v>0</v>
      </c>
      <c r="DF131" s="75">
        <f t="shared" ref="DF131" ca="1" si="337">DG65</f>
        <v>0</v>
      </c>
    </row>
    <row r="132" spans="1:110">
      <c r="A132" s="14">
        <f t="shared" ref="A132:C147" si="338">A4</f>
        <v>2</v>
      </c>
      <c r="B132" s="63">
        <f t="shared" ca="1" si="304"/>
        <v>18.852958021449371</v>
      </c>
      <c r="C132" s="63">
        <f t="shared" si="304"/>
        <v>3954.7</v>
      </c>
      <c r="I132" s="2"/>
      <c r="J132" s="2"/>
      <c r="L132" s="61">
        <f t="shared" ca="1" si="305"/>
        <v>-33.707251287210681</v>
      </c>
      <c r="M132" s="63">
        <f t="shared" ca="1" si="306"/>
        <v>14.356835352345499</v>
      </c>
      <c r="N132" s="61">
        <f t="shared" ca="1" si="307"/>
        <v>62.420921991901679</v>
      </c>
      <c r="O132" s="61">
        <f t="shared" ca="1" si="308"/>
        <v>32.042724426370789</v>
      </c>
      <c r="P132" s="63" t="b">
        <f t="shared" ref="P132:P155" si="339">P100</f>
        <v>1</v>
      </c>
      <c r="Q132" s="75">
        <f t="shared" ca="1" si="309"/>
        <v>84.863790897518612</v>
      </c>
      <c r="T132" s="75">
        <f t="shared" ca="1" si="310"/>
        <v>84.325262603601161</v>
      </c>
      <c r="W132" s="75">
        <f t="shared" ca="1" si="310"/>
        <v>88.09584908611383</v>
      </c>
      <c r="Z132" s="75">
        <f t="shared" ca="1" si="310"/>
        <v>78.533073998798443</v>
      </c>
      <c r="AC132" s="75">
        <f t="shared" ca="1" si="310"/>
        <v>80.530248631987433</v>
      </c>
      <c r="AF132" s="75"/>
      <c r="AI132" s="75">
        <f t="shared" ca="1" si="310"/>
        <v>0</v>
      </c>
      <c r="AL132" s="75">
        <f t="shared" ca="1" si="315"/>
        <v>0</v>
      </c>
      <c r="AO132" s="75">
        <f t="shared" ca="1" si="315"/>
        <v>0</v>
      </c>
      <c r="AR132" s="75">
        <f t="shared" ca="1" si="315"/>
        <v>0</v>
      </c>
      <c r="AU132" s="75">
        <f t="shared" ca="1" si="315"/>
        <v>0</v>
      </c>
      <c r="AX132" s="75">
        <f t="shared" ca="1" si="315"/>
        <v>0</v>
      </c>
      <c r="BA132" s="75">
        <f t="shared" ca="1" si="320"/>
        <v>0</v>
      </c>
      <c r="BD132" s="75">
        <f t="shared" ca="1" si="320"/>
        <v>0</v>
      </c>
      <c r="BG132" s="75">
        <f t="shared" ca="1" si="320"/>
        <v>0</v>
      </c>
      <c r="BJ132" s="75">
        <f t="shared" ca="1" si="320"/>
        <v>0</v>
      </c>
      <c r="BM132" s="75">
        <f t="shared" ca="1" si="320"/>
        <v>0</v>
      </c>
      <c r="BP132" s="75">
        <f t="shared" ca="1" si="320"/>
        <v>0</v>
      </c>
      <c r="BS132" s="75"/>
      <c r="BV132" s="75">
        <f t="shared" ca="1" si="326"/>
        <v>0</v>
      </c>
      <c r="BY132" s="75">
        <f t="shared" ca="1" si="326"/>
        <v>0</v>
      </c>
      <c r="CB132" s="75"/>
      <c r="CE132" s="75">
        <f t="shared" ca="1" si="326"/>
        <v>0</v>
      </c>
      <c r="CH132" s="75">
        <f t="shared" ca="1" si="329"/>
        <v>0</v>
      </c>
      <c r="CK132" s="75">
        <f t="shared" ca="1" si="329"/>
        <v>0</v>
      </c>
      <c r="CN132" s="75">
        <f t="shared" ca="1" si="329"/>
        <v>0</v>
      </c>
      <c r="CQ132" s="75">
        <f t="shared" ca="1" si="329"/>
        <v>0</v>
      </c>
      <c r="CT132" s="75">
        <f t="shared" ca="1" si="329"/>
        <v>0</v>
      </c>
      <c r="CW132" s="75">
        <f t="shared" ca="1" si="329"/>
        <v>0</v>
      </c>
      <c r="CZ132" s="75">
        <f t="shared" ca="1" si="335"/>
        <v>0</v>
      </c>
      <c r="DC132" s="75">
        <f t="shared" ca="1" si="335"/>
        <v>0</v>
      </c>
      <c r="DF132" s="75">
        <f t="shared" ca="1" si="335"/>
        <v>0</v>
      </c>
    </row>
    <row r="133" spans="1:110">
      <c r="A133" s="14">
        <f t="shared" si="338"/>
        <v>3</v>
      </c>
      <c r="B133" s="63">
        <f t="shared" ca="1" si="304"/>
        <v>15.437578208746091</v>
      </c>
      <c r="C133" s="63">
        <f t="shared" si="304"/>
        <v>3988.4</v>
      </c>
      <c r="I133" s="2"/>
      <c r="J133" s="2"/>
      <c r="L133" s="61">
        <f t="shared" ca="1" si="305"/>
        <v>-27.417718194196517</v>
      </c>
      <c r="M133" s="63">
        <f t="shared" ca="1" si="306"/>
        <v>11.67651052065507</v>
      </c>
      <c r="N133" s="61">
        <f t="shared" ca="1" si="307"/>
        <v>50.77073923550666</v>
      </c>
      <c r="O133" s="61">
        <f t="shared" ca="1" si="308"/>
        <v>26.062819143234393</v>
      </c>
      <c r="P133" s="63" t="b">
        <f t="shared" si="339"/>
        <v>1</v>
      </c>
      <c r="Q133" s="75">
        <f t="shared" ca="1" si="309"/>
        <v>69.509453091704898</v>
      </c>
      <c r="T133" s="75">
        <f t="shared" ca="1" si="310"/>
        <v>68.666776597642084</v>
      </c>
      <c r="W133" s="75">
        <f t="shared" ca="1" si="310"/>
        <v>71.499176513194513</v>
      </c>
      <c r="Z133" s="75">
        <f t="shared" ca="1" si="310"/>
        <v>63.62357544079179</v>
      </c>
      <c r="AC133" s="75">
        <f t="shared" ca="1" si="310"/>
        <v>65.319823455663695</v>
      </c>
      <c r="AF133" s="75"/>
      <c r="AI133" s="75">
        <f t="shared" ca="1" si="310"/>
        <v>0</v>
      </c>
      <c r="AL133" s="75">
        <f t="shared" ca="1" si="315"/>
        <v>0</v>
      </c>
      <c r="AO133" s="75">
        <f t="shared" ca="1" si="315"/>
        <v>0</v>
      </c>
      <c r="AR133" s="75">
        <f t="shared" ca="1" si="315"/>
        <v>0</v>
      </c>
      <c r="AU133" s="75">
        <f t="shared" ca="1" si="315"/>
        <v>0</v>
      </c>
      <c r="AX133" s="75">
        <f t="shared" ca="1" si="315"/>
        <v>0</v>
      </c>
      <c r="BA133" s="75">
        <f t="shared" ca="1" si="320"/>
        <v>0</v>
      </c>
      <c r="BD133" s="75">
        <f t="shared" ca="1" si="320"/>
        <v>0</v>
      </c>
      <c r="BG133" s="75">
        <f t="shared" ca="1" si="320"/>
        <v>0</v>
      </c>
      <c r="BJ133" s="75">
        <f t="shared" ca="1" si="320"/>
        <v>0</v>
      </c>
      <c r="BM133" s="75">
        <f t="shared" ca="1" si="320"/>
        <v>0</v>
      </c>
      <c r="BP133" s="75">
        <f t="shared" ca="1" si="320"/>
        <v>0</v>
      </c>
      <c r="BS133" s="75"/>
      <c r="BV133" s="75">
        <f t="shared" ca="1" si="326"/>
        <v>0</v>
      </c>
      <c r="BY133" s="75">
        <f t="shared" ca="1" si="326"/>
        <v>0</v>
      </c>
      <c r="CB133" s="75"/>
      <c r="CE133" s="75">
        <f t="shared" ca="1" si="326"/>
        <v>0</v>
      </c>
      <c r="CH133" s="75">
        <f t="shared" ca="1" si="329"/>
        <v>0</v>
      </c>
      <c r="CK133" s="75">
        <f t="shared" ca="1" si="329"/>
        <v>0</v>
      </c>
      <c r="CN133" s="75">
        <f t="shared" ca="1" si="329"/>
        <v>0</v>
      </c>
      <c r="CQ133" s="75">
        <f t="shared" ca="1" si="329"/>
        <v>0</v>
      </c>
      <c r="CT133" s="75">
        <f t="shared" ca="1" si="329"/>
        <v>0</v>
      </c>
      <c r="CW133" s="75">
        <f t="shared" ca="1" si="329"/>
        <v>0</v>
      </c>
      <c r="CZ133" s="75">
        <f t="shared" ca="1" si="335"/>
        <v>0</v>
      </c>
      <c r="DC133" s="75">
        <f t="shared" ca="1" si="335"/>
        <v>0</v>
      </c>
      <c r="DF133" s="75">
        <f t="shared" ca="1" si="335"/>
        <v>0</v>
      </c>
    </row>
    <row r="134" spans="1:110">
      <c r="A134" s="14">
        <f t="shared" si="338"/>
        <v>4</v>
      </c>
      <c r="B134" s="63">
        <f t="shared" ca="1" si="304"/>
        <v>12.825726800021135</v>
      </c>
      <c r="C134" s="63">
        <f t="shared" si="304"/>
        <v>3978.3</v>
      </c>
      <c r="I134" s="2"/>
      <c r="J134" s="2"/>
      <c r="L134" s="61">
        <f t="shared" ca="1" si="305"/>
        <v>-22.891387147623874</v>
      </c>
      <c r="M134" s="63">
        <f t="shared" ca="1" si="306"/>
        <v>9.7470801446789128</v>
      </c>
      <c r="N134" s="61">
        <f t="shared" ca="1" si="307"/>
        <v>42.385547436981696</v>
      </c>
      <c r="O134" s="61">
        <f t="shared" ca="1" si="308"/>
        <v>21.758978194868522</v>
      </c>
      <c r="P134" s="63" t="b">
        <f t="shared" si="339"/>
        <v>1</v>
      </c>
      <c r="Q134" s="75">
        <f t="shared" ca="1" si="309"/>
        <v>57.834401868816883</v>
      </c>
      <c r="T134" s="75">
        <f t="shared" ca="1" si="310"/>
        <v>57.308806540986339</v>
      </c>
      <c r="W134" s="75">
        <f t="shared" ca="1" si="310"/>
        <v>60.073211158992777</v>
      </c>
      <c r="Z134" s="75">
        <f t="shared" ca="1" si="310"/>
        <v>52.91585196656662</v>
      </c>
      <c r="AC134" s="75">
        <f t="shared" ca="1" si="310"/>
        <v>54.533052660325858</v>
      </c>
      <c r="AF134" s="75"/>
      <c r="AI134" s="75">
        <f t="shared" ca="1" si="310"/>
        <v>0</v>
      </c>
      <c r="AL134" s="75">
        <f t="shared" ca="1" si="315"/>
        <v>0</v>
      </c>
      <c r="AO134" s="75">
        <f t="shared" ca="1" si="315"/>
        <v>0</v>
      </c>
      <c r="AR134" s="75">
        <f t="shared" ca="1" si="315"/>
        <v>0</v>
      </c>
      <c r="AU134" s="75">
        <f t="shared" ca="1" si="315"/>
        <v>0</v>
      </c>
      <c r="AX134" s="75">
        <f t="shared" ca="1" si="315"/>
        <v>0</v>
      </c>
      <c r="BA134" s="75">
        <f t="shared" ca="1" si="320"/>
        <v>0</v>
      </c>
      <c r="BD134" s="75">
        <f t="shared" ca="1" si="320"/>
        <v>0</v>
      </c>
      <c r="BG134" s="75">
        <f t="shared" ca="1" si="320"/>
        <v>0</v>
      </c>
      <c r="BJ134" s="75">
        <f t="shared" ca="1" si="320"/>
        <v>0</v>
      </c>
      <c r="BM134" s="75">
        <f t="shared" ca="1" si="320"/>
        <v>0</v>
      </c>
      <c r="BP134" s="75">
        <f t="shared" ca="1" si="320"/>
        <v>0</v>
      </c>
      <c r="BS134" s="75"/>
      <c r="BV134" s="75">
        <f t="shared" ca="1" si="326"/>
        <v>0</v>
      </c>
      <c r="BY134" s="75">
        <f t="shared" ca="1" si="326"/>
        <v>0</v>
      </c>
      <c r="CB134" s="75"/>
      <c r="CE134" s="75">
        <f t="shared" ca="1" si="326"/>
        <v>0</v>
      </c>
      <c r="CH134" s="75">
        <f t="shared" ca="1" si="329"/>
        <v>0</v>
      </c>
      <c r="CK134" s="75">
        <f t="shared" ca="1" si="329"/>
        <v>0</v>
      </c>
      <c r="CN134" s="75">
        <f t="shared" ca="1" si="329"/>
        <v>0</v>
      </c>
      <c r="CQ134" s="75">
        <f t="shared" ca="1" si="329"/>
        <v>0</v>
      </c>
      <c r="CT134" s="75">
        <f t="shared" ca="1" si="329"/>
        <v>0</v>
      </c>
      <c r="CW134" s="75">
        <f t="shared" ca="1" si="329"/>
        <v>0</v>
      </c>
      <c r="CZ134" s="75">
        <f t="shared" ca="1" si="335"/>
        <v>0</v>
      </c>
      <c r="DC134" s="75">
        <f t="shared" ca="1" si="335"/>
        <v>0</v>
      </c>
      <c r="DF134" s="75">
        <f t="shared" ca="1" si="335"/>
        <v>0</v>
      </c>
    </row>
    <row r="135" spans="1:110">
      <c r="A135" s="14">
        <f t="shared" si="338"/>
        <v>5</v>
      </c>
      <c r="B135" s="63">
        <f t="shared" ca="1" si="304"/>
        <v>9.4994572118508245</v>
      </c>
      <c r="C135" s="63">
        <f t="shared" si="304"/>
        <v>3960.5</v>
      </c>
      <c r="I135" s="2"/>
      <c r="J135" s="2"/>
      <c r="L135" s="61">
        <f t="shared" ca="1" si="305"/>
        <v>-17.487876290834045</v>
      </c>
      <c r="M135" s="63">
        <f t="shared" ca="1" si="306"/>
        <v>7.4447350255345714</v>
      </c>
      <c r="N135" s="61">
        <f t="shared" ca="1" si="307"/>
        <v>32.377346341903184</v>
      </c>
      <c r="O135" s="61">
        <f t="shared" ca="1" si="308"/>
        <v>16.621740877579075</v>
      </c>
      <c r="P135" s="63" t="b">
        <f t="shared" si="339"/>
        <v>1</v>
      </c>
      <c r="Q135" s="75">
        <f t="shared" ca="1" si="309"/>
        <v>44.610102072641553</v>
      </c>
      <c r="T135" s="75">
        <f t="shared" ca="1" si="310"/>
        <v>43.346351967707953</v>
      </c>
      <c r="W135" s="75">
        <f t="shared" ca="1" si="310"/>
        <v>46.014987975906394</v>
      </c>
      <c r="Z135" s="75">
        <f t="shared" ca="1" si="310"/>
        <v>40.280692093871174</v>
      </c>
      <c r="AC135" s="75">
        <f t="shared" ca="1" si="310"/>
        <v>41.645181630375468</v>
      </c>
      <c r="AF135" s="75"/>
      <c r="AI135" s="75">
        <f t="shared" ca="1" si="310"/>
        <v>0</v>
      </c>
      <c r="AL135" s="75">
        <f t="shared" ca="1" si="315"/>
        <v>0</v>
      </c>
      <c r="AO135" s="75">
        <f t="shared" ca="1" si="315"/>
        <v>0</v>
      </c>
      <c r="AR135" s="75">
        <f t="shared" ca="1" si="315"/>
        <v>0</v>
      </c>
      <c r="AU135" s="75">
        <f t="shared" ca="1" si="315"/>
        <v>0</v>
      </c>
      <c r="AX135" s="75">
        <f t="shared" ca="1" si="315"/>
        <v>0</v>
      </c>
      <c r="BA135" s="75">
        <f t="shared" ca="1" si="320"/>
        <v>0</v>
      </c>
      <c r="BD135" s="75">
        <f t="shared" ca="1" si="320"/>
        <v>0</v>
      </c>
      <c r="BG135" s="75">
        <f t="shared" ca="1" si="320"/>
        <v>0</v>
      </c>
      <c r="BJ135" s="75">
        <f t="shared" ca="1" si="320"/>
        <v>0</v>
      </c>
      <c r="BM135" s="75">
        <f t="shared" ca="1" si="320"/>
        <v>0</v>
      </c>
      <c r="BP135" s="75">
        <f t="shared" ca="1" si="320"/>
        <v>0</v>
      </c>
      <c r="BS135" s="75"/>
      <c r="BV135" s="75">
        <f t="shared" ca="1" si="326"/>
        <v>0</v>
      </c>
      <c r="BY135" s="75">
        <f t="shared" ca="1" si="326"/>
        <v>0</v>
      </c>
      <c r="CB135" s="75"/>
      <c r="CE135" s="75">
        <f t="shared" ca="1" si="326"/>
        <v>0</v>
      </c>
      <c r="CH135" s="75">
        <f t="shared" ca="1" si="329"/>
        <v>0</v>
      </c>
      <c r="CK135" s="75">
        <f t="shared" ca="1" si="329"/>
        <v>0</v>
      </c>
      <c r="CN135" s="75">
        <f t="shared" ca="1" si="329"/>
        <v>0</v>
      </c>
      <c r="CQ135" s="75">
        <f t="shared" ca="1" si="329"/>
        <v>0</v>
      </c>
      <c r="CT135" s="75">
        <f t="shared" ca="1" si="329"/>
        <v>0</v>
      </c>
      <c r="CW135" s="75">
        <f t="shared" ca="1" si="329"/>
        <v>0</v>
      </c>
      <c r="CZ135" s="75">
        <f t="shared" ca="1" si="335"/>
        <v>0</v>
      </c>
      <c r="DC135" s="75">
        <f t="shared" ca="1" si="335"/>
        <v>0</v>
      </c>
      <c r="DF135" s="75">
        <f t="shared" ca="1" si="335"/>
        <v>0</v>
      </c>
    </row>
    <row r="136" spans="1:110">
      <c r="A136" s="14">
        <f t="shared" si="338"/>
        <v>6</v>
      </c>
      <c r="B136" s="63">
        <f t="shared" ca="1" si="304"/>
        <v>7.108076789685887</v>
      </c>
      <c r="C136" s="63">
        <f t="shared" si="304"/>
        <v>3971.2</v>
      </c>
      <c r="I136" s="2"/>
      <c r="J136" s="2"/>
      <c r="L136" s="61">
        <f t="shared" ca="1" si="305"/>
        <v>-13.124939112479453</v>
      </c>
      <c r="M136" s="63">
        <f t="shared" ca="1" si="306"/>
        <v>5.5879067912711564</v>
      </c>
      <c r="N136" s="61">
        <f t="shared" ca="1" si="307"/>
        <v>24.300752695021764</v>
      </c>
      <c r="O136" s="61">
        <f t="shared" ca="1" si="308"/>
        <v>12.475230602500405</v>
      </c>
      <c r="P136" s="63" t="b">
        <f t="shared" si="339"/>
        <v>1</v>
      </c>
      <c r="Q136" s="75">
        <f t="shared" ca="1" si="309"/>
        <v>33.529017280908505</v>
      </c>
      <c r="T136" s="75">
        <f t="shared" ca="1" si="310"/>
        <v>32.673727553682944</v>
      </c>
      <c r="W136" s="75">
        <f t="shared" ca="1" si="310"/>
        <v>34.396200659980607</v>
      </c>
      <c r="Z136" s="75">
        <f t="shared" ca="1" si="310"/>
        <v>30.367384863094056</v>
      </c>
      <c r="AC136" s="75">
        <f t="shared" ca="1" si="310"/>
        <v>31.082966589197426</v>
      </c>
      <c r="AF136" s="75"/>
      <c r="AI136" s="75">
        <f t="shared" ca="1" si="310"/>
        <v>0</v>
      </c>
      <c r="AL136" s="75">
        <f t="shared" ca="1" si="315"/>
        <v>0</v>
      </c>
      <c r="AO136" s="75">
        <f t="shared" ca="1" si="315"/>
        <v>0</v>
      </c>
      <c r="AR136" s="75">
        <f t="shared" ca="1" si="315"/>
        <v>0</v>
      </c>
      <c r="AU136" s="75">
        <f t="shared" ca="1" si="315"/>
        <v>0</v>
      </c>
      <c r="AX136" s="75">
        <f t="shared" ca="1" si="315"/>
        <v>0</v>
      </c>
      <c r="BA136" s="75">
        <f t="shared" ca="1" si="320"/>
        <v>0</v>
      </c>
      <c r="BD136" s="75">
        <f t="shared" ca="1" si="320"/>
        <v>0</v>
      </c>
      <c r="BG136" s="75">
        <f t="shared" ca="1" si="320"/>
        <v>0</v>
      </c>
      <c r="BJ136" s="75">
        <f t="shared" ca="1" si="320"/>
        <v>0</v>
      </c>
      <c r="BM136" s="75">
        <f t="shared" ca="1" si="320"/>
        <v>0</v>
      </c>
      <c r="BP136" s="75">
        <f t="shared" ca="1" si="320"/>
        <v>0</v>
      </c>
      <c r="BS136" s="75"/>
      <c r="BV136" s="75">
        <f t="shared" ca="1" si="326"/>
        <v>0</v>
      </c>
      <c r="BY136" s="75">
        <f t="shared" ca="1" si="326"/>
        <v>0</v>
      </c>
      <c r="CB136" s="75"/>
      <c r="CE136" s="75">
        <f t="shared" ca="1" si="326"/>
        <v>0</v>
      </c>
      <c r="CH136" s="75">
        <f t="shared" ca="1" si="329"/>
        <v>0</v>
      </c>
      <c r="CK136" s="75">
        <f t="shared" ca="1" si="329"/>
        <v>0</v>
      </c>
      <c r="CN136" s="75">
        <f t="shared" ca="1" si="329"/>
        <v>0</v>
      </c>
      <c r="CQ136" s="75">
        <f t="shared" ca="1" si="329"/>
        <v>0</v>
      </c>
      <c r="CT136" s="75">
        <f t="shared" ca="1" si="329"/>
        <v>0</v>
      </c>
      <c r="CW136" s="75">
        <f t="shared" ca="1" si="329"/>
        <v>0</v>
      </c>
      <c r="CZ136" s="75">
        <f t="shared" ca="1" si="335"/>
        <v>0</v>
      </c>
      <c r="DC136" s="75">
        <f t="shared" ca="1" si="335"/>
        <v>0</v>
      </c>
      <c r="DF136" s="75">
        <f t="shared" ca="1" si="335"/>
        <v>0</v>
      </c>
    </row>
    <row r="137" spans="1:110">
      <c r="A137" s="14">
        <f t="shared" si="338"/>
        <v>7</v>
      </c>
      <c r="B137" s="63">
        <f t="shared" ca="1" si="304"/>
        <v>5.8108316409221263</v>
      </c>
      <c r="C137" s="63">
        <f t="shared" si="304"/>
        <v>3979.2</v>
      </c>
      <c r="I137" s="2"/>
      <c r="J137" s="2"/>
      <c r="L137" s="61">
        <f t="shared" ca="1" si="305"/>
        <v>-10.774164979284865</v>
      </c>
      <c r="M137" s="63">
        <f t="shared" ca="1" si="306"/>
        <v>4.5860632675478312</v>
      </c>
      <c r="N137" s="61">
        <f t="shared" ca="1" si="307"/>
        <v>19.946291514380526</v>
      </c>
      <c r="O137" s="61">
        <f t="shared" ca="1" si="308"/>
        <v>10.240152164555131</v>
      </c>
      <c r="P137" s="63" t="b">
        <f t="shared" si="339"/>
        <v>1</v>
      </c>
      <c r="Q137" s="75">
        <f t="shared" ca="1" si="309"/>
        <v>27.483233560582889</v>
      </c>
      <c r="T137" s="75">
        <f t="shared" ca="1" si="310"/>
        <v>27.045904939050672</v>
      </c>
      <c r="W137" s="75">
        <f t="shared" ca="1" si="310"/>
        <v>28.293907616119451</v>
      </c>
      <c r="Z137" s="75">
        <f t="shared" ca="1" si="310"/>
        <v>24.989695836879957</v>
      </c>
      <c r="AC137" s="75">
        <f t="shared" ca="1" si="310"/>
        <v>25.183092806254116</v>
      </c>
      <c r="AF137" s="75"/>
      <c r="AI137" s="75">
        <f t="shared" ca="1" si="310"/>
        <v>0</v>
      </c>
      <c r="AL137" s="75">
        <f t="shared" ca="1" si="315"/>
        <v>0</v>
      </c>
      <c r="AO137" s="75">
        <f t="shared" ca="1" si="315"/>
        <v>0</v>
      </c>
      <c r="AR137" s="75">
        <f t="shared" ca="1" si="315"/>
        <v>0</v>
      </c>
      <c r="AU137" s="75">
        <f t="shared" ca="1" si="315"/>
        <v>0</v>
      </c>
      <c r="AX137" s="75">
        <f t="shared" ca="1" si="315"/>
        <v>0</v>
      </c>
      <c r="BA137" s="75">
        <f t="shared" ca="1" si="320"/>
        <v>0</v>
      </c>
      <c r="BD137" s="75">
        <f t="shared" ca="1" si="320"/>
        <v>0</v>
      </c>
      <c r="BG137" s="75">
        <f t="shared" ca="1" si="320"/>
        <v>0</v>
      </c>
      <c r="BJ137" s="75">
        <f t="shared" ca="1" si="320"/>
        <v>0</v>
      </c>
      <c r="BM137" s="75">
        <f t="shared" ca="1" si="320"/>
        <v>0</v>
      </c>
      <c r="BP137" s="75">
        <f t="shared" ca="1" si="320"/>
        <v>0</v>
      </c>
      <c r="BS137" s="75"/>
      <c r="BV137" s="75">
        <f t="shared" ca="1" si="326"/>
        <v>0</v>
      </c>
      <c r="BY137" s="75">
        <f t="shared" ca="1" si="326"/>
        <v>0</v>
      </c>
      <c r="CB137" s="75"/>
      <c r="CE137" s="75">
        <f t="shared" ca="1" si="326"/>
        <v>0</v>
      </c>
      <c r="CH137" s="75">
        <f t="shared" ca="1" si="329"/>
        <v>0</v>
      </c>
      <c r="CK137" s="75">
        <f t="shared" ca="1" si="329"/>
        <v>0</v>
      </c>
      <c r="CN137" s="75">
        <f t="shared" ca="1" si="329"/>
        <v>0</v>
      </c>
      <c r="CQ137" s="75">
        <f t="shared" ca="1" si="329"/>
        <v>0</v>
      </c>
      <c r="CT137" s="75">
        <f t="shared" ca="1" si="329"/>
        <v>0</v>
      </c>
      <c r="CW137" s="75">
        <f t="shared" ca="1" si="329"/>
        <v>0</v>
      </c>
      <c r="CZ137" s="75">
        <f t="shared" ca="1" si="335"/>
        <v>0</v>
      </c>
      <c r="DC137" s="75">
        <f t="shared" ca="1" si="335"/>
        <v>0</v>
      </c>
      <c r="DF137" s="75">
        <f t="shared" ca="1" si="335"/>
        <v>0</v>
      </c>
    </row>
    <row r="138" spans="1:110">
      <c r="A138" s="14">
        <f t="shared" si="338"/>
        <v>8</v>
      </c>
      <c r="B138" s="63">
        <f t="shared" ca="1" si="304"/>
        <v>4.7264524101014667</v>
      </c>
      <c r="C138" s="63">
        <f t="shared" si="304"/>
        <v>4001.7</v>
      </c>
      <c r="I138" s="2"/>
      <c r="J138" s="2"/>
      <c r="L138" s="61">
        <f t="shared" ca="1" si="305"/>
        <v>-8.7584695617100667</v>
      </c>
      <c r="M138" s="63">
        <f t="shared" ca="1" si="306"/>
        <v>3.729478046868651</v>
      </c>
      <c r="N138" s="61">
        <f t="shared" ca="1" si="307"/>
        <v>16.217425655447368</v>
      </c>
      <c r="O138" s="61">
        <f t="shared" ca="1" si="308"/>
        <v>8.3252984057191455</v>
      </c>
      <c r="P138" s="63" t="b">
        <f t="shared" si="339"/>
        <v>1</v>
      </c>
      <c r="Q138" s="75">
        <f t="shared" ca="1" si="309"/>
        <v>22.457855455024522</v>
      </c>
      <c r="T138" s="75">
        <f t="shared" ca="1" si="310"/>
        <v>21.882168225401724</v>
      </c>
      <c r="W138" s="75">
        <f t="shared" ca="1" si="310"/>
        <v>22.745076712343923</v>
      </c>
      <c r="Z138" s="75">
        <f t="shared" ca="1" si="310"/>
        <v>20.24160669160926</v>
      </c>
      <c r="AC138" s="75">
        <f t="shared" ca="1" si="310"/>
        <v>20.828156274811459</v>
      </c>
      <c r="AF138" s="75"/>
      <c r="AI138" s="75">
        <f t="shared" ca="1" si="310"/>
        <v>0</v>
      </c>
      <c r="AL138" s="75">
        <f t="shared" ca="1" si="315"/>
        <v>0</v>
      </c>
      <c r="AO138" s="75">
        <f t="shared" ca="1" si="315"/>
        <v>0</v>
      </c>
      <c r="AR138" s="75">
        <f t="shared" ca="1" si="315"/>
        <v>0</v>
      </c>
      <c r="AU138" s="75">
        <f t="shared" ca="1" si="315"/>
        <v>0</v>
      </c>
      <c r="AX138" s="75">
        <f t="shared" ca="1" si="315"/>
        <v>0</v>
      </c>
      <c r="BA138" s="75">
        <f t="shared" ca="1" si="320"/>
        <v>0</v>
      </c>
      <c r="BD138" s="75">
        <f t="shared" ca="1" si="320"/>
        <v>0</v>
      </c>
      <c r="BG138" s="75">
        <f t="shared" ca="1" si="320"/>
        <v>0</v>
      </c>
      <c r="BJ138" s="75">
        <f t="shared" ca="1" si="320"/>
        <v>0</v>
      </c>
      <c r="BM138" s="75">
        <f t="shared" ca="1" si="320"/>
        <v>0</v>
      </c>
      <c r="BP138" s="75">
        <f t="shared" ca="1" si="320"/>
        <v>0</v>
      </c>
      <c r="BS138" s="75"/>
      <c r="BV138" s="75">
        <f t="shared" ca="1" si="326"/>
        <v>0</v>
      </c>
      <c r="BY138" s="75">
        <f t="shared" ca="1" si="326"/>
        <v>0</v>
      </c>
      <c r="CB138" s="75"/>
      <c r="CE138" s="75">
        <f t="shared" ca="1" si="326"/>
        <v>0</v>
      </c>
      <c r="CH138" s="75">
        <f t="shared" ca="1" si="329"/>
        <v>0</v>
      </c>
      <c r="CK138" s="75">
        <f t="shared" ca="1" si="329"/>
        <v>0</v>
      </c>
      <c r="CN138" s="75">
        <f t="shared" ca="1" si="329"/>
        <v>0</v>
      </c>
      <c r="CQ138" s="75">
        <f t="shared" ca="1" si="329"/>
        <v>0</v>
      </c>
      <c r="CT138" s="75">
        <f t="shared" ca="1" si="329"/>
        <v>0</v>
      </c>
      <c r="CW138" s="75">
        <f t="shared" ca="1" si="329"/>
        <v>0</v>
      </c>
      <c r="CZ138" s="75">
        <f t="shared" ca="1" si="335"/>
        <v>0</v>
      </c>
      <c r="DC138" s="75">
        <f t="shared" ca="1" si="335"/>
        <v>0</v>
      </c>
      <c r="DF138" s="75">
        <f t="shared" ca="1" si="335"/>
        <v>0</v>
      </c>
    </row>
    <row r="139" spans="1:110">
      <c r="A139" s="14">
        <f t="shared" si="338"/>
        <v>9</v>
      </c>
      <c r="B139" s="63">
        <f t="shared" ca="1" si="304"/>
        <v>3.8737596974251551</v>
      </c>
      <c r="C139" s="63">
        <f t="shared" si="304"/>
        <v>4034.1</v>
      </c>
      <c r="I139" s="2"/>
      <c r="J139" s="2"/>
      <c r="L139" s="61">
        <f t="shared" ca="1" si="305"/>
        <v>-7.0858810432392261</v>
      </c>
      <c r="M139" s="63">
        <f t="shared" ca="1" si="306"/>
        <v>3.0158965759535317</v>
      </c>
      <c r="N139" s="61">
        <f t="shared" ca="1" si="307"/>
        <v>13.117674195146289</v>
      </c>
      <c r="O139" s="61">
        <f t="shared" ca="1" si="308"/>
        <v>6.7345184127951718</v>
      </c>
      <c r="P139" s="63" t="b">
        <f t="shared" si="339"/>
        <v>1</v>
      </c>
      <c r="Q139" s="75">
        <f t="shared" ca="1" si="309"/>
        <v>18.262800003577635</v>
      </c>
      <c r="T139" s="75">
        <f t="shared" ca="1" si="310"/>
        <v>17.775654472997921</v>
      </c>
      <c r="W139" s="75">
        <f t="shared" ca="1" si="310"/>
        <v>18.468647320010174</v>
      </c>
      <c r="Z139" s="75">
        <f t="shared" ca="1" si="310"/>
        <v>16.249367257196333</v>
      </c>
      <c r="AC139" s="75">
        <f t="shared" ca="1" si="310"/>
        <v>16.704531648870343</v>
      </c>
      <c r="AF139" s="75"/>
      <c r="AI139" s="75">
        <f t="shared" ca="1" si="310"/>
        <v>0</v>
      </c>
      <c r="AL139" s="75">
        <f t="shared" ca="1" si="315"/>
        <v>0</v>
      </c>
      <c r="AO139" s="75">
        <f t="shared" ca="1" si="315"/>
        <v>0</v>
      </c>
      <c r="AR139" s="75">
        <f t="shared" ca="1" si="315"/>
        <v>0</v>
      </c>
      <c r="AU139" s="75">
        <f t="shared" ca="1" si="315"/>
        <v>0</v>
      </c>
      <c r="AX139" s="75">
        <f t="shared" ca="1" si="315"/>
        <v>0</v>
      </c>
      <c r="BA139" s="75">
        <f t="shared" ca="1" si="320"/>
        <v>0</v>
      </c>
      <c r="BD139" s="75">
        <f t="shared" ca="1" si="320"/>
        <v>0</v>
      </c>
      <c r="BG139" s="75">
        <f t="shared" ca="1" si="320"/>
        <v>0</v>
      </c>
      <c r="BJ139" s="75">
        <f t="shared" ca="1" si="320"/>
        <v>0</v>
      </c>
      <c r="BM139" s="75">
        <f t="shared" ca="1" si="320"/>
        <v>0</v>
      </c>
      <c r="BP139" s="75">
        <f t="shared" ca="1" si="320"/>
        <v>0</v>
      </c>
      <c r="BS139" s="75"/>
      <c r="BV139" s="75">
        <f t="shared" ca="1" si="326"/>
        <v>0</v>
      </c>
      <c r="BY139" s="75">
        <f t="shared" ca="1" si="326"/>
        <v>0</v>
      </c>
      <c r="CB139" s="75"/>
      <c r="CE139" s="75">
        <f t="shared" ca="1" si="326"/>
        <v>0</v>
      </c>
      <c r="CH139" s="75">
        <f t="shared" ca="1" si="329"/>
        <v>0</v>
      </c>
      <c r="CK139" s="75">
        <f t="shared" ca="1" si="329"/>
        <v>0</v>
      </c>
      <c r="CN139" s="75">
        <f t="shared" ca="1" si="329"/>
        <v>0</v>
      </c>
      <c r="CQ139" s="75">
        <f t="shared" ca="1" si="329"/>
        <v>0</v>
      </c>
      <c r="CT139" s="75">
        <f t="shared" ca="1" si="329"/>
        <v>0</v>
      </c>
      <c r="CW139" s="75">
        <f t="shared" ca="1" si="329"/>
        <v>0</v>
      </c>
      <c r="CZ139" s="75">
        <f t="shared" ca="1" si="335"/>
        <v>0</v>
      </c>
      <c r="DC139" s="75">
        <f t="shared" ca="1" si="335"/>
        <v>0</v>
      </c>
      <c r="DF139" s="75">
        <f t="shared" ca="1" si="335"/>
        <v>0</v>
      </c>
    </row>
    <row r="140" spans="1:110">
      <c r="A140" s="14">
        <f t="shared" si="338"/>
        <v>10</v>
      </c>
      <c r="B140" s="63">
        <f t="shared" ca="1" si="304"/>
        <v>3.2207968686872634</v>
      </c>
      <c r="C140" s="63">
        <f t="shared" si="304"/>
        <v>4023.8</v>
      </c>
      <c r="I140" s="2"/>
      <c r="J140" s="2"/>
      <c r="L140" s="61">
        <f t="shared" ca="1" si="305"/>
        <v>-5.8141810995544656</v>
      </c>
      <c r="M140" s="63">
        <f t="shared" ca="1" si="306"/>
        <v>2.4742226518377404</v>
      </c>
      <c r="N140" s="61">
        <f t="shared" ca="1" si="307"/>
        <v>10.762626403229946</v>
      </c>
      <c r="O140" s="61">
        <f t="shared" ca="1" si="308"/>
        <v>5.5256025009281373</v>
      </c>
      <c r="P140" s="63" t="b">
        <f t="shared" si="339"/>
        <v>1</v>
      </c>
      <c r="Q140" s="75">
        <f t="shared" ca="1" si="309"/>
        <v>15.20262687006065</v>
      </c>
      <c r="T140" s="75">
        <f t="shared" ca="1" si="310"/>
        <v>14.32171958030264</v>
      </c>
      <c r="W140" s="75">
        <f t="shared" ca="1" si="310"/>
        <v>15.161704414680051</v>
      </c>
      <c r="Z140" s="75">
        <f t="shared" ca="1" si="310"/>
        <v>13.407676154404683</v>
      </c>
      <c r="AC140" s="75">
        <f t="shared" ca="1" si="310"/>
        <v>13.658729883846449</v>
      </c>
      <c r="AF140" s="75"/>
      <c r="AI140" s="75">
        <f t="shared" ca="1" si="310"/>
        <v>0</v>
      </c>
      <c r="AL140" s="75">
        <f t="shared" ca="1" si="315"/>
        <v>0</v>
      </c>
      <c r="AO140" s="75">
        <f t="shared" ca="1" si="315"/>
        <v>0</v>
      </c>
      <c r="AR140" s="75">
        <f t="shared" ca="1" si="315"/>
        <v>0</v>
      </c>
      <c r="AU140" s="75">
        <f t="shared" ca="1" si="315"/>
        <v>0</v>
      </c>
      <c r="AX140" s="75">
        <f t="shared" ca="1" si="315"/>
        <v>0</v>
      </c>
      <c r="BA140" s="75">
        <f t="shared" ca="1" si="320"/>
        <v>0</v>
      </c>
      <c r="BD140" s="75">
        <f t="shared" ca="1" si="320"/>
        <v>0</v>
      </c>
      <c r="BG140" s="75">
        <f t="shared" ca="1" si="320"/>
        <v>0</v>
      </c>
      <c r="BJ140" s="75">
        <f t="shared" ca="1" si="320"/>
        <v>0</v>
      </c>
      <c r="BM140" s="75">
        <f t="shared" ca="1" si="320"/>
        <v>0</v>
      </c>
      <c r="BP140" s="75">
        <f t="shared" ca="1" si="320"/>
        <v>0</v>
      </c>
      <c r="BS140" s="75"/>
      <c r="BV140" s="75">
        <f t="shared" ca="1" si="326"/>
        <v>0</v>
      </c>
      <c r="BY140" s="75">
        <f t="shared" ca="1" si="326"/>
        <v>0</v>
      </c>
      <c r="CB140" s="75"/>
      <c r="CE140" s="75">
        <f t="shared" ca="1" si="326"/>
        <v>0</v>
      </c>
      <c r="CH140" s="75">
        <f t="shared" ca="1" si="329"/>
        <v>0</v>
      </c>
      <c r="CK140" s="75">
        <f t="shared" ca="1" si="329"/>
        <v>0</v>
      </c>
      <c r="CN140" s="75">
        <f t="shared" ca="1" si="329"/>
        <v>0</v>
      </c>
      <c r="CQ140" s="75">
        <f t="shared" ca="1" si="329"/>
        <v>0</v>
      </c>
      <c r="CT140" s="75">
        <f t="shared" ca="1" si="329"/>
        <v>0</v>
      </c>
      <c r="CW140" s="75">
        <f t="shared" ca="1" si="329"/>
        <v>0</v>
      </c>
      <c r="CZ140" s="75">
        <f t="shared" ca="1" si="335"/>
        <v>0</v>
      </c>
      <c r="DC140" s="75">
        <f t="shared" ca="1" si="335"/>
        <v>0</v>
      </c>
      <c r="DF140" s="75">
        <f t="shared" ca="1" si="335"/>
        <v>0</v>
      </c>
    </row>
    <row r="141" spans="1:110">
      <c r="A141" s="14">
        <f t="shared" si="338"/>
        <v>11</v>
      </c>
      <c r="B141" s="63">
        <f t="shared" ca="1" si="304"/>
        <v>2.38707854456778</v>
      </c>
      <c r="C141" s="63">
        <f t="shared" si="304"/>
        <v>4005.5</v>
      </c>
      <c r="I141" s="2"/>
      <c r="J141" s="2"/>
      <c r="L141" s="61">
        <f t="shared" ca="1" si="305"/>
        <v>-4.4760304237402639</v>
      </c>
      <c r="M141" s="63">
        <f t="shared" ca="1" si="306"/>
        <v>1.9033406322400588</v>
      </c>
      <c r="N141" s="61">
        <f t="shared" ca="1" si="307"/>
        <v>8.2827116882203811</v>
      </c>
      <c r="O141" s="61">
        <f t="shared" ca="1" si="308"/>
        <v>4.252914037320215</v>
      </c>
      <c r="P141" s="63" t="b">
        <f t="shared" si="339"/>
        <v>1</v>
      </c>
      <c r="Q141" s="75">
        <f t="shared" ca="1" si="309"/>
        <v>11.724223971279113</v>
      </c>
      <c r="T141" s="75">
        <f t="shared" ca="1" si="310"/>
        <v>10.929088394453425</v>
      </c>
      <c r="W141" s="75">
        <f t="shared" ca="1" si="310"/>
        <v>11.853146557533487</v>
      </c>
      <c r="Z141" s="75">
        <f t="shared" ca="1" si="310"/>
        <v>10.177835779658725</v>
      </c>
      <c r="AC141" s="75">
        <f t="shared" ca="1" si="310"/>
        <v>10.512583632036959</v>
      </c>
      <c r="AF141" s="75"/>
      <c r="AI141" s="75">
        <f t="shared" ca="1" si="310"/>
        <v>0</v>
      </c>
      <c r="AL141" s="75">
        <f t="shared" ca="1" si="315"/>
        <v>0</v>
      </c>
      <c r="AO141" s="75">
        <f t="shared" ca="1" si="315"/>
        <v>0</v>
      </c>
      <c r="AR141" s="75">
        <f t="shared" ca="1" si="315"/>
        <v>0</v>
      </c>
      <c r="AU141" s="75">
        <f t="shared" ca="1" si="315"/>
        <v>0</v>
      </c>
      <c r="AX141" s="75">
        <f t="shared" ca="1" si="315"/>
        <v>0</v>
      </c>
      <c r="BA141" s="75">
        <f t="shared" ca="1" si="320"/>
        <v>0</v>
      </c>
      <c r="BD141" s="75">
        <f t="shared" ca="1" si="320"/>
        <v>0</v>
      </c>
      <c r="BG141" s="75">
        <f t="shared" ca="1" si="320"/>
        <v>0</v>
      </c>
      <c r="BJ141" s="75">
        <f t="shared" ca="1" si="320"/>
        <v>0</v>
      </c>
      <c r="BM141" s="75">
        <f t="shared" ca="1" si="320"/>
        <v>0</v>
      </c>
      <c r="BP141" s="75">
        <f t="shared" ca="1" si="320"/>
        <v>0</v>
      </c>
      <c r="BS141" s="75"/>
      <c r="BV141" s="75">
        <f t="shared" ca="1" si="326"/>
        <v>0</v>
      </c>
      <c r="BY141" s="75">
        <f t="shared" ca="1" si="326"/>
        <v>0</v>
      </c>
      <c r="CB141" s="75"/>
      <c r="CE141" s="75">
        <f t="shared" ca="1" si="326"/>
        <v>0</v>
      </c>
      <c r="CH141" s="75">
        <f t="shared" ca="1" si="329"/>
        <v>0</v>
      </c>
      <c r="CK141" s="75">
        <f t="shared" ca="1" si="329"/>
        <v>0</v>
      </c>
      <c r="CN141" s="75">
        <f t="shared" ca="1" si="329"/>
        <v>0</v>
      </c>
      <c r="CQ141" s="75">
        <f t="shared" ca="1" si="329"/>
        <v>0</v>
      </c>
      <c r="CT141" s="75">
        <f t="shared" ca="1" si="329"/>
        <v>0</v>
      </c>
      <c r="CW141" s="75">
        <f t="shared" ca="1" si="329"/>
        <v>0</v>
      </c>
      <c r="CZ141" s="75">
        <f t="shared" ca="1" si="335"/>
        <v>0</v>
      </c>
      <c r="DC141" s="75">
        <f t="shared" ca="1" si="335"/>
        <v>0</v>
      </c>
      <c r="DF141" s="75">
        <f t="shared" ca="1" si="335"/>
        <v>0</v>
      </c>
    </row>
    <row r="142" spans="1:110">
      <c r="A142" s="14">
        <f t="shared" si="338"/>
        <v>12</v>
      </c>
      <c r="B142" s="63">
        <f t="shared" ca="1" si="304"/>
        <v>2.1590792663518994</v>
      </c>
      <c r="C142" s="63">
        <f t="shared" si="304"/>
        <v>4009.6</v>
      </c>
      <c r="I142" s="2"/>
      <c r="J142" s="2"/>
      <c r="L142" s="61">
        <f t="shared" ca="1" si="305"/>
        <v>-4.0190884173333341</v>
      </c>
      <c r="M142" s="63">
        <f t="shared" ca="1" si="306"/>
        <v>1.7092011877516078</v>
      </c>
      <c r="N142" s="61">
        <f t="shared" ca="1" si="307"/>
        <v>7.4374907928365506</v>
      </c>
      <c r="O142" s="61">
        <f t="shared" ca="1" si="308"/>
        <v>3.8188597367232946</v>
      </c>
      <c r="P142" s="63" t="b">
        <f t="shared" si="339"/>
        <v>1</v>
      </c>
      <c r="Q142" s="75">
        <f t="shared" ca="1" si="309"/>
        <v>10.561824114603191</v>
      </c>
      <c r="T142" s="75">
        <f t="shared" ca="1" si="310"/>
        <v>9.902011417452476</v>
      </c>
      <c r="W142" s="75">
        <f t="shared" ca="1" si="310"/>
        <v>10.540615435163806</v>
      </c>
      <c r="Z142" s="75">
        <f t="shared" ca="1" si="310"/>
        <v>9.0869870579882122</v>
      </c>
      <c r="AC142" s="75">
        <f t="shared" ca="1" si="310"/>
        <v>9.4753964195889395</v>
      </c>
      <c r="AF142" s="75"/>
      <c r="AI142" s="75">
        <f t="shared" ca="1" si="310"/>
        <v>0</v>
      </c>
      <c r="AL142" s="75">
        <f t="shared" ca="1" si="315"/>
        <v>0</v>
      </c>
      <c r="AO142" s="75">
        <f t="shared" ca="1" si="315"/>
        <v>0</v>
      </c>
      <c r="AR142" s="75">
        <f t="shared" ca="1" si="315"/>
        <v>0</v>
      </c>
      <c r="AU142" s="75">
        <f t="shared" ca="1" si="315"/>
        <v>0</v>
      </c>
      <c r="AX142" s="75">
        <f t="shared" ca="1" si="315"/>
        <v>0</v>
      </c>
      <c r="BA142" s="75">
        <f t="shared" ca="1" si="320"/>
        <v>0</v>
      </c>
      <c r="BD142" s="75">
        <f t="shared" ca="1" si="320"/>
        <v>0</v>
      </c>
      <c r="BG142" s="75">
        <f t="shared" ca="1" si="320"/>
        <v>0</v>
      </c>
      <c r="BJ142" s="75">
        <f t="shared" ca="1" si="320"/>
        <v>0</v>
      </c>
      <c r="BM142" s="75">
        <f t="shared" ca="1" si="320"/>
        <v>0</v>
      </c>
      <c r="BP142" s="75">
        <f t="shared" ca="1" si="320"/>
        <v>0</v>
      </c>
      <c r="BS142" s="75"/>
      <c r="BV142" s="75">
        <f t="shared" ca="1" si="326"/>
        <v>0</v>
      </c>
      <c r="BY142" s="75">
        <f t="shared" ca="1" si="326"/>
        <v>0</v>
      </c>
      <c r="CB142" s="75"/>
      <c r="CE142" s="75">
        <f t="shared" ca="1" si="326"/>
        <v>0</v>
      </c>
      <c r="CH142" s="75">
        <f t="shared" ca="1" si="329"/>
        <v>0</v>
      </c>
      <c r="CK142" s="75">
        <f t="shared" ca="1" si="329"/>
        <v>0</v>
      </c>
      <c r="CN142" s="75">
        <f t="shared" ca="1" si="329"/>
        <v>0</v>
      </c>
      <c r="CQ142" s="75">
        <f t="shared" ca="1" si="329"/>
        <v>0</v>
      </c>
      <c r="CT142" s="75">
        <f t="shared" ca="1" si="329"/>
        <v>0</v>
      </c>
      <c r="CW142" s="75">
        <f t="shared" ca="1" si="329"/>
        <v>0</v>
      </c>
      <c r="CZ142" s="75">
        <f t="shared" ca="1" si="335"/>
        <v>0</v>
      </c>
      <c r="DC142" s="75">
        <f t="shared" ca="1" si="335"/>
        <v>0</v>
      </c>
      <c r="DF142" s="75">
        <f t="shared" ca="1" si="335"/>
        <v>0</v>
      </c>
    </row>
    <row r="143" spans="1:110">
      <c r="A143" s="14">
        <f t="shared" si="338"/>
        <v>13</v>
      </c>
      <c r="B143" s="63">
        <f t="shared" ca="1" si="304"/>
        <v>1.7769039850931945</v>
      </c>
      <c r="C143" s="63">
        <f t="shared" si="304"/>
        <v>4016.5</v>
      </c>
      <c r="I143" s="2"/>
      <c r="J143" s="2"/>
      <c r="L143" s="61">
        <f t="shared" ca="1" si="305"/>
        <v>-3.3351193484316379</v>
      </c>
      <c r="M143" s="63">
        <f t="shared" ca="1" si="306"/>
        <v>1.4184499483042448</v>
      </c>
      <c r="N143" s="61">
        <f t="shared" ca="1" si="307"/>
        <v>6.1720192450401274</v>
      </c>
      <c r="O143" s="61">
        <f t="shared" ca="1" si="308"/>
        <v>3.1690461978239219</v>
      </c>
      <c r="P143" s="63" t="b">
        <f t="shared" si="339"/>
        <v>1</v>
      </c>
      <c r="Q143" s="75">
        <f t="shared" ca="1" si="309"/>
        <v>8.815912101515325</v>
      </c>
      <c r="T143" s="75">
        <f t="shared" ca="1" si="310"/>
        <v>8.2338085685359648</v>
      </c>
      <c r="W143" s="75">
        <f t="shared" ca="1" si="310"/>
        <v>8.666259089035524</v>
      </c>
      <c r="Z143" s="75">
        <f t="shared" ca="1" si="310"/>
        <v>7.5450394234648623</v>
      </c>
      <c r="AC143" s="75">
        <f t="shared" ca="1" si="310"/>
        <v>7.8740293182714174</v>
      </c>
      <c r="AF143" s="75"/>
      <c r="AI143" s="75">
        <f t="shared" ca="1" si="310"/>
        <v>0</v>
      </c>
      <c r="AL143" s="75">
        <f t="shared" ca="1" si="315"/>
        <v>0</v>
      </c>
      <c r="AO143" s="75">
        <f t="shared" ca="1" si="315"/>
        <v>0</v>
      </c>
      <c r="AR143" s="75">
        <f t="shared" ca="1" si="315"/>
        <v>0</v>
      </c>
      <c r="AU143" s="75">
        <f t="shared" ca="1" si="315"/>
        <v>0</v>
      </c>
      <c r="AX143" s="75">
        <f t="shared" ca="1" si="315"/>
        <v>0</v>
      </c>
      <c r="BA143" s="75">
        <f t="shared" ca="1" si="320"/>
        <v>0</v>
      </c>
      <c r="BD143" s="75">
        <f t="shared" ca="1" si="320"/>
        <v>0</v>
      </c>
      <c r="BG143" s="75">
        <f t="shared" ca="1" si="320"/>
        <v>0</v>
      </c>
      <c r="BJ143" s="75">
        <f t="shared" ca="1" si="320"/>
        <v>0</v>
      </c>
      <c r="BM143" s="75">
        <f t="shared" ca="1" si="320"/>
        <v>0</v>
      </c>
      <c r="BP143" s="75">
        <f t="shared" ca="1" si="320"/>
        <v>0</v>
      </c>
      <c r="BS143" s="75"/>
      <c r="BV143" s="75">
        <f t="shared" ca="1" si="326"/>
        <v>0</v>
      </c>
      <c r="BY143" s="75">
        <f t="shared" ca="1" si="326"/>
        <v>0</v>
      </c>
      <c r="CB143" s="75"/>
      <c r="CE143" s="75">
        <f t="shared" ca="1" si="326"/>
        <v>0</v>
      </c>
      <c r="CH143" s="75">
        <f t="shared" ca="1" si="329"/>
        <v>0</v>
      </c>
      <c r="CK143" s="75">
        <f t="shared" ca="1" si="329"/>
        <v>0</v>
      </c>
      <c r="CN143" s="75">
        <f t="shared" ca="1" si="329"/>
        <v>0</v>
      </c>
      <c r="CQ143" s="75">
        <f t="shared" ca="1" si="329"/>
        <v>0</v>
      </c>
      <c r="CT143" s="75">
        <f t="shared" ca="1" si="329"/>
        <v>0</v>
      </c>
      <c r="CW143" s="75">
        <f t="shared" ca="1" si="329"/>
        <v>0</v>
      </c>
      <c r="CZ143" s="75">
        <f t="shared" ca="1" si="335"/>
        <v>0</v>
      </c>
      <c r="DC143" s="75">
        <f t="shared" ca="1" si="335"/>
        <v>0</v>
      </c>
      <c r="DF143" s="75">
        <f t="shared" ca="1" si="335"/>
        <v>0</v>
      </c>
    </row>
    <row r="144" spans="1:110">
      <c r="A144" s="14">
        <f t="shared" si="338"/>
        <v>14</v>
      </c>
      <c r="B144" s="63">
        <f t="shared" ca="1" si="304"/>
        <v>1.4370560182896255</v>
      </c>
      <c r="C144" s="63">
        <f t="shared" si="304"/>
        <v>4064.6</v>
      </c>
      <c r="I144" s="2"/>
      <c r="J144" s="2"/>
      <c r="L144" s="61">
        <f t="shared" ca="1" si="305"/>
        <v>-2.6740620925177225</v>
      </c>
      <c r="M144" s="63">
        <f t="shared" ca="1" si="306"/>
        <v>1.1369578160592793</v>
      </c>
      <c r="N144" s="61">
        <f t="shared" ca="1" si="307"/>
        <v>4.9479777246362806</v>
      </c>
      <c r="O144" s="61">
        <f t="shared" ca="1" si="308"/>
        <v>2.5406799390513344</v>
      </c>
      <c r="P144" s="63" t="b">
        <f t="shared" si="339"/>
        <v>1</v>
      </c>
      <c r="Q144" s="75">
        <f t="shared" ca="1" si="309"/>
        <v>7.0272858687200559</v>
      </c>
      <c r="T144" s="75">
        <f t="shared" ca="1" si="310"/>
        <v>6.5335427408049709</v>
      </c>
      <c r="W144" s="75">
        <f t="shared" ca="1" si="310"/>
        <v>7.0474617337578183</v>
      </c>
      <c r="Z144" s="75">
        <f t="shared" ca="1" si="310"/>
        <v>6.0021528955597718</v>
      </c>
      <c r="AC144" s="75">
        <f t="shared" ca="1" si="310"/>
        <v>6.3613334268764818</v>
      </c>
      <c r="AF144" s="75"/>
      <c r="AI144" s="75">
        <f t="shared" ca="1" si="310"/>
        <v>0</v>
      </c>
      <c r="AL144" s="75">
        <f t="shared" ca="1" si="315"/>
        <v>0</v>
      </c>
      <c r="AO144" s="75">
        <f t="shared" ca="1" si="315"/>
        <v>0</v>
      </c>
      <c r="AR144" s="75">
        <f t="shared" ca="1" si="315"/>
        <v>0</v>
      </c>
      <c r="AU144" s="75">
        <f t="shared" ca="1" si="315"/>
        <v>0</v>
      </c>
      <c r="AX144" s="75">
        <f t="shared" ca="1" si="315"/>
        <v>0</v>
      </c>
      <c r="BA144" s="75">
        <f t="shared" ca="1" si="320"/>
        <v>0</v>
      </c>
      <c r="BD144" s="75">
        <f t="shared" ca="1" si="320"/>
        <v>0</v>
      </c>
      <c r="BG144" s="75">
        <f t="shared" ca="1" si="320"/>
        <v>0</v>
      </c>
      <c r="BJ144" s="75">
        <f t="shared" ca="1" si="320"/>
        <v>0</v>
      </c>
      <c r="BM144" s="75">
        <f t="shared" ca="1" si="320"/>
        <v>0</v>
      </c>
      <c r="BP144" s="75">
        <f t="shared" ca="1" si="320"/>
        <v>0</v>
      </c>
      <c r="BS144" s="75"/>
      <c r="BV144" s="75">
        <f t="shared" ca="1" si="326"/>
        <v>0</v>
      </c>
      <c r="BY144" s="75">
        <f t="shared" ca="1" si="326"/>
        <v>0</v>
      </c>
      <c r="CB144" s="75"/>
      <c r="CE144" s="75">
        <f t="shared" ca="1" si="326"/>
        <v>0</v>
      </c>
      <c r="CH144" s="75">
        <f t="shared" ca="1" si="329"/>
        <v>0</v>
      </c>
      <c r="CK144" s="75">
        <f t="shared" ca="1" si="329"/>
        <v>0</v>
      </c>
      <c r="CN144" s="75">
        <f t="shared" ca="1" si="329"/>
        <v>0</v>
      </c>
      <c r="CQ144" s="75">
        <f t="shared" ca="1" si="329"/>
        <v>0</v>
      </c>
      <c r="CT144" s="75">
        <f t="shared" ca="1" si="329"/>
        <v>0</v>
      </c>
      <c r="CW144" s="75">
        <f t="shared" ca="1" si="329"/>
        <v>0</v>
      </c>
      <c r="CZ144" s="75">
        <f t="shared" ca="1" si="335"/>
        <v>0</v>
      </c>
      <c r="DC144" s="75">
        <f t="shared" ca="1" si="335"/>
        <v>0</v>
      </c>
      <c r="DF144" s="75">
        <f t="shared" ca="1" si="335"/>
        <v>0</v>
      </c>
    </row>
    <row r="145" spans="1:110">
      <c r="A145" s="14">
        <f t="shared" si="338"/>
        <v>15</v>
      </c>
      <c r="B145" s="63">
        <f t="shared" ca="1" si="304"/>
        <v>1.1960743068778694</v>
      </c>
      <c r="C145" s="63">
        <f t="shared" si="304"/>
        <v>4054.6</v>
      </c>
      <c r="I145" s="2"/>
      <c r="J145" s="2"/>
      <c r="L145" s="61">
        <f t="shared" ca="1" si="305"/>
        <v>-2.2167558400020551</v>
      </c>
      <c r="M145" s="63">
        <f t="shared" ca="1" si="306"/>
        <v>0.94281376153979679</v>
      </c>
      <c r="N145" s="61">
        <f t="shared" ca="1" si="307"/>
        <v>4.1023833630816489</v>
      </c>
      <c r="O145" s="61">
        <f t="shared" ca="1" si="308"/>
        <v>2.1063797343612345</v>
      </c>
      <c r="P145" s="63" t="b">
        <f t="shared" si="339"/>
        <v>1</v>
      </c>
      <c r="Q145" s="75">
        <f t="shared" ca="1" si="309"/>
        <v>5.8067190875818167</v>
      </c>
      <c r="T145" s="75">
        <f t="shared" ca="1" si="310"/>
        <v>5.4387505826256293</v>
      </c>
      <c r="W145" s="75">
        <f t="shared" ca="1" si="310"/>
        <v>5.8305071619498854</v>
      </c>
      <c r="Z145" s="75">
        <f t="shared" ca="1" si="310"/>
        <v>5.020730963939199</v>
      </c>
      <c r="AC145" s="75">
        <f t="shared" ca="1" si="310"/>
        <v>5.2448912885575742</v>
      </c>
      <c r="AF145" s="75"/>
      <c r="AI145" s="75">
        <f t="shared" ca="1" si="310"/>
        <v>0</v>
      </c>
      <c r="AL145" s="75">
        <f t="shared" ca="1" si="315"/>
        <v>0</v>
      </c>
      <c r="AO145" s="75">
        <f t="shared" ca="1" si="315"/>
        <v>0</v>
      </c>
      <c r="AR145" s="75">
        <f t="shared" ca="1" si="315"/>
        <v>0</v>
      </c>
      <c r="AU145" s="75">
        <f t="shared" ca="1" si="315"/>
        <v>0</v>
      </c>
      <c r="AX145" s="75">
        <f t="shared" ca="1" si="315"/>
        <v>0</v>
      </c>
      <c r="BA145" s="75">
        <f t="shared" ca="1" si="320"/>
        <v>0</v>
      </c>
      <c r="BD145" s="75">
        <f t="shared" ca="1" si="320"/>
        <v>0</v>
      </c>
      <c r="BG145" s="75">
        <f t="shared" ca="1" si="320"/>
        <v>0</v>
      </c>
      <c r="BJ145" s="75">
        <f t="shared" ca="1" si="320"/>
        <v>0</v>
      </c>
      <c r="BM145" s="75">
        <f t="shared" ca="1" si="320"/>
        <v>0</v>
      </c>
      <c r="BP145" s="75">
        <f t="shared" ca="1" si="320"/>
        <v>0</v>
      </c>
      <c r="BS145" s="75"/>
      <c r="BV145" s="75">
        <f t="shared" ca="1" si="326"/>
        <v>0</v>
      </c>
      <c r="BY145" s="75">
        <f t="shared" ca="1" si="326"/>
        <v>0</v>
      </c>
      <c r="CB145" s="75"/>
      <c r="CE145" s="75">
        <f t="shared" ca="1" si="326"/>
        <v>0</v>
      </c>
      <c r="CH145" s="75">
        <f t="shared" ca="1" si="329"/>
        <v>0</v>
      </c>
      <c r="CK145" s="75">
        <f t="shared" ca="1" si="329"/>
        <v>0</v>
      </c>
      <c r="CN145" s="75">
        <f t="shared" ca="1" si="329"/>
        <v>0</v>
      </c>
      <c r="CQ145" s="75">
        <f t="shared" ca="1" si="329"/>
        <v>0</v>
      </c>
      <c r="CT145" s="75">
        <f t="shared" ca="1" si="329"/>
        <v>0</v>
      </c>
      <c r="CW145" s="75">
        <f t="shared" ca="1" si="329"/>
        <v>0</v>
      </c>
      <c r="CZ145" s="75">
        <f t="shared" ca="1" si="335"/>
        <v>0</v>
      </c>
      <c r="DC145" s="75">
        <f t="shared" ca="1" si="335"/>
        <v>0</v>
      </c>
      <c r="DF145" s="75">
        <f t="shared" ca="1" si="335"/>
        <v>0</v>
      </c>
    </row>
    <row r="146" spans="1:110">
      <c r="A146" s="14">
        <f t="shared" si="338"/>
        <v>16</v>
      </c>
      <c r="B146" s="63">
        <f t="shared" ca="1" si="304"/>
        <v>0.8864930899240453</v>
      </c>
      <c r="C146" s="63">
        <f t="shared" si="304"/>
        <v>4035.6</v>
      </c>
      <c r="I146" s="2"/>
      <c r="J146" s="2"/>
      <c r="L146" s="61">
        <f t="shared" ca="1" si="305"/>
        <v>-1.7232108769396608</v>
      </c>
      <c r="M146" s="63">
        <f t="shared" ca="1" si="306"/>
        <v>0.73195226180676454</v>
      </c>
      <c r="N146" s="61">
        <f t="shared" ca="1" si="307"/>
        <v>3.1871154005531896</v>
      </c>
      <c r="O146" s="61">
        <f t="shared" ca="1" si="308"/>
        <v>1.6367754258309501</v>
      </c>
      <c r="P146" s="63" t="b">
        <f t="shared" si="339"/>
        <v>1</v>
      </c>
      <c r="Q146" s="75">
        <f t="shared" ca="1" si="309"/>
        <v>4.5616528896040087</v>
      </c>
      <c r="T146" s="75">
        <f t="shared" ca="1" si="310"/>
        <v>4.2021194008265379</v>
      </c>
      <c r="W146" s="75">
        <f t="shared" ca="1" si="310"/>
        <v>4.5829883859872549</v>
      </c>
      <c r="Z146" s="75">
        <f t="shared" ca="1" si="310"/>
        <v>3.8105216936123512</v>
      </c>
      <c r="AC146" s="75">
        <f t="shared" ca="1" si="310"/>
        <v>4.0693332223660175</v>
      </c>
      <c r="AF146" s="75"/>
      <c r="AI146" s="75">
        <f t="shared" ca="1" si="310"/>
        <v>0</v>
      </c>
      <c r="AL146" s="75">
        <f t="shared" ca="1" si="315"/>
        <v>0</v>
      </c>
      <c r="AO146" s="75">
        <f t="shared" ca="1" si="315"/>
        <v>0</v>
      </c>
      <c r="AR146" s="75">
        <f t="shared" ca="1" si="315"/>
        <v>0</v>
      </c>
      <c r="AU146" s="75">
        <f t="shared" ca="1" si="315"/>
        <v>0</v>
      </c>
      <c r="AX146" s="75">
        <f t="shared" ca="1" si="315"/>
        <v>0</v>
      </c>
      <c r="BA146" s="75">
        <f t="shared" ca="1" si="320"/>
        <v>0</v>
      </c>
      <c r="BD146" s="75">
        <f t="shared" ca="1" si="320"/>
        <v>0</v>
      </c>
      <c r="BG146" s="75">
        <f t="shared" ca="1" si="320"/>
        <v>0</v>
      </c>
      <c r="BJ146" s="75">
        <f t="shared" ca="1" si="320"/>
        <v>0</v>
      </c>
      <c r="BM146" s="75">
        <f t="shared" ca="1" si="320"/>
        <v>0</v>
      </c>
      <c r="BP146" s="75">
        <f t="shared" ca="1" si="320"/>
        <v>0</v>
      </c>
      <c r="BS146" s="75"/>
      <c r="BV146" s="75">
        <f t="shared" ca="1" si="326"/>
        <v>0</v>
      </c>
      <c r="BY146" s="75">
        <f t="shared" ca="1" si="326"/>
        <v>0</v>
      </c>
      <c r="CB146" s="75"/>
      <c r="CE146" s="75">
        <f t="shared" ca="1" si="326"/>
        <v>0</v>
      </c>
      <c r="CH146" s="75">
        <f t="shared" ca="1" si="329"/>
        <v>0</v>
      </c>
      <c r="CK146" s="75">
        <f t="shared" ca="1" si="329"/>
        <v>0</v>
      </c>
      <c r="CN146" s="75">
        <f t="shared" ca="1" si="329"/>
        <v>0</v>
      </c>
      <c r="CQ146" s="75">
        <f t="shared" ca="1" si="329"/>
        <v>0</v>
      </c>
      <c r="CT146" s="75">
        <f t="shared" ca="1" si="329"/>
        <v>0</v>
      </c>
      <c r="CW146" s="75">
        <f t="shared" ca="1" si="329"/>
        <v>0</v>
      </c>
      <c r="CZ146" s="75">
        <f t="shared" ca="1" si="335"/>
        <v>0</v>
      </c>
      <c r="DC146" s="75">
        <f t="shared" ca="1" si="335"/>
        <v>0</v>
      </c>
      <c r="DF146" s="75">
        <f t="shared" ca="1" si="335"/>
        <v>0</v>
      </c>
    </row>
    <row r="147" spans="1:110">
      <c r="A147" s="14">
        <f t="shared" si="338"/>
        <v>17</v>
      </c>
      <c r="B147" s="63">
        <f t="shared" ca="1" si="338"/>
        <v>0.66310300227883046</v>
      </c>
      <c r="C147" s="63">
        <f t="shared" si="338"/>
        <v>4046.8</v>
      </c>
      <c r="I147" s="2"/>
      <c r="J147" s="2"/>
      <c r="L147" s="61">
        <f t="shared" ca="1" si="305"/>
        <v>-1.2904083755205724</v>
      </c>
      <c r="M147" s="63">
        <f t="shared" ca="1" si="306"/>
        <v>0.54825347398077384</v>
      </c>
      <c r="N147" s="61">
        <f t="shared" ca="1" si="307"/>
        <v>2.3869153234821203</v>
      </c>
      <c r="O147" s="61">
        <f t="shared" ca="1" si="308"/>
        <v>1.2257745663342308</v>
      </c>
      <c r="P147" s="63" t="b">
        <f t="shared" si="339"/>
        <v>1</v>
      </c>
      <c r="Q147" s="75">
        <f t="shared" ca="1" si="309"/>
        <v>3.4477936286068176</v>
      </c>
      <c r="T147" s="75">
        <f t="shared" ref="T147:AI155" ca="1" si="340">U81</f>
        <v>3.155625772082213</v>
      </c>
      <c r="W147" s="75">
        <f t="shared" ca="1" si="340"/>
        <v>3.3937114472895096</v>
      </c>
      <c r="Z147" s="75">
        <f t="shared" ca="1" si="340"/>
        <v>2.8923980927080692</v>
      </c>
      <c r="AC147" s="75">
        <f t="shared" ca="1" si="340"/>
        <v>3.0098218047558327</v>
      </c>
      <c r="AF147" s="75"/>
      <c r="AI147" s="75">
        <f t="shared" ca="1" si="340"/>
        <v>0</v>
      </c>
      <c r="AL147" s="75">
        <f t="shared" ref="AL147:BA155" ca="1" si="341">AM81</f>
        <v>0</v>
      </c>
      <c r="AO147" s="75">
        <f t="shared" ca="1" si="341"/>
        <v>0</v>
      </c>
      <c r="AR147" s="75">
        <f t="shared" ca="1" si="341"/>
        <v>0</v>
      </c>
      <c r="AU147" s="75">
        <f t="shared" ca="1" si="341"/>
        <v>0</v>
      </c>
      <c r="AX147" s="75">
        <f t="shared" ca="1" si="341"/>
        <v>0</v>
      </c>
      <c r="BA147" s="75">
        <f t="shared" ca="1" si="341"/>
        <v>0</v>
      </c>
      <c r="BD147" s="75">
        <f t="shared" ref="BD147:BP155" ca="1" si="342">BE81</f>
        <v>0</v>
      </c>
      <c r="BG147" s="75">
        <f t="shared" ca="1" si="342"/>
        <v>0</v>
      </c>
      <c r="BJ147" s="75">
        <f t="shared" ca="1" si="342"/>
        <v>0</v>
      </c>
      <c r="BM147" s="75">
        <f t="shared" ca="1" si="342"/>
        <v>0</v>
      </c>
      <c r="BP147" s="75">
        <f t="shared" ca="1" si="342"/>
        <v>0</v>
      </c>
      <c r="BS147" s="75"/>
      <c r="BV147" s="75">
        <f t="shared" ref="BV147:CE155" ca="1" si="343">BW81</f>
        <v>0</v>
      </c>
      <c r="BY147" s="75">
        <f t="shared" ca="1" si="343"/>
        <v>0</v>
      </c>
      <c r="CB147" s="75"/>
      <c r="CE147" s="75">
        <f t="shared" ca="1" si="343"/>
        <v>0</v>
      </c>
      <c r="CH147" s="75">
        <f t="shared" ref="CH147:CW155" ca="1" si="344">CI81</f>
        <v>0</v>
      </c>
      <c r="CK147" s="75">
        <f t="shared" ca="1" si="344"/>
        <v>0</v>
      </c>
      <c r="CN147" s="75">
        <f t="shared" ca="1" si="344"/>
        <v>0</v>
      </c>
      <c r="CQ147" s="75">
        <f t="shared" ca="1" si="344"/>
        <v>0</v>
      </c>
      <c r="CT147" s="75">
        <f t="shared" ca="1" si="344"/>
        <v>0</v>
      </c>
      <c r="CW147" s="75">
        <f t="shared" ca="1" si="344"/>
        <v>0</v>
      </c>
      <c r="CZ147" s="75">
        <f t="shared" ref="CZ147:DF155" ca="1" si="345">DA81</f>
        <v>0</v>
      </c>
      <c r="DC147" s="75">
        <f t="shared" ca="1" si="345"/>
        <v>0</v>
      </c>
      <c r="DF147" s="75">
        <f t="shared" ca="1" si="345"/>
        <v>0</v>
      </c>
    </row>
    <row r="148" spans="1:110">
      <c r="A148" s="14">
        <f t="shared" ref="A148:C155" si="346">A20</f>
        <v>18</v>
      </c>
      <c r="B148" s="63">
        <f t="shared" ca="1" si="346"/>
        <v>0.15701835940156691</v>
      </c>
      <c r="C148" s="63">
        <f t="shared" si="346"/>
        <v>3830.6</v>
      </c>
      <c r="I148" s="2"/>
      <c r="J148" s="2"/>
      <c r="L148" s="61">
        <f t="shared" ca="1" si="305"/>
        <v>-0.37326079371619664</v>
      </c>
      <c r="M148" s="63">
        <f t="shared" ca="1" si="306"/>
        <v>0.15722941201269008</v>
      </c>
      <c r="N148" s="61">
        <f t="shared" ca="1" si="307"/>
        <v>0.68771961774157675</v>
      </c>
      <c r="O148" s="61">
        <f t="shared" ca="1" si="308"/>
        <v>0.35366013715259115</v>
      </c>
      <c r="P148" s="63" t="b">
        <f t="shared" si="339"/>
        <v>1</v>
      </c>
      <c r="Q148" s="75">
        <f t="shared" ca="1" si="309"/>
        <v>1.0227758580368171</v>
      </c>
      <c r="T148" s="75">
        <f t="shared" ca="1" si="340"/>
        <v>0.89994988609274473</v>
      </c>
      <c r="W148" s="75">
        <f t="shared" ca="1" si="340"/>
        <v>1.0504649788036182</v>
      </c>
      <c r="Z148" s="75">
        <f t="shared" ca="1" si="340"/>
        <v>0.76938552784367964</v>
      </c>
      <c r="AC148" s="75">
        <f t="shared" ca="1" si="340"/>
        <v>0.81707669759115298</v>
      </c>
      <c r="AF148" s="75"/>
      <c r="AI148" s="75">
        <f t="shared" ca="1" si="340"/>
        <v>0</v>
      </c>
      <c r="AL148" s="75">
        <f t="shared" ca="1" si="341"/>
        <v>0</v>
      </c>
      <c r="AO148" s="75">
        <f t="shared" ca="1" si="341"/>
        <v>0</v>
      </c>
      <c r="AR148" s="75">
        <f t="shared" ca="1" si="341"/>
        <v>0</v>
      </c>
      <c r="AU148" s="75">
        <f t="shared" ca="1" si="341"/>
        <v>0</v>
      </c>
      <c r="AX148" s="75">
        <f t="shared" ca="1" si="341"/>
        <v>0</v>
      </c>
      <c r="BA148" s="75">
        <f t="shared" ca="1" si="341"/>
        <v>0</v>
      </c>
      <c r="BD148" s="75">
        <f t="shared" ca="1" si="342"/>
        <v>0</v>
      </c>
      <c r="BG148" s="75">
        <f t="shared" ca="1" si="342"/>
        <v>0</v>
      </c>
      <c r="BJ148" s="75">
        <f t="shared" ca="1" si="342"/>
        <v>0</v>
      </c>
      <c r="BM148" s="75">
        <f t="shared" ca="1" si="342"/>
        <v>0</v>
      </c>
      <c r="BP148" s="75">
        <f t="shared" ca="1" si="342"/>
        <v>0</v>
      </c>
      <c r="BS148" s="75"/>
      <c r="BV148" s="75">
        <f t="shared" ca="1" si="343"/>
        <v>0</v>
      </c>
      <c r="BY148" s="75">
        <f t="shared" ca="1" si="343"/>
        <v>0</v>
      </c>
      <c r="CB148" s="75"/>
      <c r="CE148" s="75">
        <f t="shared" ca="1" si="343"/>
        <v>0</v>
      </c>
      <c r="CH148" s="75">
        <f t="shared" ca="1" si="344"/>
        <v>0</v>
      </c>
      <c r="CK148" s="75">
        <f t="shared" ca="1" si="344"/>
        <v>0</v>
      </c>
      <c r="CN148" s="75">
        <f t="shared" ca="1" si="344"/>
        <v>0</v>
      </c>
      <c r="CQ148" s="75">
        <f t="shared" ca="1" si="344"/>
        <v>0</v>
      </c>
      <c r="CT148" s="75">
        <f t="shared" ca="1" si="344"/>
        <v>0</v>
      </c>
      <c r="CW148" s="75">
        <f t="shared" ca="1" si="344"/>
        <v>0</v>
      </c>
      <c r="CZ148" s="75">
        <f t="shared" ca="1" si="345"/>
        <v>0</v>
      </c>
      <c r="DC148" s="75">
        <f t="shared" ca="1" si="345"/>
        <v>0</v>
      </c>
      <c r="DF148" s="75">
        <f t="shared" ca="1" si="345"/>
        <v>0</v>
      </c>
    </row>
    <row r="149" spans="1:110">
      <c r="A149" s="14">
        <f t="shared" si="346"/>
        <v>19</v>
      </c>
      <c r="B149" s="63">
        <f t="shared" ca="1" si="346"/>
        <v>0.12828800152468015</v>
      </c>
      <c r="C149" s="63">
        <f t="shared" si="346"/>
        <v>3852.3</v>
      </c>
      <c r="I149" s="2"/>
      <c r="J149" s="2"/>
      <c r="L149" s="61">
        <f t="shared" ca="1" si="305"/>
        <v>-0.31045833963189801</v>
      </c>
      <c r="M149" s="63">
        <f t="shared" ca="1" si="306"/>
        <v>0.13111289818252359</v>
      </c>
      <c r="N149" s="61">
        <f t="shared" ca="1" si="307"/>
        <v>0.57268413599694523</v>
      </c>
      <c r="O149" s="61">
        <f t="shared" ca="1" si="308"/>
        <v>0.29438082520961439</v>
      </c>
      <c r="P149" s="63" t="b">
        <f t="shared" si="339"/>
        <v>1</v>
      </c>
      <c r="Q149" s="75">
        <f t="shared" ca="1" si="309"/>
        <v>0.84806167380621655</v>
      </c>
      <c r="T149" s="75">
        <f t="shared" ca="1" si="340"/>
        <v>0.74878958696395448</v>
      </c>
      <c r="W149" s="75">
        <f t="shared" ca="1" si="340"/>
        <v>0.85983863786630033</v>
      </c>
      <c r="Z149" s="75">
        <f t="shared" ca="1" si="340"/>
        <v>0.6570781441247</v>
      </c>
      <c r="AC149" s="75">
        <f t="shared" ca="1" si="340"/>
        <v>0.68850600453201249</v>
      </c>
      <c r="AF149" s="75"/>
      <c r="AI149" s="75">
        <f t="shared" ca="1" si="340"/>
        <v>0</v>
      </c>
      <c r="AL149" s="75">
        <f t="shared" ca="1" si="341"/>
        <v>0</v>
      </c>
      <c r="AO149" s="75">
        <f t="shared" ca="1" si="341"/>
        <v>0</v>
      </c>
      <c r="AR149" s="75">
        <f t="shared" ca="1" si="341"/>
        <v>0</v>
      </c>
      <c r="AU149" s="75">
        <f t="shared" ca="1" si="341"/>
        <v>0</v>
      </c>
      <c r="AX149" s="75">
        <f t="shared" ca="1" si="341"/>
        <v>0</v>
      </c>
      <c r="BA149" s="75">
        <f t="shared" ca="1" si="341"/>
        <v>0</v>
      </c>
      <c r="BD149" s="75">
        <f t="shared" ca="1" si="342"/>
        <v>0</v>
      </c>
      <c r="BG149" s="75">
        <f t="shared" ca="1" si="342"/>
        <v>0</v>
      </c>
      <c r="BJ149" s="75">
        <f t="shared" ca="1" si="342"/>
        <v>0</v>
      </c>
      <c r="BM149" s="75">
        <f t="shared" ca="1" si="342"/>
        <v>0</v>
      </c>
      <c r="BP149" s="75">
        <f t="shared" ca="1" si="342"/>
        <v>0</v>
      </c>
      <c r="BS149" s="75"/>
      <c r="BV149" s="75">
        <f t="shared" ca="1" si="343"/>
        <v>0</v>
      </c>
      <c r="BY149" s="75">
        <f t="shared" ca="1" si="343"/>
        <v>0</v>
      </c>
      <c r="CB149" s="75"/>
      <c r="CE149" s="75">
        <f t="shared" ca="1" si="343"/>
        <v>0</v>
      </c>
      <c r="CH149" s="75">
        <f t="shared" ca="1" si="344"/>
        <v>0</v>
      </c>
      <c r="CK149" s="75">
        <f t="shared" ca="1" si="344"/>
        <v>0</v>
      </c>
      <c r="CN149" s="75">
        <f t="shared" ca="1" si="344"/>
        <v>0</v>
      </c>
      <c r="CQ149" s="75">
        <f t="shared" ca="1" si="344"/>
        <v>0</v>
      </c>
      <c r="CT149" s="75">
        <f t="shared" ca="1" si="344"/>
        <v>0</v>
      </c>
      <c r="CW149" s="75">
        <f t="shared" ca="1" si="344"/>
        <v>0</v>
      </c>
      <c r="CZ149" s="75">
        <f t="shared" ca="1" si="345"/>
        <v>0</v>
      </c>
      <c r="DC149" s="75">
        <f t="shared" ca="1" si="345"/>
        <v>0</v>
      </c>
      <c r="DF149" s="75">
        <f t="shared" ca="1" si="345"/>
        <v>0</v>
      </c>
    </row>
    <row r="150" spans="1:110">
      <c r="A150" s="14">
        <f t="shared" si="346"/>
        <v>20</v>
      </c>
      <c r="B150" s="63">
        <f t="shared" ca="1" si="346"/>
        <v>0.1052422464745905</v>
      </c>
      <c r="C150" s="63">
        <f t="shared" si="346"/>
        <v>3884.6</v>
      </c>
      <c r="I150" s="2"/>
      <c r="J150" s="2"/>
      <c r="L150" s="61">
        <f t="shared" ca="1" si="305"/>
        <v>-0.25182551711462942</v>
      </c>
      <c r="M150" s="63">
        <f t="shared" ca="1" si="306"/>
        <v>0.10629673865301099</v>
      </c>
      <c r="N150" s="61">
        <f t="shared" ca="1" si="307"/>
        <v>0.46441899442065138</v>
      </c>
      <c r="O150" s="61">
        <f t="shared" ca="1" si="308"/>
        <v>0.23874817051176025</v>
      </c>
      <c r="P150" s="63" t="b">
        <f t="shared" si="339"/>
        <v>1</v>
      </c>
      <c r="Q150" s="75">
        <f t="shared" ca="1" si="309"/>
        <v>0.69774213313400468</v>
      </c>
      <c r="T150" s="75">
        <f t="shared" ca="1" si="340"/>
        <v>0.61058567963886479</v>
      </c>
      <c r="W150" s="75">
        <f t="shared" ca="1" si="340"/>
        <v>0.68883562392733233</v>
      </c>
      <c r="Z150" s="75">
        <f t="shared" ca="1" si="340"/>
        <v>0.52781178788806726</v>
      </c>
      <c r="AC150" s="75">
        <f t="shared" ca="1" si="340"/>
        <v>0.55763019634904953</v>
      </c>
      <c r="AF150" s="75"/>
      <c r="AI150" s="75">
        <f t="shared" ca="1" si="340"/>
        <v>0</v>
      </c>
      <c r="AL150" s="75">
        <f t="shared" ca="1" si="341"/>
        <v>0</v>
      </c>
      <c r="AO150" s="75">
        <f t="shared" ca="1" si="341"/>
        <v>0</v>
      </c>
      <c r="AR150" s="75">
        <f t="shared" ca="1" si="341"/>
        <v>0</v>
      </c>
      <c r="AU150" s="75">
        <f t="shared" ca="1" si="341"/>
        <v>0</v>
      </c>
      <c r="AX150" s="75">
        <f t="shared" ca="1" si="341"/>
        <v>0</v>
      </c>
      <c r="BA150" s="75">
        <f t="shared" ca="1" si="341"/>
        <v>0</v>
      </c>
      <c r="BD150" s="75">
        <f t="shared" ca="1" si="342"/>
        <v>0</v>
      </c>
      <c r="BG150" s="75">
        <f t="shared" ca="1" si="342"/>
        <v>0</v>
      </c>
      <c r="BJ150" s="75">
        <f t="shared" ca="1" si="342"/>
        <v>0</v>
      </c>
      <c r="BM150" s="75">
        <f t="shared" ca="1" si="342"/>
        <v>0</v>
      </c>
      <c r="BP150" s="75">
        <f t="shared" ca="1" si="342"/>
        <v>0</v>
      </c>
      <c r="BS150" s="75"/>
      <c r="BV150" s="75">
        <f t="shared" ca="1" si="343"/>
        <v>0</v>
      </c>
      <c r="BY150" s="75">
        <f t="shared" ca="1" si="343"/>
        <v>0</v>
      </c>
      <c r="CB150" s="75"/>
      <c r="CE150" s="75">
        <f t="shared" ca="1" si="343"/>
        <v>0</v>
      </c>
      <c r="CH150" s="75">
        <f t="shared" ca="1" si="344"/>
        <v>0</v>
      </c>
      <c r="CK150" s="75">
        <f t="shared" ca="1" si="344"/>
        <v>0</v>
      </c>
      <c r="CN150" s="75">
        <f t="shared" ca="1" si="344"/>
        <v>0</v>
      </c>
      <c r="CQ150" s="75">
        <f t="shared" ca="1" si="344"/>
        <v>0</v>
      </c>
      <c r="CT150" s="75">
        <f t="shared" ca="1" si="344"/>
        <v>0</v>
      </c>
      <c r="CW150" s="75">
        <f t="shared" ca="1" si="344"/>
        <v>0</v>
      </c>
      <c r="CZ150" s="75">
        <f t="shared" ca="1" si="345"/>
        <v>0</v>
      </c>
      <c r="DC150" s="75">
        <f t="shared" ca="1" si="345"/>
        <v>0</v>
      </c>
      <c r="DF150" s="75">
        <f t="shared" ca="1" si="345"/>
        <v>0</v>
      </c>
    </row>
    <row r="151" spans="1:110">
      <c r="A151" s="14">
        <f t="shared" si="346"/>
        <v>21</v>
      </c>
      <c r="B151" s="63">
        <f t="shared" ca="1" si="346"/>
        <v>8.7497019701430423E-2</v>
      </c>
      <c r="C151" s="63">
        <f t="shared" si="346"/>
        <v>3874</v>
      </c>
      <c r="I151" s="2"/>
      <c r="J151" s="2"/>
      <c r="L151" s="61">
        <f t="shared" ca="1" si="305"/>
        <v>-0.20968174628245256</v>
      </c>
      <c r="M151" s="63">
        <f t="shared" ca="1" si="306"/>
        <v>8.845037721196454E-2</v>
      </c>
      <c r="N151" s="61">
        <f t="shared" ca="1" si="307"/>
        <v>0.38658250070638162</v>
      </c>
      <c r="O151" s="61">
        <f t="shared" ca="1" si="308"/>
        <v>0.19875474899627804</v>
      </c>
      <c r="P151" s="63" t="b">
        <f t="shared" si="339"/>
        <v>1</v>
      </c>
      <c r="Q151" s="75">
        <f t="shared" ca="1" si="309"/>
        <v>0.55410157981159203</v>
      </c>
      <c r="T151" s="75">
        <f t="shared" ca="1" si="340"/>
        <v>0.50966497504634156</v>
      </c>
      <c r="W151" s="75">
        <f t="shared" ca="1" si="340"/>
        <v>0.59954685460189672</v>
      </c>
      <c r="Z151" s="75">
        <f t="shared" ca="1" si="340"/>
        <v>0.44194256813947258</v>
      </c>
      <c r="AC151" s="75">
        <f t="shared" ca="1" si="340"/>
        <v>0.45980496154766853</v>
      </c>
      <c r="AF151" s="75"/>
      <c r="AI151" s="75">
        <f t="shared" ca="1" si="340"/>
        <v>0</v>
      </c>
      <c r="AL151" s="75">
        <f t="shared" ca="1" si="341"/>
        <v>0</v>
      </c>
      <c r="AO151" s="75">
        <f t="shared" ca="1" si="341"/>
        <v>0</v>
      </c>
      <c r="AR151" s="75">
        <f t="shared" ca="1" si="341"/>
        <v>0</v>
      </c>
      <c r="AU151" s="75">
        <f t="shared" ca="1" si="341"/>
        <v>0</v>
      </c>
      <c r="AX151" s="75">
        <f t="shared" ca="1" si="341"/>
        <v>0</v>
      </c>
      <c r="BA151" s="75">
        <f t="shared" ca="1" si="341"/>
        <v>0</v>
      </c>
      <c r="BD151" s="75">
        <f t="shared" ca="1" si="342"/>
        <v>0</v>
      </c>
      <c r="BG151" s="75">
        <f t="shared" ca="1" si="342"/>
        <v>0</v>
      </c>
      <c r="BJ151" s="75">
        <f t="shared" ca="1" si="342"/>
        <v>0</v>
      </c>
      <c r="BM151" s="75">
        <f t="shared" ca="1" si="342"/>
        <v>0</v>
      </c>
      <c r="BP151" s="75">
        <f t="shared" ca="1" si="342"/>
        <v>0</v>
      </c>
      <c r="BS151" s="75"/>
      <c r="BV151" s="75">
        <f t="shared" ca="1" si="343"/>
        <v>0</v>
      </c>
      <c r="BY151" s="75">
        <f t="shared" ca="1" si="343"/>
        <v>0</v>
      </c>
      <c r="CB151" s="75"/>
      <c r="CE151" s="75">
        <f t="shared" ca="1" si="343"/>
        <v>0</v>
      </c>
      <c r="CH151" s="75">
        <f t="shared" ca="1" si="344"/>
        <v>0</v>
      </c>
      <c r="CK151" s="75">
        <f t="shared" ca="1" si="344"/>
        <v>0</v>
      </c>
      <c r="CN151" s="75">
        <f t="shared" ca="1" si="344"/>
        <v>0</v>
      </c>
      <c r="CQ151" s="75">
        <f t="shared" ca="1" si="344"/>
        <v>0</v>
      </c>
      <c r="CT151" s="75">
        <f t="shared" ca="1" si="344"/>
        <v>0</v>
      </c>
      <c r="CW151" s="75">
        <f t="shared" ca="1" si="344"/>
        <v>0</v>
      </c>
      <c r="CZ151" s="75">
        <f t="shared" ca="1" si="345"/>
        <v>0</v>
      </c>
      <c r="DC151" s="75">
        <f t="shared" ca="1" si="345"/>
        <v>0</v>
      </c>
      <c r="DF151" s="75">
        <f t="shared" ca="1" si="345"/>
        <v>0</v>
      </c>
    </row>
    <row r="152" spans="1:110">
      <c r="A152" s="14">
        <f t="shared" si="346"/>
        <v>22</v>
      </c>
      <c r="B152" s="63">
        <f t="shared" ca="1" si="346"/>
        <v>6.4528090696904072E-2</v>
      </c>
      <c r="C152" s="63">
        <f t="shared" si="346"/>
        <v>3852.9</v>
      </c>
      <c r="I152" s="2"/>
      <c r="J152" s="2"/>
      <c r="L152" s="61">
        <f t="shared" ca="1" si="305"/>
        <v>-0.16483133140727124</v>
      </c>
      <c r="M152" s="63">
        <f t="shared" ca="1" si="306"/>
        <v>6.9360579449534873E-2</v>
      </c>
      <c r="N152" s="61">
        <f t="shared" ca="1" si="307"/>
        <v>0.30355249030634102</v>
      </c>
      <c r="O152" s="61">
        <f t="shared" ca="1" si="308"/>
        <v>0.15612794057120408</v>
      </c>
      <c r="P152" s="63" t="b">
        <f t="shared" si="339"/>
        <v>1</v>
      </c>
      <c r="Q152" s="75">
        <f t="shared" ca="1" si="309"/>
        <v>0.45983166295746775</v>
      </c>
      <c r="T152" s="75">
        <f t="shared" ca="1" si="340"/>
        <v>0.40722494752754629</v>
      </c>
      <c r="W152" s="75">
        <f t="shared" ca="1" si="340"/>
        <v>0.45513287246874018</v>
      </c>
      <c r="Z152" s="75">
        <f t="shared" ca="1" si="340"/>
        <v>0.33855135354304627</v>
      </c>
      <c r="AC152" s="75">
        <f t="shared" ca="1" si="340"/>
        <v>0.35071596753971096</v>
      </c>
      <c r="AF152" s="75"/>
      <c r="AI152" s="75">
        <f t="shared" ca="1" si="340"/>
        <v>0</v>
      </c>
      <c r="AL152" s="75">
        <f t="shared" ca="1" si="341"/>
        <v>0</v>
      </c>
      <c r="AO152" s="75">
        <f t="shared" ca="1" si="341"/>
        <v>0</v>
      </c>
      <c r="AR152" s="75">
        <f t="shared" ca="1" si="341"/>
        <v>0</v>
      </c>
      <c r="AU152" s="75">
        <f t="shared" ca="1" si="341"/>
        <v>0</v>
      </c>
      <c r="AX152" s="75">
        <f t="shared" ca="1" si="341"/>
        <v>0</v>
      </c>
      <c r="BA152" s="75">
        <f t="shared" ca="1" si="341"/>
        <v>0</v>
      </c>
      <c r="BD152" s="75">
        <f t="shared" ca="1" si="342"/>
        <v>0</v>
      </c>
      <c r="BG152" s="75">
        <f t="shared" ca="1" si="342"/>
        <v>0</v>
      </c>
      <c r="BJ152" s="75">
        <f t="shared" ca="1" si="342"/>
        <v>0</v>
      </c>
      <c r="BM152" s="75">
        <f t="shared" ca="1" si="342"/>
        <v>0</v>
      </c>
      <c r="BP152" s="75">
        <f t="shared" ca="1" si="342"/>
        <v>0</v>
      </c>
      <c r="BS152" s="75"/>
      <c r="BV152" s="75">
        <f t="shared" ca="1" si="343"/>
        <v>0</v>
      </c>
      <c r="BY152" s="75">
        <f t="shared" ca="1" si="343"/>
        <v>0</v>
      </c>
      <c r="CB152" s="75"/>
      <c r="CE152" s="75">
        <f t="shared" ca="1" si="343"/>
        <v>0</v>
      </c>
      <c r="CH152" s="75">
        <f t="shared" ca="1" si="344"/>
        <v>0</v>
      </c>
      <c r="CK152" s="75">
        <f t="shared" ca="1" si="344"/>
        <v>0</v>
      </c>
      <c r="CN152" s="75">
        <f t="shared" ca="1" si="344"/>
        <v>0</v>
      </c>
      <c r="CQ152" s="75">
        <f t="shared" ca="1" si="344"/>
        <v>0</v>
      </c>
      <c r="CT152" s="75">
        <f t="shared" ca="1" si="344"/>
        <v>0</v>
      </c>
      <c r="CW152" s="75">
        <f t="shared" ca="1" si="344"/>
        <v>0</v>
      </c>
      <c r="CZ152" s="75">
        <f t="shared" ca="1" si="345"/>
        <v>0</v>
      </c>
      <c r="DC152" s="75">
        <f t="shared" ca="1" si="345"/>
        <v>0</v>
      </c>
      <c r="DF152" s="75">
        <f t="shared" ca="1" si="345"/>
        <v>0</v>
      </c>
    </row>
    <row r="153" spans="1:110">
      <c r="A153" s="14">
        <f t="shared" si="346"/>
        <v>23</v>
      </c>
      <c r="B153" s="63">
        <f t="shared" ca="1" si="346"/>
        <v>4.8396071685701009E-2</v>
      </c>
      <c r="C153" s="63">
        <f t="shared" si="346"/>
        <v>3862.8</v>
      </c>
      <c r="I153" s="2"/>
      <c r="J153" s="2"/>
      <c r="L153" s="61">
        <f t="shared" ca="1" si="305"/>
        <v>-0.12645030058847712</v>
      </c>
      <c r="M153" s="63">
        <f t="shared" ca="1" si="306"/>
        <v>5.3270338198633541E-2</v>
      </c>
      <c r="N153" s="61">
        <f t="shared" ca="1" si="307"/>
        <v>0.23299097698574417</v>
      </c>
      <c r="O153" s="61">
        <f t="shared" ca="1" si="308"/>
        <v>0.1198137591914071</v>
      </c>
      <c r="P153" s="63" t="b">
        <f t="shared" si="339"/>
        <v>1</v>
      </c>
      <c r="Q153" s="75">
        <f t="shared" ca="1" si="309"/>
        <v>0.35511602652173907</v>
      </c>
      <c r="T153" s="75">
        <f t="shared" ca="1" si="340"/>
        <v>0.31155399599218137</v>
      </c>
      <c r="W153" s="75">
        <f t="shared" ca="1" si="340"/>
        <v>0.3440135050376576</v>
      </c>
      <c r="Z153" s="75">
        <f t="shared" ca="1" si="340"/>
        <v>0.26144210499887144</v>
      </c>
      <c r="AC153" s="75">
        <f t="shared" ca="1" si="340"/>
        <v>0.2727141752099233</v>
      </c>
      <c r="AF153" s="75"/>
      <c r="AI153" s="75">
        <f t="shared" ca="1" si="340"/>
        <v>0</v>
      </c>
      <c r="AL153" s="75">
        <f t="shared" ca="1" si="341"/>
        <v>0</v>
      </c>
      <c r="AO153" s="75">
        <f t="shared" ca="1" si="341"/>
        <v>0</v>
      </c>
      <c r="AR153" s="75">
        <f t="shared" ca="1" si="341"/>
        <v>0</v>
      </c>
      <c r="AU153" s="75">
        <f t="shared" ca="1" si="341"/>
        <v>0</v>
      </c>
      <c r="AX153" s="75">
        <f t="shared" ca="1" si="341"/>
        <v>0</v>
      </c>
      <c r="BA153" s="75">
        <f t="shared" ca="1" si="341"/>
        <v>0</v>
      </c>
      <c r="BD153" s="75">
        <f t="shared" ca="1" si="342"/>
        <v>0</v>
      </c>
      <c r="BG153" s="75">
        <f t="shared" ca="1" si="342"/>
        <v>0</v>
      </c>
      <c r="BJ153" s="75">
        <f t="shared" ca="1" si="342"/>
        <v>0</v>
      </c>
      <c r="BM153" s="75">
        <f t="shared" ca="1" si="342"/>
        <v>0</v>
      </c>
      <c r="BP153" s="75">
        <f t="shared" ca="1" si="342"/>
        <v>0</v>
      </c>
      <c r="BS153" s="75"/>
      <c r="BV153" s="75">
        <f t="shared" ca="1" si="343"/>
        <v>0</v>
      </c>
      <c r="BY153" s="75">
        <f t="shared" ca="1" si="343"/>
        <v>0</v>
      </c>
      <c r="CB153" s="75"/>
      <c r="CE153" s="75">
        <f t="shared" ca="1" si="343"/>
        <v>0</v>
      </c>
      <c r="CH153" s="75">
        <f t="shared" ca="1" si="344"/>
        <v>0</v>
      </c>
      <c r="CK153" s="75">
        <f t="shared" ca="1" si="344"/>
        <v>0</v>
      </c>
      <c r="CN153" s="75">
        <f t="shared" ca="1" si="344"/>
        <v>0</v>
      </c>
      <c r="CQ153" s="75">
        <f t="shared" ca="1" si="344"/>
        <v>0</v>
      </c>
      <c r="CT153" s="75">
        <f t="shared" ca="1" si="344"/>
        <v>0</v>
      </c>
      <c r="CW153" s="75">
        <f t="shared" ca="1" si="344"/>
        <v>0</v>
      </c>
      <c r="CZ153" s="75">
        <f t="shared" ca="1" si="345"/>
        <v>0</v>
      </c>
      <c r="DC153" s="75">
        <f t="shared" ca="1" si="345"/>
        <v>0</v>
      </c>
      <c r="DF153" s="75">
        <f t="shared" ca="1" si="345"/>
        <v>0</v>
      </c>
    </row>
    <row r="154" spans="1:110">
      <c r="A154" s="14">
        <f t="shared" si="346"/>
        <v>24</v>
      </c>
      <c r="B154" s="63">
        <f t="shared" ca="1" si="346"/>
        <v>1.6900215363934361E-2</v>
      </c>
      <c r="C154" s="63">
        <f t="shared" si="346"/>
        <v>3782.2</v>
      </c>
      <c r="I154" s="2"/>
      <c r="J154" s="2"/>
      <c r="L154" s="61">
        <f t="shared" ca="1" si="305"/>
        <v>-5.0499534449883872E-2</v>
      </c>
      <c r="M154" s="63">
        <f t="shared" ca="1" si="306"/>
        <v>2.0949405928833743E-2</v>
      </c>
      <c r="N154" s="61">
        <f t="shared" ca="1" si="307"/>
        <v>9.2398346307551366E-2</v>
      </c>
      <c r="O154" s="61">
        <f t="shared" ca="1" si="308"/>
        <v>4.7632626919145077E-2</v>
      </c>
      <c r="P154" s="63" t="b">
        <f t="shared" si="339"/>
        <v>1</v>
      </c>
      <c r="Q154" s="75">
        <f t="shared" ca="1" si="309"/>
        <v>0.14699687784499305</v>
      </c>
      <c r="T154" s="75">
        <f t="shared" ca="1" si="340"/>
        <v>0.1286058800417311</v>
      </c>
      <c r="W154" s="75">
        <f t="shared" ca="1" si="340"/>
        <v>0.14099152564263476</v>
      </c>
      <c r="Z154" s="75">
        <f t="shared" ca="1" si="340"/>
        <v>9.6106746523125036E-2</v>
      </c>
      <c r="AC154" s="75">
        <f t="shared" ca="1" si="340"/>
        <v>9.4831741883694726E-2</v>
      </c>
      <c r="AF154" s="75"/>
      <c r="AI154" s="75">
        <f t="shared" ca="1" si="340"/>
        <v>0</v>
      </c>
      <c r="AL154" s="75">
        <f t="shared" ca="1" si="341"/>
        <v>0</v>
      </c>
      <c r="AO154" s="75">
        <f t="shared" ca="1" si="341"/>
        <v>0</v>
      </c>
      <c r="AR154" s="75">
        <f t="shared" ca="1" si="341"/>
        <v>0</v>
      </c>
      <c r="AU154" s="75">
        <f t="shared" ca="1" si="341"/>
        <v>0</v>
      </c>
      <c r="AX154" s="75">
        <f t="shared" ca="1" si="341"/>
        <v>0</v>
      </c>
      <c r="BA154" s="75">
        <f t="shared" ca="1" si="341"/>
        <v>0</v>
      </c>
      <c r="BD154" s="75">
        <f t="shared" ca="1" si="342"/>
        <v>0</v>
      </c>
      <c r="BG154" s="75">
        <f t="shared" ca="1" si="342"/>
        <v>0</v>
      </c>
      <c r="BJ154" s="75">
        <f t="shared" ca="1" si="342"/>
        <v>0</v>
      </c>
      <c r="BM154" s="75">
        <f t="shared" ca="1" si="342"/>
        <v>0</v>
      </c>
      <c r="BP154" s="75">
        <f t="shared" ca="1" si="342"/>
        <v>0</v>
      </c>
      <c r="BS154" s="75"/>
      <c r="BV154" s="75">
        <f t="shared" ca="1" si="343"/>
        <v>0</v>
      </c>
      <c r="BY154" s="75">
        <f t="shared" ca="1" si="343"/>
        <v>0</v>
      </c>
      <c r="CB154" s="75"/>
      <c r="CE154" s="75">
        <f t="shared" ca="1" si="343"/>
        <v>0</v>
      </c>
      <c r="CH154" s="75">
        <f t="shared" ca="1" si="344"/>
        <v>0</v>
      </c>
      <c r="CK154" s="75">
        <f t="shared" ca="1" si="344"/>
        <v>0</v>
      </c>
      <c r="CN154" s="75">
        <f t="shared" ca="1" si="344"/>
        <v>0</v>
      </c>
      <c r="CQ154" s="75">
        <f t="shared" ca="1" si="344"/>
        <v>0</v>
      </c>
      <c r="CT154" s="75">
        <f t="shared" ca="1" si="344"/>
        <v>0</v>
      </c>
      <c r="CW154" s="75">
        <f t="shared" ca="1" si="344"/>
        <v>0</v>
      </c>
      <c r="CZ154" s="75">
        <f t="shared" ca="1" si="345"/>
        <v>0</v>
      </c>
      <c r="DC154" s="75">
        <f t="shared" ca="1" si="345"/>
        <v>0</v>
      </c>
      <c r="DF154" s="75">
        <f t="shared" ca="1" si="345"/>
        <v>0</v>
      </c>
    </row>
    <row r="155" spans="1:110">
      <c r="A155" s="14">
        <f t="shared" si="346"/>
        <v>25</v>
      </c>
      <c r="B155" s="63">
        <f t="shared" ca="1" si="346"/>
        <v>1.3827448268123942E-2</v>
      </c>
      <c r="C155" s="63">
        <f t="shared" si="346"/>
        <v>3801.6</v>
      </c>
      <c r="I155" s="2"/>
      <c r="J155" s="2"/>
      <c r="L155" s="61">
        <f t="shared" ca="1" si="305"/>
        <v>-4.2217052404258909E-2</v>
      </c>
      <c r="M155" s="63">
        <f t="shared" ca="1" si="306"/>
        <v>1.7558725488733915E-2</v>
      </c>
      <c r="N155" s="61">
        <f t="shared" ca="1" si="307"/>
        <v>7.7334503381726746E-2</v>
      </c>
      <c r="O155" s="61">
        <f t="shared" ca="1" si="308"/>
        <v>3.9850518595328552E-2</v>
      </c>
      <c r="P155" s="63" t="b">
        <f t="shared" si="339"/>
        <v>1</v>
      </c>
      <c r="Q155" s="75">
        <f t="shared" ca="1" si="309"/>
        <v>0.11559592522521427</v>
      </c>
      <c r="T155" s="75">
        <f t="shared" ca="1" si="340"/>
        <v>0.1054069214949848</v>
      </c>
      <c r="W155" s="75">
        <f t="shared" ca="1" si="340"/>
        <v>0.12472482558797891</v>
      </c>
      <c r="Z155" s="75">
        <f t="shared" ca="1" si="340"/>
        <v>8.450596414653827E-2</v>
      </c>
      <c r="AC155" s="75">
        <f t="shared" ca="1" si="340"/>
        <v>7.8969402718567325E-2</v>
      </c>
      <c r="AF155" s="75"/>
      <c r="AI155" s="75">
        <f t="shared" ca="1" si="340"/>
        <v>0</v>
      </c>
      <c r="AL155" s="75">
        <f t="shared" ca="1" si="341"/>
        <v>0</v>
      </c>
      <c r="AO155" s="75">
        <f t="shared" ca="1" si="341"/>
        <v>0</v>
      </c>
      <c r="AR155" s="75">
        <f t="shared" ca="1" si="341"/>
        <v>0</v>
      </c>
      <c r="AU155" s="75">
        <f t="shared" ca="1" si="341"/>
        <v>0</v>
      </c>
      <c r="AX155" s="75">
        <f t="shared" ca="1" si="341"/>
        <v>0</v>
      </c>
      <c r="BA155" s="75">
        <f t="shared" ca="1" si="341"/>
        <v>0</v>
      </c>
      <c r="BD155" s="75">
        <f t="shared" ca="1" si="342"/>
        <v>0</v>
      </c>
      <c r="BG155" s="75">
        <f t="shared" ca="1" si="342"/>
        <v>0</v>
      </c>
      <c r="BJ155" s="75">
        <f t="shared" ca="1" si="342"/>
        <v>0</v>
      </c>
      <c r="BM155" s="75">
        <f t="shared" ca="1" si="342"/>
        <v>0</v>
      </c>
      <c r="BP155" s="75">
        <f t="shared" ca="1" si="342"/>
        <v>0</v>
      </c>
      <c r="BS155" s="75"/>
      <c r="BV155" s="75">
        <f t="shared" ca="1" si="343"/>
        <v>0</v>
      </c>
      <c r="BY155" s="75">
        <f t="shared" ca="1" si="343"/>
        <v>0</v>
      </c>
      <c r="CB155" s="75"/>
      <c r="CE155" s="75">
        <f t="shared" ca="1" si="343"/>
        <v>0</v>
      </c>
      <c r="CH155" s="75">
        <f t="shared" ca="1" si="344"/>
        <v>0</v>
      </c>
      <c r="CK155" s="75">
        <f t="shared" ca="1" si="344"/>
        <v>0</v>
      </c>
      <c r="CN155" s="75">
        <f t="shared" ca="1" si="344"/>
        <v>0</v>
      </c>
      <c r="CQ155" s="75">
        <f t="shared" ca="1" si="344"/>
        <v>0</v>
      </c>
      <c r="CT155" s="75">
        <f t="shared" ca="1" si="344"/>
        <v>0</v>
      </c>
      <c r="CW155" s="75">
        <f t="shared" ca="1" si="344"/>
        <v>0</v>
      </c>
      <c r="CZ155" s="75">
        <f t="shared" ca="1" si="345"/>
        <v>0</v>
      </c>
      <c r="DC155" s="75">
        <f t="shared" ca="1" si="345"/>
        <v>0</v>
      </c>
      <c r="DF155" s="75">
        <f t="shared" ca="1" si="345"/>
        <v>0</v>
      </c>
    </row>
    <row r="156" spans="1:110">
      <c r="B156" s="63"/>
      <c r="C156" s="63"/>
      <c r="I156" s="2"/>
      <c r="J156" s="2"/>
      <c r="M156" s="63"/>
      <c r="Q156" s="75"/>
      <c r="T156" s="75"/>
      <c r="W156" s="75"/>
      <c r="Z156" s="75"/>
      <c r="AC156" s="75"/>
      <c r="AF156" s="75"/>
      <c r="AI156" s="75"/>
      <c r="AL156" s="75"/>
      <c r="AO156" s="75"/>
      <c r="AR156" s="75"/>
      <c r="AU156" s="75"/>
      <c r="AX156" s="75"/>
      <c r="BA156" s="75"/>
      <c r="BD156" s="75"/>
      <c r="BG156" s="75"/>
      <c r="BJ156" s="75"/>
      <c r="BM156" s="75"/>
      <c r="BP156" s="75"/>
      <c r="BS156" s="75"/>
      <c r="BV156" s="75"/>
      <c r="BY156" s="75"/>
      <c r="CB156" s="75"/>
      <c r="CE156" s="75"/>
      <c r="CH156" s="75"/>
      <c r="CK156" s="75"/>
      <c r="CN156" s="75"/>
      <c r="CQ156" s="75"/>
      <c r="CT156" s="75"/>
      <c r="CW156" s="75"/>
      <c r="CZ156" s="75"/>
      <c r="DC156" s="75"/>
      <c r="DF156" s="75"/>
    </row>
    <row r="157" spans="1:110">
      <c r="B157" s="63"/>
      <c r="C157" s="63"/>
      <c r="I157" s="2"/>
      <c r="J157" s="2"/>
      <c r="M157" s="63"/>
      <c r="Q157" s="75"/>
      <c r="T157" s="75"/>
      <c r="W157" s="75"/>
      <c r="Z157" s="75"/>
      <c r="AC157" s="75"/>
      <c r="AF157" s="75"/>
      <c r="AI157" s="75"/>
      <c r="AL157" s="75"/>
      <c r="AO157" s="75"/>
      <c r="AR157" s="75"/>
      <c r="AU157" s="75"/>
      <c r="AX157" s="75"/>
      <c r="BA157" s="75"/>
      <c r="BD157" s="75"/>
      <c r="BG157" s="75"/>
      <c r="BJ157" s="75"/>
      <c r="BM157" s="75"/>
      <c r="BP157" s="75"/>
      <c r="BS157" s="75"/>
      <c r="BV157" s="75"/>
      <c r="BY157" s="75"/>
      <c r="CB157" s="75"/>
      <c r="CE157" s="75"/>
      <c r="CH157" s="75"/>
      <c r="CK157" s="75"/>
      <c r="CN157" s="75"/>
      <c r="CQ157" s="75"/>
      <c r="CT157" s="75"/>
      <c r="CW157" s="75"/>
      <c r="CZ157" s="75"/>
      <c r="DC157" s="75"/>
      <c r="DF157" s="75"/>
    </row>
    <row r="158" spans="1:110">
      <c r="A158" s="100" t="s">
        <v>70</v>
      </c>
      <c r="B158" s="100"/>
      <c r="C158" s="100"/>
      <c r="Q158" s="75"/>
      <c r="T158" s="75"/>
      <c r="W158" s="75"/>
      <c r="Z158" s="75"/>
      <c r="AC158" s="75"/>
      <c r="AF158" s="75"/>
      <c r="AI158" s="75"/>
      <c r="AL158" s="75"/>
      <c r="AO158" s="75"/>
      <c r="AR158" s="75"/>
      <c r="AU158" s="75"/>
      <c r="AX158" s="75"/>
      <c r="BA158" s="75"/>
      <c r="BD158" s="75"/>
      <c r="BG158" s="75"/>
      <c r="BJ158" s="75"/>
      <c r="BM158" s="75"/>
      <c r="BP158" s="75"/>
      <c r="BS158" s="75"/>
      <c r="BV158" s="75"/>
      <c r="BY158" s="75"/>
      <c r="CB158" s="75"/>
      <c r="CE158" s="75"/>
      <c r="CH158" s="75"/>
      <c r="CK158" s="75"/>
      <c r="CN158" s="75"/>
      <c r="CQ158" s="75"/>
      <c r="CT158" s="75"/>
      <c r="CW158" s="75"/>
      <c r="CZ158" s="75"/>
      <c r="DC158" s="75"/>
      <c r="DF158" s="75"/>
    </row>
    <row r="159" spans="1:110">
      <c r="A159" s="100"/>
      <c r="B159" s="100"/>
      <c r="C159" s="100"/>
      <c r="Q159" s="75"/>
      <c r="T159" s="75"/>
      <c r="W159" s="75"/>
      <c r="Z159" s="75"/>
      <c r="AC159" s="75"/>
      <c r="AF159" s="75"/>
      <c r="AI159" s="75"/>
      <c r="AL159" s="75"/>
      <c r="AO159" s="75"/>
      <c r="AR159" s="75"/>
      <c r="AU159" s="75"/>
      <c r="AX159" s="75"/>
      <c r="BA159" s="75"/>
      <c r="BD159" s="75"/>
      <c r="BG159" s="75"/>
      <c r="BJ159" s="75"/>
      <c r="BM159" s="75"/>
      <c r="BP159" s="75"/>
      <c r="BS159" s="75"/>
      <c r="BV159" s="75"/>
      <c r="BY159" s="75"/>
      <c r="CB159" s="75"/>
      <c r="CE159" s="75"/>
      <c r="CH159" s="75"/>
      <c r="CK159" s="75"/>
      <c r="CN159" s="75"/>
      <c r="CQ159" s="75"/>
      <c r="CT159" s="75"/>
      <c r="CW159" s="75"/>
      <c r="CZ159" s="75"/>
      <c r="DC159" s="75"/>
      <c r="DF159" s="75"/>
    </row>
    <row r="160" spans="1:110" ht="18">
      <c r="A160" s="14" t="s">
        <v>65</v>
      </c>
      <c r="B160" s="63">
        <f ca="1">INDIRECT(ADDRESS(C160,COLUMN(B155)))</f>
        <v>23.151758163574332</v>
      </c>
      <c r="C160" s="71">
        <f>ROW(P131)+MATCH(TRUE,P131:P155,0)-1</f>
        <v>131</v>
      </c>
      <c r="D160" s="76" t="s">
        <v>67</v>
      </c>
      <c r="E160" s="75">
        <f ca="1">INDIRECT(ADDRESS($C160,COLUMN(M155)))</f>
        <v>17.600780613674353</v>
      </c>
      <c r="I160" s="79"/>
      <c r="J160" s="45" t="str">
        <f>H2</f>
        <v>-1.5σ</v>
      </c>
      <c r="K160" s="45" t="str">
        <f>I2</f>
        <v>AVG</v>
      </c>
      <c r="L160" s="45" t="str">
        <f>J2</f>
        <v>+1.5σ</v>
      </c>
      <c r="M160" s="45" t="str">
        <f>K2</f>
        <v>STDEV</v>
      </c>
      <c r="N160" s="79"/>
      <c r="Q160" s="75">
        <f ca="1">INDIRECT(ADDRESS($C160,COLUMN(Q155)))</f>
        <v>104.47815153555905</v>
      </c>
      <c r="T160" s="75">
        <f t="shared" ref="T160" ca="1" si="347">INDIRECT(ADDRESS($C160,COLUMN(T155)))</f>
        <v>103.13132247208382</v>
      </c>
      <c r="W160" s="75">
        <f t="shared" ref="W160" ca="1" si="348">INDIRECT(ADDRESS($C160,COLUMN(W155)))</f>
        <v>108.21520148702122</v>
      </c>
      <c r="Z160" s="75">
        <f t="shared" ref="Z160" ca="1" si="349">INDIRECT(ADDRESS($C160,COLUMN(Z155)))</f>
        <v>96.390916011390772</v>
      </c>
      <c r="AC160" s="75">
        <f t="shared" ref="AC160" ca="1" si="350">INDIRECT(ADDRESS($C160,COLUMN(AC155)))</f>
        <v>98.207046290501395</v>
      </c>
      <c r="AF160" s="75"/>
      <c r="AI160" s="75">
        <f t="shared" ref="AI160" ca="1" si="351">INDIRECT(ADDRESS($C160,COLUMN(AI155)))</f>
        <v>0</v>
      </c>
      <c r="AL160" s="75">
        <f t="shared" ref="AL160" ca="1" si="352">INDIRECT(ADDRESS($C160,COLUMN(AL155)))</f>
        <v>0</v>
      </c>
      <c r="AO160" s="75">
        <f t="shared" ref="AO160" ca="1" si="353">INDIRECT(ADDRESS($C160,COLUMN(AO155)))</f>
        <v>0</v>
      </c>
      <c r="AR160" s="75">
        <f t="shared" ref="AR160" ca="1" si="354">INDIRECT(ADDRESS($C160,COLUMN(AR155)))</f>
        <v>0</v>
      </c>
      <c r="AU160" s="75">
        <f t="shared" ref="AU160" ca="1" si="355">INDIRECT(ADDRESS($C160,COLUMN(AU155)))</f>
        <v>0</v>
      </c>
      <c r="AX160" s="75">
        <f t="shared" ref="AX160" ca="1" si="356">INDIRECT(ADDRESS($C160,COLUMN(AX155)))</f>
        <v>0</v>
      </c>
      <c r="BA160" s="75">
        <f t="shared" ref="BA160" ca="1" si="357">INDIRECT(ADDRESS($C160,COLUMN(BA155)))</f>
        <v>0</v>
      </c>
      <c r="BD160" s="75">
        <f t="shared" ref="BD160" ca="1" si="358">INDIRECT(ADDRESS($C160,COLUMN(BD155)))</f>
        <v>0</v>
      </c>
      <c r="BG160" s="75">
        <f t="shared" ref="BG160" ca="1" si="359">INDIRECT(ADDRESS($C160,COLUMN(BG155)))</f>
        <v>0</v>
      </c>
      <c r="BJ160" s="75">
        <f t="shared" ref="BJ160" ca="1" si="360">INDIRECT(ADDRESS($C160,COLUMN(BJ155)))</f>
        <v>0</v>
      </c>
      <c r="BM160" s="75">
        <f t="shared" ref="BM160" ca="1" si="361">INDIRECT(ADDRESS($C160,COLUMN(BM155)))</f>
        <v>0</v>
      </c>
      <c r="BP160" s="75">
        <f t="shared" ref="BP160" ca="1" si="362">INDIRECT(ADDRESS($C160,COLUMN(BP155)))</f>
        <v>0</v>
      </c>
      <c r="BS160" s="75"/>
      <c r="BV160" s="75">
        <f t="shared" ref="BV160" ca="1" si="363">INDIRECT(ADDRESS($C160,COLUMN(BV155)))</f>
        <v>0</v>
      </c>
      <c r="BY160" s="75">
        <f t="shared" ref="BY160" ca="1" si="364">INDIRECT(ADDRESS($C160,COLUMN(BY155)))</f>
        <v>0</v>
      </c>
      <c r="CB160" s="75"/>
      <c r="CE160" s="75">
        <f t="shared" ref="CE160" ca="1" si="365">INDIRECT(ADDRESS($C160,COLUMN(CE155)))</f>
        <v>0</v>
      </c>
      <c r="CH160" s="75">
        <f t="shared" ref="CH160" ca="1" si="366">INDIRECT(ADDRESS($C160,COLUMN(CH155)))</f>
        <v>0</v>
      </c>
      <c r="CK160" s="75">
        <f t="shared" ref="CK160" ca="1" si="367">INDIRECT(ADDRESS($C160,COLUMN(CK155)))</f>
        <v>0</v>
      </c>
      <c r="CN160" s="75">
        <f t="shared" ref="CN160" ca="1" si="368">INDIRECT(ADDRESS($C160,COLUMN(CN155)))</f>
        <v>0</v>
      </c>
      <c r="CQ160" s="75">
        <f t="shared" ref="CQ160" ca="1" si="369">INDIRECT(ADDRESS($C160,COLUMN(CQ155)))</f>
        <v>0</v>
      </c>
      <c r="CT160" s="75">
        <f t="shared" ref="CT160" ca="1" si="370">INDIRECT(ADDRESS($C160,COLUMN(CT155)))</f>
        <v>0</v>
      </c>
      <c r="CW160" s="75">
        <f t="shared" ref="CW160" ca="1" si="371">INDIRECT(ADDRESS($C160,COLUMN(CW155)))</f>
        <v>0</v>
      </c>
      <c r="CZ160" s="75">
        <f t="shared" ref="CZ160" ca="1" si="372">INDIRECT(ADDRESS($C160,COLUMN(CZ155)))</f>
        <v>0</v>
      </c>
      <c r="DC160" s="75">
        <f t="shared" ref="DC160" ca="1" si="373">INDIRECT(ADDRESS($C160,COLUMN(DC155)))</f>
        <v>0</v>
      </c>
      <c r="DF160" s="75">
        <f t="shared" ref="DF160" ca="1" si="374">INDIRECT(ADDRESS($C160,COLUMN(DF155)))</f>
        <v>0</v>
      </c>
    </row>
    <row r="161" spans="1:110" ht="18">
      <c r="A161" s="14" t="s">
        <v>64</v>
      </c>
      <c r="B161" s="75">
        <f ca="1">B155</f>
        <v>1.3827448268123942E-2</v>
      </c>
      <c r="D161" s="74" t="s">
        <v>68</v>
      </c>
      <c r="E161" s="75">
        <f ca="1">M155</f>
        <v>1.7558725488733915E-2</v>
      </c>
      <c r="I161" s="79" t="s">
        <v>25</v>
      </c>
      <c r="J161" s="78">
        <f t="shared" ref="J161:J162" ca="1" si="375">K161-1.5*M161</f>
        <v>-2.7843508464034628</v>
      </c>
      <c r="K161" s="78">
        <f ca="1">AVERAGE(Q163:DH163)-1</f>
        <v>-0.24006938630194941</v>
      </c>
      <c r="L161" s="78">
        <f t="shared" ref="L161:L162" ca="1" si="376">K161+1.5*M161</f>
        <v>2.3042120737995635</v>
      </c>
      <c r="M161" s="78">
        <f ca="1">STDEV(Q163:DH163)</f>
        <v>1.6961876400676754</v>
      </c>
      <c r="N161" s="45" t="s">
        <v>75</v>
      </c>
      <c r="P161" s="72"/>
      <c r="Q161" s="75">
        <f ca="1">Q155</f>
        <v>0.11559592522521427</v>
      </c>
      <c r="T161" s="75">
        <f t="shared" ref="T161" ca="1" si="377">T155</f>
        <v>0.1054069214949848</v>
      </c>
      <c r="W161" s="75">
        <f t="shared" ref="W161" ca="1" si="378">W155</f>
        <v>0.12472482558797891</v>
      </c>
      <c r="Z161" s="75">
        <f t="shared" ref="Z161" ca="1" si="379">Z155</f>
        <v>8.450596414653827E-2</v>
      </c>
      <c r="AC161" s="75">
        <f t="shared" ref="AC161" ca="1" si="380">AC155</f>
        <v>7.8969402718567325E-2</v>
      </c>
      <c r="AF161" s="75"/>
      <c r="AI161" s="75">
        <f t="shared" ref="AI161" ca="1" si="381">AI155</f>
        <v>0</v>
      </c>
      <c r="AL161" s="75">
        <f t="shared" ref="AL161" ca="1" si="382">AL155</f>
        <v>0</v>
      </c>
      <c r="AO161" s="75">
        <f t="shared" ref="AO161" ca="1" si="383">AO155</f>
        <v>0</v>
      </c>
      <c r="AR161" s="75">
        <f t="shared" ref="AR161" ca="1" si="384">AR155</f>
        <v>0</v>
      </c>
      <c r="AU161" s="75">
        <f t="shared" ref="AU161" ca="1" si="385">AU155</f>
        <v>0</v>
      </c>
      <c r="AX161" s="75">
        <f t="shared" ref="AX161" ca="1" si="386">AX155</f>
        <v>0</v>
      </c>
      <c r="BA161" s="75">
        <f t="shared" ref="BA161" ca="1" si="387">BA155</f>
        <v>0</v>
      </c>
      <c r="BD161" s="75">
        <f t="shared" ref="BD161" ca="1" si="388">BD155</f>
        <v>0</v>
      </c>
      <c r="BG161" s="75">
        <f t="shared" ref="BG161" ca="1" si="389">BG155</f>
        <v>0</v>
      </c>
      <c r="BJ161" s="75">
        <f t="shared" ref="BJ161" ca="1" si="390">BJ155</f>
        <v>0</v>
      </c>
      <c r="BM161" s="75">
        <f t="shared" ref="BM161" ca="1" si="391">BM155</f>
        <v>0</v>
      </c>
      <c r="BP161" s="75">
        <f t="shared" ref="BP161" ca="1" si="392">BP155</f>
        <v>0</v>
      </c>
      <c r="BS161" s="75"/>
      <c r="BV161" s="75">
        <f t="shared" ref="BV161" ca="1" si="393">BV155</f>
        <v>0</v>
      </c>
      <c r="BY161" s="75">
        <f t="shared" ref="BY161" ca="1" si="394">BY155</f>
        <v>0</v>
      </c>
      <c r="CB161" s="75"/>
      <c r="CE161" s="75">
        <f t="shared" ref="CE161" ca="1" si="395">CE155</f>
        <v>0</v>
      </c>
      <c r="CH161" s="75">
        <f t="shared" ref="CH161" ca="1" si="396">CH155</f>
        <v>0</v>
      </c>
      <c r="CK161" s="75">
        <f t="shared" ref="CK161" ca="1" si="397">CK155</f>
        <v>0</v>
      </c>
      <c r="CN161" s="75">
        <f t="shared" ref="CN161" ca="1" si="398">CN155</f>
        <v>0</v>
      </c>
      <c r="CQ161" s="75">
        <f t="shared" ref="CQ161" ca="1" si="399">CQ155</f>
        <v>0</v>
      </c>
      <c r="CT161" s="75">
        <f t="shared" ref="CT161" ca="1" si="400">CT155</f>
        <v>0</v>
      </c>
      <c r="CW161" s="75">
        <f t="shared" ref="CW161" ca="1" si="401">CW155</f>
        <v>0</v>
      </c>
      <c r="CZ161" s="75">
        <f t="shared" ref="CZ161" ca="1" si="402">CZ155</f>
        <v>0</v>
      </c>
      <c r="DC161" s="75">
        <f t="shared" ref="DC161" ca="1" si="403">DC155</f>
        <v>0</v>
      </c>
      <c r="DF161" s="75">
        <f t="shared" ref="DF161" ca="1" si="404">DF155</f>
        <v>0</v>
      </c>
    </row>
    <row r="162" spans="1:110">
      <c r="A162" s="14" t="s">
        <v>69</v>
      </c>
      <c r="B162" s="63">
        <f ca="1">B160-B161</f>
        <v>23.137930715306208</v>
      </c>
      <c r="D162" s="74" t="s">
        <v>66</v>
      </c>
      <c r="E162" s="63">
        <f ca="1">E160-E161</f>
        <v>17.583221888185619</v>
      </c>
      <c r="F162" s="77"/>
      <c r="I162" s="79" t="s">
        <v>74</v>
      </c>
      <c r="J162" s="79">
        <f t="shared" ca="1" si="375"/>
        <v>-1.8411875065153335E-2</v>
      </c>
      <c r="K162" s="48">
        <f ca="1">AVERAGE(Q164:DH164)</f>
        <v>7.0508242404604422E-3</v>
      </c>
      <c r="L162" s="79">
        <f t="shared" ca="1" si="376"/>
        <v>3.2513523546074223E-2</v>
      </c>
      <c r="M162" s="79">
        <f ca="1">STDEV(Q164:DH164)</f>
        <v>1.6975132870409186E-2</v>
      </c>
      <c r="N162" s="45" t="s">
        <v>36</v>
      </c>
      <c r="P162" s="14"/>
      <c r="Q162" s="63">
        <f ca="1">Q160-Q161</f>
        <v>104.36255561033384</v>
      </c>
      <c r="T162" s="63">
        <f t="shared" ref="T162" ca="1" si="405">T160-T161</f>
        <v>103.02591555058883</v>
      </c>
      <c r="W162" s="63">
        <f t="shared" ref="W162" ca="1" si="406">W160-W161</f>
        <v>108.09047666143324</v>
      </c>
      <c r="Z162" s="63">
        <f t="shared" ref="Z162" ca="1" si="407">Z160-Z161</f>
        <v>96.306410047244228</v>
      </c>
      <c r="AC162" s="63">
        <f t="shared" ref="AC162" ca="1" si="408">AC160-AC161</f>
        <v>98.128076887782825</v>
      </c>
      <c r="AF162" s="63"/>
      <c r="AI162" s="63">
        <f t="shared" ref="AI162" ca="1" si="409">AI160-AI161</f>
        <v>0</v>
      </c>
      <c r="AL162" s="63">
        <f t="shared" ref="AL162" ca="1" si="410">AL160-AL161</f>
        <v>0</v>
      </c>
      <c r="AO162" s="63">
        <f t="shared" ref="AO162" ca="1" si="411">AO160-AO161</f>
        <v>0</v>
      </c>
      <c r="AR162" s="63">
        <f t="shared" ref="AR162" ca="1" si="412">AR160-AR161</f>
        <v>0</v>
      </c>
      <c r="AU162" s="63">
        <f t="shared" ref="AU162" ca="1" si="413">AU160-AU161</f>
        <v>0</v>
      </c>
      <c r="AX162" s="63">
        <f t="shared" ref="AX162" ca="1" si="414">AX160-AX161</f>
        <v>0</v>
      </c>
      <c r="BA162" s="63">
        <f t="shared" ref="BA162" ca="1" si="415">BA160-BA161</f>
        <v>0</v>
      </c>
      <c r="BD162" s="63">
        <f t="shared" ref="BD162" ca="1" si="416">BD160-BD161</f>
        <v>0</v>
      </c>
      <c r="BG162" s="63">
        <f t="shared" ref="BG162" ca="1" si="417">BG160-BG161</f>
        <v>0</v>
      </c>
      <c r="BJ162" s="63">
        <f t="shared" ref="BJ162" ca="1" si="418">BJ160-BJ161</f>
        <v>0</v>
      </c>
      <c r="BM162" s="63">
        <f t="shared" ref="BM162" ca="1" si="419">BM160-BM161</f>
        <v>0</v>
      </c>
      <c r="BP162" s="63">
        <f t="shared" ref="BP162" ca="1" si="420">BP160-BP161</f>
        <v>0</v>
      </c>
      <c r="BS162" s="63"/>
      <c r="BV162" s="63">
        <f t="shared" ref="BV162" ca="1" si="421">BV160-BV161</f>
        <v>0</v>
      </c>
      <c r="BY162" s="63">
        <f t="shared" ref="BY162" ca="1" si="422">BY160-BY161</f>
        <v>0</v>
      </c>
      <c r="CB162" s="63"/>
      <c r="CE162" s="63">
        <f t="shared" ref="CE162" ca="1" si="423">CE160-CE161</f>
        <v>0</v>
      </c>
      <c r="CH162" s="63">
        <f t="shared" ref="CH162" ca="1" si="424">CH160-CH161</f>
        <v>0</v>
      </c>
      <c r="CK162" s="63">
        <f t="shared" ref="CK162" ca="1" si="425">CK160-CK161</f>
        <v>0</v>
      </c>
      <c r="CN162" s="63">
        <f t="shared" ref="CN162" ca="1" si="426">CN160-CN161</f>
        <v>0</v>
      </c>
      <c r="CQ162" s="63">
        <f t="shared" ref="CQ162" ca="1" si="427">CQ160-CQ161</f>
        <v>0</v>
      </c>
      <c r="CT162" s="63">
        <f t="shared" ref="CT162" ca="1" si="428">CT160-CT161</f>
        <v>0</v>
      </c>
      <c r="CW162" s="63">
        <f t="shared" ref="CW162" ca="1" si="429">CW160-CW161</f>
        <v>0</v>
      </c>
      <c r="CZ162" s="63">
        <f t="shared" ref="CZ162" ca="1" si="430">CZ160-CZ161</f>
        <v>0</v>
      </c>
      <c r="DC162" s="63">
        <f t="shared" ref="DC162" ca="1" si="431">DC160-DC161</f>
        <v>0</v>
      </c>
      <c r="DF162" s="63">
        <f t="shared" ref="DF162" ca="1" si="432">DF160-DF161</f>
        <v>0</v>
      </c>
    </row>
    <row r="163" spans="1:110">
      <c r="C163" s="29" t="s">
        <v>73</v>
      </c>
      <c r="D163" s="74" t="s">
        <v>0</v>
      </c>
      <c r="E163" s="61">
        <f ca="1">E162/$B162</f>
        <v>0.75993061369805048</v>
      </c>
      <c r="I163" s="112" t="str">
        <f ca="1">partNumber&amp;": INL="&amp;INT(G166*1000+0.5)/10&amp;"% FSR"</f>
        <v>29121: INL=4.3% FSR</v>
      </c>
      <c r="J163" s="112"/>
      <c r="K163" s="112"/>
      <c r="P163" s="74"/>
      <c r="Q163" s="61">
        <f ca="1">Q162/$B162</f>
        <v>4.5104532853188948</v>
      </c>
      <c r="T163" s="61">
        <f t="shared" ref="T163" ca="1" si="433">T162/$B162</f>
        <v>4.4526849361872758</v>
      </c>
      <c r="W163" s="61">
        <f t="shared" ref="W163" ca="1" si="434">W162/$B162</f>
        <v>4.6715705907931175</v>
      </c>
      <c r="Z163" s="61">
        <f t="shared" ref="Z163" ca="1" si="435">Z162/$B162</f>
        <v>4.1622741131096737</v>
      </c>
      <c r="AC163" s="61">
        <f t="shared" ref="AC163" ca="1" si="436">AC162/$B162</f>
        <v>4.2410048718345035</v>
      </c>
      <c r="AI163" s="61">
        <f t="shared" ref="AI163" ca="1" si="437">AI162/$B162</f>
        <v>0</v>
      </c>
      <c r="AL163" s="61">
        <f t="shared" ref="AL163" ca="1" si="438">AL162/$B162</f>
        <v>0</v>
      </c>
      <c r="AO163" s="61">
        <f t="shared" ref="AO163" ca="1" si="439">AO162/$B162</f>
        <v>0</v>
      </c>
      <c r="AR163" s="61">
        <f t="shared" ref="AR163" ca="1" si="440">AR162/$B162</f>
        <v>0</v>
      </c>
      <c r="AU163" s="61">
        <f t="shared" ref="AU163" ca="1" si="441">AU162/$B162</f>
        <v>0</v>
      </c>
      <c r="AX163" s="61">
        <f t="shared" ref="AX163" ca="1" si="442">AX162/$B162</f>
        <v>0</v>
      </c>
      <c r="BA163" s="61">
        <f t="shared" ref="BA163" ca="1" si="443">BA162/$B162</f>
        <v>0</v>
      </c>
      <c r="BD163" s="61">
        <f t="shared" ref="BD163" ca="1" si="444">BD162/$B162</f>
        <v>0</v>
      </c>
      <c r="BG163" s="61">
        <f t="shared" ref="BG163" ca="1" si="445">BG162/$B162</f>
        <v>0</v>
      </c>
      <c r="BJ163" s="61">
        <f t="shared" ref="BJ163" ca="1" si="446">BJ162/$B162</f>
        <v>0</v>
      </c>
      <c r="BM163" s="61">
        <f t="shared" ref="BM163" ca="1" si="447">BM162/$B162</f>
        <v>0</v>
      </c>
      <c r="BP163" s="61">
        <f t="shared" ref="BP163" ca="1" si="448">BP162/$B162</f>
        <v>0</v>
      </c>
      <c r="BV163" s="61">
        <f t="shared" ref="BV163" ca="1" si="449">BV162/$B162</f>
        <v>0</v>
      </c>
      <c r="BY163" s="61">
        <f t="shared" ref="BY163" ca="1" si="450">BY162/$B162</f>
        <v>0</v>
      </c>
      <c r="CE163" s="61">
        <f t="shared" ref="CE163" ca="1" si="451">CE162/$B162</f>
        <v>0</v>
      </c>
      <c r="CH163" s="61">
        <f t="shared" ref="CH163" ca="1" si="452">CH162/$B162</f>
        <v>0</v>
      </c>
      <c r="CK163" s="61">
        <f t="shared" ref="CK163" ca="1" si="453">CK162/$B162</f>
        <v>0</v>
      </c>
      <c r="CN163" s="61">
        <f t="shared" ref="CN163" ca="1" si="454">CN162/$B162</f>
        <v>0</v>
      </c>
      <c r="CQ163" s="61">
        <f t="shared" ref="CQ163" ca="1" si="455">CQ162/$B162</f>
        <v>0</v>
      </c>
      <c r="CT163" s="61">
        <f t="shared" ref="CT163" ca="1" si="456">CT162/$B162</f>
        <v>0</v>
      </c>
      <c r="CW163" s="61">
        <f t="shared" ref="CW163" ca="1" si="457">CW162/$B162</f>
        <v>0</v>
      </c>
      <c r="CZ163" s="61">
        <f t="shared" ref="CZ163" ca="1" si="458">CZ162/$B162</f>
        <v>0</v>
      </c>
      <c r="DC163" s="61">
        <f t="shared" ref="DC163" ca="1" si="459">DC162/$B162</f>
        <v>0</v>
      </c>
      <c r="DF163" s="61">
        <f t="shared" ref="DF163" ca="1" si="460">DF162/$B162</f>
        <v>0</v>
      </c>
    </row>
    <row r="164" spans="1:110">
      <c r="C164" s="29" t="s">
        <v>74</v>
      </c>
      <c r="D164" s="74" t="s">
        <v>1</v>
      </c>
      <c r="E164" s="61">
        <f ca="1">E161-E163*$B161</f>
        <v>7.0508242404604422E-3</v>
      </c>
      <c r="P164" s="74"/>
      <c r="Q164" s="61">
        <f ca="1">Q161-Q163*$B161</f>
        <v>5.3227865756677567E-2</v>
      </c>
      <c r="T164" s="61">
        <f t="shared" ref="T164" ca="1" si="461">T161-T163*$B161</f>
        <v>4.3837650885600488E-2</v>
      </c>
      <c r="W164" s="61">
        <f t="shared" ref="W164" ca="1" si="462">W161-W163*$B161</f>
        <v>6.0128924912897883E-2</v>
      </c>
      <c r="Z164" s="61">
        <f t="shared" ref="Z164" ca="1" si="463">Z161-Z163*$B161</f>
        <v>2.6952334169762796E-2</v>
      </c>
      <c r="AC164" s="61">
        <f t="shared" ref="AC164" ca="1" si="464">AC161-AC163*$B161</f>
        <v>2.0327127248414116E-2</v>
      </c>
      <c r="AI164" s="61">
        <f t="shared" ref="AI164" ca="1" si="465">AI161-AI163*$B161</f>
        <v>0</v>
      </c>
      <c r="AL164" s="61">
        <f t="shared" ref="AL164" ca="1" si="466">AL161-AL163*$B161</f>
        <v>0</v>
      </c>
      <c r="AO164" s="61">
        <f t="shared" ref="AO164" ca="1" si="467">AO161-AO163*$B161</f>
        <v>0</v>
      </c>
      <c r="AR164" s="61">
        <f t="shared" ref="AR164" ca="1" si="468">AR161-AR163*$B161</f>
        <v>0</v>
      </c>
      <c r="AU164" s="61">
        <f t="shared" ref="AU164" ca="1" si="469">AU161-AU163*$B161</f>
        <v>0</v>
      </c>
      <c r="AX164" s="61">
        <f t="shared" ref="AX164" ca="1" si="470">AX161-AX163*$B161</f>
        <v>0</v>
      </c>
      <c r="BA164" s="61">
        <f t="shared" ref="BA164" ca="1" si="471">BA161-BA163*$B161</f>
        <v>0</v>
      </c>
      <c r="BD164" s="61">
        <f t="shared" ref="BD164" ca="1" si="472">BD161-BD163*$B161</f>
        <v>0</v>
      </c>
      <c r="BG164" s="61">
        <f t="shared" ref="BG164" ca="1" si="473">BG161-BG163*$B161</f>
        <v>0</v>
      </c>
      <c r="BJ164" s="61">
        <f t="shared" ref="BJ164" ca="1" si="474">BJ161-BJ163*$B161</f>
        <v>0</v>
      </c>
      <c r="BM164" s="61">
        <f t="shared" ref="BM164" ca="1" si="475">BM161-BM163*$B161</f>
        <v>0</v>
      </c>
      <c r="BP164" s="61">
        <f t="shared" ref="BP164" ca="1" si="476">BP161-BP163*$B161</f>
        <v>0</v>
      </c>
      <c r="BV164" s="61">
        <f t="shared" ref="BV164" ca="1" si="477">BV161-BV163*$B161</f>
        <v>0</v>
      </c>
      <c r="BY164" s="61">
        <f t="shared" ref="BY164" ca="1" si="478">BY161-BY163*$B161</f>
        <v>0</v>
      </c>
      <c r="CE164" s="61">
        <f t="shared" ref="CE164" ca="1" si="479">CE161-CE163*$B161</f>
        <v>0</v>
      </c>
      <c r="CH164" s="61">
        <f t="shared" ref="CH164" ca="1" si="480">CH161-CH163*$B161</f>
        <v>0</v>
      </c>
      <c r="CK164" s="61">
        <f t="shared" ref="CK164" ca="1" si="481">CK161-CK163*$B161</f>
        <v>0</v>
      </c>
      <c r="CN164" s="61">
        <f t="shared" ref="CN164" ca="1" si="482">CN161-CN163*$B161</f>
        <v>0</v>
      </c>
      <c r="CQ164" s="61">
        <f t="shared" ref="CQ164" ca="1" si="483">CQ161-CQ163*$B161</f>
        <v>0</v>
      </c>
      <c r="CT164" s="61">
        <f t="shared" ref="CT164" ca="1" si="484">CT161-CT163*$B161</f>
        <v>0</v>
      </c>
      <c r="CW164" s="61">
        <f t="shared" ref="CW164" ca="1" si="485">CW161-CW163*$B161</f>
        <v>0</v>
      </c>
      <c r="CZ164" s="61">
        <f t="shared" ref="CZ164" ca="1" si="486">CZ161-CZ163*$B161</f>
        <v>0</v>
      </c>
      <c r="DC164" s="61">
        <f t="shared" ref="DC164" ca="1" si="487">DC161-DC163*$B161</f>
        <v>0</v>
      </c>
      <c r="DF164" s="61">
        <f t="shared" ref="DF164" ca="1" si="488">DF161-DF163*$B161</f>
        <v>0</v>
      </c>
    </row>
    <row r="165" spans="1:110" ht="15.75" thickBot="1">
      <c r="B165" s="113" t="str">
        <f>B1</f>
        <v>Calibration</v>
      </c>
      <c r="C165" s="113"/>
      <c r="D165" s="74"/>
      <c r="H165" s="114" t="s">
        <v>72</v>
      </c>
      <c r="I165" s="114"/>
      <c r="J165" s="114"/>
      <c r="K165" s="114"/>
      <c r="L165" s="101" t="s">
        <v>71</v>
      </c>
      <c r="M165" s="101"/>
      <c r="N165" s="101"/>
      <c r="O165" s="101"/>
      <c r="P165" s="74"/>
    </row>
    <row r="166" spans="1:110" ht="15.75" thickBot="1">
      <c r="B166" s="75" t="str">
        <f>B2</f>
        <v>Lux</v>
      </c>
      <c r="C166" s="74" t="str">
        <f>C2</f>
        <v>CCT</v>
      </c>
      <c r="D166" s="74"/>
      <c r="F166" s="61">
        <f ca="1">MAX(F167:F191)</f>
        <v>23.151758163574332</v>
      </c>
      <c r="G166" s="82">
        <f ca="1">MAX(G167:G191)</f>
        <v>4.2605851888707032E-2</v>
      </c>
      <c r="H166" s="74" t="str">
        <f t="shared" ref="H166:O166" si="489">H2</f>
        <v>-1.5σ</v>
      </c>
      <c r="I166" s="74" t="str">
        <f t="shared" si="489"/>
        <v>AVG</v>
      </c>
      <c r="J166" s="74" t="str">
        <f t="shared" si="489"/>
        <v>+1.5σ</v>
      </c>
      <c r="K166" s="74" t="str">
        <f t="shared" si="489"/>
        <v>STDEV</v>
      </c>
      <c r="L166" s="74" t="str">
        <f t="shared" si="489"/>
        <v>-1.5σ</v>
      </c>
      <c r="M166" s="74" t="str">
        <f t="shared" si="489"/>
        <v>AVG</v>
      </c>
      <c r="N166" s="74" t="str">
        <f t="shared" si="489"/>
        <v>+1.5σ</v>
      </c>
      <c r="O166" s="74" t="str">
        <f t="shared" si="489"/>
        <v>STDEV</v>
      </c>
      <c r="P166" s="74"/>
    </row>
    <row r="167" spans="1:110">
      <c r="A167" s="14">
        <f>A3</f>
        <v>1</v>
      </c>
      <c r="B167" s="63">
        <f ca="1">B3</f>
        <v>23.151758163574332</v>
      </c>
      <c r="C167" s="63">
        <f>C3</f>
        <v>3933.1</v>
      </c>
      <c r="E167" s="61">
        <f t="shared" ref="E167:E191" ca="1" si="490">inlError($B$167:$B$191,M$131:M$155,$P$131:$P$155,E$163:E$164,$A167)</f>
        <v>-7.030057247447985E-8</v>
      </c>
      <c r="F167" s="61">
        <f t="shared" ref="F167:F191" ca="1" si="491">B167*(P131=TRUE)</f>
        <v>23.151758163574332</v>
      </c>
      <c r="G167" s="2">
        <f ca="1">MAX(ABS(H167),ABS(J167))</f>
        <v>9.2444614118138049E-8</v>
      </c>
      <c r="H167" s="12">
        <f t="shared" ref="H167:H191" ca="1" si="492">L167/$F$166</f>
        <v>-9.2444614118138049E-8</v>
      </c>
      <c r="I167" s="12">
        <f t="shared" ref="I167:I191" ca="1" si="493">M167/$F$166</f>
        <v>-3.0462216401753277E-9</v>
      </c>
      <c r="J167" s="12">
        <f t="shared" ref="J167:J191" ca="1" si="494">N167/$F$166</f>
        <v>8.6352170837787397E-8</v>
      </c>
      <c r="K167" s="12">
        <f t="shared" ref="K167:K191" ca="1" si="495">O167/$F$166</f>
        <v>5.9598928318641811E-8</v>
      </c>
      <c r="L167" s="61">
        <f t="shared" ref="L167:L191" ca="1" si="496">M167-1.5*O167</f>
        <v>-2.1402553495880816E-6</v>
      </c>
      <c r="M167" s="63">
        <f t="shared" ref="M167:M191" ca="1" si="497">AVERAGE(Q167:DH167)</f>
        <v>-7.0525386725985932E-8</v>
      </c>
      <c r="N167" s="61">
        <f t="shared" ref="N167:N191" ca="1" si="498">M167+1.5*O167</f>
        <v>1.9992045761361097E-6</v>
      </c>
      <c r="O167" s="61">
        <f t="shared" ref="O167:O191" ca="1" si="499">STDEV(Q167:DH167)</f>
        <v>1.379819975241397E-6</v>
      </c>
      <c r="Q167" s="61">
        <f t="shared" ref="Q167:Q191" ca="1" si="500">inlError($B$167:$B$191,Q$131:Q$155,$P$131:$P$155,Q$163:Q$164,$A167)</f>
        <v>-1.416974441781349E-6</v>
      </c>
      <c r="T167" s="61">
        <f t="shared" ref="T167:T182" ca="1" si="501">inlError($B$167:$B$191,T$131:T$155,$P$131:$P$155,T$163:T$164,$A167)</f>
        <v>-1.31624676669162E-6</v>
      </c>
      <c r="W167" s="61">
        <f t="shared" ref="W167:W182" ca="1" si="502">inlError($B$167:$B$191,W$131:W$155,$P$131:$P$155,W$163:W$164,$A167)</f>
        <v>4.3302852645865642E-6</v>
      </c>
      <c r="Z167" s="61">
        <f t="shared" ref="Z167:Z182" ca="1" si="503">inlError($B$167:$B$191,Z$131:Z$155,$P$131:$P$155,Z$163:Z$164,$A167)</f>
        <v>-5.3088901950104628E-6</v>
      </c>
      <c r="AC167" s="61">
        <f t="shared" ref="AC167:AC182" ca="1" si="504">inlError($B$167:$B$191,AC$131:AC$155,$P$131:$P$155,AC$163:AC$164,$A167)</f>
        <v>1.6665899238432758E-6</v>
      </c>
      <c r="AI167" s="61">
        <f t="shared" ref="AI167:AI182" ca="1" si="505">inlError($B$167:$B$191,AI$131:AI$155,$P$131:$P$155,AI$163:AI$164,$A167)</f>
        <v>0</v>
      </c>
      <c r="AL167" s="61">
        <f t="shared" ref="AL167:AL182" ca="1" si="506">inlError($B$167:$B$191,AL$131:AL$155,$P$131:$P$155,AL$163:AL$164,$A167)</f>
        <v>0</v>
      </c>
      <c r="AO167" s="61">
        <f t="shared" ref="AO167:AO182" ca="1" si="507">inlError($B$167:$B$191,AO$131:AO$155,$P$131:$P$155,AO$163:AO$164,$A167)</f>
        <v>0</v>
      </c>
      <c r="AR167" s="61">
        <f t="shared" ref="AR167:AR182" ca="1" si="508">inlError($B$167:$B$191,AR$131:AR$155,$P$131:$P$155,AR$163:AR$164,$A167)</f>
        <v>0</v>
      </c>
      <c r="AU167" s="61">
        <f t="shared" ref="AU167:AU182" ca="1" si="509">inlError($B$167:$B$191,AU$131:AU$155,$P$131:$P$155,AU$163:AU$164,$A167)</f>
        <v>0</v>
      </c>
      <c r="AX167" s="61">
        <f t="shared" ref="AX167:AX182" ca="1" si="510">inlError($B$167:$B$191,AX$131:AX$155,$P$131:$P$155,AX$163:AX$164,$A167)</f>
        <v>0</v>
      </c>
      <c r="BA167" s="61">
        <f t="shared" ref="BA167:BA182" ca="1" si="511">inlError($B$167:$B$191,BA$131:BA$155,$P$131:$P$155,BA$163:BA$164,$A167)</f>
        <v>0</v>
      </c>
      <c r="BD167" s="61">
        <f t="shared" ref="BD167:BD182" ca="1" si="512">inlError($B$167:$B$191,BD$131:BD$155,$P$131:$P$155,BD$163:BD$164,$A167)</f>
        <v>0</v>
      </c>
      <c r="BG167" s="61">
        <f t="shared" ref="BG167:BG182" ca="1" si="513">inlError($B$167:$B$191,BG$131:BG$155,$P$131:$P$155,BG$163:BG$164,$A167)</f>
        <v>0</v>
      </c>
      <c r="BJ167" s="61">
        <f t="shared" ref="BJ167:BJ182" ca="1" si="514">inlError($B$167:$B$191,BJ$131:BJ$155,$P$131:$P$155,BJ$163:BJ$164,$A167)</f>
        <v>0</v>
      </c>
      <c r="BM167" s="61">
        <f t="shared" ref="BM167:BM182" ca="1" si="515">inlError($B$167:$B$191,BM$131:BM$155,$P$131:$P$155,BM$163:BM$164,$A167)</f>
        <v>0</v>
      </c>
      <c r="BP167" s="61">
        <f t="shared" ref="BP167:BP182" ca="1" si="516">inlError($B$167:$B$191,BP$131:BP$155,$P$131:$P$155,BP$163:BP$164,$A167)</f>
        <v>0</v>
      </c>
      <c r="BV167" s="61">
        <f t="shared" ref="BV167:BV182" ca="1" si="517">inlError($B$167:$B$191,BV$131:BV$155,$P$131:$P$155,BV$163:BV$164,$A167)</f>
        <v>0</v>
      </c>
      <c r="BY167" s="61">
        <f t="shared" ref="BY167:BY182" ca="1" si="518">inlError($B$167:$B$191,BY$131:BY$155,$P$131:$P$155,BY$163:BY$164,$A167)</f>
        <v>0</v>
      </c>
      <c r="CE167" s="61">
        <f t="shared" ref="CE167:CE182" ca="1" si="519">inlError($B$167:$B$191,CE$131:CE$155,$P$131:$P$155,CE$163:CE$164,$A167)</f>
        <v>0</v>
      </c>
      <c r="CH167" s="61">
        <f t="shared" ref="CH167:CH182" ca="1" si="520">inlError($B$167:$B$191,CH$131:CH$155,$P$131:$P$155,CH$163:CH$164,$A167)</f>
        <v>0</v>
      </c>
      <c r="CK167" s="61">
        <f t="shared" ref="CK167:CK182" ca="1" si="521">inlError($B$167:$B$191,CK$131:CK$155,$P$131:$P$155,CK$163:CK$164,$A167)</f>
        <v>0</v>
      </c>
      <c r="CN167" s="61">
        <f t="shared" ref="CN167:CN182" ca="1" si="522">inlError($B$167:$B$191,CN$131:CN$155,$P$131:$P$155,CN$163:CN$164,$A167)</f>
        <v>0</v>
      </c>
      <c r="CQ167" s="61">
        <f t="shared" ref="CQ167:CQ182" ca="1" si="523">inlError($B$167:$B$191,CQ$131:CQ$155,$P$131:$P$155,CQ$163:CQ$164,$A167)</f>
        <v>0</v>
      </c>
      <c r="CT167" s="61">
        <f t="shared" ref="CT167:CT182" ca="1" si="524">inlError($B$167:$B$191,CT$131:CT$155,$P$131:$P$155,CT$163:CT$164,$A167)</f>
        <v>0</v>
      </c>
      <c r="CW167" s="61">
        <f t="shared" ref="CW167:CW182" ca="1" si="525">inlError($B$167:$B$191,CW$131:CW$155,$P$131:$P$155,CW$163:CW$164,$A167)</f>
        <v>0</v>
      </c>
      <c r="CZ167" s="61">
        <f t="shared" ref="CZ167:CZ182" ca="1" si="526">inlError($B$167:$B$191,CZ$131:CZ$155,$P$131:$P$155,CZ$163:CZ$164,$A167)</f>
        <v>0</v>
      </c>
      <c r="DC167" s="61">
        <f t="shared" ref="DC167:DC182" ca="1" si="527">inlError($B$167:$B$191,DC$131:DC$155,$P$131:$P$155,DC$163:DC$164,$A167)</f>
        <v>0</v>
      </c>
      <c r="DF167" s="61">
        <f t="shared" ref="DF167:DF182" ca="1" si="528">inlError($B$167:$B$191,DF$131:DF$155,$P$131:$P$155,DF$163:DF$164,$A167)</f>
        <v>0</v>
      </c>
    </row>
    <row r="168" spans="1:110">
      <c r="A168" s="14">
        <f t="shared" ref="A168:C183" si="529">A4</f>
        <v>2</v>
      </c>
      <c r="B168" s="63">
        <f t="shared" ca="1" si="529"/>
        <v>18.852958021449371</v>
      </c>
      <c r="C168" s="63">
        <f t="shared" si="529"/>
        <v>3954.7</v>
      </c>
      <c r="E168" s="61">
        <f t="shared" ca="1" si="490"/>
        <v>-2.2844625636935234E-2</v>
      </c>
      <c r="F168" s="61">
        <f t="shared" ca="1" si="491"/>
        <v>18.852958021449371</v>
      </c>
      <c r="G168" s="2">
        <f t="shared" ref="G168:G191" ca="1" si="530">MAX(ABS(H168),ABS(J168))</f>
        <v>9.2706343291723212E-3</v>
      </c>
      <c r="H168" s="12">
        <f t="shared" ca="1" si="492"/>
        <v>-9.2706343291723212E-3</v>
      </c>
      <c r="I168" s="12">
        <f t="shared" ca="1" si="493"/>
        <v>-9.8673399643709977E-4</v>
      </c>
      <c r="J168" s="12">
        <f t="shared" ca="1" si="494"/>
        <v>7.2971663362981221E-3</v>
      </c>
      <c r="K168" s="12">
        <f t="shared" ca="1" si="495"/>
        <v>5.5226002218234814E-3</v>
      </c>
      <c r="L168" s="61">
        <f t="shared" ca="1" si="496"/>
        <v>-0.21463148401192772</v>
      </c>
      <c r="M168" s="63">
        <f t="shared" ca="1" si="497"/>
        <v>-2.2844626857288951E-2</v>
      </c>
      <c r="N168" s="61">
        <f t="shared" ca="1" si="498"/>
        <v>0.16894223029734984</v>
      </c>
      <c r="O168" s="61">
        <f t="shared" ca="1" si="499"/>
        <v>0.1278579047697592</v>
      </c>
      <c r="P168" s="74"/>
      <c r="Q168" s="61">
        <f t="shared" ca="1" si="500"/>
        <v>0.22482225298881531</v>
      </c>
      <c r="T168" s="61">
        <f t="shared" ca="1" si="501"/>
        <v>-0.33514383435249329</v>
      </c>
      <c r="W168" s="61">
        <f t="shared" ca="1" si="502"/>
        <v>3.7207607179880142E-2</v>
      </c>
      <c r="Z168" s="61">
        <f t="shared" ca="1" si="503"/>
        <v>-3.4946858882904053E-2</v>
      </c>
      <c r="AC168" s="61">
        <f t="shared" ca="1" si="504"/>
        <v>-0.55443334579467773</v>
      </c>
      <c r="AI168" s="61">
        <f t="shared" ca="1" si="505"/>
        <v>0</v>
      </c>
      <c r="AL168" s="61">
        <f t="shared" ca="1" si="506"/>
        <v>0</v>
      </c>
      <c r="AO168" s="61">
        <f t="shared" ca="1" si="507"/>
        <v>0</v>
      </c>
      <c r="AR168" s="61">
        <f t="shared" ca="1" si="508"/>
        <v>0</v>
      </c>
      <c r="AU168" s="61">
        <f t="shared" ca="1" si="509"/>
        <v>0</v>
      </c>
      <c r="AX168" s="61">
        <f t="shared" ca="1" si="510"/>
        <v>0</v>
      </c>
      <c r="BA168" s="61">
        <f t="shared" ca="1" si="511"/>
        <v>0</v>
      </c>
      <c r="BD168" s="61">
        <f t="shared" ca="1" si="512"/>
        <v>0</v>
      </c>
      <c r="BG168" s="61">
        <f t="shared" ca="1" si="513"/>
        <v>0</v>
      </c>
      <c r="BJ168" s="61">
        <f t="shared" ca="1" si="514"/>
        <v>0</v>
      </c>
      <c r="BM168" s="61">
        <f t="shared" ca="1" si="515"/>
        <v>0</v>
      </c>
      <c r="BP168" s="61">
        <f t="shared" ca="1" si="516"/>
        <v>0</v>
      </c>
      <c r="BV168" s="61">
        <f t="shared" ca="1" si="517"/>
        <v>0</v>
      </c>
      <c r="BY168" s="61">
        <f t="shared" ca="1" si="518"/>
        <v>0</v>
      </c>
      <c r="CE168" s="61">
        <f t="shared" ca="1" si="519"/>
        <v>0</v>
      </c>
      <c r="CH168" s="61">
        <f t="shared" ca="1" si="520"/>
        <v>0</v>
      </c>
      <c r="CK168" s="61">
        <f t="shared" ca="1" si="521"/>
        <v>0</v>
      </c>
      <c r="CN168" s="61">
        <f t="shared" ca="1" si="522"/>
        <v>0</v>
      </c>
      <c r="CQ168" s="61">
        <f t="shared" ca="1" si="523"/>
        <v>0</v>
      </c>
      <c r="CT168" s="61">
        <f t="shared" ca="1" si="524"/>
        <v>0</v>
      </c>
      <c r="CW168" s="61">
        <f t="shared" ca="1" si="525"/>
        <v>0</v>
      </c>
      <c r="CZ168" s="61">
        <f t="shared" ca="1" si="526"/>
        <v>0</v>
      </c>
      <c r="DC168" s="61">
        <f t="shared" ca="1" si="527"/>
        <v>0</v>
      </c>
      <c r="DF168" s="61">
        <f t="shared" ca="1" si="528"/>
        <v>0</v>
      </c>
    </row>
    <row r="169" spans="1:110">
      <c r="A169" s="14">
        <f t="shared" si="529"/>
        <v>3</v>
      </c>
      <c r="B169" s="63">
        <f t="shared" ca="1" si="529"/>
        <v>15.437578208746091</v>
      </c>
      <c r="C169" s="63">
        <f t="shared" si="529"/>
        <v>3988.4</v>
      </c>
      <c r="E169" s="61">
        <f t="shared" ca="1" si="490"/>
        <v>6.2028538435697556E-2</v>
      </c>
      <c r="F169" s="61">
        <f t="shared" ca="1" si="491"/>
        <v>15.437578208746091</v>
      </c>
      <c r="G169" s="2">
        <f t="shared" ca="1" si="530"/>
        <v>1.4008753546644298E-2</v>
      </c>
      <c r="H169" s="12">
        <f t="shared" ca="1" si="492"/>
        <v>-8.650323609323286E-3</v>
      </c>
      <c r="I169" s="12">
        <f t="shared" ca="1" si="493"/>
        <v>2.6792149686605056E-3</v>
      </c>
      <c r="J169" s="12">
        <f t="shared" ca="1" si="494"/>
        <v>1.4008753546644298E-2</v>
      </c>
      <c r="K169" s="12">
        <f t="shared" ca="1" si="495"/>
        <v>7.5530257186558619E-3</v>
      </c>
      <c r="L169" s="61">
        <f t="shared" ca="1" si="496"/>
        <v>-0.20027020023971018</v>
      </c>
      <c r="M169" s="63">
        <f t="shared" ca="1" si="497"/>
        <v>6.2028537022656406E-2</v>
      </c>
      <c r="N169" s="61">
        <f t="shared" ca="1" si="498"/>
        <v>0.324327274285023</v>
      </c>
      <c r="O169" s="61">
        <f t="shared" ca="1" si="499"/>
        <v>0.17486582484157773</v>
      </c>
      <c r="P169" s="74"/>
      <c r="Q169" s="61">
        <f t="shared" ca="1" si="500"/>
        <v>0.17424917221069336</v>
      </c>
      <c r="T169" s="61">
        <f t="shared" ca="1" si="501"/>
        <v>0.11573211848735809</v>
      </c>
      <c r="W169" s="61">
        <f t="shared" ca="1" si="502"/>
        <v>0.67869162559509277</v>
      </c>
      <c r="Z169" s="61">
        <f t="shared" ca="1" si="503"/>
        <v>0.6588054895401001</v>
      </c>
      <c r="AC169" s="61">
        <f t="shared" ca="1" si="504"/>
        <v>0.1713491678237915</v>
      </c>
      <c r="AI169" s="61">
        <f t="shared" ca="1" si="505"/>
        <v>0</v>
      </c>
      <c r="AL169" s="61">
        <f t="shared" ca="1" si="506"/>
        <v>0</v>
      </c>
      <c r="AO169" s="61">
        <f t="shared" ca="1" si="507"/>
        <v>0</v>
      </c>
      <c r="AR169" s="61">
        <f t="shared" ca="1" si="508"/>
        <v>0</v>
      </c>
      <c r="AU169" s="61">
        <f t="shared" ca="1" si="509"/>
        <v>0</v>
      </c>
      <c r="AX169" s="61">
        <f t="shared" ca="1" si="510"/>
        <v>0</v>
      </c>
      <c r="BA169" s="61">
        <f t="shared" ca="1" si="511"/>
        <v>0</v>
      </c>
      <c r="BD169" s="61">
        <f t="shared" ca="1" si="512"/>
        <v>0</v>
      </c>
      <c r="BG169" s="61">
        <f t="shared" ca="1" si="513"/>
        <v>0</v>
      </c>
      <c r="BJ169" s="61">
        <f t="shared" ca="1" si="514"/>
        <v>0</v>
      </c>
      <c r="BM169" s="61">
        <f t="shared" ca="1" si="515"/>
        <v>0</v>
      </c>
      <c r="BP169" s="61">
        <f t="shared" ca="1" si="516"/>
        <v>0</v>
      </c>
      <c r="BV169" s="61">
        <f t="shared" ca="1" si="517"/>
        <v>0</v>
      </c>
      <c r="BY169" s="61">
        <f t="shared" ca="1" si="518"/>
        <v>0</v>
      </c>
      <c r="CE169" s="61">
        <f t="shared" ca="1" si="519"/>
        <v>0</v>
      </c>
      <c r="CH169" s="61">
        <f t="shared" ca="1" si="520"/>
        <v>0</v>
      </c>
      <c r="CK169" s="61">
        <f t="shared" ca="1" si="521"/>
        <v>0</v>
      </c>
      <c r="CN169" s="61">
        <f t="shared" ca="1" si="522"/>
        <v>0</v>
      </c>
      <c r="CQ169" s="61">
        <f t="shared" ca="1" si="523"/>
        <v>0</v>
      </c>
      <c r="CT169" s="61">
        <f t="shared" ca="1" si="524"/>
        <v>0</v>
      </c>
      <c r="CW169" s="61">
        <f t="shared" ca="1" si="525"/>
        <v>0</v>
      </c>
      <c r="CZ169" s="61">
        <f t="shared" ca="1" si="526"/>
        <v>0</v>
      </c>
      <c r="DC169" s="61">
        <f t="shared" ca="1" si="527"/>
        <v>0</v>
      </c>
      <c r="DF169" s="61">
        <f t="shared" ca="1" si="528"/>
        <v>0</v>
      </c>
    </row>
    <row r="170" spans="1:110">
      <c r="A170" s="14">
        <f t="shared" si="529"/>
        <v>4</v>
      </c>
      <c r="B170" s="63">
        <f t="shared" ca="1" si="529"/>
        <v>12.825726800021135</v>
      </c>
      <c r="C170" s="63">
        <f t="shared" si="529"/>
        <v>3978.3</v>
      </c>
      <c r="E170" s="61">
        <f t="shared" ca="1" si="490"/>
        <v>6.633079145103693E-3</v>
      </c>
      <c r="F170" s="61">
        <f t="shared" ca="1" si="491"/>
        <v>12.825726800021135</v>
      </c>
      <c r="G170" s="2">
        <f t="shared" ca="1" si="530"/>
        <v>6.9544711319577488E-3</v>
      </c>
      <c r="H170" s="12">
        <f t="shared" ca="1" si="492"/>
        <v>-6.3814624907300027E-3</v>
      </c>
      <c r="I170" s="12">
        <f t="shared" ca="1" si="493"/>
        <v>2.8650432061387283E-4</v>
      </c>
      <c r="J170" s="12">
        <f t="shared" ca="1" si="494"/>
        <v>6.9544711319577488E-3</v>
      </c>
      <c r="K170" s="12">
        <f t="shared" ca="1" si="495"/>
        <v>4.4453112075625838E-3</v>
      </c>
      <c r="L170" s="61">
        <f t="shared" ca="1" si="496"/>
        <v>-0.14774207631530173</v>
      </c>
      <c r="M170" s="63">
        <f t="shared" ca="1" si="497"/>
        <v>6.6330787436715485E-3</v>
      </c>
      <c r="N170" s="61">
        <f t="shared" ca="1" si="498"/>
        <v>0.16100823380264484</v>
      </c>
      <c r="O170" s="61">
        <f t="shared" ca="1" si="499"/>
        <v>0.10291677003931553</v>
      </c>
      <c r="Q170" s="61">
        <f t="shared" ca="1" si="500"/>
        <v>6.8666793406009674E-2</v>
      </c>
      <c r="T170" s="61">
        <f t="shared" ca="1" si="501"/>
        <v>-0.15604910254478455</v>
      </c>
      <c r="W170" s="61">
        <f t="shared" ca="1" si="502"/>
        <v>-9.6791714429855347E-2</v>
      </c>
      <c r="Z170" s="61">
        <f t="shared" ca="1" si="503"/>
        <v>0.49528807401657104</v>
      </c>
      <c r="AC170" s="61">
        <f t="shared" ca="1" si="504"/>
        <v>-0.11875476688146591</v>
      </c>
      <c r="AI170" s="61">
        <f t="shared" ca="1" si="505"/>
        <v>0</v>
      </c>
      <c r="AL170" s="61">
        <f t="shared" ca="1" si="506"/>
        <v>0</v>
      </c>
      <c r="AO170" s="61">
        <f t="shared" ca="1" si="507"/>
        <v>0</v>
      </c>
      <c r="AR170" s="61">
        <f t="shared" ca="1" si="508"/>
        <v>0</v>
      </c>
      <c r="AU170" s="61">
        <f t="shared" ca="1" si="509"/>
        <v>0</v>
      </c>
      <c r="AX170" s="61">
        <f t="shared" ca="1" si="510"/>
        <v>0</v>
      </c>
      <c r="BA170" s="61">
        <f t="shared" ca="1" si="511"/>
        <v>0</v>
      </c>
      <c r="BD170" s="61">
        <f t="shared" ca="1" si="512"/>
        <v>0</v>
      </c>
      <c r="BG170" s="61">
        <f t="shared" ca="1" si="513"/>
        <v>0</v>
      </c>
      <c r="BJ170" s="61">
        <f t="shared" ca="1" si="514"/>
        <v>0</v>
      </c>
      <c r="BM170" s="61">
        <f t="shared" ca="1" si="515"/>
        <v>0</v>
      </c>
      <c r="BP170" s="61">
        <f t="shared" ca="1" si="516"/>
        <v>0</v>
      </c>
      <c r="BV170" s="61">
        <f t="shared" ca="1" si="517"/>
        <v>0</v>
      </c>
      <c r="BY170" s="61">
        <f t="shared" ca="1" si="518"/>
        <v>0</v>
      </c>
      <c r="CE170" s="61">
        <f t="shared" ca="1" si="519"/>
        <v>0</v>
      </c>
      <c r="CH170" s="61">
        <f t="shared" ca="1" si="520"/>
        <v>0</v>
      </c>
      <c r="CK170" s="61">
        <f t="shared" ca="1" si="521"/>
        <v>0</v>
      </c>
      <c r="CN170" s="61">
        <f t="shared" ca="1" si="522"/>
        <v>0</v>
      </c>
      <c r="CQ170" s="61">
        <f t="shared" ca="1" si="523"/>
        <v>0</v>
      </c>
      <c r="CT170" s="61">
        <f t="shared" ca="1" si="524"/>
        <v>0</v>
      </c>
      <c r="CW170" s="61">
        <f t="shared" ca="1" si="525"/>
        <v>0</v>
      </c>
      <c r="CZ170" s="61">
        <f t="shared" ca="1" si="526"/>
        <v>0</v>
      </c>
      <c r="DC170" s="61">
        <f t="shared" ca="1" si="527"/>
        <v>0</v>
      </c>
      <c r="DF170" s="61">
        <f t="shared" ca="1" si="528"/>
        <v>0</v>
      </c>
    </row>
    <row r="171" spans="1:110">
      <c r="A171" s="14">
        <f t="shared" si="529"/>
        <v>5</v>
      </c>
      <c r="B171" s="63">
        <f t="shared" ca="1" si="529"/>
        <v>9.4994572118508245</v>
      </c>
      <c r="C171" s="63">
        <f t="shared" si="529"/>
        <v>3960.5</v>
      </c>
      <c r="E171" s="61">
        <f t="shared" ca="1" si="490"/>
        <v>-0.21875588595867157</v>
      </c>
      <c r="F171" s="61">
        <f t="shared" ca="1" si="491"/>
        <v>9.4994572118508245</v>
      </c>
      <c r="G171" s="2">
        <f t="shared" ca="1" si="530"/>
        <v>4.2605851888707032E-2</v>
      </c>
      <c r="H171" s="12">
        <f t="shared" ca="1" si="492"/>
        <v>-4.2605851888707032E-2</v>
      </c>
      <c r="I171" s="12">
        <f t="shared" ca="1" si="493"/>
        <v>-9.4487805555095034E-3</v>
      </c>
      <c r="J171" s="12">
        <f t="shared" ca="1" si="494"/>
        <v>2.3708290777688018E-2</v>
      </c>
      <c r="K171" s="12">
        <f t="shared" ca="1" si="495"/>
        <v>2.2104714222131686E-2</v>
      </c>
      <c r="L171" s="61">
        <f t="shared" ca="1" si="496"/>
        <v>-0.98640037928041191</v>
      </c>
      <c r="M171" s="63">
        <f t="shared" ca="1" si="497"/>
        <v>-0.21875588236183957</v>
      </c>
      <c r="N171" s="61">
        <f t="shared" ca="1" si="498"/>
        <v>0.54888861455673266</v>
      </c>
      <c r="O171" s="61">
        <f t="shared" ca="1" si="499"/>
        <v>0.51176299794571489</v>
      </c>
      <c r="Q171" s="61">
        <f t="shared" ca="1" si="500"/>
        <v>-1.7100168466567993</v>
      </c>
      <c r="T171" s="61">
        <f t="shared" ca="1" si="501"/>
        <v>-1.0044248104095459</v>
      </c>
      <c r="W171" s="61">
        <f t="shared" ca="1" si="502"/>
        <v>-1.5774723291397095</v>
      </c>
      <c r="Z171" s="61">
        <f t="shared" ca="1" si="503"/>
        <v>-0.71439707279205322</v>
      </c>
      <c r="AC171" s="61">
        <f t="shared" ca="1" si="504"/>
        <v>-1.3376095294952393</v>
      </c>
      <c r="AI171" s="61">
        <f t="shared" ca="1" si="505"/>
        <v>0</v>
      </c>
      <c r="AL171" s="61">
        <f t="shared" ca="1" si="506"/>
        <v>0</v>
      </c>
      <c r="AO171" s="61">
        <f t="shared" ca="1" si="507"/>
        <v>0</v>
      </c>
      <c r="AR171" s="61">
        <f t="shared" ca="1" si="508"/>
        <v>0</v>
      </c>
      <c r="AU171" s="61">
        <f t="shared" ca="1" si="509"/>
        <v>0</v>
      </c>
      <c r="AX171" s="61">
        <f t="shared" ca="1" si="510"/>
        <v>0</v>
      </c>
      <c r="BA171" s="61">
        <f t="shared" ca="1" si="511"/>
        <v>0</v>
      </c>
      <c r="BD171" s="61">
        <f t="shared" ca="1" si="512"/>
        <v>0</v>
      </c>
      <c r="BG171" s="61">
        <f t="shared" ca="1" si="513"/>
        <v>0</v>
      </c>
      <c r="BJ171" s="61">
        <f t="shared" ca="1" si="514"/>
        <v>0</v>
      </c>
      <c r="BM171" s="61">
        <f t="shared" ca="1" si="515"/>
        <v>0</v>
      </c>
      <c r="BP171" s="61">
        <f t="shared" ca="1" si="516"/>
        <v>0</v>
      </c>
      <c r="BV171" s="61">
        <f t="shared" ca="1" si="517"/>
        <v>0</v>
      </c>
      <c r="BY171" s="61">
        <f t="shared" ca="1" si="518"/>
        <v>0</v>
      </c>
      <c r="CE171" s="61">
        <f t="shared" ca="1" si="519"/>
        <v>0</v>
      </c>
      <c r="CH171" s="61">
        <f t="shared" ca="1" si="520"/>
        <v>0</v>
      </c>
      <c r="CK171" s="61">
        <f t="shared" ca="1" si="521"/>
        <v>0</v>
      </c>
      <c r="CN171" s="61">
        <f t="shared" ca="1" si="522"/>
        <v>0</v>
      </c>
      <c r="CQ171" s="61">
        <f t="shared" ca="1" si="523"/>
        <v>0</v>
      </c>
      <c r="CT171" s="61">
        <f t="shared" ca="1" si="524"/>
        <v>0</v>
      </c>
      <c r="CW171" s="61">
        <f t="shared" ca="1" si="525"/>
        <v>0</v>
      </c>
      <c r="CZ171" s="61">
        <f t="shared" ca="1" si="526"/>
        <v>0</v>
      </c>
      <c r="DC171" s="61">
        <f t="shared" ca="1" si="527"/>
        <v>0</v>
      </c>
      <c r="DF171" s="61">
        <f t="shared" ca="1" si="528"/>
        <v>0</v>
      </c>
    </row>
    <row r="172" spans="1:110">
      <c r="A172" s="14">
        <f t="shared" si="529"/>
        <v>6</v>
      </c>
      <c r="B172" s="63">
        <f t="shared" ca="1" si="529"/>
        <v>7.108076789685887</v>
      </c>
      <c r="C172" s="63">
        <f t="shared" si="529"/>
        <v>3971.2</v>
      </c>
      <c r="E172" s="61">
        <f t="shared" ca="1" si="490"/>
        <v>-0.17921082675457001</v>
      </c>
      <c r="F172" s="61">
        <f t="shared" ca="1" si="491"/>
        <v>7.108076789685887</v>
      </c>
      <c r="G172" s="2">
        <f t="shared" ca="1" si="530"/>
        <v>3.4340597380653447E-2</v>
      </c>
      <c r="H172" s="12">
        <f t="shared" ca="1" si="492"/>
        <v>-3.4340597380653447E-2</v>
      </c>
      <c r="I172" s="12">
        <f t="shared" ca="1" si="493"/>
        <v>-7.7407007326566026E-3</v>
      </c>
      <c r="J172" s="12">
        <f t="shared" ca="1" si="494"/>
        <v>1.8859195915340236E-2</v>
      </c>
      <c r="K172" s="12">
        <f t="shared" ca="1" si="495"/>
        <v>1.7733264431997894E-2</v>
      </c>
      <c r="L172" s="61">
        <f t="shared" ca="1" si="496"/>
        <v>-0.79504520574956272</v>
      </c>
      <c r="M172" s="63">
        <f t="shared" ca="1" si="497"/>
        <v>-0.17921083137906832</v>
      </c>
      <c r="N172" s="61">
        <f t="shared" ca="1" si="498"/>
        <v>0.43662354299142603</v>
      </c>
      <c r="O172" s="61">
        <f t="shared" ca="1" si="499"/>
        <v>0.4105562495803296</v>
      </c>
      <c r="Q172" s="61">
        <f t="shared" ca="1" si="500"/>
        <v>-1.4151415824890137</v>
      </c>
      <c r="T172" s="61">
        <f t="shared" ca="1" si="501"/>
        <v>-0.97986388206481934</v>
      </c>
      <c r="W172" s="61">
        <f t="shared" ca="1" si="502"/>
        <v>-1.1301878690719604</v>
      </c>
      <c r="Z172" s="61">
        <f t="shared" ca="1" si="503"/>
        <v>-0.75467014312744141</v>
      </c>
      <c r="AC172" s="61">
        <f t="shared" ca="1" si="504"/>
        <v>-0.91725063323974609</v>
      </c>
      <c r="AI172" s="61">
        <f t="shared" ca="1" si="505"/>
        <v>0</v>
      </c>
      <c r="AL172" s="61">
        <f t="shared" ca="1" si="506"/>
        <v>0</v>
      </c>
      <c r="AO172" s="61">
        <f t="shared" ca="1" si="507"/>
        <v>0</v>
      </c>
      <c r="AR172" s="61">
        <f t="shared" ca="1" si="508"/>
        <v>0</v>
      </c>
      <c r="AU172" s="61">
        <f t="shared" ca="1" si="509"/>
        <v>0</v>
      </c>
      <c r="AX172" s="61">
        <f t="shared" ca="1" si="510"/>
        <v>0</v>
      </c>
      <c r="BA172" s="61">
        <f t="shared" ca="1" si="511"/>
        <v>0</v>
      </c>
      <c r="BD172" s="61">
        <f t="shared" ca="1" si="512"/>
        <v>0</v>
      </c>
      <c r="BG172" s="61">
        <f t="shared" ca="1" si="513"/>
        <v>0</v>
      </c>
      <c r="BJ172" s="61">
        <f t="shared" ca="1" si="514"/>
        <v>0</v>
      </c>
      <c r="BM172" s="61">
        <f t="shared" ca="1" si="515"/>
        <v>0</v>
      </c>
      <c r="BP172" s="61">
        <f t="shared" ca="1" si="516"/>
        <v>0</v>
      </c>
      <c r="BV172" s="61">
        <f t="shared" ca="1" si="517"/>
        <v>0</v>
      </c>
      <c r="BY172" s="61">
        <f t="shared" ca="1" si="518"/>
        <v>0</v>
      </c>
      <c r="CE172" s="61">
        <f t="shared" ca="1" si="519"/>
        <v>0</v>
      </c>
      <c r="CH172" s="61">
        <f t="shared" ca="1" si="520"/>
        <v>0</v>
      </c>
      <c r="CK172" s="61">
        <f t="shared" ca="1" si="521"/>
        <v>0</v>
      </c>
      <c r="CN172" s="61">
        <f t="shared" ca="1" si="522"/>
        <v>0</v>
      </c>
      <c r="CQ172" s="61">
        <f t="shared" ca="1" si="523"/>
        <v>0</v>
      </c>
      <c r="CT172" s="61">
        <f t="shared" ca="1" si="524"/>
        <v>0</v>
      </c>
      <c r="CW172" s="61">
        <f t="shared" ca="1" si="525"/>
        <v>0</v>
      </c>
      <c r="CZ172" s="61">
        <f t="shared" ca="1" si="526"/>
        <v>0</v>
      </c>
      <c r="DC172" s="61">
        <f t="shared" ca="1" si="527"/>
        <v>0</v>
      </c>
      <c r="DF172" s="61">
        <f t="shared" ca="1" si="528"/>
        <v>0</v>
      </c>
    </row>
    <row r="173" spans="1:110">
      <c r="A173" s="14">
        <f t="shared" si="529"/>
        <v>7</v>
      </c>
      <c r="B173" s="63">
        <f t="shared" ca="1" si="529"/>
        <v>5.8108316409221263</v>
      </c>
      <c r="C173" s="63">
        <f t="shared" si="529"/>
        <v>3979.2</v>
      </c>
      <c r="E173" s="61">
        <f t="shared" ca="1" si="490"/>
        <v>-0.16318359971046448</v>
      </c>
      <c r="F173" s="61">
        <f t="shared" ca="1" si="491"/>
        <v>5.8108316409221263</v>
      </c>
      <c r="G173" s="2">
        <f t="shared" ca="1" si="530"/>
        <v>3.1678866981148579E-2</v>
      </c>
      <c r="H173" s="12">
        <f t="shared" ca="1" si="492"/>
        <v>-3.1678866981148579E-2</v>
      </c>
      <c r="I173" s="12">
        <f t="shared" ca="1" si="493"/>
        <v>-7.0484325076244012E-3</v>
      </c>
      <c r="J173" s="12">
        <f t="shared" ca="1" si="494"/>
        <v>1.758200196589978E-2</v>
      </c>
      <c r="K173" s="12">
        <f t="shared" ca="1" si="495"/>
        <v>1.642028964901612E-2</v>
      </c>
      <c r="L173" s="61">
        <f t="shared" ca="1" si="496"/>
        <v>-0.73342146724359203</v>
      </c>
      <c r="M173" s="63">
        <f t="shared" ca="1" si="497"/>
        <v>-0.16318360484879593</v>
      </c>
      <c r="N173" s="61">
        <f t="shared" ca="1" si="498"/>
        <v>0.40705425754600022</v>
      </c>
      <c r="O173" s="61">
        <f t="shared" ca="1" si="499"/>
        <v>0.38015857492986405</v>
      </c>
      <c r="Q173" s="61">
        <f t="shared" ca="1" si="500"/>
        <v>-1.2205213308334351</v>
      </c>
      <c r="T173" s="61">
        <f t="shared" ca="1" si="501"/>
        <v>-1.1282651424407959</v>
      </c>
      <c r="W173" s="61">
        <f t="shared" ca="1" si="502"/>
        <v>-1.0880674123764038</v>
      </c>
      <c r="Z173" s="61">
        <f t="shared" ca="1" si="503"/>
        <v>-0.77647072076797485</v>
      </c>
      <c r="AC173" s="61">
        <f t="shared" ca="1" si="504"/>
        <v>-0.51899993419647217</v>
      </c>
      <c r="AI173" s="61">
        <f t="shared" ca="1" si="505"/>
        <v>0</v>
      </c>
      <c r="AL173" s="61">
        <f t="shared" ca="1" si="506"/>
        <v>0</v>
      </c>
      <c r="AO173" s="61">
        <f t="shared" ca="1" si="507"/>
        <v>0</v>
      </c>
      <c r="AR173" s="61">
        <f t="shared" ca="1" si="508"/>
        <v>0</v>
      </c>
      <c r="AU173" s="61">
        <f t="shared" ca="1" si="509"/>
        <v>0</v>
      </c>
      <c r="AX173" s="61">
        <f t="shared" ca="1" si="510"/>
        <v>0</v>
      </c>
      <c r="BA173" s="61">
        <f t="shared" ca="1" si="511"/>
        <v>0</v>
      </c>
      <c r="BD173" s="61">
        <f t="shared" ca="1" si="512"/>
        <v>0</v>
      </c>
      <c r="BG173" s="61">
        <f t="shared" ca="1" si="513"/>
        <v>0</v>
      </c>
      <c r="BJ173" s="61">
        <f t="shared" ca="1" si="514"/>
        <v>0</v>
      </c>
      <c r="BM173" s="61">
        <f t="shared" ca="1" si="515"/>
        <v>0</v>
      </c>
      <c r="BP173" s="61">
        <f t="shared" ca="1" si="516"/>
        <v>0</v>
      </c>
      <c r="BV173" s="61">
        <f t="shared" ca="1" si="517"/>
        <v>0</v>
      </c>
      <c r="BY173" s="61">
        <f t="shared" ca="1" si="518"/>
        <v>0</v>
      </c>
      <c r="CE173" s="61">
        <f t="shared" ca="1" si="519"/>
        <v>0</v>
      </c>
      <c r="CH173" s="61">
        <f t="shared" ca="1" si="520"/>
        <v>0</v>
      </c>
      <c r="CK173" s="61">
        <f t="shared" ca="1" si="521"/>
        <v>0</v>
      </c>
      <c r="CN173" s="61">
        <f t="shared" ca="1" si="522"/>
        <v>0</v>
      </c>
      <c r="CQ173" s="61">
        <f t="shared" ca="1" si="523"/>
        <v>0</v>
      </c>
      <c r="CT173" s="61">
        <f t="shared" ca="1" si="524"/>
        <v>0</v>
      </c>
      <c r="CW173" s="61">
        <f t="shared" ca="1" si="525"/>
        <v>0</v>
      </c>
      <c r="CZ173" s="61">
        <f t="shared" ca="1" si="526"/>
        <v>0</v>
      </c>
      <c r="DC173" s="61">
        <f t="shared" ca="1" si="527"/>
        <v>0</v>
      </c>
      <c r="DF173" s="61">
        <f t="shared" ca="1" si="528"/>
        <v>0</v>
      </c>
    </row>
    <row r="174" spans="1:110">
      <c r="A174" s="14">
        <f t="shared" si="529"/>
        <v>8</v>
      </c>
      <c r="B174" s="63">
        <f t="shared" ca="1" si="529"/>
        <v>4.7264524101014667</v>
      </c>
      <c r="C174" s="63">
        <f t="shared" si="529"/>
        <v>4001.7</v>
      </c>
      <c r="E174" s="61">
        <f t="shared" ca="1" si="490"/>
        <v>-0.13065135478973389</v>
      </c>
      <c r="F174" s="61">
        <f t="shared" ca="1" si="491"/>
        <v>4.7264524101014667</v>
      </c>
      <c r="G174" s="2">
        <f t="shared" ca="1" si="530"/>
        <v>2.5215462683871925E-2</v>
      </c>
      <c r="H174" s="12">
        <f t="shared" ca="1" si="492"/>
        <v>-2.5215462683871925E-2</v>
      </c>
      <c r="I174" s="12">
        <f t="shared" ca="1" si="493"/>
        <v>-5.64325853449117E-3</v>
      </c>
      <c r="J174" s="12">
        <f t="shared" ca="1" si="494"/>
        <v>1.3928945614889589E-2</v>
      </c>
      <c r="K174" s="12">
        <f t="shared" ca="1" si="495"/>
        <v>1.3048136099587172E-2</v>
      </c>
      <c r="L174" s="61">
        <f t="shared" ca="1" si="496"/>
        <v>-0.58378229403963577</v>
      </c>
      <c r="M174" s="63">
        <f t="shared" ca="1" si="497"/>
        <v>-0.13065135684506646</v>
      </c>
      <c r="N174" s="61">
        <f t="shared" ca="1" si="498"/>
        <v>0.32247958034950291</v>
      </c>
      <c r="O174" s="61">
        <f t="shared" ca="1" si="499"/>
        <v>0.30208729146304625</v>
      </c>
      <c r="Q174" s="61">
        <f t="shared" ca="1" si="500"/>
        <v>-1.086185097694397</v>
      </c>
      <c r="T174" s="61">
        <f t="shared" ca="1" si="501"/>
        <v>-0.79292738437652588</v>
      </c>
      <c r="W174" s="61">
        <f t="shared" ca="1" si="502"/>
        <v>-0.60499083995819092</v>
      </c>
      <c r="Z174" s="61">
        <f t="shared" ca="1" si="503"/>
        <v>-0.54186493158340454</v>
      </c>
      <c r="AC174" s="61">
        <f t="shared" ca="1" si="504"/>
        <v>-0.76292109489440918</v>
      </c>
      <c r="AI174" s="61">
        <f t="shared" ca="1" si="505"/>
        <v>0</v>
      </c>
      <c r="AL174" s="61">
        <f t="shared" ca="1" si="506"/>
        <v>0</v>
      </c>
      <c r="AO174" s="61">
        <f t="shared" ca="1" si="507"/>
        <v>0</v>
      </c>
      <c r="AR174" s="61">
        <f t="shared" ca="1" si="508"/>
        <v>0</v>
      </c>
      <c r="AU174" s="61">
        <f t="shared" ca="1" si="509"/>
        <v>0</v>
      </c>
      <c r="AX174" s="61">
        <f t="shared" ca="1" si="510"/>
        <v>0</v>
      </c>
      <c r="BA174" s="61">
        <f t="shared" ca="1" si="511"/>
        <v>0</v>
      </c>
      <c r="BD174" s="61">
        <f t="shared" ca="1" si="512"/>
        <v>0</v>
      </c>
      <c r="BG174" s="61">
        <f t="shared" ca="1" si="513"/>
        <v>0</v>
      </c>
      <c r="BJ174" s="61">
        <f t="shared" ca="1" si="514"/>
        <v>0</v>
      </c>
      <c r="BM174" s="61">
        <f t="shared" ca="1" si="515"/>
        <v>0</v>
      </c>
      <c r="BP174" s="61">
        <f t="shared" ca="1" si="516"/>
        <v>0</v>
      </c>
      <c r="BV174" s="61">
        <f t="shared" ca="1" si="517"/>
        <v>0</v>
      </c>
      <c r="BY174" s="61">
        <f t="shared" ca="1" si="518"/>
        <v>0</v>
      </c>
      <c r="CE174" s="61">
        <f t="shared" ca="1" si="519"/>
        <v>0</v>
      </c>
      <c r="CH174" s="61">
        <f t="shared" ca="1" si="520"/>
        <v>0</v>
      </c>
      <c r="CK174" s="61">
        <f t="shared" ca="1" si="521"/>
        <v>0</v>
      </c>
      <c r="CN174" s="61">
        <f t="shared" ca="1" si="522"/>
        <v>0</v>
      </c>
      <c r="CQ174" s="61">
        <f t="shared" ca="1" si="523"/>
        <v>0</v>
      </c>
      <c r="CT174" s="61">
        <f t="shared" ca="1" si="524"/>
        <v>0</v>
      </c>
      <c r="CW174" s="61">
        <f t="shared" ca="1" si="525"/>
        <v>0</v>
      </c>
      <c r="CZ174" s="61">
        <f t="shared" ca="1" si="526"/>
        <v>0</v>
      </c>
      <c r="DC174" s="61">
        <f t="shared" ca="1" si="527"/>
        <v>0</v>
      </c>
      <c r="DF174" s="61">
        <f t="shared" ca="1" si="528"/>
        <v>0</v>
      </c>
    </row>
    <row r="175" spans="1:110">
      <c r="A175" s="14">
        <f t="shared" si="529"/>
        <v>9</v>
      </c>
      <c r="B175" s="63">
        <f t="shared" ca="1" si="529"/>
        <v>3.8737596974251551</v>
      </c>
      <c r="C175" s="63">
        <f t="shared" si="529"/>
        <v>4034.1</v>
      </c>
      <c r="E175" s="61">
        <f t="shared" ca="1" si="490"/>
        <v>-6.5057180821895599E-2</v>
      </c>
      <c r="F175" s="61">
        <f t="shared" ca="1" si="491"/>
        <v>3.8737596974251551</v>
      </c>
      <c r="G175" s="2">
        <f t="shared" ca="1" si="530"/>
        <v>1.3941650047087337E-2</v>
      </c>
      <c r="H175" s="12">
        <f t="shared" ca="1" si="492"/>
        <v>-1.3941650047087337E-2</v>
      </c>
      <c r="I175" s="12">
        <f t="shared" ca="1" si="493"/>
        <v>-2.8100319240406558E-3</v>
      </c>
      <c r="J175" s="12">
        <f t="shared" ca="1" si="494"/>
        <v>8.3215861990060258E-3</v>
      </c>
      <c r="K175" s="12">
        <f t="shared" ca="1" si="495"/>
        <v>7.421078748697788E-3</v>
      </c>
      <c r="L175" s="61">
        <f t="shared" ca="1" si="496"/>
        <v>-0.32277371029135071</v>
      </c>
      <c r="M175" s="63">
        <f t="shared" ca="1" si="497"/>
        <v>-6.5057179537312743E-2</v>
      </c>
      <c r="N175" s="61">
        <f t="shared" ca="1" si="498"/>
        <v>0.19265935121672526</v>
      </c>
      <c r="O175" s="61">
        <f t="shared" ca="1" si="499"/>
        <v>0.17181102050269201</v>
      </c>
      <c r="Q175" s="61">
        <f t="shared" ca="1" si="500"/>
        <v>-0.73716020584106445</v>
      </c>
      <c r="T175" s="61">
        <f t="shared" ca="1" si="501"/>
        <v>-0.48318558931350708</v>
      </c>
      <c r="W175" s="61">
        <f t="shared" ca="1" si="502"/>
        <v>-0.31197580695152283</v>
      </c>
      <c r="Z175" s="61">
        <f t="shared" ca="1" si="503"/>
        <v>-9.8766103386878967E-2</v>
      </c>
      <c r="AC175" s="61">
        <f t="shared" ca="1" si="504"/>
        <v>-0.25557050108909607</v>
      </c>
      <c r="AI175" s="61">
        <f t="shared" ca="1" si="505"/>
        <v>0</v>
      </c>
      <c r="AL175" s="61">
        <f t="shared" ca="1" si="506"/>
        <v>0</v>
      </c>
      <c r="AO175" s="61">
        <f t="shared" ca="1" si="507"/>
        <v>0</v>
      </c>
      <c r="AR175" s="61">
        <f t="shared" ca="1" si="508"/>
        <v>0</v>
      </c>
      <c r="AU175" s="61">
        <f t="shared" ca="1" si="509"/>
        <v>0</v>
      </c>
      <c r="AX175" s="61">
        <f t="shared" ca="1" si="510"/>
        <v>0</v>
      </c>
      <c r="BA175" s="61">
        <f t="shared" ca="1" si="511"/>
        <v>0</v>
      </c>
      <c r="BD175" s="61">
        <f t="shared" ca="1" si="512"/>
        <v>0</v>
      </c>
      <c r="BG175" s="61">
        <f t="shared" ca="1" si="513"/>
        <v>0</v>
      </c>
      <c r="BJ175" s="61">
        <f t="shared" ca="1" si="514"/>
        <v>0</v>
      </c>
      <c r="BM175" s="61">
        <f t="shared" ca="1" si="515"/>
        <v>0</v>
      </c>
      <c r="BP175" s="61">
        <f t="shared" ca="1" si="516"/>
        <v>0</v>
      </c>
      <c r="BV175" s="61">
        <f t="shared" ca="1" si="517"/>
        <v>0</v>
      </c>
      <c r="BY175" s="61">
        <f t="shared" ca="1" si="518"/>
        <v>0</v>
      </c>
      <c r="CE175" s="61">
        <f t="shared" ca="1" si="519"/>
        <v>0</v>
      </c>
      <c r="CH175" s="61">
        <f t="shared" ca="1" si="520"/>
        <v>0</v>
      </c>
      <c r="CK175" s="61">
        <f t="shared" ca="1" si="521"/>
        <v>0</v>
      </c>
      <c r="CN175" s="61">
        <f t="shared" ca="1" si="522"/>
        <v>0</v>
      </c>
      <c r="CQ175" s="61">
        <f t="shared" ca="1" si="523"/>
        <v>0</v>
      </c>
      <c r="CT175" s="61">
        <f t="shared" ca="1" si="524"/>
        <v>0</v>
      </c>
      <c r="CW175" s="61">
        <f t="shared" ca="1" si="525"/>
        <v>0</v>
      </c>
      <c r="CZ175" s="61">
        <f t="shared" ca="1" si="526"/>
        <v>0</v>
      </c>
      <c r="DC175" s="61">
        <f t="shared" ca="1" si="527"/>
        <v>0</v>
      </c>
      <c r="DF175" s="61">
        <f t="shared" ca="1" si="528"/>
        <v>0</v>
      </c>
    </row>
    <row r="176" spans="1:110">
      <c r="A176" s="14">
        <f t="shared" si="529"/>
        <v>10</v>
      </c>
      <c r="B176" s="63">
        <f t="shared" ca="1" si="529"/>
        <v>3.2207968686872634</v>
      </c>
      <c r="C176" s="63">
        <f t="shared" si="529"/>
        <v>4023.8</v>
      </c>
      <c r="E176" s="61">
        <f t="shared" ca="1" si="490"/>
        <v>-1.9589696079492569E-2</v>
      </c>
      <c r="F176" s="61">
        <f t="shared" ca="1" si="491"/>
        <v>3.2207968686872634</v>
      </c>
      <c r="G176" s="2">
        <f t="shared" ca="1" si="530"/>
        <v>8.4344006784852314E-3</v>
      </c>
      <c r="H176" s="12">
        <f t="shared" ca="1" si="492"/>
        <v>-8.4344006784852314E-3</v>
      </c>
      <c r="I176" s="12">
        <f t="shared" ca="1" si="493"/>
        <v>-8.4614297897311864E-4</v>
      </c>
      <c r="J176" s="12">
        <f t="shared" ca="1" si="494"/>
        <v>6.7421147205389952E-3</v>
      </c>
      <c r="K176" s="12">
        <f t="shared" ca="1" si="495"/>
        <v>5.0588384663414095E-3</v>
      </c>
      <c r="L176" s="61">
        <f t="shared" ca="1" si="496"/>
        <v>-0.19527120476297735</v>
      </c>
      <c r="M176" s="63">
        <f t="shared" ca="1" si="497"/>
        <v>-1.9589697620992004E-2</v>
      </c>
      <c r="N176" s="61">
        <f t="shared" ca="1" si="498"/>
        <v>0.15609180952099336</v>
      </c>
      <c r="O176" s="61">
        <f t="shared" ca="1" si="499"/>
        <v>0.11712100476132357</v>
      </c>
      <c r="Q176" s="61">
        <f t="shared" ca="1" si="500"/>
        <v>-0.62214541435241699</v>
      </c>
      <c r="T176" s="61">
        <f t="shared" ca="1" si="501"/>
        <v>6.3311584293842316E-2</v>
      </c>
      <c r="W176" s="61">
        <f t="shared" ca="1" si="502"/>
        <v>-5.5394958704710007E-2</v>
      </c>
      <c r="Z176" s="61">
        <f t="shared" ca="1" si="503"/>
        <v>2.5114871561527252E-2</v>
      </c>
      <c r="AC176" s="61">
        <f t="shared" ca="1" si="504"/>
        <v>2.1012686192989349E-2</v>
      </c>
      <c r="AI176" s="61">
        <f t="shared" ca="1" si="505"/>
        <v>0</v>
      </c>
      <c r="AL176" s="61">
        <f t="shared" ca="1" si="506"/>
        <v>0</v>
      </c>
      <c r="AO176" s="61">
        <f t="shared" ca="1" si="507"/>
        <v>0</v>
      </c>
      <c r="AR176" s="61">
        <f t="shared" ca="1" si="508"/>
        <v>0</v>
      </c>
      <c r="AU176" s="61">
        <f t="shared" ca="1" si="509"/>
        <v>0</v>
      </c>
      <c r="AX176" s="61">
        <f t="shared" ca="1" si="510"/>
        <v>0</v>
      </c>
      <c r="BA176" s="61">
        <f t="shared" ca="1" si="511"/>
        <v>0</v>
      </c>
      <c r="BD176" s="61">
        <f t="shared" ca="1" si="512"/>
        <v>0</v>
      </c>
      <c r="BG176" s="61">
        <f t="shared" ca="1" si="513"/>
        <v>0</v>
      </c>
      <c r="BJ176" s="61">
        <f t="shared" ca="1" si="514"/>
        <v>0</v>
      </c>
      <c r="BM176" s="61">
        <f t="shared" ca="1" si="515"/>
        <v>0</v>
      </c>
      <c r="BP176" s="61">
        <f t="shared" ca="1" si="516"/>
        <v>0</v>
      </c>
      <c r="BV176" s="61">
        <f t="shared" ca="1" si="517"/>
        <v>0</v>
      </c>
      <c r="BY176" s="61">
        <f t="shared" ca="1" si="518"/>
        <v>0</v>
      </c>
      <c r="CE176" s="61">
        <f t="shared" ca="1" si="519"/>
        <v>0</v>
      </c>
      <c r="CH176" s="61">
        <f t="shared" ca="1" si="520"/>
        <v>0</v>
      </c>
      <c r="CK176" s="61">
        <f t="shared" ca="1" si="521"/>
        <v>0</v>
      </c>
      <c r="CN176" s="61">
        <f t="shared" ca="1" si="522"/>
        <v>0</v>
      </c>
      <c r="CQ176" s="61">
        <f t="shared" ca="1" si="523"/>
        <v>0</v>
      </c>
      <c r="CT176" s="61">
        <f t="shared" ca="1" si="524"/>
        <v>0</v>
      </c>
      <c r="CW176" s="61">
        <f t="shared" ca="1" si="525"/>
        <v>0</v>
      </c>
      <c r="CZ176" s="61">
        <f t="shared" ca="1" si="526"/>
        <v>0</v>
      </c>
      <c r="DC176" s="61">
        <f t="shared" ca="1" si="527"/>
        <v>0</v>
      </c>
      <c r="DF176" s="61">
        <f t="shared" ca="1" si="528"/>
        <v>0</v>
      </c>
    </row>
    <row r="177" spans="1:110">
      <c r="A177" s="14">
        <f t="shared" si="529"/>
        <v>11</v>
      </c>
      <c r="B177" s="63">
        <f t="shared" ca="1" si="529"/>
        <v>2.38707854456778</v>
      </c>
      <c r="C177" s="63">
        <f t="shared" si="529"/>
        <v>4005.5</v>
      </c>
      <c r="E177" s="61">
        <f t="shared" ca="1" si="490"/>
        <v>-8.2275748252868652E-2</v>
      </c>
      <c r="F177" s="61">
        <f t="shared" ca="1" si="491"/>
        <v>2.38707854456778</v>
      </c>
      <c r="G177" s="2">
        <f t="shared" ca="1" si="530"/>
        <v>1.7410964734560049E-2</v>
      </c>
      <c r="H177" s="12">
        <f t="shared" ca="1" si="492"/>
        <v>-1.7410964734560049E-2</v>
      </c>
      <c r="I177" s="12">
        <f t="shared" ca="1" si="493"/>
        <v>-3.5537583062186166E-3</v>
      </c>
      <c r="J177" s="12">
        <f t="shared" ca="1" si="494"/>
        <v>1.0303448122122815E-2</v>
      </c>
      <c r="K177" s="12">
        <f t="shared" ca="1" si="495"/>
        <v>9.2381376188942869E-3</v>
      </c>
      <c r="L177" s="61">
        <f t="shared" ca="1" si="496"/>
        <v>-0.40309444492905538</v>
      </c>
      <c r="M177" s="63">
        <f t="shared" ca="1" si="497"/>
        <v>-8.2275752877366951E-2</v>
      </c>
      <c r="N177" s="61">
        <f t="shared" ca="1" si="498"/>
        <v>0.23854293917432151</v>
      </c>
      <c r="O177" s="61">
        <f t="shared" ca="1" si="499"/>
        <v>0.21387912803445897</v>
      </c>
      <c r="Q177" s="61">
        <f t="shared" ca="1" si="500"/>
        <v>-0.90419000387191772</v>
      </c>
      <c r="T177" s="61">
        <f t="shared" ca="1" si="501"/>
        <v>-0.25634220242500305</v>
      </c>
      <c r="W177" s="61">
        <f t="shared" ca="1" si="502"/>
        <v>-0.64161127805709839</v>
      </c>
      <c r="Z177" s="61">
        <f t="shared" ca="1" si="503"/>
        <v>-0.2152087539434433</v>
      </c>
      <c r="AC177" s="61">
        <f t="shared" ca="1" si="504"/>
        <v>-0.3686445951461792</v>
      </c>
      <c r="AI177" s="61">
        <f t="shared" ca="1" si="505"/>
        <v>0</v>
      </c>
      <c r="AL177" s="61">
        <f t="shared" ca="1" si="506"/>
        <v>0</v>
      </c>
      <c r="AO177" s="61">
        <f t="shared" ca="1" si="507"/>
        <v>0</v>
      </c>
      <c r="AR177" s="61">
        <f t="shared" ca="1" si="508"/>
        <v>0</v>
      </c>
      <c r="AU177" s="61">
        <f t="shared" ca="1" si="509"/>
        <v>0</v>
      </c>
      <c r="AX177" s="61">
        <f t="shared" ca="1" si="510"/>
        <v>0</v>
      </c>
      <c r="BA177" s="61">
        <f t="shared" ca="1" si="511"/>
        <v>0</v>
      </c>
      <c r="BD177" s="61">
        <f t="shared" ca="1" si="512"/>
        <v>0</v>
      </c>
      <c r="BG177" s="61">
        <f t="shared" ca="1" si="513"/>
        <v>0</v>
      </c>
      <c r="BJ177" s="61">
        <f t="shared" ca="1" si="514"/>
        <v>0</v>
      </c>
      <c r="BM177" s="61">
        <f t="shared" ca="1" si="515"/>
        <v>0</v>
      </c>
      <c r="BP177" s="61">
        <f t="shared" ca="1" si="516"/>
        <v>0</v>
      </c>
      <c r="BV177" s="61">
        <f t="shared" ca="1" si="517"/>
        <v>0</v>
      </c>
      <c r="BY177" s="61">
        <f t="shared" ca="1" si="518"/>
        <v>0</v>
      </c>
      <c r="CE177" s="61">
        <f t="shared" ca="1" si="519"/>
        <v>0</v>
      </c>
      <c r="CH177" s="61">
        <f t="shared" ca="1" si="520"/>
        <v>0</v>
      </c>
      <c r="CK177" s="61">
        <f t="shared" ca="1" si="521"/>
        <v>0</v>
      </c>
      <c r="CN177" s="61">
        <f t="shared" ca="1" si="522"/>
        <v>0</v>
      </c>
      <c r="CQ177" s="61">
        <f t="shared" ca="1" si="523"/>
        <v>0</v>
      </c>
      <c r="CT177" s="61">
        <f t="shared" ca="1" si="524"/>
        <v>0</v>
      </c>
      <c r="CW177" s="61">
        <f t="shared" ca="1" si="525"/>
        <v>0</v>
      </c>
      <c r="CZ177" s="61">
        <f t="shared" ca="1" si="526"/>
        <v>0</v>
      </c>
      <c r="DC177" s="61">
        <f t="shared" ca="1" si="527"/>
        <v>0</v>
      </c>
      <c r="DF177" s="61">
        <f t="shared" ca="1" si="528"/>
        <v>0</v>
      </c>
    </row>
    <row r="178" spans="1:110">
      <c r="A178" s="14">
        <f t="shared" si="529"/>
        <v>12</v>
      </c>
      <c r="B178" s="63">
        <f t="shared" ca="1" si="529"/>
        <v>2.1590792663518994</v>
      </c>
      <c r="C178" s="63">
        <f t="shared" si="529"/>
        <v>4009.6</v>
      </c>
      <c r="E178" s="61">
        <f t="shared" ca="1" si="490"/>
        <v>-6.1399936676025391E-2</v>
      </c>
      <c r="F178" s="61">
        <f t="shared" ca="1" si="491"/>
        <v>2.1590792663518994</v>
      </c>
      <c r="G178" s="2">
        <f t="shared" ca="1" si="530"/>
        <v>1.3558399275462331E-2</v>
      </c>
      <c r="H178" s="12">
        <f t="shared" ca="1" si="492"/>
        <v>-1.3558399275462331E-2</v>
      </c>
      <c r="I178" s="12">
        <f t="shared" ca="1" si="493"/>
        <v>-2.6520637123920408E-3</v>
      </c>
      <c r="J178" s="12">
        <f t="shared" ca="1" si="494"/>
        <v>8.2542718506782489E-3</v>
      </c>
      <c r="K178" s="12">
        <f t="shared" ca="1" si="495"/>
        <v>7.2708903753801925E-3</v>
      </c>
      <c r="L178" s="61">
        <f t="shared" ca="1" si="496"/>
        <v>-0.31390078111068531</v>
      </c>
      <c r="M178" s="63">
        <f t="shared" ca="1" si="497"/>
        <v>-6.1399937703691683E-2</v>
      </c>
      <c r="N178" s="61">
        <f t="shared" ca="1" si="498"/>
        <v>0.19110090570330196</v>
      </c>
      <c r="O178" s="61">
        <f t="shared" ca="1" si="499"/>
        <v>0.16833389560466241</v>
      </c>
      <c r="Q178" s="61">
        <f t="shared" ca="1" si="500"/>
        <v>-0.77017021179199219</v>
      </c>
      <c r="T178" s="61">
        <f t="shared" ca="1" si="501"/>
        <v>-0.24447415769100189</v>
      </c>
      <c r="W178" s="61">
        <f t="shared" ca="1" si="502"/>
        <v>-0.39419490098953247</v>
      </c>
      <c r="Z178" s="61">
        <f t="shared" ca="1" si="503"/>
        <v>-7.3355481028556824E-2</v>
      </c>
      <c r="AC178" s="61">
        <f t="shared" ca="1" si="504"/>
        <v>-0.29840344190597534</v>
      </c>
      <c r="AI178" s="61">
        <f t="shared" ca="1" si="505"/>
        <v>0</v>
      </c>
      <c r="AL178" s="61">
        <f t="shared" ca="1" si="506"/>
        <v>0</v>
      </c>
      <c r="AO178" s="61">
        <f t="shared" ca="1" si="507"/>
        <v>0</v>
      </c>
      <c r="AR178" s="61">
        <f t="shared" ca="1" si="508"/>
        <v>0</v>
      </c>
      <c r="AU178" s="61">
        <f t="shared" ca="1" si="509"/>
        <v>0</v>
      </c>
      <c r="AX178" s="61">
        <f t="shared" ca="1" si="510"/>
        <v>0</v>
      </c>
      <c r="BA178" s="61">
        <f t="shared" ca="1" si="511"/>
        <v>0</v>
      </c>
      <c r="BD178" s="61">
        <f t="shared" ca="1" si="512"/>
        <v>0</v>
      </c>
      <c r="BG178" s="61">
        <f t="shared" ca="1" si="513"/>
        <v>0</v>
      </c>
      <c r="BJ178" s="61">
        <f t="shared" ca="1" si="514"/>
        <v>0</v>
      </c>
      <c r="BM178" s="61">
        <f t="shared" ca="1" si="515"/>
        <v>0</v>
      </c>
      <c r="BP178" s="61">
        <f t="shared" ca="1" si="516"/>
        <v>0</v>
      </c>
      <c r="BV178" s="61">
        <f t="shared" ca="1" si="517"/>
        <v>0</v>
      </c>
      <c r="BY178" s="61">
        <f t="shared" ca="1" si="518"/>
        <v>0</v>
      </c>
      <c r="CE178" s="61">
        <f t="shared" ca="1" si="519"/>
        <v>0</v>
      </c>
      <c r="CH178" s="61">
        <f t="shared" ca="1" si="520"/>
        <v>0</v>
      </c>
      <c r="CK178" s="61">
        <f t="shared" ca="1" si="521"/>
        <v>0</v>
      </c>
      <c r="CN178" s="61">
        <f t="shared" ca="1" si="522"/>
        <v>0</v>
      </c>
      <c r="CQ178" s="61">
        <f t="shared" ca="1" si="523"/>
        <v>0</v>
      </c>
      <c r="CT178" s="61">
        <f t="shared" ca="1" si="524"/>
        <v>0</v>
      </c>
      <c r="CW178" s="61">
        <f t="shared" ca="1" si="525"/>
        <v>0</v>
      </c>
      <c r="CZ178" s="61">
        <f t="shared" ca="1" si="526"/>
        <v>0</v>
      </c>
      <c r="DC178" s="61">
        <f t="shared" ca="1" si="527"/>
        <v>0</v>
      </c>
      <c r="DF178" s="61">
        <f t="shared" ca="1" si="528"/>
        <v>0</v>
      </c>
    </row>
    <row r="179" spans="1:110">
      <c r="A179" s="14">
        <f t="shared" si="529"/>
        <v>13</v>
      </c>
      <c r="B179" s="63">
        <f t="shared" ca="1" si="529"/>
        <v>1.7769039850931945</v>
      </c>
      <c r="C179" s="63">
        <f t="shared" si="529"/>
        <v>4016.5</v>
      </c>
      <c r="E179" s="61">
        <f t="shared" ca="1" si="490"/>
        <v>-6.1075393110513687E-2</v>
      </c>
      <c r="F179" s="61">
        <f t="shared" ca="1" si="491"/>
        <v>1.7769039850931945</v>
      </c>
      <c r="G179" s="2">
        <f t="shared" ca="1" si="530"/>
        <v>1.3154806821190041E-2</v>
      </c>
      <c r="H179" s="12">
        <f t="shared" ca="1" si="492"/>
        <v>-1.3154806821190041E-2</v>
      </c>
      <c r="I179" s="12">
        <f t="shared" ca="1" si="493"/>
        <v>-2.6380456220698972E-3</v>
      </c>
      <c r="J179" s="12">
        <f t="shared" ca="1" si="494"/>
        <v>7.8787155770502475E-3</v>
      </c>
      <c r="K179" s="12">
        <f t="shared" ca="1" si="495"/>
        <v>7.0111741327467635E-3</v>
      </c>
      <c r="L179" s="61">
        <f t="shared" ca="1" si="496"/>
        <v>-0.30455690621272985</v>
      </c>
      <c r="M179" s="63">
        <f t="shared" ca="1" si="497"/>
        <v>-6.1075394266638265E-2</v>
      </c>
      <c r="N179" s="61">
        <f t="shared" ca="1" si="498"/>
        <v>0.18240611767945333</v>
      </c>
      <c r="O179" s="61">
        <f t="shared" ca="1" si="499"/>
        <v>0.16232100796406107</v>
      </c>
      <c r="Q179" s="61">
        <f t="shared" ca="1" si="500"/>
        <v>-0.74804192781448364</v>
      </c>
      <c r="T179" s="61">
        <f t="shared" ca="1" si="501"/>
        <v>-0.27797740697860718</v>
      </c>
      <c r="W179" s="61">
        <f t="shared" ca="1" si="502"/>
        <v>-0.30519744753837585</v>
      </c>
      <c r="Z179" s="61">
        <f t="shared" ca="1" si="503"/>
        <v>-0.12212603539228439</v>
      </c>
      <c r="AC179" s="61">
        <f t="shared" ca="1" si="504"/>
        <v>-0.31784361600875854</v>
      </c>
      <c r="AI179" s="61">
        <f t="shared" ca="1" si="505"/>
        <v>0</v>
      </c>
      <c r="AL179" s="61">
        <f t="shared" ca="1" si="506"/>
        <v>0</v>
      </c>
      <c r="AO179" s="61">
        <f t="shared" ca="1" si="507"/>
        <v>0</v>
      </c>
      <c r="AR179" s="61">
        <f t="shared" ca="1" si="508"/>
        <v>0</v>
      </c>
      <c r="AU179" s="61">
        <f t="shared" ca="1" si="509"/>
        <v>0</v>
      </c>
      <c r="AX179" s="61">
        <f t="shared" ca="1" si="510"/>
        <v>0</v>
      </c>
      <c r="BA179" s="61">
        <f t="shared" ca="1" si="511"/>
        <v>0</v>
      </c>
      <c r="BD179" s="61">
        <f t="shared" ca="1" si="512"/>
        <v>0</v>
      </c>
      <c r="BG179" s="61">
        <f t="shared" ca="1" si="513"/>
        <v>0</v>
      </c>
      <c r="BJ179" s="61">
        <f t="shared" ca="1" si="514"/>
        <v>0</v>
      </c>
      <c r="BM179" s="61">
        <f t="shared" ca="1" si="515"/>
        <v>0</v>
      </c>
      <c r="BP179" s="61">
        <f t="shared" ca="1" si="516"/>
        <v>0</v>
      </c>
      <c r="BV179" s="61">
        <f t="shared" ca="1" si="517"/>
        <v>0</v>
      </c>
      <c r="BY179" s="61">
        <f t="shared" ca="1" si="518"/>
        <v>0</v>
      </c>
      <c r="CE179" s="61">
        <f t="shared" ca="1" si="519"/>
        <v>0</v>
      </c>
      <c r="CH179" s="61">
        <f t="shared" ca="1" si="520"/>
        <v>0</v>
      </c>
      <c r="CK179" s="61">
        <f t="shared" ca="1" si="521"/>
        <v>0</v>
      </c>
      <c r="CN179" s="61">
        <f t="shared" ca="1" si="522"/>
        <v>0</v>
      </c>
      <c r="CQ179" s="61">
        <f t="shared" ca="1" si="523"/>
        <v>0</v>
      </c>
      <c r="CT179" s="61">
        <f t="shared" ca="1" si="524"/>
        <v>0</v>
      </c>
      <c r="CW179" s="61">
        <f t="shared" ca="1" si="525"/>
        <v>0</v>
      </c>
      <c r="CZ179" s="61">
        <f t="shared" ca="1" si="526"/>
        <v>0</v>
      </c>
      <c r="DC179" s="61">
        <f t="shared" ca="1" si="527"/>
        <v>0</v>
      </c>
      <c r="DF179" s="61">
        <f t="shared" ca="1" si="528"/>
        <v>0</v>
      </c>
    </row>
    <row r="180" spans="1:110">
      <c r="A180" s="14">
        <f t="shared" si="529"/>
        <v>14</v>
      </c>
      <c r="B180" s="63">
        <f t="shared" ca="1" si="529"/>
        <v>1.4370560182896255</v>
      </c>
      <c r="C180" s="63">
        <f t="shared" si="529"/>
        <v>4064.6</v>
      </c>
      <c r="E180" s="61">
        <f t="shared" ca="1" si="490"/>
        <v>-3.7844132632017136E-2</v>
      </c>
      <c r="F180" s="61">
        <f t="shared" ca="1" si="491"/>
        <v>1.4370560182896255</v>
      </c>
      <c r="G180" s="2">
        <f t="shared" ca="1" si="530"/>
        <v>8.8258379480683179E-3</v>
      </c>
      <c r="H180" s="12">
        <f t="shared" ca="1" si="492"/>
        <v>-8.8258379480683179E-3</v>
      </c>
      <c r="I180" s="12">
        <f t="shared" ca="1" si="493"/>
        <v>-1.634611719328598E-3</v>
      </c>
      <c r="J180" s="12">
        <f t="shared" ca="1" si="494"/>
        <v>5.5566145094111214E-3</v>
      </c>
      <c r="K180" s="12">
        <f t="shared" ca="1" si="495"/>
        <v>4.7941508191598125E-3</v>
      </c>
      <c r="L180" s="61">
        <f t="shared" ca="1" si="496"/>
        <v>-0.20433366576457479</v>
      </c>
      <c r="M180" s="63">
        <f t="shared" ca="1" si="497"/>
        <v>-3.7844135217240144E-2</v>
      </c>
      <c r="N180" s="61">
        <f t="shared" ca="1" si="498"/>
        <v>0.1286453953300945</v>
      </c>
      <c r="O180" s="61">
        <f t="shared" ca="1" si="499"/>
        <v>0.11099302036488977</v>
      </c>
      <c r="Q180" s="61">
        <f t="shared" ca="1" si="500"/>
        <v>-0.49228405952453613</v>
      </c>
      <c r="T180" s="61">
        <f t="shared" ca="1" si="501"/>
        <v>-9.0947486460208893E-2</v>
      </c>
      <c r="W180" s="61">
        <f t="shared" ca="1" si="502"/>
        <v>-0.27402392029762268</v>
      </c>
      <c r="Z180" s="61">
        <f t="shared" ca="1" si="503"/>
        <v>6.2201726250350475E-3</v>
      </c>
      <c r="AC180" s="61">
        <f t="shared" ca="1" si="504"/>
        <v>-0.24644462764263153</v>
      </c>
      <c r="AI180" s="61">
        <f t="shared" ca="1" si="505"/>
        <v>0</v>
      </c>
      <c r="AL180" s="61">
        <f t="shared" ca="1" si="506"/>
        <v>0</v>
      </c>
      <c r="AO180" s="61">
        <f t="shared" ca="1" si="507"/>
        <v>0</v>
      </c>
      <c r="AR180" s="61">
        <f t="shared" ca="1" si="508"/>
        <v>0</v>
      </c>
      <c r="AU180" s="61">
        <f t="shared" ca="1" si="509"/>
        <v>0</v>
      </c>
      <c r="AX180" s="61">
        <f t="shared" ca="1" si="510"/>
        <v>0</v>
      </c>
      <c r="BA180" s="61">
        <f t="shared" ca="1" si="511"/>
        <v>0</v>
      </c>
      <c r="BD180" s="61">
        <f t="shared" ca="1" si="512"/>
        <v>0</v>
      </c>
      <c r="BG180" s="61">
        <f t="shared" ca="1" si="513"/>
        <v>0</v>
      </c>
      <c r="BJ180" s="61">
        <f t="shared" ca="1" si="514"/>
        <v>0</v>
      </c>
      <c r="BM180" s="61">
        <f t="shared" ca="1" si="515"/>
        <v>0</v>
      </c>
      <c r="BP180" s="61">
        <f t="shared" ca="1" si="516"/>
        <v>0</v>
      </c>
      <c r="BV180" s="61">
        <f t="shared" ca="1" si="517"/>
        <v>0</v>
      </c>
      <c r="BY180" s="61">
        <f t="shared" ca="1" si="518"/>
        <v>0</v>
      </c>
      <c r="CE180" s="61">
        <f t="shared" ca="1" si="519"/>
        <v>0</v>
      </c>
      <c r="CH180" s="61">
        <f t="shared" ca="1" si="520"/>
        <v>0</v>
      </c>
      <c r="CK180" s="61">
        <f t="shared" ca="1" si="521"/>
        <v>0</v>
      </c>
      <c r="CN180" s="61">
        <f t="shared" ca="1" si="522"/>
        <v>0</v>
      </c>
      <c r="CQ180" s="61">
        <f t="shared" ca="1" si="523"/>
        <v>0</v>
      </c>
      <c r="CT180" s="61">
        <f t="shared" ca="1" si="524"/>
        <v>0</v>
      </c>
      <c r="CW180" s="61">
        <f t="shared" ca="1" si="525"/>
        <v>0</v>
      </c>
      <c r="CZ180" s="61">
        <f t="shared" ca="1" si="526"/>
        <v>0</v>
      </c>
      <c r="DC180" s="61">
        <f t="shared" ca="1" si="527"/>
        <v>0</v>
      </c>
      <c r="DF180" s="61">
        <f t="shared" ca="1" si="528"/>
        <v>0</v>
      </c>
    </row>
    <row r="181" spans="1:110">
      <c r="A181" s="14">
        <f t="shared" si="529"/>
        <v>15</v>
      </c>
      <c r="B181" s="63">
        <f t="shared" ca="1" si="529"/>
        <v>1.1960743068778694</v>
      </c>
      <c r="C181" s="63">
        <f t="shared" si="529"/>
        <v>4054.6</v>
      </c>
      <c r="E181" s="61">
        <f t="shared" ca="1" si="490"/>
        <v>-2.6829458773136139E-2</v>
      </c>
      <c r="F181" s="61">
        <f t="shared" ca="1" si="491"/>
        <v>1.1960743068778694</v>
      </c>
      <c r="G181" s="2">
        <f t="shared" ca="1" si="530"/>
        <v>6.1970329285392168E-3</v>
      </c>
      <c r="H181" s="12">
        <f t="shared" ca="1" si="492"/>
        <v>-6.1970329285392168E-3</v>
      </c>
      <c r="I181" s="12">
        <f t="shared" ca="1" si="493"/>
        <v>-1.1588519401193266E-3</v>
      </c>
      <c r="J181" s="12">
        <f t="shared" ca="1" si="494"/>
        <v>3.8793290483005631E-3</v>
      </c>
      <c r="K181" s="12">
        <f t="shared" ca="1" si="495"/>
        <v>3.3587873256132601E-3</v>
      </c>
      <c r="L181" s="61">
        <f t="shared" ca="1" si="496"/>
        <v>-0.14347220769324676</v>
      </c>
      <c r="M181" s="63">
        <f t="shared" ca="1" si="497"/>
        <v>-2.6829459865031571E-2</v>
      </c>
      <c r="N181" s="61">
        <f t="shared" ca="1" si="498"/>
        <v>8.9813287963183608E-2</v>
      </c>
      <c r="O181" s="61">
        <f t="shared" ca="1" si="499"/>
        <v>7.7761831885476793E-2</v>
      </c>
      <c r="Q181" s="61">
        <f t="shared" ca="1" si="500"/>
        <v>-0.35865402221679688</v>
      </c>
      <c r="T181" s="61">
        <f t="shared" ca="1" si="501"/>
        <v>-6.9170951843261719E-2</v>
      </c>
      <c r="W181" s="61">
        <f t="shared" ca="1" si="502"/>
        <v>-0.18283246457576752</v>
      </c>
      <c r="Z181" s="61">
        <f t="shared" ca="1" si="503"/>
        <v>-1.5389779582619667E-2</v>
      </c>
      <c r="AC181" s="61">
        <f t="shared" ca="1" si="504"/>
        <v>-0.15200711786746979</v>
      </c>
      <c r="AI181" s="61">
        <f t="shared" ca="1" si="505"/>
        <v>0</v>
      </c>
      <c r="AL181" s="61">
        <f t="shared" ca="1" si="506"/>
        <v>0</v>
      </c>
      <c r="AO181" s="61">
        <f t="shared" ca="1" si="507"/>
        <v>0</v>
      </c>
      <c r="AR181" s="61">
        <f t="shared" ca="1" si="508"/>
        <v>0</v>
      </c>
      <c r="AU181" s="61">
        <f t="shared" ca="1" si="509"/>
        <v>0</v>
      </c>
      <c r="AX181" s="61">
        <f t="shared" ca="1" si="510"/>
        <v>0</v>
      </c>
      <c r="BA181" s="61">
        <f t="shared" ca="1" si="511"/>
        <v>0</v>
      </c>
      <c r="BD181" s="61">
        <f t="shared" ca="1" si="512"/>
        <v>0</v>
      </c>
      <c r="BG181" s="61">
        <f t="shared" ca="1" si="513"/>
        <v>0</v>
      </c>
      <c r="BJ181" s="61">
        <f t="shared" ca="1" si="514"/>
        <v>0</v>
      </c>
      <c r="BM181" s="61">
        <f t="shared" ca="1" si="515"/>
        <v>0</v>
      </c>
      <c r="BP181" s="61">
        <f t="shared" ca="1" si="516"/>
        <v>0</v>
      </c>
      <c r="BV181" s="61">
        <f t="shared" ca="1" si="517"/>
        <v>0</v>
      </c>
      <c r="BY181" s="61">
        <f t="shared" ca="1" si="518"/>
        <v>0</v>
      </c>
      <c r="CE181" s="61">
        <f t="shared" ca="1" si="519"/>
        <v>0</v>
      </c>
      <c r="CH181" s="61">
        <f t="shared" ca="1" si="520"/>
        <v>0</v>
      </c>
      <c r="CK181" s="61">
        <f t="shared" ca="1" si="521"/>
        <v>0</v>
      </c>
      <c r="CN181" s="61">
        <f t="shared" ca="1" si="522"/>
        <v>0</v>
      </c>
      <c r="CQ181" s="61">
        <f t="shared" ca="1" si="523"/>
        <v>0</v>
      </c>
      <c r="CT181" s="61">
        <f t="shared" ca="1" si="524"/>
        <v>0</v>
      </c>
      <c r="CW181" s="61">
        <f t="shared" ca="1" si="525"/>
        <v>0</v>
      </c>
      <c r="CZ181" s="61">
        <f t="shared" ca="1" si="526"/>
        <v>0</v>
      </c>
      <c r="DC181" s="61">
        <f t="shared" ca="1" si="527"/>
        <v>0</v>
      </c>
      <c r="DF181" s="61">
        <f t="shared" ca="1" si="528"/>
        <v>0</v>
      </c>
    </row>
    <row r="182" spans="1:110">
      <c r="A182" s="14">
        <f t="shared" si="529"/>
        <v>16</v>
      </c>
      <c r="B182" s="63">
        <f t="shared" ca="1" si="529"/>
        <v>0.8864930899240453</v>
      </c>
      <c r="C182" s="63">
        <f t="shared" si="529"/>
        <v>4035.6</v>
      </c>
      <c r="E182" s="61">
        <f t="shared" ca="1" si="490"/>
        <v>-5.1228202879428864E-2</v>
      </c>
      <c r="F182" s="61">
        <f t="shared" ca="1" si="491"/>
        <v>0.8864930899240453</v>
      </c>
      <c r="G182" s="2">
        <f t="shared" ca="1" si="530"/>
        <v>1.0576131373750063E-2</v>
      </c>
      <c r="H182" s="12">
        <f t="shared" ca="1" si="492"/>
        <v>-1.0576131373750063E-2</v>
      </c>
      <c r="I182" s="12">
        <f t="shared" ca="1" si="493"/>
        <v>-2.2127133191455904E-3</v>
      </c>
      <c r="J182" s="12">
        <f t="shared" ca="1" si="494"/>
        <v>6.1507047354588821E-3</v>
      </c>
      <c r="K182" s="12">
        <f t="shared" ca="1" si="495"/>
        <v>5.5756120364029811E-3</v>
      </c>
      <c r="L182" s="61">
        <f t="shared" ca="1" si="496"/>
        <v>-0.24485603587125263</v>
      </c>
      <c r="M182" s="63">
        <f t="shared" ca="1" si="497"/>
        <v>-5.1228203650178578E-2</v>
      </c>
      <c r="N182" s="61">
        <f t="shared" ca="1" si="498"/>
        <v>0.14239962857089547</v>
      </c>
      <c r="O182" s="61">
        <f t="shared" ca="1" si="499"/>
        <v>0.12908522148071602</v>
      </c>
      <c r="Q182" s="61">
        <f t="shared" ca="1" si="500"/>
        <v>-0.50993943214416504</v>
      </c>
      <c r="T182" s="61">
        <f t="shared" ca="1" si="501"/>
        <v>-0.21100737154483795</v>
      </c>
      <c r="W182" s="61">
        <f t="shared" ca="1" si="502"/>
        <v>-0.38154426217079163</v>
      </c>
      <c r="Z182" s="61">
        <f t="shared" ca="1" si="503"/>
        <v>-9.3742325901985168E-2</v>
      </c>
      <c r="AC182" s="61">
        <f t="shared" ca="1" si="504"/>
        <v>-0.28938451409339905</v>
      </c>
      <c r="AI182" s="61">
        <f t="shared" ca="1" si="505"/>
        <v>0</v>
      </c>
      <c r="AL182" s="61">
        <f t="shared" ca="1" si="506"/>
        <v>0</v>
      </c>
      <c r="AO182" s="61">
        <f t="shared" ca="1" si="507"/>
        <v>0</v>
      </c>
      <c r="AR182" s="61">
        <f t="shared" ca="1" si="508"/>
        <v>0</v>
      </c>
      <c r="AU182" s="61">
        <f t="shared" ca="1" si="509"/>
        <v>0</v>
      </c>
      <c r="AX182" s="61">
        <f t="shared" ca="1" si="510"/>
        <v>0</v>
      </c>
      <c r="BA182" s="61">
        <f t="shared" ca="1" si="511"/>
        <v>0</v>
      </c>
      <c r="BD182" s="61">
        <f t="shared" ca="1" si="512"/>
        <v>0</v>
      </c>
      <c r="BG182" s="61">
        <f t="shared" ca="1" si="513"/>
        <v>0</v>
      </c>
      <c r="BJ182" s="61">
        <f t="shared" ca="1" si="514"/>
        <v>0</v>
      </c>
      <c r="BM182" s="61">
        <f t="shared" ca="1" si="515"/>
        <v>0</v>
      </c>
      <c r="BP182" s="61">
        <f t="shared" ca="1" si="516"/>
        <v>0</v>
      </c>
      <c r="BV182" s="61">
        <f t="shared" ca="1" si="517"/>
        <v>0</v>
      </c>
      <c r="BY182" s="61">
        <f t="shared" ca="1" si="518"/>
        <v>0</v>
      </c>
      <c r="CE182" s="61">
        <f t="shared" ca="1" si="519"/>
        <v>0</v>
      </c>
      <c r="CH182" s="61">
        <f t="shared" ca="1" si="520"/>
        <v>0</v>
      </c>
      <c r="CK182" s="61">
        <f t="shared" ca="1" si="521"/>
        <v>0</v>
      </c>
      <c r="CN182" s="61">
        <f t="shared" ca="1" si="522"/>
        <v>0</v>
      </c>
      <c r="CQ182" s="61">
        <f t="shared" ca="1" si="523"/>
        <v>0</v>
      </c>
      <c r="CT182" s="61">
        <f t="shared" ca="1" si="524"/>
        <v>0</v>
      </c>
      <c r="CW182" s="61">
        <f t="shared" ca="1" si="525"/>
        <v>0</v>
      </c>
      <c r="CZ182" s="61">
        <f t="shared" ca="1" si="526"/>
        <v>0</v>
      </c>
      <c r="DC182" s="61">
        <f t="shared" ca="1" si="527"/>
        <v>0</v>
      </c>
      <c r="DF182" s="61">
        <f t="shared" ca="1" si="528"/>
        <v>0</v>
      </c>
    </row>
    <row r="183" spans="1:110">
      <c r="A183" s="14">
        <f t="shared" si="529"/>
        <v>17</v>
      </c>
      <c r="B183" s="63">
        <f t="shared" ca="1" si="529"/>
        <v>0.66310300227883046</v>
      </c>
      <c r="C183" s="63">
        <f t="shared" si="529"/>
        <v>4046.8</v>
      </c>
      <c r="E183" s="61">
        <f t="shared" ca="1" si="490"/>
        <v>-3.7290379405021667E-2</v>
      </c>
      <c r="F183" s="61">
        <f t="shared" ca="1" si="491"/>
        <v>0.66310300227883046</v>
      </c>
      <c r="G183" s="2">
        <f t="shared" ca="1" si="530"/>
        <v>7.6852382132091652E-3</v>
      </c>
      <c r="H183" s="12">
        <f t="shared" ca="1" si="492"/>
        <v>-7.6852382132091652E-3</v>
      </c>
      <c r="I183" s="12">
        <f t="shared" ca="1" si="493"/>
        <v>-1.6106932316890714E-3</v>
      </c>
      <c r="J183" s="12">
        <f t="shared" ca="1" si="494"/>
        <v>4.4638517498310224E-3</v>
      </c>
      <c r="K183" s="12">
        <f t="shared" ca="1" si="495"/>
        <v>4.0496966543467289E-3</v>
      </c>
      <c r="L183" s="61">
        <f t="shared" ca="1" si="496"/>
        <v>-0.17792677654167871</v>
      </c>
      <c r="M183" s="63">
        <f t="shared" ca="1" si="497"/>
        <v>-3.7290380175771382E-2</v>
      </c>
      <c r="N183" s="61">
        <f t="shared" ca="1" si="498"/>
        <v>0.10334601619013595</v>
      </c>
      <c r="O183" s="61">
        <f t="shared" ca="1" si="499"/>
        <v>9.3757597577271548E-2</v>
      </c>
      <c r="Q183" s="61">
        <f t="shared" ca="1" si="500"/>
        <v>-0.40367069840431213</v>
      </c>
      <c r="T183" s="61">
        <f t="shared" ref="T183:T191" ca="1" si="531">inlError($B$167:$B$191,T$131:T$155,$P$131:$P$155,T$163:T$164,$A183)</f>
        <v>-0.15919940173625946</v>
      </c>
      <c r="W183" s="61">
        <f t="shared" ref="W183:W191" ca="1" si="532">inlError($B$167:$B$191,W$131:W$155,$P$131:$P$155,W$163:W$164,$A183)</f>
        <v>-0.23584991693496704</v>
      </c>
      <c r="Z183" s="61">
        <f t="shared" ref="Z183:Z191" ca="1" si="533">inlError($B$167:$B$191,Z$131:Z$155,$P$131:$P$155,Z$163:Z$164,$A183)</f>
        <v>-0.10542944818735123</v>
      </c>
      <c r="AC183" s="61">
        <f t="shared" ref="AC183:AC191" ca="1" si="534">inlError($B$167:$B$191,AC$131:AC$155,$P$131:$P$155,AC$163:AC$164,$A183)</f>
        <v>-0.17727155983448029</v>
      </c>
      <c r="AI183" s="61">
        <f t="shared" ref="AI183:AI191" ca="1" si="535">inlError($B$167:$B$191,AI$131:AI$155,$P$131:$P$155,AI$163:AI$164,$A183)</f>
        <v>0</v>
      </c>
      <c r="AL183" s="61">
        <f t="shared" ref="AL183:AL191" ca="1" si="536">inlError($B$167:$B$191,AL$131:AL$155,$P$131:$P$155,AL$163:AL$164,$A183)</f>
        <v>0</v>
      </c>
      <c r="AO183" s="61">
        <f t="shared" ref="AO183:AO191" ca="1" si="537">inlError($B$167:$B$191,AO$131:AO$155,$P$131:$P$155,AO$163:AO$164,$A183)</f>
        <v>0</v>
      </c>
      <c r="AR183" s="61">
        <f t="shared" ref="AR183:AR191" ca="1" si="538">inlError($B$167:$B$191,AR$131:AR$155,$P$131:$P$155,AR$163:AR$164,$A183)</f>
        <v>0</v>
      </c>
      <c r="AU183" s="61">
        <f t="shared" ref="AU183:AU191" ca="1" si="539">inlError($B$167:$B$191,AU$131:AU$155,$P$131:$P$155,AU$163:AU$164,$A183)</f>
        <v>0</v>
      </c>
      <c r="AX183" s="61">
        <f t="shared" ref="AX183:AX191" ca="1" si="540">inlError($B$167:$B$191,AX$131:AX$155,$P$131:$P$155,AX$163:AX$164,$A183)</f>
        <v>0</v>
      </c>
      <c r="BA183" s="61">
        <f t="shared" ref="BA183:BA191" ca="1" si="541">inlError($B$167:$B$191,BA$131:BA$155,$P$131:$P$155,BA$163:BA$164,$A183)</f>
        <v>0</v>
      </c>
      <c r="BD183" s="61">
        <f t="shared" ref="BD183:BD191" ca="1" si="542">inlError($B$167:$B$191,BD$131:BD$155,$P$131:$P$155,BD$163:BD$164,$A183)</f>
        <v>0</v>
      </c>
      <c r="BG183" s="61">
        <f t="shared" ref="BG183:BG191" ca="1" si="543">inlError($B$167:$B$191,BG$131:BG$155,$P$131:$P$155,BG$163:BG$164,$A183)</f>
        <v>0</v>
      </c>
      <c r="BJ183" s="61">
        <f t="shared" ref="BJ183:BJ191" ca="1" si="544">inlError($B$167:$B$191,BJ$131:BJ$155,$P$131:$P$155,BJ$163:BJ$164,$A183)</f>
        <v>0</v>
      </c>
      <c r="BM183" s="61">
        <f t="shared" ref="BM183:BM191" ca="1" si="545">inlError($B$167:$B$191,BM$131:BM$155,$P$131:$P$155,BM$163:BM$164,$A183)</f>
        <v>0</v>
      </c>
      <c r="BP183" s="61">
        <f t="shared" ref="BP183:BP191" ca="1" si="546">inlError($B$167:$B$191,BP$131:BP$155,$P$131:$P$155,BP$163:BP$164,$A183)</f>
        <v>0</v>
      </c>
      <c r="BV183" s="61">
        <f t="shared" ref="BV183:BV191" ca="1" si="547">inlError($B$167:$B$191,BV$131:BV$155,$P$131:$P$155,BV$163:BV$164,$A183)</f>
        <v>0</v>
      </c>
      <c r="BY183" s="61">
        <f t="shared" ref="BY183:BY191" ca="1" si="548">inlError($B$167:$B$191,BY$131:BY$155,$P$131:$P$155,BY$163:BY$164,$A183)</f>
        <v>0</v>
      </c>
      <c r="CE183" s="61">
        <f t="shared" ref="CE183:CE191" ca="1" si="549">inlError($B$167:$B$191,CE$131:CE$155,$P$131:$P$155,CE$163:CE$164,$A183)</f>
        <v>0</v>
      </c>
      <c r="CH183" s="61">
        <f t="shared" ref="CH183:CH191" ca="1" si="550">inlError($B$167:$B$191,CH$131:CH$155,$P$131:$P$155,CH$163:CH$164,$A183)</f>
        <v>0</v>
      </c>
      <c r="CK183" s="61">
        <f t="shared" ref="CK183:CK191" ca="1" si="551">inlError($B$167:$B$191,CK$131:CK$155,$P$131:$P$155,CK$163:CK$164,$A183)</f>
        <v>0</v>
      </c>
      <c r="CN183" s="61">
        <f t="shared" ref="CN183:CN191" ca="1" si="552">inlError($B$167:$B$191,CN$131:CN$155,$P$131:$P$155,CN$163:CN$164,$A183)</f>
        <v>0</v>
      </c>
      <c r="CQ183" s="61">
        <f t="shared" ref="CQ183:CQ191" ca="1" si="553">inlError($B$167:$B$191,CQ$131:CQ$155,$P$131:$P$155,CQ$163:CQ$164,$A183)</f>
        <v>0</v>
      </c>
      <c r="CT183" s="61">
        <f t="shared" ref="CT183:CT191" ca="1" si="554">inlError($B$167:$B$191,CT$131:CT$155,$P$131:$P$155,CT$163:CT$164,$A183)</f>
        <v>0</v>
      </c>
      <c r="CW183" s="61">
        <f t="shared" ref="CW183:CW191" ca="1" si="555">inlError($B$167:$B$191,CW$131:CW$155,$P$131:$P$155,CW$163:CW$164,$A183)</f>
        <v>0</v>
      </c>
      <c r="CZ183" s="61">
        <f t="shared" ref="CZ183:CZ191" ca="1" si="556">inlError($B$167:$B$191,CZ$131:CZ$155,$P$131:$P$155,CZ$163:CZ$164,$A183)</f>
        <v>0</v>
      </c>
      <c r="DC183" s="61">
        <f t="shared" ref="DC183:DC191" ca="1" si="557">inlError($B$167:$B$191,DC$131:DC$155,$P$131:$P$155,DC$163:DC$164,$A183)</f>
        <v>0</v>
      </c>
      <c r="DF183" s="61">
        <f t="shared" ref="DF183:DF191" ca="1" si="558">inlError($B$167:$B$191,DF$131:DF$155,$P$131:$P$155,DF$163:DF$164,$A183)</f>
        <v>0</v>
      </c>
    </row>
    <row r="184" spans="1:110">
      <c r="A184" s="14">
        <f t="shared" ref="A184:C191" si="559">A20</f>
        <v>18</v>
      </c>
      <c r="B184" s="63">
        <f t="shared" ca="1" si="559"/>
        <v>0.15701835940156691</v>
      </c>
      <c r="C184" s="63">
        <f t="shared" si="559"/>
        <v>3830.6</v>
      </c>
      <c r="E184" s="61">
        <f t="shared" ca="1" si="490"/>
        <v>-3.0855529010295868E-2</v>
      </c>
      <c r="F184" s="61">
        <f t="shared" ca="1" si="491"/>
        <v>0.15701835940156691</v>
      </c>
      <c r="G184" s="2">
        <f t="shared" ca="1" si="530"/>
        <v>6.1732436644601702E-3</v>
      </c>
      <c r="H184" s="12">
        <f t="shared" ca="1" si="492"/>
        <v>-6.1732436644601702E-3</v>
      </c>
      <c r="I184" s="12">
        <f t="shared" ca="1" si="493"/>
        <v>-1.3327510404627469E-3</v>
      </c>
      <c r="J184" s="12">
        <f t="shared" ca="1" si="494"/>
        <v>3.5077415835346767E-3</v>
      </c>
      <c r="K184" s="12">
        <f t="shared" ca="1" si="495"/>
        <v>3.2269950826649494E-3</v>
      </c>
      <c r="L184" s="61">
        <f t="shared" ca="1" si="496"/>
        <v>-0.14292144440439927</v>
      </c>
      <c r="M184" s="63">
        <f t="shared" ca="1" si="497"/>
        <v>-3.0855529781045585E-2</v>
      </c>
      <c r="N184" s="61">
        <f t="shared" ca="1" si="498"/>
        <v>8.1210384842308109E-2</v>
      </c>
      <c r="O184" s="61">
        <f t="shared" ca="1" si="499"/>
        <v>7.4710609748902465E-2</v>
      </c>
      <c r="Q184" s="61">
        <f t="shared" ca="1" si="500"/>
        <v>-0.26132401823997498</v>
      </c>
      <c r="T184" s="61">
        <f t="shared" ca="1" si="531"/>
        <v>-0.15695895254611969</v>
      </c>
      <c r="W184" s="61">
        <f t="shared" ca="1" si="532"/>
        <v>-0.25681367516517639</v>
      </c>
      <c r="Z184" s="61">
        <f t="shared" ca="1" si="533"/>
        <v>-8.8879778981208801E-2</v>
      </c>
      <c r="AC184" s="61">
        <f t="shared" ca="1" si="534"/>
        <v>-0.1308339387178421</v>
      </c>
      <c r="AI184" s="61">
        <f t="shared" ca="1" si="535"/>
        <v>0</v>
      </c>
      <c r="AL184" s="61">
        <f t="shared" ca="1" si="536"/>
        <v>0</v>
      </c>
      <c r="AO184" s="61">
        <f t="shared" ca="1" si="537"/>
        <v>0</v>
      </c>
      <c r="AR184" s="61">
        <f t="shared" ca="1" si="538"/>
        <v>0</v>
      </c>
      <c r="AU184" s="61">
        <f t="shared" ca="1" si="539"/>
        <v>0</v>
      </c>
      <c r="AX184" s="61">
        <f t="shared" ca="1" si="540"/>
        <v>0</v>
      </c>
      <c r="BA184" s="61">
        <f t="shared" ca="1" si="541"/>
        <v>0</v>
      </c>
      <c r="BD184" s="61">
        <f t="shared" ca="1" si="542"/>
        <v>0</v>
      </c>
      <c r="BG184" s="61">
        <f t="shared" ca="1" si="543"/>
        <v>0</v>
      </c>
      <c r="BJ184" s="61">
        <f t="shared" ca="1" si="544"/>
        <v>0</v>
      </c>
      <c r="BM184" s="61">
        <f t="shared" ca="1" si="545"/>
        <v>0</v>
      </c>
      <c r="BP184" s="61">
        <f t="shared" ca="1" si="546"/>
        <v>0</v>
      </c>
      <c r="BV184" s="61">
        <f t="shared" ca="1" si="547"/>
        <v>0</v>
      </c>
      <c r="BY184" s="61">
        <f t="shared" ca="1" si="548"/>
        <v>0</v>
      </c>
      <c r="CE184" s="61">
        <f t="shared" ca="1" si="549"/>
        <v>0</v>
      </c>
      <c r="CH184" s="61">
        <f t="shared" ca="1" si="550"/>
        <v>0</v>
      </c>
      <c r="CK184" s="61">
        <f t="shared" ca="1" si="551"/>
        <v>0</v>
      </c>
      <c r="CN184" s="61">
        <f t="shared" ca="1" si="552"/>
        <v>0</v>
      </c>
      <c r="CQ184" s="61">
        <f t="shared" ca="1" si="553"/>
        <v>0</v>
      </c>
      <c r="CT184" s="61">
        <f t="shared" ca="1" si="554"/>
        <v>0</v>
      </c>
      <c r="CW184" s="61">
        <f t="shared" ca="1" si="555"/>
        <v>0</v>
      </c>
      <c r="CZ184" s="61">
        <f t="shared" ca="1" si="556"/>
        <v>0</v>
      </c>
      <c r="DC184" s="61">
        <f t="shared" ca="1" si="557"/>
        <v>0</v>
      </c>
      <c r="DF184" s="61">
        <f t="shared" ca="1" si="558"/>
        <v>0</v>
      </c>
    </row>
    <row r="185" spans="1:110">
      <c r="A185" s="14">
        <f t="shared" si="559"/>
        <v>19</v>
      </c>
      <c r="B185" s="63">
        <f t="shared" ca="1" si="559"/>
        <v>0.12828800152468015</v>
      </c>
      <c r="C185" s="63">
        <f t="shared" si="559"/>
        <v>3852.3</v>
      </c>
      <c r="E185" s="61">
        <f t="shared" ca="1" si="490"/>
        <v>-2.6572095230221748E-2</v>
      </c>
      <c r="F185" s="61">
        <f t="shared" ca="1" si="491"/>
        <v>0.12828800152468015</v>
      </c>
      <c r="G185" s="2">
        <f t="shared" ca="1" si="530"/>
        <v>5.1893752095482533E-3</v>
      </c>
      <c r="H185" s="12">
        <f t="shared" ca="1" si="492"/>
        <v>-5.1893752095482533E-3</v>
      </c>
      <c r="I185" s="12">
        <f t="shared" ca="1" si="493"/>
        <v>-1.1477354854651997E-3</v>
      </c>
      <c r="J185" s="12">
        <f t="shared" ca="1" si="494"/>
        <v>2.8939042386178539E-3</v>
      </c>
      <c r="K185" s="12">
        <f t="shared" ca="1" si="495"/>
        <v>2.6944264827220357E-3</v>
      </c>
      <c r="L185" s="61">
        <f t="shared" ca="1" si="496"/>
        <v>-0.12014315987150903</v>
      </c>
      <c r="M185" s="63">
        <f t="shared" ca="1" si="497"/>
        <v>-2.6572094395242888E-2</v>
      </c>
      <c r="N185" s="61">
        <f t="shared" ca="1" si="498"/>
        <v>6.6998971081023262E-2</v>
      </c>
      <c r="O185" s="61">
        <f t="shared" ca="1" si="499"/>
        <v>6.238071031751076E-2</v>
      </c>
      <c r="Q185" s="61">
        <f t="shared" ca="1" si="500"/>
        <v>-0.21619677543640137</v>
      </c>
      <c r="T185" s="61">
        <f t="shared" ca="1" si="531"/>
        <v>-0.13372589647769928</v>
      </c>
      <c r="W185" s="61">
        <f t="shared" ca="1" si="532"/>
        <v>-0.20040322840213776</v>
      </c>
      <c r="Z185" s="61">
        <f t="shared" ca="1" si="533"/>
        <v>-9.6156008541584015E-2</v>
      </c>
      <c r="AC185" s="61">
        <f t="shared" ca="1" si="534"/>
        <v>-0.12410882860422134</v>
      </c>
      <c r="AI185" s="61">
        <f t="shared" ca="1" si="535"/>
        <v>0</v>
      </c>
      <c r="AL185" s="61">
        <f t="shared" ca="1" si="536"/>
        <v>0</v>
      </c>
      <c r="AO185" s="61">
        <f t="shared" ca="1" si="537"/>
        <v>0</v>
      </c>
      <c r="AR185" s="61">
        <f t="shared" ca="1" si="538"/>
        <v>0</v>
      </c>
      <c r="AU185" s="61">
        <f t="shared" ca="1" si="539"/>
        <v>0</v>
      </c>
      <c r="AX185" s="61">
        <f t="shared" ca="1" si="540"/>
        <v>0</v>
      </c>
      <c r="BA185" s="61">
        <f t="shared" ca="1" si="541"/>
        <v>0</v>
      </c>
      <c r="BD185" s="61">
        <f t="shared" ca="1" si="542"/>
        <v>0</v>
      </c>
      <c r="BG185" s="61">
        <f t="shared" ca="1" si="543"/>
        <v>0</v>
      </c>
      <c r="BJ185" s="61">
        <f t="shared" ca="1" si="544"/>
        <v>0</v>
      </c>
      <c r="BM185" s="61">
        <f t="shared" ca="1" si="545"/>
        <v>0</v>
      </c>
      <c r="BP185" s="61">
        <f t="shared" ca="1" si="546"/>
        <v>0</v>
      </c>
      <c r="BV185" s="61">
        <f t="shared" ca="1" si="547"/>
        <v>0</v>
      </c>
      <c r="BY185" s="61">
        <f t="shared" ca="1" si="548"/>
        <v>0</v>
      </c>
      <c r="CE185" s="61">
        <f t="shared" ca="1" si="549"/>
        <v>0</v>
      </c>
      <c r="CH185" s="61">
        <f t="shared" ca="1" si="550"/>
        <v>0</v>
      </c>
      <c r="CK185" s="61">
        <f t="shared" ca="1" si="551"/>
        <v>0</v>
      </c>
      <c r="CN185" s="61">
        <f t="shared" ca="1" si="552"/>
        <v>0</v>
      </c>
      <c r="CQ185" s="61">
        <f t="shared" ca="1" si="553"/>
        <v>0</v>
      </c>
      <c r="CT185" s="61">
        <f t="shared" ca="1" si="554"/>
        <v>0</v>
      </c>
      <c r="CW185" s="61">
        <f t="shared" ca="1" si="555"/>
        <v>0</v>
      </c>
      <c r="CZ185" s="61">
        <f t="shared" ca="1" si="556"/>
        <v>0</v>
      </c>
      <c r="DC185" s="61">
        <f t="shared" ca="1" si="557"/>
        <v>0</v>
      </c>
      <c r="DF185" s="61">
        <f t="shared" ca="1" si="558"/>
        <v>0</v>
      </c>
    </row>
    <row r="186" spans="1:110">
      <c r="A186" s="14">
        <f t="shared" si="559"/>
        <v>20</v>
      </c>
      <c r="B186" s="63">
        <f t="shared" ca="1" si="559"/>
        <v>0.1052422464745905</v>
      </c>
      <c r="C186" s="63">
        <f t="shared" si="559"/>
        <v>3884.6</v>
      </c>
      <c r="E186" s="61">
        <f t="shared" ca="1" si="490"/>
        <v>-1.9269108772277832E-2</v>
      </c>
      <c r="F186" s="61">
        <f t="shared" ca="1" si="491"/>
        <v>0.1052422464745905</v>
      </c>
      <c r="G186" s="2">
        <f t="shared" ca="1" si="530"/>
        <v>3.7990673035483077E-3</v>
      </c>
      <c r="H186" s="12">
        <f t="shared" ca="1" si="492"/>
        <v>-3.7990673035483077E-3</v>
      </c>
      <c r="I186" s="12">
        <f t="shared" ca="1" si="493"/>
        <v>-8.3229573351990512E-4</v>
      </c>
      <c r="J186" s="12">
        <f t="shared" ca="1" si="494"/>
        <v>2.1344758365084977E-3</v>
      </c>
      <c r="K186" s="12">
        <f t="shared" ca="1" si="495"/>
        <v>1.9778477133522683E-3</v>
      </c>
      <c r="L186" s="61">
        <f t="shared" ca="1" si="496"/>
        <v>-8.7955087458892856E-2</v>
      </c>
      <c r="M186" s="63">
        <f t="shared" ca="1" si="497"/>
        <v>-1.926910954302755E-2</v>
      </c>
      <c r="N186" s="61">
        <f t="shared" ca="1" si="498"/>
        <v>4.9416868372837763E-2</v>
      </c>
      <c r="O186" s="61">
        <f t="shared" ca="1" si="499"/>
        <v>4.5790651943910209E-2</v>
      </c>
      <c r="Q186" s="61">
        <f t="shared" ca="1" si="500"/>
        <v>-0.1698240339756012</v>
      </c>
      <c r="T186" s="61">
        <f t="shared" ca="1" si="531"/>
        <v>-9.8137468099594116E-2</v>
      </c>
      <c r="W186" s="61">
        <f t="shared" ca="1" si="532"/>
        <v>-0.13706009089946747</v>
      </c>
      <c r="Z186" s="61">
        <f t="shared" ca="1" si="533"/>
        <v>-6.2812402844429016E-2</v>
      </c>
      <c r="AC186" s="61">
        <f t="shared" ca="1" si="534"/>
        <v>-9.0970180928707123E-2</v>
      </c>
      <c r="AI186" s="61">
        <f t="shared" ca="1" si="535"/>
        <v>0</v>
      </c>
      <c r="AL186" s="61">
        <f t="shared" ca="1" si="536"/>
        <v>0</v>
      </c>
      <c r="AO186" s="61">
        <f t="shared" ca="1" si="537"/>
        <v>0</v>
      </c>
      <c r="AR186" s="61">
        <f t="shared" ca="1" si="538"/>
        <v>0</v>
      </c>
      <c r="AU186" s="61">
        <f t="shared" ca="1" si="539"/>
        <v>0</v>
      </c>
      <c r="AX186" s="61">
        <f t="shared" ca="1" si="540"/>
        <v>0</v>
      </c>
      <c r="BA186" s="61">
        <f t="shared" ca="1" si="541"/>
        <v>0</v>
      </c>
      <c r="BD186" s="61">
        <f t="shared" ca="1" si="542"/>
        <v>0</v>
      </c>
      <c r="BG186" s="61">
        <f t="shared" ca="1" si="543"/>
        <v>0</v>
      </c>
      <c r="BJ186" s="61">
        <f t="shared" ca="1" si="544"/>
        <v>0</v>
      </c>
      <c r="BM186" s="61">
        <f t="shared" ca="1" si="545"/>
        <v>0</v>
      </c>
      <c r="BP186" s="61">
        <f t="shared" ca="1" si="546"/>
        <v>0</v>
      </c>
      <c r="BV186" s="61">
        <f t="shared" ca="1" si="547"/>
        <v>0</v>
      </c>
      <c r="BY186" s="61">
        <f t="shared" ca="1" si="548"/>
        <v>0</v>
      </c>
      <c r="CE186" s="61">
        <f t="shared" ca="1" si="549"/>
        <v>0</v>
      </c>
      <c r="CH186" s="61">
        <f t="shared" ca="1" si="550"/>
        <v>0</v>
      </c>
      <c r="CK186" s="61">
        <f t="shared" ca="1" si="551"/>
        <v>0</v>
      </c>
      <c r="CN186" s="61">
        <f t="shared" ca="1" si="552"/>
        <v>0</v>
      </c>
      <c r="CQ186" s="61">
        <f t="shared" ca="1" si="553"/>
        <v>0</v>
      </c>
      <c r="CT186" s="61">
        <f t="shared" ca="1" si="554"/>
        <v>0</v>
      </c>
      <c r="CW186" s="61">
        <f t="shared" ca="1" si="555"/>
        <v>0</v>
      </c>
      <c r="CZ186" s="61">
        <f t="shared" ca="1" si="556"/>
        <v>0</v>
      </c>
      <c r="DC186" s="61">
        <f t="shared" ca="1" si="557"/>
        <v>0</v>
      </c>
      <c r="DF186" s="61">
        <f t="shared" ca="1" si="558"/>
        <v>0</v>
      </c>
    </row>
    <row r="187" spans="1:110">
      <c r="A187" s="14">
        <f t="shared" si="559"/>
        <v>21</v>
      </c>
      <c r="B187" s="63">
        <f t="shared" ca="1" si="559"/>
        <v>8.7497019701430423E-2</v>
      </c>
      <c r="C187" s="63">
        <f t="shared" si="559"/>
        <v>3874</v>
      </c>
      <c r="E187" s="61">
        <f t="shared" ca="1" si="490"/>
        <v>-1.4907889068126678E-2</v>
      </c>
      <c r="F187" s="61">
        <f t="shared" ca="1" si="491"/>
        <v>8.7497019701430423E-2</v>
      </c>
      <c r="G187" s="2">
        <f t="shared" ca="1" si="530"/>
        <v>2.934053785048879E-3</v>
      </c>
      <c r="H187" s="12">
        <f t="shared" ca="1" si="492"/>
        <v>-2.934053785048879E-3</v>
      </c>
      <c r="I187" s="12">
        <f t="shared" ca="1" si="493"/>
        <v>-6.4392041438448243E-4</v>
      </c>
      <c r="J187" s="12">
        <f t="shared" ca="1" si="494"/>
        <v>1.6462129562799142E-3</v>
      </c>
      <c r="K187" s="12">
        <f t="shared" ca="1" si="495"/>
        <v>1.5267555804429312E-3</v>
      </c>
      <c r="L187" s="61">
        <f t="shared" ca="1" si="496"/>
        <v>-6.7928503670371551E-2</v>
      </c>
      <c r="M187" s="63">
        <f t="shared" ca="1" si="497"/>
        <v>-1.4907889710418109E-2</v>
      </c>
      <c r="N187" s="61">
        <f t="shared" ca="1" si="498"/>
        <v>3.8112724249535337E-2</v>
      </c>
      <c r="O187" s="61">
        <f t="shared" ca="1" si="499"/>
        <v>3.5347075973302299E-2</v>
      </c>
      <c r="Q187" s="61">
        <f t="shared" ca="1" si="500"/>
        <v>-0.10622250288724899</v>
      </c>
      <c r="T187" s="61">
        <f t="shared" ca="1" si="531"/>
        <v>-7.6230667531490326E-2</v>
      </c>
      <c r="W187" s="61">
        <f t="shared" ca="1" si="532"/>
        <v>-0.13066941499710083</v>
      </c>
      <c r="Z187" s="61">
        <f t="shared" ca="1" si="533"/>
        <v>-5.0803672522306442E-2</v>
      </c>
      <c r="AC187" s="61">
        <f t="shared" ca="1" si="534"/>
        <v>-6.8402543663978577E-2</v>
      </c>
      <c r="AI187" s="61">
        <f t="shared" ca="1" si="535"/>
        <v>0</v>
      </c>
      <c r="AL187" s="61">
        <f t="shared" ca="1" si="536"/>
        <v>0</v>
      </c>
      <c r="AO187" s="61">
        <f t="shared" ca="1" si="537"/>
        <v>0</v>
      </c>
      <c r="AR187" s="61">
        <f t="shared" ca="1" si="538"/>
        <v>0</v>
      </c>
      <c r="AU187" s="61">
        <f t="shared" ca="1" si="539"/>
        <v>0</v>
      </c>
      <c r="AX187" s="61">
        <f t="shared" ca="1" si="540"/>
        <v>0</v>
      </c>
      <c r="BA187" s="61">
        <f t="shared" ca="1" si="541"/>
        <v>0</v>
      </c>
      <c r="BD187" s="61">
        <f t="shared" ca="1" si="542"/>
        <v>0</v>
      </c>
      <c r="BG187" s="61">
        <f t="shared" ca="1" si="543"/>
        <v>0</v>
      </c>
      <c r="BJ187" s="61">
        <f t="shared" ca="1" si="544"/>
        <v>0</v>
      </c>
      <c r="BM187" s="61">
        <f t="shared" ca="1" si="545"/>
        <v>0</v>
      </c>
      <c r="BP187" s="61">
        <f t="shared" ca="1" si="546"/>
        <v>0</v>
      </c>
      <c r="BV187" s="61">
        <f t="shared" ca="1" si="547"/>
        <v>0</v>
      </c>
      <c r="BY187" s="61">
        <f t="shared" ca="1" si="548"/>
        <v>0</v>
      </c>
      <c r="CE187" s="61">
        <f t="shared" ca="1" si="549"/>
        <v>0</v>
      </c>
      <c r="CH187" s="61">
        <f t="shared" ca="1" si="550"/>
        <v>0</v>
      </c>
      <c r="CK187" s="61">
        <f t="shared" ca="1" si="551"/>
        <v>0</v>
      </c>
      <c r="CN187" s="61">
        <f t="shared" ca="1" si="552"/>
        <v>0</v>
      </c>
      <c r="CQ187" s="61">
        <f t="shared" ca="1" si="553"/>
        <v>0</v>
      </c>
      <c r="CT187" s="61">
        <f t="shared" ca="1" si="554"/>
        <v>0</v>
      </c>
      <c r="CW187" s="61">
        <f t="shared" ca="1" si="555"/>
        <v>0</v>
      </c>
      <c r="CZ187" s="61">
        <f t="shared" ca="1" si="556"/>
        <v>0</v>
      </c>
      <c r="DC187" s="61">
        <f t="shared" ca="1" si="557"/>
        <v>0</v>
      </c>
      <c r="DF187" s="61">
        <f t="shared" ca="1" si="558"/>
        <v>0</v>
      </c>
    </row>
    <row r="188" spans="1:110">
      <c r="A188" s="14">
        <f t="shared" si="559"/>
        <v>22</v>
      </c>
      <c r="B188" s="63">
        <f t="shared" ca="1" si="559"/>
        <v>6.4528090696904072E-2</v>
      </c>
      <c r="C188" s="63">
        <f t="shared" si="559"/>
        <v>3852.9</v>
      </c>
      <c r="E188" s="61">
        <f t="shared" ca="1" si="490"/>
        <v>-1.3272883370518684E-2</v>
      </c>
      <c r="F188" s="61">
        <f t="shared" ca="1" si="491"/>
        <v>6.4528090696904072E-2</v>
      </c>
      <c r="G188" s="2">
        <f t="shared" ca="1" si="530"/>
        <v>2.6166450470785766E-3</v>
      </c>
      <c r="H188" s="12">
        <f t="shared" ca="1" si="492"/>
        <v>-2.6166450470785766E-3</v>
      </c>
      <c r="I188" s="12">
        <f t="shared" ca="1" si="493"/>
        <v>-5.7329917904307484E-4</v>
      </c>
      <c r="J188" s="12">
        <f t="shared" ca="1" si="494"/>
        <v>1.4700466889924267E-3</v>
      </c>
      <c r="K188" s="12">
        <f t="shared" ca="1" si="495"/>
        <v>1.3622305786903344E-3</v>
      </c>
      <c r="L188" s="61">
        <f t="shared" ca="1" si="496"/>
        <v>-6.0579933329877773E-2</v>
      </c>
      <c r="M188" s="63">
        <f t="shared" ca="1" si="497"/>
        <v>-1.3272883948580972E-2</v>
      </c>
      <c r="N188" s="61">
        <f t="shared" ca="1" si="498"/>
        <v>3.4034165432715834E-2</v>
      </c>
      <c r="O188" s="61">
        <f t="shared" ca="1" si="499"/>
        <v>3.1538032920864538E-2</v>
      </c>
      <c r="Q188" s="61">
        <f t="shared" ca="1" si="500"/>
        <v>-0.1155528649687767</v>
      </c>
      <c r="T188" s="61">
        <f t="shared" ca="1" si="531"/>
        <v>-7.6064042747020721E-2</v>
      </c>
      <c r="W188" s="61">
        <f t="shared" ca="1" si="532"/>
        <v>-9.3556404113769531E-2</v>
      </c>
      <c r="Z188" s="61">
        <f t="shared" ca="1" si="533"/>
        <v>-4.3015431612730026E-2</v>
      </c>
      <c r="AC188" s="61">
        <f t="shared" ca="1" si="534"/>
        <v>-5.6724891066551208E-2</v>
      </c>
      <c r="AI188" s="61">
        <f t="shared" ca="1" si="535"/>
        <v>0</v>
      </c>
      <c r="AL188" s="61">
        <f t="shared" ca="1" si="536"/>
        <v>0</v>
      </c>
      <c r="AO188" s="61">
        <f t="shared" ca="1" si="537"/>
        <v>0</v>
      </c>
      <c r="AR188" s="61">
        <f t="shared" ca="1" si="538"/>
        <v>0</v>
      </c>
      <c r="AU188" s="61">
        <f t="shared" ca="1" si="539"/>
        <v>0</v>
      </c>
      <c r="AX188" s="61">
        <f t="shared" ca="1" si="540"/>
        <v>0</v>
      </c>
      <c r="BA188" s="61">
        <f t="shared" ca="1" si="541"/>
        <v>0</v>
      </c>
      <c r="BD188" s="61">
        <f t="shared" ca="1" si="542"/>
        <v>0</v>
      </c>
      <c r="BG188" s="61">
        <f t="shared" ca="1" si="543"/>
        <v>0</v>
      </c>
      <c r="BJ188" s="61">
        <f t="shared" ca="1" si="544"/>
        <v>0</v>
      </c>
      <c r="BM188" s="61">
        <f t="shared" ca="1" si="545"/>
        <v>0</v>
      </c>
      <c r="BP188" s="61">
        <f t="shared" ca="1" si="546"/>
        <v>0</v>
      </c>
      <c r="BV188" s="61">
        <f t="shared" ca="1" si="547"/>
        <v>0</v>
      </c>
      <c r="BY188" s="61">
        <f t="shared" ca="1" si="548"/>
        <v>0</v>
      </c>
      <c r="CE188" s="61">
        <f t="shared" ca="1" si="549"/>
        <v>0</v>
      </c>
      <c r="CH188" s="61">
        <f t="shared" ca="1" si="550"/>
        <v>0</v>
      </c>
      <c r="CK188" s="61">
        <f t="shared" ca="1" si="551"/>
        <v>0</v>
      </c>
      <c r="CN188" s="61">
        <f t="shared" ca="1" si="552"/>
        <v>0</v>
      </c>
      <c r="CQ188" s="61">
        <f t="shared" ca="1" si="553"/>
        <v>0</v>
      </c>
      <c r="CT188" s="61">
        <f t="shared" ca="1" si="554"/>
        <v>0</v>
      </c>
      <c r="CW188" s="61">
        <f t="shared" ca="1" si="555"/>
        <v>0</v>
      </c>
      <c r="CZ188" s="61">
        <f t="shared" ca="1" si="556"/>
        <v>0</v>
      </c>
      <c r="DC188" s="61">
        <f t="shared" ca="1" si="557"/>
        <v>0</v>
      </c>
      <c r="DF188" s="61">
        <f t="shared" ca="1" si="558"/>
        <v>0</v>
      </c>
    </row>
    <row r="189" spans="1:110">
      <c r="A189" s="14">
        <f t="shared" si="559"/>
        <v>23</v>
      </c>
      <c r="B189" s="63">
        <f t="shared" ca="1" si="559"/>
        <v>4.8396071685701009E-2</v>
      </c>
      <c r="C189" s="63">
        <f t="shared" si="559"/>
        <v>3862.8</v>
      </c>
      <c r="E189" s="61">
        <f t="shared" ca="1" si="490"/>
        <v>-9.4418572261929512E-3</v>
      </c>
      <c r="F189" s="61">
        <f t="shared" ca="1" si="491"/>
        <v>4.8396071685701009E-2</v>
      </c>
      <c r="G189" s="2">
        <f t="shared" ca="1" si="530"/>
        <v>1.8454669669985379E-3</v>
      </c>
      <c r="H189" s="12">
        <f t="shared" ca="1" si="492"/>
        <v>-1.8454669669985379E-3</v>
      </c>
      <c r="I189" s="12">
        <f t="shared" ca="1" si="493"/>
        <v>-4.0782465718845902E-4</v>
      </c>
      <c r="J189" s="12">
        <f t="shared" ca="1" si="494"/>
        <v>1.0298176526216197E-3</v>
      </c>
      <c r="K189" s="12">
        <f t="shared" ca="1" si="495"/>
        <v>9.5842820654005241E-4</v>
      </c>
      <c r="L189" s="61">
        <f t="shared" ca="1" si="496"/>
        <v>-4.2725804918815162E-2</v>
      </c>
      <c r="M189" s="63">
        <f t="shared" ca="1" si="497"/>
        <v>-9.4418578363698099E-3</v>
      </c>
      <c r="N189" s="61">
        <f t="shared" ca="1" si="498"/>
        <v>2.3842089246075539E-2</v>
      </c>
      <c r="O189" s="61">
        <f t="shared" ca="1" si="499"/>
        <v>2.2189298054963565E-2</v>
      </c>
      <c r="Q189" s="61">
        <f t="shared" ca="1" si="500"/>
        <v>-8.3599947392940521E-2</v>
      </c>
      <c r="T189" s="61">
        <f t="shared" ca="1" si="531"/>
        <v>-5.2223887294530869E-2</v>
      </c>
      <c r="W189" s="61">
        <f t="shared" ca="1" si="532"/>
        <v>-5.7798907160758972E-2</v>
      </c>
      <c r="Z189" s="61">
        <f t="shared" ca="1" si="533"/>
        <v>-3.3052064478397369E-2</v>
      </c>
      <c r="AC189" s="61">
        <f t="shared" ca="1" si="534"/>
        <v>-4.7139070928096771E-2</v>
      </c>
      <c r="AI189" s="61">
        <f t="shared" ca="1" si="535"/>
        <v>0</v>
      </c>
      <c r="AL189" s="61">
        <f t="shared" ca="1" si="536"/>
        <v>0</v>
      </c>
      <c r="AO189" s="61">
        <f t="shared" ca="1" si="537"/>
        <v>0</v>
      </c>
      <c r="AR189" s="61">
        <f t="shared" ca="1" si="538"/>
        <v>0</v>
      </c>
      <c r="AU189" s="61">
        <f t="shared" ca="1" si="539"/>
        <v>0</v>
      </c>
      <c r="AX189" s="61">
        <f t="shared" ca="1" si="540"/>
        <v>0</v>
      </c>
      <c r="BA189" s="61">
        <f t="shared" ca="1" si="541"/>
        <v>0</v>
      </c>
      <c r="BD189" s="61">
        <f t="shared" ca="1" si="542"/>
        <v>0</v>
      </c>
      <c r="BG189" s="61">
        <f t="shared" ca="1" si="543"/>
        <v>0</v>
      </c>
      <c r="BJ189" s="61">
        <f t="shared" ca="1" si="544"/>
        <v>0</v>
      </c>
      <c r="BM189" s="61">
        <f t="shared" ca="1" si="545"/>
        <v>0</v>
      </c>
      <c r="BP189" s="61">
        <f t="shared" ca="1" si="546"/>
        <v>0</v>
      </c>
      <c r="BV189" s="61">
        <f t="shared" ca="1" si="547"/>
        <v>0</v>
      </c>
      <c r="BY189" s="61">
        <f t="shared" ca="1" si="548"/>
        <v>0</v>
      </c>
      <c r="CE189" s="61">
        <f t="shared" ca="1" si="549"/>
        <v>0</v>
      </c>
      <c r="CH189" s="61">
        <f t="shared" ca="1" si="550"/>
        <v>0</v>
      </c>
      <c r="CK189" s="61">
        <f t="shared" ca="1" si="551"/>
        <v>0</v>
      </c>
      <c r="CN189" s="61">
        <f t="shared" ca="1" si="552"/>
        <v>0</v>
      </c>
      <c r="CQ189" s="61">
        <f t="shared" ca="1" si="553"/>
        <v>0</v>
      </c>
      <c r="CT189" s="61">
        <f t="shared" ca="1" si="554"/>
        <v>0</v>
      </c>
      <c r="CW189" s="61">
        <f t="shared" ca="1" si="555"/>
        <v>0</v>
      </c>
      <c r="CZ189" s="61">
        <f t="shared" ca="1" si="556"/>
        <v>0</v>
      </c>
      <c r="DC189" s="61">
        <f t="shared" ca="1" si="557"/>
        <v>0</v>
      </c>
      <c r="DF189" s="61">
        <f t="shared" ca="1" si="558"/>
        <v>0</v>
      </c>
    </row>
    <row r="190" spans="1:110">
      <c r="A190" s="14">
        <f t="shared" si="559"/>
        <v>24</v>
      </c>
      <c r="B190" s="63">
        <f t="shared" ca="1" si="559"/>
        <v>1.6900215363934361E-2</v>
      </c>
      <c r="C190" s="63">
        <f t="shared" si="559"/>
        <v>3782.2</v>
      </c>
      <c r="E190" s="61">
        <f t="shared" ca="1" si="490"/>
        <v>-1.0555905755609274E-3</v>
      </c>
      <c r="F190" s="61">
        <f t="shared" ca="1" si="491"/>
        <v>1.6900215363934361E-2</v>
      </c>
      <c r="G190" s="2">
        <f t="shared" ca="1" si="530"/>
        <v>2.8397491866374007E-4</v>
      </c>
      <c r="H190" s="12">
        <f t="shared" ca="1" si="492"/>
        <v>-2.8397491866374007E-4</v>
      </c>
      <c r="I190" s="12">
        <f t="shared" ca="1" si="493"/>
        <v>-4.5594412178944429E-5</v>
      </c>
      <c r="J190" s="12">
        <f t="shared" ca="1" si="494"/>
        <v>1.9278609430585126E-4</v>
      </c>
      <c r="K190" s="12">
        <f t="shared" ca="1" si="495"/>
        <v>1.5892033765653045E-4</v>
      </c>
      <c r="L190" s="61">
        <f t="shared" ca="1" si="496"/>
        <v>-6.5745186414236014E-3</v>
      </c>
      <c r="M190" s="63">
        <f t="shared" ca="1" si="497"/>
        <v>-1.0555908043772496E-3</v>
      </c>
      <c r="N190" s="61">
        <f t="shared" ca="1" si="498"/>
        <v>4.463337032669103E-3</v>
      </c>
      <c r="O190" s="61">
        <f t="shared" ca="1" si="499"/>
        <v>3.6792852246975683E-3</v>
      </c>
      <c r="Q190" s="61">
        <f t="shared" ca="1" si="500"/>
        <v>-1.754138246178627E-2</v>
      </c>
      <c r="T190" s="61">
        <f t="shared" ca="1" si="531"/>
        <v>-9.5168948173522949E-3</v>
      </c>
      <c r="W190" s="61">
        <f t="shared" ca="1" si="532"/>
        <v>-1.9120499491691589E-3</v>
      </c>
      <c r="Z190" s="61">
        <f t="shared" ca="1" si="533"/>
        <v>1.1889123125001788E-3</v>
      </c>
      <c r="AC190" s="61">
        <f t="shared" ca="1" si="534"/>
        <v>-2.8307184111326933E-3</v>
      </c>
      <c r="AI190" s="61">
        <f t="shared" ca="1" si="535"/>
        <v>0</v>
      </c>
      <c r="AL190" s="61">
        <f t="shared" ca="1" si="536"/>
        <v>0</v>
      </c>
      <c r="AO190" s="61">
        <f t="shared" ca="1" si="537"/>
        <v>0</v>
      </c>
      <c r="AR190" s="61">
        <f t="shared" ca="1" si="538"/>
        <v>0</v>
      </c>
      <c r="AU190" s="61">
        <f t="shared" ca="1" si="539"/>
        <v>0</v>
      </c>
      <c r="AX190" s="61">
        <f t="shared" ca="1" si="540"/>
        <v>0</v>
      </c>
      <c r="BA190" s="61">
        <f t="shared" ca="1" si="541"/>
        <v>0</v>
      </c>
      <c r="BD190" s="61">
        <f t="shared" ca="1" si="542"/>
        <v>0</v>
      </c>
      <c r="BG190" s="61">
        <f t="shared" ca="1" si="543"/>
        <v>0</v>
      </c>
      <c r="BJ190" s="61">
        <f t="shared" ca="1" si="544"/>
        <v>0</v>
      </c>
      <c r="BM190" s="61">
        <f t="shared" ca="1" si="545"/>
        <v>0</v>
      </c>
      <c r="BP190" s="61">
        <f t="shared" ca="1" si="546"/>
        <v>0</v>
      </c>
      <c r="BV190" s="61">
        <f t="shared" ca="1" si="547"/>
        <v>0</v>
      </c>
      <c r="BY190" s="61">
        <f t="shared" ca="1" si="548"/>
        <v>0</v>
      </c>
      <c r="CE190" s="61">
        <f t="shared" ca="1" si="549"/>
        <v>0</v>
      </c>
      <c r="CH190" s="61">
        <f t="shared" ca="1" si="550"/>
        <v>0</v>
      </c>
      <c r="CK190" s="61">
        <f t="shared" ca="1" si="551"/>
        <v>0</v>
      </c>
      <c r="CN190" s="61">
        <f t="shared" ca="1" si="552"/>
        <v>0</v>
      </c>
      <c r="CQ190" s="61">
        <f t="shared" ca="1" si="553"/>
        <v>0</v>
      </c>
      <c r="CT190" s="61">
        <f t="shared" ca="1" si="554"/>
        <v>0</v>
      </c>
      <c r="CW190" s="61">
        <f t="shared" ca="1" si="555"/>
        <v>0</v>
      </c>
      <c r="CZ190" s="61">
        <f t="shared" ca="1" si="556"/>
        <v>0</v>
      </c>
      <c r="DC190" s="61">
        <f t="shared" ca="1" si="557"/>
        <v>0</v>
      </c>
      <c r="DF190" s="61">
        <f t="shared" ca="1" si="558"/>
        <v>0</v>
      </c>
    </row>
    <row r="191" spans="1:110">
      <c r="A191" s="14">
        <f t="shared" si="559"/>
        <v>25</v>
      </c>
      <c r="B191" s="63">
        <f t="shared" ca="1" si="559"/>
        <v>1.3827448268123942E-2</v>
      </c>
      <c r="C191" s="63">
        <f t="shared" si="559"/>
        <v>3801.6</v>
      </c>
      <c r="E191" s="61">
        <f t="shared" ca="1" si="490"/>
        <v>6.9094722998652713E-11</v>
      </c>
      <c r="F191" s="61">
        <f t="shared" ca="1" si="491"/>
        <v>1.3827448268123942E-2</v>
      </c>
      <c r="G191" s="2">
        <f t="shared" ca="1" si="530"/>
        <v>6.0741475078990521E-11</v>
      </c>
      <c r="H191" s="12">
        <f t="shared" ca="1" si="492"/>
        <v>-6.0741475078990521E-11</v>
      </c>
      <c r="I191" s="12">
        <f t="shared" ca="1" si="493"/>
        <v>-6.7255059629009998E-12</v>
      </c>
      <c r="J191" s="12">
        <f t="shared" ca="1" si="494"/>
        <v>4.7290463153188526E-11</v>
      </c>
      <c r="K191" s="12">
        <f t="shared" ca="1" si="495"/>
        <v>3.6010646077393013E-11</v>
      </c>
      <c r="L191" s="61">
        <f t="shared" ca="1" si="496"/>
        <v>-1.4062719415275655E-9</v>
      </c>
      <c r="M191" s="63">
        <f t="shared" ca="1" si="497"/>
        <v>-1.5570728758076107E-10</v>
      </c>
      <c r="N191" s="61">
        <f t="shared" ca="1" si="498"/>
        <v>1.0948573663660435E-9</v>
      </c>
      <c r="O191" s="61">
        <f t="shared" ca="1" si="499"/>
        <v>8.3370976929786968E-10</v>
      </c>
      <c r="Q191" s="61">
        <f t="shared" ca="1" si="500"/>
        <v>-2.3962059003679315E-9</v>
      </c>
      <c r="T191" s="61">
        <f t="shared" ca="1" si="531"/>
        <v>-6.1790725314203598E-11</v>
      </c>
      <c r="W191" s="61">
        <f t="shared" ca="1" si="532"/>
        <v>1.1797616217279483E-9</v>
      </c>
      <c r="Z191" s="61">
        <f t="shared" ca="1" si="533"/>
        <v>-3.591919206513694E-9</v>
      </c>
      <c r="AC191" s="61">
        <f t="shared" ca="1" si="534"/>
        <v>3.5464287062580979E-10</v>
      </c>
      <c r="AI191" s="61">
        <f t="shared" ca="1" si="535"/>
        <v>0</v>
      </c>
      <c r="AL191" s="61">
        <f t="shared" ca="1" si="536"/>
        <v>0</v>
      </c>
      <c r="AO191" s="61">
        <f t="shared" ca="1" si="537"/>
        <v>0</v>
      </c>
      <c r="AR191" s="61">
        <f t="shared" ca="1" si="538"/>
        <v>0</v>
      </c>
      <c r="AU191" s="61">
        <f t="shared" ca="1" si="539"/>
        <v>0</v>
      </c>
      <c r="AX191" s="61">
        <f t="shared" ca="1" si="540"/>
        <v>0</v>
      </c>
      <c r="BA191" s="61">
        <f t="shared" ca="1" si="541"/>
        <v>0</v>
      </c>
      <c r="BD191" s="61">
        <f t="shared" ca="1" si="542"/>
        <v>0</v>
      </c>
      <c r="BG191" s="61">
        <f t="shared" ca="1" si="543"/>
        <v>0</v>
      </c>
      <c r="BJ191" s="61">
        <f t="shared" ca="1" si="544"/>
        <v>0</v>
      </c>
      <c r="BM191" s="61">
        <f t="shared" ca="1" si="545"/>
        <v>0</v>
      </c>
      <c r="BP191" s="61">
        <f t="shared" ca="1" si="546"/>
        <v>0</v>
      </c>
      <c r="BV191" s="61">
        <f t="shared" ca="1" si="547"/>
        <v>0</v>
      </c>
      <c r="BY191" s="61">
        <f t="shared" ca="1" si="548"/>
        <v>0</v>
      </c>
      <c r="CE191" s="61">
        <f t="shared" ca="1" si="549"/>
        <v>0</v>
      </c>
      <c r="CH191" s="61">
        <f t="shared" ca="1" si="550"/>
        <v>0</v>
      </c>
      <c r="CK191" s="61">
        <f t="shared" ca="1" si="551"/>
        <v>0</v>
      </c>
      <c r="CN191" s="61">
        <f t="shared" ca="1" si="552"/>
        <v>0</v>
      </c>
      <c r="CQ191" s="61">
        <f t="shared" ca="1" si="553"/>
        <v>0</v>
      </c>
      <c r="CT191" s="61">
        <f t="shared" ca="1" si="554"/>
        <v>0</v>
      </c>
      <c r="CW191" s="61">
        <f t="shared" ca="1" si="555"/>
        <v>0</v>
      </c>
      <c r="CZ191" s="61">
        <f t="shared" ca="1" si="556"/>
        <v>0</v>
      </c>
      <c r="DC191" s="61">
        <f t="shared" ca="1" si="557"/>
        <v>0</v>
      </c>
      <c r="DF191" s="61">
        <f t="shared" ca="1" si="558"/>
        <v>0</v>
      </c>
    </row>
    <row r="193" spans="3:14">
      <c r="C193" s="111" t="str">
        <f ca="1">partNumber&amp;": Offset Histogram="&amp;INT(K162*100)/100&amp;"+/-"&amp;INT(M162*1.5*100)/100</f>
        <v>29121: Offset Histogram=0+/-0.02</v>
      </c>
      <c r="D193" s="111"/>
      <c r="E193" s="111"/>
      <c r="F193" s="111"/>
      <c r="G193" s="111"/>
    </row>
    <row r="196" spans="3:14">
      <c r="M196" s="10">
        <f ca="1">M162/2</f>
        <v>8.4875664352045931E-3</v>
      </c>
    </row>
    <row r="197" spans="3:14">
      <c r="M197" s="10">
        <f ca="1">J162</f>
        <v>-1.8411875065153335E-2</v>
      </c>
      <c r="N197" s="61">
        <f t="shared" ref="N197:N202" ca="1" si="560">histogram(Q$164:DH$164,M$197:M$202,M197)</f>
        <v>0</v>
      </c>
    </row>
    <row r="198" spans="3:14">
      <c r="M198" s="10">
        <f ca="1">M197+M$196</f>
        <v>-9.9243086299487422E-3</v>
      </c>
      <c r="N198" s="61">
        <f t="shared" ca="1" si="560"/>
        <v>0</v>
      </c>
    </row>
    <row r="199" spans="3:14">
      <c r="M199" s="10">
        <f ca="1">M198+M$196</f>
        <v>-1.4367421947441492E-3</v>
      </c>
      <c r="N199" s="61">
        <f t="shared" ca="1" si="560"/>
        <v>0</v>
      </c>
    </row>
    <row r="200" spans="3:14">
      <c r="K200" s="10"/>
      <c r="M200" s="10">
        <f ca="1">M199+M$196</f>
        <v>7.0508242404604439E-3</v>
      </c>
      <c r="N200" s="61">
        <f t="shared" ca="1" si="560"/>
        <v>24</v>
      </c>
    </row>
    <row r="201" spans="3:14">
      <c r="M201" s="10">
        <f ca="1">M200+M$196</f>
        <v>1.5538390675665037E-2</v>
      </c>
      <c r="N201" s="61">
        <f t="shared" ca="1" si="560"/>
        <v>0</v>
      </c>
    </row>
    <row r="202" spans="3:14">
      <c r="M202" s="10">
        <f ca="1">M201+M$196</f>
        <v>2.402595711086963E-2</v>
      </c>
      <c r="N202" s="61">
        <f t="shared" ca="1" si="560"/>
        <v>5</v>
      </c>
    </row>
  </sheetData>
  <mergeCells count="59">
    <mergeCell ref="L165:O165"/>
    <mergeCell ref="C193:G193"/>
    <mergeCell ref="I163:K163"/>
    <mergeCell ref="A127:C128"/>
    <mergeCell ref="B129:C129"/>
    <mergeCell ref="E129:H129"/>
    <mergeCell ref="E130:H130"/>
    <mergeCell ref="A158:C159"/>
    <mergeCell ref="B165:C165"/>
    <mergeCell ref="H165:K165"/>
    <mergeCell ref="E64:F64"/>
    <mergeCell ref="A95:C96"/>
    <mergeCell ref="D95:G95"/>
    <mergeCell ref="L95:O95"/>
    <mergeCell ref="H96:J96"/>
    <mergeCell ref="B97:C97"/>
    <mergeCell ref="D97:G97"/>
    <mergeCell ref="H97:J97"/>
    <mergeCell ref="L97:N97"/>
    <mergeCell ref="CW32:CY32"/>
    <mergeCell ref="CB32:CD32"/>
    <mergeCell ref="AU32:AW32"/>
    <mergeCell ref="AX32:AZ32"/>
    <mergeCell ref="BA32:BC32"/>
    <mergeCell ref="BD32:BF32"/>
    <mergeCell ref="BG32:BI32"/>
    <mergeCell ref="BJ32:BL32"/>
    <mergeCell ref="AC32:AE32"/>
    <mergeCell ref="AF32:AH32"/>
    <mergeCell ref="AI32:AK32"/>
    <mergeCell ref="AL32:AN32"/>
    <mergeCell ref="CQ32:CS32"/>
    <mergeCell ref="CT32:CV32"/>
    <mergeCell ref="BM32:BO32"/>
    <mergeCell ref="BP32:BR32"/>
    <mergeCell ref="BS32:BU32"/>
    <mergeCell ref="BV32:BX32"/>
    <mergeCell ref="BY32:CA32"/>
    <mergeCell ref="A61:C62"/>
    <mergeCell ref="B63:C63"/>
    <mergeCell ref="CE32:CG32"/>
    <mergeCell ref="CH32:CJ32"/>
    <mergeCell ref="CK32:CM32"/>
    <mergeCell ref="CC1:DH1"/>
    <mergeCell ref="A30:C31"/>
    <mergeCell ref="B32:C32"/>
    <mergeCell ref="Q32:S32"/>
    <mergeCell ref="T32:V32"/>
    <mergeCell ref="W32:Y32"/>
    <mergeCell ref="Z32:AB32"/>
    <mergeCell ref="AO32:AQ32"/>
    <mergeCell ref="AR32:AT32"/>
    <mergeCell ref="B1:C1"/>
    <mergeCell ref="Q1:AV1"/>
    <mergeCell ref="AW1:CB1"/>
    <mergeCell ref="CZ32:DB32"/>
    <mergeCell ref="DC32:DE32"/>
    <mergeCell ref="DF32:DH32"/>
    <mergeCell ref="CN32:CP32"/>
  </mergeCells>
  <conditionalFormatting sqref="P3:P27 P65:P89 P99:P123 P34:P58 P131:P155">
    <cfRule type="cellIs" dxfId="3" priority="1" operator="equal">
      <formula>TRUE</formula>
    </cfRule>
    <cfRule type="cellIs" dxfId="2" priority="2" operator="equal">
      <formula>FALSE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8"/>
  <dimension ref="A1:DH202"/>
  <sheetViews>
    <sheetView topLeftCell="A93" zoomScale="90" zoomScaleNormal="90" workbookViewId="0">
      <selection activeCell="J90" sqref="J90"/>
    </sheetView>
  </sheetViews>
  <sheetFormatPr defaultRowHeight="15"/>
  <cols>
    <col min="1" max="1" width="3.28515625" style="14" bestFit="1" customWidth="1"/>
    <col min="2" max="2" width="8.28515625" style="61" customWidth="1"/>
    <col min="3" max="16" width="7.5703125" style="61" customWidth="1"/>
    <col min="17" max="17" width="8" style="61" customWidth="1"/>
    <col min="18" max="19" width="6.85546875" style="61" customWidth="1"/>
    <col min="20" max="20" width="8" style="61" customWidth="1"/>
    <col min="21" max="22" width="6.85546875" style="61" customWidth="1"/>
    <col min="23" max="23" width="8" style="61" customWidth="1"/>
    <col min="24" max="25" width="6.85546875" style="61" customWidth="1"/>
    <col min="26" max="26" width="8" style="61" customWidth="1"/>
    <col min="27" max="28" width="6.85546875" style="61" customWidth="1"/>
    <col min="29" max="29" width="8" style="61" customWidth="1"/>
    <col min="30" max="31" width="6.85546875" style="61" customWidth="1"/>
    <col min="32" max="32" width="8" style="61" customWidth="1"/>
    <col min="33" max="34" width="6.85546875" style="61" customWidth="1"/>
    <col min="35" max="35" width="8" style="61" customWidth="1"/>
    <col min="36" max="37" width="6.85546875" style="61" customWidth="1"/>
    <col min="38" max="38" width="8" style="61" customWidth="1"/>
    <col min="39" max="40" width="6.85546875" style="61" customWidth="1"/>
    <col min="41" max="41" width="8" style="61" customWidth="1"/>
    <col min="42" max="43" width="6.85546875" style="61" customWidth="1"/>
    <col min="44" max="44" width="8" style="61" customWidth="1"/>
    <col min="45" max="46" width="6.85546875" style="61" customWidth="1"/>
    <col min="47" max="47" width="8" style="61" customWidth="1"/>
    <col min="48" max="49" width="6.85546875" style="61" customWidth="1"/>
    <col min="50" max="50" width="8" style="61" customWidth="1"/>
    <col min="51" max="52" width="6.85546875" style="61" customWidth="1"/>
    <col min="53" max="53" width="8" style="61" customWidth="1"/>
    <col min="54" max="55" width="6.85546875" style="61" customWidth="1"/>
    <col min="56" max="56" width="8" style="61" customWidth="1"/>
    <col min="57" max="58" width="6.85546875" style="61" customWidth="1"/>
    <col min="59" max="59" width="8" style="61" customWidth="1"/>
    <col min="60" max="61" width="6.85546875" style="61" customWidth="1"/>
    <col min="62" max="62" width="8" style="61" customWidth="1"/>
    <col min="63" max="64" width="6.85546875" style="61" customWidth="1"/>
    <col min="65" max="65" width="8" style="61" customWidth="1"/>
    <col min="66" max="67" width="6.85546875" style="61" customWidth="1"/>
    <col min="68" max="68" width="8" style="61" customWidth="1"/>
    <col min="69" max="70" width="6.85546875" style="61" customWidth="1"/>
    <col min="71" max="71" width="10.5703125" style="61" customWidth="1"/>
    <col min="72" max="73" width="6.85546875" style="61" customWidth="1"/>
    <col min="74" max="74" width="8" style="61" customWidth="1"/>
    <col min="75" max="76" width="6.85546875" style="61" customWidth="1"/>
    <col min="77" max="77" width="8" style="61" customWidth="1"/>
    <col min="78" max="79" width="6.85546875" style="61" customWidth="1"/>
    <col min="80" max="80" width="8" style="61" customWidth="1"/>
    <col min="81" max="82" width="9.140625" style="61"/>
    <col min="83" max="83" width="8" style="61" customWidth="1"/>
    <col min="84" max="85" width="9.140625" style="61"/>
    <col min="86" max="86" width="8" style="61" customWidth="1"/>
    <col min="87" max="88" width="9.140625" style="61"/>
    <col min="89" max="89" width="8" style="61" customWidth="1"/>
    <col min="90" max="91" width="9.140625" style="61"/>
    <col min="92" max="92" width="8" style="61" customWidth="1"/>
    <col min="93" max="94" width="9.140625" style="61"/>
    <col min="95" max="95" width="8" style="61" customWidth="1"/>
    <col min="96" max="97" width="9.140625" style="61"/>
    <col min="98" max="98" width="8" style="61" customWidth="1"/>
    <col min="99" max="100" width="9.140625" style="61"/>
    <col min="101" max="101" width="8" style="61" customWidth="1"/>
    <col min="102" max="103" width="9.140625" style="61"/>
    <col min="104" max="104" width="8" style="61" customWidth="1"/>
    <col min="105" max="106" width="9.140625" style="61"/>
    <col min="107" max="107" width="8" style="61" customWidth="1"/>
    <col min="108" max="109" width="9.140625" style="61"/>
    <col min="110" max="110" width="8" style="61" customWidth="1"/>
    <col min="111" max="16384" width="9.140625" style="61"/>
  </cols>
  <sheetData>
    <row r="1" spans="1:112">
      <c r="B1" s="101" t="s">
        <v>24</v>
      </c>
      <c r="C1" s="101"/>
      <c r="P1" s="73">
        <f>range1</f>
        <v>4000</v>
      </c>
      <c r="Q1" s="105" t="s">
        <v>41</v>
      </c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6"/>
      <c r="AH1" s="106"/>
      <c r="AI1" s="106"/>
      <c r="AJ1" s="106"/>
      <c r="AK1" s="106"/>
      <c r="AL1" s="106"/>
      <c r="AM1" s="106"/>
      <c r="AN1" s="106"/>
      <c r="AO1" s="106"/>
      <c r="AP1" s="106"/>
      <c r="AQ1" s="106"/>
      <c r="AR1" s="106"/>
      <c r="AS1" s="106"/>
      <c r="AT1" s="106"/>
      <c r="AU1" s="106"/>
      <c r="AV1" s="106"/>
      <c r="AW1" s="108" t="s">
        <v>43</v>
      </c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  <c r="BQ1" s="109"/>
      <c r="BR1" s="109"/>
      <c r="BS1" s="109"/>
      <c r="BT1" s="109"/>
      <c r="BU1" s="109"/>
      <c r="BV1" s="109"/>
      <c r="BW1" s="109"/>
      <c r="BX1" s="109"/>
      <c r="BY1" s="109"/>
      <c r="BZ1" s="109"/>
      <c r="CA1" s="109"/>
      <c r="CB1" s="109"/>
      <c r="CC1" s="97" t="s">
        <v>42</v>
      </c>
      <c r="CD1" s="98"/>
      <c r="CE1" s="98"/>
      <c r="CF1" s="98"/>
      <c r="CG1" s="98"/>
      <c r="CH1" s="98"/>
      <c r="CI1" s="98"/>
      <c r="CJ1" s="98"/>
      <c r="CK1" s="98"/>
      <c r="CL1" s="98"/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8"/>
      <c r="DH1" s="99"/>
    </row>
    <row r="2" spans="1:112" s="73" customFormat="1">
      <c r="A2" s="71"/>
      <c r="B2" s="73" t="s">
        <v>36</v>
      </c>
      <c r="C2" s="73" t="s">
        <v>40</v>
      </c>
      <c r="D2" s="60" t="s">
        <v>18</v>
      </c>
      <c r="E2" s="53" t="s">
        <v>11</v>
      </c>
      <c r="F2" s="60" t="s">
        <v>19</v>
      </c>
      <c r="G2" s="53" t="s">
        <v>12</v>
      </c>
      <c r="H2" s="54" t="str">
        <f>D2</f>
        <v>-1.5σ</v>
      </c>
      <c r="I2" s="54" t="str">
        <f t="shared" ref="I2:O2" si="0">E2</f>
        <v>AVG</v>
      </c>
      <c r="J2" s="54" t="str">
        <f t="shared" si="0"/>
        <v>+1.5σ</v>
      </c>
      <c r="K2" s="54" t="str">
        <f t="shared" si="0"/>
        <v>STDEV</v>
      </c>
      <c r="L2" s="55" t="str">
        <f t="shared" si="0"/>
        <v>-1.5σ</v>
      </c>
      <c r="M2" s="55" t="str">
        <f t="shared" si="0"/>
        <v>AVG</v>
      </c>
      <c r="N2" s="55" t="str">
        <f t="shared" si="0"/>
        <v>+1.5σ</v>
      </c>
      <c r="O2" s="55" t="str">
        <f t="shared" si="0"/>
        <v>STDEV</v>
      </c>
      <c r="P2" s="70" t="s">
        <v>59</v>
      </c>
      <c r="Q2" s="44">
        <f>data0!B1</f>
        <v>0</v>
      </c>
      <c r="R2" s="45">
        <f>data0!C1</f>
        <v>1</v>
      </c>
      <c r="S2" s="45">
        <f>data0!D1</f>
        <v>2</v>
      </c>
      <c r="T2" s="45">
        <f>data0!E1</f>
        <v>3</v>
      </c>
      <c r="U2" s="45">
        <f>data0!F1</f>
        <v>4</v>
      </c>
      <c r="V2" s="45">
        <f>data0!G1</f>
        <v>5</v>
      </c>
      <c r="W2" s="45">
        <f>data0!H1</f>
        <v>6</v>
      </c>
      <c r="X2" s="45">
        <f>data0!I1</f>
        <v>7</v>
      </c>
      <c r="Y2" s="45">
        <f>data0!J1</f>
        <v>8</v>
      </c>
      <c r="Z2" s="45">
        <f>data0!K1</f>
        <v>9</v>
      </c>
      <c r="AA2" s="45">
        <f>data0!L1</f>
        <v>10</v>
      </c>
      <c r="AB2" s="45">
        <f>data0!M1</f>
        <v>11</v>
      </c>
      <c r="AC2" s="45">
        <f>data0!N1</f>
        <v>12</v>
      </c>
      <c r="AD2" s="45">
        <f>data0!O1</f>
        <v>13</v>
      </c>
      <c r="AE2" s="45">
        <f>data0!P1</f>
        <v>14</v>
      </c>
      <c r="AF2" s="45">
        <f>data0!Q1</f>
        <v>15</v>
      </c>
      <c r="AG2" s="45">
        <f>data0!R1</f>
        <v>16</v>
      </c>
      <c r="AH2" s="45">
        <f>data0!S1</f>
        <v>17</v>
      </c>
      <c r="AI2" s="45">
        <f>data0!T1</f>
        <v>18</v>
      </c>
      <c r="AJ2" s="45">
        <f>data0!U1</f>
        <v>19</v>
      </c>
      <c r="AK2" s="45">
        <f>data0!V1</f>
        <v>20</v>
      </c>
      <c r="AL2" s="45">
        <f>data0!W1</f>
        <v>21</v>
      </c>
      <c r="AM2" s="45">
        <f>data0!X1</f>
        <v>22</v>
      </c>
      <c r="AN2" s="45">
        <f>data0!Y1</f>
        <v>23</v>
      </c>
      <c r="AO2" s="45">
        <f>data0!Z1</f>
        <v>24</v>
      </c>
      <c r="AP2" s="45">
        <f>data0!AA1</f>
        <v>25</v>
      </c>
      <c r="AQ2" s="45">
        <f>data0!AB1</f>
        <v>26</v>
      </c>
      <c r="AR2" s="45">
        <f>data0!AC1</f>
        <v>27</v>
      </c>
      <c r="AS2" s="45">
        <f>data0!AD1</f>
        <v>28</v>
      </c>
      <c r="AT2" s="45">
        <f>data0!AE1</f>
        <v>29</v>
      </c>
      <c r="AU2" s="45">
        <f>data0!AF1</f>
        <v>30</v>
      </c>
      <c r="AV2" s="45">
        <f>data0!AG1</f>
        <v>31</v>
      </c>
      <c r="AW2" s="44">
        <f>Q2</f>
        <v>0</v>
      </c>
      <c r="AX2" s="45">
        <f t="shared" ref="AX2:CB2" si="1">R2</f>
        <v>1</v>
      </c>
      <c r="AY2" s="45">
        <f t="shared" si="1"/>
        <v>2</v>
      </c>
      <c r="AZ2" s="45">
        <f t="shared" si="1"/>
        <v>3</v>
      </c>
      <c r="BA2" s="45">
        <f t="shared" si="1"/>
        <v>4</v>
      </c>
      <c r="BB2" s="45">
        <f t="shared" si="1"/>
        <v>5</v>
      </c>
      <c r="BC2" s="45">
        <f t="shared" si="1"/>
        <v>6</v>
      </c>
      <c r="BD2" s="45">
        <f t="shared" si="1"/>
        <v>7</v>
      </c>
      <c r="BE2" s="45">
        <f t="shared" si="1"/>
        <v>8</v>
      </c>
      <c r="BF2" s="45">
        <f t="shared" si="1"/>
        <v>9</v>
      </c>
      <c r="BG2" s="45">
        <f t="shared" si="1"/>
        <v>10</v>
      </c>
      <c r="BH2" s="45">
        <f t="shared" si="1"/>
        <v>11</v>
      </c>
      <c r="BI2" s="45">
        <f t="shared" si="1"/>
        <v>12</v>
      </c>
      <c r="BJ2" s="45">
        <f t="shared" si="1"/>
        <v>13</v>
      </c>
      <c r="BK2" s="45">
        <f t="shared" si="1"/>
        <v>14</v>
      </c>
      <c r="BL2" s="45">
        <f t="shared" si="1"/>
        <v>15</v>
      </c>
      <c r="BM2" s="45">
        <f t="shared" si="1"/>
        <v>16</v>
      </c>
      <c r="BN2" s="45">
        <f t="shared" si="1"/>
        <v>17</v>
      </c>
      <c r="BO2" s="45">
        <f t="shared" si="1"/>
        <v>18</v>
      </c>
      <c r="BP2" s="45">
        <f t="shared" si="1"/>
        <v>19</v>
      </c>
      <c r="BQ2" s="45">
        <f t="shared" si="1"/>
        <v>20</v>
      </c>
      <c r="BR2" s="45">
        <f t="shared" si="1"/>
        <v>21</v>
      </c>
      <c r="BS2" s="45">
        <f t="shared" si="1"/>
        <v>22</v>
      </c>
      <c r="BT2" s="45">
        <f t="shared" si="1"/>
        <v>23</v>
      </c>
      <c r="BU2" s="45">
        <f t="shared" si="1"/>
        <v>24</v>
      </c>
      <c r="BV2" s="45">
        <f t="shared" si="1"/>
        <v>25</v>
      </c>
      <c r="BW2" s="45">
        <f t="shared" si="1"/>
        <v>26</v>
      </c>
      <c r="BX2" s="45">
        <f t="shared" si="1"/>
        <v>27</v>
      </c>
      <c r="BY2" s="45">
        <f t="shared" si="1"/>
        <v>28</v>
      </c>
      <c r="BZ2" s="45">
        <f t="shared" si="1"/>
        <v>29</v>
      </c>
      <c r="CA2" s="45">
        <f t="shared" si="1"/>
        <v>30</v>
      </c>
      <c r="CB2" s="45">
        <f t="shared" si="1"/>
        <v>31</v>
      </c>
      <c r="CC2" s="44">
        <f>AW2</f>
        <v>0</v>
      </c>
      <c r="CD2" s="45">
        <f t="shared" ref="CD2:DH2" si="2">AX2</f>
        <v>1</v>
      </c>
      <c r="CE2" s="45">
        <f t="shared" si="2"/>
        <v>2</v>
      </c>
      <c r="CF2" s="45">
        <f t="shared" si="2"/>
        <v>3</v>
      </c>
      <c r="CG2" s="45">
        <f t="shared" si="2"/>
        <v>4</v>
      </c>
      <c r="CH2" s="45">
        <f t="shared" si="2"/>
        <v>5</v>
      </c>
      <c r="CI2" s="45">
        <f t="shared" si="2"/>
        <v>6</v>
      </c>
      <c r="CJ2" s="45">
        <f t="shared" si="2"/>
        <v>7</v>
      </c>
      <c r="CK2" s="45">
        <f t="shared" si="2"/>
        <v>8</v>
      </c>
      <c r="CL2" s="45">
        <f t="shared" si="2"/>
        <v>9</v>
      </c>
      <c r="CM2" s="45">
        <f t="shared" si="2"/>
        <v>10</v>
      </c>
      <c r="CN2" s="45">
        <f t="shared" si="2"/>
        <v>11</v>
      </c>
      <c r="CO2" s="45">
        <f t="shared" si="2"/>
        <v>12</v>
      </c>
      <c r="CP2" s="45">
        <f t="shared" si="2"/>
        <v>13</v>
      </c>
      <c r="CQ2" s="45">
        <f t="shared" si="2"/>
        <v>14</v>
      </c>
      <c r="CR2" s="45">
        <f t="shared" si="2"/>
        <v>15</v>
      </c>
      <c r="CS2" s="45">
        <f t="shared" si="2"/>
        <v>16</v>
      </c>
      <c r="CT2" s="45">
        <f t="shared" si="2"/>
        <v>17</v>
      </c>
      <c r="CU2" s="45">
        <f t="shared" si="2"/>
        <v>18</v>
      </c>
      <c r="CV2" s="45">
        <f t="shared" si="2"/>
        <v>19</v>
      </c>
      <c r="CW2" s="45">
        <f t="shared" si="2"/>
        <v>20</v>
      </c>
      <c r="CX2" s="45">
        <f t="shared" si="2"/>
        <v>21</v>
      </c>
      <c r="CY2" s="45">
        <f t="shared" si="2"/>
        <v>22</v>
      </c>
      <c r="CZ2" s="45">
        <f t="shared" si="2"/>
        <v>23</v>
      </c>
      <c r="DA2" s="45">
        <f t="shared" si="2"/>
        <v>24</v>
      </c>
      <c r="DB2" s="45">
        <f t="shared" si="2"/>
        <v>25</v>
      </c>
      <c r="DC2" s="45">
        <f t="shared" si="2"/>
        <v>26</v>
      </c>
      <c r="DD2" s="45">
        <f t="shared" si="2"/>
        <v>27</v>
      </c>
      <c r="DE2" s="45">
        <f t="shared" si="2"/>
        <v>28</v>
      </c>
      <c r="DF2" s="45">
        <f t="shared" si="2"/>
        <v>29</v>
      </c>
      <c r="DG2" s="45">
        <f t="shared" si="2"/>
        <v>30</v>
      </c>
      <c r="DH2" s="46">
        <f t="shared" si="2"/>
        <v>31</v>
      </c>
    </row>
    <row r="3" spans="1:112" s="63" customFormat="1">
      <c r="A3" s="14">
        <v>1</v>
      </c>
      <c r="B3" s="63">
        <f ca="1">data4!S2</f>
        <v>23.151758163574332</v>
      </c>
      <c r="C3" s="63">
        <f>data5!L2</f>
        <v>3933.1</v>
      </c>
      <c r="D3" s="63">
        <f>E3-1.5*G3</f>
        <v>-78.322672651594615</v>
      </c>
      <c r="E3" s="63">
        <f>AVERAGE(Q3:AV3)</f>
        <v>33.395333651838634</v>
      </c>
      <c r="F3" s="63">
        <f>E3+1.5*G3</f>
        <v>145.1133399552719</v>
      </c>
      <c r="G3" s="63">
        <f>STDEV(Q3:AV3)</f>
        <v>74.478670868955504</v>
      </c>
      <c r="H3" s="63">
        <f>I3-1.5*K3</f>
        <v>-52.29264086737264</v>
      </c>
      <c r="I3" s="63">
        <f>AVERAGE(AW3:CB3)</f>
        <v>22.276635268638874</v>
      </c>
      <c r="J3" s="63">
        <f>I3+1.5*K3</f>
        <v>96.84591140465038</v>
      </c>
      <c r="K3" s="63">
        <f>STDEV(AW3:CB3)</f>
        <v>49.712850757341009</v>
      </c>
      <c r="L3" s="63">
        <f>M3-1.5*O3</f>
        <v>-37.501112027292358</v>
      </c>
      <c r="M3" s="63">
        <f>AVERAGE(CC3:DH3)</f>
        <v>15.982885689570987</v>
      </c>
      <c r="N3" s="63">
        <f>M3+1.5*O3</f>
        <v>69.466883406434334</v>
      </c>
      <c r="O3" s="63">
        <f>STDEV(CC3:DH3)</f>
        <v>35.655998477908895</v>
      </c>
      <c r="P3" s="63" t="b">
        <f>MAX(Q3:DH3)&lt;P$1</f>
        <v>1</v>
      </c>
      <c r="Q3" s="47">
        <f>data0!B84</f>
        <v>199.87356567382812</v>
      </c>
      <c r="R3" s="48">
        <f>data0!C84</f>
        <v>192.39010620117187</v>
      </c>
      <c r="S3" s="48">
        <f>data0!D84</f>
        <v>196.01852416992187</v>
      </c>
      <c r="T3" s="48">
        <f>data0!E84</f>
        <v>191.54254150390625</v>
      </c>
      <c r="U3" s="48">
        <f>data0!F84</f>
        <v>188.63993835449219</v>
      </c>
      <c r="V3" s="48"/>
      <c r="W3" s="48">
        <f>data0!H84</f>
        <v>0</v>
      </c>
      <c r="X3" s="48">
        <f>data0!I84</f>
        <v>0</v>
      </c>
      <c r="Y3" s="48">
        <f>data0!J84</f>
        <v>0</v>
      </c>
      <c r="Z3" s="48">
        <f>data0!K84</f>
        <v>0</v>
      </c>
      <c r="AA3" s="48">
        <f>data0!L84</f>
        <v>0</v>
      </c>
      <c r="AB3" s="48">
        <f>data0!M84</f>
        <v>0</v>
      </c>
      <c r="AC3" s="48">
        <f>data0!N84</f>
        <v>0</v>
      </c>
      <c r="AD3" s="48">
        <f>data0!O84</f>
        <v>0</v>
      </c>
      <c r="AE3" s="48">
        <f>data0!P84</f>
        <v>0</v>
      </c>
      <c r="AF3" s="48">
        <f>data0!Q84</f>
        <v>0</v>
      </c>
      <c r="AG3" s="48">
        <f>data0!R84</f>
        <v>0</v>
      </c>
      <c r="AH3" s="48">
        <f>data0!S84</f>
        <v>0</v>
      </c>
      <c r="AI3" s="48"/>
      <c r="AJ3" s="48">
        <f>data0!U84</f>
        <v>0</v>
      </c>
      <c r="AK3" s="48">
        <f>data0!V84</f>
        <v>0</v>
      </c>
      <c r="AL3" s="48"/>
      <c r="AM3" s="48">
        <f>data0!X84</f>
        <v>0</v>
      </c>
      <c r="AN3" s="48">
        <f>data0!Y84</f>
        <v>0</v>
      </c>
      <c r="AO3" s="48">
        <f>data0!Z84</f>
        <v>0</v>
      </c>
      <c r="AP3" s="48">
        <f>data0!AA84</f>
        <v>0</v>
      </c>
      <c r="AQ3" s="48">
        <f>data0!AB84</f>
        <v>0</v>
      </c>
      <c r="AR3" s="48">
        <f>data0!AC84</f>
        <v>0</v>
      </c>
      <c r="AS3" s="48">
        <f>data0!AD84</f>
        <v>0</v>
      </c>
      <c r="AT3" s="48">
        <f>data0!AE84</f>
        <v>0</v>
      </c>
      <c r="AU3" s="48">
        <f>data0!AF84</f>
        <v>0</v>
      </c>
      <c r="AV3" s="48">
        <f>data0!AG84</f>
        <v>0</v>
      </c>
      <c r="AW3" s="47">
        <f>data1!B84</f>
        <v>134.17912292480469</v>
      </c>
      <c r="AX3" s="48">
        <f>data1!C84</f>
        <v>129.17416381835937</v>
      </c>
      <c r="AY3" s="48">
        <f>data1!D84</f>
        <v>135.05929565429687</v>
      </c>
      <c r="AZ3" s="48">
        <f>data1!E84</f>
        <v>125.06294250488281</v>
      </c>
      <c r="BA3" s="48">
        <f>data1!F84</f>
        <v>122.54689788818359</v>
      </c>
      <c r="BB3" s="48"/>
      <c r="BC3" s="48">
        <f>data1!H84</f>
        <v>0</v>
      </c>
      <c r="BD3" s="48">
        <f>data1!I84</f>
        <v>0</v>
      </c>
      <c r="BE3" s="48">
        <f>data1!J84</f>
        <v>0</v>
      </c>
      <c r="BF3" s="48">
        <f>data1!K84</f>
        <v>0</v>
      </c>
      <c r="BG3" s="48">
        <f>data1!L84</f>
        <v>0</v>
      </c>
      <c r="BH3" s="48">
        <f>data1!M84</f>
        <v>0</v>
      </c>
      <c r="BI3" s="48">
        <f>data1!N84</f>
        <v>0</v>
      </c>
      <c r="BJ3" s="48">
        <f>data1!O84</f>
        <v>0</v>
      </c>
      <c r="BK3" s="48">
        <f>data1!P84</f>
        <v>0</v>
      </c>
      <c r="BL3" s="48">
        <f>data1!Q84</f>
        <v>0</v>
      </c>
      <c r="BM3" s="48">
        <f>data1!R84</f>
        <v>0</v>
      </c>
      <c r="BN3" s="48">
        <f>data1!S84</f>
        <v>0</v>
      </c>
      <c r="BO3" s="48"/>
      <c r="BP3" s="48">
        <f>data1!U84</f>
        <v>0</v>
      </c>
      <c r="BQ3" s="48">
        <f>data1!V84</f>
        <v>0</v>
      </c>
      <c r="BR3" s="48"/>
      <c r="BS3" s="48">
        <f>data1!X84</f>
        <v>0</v>
      </c>
      <c r="BT3" s="48">
        <f>data1!Y84</f>
        <v>0</v>
      </c>
      <c r="BU3" s="48">
        <f>data1!Z84</f>
        <v>0</v>
      </c>
      <c r="BV3" s="48">
        <f>data1!AA84</f>
        <v>0</v>
      </c>
      <c r="BW3" s="48">
        <f>data1!AB84</f>
        <v>0</v>
      </c>
      <c r="BX3" s="48">
        <f>data1!AC84</f>
        <v>0</v>
      </c>
      <c r="BY3" s="48">
        <f>data1!AD84</f>
        <v>0</v>
      </c>
      <c r="BZ3" s="48">
        <f>data1!AE84</f>
        <v>0</v>
      </c>
      <c r="CA3" s="48">
        <f>data1!AF84</f>
        <v>0</v>
      </c>
      <c r="CB3" s="48">
        <f>data1!AG84</f>
        <v>0</v>
      </c>
      <c r="CC3" s="47">
        <f>data2!B84</f>
        <v>95.713302612304688</v>
      </c>
      <c r="CD3" s="48">
        <f>data2!C84</f>
        <v>92.700736999511719</v>
      </c>
      <c r="CE3" s="48">
        <f>data2!D84</f>
        <v>94.547157287597656</v>
      </c>
      <c r="CF3" s="48">
        <f>data2!E84</f>
        <v>92.964744567871094</v>
      </c>
      <c r="CG3" s="48">
        <f>data2!F84</f>
        <v>87.577743530273437</v>
      </c>
      <c r="CH3" s="48"/>
      <c r="CI3" s="48">
        <f>data2!H84</f>
        <v>0</v>
      </c>
      <c r="CJ3" s="48">
        <f>data2!I84</f>
        <v>0</v>
      </c>
      <c r="CK3" s="48">
        <f>data2!J84</f>
        <v>0</v>
      </c>
      <c r="CL3" s="48">
        <f>data2!K84</f>
        <v>0</v>
      </c>
      <c r="CM3" s="48">
        <f>data2!L84</f>
        <v>0</v>
      </c>
      <c r="CN3" s="48">
        <f>data2!M84</f>
        <v>0</v>
      </c>
      <c r="CO3" s="48">
        <f>data2!N84</f>
        <v>0</v>
      </c>
      <c r="CP3" s="48">
        <f>data2!O84</f>
        <v>0</v>
      </c>
      <c r="CQ3" s="48">
        <f>data2!P84</f>
        <v>0</v>
      </c>
      <c r="CR3" s="48">
        <f>data2!Q84</f>
        <v>0</v>
      </c>
      <c r="CS3" s="48">
        <f>data2!R84</f>
        <v>0</v>
      </c>
      <c r="CT3" s="48">
        <f>data2!S84</f>
        <v>0</v>
      </c>
      <c r="CU3" s="48"/>
      <c r="CV3" s="48">
        <f>data2!U84</f>
        <v>0</v>
      </c>
      <c r="CW3" s="48">
        <f>data2!V84</f>
        <v>0</v>
      </c>
      <c r="CX3" s="48"/>
      <c r="CY3" s="48">
        <f>data2!X84</f>
        <v>0</v>
      </c>
      <c r="CZ3" s="48">
        <f>data2!Y84</f>
        <v>0</v>
      </c>
      <c r="DA3" s="48">
        <f>data2!Z84</f>
        <v>0</v>
      </c>
      <c r="DB3" s="48">
        <f>data2!AA84</f>
        <v>0</v>
      </c>
      <c r="DC3" s="48">
        <f>data2!AB84</f>
        <v>0</v>
      </c>
      <c r="DD3" s="48">
        <f>data2!AC84</f>
        <v>0</v>
      </c>
      <c r="DE3" s="48">
        <f>data2!AD84</f>
        <v>0</v>
      </c>
      <c r="DF3" s="48">
        <f>data2!AE84</f>
        <v>0</v>
      </c>
      <c r="DG3" s="48">
        <f>data2!AF84</f>
        <v>0</v>
      </c>
      <c r="DH3" s="49">
        <f>data2!AG84</f>
        <v>0</v>
      </c>
    </row>
    <row r="4" spans="1:112" s="63" customFormat="1">
      <c r="A4" s="14">
        <f>A3+1</f>
        <v>2</v>
      </c>
      <c r="B4" s="63">
        <f ca="1">data4!S3</f>
        <v>18.852958021449371</v>
      </c>
      <c r="C4" s="63">
        <f>data5!L3</f>
        <v>3954.7</v>
      </c>
      <c r="D4" s="63">
        <f t="shared" ref="D4:D27" si="3">E4-1.5*G4</f>
        <v>-66.096661002563323</v>
      </c>
      <c r="E4" s="63">
        <f t="shared" ref="E4:E27" si="4">AVERAGE(Q4:AV4)</f>
        <v>27.839816389412714</v>
      </c>
      <c r="F4" s="63">
        <f t="shared" ref="F4:F27" si="5">E4+1.5*G4</f>
        <v>121.77629378138876</v>
      </c>
      <c r="G4" s="63">
        <f t="shared" ref="G4:G27" si="6">STDEV(Q4:AV4)</f>
        <v>62.624318261317356</v>
      </c>
      <c r="H4" s="63">
        <f t="shared" ref="H4:H27" si="7">I4-1.5*K4</f>
        <v>-41.990481473807804</v>
      </c>
      <c r="I4" s="63">
        <f t="shared" ref="I4:I27" si="8">AVERAGE(AW4:CB4)</f>
        <v>17.879923853380927</v>
      </c>
      <c r="J4" s="63">
        <f t="shared" ref="J4:J27" si="9">I4+1.5*K4</f>
        <v>77.750329180569665</v>
      </c>
      <c r="K4" s="63">
        <f t="shared" ref="K4:K27" si="10">STDEV(AW4:CB4)</f>
        <v>39.913603551459154</v>
      </c>
      <c r="L4" s="63">
        <f t="shared" ref="L4:L27" si="11">M4-1.5*O4</f>
        <v>-28.871896529756135</v>
      </c>
      <c r="M4" s="63">
        <f t="shared" ref="M4:M27" si="12">AVERAGE(CC4:DH4)</f>
        <v>12.303877468766837</v>
      </c>
      <c r="N4" s="63">
        <f t="shared" ref="N4:N27" si="13">M4+1.5*O4</f>
        <v>53.479651467289806</v>
      </c>
      <c r="O4" s="63">
        <f t="shared" ref="O4:O27" si="14">STDEV(CC4:DH4)</f>
        <v>27.450515999015312</v>
      </c>
      <c r="P4" s="63" t="b">
        <f t="shared" ref="P4:P27" si="15">MAX(Q4:DH4)&lt;P$1</f>
        <v>1</v>
      </c>
      <c r="Q4" s="47">
        <f>data0!B85</f>
        <v>200.49046325683594</v>
      </c>
      <c r="R4" s="48">
        <f>data0!C85</f>
        <v>152.08885192871094</v>
      </c>
      <c r="S4" s="48">
        <f>data0!D85</f>
        <v>154.99549865722656</v>
      </c>
      <c r="T4" s="48">
        <f>data0!E85</f>
        <v>150.91963195800781</v>
      </c>
      <c r="U4" s="48">
        <f>data0!F85</f>
        <v>148.8602294921875</v>
      </c>
      <c r="V4" s="48"/>
      <c r="W4" s="48">
        <f>data0!H85</f>
        <v>0</v>
      </c>
      <c r="X4" s="48">
        <f>data0!I85</f>
        <v>0</v>
      </c>
      <c r="Y4" s="48">
        <f>data0!J85</f>
        <v>0</v>
      </c>
      <c r="Z4" s="48">
        <f>data0!K85</f>
        <v>0</v>
      </c>
      <c r="AA4" s="48">
        <f>data0!L85</f>
        <v>0</v>
      </c>
      <c r="AB4" s="48">
        <f>data0!M85</f>
        <v>0</v>
      </c>
      <c r="AC4" s="48">
        <f>data0!N85</f>
        <v>0</v>
      </c>
      <c r="AD4" s="48">
        <f>data0!O85</f>
        <v>0</v>
      </c>
      <c r="AE4" s="48">
        <f>data0!P85</f>
        <v>0</v>
      </c>
      <c r="AF4" s="48">
        <f>data0!Q85</f>
        <v>0</v>
      </c>
      <c r="AG4" s="48">
        <f>data0!R85</f>
        <v>0</v>
      </c>
      <c r="AH4" s="48">
        <f>data0!S85</f>
        <v>0</v>
      </c>
      <c r="AI4" s="48"/>
      <c r="AJ4" s="48">
        <f>data0!U85</f>
        <v>0</v>
      </c>
      <c r="AK4" s="48">
        <f>data0!V85</f>
        <v>0</v>
      </c>
      <c r="AL4" s="48"/>
      <c r="AM4" s="48">
        <f>data0!X85</f>
        <v>0</v>
      </c>
      <c r="AN4" s="48">
        <f>data0!Y85</f>
        <v>0</v>
      </c>
      <c r="AO4" s="48">
        <f>data0!Z85</f>
        <v>0</v>
      </c>
      <c r="AP4" s="48">
        <f>data0!AA85</f>
        <v>0</v>
      </c>
      <c r="AQ4" s="48">
        <f>data0!AB85</f>
        <v>0</v>
      </c>
      <c r="AR4" s="48">
        <f>data0!AC85</f>
        <v>0</v>
      </c>
      <c r="AS4" s="48">
        <f>data0!AD85</f>
        <v>0</v>
      </c>
      <c r="AT4" s="48">
        <f>data0!AE85</f>
        <v>0</v>
      </c>
      <c r="AU4" s="48">
        <f>data0!AF85</f>
        <v>0</v>
      </c>
      <c r="AV4" s="48">
        <f>data0!AG85</f>
        <v>0</v>
      </c>
      <c r="AW4" s="47">
        <f>data1!B85</f>
        <v>108.78810882568359</v>
      </c>
      <c r="AX4" s="48">
        <f>data1!C85</f>
        <v>103.72865295410156</v>
      </c>
      <c r="AY4" s="48">
        <f>data1!D85</f>
        <v>108.72561645507812</v>
      </c>
      <c r="AZ4" s="48">
        <f>data1!E85</f>
        <v>99.902511596679688</v>
      </c>
      <c r="BA4" s="48">
        <f>data1!F85</f>
        <v>97.372901916503906</v>
      </c>
      <c r="BB4" s="48"/>
      <c r="BC4" s="48">
        <f>data1!H85</f>
        <v>0</v>
      </c>
      <c r="BD4" s="48">
        <f>data1!I85</f>
        <v>0</v>
      </c>
      <c r="BE4" s="48">
        <f>data1!J85</f>
        <v>0</v>
      </c>
      <c r="BF4" s="48">
        <f>data1!K85</f>
        <v>0</v>
      </c>
      <c r="BG4" s="48">
        <f>data1!L85</f>
        <v>0</v>
      </c>
      <c r="BH4" s="48">
        <f>data1!M85</f>
        <v>0</v>
      </c>
      <c r="BI4" s="48">
        <f>data1!N85</f>
        <v>0</v>
      </c>
      <c r="BJ4" s="48">
        <f>data1!O85</f>
        <v>0</v>
      </c>
      <c r="BK4" s="48">
        <f>data1!P85</f>
        <v>0</v>
      </c>
      <c r="BL4" s="48">
        <f>data1!Q85</f>
        <v>0</v>
      </c>
      <c r="BM4" s="48">
        <f>data1!R85</f>
        <v>0</v>
      </c>
      <c r="BN4" s="48">
        <f>data1!S85</f>
        <v>0</v>
      </c>
      <c r="BO4" s="48"/>
      <c r="BP4" s="48">
        <f>data1!U85</f>
        <v>0</v>
      </c>
      <c r="BQ4" s="48">
        <f>data1!V85</f>
        <v>0</v>
      </c>
      <c r="BR4" s="48"/>
      <c r="BS4" s="48">
        <f>data1!X85</f>
        <v>0</v>
      </c>
      <c r="BT4" s="48">
        <f>data1!Y85</f>
        <v>0</v>
      </c>
      <c r="BU4" s="48">
        <f>data1!Z85</f>
        <v>0</v>
      </c>
      <c r="BV4" s="48">
        <f>data1!AA85</f>
        <v>0</v>
      </c>
      <c r="BW4" s="48">
        <f>data1!AB85</f>
        <v>0</v>
      </c>
      <c r="BX4" s="48">
        <f>data1!AC85</f>
        <v>0</v>
      </c>
      <c r="BY4" s="48">
        <f>data1!AD85</f>
        <v>0</v>
      </c>
      <c r="BZ4" s="48">
        <f>data1!AE85</f>
        <v>0</v>
      </c>
      <c r="CA4" s="48">
        <f>data1!AF85</f>
        <v>0</v>
      </c>
      <c r="CB4" s="48">
        <f>data1!AG85</f>
        <v>0</v>
      </c>
      <c r="CC4" s="47">
        <f>data2!B85</f>
        <v>73.958297729492188</v>
      </c>
      <c r="CD4" s="48">
        <f>data2!C85</f>
        <v>71.490699768066406</v>
      </c>
      <c r="CE4" s="48">
        <f>data2!D85</f>
        <v>72.761795043945313</v>
      </c>
      <c r="CF4" s="48">
        <f>data2!E85</f>
        <v>71.398658752441406</v>
      </c>
      <c r="CG4" s="48">
        <f>data2!F85</f>
        <v>67.202995300292969</v>
      </c>
      <c r="CH4" s="48"/>
      <c r="CI4" s="48">
        <f>data2!H85</f>
        <v>0</v>
      </c>
      <c r="CJ4" s="48">
        <f>data2!I85</f>
        <v>0</v>
      </c>
      <c r="CK4" s="48">
        <f>data2!J85</f>
        <v>0</v>
      </c>
      <c r="CL4" s="48">
        <f>data2!K85</f>
        <v>0</v>
      </c>
      <c r="CM4" s="48">
        <f>data2!L85</f>
        <v>0</v>
      </c>
      <c r="CN4" s="48">
        <f>data2!M85</f>
        <v>0</v>
      </c>
      <c r="CO4" s="48">
        <f>data2!N85</f>
        <v>0</v>
      </c>
      <c r="CP4" s="48">
        <f>data2!O85</f>
        <v>0</v>
      </c>
      <c r="CQ4" s="48">
        <f>data2!P85</f>
        <v>0</v>
      </c>
      <c r="CR4" s="48">
        <f>data2!Q85</f>
        <v>0</v>
      </c>
      <c r="CS4" s="48">
        <f>data2!R85</f>
        <v>0</v>
      </c>
      <c r="CT4" s="48">
        <f>data2!S85</f>
        <v>0</v>
      </c>
      <c r="CU4" s="48"/>
      <c r="CV4" s="48">
        <f>data2!U85</f>
        <v>0</v>
      </c>
      <c r="CW4" s="48">
        <f>data2!V85</f>
        <v>0</v>
      </c>
      <c r="CX4" s="48"/>
      <c r="CY4" s="48">
        <f>data2!X85</f>
        <v>0</v>
      </c>
      <c r="CZ4" s="48">
        <f>data2!Y85</f>
        <v>0</v>
      </c>
      <c r="DA4" s="48">
        <f>data2!Z85</f>
        <v>0</v>
      </c>
      <c r="DB4" s="48">
        <f>data2!AA85</f>
        <v>0</v>
      </c>
      <c r="DC4" s="48">
        <f>data2!AB85</f>
        <v>0</v>
      </c>
      <c r="DD4" s="48">
        <f>data2!AC85</f>
        <v>0</v>
      </c>
      <c r="DE4" s="48">
        <f>data2!AD85</f>
        <v>0</v>
      </c>
      <c r="DF4" s="48">
        <f>data2!AE85</f>
        <v>0</v>
      </c>
      <c r="DG4" s="48">
        <f>data2!AF85</f>
        <v>0</v>
      </c>
      <c r="DH4" s="49">
        <f>data2!AG85</f>
        <v>0</v>
      </c>
    </row>
    <row r="5" spans="1:112" s="63" customFormat="1">
      <c r="A5" s="14">
        <f t="shared" ref="A5:A27" si="16">A4+1</f>
        <v>3</v>
      </c>
      <c r="B5" s="63">
        <f ca="1">data4!S4</f>
        <v>15.437578208746091</v>
      </c>
      <c r="C5" s="63">
        <f>data5!L4</f>
        <v>3988.4</v>
      </c>
      <c r="D5" s="63">
        <f t="shared" si="3"/>
        <v>-51.57227456220383</v>
      </c>
      <c r="E5" s="63">
        <f t="shared" si="4"/>
        <v>21.754158809267242</v>
      </c>
      <c r="F5" s="63">
        <f t="shared" si="5"/>
        <v>95.080592180738307</v>
      </c>
      <c r="G5" s="63">
        <f t="shared" si="6"/>
        <v>48.884288914314041</v>
      </c>
      <c r="H5" s="63">
        <f t="shared" si="7"/>
        <v>-33.708032355305903</v>
      </c>
      <c r="I5" s="63">
        <f t="shared" si="8"/>
        <v>14.354870237153152</v>
      </c>
      <c r="J5" s="63">
        <f t="shared" si="9"/>
        <v>62.417772829612204</v>
      </c>
      <c r="K5" s="63">
        <f t="shared" si="10"/>
        <v>32.041935061639371</v>
      </c>
      <c r="L5" s="63">
        <f t="shared" si="11"/>
        <v>-21.834961689174968</v>
      </c>
      <c r="M5" s="63">
        <f t="shared" si="12"/>
        <v>9.3036380636280978</v>
      </c>
      <c r="N5" s="63">
        <f t="shared" si="13"/>
        <v>40.44223781643116</v>
      </c>
      <c r="O5" s="63">
        <f t="shared" si="14"/>
        <v>20.759066501868709</v>
      </c>
      <c r="P5" s="63" t="b">
        <f t="shared" si="15"/>
        <v>1</v>
      </c>
      <c r="Q5" s="47">
        <f>data0!B86</f>
        <v>124.19939422607422</v>
      </c>
      <c r="R5" s="48">
        <f>data0!C86</f>
        <v>118.61572265625</v>
      </c>
      <c r="S5" s="48">
        <f>data0!D86</f>
        <v>154.43873596191406</v>
      </c>
      <c r="T5" s="48">
        <f>data0!E86</f>
        <v>116.92479705810547</v>
      </c>
      <c r="U5" s="48">
        <f>data0!F86</f>
        <v>116.69195556640625</v>
      </c>
      <c r="V5" s="48"/>
      <c r="W5" s="48">
        <f>data0!H86</f>
        <v>0</v>
      </c>
      <c r="X5" s="48">
        <f>data0!I86</f>
        <v>0</v>
      </c>
      <c r="Y5" s="48">
        <f>data0!J86</f>
        <v>0</v>
      </c>
      <c r="Z5" s="48">
        <f>data0!K86</f>
        <v>0</v>
      </c>
      <c r="AA5" s="48">
        <f>data0!L86</f>
        <v>0</v>
      </c>
      <c r="AB5" s="48">
        <f>data0!M86</f>
        <v>0</v>
      </c>
      <c r="AC5" s="48">
        <f>data0!N86</f>
        <v>0</v>
      </c>
      <c r="AD5" s="48">
        <f>data0!O86</f>
        <v>0</v>
      </c>
      <c r="AE5" s="48">
        <f>data0!P86</f>
        <v>0</v>
      </c>
      <c r="AF5" s="48">
        <f>data0!Q86</f>
        <v>0</v>
      </c>
      <c r="AG5" s="48">
        <f>data0!R86</f>
        <v>0</v>
      </c>
      <c r="AH5" s="48">
        <f>data0!S86</f>
        <v>0</v>
      </c>
      <c r="AI5" s="48"/>
      <c r="AJ5" s="48">
        <f>data0!U86</f>
        <v>0</v>
      </c>
      <c r="AK5" s="48">
        <f>data0!V86</f>
        <v>0</v>
      </c>
      <c r="AL5" s="48"/>
      <c r="AM5" s="48">
        <f>data0!X86</f>
        <v>0</v>
      </c>
      <c r="AN5" s="48">
        <f>data0!Y86</f>
        <v>0</v>
      </c>
      <c r="AO5" s="48">
        <f>data0!Z86</f>
        <v>0</v>
      </c>
      <c r="AP5" s="48">
        <f>data0!AA86</f>
        <v>0</v>
      </c>
      <c r="AQ5" s="48">
        <f>data0!AB86</f>
        <v>0</v>
      </c>
      <c r="AR5" s="48">
        <f>data0!AC86</f>
        <v>0</v>
      </c>
      <c r="AS5" s="48">
        <f>data0!AD86</f>
        <v>0</v>
      </c>
      <c r="AT5" s="48">
        <f>data0!AE86</f>
        <v>0</v>
      </c>
      <c r="AU5" s="48">
        <f>data0!AF86</f>
        <v>0</v>
      </c>
      <c r="AV5" s="48">
        <f>data0!AG86</f>
        <v>0</v>
      </c>
      <c r="AW5" s="47">
        <f>data1!B86</f>
        <v>87.338119506835938</v>
      </c>
      <c r="AX5" s="48">
        <f>data1!C86</f>
        <v>82.683555603027344</v>
      </c>
      <c r="AY5" s="48">
        <f>data1!D86</f>
        <v>87.397140502929688</v>
      </c>
      <c r="AZ5" s="48">
        <f>data1!E86</f>
        <v>79.4735107421875</v>
      </c>
      <c r="BA5" s="48">
        <f>data1!F86</f>
        <v>79.398910522460938</v>
      </c>
      <c r="BB5" s="48"/>
      <c r="BC5" s="48">
        <f>data1!H86</f>
        <v>0</v>
      </c>
      <c r="BD5" s="48">
        <f>data1!I86</f>
        <v>0</v>
      </c>
      <c r="BE5" s="48">
        <f>data1!J86</f>
        <v>0</v>
      </c>
      <c r="BF5" s="48">
        <f>data1!K86</f>
        <v>0</v>
      </c>
      <c r="BG5" s="48">
        <f>data1!L86</f>
        <v>0</v>
      </c>
      <c r="BH5" s="48">
        <f>data1!M86</f>
        <v>0</v>
      </c>
      <c r="BI5" s="48">
        <f>data1!N86</f>
        <v>0</v>
      </c>
      <c r="BJ5" s="48">
        <f>data1!O86</f>
        <v>0</v>
      </c>
      <c r="BK5" s="48">
        <f>data1!P86</f>
        <v>0</v>
      </c>
      <c r="BL5" s="48">
        <f>data1!Q86</f>
        <v>0</v>
      </c>
      <c r="BM5" s="48">
        <f>data1!R86</f>
        <v>0</v>
      </c>
      <c r="BN5" s="48">
        <f>data1!S86</f>
        <v>0</v>
      </c>
      <c r="BO5" s="48"/>
      <c r="BP5" s="48">
        <f>data1!U86</f>
        <v>0</v>
      </c>
      <c r="BQ5" s="48">
        <f>data1!V86</f>
        <v>0</v>
      </c>
      <c r="BR5" s="48"/>
      <c r="BS5" s="48">
        <f>data1!X86</f>
        <v>0</v>
      </c>
      <c r="BT5" s="48">
        <f>data1!Y86</f>
        <v>0</v>
      </c>
      <c r="BU5" s="48">
        <f>data1!Z86</f>
        <v>0</v>
      </c>
      <c r="BV5" s="48">
        <f>data1!AA86</f>
        <v>0</v>
      </c>
      <c r="BW5" s="48">
        <f>data1!AB86</f>
        <v>0</v>
      </c>
      <c r="BX5" s="48">
        <f>data1!AC86</f>
        <v>0</v>
      </c>
      <c r="BY5" s="48">
        <f>data1!AD86</f>
        <v>0</v>
      </c>
      <c r="BZ5" s="48">
        <f>data1!AE86</f>
        <v>0</v>
      </c>
      <c r="CA5" s="48">
        <f>data1!AF86</f>
        <v>0</v>
      </c>
      <c r="CB5" s="48">
        <f>data1!AG86</f>
        <v>0</v>
      </c>
      <c r="CC5" s="47">
        <f>data2!B86</f>
        <v>56.478725433349609</v>
      </c>
      <c r="CD5" s="48">
        <f>data2!C86</f>
        <v>54.487140655517578</v>
      </c>
      <c r="CE5" s="48">
        <f>data2!D86</f>
        <v>54.535743713378906</v>
      </c>
      <c r="CF5" s="48">
        <f>data2!E86</f>
        <v>53.560298919677734</v>
      </c>
      <c r="CG5" s="48">
        <f>data2!F86</f>
        <v>50.743595123291016</v>
      </c>
      <c r="CH5" s="48"/>
      <c r="CI5" s="48">
        <f>data2!H86</f>
        <v>0</v>
      </c>
      <c r="CJ5" s="48">
        <f>data2!I86</f>
        <v>0</v>
      </c>
      <c r="CK5" s="48">
        <f>data2!J86</f>
        <v>0</v>
      </c>
      <c r="CL5" s="48">
        <f>data2!K86</f>
        <v>0</v>
      </c>
      <c r="CM5" s="48">
        <f>data2!L86</f>
        <v>0</v>
      </c>
      <c r="CN5" s="48">
        <f>data2!M86</f>
        <v>0</v>
      </c>
      <c r="CO5" s="48">
        <f>data2!N86</f>
        <v>0</v>
      </c>
      <c r="CP5" s="48">
        <f>data2!O86</f>
        <v>0</v>
      </c>
      <c r="CQ5" s="48">
        <f>data2!P86</f>
        <v>0</v>
      </c>
      <c r="CR5" s="48">
        <f>data2!Q86</f>
        <v>0</v>
      </c>
      <c r="CS5" s="48">
        <f>data2!R86</f>
        <v>0</v>
      </c>
      <c r="CT5" s="48">
        <f>data2!S86</f>
        <v>0</v>
      </c>
      <c r="CU5" s="48"/>
      <c r="CV5" s="48">
        <f>data2!U86</f>
        <v>0</v>
      </c>
      <c r="CW5" s="48">
        <f>data2!V86</f>
        <v>0</v>
      </c>
      <c r="CX5" s="48"/>
      <c r="CY5" s="48">
        <f>data2!X86</f>
        <v>0</v>
      </c>
      <c r="CZ5" s="48">
        <f>data2!Y86</f>
        <v>0</v>
      </c>
      <c r="DA5" s="48">
        <f>data2!Z86</f>
        <v>0</v>
      </c>
      <c r="DB5" s="48">
        <f>data2!AA86</f>
        <v>0</v>
      </c>
      <c r="DC5" s="48">
        <f>data2!AB86</f>
        <v>0</v>
      </c>
      <c r="DD5" s="48">
        <f>data2!AC86</f>
        <v>0</v>
      </c>
      <c r="DE5" s="48">
        <f>data2!AD86</f>
        <v>0</v>
      </c>
      <c r="DF5" s="48">
        <f>data2!AE86</f>
        <v>0</v>
      </c>
      <c r="DG5" s="48">
        <f>data2!AF86</f>
        <v>0</v>
      </c>
      <c r="DH5" s="49">
        <f>data2!AG86</f>
        <v>0</v>
      </c>
    </row>
    <row r="6" spans="1:112" s="63" customFormat="1">
      <c r="A6" s="14">
        <f t="shared" si="16"/>
        <v>4</v>
      </c>
      <c r="B6" s="63">
        <f ca="1">data4!S5</f>
        <v>12.825726800021135</v>
      </c>
      <c r="C6" s="63">
        <f>data5!L5</f>
        <v>3978.3</v>
      </c>
      <c r="D6" s="63">
        <f t="shared" si="3"/>
        <v>-41.31021649650063</v>
      </c>
      <c r="E6" s="63">
        <f t="shared" si="4"/>
        <v>17.461268194790545</v>
      </c>
      <c r="F6" s="63">
        <f t="shared" si="5"/>
        <v>76.232752886081727</v>
      </c>
      <c r="G6" s="63">
        <f t="shared" si="6"/>
        <v>39.180989794194119</v>
      </c>
      <c r="H6" s="63">
        <f t="shared" si="7"/>
        <v>-27.53941754681799</v>
      </c>
      <c r="I6" s="63">
        <f t="shared" si="8"/>
        <v>11.726946863634833</v>
      </c>
      <c r="J6" s="63">
        <f t="shared" si="9"/>
        <v>50.99331127408766</v>
      </c>
      <c r="K6" s="63">
        <f t="shared" si="10"/>
        <v>26.177576273635214</v>
      </c>
      <c r="L6" s="63">
        <f t="shared" si="11"/>
        <v>-16.277305799735981</v>
      </c>
      <c r="M6" s="63">
        <f t="shared" si="12"/>
        <v>6.9354105982287173</v>
      </c>
      <c r="N6" s="63">
        <f t="shared" si="13"/>
        <v>30.148126996193415</v>
      </c>
      <c r="O6" s="63">
        <f t="shared" si="14"/>
        <v>15.475144265309797</v>
      </c>
      <c r="P6" s="63" t="b">
        <f t="shared" si="15"/>
        <v>1</v>
      </c>
      <c r="Q6" s="47">
        <f>data0!B87</f>
        <v>99.844139099121094</v>
      </c>
      <c r="R6" s="48">
        <f>data0!C87</f>
        <v>121.62748718261719</v>
      </c>
      <c r="S6" s="48">
        <f>data0!D87</f>
        <v>97.131019592285156</v>
      </c>
      <c r="T6" s="48">
        <f>data0!E87</f>
        <v>94.092781066894531</v>
      </c>
      <c r="U6" s="48">
        <f>data0!F87</f>
        <v>93.681350708007812</v>
      </c>
      <c r="V6" s="48"/>
      <c r="W6" s="48">
        <f>data0!H87</f>
        <v>0</v>
      </c>
      <c r="X6" s="48">
        <f>data0!I87</f>
        <v>0</v>
      </c>
      <c r="Y6" s="48">
        <f>data0!J87</f>
        <v>0</v>
      </c>
      <c r="Z6" s="48">
        <f>data0!K87</f>
        <v>0</v>
      </c>
      <c r="AA6" s="48">
        <f>data0!L87</f>
        <v>0</v>
      </c>
      <c r="AB6" s="48">
        <f>data0!M87</f>
        <v>0</v>
      </c>
      <c r="AC6" s="48">
        <f>data0!N87</f>
        <v>0</v>
      </c>
      <c r="AD6" s="48">
        <f>data0!O87</f>
        <v>0</v>
      </c>
      <c r="AE6" s="48">
        <f>data0!P87</f>
        <v>0</v>
      </c>
      <c r="AF6" s="48">
        <f>data0!Q87</f>
        <v>0</v>
      </c>
      <c r="AG6" s="48">
        <f>data0!R87</f>
        <v>0</v>
      </c>
      <c r="AH6" s="48">
        <f>data0!S87</f>
        <v>0</v>
      </c>
      <c r="AI6" s="48"/>
      <c r="AJ6" s="48">
        <f>data0!U87</f>
        <v>0</v>
      </c>
      <c r="AK6" s="48">
        <f>data0!V87</f>
        <v>0</v>
      </c>
      <c r="AL6" s="48"/>
      <c r="AM6" s="48">
        <f>data0!X87</f>
        <v>0</v>
      </c>
      <c r="AN6" s="48">
        <f>data0!Y87</f>
        <v>0</v>
      </c>
      <c r="AO6" s="48">
        <f>data0!Z87</f>
        <v>0</v>
      </c>
      <c r="AP6" s="48">
        <f>data0!AA87</f>
        <v>0</v>
      </c>
      <c r="AQ6" s="48">
        <f>data0!AB87</f>
        <v>0</v>
      </c>
      <c r="AR6" s="48">
        <f>data0!AC87</f>
        <v>0</v>
      </c>
      <c r="AS6" s="48">
        <f>data0!AD87</f>
        <v>0</v>
      </c>
      <c r="AT6" s="48">
        <f>data0!AE87</f>
        <v>0</v>
      </c>
      <c r="AU6" s="48">
        <f>data0!AF87</f>
        <v>0</v>
      </c>
      <c r="AV6" s="48">
        <f>data0!AG87</f>
        <v>0</v>
      </c>
      <c r="AW6" s="47">
        <f>data1!B87</f>
        <v>71.819854736328125</v>
      </c>
      <c r="AX6" s="48">
        <f>data1!C87</f>
        <v>67.290107727050781</v>
      </c>
      <c r="AY6" s="48">
        <f>data1!D87</f>
        <v>71.17938232421875</v>
      </c>
      <c r="AZ6" s="48">
        <f>data1!E87</f>
        <v>64.888145446777344</v>
      </c>
      <c r="BA6" s="48">
        <f>data1!F87</f>
        <v>64.903968811035156</v>
      </c>
      <c r="BB6" s="48"/>
      <c r="BC6" s="48">
        <f>data1!H87</f>
        <v>0</v>
      </c>
      <c r="BD6" s="48">
        <f>data1!I87</f>
        <v>0</v>
      </c>
      <c r="BE6" s="48">
        <f>data1!J87</f>
        <v>0</v>
      </c>
      <c r="BF6" s="48">
        <f>data1!K87</f>
        <v>0</v>
      </c>
      <c r="BG6" s="48">
        <f>data1!L87</f>
        <v>0</v>
      </c>
      <c r="BH6" s="48">
        <f>data1!M87</f>
        <v>0</v>
      </c>
      <c r="BI6" s="48">
        <f>data1!N87</f>
        <v>0</v>
      </c>
      <c r="BJ6" s="48">
        <f>data1!O87</f>
        <v>0</v>
      </c>
      <c r="BK6" s="48">
        <f>data1!P87</f>
        <v>0</v>
      </c>
      <c r="BL6" s="48">
        <f>data1!Q87</f>
        <v>0</v>
      </c>
      <c r="BM6" s="48">
        <f>data1!R87</f>
        <v>0</v>
      </c>
      <c r="BN6" s="48">
        <f>data1!S87</f>
        <v>0</v>
      </c>
      <c r="BO6" s="48"/>
      <c r="BP6" s="48">
        <f>data1!U87</f>
        <v>0</v>
      </c>
      <c r="BQ6" s="48">
        <f>data1!V87</f>
        <v>0</v>
      </c>
      <c r="BR6" s="48"/>
      <c r="BS6" s="48">
        <f>data1!X87</f>
        <v>0</v>
      </c>
      <c r="BT6" s="48">
        <f>data1!Y87</f>
        <v>0</v>
      </c>
      <c r="BU6" s="48">
        <f>data1!Z87</f>
        <v>0</v>
      </c>
      <c r="BV6" s="48">
        <f>data1!AA87</f>
        <v>0</v>
      </c>
      <c r="BW6" s="48">
        <f>data1!AB87</f>
        <v>0</v>
      </c>
      <c r="BX6" s="48">
        <f>data1!AC87</f>
        <v>0</v>
      </c>
      <c r="BY6" s="48">
        <f>data1!AD87</f>
        <v>0</v>
      </c>
      <c r="BZ6" s="48">
        <f>data1!AE87</f>
        <v>0</v>
      </c>
      <c r="CA6" s="48">
        <f>data1!AF87</f>
        <v>0</v>
      </c>
      <c r="CB6" s="48">
        <f>data1!AG87</f>
        <v>0</v>
      </c>
      <c r="CC6" s="47">
        <f>data2!B87</f>
        <v>42.051685333251953</v>
      </c>
      <c r="CD6" s="48">
        <f>data2!C87</f>
        <v>40.545402526855469</v>
      </c>
      <c r="CE6" s="48">
        <f>data2!D87</f>
        <v>40.6409912109375</v>
      </c>
      <c r="CF6" s="48">
        <f>data2!E87</f>
        <v>40.177570343017578</v>
      </c>
      <c r="CG6" s="48">
        <f>data2!F87</f>
        <v>37.711257934570313</v>
      </c>
      <c r="CH6" s="48"/>
      <c r="CI6" s="48">
        <f>data2!H87</f>
        <v>0</v>
      </c>
      <c r="CJ6" s="48">
        <f>data2!I87</f>
        <v>0</v>
      </c>
      <c r="CK6" s="48">
        <f>data2!J87</f>
        <v>0</v>
      </c>
      <c r="CL6" s="48">
        <f>data2!K87</f>
        <v>0</v>
      </c>
      <c r="CM6" s="48">
        <f>data2!L87</f>
        <v>0</v>
      </c>
      <c r="CN6" s="48">
        <f>data2!M87</f>
        <v>0</v>
      </c>
      <c r="CO6" s="48">
        <f>data2!N87</f>
        <v>0</v>
      </c>
      <c r="CP6" s="48">
        <f>data2!O87</f>
        <v>0</v>
      </c>
      <c r="CQ6" s="48">
        <f>data2!P87</f>
        <v>0</v>
      </c>
      <c r="CR6" s="48">
        <f>data2!Q87</f>
        <v>0</v>
      </c>
      <c r="CS6" s="48">
        <f>data2!R87</f>
        <v>0</v>
      </c>
      <c r="CT6" s="48">
        <f>data2!S87</f>
        <v>0</v>
      </c>
      <c r="CU6" s="48"/>
      <c r="CV6" s="48">
        <f>data2!U87</f>
        <v>0</v>
      </c>
      <c r="CW6" s="48">
        <f>data2!V87</f>
        <v>0</v>
      </c>
      <c r="CX6" s="48"/>
      <c r="CY6" s="48">
        <f>data2!X87</f>
        <v>0</v>
      </c>
      <c r="CZ6" s="48">
        <f>data2!Y87</f>
        <v>0</v>
      </c>
      <c r="DA6" s="48">
        <f>data2!Z87</f>
        <v>0</v>
      </c>
      <c r="DB6" s="48">
        <f>data2!AA87</f>
        <v>0</v>
      </c>
      <c r="DC6" s="48">
        <f>data2!AB87</f>
        <v>0</v>
      </c>
      <c r="DD6" s="48">
        <f>data2!AC87</f>
        <v>0</v>
      </c>
      <c r="DE6" s="48">
        <f>data2!AD87</f>
        <v>0</v>
      </c>
      <c r="DF6" s="48">
        <f>data2!AE87</f>
        <v>0</v>
      </c>
      <c r="DG6" s="48">
        <f>data2!AF87</f>
        <v>0</v>
      </c>
      <c r="DH6" s="49">
        <f>data2!AG87</f>
        <v>0</v>
      </c>
    </row>
    <row r="7" spans="1:112" s="63" customFormat="1">
      <c r="A7" s="14">
        <f t="shared" si="16"/>
        <v>5</v>
      </c>
      <c r="B7" s="63">
        <f ca="1">data4!S6</f>
        <v>9.4994572118508245</v>
      </c>
      <c r="C7" s="63">
        <f>data5!L6</f>
        <v>3960.5</v>
      </c>
      <c r="D7" s="63">
        <f t="shared" si="3"/>
        <v>-32.424232531813402</v>
      </c>
      <c r="E7" s="63">
        <f t="shared" si="4"/>
        <v>13.823326373922415</v>
      </c>
      <c r="F7" s="63">
        <f t="shared" si="5"/>
        <v>60.070885279658228</v>
      </c>
      <c r="G7" s="63">
        <f t="shared" si="6"/>
        <v>30.83170593715721</v>
      </c>
      <c r="H7" s="63">
        <f t="shared" si="7"/>
        <v>-21.583847877698304</v>
      </c>
      <c r="I7" s="63">
        <f t="shared" si="8"/>
        <v>9.1861121079017369</v>
      </c>
      <c r="J7" s="63">
        <f t="shared" si="9"/>
        <v>39.956072093501774</v>
      </c>
      <c r="K7" s="63">
        <f t="shared" si="10"/>
        <v>20.513306657066693</v>
      </c>
      <c r="L7" s="63">
        <f t="shared" si="11"/>
        <v>-15.015617855721345</v>
      </c>
      <c r="M7" s="63">
        <f t="shared" si="12"/>
        <v>6.3966370944319104</v>
      </c>
      <c r="N7" s="63">
        <f t="shared" si="13"/>
        <v>27.808892044585164</v>
      </c>
      <c r="O7" s="63">
        <f t="shared" si="14"/>
        <v>14.274836633435502</v>
      </c>
      <c r="P7" s="63" t="b">
        <f t="shared" si="15"/>
        <v>1</v>
      </c>
      <c r="Q7" s="47">
        <f>data0!B88</f>
        <v>83.052032470703125</v>
      </c>
      <c r="R7" s="48">
        <f>data0!C88</f>
        <v>79.577980041503906</v>
      </c>
      <c r="S7" s="48">
        <f>data0!D88</f>
        <v>81.621070861816406</v>
      </c>
      <c r="T7" s="48">
        <f>data0!E88</f>
        <v>78.438156127929688</v>
      </c>
      <c r="U7" s="48">
        <f>data0!F88</f>
        <v>78.187225341796875</v>
      </c>
      <c r="V7" s="48"/>
      <c r="W7" s="48">
        <f>data0!H88</f>
        <v>0</v>
      </c>
      <c r="X7" s="48">
        <f>data0!I88</f>
        <v>0</v>
      </c>
      <c r="Y7" s="48">
        <f>data0!J88</f>
        <v>0</v>
      </c>
      <c r="Z7" s="48">
        <f>data0!K88</f>
        <v>0</v>
      </c>
      <c r="AA7" s="48">
        <f>data0!L88</f>
        <v>0</v>
      </c>
      <c r="AB7" s="48">
        <f>data0!M88</f>
        <v>0</v>
      </c>
      <c r="AC7" s="48">
        <f>data0!N88</f>
        <v>0</v>
      </c>
      <c r="AD7" s="48">
        <f>data0!O88</f>
        <v>0</v>
      </c>
      <c r="AE7" s="48">
        <f>data0!P88</f>
        <v>0</v>
      </c>
      <c r="AF7" s="48">
        <f>data0!Q88</f>
        <v>0</v>
      </c>
      <c r="AG7" s="48">
        <f>data0!R88</f>
        <v>0</v>
      </c>
      <c r="AH7" s="48">
        <f>data0!S88</f>
        <v>0</v>
      </c>
      <c r="AI7" s="48"/>
      <c r="AJ7" s="48">
        <f>data0!U88</f>
        <v>0</v>
      </c>
      <c r="AK7" s="48">
        <f>data0!V88</f>
        <v>0</v>
      </c>
      <c r="AL7" s="48"/>
      <c r="AM7" s="48">
        <f>data0!X88</f>
        <v>0</v>
      </c>
      <c r="AN7" s="48">
        <f>data0!Y88</f>
        <v>0</v>
      </c>
      <c r="AO7" s="48">
        <f>data0!Z88</f>
        <v>0</v>
      </c>
      <c r="AP7" s="48">
        <f>data0!AA88</f>
        <v>0</v>
      </c>
      <c r="AQ7" s="48">
        <f>data0!AB88</f>
        <v>0</v>
      </c>
      <c r="AR7" s="48">
        <f>data0!AC88</f>
        <v>0</v>
      </c>
      <c r="AS7" s="48">
        <f>data0!AD88</f>
        <v>0</v>
      </c>
      <c r="AT7" s="48">
        <f>data0!AE88</f>
        <v>0</v>
      </c>
      <c r="AU7" s="48">
        <f>data0!AF88</f>
        <v>0</v>
      </c>
      <c r="AV7" s="48">
        <f>data0!AG88</f>
        <v>0</v>
      </c>
      <c r="AW7" s="47">
        <f>data1!B88</f>
        <v>56.474205017089844</v>
      </c>
      <c r="AX7" s="48">
        <f>data1!C88</f>
        <v>52.957527160644531</v>
      </c>
      <c r="AY7" s="48">
        <f>data1!D88</f>
        <v>56.196151733398437</v>
      </c>
      <c r="AZ7" s="48">
        <f>data1!E88</f>
        <v>50.809150695800781</v>
      </c>
      <c r="BA7" s="48">
        <f>data1!F88</f>
        <v>49.960216522216797</v>
      </c>
      <c r="BB7" s="48"/>
      <c r="BC7" s="48">
        <f>data1!H88</f>
        <v>0</v>
      </c>
      <c r="BD7" s="48">
        <f>data1!I88</f>
        <v>0</v>
      </c>
      <c r="BE7" s="48">
        <f>data1!J88</f>
        <v>0</v>
      </c>
      <c r="BF7" s="48">
        <f>data1!K88</f>
        <v>0</v>
      </c>
      <c r="BG7" s="48">
        <f>data1!L88</f>
        <v>0</v>
      </c>
      <c r="BH7" s="48">
        <f>data1!M88</f>
        <v>0</v>
      </c>
      <c r="BI7" s="48">
        <f>data1!N88</f>
        <v>0</v>
      </c>
      <c r="BJ7" s="48">
        <f>data1!O88</f>
        <v>0</v>
      </c>
      <c r="BK7" s="48">
        <f>data1!P88</f>
        <v>0</v>
      </c>
      <c r="BL7" s="48">
        <f>data1!Q88</f>
        <v>0</v>
      </c>
      <c r="BM7" s="48">
        <f>data1!R88</f>
        <v>0</v>
      </c>
      <c r="BN7" s="48">
        <f>data1!S88</f>
        <v>0</v>
      </c>
      <c r="BO7" s="48"/>
      <c r="BP7" s="48">
        <f>data1!U88</f>
        <v>0</v>
      </c>
      <c r="BQ7" s="48">
        <f>data1!V88</f>
        <v>0</v>
      </c>
      <c r="BR7" s="48"/>
      <c r="BS7" s="48">
        <f>data1!X88</f>
        <v>0</v>
      </c>
      <c r="BT7" s="48">
        <f>data1!Y88</f>
        <v>0</v>
      </c>
      <c r="BU7" s="48">
        <f>data1!Z88</f>
        <v>0</v>
      </c>
      <c r="BV7" s="48">
        <f>data1!AA88</f>
        <v>0</v>
      </c>
      <c r="BW7" s="48">
        <f>data1!AB88</f>
        <v>0</v>
      </c>
      <c r="BX7" s="48">
        <f>data1!AC88</f>
        <v>0</v>
      </c>
      <c r="BY7" s="48">
        <f>data1!AD88</f>
        <v>0</v>
      </c>
      <c r="BZ7" s="48">
        <f>data1!AE88</f>
        <v>0</v>
      </c>
      <c r="CA7" s="48">
        <f>data1!AF88</f>
        <v>0</v>
      </c>
      <c r="CB7" s="48">
        <f>data1!AG88</f>
        <v>0</v>
      </c>
      <c r="CC7" s="47">
        <f>data2!B88</f>
        <v>38.703662872314453</v>
      </c>
      <c r="CD7" s="48">
        <f>data2!C88</f>
        <v>37.212394714355469</v>
      </c>
      <c r="CE7" s="48">
        <f>data2!D88</f>
        <v>38.161117553710938</v>
      </c>
      <c r="CF7" s="48">
        <f>data2!E88</f>
        <v>36.804759979248047</v>
      </c>
      <c r="CG7" s="48">
        <f>data2!F88</f>
        <v>34.620540618896484</v>
      </c>
      <c r="CH7" s="48"/>
      <c r="CI7" s="48">
        <f>data2!H88</f>
        <v>0</v>
      </c>
      <c r="CJ7" s="48">
        <f>data2!I88</f>
        <v>0</v>
      </c>
      <c r="CK7" s="48">
        <f>data2!J88</f>
        <v>0</v>
      </c>
      <c r="CL7" s="48">
        <f>data2!K88</f>
        <v>0</v>
      </c>
      <c r="CM7" s="48">
        <f>data2!L88</f>
        <v>0</v>
      </c>
      <c r="CN7" s="48">
        <f>data2!M88</f>
        <v>0</v>
      </c>
      <c r="CO7" s="48">
        <f>data2!N88</f>
        <v>0</v>
      </c>
      <c r="CP7" s="48">
        <f>data2!O88</f>
        <v>0</v>
      </c>
      <c r="CQ7" s="48">
        <f>data2!P88</f>
        <v>0</v>
      </c>
      <c r="CR7" s="48">
        <f>data2!Q88</f>
        <v>0</v>
      </c>
      <c r="CS7" s="48">
        <f>data2!R88</f>
        <v>0</v>
      </c>
      <c r="CT7" s="48">
        <f>data2!S88</f>
        <v>0</v>
      </c>
      <c r="CU7" s="48"/>
      <c r="CV7" s="48">
        <f>data2!U88</f>
        <v>0</v>
      </c>
      <c r="CW7" s="48">
        <f>data2!V88</f>
        <v>0</v>
      </c>
      <c r="CX7" s="48"/>
      <c r="CY7" s="48">
        <f>data2!X88</f>
        <v>0</v>
      </c>
      <c r="CZ7" s="48">
        <f>data2!Y88</f>
        <v>0</v>
      </c>
      <c r="DA7" s="48">
        <f>data2!Z88</f>
        <v>0</v>
      </c>
      <c r="DB7" s="48">
        <f>data2!AA88</f>
        <v>0</v>
      </c>
      <c r="DC7" s="48">
        <f>data2!AB88</f>
        <v>0</v>
      </c>
      <c r="DD7" s="48">
        <f>data2!AC88</f>
        <v>0</v>
      </c>
      <c r="DE7" s="48">
        <f>data2!AD88</f>
        <v>0</v>
      </c>
      <c r="DF7" s="48">
        <f>data2!AE88</f>
        <v>0</v>
      </c>
      <c r="DG7" s="48">
        <f>data2!AF88</f>
        <v>0</v>
      </c>
      <c r="DH7" s="49">
        <f>data2!AG88</f>
        <v>0</v>
      </c>
    </row>
    <row r="8" spans="1:112" s="63" customFormat="1">
      <c r="A8" s="14">
        <f t="shared" si="16"/>
        <v>6</v>
      </c>
      <c r="B8" s="63">
        <f ca="1">data4!S7</f>
        <v>7.108076789685887</v>
      </c>
      <c r="C8" s="63">
        <f>data5!L7</f>
        <v>3971.2</v>
      </c>
      <c r="D8" s="63">
        <f t="shared" si="3"/>
        <v>-24.316119761496964</v>
      </c>
      <c r="E8" s="63">
        <f t="shared" si="4"/>
        <v>10.366878114897629</v>
      </c>
      <c r="F8" s="63">
        <f t="shared" si="5"/>
        <v>45.049875991292225</v>
      </c>
      <c r="G8" s="63">
        <f t="shared" si="6"/>
        <v>23.121998584263064</v>
      </c>
      <c r="H8" s="63">
        <f t="shared" si="7"/>
        <v>-16.145111168510958</v>
      </c>
      <c r="I8" s="63">
        <f t="shared" si="8"/>
        <v>6.8740877611883757</v>
      </c>
      <c r="J8" s="63">
        <f t="shared" si="9"/>
        <v>29.893286690887706</v>
      </c>
      <c r="K8" s="63">
        <f t="shared" si="10"/>
        <v>15.346132619799555</v>
      </c>
      <c r="L8" s="63">
        <f t="shared" si="11"/>
        <v>-11.106807545978494</v>
      </c>
      <c r="M8" s="63">
        <f t="shared" si="12"/>
        <v>4.7323429502289871</v>
      </c>
      <c r="N8" s="63">
        <f t="shared" si="13"/>
        <v>20.57149344643647</v>
      </c>
      <c r="O8" s="63">
        <f t="shared" si="14"/>
        <v>10.559433664138322</v>
      </c>
      <c r="P8" s="63" t="b">
        <f t="shared" si="15"/>
        <v>1</v>
      </c>
      <c r="Q8" s="47">
        <f>data0!B89</f>
        <v>62.20013427734375</v>
      </c>
      <c r="R8" s="48">
        <f>data0!C89</f>
        <v>59.795745849609375</v>
      </c>
      <c r="S8" s="48">
        <f>data0!D89</f>
        <v>61.149116516113281</v>
      </c>
      <c r="T8" s="48">
        <f>data0!E89</f>
        <v>59.03546142578125</v>
      </c>
      <c r="U8" s="48">
        <f>data0!F89</f>
        <v>58.459007263183594</v>
      </c>
      <c r="V8" s="48"/>
      <c r="W8" s="48">
        <f>data0!H89</f>
        <v>0</v>
      </c>
      <c r="X8" s="48">
        <f>data0!I89</f>
        <v>0</v>
      </c>
      <c r="Y8" s="48">
        <f>data0!J89</f>
        <v>0</v>
      </c>
      <c r="Z8" s="48">
        <f>data0!K89</f>
        <v>0</v>
      </c>
      <c r="AA8" s="48">
        <f>data0!L89</f>
        <v>0</v>
      </c>
      <c r="AB8" s="48">
        <f>data0!M89</f>
        <v>0</v>
      </c>
      <c r="AC8" s="48">
        <f>data0!N89</f>
        <v>0</v>
      </c>
      <c r="AD8" s="48">
        <f>data0!O89</f>
        <v>0</v>
      </c>
      <c r="AE8" s="48">
        <f>data0!P89</f>
        <v>0</v>
      </c>
      <c r="AF8" s="48">
        <f>data0!Q89</f>
        <v>0</v>
      </c>
      <c r="AG8" s="48">
        <f>data0!R89</f>
        <v>0</v>
      </c>
      <c r="AH8" s="48">
        <f>data0!S89</f>
        <v>0</v>
      </c>
      <c r="AI8" s="48"/>
      <c r="AJ8" s="48">
        <f>data0!U89</f>
        <v>0</v>
      </c>
      <c r="AK8" s="48">
        <f>data0!V89</f>
        <v>0</v>
      </c>
      <c r="AL8" s="48"/>
      <c r="AM8" s="48">
        <f>data0!X89</f>
        <v>0</v>
      </c>
      <c r="AN8" s="48">
        <f>data0!Y89</f>
        <v>0</v>
      </c>
      <c r="AO8" s="48">
        <f>data0!Z89</f>
        <v>0</v>
      </c>
      <c r="AP8" s="48">
        <f>data0!AA89</f>
        <v>0</v>
      </c>
      <c r="AQ8" s="48">
        <f>data0!AB89</f>
        <v>0</v>
      </c>
      <c r="AR8" s="48">
        <f>data0!AC89</f>
        <v>0</v>
      </c>
      <c r="AS8" s="48">
        <f>data0!AD89</f>
        <v>0</v>
      </c>
      <c r="AT8" s="48">
        <f>data0!AE89</f>
        <v>0</v>
      </c>
      <c r="AU8" s="48">
        <f>data0!AF89</f>
        <v>0</v>
      </c>
      <c r="AV8" s="48">
        <f>data0!AG89</f>
        <v>0</v>
      </c>
      <c r="AW8" s="47">
        <f>data1!B89</f>
        <v>42.167217254638672</v>
      </c>
      <c r="AX8" s="48">
        <f>data1!C89</f>
        <v>39.433673858642578</v>
      </c>
      <c r="AY8" s="48">
        <f>data1!D89</f>
        <v>41.811981201171875</v>
      </c>
      <c r="AZ8" s="48">
        <f>data1!E89</f>
        <v>37.939579010009766</v>
      </c>
      <c r="BA8" s="48">
        <f>data1!F89</f>
        <v>37.99609375</v>
      </c>
      <c r="BB8" s="48"/>
      <c r="BC8" s="48">
        <f>data1!H89</f>
        <v>0</v>
      </c>
      <c r="BD8" s="48">
        <f>data1!I89</f>
        <v>0</v>
      </c>
      <c r="BE8" s="48">
        <f>data1!J89</f>
        <v>0</v>
      </c>
      <c r="BF8" s="48">
        <f>data1!K89</f>
        <v>0</v>
      </c>
      <c r="BG8" s="48">
        <f>data1!L89</f>
        <v>0</v>
      </c>
      <c r="BH8" s="48">
        <f>data1!M89</f>
        <v>0</v>
      </c>
      <c r="BI8" s="48">
        <f>data1!N89</f>
        <v>0</v>
      </c>
      <c r="BJ8" s="48">
        <f>data1!O89</f>
        <v>0</v>
      </c>
      <c r="BK8" s="48">
        <f>data1!P89</f>
        <v>0</v>
      </c>
      <c r="BL8" s="48">
        <f>data1!Q89</f>
        <v>0</v>
      </c>
      <c r="BM8" s="48">
        <f>data1!R89</f>
        <v>0</v>
      </c>
      <c r="BN8" s="48">
        <f>data1!S89</f>
        <v>0</v>
      </c>
      <c r="BO8" s="48"/>
      <c r="BP8" s="48">
        <f>data1!U89</f>
        <v>0</v>
      </c>
      <c r="BQ8" s="48">
        <f>data1!V89</f>
        <v>0</v>
      </c>
      <c r="BR8" s="48"/>
      <c r="BS8" s="48">
        <f>data1!X89</f>
        <v>0</v>
      </c>
      <c r="BT8" s="48">
        <f>data1!Y89</f>
        <v>0</v>
      </c>
      <c r="BU8" s="48">
        <f>data1!Z89</f>
        <v>0</v>
      </c>
      <c r="BV8" s="48">
        <f>data1!AA89</f>
        <v>0</v>
      </c>
      <c r="BW8" s="48">
        <f>data1!AB89</f>
        <v>0</v>
      </c>
      <c r="BX8" s="48">
        <f>data1!AC89</f>
        <v>0</v>
      </c>
      <c r="BY8" s="48">
        <f>data1!AD89</f>
        <v>0</v>
      </c>
      <c r="BZ8" s="48">
        <f>data1!AE89</f>
        <v>0</v>
      </c>
      <c r="CA8" s="48">
        <f>data1!AF89</f>
        <v>0</v>
      </c>
      <c r="CB8" s="48">
        <f>data1!AG89</f>
        <v>0</v>
      </c>
      <c r="CC8" s="47">
        <f>data2!B89</f>
        <v>28.35780143737793</v>
      </c>
      <c r="CD8" s="48">
        <f>data2!C89</f>
        <v>27.627548217773438</v>
      </c>
      <c r="CE8" s="48">
        <f>data2!D89</f>
        <v>28.250665664672852</v>
      </c>
      <c r="CF8" s="48">
        <f>data2!E89</f>
        <v>27.323822021484375</v>
      </c>
      <c r="CG8" s="48">
        <f>data2!F89</f>
        <v>25.678108215332031</v>
      </c>
      <c r="CH8" s="48"/>
      <c r="CI8" s="48">
        <f>data2!H89</f>
        <v>0</v>
      </c>
      <c r="CJ8" s="48">
        <f>data2!I89</f>
        <v>0</v>
      </c>
      <c r="CK8" s="48">
        <f>data2!J89</f>
        <v>0</v>
      </c>
      <c r="CL8" s="48">
        <f>data2!K89</f>
        <v>0</v>
      </c>
      <c r="CM8" s="48">
        <f>data2!L89</f>
        <v>0</v>
      </c>
      <c r="CN8" s="48">
        <f>data2!M89</f>
        <v>0</v>
      </c>
      <c r="CO8" s="48">
        <f>data2!N89</f>
        <v>0</v>
      </c>
      <c r="CP8" s="48">
        <f>data2!O89</f>
        <v>0</v>
      </c>
      <c r="CQ8" s="48">
        <f>data2!P89</f>
        <v>0</v>
      </c>
      <c r="CR8" s="48">
        <f>data2!Q89</f>
        <v>0</v>
      </c>
      <c r="CS8" s="48">
        <f>data2!R89</f>
        <v>0</v>
      </c>
      <c r="CT8" s="48">
        <f>data2!S89</f>
        <v>0</v>
      </c>
      <c r="CU8" s="48"/>
      <c r="CV8" s="48">
        <f>data2!U89</f>
        <v>0</v>
      </c>
      <c r="CW8" s="48">
        <f>data2!V89</f>
        <v>0</v>
      </c>
      <c r="CX8" s="48"/>
      <c r="CY8" s="48">
        <f>data2!X89</f>
        <v>0</v>
      </c>
      <c r="CZ8" s="48">
        <f>data2!Y89</f>
        <v>0</v>
      </c>
      <c r="DA8" s="48">
        <f>data2!Z89</f>
        <v>0</v>
      </c>
      <c r="DB8" s="48">
        <f>data2!AA89</f>
        <v>0</v>
      </c>
      <c r="DC8" s="48">
        <f>data2!AB89</f>
        <v>0</v>
      </c>
      <c r="DD8" s="48">
        <f>data2!AC89</f>
        <v>0</v>
      </c>
      <c r="DE8" s="48">
        <f>data2!AD89</f>
        <v>0</v>
      </c>
      <c r="DF8" s="48">
        <f>data2!AE89</f>
        <v>0</v>
      </c>
      <c r="DG8" s="48">
        <f>data2!AF89</f>
        <v>0</v>
      </c>
      <c r="DH8" s="49">
        <f>data2!AG89</f>
        <v>0</v>
      </c>
    </row>
    <row r="9" spans="1:112" s="63" customFormat="1">
      <c r="A9" s="14">
        <f t="shared" si="16"/>
        <v>7</v>
      </c>
      <c r="B9" s="63">
        <f ca="1">data4!S8</f>
        <v>5.8108316409221263</v>
      </c>
      <c r="C9" s="63">
        <f>data5!L8</f>
        <v>3979.2</v>
      </c>
      <c r="D9" s="63">
        <f t="shared" si="3"/>
        <v>-22.479500090963551</v>
      </c>
      <c r="E9" s="63">
        <f t="shared" si="4"/>
        <v>9.4656379962789607</v>
      </c>
      <c r="F9" s="63">
        <f t="shared" si="5"/>
        <v>41.410776083521469</v>
      </c>
      <c r="G9" s="63">
        <f t="shared" si="6"/>
        <v>21.29675872482834</v>
      </c>
      <c r="H9" s="63">
        <f t="shared" si="7"/>
        <v>-13.169758633546669</v>
      </c>
      <c r="I9" s="63">
        <f t="shared" si="8"/>
        <v>5.6021685764707367</v>
      </c>
      <c r="J9" s="63">
        <f t="shared" si="9"/>
        <v>24.374095786488141</v>
      </c>
      <c r="K9" s="63">
        <f t="shared" si="10"/>
        <v>12.514618140011605</v>
      </c>
      <c r="L9" s="63">
        <f t="shared" si="11"/>
        <v>-9.0611802405648731</v>
      </c>
      <c r="M9" s="63">
        <f t="shared" si="12"/>
        <v>3.8602736242886246</v>
      </c>
      <c r="N9" s="63">
        <f t="shared" si="13"/>
        <v>16.781727489142121</v>
      </c>
      <c r="O9" s="63">
        <f t="shared" si="14"/>
        <v>8.6143025765689973</v>
      </c>
      <c r="P9" s="63" t="b">
        <f t="shared" si="15"/>
        <v>1</v>
      </c>
      <c r="Q9" s="47">
        <f>data0!B90</f>
        <v>64.754928588867188</v>
      </c>
      <c r="R9" s="48">
        <f>data0!C90</f>
        <v>49.323940277099609</v>
      </c>
      <c r="S9" s="48">
        <f>data0!D90</f>
        <v>50.289375305175781</v>
      </c>
      <c r="T9" s="48">
        <f>data0!E90</f>
        <v>48.828868865966797</v>
      </c>
      <c r="U9" s="48">
        <f>data0!F90</f>
        <v>61.306388854980469</v>
      </c>
      <c r="V9" s="48"/>
      <c r="W9" s="48">
        <f>data0!H90</f>
        <v>0</v>
      </c>
      <c r="X9" s="48">
        <f>data0!I90</f>
        <v>0</v>
      </c>
      <c r="Y9" s="48">
        <f>data0!J90</f>
        <v>0</v>
      </c>
      <c r="Z9" s="48">
        <f>data0!K90</f>
        <v>0</v>
      </c>
      <c r="AA9" s="48">
        <f>data0!L90</f>
        <v>0</v>
      </c>
      <c r="AB9" s="48">
        <f>data0!M90</f>
        <v>0</v>
      </c>
      <c r="AC9" s="48">
        <f>data0!N90</f>
        <v>0</v>
      </c>
      <c r="AD9" s="48">
        <f>data0!O90</f>
        <v>0</v>
      </c>
      <c r="AE9" s="48">
        <f>data0!P90</f>
        <v>0</v>
      </c>
      <c r="AF9" s="48">
        <f>data0!Q90</f>
        <v>0</v>
      </c>
      <c r="AG9" s="48">
        <f>data0!R90</f>
        <v>0</v>
      </c>
      <c r="AH9" s="48">
        <f>data0!S90</f>
        <v>0</v>
      </c>
      <c r="AI9" s="48"/>
      <c r="AJ9" s="48">
        <f>data0!U90</f>
        <v>0</v>
      </c>
      <c r="AK9" s="48">
        <f>data0!V90</f>
        <v>0</v>
      </c>
      <c r="AL9" s="48"/>
      <c r="AM9" s="48">
        <f>data0!X90</f>
        <v>0</v>
      </c>
      <c r="AN9" s="48">
        <f>data0!Y90</f>
        <v>0</v>
      </c>
      <c r="AO9" s="48">
        <f>data0!Z90</f>
        <v>0</v>
      </c>
      <c r="AP9" s="48">
        <f>data0!AA90</f>
        <v>0</v>
      </c>
      <c r="AQ9" s="48">
        <f>data0!AB90</f>
        <v>0</v>
      </c>
      <c r="AR9" s="48">
        <f>data0!AC90</f>
        <v>0</v>
      </c>
      <c r="AS9" s="48">
        <f>data0!AD90</f>
        <v>0</v>
      </c>
      <c r="AT9" s="48">
        <f>data0!AE90</f>
        <v>0</v>
      </c>
      <c r="AU9" s="48">
        <f>data0!AF90</f>
        <v>0</v>
      </c>
      <c r="AV9" s="48">
        <f>data0!AG90</f>
        <v>0</v>
      </c>
      <c r="AW9" s="47">
        <f>data1!B90</f>
        <v>34.903923034667969</v>
      </c>
      <c r="AX9" s="48">
        <f>data1!C90</f>
        <v>32.263225555419922</v>
      </c>
      <c r="AY9" s="48">
        <f>data1!D90</f>
        <v>34.202007293701172</v>
      </c>
      <c r="AZ9" s="48">
        <f>data1!E90</f>
        <v>30.850351333618164</v>
      </c>
      <c r="BA9" s="48">
        <f>data1!F90</f>
        <v>30.243381500244141</v>
      </c>
      <c r="BB9" s="48"/>
      <c r="BC9" s="48">
        <f>data1!H90</f>
        <v>0</v>
      </c>
      <c r="BD9" s="48">
        <f>data1!I90</f>
        <v>0</v>
      </c>
      <c r="BE9" s="48">
        <f>data1!J90</f>
        <v>0</v>
      </c>
      <c r="BF9" s="48">
        <f>data1!K90</f>
        <v>0</v>
      </c>
      <c r="BG9" s="48">
        <f>data1!L90</f>
        <v>0</v>
      </c>
      <c r="BH9" s="48">
        <f>data1!M90</f>
        <v>0</v>
      </c>
      <c r="BI9" s="48">
        <f>data1!N90</f>
        <v>0</v>
      </c>
      <c r="BJ9" s="48">
        <f>data1!O90</f>
        <v>0</v>
      </c>
      <c r="BK9" s="48">
        <f>data1!P90</f>
        <v>0</v>
      </c>
      <c r="BL9" s="48">
        <f>data1!Q90</f>
        <v>0</v>
      </c>
      <c r="BM9" s="48">
        <f>data1!R90</f>
        <v>0</v>
      </c>
      <c r="BN9" s="48">
        <f>data1!S90</f>
        <v>0</v>
      </c>
      <c r="BO9" s="48"/>
      <c r="BP9" s="48">
        <f>data1!U90</f>
        <v>0</v>
      </c>
      <c r="BQ9" s="48">
        <f>data1!V90</f>
        <v>0</v>
      </c>
      <c r="BR9" s="48"/>
      <c r="BS9" s="48">
        <f>data1!X90</f>
        <v>0</v>
      </c>
      <c r="BT9" s="48">
        <f>data1!Y90</f>
        <v>0</v>
      </c>
      <c r="BU9" s="48">
        <f>data1!Z90</f>
        <v>0</v>
      </c>
      <c r="BV9" s="48">
        <f>data1!AA90</f>
        <v>0</v>
      </c>
      <c r="BW9" s="48">
        <f>data1!AB90</f>
        <v>0</v>
      </c>
      <c r="BX9" s="48">
        <f>data1!AC90</f>
        <v>0</v>
      </c>
      <c r="BY9" s="48">
        <f>data1!AD90</f>
        <v>0</v>
      </c>
      <c r="BZ9" s="48">
        <f>data1!AE90</f>
        <v>0</v>
      </c>
      <c r="CA9" s="48">
        <f>data1!AF90</f>
        <v>0</v>
      </c>
      <c r="CB9" s="48">
        <f>data1!AG90</f>
        <v>0</v>
      </c>
      <c r="CC9" s="47">
        <f>data2!B90</f>
        <v>23.052022933959961</v>
      </c>
      <c r="CD9" s="48">
        <f>data2!C90</f>
        <v>22.802629470825195</v>
      </c>
      <c r="CE9" s="48">
        <f>data2!D90</f>
        <v>22.910331726074219</v>
      </c>
      <c r="CF9" s="48">
        <f>data2!E90</f>
        <v>22.397983551025391</v>
      </c>
      <c r="CG9" s="48">
        <f>data2!F90</f>
        <v>20.784967422485352</v>
      </c>
      <c r="CH9" s="48"/>
      <c r="CI9" s="48">
        <f>data2!H90</f>
        <v>0</v>
      </c>
      <c r="CJ9" s="48">
        <f>data2!I90</f>
        <v>0</v>
      </c>
      <c r="CK9" s="48">
        <f>data2!J90</f>
        <v>0</v>
      </c>
      <c r="CL9" s="48">
        <f>data2!K90</f>
        <v>0</v>
      </c>
      <c r="CM9" s="48">
        <f>data2!L90</f>
        <v>0</v>
      </c>
      <c r="CN9" s="48">
        <f>data2!M90</f>
        <v>0</v>
      </c>
      <c r="CO9" s="48">
        <f>data2!N90</f>
        <v>0</v>
      </c>
      <c r="CP9" s="48">
        <f>data2!O90</f>
        <v>0</v>
      </c>
      <c r="CQ9" s="48">
        <f>data2!P90</f>
        <v>0</v>
      </c>
      <c r="CR9" s="48">
        <f>data2!Q90</f>
        <v>0</v>
      </c>
      <c r="CS9" s="48">
        <f>data2!R90</f>
        <v>0</v>
      </c>
      <c r="CT9" s="48">
        <f>data2!S90</f>
        <v>0</v>
      </c>
      <c r="CU9" s="48"/>
      <c r="CV9" s="48">
        <f>data2!U90</f>
        <v>0</v>
      </c>
      <c r="CW9" s="48">
        <f>data2!V90</f>
        <v>0</v>
      </c>
      <c r="CX9" s="48"/>
      <c r="CY9" s="48">
        <f>data2!X90</f>
        <v>0</v>
      </c>
      <c r="CZ9" s="48">
        <f>data2!Y90</f>
        <v>0</v>
      </c>
      <c r="DA9" s="48">
        <f>data2!Z90</f>
        <v>0</v>
      </c>
      <c r="DB9" s="48">
        <f>data2!AA90</f>
        <v>0</v>
      </c>
      <c r="DC9" s="48">
        <f>data2!AB90</f>
        <v>0</v>
      </c>
      <c r="DD9" s="48">
        <f>data2!AC90</f>
        <v>0</v>
      </c>
      <c r="DE9" s="48">
        <f>data2!AD90</f>
        <v>0</v>
      </c>
      <c r="DF9" s="48">
        <f>data2!AE90</f>
        <v>0</v>
      </c>
      <c r="DG9" s="48">
        <f>data2!AF90</f>
        <v>0</v>
      </c>
      <c r="DH9" s="49">
        <f>data2!AG90</f>
        <v>0</v>
      </c>
    </row>
    <row r="10" spans="1:112" s="63" customFormat="1">
      <c r="A10" s="14">
        <f t="shared" si="16"/>
        <v>8</v>
      </c>
      <c r="B10" s="63">
        <f ca="1">data4!S9</f>
        <v>4.7264524101014667</v>
      </c>
      <c r="C10" s="63">
        <f>data5!L9</f>
        <v>4001.7</v>
      </c>
      <c r="D10" s="63">
        <f t="shared" si="3"/>
        <v>-17.871991836152858</v>
      </c>
      <c r="E10" s="63">
        <f t="shared" si="4"/>
        <v>7.506016172211746</v>
      </c>
      <c r="F10" s="63">
        <f t="shared" si="5"/>
        <v>32.884024180576347</v>
      </c>
      <c r="G10" s="63">
        <f t="shared" si="6"/>
        <v>16.918672005576401</v>
      </c>
      <c r="H10" s="63">
        <f t="shared" si="7"/>
        <v>-10.528987980150294</v>
      </c>
      <c r="I10" s="63">
        <f t="shared" si="8"/>
        <v>4.4808685039651808</v>
      </c>
      <c r="J10" s="63">
        <f t="shared" si="9"/>
        <v>19.490724988080657</v>
      </c>
      <c r="K10" s="63">
        <f t="shared" si="10"/>
        <v>10.006570989410317</v>
      </c>
      <c r="L10" s="63">
        <f t="shared" si="11"/>
        <v>-6.95859772422852</v>
      </c>
      <c r="M10" s="63">
        <f t="shared" si="12"/>
        <v>2.9644875033148406</v>
      </c>
      <c r="N10" s="63">
        <f t="shared" si="13"/>
        <v>12.887572730858201</v>
      </c>
      <c r="O10" s="63">
        <f t="shared" si="14"/>
        <v>6.615390151695574</v>
      </c>
      <c r="P10" s="63" t="b">
        <f t="shared" si="15"/>
        <v>1</v>
      </c>
      <c r="Q10" s="47">
        <f>data0!B91</f>
        <v>51.285572052001953</v>
      </c>
      <c r="R10" s="48">
        <f>data0!C91</f>
        <v>50.056373596191406</v>
      </c>
      <c r="S10" s="48">
        <f>data0!D91</f>
        <v>39.795528411865234</v>
      </c>
      <c r="T10" s="48">
        <f>data0!E91</f>
        <v>38.531856536865234</v>
      </c>
      <c r="U10" s="48">
        <f>data0!F91</f>
        <v>38.005138397216797</v>
      </c>
      <c r="V10" s="48"/>
      <c r="W10" s="48">
        <f>data0!H91</f>
        <v>0</v>
      </c>
      <c r="X10" s="48">
        <f>data0!I91</f>
        <v>0</v>
      </c>
      <c r="Y10" s="48">
        <f>data0!J91</f>
        <v>0</v>
      </c>
      <c r="Z10" s="48">
        <f>data0!K91</f>
        <v>0</v>
      </c>
      <c r="AA10" s="48">
        <f>data0!L91</f>
        <v>0</v>
      </c>
      <c r="AB10" s="48">
        <f>data0!M91</f>
        <v>0</v>
      </c>
      <c r="AC10" s="48">
        <f>data0!N91</f>
        <v>0</v>
      </c>
      <c r="AD10" s="48">
        <f>data0!O91</f>
        <v>0</v>
      </c>
      <c r="AE10" s="48">
        <f>data0!P91</f>
        <v>0</v>
      </c>
      <c r="AF10" s="48">
        <f>data0!Q91</f>
        <v>0</v>
      </c>
      <c r="AG10" s="48">
        <f>data0!R91</f>
        <v>0</v>
      </c>
      <c r="AH10" s="48">
        <f>data0!S91</f>
        <v>0</v>
      </c>
      <c r="AI10" s="48"/>
      <c r="AJ10" s="48">
        <f>data0!U91</f>
        <v>0</v>
      </c>
      <c r="AK10" s="48">
        <f>data0!V91</f>
        <v>0</v>
      </c>
      <c r="AL10" s="48"/>
      <c r="AM10" s="48">
        <f>data0!X91</f>
        <v>0</v>
      </c>
      <c r="AN10" s="48">
        <f>data0!Y91</f>
        <v>0</v>
      </c>
      <c r="AO10" s="48">
        <f>data0!Z91</f>
        <v>0</v>
      </c>
      <c r="AP10" s="48">
        <f>data0!AA91</f>
        <v>0</v>
      </c>
      <c r="AQ10" s="48">
        <f>data0!AB91</f>
        <v>0</v>
      </c>
      <c r="AR10" s="48">
        <f>data0!AC91</f>
        <v>0</v>
      </c>
      <c r="AS10" s="48">
        <f>data0!AD91</f>
        <v>0</v>
      </c>
      <c r="AT10" s="48">
        <f>data0!AE91</f>
        <v>0</v>
      </c>
      <c r="AU10" s="48">
        <f>data0!AF91</f>
        <v>0</v>
      </c>
      <c r="AV10" s="48">
        <f>data0!AG91</f>
        <v>0</v>
      </c>
      <c r="AW10" s="47">
        <f>data1!B91</f>
        <v>27.727823257446289</v>
      </c>
      <c r="AX10" s="48">
        <f>data1!C91</f>
        <v>25.797920227050781</v>
      </c>
      <c r="AY10" s="48">
        <f>data1!D91</f>
        <v>27.278610229492188</v>
      </c>
      <c r="AZ10" s="48">
        <f>data1!E91</f>
        <v>24.728658676147461</v>
      </c>
      <c r="BA10" s="48">
        <f>data1!F91</f>
        <v>24.412174224853516</v>
      </c>
      <c r="BB10" s="48"/>
      <c r="BC10" s="48">
        <f>data1!H91</f>
        <v>0</v>
      </c>
      <c r="BD10" s="48">
        <f>data1!I91</f>
        <v>0</v>
      </c>
      <c r="BE10" s="48">
        <f>data1!J91</f>
        <v>0</v>
      </c>
      <c r="BF10" s="48">
        <f>data1!K91</f>
        <v>0</v>
      </c>
      <c r="BG10" s="48">
        <f>data1!L91</f>
        <v>0</v>
      </c>
      <c r="BH10" s="48">
        <f>data1!M91</f>
        <v>0</v>
      </c>
      <c r="BI10" s="48">
        <f>data1!N91</f>
        <v>0</v>
      </c>
      <c r="BJ10" s="48">
        <f>data1!O91</f>
        <v>0</v>
      </c>
      <c r="BK10" s="48">
        <f>data1!P91</f>
        <v>0</v>
      </c>
      <c r="BL10" s="48">
        <f>data1!Q91</f>
        <v>0</v>
      </c>
      <c r="BM10" s="48">
        <f>data1!R91</f>
        <v>0</v>
      </c>
      <c r="BN10" s="48">
        <f>data1!S91</f>
        <v>0</v>
      </c>
      <c r="BO10" s="48"/>
      <c r="BP10" s="48">
        <f>data1!U91</f>
        <v>0</v>
      </c>
      <c r="BQ10" s="48">
        <f>data1!V91</f>
        <v>0</v>
      </c>
      <c r="BR10" s="48"/>
      <c r="BS10" s="48">
        <f>data1!X91</f>
        <v>0</v>
      </c>
      <c r="BT10" s="48">
        <f>data1!Y91</f>
        <v>0</v>
      </c>
      <c r="BU10" s="48">
        <f>data1!Z91</f>
        <v>0</v>
      </c>
      <c r="BV10" s="48">
        <f>data1!AA91</f>
        <v>0</v>
      </c>
      <c r="BW10" s="48">
        <f>data1!AB91</f>
        <v>0</v>
      </c>
      <c r="BX10" s="48">
        <f>data1!AC91</f>
        <v>0</v>
      </c>
      <c r="BY10" s="48">
        <f>data1!AD91</f>
        <v>0</v>
      </c>
      <c r="BZ10" s="48">
        <f>data1!AE91</f>
        <v>0</v>
      </c>
      <c r="CA10" s="48">
        <f>data1!AF91</f>
        <v>0</v>
      </c>
      <c r="CB10" s="48">
        <f>data1!AG91</f>
        <v>0</v>
      </c>
      <c r="CC10" s="47">
        <f>data2!B91</f>
        <v>17.709184646606445</v>
      </c>
      <c r="CD10" s="48">
        <f>data2!C91</f>
        <v>17.44727897644043</v>
      </c>
      <c r="CE10" s="48">
        <f>data2!D91</f>
        <v>17.682380676269531</v>
      </c>
      <c r="CF10" s="48">
        <f>data2!E91</f>
        <v>17.157922744750977</v>
      </c>
      <c r="CG10" s="48">
        <f>data2!F91</f>
        <v>15.973370552062988</v>
      </c>
      <c r="CH10" s="48"/>
      <c r="CI10" s="48">
        <f>data2!H91</f>
        <v>0</v>
      </c>
      <c r="CJ10" s="48">
        <f>data2!I91</f>
        <v>0</v>
      </c>
      <c r="CK10" s="48">
        <f>data2!J91</f>
        <v>0</v>
      </c>
      <c r="CL10" s="48">
        <f>data2!K91</f>
        <v>0</v>
      </c>
      <c r="CM10" s="48">
        <f>data2!L91</f>
        <v>0</v>
      </c>
      <c r="CN10" s="48">
        <f>data2!M91</f>
        <v>0</v>
      </c>
      <c r="CO10" s="48">
        <f>data2!N91</f>
        <v>0</v>
      </c>
      <c r="CP10" s="48">
        <f>data2!O91</f>
        <v>0</v>
      </c>
      <c r="CQ10" s="48">
        <f>data2!P91</f>
        <v>0</v>
      </c>
      <c r="CR10" s="48">
        <f>data2!Q91</f>
        <v>0</v>
      </c>
      <c r="CS10" s="48">
        <f>data2!R91</f>
        <v>0</v>
      </c>
      <c r="CT10" s="48">
        <f>data2!S91</f>
        <v>0</v>
      </c>
      <c r="CU10" s="48"/>
      <c r="CV10" s="48">
        <f>data2!U91</f>
        <v>0</v>
      </c>
      <c r="CW10" s="48">
        <f>data2!V91</f>
        <v>0</v>
      </c>
      <c r="CX10" s="48"/>
      <c r="CY10" s="48">
        <f>data2!X91</f>
        <v>0</v>
      </c>
      <c r="CZ10" s="48">
        <f>data2!Y91</f>
        <v>0</v>
      </c>
      <c r="DA10" s="48">
        <f>data2!Z91</f>
        <v>0</v>
      </c>
      <c r="DB10" s="48">
        <f>data2!AA91</f>
        <v>0</v>
      </c>
      <c r="DC10" s="48">
        <f>data2!AB91</f>
        <v>0</v>
      </c>
      <c r="DD10" s="48">
        <f>data2!AC91</f>
        <v>0</v>
      </c>
      <c r="DE10" s="48">
        <f>data2!AD91</f>
        <v>0</v>
      </c>
      <c r="DF10" s="48">
        <f>data2!AE91</f>
        <v>0</v>
      </c>
      <c r="DG10" s="48">
        <f>data2!AF91</f>
        <v>0</v>
      </c>
      <c r="DH10" s="49">
        <f>data2!AG91</f>
        <v>0</v>
      </c>
    </row>
    <row r="11" spans="1:112" s="63" customFormat="1">
      <c r="A11" s="14">
        <f t="shared" si="16"/>
        <v>9</v>
      </c>
      <c r="B11" s="63">
        <f ca="1">data4!S10</f>
        <v>3.8737596974251551</v>
      </c>
      <c r="C11" s="63">
        <f>data5!L10</f>
        <v>4034.1</v>
      </c>
      <c r="D11" s="63">
        <f t="shared" si="3"/>
        <v>-13.246715687536181</v>
      </c>
      <c r="E11" s="63">
        <f t="shared" si="4"/>
        <v>5.5787886915535765</v>
      </c>
      <c r="F11" s="63">
        <f t="shared" si="5"/>
        <v>24.404293070643334</v>
      </c>
      <c r="G11" s="63">
        <f t="shared" si="6"/>
        <v>12.550336252726504</v>
      </c>
      <c r="H11" s="63">
        <f t="shared" si="7"/>
        <v>-8.5683604470600443</v>
      </c>
      <c r="I11" s="63">
        <f t="shared" si="8"/>
        <v>3.6460347668877962</v>
      </c>
      <c r="J11" s="63">
        <f t="shared" si="9"/>
        <v>15.860429980835637</v>
      </c>
      <c r="K11" s="63">
        <f t="shared" si="10"/>
        <v>8.1429301426318936</v>
      </c>
      <c r="L11" s="63">
        <f t="shared" si="11"/>
        <v>-5.231527132766689</v>
      </c>
      <c r="M11" s="63">
        <f t="shared" si="12"/>
        <v>2.2284770176328461</v>
      </c>
      <c r="N11" s="63">
        <f t="shared" si="13"/>
        <v>9.6884811680323821</v>
      </c>
      <c r="O11" s="63">
        <f t="shared" si="14"/>
        <v>4.9733361002663568</v>
      </c>
      <c r="P11" s="63" t="b">
        <f t="shared" si="15"/>
        <v>1</v>
      </c>
      <c r="Q11" s="47">
        <f>data0!B92</f>
        <v>40.200984954833984</v>
      </c>
      <c r="R11" s="48">
        <f>data0!C92</f>
        <v>30.395971298217773</v>
      </c>
      <c r="S11" s="48">
        <f>data0!D92</f>
        <v>31.189441680908203</v>
      </c>
      <c r="T11" s="48">
        <f>data0!E92</f>
        <v>30.269378662109375</v>
      </c>
      <c r="U11" s="48">
        <f>data0!F92</f>
        <v>29.729095458984375</v>
      </c>
      <c r="V11" s="48"/>
      <c r="W11" s="48">
        <f>data0!H92</f>
        <v>0</v>
      </c>
      <c r="X11" s="48">
        <f>data0!I92</f>
        <v>0</v>
      </c>
      <c r="Y11" s="48">
        <f>data0!J92</f>
        <v>0</v>
      </c>
      <c r="Z11" s="48">
        <f>data0!K92</f>
        <v>0</v>
      </c>
      <c r="AA11" s="48">
        <f>data0!L92</f>
        <v>0</v>
      </c>
      <c r="AB11" s="48">
        <f>data0!M92</f>
        <v>0</v>
      </c>
      <c r="AC11" s="48">
        <f>data0!N92</f>
        <v>0</v>
      </c>
      <c r="AD11" s="48">
        <f>data0!O92</f>
        <v>0</v>
      </c>
      <c r="AE11" s="48">
        <f>data0!P92</f>
        <v>0</v>
      </c>
      <c r="AF11" s="48">
        <f>data0!Q92</f>
        <v>0</v>
      </c>
      <c r="AG11" s="48">
        <f>data0!R92</f>
        <v>0</v>
      </c>
      <c r="AH11" s="48">
        <f>data0!S92</f>
        <v>0</v>
      </c>
      <c r="AI11" s="48"/>
      <c r="AJ11" s="48">
        <f>data0!U92</f>
        <v>0</v>
      </c>
      <c r="AK11" s="48">
        <f>data0!V92</f>
        <v>0</v>
      </c>
      <c r="AL11" s="48"/>
      <c r="AM11" s="48">
        <f>data0!X92</f>
        <v>0</v>
      </c>
      <c r="AN11" s="48">
        <f>data0!Y92</f>
        <v>0</v>
      </c>
      <c r="AO11" s="48">
        <f>data0!Z92</f>
        <v>0</v>
      </c>
      <c r="AP11" s="48">
        <f>data0!AA92</f>
        <v>0</v>
      </c>
      <c r="AQ11" s="48">
        <f>data0!AB92</f>
        <v>0</v>
      </c>
      <c r="AR11" s="48">
        <f>data0!AC92</f>
        <v>0</v>
      </c>
      <c r="AS11" s="48">
        <f>data0!AD92</f>
        <v>0</v>
      </c>
      <c r="AT11" s="48">
        <f>data0!AE92</f>
        <v>0</v>
      </c>
      <c r="AU11" s="48">
        <f>data0!AF92</f>
        <v>0</v>
      </c>
      <c r="AV11" s="48">
        <f>data0!AG92</f>
        <v>0</v>
      </c>
      <c r="AW11" s="47">
        <f>data1!B92</f>
        <v>22.762100219726563</v>
      </c>
      <c r="AX11" s="48">
        <f>data1!C92</f>
        <v>20.781658172607422</v>
      </c>
      <c r="AY11" s="48">
        <f>data1!D92</f>
        <v>22.101844787597656</v>
      </c>
      <c r="AZ11" s="48">
        <f>data1!E92</f>
        <v>20.211986541748047</v>
      </c>
      <c r="BA11" s="48">
        <f>data1!F92</f>
        <v>19.877418518066406</v>
      </c>
      <c r="BB11" s="48"/>
      <c r="BC11" s="48">
        <f>data1!H92</f>
        <v>0</v>
      </c>
      <c r="BD11" s="48">
        <f>data1!I92</f>
        <v>0</v>
      </c>
      <c r="BE11" s="48">
        <f>data1!J92</f>
        <v>0</v>
      </c>
      <c r="BF11" s="48">
        <f>data1!K92</f>
        <v>0</v>
      </c>
      <c r="BG11" s="48">
        <f>data1!L92</f>
        <v>0</v>
      </c>
      <c r="BH11" s="48">
        <f>data1!M92</f>
        <v>0</v>
      </c>
      <c r="BI11" s="48">
        <f>data1!N92</f>
        <v>0</v>
      </c>
      <c r="BJ11" s="48">
        <f>data1!O92</f>
        <v>0</v>
      </c>
      <c r="BK11" s="48">
        <f>data1!P92</f>
        <v>0</v>
      </c>
      <c r="BL11" s="48">
        <f>data1!Q92</f>
        <v>0</v>
      </c>
      <c r="BM11" s="48">
        <f>data1!R92</f>
        <v>0</v>
      </c>
      <c r="BN11" s="48">
        <f>data1!S92</f>
        <v>0</v>
      </c>
      <c r="BO11" s="48"/>
      <c r="BP11" s="48">
        <f>data1!U92</f>
        <v>0</v>
      </c>
      <c r="BQ11" s="48">
        <f>data1!V92</f>
        <v>0</v>
      </c>
      <c r="BR11" s="48"/>
      <c r="BS11" s="48">
        <f>data1!X92</f>
        <v>0</v>
      </c>
      <c r="BT11" s="48">
        <f>data1!Y92</f>
        <v>0</v>
      </c>
      <c r="BU11" s="48">
        <f>data1!Z92</f>
        <v>0</v>
      </c>
      <c r="BV11" s="48">
        <f>data1!AA92</f>
        <v>0</v>
      </c>
      <c r="BW11" s="48">
        <f>data1!AB92</f>
        <v>0</v>
      </c>
      <c r="BX11" s="48">
        <f>data1!AC92</f>
        <v>0</v>
      </c>
      <c r="BY11" s="48">
        <f>data1!AD92</f>
        <v>0</v>
      </c>
      <c r="BZ11" s="48">
        <f>data1!AE92</f>
        <v>0</v>
      </c>
      <c r="CA11" s="48">
        <f>data1!AF92</f>
        <v>0</v>
      </c>
      <c r="CB11" s="48">
        <f>data1!AG92</f>
        <v>0</v>
      </c>
      <c r="CC11" s="47">
        <f>data2!B92</f>
        <v>13.308047294616699</v>
      </c>
      <c r="CD11" s="48">
        <f>data2!C92</f>
        <v>13.156667709350586</v>
      </c>
      <c r="CE11" s="48">
        <f>data2!D92</f>
        <v>13.283261299133301</v>
      </c>
      <c r="CF11" s="48">
        <f>data2!E92</f>
        <v>12.923826217651367</v>
      </c>
      <c r="CG11" s="48">
        <f>data2!F92</f>
        <v>11.954030990600586</v>
      </c>
      <c r="CH11" s="48"/>
      <c r="CI11" s="48">
        <f>data2!H92</f>
        <v>0</v>
      </c>
      <c r="CJ11" s="48">
        <f>data2!I92</f>
        <v>0</v>
      </c>
      <c r="CK11" s="48">
        <f>data2!J92</f>
        <v>0</v>
      </c>
      <c r="CL11" s="48">
        <f>data2!K92</f>
        <v>0</v>
      </c>
      <c r="CM11" s="48">
        <f>data2!L92</f>
        <v>0</v>
      </c>
      <c r="CN11" s="48">
        <f>data2!M92</f>
        <v>0</v>
      </c>
      <c r="CO11" s="48">
        <f>data2!N92</f>
        <v>0</v>
      </c>
      <c r="CP11" s="48">
        <f>data2!O92</f>
        <v>0</v>
      </c>
      <c r="CQ11" s="48">
        <f>data2!P92</f>
        <v>0</v>
      </c>
      <c r="CR11" s="48">
        <f>data2!Q92</f>
        <v>0</v>
      </c>
      <c r="CS11" s="48">
        <f>data2!R92</f>
        <v>0</v>
      </c>
      <c r="CT11" s="48">
        <f>data2!S92</f>
        <v>0</v>
      </c>
      <c r="CU11" s="48"/>
      <c r="CV11" s="48">
        <f>data2!U92</f>
        <v>0</v>
      </c>
      <c r="CW11" s="48">
        <f>data2!V92</f>
        <v>0</v>
      </c>
      <c r="CX11" s="48"/>
      <c r="CY11" s="48">
        <f>data2!X92</f>
        <v>0</v>
      </c>
      <c r="CZ11" s="48">
        <f>data2!Y92</f>
        <v>0</v>
      </c>
      <c r="DA11" s="48">
        <f>data2!Z92</f>
        <v>0</v>
      </c>
      <c r="DB11" s="48">
        <f>data2!AA92</f>
        <v>0</v>
      </c>
      <c r="DC11" s="48">
        <f>data2!AB92</f>
        <v>0</v>
      </c>
      <c r="DD11" s="48">
        <f>data2!AC92</f>
        <v>0</v>
      </c>
      <c r="DE11" s="48">
        <f>data2!AD92</f>
        <v>0</v>
      </c>
      <c r="DF11" s="48">
        <f>data2!AE92</f>
        <v>0</v>
      </c>
      <c r="DG11" s="48">
        <f>data2!AF92</f>
        <v>0</v>
      </c>
      <c r="DH11" s="49">
        <f>data2!AG92</f>
        <v>0</v>
      </c>
    </row>
    <row r="12" spans="1:112" s="63" customFormat="1">
      <c r="A12" s="14">
        <f t="shared" si="16"/>
        <v>10</v>
      </c>
      <c r="B12" s="63">
        <f ca="1">data4!S11</f>
        <v>3.2207968686872634</v>
      </c>
      <c r="C12" s="63">
        <f>data5!L11</f>
        <v>4023.8</v>
      </c>
      <c r="D12" s="63">
        <f t="shared" si="3"/>
        <v>-9.9132647419419939</v>
      </c>
      <c r="E12" s="63">
        <f t="shared" si="4"/>
        <v>4.2261476845576844</v>
      </c>
      <c r="F12" s="63">
        <f t="shared" si="5"/>
        <v>18.365560111057363</v>
      </c>
      <c r="G12" s="63">
        <f t="shared" si="6"/>
        <v>9.426274950999785</v>
      </c>
      <c r="H12" s="63">
        <f t="shared" si="7"/>
        <v>-6.9864313505813485</v>
      </c>
      <c r="I12" s="63">
        <f t="shared" si="8"/>
        <v>2.9723243055672479</v>
      </c>
      <c r="J12" s="63">
        <f t="shared" si="9"/>
        <v>12.931079961715845</v>
      </c>
      <c r="K12" s="63">
        <f t="shared" si="10"/>
        <v>6.6391704374323979</v>
      </c>
      <c r="L12" s="63">
        <f t="shared" si="11"/>
        <v>-3.8544218044210647</v>
      </c>
      <c r="M12" s="63">
        <f t="shared" si="12"/>
        <v>1.6408835443957099</v>
      </c>
      <c r="N12" s="63">
        <f t="shared" si="13"/>
        <v>7.1361888932124842</v>
      </c>
      <c r="O12" s="63">
        <f t="shared" si="14"/>
        <v>3.6635368992111834</v>
      </c>
      <c r="P12" s="63" t="b">
        <f t="shared" si="15"/>
        <v>1</v>
      </c>
      <c r="Q12" s="47">
        <f>data0!B93</f>
        <v>25.452049255371094</v>
      </c>
      <c r="R12" s="48">
        <f>data0!C93</f>
        <v>24.342498779296875</v>
      </c>
      <c r="S12" s="48">
        <f>data0!D93</f>
        <v>24.90272331237793</v>
      </c>
      <c r="T12" s="48">
        <f>data0!E93</f>
        <v>24.056938171386719</v>
      </c>
      <c r="U12" s="48">
        <f>data0!F93</f>
        <v>23.804073333740234</v>
      </c>
      <c r="V12" s="48"/>
      <c r="W12" s="48">
        <f>data0!H93</f>
        <v>0</v>
      </c>
      <c r="X12" s="48">
        <f>data0!I93</f>
        <v>0</v>
      </c>
      <c r="Y12" s="48">
        <f>data0!J93</f>
        <v>0</v>
      </c>
      <c r="Z12" s="48">
        <f>data0!K93</f>
        <v>0</v>
      </c>
      <c r="AA12" s="48">
        <f>data0!L93</f>
        <v>0</v>
      </c>
      <c r="AB12" s="48">
        <f>data0!M93</f>
        <v>0</v>
      </c>
      <c r="AC12" s="48">
        <f>data0!N93</f>
        <v>0</v>
      </c>
      <c r="AD12" s="48">
        <f>data0!O93</f>
        <v>0</v>
      </c>
      <c r="AE12" s="48">
        <f>data0!P93</f>
        <v>0</v>
      </c>
      <c r="AF12" s="48">
        <f>data0!Q93</f>
        <v>0</v>
      </c>
      <c r="AG12" s="48">
        <f>data0!R93</f>
        <v>0</v>
      </c>
      <c r="AH12" s="48">
        <f>data0!S93</f>
        <v>0</v>
      </c>
      <c r="AI12" s="48"/>
      <c r="AJ12" s="48">
        <f>data0!U93</f>
        <v>0</v>
      </c>
      <c r="AK12" s="48">
        <f>data0!V93</f>
        <v>0</v>
      </c>
      <c r="AL12" s="48"/>
      <c r="AM12" s="48">
        <f>data0!X93</f>
        <v>0</v>
      </c>
      <c r="AN12" s="48">
        <f>data0!Y93</f>
        <v>0</v>
      </c>
      <c r="AO12" s="48">
        <f>data0!Z93</f>
        <v>0</v>
      </c>
      <c r="AP12" s="48">
        <f>data0!AA93</f>
        <v>0</v>
      </c>
      <c r="AQ12" s="48">
        <f>data0!AB93</f>
        <v>0</v>
      </c>
      <c r="AR12" s="48">
        <f>data0!AC93</f>
        <v>0</v>
      </c>
      <c r="AS12" s="48">
        <f>data0!AD93</f>
        <v>0</v>
      </c>
      <c r="AT12" s="48">
        <f>data0!AE93</f>
        <v>0</v>
      </c>
      <c r="AU12" s="48">
        <f>data0!AF93</f>
        <v>0</v>
      </c>
      <c r="AV12" s="48">
        <f>data0!AG93</f>
        <v>0</v>
      </c>
      <c r="AW12" s="47">
        <f>data1!B93</f>
        <v>18.554969787597656</v>
      </c>
      <c r="AX12" s="48">
        <f>data1!C93</f>
        <v>17.111902236938477</v>
      </c>
      <c r="AY12" s="48">
        <f>data1!D93</f>
        <v>18.044076919555664</v>
      </c>
      <c r="AZ12" s="48">
        <f>data1!E93</f>
        <v>16.36421012878418</v>
      </c>
      <c r="BA12" s="48">
        <f>data1!F93</f>
        <v>16.122245788574219</v>
      </c>
      <c r="BB12" s="48"/>
      <c r="BC12" s="48">
        <f>data1!H93</f>
        <v>0</v>
      </c>
      <c r="BD12" s="48">
        <f>data1!I93</f>
        <v>0</v>
      </c>
      <c r="BE12" s="48">
        <f>data1!J93</f>
        <v>0</v>
      </c>
      <c r="BF12" s="48">
        <f>data1!K93</f>
        <v>0</v>
      </c>
      <c r="BG12" s="48">
        <f>data1!L93</f>
        <v>0</v>
      </c>
      <c r="BH12" s="48">
        <f>data1!M93</f>
        <v>0</v>
      </c>
      <c r="BI12" s="48">
        <f>data1!N93</f>
        <v>0</v>
      </c>
      <c r="BJ12" s="48">
        <f>data1!O93</f>
        <v>0</v>
      </c>
      <c r="BK12" s="48">
        <f>data1!P93</f>
        <v>0</v>
      </c>
      <c r="BL12" s="48">
        <f>data1!Q93</f>
        <v>0</v>
      </c>
      <c r="BM12" s="48">
        <f>data1!R93</f>
        <v>0</v>
      </c>
      <c r="BN12" s="48">
        <f>data1!S93</f>
        <v>0</v>
      </c>
      <c r="BO12" s="48"/>
      <c r="BP12" s="48">
        <f>data1!U93</f>
        <v>0</v>
      </c>
      <c r="BQ12" s="48">
        <f>data1!V93</f>
        <v>0</v>
      </c>
      <c r="BR12" s="48"/>
      <c r="BS12" s="48">
        <f>data1!X93</f>
        <v>0</v>
      </c>
      <c r="BT12" s="48">
        <f>data1!Y93</f>
        <v>0</v>
      </c>
      <c r="BU12" s="48">
        <f>data1!Z93</f>
        <v>0</v>
      </c>
      <c r="BV12" s="48">
        <f>data1!AA93</f>
        <v>0</v>
      </c>
      <c r="BW12" s="48">
        <f>data1!AB93</f>
        <v>0</v>
      </c>
      <c r="BX12" s="48">
        <f>data1!AC93</f>
        <v>0</v>
      </c>
      <c r="BY12" s="48">
        <f>data1!AD93</f>
        <v>0</v>
      </c>
      <c r="BZ12" s="48">
        <f>data1!AE93</f>
        <v>0</v>
      </c>
      <c r="CA12" s="48">
        <f>data1!AF93</f>
        <v>0</v>
      </c>
      <c r="CB12" s="48">
        <f>data1!AG93</f>
        <v>0</v>
      </c>
      <c r="CC12" s="47">
        <f>data2!B93</f>
        <v>10.000876426696777</v>
      </c>
      <c r="CD12" s="48">
        <f>data2!C93</f>
        <v>9.6807594299316406</v>
      </c>
      <c r="CE12" s="48">
        <f>data2!D93</f>
        <v>9.7544708251953125</v>
      </c>
      <c r="CF12" s="48">
        <f>data2!E93</f>
        <v>9.4605932235717773</v>
      </c>
      <c r="CG12" s="48">
        <f>data2!F93</f>
        <v>8.6889228820800781</v>
      </c>
      <c r="CH12" s="48"/>
      <c r="CI12" s="48">
        <f>data2!H93</f>
        <v>0</v>
      </c>
      <c r="CJ12" s="48">
        <f>data2!I93</f>
        <v>0</v>
      </c>
      <c r="CK12" s="48">
        <f>data2!J93</f>
        <v>0</v>
      </c>
      <c r="CL12" s="48">
        <f>data2!K93</f>
        <v>0</v>
      </c>
      <c r="CM12" s="48">
        <f>data2!L93</f>
        <v>0</v>
      </c>
      <c r="CN12" s="48">
        <f>data2!M93</f>
        <v>0</v>
      </c>
      <c r="CO12" s="48">
        <f>data2!N93</f>
        <v>0</v>
      </c>
      <c r="CP12" s="48">
        <f>data2!O93</f>
        <v>0</v>
      </c>
      <c r="CQ12" s="48">
        <f>data2!P93</f>
        <v>0</v>
      </c>
      <c r="CR12" s="48">
        <f>data2!Q93</f>
        <v>0</v>
      </c>
      <c r="CS12" s="48">
        <f>data2!R93</f>
        <v>0</v>
      </c>
      <c r="CT12" s="48">
        <f>data2!S93</f>
        <v>0</v>
      </c>
      <c r="CU12" s="48"/>
      <c r="CV12" s="48">
        <f>data2!U93</f>
        <v>0</v>
      </c>
      <c r="CW12" s="48">
        <f>data2!V93</f>
        <v>0</v>
      </c>
      <c r="CX12" s="48"/>
      <c r="CY12" s="48">
        <f>data2!X93</f>
        <v>0</v>
      </c>
      <c r="CZ12" s="48">
        <f>data2!Y93</f>
        <v>0</v>
      </c>
      <c r="DA12" s="48">
        <f>data2!Z93</f>
        <v>0</v>
      </c>
      <c r="DB12" s="48">
        <f>data2!AA93</f>
        <v>0</v>
      </c>
      <c r="DC12" s="48">
        <f>data2!AB93</f>
        <v>0</v>
      </c>
      <c r="DD12" s="48">
        <f>data2!AC93</f>
        <v>0</v>
      </c>
      <c r="DE12" s="48">
        <f>data2!AD93</f>
        <v>0</v>
      </c>
      <c r="DF12" s="48">
        <f>data2!AE93</f>
        <v>0</v>
      </c>
      <c r="DG12" s="48">
        <f>data2!AF93</f>
        <v>0</v>
      </c>
      <c r="DH12" s="49">
        <f>data2!AG93</f>
        <v>0</v>
      </c>
    </row>
    <row r="13" spans="1:112" s="63" customFormat="1">
      <c r="A13" s="14">
        <f t="shared" si="16"/>
        <v>11</v>
      </c>
      <c r="B13" s="63">
        <f ca="1">data4!S12</f>
        <v>2.38707854456778</v>
      </c>
      <c r="C13" s="63">
        <f>data5!L12</f>
        <v>4005.5</v>
      </c>
      <c r="D13" s="63">
        <f t="shared" si="3"/>
        <v>-8.3069240361974828</v>
      </c>
      <c r="E13" s="63">
        <f t="shared" si="4"/>
        <v>3.5410702804039262</v>
      </c>
      <c r="F13" s="63">
        <f t="shared" si="5"/>
        <v>15.389064597005333</v>
      </c>
      <c r="G13" s="63">
        <f t="shared" si="6"/>
        <v>7.8986628777342718</v>
      </c>
      <c r="H13" s="63">
        <f t="shared" si="7"/>
        <v>-5.5007394757364132</v>
      </c>
      <c r="I13" s="63">
        <f t="shared" si="8"/>
        <v>2.3376732859118232</v>
      </c>
      <c r="J13" s="63">
        <f t="shared" si="9"/>
        <v>10.176086047560061</v>
      </c>
      <c r="K13" s="63">
        <f t="shared" si="10"/>
        <v>5.2256085077654912</v>
      </c>
      <c r="L13" s="63">
        <f t="shared" si="11"/>
        <v>-3.5874700791974958</v>
      </c>
      <c r="M13" s="63">
        <f t="shared" si="12"/>
        <v>1.527369367665258</v>
      </c>
      <c r="N13" s="63">
        <f t="shared" si="13"/>
        <v>6.6422088145280114</v>
      </c>
      <c r="O13" s="63">
        <f t="shared" si="14"/>
        <v>3.4098929645751692</v>
      </c>
      <c r="P13" s="63" t="b">
        <f t="shared" si="15"/>
        <v>1</v>
      </c>
      <c r="Q13" s="47">
        <f>data0!B94</f>
        <v>21.240558624267578</v>
      </c>
      <c r="R13" s="48">
        <f>data0!C94</f>
        <v>20.419961929321289</v>
      </c>
      <c r="S13" s="48">
        <f>data0!D94</f>
        <v>21.077795028686523</v>
      </c>
      <c r="T13" s="48">
        <f>data0!E94</f>
        <v>20.026618957519531</v>
      </c>
      <c r="U13" s="48">
        <f>data0!F94</f>
        <v>19.926103591918945</v>
      </c>
      <c r="V13" s="48"/>
      <c r="W13" s="48">
        <f>data0!H94</f>
        <v>0</v>
      </c>
      <c r="X13" s="48">
        <f>data0!I94</f>
        <v>0</v>
      </c>
      <c r="Y13" s="48">
        <f>data0!J94</f>
        <v>0</v>
      </c>
      <c r="Z13" s="48">
        <f>data0!K94</f>
        <v>0</v>
      </c>
      <c r="AA13" s="48">
        <f>data0!L94</f>
        <v>0</v>
      </c>
      <c r="AB13" s="48">
        <f>data0!M94</f>
        <v>0</v>
      </c>
      <c r="AC13" s="48">
        <f>data0!N94</f>
        <v>0</v>
      </c>
      <c r="AD13" s="48">
        <f>data0!O94</f>
        <v>0</v>
      </c>
      <c r="AE13" s="48">
        <f>data0!P94</f>
        <v>0</v>
      </c>
      <c r="AF13" s="48">
        <f>data0!Q94</f>
        <v>0</v>
      </c>
      <c r="AG13" s="48">
        <f>data0!R94</f>
        <v>0</v>
      </c>
      <c r="AH13" s="48">
        <f>data0!S94</f>
        <v>0</v>
      </c>
      <c r="AI13" s="48"/>
      <c r="AJ13" s="48">
        <f>data0!U94</f>
        <v>0</v>
      </c>
      <c r="AK13" s="48">
        <f>data0!V94</f>
        <v>0</v>
      </c>
      <c r="AL13" s="48"/>
      <c r="AM13" s="48">
        <f>data0!X94</f>
        <v>0</v>
      </c>
      <c r="AN13" s="48">
        <f>data0!Y94</f>
        <v>0</v>
      </c>
      <c r="AO13" s="48">
        <f>data0!Z94</f>
        <v>0</v>
      </c>
      <c r="AP13" s="48">
        <f>data0!AA94</f>
        <v>0</v>
      </c>
      <c r="AQ13" s="48">
        <f>data0!AB94</f>
        <v>0</v>
      </c>
      <c r="AR13" s="48">
        <f>data0!AC94</f>
        <v>0</v>
      </c>
      <c r="AS13" s="48">
        <f>data0!AD94</f>
        <v>0</v>
      </c>
      <c r="AT13" s="48">
        <f>data0!AE94</f>
        <v>0</v>
      </c>
      <c r="AU13" s="48">
        <f>data0!AF94</f>
        <v>0</v>
      </c>
      <c r="AV13" s="48">
        <f>data0!AG94</f>
        <v>0</v>
      </c>
      <c r="AW13" s="47">
        <f>data1!B94</f>
        <v>14.707436561584473</v>
      </c>
      <c r="AX13" s="48">
        <f>data1!C94</f>
        <v>13.443763732910156</v>
      </c>
      <c r="AY13" s="48">
        <f>data1!D94</f>
        <v>14.429383277893066</v>
      </c>
      <c r="AZ13" s="48">
        <f>data1!E94</f>
        <v>12.625428199768066</v>
      </c>
      <c r="BA13" s="48">
        <f>data1!F94</f>
        <v>12.586513519287109</v>
      </c>
      <c r="BB13" s="48"/>
      <c r="BC13" s="48">
        <f>data1!H94</f>
        <v>0</v>
      </c>
      <c r="BD13" s="48">
        <f>data1!I94</f>
        <v>0</v>
      </c>
      <c r="BE13" s="48">
        <f>data1!J94</f>
        <v>0</v>
      </c>
      <c r="BF13" s="48">
        <f>data1!K94</f>
        <v>0</v>
      </c>
      <c r="BG13" s="48">
        <f>data1!L94</f>
        <v>0</v>
      </c>
      <c r="BH13" s="48">
        <f>data1!M94</f>
        <v>0</v>
      </c>
      <c r="BI13" s="48">
        <f>data1!N94</f>
        <v>0</v>
      </c>
      <c r="BJ13" s="48">
        <f>data1!O94</f>
        <v>0</v>
      </c>
      <c r="BK13" s="48">
        <f>data1!P94</f>
        <v>0</v>
      </c>
      <c r="BL13" s="48">
        <f>data1!Q94</f>
        <v>0</v>
      </c>
      <c r="BM13" s="48">
        <f>data1!R94</f>
        <v>0</v>
      </c>
      <c r="BN13" s="48">
        <f>data1!S94</f>
        <v>0</v>
      </c>
      <c r="BO13" s="48"/>
      <c r="BP13" s="48">
        <f>data1!U94</f>
        <v>0</v>
      </c>
      <c r="BQ13" s="48">
        <f>data1!V94</f>
        <v>0</v>
      </c>
      <c r="BR13" s="48"/>
      <c r="BS13" s="48">
        <f>data1!X94</f>
        <v>0</v>
      </c>
      <c r="BT13" s="48">
        <f>data1!Y94</f>
        <v>0</v>
      </c>
      <c r="BU13" s="48">
        <f>data1!Z94</f>
        <v>0</v>
      </c>
      <c r="BV13" s="48">
        <f>data1!AA94</f>
        <v>0</v>
      </c>
      <c r="BW13" s="48">
        <f>data1!AB94</f>
        <v>0</v>
      </c>
      <c r="BX13" s="48">
        <f>data1!AC94</f>
        <v>0</v>
      </c>
      <c r="BY13" s="48">
        <f>data1!AD94</f>
        <v>0</v>
      </c>
      <c r="BZ13" s="48">
        <f>data1!AE94</f>
        <v>0</v>
      </c>
      <c r="CA13" s="48">
        <f>data1!AF94</f>
        <v>0</v>
      </c>
      <c r="CB13" s="48">
        <f>data1!AG94</f>
        <v>0</v>
      </c>
      <c r="CC13" s="47">
        <f>data2!B94</f>
        <v>9.1757583618164062</v>
      </c>
      <c r="CD13" s="48">
        <f>data2!C94</f>
        <v>8.9949111938476563</v>
      </c>
      <c r="CE13" s="48">
        <f>data2!D94</f>
        <v>9.2639217376708984</v>
      </c>
      <c r="CF13" s="48">
        <f>data2!E94</f>
        <v>8.7304210662841797</v>
      </c>
      <c r="CG13" s="48">
        <f>data2!F94</f>
        <v>8.1286993026733398</v>
      </c>
      <c r="CH13" s="48"/>
      <c r="CI13" s="48">
        <f>data2!H94</f>
        <v>0</v>
      </c>
      <c r="CJ13" s="48">
        <f>data2!I94</f>
        <v>0</v>
      </c>
      <c r="CK13" s="48">
        <f>data2!J94</f>
        <v>0</v>
      </c>
      <c r="CL13" s="48">
        <f>data2!K94</f>
        <v>0</v>
      </c>
      <c r="CM13" s="48">
        <f>data2!L94</f>
        <v>0</v>
      </c>
      <c r="CN13" s="48">
        <f>data2!M94</f>
        <v>0</v>
      </c>
      <c r="CO13" s="48">
        <f>data2!N94</f>
        <v>0</v>
      </c>
      <c r="CP13" s="48">
        <f>data2!O94</f>
        <v>0</v>
      </c>
      <c r="CQ13" s="48">
        <f>data2!P94</f>
        <v>0</v>
      </c>
      <c r="CR13" s="48">
        <f>data2!Q94</f>
        <v>0</v>
      </c>
      <c r="CS13" s="48">
        <f>data2!R94</f>
        <v>0</v>
      </c>
      <c r="CT13" s="48">
        <f>data2!S94</f>
        <v>0</v>
      </c>
      <c r="CU13" s="48"/>
      <c r="CV13" s="48">
        <f>data2!U94</f>
        <v>0</v>
      </c>
      <c r="CW13" s="48">
        <f>data2!V94</f>
        <v>0</v>
      </c>
      <c r="CX13" s="48"/>
      <c r="CY13" s="48">
        <f>data2!X94</f>
        <v>0</v>
      </c>
      <c r="CZ13" s="48">
        <f>data2!Y94</f>
        <v>0</v>
      </c>
      <c r="DA13" s="48">
        <f>data2!Z94</f>
        <v>0</v>
      </c>
      <c r="DB13" s="48">
        <f>data2!AA94</f>
        <v>0</v>
      </c>
      <c r="DC13" s="48">
        <f>data2!AB94</f>
        <v>0</v>
      </c>
      <c r="DD13" s="48">
        <f>data2!AC94</f>
        <v>0</v>
      </c>
      <c r="DE13" s="48">
        <f>data2!AD94</f>
        <v>0</v>
      </c>
      <c r="DF13" s="48">
        <f>data2!AE94</f>
        <v>0</v>
      </c>
      <c r="DG13" s="48">
        <f>data2!AF94</f>
        <v>0</v>
      </c>
      <c r="DH13" s="49">
        <f>data2!AG94</f>
        <v>0</v>
      </c>
    </row>
    <row r="14" spans="1:112" s="63" customFormat="1">
      <c r="A14" s="14">
        <f t="shared" si="16"/>
        <v>12</v>
      </c>
      <c r="B14" s="63">
        <f ca="1">data4!S13</f>
        <v>2.1590792663518994</v>
      </c>
      <c r="C14" s="63">
        <f>data5!L13</f>
        <v>4009.6</v>
      </c>
      <c r="D14" s="63">
        <f t="shared" si="3"/>
        <v>-8.6498443410181149</v>
      </c>
      <c r="E14" s="63">
        <f t="shared" si="4"/>
        <v>3.6238298087284484</v>
      </c>
      <c r="F14" s="63">
        <f t="shared" si="5"/>
        <v>15.897503958475012</v>
      </c>
      <c r="G14" s="63">
        <f t="shared" si="6"/>
        <v>8.1824494331643756</v>
      </c>
      <c r="H14" s="63">
        <f t="shared" si="7"/>
        <v>-5.0369068632330016</v>
      </c>
      <c r="I14" s="63">
        <f t="shared" si="8"/>
        <v>2.1400576624377021</v>
      </c>
      <c r="J14" s="63">
        <f t="shared" si="9"/>
        <v>9.317022188108405</v>
      </c>
      <c r="K14" s="63">
        <f t="shared" si="10"/>
        <v>4.7846430171138019</v>
      </c>
      <c r="L14" s="63">
        <f t="shared" si="11"/>
        <v>-3.3387361157444735</v>
      </c>
      <c r="M14" s="63">
        <f t="shared" si="12"/>
        <v>1.4219314805392562</v>
      </c>
      <c r="N14" s="63">
        <f t="shared" si="13"/>
        <v>6.1825990768229859</v>
      </c>
      <c r="O14" s="63">
        <f t="shared" si="14"/>
        <v>3.1737783975224865</v>
      </c>
      <c r="P14" s="63" t="b">
        <f t="shared" si="15"/>
        <v>1</v>
      </c>
      <c r="Q14" s="47">
        <f>data0!B95</f>
        <v>24.756673812866211</v>
      </c>
      <c r="R14" s="48">
        <f>data0!C95</f>
        <v>18.790073394775391</v>
      </c>
      <c r="S14" s="48">
        <f>data0!D95</f>
        <v>24.754493713378906</v>
      </c>
      <c r="T14" s="48">
        <f>data0!E95</f>
        <v>18.469955444335937</v>
      </c>
      <c r="U14" s="48">
        <f>data0!F95</f>
        <v>18.319868087768555</v>
      </c>
      <c r="V14" s="48"/>
      <c r="W14" s="48">
        <f>data0!H95</f>
        <v>0</v>
      </c>
      <c r="X14" s="48">
        <f>data0!I95</f>
        <v>0</v>
      </c>
      <c r="Y14" s="48">
        <f>data0!J95</f>
        <v>0</v>
      </c>
      <c r="Z14" s="48">
        <f>data0!K95</f>
        <v>0</v>
      </c>
      <c r="AA14" s="48">
        <f>data0!L95</f>
        <v>0</v>
      </c>
      <c r="AB14" s="48">
        <f>data0!M95</f>
        <v>0</v>
      </c>
      <c r="AC14" s="48">
        <f>data0!N95</f>
        <v>0</v>
      </c>
      <c r="AD14" s="48">
        <f>data0!O95</f>
        <v>0</v>
      </c>
      <c r="AE14" s="48">
        <f>data0!P95</f>
        <v>0</v>
      </c>
      <c r="AF14" s="48">
        <f>data0!Q95</f>
        <v>0</v>
      </c>
      <c r="AG14" s="48">
        <f>data0!R95</f>
        <v>0</v>
      </c>
      <c r="AH14" s="48">
        <f>data0!S95</f>
        <v>0</v>
      </c>
      <c r="AI14" s="48"/>
      <c r="AJ14" s="48">
        <f>data0!U95</f>
        <v>0</v>
      </c>
      <c r="AK14" s="48">
        <f>data0!V95</f>
        <v>0</v>
      </c>
      <c r="AL14" s="48"/>
      <c r="AM14" s="48">
        <f>data0!X95</f>
        <v>0</v>
      </c>
      <c r="AN14" s="48">
        <f>data0!Y95</f>
        <v>0</v>
      </c>
      <c r="AO14" s="48">
        <f>data0!Z95</f>
        <v>0</v>
      </c>
      <c r="AP14" s="48">
        <f>data0!AA95</f>
        <v>0</v>
      </c>
      <c r="AQ14" s="48">
        <f>data0!AB95</f>
        <v>0</v>
      </c>
      <c r="AR14" s="48">
        <f>data0!AC95</f>
        <v>0</v>
      </c>
      <c r="AS14" s="48">
        <f>data0!AD95</f>
        <v>0</v>
      </c>
      <c r="AT14" s="48">
        <f>data0!AE95</f>
        <v>0</v>
      </c>
      <c r="AU14" s="48">
        <f>data0!AF95</f>
        <v>0</v>
      </c>
      <c r="AV14" s="48">
        <f>data0!AG95</f>
        <v>0</v>
      </c>
      <c r="AW14" s="47">
        <f>data1!B95</f>
        <v>13.443198204040527</v>
      </c>
      <c r="AX14" s="48">
        <f>data1!C95</f>
        <v>12.21399974822998</v>
      </c>
      <c r="AY14" s="48">
        <f>data1!D95</f>
        <v>13.332025527954102</v>
      </c>
      <c r="AZ14" s="48">
        <f>data1!E95</f>
        <v>11.514021873474121</v>
      </c>
      <c r="BA14" s="48">
        <f>data1!F95</f>
        <v>11.558426856994629</v>
      </c>
      <c r="BB14" s="48"/>
      <c r="BC14" s="48">
        <f>data1!H95</f>
        <v>0</v>
      </c>
      <c r="BD14" s="48">
        <f>data1!I95</f>
        <v>0</v>
      </c>
      <c r="BE14" s="48">
        <f>data1!J95</f>
        <v>0</v>
      </c>
      <c r="BF14" s="48">
        <f>data1!K95</f>
        <v>0</v>
      </c>
      <c r="BG14" s="48">
        <f>data1!L95</f>
        <v>0</v>
      </c>
      <c r="BH14" s="48">
        <f>data1!M95</f>
        <v>0</v>
      </c>
      <c r="BI14" s="48">
        <f>data1!N95</f>
        <v>0</v>
      </c>
      <c r="BJ14" s="48">
        <f>data1!O95</f>
        <v>0</v>
      </c>
      <c r="BK14" s="48">
        <f>data1!P95</f>
        <v>0</v>
      </c>
      <c r="BL14" s="48">
        <f>data1!Q95</f>
        <v>0</v>
      </c>
      <c r="BM14" s="48">
        <f>data1!R95</f>
        <v>0</v>
      </c>
      <c r="BN14" s="48">
        <f>data1!S95</f>
        <v>0</v>
      </c>
      <c r="BO14" s="48"/>
      <c r="BP14" s="48">
        <f>data1!U95</f>
        <v>0</v>
      </c>
      <c r="BQ14" s="48">
        <f>data1!V95</f>
        <v>0</v>
      </c>
      <c r="BR14" s="48"/>
      <c r="BS14" s="48">
        <f>data1!X95</f>
        <v>0</v>
      </c>
      <c r="BT14" s="48">
        <f>data1!Y95</f>
        <v>0</v>
      </c>
      <c r="BU14" s="48">
        <f>data1!Z95</f>
        <v>0</v>
      </c>
      <c r="BV14" s="48">
        <f>data1!AA95</f>
        <v>0</v>
      </c>
      <c r="BW14" s="48">
        <f>data1!AB95</f>
        <v>0</v>
      </c>
      <c r="BX14" s="48">
        <f>data1!AC95</f>
        <v>0</v>
      </c>
      <c r="BY14" s="48">
        <f>data1!AD95</f>
        <v>0</v>
      </c>
      <c r="BZ14" s="48">
        <f>data1!AE95</f>
        <v>0</v>
      </c>
      <c r="CA14" s="48">
        <f>data1!AF95</f>
        <v>0</v>
      </c>
      <c r="CB14" s="48">
        <f>data1!AG95</f>
        <v>0</v>
      </c>
      <c r="CC14" s="47">
        <f>data2!B95</f>
        <v>8.4861955642700195</v>
      </c>
      <c r="CD14" s="48">
        <f>data2!C95</f>
        <v>8.391331672668457</v>
      </c>
      <c r="CE14" s="48">
        <f>data2!D95</f>
        <v>8.6148080825805664</v>
      </c>
      <c r="CF14" s="48">
        <f>data2!E95</f>
        <v>8.0938215255737305</v>
      </c>
      <c r="CG14" s="48">
        <f>data2!F95</f>
        <v>7.6498560905456543</v>
      </c>
      <c r="CH14" s="48"/>
      <c r="CI14" s="48">
        <f>data2!H95</f>
        <v>0</v>
      </c>
      <c r="CJ14" s="48">
        <f>data2!I95</f>
        <v>0</v>
      </c>
      <c r="CK14" s="48">
        <f>data2!J95</f>
        <v>0</v>
      </c>
      <c r="CL14" s="48">
        <f>data2!K95</f>
        <v>0</v>
      </c>
      <c r="CM14" s="48">
        <f>data2!L95</f>
        <v>0</v>
      </c>
      <c r="CN14" s="48">
        <f>data2!M95</f>
        <v>0</v>
      </c>
      <c r="CO14" s="48">
        <f>data2!N95</f>
        <v>0</v>
      </c>
      <c r="CP14" s="48">
        <f>data2!O95</f>
        <v>0</v>
      </c>
      <c r="CQ14" s="48">
        <f>data2!P95</f>
        <v>0</v>
      </c>
      <c r="CR14" s="48">
        <f>data2!Q95</f>
        <v>0</v>
      </c>
      <c r="CS14" s="48">
        <f>data2!R95</f>
        <v>0</v>
      </c>
      <c r="CT14" s="48">
        <f>data2!S95</f>
        <v>0</v>
      </c>
      <c r="CU14" s="48"/>
      <c r="CV14" s="48">
        <f>data2!U95</f>
        <v>0</v>
      </c>
      <c r="CW14" s="48">
        <f>data2!V95</f>
        <v>0</v>
      </c>
      <c r="CX14" s="48"/>
      <c r="CY14" s="48">
        <f>data2!X95</f>
        <v>0</v>
      </c>
      <c r="CZ14" s="48">
        <f>data2!Y95</f>
        <v>0</v>
      </c>
      <c r="DA14" s="48">
        <f>data2!Z95</f>
        <v>0</v>
      </c>
      <c r="DB14" s="48">
        <f>data2!AA95</f>
        <v>0</v>
      </c>
      <c r="DC14" s="48">
        <f>data2!AB95</f>
        <v>0</v>
      </c>
      <c r="DD14" s="48">
        <f>data2!AC95</f>
        <v>0</v>
      </c>
      <c r="DE14" s="48">
        <f>data2!AD95</f>
        <v>0</v>
      </c>
      <c r="DF14" s="48">
        <f>data2!AE95</f>
        <v>0</v>
      </c>
      <c r="DG14" s="48">
        <f>data2!AF95</f>
        <v>0</v>
      </c>
      <c r="DH14" s="49">
        <f>data2!AG95</f>
        <v>0</v>
      </c>
    </row>
    <row r="15" spans="1:112" s="63" customFormat="1">
      <c r="A15" s="14">
        <f t="shared" si="16"/>
        <v>13</v>
      </c>
      <c r="B15" s="63">
        <f ca="1">data4!S14</f>
        <v>1.7769039850931945</v>
      </c>
      <c r="C15" s="63">
        <f>data5!L14</f>
        <v>4016.5</v>
      </c>
      <c r="D15" s="63">
        <f t="shared" si="3"/>
        <v>-7.00916019456416</v>
      </c>
      <c r="E15" s="63">
        <f t="shared" si="4"/>
        <v>2.9502278689680428</v>
      </c>
      <c r="F15" s="63">
        <f t="shared" si="5"/>
        <v>12.909615932500245</v>
      </c>
      <c r="G15" s="63">
        <f t="shared" si="6"/>
        <v>6.6395920423548009</v>
      </c>
      <c r="H15" s="63">
        <f t="shared" si="7"/>
        <v>-4.1573181371418189</v>
      </c>
      <c r="I15" s="63">
        <f t="shared" si="8"/>
        <v>1.7669841832128064</v>
      </c>
      <c r="J15" s="63">
        <f t="shared" si="9"/>
        <v>7.691286503567432</v>
      </c>
      <c r="K15" s="63">
        <f t="shared" si="10"/>
        <v>3.949534880236417</v>
      </c>
      <c r="L15" s="63">
        <f t="shared" si="11"/>
        <v>-2.6424797526317816</v>
      </c>
      <c r="M15" s="63">
        <f t="shared" si="12"/>
        <v>1.1250222469198292</v>
      </c>
      <c r="N15" s="63">
        <f t="shared" si="13"/>
        <v>4.8925242464714396</v>
      </c>
      <c r="O15" s="63">
        <f t="shared" si="14"/>
        <v>2.5116679997010736</v>
      </c>
      <c r="P15" s="63" t="b">
        <f t="shared" si="15"/>
        <v>1</v>
      </c>
      <c r="Q15" s="47">
        <f>data0!B96</f>
        <v>20.261800765991211</v>
      </c>
      <c r="R15" s="48">
        <f>data0!C96</f>
        <v>15.347185134887695</v>
      </c>
      <c r="S15" s="48">
        <f>data0!D96</f>
        <v>15.928157806396484</v>
      </c>
      <c r="T15" s="48">
        <f>data0!E96</f>
        <v>19.049798965454102</v>
      </c>
      <c r="U15" s="48">
        <f>data0!F96</f>
        <v>14.96966552734375</v>
      </c>
      <c r="V15" s="48"/>
      <c r="W15" s="48">
        <f>data0!H96</f>
        <v>0</v>
      </c>
      <c r="X15" s="48">
        <f>data0!I96</f>
        <v>0</v>
      </c>
      <c r="Y15" s="48">
        <f>data0!J96</f>
        <v>0</v>
      </c>
      <c r="Z15" s="48">
        <f>data0!K96</f>
        <v>0</v>
      </c>
      <c r="AA15" s="48">
        <f>data0!L96</f>
        <v>0</v>
      </c>
      <c r="AB15" s="48">
        <f>data0!M96</f>
        <v>0</v>
      </c>
      <c r="AC15" s="48">
        <f>data0!N96</f>
        <v>0</v>
      </c>
      <c r="AD15" s="48">
        <f>data0!O96</f>
        <v>0</v>
      </c>
      <c r="AE15" s="48">
        <f>data0!P96</f>
        <v>0</v>
      </c>
      <c r="AF15" s="48">
        <f>data0!Q96</f>
        <v>0</v>
      </c>
      <c r="AG15" s="48">
        <f>data0!R96</f>
        <v>0</v>
      </c>
      <c r="AH15" s="48">
        <f>data0!S96</f>
        <v>0</v>
      </c>
      <c r="AI15" s="48"/>
      <c r="AJ15" s="48">
        <f>data0!U96</f>
        <v>0</v>
      </c>
      <c r="AK15" s="48">
        <f>data0!V96</f>
        <v>0</v>
      </c>
      <c r="AL15" s="48"/>
      <c r="AM15" s="48">
        <f>data0!X96</f>
        <v>0</v>
      </c>
      <c r="AN15" s="48">
        <f>data0!Y96</f>
        <v>0</v>
      </c>
      <c r="AO15" s="48">
        <f>data0!Z96</f>
        <v>0</v>
      </c>
      <c r="AP15" s="48">
        <f>data0!AA96</f>
        <v>0</v>
      </c>
      <c r="AQ15" s="48">
        <f>data0!AB96</f>
        <v>0</v>
      </c>
      <c r="AR15" s="48">
        <f>data0!AC96</f>
        <v>0</v>
      </c>
      <c r="AS15" s="48">
        <f>data0!AD96</f>
        <v>0</v>
      </c>
      <c r="AT15" s="48">
        <f>data0!AE96</f>
        <v>0</v>
      </c>
      <c r="AU15" s="48">
        <f>data0!AF96</f>
        <v>0</v>
      </c>
      <c r="AV15" s="48">
        <f>data0!AG96</f>
        <v>0</v>
      </c>
      <c r="AW15" s="47">
        <f>data1!B96</f>
        <v>11.165244102478027</v>
      </c>
      <c r="AX15" s="48">
        <f>data1!C96</f>
        <v>10.107124328613281</v>
      </c>
      <c r="AY15" s="48">
        <f>data1!D96</f>
        <v>10.841817855834961</v>
      </c>
      <c r="AZ15" s="48">
        <f>data1!E96</f>
        <v>9.6044645309448242</v>
      </c>
      <c r="BA15" s="48">
        <f>data1!F96</f>
        <v>9.523890495300293</v>
      </c>
      <c r="BB15" s="48"/>
      <c r="BC15" s="48">
        <f>data1!H96</f>
        <v>0</v>
      </c>
      <c r="BD15" s="48">
        <f>data1!I96</f>
        <v>0</v>
      </c>
      <c r="BE15" s="48">
        <f>data1!J96</f>
        <v>0</v>
      </c>
      <c r="BF15" s="48">
        <f>data1!K96</f>
        <v>0</v>
      </c>
      <c r="BG15" s="48">
        <f>data1!L96</f>
        <v>0</v>
      </c>
      <c r="BH15" s="48">
        <f>data1!M96</f>
        <v>0</v>
      </c>
      <c r="BI15" s="48">
        <f>data1!N96</f>
        <v>0</v>
      </c>
      <c r="BJ15" s="48">
        <f>data1!O96</f>
        <v>0</v>
      </c>
      <c r="BK15" s="48">
        <f>data1!P96</f>
        <v>0</v>
      </c>
      <c r="BL15" s="48">
        <f>data1!Q96</f>
        <v>0</v>
      </c>
      <c r="BM15" s="48">
        <f>data1!R96</f>
        <v>0</v>
      </c>
      <c r="BN15" s="48">
        <f>data1!S96</f>
        <v>0</v>
      </c>
      <c r="BO15" s="48"/>
      <c r="BP15" s="48">
        <f>data1!U96</f>
        <v>0</v>
      </c>
      <c r="BQ15" s="48">
        <f>data1!V96</f>
        <v>0</v>
      </c>
      <c r="BR15" s="48"/>
      <c r="BS15" s="48">
        <f>data1!X96</f>
        <v>0</v>
      </c>
      <c r="BT15" s="48">
        <f>data1!Y96</f>
        <v>0</v>
      </c>
      <c r="BU15" s="48">
        <f>data1!Z96</f>
        <v>0</v>
      </c>
      <c r="BV15" s="48">
        <f>data1!AA96</f>
        <v>0</v>
      </c>
      <c r="BW15" s="48">
        <f>data1!AB96</f>
        <v>0</v>
      </c>
      <c r="BX15" s="48">
        <f>data1!AC96</f>
        <v>0</v>
      </c>
      <c r="BY15" s="48">
        <f>data1!AD96</f>
        <v>0</v>
      </c>
      <c r="BZ15" s="48">
        <f>data1!AE96</f>
        <v>0</v>
      </c>
      <c r="CA15" s="48">
        <f>data1!AF96</f>
        <v>0</v>
      </c>
      <c r="CB15" s="48">
        <f>data1!AG96</f>
        <v>0</v>
      </c>
      <c r="CC15" s="47">
        <f>data2!B96</f>
        <v>6.711789608001709</v>
      </c>
      <c r="CD15" s="48">
        <f>data2!C96</f>
        <v>6.6461515426635742</v>
      </c>
      <c r="CE15" s="48">
        <f>data2!D96</f>
        <v>6.8699507713317871</v>
      </c>
      <c r="CF15" s="48">
        <f>data2!E96</f>
        <v>6.391350269317627</v>
      </c>
      <c r="CG15" s="48">
        <f>data2!F96</f>
        <v>6.0064029693603516</v>
      </c>
      <c r="CH15" s="48"/>
      <c r="CI15" s="48">
        <f>data2!H96</f>
        <v>0</v>
      </c>
      <c r="CJ15" s="48">
        <f>data2!I96</f>
        <v>0</v>
      </c>
      <c r="CK15" s="48">
        <f>data2!J96</f>
        <v>0</v>
      </c>
      <c r="CL15" s="48">
        <f>data2!K96</f>
        <v>0</v>
      </c>
      <c r="CM15" s="48">
        <f>data2!L96</f>
        <v>0</v>
      </c>
      <c r="CN15" s="48">
        <f>data2!M96</f>
        <v>0</v>
      </c>
      <c r="CO15" s="48">
        <f>data2!N96</f>
        <v>0</v>
      </c>
      <c r="CP15" s="48">
        <f>data2!O96</f>
        <v>0</v>
      </c>
      <c r="CQ15" s="48">
        <f>data2!P96</f>
        <v>0</v>
      </c>
      <c r="CR15" s="48">
        <f>data2!Q96</f>
        <v>0</v>
      </c>
      <c r="CS15" s="48">
        <f>data2!R96</f>
        <v>0</v>
      </c>
      <c r="CT15" s="48">
        <f>data2!S96</f>
        <v>0</v>
      </c>
      <c r="CU15" s="48"/>
      <c r="CV15" s="48">
        <f>data2!U96</f>
        <v>0</v>
      </c>
      <c r="CW15" s="48">
        <f>data2!V96</f>
        <v>0</v>
      </c>
      <c r="CX15" s="48"/>
      <c r="CY15" s="48">
        <f>data2!X96</f>
        <v>0</v>
      </c>
      <c r="CZ15" s="48">
        <f>data2!Y96</f>
        <v>0</v>
      </c>
      <c r="DA15" s="48">
        <f>data2!Z96</f>
        <v>0</v>
      </c>
      <c r="DB15" s="48">
        <f>data2!AA96</f>
        <v>0</v>
      </c>
      <c r="DC15" s="48">
        <f>data2!AB96</f>
        <v>0</v>
      </c>
      <c r="DD15" s="48">
        <f>data2!AC96</f>
        <v>0</v>
      </c>
      <c r="DE15" s="48">
        <f>data2!AD96</f>
        <v>0</v>
      </c>
      <c r="DF15" s="48">
        <f>data2!AE96</f>
        <v>0</v>
      </c>
      <c r="DG15" s="48">
        <f>data2!AF96</f>
        <v>0</v>
      </c>
      <c r="DH15" s="49">
        <f>data2!AG96</f>
        <v>0</v>
      </c>
    </row>
    <row r="16" spans="1:112" s="63" customFormat="1">
      <c r="A16" s="14">
        <f t="shared" si="16"/>
        <v>14</v>
      </c>
      <c r="B16" s="63">
        <f ca="1">data4!S15</f>
        <v>1.4370560182896255</v>
      </c>
      <c r="C16" s="63">
        <f>data5!L15</f>
        <v>4064.6</v>
      </c>
      <c r="D16" s="63">
        <f t="shared" si="3"/>
        <v>-4.730912571760614</v>
      </c>
      <c r="E16" s="63">
        <f t="shared" si="4"/>
        <v>2.0164515067791116</v>
      </c>
      <c r="F16" s="63">
        <f t="shared" si="5"/>
        <v>8.7638155853188362</v>
      </c>
      <c r="G16" s="63">
        <f t="shared" si="6"/>
        <v>4.4982427190264831</v>
      </c>
      <c r="H16" s="63">
        <f t="shared" si="7"/>
        <v>-3.2731882050950198</v>
      </c>
      <c r="I16" s="63">
        <f t="shared" si="8"/>
        <v>1.3912018578628014</v>
      </c>
      <c r="J16" s="63">
        <f t="shared" si="9"/>
        <v>6.055591920820623</v>
      </c>
      <c r="K16" s="63">
        <f t="shared" si="10"/>
        <v>3.1095933753052143</v>
      </c>
      <c r="L16" s="63">
        <f t="shared" si="11"/>
        <v>-1.8975006155364458</v>
      </c>
      <c r="M16" s="63">
        <f t="shared" si="12"/>
        <v>0.80773427568632983</v>
      </c>
      <c r="N16" s="63">
        <f t="shared" si="13"/>
        <v>3.5129691669091052</v>
      </c>
      <c r="O16" s="63">
        <f t="shared" si="14"/>
        <v>1.8034899274818503</v>
      </c>
      <c r="P16" s="63" t="b">
        <f t="shared" si="15"/>
        <v>1</v>
      </c>
      <c r="Q16" s="47">
        <f>data0!B97</f>
        <v>12.089666366577148</v>
      </c>
      <c r="R16" s="48">
        <f>data0!C97</f>
        <v>11.596857070922852</v>
      </c>
      <c r="S16" s="48">
        <f>data0!D97</f>
        <v>12.085144996643066</v>
      </c>
      <c r="T16" s="48">
        <f>data0!E97</f>
        <v>11.413748741149902</v>
      </c>
      <c r="U16" s="48">
        <f>data0!F97</f>
        <v>11.29167652130127</v>
      </c>
      <c r="V16" s="48"/>
      <c r="W16" s="48">
        <f>data0!H97</f>
        <v>0</v>
      </c>
      <c r="X16" s="48">
        <f>data0!I97</f>
        <v>0</v>
      </c>
      <c r="Y16" s="48">
        <f>data0!J97</f>
        <v>0</v>
      </c>
      <c r="Z16" s="48">
        <f>data0!K97</f>
        <v>0</v>
      </c>
      <c r="AA16" s="48">
        <f>data0!L97</f>
        <v>0</v>
      </c>
      <c r="AB16" s="48">
        <f>data0!M97</f>
        <v>0</v>
      </c>
      <c r="AC16" s="48">
        <f>data0!N97</f>
        <v>0</v>
      </c>
      <c r="AD16" s="48">
        <f>data0!O97</f>
        <v>0</v>
      </c>
      <c r="AE16" s="48">
        <f>data0!P97</f>
        <v>0</v>
      </c>
      <c r="AF16" s="48">
        <f>data0!Q97</f>
        <v>0</v>
      </c>
      <c r="AG16" s="48">
        <f>data0!R97</f>
        <v>0</v>
      </c>
      <c r="AH16" s="48">
        <f>data0!S97</f>
        <v>0</v>
      </c>
      <c r="AI16" s="48"/>
      <c r="AJ16" s="48">
        <f>data0!U97</f>
        <v>0</v>
      </c>
      <c r="AK16" s="48">
        <f>data0!V97</f>
        <v>0</v>
      </c>
      <c r="AL16" s="48"/>
      <c r="AM16" s="48">
        <f>data0!X97</f>
        <v>0</v>
      </c>
      <c r="AN16" s="48">
        <f>data0!Y97</f>
        <v>0</v>
      </c>
      <c r="AO16" s="48">
        <f>data0!Z97</f>
        <v>0</v>
      </c>
      <c r="AP16" s="48">
        <f>data0!AA97</f>
        <v>0</v>
      </c>
      <c r="AQ16" s="48">
        <f>data0!AB97</f>
        <v>0</v>
      </c>
      <c r="AR16" s="48">
        <f>data0!AC97</f>
        <v>0</v>
      </c>
      <c r="AS16" s="48">
        <f>data0!AD97</f>
        <v>0</v>
      </c>
      <c r="AT16" s="48">
        <f>data0!AE97</f>
        <v>0</v>
      </c>
      <c r="AU16" s="48">
        <f>data0!AF97</f>
        <v>0</v>
      </c>
      <c r="AV16" s="48">
        <f>data0!AG97</f>
        <v>0</v>
      </c>
      <c r="AW16" s="47">
        <f>data1!B97</f>
        <v>8.7552881240844727</v>
      </c>
      <c r="AX16" s="48">
        <f>data1!C97</f>
        <v>7.9369521141052246</v>
      </c>
      <c r="AY16" s="48">
        <f>data1!D97</f>
        <v>8.5880031585693359</v>
      </c>
      <c r="AZ16" s="48">
        <f>data1!E97</f>
        <v>7.5164809226989746</v>
      </c>
      <c r="BA16" s="48">
        <f>data1!F97</f>
        <v>7.5481295585632324</v>
      </c>
      <c r="BB16" s="48"/>
      <c r="BC16" s="48">
        <f>data1!H97</f>
        <v>0</v>
      </c>
      <c r="BD16" s="48">
        <f>data1!I97</f>
        <v>0</v>
      </c>
      <c r="BE16" s="48">
        <f>data1!J97</f>
        <v>0</v>
      </c>
      <c r="BF16" s="48">
        <f>data1!K97</f>
        <v>0</v>
      </c>
      <c r="BG16" s="48">
        <f>data1!L97</f>
        <v>0</v>
      </c>
      <c r="BH16" s="48">
        <f>data1!M97</f>
        <v>0</v>
      </c>
      <c r="BI16" s="48">
        <f>data1!N97</f>
        <v>0</v>
      </c>
      <c r="BJ16" s="48">
        <f>data1!O97</f>
        <v>0</v>
      </c>
      <c r="BK16" s="48">
        <f>data1!P97</f>
        <v>0</v>
      </c>
      <c r="BL16" s="48">
        <f>data1!Q97</f>
        <v>0</v>
      </c>
      <c r="BM16" s="48">
        <f>data1!R97</f>
        <v>0</v>
      </c>
      <c r="BN16" s="48">
        <f>data1!S97</f>
        <v>0</v>
      </c>
      <c r="BO16" s="48"/>
      <c r="BP16" s="48">
        <f>data1!U97</f>
        <v>0</v>
      </c>
      <c r="BQ16" s="48">
        <f>data1!V97</f>
        <v>0</v>
      </c>
      <c r="BR16" s="48"/>
      <c r="BS16" s="48">
        <f>data1!X97</f>
        <v>0</v>
      </c>
      <c r="BT16" s="48">
        <f>data1!Y97</f>
        <v>0</v>
      </c>
      <c r="BU16" s="48">
        <f>data1!Z97</f>
        <v>0</v>
      </c>
      <c r="BV16" s="48">
        <f>data1!AA97</f>
        <v>0</v>
      </c>
      <c r="BW16" s="48">
        <f>data1!AB97</f>
        <v>0</v>
      </c>
      <c r="BX16" s="48">
        <f>data1!AC97</f>
        <v>0</v>
      </c>
      <c r="BY16" s="48">
        <f>data1!AD97</f>
        <v>0</v>
      </c>
      <c r="BZ16" s="48">
        <f>data1!AE97</f>
        <v>0</v>
      </c>
      <c r="CA16" s="48">
        <f>data1!AF97</f>
        <v>0</v>
      </c>
      <c r="CB16" s="48">
        <f>data1!AG97</f>
        <v>0</v>
      </c>
      <c r="CC16" s="47">
        <f>data2!B97</f>
        <v>4.8218507766723633</v>
      </c>
      <c r="CD16" s="48">
        <f>data2!C97</f>
        <v>4.7698574066162109</v>
      </c>
      <c r="CE16" s="48">
        <f>data2!D97</f>
        <v>4.9167957305908203</v>
      </c>
      <c r="CF16" s="48">
        <f>data2!E97</f>
        <v>4.6455245018005371</v>
      </c>
      <c r="CG16" s="48">
        <f>data2!F97</f>
        <v>4.2702655792236328</v>
      </c>
      <c r="CH16" s="48"/>
      <c r="CI16" s="48">
        <f>data2!H97</f>
        <v>0</v>
      </c>
      <c r="CJ16" s="48">
        <f>data2!I97</f>
        <v>0</v>
      </c>
      <c r="CK16" s="48">
        <f>data2!J97</f>
        <v>0</v>
      </c>
      <c r="CL16" s="48">
        <f>data2!K97</f>
        <v>0</v>
      </c>
      <c r="CM16" s="48">
        <f>data2!L97</f>
        <v>0</v>
      </c>
      <c r="CN16" s="48">
        <f>data2!M97</f>
        <v>0</v>
      </c>
      <c r="CO16" s="48">
        <f>data2!N97</f>
        <v>0</v>
      </c>
      <c r="CP16" s="48">
        <f>data2!O97</f>
        <v>0</v>
      </c>
      <c r="CQ16" s="48">
        <f>data2!P97</f>
        <v>0</v>
      </c>
      <c r="CR16" s="48">
        <f>data2!Q97</f>
        <v>0</v>
      </c>
      <c r="CS16" s="48">
        <f>data2!R97</f>
        <v>0</v>
      </c>
      <c r="CT16" s="48">
        <f>data2!S97</f>
        <v>0</v>
      </c>
      <c r="CU16" s="48"/>
      <c r="CV16" s="48">
        <f>data2!U97</f>
        <v>0</v>
      </c>
      <c r="CW16" s="48">
        <f>data2!V97</f>
        <v>0</v>
      </c>
      <c r="CX16" s="48"/>
      <c r="CY16" s="48">
        <f>data2!X97</f>
        <v>0</v>
      </c>
      <c r="CZ16" s="48">
        <f>data2!Y97</f>
        <v>0</v>
      </c>
      <c r="DA16" s="48">
        <f>data2!Z97</f>
        <v>0</v>
      </c>
      <c r="DB16" s="48">
        <f>data2!AA97</f>
        <v>0</v>
      </c>
      <c r="DC16" s="48">
        <f>data2!AB97</f>
        <v>0</v>
      </c>
      <c r="DD16" s="48">
        <f>data2!AC97</f>
        <v>0</v>
      </c>
      <c r="DE16" s="48">
        <f>data2!AD97</f>
        <v>0</v>
      </c>
      <c r="DF16" s="48">
        <f>data2!AE97</f>
        <v>0</v>
      </c>
      <c r="DG16" s="48">
        <f>data2!AF97</f>
        <v>0</v>
      </c>
      <c r="DH16" s="49">
        <f>data2!AG97</f>
        <v>0</v>
      </c>
    </row>
    <row r="17" spans="1:112" s="63" customFormat="1">
      <c r="A17" s="14">
        <f t="shared" si="16"/>
        <v>15</v>
      </c>
      <c r="B17" s="63">
        <f ca="1">data4!S16</f>
        <v>1.1960743068778694</v>
      </c>
      <c r="C17" s="63">
        <f>data5!L16</f>
        <v>4054.6</v>
      </c>
      <c r="D17" s="63">
        <f t="shared" si="3"/>
        <v>-4.0397718719819498</v>
      </c>
      <c r="E17" s="63">
        <f t="shared" si="4"/>
        <v>1.7064380974605167</v>
      </c>
      <c r="F17" s="63">
        <f t="shared" si="5"/>
        <v>7.4526480669029826</v>
      </c>
      <c r="G17" s="63">
        <f t="shared" si="6"/>
        <v>3.8308066462949775</v>
      </c>
      <c r="H17" s="63">
        <f t="shared" si="7"/>
        <v>-2.6640420052882678</v>
      </c>
      <c r="I17" s="63">
        <f t="shared" si="8"/>
        <v>1.1325585266639446</v>
      </c>
      <c r="J17" s="63">
        <f t="shared" si="9"/>
        <v>4.9291590586161576</v>
      </c>
      <c r="K17" s="63">
        <f t="shared" si="10"/>
        <v>2.531067021301475</v>
      </c>
      <c r="L17" s="63">
        <f t="shared" si="11"/>
        <v>-1.3896865088313493</v>
      </c>
      <c r="M17" s="63">
        <f t="shared" si="12"/>
        <v>0.59126272694817905</v>
      </c>
      <c r="N17" s="63">
        <f t="shared" si="13"/>
        <v>2.5722119627277071</v>
      </c>
      <c r="O17" s="63">
        <f t="shared" si="14"/>
        <v>1.3206328238530187</v>
      </c>
      <c r="P17" s="63" t="b">
        <f t="shared" si="15"/>
        <v>1</v>
      </c>
      <c r="Q17" s="47">
        <f>data0!B98</f>
        <v>9.7024774551391602</v>
      </c>
      <c r="R17" s="48">
        <f>data0!C98</f>
        <v>11.935946464538574</v>
      </c>
      <c r="S17" s="48">
        <f>data0!D98</f>
        <v>9.6730899810791016</v>
      </c>
      <c r="T17" s="48">
        <f>data0!E98</f>
        <v>9.1418495178222656</v>
      </c>
      <c r="U17" s="48">
        <f>data0!F98</f>
        <v>9.0333414077758789</v>
      </c>
      <c r="V17" s="48"/>
      <c r="W17" s="48">
        <f>data0!H98</f>
        <v>0</v>
      </c>
      <c r="X17" s="48">
        <f>data0!I98</f>
        <v>0</v>
      </c>
      <c r="Y17" s="48">
        <f>data0!J98</f>
        <v>0</v>
      </c>
      <c r="Z17" s="48">
        <f>data0!K98</f>
        <v>0</v>
      </c>
      <c r="AA17" s="48">
        <f>data0!L98</f>
        <v>0</v>
      </c>
      <c r="AB17" s="48">
        <f>data0!M98</f>
        <v>0</v>
      </c>
      <c r="AC17" s="48">
        <f>data0!N98</f>
        <v>0</v>
      </c>
      <c r="AD17" s="48">
        <f>data0!O98</f>
        <v>0</v>
      </c>
      <c r="AE17" s="48">
        <f>data0!P98</f>
        <v>0</v>
      </c>
      <c r="AF17" s="48">
        <f>data0!Q98</f>
        <v>0</v>
      </c>
      <c r="AG17" s="48">
        <f>data0!R98</f>
        <v>0</v>
      </c>
      <c r="AH17" s="48">
        <f>data0!S98</f>
        <v>0</v>
      </c>
      <c r="AI17" s="48"/>
      <c r="AJ17" s="48">
        <f>data0!U98</f>
        <v>0</v>
      </c>
      <c r="AK17" s="48">
        <f>data0!V98</f>
        <v>0</v>
      </c>
      <c r="AL17" s="48"/>
      <c r="AM17" s="48">
        <f>data0!X98</f>
        <v>0</v>
      </c>
      <c r="AN17" s="48">
        <f>data0!Y98</f>
        <v>0</v>
      </c>
      <c r="AO17" s="48">
        <f>data0!Z98</f>
        <v>0</v>
      </c>
      <c r="AP17" s="48">
        <f>data0!AA98</f>
        <v>0</v>
      </c>
      <c r="AQ17" s="48">
        <f>data0!AB98</f>
        <v>0</v>
      </c>
      <c r="AR17" s="48">
        <f>data0!AC98</f>
        <v>0</v>
      </c>
      <c r="AS17" s="48">
        <f>data0!AD98</f>
        <v>0</v>
      </c>
      <c r="AT17" s="48">
        <f>data0!AE98</f>
        <v>0</v>
      </c>
      <c r="AU17" s="48">
        <f>data0!AF98</f>
        <v>0</v>
      </c>
      <c r="AV17" s="48">
        <f>data0!AG98</f>
        <v>0</v>
      </c>
      <c r="AW17" s="47">
        <f>data1!B98</f>
        <v>7.091489315032959</v>
      </c>
      <c r="AX17" s="48">
        <f>data1!C98</f>
        <v>6.5172977447509766</v>
      </c>
      <c r="AY17" s="48">
        <f>data1!D98</f>
        <v>6.9716777801513672</v>
      </c>
      <c r="AZ17" s="48">
        <f>data1!E98</f>
        <v>6.1872506141662598</v>
      </c>
      <c r="BA17" s="48">
        <f>data1!F98</f>
        <v>6.076481819152832</v>
      </c>
      <c r="BB17" s="48"/>
      <c r="BC17" s="48">
        <f>data1!H98</f>
        <v>0</v>
      </c>
      <c r="BD17" s="48">
        <f>data1!I98</f>
        <v>0</v>
      </c>
      <c r="BE17" s="48">
        <f>data1!J98</f>
        <v>0</v>
      </c>
      <c r="BF17" s="48">
        <f>data1!K98</f>
        <v>0</v>
      </c>
      <c r="BG17" s="48">
        <f>data1!L98</f>
        <v>0</v>
      </c>
      <c r="BH17" s="48">
        <f>data1!M98</f>
        <v>0</v>
      </c>
      <c r="BI17" s="48">
        <f>data1!N98</f>
        <v>0</v>
      </c>
      <c r="BJ17" s="48">
        <f>data1!O98</f>
        <v>0</v>
      </c>
      <c r="BK17" s="48">
        <f>data1!P98</f>
        <v>0</v>
      </c>
      <c r="BL17" s="48">
        <f>data1!Q98</f>
        <v>0</v>
      </c>
      <c r="BM17" s="48">
        <f>data1!R98</f>
        <v>0</v>
      </c>
      <c r="BN17" s="48">
        <f>data1!S98</f>
        <v>0</v>
      </c>
      <c r="BO17" s="48"/>
      <c r="BP17" s="48">
        <f>data1!U98</f>
        <v>0</v>
      </c>
      <c r="BQ17" s="48">
        <f>data1!V98</f>
        <v>0</v>
      </c>
      <c r="BR17" s="48"/>
      <c r="BS17" s="48">
        <f>data1!X98</f>
        <v>0</v>
      </c>
      <c r="BT17" s="48">
        <f>data1!Y98</f>
        <v>0</v>
      </c>
      <c r="BU17" s="48">
        <f>data1!Z98</f>
        <v>0</v>
      </c>
      <c r="BV17" s="48">
        <f>data1!AA98</f>
        <v>0</v>
      </c>
      <c r="BW17" s="48">
        <f>data1!AB98</f>
        <v>0</v>
      </c>
      <c r="BX17" s="48">
        <f>data1!AC98</f>
        <v>0</v>
      </c>
      <c r="BY17" s="48">
        <f>data1!AD98</f>
        <v>0</v>
      </c>
      <c r="BZ17" s="48">
        <f>data1!AE98</f>
        <v>0</v>
      </c>
      <c r="CA17" s="48">
        <f>data1!AF98</f>
        <v>0</v>
      </c>
      <c r="CB17" s="48">
        <f>data1!AG98</f>
        <v>0</v>
      </c>
      <c r="CC17" s="47">
        <f>data2!B98</f>
        <v>3.5649595260620117</v>
      </c>
      <c r="CD17" s="48">
        <f>data2!C98</f>
        <v>3.5129659175872803</v>
      </c>
      <c r="CE17" s="48">
        <f>data2!D98</f>
        <v>3.5830442905426025</v>
      </c>
      <c r="CF17" s="48">
        <f>data2!E98</f>
        <v>3.4044573307037354</v>
      </c>
      <c r="CG17" s="48">
        <f>data2!F98</f>
        <v>3.0811920166015625</v>
      </c>
      <c r="CH17" s="48"/>
      <c r="CI17" s="48">
        <f>data2!H98</f>
        <v>0</v>
      </c>
      <c r="CJ17" s="48">
        <f>data2!I98</f>
        <v>0</v>
      </c>
      <c r="CK17" s="48">
        <f>data2!J98</f>
        <v>0</v>
      </c>
      <c r="CL17" s="48">
        <f>data2!K98</f>
        <v>0</v>
      </c>
      <c r="CM17" s="48">
        <f>data2!L98</f>
        <v>0</v>
      </c>
      <c r="CN17" s="48">
        <f>data2!M98</f>
        <v>0</v>
      </c>
      <c r="CO17" s="48">
        <f>data2!N98</f>
        <v>0</v>
      </c>
      <c r="CP17" s="48">
        <f>data2!O98</f>
        <v>0</v>
      </c>
      <c r="CQ17" s="48">
        <f>data2!P98</f>
        <v>0</v>
      </c>
      <c r="CR17" s="48">
        <f>data2!Q98</f>
        <v>0</v>
      </c>
      <c r="CS17" s="48">
        <f>data2!R98</f>
        <v>0</v>
      </c>
      <c r="CT17" s="48">
        <f>data2!S98</f>
        <v>0</v>
      </c>
      <c r="CU17" s="48"/>
      <c r="CV17" s="48">
        <f>data2!U98</f>
        <v>0</v>
      </c>
      <c r="CW17" s="48">
        <f>data2!V98</f>
        <v>0</v>
      </c>
      <c r="CX17" s="48"/>
      <c r="CY17" s="48">
        <f>data2!X98</f>
        <v>0</v>
      </c>
      <c r="CZ17" s="48">
        <f>data2!Y98</f>
        <v>0</v>
      </c>
      <c r="DA17" s="48">
        <f>data2!Z98</f>
        <v>0</v>
      </c>
      <c r="DB17" s="48">
        <f>data2!AA98</f>
        <v>0</v>
      </c>
      <c r="DC17" s="48">
        <f>data2!AB98</f>
        <v>0</v>
      </c>
      <c r="DD17" s="48">
        <f>data2!AC98</f>
        <v>0</v>
      </c>
      <c r="DE17" s="48">
        <f>data2!AD98</f>
        <v>0</v>
      </c>
      <c r="DF17" s="48">
        <f>data2!AE98</f>
        <v>0</v>
      </c>
      <c r="DG17" s="48">
        <f>data2!AF98</f>
        <v>0</v>
      </c>
      <c r="DH17" s="49">
        <f>data2!AG98</f>
        <v>0</v>
      </c>
    </row>
    <row r="18" spans="1:112" s="63" customFormat="1">
      <c r="A18" s="14">
        <f t="shared" si="16"/>
        <v>16</v>
      </c>
      <c r="B18" s="63">
        <f ca="1">data4!S17</f>
        <v>0.8864930899240453</v>
      </c>
      <c r="C18" s="63">
        <f>data5!L17</f>
        <v>4035.6</v>
      </c>
      <c r="D18" s="63">
        <f t="shared" si="3"/>
        <v>-3.4400521247862987</v>
      </c>
      <c r="E18" s="63">
        <f t="shared" si="4"/>
        <v>1.4457234349744073</v>
      </c>
      <c r="F18" s="63">
        <f t="shared" si="5"/>
        <v>6.3314989947351137</v>
      </c>
      <c r="G18" s="63">
        <f t="shared" si="6"/>
        <v>3.2571837065071376</v>
      </c>
      <c r="H18" s="63">
        <f t="shared" si="7"/>
        <v>-2.131895965544901</v>
      </c>
      <c r="I18" s="63">
        <f t="shared" si="8"/>
        <v>0.90446383377601358</v>
      </c>
      <c r="J18" s="63">
        <f t="shared" si="9"/>
        <v>3.9408236330969277</v>
      </c>
      <c r="K18" s="63">
        <f t="shared" si="10"/>
        <v>2.0242398662139429</v>
      </c>
      <c r="L18" s="63">
        <f t="shared" si="11"/>
        <v>-1.3081095013224604</v>
      </c>
      <c r="M18" s="63">
        <f t="shared" si="12"/>
        <v>0.55622350758519667</v>
      </c>
      <c r="N18" s="63">
        <f t="shared" si="13"/>
        <v>2.4205565164928537</v>
      </c>
      <c r="O18" s="63">
        <f t="shared" si="14"/>
        <v>1.2428886726051047</v>
      </c>
      <c r="P18" s="63" t="b">
        <f t="shared" si="15"/>
        <v>1</v>
      </c>
      <c r="Q18" s="47">
        <f>data0!B99</f>
        <v>8.1381454467773437</v>
      </c>
      <c r="R18" s="48">
        <f>data0!C99</f>
        <v>7.8998136520385742</v>
      </c>
      <c r="S18" s="48">
        <f>data0!D99</f>
        <v>10.567962646484375</v>
      </c>
      <c r="T18" s="48">
        <f>data0!E99</f>
        <v>7.690546989440918</v>
      </c>
      <c r="U18" s="48">
        <f>data0!F99</f>
        <v>7.6295108795166016</v>
      </c>
      <c r="V18" s="48"/>
      <c r="W18" s="48">
        <f>data0!H99</f>
        <v>0</v>
      </c>
      <c r="X18" s="48">
        <f>data0!I99</f>
        <v>0</v>
      </c>
      <c r="Y18" s="48">
        <f>data0!J99</f>
        <v>0</v>
      </c>
      <c r="Z18" s="48">
        <f>data0!K99</f>
        <v>0</v>
      </c>
      <c r="AA18" s="48">
        <f>data0!L99</f>
        <v>0</v>
      </c>
      <c r="AB18" s="48">
        <f>data0!M99</f>
        <v>0</v>
      </c>
      <c r="AC18" s="48">
        <f>data0!N99</f>
        <v>0</v>
      </c>
      <c r="AD18" s="48">
        <f>data0!O99</f>
        <v>0</v>
      </c>
      <c r="AE18" s="48">
        <f>data0!P99</f>
        <v>0</v>
      </c>
      <c r="AF18" s="48">
        <f>data0!Q99</f>
        <v>0</v>
      </c>
      <c r="AG18" s="48">
        <f>data0!R99</f>
        <v>0</v>
      </c>
      <c r="AH18" s="48">
        <f>data0!S99</f>
        <v>0</v>
      </c>
      <c r="AI18" s="48"/>
      <c r="AJ18" s="48">
        <f>data0!U99</f>
        <v>0</v>
      </c>
      <c r="AK18" s="48">
        <f>data0!V99</f>
        <v>0</v>
      </c>
      <c r="AL18" s="48"/>
      <c r="AM18" s="48">
        <f>data0!X99</f>
        <v>0</v>
      </c>
      <c r="AN18" s="48">
        <f>data0!Y99</f>
        <v>0</v>
      </c>
      <c r="AO18" s="48">
        <f>data0!Z99</f>
        <v>0</v>
      </c>
      <c r="AP18" s="48">
        <f>data0!AA99</f>
        <v>0</v>
      </c>
      <c r="AQ18" s="48">
        <f>data0!AB99</f>
        <v>0</v>
      </c>
      <c r="AR18" s="48">
        <f>data0!AC99</f>
        <v>0</v>
      </c>
      <c r="AS18" s="48">
        <f>data0!AD99</f>
        <v>0</v>
      </c>
      <c r="AT18" s="48">
        <f>data0!AE99</f>
        <v>0</v>
      </c>
      <c r="AU18" s="48">
        <f>data0!AF99</f>
        <v>0</v>
      </c>
      <c r="AV18" s="48">
        <f>data0!AG99</f>
        <v>0</v>
      </c>
      <c r="AW18" s="47">
        <f>data1!B99</f>
        <v>5.7373924255371094</v>
      </c>
      <c r="AX18" s="48">
        <f>data1!C99</f>
        <v>5.1488299369812012</v>
      </c>
      <c r="AY18" s="48">
        <f>data1!D99</f>
        <v>5.7221331596374512</v>
      </c>
      <c r="AZ18" s="48">
        <f>data1!E99</f>
        <v>4.8354144096374512</v>
      </c>
      <c r="BA18" s="48">
        <f>data1!F99</f>
        <v>4.7856812477111816</v>
      </c>
      <c r="BB18" s="48"/>
      <c r="BC18" s="48">
        <f>data1!H99</f>
        <v>0</v>
      </c>
      <c r="BD18" s="48">
        <f>data1!I99</f>
        <v>0</v>
      </c>
      <c r="BE18" s="48">
        <f>data1!J99</f>
        <v>0</v>
      </c>
      <c r="BF18" s="48">
        <f>data1!K99</f>
        <v>0</v>
      </c>
      <c r="BG18" s="48">
        <f>data1!L99</f>
        <v>0</v>
      </c>
      <c r="BH18" s="48">
        <f>data1!M99</f>
        <v>0</v>
      </c>
      <c r="BI18" s="48">
        <f>data1!N99</f>
        <v>0</v>
      </c>
      <c r="BJ18" s="48">
        <f>data1!O99</f>
        <v>0</v>
      </c>
      <c r="BK18" s="48">
        <f>data1!P99</f>
        <v>0</v>
      </c>
      <c r="BL18" s="48">
        <f>data1!Q99</f>
        <v>0</v>
      </c>
      <c r="BM18" s="48">
        <f>data1!R99</f>
        <v>0</v>
      </c>
      <c r="BN18" s="48">
        <f>data1!S99</f>
        <v>0</v>
      </c>
      <c r="BO18" s="48"/>
      <c r="BP18" s="48">
        <f>data1!U99</f>
        <v>0</v>
      </c>
      <c r="BQ18" s="48">
        <f>data1!V99</f>
        <v>0</v>
      </c>
      <c r="BR18" s="48"/>
      <c r="BS18" s="48">
        <f>data1!X99</f>
        <v>0</v>
      </c>
      <c r="BT18" s="48">
        <f>data1!Y99</f>
        <v>0</v>
      </c>
      <c r="BU18" s="48">
        <f>data1!Z99</f>
        <v>0</v>
      </c>
      <c r="BV18" s="48">
        <f>data1!AA99</f>
        <v>0</v>
      </c>
      <c r="BW18" s="48">
        <f>data1!AB99</f>
        <v>0</v>
      </c>
      <c r="BX18" s="48">
        <f>data1!AC99</f>
        <v>0</v>
      </c>
      <c r="BY18" s="48">
        <f>data1!AD99</f>
        <v>0</v>
      </c>
      <c r="BZ18" s="48">
        <f>data1!AE99</f>
        <v>0</v>
      </c>
      <c r="CA18" s="48">
        <f>data1!AF99</f>
        <v>0</v>
      </c>
      <c r="CB18" s="48">
        <f>data1!AG99</f>
        <v>0</v>
      </c>
      <c r="CC18" s="47">
        <f>data2!B99</f>
        <v>3.3230757713317871</v>
      </c>
      <c r="CD18" s="48">
        <f>data2!C99</f>
        <v>3.271970272064209</v>
      </c>
      <c r="CE18" s="48">
        <f>data2!D99</f>
        <v>3.4725174903869629</v>
      </c>
      <c r="CF18" s="48">
        <f>data2!E99</f>
        <v>3.1716160774230957</v>
      </c>
      <c r="CG18" s="48">
        <f>data2!F99</f>
        <v>2.8913021087646484</v>
      </c>
      <c r="CH18" s="48"/>
      <c r="CI18" s="48">
        <f>data2!H99</f>
        <v>0</v>
      </c>
      <c r="CJ18" s="48">
        <f>data2!I99</f>
        <v>0</v>
      </c>
      <c r="CK18" s="48">
        <f>data2!J99</f>
        <v>0</v>
      </c>
      <c r="CL18" s="48">
        <f>data2!K99</f>
        <v>0</v>
      </c>
      <c r="CM18" s="48">
        <f>data2!L99</f>
        <v>0</v>
      </c>
      <c r="CN18" s="48">
        <f>data2!M99</f>
        <v>0</v>
      </c>
      <c r="CO18" s="48">
        <f>data2!N99</f>
        <v>0</v>
      </c>
      <c r="CP18" s="48">
        <f>data2!O99</f>
        <v>0</v>
      </c>
      <c r="CQ18" s="48">
        <f>data2!P99</f>
        <v>0</v>
      </c>
      <c r="CR18" s="48">
        <f>data2!Q99</f>
        <v>0</v>
      </c>
      <c r="CS18" s="48">
        <f>data2!R99</f>
        <v>0</v>
      </c>
      <c r="CT18" s="48">
        <f>data2!S99</f>
        <v>0</v>
      </c>
      <c r="CU18" s="48"/>
      <c r="CV18" s="48">
        <f>data2!U99</f>
        <v>0</v>
      </c>
      <c r="CW18" s="48">
        <f>data2!V99</f>
        <v>0</v>
      </c>
      <c r="CX18" s="48"/>
      <c r="CY18" s="48">
        <f>data2!X99</f>
        <v>0</v>
      </c>
      <c r="CZ18" s="48">
        <f>data2!Y99</f>
        <v>0</v>
      </c>
      <c r="DA18" s="48">
        <f>data2!Z99</f>
        <v>0</v>
      </c>
      <c r="DB18" s="48">
        <f>data2!AA99</f>
        <v>0</v>
      </c>
      <c r="DC18" s="48">
        <f>data2!AB99</f>
        <v>0</v>
      </c>
      <c r="DD18" s="48">
        <f>data2!AC99</f>
        <v>0</v>
      </c>
      <c r="DE18" s="48">
        <f>data2!AD99</f>
        <v>0</v>
      </c>
      <c r="DF18" s="48">
        <f>data2!AE99</f>
        <v>0</v>
      </c>
      <c r="DG18" s="48">
        <f>data2!AF99</f>
        <v>0</v>
      </c>
      <c r="DH18" s="49">
        <f>data2!AG99</f>
        <v>0</v>
      </c>
    </row>
    <row r="19" spans="1:112" s="63" customFormat="1">
      <c r="A19" s="14">
        <f t="shared" si="16"/>
        <v>17</v>
      </c>
      <c r="B19" s="63">
        <f ca="1">data4!S18</f>
        <v>0.66310300227883046</v>
      </c>
      <c r="C19" s="63">
        <f>data5!L18</f>
        <v>4046.8</v>
      </c>
      <c r="D19" s="63">
        <f t="shared" si="3"/>
        <v>-2.7150561969728848</v>
      </c>
      <c r="E19" s="63">
        <f t="shared" si="4"/>
        <v>1.1390897487771923</v>
      </c>
      <c r="F19" s="63">
        <f t="shared" si="5"/>
        <v>4.9932356945272698</v>
      </c>
      <c r="G19" s="63">
        <f t="shared" si="6"/>
        <v>2.5694306305000514</v>
      </c>
      <c r="H19" s="63">
        <f t="shared" si="7"/>
        <v>-1.6041593663808702</v>
      </c>
      <c r="I19" s="63">
        <f t="shared" si="8"/>
        <v>0.68082074461312125</v>
      </c>
      <c r="J19" s="63">
        <f t="shared" si="9"/>
        <v>2.9658008556071125</v>
      </c>
      <c r="K19" s="63">
        <f t="shared" si="10"/>
        <v>1.5233200739959942</v>
      </c>
      <c r="L19" s="63">
        <f t="shared" si="11"/>
        <v>-0.95209033030287959</v>
      </c>
      <c r="M19" s="63">
        <f t="shared" si="12"/>
        <v>0.40476078822694977</v>
      </c>
      <c r="N19" s="63">
        <f t="shared" si="13"/>
        <v>1.761611906756779</v>
      </c>
      <c r="O19" s="63">
        <f t="shared" si="14"/>
        <v>0.90456741235321958</v>
      </c>
      <c r="P19" s="63" t="b">
        <f t="shared" si="15"/>
        <v>1</v>
      </c>
      <c r="Q19" s="47">
        <f>data0!B100</f>
        <v>6.1036086082458496</v>
      </c>
      <c r="R19" s="48">
        <f>data0!C100</f>
        <v>7.5335969924926758</v>
      </c>
      <c r="S19" s="48">
        <f>data0!D100</f>
        <v>7.895453929901123</v>
      </c>
      <c r="T19" s="48">
        <f>data0!E100</f>
        <v>5.7635507583618164</v>
      </c>
      <c r="U19" s="48">
        <f>data0!F100</f>
        <v>5.7373924255371094</v>
      </c>
      <c r="V19" s="48"/>
      <c r="W19" s="48">
        <f>data0!H100</f>
        <v>0</v>
      </c>
      <c r="X19" s="48">
        <f>data0!I100</f>
        <v>0</v>
      </c>
      <c r="Y19" s="48">
        <f>data0!J100</f>
        <v>0</v>
      </c>
      <c r="Z19" s="48">
        <f>data0!K100</f>
        <v>0</v>
      </c>
      <c r="AA19" s="48">
        <f>data0!L100</f>
        <v>0</v>
      </c>
      <c r="AB19" s="48">
        <f>data0!M100</f>
        <v>0</v>
      </c>
      <c r="AC19" s="48">
        <f>data0!N100</f>
        <v>0</v>
      </c>
      <c r="AD19" s="48">
        <f>data0!O100</f>
        <v>0</v>
      </c>
      <c r="AE19" s="48">
        <f>data0!P100</f>
        <v>0</v>
      </c>
      <c r="AF19" s="48">
        <f>data0!Q100</f>
        <v>0</v>
      </c>
      <c r="AG19" s="48">
        <f>data0!R100</f>
        <v>0</v>
      </c>
      <c r="AH19" s="48">
        <f>data0!S100</f>
        <v>0</v>
      </c>
      <c r="AI19" s="48"/>
      <c r="AJ19" s="48">
        <f>data0!U100</f>
        <v>0</v>
      </c>
      <c r="AK19" s="48">
        <f>data0!V100</f>
        <v>0</v>
      </c>
      <c r="AL19" s="48"/>
      <c r="AM19" s="48">
        <f>data0!X100</f>
        <v>0</v>
      </c>
      <c r="AN19" s="48">
        <f>data0!Y100</f>
        <v>0</v>
      </c>
      <c r="AO19" s="48">
        <f>data0!Z100</f>
        <v>0</v>
      </c>
      <c r="AP19" s="48">
        <f>data0!AA100</f>
        <v>0</v>
      </c>
      <c r="AQ19" s="48">
        <f>data0!AB100</f>
        <v>0</v>
      </c>
      <c r="AR19" s="48">
        <f>data0!AC100</f>
        <v>0</v>
      </c>
      <c r="AS19" s="48">
        <f>data0!AD100</f>
        <v>0</v>
      </c>
      <c r="AT19" s="48">
        <f>data0!AE100</f>
        <v>0</v>
      </c>
      <c r="AU19" s="48">
        <f>data0!AF100</f>
        <v>0</v>
      </c>
      <c r="AV19" s="48">
        <f>data0!AG100</f>
        <v>0</v>
      </c>
      <c r="AW19" s="47">
        <f>data1!B100</f>
        <v>4.3132166862487793</v>
      </c>
      <c r="AX19" s="48">
        <f>data1!C100</f>
        <v>3.8823311328887939</v>
      </c>
      <c r="AY19" s="48">
        <f>data1!D100</f>
        <v>4.2856054306030273</v>
      </c>
      <c r="AZ19" s="48">
        <f>data1!E100</f>
        <v>3.618567943572998</v>
      </c>
      <c r="BA19" s="48">
        <f>data1!F100</f>
        <v>3.6440804004669189</v>
      </c>
      <c r="BB19" s="48"/>
      <c r="BC19" s="48">
        <f>data1!H100</f>
        <v>0</v>
      </c>
      <c r="BD19" s="48">
        <f>data1!I100</f>
        <v>0</v>
      </c>
      <c r="BE19" s="48">
        <f>data1!J100</f>
        <v>0</v>
      </c>
      <c r="BF19" s="48">
        <f>data1!K100</f>
        <v>0</v>
      </c>
      <c r="BG19" s="48">
        <f>data1!L100</f>
        <v>0</v>
      </c>
      <c r="BH19" s="48">
        <f>data1!M100</f>
        <v>0</v>
      </c>
      <c r="BI19" s="48">
        <f>data1!N100</f>
        <v>0</v>
      </c>
      <c r="BJ19" s="48">
        <f>data1!O100</f>
        <v>0</v>
      </c>
      <c r="BK19" s="48">
        <f>data1!P100</f>
        <v>0</v>
      </c>
      <c r="BL19" s="48">
        <f>data1!Q100</f>
        <v>0</v>
      </c>
      <c r="BM19" s="48">
        <f>data1!R100</f>
        <v>0</v>
      </c>
      <c r="BN19" s="48">
        <f>data1!S100</f>
        <v>0</v>
      </c>
      <c r="BO19" s="48"/>
      <c r="BP19" s="48">
        <f>data1!U100</f>
        <v>0</v>
      </c>
      <c r="BQ19" s="48">
        <f>data1!V100</f>
        <v>0</v>
      </c>
      <c r="BR19" s="48"/>
      <c r="BS19" s="48">
        <f>data1!X100</f>
        <v>0</v>
      </c>
      <c r="BT19" s="48">
        <f>data1!Y100</f>
        <v>0</v>
      </c>
      <c r="BU19" s="48">
        <f>data1!Z100</f>
        <v>0</v>
      </c>
      <c r="BV19" s="48">
        <f>data1!AA100</f>
        <v>0</v>
      </c>
      <c r="BW19" s="48">
        <f>data1!AB100</f>
        <v>0</v>
      </c>
      <c r="BX19" s="48">
        <f>data1!AC100</f>
        <v>0</v>
      </c>
      <c r="BY19" s="48">
        <f>data1!AD100</f>
        <v>0</v>
      </c>
      <c r="BZ19" s="48">
        <f>data1!AE100</f>
        <v>0</v>
      </c>
      <c r="CA19" s="48">
        <f>data1!AF100</f>
        <v>0</v>
      </c>
      <c r="CB19" s="48">
        <f>data1!AG100</f>
        <v>0</v>
      </c>
      <c r="CC19" s="47">
        <f>data2!B100</f>
        <v>2.4007527828216553</v>
      </c>
      <c r="CD19" s="48">
        <f>data2!C100</f>
        <v>2.3956663608551025</v>
      </c>
      <c r="CE19" s="48">
        <f>data2!D100</f>
        <v>2.5417170524597168</v>
      </c>
      <c r="CF19" s="48">
        <f>data2!E100</f>
        <v>2.2975726127624512</v>
      </c>
      <c r="CG19" s="48">
        <f>data2!F100</f>
        <v>2.1023540496826172</v>
      </c>
      <c r="CH19" s="48"/>
      <c r="CI19" s="48">
        <f>data2!H100</f>
        <v>0</v>
      </c>
      <c r="CJ19" s="48">
        <f>data2!I100</f>
        <v>0</v>
      </c>
      <c r="CK19" s="48">
        <f>data2!J100</f>
        <v>0</v>
      </c>
      <c r="CL19" s="48">
        <f>data2!K100</f>
        <v>0</v>
      </c>
      <c r="CM19" s="48">
        <f>data2!L100</f>
        <v>0</v>
      </c>
      <c r="CN19" s="48">
        <f>data2!M100</f>
        <v>0</v>
      </c>
      <c r="CO19" s="48">
        <f>data2!N100</f>
        <v>0</v>
      </c>
      <c r="CP19" s="48">
        <f>data2!O100</f>
        <v>0</v>
      </c>
      <c r="CQ19" s="48">
        <f>data2!P100</f>
        <v>0</v>
      </c>
      <c r="CR19" s="48">
        <f>data2!Q100</f>
        <v>0</v>
      </c>
      <c r="CS19" s="48">
        <f>data2!R100</f>
        <v>0</v>
      </c>
      <c r="CT19" s="48">
        <f>data2!S100</f>
        <v>0</v>
      </c>
      <c r="CU19" s="48"/>
      <c r="CV19" s="48">
        <f>data2!U100</f>
        <v>0</v>
      </c>
      <c r="CW19" s="48">
        <f>data2!V100</f>
        <v>0</v>
      </c>
      <c r="CX19" s="48"/>
      <c r="CY19" s="48">
        <f>data2!X100</f>
        <v>0</v>
      </c>
      <c r="CZ19" s="48">
        <f>data2!Y100</f>
        <v>0</v>
      </c>
      <c r="DA19" s="48">
        <f>data2!Z100</f>
        <v>0</v>
      </c>
      <c r="DB19" s="48">
        <f>data2!AA100</f>
        <v>0</v>
      </c>
      <c r="DC19" s="48">
        <f>data2!AB100</f>
        <v>0</v>
      </c>
      <c r="DD19" s="48">
        <f>data2!AC100</f>
        <v>0</v>
      </c>
      <c r="DE19" s="48">
        <f>data2!AD100</f>
        <v>0</v>
      </c>
      <c r="DF19" s="48">
        <f>data2!AE100</f>
        <v>0</v>
      </c>
      <c r="DG19" s="48">
        <f>data2!AF100</f>
        <v>0</v>
      </c>
      <c r="DH19" s="49">
        <f>data2!AG100</f>
        <v>0</v>
      </c>
    </row>
    <row r="20" spans="1:112" s="63" customFormat="1">
      <c r="A20" s="14">
        <f t="shared" si="16"/>
        <v>18</v>
      </c>
      <c r="B20" s="63">
        <f ca="1">data4!S19</f>
        <v>0.15701835940156691</v>
      </c>
      <c r="C20" s="63">
        <f>data5!L19</f>
        <v>3830.6</v>
      </c>
      <c r="D20" s="63">
        <f t="shared" si="3"/>
        <v>-1.1644978251028133</v>
      </c>
      <c r="E20" s="63">
        <f t="shared" si="4"/>
        <v>0.49183271671163625</v>
      </c>
      <c r="F20" s="63">
        <f t="shared" si="5"/>
        <v>2.1481632585260857</v>
      </c>
      <c r="G20" s="63">
        <f t="shared" si="6"/>
        <v>1.1042203612096331</v>
      </c>
      <c r="H20" s="63">
        <f t="shared" si="7"/>
        <v>-0.51908734734038253</v>
      </c>
      <c r="I20" s="63">
        <f t="shared" si="8"/>
        <v>0.21866810732874378</v>
      </c>
      <c r="J20" s="63">
        <f t="shared" si="9"/>
        <v>0.95642356199787004</v>
      </c>
      <c r="K20" s="63">
        <f t="shared" si="10"/>
        <v>0.49183696977941749</v>
      </c>
      <c r="L20" s="63">
        <f t="shared" si="11"/>
        <v>-0.5265507124895612</v>
      </c>
      <c r="M20" s="63">
        <f t="shared" si="12"/>
        <v>0.22343150089526997</v>
      </c>
      <c r="N20" s="63">
        <f t="shared" si="13"/>
        <v>0.97341371428010115</v>
      </c>
      <c r="O20" s="63">
        <f t="shared" si="14"/>
        <v>0.49998814225655414</v>
      </c>
      <c r="P20" s="63" t="b">
        <f t="shared" si="15"/>
        <v>1</v>
      </c>
      <c r="Q20" s="47">
        <f>data0!B101</f>
        <v>3.1542577743530273</v>
      </c>
      <c r="R20" s="48">
        <f>data0!C101</f>
        <v>3.1041209697723389</v>
      </c>
      <c r="S20" s="48">
        <f>data0!D101</f>
        <v>2.6245517730712891</v>
      </c>
      <c r="T20" s="48">
        <f>data0!E101</f>
        <v>3.0133743286132812</v>
      </c>
      <c r="U20" s="48">
        <f>data0!F101</f>
        <v>2.3668439388275146</v>
      </c>
      <c r="V20" s="48"/>
      <c r="W20" s="48">
        <f>data0!H101</f>
        <v>0</v>
      </c>
      <c r="X20" s="48">
        <f>data0!I101</f>
        <v>0</v>
      </c>
      <c r="Y20" s="48">
        <f>data0!J101</f>
        <v>0</v>
      </c>
      <c r="Z20" s="48">
        <f>data0!K101</f>
        <v>0</v>
      </c>
      <c r="AA20" s="48">
        <f>data0!L101</f>
        <v>0</v>
      </c>
      <c r="AB20" s="48">
        <f>data0!M101</f>
        <v>0</v>
      </c>
      <c r="AC20" s="48">
        <f>data0!N101</f>
        <v>0</v>
      </c>
      <c r="AD20" s="48">
        <f>data0!O101</f>
        <v>0</v>
      </c>
      <c r="AE20" s="48">
        <f>data0!P101</f>
        <v>0</v>
      </c>
      <c r="AF20" s="48">
        <f>data0!Q101</f>
        <v>0</v>
      </c>
      <c r="AG20" s="48">
        <f>data0!R101</f>
        <v>0</v>
      </c>
      <c r="AH20" s="48">
        <f>data0!S101</f>
        <v>0</v>
      </c>
      <c r="AI20" s="48"/>
      <c r="AJ20" s="48">
        <f>data0!U101</f>
        <v>0</v>
      </c>
      <c r="AK20" s="48">
        <f>data0!V101</f>
        <v>0</v>
      </c>
      <c r="AL20" s="48"/>
      <c r="AM20" s="48">
        <f>data0!X101</f>
        <v>0</v>
      </c>
      <c r="AN20" s="48">
        <f>data0!Y101</f>
        <v>0</v>
      </c>
      <c r="AO20" s="48">
        <f>data0!Z101</f>
        <v>0</v>
      </c>
      <c r="AP20" s="48">
        <f>data0!AA101</f>
        <v>0</v>
      </c>
      <c r="AQ20" s="48">
        <f>data0!AB101</f>
        <v>0</v>
      </c>
      <c r="AR20" s="48">
        <f>data0!AC101</f>
        <v>0</v>
      </c>
      <c r="AS20" s="48">
        <f>data0!AD101</f>
        <v>0</v>
      </c>
      <c r="AT20" s="48">
        <f>data0!AE101</f>
        <v>0</v>
      </c>
      <c r="AU20" s="48">
        <f>data0!AF101</f>
        <v>0</v>
      </c>
      <c r="AV20" s="48">
        <f>data0!AG101</f>
        <v>0</v>
      </c>
      <c r="AW20" s="47">
        <f>data1!B101</f>
        <v>1.4321682453155518</v>
      </c>
      <c r="AX20" s="48">
        <f>data1!C101</f>
        <v>1.2425203323364258</v>
      </c>
      <c r="AY20" s="48">
        <f>data1!D101</f>
        <v>1.4580843448638916</v>
      </c>
      <c r="AZ20" s="48">
        <f>data1!E101</f>
        <v>1.1076920032501221</v>
      </c>
      <c r="BA20" s="48">
        <f>data1!F101</f>
        <v>1.1009101867675781</v>
      </c>
      <c r="BB20" s="48"/>
      <c r="BC20" s="48">
        <f>data1!H101</f>
        <v>0</v>
      </c>
      <c r="BD20" s="48">
        <f>data1!I101</f>
        <v>0</v>
      </c>
      <c r="BE20" s="48">
        <f>data1!J101</f>
        <v>0</v>
      </c>
      <c r="BF20" s="48">
        <f>data1!K101</f>
        <v>0</v>
      </c>
      <c r="BG20" s="48">
        <f>data1!L101</f>
        <v>0</v>
      </c>
      <c r="BH20" s="48">
        <f>data1!M101</f>
        <v>0</v>
      </c>
      <c r="BI20" s="48">
        <f>data1!N101</f>
        <v>0</v>
      </c>
      <c r="BJ20" s="48">
        <f>data1!O101</f>
        <v>0</v>
      </c>
      <c r="BK20" s="48">
        <f>data1!P101</f>
        <v>0</v>
      </c>
      <c r="BL20" s="48">
        <f>data1!Q101</f>
        <v>0</v>
      </c>
      <c r="BM20" s="48">
        <f>data1!R101</f>
        <v>0</v>
      </c>
      <c r="BN20" s="48">
        <f>data1!S101</f>
        <v>0</v>
      </c>
      <c r="BO20" s="48"/>
      <c r="BP20" s="48">
        <f>data1!U101</f>
        <v>0</v>
      </c>
      <c r="BQ20" s="48">
        <f>data1!V101</f>
        <v>0</v>
      </c>
      <c r="BR20" s="48"/>
      <c r="BS20" s="48">
        <f>data1!X101</f>
        <v>0</v>
      </c>
      <c r="BT20" s="48">
        <f>data1!Y101</f>
        <v>0</v>
      </c>
      <c r="BU20" s="48">
        <f>data1!Z101</f>
        <v>0</v>
      </c>
      <c r="BV20" s="48">
        <f>data1!AA101</f>
        <v>0</v>
      </c>
      <c r="BW20" s="48">
        <f>data1!AB101</f>
        <v>0</v>
      </c>
      <c r="BX20" s="48">
        <f>data1!AC101</f>
        <v>0</v>
      </c>
      <c r="BY20" s="48">
        <f>data1!AD101</f>
        <v>0</v>
      </c>
      <c r="BZ20" s="48">
        <f>data1!AE101</f>
        <v>0</v>
      </c>
      <c r="CA20" s="48">
        <f>data1!AF101</f>
        <v>0</v>
      </c>
      <c r="CB20" s="48">
        <f>data1!AG101</f>
        <v>0</v>
      </c>
      <c r="CC20" s="47">
        <f>data2!B101</f>
        <v>1.2970168590545654</v>
      </c>
      <c r="CD20" s="48">
        <f>data2!C101</f>
        <v>1.3100960254669189</v>
      </c>
      <c r="CE20" s="48">
        <f>data2!D101</f>
        <v>1.4693872928619385</v>
      </c>
      <c r="CF20" s="48">
        <f>data2!E101</f>
        <v>1.2365459203720093</v>
      </c>
      <c r="CG20" s="48">
        <f>data2!F101</f>
        <v>1.1664674282073975</v>
      </c>
      <c r="CH20" s="48"/>
      <c r="CI20" s="48">
        <f>data2!H101</f>
        <v>0</v>
      </c>
      <c r="CJ20" s="48">
        <f>data2!I101</f>
        <v>0</v>
      </c>
      <c r="CK20" s="48">
        <f>data2!J101</f>
        <v>0</v>
      </c>
      <c r="CL20" s="48">
        <f>data2!K101</f>
        <v>0</v>
      </c>
      <c r="CM20" s="48">
        <f>data2!L101</f>
        <v>0</v>
      </c>
      <c r="CN20" s="48">
        <f>data2!M101</f>
        <v>0</v>
      </c>
      <c r="CO20" s="48">
        <f>data2!N101</f>
        <v>0</v>
      </c>
      <c r="CP20" s="48">
        <f>data2!O101</f>
        <v>0</v>
      </c>
      <c r="CQ20" s="48">
        <f>data2!P101</f>
        <v>0</v>
      </c>
      <c r="CR20" s="48">
        <f>data2!Q101</f>
        <v>0</v>
      </c>
      <c r="CS20" s="48">
        <f>data2!R101</f>
        <v>0</v>
      </c>
      <c r="CT20" s="48">
        <f>data2!S101</f>
        <v>0</v>
      </c>
      <c r="CU20" s="48"/>
      <c r="CV20" s="48">
        <f>data2!U101</f>
        <v>0</v>
      </c>
      <c r="CW20" s="48">
        <f>data2!V101</f>
        <v>0</v>
      </c>
      <c r="CX20" s="48"/>
      <c r="CY20" s="48">
        <f>data2!X101</f>
        <v>0</v>
      </c>
      <c r="CZ20" s="48">
        <f>data2!Y101</f>
        <v>0</v>
      </c>
      <c r="DA20" s="48">
        <f>data2!Z101</f>
        <v>0</v>
      </c>
      <c r="DB20" s="48">
        <f>data2!AA101</f>
        <v>0</v>
      </c>
      <c r="DC20" s="48">
        <f>data2!AB101</f>
        <v>0</v>
      </c>
      <c r="DD20" s="48">
        <f>data2!AC101</f>
        <v>0</v>
      </c>
      <c r="DE20" s="48">
        <f>data2!AD101</f>
        <v>0</v>
      </c>
      <c r="DF20" s="48">
        <f>data2!AE101</f>
        <v>0</v>
      </c>
      <c r="DG20" s="48">
        <f>data2!AF101</f>
        <v>0</v>
      </c>
      <c r="DH20" s="49">
        <f>data2!AG101</f>
        <v>0</v>
      </c>
    </row>
    <row r="21" spans="1:112" s="63" customFormat="1">
      <c r="A21" s="14">
        <f t="shared" si="16"/>
        <v>19</v>
      </c>
      <c r="B21" s="63">
        <f ca="1">data4!S20</f>
        <v>0.12828800152468015</v>
      </c>
      <c r="C21" s="63">
        <f>data5!L20</f>
        <v>3852.3</v>
      </c>
      <c r="D21" s="63">
        <f t="shared" si="3"/>
        <v>-0.90427387909485546</v>
      </c>
      <c r="E21" s="63">
        <f t="shared" si="4"/>
        <v>0.38189592032596981</v>
      </c>
      <c r="F21" s="63">
        <f t="shared" si="5"/>
        <v>1.668065719746795</v>
      </c>
      <c r="G21" s="63">
        <f t="shared" si="6"/>
        <v>0.85744653294721673</v>
      </c>
      <c r="H21" s="63">
        <f t="shared" si="7"/>
        <v>-0.41535777304627641</v>
      </c>
      <c r="I21" s="63">
        <f t="shared" si="8"/>
        <v>0.17504862259174214</v>
      </c>
      <c r="J21" s="63">
        <f t="shared" si="9"/>
        <v>0.7654550182297607</v>
      </c>
      <c r="K21" s="63">
        <f t="shared" si="10"/>
        <v>0.39360426375867907</v>
      </c>
      <c r="L21" s="63">
        <f t="shared" si="11"/>
        <v>-0.38087921122330537</v>
      </c>
      <c r="M21" s="63">
        <f t="shared" si="12"/>
        <v>0.16161589786924166</v>
      </c>
      <c r="N21" s="63">
        <f t="shared" si="13"/>
        <v>0.70411100696178874</v>
      </c>
      <c r="O21" s="63">
        <f t="shared" si="14"/>
        <v>0.36166340606169806</v>
      </c>
      <c r="P21" s="63" t="b">
        <f t="shared" si="15"/>
        <v>1</v>
      </c>
      <c r="Q21" s="47">
        <f>data0!B102</f>
        <v>2.4776129722595215</v>
      </c>
      <c r="R21" s="48">
        <f>data0!C102</f>
        <v>2.4022059440612793</v>
      </c>
      <c r="S21" s="48">
        <f>data0!D102</f>
        <v>2.0577881336212158</v>
      </c>
      <c r="T21" s="48">
        <f>data0!E102</f>
        <v>2.3062920570373535</v>
      </c>
      <c r="U21" s="48">
        <f>data0!F102</f>
        <v>1.8310825824737549</v>
      </c>
      <c r="V21" s="48"/>
      <c r="W21" s="48">
        <f>data0!H102</f>
        <v>0</v>
      </c>
      <c r="X21" s="48">
        <f>data0!I102</f>
        <v>0</v>
      </c>
      <c r="Y21" s="48">
        <f>data0!J102</f>
        <v>0</v>
      </c>
      <c r="Z21" s="48">
        <f>data0!K102</f>
        <v>0</v>
      </c>
      <c r="AA21" s="48">
        <f>data0!L102</f>
        <v>0</v>
      </c>
      <c r="AB21" s="48">
        <f>data0!M102</f>
        <v>0</v>
      </c>
      <c r="AC21" s="48">
        <f>data0!N102</f>
        <v>0</v>
      </c>
      <c r="AD21" s="48">
        <f>data0!O102</f>
        <v>0</v>
      </c>
      <c r="AE21" s="48">
        <f>data0!P102</f>
        <v>0</v>
      </c>
      <c r="AF21" s="48">
        <f>data0!Q102</f>
        <v>0</v>
      </c>
      <c r="AG21" s="48">
        <f>data0!R102</f>
        <v>0</v>
      </c>
      <c r="AH21" s="48">
        <f>data0!S102</f>
        <v>0</v>
      </c>
      <c r="AI21" s="48"/>
      <c r="AJ21" s="48">
        <f>data0!U102</f>
        <v>0</v>
      </c>
      <c r="AK21" s="48">
        <f>data0!V102</f>
        <v>0</v>
      </c>
      <c r="AL21" s="48"/>
      <c r="AM21" s="48">
        <f>data0!X102</f>
        <v>0</v>
      </c>
      <c r="AN21" s="48">
        <f>data0!Y102</f>
        <v>0</v>
      </c>
      <c r="AO21" s="48">
        <f>data0!Z102</f>
        <v>0</v>
      </c>
      <c r="AP21" s="48">
        <f>data0!AA102</f>
        <v>0</v>
      </c>
      <c r="AQ21" s="48">
        <f>data0!AB102</f>
        <v>0</v>
      </c>
      <c r="AR21" s="48">
        <f>data0!AC102</f>
        <v>0</v>
      </c>
      <c r="AS21" s="48">
        <f>data0!AD102</f>
        <v>0</v>
      </c>
      <c r="AT21" s="48">
        <f>data0!AE102</f>
        <v>0</v>
      </c>
      <c r="AU21" s="48">
        <f>data0!AF102</f>
        <v>0</v>
      </c>
      <c r="AV21" s="48">
        <f>data0!AG102</f>
        <v>0</v>
      </c>
      <c r="AW21" s="47">
        <f>data1!B102</f>
        <v>1.1596856117248535</v>
      </c>
      <c r="AX21" s="48">
        <f>data1!C102</f>
        <v>0.99401628971099854</v>
      </c>
      <c r="AY21" s="48">
        <f>data1!D102</f>
        <v>1.1487863063812256</v>
      </c>
      <c r="AZ21" s="48">
        <f>data1!E102</f>
        <v>0.8719441294670105</v>
      </c>
      <c r="BA21" s="48">
        <f>data1!F102</f>
        <v>0.90197771787643433</v>
      </c>
      <c r="BB21" s="48"/>
      <c r="BC21" s="48">
        <f>data1!H102</f>
        <v>0</v>
      </c>
      <c r="BD21" s="48">
        <f>data1!I102</f>
        <v>0</v>
      </c>
      <c r="BE21" s="48">
        <f>data1!J102</f>
        <v>0</v>
      </c>
      <c r="BF21" s="48">
        <f>data1!K102</f>
        <v>0</v>
      </c>
      <c r="BG21" s="48">
        <f>data1!L102</f>
        <v>0</v>
      </c>
      <c r="BH21" s="48">
        <f>data1!M102</f>
        <v>0</v>
      </c>
      <c r="BI21" s="48">
        <f>data1!N102</f>
        <v>0</v>
      </c>
      <c r="BJ21" s="48">
        <f>data1!O102</f>
        <v>0</v>
      </c>
      <c r="BK21" s="48">
        <f>data1!P102</f>
        <v>0</v>
      </c>
      <c r="BL21" s="48">
        <f>data1!Q102</f>
        <v>0</v>
      </c>
      <c r="BM21" s="48">
        <f>data1!R102</f>
        <v>0</v>
      </c>
      <c r="BN21" s="48">
        <f>data1!S102</f>
        <v>0</v>
      </c>
      <c r="BO21" s="48"/>
      <c r="BP21" s="48">
        <f>data1!U102</f>
        <v>0</v>
      </c>
      <c r="BQ21" s="48">
        <f>data1!V102</f>
        <v>0</v>
      </c>
      <c r="BR21" s="48"/>
      <c r="BS21" s="48">
        <f>data1!X102</f>
        <v>0</v>
      </c>
      <c r="BT21" s="48">
        <f>data1!Y102</f>
        <v>0</v>
      </c>
      <c r="BU21" s="48">
        <f>data1!Z102</f>
        <v>0</v>
      </c>
      <c r="BV21" s="48">
        <f>data1!AA102</f>
        <v>0</v>
      </c>
      <c r="BW21" s="48">
        <f>data1!AB102</f>
        <v>0</v>
      </c>
      <c r="BX21" s="48">
        <f>data1!AC102</f>
        <v>0</v>
      </c>
      <c r="BY21" s="48">
        <f>data1!AD102</f>
        <v>0</v>
      </c>
      <c r="BZ21" s="48">
        <f>data1!AE102</f>
        <v>0</v>
      </c>
      <c r="CA21" s="48">
        <f>data1!AF102</f>
        <v>0</v>
      </c>
      <c r="CB21" s="48">
        <f>data1!AG102</f>
        <v>0</v>
      </c>
      <c r="CC21" s="47">
        <f>data2!B102</f>
        <v>0.92684429883956909</v>
      </c>
      <c r="CD21" s="48">
        <f>data2!C102</f>
        <v>0.93080031871795654</v>
      </c>
      <c r="CE21" s="48">
        <f>data2!D102</f>
        <v>1.070311427116394</v>
      </c>
      <c r="CF21" s="48">
        <f>data2!E102</f>
        <v>0.91118156909942627</v>
      </c>
      <c r="CG21" s="48">
        <f>data2!F102</f>
        <v>0.84772342443466187</v>
      </c>
      <c r="CH21" s="48"/>
      <c r="CI21" s="48">
        <f>data2!H102</f>
        <v>0</v>
      </c>
      <c r="CJ21" s="48">
        <f>data2!I102</f>
        <v>0</v>
      </c>
      <c r="CK21" s="48">
        <f>data2!J102</f>
        <v>0</v>
      </c>
      <c r="CL21" s="48">
        <f>data2!K102</f>
        <v>0</v>
      </c>
      <c r="CM21" s="48">
        <f>data2!L102</f>
        <v>0</v>
      </c>
      <c r="CN21" s="48">
        <f>data2!M102</f>
        <v>0</v>
      </c>
      <c r="CO21" s="48">
        <f>data2!N102</f>
        <v>0</v>
      </c>
      <c r="CP21" s="48">
        <f>data2!O102</f>
        <v>0</v>
      </c>
      <c r="CQ21" s="48">
        <f>data2!P102</f>
        <v>0</v>
      </c>
      <c r="CR21" s="48">
        <f>data2!Q102</f>
        <v>0</v>
      </c>
      <c r="CS21" s="48">
        <f>data2!R102</f>
        <v>0</v>
      </c>
      <c r="CT21" s="48">
        <f>data2!S102</f>
        <v>0</v>
      </c>
      <c r="CU21" s="48"/>
      <c r="CV21" s="48">
        <f>data2!U102</f>
        <v>0</v>
      </c>
      <c r="CW21" s="48">
        <f>data2!V102</f>
        <v>0</v>
      </c>
      <c r="CX21" s="48"/>
      <c r="CY21" s="48">
        <f>data2!X102</f>
        <v>0</v>
      </c>
      <c r="CZ21" s="48">
        <f>data2!Y102</f>
        <v>0</v>
      </c>
      <c r="DA21" s="48">
        <f>data2!Z102</f>
        <v>0</v>
      </c>
      <c r="DB21" s="48">
        <f>data2!AA102</f>
        <v>0</v>
      </c>
      <c r="DC21" s="48">
        <f>data2!AB102</f>
        <v>0</v>
      </c>
      <c r="DD21" s="48">
        <f>data2!AC102</f>
        <v>0</v>
      </c>
      <c r="DE21" s="48">
        <f>data2!AD102</f>
        <v>0</v>
      </c>
      <c r="DF21" s="48">
        <f>data2!AE102</f>
        <v>0</v>
      </c>
      <c r="DG21" s="48">
        <f>data2!AF102</f>
        <v>0</v>
      </c>
      <c r="DH21" s="49">
        <f>data2!AG102</f>
        <v>0</v>
      </c>
    </row>
    <row r="22" spans="1:112" s="63" customFormat="1">
      <c r="A22" s="14">
        <f t="shared" si="16"/>
        <v>20</v>
      </c>
      <c r="B22" s="63">
        <f ca="1">data4!S21</f>
        <v>0.1052422464745905</v>
      </c>
      <c r="C22" s="63">
        <f>data5!L21</f>
        <v>3884.6</v>
      </c>
      <c r="D22" s="63">
        <f t="shared" si="3"/>
        <v>-0.6672377760045356</v>
      </c>
      <c r="E22" s="63">
        <f t="shared" si="4"/>
        <v>0.27977379437150629</v>
      </c>
      <c r="F22" s="63">
        <f t="shared" si="5"/>
        <v>1.2267853647475482</v>
      </c>
      <c r="G22" s="63">
        <f t="shared" si="6"/>
        <v>0.63134104691736126</v>
      </c>
      <c r="H22" s="63">
        <f t="shared" si="7"/>
        <v>-0.33040169147371323</v>
      </c>
      <c r="I22" s="63">
        <f t="shared" si="8"/>
        <v>0.13939134622442312</v>
      </c>
      <c r="J22" s="63">
        <f t="shared" si="9"/>
        <v>0.60918438392255947</v>
      </c>
      <c r="K22" s="63">
        <f t="shared" si="10"/>
        <v>0.31319535846542423</v>
      </c>
      <c r="L22" s="63">
        <f t="shared" si="11"/>
        <v>-0.26383913559722438</v>
      </c>
      <c r="M22" s="63">
        <f t="shared" si="12"/>
        <v>0.11127866547683189</v>
      </c>
      <c r="N22" s="63">
        <f t="shared" si="13"/>
        <v>0.4863964665508882</v>
      </c>
      <c r="O22" s="63">
        <f t="shared" si="14"/>
        <v>0.25007853404937086</v>
      </c>
      <c r="P22" s="63" t="b">
        <f t="shared" si="15"/>
        <v>1</v>
      </c>
      <c r="Q22" s="47">
        <f>data0!B103</f>
        <v>1.4670459032058716</v>
      </c>
      <c r="R22" s="48">
        <f>data0!C103</f>
        <v>1.4648661613464355</v>
      </c>
      <c r="S22" s="48">
        <f>data0!D103</f>
        <v>2.0032916069030762</v>
      </c>
      <c r="T22" s="48">
        <f>data0!E103</f>
        <v>1.4038300514221191</v>
      </c>
      <c r="U22" s="48">
        <f>data0!F103</f>
        <v>1.7744063138961792</v>
      </c>
      <c r="V22" s="48"/>
      <c r="W22" s="48">
        <f>data0!H103</f>
        <v>0</v>
      </c>
      <c r="X22" s="48">
        <f>data0!I103</f>
        <v>0</v>
      </c>
      <c r="Y22" s="48">
        <f>data0!J103</f>
        <v>0</v>
      </c>
      <c r="Z22" s="48">
        <f>data0!K103</f>
        <v>0</v>
      </c>
      <c r="AA22" s="48">
        <f>data0!L103</f>
        <v>0</v>
      </c>
      <c r="AB22" s="48">
        <f>data0!M103</f>
        <v>0</v>
      </c>
      <c r="AC22" s="48">
        <f>data0!N103</f>
        <v>0</v>
      </c>
      <c r="AD22" s="48">
        <f>data0!O103</f>
        <v>0</v>
      </c>
      <c r="AE22" s="48">
        <f>data0!P103</f>
        <v>0</v>
      </c>
      <c r="AF22" s="48">
        <f>data0!Q103</f>
        <v>0</v>
      </c>
      <c r="AG22" s="48">
        <f>data0!R103</f>
        <v>0</v>
      </c>
      <c r="AH22" s="48">
        <f>data0!S103</f>
        <v>0</v>
      </c>
      <c r="AI22" s="48"/>
      <c r="AJ22" s="48">
        <f>data0!U103</f>
        <v>0</v>
      </c>
      <c r="AK22" s="48">
        <f>data0!V103</f>
        <v>0</v>
      </c>
      <c r="AL22" s="48"/>
      <c r="AM22" s="48">
        <f>data0!X103</f>
        <v>0</v>
      </c>
      <c r="AN22" s="48">
        <f>data0!Y103</f>
        <v>0</v>
      </c>
      <c r="AO22" s="48">
        <f>data0!Z103</f>
        <v>0</v>
      </c>
      <c r="AP22" s="48">
        <f>data0!AA103</f>
        <v>0</v>
      </c>
      <c r="AQ22" s="48">
        <f>data0!AB103</f>
        <v>0</v>
      </c>
      <c r="AR22" s="48">
        <f>data0!AC103</f>
        <v>0</v>
      </c>
      <c r="AS22" s="48">
        <f>data0!AD103</f>
        <v>0</v>
      </c>
      <c r="AT22" s="48">
        <f>data0!AE103</f>
        <v>0</v>
      </c>
      <c r="AU22" s="48">
        <f>data0!AF103</f>
        <v>0</v>
      </c>
      <c r="AV22" s="48">
        <f>data0!AG103</f>
        <v>0</v>
      </c>
      <c r="AW22" s="47">
        <f>data1!B103</f>
        <v>0.89592254161834717</v>
      </c>
      <c r="AX22" s="48">
        <f>data1!C103</f>
        <v>0.80025094747543335</v>
      </c>
      <c r="AY22" s="48">
        <f>data1!D103</f>
        <v>0.92644059658050537</v>
      </c>
      <c r="AZ22" s="48">
        <f>data1!E103</f>
        <v>0.68948173522949219</v>
      </c>
      <c r="BA22" s="48">
        <f>data1!F103</f>
        <v>0.73025321960449219</v>
      </c>
      <c r="BB22" s="48"/>
      <c r="BC22" s="48">
        <f>data1!H103</f>
        <v>0</v>
      </c>
      <c r="BD22" s="48">
        <f>data1!I103</f>
        <v>0</v>
      </c>
      <c r="BE22" s="48">
        <f>data1!J103</f>
        <v>0</v>
      </c>
      <c r="BF22" s="48">
        <f>data1!K103</f>
        <v>0</v>
      </c>
      <c r="BG22" s="48">
        <f>data1!L103</f>
        <v>0</v>
      </c>
      <c r="BH22" s="48">
        <f>data1!M103</f>
        <v>0</v>
      </c>
      <c r="BI22" s="48">
        <f>data1!N103</f>
        <v>0</v>
      </c>
      <c r="BJ22" s="48">
        <f>data1!O103</f>
        <v>0</v>
      </c>
      <c r="BK22" s="48">
        <f>data1!P103</f>
        <v>0</v>
      </c>
      <c r="BL22" s="48">
        <f>data1!Q103</f>
        <v>0</v>
      </c>
      <c r="BM22" s="48">
        <f>data1!R103</f>
        <v>0</v>
      </c>
      <c r="BN22" s="48">
        <f>data1!S103</f>
        <v>0</v>
      </c>
      <c r="BO22" s="48"/>
      <c r="BP22" s="48">
        <f>data1!U103</f>
        <v>0</v>
      </c>
      <c r="BQ22" s="48">
        <f>data1!V103</f>
        <v>0</v>
      </c>
      <c r="BR22" s="48"/>
      <c r="BS22" s="48">
        <f>data1!X103</f>
        <v>0</v>
      </c>
      <c r="BT22" s="48">
        <f>data1!Y103</f>
        <v>0</v>
      </c>
      <c r="BU22" s="48">
        <f>data1!Z103</f>
        <v>0</v>
      </c>
      <c r="BV22" s="48">
        <f>data1!AA103</f>
        <v>0</v>
      </c>
      <c r="BW22" s="48">
        <f>data1!AB103</f>
        <v>0</v>
      </c>
      <c r="BX22" s="48">
        <f>data1!AC103</f>
        <v>0</v>
      </c>
      <c r="BY22" s="48">
        <f>data1!AD103</f>
        <v>0</v>
      </c>
      <c r="BZ22" s="48">
        <f>data1!AE103</f>
        <v>0</v>
      </c>
      <c r="CA22" s="48">
        <f>data1!AF103</f>
        <v>0</v>
      </c>
      <c r="CB22" s="48">
        <f>data1!AG103</f>
        <v>0</v>
      </c>
      <c r="CC22" s="47">
        <f>data2!B103</f>
        <v>0.61690044403076172</v>
      </c>
      <c r="CD22" s="48">
        <f>data2!C103</f>
        <v>0.68948173522949219</v>
      </c>
      <c r="CE22" s="48">
        <f>data2!D103</f>
        <v>0.76077121496200562</v>
      </c>
      <c r="CF22" s="48">
        <f>data2!E103</f>
        <v>0.61714267730712891</v>
      </c>
      <c r="CG22" s="48">
        <f>data2!F103</f>
        <v>0.54278522729873657</v>
      </c>
      <c r="CH22" s="48"/>
      <c r="CI22" s="48">
        <f>data2!H103</f>
        <v>0</v>
      </c>
      <c r="CJ22" s="48">
        <f>data2!I103</f>
        <v>0</v>
      </c>
      <c r="CK22" s="48">
        <f>data2!J103</f>
        <v>0</v>
      </c>
      <c r="CL22" s="48">
        <f>data2!K103</f>
        <v>0</v>
      </c>
      <c r="CM22" s="48">
        <f>data2!L103</f>
        <v>0</v>
      </c>
      <c r="CN22" s="48">
        <f>data2!M103</f>
        <v>0</v>
      </c>
      <c r="CO22" s="48">
        <f>data2!N103</f>
        <v>0</v>
      </c>
      <c r="CP22" s="48">
        <f>data2!O103</f>
        <v>0</v>
      </c>
      <c r="CQ22" s="48">
        <f>data2!P103</f>
        <v>0</v>
      </c>
      <c r="CR22" s="48">
        <f>data2!Q103</f>
        <v>0</v>
      </c>
      <c r="CS22" s="48">
        <f>data2!R103</f>
        <v>0</v>
      </c>
      <c r="CT22" s="48">
        <f>data2!S103</f>
        <v>0</v>
      </c>
      <c r="CU22" s="48"/>
      <c r="CV22" s="48">
        <f>data2!U103</f>
        <v>0</v>
      </c>
      <c r="CW22" s="48">
        <f>data2!V103</f>
        <v>0</v>
      </c>
      <c r="CX22" s="48"/>
      <c r="CY22" s="48">
        <f>data2!X103</f>
        <v>0</v>
      </c>
      <c r="CZ22" s="48">
        <f>data2!Y103</f>
        <v>0</v>
      </c>
      <c r="DA22" s="48">
        <f>data2!Z103</f>
        <v>0</v>
      </c>
      <c r="DB22" s="48">
        <f>data2!AA103</f>
        <v>0</v>
      </c>
      <c r="DC22" s="48">
        <f>data2!AB103</f>
        <v>0</v>
      </c>
      <c r="DD22" s="48">
        <f>data2!AC103</f>
        <v>0</v>
      </c>
      <c r="DE22" s="48">
        <f>data2!AD103</f>
        <v>0</v>
      </c>
      <c r="DF22" s="48">
        <f>data2!AE103</f>
        <v>0</v>
      </c>
      <c r="DG22" s="48">
        <f>data2!AF103</f>
        <v>0</v>
      </c>
      <c r="DH22" s="49">
        <f>data2!AG103</f>
        <v>0</v>
      </c>
    </row>
    <row r="23" spans="1:112" s="63" customFormat="1">
      <c r="A23" s="14">
        <f t="shared" si="16"/>
        <v>21</v>
      </c>
      <c r="B23" s="63">
        <f ca="1">data4!S22</f>
        <v>8.7497019701430423E-2</v>
      </c>
      <c r="C23" s="63">
        <f>data5!L22</f>
        <v>3874</v>
      </c>
      <c r="D23" s="63">
        <f t="shared" si="3"/>
        <v>-0.53506482006310829</v>
      </c>
      <c r="E23" s="63">
        <f t="shared" si="4"/>
        <v>0.22603174735759868</v>
      </c>
      <c r="F23" s="63">
        <f t="shared" si="5"/>
        <v>0.98712831477830565</v>
      </c>
      <c r="G23" s="63">
        <f t="shared" si="6"/>
        <v>0.50739771161380465</v>
      </c>
      <c r="H23" s="63">
        <f t="shared" si="7"/>
        <v>-0.26598655101425384</v>
      </c>
      <c r="I23" s="63">
        <f t="shared" si="8"/>
        <v>0.1119217667086371</v>
      </c>
      <c r="J23" s="63">
        <f t="shared" si="9"/>
        <v>0.48983008443152809</v>
      </c>
      <c r="K23" s="63">
        <f t="shared" si="10"/>
        <v>0.25193887848192731</v>
      </c>
      <c r="L23" s="63">
        <f t="shared" si="11"/>
        <v>-0.17535128925181132</v>
      </c>
      <c r="M23" s="63">
        <f t="shared" si="12"/>
        <v>7.3628052555281542E-2</v>
      </c>
      <c r="N23" s="63">
        <f t="shared" si="13"/>
        <v>0.3226073943623744</v>
      </c>
      <c r="O23" s="63">
        <f t="shared" si="14"/>
        <v>0.16598622787139525</v>
      </c>
      <c r="P23" s="63" t="b">
        <f t="shared" si="15"/>
        <v>1</v>
      </c>
      <c r="Q23" s="47">
        <f>data0!B104</f>
        <v>1.4496071338653564</v>
      </c>
      <c r="R23" s="48">
        <f>data0!C104</f>
        <v>1.467126727104187</v>
      </c>
      <c r="S23" s="48">
        <f>data0!D104</f>
        <v>1.2207217216491699</v>
      </c>
      <c r="T23" s="48">
        <f>data0!E104</f>
        <v>1.0986496210098267</v>
      </c>
      <c r="U23" s="48">
        <f>data0!F104</f>
        <v>1.3188154697418213</v>
      </c>
      <c r="V23" s="48"/>
      <c r="W23" s="48">
        <f>data0!H104</f>
        <v>0</v>
      </c>
      <c r="X23" s="48">
        <f>data0!I104</f>
        <v>0</v>
      </c>
      <c r="Y23" s="48">
        <f>data0!J104</f>
        <v>0</v>
      </c>
      <c r="Z23" s="48">
        <f>data0!K104</f>
        <v>0</v>
      </c>
      <c r="AA23" s="48">
        <f>data0!L104</f>
        <v>0</v>
      </c>
      <c r="AB23" s="48">
        <f>data0!M104</f>
        <v>0</v>
      </c>
      <c r="AC23" s="48">
        <f>data0!N104</f>
        <v>0</v>
      </c>
      <c r="AD23" s="48">
        <f>data0!O104</f>
        <v>0</v>
      </c>
      <c r="AE23" s="48">
        <f>data0!P104</f>
        <v>0</v>
      </c>
      <c r="AF23" s="48">
        <f>data0!Q104</f>
        <v>0</v>
      </c>
      <c r="AG23" s="48">
        <f>data0!R104</f>
        <v>0</v>
      </c>
      <c r="AH23" s="48">
        <f>data0!S104</f>
        <v>0</v>
      </c>
      <c r="AI23" s="48"/>
      <c r="AJ23" s="48">
        <f>data0!U104</f>
        <v>0</v>
      </c>
      <c r="AK23" s="48">
        <f>data0!V104</f>
        <v>0</v>
      </c>
      <c r="AL23" s="48"/>
      <c r="AM23" s="48">
        <f>data0!X104</f>
        <v>0</v>
      </c>
      <c r="AN23" s="48">
        <f>data0!Y104</f>
        <v>0</v>
      </c>
      <c r="AO23" s="48">
        <f>data0!Z104</f>
        <v>0</v>
      </c>
      <c r="AP23" s="48">
        <f>data0!AA104</f>
        <v>0</v>
      </c>
      <c r="AQ23" s="48">
        <f>data0!AB104</f>
        <v>0</v>
      </c>
      <c r="AR23" s="48">
        <f>data0!AC104</f>
        <v>0</v>
      </c>
      <c r="AS23" s="48">
        <f>data0!AD104</f>
        <v>0</v>
      </c>
      <c r="AT23" s="48">
        <f>data0!AE104</f>
        <v>0</v>
      </c>
      <c r="AU23" s="48">
        <f>data0!AF104</f>
        <v>0</v>
      </c>
      <c r="AV23" s="48">
        <f>data0!AG104</f>
        <v>0</v>
      </c>
      <c r="AW23" s="47">
        <f>data1!B104</f>
        <v>0.71499419212341309</v>
      </c>
      <c r="AX23" s="48">
        <f>data1!C104</f>
        <v>0.62618505954742432</v>
      </c>
      <c r="AY23" s="48">
        <f>data1!D104</f>
        <v>0.77086317539215088</v>
      </c>
      <c r="AZ23" s="48">
        <f>data1!E104</f>
        <v>0.55384600162506104</v>
      </c>
      <c r="BA23" s="48">
        <f>data1!F104</f>
        <v>0.57984280586242676</v>
      </c>
      <c r="BB23" s="48"/>
      <c r="BC23" s="48">
        <f>data1!H104</f>
        <v>0</v>
      </c>
      <c r="BD23" s="48">
        <f>data1!I104</f>
        <v>0</v>
      </c>
      <c r="BE23" s="48">
        <f>data1!J104</f>
        <v>0</v>
      </c>
      <c r="BF23" s="48">
        <f>data1!K104</f>
        <v>0</v>
      </c>
      <c r="BG23" s="48">
        <f>data1!L104</f>
        <v>0</v>
      </c>
      <c r="BH23" s="48">
        <f>data1!M104</f>
        <v>0</v>
      </c>
      <c r="BI23" s="48">
        <f>data1!N104</f>
        <v>0</v>
      </c>
      <c r="BJ23" s="48">
        <f>data1!O104</f>
        <v>0</v>
      </c>
      <c r="BK23" s="48">
        <f>data1!P104</f>
        <v>0</v>
      </c>
      <c r="BL23" s="48">
        <f>data1!Q104</f>
        <v>0</v>
      </c>
      <c r="BM23" s="48">
        <f>data1!R104</f>
        <v>0</v>
      </c>
      <c r="BN23" s="48">
        <f>data1!S104</f>
        <v>0</v>
      </c>
      <c r="BO23" s="48"/>
      <c r="BP23" s="48">
        <f>data1!U104</f>
        <v>0</v>
      </c>
      <c r="BQ23" s="48">
        <f>data1!V104</f>
        <v>0</v>
      </c>
      <c r="BR23" s="48"/>
      <c r="BS23" s="48">
        <f>data1!X104</f>
        <v>0</v>
      </c>
      <c r="BT23" s="48">
        <f>data1!Y104</f>
        <v>0</v>
      </c>
      <c r="BU23" s="48">
        <f>data1!Z104</f>
        <v>0</v>
      </c>
      <c r="BV23" s="48">
        <f>data1!AA104</f>
        <v>0</v>
      </c>
      <c r="BW23" s="48">
        <f>data1!AB104</f>
        <v>0</v>
      </c>
      <c r="BX23" s="48">
        <f>data1!AC104</f>
        <v>0</v>
      </c>
      <c r="BY23" s="48">
        <f>data1!AD104</f>
        <v>0</v>
      </c>
      <c r="BZ23" s="48">
        <f>data1!AE104</f>
        <v>0</v>
      </c>
      <c r="CA23" s="48">
        <f>data1!AF104</f>
        <v>0</v>
      </c>
      <c r="CB23" s="48">
        <f>data1!AG104</f>
        <v>0</v>
      </c>
      <c r="CC23" s="47">
        <f>data2!B104</f>
        <v>0.38583526015281677</v>
      </c>
      <c r="CD23" s="48">
        <f>data2!C104</f>
        <v>0.45890095829963684</v>
      </c>
      <c r="CE23" s="48">
        <f>data2!D104</f>
        <v>0.5267188549041748</v>
      </c>
      <c r="CF23" s="48">
        <f>data2!E104</f>
        <v>0.38882249593734741</v>
      </c>
      <c r="CG23" s="48">
        <f>data2!F104</f>
        <v>0.37493595480918884</v>
      </c>
      <c r="CH23" s="48"/>
      <c r="CI23" s="48">
        <f>data2!H104</f>
        <v>0</v>
      </c>
      <c r="CJ23" s="48">
        <f>data2!I104</f>
        <v>0</v>
      </c>
      <c r="CK23" s="48">
        <f>data2!J104</f>
        <v>0</v>
      </c>
      <c r="CL23" s="48">
        <f>data2!K104</f>
        <v>0</v>
      </c>
      <c r="CM23" s="48">
        <f>data2!L104</f>
        <v>0</v>
      </c>
      <c r="CN23" s="48">
        <f>data2!M104</f>
        <v>0</v>
      </c>
      <c r="CO23" s="48">
        <f>data2!N104</f>
        <v>0</v>
      </c>
      <c r="CP23" s="48">
        <f>data2!O104</f>
        <v>0</v>
      </c>
      <c r="CQ23" s="48">
        <f>data2!P104</f>
        <v>0</v>
      </c>
      <c r="CR23" s="48">
        <f>data2!Q104</f>
        <v>0</v>
      </c>
      <c r="CS23" s="48">
        <f>data2!R104</f>
        <v>0</v>
      </c>
      <c r="CT23" s="48">
        <f>data2!S104</f>
        <v>0</v>
      </c>
      <c r="CU23" s="48"/>
      <c r="CV23" s="48">
        <f>data2!U104</f>
        <v>0</v>
      </c>
      <c r="CW23" s="48">
        <f>data2!V104</f>
        <v>0</v>
      </c>
      <c r="CX23" s="48"/>
      <c r="CY23" s="48">
        <f>data2!X104</f>
        <v>0</v>
      </c>
      <c r="CZ23" s="48">
        <f>data2!Y104</f>
        <v>0</v>
      </c>
      <c r="DA23" s="48">
        <f>data2!Z104</f>
        <v>0</v>
      </c>
      <c r="DB23" s="48">
        <f>data2!AA104</f>
        <v>0</v>
      </c>
      <c r="DC23" s="48">
        <f>data2!AB104</f>
        <v>0</v>
      </c>
      <c r="DD23" s="48">
        <f>data2!AC104</f>
        <v>0</v>
      </c>
      <c r="DE23" s="48">
        <f>data2!AD104</f>
        <v>0</v>
      </c>
      <c r="DF23" s="48">
        <f>data2!AE104</f>
        <v>0</v>
      </c>
      <c r="DG23" s="48">
        <f>data2!AF104</f>
        <v>0</v>
      </c>
      <c r="DH23" s="49">
        <f>data2!AG104</f>
        <v>0</v>
      </c>
    </row>
    <row r="24" spans="1:112" s="63" customFormat="1">
      <c r="A24" s="14">
        <f t="shared" si="16"/>
        <v>22</v>
      </c>
      <c r="B24" s="63">
        <f ca="1">data4!S23</f>
        <v>6.4528090696904072E-2</v>
      </c>
      <c r="C24" s="63">
        <f>data5!L23</f>
        <v>3852.9</v>
      </c>
      <c r="D24" s="63">
        <f t="shared" si="3"/>
        <v>-0.47083248692943735</v>
      </c>
      <c r="E24" s="63">
        <f t="shared" si="4"/>
        <v>0.19669132808159137</v>
      </c>
      <c r="F24" s="63">
        <f t="shared" si="5"/>
        <v>0.86421514309262015</v>
      </c>
      <c r="G24" s="63">
        <f t="shared" si="6"/>
        <v>0.44501587667401921</v>
      </c>
      <c r="H24" s="63">
        <f t="shared" si="7"/>
        <v>-0.22447067885580418</v>
      </c>
      <c r="I24" s="63">
        <f t="shared" si="8"/>
        <v>9.4532995388425634E-2</v>
      </c>
      <c r="J24" s="63">
        <f t="shared" si="9"/>
        <v>0.41353666963265545</v>
      </c>
      <c r="K24" s="63">
        <f t="shared" si="10"/>
        <v>0.21266911616281986</v>
      </c>
      <c r="L24" s="63">
        <f t="shared" si="11"/>
        <v>-0.19461527968108905</v>
      </c>
      <c r="M24" s="63">
        <f t="shared" si="12"/>
        <v>8.2096936373875065E-2</v>
      </c>
      <c r="N24" s="63">
        <f t="shared" si="13"/>
        <v>0.35880915242883915</v>
      </c>
      <c r="O24" s="63">
        <f t="shared" si="14"/>
        <v>0.1844748107033094</v>
      </c>
      <c r="P24" s="63" t="b">
        <f t="shared" si="15"/>
        <v>1</v>
      </c>
      <c r="Q24" s="47">
        <f>data0!B105</f>
        <v>1.0376135110855103</v>
      </c>
      <c r="R24" s="48">
        <f>data0!C105</f>
        <v>1.3247091770172119</v>
      </c>
      <c r="S24" s="48">
        <f>data0!D105</f>
        <v>1.38857102394104</v>
      </c>
      <c r="T24" s="48">
        <f>data0!E105</f>
        <v>0.97657740116119385</v>
      </c>
      <c r="U24" s="48">
        <f>data0!F105</f>
        <v>0.97657740116119385</v>
      </c>
      <c r="V24" s="48"/>
      <c r="W24" s="48">
        <f>data0!H105</f>
        <v>0</v>
      </c>
      <c r="X24" s="48">
        <f>data0!I105</f>
        <v>0</v>
      </c>
      <c r="Y24" s="48">
        <f>data0!J105</f>
        <v>0</v>
      </c>
      <c r="Z24" s="48">
        <f>data0!K105</f>
        <v>0</v>
      </c>
      <c r="AA24" s="48">
        <f>data0!L105</f>
        <v>0</v>
      </c>
      <c r="AB24" s="48">
        <f>data0!M105</f>
        <v>0</v>
      </c>
      <c r="AC24" s="48">
        <f>data0!N105</f>
        <v>0</v>
      </c>
      <c r="AD24" s="48">
        <f>data0!O105</f>
        <v>0</v>
      </c>
      <c r="AE24" s="48">
        <f>data0!P105</f>
        <v>0</v>
      </c>
      <c r="AF24" s="48">
        <f>data0!Q105</f>
        <v>0</v>
      </c>
      <c r="AG24" s="48">
        <f>data0!R105</f>
        <v>0</v>
      </c>
      <c r="AH24" s="48">
        <f>data0!S105</f>
        <v>0</v>
      </c>
      <c r="AI24" s="48"/>
      <c r="AJ24" s="48">
        <f>data0!U105</f>
        <v>0</v>
      </c>
      <c r="AK24" s="48">
        <f>data0!V105</f>
        <v>0</v>
      </c>
      <c r="AL24" s="48"/>
      <c r="AM24" s="48">
        <f>data0!X105</f>
        <v>0</v>
      </c>
      <c r="AN24" s="48">
        <f>data0!Y105</f>
        <v>0</v>
      </c>
      <c r="AO24" s="48">
        <f>data0!Z105</f>
        <v>0</v>
      </c>
      <c r="AP24" s="48">
        <f>data0!AA105</f>
        <v>0</v>
      </c>
      <c r="AQ24" s="48">
        <f>data0!AB105</f>
        <v>0</v>
      </c>
      <c r="AR24" s="48">
        <f>data0!AC105</f>
        <v>0</v>
      </c>
      <c r="AS24" s="48">
        <f>data0!AD105</f>
        <v>0</v>
      </c>
      <c r="AT24" s="48">
        <f>data0!AE105</f>
        <v>0</v>
      </c>
      <c r="AU24" s="48">
        <f>data0!AF105</f>
        <v>0</v>
      </c>
      <c r="AV24" s="48">
        <f>data0!AG105</f>
        <v>0</v>
      </c>
      <c r="AW24" s="47">
        <f>data1!B105</f>
        <v>0.61036086082458496</v>
      </c>
      <c r="AX24" s="48">
        <f>data1!C105</f>
        <v>0.55836719274520874</v>
      </c>
      <c r="AY24" s="48">
        <f>data1!D105</f>
        <v>0.62779974937438965</v>
      </c>
      <c r="AZ24" s="48">
        <f>data1!E105</f>
        <v>0.49054929614067078</v>
      </c>
      <c r="BA24" s="48">
        <f>data1!F105</f>
        <v>0.45437976717948914</v>
      </c>
      <c r="BB24" s="48"/>
      <c r="BC24" s="48">
        <f>data1!H105</f>
        <v>0</v>
      </c>
      <c r="BD24" s="48">
        <f>data1!I105</f>
        <v>0</v>
      </c>
      <c r="BE24" s="48">
        <f>data1!J105</f>
        <v>0</v>
      </c>
      <c r="BF24" s="48">
        <f>data1!K105</f>
        <v>0</v>
      </c>
      <c r="BG24" s="48">
        <f>data1!L105</f>
        <v>0</v>
      </c>
      <c r="BH24" s="48">
        <f>data1!M105</f>
        <v>0</v>
      </c>
      <c r="BI24" s="48">
        <f>data1!N105</f>
        <v>0</v>
      </c>
      <c r="BJ24" s="48">
        <f>data1!O105</f>
        <v>0</v>
      </c>
      <c r="BK24" s="48">
        <f>data1!P105</f>
        <v>0</v>
      </c>
      <c r="BL24" s="48">
        <f>data1!Q105</f>
        <v>0</v>
      </c>
      <c r="BM24" s="48">
        <f>data1!R105</f>
        <v>0</v>
      </c>
      <c r="BN24" s="48">
        <f>data1!S105</f>
        <v>0</v>
      </c>
      <c r="BO24" s="48"/>
      <c r="BP24" s="48">
        <f>data1!U105</f>
        <v>0</v>
      </c>
      <c r="BQ24" s="48">
        <f>data1!V105</f>
        <v>0</v>
      </c>
      <c r="BR24" s="48"/>
      <c r="BS24" s="48">
        <f>data1!X105</f>
        <v>0</v>
      </c>
      <c r="BT24" s="48">
        <f>data1!Y105</f>
        <v>0</v>
      </c>
      <c r="BU24" s="48">
        <f>data1!Z105</f>
        <v>0</v>
      </c>
      <c r="BV24" s="48">
        <f>data1!AA105</f>
        <v>0</v>
      </c>
      <c r="BW24" s="48">
        <f>data1!AB105</f>
        <v>0</v>
      </c>
      <c r="BX24" s="48">
        <f>data1!AC105</f>
        <v>0</v>
      </c>
      <c r="BY24" s="48">
        <f>data1!AD105</f>
        <v>0</v>
      </c>
      <c r="BZ24" s="48">
        <f>data1!AE105</f>
        <v>0</v>
      </c>
      <c r="CA24" s="48">
        <f>data1!AF105</f>
        <v>0</v>
      </c>
      <c r="CB24" s="48">
        <f>data1!AG105</f>
        <v>0</v>
      </c>
      <c r="CC24" s="47">
        <f>data2!B105</f>
        <v>0.46116155385971069</v>
      </c>
      <c r="CD24" s="48">
        <f>data2!C105</f>
        <v>0.53124004602432251</v>
      </c>
      <c r="CE24" s="48">
        <f>data2!D105</f>
        <v>0.5384255051612854</v>
      </c>
      <c r="CF24" s="48">
        <f>data2!E105</f>
        <v>0.45890095829963684</v>
      </c>
      <c r="CG24" s="48">
        <f>data2!F105</f>
        <v>0.39108309149742126</v>
      </c>
      <c r="CH24" s="48"/>
      <c r="CI24" s="48">
        <f>data2!H105</f>
        <v>0</v>
      </c>
      <c r="CJ24" s="48">
        <f>data2!I105</f>
        <v>0</v>
      </c>
      <c r="CK24" s="48">
        <f>data2!J105</f>
        <v>0</v>
      </c>
      <c r="CL24" s="48">
        <f>data2!K105</f>
        <v>0</v>
      </c>
      <c r="CM24" s="48">
        <f>data2!L105</f>
        <v>0</v>
      </c>
      <c r="CN24" s="48">
        <f>data2!M105</f>
        <v>0</v>
      </c>
      <c r="CO24" s="48">
        <f>data2!N105</f>
        <v>0</v>
      </c>
      <c r="CP24" s="48">
        <f>data2!O105</f>
        <v>0</v>
      </c>
      <c r="CQ24" s="48">
        <f>data2!P105</f>
        <v>0</v>
      </c>
      <c r="CR24" s="48">
        <f>data2!Q105</f>
        <v>0</v>
      </c>
      <c r="CS24" s="48">
        <f>data2!R105</f>
        <v>0</v>
      </c>
      <c r="CT24" s="48">
        <f>data2!S105</f>
        <v>0</v>
      </c>
      <c r="CU24" s="48"/>
      <c r="CV24" s="48">
        <f>data2!U105</f>
        <v>0</v>
      </c>
      <c r="CW24" s="48">
        <f>data2!V105</f>
        <v>0</v>
      </c>
      <c r="CX24" s="48"/>
      <c r="CY24" s="48">
        <f>data2!X105</f>
        <v>0</v>
      </c>
      <c r="CZ24" s="48">
        <f>data2!Y105</f>
        <v>0</v>
      </c>
      <c r="DA24" s="48">
        <f>data2!Z105</f>
        <v>0</v>
      </c>
      <c r="DB24" s="48">
        <f>data2!AA105</f>
        <v>0</v>
      </c>
      <c r="DC24" s="48">
        <f>data2!AB105</f>
        <v>0</v>
      </c>
      <c r="DD24" s="48">
        <f>data2!AC105</f>
        <v>0</v>
      </c>
      <c r="DE24" s="48">
        <f>data2!AD105</f>
        <v>0</v>
      </c>
      <c r="DF24" s="48">
        <f>data2!AE105</f>
        <v>0</v>
      </c>
      <c r="DG24" s="48">
        <f>data2!AF105</f>
        <v>0</v>
      </c>
      <c r="DH24" s="49">
        <f>data2!AG105</f>
        <v>0</v>
      </c>
    </row>
    <row r="25" spans="1:112" s="63" customFormat="1">
      <c r="A25" s="14">
        <f t="shared" si="16"/>
        <v>23</v>
      </c>
      <c r="B25" s="63">
        <f ca="1">data4!S24</f>
        <v>4.8396071685701009E-2</v>
      </c>
      <c r="C25" s="63">
        <f>data5!L24</f>
        <v>3862.8</v>
      </c>
      <c r="D25" s="63">
        <f t="shared" si="3"/>
        <v>-0.34114688538867455</v>
      </c>
      <c r="E25" s="63">
        <f t="shared" si="4"/>
        <v>0.14249549240901552</v>
      </c>
      <c r="F25" s="63">
        <f t="shared" si="5"/>
        <v>0.62613787020670553</v>
      </c>
      <c r="G25" s="63">
        <f t="shared" si="6"/>
        <v>0.32242825186512669</v>
      </c>
      <c r="H25" s="63">
        <f t="shared" si="7"/>
        <v>-0.17500865803385662</v>
      </c>
      <c r="I25" s="63">
        <f t="shared" si="8"/>
        <v>7.3349654674530029E-2</v>
      </c>
      <c r="J25" s="63">
        <f t="shared" si="9"/>
        <v>0.32170796738291668</v>
      </c>
      <c r="K25" s="63">
        <f t="shared" si="10"/>
        <v>0.16557220847225776</v>
      </c>
      <c r="L25" s="63">
        <f t="shared" si="11"/>
        <v>-0.14167178154119778</v>
      </c>
      <c r="M25" s="63">
        <f t="shared" si="12"/>
        <v>5.9387967504304029E-2</v>
      </c>
      <c r="N25" s="63">
        <f t="shared" si="13"/>
        <v>0.26044771654980581</v>
      </c>
      <c r="O25" s="63">
        <f t="shared" si="14"/>
        <v>0.1340398326970012</v>
      </c>
      <c r="P25" s="63" t="b">
        <f t="shared" si="15"/>
        <v>1</v>
      </c>
      <c r="Q25" s="47">
        <f>data0!B106</f>
        <v>0.7934691309928894</v>
      </c>
      <c r="R25" s="48">
        <f>data0!C106</f>
        <v>0.7934691309928894</v>
      </c>
      <c r="S25" s="48">
        <f>data0!D106</f>
        <v>1.0805648565292358</v>
      </c>
      <c r="T25" s="48">
        <f>data0!E106</f>
        <v>0.73243308067321777</v>
      </c>
      <c r="U25" s="48">
        <f>data0!F106</f>
        <v>0.73243308067321777</v>
      </c>
      <c r="V25" s="48"/>
      <c r="W25" s="48">
        <f>data0!H106</f>
        <v>0</v>
      </c>
      <c r="X25" s="48">
        <f>data0!I106</f>
        <v>0</v>
      </c>
      <c r="Y25" s="48">
        <f>data0!J106</f>
        <v>0</v>
      </c>
      <c r="Z25" s="48">
        <f>data0!K106</f>
        <v>0</v>
      </c>
      <c r="AA25" s="48">
        <f>data0!L106</f>
        <v>0</v>
      </c>
      <c r="AB25" s="48">
        <f>data0!M106</f>
        <v>0</v>
      </c>
      <c r="AC25" s="48">
        <f>data0!N106</f>
        <v>0</v>
      </c>
      <c r="AD25" s="48">
        <f>data0!O106</f>
        <v>0</v>
      </c>
      <c r="AE25" s="48">
        <f>data0!P106</f>
        <v>0</v>
      </c>
      <c r="AF25" s="48">
        <f>data0!Q106</f>
        <v>0</v>
      </c>
      <c r="AG25" s="48">
        <f>data0!R106</f>
        <v>0</v>
      </c>
      <c r="AH25" s="48">
        <f>data0!S106</f>
        <v>0</v>
      </c>
      <c r="AI25" s="48"/>
      <c r="AJ25" s="48">
        <f>data0!U106</f>
        <v>0</v>
      </c>
      <c r="AK25" s="48">
        <f>data0!V106</f>
        <v>0</v>
      </c>
      <c r="AL25" s="48"/>
      <c r="AM25" s="48">
        <f>data0!X106</f>
        <v>0</v>
      </c>
      <c r="AN25" s="48">
        <f>data0!Y106</f>
        <v>0</v>
      </c>
      <c r="AO25" s="48">
        <f>data0!Z106</f>
        <v>0</v>
      </c>
      <c r="AP25" s="48">
        <f>data0!AA106</f>
        <v>0</v>
      </c>
      <c r="AQ25" s="48">
        <f>data0!AB106</f>
        <v>0</v>
      </c>
      <c r="AR25" s="48">
        <f>data0!AC106</f>
        <v>0</v>
      </c>
      <c r="AS25" s="48">
        <f>data0!AD106</f>
        <v>0</v>
      </c>
      <c r="AT25" s="48">
        <f>data0!AE106</f>
        <v>0</v>
      </c>
      <c r="AU25" s="48">
        <f>data0!AF106</f>
        <v>0</v>
      </c>
      <c r="AV25" s="48">
        <f>data0!AG106</f>
        <v>0</v>
      </c>
      <c r="AW25" s="47">
        <f>data1!B106</f>
        <v>0.47924631834030151</v>
      </c>
      <c r="AX25" s="48">
        <f>data1!C106</f>
        <v>0.42943248152732849</v>
      </c>
      <c r="AY25" s="48">
        <f>data1!D106</f>
        <v>0.50411289930343628</v>
      </c>
      <c r="AZ25" s="48">
        <f>data1!E106</f>
        <v>0.36847713589668274</v>
      </c>
      <c r="BA25" s="48">
        <f>data1!F106</f>
        <v>0.34587115049362183</v>
      </c>
      <c r="BB25" s="48"/>
      <c r="BC25" s="48">
        <f>data1!H106</f>
        <v>0</v>
      </c>
      <c r="BD25" s="48">
        <f>data1!I106</f>
        <v>0</v>
      </c>
      <c r="BE25" s="48">
        <f>data1!J106</f>
        <v>0</v>
      </c>
      <c r="BF25" s="48">
        <f>data1!K106</f>
        <v>0</v>
      </c>
      <c r="BG25" s="48">
        <f>data1!L106</f>
        <v>0</v>
      </c>
      <c r="BH25" s="48">
        <f>data1!M106</f>
        <v>0</v>
      </c>
      <c r="BI25" s="48">
        <f>data1!N106</f>
        <v>0</v>
      </c>
      <c r="BJ25" s="48">
        <f>data1!O106</f>
        <v>0</v>
      </c>
      <c r="BK25" s="48">
        <f>data1!P106</f>
        <v>0</v>
      </c>
      <c r="BL25" s="48">
        <f>data1!Q106</f>
        <v>0</v>
      </c>
      <c r="BM25" s="48">
        <f>data1!R106</f>
        <v>0</v>
      </c>
      <c r="BN25" s="48">
        <f>data1!S106</f>
        <v>0</v>
      </c>
      <c r="BO25" s="48"/>
      <c r="BP25" s="48">
        <f>data1!U106</f>
        <v>0</v>
      </c>
      <c r="BQ25" s="48">
        <f>data1!V106</f>
        <v>0</v>
      </c>
      <c r="BR25" s="48"/>
      <c r="BS25" s="48">
        <f>data1!X106</f>
        <v>0</v>
      </c>
      <c r="BT25" s="48">
        <f>data1!Y106</f>
        <v>0</v>
      </c>
      <c r="BU25" s="48">
        <f>data1!Z106</f>
        <v>0</v>
      </c>
      <c r="BV25" s="48">
        <f>data1!AA106</f>
        <v>0</v>
      </c>
      <c r="BW25" s="48">
        <f>data1!AB106</f>
        <v>0</v>
      </c>
      <c r="BX25" s="48">
        <f>data1!AC106</f>
        <v>0</v>
      </c>
      <c r="BY25" s="48">
        <f>data1!AD106</f>
        <v>0</v>
      </c>
      <c r="BZ25" s="48">
        <f>data1!AE106</f>
        <v>0</v>
      </c>
      <c r="CA25" s="48">
        <f>data1!AF106</f>
        <v>0</v>
      </c>
      <c r="CB25" s="48">
        <f>data1!AG106</f>
        <v>0</v>
      </c>
      <c r="CC25" s="47">
        <f>data2!B106</f>
        <v>0.30970162153244019</v>
      </c>
      <c r="CD25" s="48">
        <f>data2!C106</f>
        <v>0.37493595480918884</v>
      </c>
      <c r="CE25" s="48">
        <f>data2!D106</f>
        <v>0.42725262045860291</v>
      </c>
      <c r="CF25" s="48">
        <f>data2!E106</f>
        <v>0.30970162153244019</v>
      </c>
      <c r="CG25" s="48">
        <f>data2!F106</f>
        <v>0.30065923929214478</v>
      </c>
      <c r="CH25" s="48"/>
      <c r="CI25" s="48">
        <f>data2!H106</f>
        <v>0</v>
      </c>
      <c r="CJ25" s="48">
        <f>data2!I106</f>
        <v>0</v>
      </c>
      <c r="CK25" s="48">
        <f>data2!J106</f>
        <v>0</v>
      </c>
      <c r="CL25" s="48">
        <f>data2!K106</f>
        <v>0</v>
      </c>
      <c r="CM25" s="48">
        <f>data2!L106</f>
        <v>0</v>
      </c>
      <c r="CN25" s="48">
        <f>data2!M106</f>
        <v>0</v>
      </c>
      <c r="CO25" s="48">
        <f>data2!N106</f>
        <v>0</v>
      </c>
      <c r="CP25" s="48">
        <f>data2!O106</f>
        <v>0</v>
      </c>
      <c r="CQ25" s="48">
        <f>data2!P106</f>
        <v>0</v>
      </c>
      <c r="CR25" s="48">
        <f>data2!Q106</f>
        <v>0</v>
      </c>
      <c r="CS25" s="48">
        <f>data2!R106</f>
        <v>0</v>
      </c>
      <c r="CT25" s="48">
        <f>data2!S106</f>
        <v>0</v>
      </c>
      <c r="CU25" s="48"/>
      <c r="CV25" s="48">
        <f>data2!U106</f>
        <v>0</v>
      </c>
      <c r="CW25" s="48">
        <f>data2!V106</f>
        <v>0</v>
      </c>
      <c r="CX25" s="48"/>
      <c r="CY25" s="48">
        <f>data2!X106</f>
        <v>0</v>
      </c>
      <c r="CZ25" s="48">
        <f>data2!Y106</f>
        <v>0</v>
      </c>
      <c r="DA25" s="48">
        <f>data2!Z106</f>
        <v>0</v>
      </c>
      <c r="DB25" s="48">
        <f>data2!AA106</f>
        <v>0</v>
      </c>
      <c r="DC25" s="48">
        <f>data2!AB106</f>
        <v>0</v>
      </c>
      <c r="DD25" s="48">
        <f>data2!AC106</f>
        <v>0</v>
      </c>
      <c r="DE25" s="48">
        <f>data2!AD106</f>
        <v>0</v>
      </c>
      <c r="DF25" s="48">
        <f>data2!AE106</f>
        <v>0</v>
      </c>
      <c r="DG25" s="48">
        <f>data2!AF106</f>
        <v>0</v>
      </c>
      <c r="DH25" s="49">
        <f>data2!AG106</f>
        <v>0</v>
      </c>
    </row>
    <row r="26" spans="1:112" s="63" customFormat="1">
      <c r="A26" s="14">
        <f t="shared" si="16"/>
        <v>24</v>
      </c>
      <c r="B26" s="63">
        <f ca="1">data4!S25</f>
        <v>1.6900215363934361E-2</v>
      </c>
      <c r="C26" s="63">
        <f>data5!L25</f>
        <v>3782.2</v>
      </c>
      <c r="D26" s="63">
        <f t="shared" si="3"/>
        <v>-0.17827009386093434</v>
      </c>
      <c r="E26" s="63">
        <f t="shared" si="4"/>
        <v>7.4557903511770843E-2</v>
      </c>
      <c r="F26" s="63">
        <f t="shared" si="5"/>
        <v>0.327385900884476</v>
      </c>
      <c r="G26" s="63">
        <f t="shared" si="6"/>
        <v>0.16855199824847011</v>
      </c>
      <c r="H26" s="63">
        <f t="shared" si="7"/>
        <v>-8.0819250589617059E-2</v>
      </c>
      <c r="I26" s="63">
        <f t="shared" si="8"/>
        <v>3.2725744206329871E-2</v>
      </c>
      <c r="J26" s="63">
        <f t="shared" si="9"/>
        <v>0.1462707390022768</v>
      </c>
      <c r="K26" s="63">
        <f t="shared" si="10"/>
        <v>7.5696663197297953E-2</v>
      </c>
      <c r="L26" s="63">
        <f t="shared" si="11"/>
        <v>-7.6525468461421053E-2</v>
      </c>
      <c r="M26" s="63">
        <f t="shared" si="12"/>
        <v>3.1606581704369904E-2</v>
      </c>
      <c r="N26" s="63">
        <f t="shared" si="13"/>
        <v>0.13973863187016086</v>
      </c>
      <c r="O26" s="63">
        <f t="shared" si="14"/>
        <v>7.2088033443860638E-2</v>
      </c>
      <c r="P26" s="63" t="b">
        <f t="shared" si="15"/>
        <v>1</v>
      </c>
      <c r="Q26" s="47">
        <f>data0!B107</f>
        <v>0.36621654033660889</v>
      </c>
      <c r="R26" s="48">
        <f>data0!C107</f>
        <v>0.42725262045860291</v>
      </c>
      <c r="S26" s="48">
        <f>data0!D107</f>
        <v>0.54254299402236938</v>
      </c>
      <c r="T26" s="48">
        <f>data0!E107</f>
        <v>0.45995050668716431</v>
      </c>
      <c r="U26" s="48">
        <f>data0!F107</f>
        <v>0.36621654033660889</v>
      </c>
      <c r="V26" s="48"/>
      <c r="W26" s="48">
        <f>data0!H107</f>
        <v>0</v>
      </c>
      <c r="X26" s="48">
        <f>data0!I107</f>
        <v>0</v>
      </c>
      <c r="Y26" s="48">
        <f>data0!J107</f>
        <v>0</v>
      </c>
      <c r="Z26" s="48">
        <f>data0!K107</f>
        <v>0</v>
      </c>
      <c r="AA26" s="48">
        <f>data0!L107</f>
        <v>0</v>
      </c>
      <c r="AB26" s="48">
        <f>data0!M107</f>
        <v>0</v>
      </c>
      <c r="AC26" s="48">
        <f>data0!N107</f>
        <v>0</v>
      </c>
      <c r="AD26" s="48">
        <f>data0!O107</f>
        <v>0</v>
      </c>
      <c r="AE26" s="48">
        <f>data0!P107</f>
        <v>0</v>
      </c>
      <c r="AF26" s="48">
        <f>data0!Q107</f>
        <v>0</v>
      </c>
      <c r="AG26" s="48">
        <f>data0!R107</f>
        <v>0</v>
      </c>
      <c r="AH26" s="48">
        <f>data0!S107</f>
        <v>0</v>
      </c>
      <c r="AI26" s="48"/>
      <c r="AJ26" s="48">
        <f>data0!U107</f>
        <v>0</v>
      </c>
      <c r="AK26" s="48">
        <f>data0!V107</f>
        <v>0</v>
      </c>
      <c r="AL26" s="48"/>
      <c r="AM26" s="48">
        <f>data0!X107</f>
        <v>0</v>
      </c>
      <c r="AN26" s="48">
        <f>data0!Y107</f>
        <v>0</v>
      </c>
      <c r="AO26" s="48">
        <f>data0!Z107</f>
        <v>0</v>
      </c>
      <c r="AP26" s="48">
        <f>data0!AA107</f>
        <v>0</v>
      </c>
      <c r="AQ26" s="48">
        <f>data0!AB107</f>
        <v>0</v>
      </c>
      <c r="AR26" s="48">
        <f>data0!AC107</f>
        <v>0</v>
      </c>
      <c r="AS26" s="48">
        <f>data0!AD107</f>
        <v>0</v>
      </c>
      <c r="AT26" s="48">
        <f>data0!AE107</f>
        <v>0</v>
      </c>
      <c r="AU26" s="48">
        <f>data0!AF107</f>
        <v>0</v>
      </c>
      <c r="AV26" s="48">
        <f>data0!AG107</f>
        <v>0</v>
      </c>
      <c r="AW26" s="47">
        <f>data1!B107</f>
        <v>0.22153839468955994</v>
      </c>
      <c r="AX26" s="48">
        <f>data1!C107</f>
        <v>0.19667184352874756</v>
      </c>
      <c r="AY26" s="48">
        <f>data1!D107</f>
        <v>0.25770792365074158</v>
      </c>
      <c r="AZ26" s="48">
        <f>data1!E107</f>
        <v>0.13297148048877716</v>
      </c>
      <c r="BA26" s="48">
        <f>data1!F107</f>
        <v>0.14015693962574005</v>
      </c>
      <c r="BB26" s="48"/>
      <c r="BC26" s="48">
        <f>data1!H107</f>
        <v>0</v>
      </c>
      <c r="BD26" s="48">
        <f>data1!I107</f>
        <v>0</v>
      </c>
      <c r="BE26" s="48">
        <f>data1!J107</f>
        <v>0</v>
      </c>
      <c r="BF26" s="48">
        <f>data1!K107</f>
        <v>0</v>
      </c>
      <c r="BG26" s="48">
        <f>data1!L107</f>
        <v>0</v>
      </c>
      <c r="BH26" s="48">
        <f>data1!M107</f>
        <v>0</v>
      </c>
      <c r="BI26" s="48">
        <f>data1!N107</f>
        <v>0</v>
      </c>
      <c r="BJ26" s="48">
        <f>data1!O107</f>
        <v>0</v>
      </c>
      <c r="BK26" s="48">
        <f>data1!P107</f>
        <v>0</v>
      </c>
      <c r="BL26" s="48">
        <f>data1!Q107</f>
        <v>0</v>
      </c>
      <c r="BM26" s="48">
        <f>data1!R107</f>
        <v>0</v>
      </c>
      <c r="BN26" s="48">
        <f>data1!S107</f>
        <v>0</v>
      </c>
      <c r="BO26" s="48"/>
      <c r="BP26" s="48">
        <f>data1!U107</f>
        <v>0</v>
      </c>
      <c r="BQ26" s="48">
        <f>data1!V107</f>
        <v>0</v>
      </c>
      <c r="BR26" s="48"/>
      <c r="BS26" s="48">
        <f>data1!X107</f>
        <v>0</v>
      </c>
      <c r="BT26" s="48">
        <f>data1!Y107</f>
        <v>0</v>
      </c>
      <c r="BU26" s="48">
        <f>data1!Z107</f>
        <v>0</v>
      </c>
      <c r="BV26" s="48">
        <f>data1!AA107</f>
        <v>0</v>
      </c>
      <c r="BW26" s="48">
        <f>data1!AB107</f>
        <v>0</v>
      </c>
      <c r="BX26" s="48">
        <f>data1!AC107</f>
        <v>0</v>
      </c>
      <c r="BY26" s="48">
        <f>data1!AD107</f>
        <v>0</v>
      </c>
      <c r="BZ26" s="48">
        <f>data1!AE107</f>
        <v>0</v>
      </c>
      <c r="CA26" s="48">
        <f>data1!AF107</f>
        <v>0</v>
      </c>
      <c r="CB26" s="48">
        <f>data1!AG107</f>
        <v>0</v>
      </c>
      <c r="CC26" s="47">
        <f>data2!B107</f>
        <v>0.15598110854625702</v>
      </c>
      <c r="CD26" s="48">
        <f>data2!C107</f>
        <v>0.22379899024963379</v>
      </c>
      <c r="CE26" s="48">
        <f>data2!D107</f>
        <v>0.23058077692985535</v>
      </c>
      <c r="CF26" s="48">
        <f>data2!E107</f>
        <v>0.15477007627487183</v>
      </c>
      <c r="CG26" s="48">
        <f>data2!F107</f>
        <v>0.15145991742610931</v>
      </c>
      <c r="CH26" s="48"/>
      <c r="CI26" s="48">
        <f>data2!H107</f>
        <v>0</v>
      </c>
      <c r="CJ26" s="48">
        <f>data2!I107</f>
        <v>0</v>
      </c>
      <c r="CK26" s="48">
        <f>data2!J107</f>
        <v>0</v>
      </c>
      <c r="CL26" s="48">
        <f>data2!K107</f>
        <v>0</v>
      </c>
      <c r="CM26" s="48">
        <f>data2!L107</f>
        <v>0</v>
      </c>
      <c r="CN26" s="48">
        <f>data2!M107</f>
        <v>0</v>
      </c>
      <c r="CO26" s="48">
        <f>data2!N107</f>
        <v>0</v>
      </c>
      <c r="CP26" s="48">
        <f>data2!O107</f>
        <v>0</v>
      </c>
      <c r="CQ26" s="48">
        <f>data2!P107</f>
        <v>0</v>
      </c>
      <c r="CR26" s="48">
        <f>data2!Q107</f>
        <v>0</v>
      </c>
      <c r="CS26" s="48">
        <f>data2!R107</f>
        <v>0</v>
      </c>
      <c r="CT26" s="48">
        <f>data2!S107</f>
        <v>0</v>
      </c>
      <c r="CU26" s="48"/>
      <c r="CV26" s="48">
        <f>data2!U107</f>
        <v>0</v>
      </c>
      <c r="CW26" s="48">
        <f>data2!V107</f>
        <v>0</v>
      </c>
      <c r="CX26" s="48"/>
      <c r="CY26" s="48">
        <f>data2!X107</f>
        <v>0</v>
      </c>
      <c r="CZ26" s="48">
        <f>data2!Y107</f>
        <v>0</v>
      </c>
      <c r="DA26" s="48">
        <f>data2!Z107</f>
        <v>0</v>
      </c>
      <c r="DB26" s="48">
        <f>data2!AA107</f>
        <v>0</v>
      </c>
      <c r="DC26" s="48">
        <f>data2!AB107</f>
        <v>0</v>
      </c>
      <c r="DD26" s="48">
        <f>data2!AC107</f>
        <v>0</v>
      </c>
      <c r="DE26" s="48">
        <f>data2!AD107</f>
        <v>0</v>
      </c>
      <c r="DF26" s="48">
        <f>data2!AE107</f>
        <v>0</v>
      </c>
      <c r="DG26" s="48">
        <f>data2!AF107</f>
        <v>0</v>
      </c>
      <c r="DH26" s="49">
        <f>data2!AG107</f>
        <v>0</v>
      </c>
    </row>
    <row r="27" spans="1:112" s="63" customFormat="1">
      <c r="A27" s="14">
        <f t="shared" si="16"/>
        <v>25</v>
      </c>
      <c r="B27" s="63">
        <f ca="1">data4!S26</f>
        <v>1.3827448268123942E-2</v>
      </c>
      <c r="C27" s="63">
        <f>data5!L26</f>
        <v>3801.6</v>
      </c>
      <c r="D27" s="63">
        <f t="shared" si="3"/>
        <v>-0.13501952661979821</v>
      </c>
      <c r="E27" s="63">
        <f t="shared" si="4"/>
        <v>5.7127371944230176E-2</v>
      </c>
      <c r="F27" s="63">
        <f t="shared" si="5"/>
        <v>0.24927427050825857</v>
      </c>
      <c r="G27" s="63">
        <f t="shared" si="6"/>
        <v>0.12809793237601894</v>
      </c>
      <c r="H27" s="63">
        <f t="shared" si="7"/>
        <v>-6.6107821075940515E-2</v>
      </c>
      <c r="I27" s="63">
        <f t="shared" si="8"/>
        <v>2.7361005030829329E-2</v>
      </c>
      <c r="J27" s="63">
        <f t="shared" si="9"/>
        <v>0.12082983113759918</v>
      </c>
      <c r="K27" s="63">
        <f t="shared" si="10"/>
        <v>6.2312550737846563E-2</v>
      </c>
      <c r="L27" s="63">
        <f t="shared" si="11"/>
        <v>-5.8523561043703501E-2</v>
      </c>
      <c r="M27" s="63">
        <f t="shared" si="12"/>
        <v>2.3750175946745378E-2</v>
      </c>
      <c r="N27" s="63">
        <f t="shared" si="13"/>
        <v>0.10602391293719425</v>
      </c>
      <c r="O27" s="63">
        <f t="shared" si="14"/>
        <v>5.4849157993632588E-2</v>
      </c>
      <c r="P27" s="63" t="b">
        <f t="shared" si="15"/>
        <v>1</v>
      </c>
      <c r="Q27" s="50">
        <f>data0!B108</f>
        <v>0.30518043041229248</v>
      </c>
      <c r="R27" s="51">
        <f>data0!C108</f>
        <v>0.30518043041229248</v>
      </c>
      <c r="S27" s="51">
        <f>data0!D108</f>
        <v>0.36621654033660889</v>
      </c>
      <c r="T27" s="51">
        <f>data0!E108</f>
        <v>0.37493595480918884</v>
      </c>
      <c r="U27" s="51">
        <f>data0!F108</f>
        <v>0.30518043041229248</v>
      </c>
      <c r="V27" s="51"/>
      <c r="W27" s="51">
        <f>data0!H108</f>
        <v>0</v>
      </c>
      <c r="X27" s="51">
        <f>data0!I108</f>
        <v>0</v>
      </c>
      <c r="Y27" s="51">
        <f>data0!J108</f>
        <v>0</v>
      </c>
      <c r="Z27" s="51">
        <f>data0!K108</f>
        <v>0</v>
      </c>
      <c r="AA27" s="51">
        <f>data0!L108</f>
        <v>0</v>
      </c>
      <c r="AB27" s="51">
        <f>data0!M108</f>
        <v>0</v>
      </c>
      <c r="AC27" s="51">
        <f>data0!N108</f>
        <v>0</v>
      </c>
      <c r="AD27" s="51">
        <f>data0!O108</f>
        <v>0</v>
      </c>
      <c r="AE27" s="51">
        <f>data0!P108</f>
        <v>0</v>
      </c>
      <c r="AF27" s="51">
        <f>data0!Q108</f>
        <v>0</v>
      </c>
      <c r="AG27" s="51">
        <f>data0!R108</f>
        <v>0</v>
      </c>
      <c r="AH27" s="51">
        <f>data0!S108</f>
        <v>0</v>
      </c>
      <c r="AI27" s="51"/>
      <c r="AJ27" s="51">
        <f>data0!U108</f>
        <v>0</v>
      </c>
      <c r="AK27" s="51">
        <f>data0!V108</f>
        <v>0</v>
      </c>
      <c r="AL27" s="51"/>
      <c r="AM27" s="51">
        <f>data0!X108</f>
        <v>0</v>
      </c>
      <c r="AN27" s="51">
        <f>data0!Y108</f>
        <v>0</v>
      </c>
      <c r="AO27" s="51">
        <f>data0!Z108</f>
        <v>0</v>
      </c>
      <c r="AP27" s="51">
        <f>data0!AA108</f>
        <v>0</v>
      </c>
      <c r="AQ27" s="51">
        <f>data0!AB108</f>
        <v>0</v>
      </c>
      <c r="AR27" s="51">
        <f>data0!AC108</f>
        <v>0</v>
      </c>
      <c r="AS27" s="51">
        <f>data0!AD108</f>
        <v>0</v>
      </c>
      <c r="AT27" s="51">
        <f>data0!AE108</f>
        <v>0</v>
      </c>
      <c r="AU27" s="51">
        <f>data0!AF108</f>
        <v>0</v>
      </c>
      <c r="AV27" s="51">
        <f>data0!AG108</f>
        <v>0</v>
      </c>
      <c r="AW27" s="50">
        <f>data1!B108</f>
        <v>0.17858706414699554</v>
      </c>
      <c r="AX27" s="51">
        <f>data1!C108</f>
        <v>0.18310827016830444</v>
      </c>
      <c r="AY27" s="51">
        <f>data1!D108</f>
        <v>0.18762946128845215</v>
      </c>
      <c r="AZ27" s="51">
        <f>data1!E108</f>
        <v>0.12207217514514923</v>
      </c>
      <c r="BA27" s="51">
        <f>data1!F108</f>
        <v>0.12207217514514923</v>
      </c>
      <c r="BB27" s="51"/>
      <c r="BC27" s="51">
        <f>data1!H108</f>
        <v>0</v>
      </c>
      <c r="BD27" s="51">
        <f>data1!I108</f>
        <v>0</v>
      </c>
      <c r="BE27" s="51">
        <f>data1!J108</f>
        <v>0</v>
      </c>
      <c r="BF27" s="51">
        <f>data1!K108</f>
        <v>0</v>
      </c>
      <c r="BG27" s="51">
        <f>data1!L108</f>
        <v>0</v>
      </c>
      <c r="BH27" s="51">
        <f>data1!M108</f>
        <v>0</v>
      </c>
      <c r="BI27" s="51">
        <f>data1!N108</f>
        <v>0</v>
      </c>
      <c r="BJ27" s="51">
        <f>data1!O108</f>
        <v>0</v>
      </c>
      <c r="BK27" s="51">
        <f>data1!P108</f>
        <v>0</v>
      </c>
      <c r="BL27" s="51">
        <f>data1!Q108</f>
        <v>0</v>
      </c>
      <c r="BM27" s="51">
        <f>data1!R108</f>
        <v>0</v>
      </c>
      <c r="BN27" s="51">
        <f>data1!S108</f>
        <v>0</v>
      </c>
      <c r="BO27" s="51"/>
      <c r="BP27" s="51">
        <f>data1!U108</f>
        <v>0</v>
      </c>
      <c r="BQ27" s="51">
        <f>data1!V108</f>
        <v>0</v>
      </c>
      <c r="BR27" s="51"/>
      <c r="BS27" s="51">
        <f>data1!X108</f>
        <v>0</v>
      </c>
      <c r="BT27" s="51">
        <f>data1!Y108</f>
        <v>0</v>
      </c>
      <c r="BU27" s="51">
        <f>data1!Z108</f>
        <v>0</v>
      </c>
      <c r="BV27" s="51">
        <f>data1!AA108</f>
        <v>0</v>
      </c>
      <c r="BW27" s="51">
        <f>data1!AB108</f>
        <v>0</v>
      </c>
      <c r="BX27" s="51">
        <f>data1!AC108</f>
        <v>0</v>
      </c>
      <c r="BY27" s="51">
        <f>data1!AD108</f>
        <v>0</v>
      </c>
      <c r="BZ27" s="51">
        <f>data1!AE108</f>
        <v>0</v>
      </c>
      <c r="CA27" s="51">
        <f>data1!AF108</f>
        <v>0</v>
      </c>
      <c r="CB27" s="51">
        <f>data1!AG108</f>
        <v>0</v>
      </c>
      <c r="CC27" s="50">
        <f>data2!B108</f>
        <v>0.14015693962574005</v>
      </c>
      <c r="CD27" s="51">
        <f>data2!C108</f>
        <v>0.14919932186603546</v>
      </c>
      <c r="CE27" s="51">
        <f>data2!D108</f>
        <v>0.1808476597070694</v>
      </c>
      <c r="CF27" s="51">
        <f>data2!E108</f>
        <v>0.1416909247636795</v>
      </c>
      <c r="CG27" s="51">
        <f>data2!F108</f>
        <v>7.6860256493091583E-2</v>
      </c>
      <c r="CH27" s="51"/>
      <c r="CI27" s="51">
        <f>data2!H108</f>
        <v>0</v>
      </c>
      <c r="CJ27" s="51">
        <f>data2!I108</f>
        <v>0</v>
      </c>
      <c r="CK27" s="51">
        <f>data2!J108</f>
        <v>0</v>
      </c>
      <c r="CL27" s="51">
        <f>data2!K108</f>
        <v>0</v>
      </c>
      <c r="CM27" s="51">
        <f>data2!L108</f>
        <v>0</v>
      </c>
      <c r="CN27" s="51">
        <f>data2!M108</f>
        <v>0</v>
      </c>
      <c r="CO27" s="51">
        <f>data2!N108</f>
        <v>0</v>
      </c>
      <c r="CP27" s="51">
        <f>data2!O108</f>
        <v>0</v>
      </c>
      <c r="CQ27" s="51">
        <f>data2!P108</f>
        <v>0</v>
      </c>
      <c r="CR27" s="51">
        <f>data2!Q108</f>
        <v>0</v>
      </c>
      <c r="CS27" s="51">
        <f>data2!R108</f>
        <v>0</v>
      </c>
      <c r="CT27" s="51">
        <f>data2!S108</f>
        <v>0</v>
      </c>
      <c r="CU27" s="51"/>
      <c r="CV27" s="51">
        <f>data2!U108</f>
        <v>0</v>
      </c>
      <c r="CW27" s="51">
        <f>data2!V108</f>
        <v>0</v>
      </c>
      <c r="CX27" s="51"/>
      <c r="CY27" s="51">
        <f>data2!X108</f>
        <v>0</v>
      </c>
      <c r="CZ27" s="51">
        <f>data2!Y108</f>
        <v>0</v>
      </c>
      <c r="DA27" s="51">
        <f>data2!Z108</f>
        <v>0</v>
      </c>
      <c r="DB27" s="51">
        <f>data2!AA108</f>
        <v>0</v>
      </c>
      <c r="DC27" s="51">
        <f>data2!AB108</f>
        <v>0</v>
      </c>
      <c r="DD27" s="51">
        <f>data2!AC108</f>
        <v>0</v>
      </c>
      <c r="DE27" s="51">
        <f>data2!AD108</f>
        <v>0</v>
      </c>
      <c r="DF27" s="51">
        <f>data2!AE108</f>
        <v>0</v>
      </c>
      <c r="DG27" s="51">
        <f>data2!AF108</f>
        <v>0</v>
      </c>
      <c r="DH27" s="52">
        <f>data2!AG108</f>
        <v>0</v>
      </c>
    </row>
    <row r="28" spans="1:112">
      <c r="P28" s="73"/>
    </row>
    <row r="29" spans="1:112">
      <c r="P29" s="73"/>
    </row>
    <row r="30" spans="1:112">
      <c r="A30" s="100" t="s">
        <v>62</v>
      </c>
      <c r="B30" s="100"/>
      <c r="C30" s="100"/>
      <c r="P30" s="73"/>
    </row>
    <row r="31" spans="1:112">
      <c r="A31" s="100"/>
      <c r="B31" s="100"/>
      <c r="C31" s="100"/>
    </row>
    <row r="32" spans="1:112">
      <c r="B32" s="101" t="str">
        <f>B1</f>
        <v>Calibration</v>
      </c>
      <c r="C32" s="101"/>
      <c r="Q32" s="102">
        <v>0</v>
      </c>
      <c r="R32" s="103"/>
      <c r="S32" s="103"/>
      <c r="T32" s="102">
        <f>Q32+1</f>
        <v>1</v>
      </c>
      <c r="U32" s="103"/>
      <c r="V32" s="104"/>
      <c r="W32" s="102">
        <f>T32+1</f>
        <v>2</v>
      </c>
      <c r="X32" s="103"/>
      <c r="Y32" s="104"/>
      <c r="Z32" s="102">
        <f>W32+1</f>
        <v>3</v>
      </c>
      <c r="AA32" s="103"/>
      <c r="AB32" s="104"/>
      <c r="AC32" s="102">
        <f>Z32+1</f>
        <v>4</v>
      </c>
      <c r="AD32" s="103"/>
      <c r="AE32" s="104"/>
      <c r="AF32" s="102">
        <f>AC32+1</f>
        <v>5</v>
      </c>
      <c r="AG32" s="103"/>
      <c r="AH32" s="104"/>
      <c r="AI32" s="102">
        <f>AF32+1</f>
        <v>6</v>
      </c>
      <c r="AJ32" s="103"/>
      <c r="AK32" s="104"/>
      <c r="AL32" s="102">
        <f>AI32+1</f>
        <v>7</v>
      </c>
      <c r="AM32" s="103"/>
      <c r="AN32" s="104"/>
      <c r="AO32" s="102">
        <f>AL32+1</f>
        <v>8</v>
      </c>
      <c r="AP32" s="103"/>
      <c r="AQ32" s="104"/>
      <c r="AR32" s="102">
        <f>AO32+1</f>
        <v>9</v>
      </c>
      <c r="AS32" s="103"/>
      <c r="AT32" s="104"/>
      <c r="AU32" s="102">
        <f>AR32+1</f>
        <v>10</v>
      </c>
      <c r="AV32" s="103"/>
      <c r="AW32" s="104"/>
      <c r="AX32" s="102">
        <f>AU32+1</f>
        <v>11</v>
      </c>
      <c r="AY32" s="103"/>
      <c r="AZ32" s="104"/>
      <c r="BA32" s="102">
        <f>AX32+1</f>
        <v>12</v>
      </c>
      <c r="BB32" s="103"/>
      <c r="BC32" s="104"/>
      <c r="BD32" s="102">
        <f>BA32+1</f>
        <v>13</v>
      </c>
      <c r="BE32" s="103"/>
      <c r="BF32" s="104"/>
      <c r="BG32" s="102">
        <f>BD32+1</f>
        <v>14</v>
      </c>
      <c r="BH32" s="103"/>
      <c r="BI32" s="104"/>
      <c r="BJ32" s="102">
        <f>BG32+1</f>
        <v>15</v>
      </c>
      <c r="BK32" s="103"/>
      <c r="BL32" s="104"/>
      <c r="BM32" s="102">
        <f>BJ32+1</f>
        <v>16</v>
      </c>
      <c r="BN32" s="103"/>
      <c r="BO32" s="104"/>
      <c r="BP32" s="102">
        <f>BM32+1</f>
        <v>17</v>
      </c>
      <c r="BQ32" s="103"/>
      <c r="BR32" s="104"/>
      <c r="BS32" s="102">
        <f>BP32+1</f>
        <v>18</v>
      </c>
      <c r="BT32" s="103"/>
      <c r="BU32" s="104"/>
      <c r="BV32" s="102">
        <f>BS32+1</f>
        <v>19</v>
      </c>
      <c r="BW32" s="103"/>
      <c r="BX32" s="104"/>
      <c r="BY32" s="102">
        <f>BV32+1</f>
        <v>20</v>
      </c>
      <c r="BZ32" s="103"/>
      <c r="CA32" s="104"/>
      <c r="CB32" s="102">
        <f>BY32+1</f>
        <v>21</v>
      </c>
      <c r="CC32" s="103"/>
      <c r="CD32" s="104"/>
      <c r="CE32" s="102">
        <f>CB32+1</f>
        <v>22</v>
      </c>
      <c r="CF32" s="103"/>
      <c r="CG32" s="104"/>
      <c r="CH32" s="102">
        <f>CE32+1</f>
        <v>23</v>
      </c>
      <c r="CI32" s="103"/>
      <c r="CJ32" s="104"/>
      <c r="CK32" s="102">
        <f>CH32+1</f>
        <v>24</v>
      </c>
      <c r="CL32" s="103"/>
      <c r="CM32" s="104"/>
      <c r="CN32" s="102">
        <f>CK32+1</f>
        <v>25</v>
      </c>
      <c r="CO32" s="103"/>
      <c r="CP32" s="104"/>
      <c r="CQ32" s="102">
        <f>CN32+1</f>
        <v>26</v>
      </c>
      <c r="CR32" s="103"/>
      <c r="CS32" s="104"/>
      <c r="CT32" s="102">
        <f>CQ32+1</f>
        <v>27</v>
      </c>
      <c r="CU32" s="103"/>
      <c r="CV32" s="104"/>
      <c r="CW32" s="102">
        <f>CT32+1</f>
        <v>28</v>
      </c>
      <c r="CX32" s="103"/>
      <c r="CY32" s="104"/>
      <c r="CZ32" s="102">
        <f>CW32+1</f>
        <v>29</v>
      </c>
      <c r="DA32" s="103"/>
      <c r="DB32" s="104"/>
      <c r="DC32" s="102">
        <f>CZ32+1</f>
        <v>30</v>
      </c>
      <c r="DD32" s="103"/>
      <c r="DE32" s="104"/>
      <c r="DF32" s="102">
        <f>DC32+1</f>
        <v>31</v>
      </c>
      <c r="DG32" s="103"/>
      <c r="DH32" s="104"/>
    </row>
    <row r="33" spans="1:112">
      <c r="B33" s="74" t="str">
        <f>B2</f>
        <v>Lux</v>
      </c>
      <c r="C33" s="74" t="str">
        <f>C2</f>
        <v>CCT</v>
      </c>
      <c r="P33" s="74" t="str">
        <f>P2</f>
        <v>Valid</v>
      </c>
      <c r="Q33" s="56" t="s">
        <v>44</v>
      </c>
      <c r="R33" s="57" t="s">
        <v>45</v>
      </c>
      <c r="S33" s="59" t="s">
        <v>46</v>
      </c>
      <c r="T33" s="56" t="str">
        <f>Q33</f>
        <v>R</v>
      </c>
      <c r="U33" s="57" t="str">
        <f t="shared" ref="U33:V33" si="17">R33</f>
        <v>G</v>
      </c>
      <c r="V33" s="58" t="str">
        <f t="shared" si="17"/>
        <v>B</v>
      </c>
      <c r="W33" s="56" t="str">
        <f>T33</f>
        <v>R</v>
      </c>
      <c r="X33" s="57" t="str">
        <f t="shared" ref="X33:Y33" si="18">U33</f>
        <v>G</v>
      </c>
      <c r="Y33" s="58" t="str">
        <f t="shared" si="18"/>
        <v>B</v>
      </c>
      <c r="Z33" s="56" t="str">
        <f>W33</f>
        <v>R</v>
      </c>
      <c r="AA33" s="57" t="str">
        <f t="shared" ref="AA33:AB33" si="19">X33</f>
        <v>G</v>
      </c>
      <c r="AB33" s="58" t="str">
        <f t="shared" si="19"/>
        <v>B</v>
      </c>
      <c r="AC33" s="56" t="str">
        <f>Z33</f>
        <v>R</v>
      </c>
      <c r="AD33" s="57" t="str">
        <f t="shared" ref="AD33:AE33" si="20">AA33</f>
        <v>G</v>
      </c>
      <c r="AE33" s="58" t="str">
        <f t="shared" si="20"/>
        <v>B</v>
      </c>
      <c r="AF33" s="56" t="str">
        <f>AC33</f>
        <v>R</v>
      </c>
      <c r="AG33" s="57" t="str">
        <f t="shared" ref="AG33:AH33" si="21">AD33</f>
        <v>G</v>
      </c>
      <c r="AH33" s="58" t="str">
        <f t="shared" si="21"/>
        <v>B</v>
      </c>
      <c r="AI33" s="56" t="str">
        <f>AF33</f>
        <v>R</v>
      </c>
      <c r="AJ33" s="57" t="str">
        <f t="shared" ref="AJ33:AK33" si="22">AG33</f>
        <v>G</v>
      </c>
      <c r="AK33" s="58" t="str">
        <f t="shared" si="22"/>
        <v>B</v>
      </c>
      <c r="AL33" s="56" t="str">
        <f>AI33</f>
        <v>R</v>
      </c>
      <c r="AM33" s="57" t="str">
        <f t="shared" ref="AM33:AN33" si="23">AJ33</f>
        <v>G</v>
      </c>
      <c r="AN33" s="58" t="str">
        <f t="shared" si="23"/>
        <v>B</v>
      </c>
      <c r="AO33" s="56" t="str">
        <f>AL33</f>
        <v>R</v>
      </c>
      <c r="AP33" s="57" t="str">
        <f t="shared" ref="AP33:AQ33" si="24">AM33</f>
        <v>G</v>
      </c>
      <c r="AQ33" s="58" t="str">
        <f t="shared" si="24"/>
        <v>B</v>
      </c>
      <c r="AR33" s="56" t="str">
        <f>AO33</f>
        <v>R</v>
      </c>
      <c r="AS33" s="57" t="str">
        <f t="shared" ref="AS33:AT33" si="25">AP33</f>
        <v>G</v>
      </c>
      <c r="AT33" s="58" t="str">
        <f t="shared" si="25"/>
        <v>B</v>
      </c>
      <c r="AU33" s="56" t="str">
        <f>AR33</f>
        <v>R</v>
      </c>
      <c r="AV33" s="57" t="str">
        <f t="shared" ref="AV33:AW33" si="26">AS33</f>
        <v>G</v>
      </c>
      <c r="AW33" s="58" t="str">
        <f t="shared" si="26"/>
        <v>B</v>
      </c>
      <c r="AX33" s="56" t="str">
        <f>AU33</f>
        <v>R</v>
      </c>
      <c r="AY33" s="57" t="str">
        <f t="shared" ref="AY33:AZ33" si="27">AV33</f>
        <v>G</v>
      </c>
      <c r="AZ33" s="58" t="str">
        <f t="shared" si="27"/>
        <v>B</v>
      </c>
      <c r="BA33" s="56" t="str">
        <f>AX33</f>
        <v>R</v>
      </c>
      <c r="BB33" s="57" t="str">
        <f t="shared" ref="BB33:BC33" si="28">AY33</f>
        <v>G</v>
      </c>
      <c r="BC33" s="58" t="str">
        <f t="shared" si="28"/>
        <v>B</v>
      </c>
      <c r="BD33" s="56" t="str">
        <f>BA33</f>
        <v>R</v>
      </c>
      <c r="BE33" s="57" t="str">
        <f t="shared" ref="BE33:BF33" si="29">BB33</f>
        <v>G</v>
      </c>
      <c r="BF33" s="58" t="str">
        <f t="shared" si="29"/>
        <v>B</v>
      </c>
      <c r="BG33" s="56" t="str">
        <f>BD33</f>
        <v>R</v>
      </c>
      <c r="BH33" s="57" t="str">
        <f t="shared" ref="BH33:BI33" si="30">BE33</f>
        <v>G</v>
      </c>
      <c r="BI33" s="58" t="str">
        <f t="shared" si="30"/>
        <v>B</v>
      </c>
      <c r="BJ33" s="56" t="str">
        <f>BG33</f>
        <v>R</v>
      </c>
      <c r="BK33" s="57" t="str">
        <f t="shared" ref="BK33:BL33" si="31">BH33</f>
        <v>G</v>
      </c>
      <c r="BL33" s="58" t="str">
        <f t="shared" si="31"/>
        <v>B</v>
      </c>
      <c r="BM33" s="56" t="str">
        <f>BJ33</f>
        <v>R</v>
      </c>
      <c r="BN33" s="57" t="str">
        <f t="shared" ref="BN33:BO33" si="32">BK33</f>
        <v>G</v>
      </c>
      <c r="BO33" s="58" t="str">
        <f t="shared" si="32"/>
        <v>B</v>
      </c>
      <c r="BP33" s="56" t="str">
        <f>BM33</f>
        <v>R</v>
      </c>
      <c r="BQ33" s="57" t="str">
        <f t="shared" ref="BQ33:BR33" si="33">BN33</f>
        <v>G</v>
      </c>
      <c r="BR33" s="58" t="str">
        <f t="shared" si="33"/>
        <v>B</v>
      </c>
      <c r="BS33" s="56" t="str">
        <f>BP33</f>
        <v>R</v>
      </c>
      <c r="BT33" s="57" t="str">
        <f t="shared" ref="BT33:BU33" si="34">BQ33</f>
        <v>G</v>
      </c>
      <c r="BU33" s="58" t="str">
        <f t="shared" si="34"/>
        <v>B</v>
      </c>
      <c r="BV33" s="56" t="str">
        <f>BS33</f>
        <v>R</v>
      </c>
      <c r="BW33" s="57" t="str">
        <f t="shared" ref="BW33:BX33" si="35">BT33</f>
        <v>G</v>
      </c>
      <c r="BX33" s="58" t="str">
        <f t="shared" si="35"/>
        <v>B</v>
      </c>
      <c r="BY33" s="56" t="str">
        <f>BV33</f>
        <v>R</v>
      </c>
      <c r="BZ33" s="57" t="str">
        <f t="shared" ref="BZ33:CA33" si="36">BW33</f>
        <v>G</v>
      </c>
      <c r="CA33" s="58" t="str">
        <f t="shared" si="36"/>
        <v>B</v>
      </c>
      <c r="CB33" s="56" t="str">
        <f>BY33</f>
        <v>R</v>
      </c>
      <c r="CC33" s="57" t="str">
        <f t="shared" ref="CC33:CD33" si="37">BZ33</f>
        <v>G</v>
      </c>
      <c r="CD33" s="58" t="str">
        <f t="shared" si="37"/>
        <v>B</v>
      </c>
      <c r="CE33" s="56" t="str">
        <f>CB33</f>
        <v>R</v>
      </c>
      <c r="CF33" s="57" t="str">
        <f t="shared" ref="CF33:CG33" si="38">CC33</f>
        <v>G</v>
      </c>
      <c r="CG33" s="58" t="str">
        <f t="shared" si="38"/>
        <v>B</v>
      </c>
      <c r="CH33" s="56" t="str">
        <f>CE33</f>
        <v>R</v>
      </c>
      <c r="CI33" s="57" t="str">
        <f t="shared" ref="CI33:CJ33" si="39">CF33</f>
        <v>G</v>
      </c>
      <c r="CJ33" s="58" t="str">
        <f t="shared" si="39"/>
        <v>B</v>
      </c>
      <c r="CK33" s="56" t="str">
        <f>CH33</f>
        <v>R</v>
      </c>
      <c r="CL33" s="57" t="str">
        <f t="shared" ref="CL33:CM33" si="40">CI33</f>
        <v>G</v>
      </c>
      <c r="CM33" s="58" t="str">
        <f t="shared" si="40"/>
        <v>B</v>
      </c>
      <c r="CN33" s="56" t="str">
        <f>CK33</f>
        <v>R</v>
      </c>
      <c r="CO33" s="57" t="str">
        <f t="shared" ref="CO33:CP33" si="41">CL33</f>
        <v>G</v>
      </c>
      <c r="CP33" s="58" t="str">
        <f t="shared" si="41"/>
        <v>B</v>
      </c>
      <c r="CQ33" s="56" t="str">
        <f>CN33</f>
        <v>R</v>
      </c>
      <c r="CR33" s="57" t="str">
        <f t="shared" ref="CR33:CS33" si="42">CO33</f>
        <v>G</v>
      </c>
      <c r="CS33" s="58" t="str">
        <f t="shared" si="42"/>
        <v>B</v>
      </c>
      <c r="CT33" s="56" t="str">
        <f>CQ33</f>
        <v>R</v>
      </c>
      <c r="CU33" s="57" t="str">
        <f t="shared" ref="CU33:CV33" si="43">CR33</f>
        <v>G</v>
      </c>
      <c r="CV33" s="58" t="str">
        <f t="shared" si="43"/>
        <v>B</v>
      </c>
      <c r="CW33" s="56" t="str">
        <f>CT33</f>
        <v>R</v>
      </c>
      <c r="CX33" s="57" t="str">
        <f t="shared" ref="CX33:CY33" si="44">CU33</f>
        <v>G</v>
      </c>
      <c r="CY33" s="58" t="str">
        <f t="shared" si="44"/>
        <v>B</v>
      </c>
      <c r="CZ33" s="56" t="str">
        <f>CW33</f>
        <v>R</v>
      </c>
      <c r="DA33" s="57" t="str">
        <f t="shared" ref="DA33:DB33" si="45">CX33</f>
        <v>G</v>
      </c>
      <c r="DB33" s="58" t="str">
        <f t="shared" si="45"/>
        <v>B</v>
      </c>
      <c r="DC33" s="56" t="str">
        <f>CZ33</f>
        <v>R</v>
      </c>
      <c r="DD33" s="57" t="str">
        <f t="shared" ref="DD33:DE33" si="46">DA33</f>
        <v>G</v>
      </c>
      <c r="DE33" s="58" t="str">
        <f t="shared" si="46"/>
        <v>B</v>
      </c>
      <c r="DF33" s="56" t="str">
        <f>DC33</f>
        <v>R</v>
      </c>
      <c r="DG33" s="57" t="str">
        <f t="shared" ref="DG33:DH33" si="47">DD33</f>
        <v>G</v>
      </c>
      <c r="DH33" s="58" t="str">
        <f t="shared" si="47"/>
        <v>B</v>
      </c>
    </row>
    <row r="34" spans="1:112">
      <c r="A34" s="14">
        <f t="shared" ref="A34:A58" si="48">A3</f>
        <v>1</v>
      </c>
      <c r="B34" s="74">
        <f t="shared" ref="B34:C34" ca="1" si="49">B3</f>
        <v>23.151758163574332</v>
      </c>
      <c r="C34" s="74">
        <f t="shared" si="49"/>
        <v>3933.1</v>
      </c>
      <c r="P34" s="63" t="b">
        <f>P3</f>
        <v>1</v>
      </c>
      <c r="Q34" s="62">
        <f t="shared" ref="Q34:Q58" ca="1" si="50">INDIRECT("R"&amp;ROW(Q3)&amp;"C"&amp;COLUMN($Q3)+Q$32,FALSE)</f>
        <v>199.87356567382812</v>
      </c>
      <c r="R34" s="62">
        <f t="shared" ref="R34:R58" ca="1" si="51">INDIRECT("R"&amp;ROW(R3)&amp;"C"&amp;COLUMN($R3)+31+Q$32,FALSE)</f>
        <v>134.17912292480469</v>
      </c>
      <c r="S34" s="62">
        <f t="shared" ref="S34:S58" ca="1" si="52">INDIRECT("R"&amp;ROW(S3)&amp;"C"&amp;COLUMN($S3)+62+Q$32,FALSE)</f>
        <v>95.713302612304688</v>
      </c>
      <c r="T34" s="62">
        <f t="shared" ref="T34:T58" ca="1" si="53">INDIRECT("R"&amp;ROW(T3)&amp;"C"&amp;COLUMN($Q3)+T$32,FALSE)</f>
        <v>192.39010620117187</v>
      </c>
      <c r="U34" s="62">
        <f t="shared" ref="U34:U58" ca="1" si="54">INDIRECT("R"&amp;ROW(U3)&amp;"C"&amp;COLUMN($R3)+31+T$32,FALSE)</f>
        <v>129.17416381835937</v>
      </c>
      <c r="V34" s="62">
        <f t="shared" ref="V34:V58" ca="1" si="55">INDIRECT("R"&amp;ROW(V3)&amp;"C"&amp;COLUMN($S3)+62+T$32,FALSE)</f>
        <v>92.700736999511719</v>
      </c>
      <c r="W34" s="62">
        <f t="shared" ref="W34:W58" ca="1" si="56">INDIRECT("R"&amp;ROW(W3)&amp;"C"&amp;COLUMN($Q3)+W$32,FALSE)</f>
        <v>196.01852416992187</v>
      </c>
      <c r="X34" s="62">
        <f t="shared" ref="X34:X58" ca="1" si="57">INDIRECT("R"&amp;ROW(X3)&amp;"C"&amp;COLUMN($R3)+31+W$32,FALSE)</f>
        <v>135.05929565429687</v>
      </c>
      <c r="Y34" s="62">
        <f t="shared" ref="Y34:Y58" ca="1" si="58">INDIRECT("R"&amp;ROW(Y3)&amp;"C"&amp;COLUMN($S3)+62+W$32,FALSE)</f>
        <v>94.547157287597656</v>
      </c>
      <c r="Z34" s="62">
        <f t="shared" ref="Z34:Z58" ca="1" si="59">INDIRECT("R"&amp;ROW(Z3)&amp;"C"&amp;COLUMN($Q3)+Z$32,FALSE)</f>
        <v>191.54254150390625</v>
      </c>
      <c r="AA34" s="62">
        <f t="shared" ref="AA34:AA58" ca="1" si="60">INDIRECT("R"&amp;ROW(AA3)&amp;"C"&amp;COLUMN($R3)+31+Z$32,FALSE)</f>
        <v>125.06294250488281</v>
      </c>
      <c r="AB34" s="62">
        <f t="shared" ref="AB34:AB58" ca="1" si="61">INDIRECT("R"&amp;ROW(AB3)&amp;"C"&amp;COLUMN($S3)+62+Z$32,FALSE)</f>
        <v>92.964744567871094</v>
      </c>
      <c r="AC34" s="62">
        <f t="shared" ref="AC34:AC58" ca="1" si="62">INDIRECT("R"&amp;ROW(AC3)&amp;"C"&amp;COLUMN($Q3)+AC$32,FALSE)</f>
        <v>188.63993835449219</v>
      </c>
      <c r="AD34" s="62">
        <f t="shared" ref="AD34:AD58" ca="1" si="63">INDIRECT("R"&amp;ROW(AD3)&amp;"C"&amp;COLUMN($R3)+31+AC$32,FALSE)</f>
        <v>122.54689788818359</v>
      </c>
      <c r="AE34" s="62">
        <f t="shared" ref="AE34:AE58" ca="1" si="64">INDIRECT("R"&amp;ROW(AE3)&amp;"C"&amp;COLUMN($S3)+62+AC$32,FALSE)</f>
        <v>87.577743530273437</v>
      </c>
      <c r="AF34" s="62"/>
      <c r="AG34" s="62"/>
      <c r="AH34" s="62"/>
      <c r="AI34" s="62">
        <f t="shared" ref="AI34:AI58" ca="1" si="65">INDIRECT("R"&amp;ROW(AI3)&amp;"C"&amp;COLUMN($Q3)+AI$32,FALSE)</f>
        <v>0</v>
      </c>
      <c r="AJ34" s="62">
        <f t="shared" ref="AJ34:AJ58" ca="1" si="66">INDIRECT("R"&amp;ROW(AJ3)&amp;"C"&amp;COLUMN($R3)+31+AI$32,FALSE)</f>
        <v>0</v>
      </c>
      <c r="AK34" s="62">
        <f t="shared" ref="AK34:AK58" ca="1" si="67">INDIRECT("R"&amp;ROW(AK3)&amp;"C"&amp;COLUMN($S3)+62+AI$32,FALSE)</f>
        <v>0</v>
      </c>
      <c r="AL34" s="62">
        <f t="shared" ref="AL34:AL58" ca="1" si="68">INDIRECT("R"&amp;ROW(AL3)&amp;"C"&amp;COLUMN($Q3)+AL$32,FALSE)</f>
        <v>0</v>
      </c>
      <c r="AM34" s="62">
        <f t="shared" ref="AM34:AM58" ca="1" si="69">INDIRECT("R"&amp;ROW(AM3)&amp;"C"&amp;COLUMN($R3)+31+AL$32,FALSE)</f>
        <v>0</v>
      </c>
      <c r="AN34" s="62">
        <f t="shared" ref="AN34:AN58" ca="1" si="70">INDIRECT("R"&amp;ROW(AN3)&amp;"C"&amp;COLUMN($S3)+62+AL$32,FALSE)</f>
        <v>0</v>
      </c>
      <c r="AO34" s="62">
        <f t="shared" ref="AO34:AO58" ca="1" si="71">INDIRECT("R"&amp;ROW(AO3)&amp;"C"&amp;COLUMN($Q3)+AO$32,FALSE)</f>
        <v>0</v>
      </c>
      <c r="AP34" s="62">
        <f t="shared" ref="AP34:AP58" ca="1" si="72">INDIRECT("R"&amp;ROW(AP3)&amp;"C"&amp;COLUMN($R3)+31+AO$32,FALSE)</f>
        <v>0</v>
      </c>
      <c r="AQ34" s="62">
        <f t="shared" ref="AQ34:AQ58" ca="1" si="73">INDIRECT("R"&amp;ROW(AQ3)&amp;"C"&amp;COLUMN($S3)+62+AO$32,FALSE)</f>
        <v>0</v>
      </c>
      <c r="AR34" s="62">
        <f t="shared" ref="AR34:AR58" ca="1" si="74">INDIRECT("R"&amp;ROW(AR3)&amp;"C"&amp;COLUMN($Q3)+AR$32,FALSE)</f>
        <v>0</v>
      </c>
      <c r="AS34" s="62">
        <f t="shared" ref="AS34:AS58" ca="1" si="75">INDIRECT("R"&amp;ROW(AS3)&amp;"C"&amp;COLUMN($R3)+31+AR$32,FALSE)</f>
        <v>0</v>
      </c>
      <c r="AT34" s="62">
        <f t="shared" ref="AT34:AT58" ca="1" si="76">INDIRECT("R"&amp;ROW(AT3)&amp;"C"&amp;COLUMN($S3)+62+AR$32,FALSE)</f>
        <v>0</v>
      </c>
      <c r="AU34" s="62">
        <f t="shared" ref="AU34:AU58" ca="1" si="77">INDIRECT("R"&amp;ROW(AU3)&amp;"C"&amp;COLUMN($Q3)+AU$32,FALSE)</f>
        <v>0</v>
      </c>
      <c r="AV34" s="62">
        <f t="shared" ref="AV34:AV58" ca="1" si="78">INDIRECT("R"&amp;ROW(AV3)&amp;"C"&amp;COLUMN($R3)+31+AU$32,FALSE)</f>
        <v>0</v>
      </c>
      <c r="AW34" s="62">
        <f t="shared" ref="AW34:AW58" ca="1" si="79">INDIRECT("R"&amp;ROW(AW3)&amp;"C"&amp;COLUMN($S3)+62+AU$32,FALSE)</f>
        <v>0</v>
      </c>
      <c r="AX34" s="62">
        <f t="shared" ref="AX34:AX58" ca="1" si="80">INDIRECT("R"&amp;ROW(AX3)&amp;"C"&amp;COLUMN($Q3)+AX$32,FALSE)</f>
        <v>0</v>
      </c>
      <c r="AY34" s="62">
        <f t="shared" ref="AY34:AY58" ca="1" si="81">INDIRECT("R"&amp;ROW(AY3)&amp;"C"&amp;COLUMN($R3)+31+AX$32,FALSE)</f>
        <v>0</v>
      </c>
      <c r="AZ34" s="62">
        <f t="shared" ref="AZ34:AZ58" ca="1" si="82">INDIRECT("R"&amp;ROW(AZ3)&amp;"C"&amp;COLUMN($S3)+62+AX$32,FALSE)</f>
        <v>0</v>
      </c>
      <c r="BA34" s="62">
        <f t="shared" ref="BA34:BA58" ca="1" si="83">INDIRECT("R"&amp;ROW(BA3)&amp;"C"&amp;COLUMN($Q3)+BA$32,FALSE)</f>
        <v>0</v>
      </c>
      <c r="BB34" s="62">
        <f t="shared" ref="BB34:BB58" ca="1" si="84">INDIRECT("R"&amp;ROW(BB3)&amp;"C"&amp;COLUMN($R3)+31+BA$32,FALSE)</f>
        <v>0</v>
      </c>
      <c r="BC34" s="62">
        <f t="shared" ref="BC34:BC58" ca="1" si="85">INDIRECT("R"&amp;ROW(BC3)&amp;"C"&amp;COLUMN($S3)+62+BA$32,FALSE)</f>
        <v>0</v>
      </c>
      <c r="BD34" s="62">
        <f t="shared" ref="BD34:BD58" ca="1" si="86">INDIRECT("R"&amp;ROW(BD3)&amp;"C"&amp;COLUMN($Q3)+BD$32,FALSE)</f>
        <v>0</v>
      </c>
      <c r="BE34" s="62">
        <f t="shared" ref="BE34:BE58" ca="1" si="87">INDIRECT("R"&amp;ROW(BE3)&amp;"C"&amp;COLUMN($R3)+31+BD$32,FALSE)</f>
        <v>0</v>
      </c>
      <c r="BF34" s="62">
        <f t="shared" ref="BF34:BF58" ca="1" si="88">INDIRECT("R"&amp;ROW(BF3)&amp;"C"&amp;COLUMN($S3)+62+BD$32,FALSE)</f>
        <v>0</v>
      </c>
      <c r="BG34" s="62">
        <f t="shared" ref="BG34:BG58" ca="1" si="89">INDIRECT("R"&amp;ROW(BG3)&amp;"C"&amp;COLUMN($Q3)+BG$32,FALSE)</f>
        <v>0</v>
      </c>
      <c r="BH34" s="62">
        <f t="shared" ref="BH34:BH58" ca="1" si="90">INDIRECT("R"&amp;ROW(BH3)&amp;"C"&amp;COLUMN($R3)+31+BG$32,FALSE)</f>
        <v>0</v>
      </c>
      <c r="BI34" s="62">
        <f t="shared" ref="BI34:BI58" ca="1" si="91">INDIRECT("R"&amp;ROW(BI3)&amp;"C"&amp;COLUMN($S3)+62+BG$32,FALSE)</f>
        <v>0</v>
      </c>
      <c r="BJ34" s="62">
        <f t="shared" ref="BJ34:BJ58" ca="1" si="92">INDIRECT("R"&amp;ROW(BJ3)&amp;"C"&amp;COLUMN($Q3)+BJ$32,FALSE)</f>
        <v>0</v>
      </c>
      <c r="BK34" s="62">
        <f t="shared" ref="BK34:BK58" ca="1" si="93">INDIRECT("R"&amp;ROW(BK3)&amp;"C"&amp;COLUMN($R3)+31+BJ$32,FALSE)</f>
        <v>0</v>
      </c>
      <c r="BL34" s="62">
        <f t="shared" ref="BL34:BL58" ca="1" si="94">INDIRECT("R"&amp;ROW(BL3)&amp;"C"&amp;COLUMN($S3)+62+BJ$32,FALSE)</f>
        <v>0</v>
      </c>
      <c r="BM34" s="62">
        <f t="shared" ref="BM34:BM58" ca="1" si="95">INDIRECT("R"&amp;ROW(BM3)&amp;"C"&amp;COLUMN($Q3)+BM$32,FALSE)</f>
        <v>0</v>
      </c>
      <c r="BN34" s="62">
        <f t="shared" ref="BN34:BN58" ca="1" si="96">INDIRECT("R"&amp;ROW(BN3)&amp;"C"&amp;COLUMN($R3)+31+BM$32,FALSE)</f>
        <v>0</v>
      </c>
      <c r="BO34" s="62">
        <f t="shared" ref="BO34:BO58" ca="1" si="97">INDIRECT("R"&amp;ROW(BO3)&amp;"C"&amp;COLUMN($S3)+62+BM$32,FALSE)</f>
        <v>0</v>
      </c>
      <c r="BP34" s="62">
        <f t="shared" ref="BP34:BP58" ca="1" si="98">INDIRECT("R"&amp;ROW(BP3)&amp;"C"&amp;COLUMN($Q3)+BP$32,FALSE)</f>
        <v>0</v>
      </c>
      <c r="BQ34" s="62">
        <f t="shared" ref="BQ34:BQ58" ca="1" si="99">INDIRECT("R"&amp;ROW(BQ3)&amp;"C"&amp;COLUMN($R3)+31+BP$32,FALSE)</f>
        <v>0</v>
      </c>
      <c r="BR34" s="62">
        <f t="shared" ref="BR34:BR58" ca="1" si="100">INDIRECT("R"&amp;ROW(BR3)&amp;"C"&amp;COLUMN($S3)+62+BP$32,FALSE)</f>
        <v>0</v>
      </c>
      <c r="BS34" s="62"/>
      <c r="BT34" s="62"/>
      <c r="BU34" s="62"/>
      <c r="BV34" s="62">
        <f t="shared" ref="BV34:BV58" ca="1" si="101">INDIRECT("R"&amp;ROW(BV3)&amp;"C"&amp;COLUMN($Q3)+BV$32,FALSE)</f>
        <v>0</v>
      </c>
      <c r="BW34" s="62">
        <f t="shared" ref="BW34:BW58" ca="1" si="102">INDIRECT("R"&amp;ROW(BW3)&amp;"C"&amp;COLUMN($R3)+31+BV$32,FALSE)</f>
        <v>0</v>
      </c>
      <c r="BX34" s="62">
        <f t="shared" ref="BX34:BX58" ca="1" si="103">INDIRECT("R"&amp;ROW(BX3)&amp;"C"&amp;COLUMN($S3)+62+BV$32,FALSE)</f>
        <v>0</v>
      </c>
      <c r="BY34" s="62">
        <f t="shared" ref="BY34:BY58" ca="1" si="104">INDIRECT("R"&amp;ROW(BY3)&amp;"C"&amp;COLUMN($Q3)+BY$32,FALSE)</f>
        <v>0</v>
      </c>
      <c r="BZ34" s="62">
        <f t="shared" ref="BZ34:BZ58" ca="1" si="105">INDIRECT("R"&amp;ROW(BZ3)&amp;"C"&amp;COLUMN($R3)+31+BY$32,FALSE)</f>
        <v>0</v>
      </c>
      <c r="CA34" s="62">
        <f t="shared" ref="CA34:CA58" ca="1" si="106">INDIRECT("R"&amp;ROW(CA3)&amp;"C"&amp;COLUMN($S3)+62+BY$32,FALSE)</f>
        <v>0</v>
      </c>
      <c r="CB34" s="62"/>
      <c r="CC34" s="62"/>
      <c r="CD34" s="62"/>
      <c r="CE34" s="62">
        <f t="shared" ref="CE34:CE58" ca="1" si="107">INDIRECT("R"&amp;ROW(CE3)&amp;"C"&amp;COLUMN($Q3)+CE$32,FALSE)</f>
        <v>0</v>
      </c>
      <c r="CF34" s="62">
        <f t="shared" ref="CF34:CF58" ca="1" si="108">INDIRECT("R"&amp;ROW(CF3)&amp;"C"&amp;COLUMN($R3)+31+CE$32,FALSE)</f>
        <v>0</v>
      </c>
      <c r="CG34" s="62">
        <f t="shared" ref="CG34:CG58" ca="1" si="109">INDIRECT("R"&amp;ROW(CG3)&amp;"C"&amp;COLUMN($S3)+62+CE$32,FALSE)</f>
        <v>0</v>
      </c>
      <c r="CH34" s="62">
        <f t="shared" ref="CH34:CH58" ca="1" si="110">INDIRECT("R"&amp;ROW(CH3)&amp;"C"&amp;COLUMN($Q3)+CH$32,FALSE)</f>
        <v>0</v>
      </c>
      <c r="CI34" s="62">
        <f t="shared" ref="CI34:CI58" ca="1" si="111">INDIRECT("R"&amp;ROW(CI3)&amp;"C"&amp;COLUMN($R3)+31+CH$32,FALSE)</f>
        <v>0</v>
      </c>
      <c r="CJ34" s="62">
        <f t="shared" ref="CJ34:CJ58" ca="1" si="112">INDIRECT("R"&amp;ROW(CJ3)&amp;"C"&amp;COLUMN($S3)+62+CH$32,FALSE)</f>
        <v>0</v>
      </c>
      <c r="CK34" s="62">
        <f t="shared" ref="CK34:CK58" ca="1" si="113">INDIRECT("R"&amp;ROW(CK3)&amp;"C"&amp;COLUMN($Q3)+CK$32,FALSE)</f>
        <v>0</v>
      </c>
      <c r="CL34" s="62">
        <f t="shared" ref="CL34:CL58" ca="1" si="114">INDIRECT("R"&amp;ROW(CL3)&amp;"C"&amp;COLUMN($R3)+31+CK$32,FALSE)</f>
        <v>0</v>
      </c>
      <c r="CM34" s="62">
        <f t="shared" ref="CM34:CM58" ca="1" si="115">INDIRECT("R"&amp;ROW(CM3)&amp;"C"&amp;COLUMN($S3)+62+CK$32,FALSE)</f>
        <v>0</v>
      </c>
      <c r="CN34" s="62">
        <f t="shared" ref="CN34:CN58" ca="1" si="116">INDIRECT("R"&amp;ROW(CN3)&amp;"C"&amp;COLUMN($Q3)+CN$32,FALSE)</f>
        <v>0</v>
      </c>
      <c r="CO34" s="62">
        <f t="shared" ref="CO34:CO58" ca="1" si="117">INDIRECT("R"&amp;ROW(CO3)&amp;"C"&amp;COLUMN($R3)+31+CN$32,FALSE)</f>
        <v>0</v>
      </c>
      <c r="CP34" s="62">
        <f t="shared" ref="CP34:CP58" ca="1" si="118">INDIRECT("R"&amp;ROW(CP3)&amp;"C"&amp;COLUMN($S3)+62+CN$32,FALSE)</f>
        <v>0</v>
      </c>
      <c r="CQ34" s="62">
        <f t="shared" ref="CQ34:CQ58" ca="1" si="119">INDIRECT("R"&amp;ROW(CQ3)&amp;"C"&amp;COLUMN($Q3)+CQ$32,FALSE)</f>
        <v>0</v>
      </c>
      <c r="CR34" s="62">
        <f t="shared" ref="CR34:CR58" ca="1" si="120">INDIRECT("R"&amp;ROW(CR3)&amp;"C"&amp;COLUMN($R3)+31+CQ$32,FALSE)</f>
        <v>0</v>
      </c>
      <c r="CS34" s="62">
        <f t="shared" ref="CS34:CS58" ca="1" si="121">INDIRECT("R"&amp;ROW(CS3)&amp;"C"&amp;COLUMN($S3)+62+CQ$32,FALSE)</f>
        <v>0</v>
      </c>
      <c r="CT34" s="62">
        <f t="shared" ref="CT34:CT58" ca="1" si="122">INDIRECT("R"&amp;ROW(CT3)&amp;"C"&amp;COLUMN($Q3)+CT$32,FALSE)</f>
        <v>0</v>
      </c>
      <c r="CU34" s="62">
        <f t="shared" ref="CU34:CU58" ca="1" si="123">INDIRECT("R"&amp;ROW(CU3)&amp;"C"&amp;COLUMN($R3)+31+CT$32,FALSE)</f>
        <v>0</v>
      </c>
      <c r="CV34" s="62">
        <f t="shared" ref="CV34:CV58" ca="1" si="124">INDIRECT("R"&amp;ROW(CV3)&amp;"C"&amp;COLUMN($S3)+62+CT$32,FALSE)</f>
        <v>0</v>
      </c>
      <c r="CW34" s="62">
        <f t="shared" ref="CW34:CW58" ca="1" si="125">INDIRECT("R"&amp;ROW(CW3)&amp;"C"&amp;COLUMN($Q3)+CW$32,FALSE)</f>
        <v>0</v>
      </c>
      <c r="CX34" s="62">
        <f t="shared" ref="CX34:CX58" ca="1" si="126">INDIRECT("R"&amp;ROW(CX3)&amp;"C"&amp;COLUMN($R3)+31+CW$32,FALSE)</f>
        <v>0</v>
      </c>
      <c r="CY34" s="62">
        <f t="shared" ref="CY34:CY58" ca="1" si="127">INDIRECT("R"&amp;ROW(CY3)&amp;"C"&amp;COLUMN($S3)+62+CW$32,FALSE)</f>
        <v>0</v>
      </c>
      <c r="CZ34" s="62">
        <f t="shared" ref="CZ34:CZ58" ca="1" si="128">INDIRECT("R"&amp;ROW(CZ3)&amp;"C"&amp;COLUMN($Q3)+CZ$32,FALSE)</f>
        <v>0</v>
      </c>
      <c r="DA34" s="62">
        <f t="shared" ref="DA34:DA58" ca="1" si="129">INDIRECT("R"&amp;ROW(DA3)&amp;"C"&amp;COLUMN($R3)+31+CZ$32,FALSE)</f>
        <v>0</v>
      </c>
      <c r="DB34" s="62">
        <f t="shared" ref="DB34:DB58" ca="1" si="130">INDIRECT("R"&amp;ROW(DB3)&amp;"C"&amp;COLUMN($S3)+62+CZ$32,FALSE)</f>
        <v>0</v>
      </c>
      <c r="DC34" s="62">
        <f t="shared" ref="DC34:DC58" ca="1" si="131">INDIRECT("R"&amp;ROW(DC3)&amp;"C"&amp;COLUMN($Q3)+DC$32,FALSE)</f>
        <v>0</v>
      </c>
      <c r="DD34" s="62">
        <f t="shared" ref="DD34:DD58" ca="1" si="132">INDIRECT("R"&amp;ROW(DD3)&amp;"C"&amp;COLUMN($R3)+31+DC$32,FALSE)</f>
        <v>0</v>
      </c>
      <c r="DE34" s="62">
        <f t="shared" ref="DE34:DE58" ca="1" si="133">INDIRECT("R"&amp;ROW(DE3)&amp;"C"&amp;COLUMN($S3)+62+DC$32,FALSE)</f>
        <v>0</v>
      </c>
      <c r="DF34" s="62">
        <f t="shared" ref="DF34:DF58" ca="1" si="134">INDIRECT("R"&amp;ROW(DF3)&amp;"C"&amp;COLUMN($Q3)+DF$32,FALSE)</f>
        <v>0</v>
      </c>
      <c r="DG34" s="62">
        <f t="shared" ref="DG34:DG58" ca="1" si="135">INDIRECT("R"&amp;ROW(DG3)&amp;"C"&amp;COLUMN($R3)+31+DF$32,FALSE)</f>
        <v>0</v>
      </c>
      <c r="DH34" s="62">
        <f t="shared" ref="DH34:DH58" ca="1" si="136">INDIRECT("R"&amp;ROW(DH3)&amp;"C"&amp;COLUMN($S3)+62+DF$32,FALSE)</f>
        <v>0</v>
      </c>
    </row>
    <row r="35" spans="1:112">
      <c r="A35" s="14">
        <f t="shared" si="48"/>
        <v>2</v>
      </c>
      <c r="B35" s="74">
        <f t="shared" ref="B35:C35" ca="1" si="137">B4</f>
        <v>18.852958021449371</v>
      </c>
      <c r="C35" s="74">
        <f t="shared" si="137"/>
        <v>3954.7</v>
      </c>
      <c r="P35" s="63" t="b">
        <f t="shared" ref="P35:P58" si="138">P4</f>
        <v>1</v>
      </c>
      <c r="Q35" s="62">
        <f t="shared" ca="1" si="50"/>
        <v>200.49046325683594</v>
      </c>
      <c r="R35" s="62">
        <f t="shared" ca="1" si="51"/>
        <v>108.78810882568359</v>
      </c>
      <c r="S35" s="62">
        <f t="shared" ca="1" si="52"/>
        <v>73.958297729492188</v>
      </c>
      <c r="T35" s="62">
        <f t="shared" ca="1" si="53"/>
        <v>152.08885192871094</v>
      </c>
      <c r="U35" s="62">
        <f t="shared" ca="1" si="54"/>
        <v>103.72865295410156</v>
      </c>
      <c r="V35" s="62">
        <f t="shared" ca="1" si="55"/>
        <v>71.490699768066406</v>
      </c>
      <c r="W35" s="62">
        <f t="shared" ca="1" si="56"/>
        <v>154.99549865722656</v>
      </c>
      <c r="X35" s="62">
        <f t="shared" ca="1" si="57"/>
        <v>108.72561645507812</v>
      </c>
      <c r="Y35" s="62">
        <f t="shared" ca="1" si="58"/>
        <v>72.761795043945313</v>
      </c>
      <c r="Z35" s="62">
        <f t="shared" ca="1" si="59"/>
        <v>150.91963195800781</v>
      </c>
      <c r="AA35" s="62">
        <f t="shared" ca="1" si="60"/>
        <v>99.902511596679688</v>
      </c>
      <c r="AB35" s="62">
        <f t="shared" ca="1" si="61"/>
        <v>71.398658752441406</v>
      </c>
      <c r="AC35" s="62">
        <f t="shared" ca="1" si="62"/>
        <v>148.8602294921875</v>
      </c>
      <c r="AD35" s="62">
        <f t="shared" ca="1" si="63"/>
        <v>97.372901916503906</v>
      </c>
      <c r="AE35" s="62">
        <f t="shared" ca="1" si="64"/>
        <v>67.202995300292969</v>
      </c>
      <c r="AF35" s="62"/>
      <c r="AG35" s="62"/>
      <c r="AH35" s="62"/>
      <c r="AI35" s="62">
        <f t="shared" ca="1" si="65"/>
        <v>0</v>
      </c>
      <c r="AJ35" s="62">
        <f t="shared" ca="1" si="66"/>
        <v>0</v>
      </c>
      <c r="AK35" s="62">
        <f t="shared" ca="1" si="67"/>
        <v>0</v>
      </c>
      <c r="AL35" s="62">
        <f t="shared" ca="1" si="68"/>
        <v>0</v>
      </c>
      <c r="AM35" s="62">
        <f t="shared" ca="1" si="69"/>
        <v>0</v>
      </c>
      <c r="AN35" s="62">
        <f t="shared" ca="1" si="70"/>
        <v>0</v>
      </c>
      <c r="AO35" s="62">
        <f t="shared" ca="1" si="71"/>
        <v>0</v>
      </c>
      <c r="AP35" s="62">
        <f t="shared" ca="1" si="72"/>
        <v>0</v>
      </c>
      <c r="AQ35" s="62">
        <f t="shared" ca="1" si="73"/>
        <v>0</v>
      </c>
      <c r="AR35" s="62">
        <f t="shared" ca="1" si="74"/>
        <v>0</v>
      </c>
      <c r="AS35" s="62">
        <f t="shared" ca="1" si="75"/>
        <v>0</v>
      </c>
      <c r="AT35" s="62">
        <f t="shared" ca="1" si="76"/>
        <v>0</v>
      </c>
      <c r="AU35" s="62">
        <f t="shared" ca="1" si="77"/>
        <v>0</v>
      </c>
      <c r="AV35" s="62">
        <f t="shared" ca="1" si="78"/>
        <v>0</v>
      </c>
      <c r="AW35" s="62">
        <f t="shared" ca="1" si="79"/>
        <v>0</v>
      </c>
      <c r="AX35" s="62">
        <f t="shared" ca="1" si="80"/>
        <v>0</v>
      </c>
      <c r="AY35" s="62">
        <f t="shared" ca="1" si="81"/>
        <v>0</v>
      </c>
      <c r="AZ35" s="62">
        <f t="shared" ca="1" si="82"/>
        <v>0</v>
      </c>
      <c r="BA35" s="62">
        <f t="shared" ca="1" si="83"/>
        <v>0</v>
      </c>
      <c r="BB35" s="62">
        <f t="shared" ca="1" si="84"/>
        <v>0</v>
      </c>
      <c r="BC35" s="62">
        <f t="shared" ca="1" si="85"/>
        <v>0</v>
      </c>
      <c r="BD35" s="62">
        <f t="shared" ca="1" si="86"/>
        <v>0</v>
      </c>
      <c r="BE35" s="62">
        <f t="shared" ca="1" si="87"/>
        <v>0</v>
      </c>
      <c r="BF35" s="62">
        <f t="shared" ca="1" si="88"/>
        <v>0</v>
      </c>
      <c r="BG35" s="62">
        <f t="shared" ca="1" si="89"/>
        <v>0</v>
      </c>
      <c r="BH35" s="62">
        <f t="shared" ca="1" si="90"/>
        <v>0</v>
      </c>
      <c r="BI35" s="62">
        <f t="shared" ca="1" si="91"/>
        <v>0</v>
      </c>
      <c r="BJ35" s="62">
        <f t="shared" ca="1" si="92"/>
        <v>0</v>
      </c>
      <c r="BK35" s="62">
        <f t="shared" ca="1" si="93"/>
        <v>0</v>
      </c>
      <c r="BL35" s="62">
        <f t="shared" ca="1" si="94"/>
        <v>0</v>
      </c>
      <c r="BM35" s="62">
        <f t="shared" ca="1" si="95"/>
        <v>0</v>
      </c>
      <c r="BN35" s="62">
        <f t="shared" ca="1" si="96"/>
        <v>0</v>
      </c>
      <c r="BO35" s="62">
        <f t="shared" ca="1" si="97"/>
        <v>0</v>
      </c>
      <c r="BP35" s="62">
        <f t="shared" ca="1" si="98"/>
        <v>0</v>
      </c>
      <c r="BQ35" s="62">
        <f t="shared" ca="1" si="99"/>
        <v>0</v>
      </c>
      <c r="BR35" s="62">
        <f t="shared" ca="1" si="100"/>
        <v>0</v>
      </c>
      <c r="BS35" s="62"/>
      <c r="BT35" s="62"/>
      <c r="BU35" s="62"/>
      <c r="BV35" s="62">
        <f t="shared" ca="1" si="101"/>
        <v>0</v>
      </c>
      <c r="BW35" s="62">
        <f t="shared" ca="1" si="102"/>
        <v>0</v>
      </c>
      <c r="BX35" s="62">
        <f t="shared" ca="1" si="103"/>
        <v>0</v>
      </c>
      <c r="BY35" s="62">
        <f t="shared" ca="1" si="104"/>
        <v>0</v>
      </c>
      <c r="BZ35" s="62">
        <f t="shared" ca="1" si="105"/>
        <v>0</v>
      </c>
      <c r="CA35" s="62">
        <f t="shared" ca="1" si="106"/>
        <v>0</v>
      </c>
      <c r="CB35" s="62"/>
      <c r="CC35" s="62"/>
      <c r="CD35" s="62"/>
      <c r="CE35" s="62">
        <f t="shared" ca="1" si="107"/>
        <v>0</v>
      </c>
      <c r="CF35" s="62">
        <f t="shared" ca="1" si="108"/>
        <v>0</v>
      </c>
      <c r="CG35" s="62">
        <f t="shared" ca="1" si="109"/>
        <v>0</v>
      </c>
      <c r="CH35" s="62">
        <f t="shared" ca="1" si="110"/>
        <v>0</v>
      </c>
      <c r="CI35" s="62">
        <f t="shared" ca="1" si="111"/>
        <v>0</v>
      </c>
      <c r="CJ35" s="62">
        <f t="shared" ca="1" si="112"/>
        <v>0</v>
      </c>
      <c r="CK35" s="62">
        <f t="shared" ca="1" si="113"/>
        <v>0</v>
      </c>
      <c r="CL35" s="62">
        <f t="shared" ca="1" si="114"/>
        <v>0</v>
      </c>
      <c r="CM35" s="62">
        <f t="shared" ca="1" si="115"/>
        <v>0</v>
      </c>
      <c r="CN35" s="62">
        <f t="shared" ca="1" si="116"/>
        <v>0</v>
      </c>
      <c r="CO35" s="62">
        <f t="shared" ca="1" si="117"/>
        <v>0</v>
      </c>
      <c r="CP35" s="62">
        <f t="shared" ca="1" si="118"/>
        <v>0</v>
      </c>
      <c r="CQ35" s="62">
        <f t="shared" ca="1" si="119"/>
        <v>0</v>
      </c>
      <c r="CR35" s="62">
        <f t="shared" ca="1" si="120"/>
        <v>0</v>
      </c>
      <c r="CS35" s="62">
        <f t="shared" ca="1" si="121"/>
        <v>0</v>
      </c>
      <c r="CT35" s="62">
        <f t="shared" ca="1" si="122"/>
        <v>0</v>
      </c>
      <c r="CU35" s="62">
        <f t="shared" ca="1" si="123"/>
        <v>0</v>
      </c>
      <c r="CV35" s="62">
        <f t="shared" ca="1" si="124"/>
        <v>0</v>
      </c>
      <c r="CW35" s="62">
        <f t="shared" ca="1" si="125"/>
        <v>0</v>
      </c>
      <c r="CX35" s="62">
        <f t="shared" ca="1" si="126"/>
        <v>0</v>
      </c>
      <c r="CY35" s="62">
        <f t="shared" ca="1" si="127"/>
        <v>0</v>
      </c>
      <c r="CZ35" s="62">
        <f t="shared" ca="1" si="128"/>
        <v>0</v>
      </c>
      <c r="DA35" s="62">
        <f t="shared" ca="1" si="129"/>
        <v>0</v>
      </c>
      <c r="DB35" s="62">
        <f t="shared" ca="1" si="130"/>
        <v>0</v>
      </c>
      <c r="DC35" s="62">
        <f t="shared" ca="1" si="131"/>
        <v>0</v>
      </c>
      <c r="DD35" s="62">
        <f t="shared" ca="1" si="132"/>
        <v>0</v>
      </c>
      <c r="DE35" s="62">
        <f t="shared" ca="1" si="133"/>
        <v>0</v>
      </c>
      <c r="DF35" s="62">
        <f t="shared" ca="1" si="134"/>
        <v>0</v>
      </c>
      <c r="DG35" s="62">
        <f t="shared" ca="1" si="135"/>
        <v>0</v>
      </c>
      <c r="DH35" s="62">
        <f t="shared" ca="1" si="136"/>
        <v>0</v>
      </c>
    </row>
    <row r="36" spans="1:112">
      <c r="A36" s="14">
        <f t="shared" si="48"/>
        <v>3</v>
      </c>
      <c r="B36" s="74">
        <f t="shared" ref="B36:C36" ca="1" si="139">B5</f>
        <v>15.437578208746091</v>
      </c>
      <c r="C36" s="74">
        <f t="shared" si="139"/>
        <v>3988.4</v>
      </c>
      <c r="P36" s="63" t="b">
        <f t="shared" si="138"/>
        <v>1</v>
      </c>
      <c r="Q36" s="62">
        <f t="shared" ca="1" si="50"/>
        <v>124.19939422607422</v>
      </c>
      <c r="R36" s="62">
        <f t="shared" ca="1" si="51"/>
        <v>87.338119506835938</v>
      </c>
      <c r="S36" s="62">
        <f t="shared" ca="1" si="52"/>
        <v>56.478725433349609</v>
      </c>
      <c r="T36" s="62">
        <f t="shared" ca="1" si="53"/>
        <v>118.61572265625</v>
      </c>
      <c r="U36" s="62">
        <f t="shared" ca="1" si="54"/>
        <v>82.683555603027344</v>
      </c>
      <c r="V36" s="62">
        <f t="shared" ca="1" si="55"/>
        <v>54.487140655517578</v>
      </c>
      <c r="W36" s="62">
        <f t="shared" ca="1" si="56"/>
        <v>154.43873596191406</v>
      </c>
      <c r="X36" s="62">
        <f t="shared" ca="1" si="57"/>
        <v>87.397140502929688</v>
      </c>
      <c r="Y36" s="62">
        <f t="shared" ca="1" si="58"/>
        <v>54.535743713378906</v>
      </c>
      <c r="Z36" s="62">
        <f t="shared" ca="1" si="59"/>
        <v>116.92479705810547</v>
      </c>
      <c r="AA36" s="62">
        <f t="shared" ca="1" si="60"/>
        <v>79.4735107421875</v>
      </c>
      <c r="AB36" s="62">
        <f t="shared" ca="1" si="61"/>
        <v>53.560298919677734</v>
      </c>
      <c r="AC36" s="62">
        <f t="shared" ca="1" si="62"/>
        <v>116.69195556640625</v>
      </c>
      <c r="AD36" s="62">
        <f t="shared" ca="1" si="63"/>
        <v>79.398910522460938</v>
      </c>
      <c r="AE36" s="62">
        <f t="shared" ca="1" si="64"/>
        <v>50.743595123291016</v>
      </c>
      <c r="AF36" s="62"/>
      <c r="AG36" s="62"/>
      <c r="AH36" s="62"/>
      <c r="AI36" s="62">
        <f t="shared" ca="1" si="65"/>
        <v>0</v>
      </c>
      <c r="AJ36" s="62">
        <f t="shared" ca="1" si="66"/>
        <v>0</v>
      </c>
      <c r="AK36" s="62">
        <f t="shared" ca="1" si="67"/>
        <v>0</v>
      </c>
      <c r="AL36" s="62">
        <f t="shared" ca="1" si="68"/>
        <v>0</v>
      </c>
      <c r="AM36" s="62">
        <f t="shared" ca="1" si="69"/>
        <v>0</v>
      </c>
      <c r="AN36" s="62">
        <f t="shared" ca="1" si="70"/>
        <v>0</v>
      </c>
      <c r="AO36" s="62">
        <f t="shared" ca="1" si="71"/>
        <v>0</v>
      </c>
      <c r="AP36" s="62">
        <f t="shared" ca="1" si="72"/>
        <v>0</v>
      </c>
      <c r="AQ36" s="62">
        <f t="shared" ca="1" si="73"/>
        <v>0</v>
      </c>
      <c r="AR36" s="62">
        <f t="shared" ca="1" si="74"/>
        <v>0</v>
      </c>
      <c r="AS36" s="62">
        <f t="shared" ca="1" si="75"/>
        <v>0</v>
      </c>
      <c r="AT36" s="62">
        <f t="shared" ca="1" si="76"/>
        <v>0</v>
      </c>
      <c r="AU36" s="62">
        <f t="shared" ca="1" si="77"/>
        <v>0</v>
      </c>
      <c r="AV36" s="62">
        <f t="shared" ca="1" si="78"/>
        <v>0</v>
      </c>
      <c r="AW36" s="62">
        <f t="shared" ca="1" si="79"/>
        <v>0</v>
      </c>
      <c r="AX36" s="62">
        <f t="shared" ca="1" si="80"/>
        <v>0</v>
      </c>
      <c r="AY36" s="62">
        <f t="shared" ca="1" si="81"/>
        <v>0</v>
      </c>
      <c r="AZ36" s="62">
        <f t="shared" ca="1" si="82"/>
        <v>0</v>
      </c>
      <c r="BA36" s="62">
        <f t="shared" ca="1" si="83"/>
        <v>0</v>
      </c>
      <c r="BB36" s="62">
        <f t="shared" ca="1" si="84"/>
        <v>0</v>
      </c>
      <c r="BC36" s="62">
        <f t="shared" ca="1" si="85"/>
        <v>0</v>
      </c>
      <c r="BD36" s="62">
        <f t="shared" ca="1" si="86"/>
        <v>0</v>
      </c>
      <c r="BE36" s="62">
        <f t="shared" ca="1" si="87"/>
        <v>0</v>
      </c>
      <c r="BF36" s="62">
        <f t="shared" ca="1" si="88"/>
        <v>0</v>
      </c>
      <c r="BG36" s="62">
        <f t="shared" ca="1" si="89"/>
        <v>0</v>
      </c>
      <c r="BH36" s="62">
        <f t="shared" ca="1" si="90"/>
        <v>0</v>
      </c>
      <c r="BI36" s="62">
        <f t="shared" ca="1" si="91"/>
        <v>0</v>
      </c>
      <c r="BJ36" s="62">
        <f t="shared" ca="1" si="92"/>
        <v>0</v>
      </c>
      <c r="BK36" s="62">
        <f t="shared" ca="1" si="93"/>
        <v>0</v>
      </c>
      <c r="BL36" s="62">
        <f t="shared" ca="1" si="94"/>
        <v>0</v>
      </c>
      <c r="BM36" s="62">
        <f t="shared" ca="1" si="95"/>
        <v>0</v>
      </c>
      <c r="BN36" s="62">
        <f t="shared" ca="1" si="96"/>
        <v>0</v>
      </c>
      <c r="BO36" s="62">
        <f t="shared" ca="1" si="97"/>
        <v>0</v>
      </c>
      <c r="BP36" s="62">
        <f t="shared" ca="1" si="98"/>
        <v>0</v>
      </c>
      <c r="BQ36" s="62">
        <f t="shared" ca="1" si="99"/>
        <v>0</v>
      </c>
      <c r="BR36" s="62">
        <f t="shared" ca="1" si="100"/>
        <v>0</v>
      </c>
      <c r="BS36" s="62"/>
      <c r="BT36" s="62"/>
      <c r="BU36" s="62"/>
      <c r="BV36" s="62">
        <f t="shared" ca="1" si="101"/>
        <v>0</v>
      </c>
      <c r="BW36" s="62">
        <f t="shared" ca="1" si="102"/>
        <v>0</v>
      </c>
      <c r="BX36" s="62">
        <f t="shared" ca="1" si="103"/>
        <v>0</v>
      </c>
      <c r="BY36" s="62">
        <f t="shared" ca="1" si="104"/>
        <v>0</v>
      </c>
      <c r="BZ36" s="62">
        <f t="shared" ca="1" si="105"/>
        <v>0</v>
      </c>
      <c r="CA36" s="62">
        <f t="shared" ca="1" si="106"/>
        <v>0</v>
      </c>
      <c r="CB36" s="62"/>
      <c r="CC36" s="62"/>
      <c r="CD36" s="62"/>
      <c r="CE36" s="62">
        <f t="shared" ca="1" si="107"/>
        <v>0</v>
      </c>
      <c r="CF36" s="62">
        <f t="shared" ca="1" si="108"/>
        <v>0</v>
      </c>
      <c r="CG36" s="62">
        <f t="shared" ca="1" si="109"/>
        <v>0</v>
      </c>
      <c r="CH36" s="62">
        <f t="shared" ca="1" si="110"/>
        <v>0</v>
      </c>
      <c r="CI36" s="62">
        <f t="shared" ca="1" si="111"/>
        <v>0</v>
      </c>
      <c r="CJ36" s="62">
        <f t="shared" ca="1" si="112"/>
        <v>0</v>
      </c>
      <c r="CK36" s="62">
        <f t="shared" ca="1" si="113"/>
        <v>0</v>
      </c>
      <c r="CL36" s="62">
        <f t="shared" ca="1" si="114"/>
        <v>0</v>
      </c>
      <c r="CM36" s="62">
        <f t="shared" ca="1" si="115"/>
        <v>0</v>
      </c>
      <c r="CN36" s="62">
        <f t="shared" ca="1" si="116"/>
        <v>0</v>
      </c>
      <c r="CO36" s="62">
        <f t="shared" ca="1" si="117"/>
        <v>0</v>
      </c>
      <c r="CP36" s="62">
        <f t="shared" ca="1" si="118"/>
        <v>0</v>
      </c>
      <c r="CQ36" s="62">
        <f t="shared" ca="1" si="119"/>
        <v>0</v>
      </c>
      <c r="CR36" s="62">
        <f t="shared" ca="1" si="120"/>
        <v>0</v>
      </c>
      <c r="CS36" s="62">
        <f t="shared" ca="1" si="121"/>
        <v>0</v>
      </c>
      <c r="CT36" s="62">
        <f t="shared" ca="1" si="122"/>
        <v>0</v>
      </c>
      <c r="CU36" s="62">
        <f t="shared" ca="1" si="123"/>
        <v>0</v>
      </c>
      <c r="CV36" s="62">
        <f t="shared" ca="1" si="124"/>
        <v>0</v>
      </c>
      <c r="CW36" s="62">
        <f t="shared" ca="1" si="125"/>
        <v>0</v>
      </c>
      <c r="CX36" s="62">
        <f t="shared" ca="1" si="126"/>
        <v>0</v>
      </c>
      <c r="CY36" s="62">
        <f t="shared" ca="1" si="127"/>
        <v>0</v>
      </c>
      <c r="CZ36" s="62">
        <f t="shared" ca="1" si="128"/>
        <v>0</v>
      </c>
      <c r="DA36" s="62">
        <f t="shared" ca="1" si="129"/>
        <v>0</v>
      </c>
      <c r="DB36" s="62">
        <f t="shared" ca="1" si="130"/>
        <v>0</v>
      </c>
      <c r="DC36" s="62">
        <f t="shared" ca="1" si="131"/>
        <v>0</v>
      </c>
      <c r="DD36" s="62">
        <f t="shared" ca="1" si="132"/>
        <v>0</v>
      </c>
      <c r="DE36" s="62">
        <f t="shared" ca="1" si="133"/>
        <v>0</v>
      </c>
      <c r="DF36" s="62">
        <f t="shared" ca="1" si="134"/>
        <v>0</v>
      </c>
      <c r="DG36" s="62">
        <f t="shared" ca="1" si="135"/>
        <v>0</v>
      </c>
      <c r="DH36" s="62">
        <f t="shared" ca="1" si="136"/>
        <v>0</v>
      </c>
    </row>
    <row r="37" spans="1:112">
      <c r="A37" s="14">
        <f t="shared" si="48"/>
        <v>4</v>
      </c>
      <c r="B37" s="74">
        <f t="shared" ref="B37:C37" ca="1" si="140">B6</f>
        <v>12.825726800021135</v>
      </c>
      <c r="C37" s="74">
        <f t="shared" si="140"/>
        <v>3978.3</v>
      </c>
      <c r="P37" s="63" t="b">
        <f t="shared" si="138"/>
        <v>1</v>
      </c>
      <c r="Q37" s="62">
        <f t="shared" ca="1" si="50"/>
        <v>99.844139099121094</v>
      </c>
      <c r="R37" s="62">
        <f t="shared" ca="1" si="51"/>
        <v>71.819854736328125</v>
      </c>
      <c r="S37" s="62">
        <f t="shared" ca="1" si="52"/>
        <v>42.051685333251953</v>
      </c>
      <c r="T37" s="62">
        <f t="shared" ca="1" si="53"/>
        <v>121.62748718261719</v>
      </c>
      <c r="U37" s="62">
        <f t="shared" ca="1" si="54"/>
        <v>67.290107727050781</v>
      </c>
      <c r="V37" s="62">
        <f t="shared" ca="1" si="55"/>
        <v>40.545402526855469</v>
      </c>
      <c r="W37" s="62">
        <f t="shared" ca="1" si="56"/>
        <v>97.131019592285156</v>
      </c>
      <c r="X37" s="62">
        <f t="shared" ca="1" si="57"/>
        <v>71.17938232421875</v>
      </c>
      <c r="Y37" s="62">
        <f t="shared" ca="1" si="58"/>
        <v>40.6409912109375</v>
      </c>
      <c r="Z37" s="62">
        <f t="shared" ca="1" si="59"/>
        <v>94.092781066894531</v>
      </c>
      <c r="AA37" s="62">
        <f t="shared" ca="1" si="60"/>
        <v>64.888145446777344</v>
      </c>
      <c r="AB37" s="62">
        <f t="shared" ca="1" si="61"/>
        <v>40.177570343017578</v>
      </c>
      <c r="AC37" s="62">
        <f t="shared" ca="1" si="62"/>
        <v>93.681350708007812</v>
      </c>
      <c r="AD37" s="62">
        <f t="shared" ca="1" si="63"/>
        <v>64.903968811035156</v>
      </c>
      <c r="AE37" s="62">
        <f t="shared" ca="1" si="64"/>
        <v>37.711257934570313</v>
      </c>
      <c r="AF37" s="62"/>
      <c r="AG37" s="62"/>
      <c r="AH37" s="62"/>
      <c r="AI37" s="62">
        <f t="shared" ca="1" si="65"/>
        <v>0</v>
      </c>
      <c r="AJ37" s="62">
        <f t="shared" ca="1" si="66"/>
        <v>0</v>
      </c>
      <c r="AK37" s="62">
        <f t="shared" ca="1" si="67"/>
        <v>0</v>
      </c>
      <c r="AL37" s="62">
        <f t="shared" ca="1" si="68"/>
        <v>0</v>
      </c>
      <c r="AM37" s="62">
        <f t="shared" ca="1" si="69"/>
        <v>0</v>
      </c>
      <c r="AN37" s="62">
        <f t="shared" ca="1" si="70"/>
        <v>0</v>
      </c>
      <c r="AO37" s="62">
        <f t="shared" ca="1" si="71"/>
        <v>0</v>
      </c>
      <c r="AP37" s="62">
        <f t="shared" ca="1" si="72"/>
        <v>0</v>
      </c>
      <c r="AQ37" s="62">
        <f t="shared" ca="1" si="73"/>
        <v>0</v>
      </c>
      <c r="AR37" s="62">
        <f t="shared" ca="1" si="74"/>
        <v>0</v>
      </c>
      <c r="AS37" s="62">
        <f t="shared" ca="1" si="75"/>
        <v>0</v>
      </c>
      <c r="AT37" s="62">
        <f t="shared" ca="1" si="76"/>
        <v>0</v>
      </c>
      <c r="AU37" s="62">
        <f t="shared" ca="1" si="77"/>
        <v>0</v>
      </c>
      <c r="AV37" s="62">
        <f t="shared" ca="1" si="78"/>
        <v>0</v>
      </c>
      <c r="AW37" s="62">
        <f t="shared" ca="1" si="79"/>
        <v>0</v>
      </c>
      <c r="AX37" s="62">
        <f t="shared" ca="1" si="80"/>
        <v>0</v>
      </c>
      <c r="AY37" s="62">
        <f t="shared" ca="1" si="81"/>
        <v>0</v>
      </c>
      <c r="AZ37" s="62">
        <f t="shared" ca="1" si="82"/>
        <v>0</v>
      </c>
      <c r="BA37" s="62">
        <f t="shared" ca="1" si="83"/>
        <v>0</v>
      </c>
      <c r="BB37" s="62">
        <f t="shared" ca="1" si="84"/>
        <v>0</v>
      </c>
      <c r="BC37" s="62">
        <f t="shared" ca="1" si="85"/>
        <v>0</v>
      </c>
      <c r="BD37" s="62">
        <f t="shared" ca="1" si="86"/>
        <v>0</v>
      </c>
      <c r="BE37" s="62">
        <f t="shared" ca="1" si="87"/>
        <v>0</v>
      </c>
      <c r="BF37" s="62">
        <f t="shared" ca="1" si="88"/>
        <v>0</v>
      </c>
      <c r="BG37" s="62">
        <f t="shared" ca="1" si="89"/>
        <v>0</v>
      </c>
      <c r="BH37" s="62">
        <f t="shared" ca="1" si="90"/>
        <v>0</v>
      </c>
      <c r="BI37" s="62">
        <f t="shared" ca="1" si="91"/>
        <v>0</v>
      </c>
      <c r="BJ37" s="62">
        <f t="shared" ca="1" si="92"/>
        <v>0</v>
      </c>
      <c r="BK37" s="62">
        <f t="shared" ca="1" si="93"/>
        <v>0</v>
      </c>
      <c r="BL37" s="62">
        <f t="shared" ca="1" si="94"/>
        <v>0</v>
      </c>
      <c r="BM37" s="62">
        <f t="shared" ca="1" si="95"/>
        <v>0</v>
      </c>
      <c r="BN37" s="62">
        <f t="shared" ca="1" si="96"/>
        <v>0</v>
      </c>
      <c r="BO37" s="62">
        <f t="shared" ca="1" si="97"/>
        <v>0</v>
      </c>
      <c r="BP37" s="62">
        <f t="shared" ca="1" si="98"/>
        <v>0</v>
      </c>
      <c r="BQ37" s="62">
        <f t="shared" ca="1" si="99"/>
        <v>0</v>
      </c>
      <c r="BR37" s="62">
        <f t="shared" ca="1" si="100"/>
        <v>0</v>
      </c>
      <c r="BS37" s="62"/>
      <c r="BT37" s="62"/>
      <c r="BU37" s="62"/>
      <c r="BV37" s="62">
        <f t="shared" ca="1" si="101"/>
        <v>0</v>
      </c>
      <c r="BW37" s="62">
        <f t="shared" ca="1" si="102"/>
        <v>0</v>
      </c>
      <c r="BX37" s="62">
        <f t="shared" ca="1" si="103"/>
        <v>0</v>
      </c>
      <c r="BY37" s="62">
        <f t="shared" ca="1" si="104"/>
        <v>0</v>
      </c>
      <c r="BZ37" s="62">
        <f t="shared" ca="1" si="105"/>
        <v>0</v>
      </c>
      <c r="CA37" s="62">
        <f t="shared" ca="1" si="106"/>
        <v>0</v>
      </c>
      <c r="CB37" s="62"/>
      <c r="CC37" s="62"/>
      <c r="CD37" s="62"/>
      <c r="CE37" s="62">
        <f t="shared" ca="1" si="107"/>
        <v>0</v>
      </c>
      <c r="CF37" s="62">
        <f t="shared" ca="1" si="108"/>
        <v>0</v>
      </c>
      <c r="CG37" s="62">
        <f t="shared" ca="1" si="109"/>
        <v>0</v>
      </c>
      <c r="CH37" s="62">
        <f t="shared" ca="1" si="110"/>
        <v>0</v>
      </c>
      <c r="CI37" s="62">
        <f t="shared" ca="1" si="111"/>
        <v>0</v>
      </c>
      <c r="CJ37" s="62">
        <f t="shared" ca="1" si="112"/>
        <v>0</v>
      </c>
      <c r="CK37" s="62">
        <f t="shared" ca="1" si="113"/>
        <v>0</v>
      </c>
      <c r="CL37" s="62">
        <f t="shared" ca="1" si="114"/>
        <v>0</v>
      </c>
      <c r="CM37" s="62">
        <f t="shared" ca="1" si="115"/>
        <v>0</v>
      </c>
      <c r="CN37" s="62">
        <f t="shared" ca="1" si="116"/>
        <v>0</v>
      </c>
      <c r="CO37" s="62">
        <f t="shared" ca="1" si="117"/>
        <v>0</v>
      </c>
      <c r="CP37" s="62">
        <f t="shared" ca="1" si="118"/>
        <v>0</v>
      </c>
      <c r="CQ37" s="62">
        <f t="shared" ca="1" si="119"/>
        <v>0</v>
      </c>
      <c r="CR37" s="62">
        <f t="shared" ca="1" si="120"/>
        <v>0</v>
      </c>
      <c r="CS37" s="62">
        <f t="shared" ca="1" si="121"/>
        <v>0</v>
      </c>
      <c r="CT37" s="62">
        <f t="shared" ca="1" si="122"/>
        <v>0</v>
      </c>
      <c r="CU37" s="62">
        <f t="shared" ca="1" si="123"/>
        <v>0</v>
      </c>
      <c r="CV37" s="62">
        <f t="shared" ca="1" si="124"/>
        <v>0</v>
      </c>
      <c r="CW37" s="62">
        <f t="shared" ca="1" si="125"/>
        <v>0</v>
      </c>
      <c r="CX37" s="62">
        <f t="shared" ca="1" si="126"/>
        <v>0</v>
      </c>
      <c r="CY37" s="62">
        <f t="shared" ca="1" si="127"/>
        <v>0</v>
      </c>
      <c r="CZ37" s="62">
        <f t="shared" ca="1" si="128"/>
        <v>0</v>
      </c>
      <c r="DA37" s="62">
        <f t="shared" ca="1" si="129"/>
        <v>0</v>
      </c>
      <c r="DB37" s="62">
        <f t="shared" ca="1" si="130"/>
        <v>0</v>
      </c>
      <c r="DC37" s="62">
        <f t="shared" ca="1" si="131"/>
        <v>0</v>
      </c>
      <c r="DD37" s="62">
        <f t="shared" ca="1" si="132"/>
        <v>0</v>
      </c>
      <c r="DE37" s="62">
        <f t="shared" ca="1" si="133"/>
        <v>0</v>
      </c>
      <c r="DF37" s="62">
        <f t="shared" ca="1" si="134"/>
        <v>0</v>
      </c>
      <c r="DG37" s="62">
        <f t="shared" ca="1" si="135"/>
        <v>0</v>
      </c>
      <c r="DH37" s="62">
        <f t="shared" ca="1" si="136"/>
        <v>0</v>
      </c>
    </row>
    <row r="38" spans="1:112">
      <c r="A38" s="14">
        <f t="shared" si="48"/>
        <v>5</v>
      </c>
      <c r="B38" s="74">
        <f t="shared" ref="B38:C38" ca="1" si="141">B7</f>
        <v>9.4994572118508245</v>
      </c>
      <c r="C38" s="74">
        <f t="shared" si="141"/>
        <v>3960.5</v>
      </c>
      <c r="P38" s="63" t="b">
        <f t="shared" si="138"/>
        <v>1</v>
      </c>
      <c r="Q38" s="62">
        <f t="shared" ca="1" si="50"/>
        <v>83.052032470703125</v>
      </c>
      <c r="R38" s="62">
        <f t="shared" ca="1" si="51"/>
        <v>56.474205017089844</v>
      </c>
      <c r="S38" s="62">
        <f t="shared" ca="1" si="52"/>
        <v>38.703662872314453</v>
      </c>
      <c r="T38" s="62">
        <f t="shared" ca="1" si="53"/>
        <v>79.577980041503906</v>
      </c>
      <c r="U38" s="62">
        <f t="shared" ca="1" si="54"/>
        <v>52.957527160644531</v>
      </c>
      <c r="V38" s="62">
        <f t="shared" ca="1" si="55"/>
        <v>37.212394714355469</v>
      </c>
      <c r="W38" s="62">
        <f t="shared" ca="1" si="56"/>
        <v>81.621070861816406</v>
      </c>
      <c r="X38" s="62">
        <f t="shared" ca="1" si="57"/>
        <v>56.196151733398437</v>
      </c>
      <c r="Y38" s="62">
        <f t="shared" ca="1" si="58"/>
        <v>38.161117553710938</v>
      </c>
      <c r="Z38" s="62">
        <f t="shared" ca="1" si="59"/>
        <v>78.438156127929688</v>
      </c>
      <c r="AA38" s="62">
        <f t="shared" ca="1" si="60"/>
        <v>50.809150695800781</v>
      </c>
      <c r="AB38" s="62">
        <f t="shared" ca="1" si="61"/>
        <v>36.804759979248047</v>
      </c>
      <c r="AC38" s="62">
        <f t="shared" ca="1" si="62"/>
        <v>78.187225341796875</v>
      </c>
      <c r="AD38" s="62">
        <f t="shared" ca="1" si="63"/>
        <v>49.960216522216797</v>
      </c>
      <c r="AE38" s="62">
        <f t="shared" ca="1" si="64"/>
        <v>34.620540618896484</v>
      </c>
      <c r="AF38" s="62"/>
      <c r="AG38" s="62"/>
      <c r="AH38" s="62"/>
      <c r="AI38" s="62">
        <f t="shared" ca="1" si="65"/>
        <v>0</v>
      </c>
      <c r="AJ38" s="62">
        <f t="shared" ca="1" si="66"/>
        <v>0</v>
      </c>
      <c r="AK38" s="62">
        <f t="shared" ca="1" si="67"/>
        <v>0</v>
      </c>
      <c r="AL38" s="62">
        <f t="shared" ca="1" si="68"/>
        <v>0</v>
      </c>
      <c r="AM38" s="62">
        <f t="shared" ca="1" si="69"/>
        <v>0</v>
      </c>
      <c r="AN38" s="62">
        <f t="shared" ca="1" si="70"/>
        <v>0</v>
      </c>
      <c r="AO38" s="62">
        <f t="shared" ca="1" si="71"/>
        <v>0</v>
      </c>
      <c r="AP38" s="62">
        <f t="shared" ca="1" si="72"/>
        <v>0</v>
      </c>
      <c r="AQ38" s="62">
        <f t="shared" ca="1" si="73"/>
        <v>0</v>
      </c>
      <c r="AR38" s="62">
        <f t="shared" ca="1" si="74"/>
        <v>0</v>
      </c>
      <c r="AS38" s="62">
        <f t="shared" ca="1" si="75"/>
        <v>0</v>
      </c>
      <c r="AT38" s="62">
        <f t="shared" ca="1" si="76"/>
        <v>0</v>
      </c>
      <c r="AU38" s="62">
        <f t="shared" ca="1" si="77"/>
        <v>0</v>
      </c>
      <c r="AV38" s="62">
        <f t="shared" ca="1" si="78"/>
        <v>0</v>
      </c>
      <c r="AW38" s="62">
        <f t="shared" ca="1" si="79"/>
        <v>0</v>
      </c>
      <c r="AX38" s="62">
        <f t="shared" ca="1" si="80"/>
        <v>0</v>
      </c>
      <c r="AY38" s="62">
        <f t="shared" ca="1" si="81"/>
        <v>0</v>
      </c>
      <c r="AZ38" s="62">
        <f t="shared" ca="1" si="82"/>
        <v>0</v>
      </c>
      <c r="BA38" s="62">
        <f t="shared" ca="1" si="83"/>
        <v>0</v>
      </c>
      <c r="BB38" s="62">
        <f t="shared" ca="1" si="84"/>
        <v>0</v>
      </c>
      <c r="BC38" s="62">
        <f t="shared" ca="1" si="85"/>
        <v>0</v>
      </c>
      <c r="BD38" s="62">
        <f t="shared" ca="1" si="86"/>
        <v>0</v>
      </c>
      <c r="BE38" s="62">
        <f t="shared" ca="1" si="87"/>
        <v>0</v>
      </c>
      <c r="BF38" s="62">
        <f t="shared" ca="1" si="88"/>
        <v>0</v>
      </c>
      <c r="BG38" s="62">
        <f t="shared" ca="1" si="89"/>
        <v>0</v>
      </c>
      <c r="BH38" s="62">
        <f t="shared" ca="1" si="90"/>
        <v>0</v>
      </c>
      <c r="BI38" s="62">
        <f t="shared" ca="1" si="91"/>
        <v>0</v>
      </c>
      <c r="BJ38" s="62">
        <f t="shared" ca="1" si="92"/>
        <v>0</v>
      </c>
      <c r="BK38" s="62">
        <f t="shared" ca="1" si="93"/>
        <v>0</v>
      </c>
      <c r="BL38" s="62">
        <f t="shared" ca="1" si="94"/>
        <v>0</v>
      </c>
      <c r="BM38" s="62">
        <f t="shared" ca="1" si="95"/>
        <v>0</v>
      </c>
      <c r="BN38" s="62">
        <f t="shared" ca="1" si="96"/>
        <v>0</v>
      </c>
      <c r="BO38" s="62">
        <f t="shared" ca="1" si="97"/>
        <v>0</v>
      </c>
      <c r="BP38" s="62">
        <f t="shared" ca="1" si="98"/>
        <v>0</v>
      </c>
      <c r="BQ38" s="62">
        <f t="shared" ca="1" si="99"/>
        <v>0</v>
      </c>
      <c r="BR38" s="62">
        <f t="shared" ca="1" si="100"/>
        <v>0</v>
      </c>
      <c r="BS38" s="62"/>
      <c r="BT38" s="62"/>
      <c r="BU38" s="62"/>
      <c r="BV38" s="62">
        <f t="shared" ca="1" si="101"/>
        <v>0</v>
      </c>
      <c r="BW38" s="62">
        <f t="shared" ca="1" si="102"/>
        <v>0</v>
      </c>
      <c r="BX38" s="62">
        <f t="shared" ca="1" si="103"/>
        <v>0</v>
      </c>
      <c r="BY38" s="62">
        <f t="shared" ca="1" si="104"/>
        <v>0</v>
      </c>
      <c r="BZ38" s="62">
        <f t="shared" ca="1" si="105"/>
        <v>0</v>
      </c>
      <c r="CA38" s="62">
        <f t="shared" ca="1" si="106"/>
        <v>0</v>
      </c>
      <c r="CB38" s="62"/>
      <c r="CC38" s="62"/>
      <c r="CD38" s="62"/>
      <c r="CE38" s="62">
        <f t="shared" ca="1" si="107"/>
        <v>0</v>
      </c>
      <c r="CF38" s="62">
        <f t="shared" ca="1" si="108"/>
        <v>0</v>
      </c>
      <c r="CG38" s="62">
        <f t="shared" ca="1" si="109"/>
        <v>0</v>
      </c>
      <c r="CH38" s="62">
        <f t="shared" ca="1" si="110"/>
        <v>0</v>
      </c>
      <c r="CI38" s="62">
        <f t="shared" ca="1" si="111"/>
        <v>0</v>
      </c>
      <c r="CJ38" s="62">
        <f t="shared" ca="1" si="112"/>
        <v>0</v>
      </c>
      <c r="CK38" s="62">
        <f t="shared" ca="1" si="113"/>
        <v>0</v>
      </c>
      <c r="CL38" s="62">
        <f t="shared" ca="1" si="114"/>
        <v>0</v>
      </c>
      <c r="CM38" s="62">
        <f t="shared" ca="1" si="115"/>
        <v>0</v>
      </c>
      <c r="CN38" s="62">
        <f t="shared" ca="1" si="116"/>
        <v>0</v>
      </c>
      <c r="CO38" s="62">
        <f t="shared" ca="1" si="117"/>
        <v>0</v>
      </c>
      <c r="CP38" s="62">
        <f t="shared" ca="1" si="118"/>
        <v>0</v>
      </c>
      <c r="CQ38" s="62">
        <f t="shared" ca="1" si="119"/>
        <v>0</v>
      </c>
      <c r="CR38" s="62">
        <f t="shared" ca="1" si="120"/>
        <v>0</v>
      </c>
      <c r="CS38" s="62">
        <f t="shared" ca="1" si="121"/>
        <v>0</v>
      </c>
      <c r="CT38" s="62">
        <f t="shared" ca="1" si="122"/>
        <v>0</v>
      </c>
      <c r="CU38" s="62">
        <f t="shared" ca="1" si="123"/>
        <v>0</v>
      </c>
      <c r="CV38" s="62">
        <f t="shared" ca="1" si="124"/>
        <v>0</v>
      </c>
      <c r="CW38" s="62">
        <f t="shared" ca="1" si="125"/>
        <v>0</v>
      </c>
      <c r="CX38" s="62">
        <f t="shared" ca="1" si="126"/>
        <v>0</v>
      </c>
      <c r="CY38" s="62">
        <f t="shared" ca="1" si="127"/>
        <v>0</v>
      </c>
      <c r="CZ38" s="62">
        <f t="shared" ca="1" si="128"/>
        <v>0</v>
      </c>
      <c r="DA38" s="62">
        <f t="shared" ca="1" si="129"/>
        <v>0</v>
      </c>
      <c r="DB38" s="62">
        <f t="shared" ca="1" si="130"/>
        <v>0</v>
      </c>
      <c r="DC38" s="62">
        <f t="shared" ca="1" si="131"/>
        <v>0</v>
      </c>
      <c r="DD38" s="62">
        <f t="shared" ca="1" si="132"/>
        <v>0</v>
      </c>
      <c r="DE38" s="62">
        <f t="shared" ca="1" si="133"/>
        <v>0</v>
      </c>
      <c r="DF38" s="62">
        <f t="shared" ca="1" si="134"/>
        <v>0</v>
      </c>
      <c r="DG38" s="62">
        <f t="shared" ca="1" si="135"/>
        <v>0</v>
      </c>
      <c r="DH38" s="62">
        <f t="shared" ca="1" si="136"/>
        <v>0</v>
      </c>
    </row>
    <row r="39" spans="1:112">
      <c r="A39" s="14">
        <f t="shared" si="48"/>
        <v>6</v>
      </c>
      <c r="B39" s="74">
        <f t="shared" ref="B39:C39" ca="1" si="142">B8</f>
        <v>7.108076789685887</v>
      </c>
      <c r="C39" s="74">
        <f t="shared" si="142"/>
        <v>3971.2</v>
      </c>
      <c r="P39" s="63" t="b">
        <f t="shared" si="138"/>
        <v>1</v>
      </c>
      <c r="Q39" s="62">
        <f t="shared" ca="1" si="50"/>
        <v>62.20013427734375</v>
      </c>
      <c r="R39" s="62">
        <f t="shared" ca="1" si="51"/>
        <v>42.167217254638672</v>
      </c>
      <c r="S39" s="62">
        <f t="shared" ca="1" si="52"/>
        <v>28.35780143737793</v>
      </c>
      <c r="T39" s="62">
        <f t="shared" ca="1" si="53"/>
        <v>59.795745849609375</v>
      </c>
      <c r="U39" s="62">
        <f t="shared" ca="1" si="54"/>
        <v>39.433673858642578</v>
      </c>
      <c r="V39" s="62">
        <f t="shared" ca="1" si="55"/>
        <v>27.627548217773438</v>
      </c>
      <c r="W39" s="62">
        <f t="shared" ca="1" si="56"/>
        <v>61.149116516113281</v>
      </c>
      <c r="X39" s="62">
        <f t="shared" ca="1" si="57"/>
        <v>41.811981201171875</v>
      </c>
      <c r="Y39" s="62">
        <f t="shared" ca="1" si="58"/>
        <v>28.250665664672852</v>
      </c>
      <c r="Z39" s="62">
        <f t="shared" ca="1" si="59"/>
        <v>59.03546142578125</v>
      </c>
      <c r="AA39" s="62">
        <f t="shared" ca="1" si="60"/>
        <v>37.939579010009766</v>
      </c>
      <c r="AB39" s="62">
        <f t="shared" ca="1" si="61"/>
        <v>27.323822021484375</v>
      </c>
      <c r="AC39" s="62">
        <f t="shared" ca="1" si="62"/>
        <v>58.459007263183594</v>
      </c>
      <c r="AD39" s="62">
        <f t="shared" ca="1" si="63"/>
        <v>37.99609375</v>
      </c>
      <c r="AE39" s="62">
        <f t="shared" ca="1" si="64"/>
        <v>25.678108215332031</v>
      </c>
      <c r="AF39" s="62"/>
      <c r="AG39" s="62"/>
      <c r="AH39" s="62"/>
      <c r="AI39" s="62">
        <f t="shared" ca="1" si="65"/>
        <v>0</v>
      </c>
      <c r="AJ39" s="62">
        <f t="shared" ca="1" si="66"/>
        <v>0</v>
      </c>
      <c r="AK39" s="62">
        <f t="shared" ca="1" si="67"/>
        <v>0</v>
      </c>
      <c r="AL39" s="62">
        <f t="shared" ca="1" si="68"/>
        <v>0</v>
      </c>
      <c r="AM39" s="62">
        <f t="shared" ca="1" si="69"/>
        <v>0</v>
      </c>
      <c r="AN39" s="62">
        <f t="shared" ca="1" si="70"/>
        <v>0</v>
      </c>
      <c r="AO39" s="62">
        <f t="shared" ca="1" si="71"/>
        <v>0</v>
      </c>
      <c r="AP39" s="62">
        <f t="shared" ca="1" si="72"/>
        <v>0</v>
      </c>
      <c r="AQ39" s="62">
        <f t="shared" ca="1" si="73"/>
        <v>0</v>
      </c>
      <c r="AR39" s="62">
        <f t="shared" ca="1" si="74"/>
        <v>0</v>
      </c>
      <c r="AS39" s="62">
        <f t="shared" ca="1" si="75"/>
        <v>0</v>
      </c>
      <c r="AT39" s="62">
        <f t="shared" ca="1" si="76"/>
        <v>0</v>
      </c>
      <c r="AU39" s="62">
        <f t="shared" ca="1" si="77"/>
        <v>0</v>
      </c>
      <c r="AV39" s="62">
        <f t="shared" ca="1" si="78"/>
        <v>0</v>
      </c>
      <c r="AW39" s="62">
        <f t="shared" ca="1" si="79"/>
        <v>0</v>
      </c>
      <c r="AX39" s="62">
        <f t="shared" ca="1" si="80"/>
        <v>0</v>
      </c>
      <c r="AY39" s="62">
        <f t="shared" ca="1" si="81"/>
        <v>0</v>
      </c>
      <c r="AZ39" s="62">
        <f t="shared" ca="1" si="82"/>
        <v>0</v>
      </c>
      <c r="BA39" s="62">
        <f t="shared" ca="1" si="83"/>
        <v>0</v>
      </c>
      <c r="BB39" s="62">
        <f t="shared" ca="1" si="84"/>
        <v>0</v>
      </c>
      <c r="BC39" s="62">
        <f t="shared" ca="1" si="85"/>
        <v>0</v>
      </c>
      <c r="BD39" s="62">
        <f t="shared" ca="1" si="86"/>
        <v>0</v>
      </c>
      <c r="BE39" s="62">
        <f t="shared" ca="1" si="87"/>
        <v>0</v>
      </c>
      <c r="BF39" s="62">
        <f t="shared" ca="1" si="88"/>
        <v>0</v>
      </c>
      <c r="BG39" s="62">
        <f t="shared" ca="1" si="89"/>
        <v>0</v>
      </c>
      <c r="BH39" s="62">
        <f t="shared" ca="1" si="90"/>
        <v>0</v>
      </c>
      <c r="BI39" s="62">
        <f t="shared" ca="1" si="91"/>
        <v>0</v>
      </c>
      <c r="BJ39" s="62">
        <f t="shared" ca="1" si="92"/>
        <v>0</v>
      </c>
      <c r="BK39" s="62">
        <f t="shared" ca="1" si="93"/>
        <v>0</v>
      </c>
      <c r="BL39" s="62">
        <f t="shared" ca="1" si="94"/>
        <v>0</v>
      </c>
      <c r="BM39" s="62">
        <f t="shared" ca="1" si="95"/>
        <v>0</v>
      </c>
      <c r="BN39" s="62">
        <f t="shared" ca="1" si="96"/>
        <v>0</v>
      </c>
      <c r="BO39" s="62">
        <f t="shared" ca="1" si="97"/>
        <v>0</v>
      </c>
      <c r="BP39" s="62">
        <f t="shared" ca="1" si="98"/>
        <v>0</v>
      </c>
      <c r="BQ39" s="62">
        <f t="shared" ca="1" si="99"/>
        <v>0</v>
      </c>
      <c r="BR39" s="62">
        <f t="shared" ca="1" si="100"/>
        <v>0</v>
      </c>
      <c r="BS39" s="62"/>
      <c r="BT39" s="62"/>
      <c r="BU39" s="62"/>
      <c r="BV39" s="62">
        <f t="shared" ca="1" si="101"/>
        <v>0</v>
      </c>
      <c r="BW39" s="62">
        <f t="shared" ca="1" si="102"/>
        <v>0</v>
      </c>
      <c r="BX39" s="62">
        <f t="shared" ca="1" si="103"/>
        <v>0</v>
      </c>
      <c r="BY39" s="62">
        <f t="shared" ca="1" si="104"/>
        <v>0</v>
      </c>
      <c r="BZ39" s="62">
        <f t="shared" ca="1" si="105"/>
        <v>0</v>
      </c>
      <c r="CA39" s="62">
        <f t="shared" ca="1" si="106"/>
        <v>0</v>
      </c>
      <c r="CB39" s="62"/>
      <c r="CC39" s="62"/>
      <c r="CD39" s="62"/>
      <c r="CE39" s="62">
        <f t="shared" ca="1" si="107"/>
        <v>0</v>
      </c>
      <c r="CF39" s="62">
        <f t="shared" ca="1" si="108"/>
        <v>0</v>
      </c>
      <c r="CG39" s="62">
        <f t="shared" ca="1" si="109"/>
        <v>0</v>
      </c>
      <c r="CH39" s="62">
        <f t="shared" ca="1" si="110"/>
        <v>0</v>
      </c>
      <c r="CI39" s="62">
        <f t="shared" ca="1" si="111"/>
        <v>0</v>
      </c>
      <c r="CJ39" s="62">
        <f t="shared" ca="1" si="112"/>
        <v>0</v>
      </c>
      <c r="CK39" s="62">
        <f t="shared" ca="1" si="113"/>
        <v>0</v>
      </c>
      <c r="CL39" s="62">
        <f t="shared" ca="1" si="114"/>
        <v>0</v>
      </c>
      <c r="CM39" s="62">
        <f t="shared" ca="1" si="115"/>
        <v>0</v>
      </c>
      <c r="CN39" s="62">
        <f t="shared" ca="1" si="116"/>
        <v>0</v>
      </c>
      <c r="CO39" s="62">
        <f t="shared" ca="1" si="117"/>
        <v>0</v>
      </c>
      <c r="CP39" s="62">
        <f t="shared" ca="1" si="118"/>
        <v>0</v>
      </c>
      <c r="CQ39" s="62">
        <f t="shared" ca="1" si="119"/>
        <v>0</v>
      </c>
      <c r="CR39" s="62">
        <f t="shared" ca="1" si="120"/>
        <v>0</v>
      </c>
      <c r="CS39" s="62">
        <f t="shared" ca="1" si="121"/>
        <v>0</v>
      </c>
      <c r="CT39" s="62">
        <f t="shared" ca="1" si="122"/>
        <v>0</v>
      </c>
      <c r="CU39" s="62">
        <f t="shared" ca="1" si="123"/>
        <v>0</v>
      </c>
      <c r="CV39" s="62">
        <f t="shared" ca="1" si="124"/>
        <v>0</v>
      </c>
      <c r="CW39" s="62">
        <f t="shared" ca="1" si="125"/>
        <v>0</v>
      </c>
      <c r="CX39" s="62">
        <f t="shared" ca="1" si="126"/>
        <v>0</v>
      </c>
      <c r="CY39" s="62">
        <f t="shared" ca="1" si="127"/>
        <v>0</v>
      </c>
      <c r="CZ39" s="62">
        <f t="shared" ca="1" si="128"/>
        <v>0</v>
      </c>
      <c r="DA39" s="62">
        <f t="shared" ca="1" si="129"/>
        <v>0</v>
      </c>
      <c r="DB39" s="62">
        <f t="shared" ca="1" si="130"/>
        <v>0</v>
      </c>
      <c r="DC39" s="62">
        <f t="shared" ca="1" si="131"/>
        <v>0</v>
      </c>
      <c r="DD39" s="62">
        <f t="shared" ca="1" si="132"/>
        <v>0</v>
      </c>
      <c r="DE39" s="62">
        <f t="shared" ca="1" si="133"/>
        <v>0</v>
      </c>
      <c r="DF39" s="62">
        <f t="shared" ca="1" si="134"/>
        <v>0</v>
      </c>
      <c r="DG39" s="62">
        <f t="shared" ca="1" si="135"/>
        <v>0</v>
      </c>
      <c r="DH39" s="62">
        <f t="shared" ca="1" si="136"/>
        <v>0</v>
      </c>
    </row>
    <row r="40" spans="1:112">
      <c r="A40" s="14">
        <f t="shared" si="48"/>
        <v>7</v>
      </c>
      <c r="B40" s="74">
        <f t="shared" ref="B40:C40" ca="1" si="143">B9</f>
        <v>5.8108316409221263</v>
      </c>
      <c r="C40" s="74">
        <f t="shared" si="143"/>
        <v>3979.2</v>
      </c>
      <c r="P40" s="63" t="b">
        <f t="shared" si="138"/>
        <v>1</v>
      </c>
      <c r="Q40" s="62">
        <f t="shared" ca="1" si="50"/>
        <v>64.754928588867188</v>
      </c>
      <c r="R40" s="62">
        <f t="shared" ca="1" si="51"/>
        <v>34.903923034667969</v>
      </c>
      <c r="S40" s="62">
        <f t="shared" ca="1" si="52"/>
        <v>23.052022933959961</v>
      </c>
      <c r="T40" s="62">
        <f t="shared" ca="1" si="53"/>
        <v>49.323940277099609</v>
      </c>
      <c r="U40" s="62">
        <f t="shared" ca="1" si="54"/>
        <v>32.263225555419922</v>
      </c>
      <c r="V40" s="62">
        <f t="shared" ca="1" si="55"/>
        <v>22.802629470825195</v>
      </c>
      <c r="W40" s="62">
        <f t="shared" ca="1" si="56"/>
        <v>50.289375305175781</v>
      </c>
      <c r="X40" s="62">
        <f t="shared" ca="1" si="57"/>
        <v>34.202007293701172</v>
      </c>
      <c r="Y40" s="62">
        <f t="shared" ca="1" si="58"/>
        <v>22.910331726074219</v>
      </c>
      <c r="Z40" s="62">
        <f t="shared" ca="1" si="59"/>
        <v>48.828868865966797</v>
      </c>
      <c r="AA40" s="62">
        <f t="shared" ca="1" si="60"/>
        <v>30.850351333618164</v>
      </c>
      <c r="AB40" s="62">
        <f t="shared" ca="1" si="61"/>
        <v>22.397983551025391</v>
      </c>
      <c r="AC40" s="62">
        <f t="shared" ca="1" si="62"/>
        <v>61.306388854980469</v>
      </c>
      <c r="AD40" s="62">
        <f t="shared" ca="1" si="63"/>
        <v>30.243381500244141</v>
      </c>
      <c r="AE40" s="62">
        <f t="shared" ca="1" si="64"/>
        <v>20.784967422485352</v>
      </c>
      <c r="AF40" s="62"/>
      <c r="AG40" s="62"/>
      <c r="AH40" s="62"/>
      <c r="AI40" s="62">
        <f t="shared" ca="1" si="65"/>
        <v>0</v>
      </c>
      <c r="AJ40" s="62">
        <f t="shared" ca="1" si="66"/>
        <v>0</v>
      </c>
      <c r="AK40" s="62">
        <f t="shared" ca="1" si="67"/>
        <v>0</v>
      </c>
      <c r="AL40" s="62">
        <f t="shared" ca="1" si="68"/>
        <v>0</v>
      </c>
      <c r="AM40" s="62">
        <f t="shared" ca="1" si="69"/>
        <v>0</v>
      </c>
      <c r="AN40" s="62">
        <f t="shared" ca="1" si="70"/>
        <v>0</v>
      </c>
      <c r="AO40" s="62">
        <f t="shared" ca="1" si="71"/>
        <v>0</v>
      </c>
      <c r="AP40" s="62">
        <f t="shared" ca="1" si="72"/>
        <v>0</v>
      </c>
      <c r="AQ40" s="62">
        <f t="shared" ca="1" si="73"/>
        <v>0</v>
      </c>
      <c r="AR40" s="62">
        <f t="shared" ca="1" si="74"/>
        <v>0</v>
      </c>
      <c r="AS40" s="62">
        <f t="shared" ca="1" si="75"/>
        <v>0</v>
      </c>
      <c r="AT40" s="62">
        <f t="shared" ca="1" si="76"/>
        <v>0</v>
      </c>
      <c r="AU40" s="62">
        <f t="shared" ca="1" si="77"/>
        <v>0</v>
      </c>
      <c r="AV40" s="62">
        <f t="shared" ca="1" si="78"/>
        <v>0</v>
      </c>
      <c r="AW40" s="62">
        <f t="shared" ca="1" si="79"/>
        <v>0</v>
      </c>
      <c r="AX40" s="62">
        <f t="shared" ca="1" si="80"/>
        <v>0</v>
      </c>
      <c r="AY40" s="62">
        <f t="shared" ca="1" si="81"/>
        <v>0</v>
      </c>
      <c r="AZ40" s="62">
        <f t="shared" ca="1" si="82"/>
        <v>0</v>
      </c>
      <c r="BA40" s="62">
        <f t="shared" ca="1" si="83"/>
        <v>0</v>
      </c>
      <c r="BB40" s="62">
        <f t="shared" ca="1" si="84"/>
        <v>0</v>
      </c>
      <c r="BC40" s="62">
        <f t="shared" ca="1" si="85"/>
        <v>0</v>
      </c>
      <c r="BD40" s="62">
        <f t="shared" ca="1" si="86"/>
        <v>0</v>
      </c>
      <c r="BE40" s="62">
        <f t="shared" ca="1" si="87"/>
        <v>0</v>
      </c>
      <c r="BF40" s="62">
        <f t="shared" ca="1" si="88"/>
        <v>0</v>
      </c>
      <c r="BG40" s="62">
        <f t="shared" ca="1" si="89"/>
        <v>0</v>
      </c>
      <c r="BH40" s="62">
        <f t="shared" ca="1" si="90"/>
        <v>0</v>
      </c>
      <c r="BI40" s="62">
        <f t="shared" ca="1" si="91"/>
        <v>0</v>
      </c>
      <c r="BJ40" s="62">
        <f t="shared" ca="1" si="92"/>
        <v>0</v>
      </c>
      <c r="BK40" s="62">
        <f t="shared" ca="1" si="93"/>
        <v>0</v>
      </c>
      <c r="BL40" s="62">
        <f t="shared" ca="1" si="94"/>
        <v>0</v>
      </c>
      <c r="BM40" s="62">
        <f t="shared" ca="1" si="95"/>
        <v>0</v>
      </c>
      <c r="BN40" s="62">
        <f t="shared" ca="1" si="96"/>
        <v>0</v>
      </c>
      <c r="BO40" s="62">
        <f t="shared" ca="1" si="97"/>
        <v>0</v>
      </c>
      <c r="BP40" s="62">
        <f t="shared" ca="1" si="98"/>
        <v>0</v>
      </c>
      <c r="BQ40" s="62">
        <f t="shared" ca="1" si="99"/>
        <v>0</v>
      </c>
      <c r="BR40" s="62">
        <f t="shared" ca="1" si="100"/>
        <v>0</v>
      </c>
      <c r="BS40" s="62"/>
      <c r="BT40" s="62"/>
      <c r="BU40" s="62"/>
      <c r="BV40" s="62">
        <f t="shared" ca="1" si="101"/>
        <v>0</v>
      </c>
      <c r="BW40" s="62">
        <f t="shared" ca="1" si="102"/>
        <v>0</v>
      </c>
      <c r="BX40" s="62">
        <f t="shared" ca="1" si="103"/>
        <v>0</v>
      </c>
      <c r="BY40" s="62">
        <f t="shared" ca="1" si="104"/>
        <v>0</v>
      </c>
      <c r="BZ40" s="62">
        <f t="shared" ca="1" si="105"/>
        <v>0</v>
      </c>
      <c r="CA40" s="62">
        <f t="shared" ca="1" si="106"/>
        <v>0</v>
      </c>
      <c r="CB40" s="62"/>
      <c r="CC40" s="62"/>
      <c r="CD40" s="62"/>
      <c r="CE40" s="62">
        <f t="shared" ca="1" si="107"/>
        <v>0</v>
      </c>
      <c r="CF40" s="62">
        <f t="shared" ca="1" si="108"/>
        <v>0</v>
      </c>
      <c r="CG40" s="62">
        <f t="shared" ca="1" si="109"/>
        <v>0</v>
      </c>
      <c r="CH40" s="62">
        <f t="shared" ca="1" si="110"/>
        <v>0</v>
      </c>
      <c r="CI40" s="62">
        <f t="shared" ca="1" si="111"/>
        <v>0</v>
      </c>
      <c r="CJ40" s="62">
        <f t="shared" ca="1" si="112"/>
        <v>0</v>
      </c>
      <c r="CK40" s="62">
        <f t="shared" ca="1" si="113"/>
        <v>0</v>
      </c>
      <c r="CL40" s="62">
        <f t="shared" ca="1" si="114"/>
        <v>0</v>
      </c>
      <c r="CM40" s="62">
        <f t="shared" ca="1" si="115"/>
        <v>0</v>
      </c>
      <c r="CN40" s="62">
        <f t="shared" ca="1" si="116"/>
        <v>0</v>
      </c>
      <c r="CO40" s="62">
        <f t="shared" ca="1" si="117"/>
        <v>0</v>
      </c>
      <c r="CP40" s="62">
        <f t="shared" ca="1" si="118"/>
        <v>0</v>
      </c>
      <c r="CQ40" s="62">
        <f t="shared" ca="1" si="119"/>
        <v>0</v>
      </c>
      <c r="CR40" s="62">
        <f t="shared" ca="1" si="120"/>
        <v>0</v>
      </c>
      <c r="CS40" s="62">
        <f t="shared" ca="1" si="121"/>
        <v>0</v>
      </c>
      <c r="CT40" s="62">
        <f t="shared" ca="1" si="122"/>
        <v>0</v>
      </c>
      <c r="CU40" s="62">
        <f t="shared" ca="1" si="123"/>
        <v>0</v>
      </c>
      <c r="CV40" s="62">
        <f t="shared" ca="1" si="124"/>
        <v>0</v>
      </c>
      <c r="CW40" s="62">
        <f t="shared" ca="1" si="125"/>
        <v>0</v>
      </c>
      <c r="CX40" s="62">
        <f t="shared" ca="1" si="126"/>
        <v>0</v>
      </c>
      <c r="CY40" s="62">
        <f t="shared" ca="1" si="127"/>
        <v>0</v>
      </c>
      <c r="CZ40" s="62">
        <f t="shared" ca="1" si="128"/>
        <v>0</v>
      </c>
      <c r="DA40" s="62">
        <f t="shared" ca="1" si="129"/>
        <v>0</v>
      </c>
      <c r="DB40" s="62">
        <f t="shared" ca="1" si="130"/>
        <v>0</v>
      </c>
      <c r="DC40" s="62">
        <f t="shared" ca="1" si="131"/>
        <v>0</v>
      </c>
      <c r="DD40" s="62">
        <f t="shared" ca="1" si="132"/>
        <v>0</v>
      </c>
      <c r="DE40" s="62">
        <f t="shared" ca="1" si="133"/>
        <v>0</v>
      </c>
      <c r="DF40" s="62">
        <f t="shared" ca="1" si="134"/>
        <v>0</v>
      </c>
      <c r="DG40" s="62">
        <f t="shared" ca="1" si="135"/>
        <v>0</v>
      </c>
      <c r="DH40" s="62">
        <f t="shared" ca="1" si="136"/>
        <v>0</v>
      </c>
    </row>
    <row r="41" spans="1:112">
      <c r="A41" s="14">
        <f t="shared" si="48"/>
        <v>8</v>
      </c>
      <c r="B41" s="74">
        <f t="shared" ref="B41:C41" ca="1" si="144">B10</f>
        <v>4.7264524101014667</v>
      </c>
      <c r="C41" s="74">
        <f t="shared" si="144"/>
        <v>4001.7</v>
      </c>
      <c r="P41" s="63" t="b">
        <f t="shared" si="138"/>
        <v>1</v>
      </c>
      <c r="Q41" s="62">
        <f t="shared" ca="1" si="50"/>
        <v>51.285572052001953</v>
      </c>
      <c r="R41" s="62">
        <f t="shared" ca="1" si="51"/>
        <v>27.727823257446289</v>
      </c>
      <c r="S41" s="62">
        <f t="shared" ca="1" si="52"/>
        <v>17.709184646606445</v>
      </c>
      <c r="T41" s="62">
        <f t="shared" ca="1" si="53"/>
        <v>50.056373596191406</v>
      </c>
      <c r="U41" s="62">
        <f t="shared" ca="1" si="54"/>
        <v>25.797920227050781</v>
      </c>
      <c r="V41" s="62">
        <f t="shared" ca="1" si="55"/>
        <v>17.44727897644043</v>
      </c>
      <c r="W41" s="62">
        <f t="shared" ca="1" si="56"/>
        <v>39.795528411865234</v>
      </c>
      <c r="X41" s="62">
        <f t="shared" ca="1" si="57"/>
        <v>27.278610229492188</v>
      </c>
      <c r="Y41" s="62">
        <f t="shared" ca="1" si="58"/>
        <v>17.682380676269531</v>
      </c>
      <c r="Z41" s="62">
        <f t="shared" ca="1" si="59"/>
        <v>38.531856536865234</v>
      </c>
      <c r="AA41" s="62">
        <f t="shared" ca="1" si="60"/>
        <v>24.728658676147461</v>
      </c>
      <c r="AB41" s="62">
        <f t="shared" ca="1" si="61"/>
        <v>17.157922744750977</v>
      </c>
      <c r="AC41" s="62">
        <f t="shared" ca="1" si="62"/>
        <v>38.005138397216797</v>
      </c>
      <c r="AD41" s="62">
        <f t="shared" ca="1" si="63"/>
        <v>24.412174224853516</v>
      </c>
      <c r="AE41" s="62">
        <f t="shared" ca="1" si="64"/>
        <v>15.973370552062988</v>
      </c>
      <c r="AF41" s="62"/>
      <c r="AG41" s="62"/>
      <c r="AH41" s="62"/>
      <c r="AI41" s="62">
        <f t="shared" ca="1" si="65"/>
        <v>0</v>
      </c>
      <c r="AJ41" s="62">
        <f t="shared" ca="1" si="66"/>
        <v>0</v>
      </c>
      <c r="AK41" s="62">
        <f t="shared" ca="1" si="67"/>
        <v>0</v>
      </c>
      <c r="AL41" s="62">
        <f t="shared" ca="1" si="68"/>
        <v>0</v>
      </c>
      <c r="AM41" s="62">
        <f t="shared" ca="1" si="69"/>
        <v>0</v>
      </c>
      <c r="AN41" s="62">
        <f t="shared" ca="1" si="70"/>
        <v>0</v>
      </c>
      <c r="AO41" s="62">
        <f t="shared" ca="1" si="71"/>
        <v>0</v>
      </c>
      <c r="AP41" s="62">
        <f t="shared" ca="1" si="72"/>
        <v>0</v>
      </c>
      <c r="AQ41" s="62">
        <f t="shared" ca="1" si="73"/>
        <v>0</v>
      </c>
      <c r="AR41" s="62">
        <f t="shared" ca="1" si="74"/>
        <v>0</v>
      </c>
      <c r="AS41" s="62">
        <f t="shared" ca="1" si="75"/>
        <v>0</v>
      </c>
      <c r="AT41" s="62">
        <f t="shared" ca="1" si="76"/>
        <v>0</v>
      </c>
      <c r="AU41" s="62">
        <f t="shared" ca="1" si="77"/>
        <v>0</v>
      </c>
      <c r="AV41" s="62">
        <f t="shared" ca="1" si="78"/>
        <v>0</v>
      </c>
      <c r="AW41" s="62">
        <f t="shared" ca="1" si="79"/>
        <v>0</v>
      </c>
      <c r="AX41" s="62">
        <f t="shared" ca="1" si="80"/>
        <v>0</v>
      </c>
      <c r="AY41" s="62">
        <f t="shared" ca="1" si="81"/>
        <v>0</v>
      </c>
      <c r="AZ41" s="62">
        <f t="shared" ca="1" si="82"/>
        <v>0</v>
      </c>
      <c r="BA41" s="62">
        <f t="shared" ca="1" si="83"/>
        <v>0</v>
      </c>
      <c r="BB41" s="62">
        <f t="shared" ca="1" si="84"/>
        <v>0</v>
      </c>
      <c r="BC41" s="62">
        <f t="shared" ca="1" si="85"/>
        <v>0</v>
      </c>
      <c r="BD41" s="62">
        <f t="shared" ca="1" si="86"/>
        <v>0</v>
      </c>
      <c r="BE41" s="62">
        <f t="shared" ca="1" si="87"/>
        <v>0</v>
      </c>
      <c r="BF41" s="62">
        <f t="shared" ca="1" si="88"/>
        <v>0</v>
      </c>
      <c r="BG41" s="62">
        <f t="shared" ca="1" si="89"/>
        <v>0</v>
      </c>
      <c r="BH41" s="62">
        <f t="shared" ca="1" si="90"/>
        <v>0</v>
      </c>
      <c r="BI41" s="62">
        <f t="shared" ca="1" si="91"/>
        <v>0</v>
      </c>
      <c r="BJ41" s="62">
        <f t="shared" ca="1" si="92"/>
        <v>0</v>
      </c>
      <c r="BK41" s="62">
        <f t="shared" ca="1" si="93"/>
        <v>0</v>
      </c>
      <c r="BL41" s="62">
        <f t="shared" ca="1" si="94"/>
        <v>0</v>
      </c>
      <c r="BM41" s="62">
        <f t="shared" ca="1" si="95"/>
        <v>0</v>
      </c>
      <c r="BN41" s="62">
        <f t="shared" ca="1" si="96"/>
        <v>0</v>
      </c>
      <c r="BO41" s="62">
        <f t="shared" ca="1" si="97"/>
        <v>0</v>
      </c>
      <c r="BP41" s="62">
        <f t="shared" ca="1" si="98"/>
        <v>0</v>
      </c>
      <c r="BQ41" s="62">
        <f t="shared" ca="1" si="99"/>
        <v>0</v>
      </c>
      <c r="BR41" s="62">
        <f t="shared" ca="1" si="100"/>
        <v>0</v>
      </c>
      <c r="BS41" s="62"/>
      <c r="BT41" s="62"/>
      <c r="BU41" s="62"/>
      <c r="BV41" s="62">
        <f t="shared" ca="1" si="101"/>
        <v>0</v>
      </c>
      <c r="BW41" s="62">
        <f t="shared" ca="1" si="102"/>
        <v>0</v>
      </c>
      <c r="BX41" s="62">
        <f t="shared" ca="1" si="103"/>
        <v>0</v>
      </c>
      <c r="BY41" s="62">
        <f t="shared" ca="1" si="104"/>
        <v>0</v>
      </c>
      <c r="BZ41" s="62">
        <f t="shared" ca="1" si="105"/>
        <v>0</v>
      </c>
      <c r="CA41" s="62">
        <f t="shared" ca="1" si="106"/>
        <v>0</v>
      </c>
      <c r="CB41" s="62"/>
      <c r="CC41" s="62"/>
      <c r="CD41" s="62"/>
      <c r="CE41" s="62">
        <f t="shared" ca="1" si="107"/>
        <v>0</v>
      </c>
      <c r="CF41" s="62">
        <f t="shared" ca="1" si="108"/>
        <v>0</v>
      </c>
      <c r="CG41" s="62">
        <f t="shared" ca="1" si="109"/>
        <v>0</v>
      </c>
      <c r="CH41" s="62">
        <f t="shared" ca="1" si="110"/>
        <v>0</v>
      </c>
      <c r="CI41" s="62">
        <f t="shared" ca="1" si="111"/>
        <v>0</v>
      </c>
      <c r="CJ41" s="62">
        <f t="shared" ca="1" si="112"/>
        <v>0</v>
      </c>
      <c r="CK41" s="62">
        <f t="shared" ca="1" si="113"/>
        <v>0</v>
      </c>
      <c r="CL41" s="62">
        <f t="shared" ca="1" si="114"/>
        <v>0</v>
      </c>
      <c r="CM41" s="62">
        <f t="shared" ca="1" si="115"/>
        <v>0</v>
      </c>
      <c r="CN41" s="62">
        <f t="shared" ca="1" si="116"/>
        <v>0</v>
      </c>
      <c r="CO41" s="62">
        <f t="shared" ca="1" si="117"/>
        <v>0</v>
      </c>
      <c r="CP41" s="62">
        <f t="shared" ca="1" si="118"/>
        <v>0</v>
      </c>
      <c r="CQ41" s="62">
        <f t="shared" ca="1" si="119"/>
        <v>0</v>
      </c>
      <c r="CR41" s="62">
        <f t="shared" ca="1" si="120"/>
        <v>0</v>
      </c>
      <c r="CS41" s="62">
        <f t="shared" ca="1" si="121"/>
        <v>0</v>
      </c>
      <c r="CT41" s="62">
        <f t="shared" ca="1" si="122"/>
        <v>0</v>
      </c>
      <c r="CU41" s="62">
        <f t="shared" ca="1" si="123"/>
        <v>0</v>
      </c>
      <c r="CV41" s="62">
        <f t="shared" ca="1" si="124"/>
        <v>0</v>
      </c>
      <c r="CW41" s="62">
        <f t="shared" ca="1" si="125"/>
        <v>0</v>
      </c>
      <c r="CX41" s="62">
        <f t="shared" ca="1" si="126"/>
        <v>0</v>
      </c>
      <c r="CY41" s="62">
        <f t="shared" ca="1" si="127"/>
        <v>0</v>
      </c>
      <c r="CZ41" s="62">
        <f t="shared" ca="1" si="128"/>
        <v>0</v>
      </c>
      <c r="DA41" s="62">
        <f t="shared" ca="1" si="129"/>
        <v>0</v>
      </c>
      <c r="DB41" s="62">
        <f t="shared" ca="1" si="130"/>
        <v>0</v>
      </c>
      <c r="DC41" s="62">
        <f t="shared" ca="1" si="131"/>
        <v>0</v>
      </c>
      <c r="DD41" s="62">
        <f t="shared" ca="1" si="132"/>
        <v>0</v>
      </c>
      <c r="DE41" s="62">
        <f t="shared" ca="1" si="133"/>
        <v>0</v>
      </c>
      <c r="DF41" s="62">
        <f t="shared" ca="1" si="134"/>
        <v>0</v>
      </c>
      <c r="DG41" s="62">
        <f t="shared" ca="1" si="135"/>
        <v>0</v>
      </c>
      <c r="DH41" s="62">
        <f t="shared" ca="1" si="136"/>
        <v>0</v>
      </c>
    </row>
    <row r="42" spans="1:112">
      <c r="A42" s="14">
        <f t="shared" si="48"/>
        <v>9</v>
      </c>
      <c r="B42" s="74">
        <f t="shared" ref="B42:C42" ca="1" si="145">B11</f>
        <v>3.8737596974251551</v>
      </c>
      <c r="C42" s="74">
        <f t="shared" si="145"/>
        <v>4034.1</v>
      </c>
      <c r="P42" s="63" t="b">
        <f t="shared" si="138"/>
        <v>1</v>
      </c>
      <c r="Q42" s="62">
        <f t="shared" ca="1" si="50"/>
        <v>40.200984954833984</v>
      </c>
      <c r="R42" s="62">
        <f t="shared" ca="1" si="51"/>
        <v>22.762100219726563</v>
      </c>
      <c r="S42" s="62">
        <f t="shared" ca="1" si="52"/>
        <v>13.308047294616699</v>
      </c>
      <c r="T42" s="62">
        <f t="shared" ca="1" si="53"/>
        <v>30.395971298217773</v>
      </c>
      <c r="U42" s="62">
        <f t="shared" ca="1" si="54"/>
        <v>20.781658172607422</v>
      </c>
      <c r="V42" s="62">
        <f t="shared" ca="1" si="55"/>
        <v>13.156667709350586</v>
      </c>
      <c r="W42" s="62">
        <f t="shared" ca="1" si="56"/>
        <v>31.189441680908203</v>
      </c>
      <c r="X42" s="62">
        <f t="shared" ca="1" si="57"/>
        <v>22.101844787597656</v>
      </c>
      <c r="Y42" s="62">
        <f t="shared" ca="1" si="58"/>
        <v>13.283261299133301</v>
      </c>
      <c r="Z42" s="62">
        <f t="shared" ca="1" si="59"/>
        <v>30.269378662109375</v>
      </c>
      <c r="AA42" s="62">
        <f t="shared" ca="1" si="60"/>
        <v>20.211986541748047</v>
      </c>
      <c r="AB42" s="62">
        <f t="shared" ca="1" si="61"/>
        <v>12.923826217651367</v>
      </c>
      <c r="AC42" s="62">
        <f t="shared" ca="1" si="62"/>
        <v>29.729095458984375</v>
      </c>
      <c r="AD42" s="62">
        <f t="shared" ca="1" si="63"/>
        <v>19.877418518066406</v>
      </c>
      <c r="AE42" s="62">
        <f t="shared" ca="1" si="64"/>
        <v>11.954030990600586</v>
      </c>
      <c r="AF42" s="62"/>
      <c r="AG42" s="62"/>
      <c r="AH42" s="62"/>
      <c r="AI42" s="62">
        <f t="shared" ca="1" si="65"/>
        <v>0</v>
      </c>
      <c r="AJ42" s="62">
        <f t="shared" ca="1" si="66"/>
        <v>0</v>
      </c>
      <c r="AK42" s="62">
        <f t="shared" ca="1" si="67"/>
        <v>0</v>
      </c>
      <c r="AL42" s="62">
        <f t="shared" ca="1" si="68"/>
        <v>0</v>
      </c>
      <c r="AM42" s="62">
        <f t="shared" ca="1" si="69"/>
        <v>0</v>
      </c>
      <c r="AN42" s="62">
        <f t="shared" ca="1" si="70"/>
        <v>0</v>
      </c>
      <c r="AO42" s="62">
        <f t="shared" ca="1" si="71"/>
        <v>0</v>
      </c>
      <c r="AP42" s="62">
        <f t="shared" ca="1" si="72"/>
        <v>0</v>
      </c>
      <c r="AQ42" s="62">
        <f t="shared" ca="1" si="73"/>
        <v>0</v>
      </c>
      <c r="AR42" s="62">
        <f t="shared" ca="1" si="74"/>
        <v>0</v>
      </c>
      <c r="AS42" s="62">
        <f t="shared" ca="1" si="75"/>
        <v>0</v>
      </c>
      <c r="AT42" s="62">
        <f t="shared" ca="1" si="76"/>
        <v>0</v>
      </c>
      <c r="AU42" s="62">
        <f t="shared" ca="1" si="77"/>
        <v>0</v>
      </c>
      <c r="AV42" s="62">
        <f t="shared" ca="1" si="78"/>
        <v>0</v>
      </c>
      <c r="AW42" s="62">
        <f t="shared" ca="1" si="79"/>
        <v>0</v>
      </c>
      <c r="AX42" s="62">
        <f t="shared" ca="1" si="80"/>
        <v>0</v>
      </c>
      <c r="AY42" s="62">
        <f t="shared" ca="1" si="81"/>
        <v>0</v>
      </c>
      <c r="AZ42" s="62">
        <f t="shared" ca="1" si="82"/>
        <v>0</v>
      </c>
      <c r="BA42" s="62">
        <f t="shared" ca="1" si="83"/>
        <v>0</v>
      </c>
      <c r="BB42" s="62">
        <f t="shared" ca="1" si="84"/>
        <v>0</v>
      </c>
      <c r="BC42" s="62">
        <f t="shared" ca="1" si="85"/>
        <v>0</v>
      </c>
      <c r="BD42" s="62">
        <f t="shared" ca="1" si="86"/>
        <v>0</v>
      </c>
      <c r="BE42" s="62">
        <f t="shared" ca="1" si="87"/>
        <v>0</v>
      </c>
      <c r="BF42" s="62">
        <f t="shared" ca="1" si="88"/>
        <v>0</v>
      </c>
      <c r="BG42" s="62">
        <f t="shared" ca="1" si="89"/>
        <v>0</v>
      </c>
      <c r="BH42" s="62">
        <f t="shared" ca="1" si="90"/>
        <v>0</v>
      </c>
      <c r="BI42" s="62">
        <f t="shared" ca="1" si="91"/>
        <v>0</v>
      </c>
      <c r="BJ42" s="62">
        <f t="shared" ca="1" si="92"/>
        <v>0</v>
      </c>
      <c r="BK42" s="62">
        <f t="shared" ca="1" si="93"/>
        <v>0</v>
      </c>
      <c r="BL42" s="62">
        <f t="shared" ca="1" si="94"/>
        <v>0</v>
      </c>
      <c r="BM42" s="62">
        <f t="shared" ca="1" si="95"/>
        <v>0</v>
      </c>
      <c r="BN42" s="62">
        <f t="shared" ca="1" si="96"/>
        <v>0</v>
      </c>
      <c r="BO42" s="62">
        <f t="shared" ca="1" si="97"/>
        <v>0</v>
      </c>
      <c r="BP42" s="62">
        <f t="shared" ca="1" si="98"/>
        <v>0</v>
      </c>
      <c r="BQ42" s="62">
        <f t="shared" ca="1" si="99"/>
        <v>0</v>
      </c>
      <c r="BR42" s="62">
        <f t="shared" ca="1" si="100"/>
        <v>0</v>
      </c>
      <c r="BS42" s="62"/>
      <c r="BT42" s="62"/>
      <c r="BU42" s="62"/>
      <c r="BV42" s="62">
        <f t="shared" ca="1" si="101"/>
        <v>0</v>
      </c>
      <c r="BW42" s="62">
        <f t="shared" ca="1" si="102"/>
        <v>0</v>
      </c>
      <c r="BX42" s="62">
        <f t="shared" ca="1" si="103"/>
        <v>0</v>
      </c>
      <c r="BY42" s="62">
        <f t="shared" ca="1" si="104"/>
        <v>0</v>
      </c>
      <c r="BZ42" s="62">
        <f t="shared" ca="1" si="105"/>
        <v>0</v>
      </c>
      <c r="CA42" s="62">
        <f t="shared" ca="1" si="106"/>
        <v>0</v>
      </c>
      <c r="CB42" s="62"/>
      <c r="CC42" s="62"/>
      <c r="CD42" s="62"/>
      <c r="CE42" s="62">
        <f t="shared" ca="1" si="107"/>
        <v>0</v>
      </c>
      <c r="CF42" s="62">
        <f t="shared" ca="1" si="108"/>
        <v>0</v>
      </c>
      <c r="CG42" s="62">
        <f t="shared" ca="1" si="109"/>
        <v>0</v>
      </c>
      <c r="CH42" s="62">
        <f t="shared" ca="1" si="110"/>
        <v>0</v>
      </c>
      <c r="CI42" s="62">
        <f t="shared" ca="1" si="111"/>
        <v>0</v>
      </c>
      <c r="CJ42" s="62">
        <f t="shared" ca="1" si="112"/>
        <v>0</v>
      </c>
      <c r="CK42" s="62">
        <f t="shared" ca="1" si="113"/>
        <v>0</v>
      </c>
      <c r="CL42" s="62">
        <f t="shared" ca="1" si="114"/>
        <v>0</v>
      </c>
      <c r="CM42" s="62">
        <f t="shared" ca="1" si="115"/>
        <v>0</v>
      </c>
      <c r="CN42" s="62">
        <f t="shared" ca="1" si="116"/>
        <v>0</v>
      </c>
      <c r="CO42" s="62">
        <f t="shared" ca="1" si="117"/>
        <v>0</v>
      </c>
      <c r="CP42" s="62">
        <f t="shared" ca="1" si="118"/>
        <v>0</v>
      </c>
      <c r="CQ42" s="62">
        <f t="shared" ca="1" si="119"/>
        <v>0</v>
      </c>
      <c r="CR42" s="62">
        <f t="shared" ca="1" si="120"/>
        <v>0</v>
      </c>
      <c r="CS42" s="62">
        <f t="shared" ca="1" si="121"/>
        <v>0</v>
      </c>
      <c r="CT42" s="62">
        <f t="shared" ca="1" si="122"/>
        <v>0</v>
      </c>
      <c r="CU42" s="62">
        <f t="shared" ca="1" si="123"/>
        <v>0</v>
      </c>
      <c r="CV42" s="62">
        <f t="shared" ca="1" si="124"/>
        <v>0</v>
      </c>
      <c r="CW42" s="62">
        <f t="shared" ca="1" si="125"/>
        <v>0</v>
      </c>
      <c r="CX42" s="62">
        <f t="shared" ca="1" si="126"/>
        <v>0</v>
      </c>
      <c r="CY42" s="62">
        <f t="shared" ca="1" si="127"/>
        <v>0</v>
      </c>
      <c r="CZ42" s="62">
        <f t="shared" ca="1" si="128"/>
        <v>0</v>
      </c>
      <c r="DA42" s="62">
        <f t="shared" ca="1" si="129"/>
        <v>0</v>
      </c>
      <c r="DB42" s="62">
        <f t="shared" ca="1" si="130"/>
        <v>0</v>
      </c>
      <c r="DC42" s="62">
        <f t="shared" ca="1" si="131"/>
        <v>0</v>
      </c>
      <c r="DD42" s="62">
        <f t="shared" ca="1" si="132"/>
        <v>0</v>
      </c>
      <c r="DE42" s="62">
        <f t="shared" ca="1" si="133"/>
        <v>0</v>
      </c>
      <c r="DF42" s="62">
        <f t="shared" ca="1" si="134"/>
        <v>0</v>
      </c>
      <c r="DG42" s="62">
        <f t="shared" ca="1" si="135"/>
        <v>0</v>
      </c>
      <c r="DH42" s="62">
        <f t="shared" ca="1" si="136"/>
        <v>0</v>
      </c>
    </row>
    <row r="43" spans="1:112">
      <c r="A43" s="14">
        <f t="shared" si="48"/>
        <v>10</v>
      </c>
      <c r="B43" s="74">
        <f t="shared" ref="B43:C43" ca="1" si="146">B12</f>
        <v>3.2207968686872634</v>
      </c>
      <c r="C43" s="74">
        <f t="shared" si="146"/>
        <v>4023.8</v>
      </c>
      <c r="P43" s="63" t="b">
        <f t="shared" si="138"/>
        <v>1</v>
      </c>
      <c r="Q43" s="62">
        <f t="shared" ca="1" si="50"/>
        <v>25.452049255371094</v>
      </c>
      <c r="R43" s="62">
        <f t="shared" ca="1" si="51"/>
        <v>18.554969787597656</v>
      </c>
      <c r="S43" s="62">
        <f t="shared" ca="1" si="52"/>
        <v>10.000876426696777</v>
      </c>
      <c r="T43" s="62">
        <f t="shared" ca="1" si="53"/>
        <v>24.342498779296875</v>
      </c>
      <c r="U43" s="62">
        <f t="shared" ca="1" si="54"/>
        <v>17.111902236938477</v>
      </c>
      <c r="V43" s="62">
        <f t="shared" ca="1" si="55"/>
        <v>9.6807594299316406</v>
      </c>
      <c r="W43" s="62">
        <f t="shared" ca="1" si="56"/>
        <v>24.90272331237793</v>
      </c>
      <c r="X43" s="62">
        <f t="shared" ca="1" si="57"/>
        <v>18.044076919555664</v>
      </c>
      <c r="Y43" s="62">
        <f t="shared" ca="1" si="58"/>
        <v>9.7544708251953125</v>
      </c>
      <c r="Z43" s="62">
        <f t="shared" ca="1" si="59"/>
        <v>24.056938171386719</v>
      </c>
      <c r="AA43" s="62">
        <f t="shared" ca="1" si="60"/>
        <v>16.36421012878418</v>
      </c>
      <c r="AB43" s="62">
        <f t="shared" ca="1" si="61"/>
        <v>9.4605932235717773</v>
      </c>
      <c r="AC43" s="62">
        <f t="shared" ca="1" si="62"/>
        <v>23.804073333740234</v>
      </c>
      <c r="AD43" s="62">
        <f t="shared" ca="1" si="63"/>
        <v>16.122245788574219</v>
      </c>
      <c r="AE43" s="62">
        <f t="shared" ca="1" si="64"/>
        <v>8.6889228820800781</v>
      </c>
      <c r="AF43" s="62"/>
      <c r="AG43" s="62"/>
      <c r="AH43" s="62"/>
      <c r="AI43" s="62">
        <f t="shared" ca="1" si="65"/>
        <v>0</v>
      </c>
      <c r="AJ43" s="62">
        <f t="shared" ca="1" si="66"/>
        <v>0</v>
      </c>
      <c r="AK43" s="62">
        <f t="shared" ca="1" si="67"/>
        <v>0</v>
      </c>
      <c r="AL43" s="62">
        <f t="shared" ca="1" si="68"/>
        <v>0</v>
      </c>
      <c r="AM43" s="62">
        <f t="shared" ca="1" si="69"/>
        <v>0</v>
      </c>
      <c r="AN43" s="62">
        <f t="shared" ca="1" si="70"/>
        <v>0</v>
      </c>
      <c r="AO43" s="62">
        <f t="shared" ca="1" si="71"/>
        <v>0</v>
      </c>
      <c r="AP43" s="62">
        <f t="shared" ca="1" si="72"/>
        <v>0</v>
      </c>
      <c r="AQ43" s="62">
        <f t="shared" ca="1" si="73"/>
        <v>0</v>
      </c>
      <c r="AR43" s="62">
        <f t="shared" ca="1" si="74"/>
        <v>0</v>
      </c>
      <c r="AS43" s="62">
        <f t="shared" ca="1" si="75"/>
        <v>0</v>
      </c>
      <c r="AT43" s="62">
        <f t="shared" ca="1" si="76"/>
        <v>0</v>
      </c>
      <c r="AU43" s="62">
        <f t="shared" ca="1" si="77"/>
        <v>0</v>
      </c>
      <c r="AV43" s="62">
        <f t="shared" ca="1" si="78"/>
        <v>0</v>
      </c>
      <c r="AW43" s="62">
        <f t="shared" ca="1" si="79"/>
        <v>0</v>
      </c>
      <c r="AX43" s="62">
        <f t="shared" ca="1" si="80"/>
        <v>0</v>
      </c>
      <c r="AY43" s="62">
        <f t="shared" ca="1" si="81"/>
        <v>0</v>
      </c>
      <c r="AZ43" s="62">
        <f t="shared" ca="1" si="82"/>
        <v>0</v>
      </c>
      <c r="BA43" s="62">
        <f t="shared" ca="1" si="83"/>
        <v>0</v>
      </c>
      <c r="BB43" s="62">
        <f t="shared" ca="1" si="84"/>
        <v>0</v>
      </c>
      <c r="BC43" s="62">
        <f t="shared" ca="1" si="85"/>
        <v>0</v>
      </c>
      <c r="BD43" s="62">
        <f t="shared" ca="1" si="86"/>
        <v>0</v>
      </c>
      <c r="BE43" s="62">
        <f t="shared" ca="1" si="87"/>
        <v>0</v>
      </c>
      <c r="BF43" s="62">
        <f t="shared" ca="1" si="88"/>
        <v>0</v>
      </c>
      <c r="BG43" s="62">
        <f t="shared" ca="1" si="89"/>
        <v>0</v>
      </c>
      <c r="BH43" s="62">
        <f t="shared" ca="1" si="90"/>
        <v>0</v>
      </c>
      <c r="BI43" s="62">
        <f t="shared" ca="1" si="91"/>
        <v>0</v>
      </c>
      <c r="BJ43" s="62">
        <f t="shared" ca="1" si="92"/>
        <v>0</v>
      </c>
      <c r="BK43" s="62">
        <f t="shared" ca="1" si="93"/>
        <v>0</v>
      </c>
      <c r="BL43" s="62">
        <f t="shared" ca="1" si="94"/>
        <v>0</v>
      </c>
      <c r="BM43" s="62">
        <f t="shared" ca="1" si="95"/>
        <v>0</v>
      </c>
      <c r="BN43" s="62">
        <f t="shared" ca="1" si="96"/>
        <v>0</v>
      </c>
      <c r="BO43" s="62">
        <f t="shared" ca="1" si="97"/>
        <v>0</v>
      </c>
      <c r="BP43" s="62">
        <f t="shared" ca="1" si="98"/>
        <v>0</v>
      </c>
      <c r="BQ43" s="62">
        <f t="shared" ca="1" si="99"/>
        <v>0</v>
      </c>
      <c r="BR43" s="62">
        <f t="shared" ca="1" si="100"/>
        <v>0</v>
      </c>
      <c r="BS43" s="62"/>
      <c r="BT43" s="62"/>
      <c r="BU43" s="62"/>
      <c r="BV43" s="62">
        <f t="shared" ca="1" si="101"/>
        <v>0</v>
      </c>
      <c r="BW43" s="62">
        <f t="shared" ca="1" si="102"/>
        <v>0</v>
      </c>
      <c r="BX43" s="62">
        <f t="shared" ca="1" si="103"/>
        <v>0</v>
      </c>
      <c r="BY43" s="62">
        <f t="shared" ca="1" si="104"/>
        <v>0</v>
      </c>
      <c r="BZ43" s="62">
        <f t="shared" ca="1" si="105"/>
        <v>0</v>
      </c>
      <c r="CA43" s="62">
        <f t="shared" ca="1" si="106"/>
        <v>0</v>
      </c>
      <c r="CB43" s="62"/>
      <c r="CC43" s="62"/>
      <c r="CD43" s="62"/>
      <c r="CE43" s="62">
        <f t="shared" ca="1" si="107"/>
        <v>0</v>
      </c>
      <c r="CF43" s="62">
        <f t="shared" ca="1" si="108"/>
        <v>0</v>
      </c>
      <c r="CG43" s="62">
        <f t="shared" ca="1" si="109"/>
        <v>0</v>
      </c>
      <c r="CH43" s="62">
        <f t="shared" ca="1" si="110"/>
        <v>0</v>
      </c>
      <c r="CI43" s="62">
        <f t="shared" ca="1" si="111"/>
        <v>0</v>
      </c>
      <c r="CJ43" s="62">
        <f t="shared" ca="1" si="112"/>
        <v>0</v>
      </c>
      <c r="CK43" s="62">
        <f t="shared" ca="1" si="113"/>
        <v>0</v>
      </c>
      <c r="CL43" s="62">
        <f t="shared" ca="1" si="114"/>
        <v>0</v>
      </c>
      <c r="CM43" s="62">
        <f t="shared" ca="1" si="115"/>
        <v>0</v>
      </c>
      <c r="CN43" s="62">
        <f t="shared" ca="1" si="116"/>
        <v>0</v>
      </c>
      <c r="CO43" s="62">
        <f t="shared" ca="1" si="117"/>
        <v>0</v>
      </c>
      <c r="CP43" s="62">
        <f t="shared" ca="1" si="118"/>
        <v>0</v>
      </c>
      <c r="CQ43" s="62">
        <f t="shared" ca="1" si="119"/>
        <v>0</v>
      </c>
      <c r="CR43" s="62">
        <f t="shared" ca="1" si="120"/>
        <v>0</v>
      </c>
      <c r="CS43" s="62">
        <f t="shared" ca="1" si="121"/>
        <v>0</v>
      </c>
      <c r="CT43" s="62">
        <f t="shared" ca="1" si="122"/>
        <v>0</v>
      </c>
      <c r="CU43" s="62">
        <f t="shared" ca="1" si="123"/>
        <v>0</v>
      </c>
      <c r="CV43" s="62">
        <f t="shared" ca="1" si="124"/>
        <v>0</v>
      </c>
      <c r="CW43" s="62">
        <f t="shared" ca="1" si="125"/>
        <v>0</v>
      </c>
      <c r="CX43" s="62">
        <f t="shared" ca="1" si="126"/>
        <v>0</v>
      </c>
      <c r="CY43" s="62">
        <f t="shared" ca="1" si="127"/>
        <v>0</v>
      </c>
      <c r="CZ43" s="62">
        <f t="shared" ca="1" si="128"/>
        <v>0</v>
      </c>
      <c r="DA43" s="62">
        <f t="shared" ca="1" si="129"/>
        <v>0</v>
      </c>
      <c r="DB43" s="62">
        <f t="shared" ca="1" si="130"/>
        <v>0</v>
      </c>
      <c r="DC43" s="62">
        <f t="shared" ca="1" si="131"/>
        <v>0</v>
      </c>
      <c r="DD43" s="62">
        <f t="shared" ca="1" si="132"/>
        <v>0</v>
      </c>
      <c r="DE43" s="62">
        <f t="shared" ca="1" si="133"/>
        <v>0</v>
      </c>
      <c r="DF43" s="62">
        <f t="shared" ca="1" si="134"/>
        <v>0</v>
      </c>
      <c r="DG43" s="62">
        <f t="shared" ca="1" si="135"/>
        <v>0</v>
      </c>
      <c r="DH43" s="62">
        <f t="shared" ca="1" si="136"/>
        <v>0</v>
      </c>
    </row>
    <row r="44" spans="1:112">
      <c r="A44" s="14">
        <f t="shared" si="48"/>
        <v>11</v>
      </c>
      <c r="B44" s="74">
        <f t="shared" ref="B44:C44" ca="1" si="147">B13</f>
        <v>2.38707854456778</v>
      </c>
      <c r="C44" s="74">
        <f t="shared" si="147"/>
        <v>4005.5</v>
      </c>
      <c r="P44" s="63" t="b">
        <f t="shared" si="138"/>
        <v>1</v>
      </c>
      <c r="Q44" s="62">
        <f t="shared" ca="1" si="50"/>
        <v>21.240558624267578</v>
      </c>
      <c r="R44" s="62">
        <f t="shared" ca="1" si="51"/>
        <v>14.707436561584473</v>
      </c>
      <c r="S44" s="62">
        <f t="shared" ca="1" si="52"/>
        <v>9.1757583618164062</v>
      </c>
      <c r="T44" s="62">
        <f t="shared" ca="1" si="53"/>
        <v>20.419961929321289</v>
      </c>
      <c r="U44" s="62">
        <f t="shared" ca="1" si="54"/>
        <v>13.443763732910156</v>
      </c>
      <c r="V44" s="62">
        <f t="shared" ca="1" si="55"/>
        <v>8.9949111938476563</v>
      </c>
      <c r="W44" s="62">
        <f t="shared" ca="1" si="56"/>
        <v>21.077795028686523</v>
      </c>
      <c r="X44" s="62">
        <f t="shared" ca="1" si="57"/>
        <v>14.429383277893066</v>
      </c>
      <c r="Y44" s="62">
        <f t="shared" ca="1" si="58"/>
        <v>9.2639217376708984</v>
      </c>
      <c r="Z44" s="62">
        <f t="shared" ca="1" si="59"/>
        <v>20.026618957519531</v>
      </c>
      <c r="AA44" s="62">
        <f t="shared" ca="1" si="60"/>
        <v>12.625428199768066</v>
      </c>
      <c r="AB44" s="62">
        <f t="shared" ca="1" si="61"/>
        <v>8.7304210662841797</v>
      </c>
      <c r="AC44" s="62">
        <f t="shared" ca="1" si="62"/>
        <v>19.926103591918945</v>
      </c>
      <c r="AD44" s="62">
        <f t="shared" ca="1" si="63"/>
        <v>12.586513519287109</v>
      </c>
      <c r="AE44" s="62">
        <f t="shared" ca="1" si="64"/>
        <v>8.1286993026733398</v>
      </c>
      <c r="AF44" s="62"/>
      <c r="AG44" s="62"/>
      <c r="AH44" s="62"/>
      <c r="AI44" s="62">
        <f t="shared" ca="1" si="65"/>
        <v>0</v>
      </c>
      <c r="AJ44" s="62">
        <f t="shared" ca="1" si="66"/>
        <v>0</v>
      </c>
      <c r="AK44" s="62">
        <f t="shared" ca="1" si="67"/>
        <v>0</v>
      </c>
      <c r="AL44" s="62">
        <f t="shared" ca="1" si="68"/>
        <v>0</v>
      </c>
      <c r="AM44" s="62">
        <f t="shared" ca="1" si="69"/>
        <v>0</v>
      </c>
      <c r="AN44" s="62">
        <f t="shared" ca="1" si="70"/>
        <v>0</v>
      </c>
      <c r="AO44" s="62">
        <f t="shared" ca="1" si="71"/>
        <v>0</v>
      </c>
      <c r="AP44" s="62">
        <f t="shared" ca="1" si="72"/>
        <v>0</v>
      </c>
      <c r="AQ44" s="62">
        <f t="shared" ca="1" si="73"/>
        <v>0</v>
      </c>
      <c r="AR44" s="62">
        <f t="shared" ca="1" si="74"/>
        <v>0</v>
      </c>
      <c r="AS44" s="62">
        <f t="shared" ca="1" si="75"/>
        <v>0</v>
      </c>
      <c r="AT44" s="62">
        <f t="shared" ca="1" si="76"/>
        <v>0</v>
      </c>
      <c r="AU44" s="62">
        <f t="shared" ca="1" si="77"/>
        <v>0</v>
      </c>
      <c r="AV44" s="62">
        <f t="shared" ca="1" si="78"/>
        <v>0</v>
      </c>
      <c r="AW44" s="62">
        <f t="shared" ca="1" si="79"/>
        <v>0</v>
      </c>
      <c r="AX44" s="62">
        <f t="shared" ca="1" si="80"/>
        <v>0</v>
      </c>
      <c r="AY44" s="62">
        <f t="shared" ca="1" si="81"/>
        <v>0</v>
      </c>
      <c r="AZ44" s="62">
        <f t="shared" ca="1" si="82"/>
        <v>0</v>
      </c>
      <c r="BA44" s="62">
        <f t="shared" ca="1" si="83"/>
        <v>0</v>
      </c>
      <c r="BB44" s="62">
        <f t="shared" ca="1" si="84"/>
        <v>0</v>
      </c>
      <c r="BC44" s="62">
        <f t="shared" ca="1" si="85"/>
        <v>0</v>
      </c>
      <c r="BD44" s="62">
        <f t="shared" ca="1" si="86"/>
        <v>0</v>
      </c>
      <c r="BE44" s="62">
        <f t="shared" ca="1" si="87"/>
        <v>0</v>
      </c>
      <c r="BF44" s="62">
        <f t="shared" ca="1" si="88"/>
        <v>0</v>
      </c>
      <c r="BG44" s="62">
        <f t="shared" ca="1" si="89"/>
        <v>0</v>
      </c>
      <c r="BH44" s="62">
        <f t="shared" ca="1" si="90"/>
        <v>0</v>
      </c>
      <c r="BI44" s="62">
        <f t="shared" ca="1" si="91"/>
        <v>0</v>
      </c>
      <c r="BJ44" s="62">
        <f t="shared" ca="1" si="92"/>
        <v>0</v>
      </c>
      <c r="BK44" s="62">
        <f t="shared" ca="1" si="93"/>
        <v>0</v>
      </c>
      <c r="BL44" s="62">
        <f t="shared" ca="1" si="94"/>
        <v>0</v>
      </c>
      <c r="BM44" s="62">
        <f t="shared" ca="1" si="95"/>
        <v>0</v>
      </c>
      <c r="BN44" s="62">
        <f t="shared" ca="1" si="96"/>
        <v>0</v>
      </c>
      <c r="BO44" s="62">
        <f t="shared" ca="1" si="97"/>
        <v>0</v>
      </c>
      <c r="BP44" s="62">
        <f t="shared" ca="1" si="98"/>
        <v>0</v>
      </c>
      <c r="BQ44" s="62">
        <f t="shared" ca="1" si="99"/>
        <v>0</v>
      </c>
      <c r="BR44" s="62">
        <f t="shared" ca="1" si="100"/>
        <v>0</v>
      </c>
      <c r="BS44" s="62"/>
      <c r="BT44" s="62"/>
      <c r="BU44" s="62"/>
      <c r="BV44" s="62">
        <f t="shared" ca="1" si="101"/>
        <v>0</v>
      </c>
      <c r="BW44" s="62">
        <f t="shared" ca="1" si="102"/>
        <v>0</v>
      </c>
      <c r="BX44" s="62">
        <f t="shared" ca="1" si="103"/>
        <v>0</v>
      </c>
      <c r="BY44" s="62">
        <f t="shared" ca="1" si="104"/>
        <v>0</v>
      </c>
      <c r="BZ44" s="62">
        <f t="shared" ca="1" si="105"/>
        <v>0</v>
      </c>
      <c r="CA44" s="62">
        <f t="shared" ca="1" si="106"/>
        <v>0</v>
      </c>
      <c r="CB44" s="62"/>
      <c r="CC44" s="62"/>
      <c r="CD44" s="62"/>
      <c r="CE44" s="62">
        <f t="shared" ca="1" si="107"/>
        <v>0</v>
      </c>
      <c r="CF44" s="62">
        <f t="shared" ca="1" si="108"/>
        <v>0</v>
      </c>
      <c r="CG44" s="62">
        <f t="shared" ca="1" si="109"/>
        <v>0</v>
      </c>
      <c r="CH44" s="62">
        <f t="shared" ca="1" si="110"/>
        <v>0</v>
      </c>
      <c r="CI44" s="62">
        <f t="shared" ca="1" si="111"/>
        <v>0</v>
      </c>
      <c r="CJ44" s="62">
        <f t="shared" ca="1" si="112"/>
        <v>0</v>
      </c>
      <c r="CK44" s="62">
        <f t="shared" ca="1" si="113"/>
        <v>0</v>
      </c>
      <c r="CL44" s="62">
        <f t="shared" ca="1" si="114"/>
        <v>0</v>
      </c>
      <c r="CM44" s="62">
        <f t="shared" ca="1" si="115"/>
        <v>0</v>
      </c>
      <c r="CN44" s="62">
        <f t="shared" ca="1" si="116"/>
        <v>0</v>
      </c>
      <c r="CO44" s="62">
        <f t="shared" ca="1" si="117"/>
        <v>0</v>
      </c>
      <c r="CP44" s="62">
        <f t="shared" ca="1" si="118"/>
        <v>0</v>
      </c>
      <c r="CQ44" s="62">
        <f t="shared" ca="1" si="119"/>
        <v>0</v>
      </c>
      <c r="CR44" s="62">
        <f t="shared" ca="1" si="120"/>
        <v>0</v>
      </c>
      <c r="CS44" s="62">
        <f t="shared" ca="1" si="121"/>
        <v>0</v>
      </c>
      <c r="CT44" s="62">
        <f t="shared" ca="1" si="122"/>
        <v>0</v>
      </c>
      <c r="CU44" s="62">
        <f t="shared" ca="1" si="123"/>
        <v>0</v>
      </c>
      <c r="CV44" s="62">
        <f t="shared" ca="1" si="124"/>
        <v>0</v>
      </c>
      <c r="CW44" s="62">
        <f t="shared" ca="1" si="125"/>
        <v>0</v>
      </c>
      <c r="CX44" s="62">
        <f t="shared" ca="1" si="126"/>
        <v>0</v>
      </c>
      <c r="CY44" s="62">
        <f t="shared" ca="1" si="127"/>
        <v>0</v>
      </c>
      <c r="CZ44" s="62">
        <f t="shared" ca="1" si="128"/>
        <v>0</v>
      </c>
      <c r="DA44" s="62">
        <f t="shared" ca="1" si="129"/>
        <v>0</v>
      </c>
      <c r="DB44" s="62">
        <f t="shared" ca="1" si="130"/>
        <v>0</v>
      </c>
      <c r="DC44" s="62">
        <f t="shared" ca="1" si="131"/>
        <v>0</v>
      </c>
      <c r="DD44" s="62">
        <f t="shared" ca="1" si="132"/>
        <v>0</v>
      </c>
      <c r="DE44" s="62">
        <f t="shared" ca="1" si="133"/>
        <v>0</v>
      </c>
      <c r="DF44" s="62">
        <f t="shared" ca="1" si="134"/>
        <v>0</v>
      </c>
      <c r="DG44" s="62">
        <f t="shared" ca="1" si="135"/>
        <v>0</v>
      </c>
      <c r="DH44" s="62">
        <f t="shared" ca="1" si="136"/>
        <v>0</v>
      </c>
    </row>
    <row r="45" spans="1:112">
      <c r="A45" s="14">
        <f t="shared" si="48"/>
        <v>12</v>
      </c>
      <c r="B45" s="74">
        <f t="shared" ref="B45:C45" ca="1" si="148">B14</f>
        <v>2.1590792663518994</v>
      </c>
      <c r="C45" s="74">
        <f t="shared" si="148"/>
        <v>4009.6</v>
      </c>
      <c r="P45" s="63" t="b">
        <f t="shared" si="138"/>
        <v>1</v>
      </c>
      <c r="Q45" s="62">
        <f t="shared" ca="1" si="50"/>
        <v>24.756673812866211</v>
      </c>
      <c r="R45" s="62">
        <f t="shared" ca="1" si="51"/>
        <v>13.443198204040527</v>
      </c>
      <c r="S45" s="62">
        <f t="shared" ca="1" si="52"/>
        <v>8.4861955642700195</v>
      </c>
      <c r="T45" s="62">
        <f t="shared" ca="1" si="53"/>
        <v>18.790073394775391</v>
      </c>
      <c r="U45" s="62">
        <f t="shared" ca="1" si="54"/>
        <v>12.21399974822998</v>
      </c>
      <c r="V45" s="62">
        <f t="shared" ca="1" si="55"/>
        <v>8.391331672668457</v>
      </c>
      <c r="W45" s="62">
        <f t="shared" ca="1" si="56"/>
        <v>24.754493713378906</v>
      </c>
      <c r="X45" s="62">
        <f t="shared" ca="1" si="57"/>
        <v>13.332025527954102</v>
      </c>
      <c r="Y45" s="62">
        <f t="shared" ca="1" si="58"/>
        <v>8.6148080825805664</v>
      </c>
      <c r="Z45" s="62">
        <f t="shared" ca="1" si="59"/>
        <v>18.469955444335937</v>
      </c>
      <c r="AA45" s="62">
        <f t="shared" ca="1" si="60"/>
        <v>11.514021873474121</v>
      </c>
      <c r="AB45" s="62">
        <f t="shared" ca="1" si="61"/>
        <v>8.0938215255737305</v>
      </c>
      <c r="AC45" s="62">
        <f t="shared" ca="1" si="62"/>
        <v>18.319868087768555</v>
      </c>
      <c r="AD45" s="62">
        <f t="shared" ca="1" si="63"/>
        <v>11.558426856994629</v>
      </c>
      <c r="AE45" s="62">
        <f t="shared" ca="1" si="64"/>
        <v>7.6498560905456543</v>
      </c>
      <c r="AF45" s="62"/>
      <c r="AG45" s="62"/>
      <c r="AH45" s="62"/>
      <c r="AI45" s="62">
        <f t="shared" ca="1" si="65"/>
        <v>0</v>
      </c>
      <c r="AJ45" s="62">
        <f t="shared" ca="1" si="66"/>
        <v>0</v>
      </c>
      <c r="AK45" s="62">
        <f t="shared" ca="1" si="67"/>
        <v>0</v>
      </c>
      <c r="AL45" s="62">
        <f t="shared" ca="1" si="68"/>
        <v>0</v>
      </c>
      <c r="AM45" s="62">
        <f t="shared" ca="1" si="69"/>
        <v>0</v>
      </c>
      <c r="AN45" s="62">
        <f t="shared" ca="1" si="70"/>
        <v>0</v>
      </c>
      <c r="AO45" s="62">
        <f t="shared" ca="1" si="71"/>
        <v>0</v>
      </c>
      <c r="AP45" s="62">
        <f t="shared" ca="1" si="72"/>
        <v>0</v>
      </c>
      <c r="AQ45" s="62">
        <f t="shared" ca="1" si="73"/>
        <v>0</v>
      </c>
      <c r="AR45" s="62">
        <f t="shared" ca="1" si="74"/>
        <v>0</v>
      </c>
      <c r="AS45" s="62">
        <f t="shared" ca="1" si="75"/>
        <v>0</v>
      </c>
      <c r="AT45" s="62">
        <f t="shared" ca="1" si="76"/>
        <v>0</v>
      </c>
      <c r="AU45" s="62">
        <f t="shared" ca="1" si="77"/>
        <v>0</v>
      </c>
      <c r="AV45" s="62">
        <f t="shared" ca="1" si="78"/>
        <v>0</v>
      </c>
      <c r="AW45" s="62">
        <f t="shared" ca="1" si="79"/>
        <v>0</v>
      </c>
      <c r="AX45" s="62">
        <f t="shared" ca="1" si="80"/>
        <v>0</v>
      </c>
      <c r="AY45" s="62">
        <f t="shared" ca="1" si="81"/>
        <v>0</v>
      </c>
      <c r="AZ45" s="62">
        <f t="shared" ca="1" si="82"/>
        <v>0</v>
      </c>
      <c r="BA45" s="62">
        <f t="shared" ca="1" si="83"/>
        <v>0</v>
      </c>
      <c r="BB45" s="62">
        <f t="shared" ca="1" si="84"/>
        <v>0</v>
      </c>
      <c r="BC45" s="62">
        <f t="shared" ca="1" si="85"/>
        <v>0</v>
      </c>
      <c r="BD45" s="62">
        <f t="shared" ca="1" si="86"/>
        <v>0</v>
      </c>
      <c r="BE45" s="62">
        <f t="shared" ca="1" si="87"/>
        <v>0</v>
      </c>
      <c r="BF45" s="62">
        <f t="shared" ca="1" si="88"/>
        <v>0</v>
      </c>
      <c r="BG45" s="62">
        <f t="shared" ca="1" si="89"/>
        <v>0</v>
      </c>
      <c r="BH45" s="62">
        <f t="shared" ca="1" si="90"/>
        <v>0</v>
      </c>
      <c r="BI45" s="62">
        <f t="shared" ca="1" si="91"/>
        <v>0</v>
      </c>
      <c r="BJ45" s="62">
        <f t="shared" ca="1" si="92"/>
        <v>0</v>
      </c>
      <c r="BK45" s="62">
        <f t="shared" ca="1" si="93"/>
        <v>0</v>
      </c>
      <c r="BL45" s="62">
        <f t="shared" ca="1" si="94"/>
        <v>0</v>
      </c>
      <c r="BM45" s="62">
        <f t="shared" ca="1" si="95"/>
        <v>0</v>
      </c>
      <c r="BN45" s="62">
        <f t="shared" ca="1" si="96"/>
        <v>0</v>
      </c>
      <c r="BO45" s="62">
        <f t="shared" ca="1" si="97"/>
        <v>0</v>
      </c>
      <c r="BP45" s="62">
        <f t="shared" ca="1" si="98"/>
        <v>0</v>
      </c>
      <c r="BQ45" s="62">
        <f t="shared" ca="1" si="99"/>
        <v>0</v>
      </c>
      <c r="BR45" s="62">
        <f t="shared" ca="1" si="100"/>
        <v>0</v>
      </c>
      <c r="BS45" s="62"/>
      <c r="BT45" s="62"/>
      <c r="BU45" s="62"/>
      <c r="BV45" s="62">
        <f t="shared" ca="1" si="101"/>
        <v>0</v>
      </c>
      <c r="BW45" s="62">
        <f t="shared" ca="1" si="102"/>
        <v>0</v>
      </c>
      <c r="BX45" s="62">
        <f t="shared" ca="1" si="103"/>
        <v>0</v>
      </c>
      <c r="BY45" s="62">
        <f t="shared" ca="1" si="104"/>
        <v>0</v>
      </c>
      <c r="BZ45" s="62">
        <f t="shared" ca="1" si="105"/>
        <v>0</v>
      </c>
      <c r="CA45" s="62">
        <f t="shared" ca="1" si="106"/>
        <v>0</v>
      </c>
      <c r="CB45" s="62"/>
      <c r="CC45" s="62"/>
      <c r="CD45" s="62"/>
      <c r="CE45" s="62">
        <f t="shared" ca="1" si="107"/>
        <v>0</v>
      </c>
      <c r="CF45" s="62">
        <f t="shared" ca="1" si="108"/>
        <v>0</v>
      </c>
      <c r="CG45" s="62">
        <f t="shared" ca="1" si="109"/>
        <v>0</v>
      </c>
      <c r="CH45" s="62">
        <f t="shared" ca="1" si="110"/>
        <v>0</v>
      </c>
      <c r="CI45" s="62">
        <f t="shared" ca="1" si="111"/>
        <v>0</v>
      </c>
      <c r="CJ45" s="62">
        <f t="shared" ca="1" si="112"/>
        <v>0</v>
      </c>
      <c r="CK45" s="62">
        <f t="shared" ca="1" si="113"/>
        <v>0</v>
      </c>
      <c r="CL45" s="62">
        <f t="shared" ca="1" si="114"/>
        <v>0</v>
      </c>
      <c r="CM45" s="62">
        <f t="shared" ca="1" si="115"/>
        <v>0</v>
      </c>
      <c r="CN45" s="62">
        <f t="shared" ca="1" si="116"/>
        <v>0</v>
      </c>
      <c r="CO45" s="62">
        <f t="shared" ca="1" si="117"/>
        <v>0</v>
      </c>
      <c r="CP45" s="62">
        <f t="shared" ca="1" si="118"/>
        <v>0</v>
      </c>
      <c r="CQ45" s="62">
        <f t="shared" ca="1" si="119"/>
        <v>0</v>
      </c>
      <c r="CR45" s="62">
        <f t="shared" ca="1" si="120"/>
        <v>0</v>
      </c>
      <c r="CS45" s="62">
        <f t="shared" ca="1" si="121"/>
        <v>0</v>
      </c>
      <c r="CT45" s="62">
        <f t="shared" ca="1" si="122"/>
        <v>0</v>
      </c>
      <c r="CU45" s="62">
        <f t="shared" ca="1" si="123"/>
        <v>0</v>
      </c>
      <c r="CV45" s="62">
        <f t="shared" ca="1" si="124"/>
        <v>0</v>
      </c>
      <c r="CW45" s="62">
        <f t="shared" ca="1" si="125"/>
        <v>0</v>
      </c>
      <c r="CX45" s="62">
        <f t="shared" ca="1" si="126"/>
        <v>0</v>
      </c>
      <c r="CY45" s="62">
        <f t="shared" ca="1" si="127"/>
        <v>0</v>
      </c>
      <c r="CZ45" s="62">
        <f t="shared" ca="1" si="128"/>
        <v>0</v>
      </c>
      <c r="DA45" s="62">
        <f t="shared" ca="1" si="129"/>
        <v>0</v>
      </c>
      <c r="DB45" s="62">
        <f t="shared" ca="1" si="130"/>
        <v>0</v>
      </c>
      <c r="DC45" s="62">
        <f t="shared" ca="1" si="131"/>
        <v>0</v>
      </c>
      <c r="DD45" s="62">
        <f t="shared" ca="1" si="132"/>
        <v>0</v>
      </c>
      <c r="DE45" s="62">
        <f t="shared" ca="1" si="133"/>
        <v>0</v>
      </c>
      <c r="DF45" s="62">
        <f t="shared" ca="1" si="134"/>
        <v>0</v>
      </c>
      <c r="DG45" s="62">
        <f t="shared" ca="1" si="135"/>
        <v>0</v>
      </c>
      <c r="DH45" s="62">
        <f t="shared" ca="1" si="136"/>
        <v>0</v>
      </c>
    </row>
    <row r="46" spans="1:112">
      <c r="A46" s="14">
        <f t="shared" si="48"/>
        <v>13</v>
      </c>
      <c r="B46" s="74">
        <f t="shared" ref="B46:C46" ca="1" si="149">B15</f>
        <v>1.7769039850931945</v>
      </c>
      <c r="C46" s="74">
        <f t="shared" si="149"/>
        <v>4016.5</v>
      </c>
      <c r="P46" s="63" t="b">
        <f t="shared" si="138"/>
        <v>1</v>
      </c>
      <c r="Q46" s="62">
        <f t="shared" ca="1" si="50"/>
        <v>20.261800765991211</v>
      </c>
      <c r="R46" s="62">
        <f t="shared" ca="1" si="51"/>
        <v>11.165244102478027</v>
      </c>
      <c r="S46" s="62">
        <f t="shared" ca="1" si="52"/>
        <v>6.711789608001709</v>
      </c>
      <c r="T46" s="62">
        <f t="shared" ca="1" si="53"/>
        <v>15.347185134887695</v>
      </c>
      <c r="U46" s="62">
        <f t="shared" ca="1" si="54"/>
        <v>10.107124328613281</v>
      </c>
      <c r="V46" s="62">
        <f t="shared" ca="1" si="55"/>
        <v>6.6461515426635742</v>
      </c>
      <c r="W46" s="62">
        <f t="shared" ca="1" si="56"/>
        <v>15.928157806396484</v>
      </c>
      <c r="X46" s="62">
        <f t="shared" ca="1" si="57"/>
        <v>10.841817855834961</v>
      </c>
      <c r="Y46" s="62">
        <f t="shared" ca="1" si="58"/>
        <v>6.8699507713317871</v>
      </c>
      <c r="Z46" s="62">
        <f t="shared" ca="1" si="59"/>
        <v>19.049798965454102</v>
      </c>
      <c r="AA46" s="62">
        <f t="shared" ca="1" si="60"/>
        <v>9.6044645309448242</v>
      </c>
      <c r="AB46" s="62">
        <f t="shared" ca="1" si="61"/>
        <v>6.391350269317627</v>
      </c>
      <c r="AC46" s="62">
        <f t="shared" ca="1" si="62"/>
        <v>14.96966552734375</v>
      </c>
      <c r="AD46" s="62">
        <f t="shared" ca="1" si="63"/>
        <v>9.523890495300293</v>
      </c>
      <c r="AE46" s="62">
        <f t="shared" ca="1" si="64"/>
        <v>6.0064029693603516</v>
      </c>
      <c r="AF46" s="62"/>
      <c r="AG46" s="62"/>
      <c r="AH46" s="62"/>
      <c r="AI46" s="62">
        <f t="shared" ca="1" si="65"/>
        <v>0</v>
      </c>
      <c r="AJ46" s="62">
        <f t="shared" ca="1" si="66"/>
        <v>0</v>
      </c>
      <c r="AK46" s="62">
        <f t="shared" ca="1" si="67"/>
        <v>0</v>
      </c>
      <c r="AL46" s="62">
        <f t="shared" ca="1" si="68"/>
        <v>0</v>
      </c>
      <c r="AM46" s="62">
        <f t="shared" ca="1" si="69"/>
        <v>0</v>
      </c>
      <c r="AN46" s="62">
        <f t="shared" ca="1" si="70"/>
        <v>0</v>
      </c>
      <c r="AO46" s="62">
        <f t="shared" ca="1" si="71"/>
        <v>0</v>
      </c>
      <c r="AP46" s="62">
        <f t="shared" ca="1" si="72"/>
        <v>0</v>
      </c>
      <c r="AQ46" s="62">
        <f t="shared" ca="1" si="73"/>
        <v>0</v>
      </c>
      <c r="AR46" s="62">
        <f t="shared" ca="1" si="74"/>
        <v>0</v>
      </c>
      <c r="AS46" s="62">
        <f t="shared" ca="1" si="75"/>
        <v>0</v>
      </c>
      <c r="AT46" s="62">
        <f t="shared" ca="1" si="76"/>
        <v>0</v>
      </c>
      <c r="AU46" s="62">
        <f t="shared" ca="1" si="77"/>
        <v>0</v>
      </c>
      <c r="AV46" s="62">
        <f t="shared" ca="1" si="78"/>
        <v>0</v>
      </c>
      <c r="AW46" s="62">
        <f t="shared" ca="1" si="79"/>
        <v>0</v>
      </c>
      <c r="AX46" s="62">
        <f t="shared" ca="1" si="80"/>
        <v>0</v>
      </c>
      <c r="AY46" s="62">
        <f t="shared" ca="1" si="81"/>
        <v>0</v>
      </c>
      <c r="AZ46" s="62">
        <f t="shared" ca="1" si="82"/>
        <v>0</v>
      </c>
      <c r="BA46" s="62">
        <f t="shared" ca="1" si="83"/>
        <v>0</v>
      </c>
      <c r="BB46" s="62">
        <f t="shared" ca="1" si="84"/>
        <v>0</v>
      </c>
      <c r="BC46" s="62">
        <f t="shared" ca="1" si="85"/>
        <v>0</v>
      </c>
      <c r="BD46" s="62">
        <f t="shared" ca="1" si="86"/>
        <v>0</v>
      </c>
      <c r="BE46" s="62">
        <f t="shared" ca="1" si="87"/>
        <v>0</v>
      </c>
      <c r="BF46" s="62">
        <f t="shared" ca="1" si="88"/>
        <v>0</v>
      </c>
      <c r="BG46" s="62">
        <f t="shared" ca="1" si="89"/>
        <v>0</v>
      </c>
      <c r="BH46" s="62">
        <f t="shared" ca="1" si="90"/>
        <v>0</v>
      </c>
      <c r="BI46" s="62">
        <f t="shared" ca="1" si="91"/>
        <v>0</v>
      </c>
      <c r="BJ46" s="62">
        <f t="shared" ca="1" si="92"/>
        <v>0</v>
      </c>
      <c r="BK46" s="62">
        <f t="shared" ca="1" si="93"/>
        <v>0</v>
      </c>
      <c r="BL46" s="62">
        <f t="shared" ca="1" si="94"/>
        <v>0</v>
      </c>
      <c r="BM46" s="62">
        <f t="shared" ca="1" si="95"/>
        <v>0</v>
      </c>
      <c r="BN46" s="62">
        <f t="shared" ca="1" si="96"/>
        <v>0</v>
      </c>
      <c r="BO46" s="62">
        <f t="shared" ca="1" si="97"/>
        <v>0</v>
      </c>
      <c r="BP46" s="62">
        <f t="shared" ca="1" si="98"/>
        <v>0</v>
      </c>
      <c r="BQ46" s="62">
        <f t="shared" ca="1" si="99"/>
        <v>0</v>
      </c>
      <c r="BR46" s="62">
        <f t="shared" ca="1" si="100"/>
        <v>0</v>
      </c>
      <c r="BS46" s="62"/>
      <c r="BT46" s="62"/>
      <c r="BU46" s="62"/>
      <c r="BV46" s="62">
        <f t="shared" ca="1" si="101"/>
        <v>0</v>
      </c>
      <c r="BW46" s="62">
        <f t="shared" ca="1" si="102"/>
        <v>0</v>
      </c>
      <c r="BX46" s="62">
        <f t="shared" ca="1" si="103"/>
        <v>0</v>
      </c>
      <c r="BY46" s="62">
        <f t="shared" ca="1" si="104"/>
        <v>0</v>
      </c>
      <c r="BZ46" s="62">
        <f t="shared" ca="1" si="105"/>
        <v>0</v>
      </c>
      <c r="CA46" s="62">
        <f t="shared" ca="1" si="106"/>
        <v>0</v>
      </c>
      <c r="CB46" s="62"/>
      <c r="CC46" s="62"/>
      <c r="CD46" s="62"/>
      <c r="CE46" s="62">
        <f t="shared" ca="1" si="107"/>
        <v>0</v>
      </c>
      <c r="CF46" s="62">
        <f t="shared" ca="1" si="108"/>
        <v>0</v>
      </c>
      <c r="CG46" s="62">
        <f t="shared" ca="1" si="109"/>
        <v>0</v>
      </c>
      <c r="CH46" s="62">
        <f t="shared" ca="1" si="110"/>
        <v>0</v>
      </c>
      <c r="CI46" s="62">
        <f t="shared" ca="1" si="111"/>
        <v>0</v>
      </c>
      <c r="CJ46" s="62">
        <f t="shared" ca="1" si="112"/>
        <v>0</v>
      </c>
      <c r="CK46" s="62">
        <f t="shared" ca="1" si="113"/>
        <v>0</v>
      </c>
      <c r="CL46" s="62">
        <f t="shared" ca="1" si="114"/>
        <v>0</v>
      </c>
      <c r="CM46" s="62">
        <f t="shared" ca="1" si="115"/>
        <v>0</v>
      </c>
      <c r="CN46" s="62">
        <f t="shared" ca="1" si="116"/>
        <v>0</v>
      </c>
      <c r="CO46" s="62">
        <f t="shared" ca="1" si="117"/>
        <v>0</v>
      </c>
      <c r="CP46" s="62">
        <f t="shared" ca="1" si="118"/>
        <v>0</v>
      </c>
      <c r="CQ46" s="62">
        <f t="shared" ca="1" si="119"/>
        <v>0</v>
      </c>
      <c r="CR46" s="62">
        <f t="shared" ca="1" si="120"/>
        <v>0</v>
      </c>
      <c r="CS46" s="62">
        <f t="shared" ca="1" si="121"/>
        <v>0</v>
      </c>
      <c r="CT46" s="62">
        <f t="shared" ca="1" si="122"/>
        <v>0</v>
      </c>
      <c r="CU46" s="62">
        <f t="shared" ca="1" si="123"/>
        <v>0</v>
      </c>
      <c r="CV46" s="62">
        <f t="shared" ca="1" si="124"/>
        <v>0</v>
      </c>
      <c r="CW46" s="62">
        <f t="shared" ca="1" si="125"/>
        <v>0</v>
      </c>
      <c r="CX46" s="62">
        <f t="shared" ca="1" si="126"/>
        <v>0</v>
      </c>
      <c r="CY46" s="62">
        <f t="shared" ca="1" si="127"/>
        <v>0</v>
      </c>
      <c r="CZ46" s="62">
        <f t="shared" ca="1" si="128"/>
        <v>0</v>
      </c>
      <c r="DA46" s="62">
        <f t="shared" ca="1" si="129"/>
        <v>0</v>
      </c>
      <c r="DB46" s="62">
        <f t="shared" ca="1" si="130"/>
        <v>0</v>
      </c>
      <c r="DC46" s="62">
        <f t="shared" ca="1" si="131"/>
        <v>0</v>
      </c>
      <c r="DD46" s="62">
        <f t="shared" ca="1" si="132"/>
        <v>0</v>
      </c>
      <c r="DE46" s="62">
        <f t="shared" ca="1" si="133"/>
        <v>0</v>
      </c>
      <c r="DF46" s="62">
        <f t="shared" ca="1" si="134"/>
        <v>0</v>
      </c>
      <c r="DG46" s="62">
        <f t="shared" ca="1" si="135"/>
        <v>0</v>
      </c>
      <c r="DH46" s="62">
        <f t="shared" ca="1" si="136"/>
        <v>0</v>
      </c>
    </row>
    <row r="47" spans="1:112">
      <c r="A47" s="14">
        <f t="shared" si="48"/>
        <v>14</v>
      </c>
      <c r="B47" s="74">
        <f t="shared" ref="B47:C47" ca="1" si="150">B16</f>
        <v>1.4370560182896255</v>
      </c>
      <c r="C47" s="74">
        <f t="shared" si="150"/>
        <v>4064.6</v>
      </c>
      <c r="P47" s="63" t="b">
        <f t="shared" si="138"/>
        <v>1</v>
      </c>
      <c r="Q47" s="62">
        <f t="shared" ca="1" si="50"/>
        <v>12.089666366577148</v>
      </c>
      <c r="R47" s="62">
        <f t="shared" ca="1" si="51"/>
        <v>8.7552881240844727</v>
      </c>
      <c r="S47" s="62">
        <f t="shared" ca="1" si="52"/>
        <v>4.8218507766723633</v>
      </c>
      <c r="T47" s="62">
        <f t="shared" ca="1" si="53"/>
        <v>11.596857070922852</v>
      </c>
      <c r="U47" s="62">
        <f t="shared" ca="1" si="54"/>
        <v>7.9369521141052246</v>
      </c>
      <c r="V47" s="62">
        <f t="shared" ca="1" si="55"/>
        <v>4.7698574066162109</v>
      </c>
      <c r="W47" s="62">
        <f t="shared" ca="1" si="56"/>
        <v>12.085144996643066</v>
      </c>
      <c r="X47" s="62">
        <f t="shared" ca="1" si="57"/>
        <v>8.5880031585693359</v>
      </c>
      <c r="Y47" s="62">
        <f t="shared" ca="1" si="58"/>
        <v>4.9167957305908203</v>
      </c>
      <c r="Z47" s="62">
        <f t="shared" ca="1" si="59"/>
        <v>11.413748741149902</v>
      </c>
      <c r="AA47" s="62">
        <f t="shared" ca="1" si="60"/>
        <v>7.5164809226989746</v>
      </c>
      <c r="AB47" s="62">
        <f t="shared" ca="1" si="61"/>
        <v>4.6455245018005371</v>
      </c>
      <c r="AC47" s="62">
        <f t="shared" ca="1" si="62"/>
        <v>11.29167652130127</v>
      </c>
      <c r="AD47" s="62">
        <f t="shared" ca="1" si="63"/>
        <v>7.5481295585632324</v>
      </c>
      <c r="AE47" s="62">
        <f t="shared" ca="1" si="64"/>
        <v>4.2702655792236328</v>
      </c>
      <c r="AF47" s="62"/>
      <c r="AG47" s="62"/>
      <c r="AH47" s="62"/>
      <c r="AI47" s="62">
        <f t="shared" ca="1" si="65"/>
        <v>0</v>
      </c>
      <c r="AJ47" s="62">
        <f t="shared" ca="1" si="66"/>
        <v>0</v>
      </c>
      <c r="AK47" s="62">
        <f t="shared" ca="1" si="67"/>
        <v>0</v>
      </c>
      <c r="AL47" s="62">
        <f t="shared" ca="1" si="68"/>
        <v>0</v>
      </c>
      <c r="AM47" s="62">
        <f t="shared" ca="1" si="69"/>
        <v>0</v>
      </c>
      <c r="AN47" s="62">
        <f t="shared" ca="1" si="70"/>
        <v>0</v>
      </c>
      <c r="AO47" s="62">
        <f t="shared" ca="1" si="71"/>
        <v>0</v>
      </c>
      <c r="AP47" s="62">
        <f t="shared" ca="1" si="72"/>
        <v>0</v>
      </c>
      <c r="AQ47" s="62">
        <f t="shared" ca="1" si="73"/>
        <v>0</v>
      </c>
      <c r="AR47" s="62">
        <f t="shared" ca="1" si="74"/>
        <v>0</v>
      </c>
      <c r="AS47" s="62">
        <f t="shared" ca="1" si="75"/>
        <v>0</v>
      </c>
      <c r="AT47" s="62">
        <f t="shared" ca="1" si="76"/>
        <v>0</v>
      </c>
      <c r="AU47" s="62">
        <f t="shared" ca="1" si="77"/>
        <v>0</v>
      </c>
      <c r="AV47" s="62">
        <f t="shared" ca="1" si="78"/>
        <v>0</v>
      </c>
      <c r="AW47" s="62">
        <f t="shared" ca="1" si="79"/>
        <v>0</v>
      </c>
      <c r="AX47" s="62">
        <f t="shared" ca="1" si="80"/>
        <v>0</v>
      </c>
      <c r="AY47" s="62">
        <f t="shared" ca="1" si="81"/>
        <v>0</v>
      </c>
      <c r="AZ47" s="62">
        <f t="shared" ca="1" si="82"/>
        <v>0</v>
      </c>
      <c r="BA47" s="62">
        <f t="shared" ca="1" si="83"/>
        <v>0</v>
      </c>
      <c r="BB47" s="62">
        <f t="shared" ca="1" si="84"/>
        <v>0</v>
      </c>
      <c r="BC47" s="62">
        <f t="shared" ca="1" si="85"/>
        <v>0</v>
      </c>
      <c r="BD47" s="62">
        <f t="shared" ca="1" si="86"/>
        <v>0</v>
      </c>
      <c r="BE47" s="62">
        <f t="shared" ca="1" si="87"/>
        <v>0</v>
      </c>
      <c r="BF47" s="62">
        <f t="shared" ca="1" si="88"/>
        <v>0</v>
      </c>
      <c r="BG47" s="62">
        <f t="shared" ca="1" si="89"/>
        <v>0</v>
      </c>
      <c r="BH47" s="62">
        <f t="shared" ca="1" si="90"/>
        <v>0</v>
      </c>
      <c r="BI47" s="62">
        <f t="shared" ca="1" si="91"/>
        <v>0</v>
      </c>
      <c r="BJ47" s="62">
        <f t="shared" ca="1" si="92"/>
        <v>0</v>
      </c>
      <c r="BK47" s="62">
        <f t="shared" ca="1" si="93"/>
        <v>0</v>
      </c>
      <c r="BL47" s="62">
        <f t="shared" ca="1" si="94"/>
        <v>0</v>
      </c>
      <c r="BM47" s="62">
        <f t="shared" ca="1" si="95"/>
        <v>0</v>
      </c>
      <c r="BN47" s="62">
        <f t="shared" ca="1" si="96"/>
        <v>0</v>
      </c>
      <c r="BO47" s="62">
        <f t="shared" ca="1" si="97"/>
        <v>0</v>
      </c>
      <c r="BP47" s="62">
        <f t="shared" ca="1" si="98"/>
        <v>0</v>
      </c>
      <c r="BQ47" s="62">
        <f t="shared" ca="1" si="99"/>
        <v>0</v>
      </c>
      <c r="BR47" s="62">
        <f t="shared" ca="1" si="100"/>
        <v>0</v>
      </c>
      <c r="BS47" s="62"/>
      <c r="BT47" s="62"/>
      <c r="BU47" s="62"/>
      <c r="BV47" s="62">
        <f t="shared" ca="1" si="101"/>
        <v>0</v>
      </c>
      <c r="BW47" s="62">
        <f t="shared" ca="1" si="102"/>
        <v>0</v>
      </c>
      <c r="BX47" s="62">
        <f t="shared" ca="1" si="103"/>
        <v>0</v>
      </c>
      <c r="BY47" s="62">
        <f t="shared" ca="1" si="104"/>
        <v>0</v>
      </c>
      <c r="BZ47" s="62">
        <f t="shared" ca="1" si="105"/>
        <v>0</v>
      </c>
      <c r="CA47" s="62">
        <f t="shared" ca="1" si="106"/>
        <v>0</v>
      </c>
      <c r="CB47" s="62"/>
      <c r="CC47" s="62"/>
      <c r="CD47" s="62"/>
      <c r="CE47" s="62">
        <f t="shared" ca="1" si="107"/>
        <v>0</v>
      </c>
      <c r="CF47" s="62">
        <f t="shared" ca="1" si="108"/>
        <v>0</v>
      </c>
      <c r="CG47" s="62">
        <f t="shared" ca="1" si="109"/>
        <v>0</v>
      </c>
      <c r="CH47" s="62">
        <f t="shared" ca="1" si="110"/>
        <v>0</v>
      </c>
      <c r="CI47" s="62">
        <f t="shared" ca="1" si="111"/>
        <v>0</v>
      </c>
      <c r="CJ47" s="62">
        <f t="shared" ca="1" si="112"/>
        <v>0</v>
      </c>
      <c r="CK47" s="62">
        <f t="shared" ca="1" si="113"/>
        <v>0</v>
      </c>
      <c r="CL47" s="62">
        <f t="shared" ca="1" si="114"/>
        <v>0</v>
      </c>
      <c r="CM47" s="62">
        <f t="shared" ca="1" si="115"/>
        <v>0</v>
      </c>
      <c r="CN47" s="62">
        <f t="shared" ca="1" si="116"/>
        <v>0</v>
      </c>
      <c r="CO47" s="62">
        <f t="shared" ca="1" si="117"/>
        <v>0</v>
      </c>
      <c r="CP47" s="62">
        <f t="shared" ca="1" si="118"/>
        <v>0</v>
      </c>
      <c r="CQ47" s="62">
        <f t="shared" ca="1" si="119"/>
        <v>0</v>
      </c>
      <c r="CR47" s="62">
        <f t="shared" ca="1" si="120"/>
        <v>0</v>
      </c>
      <c r="CS47" s="62">
        <f t="shared" ca="1" si="121"/>
        <v>0</v>
      </c>
      <c r="CT47" s="62">
        <f t="shared" ca="1" si="122"/>
        <v>0</v>
      </c>
      <c r="CU47" s="62">
        <f t="shared" ca="1" si="123"/>
        <v>0</v>
      </c>
      <c r="CV47" s="62">
        <f t="shared" ca="1" si="124"/>
        <v>0</v>
      </c>
      <c r="CW47" s="62">
        <f t="shared" ca="1" si="125"/>
        <v>0</v>
      </c>
      <c r="CX47" s="62">
        <f t="shared" ca="1" si="126"/>
        <v>0</v>
      </c>
      <c r="CY47" s="62">
        <f t="shared" ca="1" si="127"/>
        <v>0</v>
      </c>
      <c r="CZ47" s="62">
        <f t="shared" ca="1" si="128"/>
        <v>0</v>
      </c>
      <c r="DA47" s="62">
        <f t="shared" ca="1" si="129"/>
        <v>0</v>
      </c>
      <c r="DB47" s="62">
        <f t="shared" ca="1" si="130"/>
        <v>0</v>
      </c>
      <c r="DC47" s="62">
        <f t="shared" ca="1" si="131"/>
        <v>0</v>
      </c>
      <c r="DD47" s="62">
        <f t="shared" ca="1" si="132"/>
        <v>0</v>
      </c>
      <c r="DE47" s="62">
        <f t="shared" ca="1" si="133"/>
        <v>0</v>
      </c>
      <c r="DF47" s="62">
        <f t="shared" ca="1" si="134"/>
        <v>0</v>
      </c>
      <c r="DG47" s="62">
        <f t="shared" ca="1" si="135"/>
        <v>0</v>
      </c>
      <c r="DH47" s="62">
        <f t="shared" ca="1" si="136"/>
        <v>0</v>
      </c>
    </row>
    <row r="48" spans="1:112">
      <c r="A48" s="14">
        <f t="shared" si="48"/>
        <v>15</v>
      </c>
      <c r="B48" s="74">
        <f t="shared" ref="B48:C48" ca="1" si="151">B17</f>
        <v>1.1960743068778694</v>
      </c>
      <c r="C48" s="74">
        <f t="shared" si="151"/>
        <v>4054.6</v>
      </c>
      <c r="P48" s="63" t="b">
        <f t="shared" si="138"/>
        <v>1</v>
      </c>
      <c r="Q48" s="62">
        <f t="shared" ca="1" si="50"/>
        <v>9.7024774551391602</v>
      </c>
      <c r="R48" s="62">
        <f t="shared" ca="1" si="51"/>
        <v>7.091489315032959</v>
      </c>
      <c r="S48" s="62">
        <f t="shared" ca="1" si="52"/>
        <v>3.5649595260620117</v>
      </c>
      <c r="T48" s="62">
        <f t="shared" ca="1" si="53"/>
        <v>11.935946464538574</v>
      </c>
      <c r="U48" s="62">
        <f t="shared" ca="1" si="54"/>
        <v>6.5172977447509766</v>
      </c>
      <c r="V48" s="62">
        <f t="shared" ca="1" si="55"/>
        <v>3.5129659175872803</v>
      </c>
      <c r="W48" s="62">
        <f t="shared" ca="1" si="56"/>
        <v>9.6730899810791016</v>
      </c>
      <c r="X48" s="62">
        <f t="shared" ca="1" si="57"/>
        <v>6.9716777801513672</v>
      </c>
      <c r="Y48" s="62">
        <f t="shared" ca="1" si="58"/>
        <v>3.5830442905426025</v>
      </c>
      <c r="Z48" s="62">
        <f t="shared" ca="1" si="59"/>
        <v>9.1418495178222656</v>
      </c>
      <c r="AA48" s="62">
        <f t="shared" ca="1" si="60"/>
        <v>6.1872506141662598</v>
      </c>
      <c r="AB48" s="62">
        <f t="shared" ca="1" si="61"/>
        <v>3.4044573307037354</v>
      </c>
      <c r="AC48" s="62">
        <f t="shared" ca="1" si="62"/>
        <v>9.0333414077758789</v>
      </c>
      <c r="AD48" s="62">
        <f t="shared" ca="1" si="63"/>
        <v>6.076481819152832</v>
      </c>
      <c r="AE48" s="62">
        <f t="shared" ca="1" si="64"/>
        <v>3.0811920166015625</v>
      </c>
      <c r="AF48" s="62"/>
      <c r="AG48" s="62"/>
      <c r="AH48" s="62"/>
      <c r="AI48" s="62">
        <f t="shared" ca="1" si="65"/>
        <v>0</v>
      </c>
      <c r="AJ48" s="62">
        <f t="shared" ca="1" si="66"/>
        <v>0</v>
      </c>
      <c r="AK48" s="62">
        <f t="shared" ca="1" si="67"/>
        <v>0</v>
      </c>
      <c r="AL48" s="62">
        <f t="shared" ca="1" si="68"/>
        <v>0</v>
      </c>
      <c r="AM48" s="62">
        <f t="shared" ca="1" si="69"/>
        <v>0</v>
      </c>
      <c r="AN48" s="62">
        <f t="shared" ca="1" si="70"/>
        <v>0</v>
      </c>
      <c r="AO48" s="62">
        <f t="shared" ca="1" si="71"/>
        <v>0</v>
      </c>
      <c r="AP48" s="62">
        <f t="shared" ca="1" si="72"/>
        <v>0</v>
      </c>
      <c r="AQ48" s="62">
        <f t="shared" ca="1" si="73"/>
        <v>0</v>
      </c>
      <c r="AR48" s="62">
        <f t="shared" ca="1" si="74"/>
        <v>0</v>
      </c>
      <c r="AS48" s="62">
        <f t="shared" ca="1" si="75"/>
        <v>0</v>
      </c>
      <c r="AT48" s="62">
        <f t="shared" ca="1" si="76"/>
        <v>0</v>
      </c>
      <c r="AU48" s="62">
        <f t="shared" ca="1" si="77"/>
        <v>0</v>
      </c>
      <c r="AV48" s="62">
        <f t="shared" ca="1" si="78"/>
        <v>0</v>
      </c>
      <c r="AW48" s="62">
        <f t="shared" ca="1" si="79"/>
        <v>0</v>
      </c>
      <c r="AX48" s="62">
        <f t="shared" ca="1" si="80"/>
        <v>0</v>
      </c>
      <c r="AY48" s="62">
        <f t="shared" ca="1" si="81"/>
        <v>0</v>
      </c>
      <c r="AZ48" s="62">
        <f t="shared" ca="1" si="82"/>
        <v>0</v>
      </c>
      <c r="BA48" s="62">
        <f t="shared" ca="1" si="83"/>
        <v>0</v>
      </c>
      <c r="BB48" s="62">
        <f t="shared" ca="1" si="84"/>
        <v>0</v>
      </c>
      <c r="BC48" s="62">
        <f t="shared" ca="1" si="85"/>
        <v>0</v>
      </c>
      <c r="BD48" s="62">
        <f t="shared" ca="1" si="86"/>
        <v>0</v>
      </c>
      <c r="BE48" s="62">
        <f t="shared" ca="1" si="87"/>
        <v>0</v>
      </c>
      <c r="BF48" s="62">
        <f t="shared" ca="1" si="88"/>
        <v>0</v>
      </c>
      <c r="BG48" s="62">
        <f t="shared" ca="1" si="89"/>
        <v>0</v>
      </c>
      <c r="BH48" s="62">
        <f t="shared" ca="1" si="90"/>
        <v>0</v>
      </c>
      <c r="BI48" s="62">
        <f t="shared" ca="1" si="91"/>
        <v>0</v>
      </c>
      <c r="BJ48" s="62">
        <f t="shared" ca="1" si="92"/>
        <v>0</v>
      </c>
      <c r="BK48" s="62">
        <f t="shared" ca="1" si="93"/>
        <v>0</v>
      </c>
      <c r="BL48" s="62">
        <f t="shared" ca="1" si="94"/>
        <v>0</v>
      </c>
      <c r="BM48" s="62">
        <f t="shared" ca="1" si="95"/>
        <v>0</v>
      </c>
      <c r="BN48" s="62">
        <f t="shared" ca="1" si="96"/>
        <v>0</v>
      </c>
      <c r="BO48" s="62">
        <f t="shared" ca="1" si="97"/>
        <v>0</v>
      </c>
      <c r="BP48" s="62">
        <f t="shared" ca="1" si="98"/>
        <v>0</v>
      </c>
      <c r="BQ48" s="62">
        <f t="shared" ca="1" si="99"/>
        <v>0</v>
      </c>
      <c r="BR48" s="62">
        <f t="shared" ca="1" si="100"/>
        <v>0</v>
      </c>
      <c r="BS48" s="62"/>
      <c r="BT48" s="62"/>
      <c r="BU48" s="62"/>
      <c r="BV48" s="62">
        <f t="shared" ca="1" si="101"/>
        <v>0</v>
      </c>
      <c r="BW48" s="62">
        <f t="shared" ca="1" si="102"/>
        <v>0</v>
      </c>
      <c r="BX48" s="62">
        <f t="shared" ca="1" si="103"/>
        <v>0</v>
      </c>
      <c r="BY48" s="62">
        <f t="shared" ca="1" si="104"/>
        <v>0</v>
      </c>
      <c r="BZ48" s="62">
        <f t="shared" ca="1" si="105"/>
        <v>0</v>
      </c>
      <c r="CA48" s="62">
        <f t="shared" ca="1" si="106"/>
        <v>0</v>
      </c>
      <c r="CB48" s="62"/>
      <c r="CC48" s="62"/>
      <c r="CD48" s="62"/>
      <c r="CE48" s="62">
        <f t="shared" ca="1" si="107"/>
        <v>0</v>
      </c>
      <c r="CF48" s="62">
        <f t="shared" ca="1" si="108"/>
        <v>0</v>
      </c>
      <c r="CG48" s="62">
        <f t="shared" ca="1" si="109"/>
        <v>0</v>
      </c>
      <c r="CH48" s="62">
        <f t="shared" ca="1" si="110"/>
        <v>0</v>
      </c>
      <c r="CI48" s="62">
        <f t="shared" ca="1" si="111"/>
        <v>0</v>
      </c>
      <c r="CJ48" s="62">
        <f t="shared" ca="1" si="112"/>
        <v>0</v>
      </c>
      <c r="CK48" s="62">
        <f t="shared" ca="1" si="113"/>
        <v>0</v>
      </c>
      <c r="CL48" s="62">
        <f t="shared" ca="1" si="114"/>
        <v>0</v>
      </c>
      <c r="CM48" s="62">
        <f t="shared" ca="1" si="115"/>
        <v>0</v>
      </c>
      <c r="CN48" s="62">
        <f t="shared" ca="1" si="116"/>
        <v>0</v>
      </c>
      <c r="CO48" s="62">
        <f t="shared" ca="1" si="117"/>
        <v>0</v>
      </c>
      <c r="CP48" s="62">
        <f t="shared" ca="1" si="118"/>
        <v>0</v>
      </c>
      <c r="CQ48" s="62">
        <f t="shared" ca="1" si="119"/>
        <v>0</v>
      </c>
      <c r="CR48" s="62">
        <f t="shared" ca="1" si="120"/>
        <v>0</v>
      </c>
      <c r="CS48" s="62">
        <f t="shared" ca="1" si="121"/>
        <v>0</v>
      </c>
      <c r="CT48" s="62">
        <f t="shared" ca="1" si="122"/>
        <v>0</v>
      </c>
      <c r="CU48" s="62">
        <f t="shared" ca="1" si="123"/>
        <v>0</v>
      </c>
      <c r="CV48" s="62">
        <f t="shared" ca="1" si="124"/>
        <v>0</v>
      </c>
      <c r="CW48" s="62">
        <f t="shared" ca="1" si="125"/>
        <v>0</v>
      </c>
      <c r="CX48" s="62">
        <f t="shared" ca="1" si="126"/>
        <v>0</v>
      </c>
      <c r="CY48" s="62">
        <f t="shared" ca="1" si="127"/>
        <v>0</v>
      </c>
      <c r="CZ48" s="62">
        <f t="shared" ca="1" si="128"/>
        <v>0</v>
      </c>
      <c r="DA48" s="62">
        <f t="shared" ca="1" si="129"/>
        <v>0</v>
      </c>
      <c r="DB48" s="62">
        <f t="shared" ca="1" si="130"/>
        <v>0</v>
      </c>
      <c r="DC48" s="62">
        <f t="shared" ca="1" si="131"/>
        <v>0</v>
      </c>
      <c r="DD48" s="62">
        <f t="shared" ca="1" si="132"/>
        <v>0</v>
      </c>
      <c r="DE48" s="62">
        <f t="shared" ca="1" si="133"/>
        <v>0</v>
      </c>
      <c r="DF48" s="62">
        <f t="shared" ca="1" si="134"/>
        <v>0</v>
      </c>
      <c r="DG48" s="62">
        <f t="shared" ca="1" si="135"/>
        <v>0</v>
      </c>
      <c r="DH48" s="62">
        <f t="shared" ca="1" si="136"/>
        <v>0</v>
      </c>
    </row>
    <row r="49" spans="1:112">
      <c r="A49" s="14">
        <f t="shared" si="48"/>
        <v>16</v>
      </c>
      <c r="B49" s="74">
        <f t="shared" ref="B49:C49" ca="1" si="152">B18</f>
        <v>0.8864930899240453</v>
      </c>
      <c r="C49" s="74">
        <f t="shared" si="152"/>
        <v>4035.6</v>
      </c>
      <c r="P49" s="63" t="b">
        <f t="shared" si="138"/>
        <v>1</v>
      </c>
      <c r="Q49" s="62">
        <f t="shared" ca="1" si="50"/>
        <v>8.1381454467773437</v>
      </c>
      <c r="R49" s="62">
        <f t="shared" ca="1" si="51"/>
        <v>5.7373924255371094</v>
      </c>
      <c r="S49" s="62">
        <f t="shared" ca="1" si="52"/>
        <v>3.3230757713317871</v>
      </c>
      <c r="T49" s="62">
        <f t="shared" ca="1" si="53"/>
        <v>7.8998136520385742</v>
      </c>
      <c r="U49" s="62">
        <f t="shared" ca="1" si="54"/>
        <v>5.1488299369812012</v>
      </c>
      <c r="V49" s="62">
        <f t="shared" ca="1" si="55"/>
        <v>3.271970272064209</v>
      </c>
      <c r="W49" s="62">
        <f t="shared" ca="1" si="56"/>
        <v>10.567962646484375</v>
      </c>
      <c r="X49" s="62">
        <f t="shared" ca="1" si="57"/>
        <v>5.7221331596374512</v>
      </c>
      <c r="Y49" s="62">
        <f t="shared" ca="1" si="58"/>
        <v>3.4725174903869629</v>
      </c>
      <c r="Z49" s="62">
        <f t="shared" ca="1" si="59"/>
        <v>7.690546989440918</v>
      </c>
      <c r="AA49" s="62">
        <f t="shared" ca="1" si="60"/>
        <v>4.8354144096374512</v>
      </c>
      <c r="AB49" s="62">
        <f t="shared" ca="1" si="61"/>
        <v>3.1716160774230957</v>
      </c>
      <c r="AC49" s="62">
        <f t="shared" ca="1" si="62"/>
        <v>7.6295108795166016</v>
      </c>
      <c r="AD49" s="62">
        <f t="shared" ca="1" si="63"/>
        <v>4.7856812477111816</v>
      </c>
      <c r="AE49" s="62">
        <f t="shared" ca="1" si="64"/>
        <v>2.8913021087646484</v>
      </c>
      <c r="AF49" s="62"/>
      <c r="AG49" s="62"/>
      <c r="AH49" s="62"/>
      <c r="AI49" s="62">
        <f t="shared" ca="1" si="65"/>
        <v>0</v>
      </c>
      <c r="AJ49" s="62">
        <f t="shared" ca="1" si="66"/>
        <v>0</v>
      </c>
      <c r="AK49" s="62">
        <f t="shared" ca="1" si="67"/>
        <v>0</v>
      </c>
      <c r="AL49" s="62">
        <f t="shared" ca="1" si="68"/>
        <v>0</v>
      </c>
      <c r="AM49" s="62">
        <f t="shared" ca="1" si="69"/>
        <v>0</v>
      </c>
      <c r="AN49" s="62">
        <f t="shared" ca="1" si="70"/>
        <v>0</v>
      </c>
      <c r="AO49" s="62">
        <f t="shared" ca="1" si="71"/>
        <v>0</v>
      </c>
      <c r="AP49" s="62">
        <f t="shared" ca="1" si="72"/>
        <v>0</v>
      </c>
      <c r="AQ49" s="62">
        <f t="shared" ca="1" si="73"/>
        <v>0</v>
      </c>
      <c r="AR49" s="62">
        <f t="shared" ca="1" si="74"/>
        <v>0</v>
      </c>
      <c r="AS49" s="62">
        <f t="shared" ca="1" si="75"/>
        <v>0</v>
      </c>
      <c r="AT49" s="62">
        <f t="shared" ca="1" si="76"/>
        <v>0</v>
      </c>
      <c r="AU49" s="62">
        <f t="shared" ca="1" si="77"/>
        <v>0</v>
      </c>
      <c r="AV49" s="62">
        <f t="shared" ca="1" si="78"/>
        <v>0</v>
      </c>
      <c r="AW49" s="62">
        <f t="shared" ca="1" si="79"/>
        <v>0</v>
      </c>
      <c r="AX49" s="62">
        <f t="shared" ca="1" si="80"/>
        <v>0</v>
      </c>
      <c r="AY49" s="62">
        <f t="shared" ca="1" si="81"/>
        <v>0</v>
      </c>
      <c r="AZ49" s="62">
        <f t="shared" ca="1" si="82"/>
        <v>0</v>
      </c>
      <c r="BA49" s="62">
        <f t="shared" ca="1" si="83"/>
        <v>0</v>
      </c>
      <c r="BB49" s="62">
        <f t="shared" ca="1" si="84"/>
        <v>0</v>
      </c>
      <c r="BC49" s="62">
        <f t="shared" ca="1" si="85"/>
        <v>0</v>
      </c>
      <c r="BD49" s="62">
        <f t="shared" ca="1" si="86"/>
        <v>0</v>
      </c>
      <c r="BE49" s="62">
        <f t="shared" ca="1" si="87"/>
        <v>0</v>
      </c>
      <c r="BF49" s="62">
        <f t="shared" ca="1" si="88"/>
        <v>0</v>
      </c>
      <c r="BG49" s="62">
        <f t="shared" ca="1" si="89"/>
        <v>0</v>
      </c>
      <c r="BH49" s="62">
        <f t="shared" ca="1" si="90"/>
        <v>0</v>
      </c>
      <c r="BI49" s="62">
        <f t="shared" ca="1" si="91"/>
        <v>0</v>
      </c>
      <c r="BJ49" s="62">
        <f t="shared" ca="1" si="92"/>
        <v>0</v>
      </c>
      <c r="BK49" s="62">
        <f t="shared" ca="1" si="93"/>
        <v>0</v>
      </c>
      <c r="BL49" s="62">
        <f t="shared" ca="1" si="94"/>
        <v>0</v>
      </c>
      <c r="BM49" s="62">
        <f t="shared" ca="1" si="95"/>
        <v>0</v>
      </c>
      <c r="BN49" s="62">
        <f t="shared" ca="1" si="96"/>
        <v>0</v>
      </c>
      <c r="BO49" s="62">
        <f t="shared" ca="1" si="97"/>
        <v>0</v>
      </c>
      <c r="BP49" s="62">
        <f t="shared" ca="1" si="98"/>
        <v>0</v>
      </c>
      <c r="BQ49" s="62">
        <f t="shared" ca="1" si="99"/>
        <v>0</v>
      </c>
      <c r="BR49" s="62">
        <f t="shared" ca="1" si="100"/>
        <v>0</v>
      </c>
      <c r="BS49" s="62"/>
      <c r="BT49" s="62"/>
      <c r="BU49" s="62"/>
      <c r="BV49" s="62">
        <f t="shared" ca="1" si="101"/>
        <v>0</v>
      </c>
      <c r="BW49" s="62">
        <f t="shared" ca="1" si="102"/>
        <v>0</v>
      </c>
      <c r="BX49" s="62">
        <f t="shared" ca="1" si="103"/>
        <v>0</v>
      </c>
      <c r="BY49" s="62">
        <f t="shared" ca="1" si="104"/>
        <v>0</v>
      </c>
      <c r="BZ49" s="62">
        <f t="shared" ca="1" si="105"/>
        <v>0</v>
      </c>
      <c r="CA49" s="62">
        <f t="shared" ca="1" si="106"/>
        <v>0</v>
      </c>
      <c r="CB49" s="62"/>
      <c r="CC49" s="62"/>
      <c r="CD49" s="62"/>
      <c r="CE49" s="62">
        <f t="shared" ca="1" si="107"/>
        <v>0</v>
      </c>
      <c r="CF49" s="62">
        <f t="shared" ca="1" si="108"/>
        <v>0</v>
      </c>
      <c r="CG49" s="62">
        <f t="shared" ca="1" si="109"/>
        <v>0</v>
      </c>
      <c r="CH49" s="62">
        <f t="shared" ca="1" si="110"/>
        <v>0</v>
      </c>
      <c r="CI49" s="62">
        <f t="shared" ca="1" si="111"/>
        <v>0</v>
      </c>
      <c r="CJ49" s="62">
        <f t="shared" ca="1" si="112"/>
        <v>0</v>
      </c>
      <c r="CK49" s="62">
        <f t="shared" ca="1" si="113"/>
        <v>0</v>
      </c>
      <c r="CL49" s="62">
        <f t="shared" ca="1" si="114"/>
        <v>0</v>
      </c>
      <c r="CM49" s="62">
        <f t="shared" ca="1" si="115"/>
        <v>0</v>
      </c>
      <c r="CN49" s="62">
        <f t="shared" ca="1" si="116"/>
        <v>0</v>
      </c>
      <c r="CO49" s="62">
        <f t="shared" ca="1" si="117"/>
        <v>0</v>
      </c>
      <c r="CP49" s="62">
        <f t="shared" ca="1" si="118"/>
        <v>0</v>
      </c>
      <c r="CQ49" s="62">
        <f t="shared" ca="1" si="119"/>
        <v>0</v>
      </c>
      <c r="CR49" s="62">
        <f t="shared" ca="1" si="120"/>
        <v>0</v>
      </c>
      <c r="CS49" s="62">
        <f t="shared" ca="1" si="121"/>
        <v>0</v>
      </c>
      <c r="CT49" s="62">
        <f t="shared" ca="1" si="122"/>
        <v>0</v>
      </c>
      <c r="CU49" s="62">
        <f t="shared" ca="1" si="123"/>
        <v>0</v>
      </c>
      <c r="CV49" s="62">
        <f t="shared" ca="1" si="124"/>
        <v>0</v>
      </c>
      <c r="CW49" s="62">
        <f t="shared" ca="1" si="125"/>
        <v>0</v>
      </c>
      <c r="CX49" s="62">
        <f t="shared" ca="1" si="126"/>
        <v>0</v>
      </c>
      <c r="CY49" s="62">
        <f t="shared" ca="1" si="127"/>
        <v>0</v>
      </c>
      <c r="CZ49" s="62">
        <f t="shared" ca="1" si="128"/>
        <v>0</v>
      </c>
      <c r="DA49" s="62">
        <f t="shared" ca="1" si="129"/>
        <v>0</v>
      </c>
      <c r="DB49" s="62">
        <f t="shared" ca="1" si="130"/>
        <v>0</v>
      </c>
      <c r="DC49" s="62">
        <f t="shared" ca="1" si="131"/>
        <v>0</v>
      </c>
      <c r="DD49" s="62">
        <f t="shared" ca="1" si="132"/>
        <v>0</v>
      </c>
      <c r="DE49" s="62">
        <f t="shared" ca="1" si="133"/>
        <v>0</v>
      </c>
      <c r="DF49" s="62">
        <f t="shared" ca="1" si="134"/>
        <v>0</v>
      </c>
      <c r="DG49" s="62">
        <f t="shared" ca="1" si="135"/>
        <v>0</v>
      </c>
      <c r="DH49" s="62">
        <f t="shared" ca="1" si="136"/>
        <v>0</v>
      </c>
    </row>
    <row r="50" spans="1:112">
      <c r="A50" s="14">
        <f t="shared" si="48"/>
        <v>17</v>
      </c>
      <c r="B50" s="74">
        <f t="shared" ref="B50:C50" ca="1" si="153">B19</f>
        <v>0.66310300227883046</v>
      </c>
      <c r="C50" s="74">
        <f t="shared" si="153"/>
        <v>4046.8</v>
      </c>
      <c r="P50" s="63" t="b">
        <f t="shared" si="138"/>
        <v>1</v>
      </c>
      <c r="Q50" s="62">
        <f t="shared" ca="1" si="50"/>
        <v>6.1036086082458496</v>
      </c>
      <c r="R50" s="62">
        <f t="shared" ca="1" si="51"/>
        <v>4.3132166862487793</v>
      </c>
      <c r="S50" s="62">
        <f t="shared" ca="1" si="52"/>
        <v>2.4007527828216553</v>
      </c>
      <c r="T50" s="62">
        <f t="shared" ca="1" si="53"/>
        <v>7.5335969924926758</v>
      </c>
      <c r="U50" s="62">
        <f t="shared" ca="1" si="54"/>
        <v>3.8823311328887939</v>
      </c>
      <c r="V50" s="62">
        <f t="shared" ca="1" si="55"/>
        <v>2.3956663608551025</v>
      </c>
      <c r="W50" s="62">
        <f t="shared" ca="1" si="56"/>
        <v>7.895453929901123</v>
      </c>
      <c r="X50" s="62">
        <f t="shared" ca="1" si="57"/>
        <v>4.2856054306030273</v>
      </c>
      <c r="Y50" s="62">
        <f t="shared" ca="1" si="58"/>
        <v>2.5417170524597168</v>
      </c>
      <c r="Z50" s="62">
        <f t="shared" ca="1" si="59"/>
        <v>5.7635507583618164</v>
      </c>
      <c r="AA50" s="62">
        <f t="shared" ca="1" si="60"/>
        <v>3.618567943572998</v>
      </c>
      <c r="AB50" s="62">
        <f t="shared" ca="1" si="61"/>
        <v>2.2975726127624512</v>
      </c>
      <c r="AC50" s="62">
        <f t="shared" ca="1" si="62"/>
        <v>5.7373924255371094</v>
      </c>
      <c r="AD50" s="62">
        <f t="shared" ca="1" si="63"/>
        <v>3.6440804004669189</v>
      </c>
      <c r="AE50" s="62">
        <f t="shared" ca="1" si="64"/>
        <v>2.1023540496826172</v>
      </c>
      <c r="AF50" s="62"/>
      <c r="AG50" s="62"/>
      <c r="AH50" s="62"/>
      <c r="AI50" s="62">
        <f t="shared" ca="1" si="65"/>
        <v>0</v>
      </c>
      <c r="AJ50" s="62">
        <f t="shared" ca="1" si="66"/>
        <v>0</v>
      </c>
      <c r="AK50" s="62">
        <f t="shared" ca="1" si="67"/>
        <v>0</v>
      </c>
      <c r="AL50" s="62">
        <f t="shared" ca="1" si="68"/>
        <v>0</v>
      </c>
      <c r="AM50" s="62">
        <f t="shared" ca="1" si="69"/>
        <v>0</v>
      </c>
      <c r="AN50" s="62">
        <f t="shared" ca="1" si="70"/>
        <v>0</v>
      </c>
      <c r="AO50" s="62">
        <f t="shared" ca="1" si="71"/>
        <v>0</v>
      </c>
      <c r="AP50" s="62">
        <f t="shared" ca="1" si="72"/>
        <v>0</v>
      </c>
      <c r="AQ50" s="62">
        <f t="shared" ca="1" si="73"/>
        <v>0</v>
      </c>
      <c r="AR50" s="62">
        <f t="shared" ca="1" si="74"/>
        <v>0</v>
      </c>
      <c r="AS50" s="62">
        <f t="shared" ca="1" si="75"/>
        <v>0</v>
      </c>
      <c r="AT50" s="62">
        <f t="shared" ca="1" si="76"/>
        <v>0</v>
      </c>
      <c r="AU50" s="62">
        <f t="shared" ca="1" si="77"/>
        <v>0</v>
      </c>
      <c r="AV50" s="62">
        <f t="shared" ca="1" si="78"/>
        <v>0</v>
      </c>
      <c r="AW50" s="62">
        <f t="shared" ca="1" si="79"/>
        <v>0</v>
      </c>
      <c r="AX50" s="62">
        <f t="shared" ca="1" si="80"/>
        <v>0</v>
      </c>
      <c r="AY50" s="62">
        <f t="shared" ca="1" si="81"/>
        <v>0</v>
      </c>
      <c r="AZ50" s="62">
        <f t="shared" ca="1" si="82"/>
        <v>0</v>
      </c>
      <c r="BA50" s="62">
        <f t="shared" ca="1" si="83"/>
        <v>0</v>
      </c>
      <c r="BB50" s="62">
        <f t="shared" ca="1" si="84"/>
        <v>0</v>
      </c>
      <c r="BC50" s="62">
        <f t="shared" ca="1" si="85"/>
        <v>0</v>
      </c>
      <c r="BD50" s="62">
        <f t="shared" ca="1" si="86"/>
        <v>0</v>
      </c>
      <c r="BE50" s="62">
        <f t="shared" ca="1" si="87"/>
        <v>0</v>
      </c>
      <c r="BF50" s="62">
        <f t="shared" ca="1" si="88"/>
        <v>0</v>
      </c>
      <c r="BG50" s="62">
        <f t="shared" ca="1" si="89"/>
        <v>0</v>
      </c>
      <c r="BH50" s="62">
        <f t="shared" ca="1" si="90"/>
        <v>0</v>
      </c>
      <c r="BI50" s="62">
        <f t="shared" ca="1" si="91"/>
        <v>0</v>
      </c>
      <c r="BJ50" s="62">
        <f t="shared" ca="1" si="92"/>
        <v>0</v>
      </c>
      <c r="BK50" s="62">
        <f t="shared" ca="1" si="93"/>
        <v>0</v>
      </c>
      <c r="BL50" s="62">
        <f t="shared" ca="1" si="94"/>
        <v>0</v>
      </c>
      <c r="BM50" s="62">
        <f t="shared" ca="1" si="95"/>
        <v>0</v>
      </c>
      <c r="BN50" s="62">
        <f t="shared" ca="1" si="96"/>
        <v>0</v>
      </c>
      <c r="BO50" s="62">
        <f t="shared" ca="1" si="97"/>
        <v>0</v>
      </c>
      <c r="BP50" s="62">
        <f t="shared" ca="1" si="98"/>
        <v>0</v>
      </c>
      <c r="BQ50" s="62">
        <f t="shared" ca="1" si="99"/>
        <v>0</v>
      </c>
      <c r="BR50" s="62">
        <f t="shared" ca="1" si="100"/>
        <v>0</v>
      </c>
      <c r="BS50" s="62"/>
      <c r="BT50" s="62"/>
      <c r="BU50" s="62"/>
      <c r="BV50" s="62">
        <f t="shared" ca="1" si="101"/>
        <v>0</v>
      </c>
      <c r="BW50" s="62">
        <f t="shared" ca="1" si="102"/>
        <v>0</v>
      </c>
      <c r="BX50" s="62">
        <f t="shared" ca="1" si="103"/>
        <v>0</v>
      </c>
      <c r="BY50" s="62">
        <f t="shared" ca="1" si="104"/>
        <v>0</v>
      </c>
      <c r="BZ50" s="62">
        <f t="shared" ca="1" si="105"/>
        <v>0</v>
      </c>
      <c r="CA50" s="62">
        <f t="shared" ca="1" si="106"/>
        <v>0</v>
      </c>
      <c r="CB50" s="62"/>
      <c r="CC50" s="62"/>
      <c r="CD50" s="62"/>
      <c r="CE50" s="62">
        <f t="shared" ca="1" si="107"/>
        <v>0</v>
      </c>
      <c r="CF50" s="62">
        <f t="shared" ca="1" si="108"/>
        <v>0</v>
      </c>
      <c r="CG50" s="62">
        <f t="shared" ca="1" si="109"/>
        <v>0</v>
      </c>
      <c r="CH50" s="62">
        <f t="shared" ca="1" si="110"/>
        <v>0</v>
      </c>
      <c r="CI50" s="62">
        <f t="shared" ca="1" si="111"/>
        <v>0</v>
      </c>
      <c r="CJ50" s="62">
        <f t="shared" ca="1" si="112"/>
        <v>0</v>
      </c>
      <c r="CK50" s="62">
        <f t="shared" ca="1" si="113"/>
        <v>0</v>
      </c>
      <c r="CL50" s="62">
        <f t="shared" ca="1" si="114"/>
        <v>0</v>
      </c>
      <c r="CM50" s="62">
        <f t="shared" ca="1" si="115"/>
        <v>0</v>
      </c>
      <c r="CN50" s="62">
        <f t="shared" ca="1" si="116"/>
        <v>0</v>
      </c>
      <c r="CO50" s="62">
        <f t="shared" ca="1" si="117"/>
        <v>0</v>
      </c>
      <c r="CP50" s="62">
        <f t="shared" ca="1" si="118"/>
        <v>0</v>
      </c>
      <c r="CQ50" s="62">
        <f t="shared" ca="1" si="119"/>
        <v>0</v>
      </c>
      <c r="CR50" s="62">
        <f t="shared" ca="1" si="120"/>
        <v>0</v>
      </c>
      <c r="CS50" s="62">
        <f t="shared" ca="1" si="121"/>
        <v>0</v>
      </c>
      <c r="CT50" s="62">
        <f t="shared" ca="1" si="122"/>
        <v>0</v>
      </c>
      <c r="CU50" s="62">
        <f t="shared" ca="1" si="123"/>
        <v>0</v>
      </c>
      <c r="CV50" s="62">
        <f t="shared" ca="1" si="124"/>
        <v>0</v>
      </c>
      <c r="CW50" s="62">
        <f t="shared" ca="1" si="125"/>
        <v>0</v>
      </c>
      <c r="CX50" s="62">
        <f t="shared" ca="1" si="126"/>
        <v>0</v>
      </c>
      <c r="CY50" s="62">
        <f t="shared" ca="1" si="127"/>
        <v>0</v>
      </c>
      <c r="CZ50" s="62">
        <f t="shared" ca="1" si="128"/>
        <v>0</v>
      </c>
      <c r="DA50" s="62">
        <f t="shared" ca="1" si="129"/>
        <v>0</v>
      </c>
      <c r="DB50" s="62">
        <f t="shared" ca="1" si="130"/>
        <v>0</v>
      </c>
      <c r="DC50" s="62">
        <f t="shared" ca="1" si="131"/>
        <v>0</v>
      </c>
      <c r="DD50" s="62">
        <f t="shared" ca="1" si="132"/>
        <v>0</v>
      </c>
      <c r="DE50" s="62">
        <f t="shared" ca="1" si="133"/>
        <v>0</v>
      </c>
      <c r="DF50" s="62">
        <f t="shared" ca="1" si="134"/>
        <v>0</v>
      </c>
      <c r="DG50" s="62">
        <f t="shared" ca="1" si="135"/>
        <v>0</v>
      </c>
      <c r="DH50" s="62">
        <f t="shared" ca="1" si="136"/>
        <v>0</v>
      </c>
    </row>
    <row r="51" spans="1:112">
      <c r="A51" s="14">
        <f t="shared" si="48"/>
        <v>18</v>
      </c>
      <c r="B51" s="74">
        <f t="shared" ref="B51:C51" ca="1" si="154">B20</f>
        <v>0.15701835940156691</v>
      </c>
      <c r="C51" s="74">
        <f t="shared" si="154"/>
        <v>3830.6</v>
      </c>
      <c r="P51" s="63" t="b">
        <f t="shared" si="138"/>
        <v>1</v>
      </c>
      <c r="Q51" s="62">
        <f t="shared" ca="1" si="50"/>
        <v>3.1542577743530273</v>
      </c>
      <c r="R51" s="62">
        <f t="shared" ca="1" si="51"/>
        <v>1.4321682453155518</v>
      </c>
      <c r="S51" s="62">
        <f t="shared" ca="1" si="52"/>
        <v>1.2970168590545654</v>
      </c>
      <c r="T51" s="62">
        <f t="shared" ca="1" si="53"/>
        <v>3.1041209697723389</v>
      </c>
      <c r="U51" s="62">
        <f t="shared" ca="1" si="54"/>
        <v>1.2425203323364258</v>
      </c>
      <c r="V51" s="62">
        <f t="shared" ca="1" si="55"/>
        <v>1.3100960254669189</v>
      </c>
      <c r="W51" s="62">
        <f t="shared" ca="1" si="56"/>
        <v>2.6245517730712891</v>
      </c>
      <c r="X51" s="62">
        <f t="shared" ca="1" si="57"/>
        <v>1.4580843448638916</v>
      </c>
      <c r="Y51" s="62">
        <f t="shared" ca="1" si="58"/>
        <v>1.4693872928619385</v>
      </c>
      <c r="Z51" s="62">
        <f t="shared" ca="1" si="59"/>
        <v>3.0133743286132812</v>
      </c>
      <c r="AA51" s="62">
        <f t="shared" ca="1" si="60"/>
        <v>1.1076920032501221</v>
      </c>
      <c r="AB51" s="62">
        <f t="shared" ca="1" si="61"/>
        <v>1.2365459203720093</v>
      </c>
      <c r="AC51" s="62">
        <f t="shared" ca="1" si="62"/>
        <v>2.3668439388275146</v>
      </c>
      <c r="AD51" s="62">
        <f t="shared" ca="1" si="63"/>
        <v>1.1009101867675781</v>
      </c>
      <c r="AE51" s="62">
        <f t="shared" ca="1" si="64"/>
        <v>1.1664674282073975</v>
      </c>
      <c r="AF51" s="62"/>
      <c r="AG51" s="62"/>
      <c r="AH51" s="62"/>
      <c r="AI51" s="62">
        <f t="shared" ca="1" si="65"/>
        <v>0</v>
      </c>
      <c r="AJ51" s="62">
        <f t="shared" ca="1" si="66"/>
        <v>0</v>
      </c>
      <c r="AK51" s="62">
        <f t="shared" ca="1" si="67"/>
        <v>0</v>
      </c>
      <c r="AL51" s="62">
        <f t="shared" ca="1" si="68"/>
        <v>0</v>
      </c>
      <c r="AM51" s="62">
        <f t="shared" ca="1" si="69"/>
        <v>0</v>
      </c>
      <c r="AN51" s="62">
        <f t="shared" ca="1" si="70"/>
        <v>0</v>
      </c>
      <c r="AO51" s="62">
        <f t="shared" ca="1" si="71"/>
        <v>0</v>
      </c>
      <c r="AP51" s="62">
        <f t="shared" ca="1" si="72"/>
        <v>0</v>
      </c>
      <c r="AQ51" s="62">
        <f t="shared" ca="1" si="73"/>
        <v>0</v>
      </c>
      <c r="AR51" s="62">
        <f t="shared" ca="1" si="74"/>
        <v>0</v>
      </c>
      <c r="AS51" s="62">
        <f t="shared" ca="1" si="75"/>
        <v>0</v>
      </c>
      <c r="AT51" s="62">
        <f t="shared" ca="1" si="76"/>
        <v>0</v>
      </c>
      <c r="AU51" s="62">
        <f t="shared" ca="1" si="77"/>
        <v>0</v>
      </c>
      <c r="AV51" s="62">
        <f t="shared" ca="1" si="78"/>
        <v>0</v>
      </c>
      <c r="AW51" s="62">
        <f t="shared" ca="1" si="79"/>
        <v>0</v>
      </c>
      <c r="AX51" s="62">
        <f t="shared" ca="1" si="80"/>
        <v>0</v>
      </c>
      <c r="AY51" s="62">
        <f t="shared" ca="1" si="81"/>
        <v>0</v>
      </c>
      <c r="AZ51" s="62">
        <f t="shared" ca="1" si="82"/>
        <v>0</v>
      </c>
      <c r="BA51" s="62">
        <f t="shared" ca="1" si="83"/>
        <v>0</v>
      </c>
      <c r="BB51" s="62">
        <f t="shared" ca="1" si="84"/>
        <v>0</v>
      </c>
      <c r="BC51" s="62">
        <f t="shared" ca="1" si="85"/>
        <v>0</v>
      </c>
      <c r="BD51" s="62">
        <f t="shared" ca="1" si="86"/>
        <v>0</v>
      </c>
      <c r="BE51" s="62">
        <f t="shared" ca="1" si="87"/>
        <v>0</v>
      </c>
      <c r="BF51" s="62">
        <f t="shared" ca="1" si="88"/>
        <v>0</v>
      </c>
      <c r="BG51" s="62">
        <f t="shared" ca="1" si="89"/>
        <v>0</v>
      </c>
      <c r="BH51" s="62">
        <f t="shared" ca="1" si="90"/>
        <v>0</v>
      </c>
      <c r="BI51" s="62">
        <f t="shared" ca="1" si="91"/>
        <v>0</v>
      </c>
      <c r="BJ51" s="62">
        <f t="shared" ca="1" si="92"/>
        <v>0</v>
      </c>
      <c r="BK51" s="62">
        <f t="shared" ca="1" si="93"/>
        <v>0</v>
      </c>
      <c r="BL51" s="62">
        <f t="shared" ca="1" si="94"/>
        <v>0</v>
      </c>
      <c r="BM51" s="62">
        <f t="shared" ca="1" si="95"/>
        <v>0</v>
      </c>
      <c r="BN51" s="62">
        <f t="shared" ca="1" si="96"/>
        <v>0</v>
      </c>
      <c r="BO51" s="62">
        <f t="shared" ca="1" si="97"/>
        <v>0</v>
      </c>
      <c r="BP51" s="62">
        <f t="shared" ca="1" si="98"/>
        <v>0</v>
      </c>
      <c r="BQ51" s="62">
        <f t="shared" ca="1" si="99"/>
        <v>0</v>
      </c>
      <c r="BR51" s="62">
        <f t="shared" ca="1" si="100"/>
        <v>0</v>
      </c>
      <c r="BS51" s="62"/>
      <c r="BT51" s="62"/>
      <c r="BU51" s="62"/>
      <c r="BV51" s="62">
        <f t="shared" ca="1" si="101"/>
        <v>0</v>
      </c>
      <c r="BW51" s="62">
        <f t="shared" ca="1" si="102"/>
        <v>0</v>
      </c>
      <c r="BX51" s="62">
        <f t="shared" ca="1" si="103"/>
        <v>0</v>
      </c>
      <c r="BY51" s="62">
        <f t="shared" ca="1" si="104"/>
        <v>0</v>
      </c>
      <c r="BZ51" s="62">
        <f t="shared" ca="1" si="105"/>
        <v>0</v>
      </c>
      <c r="CA51" s="62">
        <f t="shared" ca="1" si="106"/>
        <v>0</v>
      </c>
      <c r="CB51" s="62"/>
      <c r="CC51" s="62"/>
      <c r="CD51" s="62"/>
      <c r="CE51" s="62">
        <f t="shared" ca="1" si="107"/>
        <v>0</v>
      </c>
      <c r="CF51" s="62">
        <f t="shared" ca="1" si="108"/>
        <v>0</v>
      </c>
      <c r="CG51" s="62">
        <f t="shared" ca="1" si="109"/>
        <v>0</v>
      </c>
      <c r="CH51" s="62">
        <f t="shared" ca="1" si="110"/>
        <v>0</v>
      </c>
      <c r="CI51" s="62">
        <f t="shared" ca="1" si="111"/>
        <v>0</v>
      </c>
      <c r="CJ51" s="62">
        <f t="shared" ca="1" si="112"/>
        <v>0</v>
      </c>
      <c r="CK51" s="62">
        <f t="shared" ca="1" si="113"/>
        <v>0</v>
      </c>
      <c r="CL51" s="62">
        <f t="shared" ca="1" si="114"/>
        <v>0</v>
      </c>
      <c r="CM51" s="62">
        <f t="shared" ca="1" si="115"/>
        <v>0</v>
      </c>
      <c r="CN51" s="62">
        <f t="shared" ca="1" si="116"/>
        <v>0</v>
      </c>
      <c r="CO51" s="62">
        <f t="shared" ca="1" si="117"/>
        <v>0</v>
      </c>
      <c r="CP51" s="62">
        <f t="shared" ca="1" si="118"/>
        <v>0</v>
      </c>
      <c r="CQ51" s="62">
        <f t="shared" ca="1" si="119"/>
        <v>0</v>
      </c>
      <c r="CR51" s="62">
        <f t="shared" ca="1" si="120"/>
        <v>0</v>
      </c>
      <c r="CS51" s="62">
        <f t="shared" ca="1" si="121"/>
        <v>0</v>
      </c>
      <c r="CT51" s="62">
        <f t="shared" ca="1" si="122"/>
        <v>0</v>
      </c>
      <c r="CU51" s="62">
        <f t="shared" ca="1" si="123"/>
        <v>0</v>
      </c>
      <c r="CV51" s="62">
        <f t="shared" ca="1" si="124"/>
        <v>0</v>
      </c>
      <c r="CW51" s="62">
        <f t="shared" ca="1" si="125"/>
        <v>0</v>
      </c>
      <c r="CX51" s="62">
        <f t="shared" ca="1" si="126"/>
        <v>0</v>
      </c>
      <c r="CY51" s="62">
        <f t="shared" ca="1" si="127"/>
        <v>0</v>
      </c>
      <c r="CZ51" s="62">
        <f t="shared" ca="1" si="128"/>
        <v>0</v>
      </c>
      <c r="DA51" s="62">
        <f t="shared" ca="1" si="129"/>
        <v>0</v>
      </c>
      <c r="DB51" s="62">
        <f t="shared" ca="1" si="130"/>
        <v>0</v>
      </c>
      <c r="DC51" s="62">
        <f t="shared" ca="1" si="131"/>
        <v>0</v>
      </c>
      <c r="DD51" s="62">
        <f t="shared" ca="1" si="132"/>
        <v>0</v>
      </c>
      <c r="DE51" s="62">
        <f t="shared" ca="1" si="133"/>
        <v>0</v>
      </c>
      <c r="DF51" s="62">
        <f t="shared" ca="1" si="134"/>
        <v>0</v>
      </c>
      <c r="DG51" s="62">
        <f t="shared" ca="1" si="135"/>
        <v>0</v>
      </c>
      <c r="DH51" s="62">
        <f t="shared" ca="1" si="136"/>
        <v>0</v>
      </c>
    </row>
    <row r="52" spans="1:112">
      <c r="A52" s="14">
        <f t="shared" si="48"/>
        <v>19</v>
      </c>
      <c r="B52" s="74">
        <f t="shared" ref="B52:C52" ca="1" si="155">B21</f>
        <v>0.12828800152468015</v>
      </c>
      <c r="C52" s="74">
        <f t="shared" si="155"/>
        <v>3852.3</v>
      </c>
      <c r="P52" s="63" t="b">
        <f t="shared" si="138"/>
        <v>1</v>
      </c>
      <c r="Q52" s="62">
        <f t="shared" ca="1" si="50"/>
        <v>2.4776129722595215</v>
      </c>
      <c r="R52" s="62">
        <f t="shared" ca="1" si="51"/>
        <v>1.1596856117248535</v>
      </c>
      <c r="S52" s="62">
        <f t="shared" ca="1" si="52"/>
        <v>0.92684429883956909</v>
      </c>
      <c r="T52" s="62">
        <f t="shared" ca="1" si="53"/>
        <v>2.4022059440612793</v>
      </c>
      <c r="U52" s="62">
        <f t="shared" ca="1" si="54"/>
        <v>0.99401628971099854</v>
      </c>
      <c r="V52" s="62">
        <f t="shared" ca="1" si="55"/>
        <v>0.93080031871795654</v>
      </c>
      <c r="W52" s="62">
        <f t="shared" ca="1" si="56"/>
        <v>2.0577881336212158</v>
      </c>
      <c r="X52" s="62">
        <f t="shared" ca="1" si="57"/>
        <v>1.1487863063812256</v>
      </c>
      <c r="Y52" s="62">
        <f t="shared" ca="1" si="58"/>
        <v>1.070311427116394</v>
      </c>
      <c r="Z52" s="62">
        <f t="shared" ca="1" si="59"/>
        <v>2.3062920570373535</v>
      </c>
      <c r="AA52" s="62">
        <f t="shared" ca="1" si="60"/>
        <v>0.8719441294670105</v>
      </c>
      <c r="AB52" s="62">
        <f t="shared" ca="1" si="61"/>
        <v>0.91118156909942627</v>
      </c>
      <c r="AC52" s="62">
        <f t="shared" ca="1" si="62"/>
        <v>1.8310825824737549</v>
      </c>
      <c r="AD52" s="62">
        <f t="shared" ca="1" si="63"/>
        <v>0.90197771787643433</v>
      </c>
      <c r="AE52" s="62">
        <f t="shared" ca="1" si="64"/>
        <v>0.84772342443466187</v>
      </c>
      <c r="AF52" s="62"/>
      <c r="AG52" s="62"/>
      <c r="AH52" s="62"/>
      <c r="AI52" s="62">
        <f t="shared" ca="1" si="65"/>
        <v>0</v>
      </c>
      <c r="AJ52" s="62">
        <f t="shared" ca="1" si="66"/>
        <v>0</v>
      </c>
      <c r="AK52" s="62">
        <f t="shared" ca="1" si="67"/>
        <v>0</v>
      </c>
      <c r="AL52" s="62">
        <f t="shared" ca="1" si="68"/>
        <v>0</v>
      </c>
      <c r="AM52" s="62">
        <f t="shared" ca="1" si="69"/>
        <v>0</v>
      </c>
      <c r="AN52" s="62">
        <f t="shared" ca="1" si="70"/>
        <v>0</v>
      </c>
      <c r="AO52" s="62">
        <f t="shared" ca="1" si="71"/>
        <v>0</v>
      </c>
      <c r="AP52" s="62">
        <f t="shared" ca="1" si="72"/>
        <v>0</v>
      </c>
      <c r="AQ52" s="62">
        <f t="shared" ca="1" si="73"/>
        <v>0</v>
      </c>
      <c r="AR52" s="62">
        <f t="shared" ca="1" si="74"/>
        <v>0</v>
      </c>
      <c r="AS52" s="62">
        <f t="shared" ca="1" si="75"/>
        <v>0</v>
      </c>
      <c r="AT52" s="62">
        <f t="shared" ca="1" si="76"/>
        <v>0</v>
      </c>
      <c r="AU52" s="62">
        <f t="shared" ca="1" si="77"/>
        <v>0</v>
      </c>
      <c r="AV52" s="62">
        <f t="shared" ca="1" si="78"/>
        <v>0</v>
      </c>
      <c r="AW52" s="62">
        <f t="shared" ca="1" si="79"/>
        <v>0</v>
      </c>
      <c r="AX52" s="62">
        <f t="shared" ca="1" si="80"/>
        <v>0</v>
      </c>
      <c r="AY52" s="62">
        <f t="shared" ca="1" si="81"/>
        <v>0</v>
      </c>
      <c r="AZ52" s="62">
        <f t="shared" ca="1" si="82"/>
        <v>0</v>
      </c>
      <c r="BA52" s="62">
        <f t="shared" ca="1" si="83"/>
        <v>0</v>
      </c>
      <c r="BB52" s="62">
        <f t="shared" ca="1" si="84"/>
        <v>0</v>
      </c>
      <c r="BC52" s="62">
        <f t="shared" ca="1" si="85"/>
        <v>0</v>
      </c>
      <c r="BD52" s="62">
        <f t="shared" ca="1" si="86"/>
        <v>0</v>
      </c>
      <c r="BE52" s="62">
        <f t="shared" ca="1" si="87"/>
        <v>0</v>
      </c>
      <c r="BF52" s="62">
        <f t="shared" ca="1" si="88"/>
        <v>0</v>
      </c>
      <c r="BG52" s="62">
        <f t="shared" ca="1" si="89"/>
        <v>0</v>
      </c>
      <c r="BH52" s="62">
        <f t="shared" ca="1" si="90"/>
        <v>0</v>
      </c>
      <c r="BI52" s="62">
        <f t="shared" ca="1" si="91"/>
        <v>0</v>
      </c>
      <c r="BJ52" s="62">
        <f t="shared" ca="1" si="92"/>
        <v>0</v>
      </c>
      <c r="BK52" s="62">
        <f t="shared" ca="1" si="93"/>
        <v>0</v>
      </c>
      <c r="BL52" s="62">
        <f t="shared" ca="1" si="94"/>
        <v>0</v>
      </c>
      <c r="BM52" s="62">
        <f t="shared" ca="1" si="95"/>
        <v>0</v>
      </c>
      <c r="BN52" s="62">
        <f t="shared" ca="1" si="96"/>
        <v>0</v>
      </c>
      <c r="BO52" s="62">
        <f t="shared" ca="1" si="97"/>
        <v>0</v>
      </c>
      <c r="BP52" s="62">
        <f t="shared" ca="1" si="98"/>
        <v>0</v>
      </c>
      <c r="BQ52" s="62">
        <f t="shared" ca="1" si="99"/>
        <v>0</v>
      </c>
      <c r="BR52" s="62">
        <f t="shared" ca="1" si="100"/>
        <v>0</v>
      </c>
      <c r="BS52" s="62"/>
      <c r="BT52" s="62"/>
      <c r="BU52" s="62"/>
      <c r="BV52" s="62">
        <f t="shared" ca="1" si="101"/>
        <v>0</v>
      </c>
      <c r="BW52" s="62">
        <f t="shared" ca="1" si="102"/>
        <v>0</v>
      </c>
      <c r="BX52" s="62">
        <f t="shared" ca="1" si="103"/>
        <v>0</v>
      </c>
      <c r="BY52" s="62">
        <f t="shared" ca="1" si="104"/>
        <v>0</v>
      </c>
      <c r="BZ52" s="62">
        <f t="shared" ca="1" si="105"/>
        <v>0</v>
      </c>
      <c r="CA52" s="62">
        <f t="shared" ca="1" si="106"/>
        <v>0</v>
      </c>
      <c r="CB52" s="62"/>
      <c r="CC52" s="62"/>
      <c r="CD52" s="62"/>
      <c r="CE52" s="62">
        <f t="shared" ca="1" si="107"/>
        <v>0</v>
      </c>
      <c r="CF52" s="62">
        <f t="shared" ca="1" si="108"/>
        <v>0</v>
      </c>
      <c r="CG52" s="62">
        <f t="shared" ca="1" si="109"/>
        <v>0</v>
      </c>
      <c r="CH52" s="62">
        <f t="shared" ca="1" si="110"/>
        <v>0</v>
      </c>
      <c r="CI52" s="62">
        <f t="shared" ca="1" si="111"/>
        <v>0</v>
      </c>
      <c r="CJ52" s="62">
        <f t="shared" ca="1" si="112"/>
        <v>0</v>
      </c>
      <c r="CK52" s="62">
        <f t="shared" ca="1" si="113"/>
        <v>0</v>
      </c>
      <c r="CL52" s="62">
        <f t="shared" ca="1" si="114"/>
        <v>0</v>
      </c>
      <c r="CM52" s="62">
        <f t="shared" ca="1" si="115"/>
        <v>0</v>
      </c>
      <c r="CN52" s="62">
        <f t="shared" ca="1" si="116"/>
        <v>0</v>
      </c>
      <c r="CO52" s="62">
        <f t="shared" ca="1" si="117"/>
        <v>0</v>
      </c>
      <c r="CP52" s="62">
        <f t="shared" ca="1" si="118"/>
        <v>0</v>
      </c>
      <c r="CQ52" s="62">
        <f t="shared" ca="1" si="119"/>
        <v>0</v>
      </c>
      <c r="CR52" s="62">
        <f t="shared" ca="1" si="120"/>
        <v>0</v>
      </c>
      <c r="CS52" s="62">
        <f t="shared" ca="1" si="121"/>
        <v>0</v>
      </c>
      <c r="CT52" s="62">
        <f t="shared" ca="1" si="122"/>
        <v>0</v>
      </c>
      <c r="CU52" s="62">
        <f t="shared" ca="1" si="123"/>
        <v>0</v>
      </c>
      <c r="CV52" s="62">
        <f t="shared" ca="1" si="124"/>
        <v>0</v>
      </c>
      <c r="CW52" s="62">
        <f t="shared" ca="1" si="125"/>
        <v>0</v>
      </c>
      <c r="CX52" s="62">
        <f t="shared" ca="1" si="126"/>
        <v>0</v>
      </c>
      <c r="CY52" s="62">
        <f t="shared" ca="1" si="127"/>
        <v>0</v>
      </c>
      <c r="CZ52" s="62">
        <f t="shared" ca="1" si="128"/>
        <v>0</v>
      </c>
      <c r="DA52" s="62">
        <f t="shared" ca="1" si="129"/>
        <v>0</v>
      </c>
      <c r="DB52" s="62">
        <f t="shared" ca="1" si="130"/>
        <v>0</v>
      </c>
      <c r="DC52" s="62">
        <f t="shared" ca="1" si="131"/>
        <v>0</v>
      </c>
      <c r="DD52" s="62">
        <f t="shared" ca="1" si="132"/>
        <v>0</v>
      </c>
      <c r="DE52" s="62">
        <f t="shared" ca="1" si="133"/>
        <v>0</v>
      </c>
      <c r="DF52" s="62">
        <f t="shared" ca="1" si="134"/>
        <v>0</v>
      </c>
      <c r="DG52" s="62">
        <f t="shared" ca="1" si="135"/>
        <v>0</v>
      </c>
      <c r="DH52" s="62">
        <f t="shared" ca="1" si="136"/>
        <v>0</v>
      </c>
    </row>
    <row r="53" spans="1:112">
      <c r="A53" s="14">
        <f t="shared" si="48"/>
        <v>20</v>
      </c>
      <c r="B53" s="74">
        <f t="shared" ref="B53:C53" ca="1" si="156">B22</f>
        <v>0.1052422464745905</v>
      </c>
      <c r="C53" s="74">
        <f t="shared" si="156"/>
        <v>3884.6</v>
      </c>
      <c r="P53" s="63" t="b">
        <f t="shared" si="138"/>
        <v>1</v>
      </c>
      <c r="Q53" s="62">
        <f t="shared" ca="1" si="50"/>
        <v>1.4670459032058716</v>
      </c>
      <c r="R53" s="62">
        <f t="shared" ca="1" si="51"/>
        <v>0.89592254161834717</v>
      </c>
      <c r="S53" s="62">
        <f t="shared" ca="1" si="52"/>
        <v>0.61690044403076172</v>
      </c>
      <c r="T53" s="62">
        <f t="shared" ca="1" si="53"/>
        <v>1.4648661613464355</v>
      </c>
      <c r="U53" s="62">
        <f t="shared" ca="1" si="54"/>
        <v>0.80025094747543335</v>
      </c>
      <c r="V53" s="62">
        <f t="shared" ca="1" si="55"/>
        <v>0.68948173522949219</v>
      </c>
      <c r="W53" s="62">
        <f t="shared" ca="1" si="56"/>
        <v>2.0032916069030762</v>
      </c>
      <c r="X53" s="62">
        <f t="shared" ca="1" si="57"/>
        <v>0.92644059658050537</v>
      </c>
      <c r="Y53" s="62">
        <f t="shared" ca="1" si="58"/>
        <v>0.76077121496200562</v>
      </c>
      <c r="Z53" s="62">
        <f t="shared" ca="1" si="59"/>
        <v>1.4038300514221191</v>
      </c>
      <c r="AA53" s="62">
        <f t="shared" ca="1" si="60"/>
        <v>0.68948173522949219</v>
      </c>
      <c r="AB53" s="62">
        <f t="shared" ca="1" si="61"/>
        <v>0.61714267730712891</v>
      </c>
      <c r="AC53" s="62">
        <f t="shared" ca="1" si="62"/>
        <v>1.7744063138961792</v>
      </c>
      <c r="AD53" s="62">
        <f t="shared" ca="1" si="63"/>
        <v>0.73025321960449219</v>
      </c>
      <c r="AE53" s="62">
        <f t="shared" ca="1" si="64"/>
        <v>0.54278522729873657</v>
      </c>
      <c r="AF53" s="62"/>
      <c r="AG53" s="62"/>
      <c r="AH53" s="62"/>
      <c r="AI53" s="62">
        <f t="shared" ca="1" si="65"/>
        <v>0</v>
      </c>
      <c r="AJ53" s="62">
        <f t="shared" ca="1" si="66"/>
        <v>0</v>
      </c>
      <c r="AK53" s="62">
        <f t="shared" ca="1" si="67"/>
        <v>0</v>
      </c>
      <c r="AL53" s="62">
        <f t="shared" ca="1" si="68"/>
        <v>0</v>
      </c>
      <c r="AM53" s="62">
        <f t="shared" ca="1" si="69"/>
        <v>0</v>
      </c>
      <c r="AN53" s="62">
        <f t="shared" ca="1" si="70"/>
        <v>0</v>
      </c>
      <c r="AO53" s="62">
        <f t="shared" ca="1" si="71"/>
        <v>0</v>
      </c>
      <c r="AP53" s="62">
        <f t="shared" ca="1" si="72"/>
        <v>0</v>
      </c>
      <c r="AQ53" s="62">
        <f t="shared" ca="1" si="73"/>
        <v>0</v>
      </c>
      <c r="AR53" s="62">
        <f t="shared" ca="1" si="74"/>
        <v>0</v>
      </c>
      <c r="AS53" s="62">
        <f t="shared" ca="1" si="75"/>
        <v>0</v>
      </c>
      <c r="AT53" s="62">
        <f t="shared" ca="1" si="76"/>
        <v>0</v>
      </c>
      <c r="AU53" s="62">
        <f t="shared" ca="1" si="77"/>
        <v>0</v>
      </c>
      <c r="AV53" s="62">
        <f t="shared" ca="1" si="78"/>
        <v>0</v>
      </c>
      <c r="AW53" s="62">
        <f t="shared" ca="1" si="79"/>
        <v>0</v>
      </c>
      <c r="AX53" s="62">
        <f t="shared" ca="1" si="80"/>
        <v>0</v>
      </c>
      <c r="AY53" s="62">
        <f t="shared" ca="1" si="81"/>
        <v>0</v>
      </c>
      <c r="AZ53" s="62">
        <f t="shared" ca="1" si="82"/>
        <v>0</v>
      </c>
      <c r="BA53" s="62">
        <f t="shared" ca="1" si="83"/>
        <v>0</v>
      </c>
      <c r="BB53" s="62">
        <f t="shared" ca="1" si="84"/>
        <v>0</v>
      </c>
      <c r="BC53" s="62">
        <f t="shared" ca="1" si="85"/>
        <v>0</v>
      </c>
      <c r="BD53" s="62">
        <f t="shared" ca="1" si="86"/>
        <v>0</v>
      </c>
      <c r="BE53" s="62">
        <f t="shared" ca="1" si="87"/>
        <v>0</v>
      </c>
      <c r="BF53" s="62">
        <f t="shared" ca="1" si="88"/>
        <v>0</v>
      </c>
      <c r="BG53" s="62">
        <f t="shared" ca="1" si="89"/>
        <v>0</v>
      </c>
      <c r="BH53" s="62">
        <f t="shared" ca="1" si="90"/>
        <v>0</v>
      </c>
      <c r="BI53" s="62">
        <f t="shared" ca="1" si="91"/>
        <v>0</v>
      </c>
      <c r="BJ53" s="62">
        <f t="shared" ca="1" si="92"/>
        <v>0</v>
      </c>
      <c r="BK53" s="62">
        <f t="shared" ca="1" si="93"/>
        <v>0</v>
      </c>
      <c r="BL53" s="62">
        <f t="shared" ca="1" si="94"/>
        <v>0</v>
      </c>
      <c r="BM53" s="62">
        <f t="shared" ca="1" si="95"/>
        <v>0</v>
      </c>
      <c r="BN53" s="62">
        <f t="shared" ca="1" si="96"/>
        <v>0</v>
      </c>
      <c r="BO53" s="62">
        <f t="shared" ca="1" si="97"/>
        <v>0</v>
      </c>
      <c r="BP53" s="62">
        <f t="shared" ca="1" si="98"/>
        <v>0</v>
      </c>
      <c r="BQ53" s="62">
        <f t="shared" ca="1" si="99"/>
        <v>0</v>
      </c>
      <c r="BR53" s="62">
        <f t="shared" ca="1" si="100"/>
        <v>0</v>
      </c>
      <c r="BS53" s="62"/>
      <c r="BT53" s="62"/>
      <c r="BU53" s="62"/>
      <c r="BV53" s="62">
        <f t="shared" ca="1" si="101"/>
        <v>0</v>
      </c>
      <c r="BW53" s="62">
        <f t="shared" ca="1" si="102"/>
        <v>0</v>
      </c>
      <c r="BX53" s="62">
        <f t="shared" ca="1" si="103"/>
        <v>0</v>
      </c>
      <c r="BY53" s="62">
        <f t="shared" ca="1" si="104"/>
        <v>0</v>
      </c>
      <c r="BZ53" s="62">
        <f t="shared" ca="1" si="105"/>
        <v>0</v>
      </c>
      <c r="CA53" s="62">
        <f t="shared" ca="1" si="106"/>
        <v>0</v>
      </c>
      <c r="CB53" s="62"/>
      <c r="CC53" s="62"/>
      <c r="CD53" s="62"/>
      <c r="CE53" s="62">
        <f t="shared" ca="1" si="107"/>
        <v>0</v>
      </c>
      <c r="CF53" s="62">
        <f t="shared" ca="1" si="108"/>
        <v>0</v>
      </c>
      <c r="CG53" s="62">
        <f t="shared" ca="1" si="109"/>
        <v>0</v>
      </c>
      <c r="CH53" s="62">
        <f t="shared" ca="1" si="110"/>
        <v>0</v>
      </c>
      <c r="CI53" s="62">
        <f t="shared" ca="1" si="111"/>
        <v>0</v>
      </c>
      <c r="CJ53" s="62">
        <f t="shared" ca="1" si="112"/>
        <v>0</v>
      </c>
      <c r="CK53" s="62">
        <f t="shared" ca="1" si="113"/>
        <v>0</v>
      </c>
      <c r="CL53" s="62">
        <f t="shared" ca="1" si="114"/>
        <v>0</v>
      </c>
      <c r="CM53" s="62">
        <f t="shared" ca="1" si="115"/>
        <v>0</v>
      </c>
      <c r="CN53" s="62">
        <f t="shared" ca="1" si="116"/>
        <v>0</v>
      </c>
      <c r="CO53" s="62">
        <f t="shared" ca="1" si="117"/>
        <v>0</v>
      </c>
      <c r="CP53" s="62">
        <f t="shared" ca="1" si="118"/>
        <v>0</v>
      </c>
      <c r="CQ53" s="62">
        <f t="shared" ca="1" si="119"/>
        <v>0</v>
      </c>
      <c r="CR53" s="62">
        <f t="shared" ca="1" si="120"/>
        <v>0</v>
      </c>
      <c r="CS53" s="62">
        <f t="shared" ca="1" si="121"/>
        <v>0</v>
      </c>
      <c r="CT53" s="62">
        <f t="shared" ca="1" si="122"/>
        <v>0</v>
      </c>
      <c r="CU53" s="62">
        <f t="shared" ca="1" si="123"/>
        <v>0</v>
      </c>
      <c r="CV53" s="62">
        <f t="shared" ca="1" si="124"/>
        <v>0</v>
      </c>
      <c r="CW53" s="62">
        <f t="shared" ca="1" si="125"/>
        <v>0</v>
      </c>
      <c r="CX53" s="62">
        <f t="shared" ca="1" si="126"/>
        <v>0</v>
      </c>
      <c r="CY53" s="62">
        <f t="shared" ca="1" si="127"/>
        <v>0</v>
      </c>
      <c r="CZ53" s="62">
        <f t="shared" ca="1" si="128"/>
        <v>0</v>
      </c>
      <c r="DA53" s="62">
        <f t="shared" ca="1" si="129"/>
        <v>0</v>
      </c>
      <c r="DB53" s="62">
        <f t="shared" ca="1" si="130"/>
        <v>0</v>
      </c>
      <c r="DC53" s="62">
        <f t="shared" ca="1" si="131"/>
        <v>0</v>
      </c>
      <c r="DD53" s="62">
        <f t="shared" ca="1" si="132"/>
        <v>0</v>
      </c>
      <c r="DE53" s="62">
        <f t="shared" ca="1" si="133"/>
        <v>0</v>
      </c>
      <c r="DF53" s="62">
        <f t="shared" ca="1" si="134"/>
        <v>0</v>
      </c>
      <c r="DG53" s="62">
        <f t="shared" ca="1" si="135"/>
        <v>0</v>
      </c>
      <c r="DH53" s="62">
        <f t="shared" ca="1" si="136"/>
        <v>0</v>
      </c>
    </row>
    <row r="54" spans="1:112">
      <c r="A54" s="14">
        <f t="shared" si="48"/>
        <v>21</v>
      </c>
      <c r="B54" s="74">
        <f t="shared" ref="B54:C54" ca="1" si="157">B23</f>
        <v>8.7497019701430423E-2</v>
      </c>
      <c r="C54" s="74">
        <f t="shared" si="157"/>
        <v>3874</v>
      </c>
      <c r="P54" s="63" t="b">
        <f t="shared" si="138"/>
        <v>1</v>
      </c>
      <c r="Q54" s="62">
        <f t="shared" ca="1" si="50"/>
        <v>1.4496071338653564</v>
      </c>
      <c r="R54" s="62">
        <f t="shared" ca="1" si="51"/>
        <v>0.71499419212341309</v>
      </c>
      <c r="S54" s="62">
        <f t="shared" ca="1" si="52"/>
        <v>0.38583526015281677</v>
      </c>
      <c r="T54" s="62">
        <f t="shared" ca="1" si="53"/>
        <v>1.467126727104187</v>
      </c>
      <c r="U54" s="62">
        <f t="shared" ca="1" si="54"/>
        <v>0.62618505954742432</v>
      </c>
      <c r="V54" s="62">
        <f t="shared" ca="1" si="55"/>
        <v>0.45890095829963684</v>
      </c>
      <c r="W54" s="62">
        <f t="shared" ca="1" si="56"/>
        <v>1.2207217216491699</v>
      </c>
      <c r="X54" s="62">
        <f t="shared" ca="1" si="57"/>
        <v>0.77086317539215088</v>
      </c>
      <c r="Y54" s="62">
        <f t="shared" ca="1" si="58"/>
        <v>0.5267188549041748</v>
      </c>
      <c r="Z54" s="62">
        <f t="shared" ca="1" si="59"/>
        <v>1.0986496210098267</v>
      </c>
      <c r="AA54" s="62">
        <f t="shared" ca="1" si="60"/>
        <v>0.55384600162506104</v>
      </c>
      <c r="AB54" s="62">
        <f t="shared" ca="1" si="61"/>
        <v>0.38882249593734741</v>
      </c>
      <c r="AC54" s="62">
        <f t="shared" ca="1" si="62"/>
        <v>1.3188154697418213</v>
      </c>
      <c r="AD54" s="62">
        <f t="shared" ca="1" si="63"/>
        <v>0.57984280586242676</v>
      </c>
      <c r="AE54" s="62">
        <f t="shared" ca="1" si="64"/>
        <v>0.37493595480918884</v>
      </c>
      <c r="AF54" s="62"/>
      <c r="AG54" s="62"/>
      <c r="AH54" s="62"/>
      <c r="AI54" s="62">
        <f t="shared" ca="1" si="65"/>
        <v>0</v>
      </c>
      <c r="AJ54" s="62">
        <f t="shared" ca="1" si="66"/>
        <v>0</v>
      </c>
      <c r="AK54" s="62">
        <f t="shared" ca="1" si="67"/>
        <v>0</v>
      </c>
      <c r="AL54" s="62">
        <f t="shared" ca="1" si="68"/>
        <v>0</v>
      </c>
      <c r="AM54" s="62">
        <f t="shared" ca="1" si="69"/>
        <v>0</v>
      </c>
      <c r="AN54" s="62">
        <f t="shared" ca="1" si="70"/>
        <v>0</v>
      </c>
      <c r="AO54" s="62">
        <f t="shared" ca="1" si="71"/>
        <v>0</v>
      </c>
      <c r="AP54" s="62">
        <f t="shared" ca="1" si="72"/>
        <v>0</v>
      </c>
      <c r="AQ54" s="62">
        <f t="shared" ca="1" si="73"/>
        <v>0</v>
      </c>
      <c r="AR54" s="62">
        <f t="shared" ca="1" si="74"/>
        <v>0</v>
      </c>
      <c r="AS54" s="62">
        <f t="shared" ca="1" si="75"/>
        <v>0</v>
      </c>
      <c r="AT54" s="62">
        <f t="shared" ca="1" si="76"/>
        <v>0</v>
      </c>
      <c r="AU54" s="62">
        <f t="shared" ca="1" si="77"/>
        <v>0</v>
      </c>
      <c r="AV54" s="62">
        <f t="shared" ca="1" si="78"/>
        <v>0</v>
      </c>
      <c r="AW54" s="62">
        <f t="shared" ca="1" si="79"/>
        <v>0</v>
      </c>
      <c r="AX54" s="62">
        <f t="shared" ca="1" si="80"/>
        <v>0</v>
      </c>
      <c r="AY54" s="62">
        <f t="shared" ca="1" si="81"/>
        <v>0</v>
      </c>
      <c r="AZ54" s="62">
        <f t="shared" ca="1" si="82"/>
        <v>0</v>
      </c>
      <c r="BA54" s="62">
        <f t="shared" ca="1" si="83"/>
        <v>0</v>
      </c>
      <c r="BB54" s="62">
        <f t="shared" ca="1" si="84"/>
        <v>0</v>
      </c>
      <c r="BC54" s="62">
        <f t="shared" ca="1" si="85"/>
        <v>0</v>
      </c>
      <c r="BD54" s="62">
        <f t="shared" ca="1" si="86"/>
        <v>0</v>
      </c>
      <c r="BE54" s="62">
        <f t="shared" ca="1" si="87"/>
        <v>0</v>
      </c>
      <c r="BF54" s="62">
        <f t="shared" ca="1" si="88"/>
        <v>0</v>
      </c>
      <c r="BG54" s="62">
        <f t="shared" ca="1" si="89"/>
        <v>0</v>
      </c>
      <c r="BH54" s="62">
        <f t="shared" ca="1" si="90"/>
        <v>0</v>
      </c>
      <c r="BI54" s="62">
        <f t="shared" ca="1" si="91"/>
        <v>0</v>
      </c>
      <c r="BJ54" s="62">
        <f t="shared" ca="1" si="92"/>
        <v>0</v>
      </c>
      <c r="BK54" s="62">
        <f t="shared" ca="1" si="93"/>
        <v>0</v>
      </c>
      <c r="BL54" s="62">
        <f t="shared" ca="1" si="94"/>
        <v>0</v>
      </c>
      <c r="BM54" s="62">
        <f t="shared" ca="1" si="95"/>
        <v>0</v>
      </c>
      <c r="BN54" s="62">
        <f t="shared" ca="1" si="96"/>
        <v>0</v>
      </c>
      <c r="BO54" s="62">
        <f t="shared" ca="1" si="97"/>
        <v>0</v>
      </c>
      <c r="BP54" s="62">
        <f t="shared" ca="1" si="98"/>
        <v>0</v>
      </c>
      <c r="BQ54" s="62">
        <f t="shared" ca="1" si="99"/>
        <v>0</v>
      </c>
      <c r="BR54" s="62">
        <f t="shared" ca="1" si="100"/>
        <v>0</v>
      </c>
      <c r="BS54" s="62"/>
      <c r="BT54" s="62"/>
      <c r="BU54" s="62"/>
      <c r="BV54" s="62">
        <f t="shared" ca="1" si="101"/>
        <v>0</v>
      </c>
      <c r="BW54" s="62">
        <f t="shared" ca="1" si="102"/>
        <v>0</v>
      </c>
      <c r="BX54" s="62">
        <f t="shared" ca="1" si="103"/>
        <v>0</v>
      </c>
      <c r="BY54" s="62">
        <f t="shared" ca="1" si="104"/>
        <v>0</v>
      </c>
      <c r="BZ54" s="62">
        <f t="shared" ca="1" si="105"/>
        <v>0</v>
      </c>
      <c r="CA54" s="62">
        <f t="shared" ca="1" si="106"/>
        <v>0</v>
      </c>
      <c r="CB54" s="62"/>
      <c r="CC54" s="62"/>
      <c r="CD54" s="62"/>
      <c r="CE54" s="62">
        <f t="shared" ca="1" si="107"/>
        <v>0</v>
      </c>
      <c r="CF54" s="62">
        <f t="shared" ca="1" si="108"/>
        <v>0</v>
      </c>
      <c r="CG54" s="62">
        <f t="shared" ca="1" si="109"/>
        <v>0</v>
      </c>
      <c r="CH54" s="62">
        <f t="shared" ca="1" si="110"/>
        <v>0</v>
      </c>
      <c r="CI54" s="62">
        <f t="shared" ca="1" si="111"/>
        <v>0</v>
      </c>
      <c r="CJ54" s="62">
        <f t="shared" ca="1" si="112"/>
        <v>0</v>
      </c>
      <c r="CK54" s="62">
        <f t="shared" ca="1" si="113"/>
        <v>0</v>
      </c>
      <c r="CL54" s="62">
        <f t="shared" ca="1" si="114"/>
        <v>0</v>
      </c>
      <c r="CM54" s="62">
        <f t="shared" ca="1" si="115"/>
        <v>0</v>
      </c>
      <c r="CN54" s="62">
        <f t="shared" ca="1" si="116"/>
        <v>0</v>
      </c>
      <c r="CO54" s="62">
        <f t="shared" ca="1" si="117"/>
        <v>0</v>
      </c>
      <c r="CP54" s="62">
        <f t="shared" ca="1" si="118"/>
        <v>0</v>
      </c>
      <c r="CQ54" s="62">
        <f t="shared" ca="1" si="119"/>
        <v>0</v>
      </c>
      <c r="CR54" s="62">
        <f t="shared" ca="1" si="120"/>
        <v>0</v>
      </c>
      <c r="CS54" s="62">
        <f t="shared" ca="1" si="121"/>
        <v>0</v>
      </c>
      <c r="CT54" s="62">
        <f t="shared" ca="1" si="122"/>
        <v>0</v>
      </c>
      <c r="CU54" s="62">
        <f t="shared" ca="1" si="123"/>
        <v>0</v>
      </c>
      <c r="CV54" s="62">
        <f t="shared" ca="1" si="124"/>
        <v>0</v>
      </c>
      <c r="CW54" s="62">
        <f t="shared" ca="1" si="125"/>
        <v>0</v>
      </c>
      <c r="CX54" s="62">
        <f t="shared" ca="1" si="126"/>
        <v>0</v>
      </c>
      <c r="CY54" s="62">
        <f t="shared" ca="1" si="127"/>
        <v>0</v>
      </c>
      <c r="CZ54" s="62">
        <f t="shared" ca="1" si="128"/>
        <v>0</v>
      </c>
      <c r="DA54" s="62">
        <f t="shared" ca="1" si="129"/>
        <v>0</v>
      </c>
      <c r="DB54" s="62">
        <f t="shared" ca="1" si="130"/>
        <v>0</v>
      </c>
      <c r="DC54" s="62">
        <f t="shared" ca="1" si="131"/>
        <v>0</v>
      </c>
      <c r="DD54" s="62">
        <f t="shared" ca="1" si="132"/>
        <v>0</v>
      </c>
      <c r="DE54" s="62">
        <f t="shared" ca="1" si="133"/>
        <v>0</v>
      </c>
      <c r="DF54" s="62">
        <f t="shared" ca="1" si="134"/>
        <v>0</v>
      </c>
      <c r="DG54" s="62">
        <f t="shared" ca="1" si="135"/>
        <v>0</v>
      </c>
      <c r="DH54" s="62">
        <f t="shared" ca="1" si="136"/>
        <v>0</v>
      </c>
    </row>
    <row r="55" spans="1:112">
      <c r="A55" s="14">
        <f t="shared" si="48"/>
        <v>22</v>
      </c>
      <c r="B55" s="74">
        <f t="shared" ref="B55:C55" ca="1" si="158">B24</f>
        <v>6.4528090696904072E-2</v>
      </c>
      <c r="C55" s="74">
        <f t="shared" si="158"/>
        <v>3852.9</v>
      </c>
      <c r="P55" s="63" t="b">
        <f t="shared" si="138"/>
        <v>1</v>
      </c>
      <c r="Q55" s="62">
        <f t="shared" ca="1" si="50"/>
        <v>1.0376135110855103</v>
      </c>
      <c r="R55" s="62">
        <f t="shared" ca="1" si="51"/>
        <v>0.61036086082458496</v>
      </c>
      <c r="S55" s="62">
        <f t="shared" ca="1" si="52"/>
        <v>0.46116155385971069</v>
      </c>
      <c r="T55" s="62">
        <f t="shared" ca="1" si="53"/>
        <v>1.3247091770172119</v>
      </c>
      <c r="U55" s="62">
        <f t="shared" ca="1" si="54"/>
        <v>0.55836719274520874</v>
      </c>
      <c r="V55" s="62">
        <f t="shared" ca="1" si="55"/>
        <v>0.53124004602432251</v>
      </c>
      <c r="W55" s="62">
        <f t="shared" ca="1" si="56"/>
        <v>1.38857102394104</v>
      </c>
      <c r="X55" s="62">
        <f t="shared" ca="1" si="57"/>
        <v>0.62779974937438965</v>
      </c>
      <c r="Y55" s="62">
        <f t="shared" ca="1" si="58"/>
        <v>0.5384255051612854</v>
      </c>
      <c r="Z55" s="62">
        <f t="shared" ca="1" si="59"/>
        <v>0.97657740116119385</v>
      </c>
      <c r="AA55" s="62">
        <f t="shared" ca="1" si="60"/>
        <v>0.49054929614067078</v>
      </c>
      <c r="AB55" s="62">
        <f t="shared" ca="1" si="61"/>
        <v>0.45890095829963684</v>
      </c>
      <c r="AC55" s="62">
        <f t="shared" ca="1" si="62"/>
        <v>0.97657740116119385</v>
      </c>
      <c r="AD55" s="62">
        <f t="shared" ca="1" si="63"/>
        <v>0.45437976717948914</v>
      </c>
      <c r="AE55" s="62">
        <f t="shared" ca="1" si="64"/>
        <v>0.39108309149742126</v>
      </c>
      <c r="AF55" s="62"/>
      <c r="AG55" s="62"/>
      <c r="AH55" s="62"/>
      <c r="AI55" s="62">
        <f t="shared" ca="1" si="65"/>
        <v>0</v>
      </c>
      <c r="AJ55" s="62">
        <f t="shared" ca="1" si="66"/>
        <v>0</v>
      </c>
      <c r="AK55" s="62">
        <f t="shared" ca="1" si="67"/>
        <v>0</v>
      </c>
      <c r="AL55" s="62">
        <f t="shared" ca="1" si="68"/>
        <v>0</v>
      </c>
      <c r="AM55" s="62">
        <f t="shared" ca="1" si="69"/>
        <v>0</v>
      </c>
      <c r="AN55" s="62">
        <f t="shared" ca="1" si="70"/>
        <v>0</v>
      </c>
      <c r="AO55" s="62">
        <f t="shared" ca="1" si="71"/>
        <v>0</v>
      </c>
      <c r="AP55" s="62">
        <f t="shared" ca="1" si="72"/>
        <v>0</v>
      </c>
      <c r="AQ55" s="62">
        <f t="shared" ca="1" si="73"/>
        <v>0</v>
      </c>
      <c r="AR55" s="62">
        <f t="shared" ca="1" si="74"/>
        <v>0</v>
      </c>
      <c r="AS55" s="62">
        <f t="shared" ca="1" si="75"/>
        <v>0</v>
      </c>
      <c r="AT55" s="62">
        <f t="shared" ca="1" si="76"/>
        <v>0</v>
      </c>
      <c r="AU55" s="62">
        <f t="shared" ca="1" si="77"/>
        <v>0</v>
      </c>
      <c r="AV55" s="62">
        <f t="shared" ca="1" si="78"/>
        <v>0</v>
      </c>
      <c r="AW55" s="62">
        <f t="shared" ca="1" si="79"/>
        <v>0</v>
      </c>
      <c r="AX55" s="62">
        <f t="shared" ca="1" si="80"/>
        <v>0</v>
      </c>
      <c r="AY55" s="62">
        <f t="shared" ca="1" si="81"/>
        <v>0</v>
      </c>
      <c r="AZ55" s="62">
        <f t="shared" ca="1" si="82"/>
        <v>0</v>
      </c>
      <c r="BA55" s="62">
        <f t="shared" ca="1" si="83"/>
        <v>0</v>
      </c>
      <c r="BB55" s="62">
        <f t="shared" ca="1" si="84"/>
        <v>0</v>
      </c>
      <c r="BC55" s="62">
        <f t="shared" ca="1" si="85"/>
        <v>0</v>
      </c>
      <c r="BD55" s="62">
        <f t="shared" ca="1" si="86"/>
        <v>0</v>
      </c>
      <c r="BE55" s="62">
        <f t="shared" ca="1" si="87"/>
        <v>0</v>
      </c>
      <c r="BF55" s="62">
        <f t="shared" ca="1" si="88"/>
        <v>0</v>
      </c>
      <c r="BG55" s="62">
        <f t="shared" ca="1" si="89"/>
        <v>0</v>
      </c>
      <c r="BH55" s="62">
        <f t="shared" ca="1" si="90"/>
        <v>0</v>
      </c>
      <c r="BI55" s="62">
        <f t="shared" ca="1" si="91"/>
        <v>0</v>
      </c>
      <c r="BJ55" s="62">
        <f t="shared" ca="1" si="92"/>
        <v>0</v>
      </c>
      <c r="BK55" s="62">
        <f t="shared" ca="1" si="93"/>
        <v>0</v>
      </c>
      <c r="BL55" s="62">
        <f t="shared" ca="1" si="94"/>
        <v>0</v>
      </c>
      <c r="BM55" s="62">
        <f t="shared" ca="1" si="95"/>
        <v>0</v>
      </c>
      <c r="BN55" s="62">
        <f t="shared" ca="1" si="96"/>
        <v>0</v>
      </c>
      <c r="BO55" s="62">
        <f t="shared" ca="1" si="97"/>
        <v>0</v>
      </c>
      <c r="BP55" s="62">
        <f t="shared" ca="1" si="98"/>
        <v>0</v>
      </c>
      <c r="BQ55" s="62">
        <f t="shared" ca="1" si="99"/>
        <v>0</v>
      </c>
      <c r="BR55" s="62">
        <f t="shared" ca="1" si="100"/>
        <v>0</v>
      </c>
      <c r="BS55" s="62"/>
      <c r="BT55" s="62"/>
      <c r="BU55" s="62"/>
      <c r="BV55" s="62">
        <f t="shared" ca="1" si="101"/>
        <v>0</v>
      </c>
      <c r="BW55" s="62">
        <f t="shared" ca="1" si="102"/>
        <v>0</v>
      </c>
      <c r="BX55" s="62">
        <f t="shared" ca="1" si="103"/>
        <v>0</v>
      </c>
      <c r="BY55" s="62">
        <f t="shared" ca="1" si="104"/>
        <v>0</v>
      </c>
      <c r="BZ55" s="62">
        <f t="shared" ca="1" si="105"/>
        <v>0</v>
      </c>
      <c r="CA55" s="62">
        <f t="shared" ca="1" si="106"/>
        <v>0</v>
      </c>
      <c r="CB55" s="62"/>
      <c r="CC55" s="62"/>
      <c r="CD55" s="62"/>
      <c r="CE55" s="62">
        <f t="shared" ca="1" si="107"/>
        <v>0</v>
      </c>
      <c r="CF55" s="62">
        <f t="shared" ca="1" si="108"/>
        <v>0</v>
      </c>
      <c r="CG55" s="62">
        <f t="shared" ca="1" si="109"/>
        <v>0</v>
      </c>
      <c r="CH55" s="62">
        <f t="shared" ca="1" si="110"/>
        <v>0</v>
      </c>
      <c r="CI55" s="62">
        <f t="shared" ca="1" si="111"/>
        <v>0</v>
      </c>
      <c r="CJ55" s="62">
        <f t="shared" ca="1" si="112"/>
        <v>0</v>
      </c>
      <c r="CK55" s="62">
        <f t="shared" ca="1" si="113"/>
        <v>0</v>
      </c>
      <c r="CL55" s="62">
        <f t="shared" ca="1" si="114"/>
        <v>0</v>
      </c>
      <c r="CM55" s="62">
        <f t="shared" ca="1" si="115"/>
        <v>0</v>
      </c>
      <c r="CN55" s="62">
        <f t="shared" ca="1" si="116"/>
        <v>0</v>
      </c>
      <c r="CO55" s="62">
        <f t="shared" ca="1" si="117"/>
        <v>0</v>
      </c>
      <c r="CP55" s="62">
        <f t="shared" ca="1" si="118"/>
        <v>0</v>
      </c>
      <c r="CQ55" s="62">
        <f t="shared" ca="1" si="119"/>
        <v>0</v>
      </c>
      <c r="CR55" s="62">
        <f t="shared" ca="1" si="120"/>
        <v>0</v>
      </c>
      <c r="CS55" s="62">
        <f t="shared" ca="1" si="121"/>
        <v>0</v>
      </c>
      <c r="CT55" s="62">
        <f t="shared" ca="1" si="122"/>
        <v>0</v>
      </c>
      <c r="CU55" s="62">
        <f t="shared" ca="1" si="123"/>
        <v>0</v>
      </c>
      <c r="CV55" s="62">
        <f t="shared" ca="1" si="124"/>
        <v>0</v>
      </c>
      <c r="CW55" s="62">
        <f t="shared" ca="1" si="125"/>
        <v>0</v>
      </c>
      <c r="CX55" s="62">
        <f t="shared" ca="1" si="126"/>
        <v>0</v>
      </c>
      <c r="CY55" s="62">
        <f t="shared" ca="1" si="127"/>
        <v>0</v>
      </c>
      <c r="CZ55" s="62">
        <f t="shared" ca="1" si="128"/>
        <v>0</v>
      </c>
      <c r="DA55" s="62">
        <f t="shared" ca="1" si="129"/>
        <v>0</v>
      </c>
      <c r="DB55" s="62">
        <f t="shared" ca="1" si="130"/>
        <v>0</v>
      </c>
      <c r="DC55" s="62">
        <f t="shared" ca="1" si="131"/>
        <v>0</v>
      </c>
      <c r="DD55" s="62">
        <f t="shared" ca="1" si="132"/>
        <v>0</v>
      </c>
      <c r="DE55" s="62">
        <f t="shared" ca="1" si="133"/>
        <v>0</v>
      </c>
      <c r="DF55" s="62">
        <f t="shared" ca="1" si="134"/>
        <v>0</v>
      </c>
      <c r="DG55" s="62">
        <f t="shared" ca="1" si="135"/>
        <v>0</v>
      </c>
      <c r="DH55" s="62">
        <f t="shared" ca="1" si="136"/>
        <v>0</v>
      </c>
    </row>
    <row r="56" spans="1:112">
      <c r="A56" s="14">
        <f t="shared" si="48"/>
        <v>23</v>
      </c>
      <c r="B56" s="74">
        <f t="shared" ref="B56:C56" ca="1" si="159">B25</f>
        <v>4.8396071685701009E-2</v>
      </c>
      <c r="C56" s="74">
        <f t="shared" si="159"/>
        <v>3862.8</v>
      </c>
      <c r="P56" s="63" t="b">
        <f t="shared" si="138"/>
        <v>1</v>
      </c>
      <c r="Q56" s="62">
        <f t="shared" ca="1" si="50"/>
        <v>0.7934691309928894</v>
      </c>
      <c r="R56" s="62">
        <f t="shared" ca="1" si="51"/>
        <v>0.47924631834030151</v>
      </c>
      <c r="S56" s="62">
        <f t="shared" ca="1" si="52"/>
        <v>0.30970162153244019</v>
      </c>
      <c r="T56" s="62">
        <f t="shared" ca="1" si="53"/>
        <v>0.7934691309928894</v>
      </c>
      <c r="U56" s="62">
        <f t="shared" ca="1" si="54"/>
        <v>0.42943248152732849</v>
      </c>
      <c r="V56" s="62">
        <f t="shared" ca="1" si="55"/>
        <v>0.37493595480918884</v>
      </c>
      <c r="W56" s="62">
        <f t="shared" ca="1" si="56"/>
        <v>1.0805648565292358</v>
      </c>
      <c r="X56" s="62">
        <f t="shared" ca="1" si="57"/>
        <v>0.50411289930343628</v>
      </c>
      <c r="Y56" s="62">
        <f t="shared" ca="1" si="58"/>
        <v>0.42725262045860291</v>
      </c>
      <c r="Z56" s="62">
        <f t="shared" ca="1" si="59"/>
        <v>0.73243308067321777</v>
      </c>
      <c r="AA56" s="62">
        <f t="shared" ca="1" si="60"/>
        <v>0.36847713589668274</v>
      </c>
      <c r="AB56" s="62">
        <f t="shared" ca="1" si="61"/>
        <v>0.30970162153244019</v>
      </c>
      <c r="AC56" s="62">
        <f t="shared" ca="1" si="62"/>
        <v>0.73243308067321777</v>
      </c>
      <c r="AD56" s="62">
        <f t="shared" ca="1" si="63"/>
        <v>0.34587115049362183</v>
      </c>
      <c r="AE56" s="62">
        <f t="shared" ca="1" si="64"/>
        <v>0.30065923929214478</v>
      </c>
      <c r="AF56" s="62"/>
      <c r="AG56" s="62"/>
      <c r="AH56" s="62"/>
      <c r="AI56" s="62">
        <f t="shared" ca="1" si="65"/>
        <v>0</v>
      </c>
      <c r="AJ56" s="62">
        <f t="shared" ca="1" si="66"/>
        <v>0</v>
      </c>
      <c r="AK56" s="62">
        <f t="shared" ca="1" si="67"/>
        <v>0</v>
      </c>
      <c r="AL56" s="62">
        <f t="shared" ca="1" si="68"/>
        <v>0</v>
      </c>
      <c r="AM56" s="62">
        <f t="shared" ca="1" si="69"/>
        <v>0</v>
      </c>
      <c r="AN56" s="62">
        <f t="shared" ca="1" si="70"/>
        <v>0</v>
      </c>
      <c r="AO56" s="62">
        <f t="shared" ca="1" si="71"/>
        <v>0</v>
      </c>
      <c r="AP56" s="62">
        <f t="shared" ca="1" si="72"/>
        <v>0</v>
      </c>
      <c r="AQ56" s="62">
        <f t="shared" ca="1" si="73"/>
        <v>0</v>
      </c>
      <c r="AR56" s="62">
        <f t="shared" ca="1" si="74"/>
        <v>0</v>
      </c>
      <c r="AS56" s="62">
        <f t="shared" ca="1" si="75"/>
        <v>0</v>
      </c>
      <c r="AT56" s="62">
        <f t="shared" ca="1" si="76"/>
        <v>0</v>
      </c>
      <c r="AU56" s="62">
        <f t="shared" ca="1" si="77"/>
        <v>0</v>
      </c>
      <c r="AV56" s="62">
        <f t="shared" ca="1" si="78"/>
        <v>0</v>
      </c>
      <c r="AW56" s="62">
        <f t="shared" ca="1" si="79"/>
        <v>0</v>
      </c>
      <c r="AX56" s="62">
        <f t="shared" ca="1" si="80"/>
        <v>0</v>
      </c>
      <c r="AY56" s="62">
        <f t="shared" ca="1" si="81"/>
        <v>0</v>
      </c>
      <c r="AZ56" s="62">
        <f t="shared" ca="1" si="82"/>
        <v>0</v>
      </c>
      <c r="BA56" s="62">
        <f t="shared" ca="1" si="83"/>
        <v>0</v>
      </c>
      <c r="BB56" s="62">
        <f t="shared" ca="1" si="84"/>
        <v>0</v>
      </c>
      <c r="BC56" s="62">
        <f t="shared" ca="1" si="85"/>
        <v>0</v>
      </c>
      <c r="BD56" s="62">
        <f t="shared" ca="1" si="86"/>
        <v>0</v>
      </c>
      <c r="BE56" s="62">
        <f t="shared" ca="1" si="87"/>
        <v>0</v>
      </c>
      <c r="BF56" s="62">
        <f t="shared" ca="1" si="88"/>
        <v>0</v>
      </c>
      <c r="BG56" s="62">
        <f t="shared" ca="1" si="89"/>
        <v>0</v>
      </c>
      <c r="BH56" s="62">
        <f t="shared" ca="1" si="90"/>
        <v>0</v>
      </c>
      <c r="BI56" s="62">
        <f t="shared" ca="1" si="91"/>
        <v>0</v>
      </c>
      <c r="BJ56" s="62">
        <f t="shared" ca="1" si="92"/>
        <v>0</v>
      </c>
      <c r="BK56" s="62">
        <f t="shared" ca="1" si="93"/>
        <v>0</v>
      </c>
      <c r="BL56" s="62">
        <f t="shared" ca="1" si="94"/>
        <v>0</v>
      </c>
      <c r="BM56" s="62">
        <f t="shared" ca="1" si="95"/>
        <v>0</v>
      </c>
      <c r="BN56" s="62">
        <f t="shared" ca="1" si="96"/>
        <v>0</v>
      </c>
      <c r="BO56" s="62">
        <f t="shared" ca="1" si="97"/>
        <v>0</v>
      </c>
      <c r="BP56" s="62">
        <f t="shared" ca="1" si="98"/>
        <v>0</v>
      </c>
      <c r="BQ56" s="62">
        <f t="shared" ca="1" si="99"/>
        <v>0</v>
      </c>
      <c r="BR56" s="62">
        <f t="shared" ca="1" si="100"/>
        <v>0</v>
      </c>
      <c r="BS56" s="62"/>
      <c r="BT56" s="62"/>
      <c r="BU56" s="62"/>
      <c r="BV56" s="62">
        <f t="shared" ca="1" si="101"/>
        <v>0</v>
      </c>
      <c r="BW56" s="62">
        <f t="shared" ca="1" si="102"/>
        <v>0</v>
      </c>
      <c r="BX56" s="62">
        <f t="shared" ca="1" si="103"/>
        <v>0</v>
      </c>
      <c r="BY56" s="62">
        <f t="shared" ca="1" si="104"/>
        <v>0</v>
      </c>
      <c r="BZ56" s="62">
        <f t="shared" ca="1" si="105"/>
        <v>0</v>
      </c>
      <c r="CA56" s="62">
        <f t="shared" ca="1" si="106"/>
        <v>0</v>
      </c>
      <c r="CB56" s="62"/>
      <c r="CC56" s="62"/>
      <c r="CD56" s="62"/>
      <c r="CE56" s="62">
        <f t="shared" ca="1" si="107"/>
        <v>0</v>
      </c>
      <c r="CF56" s="62">
        <f t="shared" ca="1" si="108"/>
        <v>0</v>
      </c>
      <c r="CG56" s="62">
        <f t="shared" ca="1" si="109"/>
        <v>0</v>
      </c>
      <c r="CH56" s="62">
        <f t="shared" ca="1" si="110"/>
        <v>0</v>
      </c>
      <c r="CI56" s="62">
        <f t="shared" ca="1" si="111"/>
        <v>0</v>
      </c>
      <c r="CJ56" s="62">
        <f t="shared" ca="1" si="112"/>
        <v>0</v>
      </c>
      <c r="CK56" s="62">
        <f t="shared" ca="1" si="113"/>
        <v>0</v>
      </c>
      <c r="CL56" s="62">
        <f t="shared" ca="1" si="114"/>
        <v>0</v>
      </c>
      <c r="CM56" s="62">
        <f t="shared" ca="1" si="115"/>
        <v>0</v>
      </c>
      <c r="CN56" s="62">
        <f t="shared" ca="1" si="116"/>
        <v>0</v>
      </c>
      <c r="CO56" s="62">
        <f t="shared" ca="1" si="117"/>
        <v>0</v>
      </c>
      <c r="CP56" s="62">
        <f t="shared" ca="1" si="118"/>
        <v>0</v>
      </c>
      <c r="CQ56" s="62">
        <f t="shared" ca="1" si="119"/>
        <v>0</v>
      </c>
      <c r="CR56" s="62">
        <f t="shared" ca="1" si="120"/>
        <v>0</v>
      </c>
      <c r="CS56" s="62">
        <f t="shared" ca="1" si="121"/>
        <v>0</v>
      </c>
      <c r="CT56" s="62">
        <f t="shared" ca="1" si="122"/>
        <v>0</v>
      </c>
      <c r="CU56" s="62">
        <f t="shared" ca="1" si="123"/>
        <v>0</v>
      </c>
      <c r="CV56" s="62">
        <f t="shared" ca="1" si="124"/>
        <v>0</v>
      </c>
      <c r="CW56" s="62">
        <f t="shared" ca="1" si="125"/>
        <v>0</v>
      </c>
      <c r="CX56" s="62">
        <f t="shared" ca="1" si="126"/>
        <v>0</v>
      </c>
      <c r="CY56" s="62">
        <f t="shared" ca="1" si="127"/>
        <v>0</v>
      </c>
      <c r="CZ56" s="62">
        <f t="shared" ca="1" si="128"/>
        <v>0</v>
      </c>
      <c r="DA56" s="62">
        <f t="shared" ca="1" si="129"/>
        <v>0</v>
      </c>
      <c r="DB56" s="62">
        <f t="shared" ca="1" si="130"/>
        <v>0</v>
      </c>
      <c r="DC56" s="62">
        <f t="shared" ca="1" si="131"/>
        <v>0</v>
      </c>
      <c r="DD56" s="62">
        <f t="shared" ca="1" si="132"/>
        <v>0</v>
      </c>
      <c r="DE56" s="62">
        <f t="shared" ca="1" si="133"/>
        <v>0</v>
      </c>
      <c r="DF56" s="62">
        <f t="shared" ca="1" si="134"/>
        <v>0</v>
      </c>
      <c r="DG56" s="62">
        <f t="shared" ca="1" si="135"/>
        <v>0</v>
      </c>
      <c r="DH56" s="62">
        <f t="shared" ca="1" si="136"/>
        <v>0</v>
      </c>
    </row>
    <row r="57" spans="1:112">
      <c r="A57" s="14">
        <f t="shared" si="48"/>
        <v>24</v>
      </c>
      <c r="B57" s="74">
        <f t="shared" ref="B57:C57" ca="1" si="160">B26</f>
        <v>1.6900215363934361E-2</v>
      </c>
      <c r="C57" s="74">
        <f t="shared" si="160"/>
        <v>3782.2</v>
      </c>
      <c r="P57" s="63" t="b">
        <f t="shared" si="138"/>
        <v>1</v>
      </c>
      <c r="Q57" s="62">
        <f t="shared" ca="1" si="50"/>
        <v>0.36621654033660889</v>
      </c>
      <c r="R57" s="62">
        <f t="shared" ca="1" si="51"/>
        <v>0.22153839468955994</v>
      </c>
      <c r="S57" s="62">
        <f t="shared" ca="1" si="52"/>
        <v>0.15598110854625702</v>
      </c>
      <c r="T57" s="62">
        <f t="shared" ca="1" si="53"/>
        <v>0.42725262045860291</v>
      </c>
      <c r="U57" s="62">
        <f t="shared" ca="1" si="54"/>
        <v>0.19667184352874756</v>
      </c>
      <c r="V57" s="62">
        <f t="shared" ca="1" si="55"/>
        <v>0.22379899024963379</v>
      </c>
      <c r="W57" s="62">
        <f t="shared" ca="1" si="56"/>
        <v>0.54254299402236938</v>
      </c>
      <c r="X57" s="62">
        <f t="shared" ca="1" si="57"/>
        <v>0.25770792365074158</v>
      </c>
      <c r="Y57" s="62">
        <f t="shared" ca="1" si="58"/>
        <v>0.23058077692985535</v>
      </c>
      <c r="Z57" s="62">
        <f t="shared" ca="1" si="59"/>
        <v>0.45995050668716431</v>
      </c>
      <c r="AA57" s="62">
        <f t="shared" ca="1" si="60"/>
        <v>0.13297148048877716</v>
      </c>
      <c r="AB57" s="62">
        <f t="shared" ca="1" si="61"/>
        <v>0.15477007627487183</v>
      </c>
      <c r="AC57" s="62">
        <f t="shared" ca="1" si="62"/>
        <v>0.36621654033660889</v>
      </c>
      <c r="AD57" s="62">
        <f t="shared" ca="1" si="63"/>
        <v>0.14015693962574005</v>
      </c>
      <c r="AE57" s="62">
        <f t="shared" ca="1" si="64"/>
        <v>0.15145991742610931</v>
      </c>
      <c r="AF57" s="62"/>
      <c r="AG57" s="62"/>
      <c r="AH57" s="62"/>
      <c r="AI57" s="62">
        <f t="shared" ca="1" si="65"/>
        <v>0</v>
      </c>
      <c r="AJ57" s="62">
        <f t="shared" ca="1" si="66"/>
        <v>0</v>
      </c>
      <c r="AK57" s="62">
        <f t="shared" ca="1" si="67"/>
        <v>0</v>
      </c>
      <c r="AL57" s="62">
        <f t="shared" ca="1" si="68"/>
        <v>0</v>
      </c>
      <c r="AM57" s="62">
        <f t="shared" ca="1" si="69"/>
        <v>0</v>
      </c>
      <c r="AN57" s="62">
        <f t="shared" ca="1" si="70"/>
        <v>0</v>
      </c>
      <c r="AO57" s="62">
        <f t="shared" ca="1" si="71"/>
        <v>0</v>
      </c>
      <c r="AP57" s="62">
        <f t="shared" ca="1" si="72"/>
        <v>0</v>
      </c>
      <c r="AQ57" s="62">
        <f t="shared" ca="1" si="73"/>
        <v>0</v>
      </c>
      <c r="AR57" s="62">
        <f t="shared" ca="1" si="74"/>
        <v>0</v>
      </c>
      <c r="AS57" s="62">
        <f t="shared" ca="1" si="75"/>
        <v>0</v>
      </c>
      <c r="AT57" s="62">
        <f t="shared" ca="1" si="76"/>
        <v>0</v>
      </c>
      <c r="AU57" s="62">
        <f t="shared" ca="1" si="77"/>
        <v>0</v>
      </c>
      <c r="AV57" s="62">
        <f t="shared" ca="1" si="78"/>
        <v>0</v>
      </c>
      <c r="AW57" s="62">
        <f t="shared" ca="1" si="79"/>
        <v>0</v>
      </c>
      <c r="AX57" s="62">
        <f t="shared" ca="1" si="80"/>
        <v>0</v>
      </c>
      <c r="AY57" s="62">
        <f t="shared" ca="1" si="81"/>
        <v>0</v>
      </c>
      <c r="AZ57" s="62">
        <f t="shared" ca="1" si="82"/>
        <v>0</v>
      </c>
      <c r="BA57" s="62">
        <f t="shared" ca="1" si="83"/>
        <v>0</v>
      </c>
      <c r="BB57" s="62">
        <f t="shared" ca="1" si="84"/>
        <v>0</v>
      </c>
      <c r="BC57" s="62">
        <f t="shared" ca="1" si="85"/>
        <v>0</v>
      </c>
      <c r="BD57" s="62">
        <f t="shared" ca="1" si="86"/>
        <v>0</v>
      </c>
      <c r="BE57" s="62">
        <f t="shared" ca="1" si="87"/>
        <v>0</v>
      </c>
      <c r="BF57" s="62">
        <f t="shared" ca="1" si="88"/>
        <v>0</v>
      </c>
      <c r="BG57" s="62">
        <f t="shared" ca="1" si="89"/>
        <v>0</v>
      </c>
      <c r="BH57" s="62">
        <f t="shared" ca="1" si="90"/>
        <v>0</v>
      </c>
      <c r="BI57" s="62">
        <f t="shared" ca="1" si="91"/>
        <v>0</v>
      </c>
      <c r="BJ57" s="62">
        <f t="shared" ca="1" si="92"/>
        <v>0</v>
      </c>
      <c r="BK57" s="62">
        <f t="shared" ca="1" si="93"/>
        <v>0</v>
      </c>
      <c r="BL57" s="62">
        <f t="shared" ca="1" si="94"/>
        <v>0</v>
      </c>
      <c r="BM57" s="62">
        <f t="shared" ca="1" si="95"/>
        <v>0</v>
      </c>
      <c r="BN57" s="62">
        <f t="shared" ca="1" si="96"/>
        <v>0</v>
      </c>
      <c r="BO57" s="62">
        <f t="shared" ca="1" si="97"/>
        <v>0</v>
      </c>
      <c r="BP57" s="62">
        <f t="shared" ca="1" si="98"/>
        <v>0</v>
      </c>
      <c r="BQ57" s="62">
        <f t="shared" ca="1" si="99"/>
        <v>0</v>
      </c>
      <c r="BR57" s="62">
        <f t="shared" ca="1" si="100"/>
        <v>0</v>
      </c>
      <c r="BS57" s="62"/>
      <c r="BT57" s="62"/>
      <c r="BU57" s="62"/>
      <c r="BV57" s="62">
        <f t="shared" ca="1" si="101"/>
        <v>0</v>
      </c>
      <c r="BW57" s="62">
        <f t="shared" ca="1" si="102"/>
        <v>0</v>
      </c>
      <c r="BX57" s="62">
        <f t="shared" ca="1" si="103"/>
        <v>0</v>
      </c>
      <c r="BY57" s="62">
        <f t="shared" ca="1" si="104"/>
        <v>0</v>
      </c>
      <c r="BZ57" s="62">
        <f t="shared" ca="1" si="105"/>
        <v>0</v>
      </c>
      <c r="CA57" s="62">
        <f t="shared" ca="1" si="106"/>
        <v>0</v>
      </c>
      <c r="CB57" s="62"/>
      <c r="CC57" s="62"/>
      <c r="CD57" s="62"/>
      <c r="CE57" s="62">
        <f t="shared" ca="1" si="107"/>
        <v>0</v>
      </c>
      <c r="CF57" s="62">
        <f t="shared" ca="1" si="108"/>
        <v>0</v>
      </c>
      <c r="CG57" s="62">
        <f t="shared" ca="1" si="109"/>
        <v>0</v>
      </c>
      <c r="CH57" s="62">
        <f t="shared" ca="1" si="110"/>
        <v>0</v>
      </c>
      <c r="CI57" s="62">
        <f t="shared" ca="1" si="111"/>
        <v>0</v>
      </c>
      <c r="CJ57" s="62">
        <f t="shared" ca="1" si="112"/>
        <v>0</v>
      </c>
      <c r="CK57" s="62">
        <f t="shared" ca="1" si="113"/>
        <v>0</v>
      </c>
      <c r="CL57" s="62">
        <f t="shared" ca="1" si="114"/>
        <v>0</v>
      </c>
      <c r="CM57" s="62">
        <f t="shared" ca="1" si="115"/>
        <v>0</v>
      </c>
      <c r="CN57" s="62">
        <f t="shared" ca="1" si="116"/>
        <v>0</v>
      </c>
      <c r="CO57" s="62">
        <f t="shared" ca="1" si="117"/>
        <v>0</v>
      </c>
      <c r="CP57" s="62">
        <f t="shared" ca="1" si="118"/>
        <v>0</v>
      </c>
      <c r="CQ57" s="62">
        <f t="shared" ca="1" si="119"/>
        <v>0</v>
      </c>
      <c r="CR57" s="62">
        <f t="shared" ca="1" si="120"/>
        <v>0</v>
      </c>
      <c r="CS57" s="62">
        <f t="shared" ca="1" si="121"/>
        <v>0</v>
      </c>
      <c r="CT57" s="62">
        <f t="shared" ca="1" si="122"/>
        <v>0</v>
      </c>
      <c r="CU57" s="62">
        <f t="shared" ca="1" si="123"/>
        <v>0</v>
      </c>
      <c r="CV57" s="62">
        <f t="shared" ca="1" si="124"/>
        <v>0</v>
      </c>
      <c r="CW57" s="62">
        <f t="shared" ca="1" si="125"/>
        <v>0</v>
      </c>
      <c r="CX57" s="62">
        <f t="shared" ca="1" si="126"/>
        <v>0</v>
      </c>
      <c r="CY57" s="62">
        <f t="shared" ca="1" si="127"/>
        <v>0</v>
      </c>
      <c r="CZ57" s="62">
        <f t="shared" ca="1" si="128"/>
        <v>0</v>
      </c>
      <c r="DA57" s="62">
        <f t="shared" ca="1" si="129"/>
        <v>0</v>
      </c>
      <c r="DB57" s="62">
        <f t="shared" ca="1" si="130"/>
        <v>0</v>
      </c>
      <c r="DC57" s="62">
        <f t="shared" ca="1" si="131"/>
        <v>0</v>
      </c>
      <c r="DD57" s="62">
        <f t="shared" ca="1" si="132"/>
        <v>0</v>
      </c>
      <c r="DE57" s="62">
        <f t="shared" ca="1" si="133"/>
        <v>0</v>
      </c>
      <c r="DF57" s="62">
        <f t="shared" ca="1" si="134"/>
        <v>0</v>
      </c>
      <c r="DG57" s="62">
        <f t="shared" ca="1" si="135"/>
        <v>0</v>
      </c>
      <c r="DH57" s="62">
        <f t="shared" ca="1" si="136"/>
        <v>0</v>
      </c>
    </row>
    <row r="58" spans="1:112">
      <c r="A58" s="14">
        <f t="shared" si="48"/>
        <v>25</v>
      </c>
      <c r="B58" s="74">
        <f t="shared" ref="B58:C58" ca="1" si="161">B27</f>
        <v>1.3827448268123942E-2</v>
      </c>
      <c r="C58" s="74">
        <f t="shared" si="161"/>
        <v>3801.6</v>
      </c>
      <c r="P58" s="63" t="b">
        <f t="shared" si="138"/>
        <v>1</v>
      </c>
      <c r="Q58" s="62">
        <f t="shared" ca="1" si="50"/>
        <v>0.30518043041229248</v>
      </c>
      <c r="R58" s="62">
        <f t="shared" ca="1" si="51"/>
        <v>0.17858706414699554</v>
      </c>
      <c r="S58" s="62">
        <f t="shared" ca="1" si="52"/>
        <v>0.14015693962574005</v>
      </c>
      <c r="T58" s="62">
        <f t="shared" ca="1" si="53"/>
        <v>0.30518043041229248</v>
      </c>
      <c r="U58" s="62">
        <f t="shared" ca="1" si="54"/>
        <v>0.18310827016830444</v>
      </c>
      <c r="V58" s="62">
        <f t="shared" ca="1" si="55"/>
        <v>0.14919932186603546</v>
      </c>
      <c r="W58" s="62">
        <f t="shared" ca="1" si="56"/>
        <v>0.36621654033660889</v>
      </c>
      <c r="X58" s="62">
        <f t="shared" ca="1" si="57"/>
        <v>0.18762946128845215</v>
      </c>
      <c r="Y58" s="62">
        <f t="shared" ca="1" si="58"/>
        <v>0.1808476597070694</v>
      </c>
      <c r="Z58" s="62">
        <f t="shared" ca="1" si="59"/>
        <v>0.37493595480918884</v>
      </c>
      <c r="AA58" s="62">
        <f t="shared" ca="1" si="60"/>
        <v>0.12207217514514923</v>
      </c>
      <c r="AB58" s="62">
        <f t="shared" ca="1" si="61"/>
        <v>0.1416909247636795</v>
      </c>
      <c r="AC58" s="62">
        <f t="shared" ca="1" si="62"/>
        <v>0.30518043041229248</v>
      </c>
      <c r="AD58" s="62">
        <f t="shared" ca="1" si="63"/>
        <v>0.12207217514514923</v>
      </c>
      <c r="AE58" s="62">
        <f t="shared" ca="1" si="64"/>
        <v>7.6860256493091583E-2</v>
      </c>
      <c r="AF58" s="62"/>
      <c r="AG58" s="62"/>
      <c r="AH58" s="62"/>
      <c r="AI58" s="62">
        <f t="shared" ca="1" si="65"/>
        <v>0</v>
      </c>
      <c r="AJ58" s="62">
        <f t="shared" ca="1" si="66"/>
        <v>0</v>
      </c>
      <c r="AK58" s="62">
        <f t="shared" ca="1" si="67"/>
        <v>0</v>
      </c>
      <c r="AL58" s="62">
        <f t="shared" ca="1" si="68"/>
        <v>0</v>
      </c>
      <c r="AM58" s="62">
        <f t="shared" ca="1" si="69"/>
        <v>0</v>
      </c>
      <c r="AN58" s="62">
        <f t="shared" ca="1" si="70"/>
        <v>0</v>
      </c>
      <c r="AO58" s="62">
        <f t="shared" ca="1" si="71"/>
        <v>0</v>
      </c>
      <c r="AP58" s="62">
        <f t="shared" ca="1" si="72"/>
        <v>0</v>
      </c>
      <c r="AQ58" s="62">
        <f t="shared" ca="1" si="73"/>
        <v>0</v>
      </c>
      <c r="AR58" s="62">
        <f t="shared" ca="1" si="74"/>
        <v>0</v>
      </c>
      <c r="AS58" s="62">
        <f t="shared" ca="1" si="75"/>
        <v>0</v>
      </c>
      <c r="AT58" s="62">
        <f t="shared" ca="1" si="76"/>
        <v>0</v>
      </c>
      <c r="AU58" s="62">
        <f t="shared" ca="1" si="77"/>
        <v>0</v>
      </c>
      <c r="AV58" s="62">
        <f t="shared" ca="1" si="78"/>
        <v>0</v>
      </c>
      <c r="AW58" s="62">
        <f t="shared" ca="1" si="79"/>
        <v>0</v>
      </c>
      <c r="AX58" s="62">
        <f t="shared" ca="1" si="80"/>
        <v>0</v>
      </c>
      <c r="AY58" s="62">
        <f t="shared" ca="1" si="81"/>
        <v>0</v>
      </c>
      <c r="AZ58" s="62">
        <f t="shared" ca="1" si="82"/>
        <v>0</v>
      </c>
      <c r="BA58" s="62">
        <f t="shared" ca="1" si="83"/>
        <v>0</v>
      </c>
      <c r="BB58" s="62">
        <f t="shared" ca="1" si="84"/>
        <v>0</v>
      </c>
      <c r="BC58" s="62">
        <f t="shared" ca="1" si="85"/>
        <v>0</v>
      </c>
      <c r="BD58" s="62">
        <f t="shared" ca="1" si="86"/>
        <v>0</v>
      </c>
      <c r="BE58" s="62">
        <f t="shared" ca="1" si="87"/>
        <v>0</v>
      </c>
      <c r="BF58" s="62">
        <f t="shared" ca="1" si="88"/>
        <v>0</v>
      </c>
      <c r="BG58" s="62">
        <f t="shared" ca="1" si="89"/>
        <v>0</v>
      </c>
      <c r="BH58" s="62">
        <f t="shared" ca="1" si="90"/>
        <v>0</v>
      </c>
      <c r="BI58" s="62">
        <f t="shared" ca="1" si="91"/>
        <v>0</v>
      </c>
      <c r="BJ58" s="62">
        <f t="shared" ca="1" si="92"/>
        <v>0</v>
      </c>
      <c r="BK58" s="62">
        <f t="shared" ca="1" si="93"/>
        <v>0</v>
      </c>
      <c r="BL58" s="62">
        <f t="shared" ca="1" si="94"/>
        <v>0</v>
      </c>
      <c r="BM58" s="62">
        <f t="shared" ca="1" si="95"/>
        <v>0</v>
      </c>
      <c r="BN58" s="62">
        <f t="shared" ca="1" si="96"/>
        <v>0</v>
      </c>
      <c r="BO58" s="62">
        <f t="shared" ca="1" si="97"/>
        <v>0</v>
      </c>
      <c r="BP58" s="62">
        <f t="shared" ca="1" si="98"/>
        <v>0</v>
      </c>
      <c r="BQ58" s="62">
        <f t="shared" ca="1" si="99"/>
        <v>0</v>
      </c>
      <c r="BR58" s="62">
        <f t="shared" ca="1" si="100"/>
        <v>0</v>
      </c>
      <c r="BS58" s="62"/>
      <c r="BT58" s="62"/>
      <c r="BU58" s="62"/>
      <c r="BV58" s="62">
        <f t="shared" ca="1" si="101"/>
        <v>0</v>
      </c>
      <c r="BW58" s="62">
        <f t="shared" ca="1" si="102"/>
        <v>0</v>
      </c>
      <c r="BX58" s="62">
        <f t="shared" ca="1" si="103"/>
        <v>0</v>
      </c>
      <c r="BY58" s="62">
        <f t="shared" ca="1" si="104"/>
        <v>0</v>
      </c>
      <c r="BZ58" s="62">
        <f t="shared" ca="1" si="105"/>
        <v>0</v>
      </c>
      <c r="CA58" s="62">
        <f t="shared" ca="1" si="106"/>
        <v>0</v>
      </c>
      <c r="CB58" s="62"/>
      <c r="CC58" s="62"/>
      <c r="CD58" s="62"/>
      <c r="CE58" s="62">
        <f t="shared" ca="1" si="107"/>
        <v>0</v>
      </c>
      <c r="CF58" s="62">
        <f t="shared" ca="1" si="108"/>
        <v>0</v>
      </c>
      <c r="CG58" s="62">
        <f t="shared" ca="1" si="109"/>
        <v>0</v>
      </c>
      <c r="CH58" s="62">
        <f t="shared" ca="1" si="110"/>
        <v>0</v>
      </c>
      <c r="CI58" s="62">
        <f t="shared" ca="1" si="111"/>
        <v>0</v>
      </c>
      <c r="CJ58" s="62">
        <f t="shared" ca="1" si="112"/>
        <v>0</v>
      </c>
      <c r="CK58" s="62">
        <f t="shared" ca="1" si="113"/>
        <v>0</v>
      </c>
      <c r="CL58" s="62">
        <f t="shared" ca="1" si="114"/>
        <v>0</v>
      </c>
      <c r="CM58" s="62">
        <f t="shared" ca="1" si="115"/>
        <v>0</v>
      </c>
      <c r="CN58" s="62">
        <f t="shared" ca="1" si="116"/>
        <v>0</v>
      </c>
      <c r="CO58" s="62">
        <f t="shared" ca="1" si="117"/>
        <v>0</v>
      </c>
      <c r="CP58" s="62">
        <f t="shared" ca="1" si="118"/>
        <v>0</v>
      </c>
      <c r="CQ58" s="62">
        <f t="shared" ca="1" si="119"/>
        <v>0</v>
      </c>
      <c r="CR58" s="62">
        <f t="shared" ca="1" si="120"/>
        <v>0</v>
      </c>
      <c r="CS58" s="62">
        <f t="shared" ca="1" si="121"/>
        <v>0</v>
      </c>
      <c r="CT58" s="62">
        <f t="shared" ca="1" si="122"/>
        <v>0</v>
      </c>
      <c r="CU58" s="62">
        <f t="shared" ca="1" si="123"/>
        <v>0</v>
      </c>
      <c r="CV58" s="62">
        <f t="shared" ca="1" si="124"/>
        <v>0</v>
      </c>
      <c r="CW58" s="62">
        <f t="shared" ca="1" si="125"/>
        <v>0</v>
      </c>
      <c r="CX58" s="62">
        <f t="shared" ca="1" si="126"/>
        <v>0</v>
      </c>
      <c r="CY58" s="62">
        <f t="shared" ca="1" si="127"/>
        <v>0</v>
      </c>
      <c r="CZ58" s="62">
        <f t="shared" ca="1" si="128"/>
        <v>0</v>
      </c>
      <c r="DA58" s="62">
        <f t="shared" ca="1" si="129"/>
        <v>0</v>
      </c>
      <c r="DB58" s="62">
        <f t="shared" ca="1" si="130"/>
        <v>0</v>
      </c>
      <c r="DC58" s="62">
        <f t="shared" ca="1" si="131"/>
        <v>0</v>
      </c>
      <c r="DD58" s="62">
        <f t="shared" ca="1" si="132"/>
        <v>0</v>
      </c>
      <c r="DE58" s="62">
        <f t="shared" ca="1" si="133"/>
        <v>0</v>
      </c>
      <c r="DF58" s="62">
        <f t="shared" ca="1" si="134"/>
        <v>0</v>
      </c>
      <c r="DG58" s="62">
        <f t="shared" ca="1" si="135"/>
        <v>0</v>
      </c>
      <c r="DH58" s="62">
        <f t="shared" ca="1" si="136"/>
        <v>0</v>
      </c>
    </row>
    <row r="59" spans="1:112">
      <c r="B59" s="74"/>
      <c r="C59" s="74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AZ59" s="75"/>
      <c r="BA59" s="75"/>
      <c r="BB59" s="75"/>
      <c r="BC59" s="75"/>
      <c r="BD59" s="75"/>
      <c r="BE59" s="75"/>
      <c r="BF59" s="75"/>
      <c r="BG59" s="75"/>
      <c r="BH59" s="75"/>
      <c r="BI59" s="75"/>
      <c r="BJ59" s="75"/>
      <c r="BK59" s="75"/>
      <c r="BL59" s="75"/>
      <c r="BM59" s="75"/>
      <c r="BN59" s="75"/>
      <c r="BO59" s="75"/>
      <c r="BP59" s="75"/>
      <c r="BQ59" s="75"/>
      <c r="BR59" s="75"/>
      <c r="BS59" s="75"/>
      <c r="BT59" s="75"/>
      <c r="BU59" s="75"/>
      <c r="BV59" s="75"/>
      <c r="BW59" s="75"/>
      <c r="BX59" s="75"/>
      <c r="BY59" s="75"/>
      <c r="BZ59" s="75"/>
      <c r="CA59" s="75"/>
      <c r="CB59" s="75"/>
      <c r="CC59" s="75"/>
      <c r="CD59" s="75"/>
      <c r="CE59" s="75"/>
      <c r="CF59" s="75"/>
      <c r="CG59" s="75"/>
      <c r="CH59" s="75"/>
      <c r="CI59" s="75"/>
      <c r="CJ59" s="75"/>
      <c r="CK59" s="75"/>
      <c r="CL59" s="75"/>
      <c r="CM59" s="75"/>
      <c r="CN59" s="75"/>
      <c r="CO59" s="75"/>
      <c r="CP59" s="75"/>
      <c r="CQ59" s="75"/>
      <c r="CR59" s="75"/>
      <c r="CS59" s="75"/>
      <c r="CT59" s="75"/>
      <c r="CU59" s="75"/>
      <c r="CV59" s="75"/>
      <c r="CW59" s="75"/>
      <c r="CX59" s="75"/>
      <c r="CY59" s="75"/>
      <c r="CZ59" s="75"/>
      <c r="DA59" s="75"/>
      <c r="DB59" s="75"/>
      <c r="DC59" s="75"/>
      <c r="DD59" s="75"/>
      <c r="DE59" s="75"/>
      <c r="DF59" s="75"/>
      <c r="DG59" s="75"/>
      <c r="DH59" s="75"/>
    </row>
    <row r="60" spans="1:112">
      <c r="B60" s="74"/>
      <c r="C60" s="74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5"/>
      <c r="BA60" s="75"/>
      <c r="BB60" s="75"/>
      <c r="BC60" s="75"/>
      <c r="BD60" s="75"/>
      <c r="BE60" s="75"/>
      <c r="BF60" s="75"/>
      <c r="BG60" s="75"/>
      <c r="BH60" s="75"/>
      <c r="BI60" s="75"/>
      <c r="BJ60" s="75"/>
      <c r="BK60" s="75"/>
      <c r="BL60" s="75"/>
      <c r="BM60" s="75"/>
      <c r="BN60" s="75"/>
      <c r="BO60" s="75"/>
      <c r="BP60" s="75"/>
      <c r="BQ60" s="75"/>
      <c r="BR60" s="75"/>
      <c r="BS60" s="75"/>
      <c r="BT60" s="75"/>
      <c r="BU60" s="75"/>
      <c r="BV60" s="75"/>
      <c r="BW60" s="75"/>
      <c r="BX60" s="75"/>
      <c r="BY60" s="75"/>
      <c r="BZ60" s="75"/>
      <c r="CA60" s="75"/>
      <c r="CB60" s="75"/>
      <c r="CC60" s="75"/>
      <c r="CD60" s="75"/>
      <c r="CE60" s="75"/>
      <c r="CF60" s="75"/>
      <c r="CG60" s="75"/>
      <c r="CH60" s="75"/>
      <c r="CI60" s="75"/>
      <c r="CJ60" s="75"/>
      <c r="CK60" s="75"/>
      <c r="CL60" s="75"/>
      <c r="CM60" s="75"/>
      <c r="CN60" s="75"/>
      <c r="CO60" s="75"/>
      <c r="CP60" s="75"/>
      <c r="CQ60" s="75"/>
      <c r="CR60" s="75"/>
      <c r="CS60" s="75"/>
      <c r="CT60" s="75"/>
      <c r="CU60" s="75"/>
      <c r="CV60" s="75"/>
      <c r="CW60" s="75"/>
      <c r="CX60" s="75"/>
      <c r="CY60" s="75"/>
      <c r="CZ60" s="75"/>
      <c r="DA60" s="75"/>
      <c r="DB60" s="75"/>
      <c r="DC60" s="75"/>
      <c r="DD60" s="75"/>
      <c r="DE60" s="75"/>
      <c r="DF60" s="75"/>
      <c r="DG60" s="75"/>
      <c r="DH60" s="75"/>
    </row>
    <row r="61" spans="1:112">
      <c r="A61" s="110" t="s">
        <v>63</v>
      </c>
      <c r="B61" s="110"/>
      <c r="C61" s="110"/>
      <c r="Q61" s="75"/>
      <c r="R61" s="75"/>
      <c r="S61" s="75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AZ61" s="75"/>
      <c r="BA61" s="75"/>
      <c r="BB61" s="75"/>
      <c r="BC61" s="75"/>
      <c r="BD61" s="75"/>
      <c r="BE61" s="75"/>
      <c r="BF61" s="75"/>
      <c r="BG61" s="75"/>
      <c r="BH61" s="75"/>
      <c r="BI61" s="75"/>
      <c r="BJ61" s="75"/>
      <c r="BK61" s="75"/>
      <c r="BL61" s="75"/>
      <c r="BM61" s="75"/>
      <c r="BN61" s="75"/>
      <c r="BO61" s="75"/>
      <c r="BP61" s="75"/>
      <c r="BQ61" s="75"/>
      <c r="BR61" s="75"/>
      <c r="BS61" s="75"/>
      <c r="BT61" s="75"/>
      <c r="BU61" s="75"/>
      <c r="BV61" s="75"/>
      <c r="BW61" s="75"/>
      <c r="BX61" s="75"/>
      <c r="BY61" s="75"/>
      <c r="BZ61" s="75"/>
      <c r="CA61" s="75"/>
      <c r="CB61" s="75"/>
      <c r="CC61" s="75"/>
      <c r="CD61" s="75"/>
      <c r="CE61" s="75"/>
      <c r="CF61" s="75"/>
      <c r="CG61" s="75"/>
      <c r="CH61" s="75"/>
      <c r="CI61" s="75"/>
      <c r="CJ61" s="75"/>
      <c r="CK61" s="75"/>
      <c r="CL61" s="75"/>
      <c r="CM61" s="75"/>
      <c r="CN61" s="75"/>
      <c r="CO61" s="75"/>
      <c r="CP61" s="75"/>
      <c r="CQ61" s="75"/>
      <c r="CR61" s="75"/>
      <c r="CS61" s="75"/>
      <c r="CT61" s="75"/>
      <c r="CU61" s="75"/>
      <c r="CV61" s="75"/>
      <c r="CW61" s="75"/>
      <c r="CX61" s="75"/>
      <c r="CY61" s="75"/>
      <c r="CZ61" s="75"/>
      <c r="DA61" s="75"/>
      <c r="DB61" s="75"/>
      <c r="DC61" s="75"/>
      <c r="DD61" s="75"/>
      <c r="DE61" s="75"/>
      <c r="DF61" s="75"/>
      <c r="DG61" s="75"/>
      <c r="DH61" s="75"/>
    </row>
    <row r="62" spans="1:112">
      <c r="A62" s="110"/>
      <c r="B62" s="110"/>
      <c r="C62" s="110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75"/>
      <c r="AK62" s="75"/>
      <c r="AL62" s="75"/>
      <c r="AM62" s="75"/>
      <c r="AN62" s="75"/>
      <c r="AO62" s="75"/>
      <c r="AP62" s="75"/>
      <c r="AQ62" s="75"/>
      <c r="AR62" s="75"/>
      <c r="AS62" s="75"/>
      <c r="AT62" s="75"/>
      <c r="AU62" s="75"/>
      <c r="AV62" s="75"/>
      <c r="AW62" s="75"/>
      <c r="AX62" s="75"/>
      <c r="AY62" s="75"/>
      <c r="AZ62" s="75"/>
      <c r="BA62" s="75"/>
      <c r="BB62" s="75"/>
      <c r="BC62" s="75"/>
      <c r="BD62" s="75"/>
      <c r="BE62" s="75"/>
      <c r="BF62" s="75"/>
      <c r="BG62" s="75"/>
      <c r="BH62" s="75"/>
      <c r="BI62" s="75"/>
      <c r="BJ62" s="75"/>
      <c r="BK62" s="75"/>
      <c r="BL62" s="75"/>
      <c r="BM62" s="75"/>
      <c r="BN62" s="75"/>
      <c r="BO62" s="75"/>
      <c r="BP62" s="75"/>
      <c r="BQ62" s="75"/>
      <c r="BR62" s="75"/>
      <c r="BS62" s="75"/>
      <c r="BT62" s="75"/>
      <c r="BU62" s="75"/>
      <c r="BV62" s="75"/>
      <c r="BW62" s="75"/>
      <c r="BX62" s="75"/>
      <c r="BY62" s="75"/>
      <c r="BZ62" s="75"/>
      <c r="CA62" s="75"/>
      <c r="CB62" s="75"/>
      <c r="CC62" s="75"/>
      <c r="CD62" s="75"/>
      <c r="CE62" s="75"/>
      <c r="CF62" s="75"/>
      <c r="CG62" s="75"/>
      <c r="CH62" s="75"/>
      <c r="CI62" s="75"/>
      <c r="CJ62" s="75"/>
      <c r="CK62" s="75"/>
      <c r="CL62" s="75"/>
      <c r="CM62" s="75"/>
      <c r="CN62" s="75"/>
      <c r="CO62" s="75"/>
      <c r="CP62" s="75"/>
      <c r="CQ62" s="75"/>
      <c r="CR62" s="75"/>
      <c r="CS62" s="75"/>
      <c r="CT62" s="75"/>
      <c r="CU62" s="75"/>
      <c r="CV62" s="75"/>
      <c r="CW62" s="75"/>
      <c r="CX62" s="75"/>
      <c r="CY62" s="75"/>
      <c r="CZ62" s="75"/>
      <c r="DA62" s="75"/>
      <c r="DB62" s="75"/>
      <c r="DC62" s="75"/>
      <c r="DD62" s="75"/>
      <c r="DE62" s="75"/>
      <c r="DF62" s="75"/>
      <c r="DG62" s="75"/>
      <c r="DH62" s="75"/>
    </row>
    <row r="63" spans="1:112" ht="15.75" thickBot="1">
      <c r="B63" s="101" t="str">
        <f>B1</f>
        <v>Calibration</v>
      </c>
      <c r="C63" s="101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5"/>
      <c r="BA63" s="75"/>
      <c r="BB63" s="75"/>
      <c r="BC63" s="75"/>
      <c r="BD63" s="75"/>
      <c r="BE63" s="75"/>
      <c r="BF63" s="75"/>
      <c r="BG63" s="75"/>
      <c r="BH63" s="75"/>
      <c r="BI63" s="75"/>
      <c r="BJ63" s="75"/>
      <c r="BK63" s="75"/>
      <c r="BL63" s="75"/>
      <c r="BM63" s="75"/>
      <c r="BN63" s="75"/>
      <c r="BO63" s="75"/>
      <c r="BP63" s="75"/>
      <c r="BQ63" s="75"/>
      <c r="BR63" s="75"/>
      <c r="BS63" s="75"/>
      <c r="BT63" s="75"/>
      <c r="BU63" s="75"/>
      <c r="BV63" s="75"/>
      <c r="BW63" s="75"/>
      <c r="BX63" s="75"/>
      <c r="BY63" s="75"/>
      <c r="BZ63" s="75"/>
      <c r="CA63" s="75"/>
      <c r="CB63" s="75"/>
      <c r="CC63" s="75"/>
      <c r="CD63" s="75"/>
      <c r="CE63" s="75"/>
      <c r="CF63" s="75"/>
      <c r="CG63" s="75"/>
      <c r="CH63" s="75"/>
      <c r="CI63" s="75"/>
      <c r="CJ63" s="75"/>
      <c r="CK63" s="75"/>
      <c r="CL63" s="75"/>
      <c r="CM63" s="75"/>
      <c r="CN63" s="75"/>
      <c r="CO63" s="75"/>
      <c r="CP63" s="75"/>
      <c r="CQ63" s="75"/>
      <c r="CR63" s="75"/>
      <c r="CS63" s="75"/>
      <c r="CT63" s="75"/>
      <c r="CU63" s="75"/>
      <c r="CV63" s="75"/>
      <c r="CW63" s="75"/>
      <c r="CX63" s="75"/>
      <c r="CY63" s="75"/>
      <c r="CZ63" s="75"/>
      <c r="DA63" s="75"/>
      <c r="DB63" s="75"/>
      <c r="DC63" s="75"/>
      <c r="DD63" s="75"/>
      <c r="DE63" s="75"/>
      <c r="DF63" s="75"/>
      <c r="DG63" s="75"/>
      <c r="DH63" s="75"/>
    </row>
    <row r="64" spans="1:112">
      <c r="B64" s="71" t="str">
        <f t="shared" ref="B64:C64" si="162">B2</f>
        <v>Lux</v>
      </c>
      <c r="C64" s="71" t="str">
        <f t="shared" si="162"/>
        <v>CCT</v>
      </c>
      <c r="E64" s="91" t="s">
        <v>47</v>
      </c>
      <c r="F64" s="92"/>
      <c r="P64" s="74" t="str">
        <f>P2</f>
        <v>Valid</v>
      </c>
      <c r="Q64" s="62"/>
      <c r="R64" s="62"/>
      <c r="S64" s="62"/>
    </row>
    <row r="65" spans="1:112">
      <c r="A65" s="14">
        <f>A3</f>
        <v>1</v>
      </c>
      <c r="B65" s="14">
        <f t="shared" ref="B65:C65" ca="1" si="163">B3</f>
        <v>23.151758163574332</v>
      </c>
      <c r="C65" s="14">
        <f t="shared" si="163"/>
        <v>3933.1</v>
      </c>
      <c r="E65" s="64" t="s">
        <v>48</v>
      </c>
      <c r="F65" s="67">
        <f>Summary!L3</f>
        <v>0.66074358048542203</v>
      </c>
      <c r="P65" s="63" t="b">
        <f>P34</f>
        <v>1</v>
      </c>
      <c r="Q65" s="62">
        <f t="shared" ref="Q65:Q89" ca="1" si="164">getRed(Q34:S34,$F$65:$F$73)</f>
        <v>178.88815973651336</v>
      </c>
      <c r="R65" s="62">
        <f t="shared" ref="R65:R89" ca="1" si="165">getGreen(Q34:S34,$F$65:$F$73)</f>
        <v>138.01067572392716</v>
      </c>
      <c r="S65" s="62">
        <f t="shared" ref="S65:S89" ca="1" si="166">getBlue(Q34:S34,$F$65:$F$73)</f>
        <v>72.253606884461263</v>
      </c>
      <c r="T65" s="62">
        <f t="shared" ref="T65:T89" ca="1" si="167">getRed(T34:V34,$F$65:$F$73)</f>
        <v>172.16143971630729</v>
      </c>
      <c r="U65" s="62">
        <f t="shared" ref="U65:U89" ca="1" si="168">getGreen(T34:V34,$F$65:$F$73)</f>
        <v>132.55978768367072</v>
      </c>
      <c r="V65" s="62">
        <f t="shared" ref="V65:V89" ca="1" si="169">getBlue(T34:V34,$F$65:$F$73)</f>
        <v>70.575228937707791</v>
      </c>
      <c r="W65" s="62">
        <f t="shared" ref="W65:W89" ca="1" si="170">getRed(W34:Y34,$F$65:$F$73)</f>
        <v>176.76248015588314</v>
      </c>
      <c r="X65" s="62">
        <f t="shared" ref="X65:X89" ca="1" si="171">getGreen(W34:Y34,$F$65:$F$73)</f>
        <v>139.0260467327256</v>
      </c>
      <c r="Y65" s="62">
        <f t="shared" ref="Y65:Y89" ca="1" si="172">getBlue(W34:Y34,$F$65:$F$73)</f>
        <v>70.442838876068052</v>
      </c>
      <c r="Z65" s="62">
        <f t="shared" ref="Z65:Z89" ca="1" si="173">getRed(Z34:AB34,$F$65:$F$73)</f>
        <v>169.96297823477252</v>
      </c>
      <c r="AA65" s="62">
        <f t="shared" ref="AA65:AA89" ca="1" si="174">getGreen(Z34:AB34,$F$65:$F$73)</f>
        <v>127.488646239592</v>
      </c>
      <c r="AB65" s="62">
        <f t="shared" ref="AB65:AB89" ca="1" si="175">getBlue(Z34:AB34,$F$65:$F$73)</f>
        <v>73.16976063939606</v>
      </c>
      <c r="AC65" s="62">
        <f t="shared" ref="AC65:AC89" ca="1" si="176">getRed(AC34:AE34,$F$65:$F$73)</f>
        <v>167.39611789322143</v>
      </c>
      <c r="AD65" s="62">
        <f t="shared" ref="AD65:AD89" ca="1" si="177">getGreen(AC34:AE34,$F$65:$F$73)</f>
        <v>126.96219234372944</v>
      </c>
      <c r="AE65" s="62">
        <f t="shared" ref="AE65:AE89" ca="1" si="178">getBlue(AC34:AE34,$F$65:$F$73)</f>
        <v>65.140079937853841</v>
      </c>
      <c r="AF65" s="62"/>
      <c r="AG65" s="62"/>
      <c r="AH65" s="62"/>
      <c r="AI65" s="62">
        <f t="shared" ref="AI65:AI89" ca="1" si="179">getRed(AI34:AK34,$F$65:$F$73)</f>
        <v>0</v>
      </c>
      <c r="AJ65" s="62">
        <f t="shared" ref="AJ65:AJ89" ca="1" si="180">getGreen(AI34:AK34,$F$65:$F$73)</f>
        <v>0</v>
      </c>
      <c r="AK65" s="62">
        <f t="shared" ref="AK65:AK89" ca="1" si="181">getBlue(AI34:AK34,$F$65:$F$73)</f>
        <v>0</v>
      </c>
      <c r="AL65" s="62">
        <f t="shared" ref="AL65:AL89" ca="1" si="182">getRed(AL34:AN34,$F$65:$F$73)</f>
        <v>0</v>
      </c>
      <c r="AM65" s="62">
        <f t="shared" ref="AM65:AM89" ca="1" si="183">getGreen(AL34:AN34,$F$65:$F$73)</f>
        <v>0</v>
      </c>
      <c r="AN65" s="62">
        <f t="shared" ref="AN65:AN89" ca="1" si="184">getBlue(AL34:AN34,$F$65:$F$73)</f>
        <v>0</v>
      </c>
      <c r="AO65" s="62">
        <f t="shared" ref="AO65:AO89" ca="1" si="185">getRed(AO34:AQ34,$F$65:$F$73)</f>
        <v>0</v>
      </c>
      <c r="AP65" s="62">
        <f t="shared" ref="AP65:AP89" ca="1" si="186">getGreen(AO34:AQ34,$F$65:$F$73)</f>
        <v>0</v>
      </c>
      <c r="AQ65" s="62">
        <f t="shared" ref="AQ65:AQ89" ca="1" si="187">getBlue(AO34:AQ34,$F$65:$F$73)</f>
        <v>0</v>
      </c>
      <c r="AR65" s="62">
        <f t="shared" ref="AR65:AR89" ca="1" si="188">getRed(AR34:AT34,$F$65:$F$73)</f>
        <v>0</v>
      </c>
      <c r="AS65" s="62">
        <f t="shared" ref="AS65:AS89" ca="1" si="189">getGreen(AR34:AT34,$F$65:$F$73)</f>
        <v>0</v>
      </c>
      <c r="AT65" s="62">
        <f t="shared" ref="AT65:AT89" ca="1" si="190">getBlue(AR34:AT34,$F$65:$F$73)</f>
        <v>0</v>
      </c>
      <c r="AU65" s="62">
        <f t="shared" ref="AU65:AU89" ca="1" si="191">getRed(AU34:AW34,$F$65:$F$73)</f>
        <v>0</v>
      </c>
      <c r="AV65" s="62">
        <f t="shared" ref="AV65:AV89" ca="1" si="192">getGreen(AU34:AW34,$F$65:$F$73)</f>
        <v>0</v>
      </c>
      <c r="AW65" s="62">
        <f t="shared" ref="AW65:AW89" ca="1" si="193">getBlue(AU34:AW34,$F$65:$F$73)</f>
        <v>0</v>
      </c>
      <c r="AX65" s="62">
        <f t="shared" ref="AX65:AX89" ca="1" si="194">getRed(AX34:AZ34,$F$65:$F$73)</f>
        <v>0</v>
      </c>
      <c r="AY65" s="62">
        <f t="shared" ref="AY65:AY89" ca="1" si="195">getGreen(AX34:AZ34,$F$65:$F$73)</f>
        <v>0</v>
      </c>
      <c r="AZ65" s="62">
        <f t="shared" ref="AZ65:AZ89" ca="1" si="196">getBlue(AX34:AZ34,$F$65:$F$73)</f>
        <v>0</v>
      </c>
      <c r="BA65" s="62">
        <f t="shared" ref="BA65:BA89" ca="1" si="197">getRed(BA34:BC34,$F$65:$F$73)</f>
        <v>0</v>
      </c>
      <c r="BB65" s="62">
        <f t="shared" ref="BB65:BB89" ca="1" si="198">getGreen(BA34:BC34,$F$65:$F$73)</f>
        <v>0</v>
      </c>
      <c r="BC65" s="62">
        <f t="shared" ref="BC65:BC89" ca="1" si="199">getBlue(BA34:BC34,$F$65:$F$73)</f>
        <v>0</v>
      </c>
      <c r="BD65" s="62">
        <f t="shared" ref="BD65:BD89" ca="1" si="200">getRed(BD34:BF34,$F$65:$F$73)</f>
        <v>0</v>
      </c>
      <c r="BE65" s="62">
        <f t="shared" ref="BE65:BE89" ca="1" si="201">getGreen(BD34:BF34,$F$65:$F$73)</f>
        <v>0</v>
      </c>
      <c r="BF65" s="62">
        <f t="shared" ref="BF65:BF89" ca="1" si="202">getBlue(BD34:BF34,$F$65:$F$73)</f>
        <v>0</v>
      </c>
      <c r="BG65" s="62">
        <f t="shared" ref="BG65:BG89" ca="1" si="203">getRed(BG34:BI34,$F$65:$F$73)</f>
        <v>0</v>
      </c>
      <c r="BH65" s="62">
        <f t="shared" ref="BH65:BH89" ca="1" si="204">getGreen(BG34:BI34,$F$65:$F$73)</f>
        <v>0</v>
      </c>
      <c r="BI65" s="62">
        <f t="shared" ref="BI65:BI89" ca="1" si="205">getBlue(BG34:BI34,$F$65:$F$73)</f>
        <v>0</v>
      </c>
      <c r="BJ65" s="62">
        <f t="shared" ref="BJ65:BJ89" ca="1" si="206">getRed(BJ34:BL34,$F$65:$F$73)</f>
        <v>0</v>
      </c>
      <c r="BK65" s="62">
        <f t="shared" ref="BK65:BK89" ca="1" si="207">getGreen(BJ34:BL34,$F$65:$F$73)</f>
        <v>0</v>
      </c>
      <c r="BL65" s="62">
        <f t="shared" ref="BL65:BL89" ca="1" si="208">getBlue(BJ34:BL34,$F$65:$F$73)</f>
        <v>0</v>
      </c>
      <c r="BM65" s="62">
        <f t="shared" ref="BM65:BM89" ca="1" si="209">getRed(BM34:BO34,$F$65:$F$73)</f>
        <v>0</v>
      </c>
      <c r="BN65" s="62">
        <f t="shared" ref="BN65:BN89" ca="1" si="210">getGreen(BM34:BO34,$F$65:$F$73)</f>
        <v>0</v>
      </c>
      <c r="BO65" s="62">
        <f t="shared" ref="BO65:BO89" ca="1" si="211">getBlue(BM34:BO34,$F$65:$F$73)</f>
        <v>0</v>
      </c>
      <c r="BP65" s="62">
        <f t="shared" ref="BP65:BP89" ca="1" si="212">getRed(BP34:BR34,$F$65:$F$73)</f>
        <v>0</v>
      </c>
      <c r="BQ65" s="62">
        <f t="shared" ref="BQ65:BQ89" ca="1" si="213">getGreen(BP34:BR34,$F$65:$F$73)</f>
        <v>0</v>
      </c>
      <c r="BR65" s="62">
        <f t="shared" ref="BR65:BR89" ca="1" si="214">getBlue(BP34:BR34,$F$65:$F$73)</f>
        <v>0</v>
      </c>
      <c r="BS65" s="62"/>
      <c r="BT65" s="62"/>
      <c r="BU65" s="62"/>
      <c r="BV65" s="62">
        <f t="shared" ref="BV65:BV89" ca="1" si="215">getRed(BV34:BX34,$F$65:$F$73)</f>
        <v>0</v>
      </c>
      <c r="BW65" s="62">
        <f t="shared" ref="BW65:BW89" ca="1" si="216">getGreen(BV34:BX34,$F$65:$F$73)</f>
        <v>0</v>
      </c>
      <c r="BX65" s="62">
        <f t="shared" ref="BX65:BX89" ca="1" si="217">getBlue(BV34:BX34,$F$65:$F$73)</f>
        <v>0</v>
      </c>
      <c r="BY65" s="62">
        <f t="shared" ref="BY65:BY89" ca="1" si="218">getRed(BY34:CA34,$F$65:$F$73)</f>
        <v>0</v>
      </c>
      <c r="BZ65" s="62">
        <f t="shared" ref="BZ65:BZ89" ca="1" si="219">getGreen(BY34:CA34,$F$65:$F$73)</f>
        <v>0</v>
      </c>
      <c r="CA65" s="62">
        <f t="shared" ref="CA65:CA89" ca="1" si="220">getBlue(BY34:CA34,$F$65:$F$73)</f>
        <v>0</v>
      </c>
      <c r="CB65" s="62"/>
      <c r="CC65" s="62"/>
      <c r="CD65" s="62"/>
      <c r="CE65" s="62">
        <f t="shared" ref="CE65:CE89" ca="1" si="221">getRed(CE34:CG34,$F$65:$F$73)</f>
        <v>0</v>
      </c>
      <c r="CF65" s="62">
        <f t="shared" ref="CF65:CF89" ca="1" si="222">getGreen(CE34:CG34,$F$65:$F$73)</f>
        <v>0</v>
      </c>
      <c r="CG65" s="62">
        <f t="shared" ref="CG65:CG89" ca="1" si="223">getBlue(CE34:CG34,$F$65:$F$73)</f>
        <v>0</v>
      </c>
      <c r="CH65" s="62">
        <f t="shared" ref="CH65:CH89" ca="1" si="224">getRed(CH34:CJ34,$F$65:$F$73)</f>
        <v>0</v>
      </c>
      <c r="CI65" s="62">
        <f t="shared" ref="CI65:CI89" ca="1" si="225">getGreen(CH34:CJ34,$F$65:$F$73)</f>
        <v>0</v>
      </c>
      <c r="CJ65" s="62">
        <f t="shared" ref="CJ65:CJ89" ca="1" si="226">getBlue(CH34:CJ34,$F$65:$F$73)</f>
        <v>0</v>
      </c>
      <c r="CK65" s="62">
        <f t="shared" ref="CK65:CK89" ca="1" si="227">getRed(CK34:CM34,$F$65:$F$73)</f>
        <v>0</v>
      </c>
      <c r="CL65" s="62">
        <f t="shared" ref="CL65:CL89" ca="1" si="228">getGreen(CK34:CM34,$F$65:$F$73)</f>
        <v>0</v>
      </c>
      <c r="CM65" s="62">
        <f t="shared" ref="CM65:CM89" ca="1" si="229">getBlue(CK34:CM34,$F$65:$F$73)</f>
        <v>0</v>
      </c>
      <c r="CN65" s="62">
        <f t="shared" ref="CN65:CN89" ca="1" si="230">getRed(CN34:CP34,$F$65:$F$73)</f>
        <v>0</v>
      </c>
      <c r="CO65" s="62">
        <f t="shared" ref="CO65:CO89" ca="1" si="231">getGreen(CN34:CP34,$F$65:$F$73)</f>
        <v>0</v>
      </c>
      <c r="CP65" s="62">
        <f t="shared" ref="CP65:CP89" ca="1" si="232">getBlue(CN34:CP34,$F$65:$F$73)</f>
        <v>0</v>
      </c>
      <c r="CQ65" s="62">
        <f t="shared" ref="CQ65:CQ89" ca="1" si="233">getRed(CQ34:CS34,$F$65:$F$73)</f>
        <v>0</v>
      </c>
      <c r="CR65" s="62">
        <f t="shared" ref="CR65:CR89" ca="1" si="234">getGreen(CQ34:CS34,$F$65:$F$73)</f>
        <v>0</v>
      </c>
      <c r="CS65" s="62">
        <f t="shared" ref="CS65:CS89" ca="1" si="235">getBlue(CQ34:CS34,$F$65:$F$73)</f>
        <v>0</v>
      </c>
      <c r="CT65" s="62">
        <f t="shared" ref="CT65:CT89" ca="1" si="236">getRed(CT34:CV34,$F$65:$F$73)</f>
        <v>0</v>
      </c>
      <c r="CU65" s="62">
        <f t="shared" ref="CU65:CU89" ca="1" si="237">getGreen(CT34:CV34,$F$65:$F$73)</f>
        <v>0</v>
      </c>
      <c r="CV65" s="62">
        <f t="shared" ref="CV65:CV89" ca="1" si="238">getBlue(CT34:CV34,$F$65:$F$73)</f>
        <v>0</v>
      </c>
      <c r="CW65" s="62">
        <f t="shared" ref="CW65:CW89" ca="1" si="239">getRed(CW34:CY34,$F$65:$F$73)</f>
        <v>0</v>
      </c>
      <c r="CX65" s="62">
        <f t="shared" ref="CX65:CX89" ca="1" si="240">getGreen(CW34:CY34,$F$65:$F$73)</f>
        <v>0</v>
      </c>
      <c r="CY65" s="62">
        <f t="shared" ref="CY65:CY89" ca="1" si="241">getBlue(CW34:CY34,$F$65:$F$73)</f>
        <v>0</v>
      </c>
      <c r="CZ65" s="62">
        <f t="shared" ref="CZ65:CZ89" ca="1" si="242">getRed(CZ34:DB34,$F$65:$F$73)</f>
        <v>0</v>
      </c>
      <c r="DA65" s="62">
        <f t="shared" ref="DA65:DA89" ca="1" si="243">getGreen(CZ34:DB34,$F$65:$F$73)</f>
        <v>0</v>
      </c>
      <c r="DB65" s="62">
        <f t="shared" ref="DB65:DB89" ca="1" si="244">getBlue(CZ34:DB34,$F$65:$F$73)</f>
        <v>0</v>
      </c>
      <c r="DC65" s="62">
        <f t="shared" ref="DC65:DC89" ca="1" si="245">getRed(DC34:DE34,$F$65:$F$73)</f>
        <v>0</v>
      </c>
      <c r="DD65" s="62">
        <f t="shared" ref="DD65:DD89" ca="1" si="246">getGreen(DC34:DE34,$F$65:$F$73)</f>
        <v>0</v>
      </c>
      <c r="DE65" s="62">
        <f t="shared" ref="DE65:DE89" ca="1" si="247">getBlue(DC34:DE34,$F$65:$F$73)</f>
        <v>0</v>
      </c>
      <c r="DF65" s="62">
        <f t="shared" ref="DF65:DF89" ca="1" si="248">getRed(DF34:DH34,$F$65:$F$73)</f>
        <v>0</v>
      </c>
      <c r="DG65" s="62">
        <f t="shared" ref="DG65:DG89" ca="1" si="249">getGreen(DF34:DH34,$F$65:$F$73)</f>
        <v>0</v>
      </c>
      <c r="DH65" s="62">
        <f t="shared" ref="DH65:DH89" ca="1" si="250">getBlue(DF34:DH34,$F$65:$F$73)</f>
        <v>0</v>
      </c>
    </row>
    <row r="66" spans="1:112">
      <c r="A66" s="14">
        <f t="shared" ref="A66:C66" si="251">A4</f>
        <v>2</v>
      </c>
      <c r="B66" s="14">
        <f t="shared" ca="1" si="251"/>
        <v>18.852958021449371</v>
      </c>
      <c r="C66" s="14">
        <f t="shared" si="251"/>
        <v>3954.7</v>
      </c>
      <c r="E66" s="64" t="s">
        <v>49</v>
      </c>
      <c r="F66" s="67">
        <f>Summary!L4</f>
        <v>1.1652039920080326</v>
      </c>
      <c r="P66" s="63" t="b">
        <f t="shared" ref="P66:P89" si="252">P35</f>
        <v>1</v>
      </c>
      <c r="Q66" s="62">
        <f t="shared" ca="1" si="164"/>
        <v>170.66759872108832</v>
      </c>
      <c r="R66" s="62">
        <f t="shared" ca="1" si="165"/>
        <v>120.16848324706601</v>
      </c>
      <c r="S66" s="62">
        <f t="shared" ca="1" si="166"/>
        <v>44.758952635601872</v>
      </c>
      <c r="T66" s="62">
        <f t="shared" ca="1" si="167"/>
        <v>136.8482344743226</v>
      </c>
      <c r="U66" s="62">
        <f t="shared" ca="1" si="168"/>
        <v>107.63026692690033</v>
      </c>
      <c r="V66" s="62">
        <f t="shared" ca="1" si="169"/>
        <v>51.77398183275929</v>
      </c>
      <c r="W66" s="62">
        <f t="shared" ca="1" si="170"/>
        <v>140.65872294458936</v>
      </c>
      <c r="X66" s="62">
        <f t="shared" ca="1" si="171"/>
        <v>113.2507576032137</v>
      </c>
      <c r="Y66" s="62">
        <f t="shared" ca="1" si="172"/>
        <v>51.156114676574873</v>
      </c>
      <c r="Z66" s="62">
        <f t="shared" ca="1" si="173"/>
        <v>134.57238544150405</v>
      </c>
      <c r="AA66" s="62">
        <f t="shared" ca="1" si="174"/>
        <v>103.02891702249202</v>
      </c>
      <c r="AB66" s="62">
        <f t="shared" ca="1" si="175"/>
        <v>53.647346207512321</v>
      </c>
      <c r="AC66" s="62">
        <f t="shared" ca="1" si="176"/>
        <v>132.48136411857502</v>
      </c>
      <c r="AD66" s="62">
        <f t="shared" ca="1" si="177"/>
        <v>101.98785239107801</v>
      </c>
      <c r="AE66" s="62">
        <f t="shared" ca="1" si="178"/>
        <v>47.626921873586852</v>
      </c>
      <c r="AF66" s="62"/>
      <c r="AG66" s="62"/>
      <c r="AH66" s="62"/>
      <c r="AI66" s="62">
        <f t="shared" ca="1" si="179"/>
        <v>0</v>
      </c>
      <c r="AJ66" s="62">
        <f t="shared" ca="1" si="180"/>
        <v>0</v>
      </c>
      <c r="AK66" s="62">
        <f t="shared" ca="1" si="181"/>
        <v>0</v>
      </c>
      <c r="AL66" s="62">
        <f t="shared" ca="1" si="182"/>
        <v>0</v>
      </c>
      <c r="AM66" s="62">
        <f t="shared" ca="1" si="183"/>
        <v>0</v>
      </c>
      <c r="AN66" s="62">
        <f t="shared" ca="1" si="184"/>
        <v>0</v>
      </c>
      <c r="AO66" s="62">
        <f t="shared" ca="1" si="185"/>
        <v>0</v>
      </c>
      <c r="AP66" s="62">
        <f t="shared" ca="1" si="186"/>
        <v>0</v>
      </c>
      <c r="AQ66" s="62">
        <f t="shared" ca="1" si="187"/>
        <v>0</v>
      </c>
      <c r="AR66" s="62">
        <f t="shared" ca="1" si="188"/>
        <v>0</v>
      </c>
      <c r="AS66" s="62">
        <f t="shared" ca="1" si="189"/>
        <v>0</v>
      </c>
      <c r="AT66" s="62">
        <f t="shared" ca="1" si="190"/>
        <v>0</v>
      </c>
      <c r="AU66" s="62">
        <f t="shared" ca="1" si="191"/>
        <v>0</v>
      </c>
      <c r="AV66" s="62">
        <f t="shared" ca="1" si="192"/>
        <v>0</v>
      </c>
      <c r="AW66" s="62">
        <f t="shared" ca="1" si="193"/>
        <v>0</v>
      </c>
      <c r="AX66" s="62">
        <f t="shared" ca="1" si="194"/>
        <v>0</v>
      </c>
      <c r="AY66" s="62">
        <f t="shared" ca="1" si="195"/>
        <v>0</v>
      </c>
      <c r="AZ66" s="62">
        <f t="shared" ca="1" si="196"/>
        <v>0</v>
      </c>
      <c r="BA66" s="62">
        <f t="shared" ca="1" si="197"/>
        <v>0</v>
      </c>
      <c r="BB66" s="62">
        <f t="shared" ca="1" si="198"/>
        <v>0</v>
      </c>
      <c r="BC66" s="62">
        <f t="shared" ca="1" si="199"/>
        <v>0</v>
      </c>
      <c r="BD66" s="62">
        <f t="shared" ca="1" si="200"/>
        <v>0</v>
      </c>
      <c r="BE66" s="62">
        <f t="shared" ca="1" si="201"/>
        <v>0</v>
      </c>
      <c r="BF66" s="62">
        <f t="shared" ca="1" si="202"/>
        <v>0</v>
      </c>
      <c r="BG66" s="62">
        <f t="shared" ca="1" si="203"/>
        <v>0</v>
      </c>
      <c r="BH66" s="62">
        <f t="shared" ca="1" si="204"/>
        <v>0</v>
      </c>
      <c r="BI66" s="62">
        <f t="shared" ca="1" si="205"/>
        <v>0</v>
      </c>
      <c r="BJ66" s="62">
        <f t="shared" ca="1" si="206"/>
        <v>0</v>
      </c>
      <c r="BK66" s="62">
        <f t="shared" ca="1" si="207"/>
        <v>0</v>
      </c>
      <c r="BL66" s="62">
        <f t="shared" ca="1" si="208"/>
        <v>0</v>
      </c>
      <c r="BM66" s="62">
        <f t="shared" ca="1" si="209"/>
        <v>0</v>
      </c>
      <c r="BN66" s="62">
        <f t="shared" ca="1" si="210"/>
        <v>0</v>
      </c>
      <c r="BO66" s="62">
        <f t="shared" ca="1" si="211"/>
        <v>0</v>
      </c>
      <c r="BP66" s="62">
        <f t="shared" ca="1" si="212"/>
        <v>0</v>
      </c>
      <c r="BQ66" s="62">
        <f t="shared" ca="1" si="213"/>
        <v>0</v>
      </c>
      <c r="BR66" s="62">
        <f t="shared" ca="1" si="214"/>
        <v>0</v>
      </c>
      <c r="BS66" s="62"/>
      <c r="BT66" s="62"/>
      <c r="BU66" s="62"/>
      <c r="BV66" s="62">
        <f t="shared" ca="1" si="215"/>
        <v>0</v>
      </c>
      <c r="BW66" s="62">
        <f t="shared" ca="1" si="216"/>
        <v>0</v>
      </c>
      <c r="BX66" s="62">
        <f t="shared" ca="1" si="217"/>
        <v>0</v>
      </c>
      <c r="BY66" s="62">
        <f t="shared" ca="1" si="218"/>
        <v>0</v>
      </c>
      <c r="BZ66" s="62">
        <f t="shared" ca="1" si="219"/>
        <v>0</v>
      </c>
      <c r="CA66" s="62">
        <f t="shared" ca="1" si="220"/>
        <v>0</v>
      </c>
      <c r="CB66" s="62"/>
      <c r="CC66" s="62"/>
      <c r="CD66" s="62"/>
      <c r="CE66" s="62">
        <f t="shared" ca="1" si="221"/>
        <v>0</v>
      </c>
      <c r="CF66" s="62">
        <f t="shared" ca="1" si="222"/>
        <v>0</v>
      </c>
      <c r="CG66" s="62">
        <f t="shared" ca="1" si="223"/>
        <v>0</v>
      </c>
      <c r="CH66" s="62">
        <f t="shared" ca="1" si="224"/>
        <v>0</v>
      </c>
      <c r="CI66" s="62">
        <f t="shared" ca="1" si="225"/>
        <v>0</v>
      </c>
      <c r="CJ66" s="62">
        <f t="shared" ca="1" si="226"/>
        <v>0</v>
      </c>
      <c r="CK66" s="62">
        <f t="shared" ca="1" si="227"/>
        <v>0</v>
      </c>
      <c r="CL66" s="62">
        <f t="shared" ca="1" si="228"/>
        <v>0</v>
      </c>
      <c r="CM66" s="62">
        <f t="shared" ca="1" si="229"/>
        <v>0</v>
      </c>
      <c r="CN66" s="62">
        <f t="shared" ca="1" si="230"/>
        <v>0</v>
      </c>
      <c r="CO66" s="62">
        <f t="shared" ca="1" si="231"/>
        <v>0</v>
      </c>
      <c r="CP66" s="62">
        <f t="shared" ca="1" si="232"/>
        <v>0</v>
      </c>
      <c r="CQ66" s="62">
        <f t="shared" ca="1" si="233"/>
        <v>0</v>
      </c>
      <c r="CR66" s="62">
        <f t="shared" ca="1" si="234"/>
        <v>0</v>
      </c>
      <c r="CS66" s="62">
        <f t="shared" ca="1" si="235"/>
        <v>0</v>
      </c>
      <c r="CT66" s="62">
        <f t="shared" ca="1" si="236"/>
        <v>0</v>
      </c>
      <c r="CU66" s="62">
        <f t="shared" ca="1" si="237"/>
        <v>0</v>
      </c>
      <c r="CV66" s="62">
        <f t="shared" ca="1" si="238"/>
        <v>0</v>
      </c>
      <c r="CW66" s="62">
        <f t="shared" ca="1" si="239"/>
        <v>0</v>
      </c>
      <c r="CX66" s="62">
        <f t="shared" ca="1" si="240"/>
        <v>0</v>
      </c>
      <c r="CY66" s="62">
        <f t="shared" ca="1" si="241"/>
        <v>0</v>
      </c>
      <c r="CZ66" s="62">
        <f t="shared" ca="1" si="242"/>
        <v>0</v>
      </c>
      <c r="DA66" s="62">
        <f t="shared" ca="1" si="243"/>
        <v>0</v>
      </c>
      <c r="DB66" s="62">
        <f t="shared" ca="1" si="244"/>
        <v>0</v>
      </c>
      <c r="DC66" s="62">
        <f t="shared" ca="1" si="245"/>
        <v>0</v>
      </c>
      <c r="DD66" s="62">
        <f t="shared" ca="1" si="246"/>
        <v>0</v>
      </c>
      <c r="DE66" s="62">
        <f t="shared" ca="1" si="247"/>
        <v>0</v>
      </c>
      <c r="DF66" s="62">
        <f t="shared" ca="1" si="248"/>
        <v>0</v>
      </c>
      <c r="DG66" s="62">
        <f t="shared" ca="1" si="249"/>
        <v>0</v>
      </c>
      <c r="DH66" s="62">
        <f t="shared" ca="1" si="250"/>
        <v>0</v>
      </c>
    </row>
    <row r="67" spans="1:112">
      <c r="A67" s="14">
        <f t="shared" ref="A67:C67" si="253">A5</f>
        <v>3</v>
      </c>
      <c r="B67" s="14">
        <f t="shared" ca="1" si="253"/>
        <v>15.437578208746091</v>
      </c>
      <c r="C67" s="14">
        <f t="shared" si="253"/>
        <v>3988.4</v>
      </c>
      <c r="E67" s="64" t="s">
        <v>50</v>
      </c>
      <c r="F67" s="67">
        <f>Summary!L5</f>
        <v>1.8139612408374231</v>
      </c>
      <c r="P67" s="63" t="b">
        <f t="shared" si="252"/>
        <v>1</v>
      </c>
      <c r="Q67" s="62">
        <f t="shared" ca="1" si="164"/>
        <v>112.91250225165422</v>
      </c>
      <c r="R67" s="62">
        <f t="shared" ca="1" si="165"/>
        <v>91.976888490900933</v>
      </c>
      <c r="S67" s="62">
        <f t="shared" ca="1" si="166"/>
        <v>37.577156443118348</v>
      </c>
      <c r="T67" s="62">
        <f t="shared" ca="1" si="167"/>
        <v>107.5141735104477</v>
      </c>
      <c r="U67" s="62">
        <f t="shared" ca="1" si="168"/>
        <v>86.700481238444468</v>
      </c>
      <c r="V67" s="62">
        <f t="shared" ca="1" si="169"/>
        <v>37.227516923680682</v>
      </c>
      <c r="W67" s="62">
        <f t="shared" ca="1" si="170"/>
        <v>133.04010164170015</v>
      </c>
      <c r="X67" s="62">
        <f t="shared" ca="1" si="171"/>
        <v>98.060658476948049</v>
      </c>
      <c r="Y67" s="62">
        <f t="shared" ca="1" si="172"/>
        <v>28.349696014632279</v>
      </c>
      <c r="Z67" s="62">
        <f t="shared" ca="1" si="173"/>
        <v>105.18984058926607</v>
      </c>
      <c r="AA67" s="62">
        <f t="shared" ca="1" si="174"/>
        <v>83.17791120373596</v>
      </c>
      <c r="AB67" s="62">
        <f t="shared" ca="1" si="175"/>
        <v>37.391284415118605</v>
      </c>
      <c r="AC67" s="62">
        <f t="shared" ca="1" si="176"/>
        <v>105.18613704551296</v>
      </c>
      <c r="AD67" s="62">
        <f t="shared" ca="1" si="177"/>
        <v>84.560014816518631</v>
      </c>
      <c r="AE67" s="62">
        <f t="shared" ca="1" si="178"/>
        <v>32.361092225709825</v>
      </c>
      <c r="AF67" s="62"/>
      <c r="AG67" s="62"/>
      <c r="AH67" s="62"/>
      <c r="AI67" s="62">
        <f t="shared" ca="1" si="179"/>
        <v>0</v>
      </c>
      <c r="AJ67" s="62">
        <f t="shared" ca="1" si="180"/>
        <v>0</v>
      </c>
      <c r="AK67" s="62">
        <f t="shared" ca="1" si="181"/>
        <v>0</v>
      </c>
      <c r="AL67" s="62">
        <f t="shared" ca="1" si="182"/>
        <v>0</v>
      </c>
      <c r="AM67" s="62">
        <f t="shared" ca="1" si="183"/>
        <v>0</v>
      </c>
      <c r="AN67" s="62">
        <f t="shared" ca="1" si="184"/>
        <v>0</v>
      </c>
      <c r="AO67" s="62">
        <f t="shared" ca="1" si="185"/>
        <v>0</v>
      </c>
      <c r="AP67" s="62">
        <f t="shared" ca="1" si="186"/>
        <v>0</v>
      </c>
      <c r="AQ67" s="62">
        <f t="shared" ca="1" si="187"/>
        <v>0</v>
      </c>
      <c r="AR67" s="62">
        <f t="shared" ca="1" si="188"/>
        <v>0</v>
      </c>
      <c r="AS67" s="62">
        <f t="shared" ca="1" si="189"/>
        <v>0</v>
      </c>
      <c r="AT67" s="62">
        <f t="shared" ca="1" si="190"/>
        <v>0</v>
      </c>
      <c r="AU67" s="62">
        <f t="shared" ca="1" si="191"/>
        <v>0</v>
      </c>
      <c r="AV67" s="62">
        <f t="shared" ca="1" si="192"/>
        <v>0</v>
      </c>
      <c r="AW67" s="62">
        <f t="shared" ca="1" si="193"/>
        <v>0</v>
      </c>
      <c r="AX67" s="62">
        <f t="shared" ca="1" si="194"/>
        <v>0</v>
      </c>
      <c r="AY67" s="62">
        <f t="shared" ca="1" si="195"/>
        <v>0</v>
      </c>
      <c r="AZ67" s="62">
        <f t="shared" ca="1" si="196"/>
        <v>0</v>
      </c>
      <c r="BA67" s="62">
        <f t="shared" ca="1" si="197"/>
        <v>0</v>
      </c>
      <c r="BB67" s="62">
        <f t="shared" ca="1" si="198"/>
        <v>0</v>
      </c>
      <c r="BC67" s="62">
        <f t="shared" ca="1" si="199"/>
        <v>0</v>
      </c>
      <c r="BD67" s="62">
        <f t="shared" ca="1" si="200"/>
        <v>0</v>
      </c>
      <c r="BE67" s="62">
        <f t="shared" ca="1" si="201"/>
        <v>0</v>
      </c>
      <c r="BF67" s="62">
        <f t="shared" ca="1" si="202"/>
        <v>0</v>
      </c>
      <c r="BG67" s="62">
        <f t="shared" ca="1" si="203"/>
        <v>0</v>
      </c>
      <c r="BH67" s="62">
        <f t="shared" ca="1" si="204"/>
        <v>0</v>
      </c>
      <c r="BI67" s="62">
        <f t="shared" ca="1" si="205"/>
        <v>0</v>
      </c>
      <c r="BJ67" s="62">
        <f t="shared" ca="1" si="206"/>
        <v>0</v>
      </c>
      <c r="BK67" s="62">
        <f t="shared" ca="1" si="207"/>
        <v>0</v>
      </c>
      <c r="BL67" s="62">
        <f t="shared" ca="1" si="208"/>
        <v>0</v>
      </c>
      <c r="BM67" s="62">
        <f t="shared" ca="1" si="209"/>
        <v>0</v>
      </c>
      <c r="BN67" s="62">
        <f t="shared" ca="1" si="210"/>
        <v>0</v>
      </c>
      <c r="BO67" s="62">
        <f t="shared" ca="1" si="211"/>
        <v>0</v>
      </c>
      <c r="BP67" s="62">
        <f t="shared" ca="1" si="212"/>
        <v>0</v>
      </c>
      <c r="BQ67" s="62">
        <f t="shared" ca="1" si="213"/>
        <v>0</v>
      </c>
      <c r="BR67" s="62">
        <f t="shared" ca="1" si="214"/>
        <v>0</v>
      </c>
      <c r="BS67" s="62"/>
      <c r="BT67" s="62"/>
      <c r="BU67" s="62"/>
      <c r="BV67" s="62">
        <f t="shared" ca="1" si="215"/>
        <v>0</v>
      </c>
      <c r="BW67" s="62">
        <f t="shared" ca="1" si="216"/>
        <v>0</v>
      </c>
      <c r="BX67" s="62">
        <f t="shared" ca="1" si="217"/>
        <v>0</v>
      </c>
      <c r="BY67" s="62">
        <f t="shared" ca="1" si="218"/>
        <v>0</v>
      </c>
      <c r="BZ67" s="62">
        <f t="shared" ca="1" si="219"/>
        <v>0</v>
      </c>
      <c r="CA67" s="62">
        <f t="shared" ca="1" si="220"/>
        <v>0</v>
      </c>
      <c r="CB67" s="62"/>
      <c r="CC67" s="62"/>
      <c r="CD67" s="62"/>
      <c r="CE67" s="62">
        <f t="shared" ca="1" si="221"/>
        <v>0</v>
      </c>
      <c r="CF67" s="62">
        <f t="shared" ca="1" si="222"/>
        <v>0</v>
      </c>
      <c r="CG67" s="62">
        <f t="shared" ca="1" si="223"/>
        <v>0</v>
      </c>
      <c r="CH67" s="62">
        <f t="shared" ca="1" si="224"/>
        <v>0</v>
      </c>
      <c r="CI67" s="62">
        <f t="shared" ca="1" si="225"/>
        <v>0</v>
      </c>
      <c r="CJ67" s="62">
        <f t="shared" ca="1" si="226"/>
        <v>0</v>
      </c>
      <c r="CK67" s="62">
        <f t="shared" ca="1" si="227"/>
        <v>0</v>
      </c>
      <c r="CL67" s="62">
        <f t="shared" ca="1" si="228"/>
        <v>0</v>
      </c>
      <c r="CM67" s="62">
        <f t="shared" ca="1" si="229"/>
        <v>0</v>
      </c>
      <c r="CN67" s="62">
        <f t="shared" ca="1" si="230"/>
        <v>0</v>
      </c>
      <c r="CO67" s="62">
        <f t="shared" ca="1" si="231"/>
        <v>0</v>
      </c>
      <c r="CP67" s="62">
        <f t="shared" ca="1" si="232"/>
        <v>0</v>
      </c>
      <c r="CQ67" s="62">
        <f t="shared" ca="1" si="233"/>
        <v>0</v>
      </c>
      <c r="CR67" s="62">
        <f t="shared" ca="1" si="234"/>
        <v>0</v>
      </c>
      <c r="CS67" s="62">
        <f t="shared" ca="1" si="235"/>
        <v>0</v>
      </c>
      <c r="CT67" s="62">
        <f t="shared" ca="1" si="236"/>
        <v>0</v>
      </c>
      <c r="CU67" s="62">
        <f t="shared" ca="1" si="237"/>
        <v>0</v>
      </c>
      <c r="CV67" s="62">
        <f t="shared" ca="1" si="238"/>
        <v>0</v>
      </c>
      <c r="CW67" s="62">
        <f t="shared" ca="1" si="239"/>
        <v>0</v>
      </c>
      <c r="CX67" s="62">
        <f t="shared" ca="1" si="240"/>
        <v>0</v>
      </c>
      <c r="CY67" s="62">
        <f t="shared" ca="1" si="241"/>
        <v>0</v>
      </c>
      <c r="CZ67" s="62">
        <f t="shared" ca="1" si="242"/>
        <v>0</v>
      </c>
      <c r="DA67" s="62">
        <f t="shared" ca="1" si="243"/>
        <v>0</v>
      </c>
      <c r="DB67" s="62">
        <f t="shared" ca="1" si="244"/>
        <v>0</v>
      </c>
      <c r="DC67" s="62">
        <f t="shared" ca="1" si="245"/>
        <v>0</v>
      </c>
      <c r="DD67" s="62">
        <f t="shared" ca="1" si="246"/>
        <v>0</v>
      </c>
      <c r="DE67" s="62">
        <f t="shared" ca="1" si="247"/>
        <v>0</v>
      </c>
      <c r="DF67" s="62">
        <f t="shared" ca="1" si="248"/>
        <v>0</v>
      </c>
      <c r="DG67" s="62">
        <f t="shared" ca="1" si="249"/>
        <v>0</v>
      </c>
      <c r="DH67" s="62">
        <f t="shared" ca="1" si="250"/>
        <v>0</v>
      </c>
    </row>
    <row r="68" spans="1:112">
      <c r="A68" s="14">
        <f t="shared" ref="A68:C68" si="254">A6</f>
        <v>4</v>
      </c>
      <c r="B68" s="14">
        <f t="shared" ca="1" si="254"/>
        <v>12.825726800021135</v>
      </c>
      <c r="C68" s="14">
        <f t="shared" si="254"/>
        <v>3978.3</v>
      </c>
      <c r="E68" s="65" t="s">
        <v>51</v>
      </c>
      <c r="F68" s="67">
        <f>Summary!L6</f>
        <v>0.59695550512102591</v>
      </c>
      <c r="P68" s="63" t="b">
        <f t="shared" si="252"/>
        <v>1</v>
      </c>
      <c r="Q68" s="62">
        <f t="shared" ca="1" si="164"/>
        <v>91.618733969705104</v>
      </c>
      <c r="R68" s="62">
        <f t="shared" ca="1" si="165"/>
        <v>77.608334278482218</v>
      </c>
      <c r="S68" s="62">
        <f t="shared" ca="1" si="166"/>
        <v>23.363009666969962</v>
      </c>
      <c r="T68" s="62">
        <f t="shared" ca="1" si="167"/>
        <v>104.32128100887171</v>
      </c>
      <c r="U68" s="62">
        <f t="shared" ca="1" si="168"/>
        <v>76.720307333764978</v>
      </c>
      <c r="V68" s="62">
        <f t="shared" ca="1" si="169"/>
        <v>18.698444728495865</v>
      </c>
      <c r="W68" s="62">
        <f t="shared" ca="1" si="170"/>
        <v>89.663367505794298</v>
      </c>
      <c r="X68" s="62">
        <f t="shared" ca="1" si="171"/>
        <v>77.170590346748511</v>
      </c>
      <c r="Y68" s="62">
        <f t="shared" ca="1" si="172"/>
        <v>21.618031449819711</v>
      </c>
      <c r="Z68" s="62">
        <f t="shared" ca="1" si="173"/>
        <v>85.203933824669193</v>
      </c>
      <c r="AA68" s="62">
        <f t="shared" ca="1" si="174"/>
        <v>69.588135924701518</v>
      </c>
      <c r="AB68" s="62">
        <f t="shared" ca="1" si="175"/>
        <v>24.341642271718712</v>
      </c>
      <c r="AC68" s="62">
        <f t="shared" ca="1" si="176"/>
        <v>85.095556941684393</v>
      </c>
      <c r="AD68" s="62">
        <f t="shared" ca="1" si="177"/>
        <v>70.858709316915665</v>
      </c>
      <c r="AE68" s="62">
        <f t="shared" ca="1" si="178"/>
        <v>19.937527891986466</v>
      </c>
      <c r="AF68" s="62"/>
      <c r="AG68" s="62"/>
      <c r="AH68" s="62"/>
      <c r="AI68" s="62">
        <f t="shared" ca="1" si="179"/>
        <v>0</v>
      </c>
      <c r="AJ68" s="62">
        <f t="shared" ca="1" si="180"/>
        <v>0</v>
      </c>
      <c r="AK68" s="62">
        <f t="shared" ca="1" si="181"/>
        <v>0</v>
      </c>
      <c r="AL68" s="62">
        <f t="shared" ca="1" si="182"/>
        <v>0</v>
      </c>
      <c r="AM68" s="62">
        <f t="shared" ca="1" si="183"/>
        <v>0</v>
      </c>
      <c r="AN68" s="62">
        <f t="shared" ca="1" si="184"/>
        <v>0</v>
      </c>
      <c r="AO68" s="62">
        <f t="shared" ca="1" si="185"/>
        <v>0</v>
      </c>
      <c r="AP68" s="62">
        <f t="shared" ca="1" si="186"/>
        <v>0</v>
      </c>
      <c r="AQ68" s="62">
        <f t="shared" ca="1" si="187"/>
        <v>0</v>
      </c>
      <c r="AR68" s="62">
        <f t="shared" ca="1" si="188"/>
        <v>0</v>
      </c>
      <c r="AS68" s="62">
        <f t="shared" ca="1" si="189"/>
        <v>0</v>
      </c>
      <c r="AT68" s="62">
        <f t="shared" ca="1" si="190"/>
        <v>0</v>
      </c>
      <c r="AU68" s="62">
        <f t="shared" ca="1" si="191"/>
        <v>0</v>
      </c>
      <c r="AV68" s="62">
        <f t="shared" ca="1" si="192"/>
        <v>0</v>
      </c>
      <c r="AW68" s="62">
        <f t="shared" ca="1" si="193"/>
        <v>0</v>
      </c>
      <c r="AX68" s="62">
        <f t="shared" ca="1" si="194"/>
        <v>0</v>
      </c>
      <c r="AY68" s="62">
        <f t="shared" ca="1" si="195"/>
        <v>0</v>
      </c>
      <c r="AZ68" s="62">
        <f t="shared" ca="1" si="196"/>
        <v>0</v>
      </c>
      <c r="BA68" s="62">
        <f t="shared" ca="1" si="197"/>
        <v>0</v>
      </c>
      <c r="BB68" s="62">
        <f t="shared" ca="1" si="198"/>
        <v>0</v>
      </c>
      <c r="BC68" s="62">
        <f t="shared" ca="1" si="199"/>
        <v>0</v>
      </c>
      <c r="BD68" s="62">
        <f t="shared" ca="1" si="200"/>
        <v>0</v>
      </c>
      <c r="BE68" s="62">
        <f t="shared" ca="1" si="201"/>
        <v>0</v>
      </c>
      <c r="BF68" s="62">
        <f t="shared" ca="1" si="202"/>
        <v>0</v>
      </c>
      <c r="BG68" s="62">
        <f t="shared" ca="1" si="203"/>
        <v>0</v>
      </c>
      <c r="BH68" s="62">
        <f t="shared" ca="1" si="204"/>
        <v>0</v>
      </c>
      <c r="BI68" s="62">
        <f t="shared" ca="1" si="205"/>
        <v>0</v>
      </c>
      <c r="BJ68" s="62">
        <f t="shared" ca="1" si="206"/>
        <v>0</v>
      </c>
      <c r="BK68" s="62">
        <f t="shared" ca="1" si="207"/>
        <v>0</v>
      </c>
      <c r="BL68" s="62">
        <f t="shared" ca="1" si="208"/>
        <v>0</v>
      </c>
      <c r="BM68" s="62">
        <f t="shared" ca="1" si="209"/>
        <v>0</v>
      </c>
      <c r="BN68" s="62">
        <f t="shared" ca="1" si="210"/>
        <v>0</v>
      </c>
      <c r="BO68" s="62">
        <f t="shared" ca="1" si="211"/>
        <v>0</v>
      </c>
      <c r="BP68" s="62">
        <f t="shared" ca="1" si="212"/>
        <v>0</v>
      </c>
      <c r="BQ68" s="62">
        <f t="shared" ca="1" si="213"/>
        <v>0</v>
      </c>
      <c r="BR68" s="62">
        <f t="shared" ca="1" si="214"/>
        <v>0</v>
      </c>
      <c r="BS68" s="62"/>
      <c r="BT68" s="62"/>
      <c r="BU68" s="62"/>
      <c r="BV68" s="62">
        <f t="shared" ca="1" si="215"/>
        <v>0</v>
      </c>
      <c r="BW68" s="62">
        <f t="shared" ca="1" si="216"/>
        <v>0</v>
      </c>
      <c r="BX68" s="62">
        <f t="shared" ca="1" si="217"/>
        <v>0</v>
      </c>
      <c r="BY68" s="62">
        <f t="shared" ca="1" si="218"/>
        <v>0</v>
      </c>
      <c r="BZ68" s="62">
        <f t="shared" ca="1" si="219"/>
        <v>0</v>
      </c>
      <c r="CA68" s="62">
        <f t="shared" ca="1" si="220"/>
        <v>0</v>
      </c>
      <c r="CB68" s="62"/>
      <c r="CC68" s="62"/>
      <c r="CD68" s="62"/>
      <c r="CE68" s="62">
        <f t="shared" ca="1" si="221"/>
        <v>0</v>
      </c>
      <c r="CF68" s="62">
        <f t="shared" ca="1" si="222"/>
        <v>0</v>
      </c>
      <c r="CG68" s="62">
        <f t="shared" ca="1" si="223"/>
        <v>0</v>
      </c>
      <c r="CH68" s="62">
        <f t="shared" ca="1" si="224"/>
        <v>0</v>
      </c>
      <c r="CI68" s="62">
        <f t="shared" ca="1" si="225"/>
        <v>0</v>
      </c>
      <c r="CJ68" s="62">
        <f t="shared" ca="1" si="226"/>
        <v>0</v>
      </c>
      <c r="CK68" s="62">
        <f t="shared" ca="1" si="227"/>
        <v>0</v>
      </c>
      <c r="CL68" s="62">
        <f t="shared" ca="1" si="228"/>
        <v>0</v>
      </c>
      <c r="CM68" s="62">
        <f t="shared" ca="1" si="229"/>
        <v>0</v>
      </c>
      <c r="CN68" s="62">
        <f t="shared" ca="1" si="230"/>
        <v>0</v>
      </c>
      <c r="CO68" s="62">
        <f t="shared" ca="1" si="231"/>
        <v>0</v>
      </c>
      <c r="CP68" s="62">
        <f t="shared" ca="1" si="232"/>
        <v>0</v>
      </c>
      <c r="CQ68" s="62">
        <f t="shared" ca="1" si="233"/>
        <v>0</v>
      </c>
      <c r="CR68" s="62">
        <f t="shared" ca="1" si="234"/>
        <v>0</v>
      </c>
      <c r="CS68" s="62">
        <f t="shared" ca="1" si="235"/>
        <v>0</v>
      </c>
      <c r="CT68" s="62">
        <f t="shared" ca="1" si="236"/>
        <v>0</v>
      </c>
      <c r="CU68" s="62">
        <f t="shared" ca="1" si="237"/>
        <v>0</v>
      </c>
      <c r="CV68" s="62">
        <f t="shared" ca="1" si="238"/>
        <v>0</v>
      </c>
      <c r="CW68" s="62">
        <f t="shared" ca="1" si="239"/>
        <v>0</v>
      </c>
      <c r="CX68" s="62">
        <f t="shared" ca="1" si="240"/>
        <v>0</v>
      </c>
      <c r="CY68" s="62">
        <f t="shared" ca="1" si="241"/>
        <v>0</v>
      </c>
      <c r="CZ68" s="62">
        <f t="shared" ca="1" si="242"/>
        <v>0</v>
      </c>
      <c r="DA68" s="62">
        <f t="shared" ca="1" si="243"/>
        <v>0</v>
      </c>
      <c r="DB68" s="62">
        <f t="shared" ca="1" si="244"/>
        <v>0</v>
      </c>
      <c r="DC68" s="62">
        <f t="shared" ca="1" si="245"/>
        <v>0</v>
      </c>
      <c r="DD68" s="62">
        <f t="shared" ca="1" si="246"/>
        <v>0</v>
      </c>
      <c r="DE68" s="62">
        <f t="shared" ca="1" si="247"/>
        <v>0</v>
      </c>
      <c r="DF68" s="62">
        <f t="shared" ca="1" si="248"/>
        <v>0</v>
      </c>
      <c r="DG68" s="62">
        <f t="shared" ca="1" si="249"/>
        <v>0</v>
      </c>
      <c r="DH68" s="62">
        <f t="shared" ca="1" si="250"/>
        <v>0</v>
      </c>
    </row>
    <row r="69" spans="1:112">
      <c r="A69" s="14">
        <f t="shared" ref="A69:C69" si="255">A7</f>
        <v>5</v>
      </c>
      <c r="B69" s="14">
        <f t="shared" ca="1" si="255"/>
        <v>9.4994572118508245</v>
      </c>
      <c r="C69" s="14">
        <f t="shared" si="255"/>
        <v>3960.5</v>
      </c>
      <c r="E69" s="65" t="s">
        <v>52</v>
      </c>
      <c r="F69" s="67">
        <f>Summary!L7</f>
        <v>-9.6484901571266768E-2</v>
      </c>
      <c r="P69" s="63" t="b">
        <f t="shared" si="252"/>
        <v>1</v>
      </c>
      <c r="Q69" s="62">
        <f t="shared" ca="1" si="164"/>
        <v>74.684045753249734</v>
      </c>
      <c r="R69" s="62">
        <f t="shared" ca="1" si="165"/>
        <v>58.756413648846213</v>
      </c>
      <c r="S69" s="62">
        <f t="shared" ca="1" si="166"/>
        <v>27.744280856157154</v>
      </c>
      <c r="T69" s="62">
        <f t="shared" ca="1" si="167"/>
        <v>71.096559776189906</v>
      </c>
      <c r="U69" s="62">
        <f t="shared" ca="1" si="168"/>
        <v>54.885227232493271</v>
      </c>
      <c r="V69" s="62">
        <f t="shared" ca="1" si="169"/>
        <v>27.364761786286927</v>
      </c>
      <c r="W69" s="62">
        <f t="shared" ca="1" si="170"/>
        <v>73.663461472795447</v>
      </c>
      <c r="X69" s="62">
        <f t="shared" ca="1" si="171"/>
        <v>58.487330098573025</v>
      </c>
      <c r="Y69" s="62">
        <f t="shared" ca="1" si="172"/>
        <v>27.160995154331427</v>
      </c>
      <c r="Z69" s="62">
        <f t="shared" ca="1" si="173"/>
        <v>69.522022047032195</v>
      </c>
      <c r="AA69" s="62">
        <f t="shared" ca="1" si="174"/>
        <v>52.412539682168173</v>
      </c>
      <c r="AB69" s="62">
        <f t="shared" ca="1" si="175"/>
        <v>27.861668733900249</v>
      </c>
      <c r="AC69" s="62">
        <f t="shared" ca="1" si="176"/>
        <v>69.160620070172612</v>
      </c>
      <c r="AD69" s="62">
        <f t="shared" ca="1" si="177"/>
        <v>52.550940960717035</v>
      </c>
      <c r="AE69" s="62">
        <f t="shared" ca="1" si="178"/>
        <v>24.350687237063493</v>
      </c>
      <c r="AF69" s="62"/>
      <c r="AG69" s="62"/>
      <c r="AH69" s="62"/>
      <c r="AI69" s="62">
        <f t="shared" ca="1" si="179"/>
        <v>0</v>
      </c>
      <c r="AJ69" s="62">
        <f t="shared" ca="1" si="180"/>
        <v>0</v>
      </c>
      <c r="AK69" s="62">
        <f t="shared" ca="1" si="181"/>
        <v>0</v>
      </c>
      <c r="AL69" s="62">
        <f t="shared" ca="1" si="182"/>
        <v>0</v>
      </c>
      <c r="AM69" s="62">
        <f t="shared" ca="1" si="183"/>
        <v>0</v>
      </c>
      <c r="AN69" s="62">
        <f t="shared" ca="1" si="184"/>
        <v>0</v>
      </c>
      <c r="AO69" s="62">
        <f t="shared" ca="1" si="185"/>
        <v>0</v>
      </c>
      <c r="AP69" s="62">
        <f t="shared" ca="1" si="186"/>
        <v>0</v>
      </c>
      <c r="AQ69" s="62">
        <f t="shared" ca="1" si="187"/>
        <v>0</v>
      </c>
      <c r="AR69" s="62">
        <f t="shared" ca="1" si="188"/>
        <v>0</v>
      </c>
      <c r="AS69" s="62">
        <f t="shared" ca="1" si="189"/>
        <v>0</v>
      </c>
      <c r="AT69" s="62">
        <f t="shared" ca="1" si="190"/>
        <v>0</v>
      </c>
      <c r="AU69" s="62">
        <f t="shared" ca="1" si="191"/>
        <v>0</v>
      </c>
      <c r="AV69" s="62">
        <f t="shared" ca="1" si="192"/>
        <v>0</v>
      </c>
      <c r="AW69" s="62">
        <f t="shared" ca="1" si="193"/>
        <v>0</v>
      </c>
      <c r="AX69" s="62">
        <f t="shared" ca="1" si="194"/>
        <v>0</v>
      </c>
      <c r="AY69" s="62">
        <f t="shared" ca="1" si="195"/>
        <v>0</v>
      </c>
      <c r="AZ69" s="62">
        <f t="shared" ca="1" si="196"/>
        <v>0</v>
      </c>
      <c r="BA69" s="62">
        <f t="shared" ca="1" si="197"/>
        <v>0</v>
      </c>
      <c r="BB69" s="62">
        <f t="shared" ca="1" si="198"/>
        <v>0</v>
      </c>
      <c r="BC69" s="62">
        <f t="shared" ca="1" si="199"/>
        <v>0</v>
      </c>
      <c r="BD69" s="62">
        <f t="shared" ca="1" si="200"/>
        <v>0</v>
      </c>
      <c r="BE69" s="62">
        <f t="shared" ca="1" si="201"/>
        <v>0</v>
      </c>
      <c r="BF69" s="62">
        <f t="shared" ca="1" si="202"/>
        <v>0</v>
      </c>
      <c r="BG69" s="62">
        <f t="shared" ca="1" si="203"/>
        <v>0</v>
      </c>
      <c r="BH69" s="62">
        <f t="shared" ca="1" si="204"/>
        <v>0</v>
      </c>
      <c r="BI69" s="62">
        <f t="shared" ca="1" si="205"/>
        <v>0</v>
      </c>
      <c r="BJ69" s="62">
        <f t="shared" ca="1" si="206"/>
        <v>0</v>
      </c>
      <c r="BK69" s="62">
        <f t="shared" ca="1" si="207"/>
        <v>0</v>
      </c>
      <c r="BL69" s="62">
        <f t="shared" ca="1" si="208"/>
        <v>0</v>
      </c>
      <c r="BM69" s="62">
        <f t="shared" ca="1" si="209"/>
        <v>0</v>
      </c>
      <c r="BN69" s="62">
        <f t="shared" ca="1" si="210"/>
        <v>0</v>
      </c>
      <c r="BO69" s="62">
        <f t="shared" ca="1" si="211"/>
        <v>0</v>
      </c>
      <c r="BP69" s="62">
        <f t="shared" ca="1" si="212"/>
        <v>0</v>
      </c>
      <c r="BQ69" s="62">
        <f t="shared" ca="1" si="213"/>
        <v>0</v>
      </c>
      <c r="BR69" s="62">
        <f t="shared" ca="1" si="214"/>
        <v>0</v>
      </c>
      <c r="BS69" s="62"/>
      <c r="BT69" s="62"/>
      <c r="BU69" s="62"/>
      <c r="BV69" s="62">
        <f t="shared" ca="1" si="215"/>
        <v>0</v>
      </c>
      <c r="BW69" s="62">
        <f t="shared" ca="1" si="216"/>
        <v>0</v>
      </c>
      <c r="BX69" s="62">
        <f t="shared" ca="1" si="217"/>
        <v>0</v>
      </c>
      <c r="BY69" s="62">
        <f t="shared" ca="1" si="218"/>
        <v>0</v>
      </c>
      <c r="BZ69" s="62">
        <f t="shared" ca="1" si="219"/>
        <v>0</v>
      </c>
      <c r="CA69" s="62">
        <f t="shared" ca="1" si="220"/>
        <v>0</v>
      </c>
      <c r="CB69" s="62"/>
      <c r="CC69" s="62"/>
      <c r="CD69" s="62"/>
      <c r="CE69" s="62">
        <f t="shared" ca="1" si="221"/>
        <v>0</v>
      </c>
      <c r="CF69" s="62">
        <f t="shared" ca="1" si="222"/>
        <v>0</v>
      </c>
      <c r="CG69" s="62">
        <f t="shared" ca="1" si="223"/>
        <v>0</v>
      </c>
      <c r="CH69" s="62">
        <f t="shared" ca="1" si="224"/>
        <v>0</v>
      </c>
      <c r="CI69" s="62">
        <f t="shared" ca="1" si="225"/>
        <v>0</v>
      </c>
      <c r="CJ69" s="62">
        <f t="shared" ca="1" si="226"/>
        <v>0</v>
      </c>
      <c r="CK69" s="62">
        <f t="shared" ca="1" si="227"/>
        <v>0</v>
      </c>
      <c r="CL69" s="62">
        <f t="shared" ca="1" si="228"/>
        <v>0</v>
      </c>
      <c r="CM69" s="62">
        <f t="shared" ca="1" si="229"/>
        <v>0</v>
      </c>
      <c r="CN69" s="62">
        <f t="shared" ca="1" si="230"/>
        <v>0</v>
      </c>
      <c r="CO69" s="62">
        <f t="shared" ca="1" si="231"/>
        <v>0</v>
      </c>
      <c r="CP69" s="62">
        <f t="shared" ca="1" si="232"/>
        <v>0</v>
      </c>
      <c r="CQ69" s="62">
        <f t="shared" ca="1" si="233"/>
        <v>0</v>
      </c>
      <c r="CR69" s="62">
        <f t="shared" ca="1" si="234"/>
        <v>0</v>
      </c>
      <c r="CS69" s="62">
        <f t="shared" ca="1" si="235"/>
        <v>0</v>
      </c>
      <c r="CT69" s="62">
        <f t="shared" ca="1" si="236"/>
        <v>0</v>
      </c>
      <c r="CU69" s="62">
        <f t="shared" ca="1" si="237"/>
        <v>0</v>
      </c>
      <c r="CV69" s="62">
        <f t="shared" ca="1" si="238"/>
        <v>0</v>
      </c>
      <c r="CW69" s="62">
        <f t="shared" ca="1" si="239"/>
        <v>0</v>
      </c>
      <c r="CX69" s="62">
        <f t="shared" ca="1" si="240"/>
        <v>0</v>
      </c>
      <c r="CY69" s="62">
        <f t="shared" ca="1" si="241"/>
        <v>0</v>
      </c>
      <c r="CZ69" s="62">
        <f t="shared" ca="1" si="242"/>
        <v>0</v>
      </c>
      <c r="DA69" s="62">
        <f t="shared" ca="1" si="243"/>
        <v>0</v>
      </c>
      <c r="DB69" s="62">
        <f t="shared" ca="1" si="244"/>
        <v>0</v>
      </c>
      <c r="DC69" s="62">
        <f t="shared" ca="1" si="245"/>
        <v>0</v>
      </c>
      <c r="DD69" s="62">
        <f t="shared" ca="1" si="246"/>
        <v>0</v>
      </c>
      <c r="DE69" s="62">
        <f t="shared" ca="1" si="247"/>
        <v>0</v>
      </c>
      <c r="DF69" s="62">
        <f t="shared" ca="1" si="248"/>
        <v>0</v>
      </c>
      <c r="DG69" s="62">
        <f t="shared" ca="1" si="249"/>
        <v>0</v>
      </c>
      <c r="DH69" s="62">
        <f t="shared" ca="1" si="250"/>
        <v>0</v>
      </c>
    </row>
    <row r="70" spans="1:112">
      <c r="A70" s="14">
        <f t="shared" ref="A70:C70" si="256">A8</f>
        <v>6</v>
      </c>
      <c r="B70" s="14">
        <f t="shared" ca="1" si="256"/>
        <v>7.108076789685887</v>
      </c>
      <c r="C70" s="14">
        <f t="shared" si="256"/>
        <v>3971.2</v>
      </c>
      <c r="E70" s="65" t="s">
        <v>53</v>
      </c>
      <c r="F70" s="67">
        <f>Summary!L8</f>
        <v>0.14120126894658366</v>
      </c>
      <c r="P70" s="63" t="b">
        <f t="shared" si="252"/>
        <v>1</v>
      </c>
      <c r="Q70" s="62">
        <f t="shared" ca="1" si="164"/>
        <v>55.922685136314982</v>
      </c>
      <c r="R70" s="62">
        <f t="shared" ca="1" si="165"/>
        <v>44.191634565760339</v>
      </c>
      <c r="S70" s="62">
        <f t="shared" ca="1" si="166"/>
        <v>19.699315594039245</v>
      </c>
      <c r="T70" s="62">
        <f t="shared" ca="1" si="167"/>
        <v>53.302351988399316</v>
      </c>
      <c r="U70" s="62">
        <f t="shared" ca="1" si="168"/>
        <v>41.001698313049722</v>
      </c>
      <c r="V70" s="62">
        <f t="shared" ca="1" si="169"/>
        <v>20.126807243169274</v>
      </c>
      <c r="W70" s="62">
        <f t="shared" ca="1" si="170"/>
        <v>55.094944632275265</v>
      </c>
      <c r="X70" s="62">
        <f t="shared" ca="1" si="171"/>
        <v>43.662122825563479</v>
      </c>
      <c r="Y70" s="62">
        <f t="shared" ca="1" si="172"/>
        <v>19.871275713152183</v>
      </c>
      <c r="Z70" s="62">
        <f t="shared" ca="1" si="173"/>
        <v>52.230039440219564</v>
      </c>
      <c r="AA70" s="62">
        <f t="shared" ca="1" si="174"/>
        <v>39.298221448923087</v>
      </c>
      <c r="AB70" s="62">
        <f t="shared" ca="1" si="175"/>
        <v>20.429594292129892</v>
      </c>
      <c r="AC70" s="62">
        <f t="shared" ca="1" si="176"/>
        <v>51.976359600463383</v>
      </c>
      <c r="AD70" s="62">
        <f t="shared" ca="1" si="177"/>
        <v>40.1499205612648</v>
      </c>
      <c r="AE70" s="62">
        <f t="shared" ca="1" si="178"/>
        <v>17.525617774076643</v>
      </c>
      <c r="AF70" s="62"/>
      <c r="AG70" s="62"/>
      <c r="AH70" s="62"/>
      <c r="AI70" s="62">
        <f t="shared" ca="1" si="179"/>
        <v>0</v>
      </c>
      <c r="AJ70" s="62">
        <f t="shared" ca="1" si="180"/>
        <v>0</v>
      </c>
      <c r="AK70" s="62">
        <f t="shared" ca="1" si="181"/>
        <v>0</v>
      </c>
      <c r="AL70" s="62">
        <f t="shared" ca="1" si="182"/>
        <v>0</v>
      </c>
      <c r="AM70" s="62">
        <f t="shared" ca="1" si="183"/>
        <v>0</v>
      </c>
      <c r="AN70" s="62">
        <f t="shared" ca="1" si="184"/>
        <v>0</v>
      </c>
      <c r="AO70" s="62">
        <f t="shared" ca="1" si="185"/>
        <v>0</v>
      </c>
      <c r="AP70" s="62">
        <f t="shared" ca="1" si="186"/>
        <v>0</v>
      </c>
      <c r="AQ70" s="62">
        <f t="shared" ca="1" si="187"/>
        <v>0</v>
      </c>
      <c r="AR70" s="62">
        <f t="shared" ca="1" si="188"/>
        <v>0</v>
      </c>
      <c r="AS70" s="62">
        <f t="shared" ca="1" si="189"/>
        <v>0</v>
      </c>
      <c r="AT70" s="62">
        <f t="shared" ca="1" si="190"/>
        <v>0</v>
      </c>
      <c r="AU70" s="62">
        <f t="shared" ca="1" si="191"/>
        <v>0</v>
      </c>
      <c r="AV70" s="62">
        <f t="shared" ca="1" si="192"/>
        <v>0</v>
      </c>
      <c r="AW70" s="62">
        <f t="shared" ca="1" si="193"/>
        <v>0</v>
      </c>
      <c r="AX70" s="62">
        <f t="shared" ca="1" si="194"/>
        <v>0</v>
      </c>
      <c r="AY70" s="62">
        <f t="shared" ca="1" si="195"/>
        <v>0</v>
      </c>
      <c r="AZ70" s="62">
        <f t="shared" ca="1" si="196"/>
        <v>0</v>
      </c>
      <c r="BA70" s="62">
        <f t="shared" ca="1" si="197"/>
        <v>0</v>
      </c>
      <c r="BB70" s="62">
        <f t="shared" ca="1" si="198"/>
        <v>0</v>
      </c>
      <c r="BC70" s="62">
        <f t="shared" ca="1" si="199"/>
        <v>0</v>
      </c>
      <c r="BD70" s="62">
        <f t="shared" ca="1" si="200"/>
        <v>0</v>
      </c>
      <c r="BE70" s="62">
        <f t="shared" ca="1" si="201"/>
        <v>0</v>
      </c>
      <c r="BF70" s="62">
        <f t="shared" ca="1" si="202"/>
        <v>0</v>
      </c>
      <c r="BG70" s="62">
        <f t="shared" ca="1" si="203"/>
        <v>0</v>
      </c>
      <c r="BH70" s="62">
        <f t="shared" ca="1" si="204"/>
        <v>0</v>
      </c>
      <c r="BI70" s="62">
        <f t="shared" ca="1" si="205"/>
        <v>0</v>
      </c>
      <c r="BJ70" s="62">
        <f t="shared" ca="1" si="206"/>
        <v>0</v>
      </c>
      <c r="BK70" s="62">
        <f t="shared" ca="1" si="207"/>
        <v>0</v>
      </c>
      <c r="BL70" s="62">
        <f t="shared" ca="1" si="208"/>
        <v>0</v>
      </c>
      <c r="BM70" s="62">
        <f t="shared" ca="1" si="209"/>
        <v>0</v>
      </c>
      <c r="BN70" s="62">
        <f t="shared" ca="1" si="210"/>
        <v>0</v>
      </c>
      <c r="BO70" s="62">
        <f t="shared" ca="1" si="211"/>
        <v>0</v>
      </c>
      <c r="BP70" s="62">
        <f t="shared" ca="1" si="212"/>
        <v>0</v>
      </c>
      <c r="BQ70" s="62">
        <f t="shared" ca="1" si="213"/>
        <v>0</v>
      </c>
      <c r="BR70" s="62">
        <f t="shared" ca="1" si="214"/>
        <v>0</v>
      </c>
      <c r="BS70" s="62"/>
      <c r="BT70" s="62"/>
      <c r="BU70" s="62"/>
      <c r="BV70" s="62">
        <f t="shared" ca="1" si="215"/>
        <v>0</v>
      </c>
      <c r="BW70" s="62">
        <f t="shared" ca="1" si="216"/>
        <v>0</v>
      </c>
      <c r="BX70" s="62">
        <f t="shared" ca="1" si="217"/>
        <v>0</v>
      </c>
      <c r="BY70" s="62">
        <f t="shared" ca="1" si="218"/>
        <v>0</v>
      </c>
      <c r="BZ70" s="62">
        <f t="shared" ca="1" si="219"/>
        <v>0</v>
      </c>
      <c r="CA70" s="62">
        <f t="shared" ca="1" si="220"/>
        <v>0</v>
      </c>
      <c r="CB70" s="62"/>
      <c r="CC70" s="62"/>
      <c r="CD70" s="62"/>
      <c r="CE70" s="62">
        <f t="shared" ca="1" si="221"/>
        <v>0</v>
      </c>
      <c r="CF70" s="62">
        <f t="shared" ca="1" si="222"/>
        <v>0</v>
      </c>
      <c r="CG70" s="62">
        <f t="shared" ca="1" si="223"/>
        <v>0</v>
      </c>
      <c r="CH70" s="62">
        <f t="shared" ca="1" si="224"/>
        <v>0</v>
      </c>
      <c r="CI70" s="62">
        <f t="shared" ca="1" si="225"/>
        <v>0</v>
      </c>
      <c r="CJ70" s="62">
        <f t="shared" ca="1" si="226"/>
        <v>0</v>
      </c>
      <c r="CK70" s="62">
        <f t="shared" ca="1" si="227"/>
        <v>0</v>
      </c>
      <c r="CL70" s="62">
        <f t="shared" ca="1" si="228"/>
        <v>0</v>
      </c>
      <c r="CM70" s="62">
        <f t="shared" ca="1" si="229"/>
        <v>0</v>
      </c>
      <c r="CN70" s="62">
        <f t="shared" ca="1" si="230"/>
        <v>0</v>
      </c>
      <c r="CO70" s="62">
        <f t="shared" ca="1" si="231"/>
        <v>0</v>
      </c>
      <c r="CP70" s="62">
        <f t="shared" ca="1" si="232"/>
        <v>0</v>
      </c>
      <c r="CQ70" s="62">
        <f t="shared" ca="1" si="233"/>
        <v>0</v>
      </c>
      <c r="CR70" s="62">
        <f t="shared" ca="1" si="234"/>
        <v>0</v>
      </c>
      <c r="CS70" s="62">
        <f t="shared" ca="1" si="235"/>
        <v>0</v>
      </c>
      <c r="CT70" s="62">
        <f t="shared" ca="1" si="236"/>
        <v>0</v>
      </c>
      <c r="CU70" s="62">
        <f t="shared" ca="1" si="237"/>
        <v>0</v>
      </c>
      <c r="CV70" s="62">
        <f t="shared" ca="1" si="238"/>
        <v>0</v>
      </c>
      <c r="CW70" s="62">
        <f t="shared" ca="1" si="239"/>
        <v>0</v>
      </c>
      <c r="CX70" s="62">
        <f t="shared" ca="1" si="240"/>
        <v>0</v>
      </c>
      <c r="CY70" s="62">
        <f t="shared" ca="1" si="241"/>
        <v>0</v>
      </c>
      <c r="CZ70" s="62">
        <f t="shared" ca="1" si="242"/>
        <v>0</v>
      </c>
      <c r="DA70" s="62">
        <f t="shared" ca="1" si="243"/>
        <v>0</v>
      </c>
      <c r="DB70" s="62">
        <f t="shared" ca="1" si="244"/>
        <v>0</v>
      </c>
      <c r="DC70" s="62">
        <f t="shared" ca="1" si="245"/>
        <v>0</v>
      </c>
      <c r="DD70" s="62">
        <f t="shared" ca="1" si="246"/>
        <v>0</v>
      </c>
      <c r="DE70" s="62">
        <f t="shared" ca="1" si="247"/>
        <v>0</v>
      </c>
      <c r="DF70" s="62">
        <f t="shared" ca="1" si="248"/>
        <v>0</v>
      </c>
      <c r="DG70" s="62">
        <f t="shared" ca="1" si="249"/>
        <v>0</v>
      </c>
      <c r="DH70" s="62">
        <f t="shared" ca="1" si="250"/>
        <v>0</v>
      </c>
    </row>
    <row r="71" spans="1:112">
      <c r="A71" s="14">
        <f t="shared" ref="A71:C71" si="257">A9</f>
        <v>7</v>
      </c>
      <c r="B71" s="14">
        <f t="shared" ca="1" si="257"/>
        <v>5.8108316409221263</v>
      </c>
      <c r="C71" s="14">
        <f t="shared" si="257"/>
        <v>3979.2</v>
      </c>
      <c r="E71" s="65" t="s">
        <v>54</v>
      </c>
      <c r="F71" s="67">
        <f>Summary!L9</f>
        <v>-0.4592691191004179</v>
      </c>
      <c r="P71" s="63" t="b">
        <f t="shared" si="252"/>
        <v>1</v>
      </c>
      <c r="Q71" s="62">
        <f t="shared" ca="1" si="164"/>
        <v>55.084107943808164</v>
      </c>
      <c r="R71" s="62">
        <f t="shared" ca="1" si="165"/>
        <v>38.988097104405597</v>
      </c>
      <c r="S71" s="62">
        <f t="shared" ca="1" si="166"/>
        <v>13.052070956901117</v>
      </c>
      <c r="T71" s="62">
        <f t="shared" ca="1" si="167"/>
        <v>43.862498516290046</v>
      </c>
      <c r="U71" s="62">
        <f t="shared" ca="1" si="168"/>
        <v>33.505772828762886</v>
      </c>
      <c r="V71" s="62">
        <f t="shared" ca="1" si="169"/>
        <v>16.752279300353429</v>
      </c>
      <c r="W71" s="62">
        <f t="shared" ca="1" si="170"/>
        <v>45.258259743201506</v>
      </c>
      <c r="X71" s="62">
        <f t="shared" ca="1" si="171"/>
        <v>35.866054393635181</v>
      </c>
      <c r="Y71" s="62">
        <f t="shared" ca="1" si="172"/>
        <v>15.843781563128502</v>
      </c>
      <c r="Z71" s="62">
        <f t="shared" ca="1" si="173"/>
        <v>43.003893794436017</v>
      </c>
      <c r="AA71" s="62">
        <f t="shared" ca="1" si="174"/>
        <v>31.994576008634343</v>
      </c>
      <c r="AB71" s="62">
        <f t="shared" ca="1" si="175"/>
        <v>16.783576822165124</v>
      </c>
      <c r="AC71" s="62">
        <f t="shared" ca="1" si="176"/>
        <v>51.11175782226006</v>
      </c>
      <c r="AD71" s="62">
        <f t="shared" ca="1" si="177"/>
        <v>34.203430283706602</v>
      </c>
      <c r="AE71" s="62">
        <f t="shared" ca="1" si="178"/>
        <v>11.804892649803749</v>
      </c>
      <c r="AF71" s="62"/>
      <c r="AG71" s="62"/>
      <c r="AH71" s="62"/>
      <c r="AI71" s="62">
        <f t="shared" ca="1" si="179"/>
        <v>0</v>
      </c>
      <c r="AJ71" s="62">
        <f t="shared" ca="1" si="180"/>
        <v>0</v>
      </c>
      <c r="AK71" s="62">
        <f t="shared" ca="1" si="181"/>
        <v>0</v>
      </c>
      <c r="AL71" s="62">
        <f t="shared" ca="1" si="182"/>
        <v>0</v>
      </c>
      <c r="AM71" s="62">
        <f t="shared" ca="1" si="183"/>
        <v>0</v>
      </c>
      <c r="AN71" s="62">
        <f t="shared" ca="1" si="184"/>
        <v>0</v>
      </c>
      <c r="AO71" s="62">
        <f t="shared" ca="1" si="185"/>
        <v>0</v>
      </c>
      <c r="AP71" s="62">
        <f t="shared" ca="1" si="186"/>
        <v>0</v>
      </c>
      <c r="AQ71" s="62">
        <f t="shared" ca="1" si="187"/>
        <v>0</v>
      </c>
      <c r="AR71" s="62">
        <f t="shared" ca="1" si="188"/>
        <v>0</v>
      </c>
      <c r="AS71" s="62">
        <f t="shared" ca="1" si="189"/>
        <v>0</v>
      </c>
      <c r="AT71" s="62">
        <f t="shared" ca="1" si="190"/>
        <v>0</v>
      </c>
      <c r="AU71" s="62">
        <f t="shared" ca="1" si="191"/>
        <v>0</v>
      </c>
      <c r="AV71" s="62">
        <f t="shared" ca="1" si="192"/>
        <v>0</v>
      </c>
      <c r="AW71" s="62">
        <f t="shared" ca="1" si="193"/>
        <v>0</v>
      </c>
      <c r="AX71" s="62">
        <f t="shared" ca="1" si="194"/>
        <v>0</v>
      </c>
      <c r="AY71" s="62">
        <f t="shared" ca="1" si="195"/>
        <v>0</v>
      </c>
      <c r="AZ71" s="62">
        <f t="shared" ca="1" si="196"/>
        <v>0</v>
      </c>
      <c r="BA71" s="62">
        <f t="shared" ca="1" si="197"/>
        <v>0</v>
      </c>
      <c r="BB71" s="62">
        <f t="shared" ca="1" si="198"/>
        <v>0</v>
      </c>
      <c r="BC71" s="62">
        <f t="shared" ca="1" si="199"/>
        <v>0</v>
      </c>
      <c r="BD71" s="62">
        <f t="shared" ca="1" si="200"/>
        <v>0</v>
      </c>
      <c r="BE71" s="62">
        <f t="shared" ca="1" si="201"/>
        <v>0</v>
      </c>
      <c r="BF71" s="62">
        <f t="shared" ca="1" si="202"/>
        <v>0</v>
      </c>
      <c r="BG71" s="62">
        <f t="shared" ca="1" si="203"/>
        <v>0</v>
      </c>
      <c r="BH71" s="62">
        <f t="shared" ca="1" si="204"/>
        <v>0</v>
      </c>
      <c r="BI71" s="62">
        <f t="shared" ca="1" si="205"/>
        <v>0</v>
      </c>
      <c r="BJ71" s="62">
        <f t="shared" ca="1" si="206"/>
        <v>0</v>
      </c>
      <c r="BK71" s="62">
        <f t="shared" ca="1" si="207"/>
        <v>0</v>
      </c>
      <c r="BL71" s="62">
        <f t="shared" ca="1" si="208"/>
        <v>0</v>
      </c>
      <c r="BM71" s="62">
        <f t="shared" ca="1" si="209"/>
        <v>0</v>
      </c>
      <c r="BN71" s="62">
        <f t="shared" ca="1" si="210"/>
        <v>0</v>
      </c>
      <c r="BO71" s="62">
        <f t="shared" ca="1" si="211"/>
        <v>0</v>
      </c>
      <c r="BP71" s="62">
        <f t="shared" ca="1" si="212"/>
        <v>0</v>
      </c>
      <c r="BQ71" s="62">
        <f t="shared" ca="1" si="213"/>
        <v>0</v>
      </c>
      <c r="BR71" s="62">
        <f t="shared" ca="1" si="214"/>
        <v>0</v>
      </c>
      <c r="BS71" s="62"/>
      <c r="BT71" s="62"/>
      <c r="BU71" s="62"/>
      <c r="BV71" s="62">
        <f t="shared" ca="1" si="215"/>
        <v>0</v>
      </c>
      <c r="BW71" s="62">
        <f t="shared" ca="1" si="216"/>
        <v>0</v>
      </c>
      <c r="BX71" s="62">
        <f t="shared" ca="1" si="217"/>
        <v>0</v>
      </c>
      <c r="BY71" s="62">
        <f t="shared" ca="1" si="218"/>
        <v>0</v>
      </c>
      <c r="BZ71" s="62">
        <f t="shared" ca="1" si="219"/>
        <v>0</v>
      </c>
      <c r="CA71" s="62">
        <f t="shared" ca="1" si="220"/>
        <v>0</v>
      </c>
      <c r="CB71" s="62"/>
      <c r="CC71" s="62"/>
      <c r="CD71" s="62"/>
      <c r="CE71" s="62">
        <f t="shared" ca="1" si="221"/>
        <v>0</v>
      </c>
      <c r="CF71" s="62">
        <f t="shared" ca="1" si="222"/>
        <v>0</v>
      </c>
      <c r="CG71" s="62">
        <f t="shared" ca="1" si="223"/>
        <v>0</v>
      </c>
      <c r="CH71" s="62">
        <f t="shared" ca="1" si="224"/>
        <v>0</v>
      </c>
      <c r="CI71" s="62">
        <f t="shared" ca="1" si="225"/>
        <v>0</v>
      </c>
      <c r="CJ71" s="62">
        <f t="shared" ca="1" si="226"/>
        <v>0</v>
      </c>
      <c r="CK71" s="62">
        <f t="shared" ca="1" si="227"/>
        <v>0</v>
      </c>
      <c r="CL71" s="62">
        <f t="shared" ca="1" si="228"/>
        <v>0</v>
      </c>
      <c r="CM71" s="62">
        <f t="shared" ca="1" si="229"/>
        <v>0</v>
      </c>
      <c r="CN71" s="62">
        <f t="shared" ca="1" si="230"/>
        <v>0</v>
      </c>
      <c r="CO71" s="62">
        <f t="shared" ca="1" si="231"/>
        <v>0</v>
      </c>
      <c r="CP71" s="62">
        <f t="shared" ca="1" si="232"/>
        <v>0</v>
      </c>
      <c r="CQ71" s="62">
        <f t="shared" ca="1" si="233"/>
        <v>0</v>
      </c>
      <c r="CR71" s="62">
        <f t="shared" ca="1" si="234"/>
        <v>0</v>
      </c>
      <c r="CS71" s="62">
        <f t="shared" ca="1" si="235"/>
        <v>0</v>
      </c>
      <c r="CT71" s="62">
        <f t="shared" ca="1" si="236"/>
        <v>0</v>
      </c>
      <c r="CU71" s="62">
        <f t="shared" ca="1" si="237"/>
        <v>0</v>
      </c>
      <c r="CV71" s="62">
        <f t="shared" ca="1" si="238"/>
        <v>0</v>
      </c>
      <c r="CW71" s="62">
        <f t="shared" ca="1" si="239"/>
        <v>0</v>
      </c>
      <c r="CX71" s="62">
        <f t="shared" ca="1" si="240"/>
        <v>0</v>
      </c>
      <c r="CY71" s="62">
        <f t="shared" ca="1" si="241"/>
        <v>0</v>
      </c>
      <c r="CZ71" s="62">
        <f t="shared" ca="1" si="242"/>
        <v>0</v>
      </c>
      <c r="DA71" s="62">
        <f t="shared" ca="1" si="243"/>
        <v>0</v>
      </c>
      <c r="DB71" s="62">
        <f t="shared" ca="1" si="244"/>
        <v>0</v>
      </c>
      <c r="DC71" s="62">
        <f t="shared" ca="1" si="245"/>
        <v>0</v>
      </c>
      <c r="DD71" s="62">
        <f t="shared" ca="1" si="246"/>
        <v>0</v>
      </c>
      <c r="DE71" s="62">
        <f t="shared" ca="1" si="247"/>
        <v>0</v>
      </c>
      <c r="DF71" s="62">
        <f t="shared" ca="1" si="248"/>
        <v>0</v>
      </c>
      <c r="DG71" s="62">
        <f t="shared" ca="1" si="249"/>
        <v>0</v>
      </c>
      <c r="DH71" s="62">
        <f t="shared" ca="1" si="250"/>
        <v>0</v>
      </c>
    </row>
    <row r="72" spans="1:112">
      <c r="A72" s="14">
        <f t="shared" ref="A72:C72" si="258">A10</f>
        <v>8</v>
      </c>
      <c r="B72" s="14">
        <f t="shared" ca="1" si="258"/>
        <v>4.7264524101014667</v>
      </c>
      <c r="C72" s="14">
        <f t="shared" si="258"/>
        <v>4001.7</v>
      </c>
      <c r="E72" s="65" t="s">
        <v>55</v>
      </c>
      <c r="F72" s="67">
        <f>Summary!L10</f>
        <v>-0.10345612486126957</v>
      </c>
      <c r="P72" s="63" t="b">
        <f t="shared" si="252"/>
        <v>1</v>
      </c>
      <c r="Q72" s="62">
        <f t="shared" ca="1" si="164"/>
        <v>43.694431070650275</v>
      </c>
      <c r="R72" s="62">
        <f t="shared" ca="1" si="165"/>
        <v>31.269565196885821</v>
      </c>
      <c r="S72" s="62">
        <f t="shared" ca="1" si="166"/>
        <v>9.3032832406939399</v>
      </c>
      <c r="T72" s="62">
        <f t="shared" ca="1" si="167"/>
        <v>42.137722663039753</v>
      </c>
      <c r="U72" s="62">
        <f t="shared" ca="1" si="168"/>
        <v>28.958753350599157</v>
      </c>
      <c r="V72" s="62">
        <f t="shared" ca="1" si="169"/>
        <v>9.977335758550252</v>
      </c>
      <c r="W72" s="62">
        <f t="shared" ca="1" si="170"/>
        <v>35.926982172644202</v>
      </c>
      <c r="X72" s="62">
        <f t="shared" ca="1" si="171"/>
        <v>28.870047176275346</v>
      </c>
      <c r="Y72" s="62">
        <f t="shared" ca="1" si="172"/>
        <v>11.624730743955526</v>
      </c>
      <c r="Z72" s="62">
        <f t="shared" ca="1" si="173"/>
        <v>34.119665308244961</v>
      </c>
      <c r="AA72" s="62">
        <f t="shared" ca="1" si="174"/>
        <v>25.971583261005406</v>
      </c>
      <c r="AB72" s="62">
        <f t="shared" ca="1" si="175"/>
        <v>12.12408074373278</v>
      </c>
      <c r="AC72" s="62">
        <f t="shared" ca="1" si="176"/>
        <v>33.722324596785271</v>
      </c>
      <c r="AD72" s="62">
        <f t="shared" ca="1" si="177"/>
        <v>26.1500581636197</v>
      </c>
      <c r="AE72" s="62">
        <f t="shared" ca="1" si="178"/>
        <v>10.224814041538043</v>
      </c>
      <c r="AF72" s="62"/>
      <c r="AG72" s="62"/>
      <c r="AH72" s="62"/>
      <c r="AI72" s="62">
        <f t="shared" ca="1" si="179"/>
        <v>0</v>
      </c>
      <c r="AJ72" s="62">
        <f t="shared" ca="1" si="180"/>
        <v>0</v>
      </c>
      <c r="AK72" s="62">
        <f t="shared" ca="1" si="181"/>
        <v>0</v>
      </c>
      <c r="AL72" s="62">
        <f t="shared" ca="1" si="182"/>
        <v>0</v>
      </c>
      <c r="AM72" s="62">
        <f t="shared" ca="1" si="183"/>
        <v>0</v>
      </c>
      <c r="AN72" s="62">
        <f t="shared" ca="1" si="184"/>
        <v>0</v>
      </c>
      <c r="AO72" s="62">
        <f t="shared" ca="1" si="185"/>
        <v>0</v>
      </c>
      <c r="AP72" s="62">
        <f t="shared" ca="1" si="186"/>
        <v>0</v>
      </c>
      <c r="AQ72" s="62">
        <f t="shared" ca="1" si="187"/>
        <v>0</v>
      </c>
      <c r="AR72" s="62">
        <f t="shared" ca="1" si="188"/>
        <v>0</v>
      </c>
      <c r="AS72" s="62">
        <f t="shared" ca="1" si="189"/>
        <v>0</v>
      </c>
      <c r="AT72" s="62">
        <f t="shared" ca="1" si="190"/>
        <v>0</v>
      </c>
      <c r="AU72" s="62">
        <f t="shared" ca="1" si="191"/>
        <v>0</v>
      </c>
      <c r="AV72" s="62">
        <f t="shared" ca="1" si="192"/>
        <v>0</v>
      </c>
      <c r="AW72" s="62">
        <f t="shared" ca="1" si="193"/>
        <v>0</v>
      </c>
      <c r="AX72" s="62">
        <f t="shared" ca="1" si="194"/>
        <v>0</v>
      </c>
      <c r="AY72" s="62">
        <f t="shared" ca="1" si="195"/>
        <v>0</v>
      </c>
      <c r="AZ72" s="62">
        <f t="shared" ca="1" si="196"/>
        <v>0</v>
      </c>
      <c r="BA72" s="62">
        <f t="shared" ca="1" si="197"/>
        <v>0</v>
      </c>
      <c r="BB72" s="62">
        <f t="shared" ca="1" si="198"/>
        <v>0</v>
      </c>
      <c r="BC72" s="62">
        <f t="shared" ca="1" si="199"/>
        <v>0</v>
      </c>
      <c r="BD72" s="62">
        <f t="shared" ca="1" si="200"/>
        <v>0</v>
      </c>
      <c r="BE72" s="62">
        <f t="shared" ca="1" si="201"/>
        <v>0</v>
      </c>
      <c r="BF72" s="62">
        <f t="shared" ca="1" si="202"/>
        <v>0</v>
      </c>
      <c r="BG72" s="62">
        <f t="shared" ca="1" si="203"/>
        <v>0</v>
      </c>
      <c r="BH72" s="62">
        <f t="shared" ca="1" si="204"/>
        <v>0</v>
      </c>
      <c r="BI72" s="62">
        <f t="shared" ca="1" si="205"/>
        <v>0</v>
      </c>
      <c r="BJ72" s="62">
        <f t="shared" ca="1" si="206"/>
        <v>0</v>
      </c>
      <c r="BK72" s="62">
        <f t="shared" ca="1" si="207"/>
        <v>0</v>
      </c>
      <c r="BL72" s="62">
        <f t="shared" ca="1" si="208"/>
        <v>0</v>
      </c>
      <c r="BM72" s="62">
        <f t="shared" ca="1" si="209"/>
        <v>0</v>
      </c>
      <c r="BN72" s="62">
        <f t="shared" ca="1" si="210"/>
        <v>0</v>
      </c>
      <c r="BO72" s="62">
        <f t="shared" ca="1" si="211"/>
        <v>0</v>
      </c>
      <c r="BP72" s="62">
        <f t="shared" ca="1" si="212"/>
        <v>0</v>
      </c>
      <c r="BQ72" s="62">
        <f t="shared" ca="1" si="213"/>
        <v>0</v>
      </c>
      <c r="BR72" s="62">
        <f t="shared" ca="1" si="214"/>
        <v>0</v>
      </c>
      <c r="BS72" s="62"/>
      <c r="BT72" s="62"/>
      <c r="BU72" s="62"/>
      <c r="BV72" s="62">
        <f t="shared" ca="1" si="215"/>
        <v>0</v>
      </c>
      <c r="BW72" s="62">
        <f t="shared" ca="1" si="216"/>
        <v>0</v>
      </c>
      <c r="BX72" s="62">
        <f t="shared" ca="1" si="217"/>
        <v>0</v>
      </c>
      <c r="BY72" s="62">
        <f t="shared" ca="1" si="218"/>
        <v>0</v>
      </c>
      <c r="BZ72" s="62">
        <f t="shared" ca="1" si="219"/>
        <v>0</v>
      </c>
      <c r="CA72" s="62">
        <f t="shared" ca="1" si="220"/>
        <v>0</v>
      </c>
      <c r="CB72" s="62"/>
      <c r="CC72" s="62"/>
      <c r="CD72" s="62"/>
      <c r="CE72" s="62">
        <f t="shared" ca="1" si="221"/>
        <v>0</v>
      </c>
      <c r="CF72" s="62">
        <f t="shared" ca="1" si="222"/>
        <v>0</v>
      </c>
      <c r="CG72" s="62">
        <f t="shared" ca="1" si="223"/>
        <v>0</v>
      </c>
      <c r="CH72" s="62">
        <f t="shared" ca="1" si="224"/>
        <v>0</v>
      </c>
      <c r="CI72" s="62">
        <f t="shared" ca="1" si="225"/>
        <v>0</v>
      </c>
      <c r="CJ72" s="62">
        <f t="shared" ca="1" si="226"/>
        <v>0</v>
      </c>
      <c r="CK72" s="62">
        <f t="shared" ca="1" si="227"/>
        <v>0</v>
      </c>
      <c r="CL72" s="62">
        <f t="shared" ca="1" si="228"/>
        <v>0</v>
      </c>
      <c r="CM72" s="62">
        <f t="shared" ca="1" si="229"/>
        <v>0</v>
      </c>
      <c r="CN72" s="62">
        <f t="shared" ca="1" si="230"/>
        <v>0</v>
      </c>
      <c r="CO72" s="62">
        <f t="shared" ca="1" si="231"/>
        <v>0</v>
      </c>
      <c r="CP72" s="62">
        <f t="shared" ca="1" si="232"/>
        <v>0</v>
      </c>
      <c r="CQ72" s="62">
        <f t="shared" ca="1" si="233"/>
        <v>0</v>
      </c>
      <c r="CR72" s="62">
        <f t="shared" ca="1" si="234"/>
        <v>0</v>
      </c>
      <c r="CS72" s="62">
        <f t="shared" ca="1" si="235"/>
        <v>0</v>
      </c>
      <c r="CT72" s="62">
        <f t="shared" ca="1" si="236"/>
        <v>0</v>
      </c>
      <c r="CU72" s="62">
        <f t="shared" ca="1" si="237"/>
        <v>0</v>
      </c>
      <c r="CV72" s="62">
        <f t="shared" ca="1" si="238"/>
        <v>0</v>
      </c>
      <c r="CW72" s="62">
        <f t="shared" ca="1" si="239"/>
        <v>0</v>
      </c>
      <c r="CX72" s="62">
        <f t="shared" ca="1" si="240"/>
        <v>0</v>
      </c>
      <c r="CY72" s="62">
        <f t="shared" ca="1" si="241"/>
        <v>0</v>
      </c>
      <c r="CZ72" s="62">
        <f t="shared" ca="1" si="242"/>
        <v>0</v>
      </c>
      <c r="DA72" s="62">
        <f t="shared" ca="1" si="243"/>
        <v>0</v>
      </c>
      <c r="DB72" s="62">
        <f t="shared" ca="1" si="244"/>
        <v>0</v>
      </c>
      <c r="DC72" s="62">
        <f t="shared" ca="1" si="245"/>
        <v>0</v>
      </c>
      <c r="DD72" s="62">
        <f t="shared" ca="1" si="246"/>
        <v>0</v>
      </c>
      <c r="DE72" s="62">
        <f t="shared" ca="1" si="247"/>
        <v>0</v>
      </c>
      <c r="DF72" s="62">
        <f t="shared" ca="1" si="248"/>
        <v>0</v>
      </c>
      <c r="DG72" s="62">
        <f t="shared" ca="1" si="249"/>
        <v>0</v>
      </c>
      <c r="DH72" s="62">
        <f t="shared" ca="1" si="250"/>
        <v>0</v>
      </c>
    </row>
    <row r="73" spans="1:112" ht="15.75" thickBot="1">
      <c r="A73" s="14">
        <f t="shared" ref="A73:C73" si="259">A11</f>
        <v>9</v>
      </c>
      <c r="B73" s="14">
        <f t="shared" ca="1" si="259"/>
        <v>3.8737596974251551</v>
      </c>
      <c r="C73" s="14">
        <f t="shared" si="259"/>
        <v>4034.1</v>
      </c>
      <c r="E73" s="66" t="s">
        <v>56</v>
      </c>
      <c r="F73" s="68">
        <f>Summary!L11</f>
        <v>-0.26235982838399025</v>
      </c>
      <c r="P73" s="63" t="b">
        <f t="shared" si="252"/>
        <v>1</v>
      </c>
      <c r="Q73" s="62">
        <f t="shared" ca="1" si="164"/>
        <v>34.69228906898622</v>
      </c>
      <c r="R73" s="62">
        <f t="shared" ca="1" si="165"/>
        <v>26.01499118892443</v>
      </c>
      <c r="S73" s="62">
        <f t="shared" ca="1" si="166"/>
        <v>5.7632241778399687</v>
      </c>
      <c r="T73" s="62">
        <f t="shared" ca="1" si="167"/>
        <v>27.442185252745936</v>
      </c>
      <c r="U73" s="62">
        <f t="shared" ca="1" si="168"/>
        <v>22.175179761245637</v>
      </c>
      <c r="V73" s="62">
        <f t="shared" ca="1" si="169"/>
        <v>8.271202576899114</v>
      </c>
      <c r="W73" s="62">
        <f t="shared" ca="1" si="170"/>
        <v>28.479122318761881</v>
      </c>
      <c r="X73" s="62">
        <f t="shared" ca="1" si="171"/>
        <v>23.776269220778197</v>
      </c>
      <c r="Y73" s="62">
        <f t="shared" ca="1" si="172"/>
        <v>7.7236407538162863</v>
      </c>
      <c r="Z73" s="62">
        <f t="shared" ca="1" si="173"/>
        <v>27.148685885450053</v>
      </c>
      <c r="AA73" s="62">
        <f t="shared" ca="1" si="174"/>
        <v>21.615171344545981</v>
      </c>
      <c r="AB73" s="62">
        <f t="shared" ca="1" si="175"/>
        <v>8.1437069382374929</v>
      </c>
      <c r="AC73" s="62">
        <f t="shared" ca="1" si="176"/>
        <v>26.721558221541468</v>
      </c>
      <c r="AD73" s="62">
        <f t="shared" ca="1" si="177"/>
        <v>21.655417842417073</v>
      </c>
      <c r="AE73" s="62">
        <f t="shared" ca="1" si="178"/>
        <v>6.645152904039306</v>
      </c>
      <c r="AF73" s="62"/>
      <c r="AG73" s="62"/>
      <c r="AH73" s="62"/>
      <c r="AI73" s="62">
        <f t="shared" ca="1" si="179"/>
        <v>0</v>
      </c>
      <c r="AJ73" s="62">
        <f t="shared" ca="1" si="180"/>
        <v>0</v>
      </c>
      <c r="AK73" s="62">
        <f t="shared" ca="1" si="181"/>
        <v>0</v>
      </c>
      <c r="AL73" s="62">
        <f t="shared" ca="1" si="182"/>
        <v>0</v>
      </c>
      <c r="AM73" s="62">
        <f t="shared" ca="1" si="183"/>
        <v>0</v>
      </c>
      <c r="AN73" s="62">
        <f t="shared" ca="1" si="184"/>
        <v>0</v>
      </c>
      <c r="AO73" s="62">
        <f t="shared" ca="1" si="185"/>
        <v>0</v>
      </c>
      <c r="AP73" s="62">
        <f t="shared" ca="1" si="186"/>
        <v>0</v>
      </c>
      <c r="AQ73" s="62">
        <f t="shared" ca="1" si="187"/>
        <v>0</v>
      </c>
      <c r="AR73" s="62">
        <f t="shared" ca="1" si="188"/>
        <v>0</v>
      </c>
      <c r="AS73" s="62">
        <f t="shared" ca="1" si="189"/>
        <v>0</v>
      </c>
      <c r="AT73" s="62">
        <f t="shared" ca="1" si="190"/>
        <v>0</v>
      </c>
      <c r="AU73" s="62">
        <f t="shared" ca="1" si="191"/>
        <v>0</v>
      </c>
      <c r="AV73" s="62">
        <f t="shared" ca="1" si="192"/>
        <v>0</v>
      </c>
      <c r="AW73" s="62">
        <f t="shared" ca="1" si="193"/>
        <v>0</v>
      </c>
      <c r="AX73" s="62">
        <f t="shared" ca="1" si="194"/>
        <v>0</v>
      </c>
      <c r="AY73" s="62">
        <f t="shared" ca="1" si="195"/>
        <v>0</v>
      </c>
      <c r="AZ73" s="62">
        <f t="shared" ca="1" si="196"/>
        <v>0</v>
      </c>
      <c r="BA73" s="62">
        <f t="shared" ca="1" si="197"/>
        <v>0</v>
      </c>
      <c r="BB73" s="62">
        <f t="shared" ca="1" si="198"/>
        <v>0</v>
      </c>
      <c r="BC73" s="62">
        <f t="shared" ca="1" si="199"/>
        <v>0</v>
      </c>
      <c r="BD73" s="62">
        <f t="shared" ca="1" si="200"/>
        <v>0</v>
      </c>
      <c r="BE73" s="62">
        <f t="shared" ca="1" si="201"/>
        <v>0</v>
      </c>
      <c r="BF73" s="62">
        <f t="shared" ca="1" si="202"/>
        <v>0</v>
      </c>
      <c r="BG73" s="62">
        <f t="shared" ca="1" si="203"/>
        <v>0</v>
      </c>
      <c r="BH73" s="62">
        <f t="shared" ca="1" si="204"/>
        <v>0</v>
      </c>
      <c r="BI73" s="62">
        <f t="shared" ca="1" si="205"/>
        <v>0</v>
      </c>
      <c r="BJ73" s="62">
        <f t="shared" ca="1" si="206"/>
        <v>0</v>
      </c>
      <c r="BK73" s="62">
        <f t="shared" ca="1" si="207"/>
        <v>0</v>
      </c>
      <c r="BL73" s="62">
        <f t="shared" ca="1" si="208"/>
        <v>0</v>
      </c>
      <c r="BM73" s="62">
        <f t="shared" ca="1" si="209"/>
        <v>0</v>
      </c>
      <c r="BN73" s="62">
        <f t="shared" ca="1" si="210"/>
        <v>0</v>
      </c>
      <c r="BO73" s="62">
        <f t="shared" ca="1" si="211"/>
        <v>0</v>
      </c>
      <c r="BP73" s="62">
        <f t="shared" ca="1" si="212"/>
        <v>0</v>
      </c>
      <c r="BQ73" s="62">
        <f t="shared" ca="1" si="213"/>
        <v>0</v>
      </c>
      <c r="BR73" s="62">
        <f t="shared" ca="1" si="214"/>
        <v>0</v>
      </c>
      <c r="BS73" s="62"/>
      <c r="BT73" s="62"/>
      <c r="BU73" s="62"/>
      <c r="BV73" s="62">
        <f t="shared" ca="1" si="215"/>
        <v>0</v>
      </c>
      <c r="BW73" s="62">
        <f t="shared" ca="1" si="216"/>
        <v>0</v>
      </c>
      <c r="BX73" s="62">
        <f t="shared" ca="1" si="217"/>
        <v>0</v>
      </c>
      <c r="BY73" s="62">
        <f t="shared" ca="1" si="218"/>
        <v>0</v>
      </c>
      <c r="BZ73" s="62">
        <f t="shared" ca="1" si="219"/>
        <v>0</v>
      </c>
      <c r="CA73" s="62">
        <f t="shared" ca="1" si="220"/>
        <v>0</v>
      </c>
      <c r="CB73" s="62"/>
      <c r="CC73" s="62"/>
      <c r="CD73" s="62"/>
      <c r="CE73" s="62">
        <f t="shared" ca="1" si="221"/>
        <v>0</v>
      </c>
      <c r="CF73" s="62">
        <f t="shared" ca="1" si="222"/>
        <v>0</v>
      </c>
      <c r="CG73" s="62">
        <f t="shared" ca="1" si="223"/>
        <v>0</v>
      </c>
      <c r="CH73" s="62">
        <f t="shared" ca="1" si="224"/>
        <v>0</v>
      </c>
      <c r="CI73" s="62">
        <f t="shared" ca="1" si="225"/>
        <v>0</v>
      </c>
      <c r="CJ73" s="62">
        <f t="shared" ca="1" si="226"/>
        <v>0</v>
      </c>
      <c r="CK73" s="62">
        <f t="shared" ca="1" si="227"/>
        <v>0</v>
      </c>
      <c r="CL73" s="62">
        <f t="shared" ca="1" si="228"/>
        <v>0</v>
      </c>
      <c r="CM73" s="62">
        <f t="shared" ca="1" si="229"/>
        <v>0</v>
      </c>
      <c r="CN73" s="62">
        <f t="shared" ca="1" si="230"/>
        <v>0</v>
      </c>
      <c r="CO73" s="62">
        <f t="shared" ca="1" si="231"/>
        <v>0</v>
      </c>
      <c r="CP73" s="62">
        <f t="shared" ca="1" si="232"/>
        <v>0</v>
      </c>
      <c r="CQ73" s="62">
        <f t="shared" ca="1" si="233"/>
        <v>0</v>
      </c>
      <c r="CR73" s="62">
        <f t="shared" ca="1" si="234"/>
        <v>0</v>
      </c>
      <c r="CS73" s="62">
        <f t="shared" ca="1" si="235"/>
        <v>0</v>
      </c>
      <c r="CT73" s="62">
        <f t="shared" ca="1" si="236"/>
        <v>0</v>
      </c>
      <c r="CU73" s="62">
        <f t="shared" ca="1" si="237"/>
        <v>0</v>
      </c>
      <c r="CV73" s="62">
        <f t="shared" ca="1" si="238"/>
        <v>0</v>
      </c>
      <c r="CW73" s="62">
        <f t="shared" ca="1" si="239"/>
        <v>0</v>
      </c>
      <c r="CX73" s="62">
        <f t="shared" ca="1" si="240"/>
        <v>0</v>
      </c>
      <c r="CY73" s="62">
        <f t="shared" ca="1" si="241"/>
        <v>0</v>
      </c>
      <c r="CZ73" s="62">
        <f t="shared" ca="1" si="242"/>
        <v>0</v>
      </c>
      <c r="DA73" s="62">
        <f t="shared" ca="1" si="243"/>
        <v>0</v>
      </c>
      <c r="DB73" s="62">
        <f t="shared" ca="1" si="244"/>
        <v>0</v>
      </c>
      <c r="DC73" s="62">
        <f t="shared" ca="1" si="245"/>
        <v>0</v>
      </c>
      <c r="DD73" s="62">
        <f t="shared" ca="1" si="246"/>
        <v>0</v>
      </c>
      <c r="DE73" s="62">
        <f t="shared" ca="1" si="247"/>
        <v>0</v>
      </c>
      <c r="DF73" s="62">
        <f t="shared" ca="1" si="248"/>
        <v>0</v>
      </c>
      <c r="DG73" s="62">
        <f t="shared" ca="1" si="249"/>
        <v>0</v>
      </c>
      <c r="DH73" s="62">
        <f t="shared" ca="1" si="250"/>
        <v>0</v>
      </c>
    </row>
    <row r="74" spans="1:112">
      <c r="A74" s="14">
        <f t="shared" ref="A74:C74" si="260">A12</f>
        <v>10</v>
      </c>
      <c r="B74" s="14">
        <f t="shared" ca="1" si="260"/>
        <v>3.2207968686872634</v>
      </c>
      <c r="C74" s="14">
        <f t="shared" si="260"/>
        <v>4023.8</v>
      </c>
      <c r="P74" s="63" t="b">
        <f t="shared" si="252"/>
        <v>1</v>
      </c>
      <c r="Q74" s="62">
        <f t="shared" ca="1" si="164"/>
        <v>23.498425050437884</v>
      </c>
      <c r="R74" s="62">
        <f t="shared" ca="1" si="165"/>
        <v>20.45601568916776</v>
      </c>
      <c r="S74" s="62">
        <f t="shared" ca="1" si="166"/>
        <v>4.5342271327271</v>
      </c>
      <c r="T74" s="62">
        <f t="shared" ca="1" si="167"/>
        <v>22.216509070723092</v>
      </c>
      <c r="U74" s="62">
        <f t="shared" ca="1" si="168"/>
        <v>18.763303301922519</v>
      </c>
      <c r="V74" s="62">
        <f t="shared" ca="1" si="169"/>
        <v>4.8485426285916828</v>
      </c>
      <c r="W74" s="62">
        <f t="shared" ca="1" si="170"/>
        <v>22.949656473466742</v>
      </c>
      <c r="X74" s="62">
        <f t="shared" ca="1" si="171"/>
        <v>19.902203664424832</v>
      </c>
      <c r="Y74" s="62">
        <f t="shared" ca="1" si="172"/>
        <v>4.4334857060928474</v>
      </c>
      <c r="Z74" s="62">
        <f t="shared" ca="1" si="173"/>
        <v>21.74694714343434</v>
      </c>
      <c r="AA74" s="62">
        <f t="shared" ca="1" si="174"/>
        <v>17.962926906864499</v>
      </c>
      <c r="AB74" s="62">
        <f t="shared" ca="1" si="175"/>
        <v>4.8585940793796656</v>
      </c>
      <c r="AC74" s="62">
        <f t="shared" ca="1" si="176"/>
        <v>21.533624594686696</v>
      </c>
      <c r="AD74" s="62">
        <f t="shared" ca="1" si="177"/>
        <v>18.052339047043027</v>
      </c>
      <c r="AE74" s="62">
        <f t="shared" ca="1" si="178"/>
        <v>3.6214213548819507</v>
      </c>
      <c r="AF74" s="62"/>
      <c r="AG74" s="62"/>
      <c r="AH74" s="62"/>
      <c r="AI74" s="62">
        <f t="shared" ca="1" si="179"/>
        <v>0</v>
      </c>
      <c r="AJ74" s="62">
        <f t="shared" ca="1" si="180"/>
        <v>0</v>
      </c>
      <c r="AK74" s="62">
        <f t="shared" ca="1" si="181"/>
        <v>0</v>
      </c>
      <c r="AL74" s="62">
        <f t="shared" ca="1" si="182"/>
        <v>0</v>
      </c>
      <c r="AM74" s="62">
        <f t="shared" ca="1" si="183"/>
        <v>0</v>
      </c>
      <c r="AN74" s="62">
        <f t="shared" ca="1" si="184"/>
        <v>0</v>
      </c>
      <c r="AO74" s="62">
        <f t="shared" ca="1" si="185"/>
        <v>0</v>
      </c>
      <c r="AP74" s="62">
        <f t="shared" ca="1" si="186"/>
        <v>0</v>
      </c>
      <c r="AQ74" s="62">
        <f t="shared" ca="1" si="187"/>
        <v>0</v>
      </c>
      <c r="AR74" s="62">
        <f t="shared" ca="1" si="188"/>
        <v>0</v>
      </c>
      <c r="AS74" s="62">
        <f t="shared" ca="1" si="189"/>
        <v>0</v>
      </c>
      <c r="AT74" s="62">
        <f t="shared" ca="1" si="190"/>
        <v>0</v>
      </c>
      <c r="AU74" s="62">
        <f t="shared" ca="1" si="191"/>
        <v>0</v>
      </c>
      <c r="AV74" s="62">
        <f t="shared" ca="1" si="192"/>
        <v>0</v>
      </c>
      <c r="AW74" s="62">
        <f t="shared" ca="1" si="193"/>
        <v>0</v>
      </c>
      <c r="AX74" s="62">
        <f t="shared" ca="1" si="194"/>
        <v>0</v>
      </c>
      <c r="AY74" s="62">
        <f t="shared" ca="1" si="195"/>
        <v>0</v>
      </c>
      <c r="AZ74" s="62">
        <f t="shared" ca="1" si="196"/>
        <v>0</v>
      </c>
      <c r="BA74" s="62">
        <f t="shared" ca="1" si="197"/>
        <v>0</v>
      </c>
      <c r="BB74" s="62">
        <f t="shared" ca="1" si="198"/>
        <v>0</v>
      </c>
      <c r="BC74" s="62">
        <f t="shared" ca="1" si="199"/>
        <v>0</v>
      </c>
      <c r="BD74" s="62">
        <f t="shared" ca="1" si="200"/>
        <v>0</v>
      </c>
      <c r="BE74" s="62">
        <f t="shared" ca="1" si="201"/>
        <v>0</v>
      </c>
      <c r="BF74" s="62">
        <f t="shared" ca="1" si="202"/>
        <v>0</v>
      </c>
      <c r="BG74" s="62">
        <f t="shared" ca="1" si="203"/>
        <v>0</v>
      </c>
      <c r="BH74" s="62">
        <f t="shared" ca="1" si="204"/>
        <v>0</v>
      </c>
      <c r="BI74" s="62">
        <f t="shared" ca="1" si="205"/>
        <v>0</v>
      </c>
      <c r="BJ74" s="62">
        <f t="shared" ca="1" si="206"/>
        <v>0</v>
      </c>
      <c r="BK74" s="62">
        <f t="shared" ca="1" si="207"/>
        <v>0</v>
      </c>
      <c r="BL74" s="62">
        <f t="shared" ca="1" si="208"/>
        <v>0</v>
      </c>
      <c r="BM74" s="62">
        <f t="shared" ca="1" si="209"/>
        <v>0</v>
      </c>
      <c r="BN74" s="62">
        <f t="shared" ca="1" si="210"/>
        <v>0</v>
      </c>
      <c r="BO74" s="62">
        <f t="shared" ca="1" si="211"/>
        <v>0</v>
      </c>
      <c r="BP74" s="62">
        <f t="shared" ca="1" si="212"/>
        <v>0</v>
      </c>
      <c r="BQ74" s="62">
        <f t="shared" ca="1" si="213"/>
        <v>0</v>
      </c>
      <c r="BR74" s="62">
        <f t="shared" ca="1" si="214"/>
        <v>0</v>
      </c>
      <c r="BS74" s="62"/>
      <c r="BT74" s="62"/>
      <c r="BU74" s="62"/>
      <c r="BV74" s="62">
        <f t="shared" ca="1" si="215"/>
        <v>0</v>
      </c>
      <c r="BW74" s="62">
        <f t="shared" ca="1" si="216"/>
        <v>0</v>
      </c>
      <c r="BX74" s="62">
        <f t="shared" ca="1" si="217"/>
        <v>0</v>
      </c>
      <c r="BY74" s="62">
        <f t="shared" ca="1" si="218"/>
        <v>0</v>
      </c>
      <c r="BZ74" s="62">
        <f t="shared" ca="1" si="219"/>
        <v>0</v>
      </c>
      <c r="CA74" s="62">
        <f t="shared" ca="1" si="220"/>
        <v>0</v>
      </c>
      <c r="CB74" s="62"/>
      <c r="CC74" s="62"/>
      <c r="CD74" s="62"/>
      <c r="CE74" s="62">
        <f t="shared" ca="1" si="221"/>
        <v>0</v>
      </c>
      <c r="CF74" s="62">
        <f t="shared" ca="1" si="222"/>
        <v>0</v>
      </c>
      <c r="CG74" s="62">
        <f t="shared" ca="1" si="223"/>
        <v>0</v>
      </c>
      <c r="CH74" s="62">
        <f t="shared" ca="1" si="224"/>
        <v>0</v>
      </c>
      <c r="CI74" s="62">
        <f t="shared" ca="1" si="225"/>
        <v>0</v>
      </c>
      <c r="CJ74" s="62">
        <f t="shared" ca="1" si="226"/>
        <v>0</v>
      </c>
      <c r="CK74" s="62">
        <f t="shared" ca="1" si="227"/>
        <v>0</v>
      </c>
      <c r="CL74" s="62">
        <f t="shared" ca="1" si="228"/>
        <v>0</v>
      </c>
      <c r="CM74" s="62">
        <f t="shared" ca="1" si="229"/>
        <v>0</v>
      </c>
      <c r="CN74" s="62">
        <f t="shared" ca="1" si="230"/>
        <v>0</v>
      </c>
      <c r="CO74" s="62">
        <f t="shared" ca="1" si="231"/>
        <v>0</v>
      </c>
      <c r="CP74" s="62">
        <f t="shared" ca="1" si="232"/>
        <v>0</v>
      </c>
      <c r="CQ74" s="62">
        <f t="shared" ca="1" si="233"/>
        <v>0</v>
      </c>
      <c r="CR74" s="62">
        <f t="shared" ca="1" si="234"/>
        <v>0</v>
      </c>
      <c r="CS74" s="62">
        <f t="shared" ca="1" si="235"/>
        <v>0</v>
      </c>
      <c r="CT74" s="62">
        <f t="shared" ca="1" si="236"/>
        <v>0</v>
      </c>
      <c r="CU74" s="62">
        <f t="shared" ca="1" si="237"/>
        <v>0</v>
      </c>
      <c r="CV74" s="62">
        <f t="shared" ca="1" si="238"/>
        <v>0</v>
      </c>
      <c r="CW74" s="62">
        <f t="shared" ca="1" si="239"/>
        <v>0</v>
      </c>
      <c r="CX74" s="62">
        <f t="shared" ca="1" si="240"/>
        <v>0</v>
      </c>
      <c r="CY74" s="62">
        <f t="shared" ca="1" si="241"/>
        <v>0</v>
      </c>
      <c r="CZ74" s="62">
        <f t="shared" ca="1" si="242"/>
        <v>0</v>
      </c>
      <c r="DA74" s="62">
        <f t="shared" ca="1" si="243"/>
        <v>0</v>
      </c>
      <c r="DB74" s="62">
        <f t="shared" ca="1" si="244"/>
        <v>0</v>
      </c>
      <c r="DC74" s="62">
        <f t="shared" ca="1" si="245"/>
        <v>0</v>
      </c>
      <c r="DD74" s="62">
        <f t="shared" ca="1" si="246"/>
        <v>0</v>
      </c>
      <c r="DE74" s="62">
        <f t="shared" ca="1" si="247"/>
        <v>0</v>
      </c>
      <c r="DF74" s="62">
        <f t="shared" ca="1" si="248"/>
        <v>0</v>
      </c>
      <c r="DG74" s="62">
        <f t="shared" ca="1" si="249"/>
        <v>0</v>
      </c>
      <c r="DH74" s="62">
        <f t="shared" ca="1" si="250"/>
        <v>0</v>
      </c>
    </row>
    <row r="75" spans="1:112">
      <c r="A75" s="14">
        <f t="shared" ref="A75:C75" si="261">A13</f>
        <v>11</v>
      </c>
      <c r="B75" s="14">
        <f t="shared" ca="1" si="261"/>
        <v>2.38707854456778</v>
      </c>
      <c r="C75" s="14">
        <f t="shared" si="261"/>
        <v>4005.5</v>
      </c>
      <c r="P75" s="63" t="b">
        <f t="shared" si="252"/>
        <v>1</v>
      </c>
      <c r="Q75" s="62">
        <f t="shared" ca="1" si="164"/>
        <v>19.250712483560836</v>
      </c>
      <c r="R75" s="62">
        <f t="shared" ca="1" si="165"/>
        <v>15.721500801134042</v>
      </c>
      <c r="S75" s="62">
        <f t="shared" ca="1" si="166"/>
        <v>5.6589277120362471</v>
      </c>
      <c r="T75" s="62">
        <f t="shared" ca="1" si="167"/>
        <v>18.221601631060871</v>
      </c>
      <c r="U75" s="62">
        <f t="shared" ca="1" si="168"/>
        <v>14.210831765245109</v>
      </c>
      <c r="V75" s="62">
        <f t="shared" ca="1" si="169"/>
        <v>6.0862708096854954</v>
      </c>
      <c r="W75" s="62">
        <f t="shared" ca="1" si="170"/>
        <v>19.027873097673929</v>
      </c>
      <c r="X75" s="62">
        <f t="shared" ca="1" si="171"/>
        <v>15.323552846309179</v>
      </c>
      <c r="Y75" s="62">
        <f t="shared" ca="1" si="172"/>
        <v>5.9817262479769493</v>
      </c>
      <c r="Z75" s="62">
        <f t="shared" ca="1" si="173"/>
        <v>17.655784722310756</v>
      </c>
      <c r="AA75" s="62">
        <f t="shared" ca="1" si="174"/>
        <v>13.334127723386212</v>
      </c>
      <c r="AB75" s="62">
        <f t="shared" ca="1" si="175"/>
        <v>6.0697673578033298</v>
      </c>
      <c r="AC75" s="62">
        <f t="shared" ca="1" si="176"/>
        <v>17.612381379607417</v>
      </c>
      <c r="AD75" s="62">
        <f t="shared" ca="1" si="177"/>
        <v>13.594253276874355</v>
      </c>
      <c r="AE75" s="62">
        <f t="shared" ca="1" si="178"/>
        <v>5.015650564573126</v>
      </c>
      <c r="AF75" s="62"/>
      <c r="AG75" s="62"/>
      <c r="AH75" s="62"/>
      <c r="AI75" s="62">
        <f t="shared" ca="1" si="179"/>
        <v>0</v>
      </c>
      <c r="AJ75" s="62">
        <f t="shared" ca="1" si="180"/>
        <v>0</v>
      </c>
      <c r="AK75" s="62">
        <f t="shared" ca="1" si="181"/>
        <v>0</v>
      </c>
      <c r="AL75" s="62">
        <f t="shared" ca="1" si="182"/>
        <v>0</v>
      </c>
      <c r="AM75" s="62">
        <f t="shared" ca="1" si="183"/>
        <v>0</v>
      </c>
      <c r="AN75" s="62">
        <f t="shared" ca="1" si="184"/>
        <v>0</v>
      </c>
      <c r="AO75" s="62">
        <f t="shared" ca="1" si="185"/>
        <v>0</v>
      </c>
      <c r="AP75" s="62">
        <f t="shared" ca="1" si="186"/>
        <v>0</v>
      </c>
      <c r="AQ75" s="62">
        <f t="shared" ca="1" si="187"/>
        <v>0</v>
      </c>
      <c r="AR75" s="62">
        <f t="shared" ca="1" si="188"/>
        <v>0</v>
      </c>
      <c r="AS75" s="62">
        <f t="shared" ca="1" si="189"/>
        <v>0</v>
      </c>
      <c r="AT75" s="62">
        <f t="shared" ca="1" si="190"/>
        <v>0</v>
      </c>
      <c r="AU75" s="62">
        <f t="shared" ca="1" si="191"/>
        <v>0</v>
      </c>
      <c r="AV75" s="62">
        <f t="shared" ca="1" si="192"/>
        <v>0</v>
      </c>
      <c r="AW75" s="62">
        <f t="shared" ca="1" si="193"/>
        <v>0</v>
      </c>
      <c r="AX75" s="62">
        <f t="shared" ca="1" si="194"/>
        <v>0</v>
      </c>
      <c r="AY75" s="62">
        <f t="shared" ca="1" si="195"/>
        <v>0</v>
      </c>
      <c r="AZ75" s="62">
        <f t="shared" ca="1" si="196"/>
        <v>0</v>
      </c>
      <c r="BA75" s="62">
        <f t="shared" ca="1" si="197"/>
        <v>0</v>
      </c>
      <c r="BB75" s="62">
        <f t="shared" ca="1" si="198"/>
        <v>0</v>
      </c>
      <c r="BC75" s="62">
        <f t="shared" ca="1" si="199"/>
        <v>0</v>
      </c>
      <c r="BD75" s="62">
        <f t="shared" ca="1" si="200"/>
        <v>0</v>
      </c>
      <c r="BE75" s="62">
        <f t="shared" ca="1" si="201"/>
        <v>0</v>
      </c>
      <c r="BF75" s="62">
        <f t="shared" ca="1" si="202"/>
        <v>0</v>
      </c>
      <c r="BG75" s="62">
        <f t="shared" ca="1" si="203"/>
        <v>0</v>
      </c>
      <c r="BH75" s="62">
        <f t="shared" ca="1" si="204"/>
        <v>0</v>
      </c>
      <c r="BI75" s="62">
        <f t="shared" ca="1" si="205"/>
        <v>0</v>
      </c>
      <c r="BJ75" s="62">
        <f t="shared" ca="1" si="206"/>
        <v>0</v>
      </c>
      <c r="BK75" s="62">
        <f t="shared" ca="1" si="207"/>
        <v>0</v>
      </c>
      <c r="BL75" s="62">
        <f t="shared" ca="1" si="208"/>
        <v>0</v>
      </c>
      <c r="BM75" s="62">
        <f t="shared" ca="1" si="209"/>
        <v>0</v>
      </c>
      <c r="BN75" s="62">
        <f t="shared" ca="1" si="210"/>
        <v>0</v>
      </c>
      <c r="BO75" s="62">
        <f t="shared" ca="1" si="211"/>
        <v>0</v>
      </c>
      <c r="BP75" s="62">
        <f t="shared" ca="1" si="212"/>
        <v>0</v>
      </c>
      <c r="BQ75" s="62">
        <f t="shared" ca="1" si="213"/>
        <v>0</v>
      </c>
      <c r="BR75" s="62">
        <f t="shared" ca="1" si="214"/>
        <v>0</v>
      </c>
      <c r="BS75" s="62"/>
      <c r="BT75" s="62"/>
      <c r="BU75" s="62"/>
      <c r="BV75" s="62">
        <f t="shared" ca="1" si="215"/>
        <v>0</v>
      </c>
      <c r="BW75" s="62">
        <f t="shared" ca="1" si="216"/>
        <v>0</v>
      </c>
      <c r="BX75" s="62">
        <f t="shared" ca="1" si="217"/>
        <v>0</v>
      </c>
      <c r="BY75" s="62">
        <f t="shared" ca="1" si="218"/>
        <v>0</v>
      </c>
      <c r="BZ75" s="62">
        <f t="shared" ca="1" si="219"/>
        <v>0</v>
      </c>
      <c r="CA75" s="62">
        <f t="shared" ca="1" si="220"/>
        <v>0</v>
      </c>
      <c r="CB75" s="62"/>
      <c r="CC75" s="62"/>
      <c r="CD75" s="62"/>
      <c r="CE75" s="62">
        <f t="shared" ca="1" si="221"/>
        <v>0</v>
      </c>
      <c r="CF75" s="62">
        <f t="shared" ca="1" si="222"/>
        <v>0</v>
      </c>
      <c r="CG75" s="62">
        <f t="shared" ca="1" si="223"/>
        <v>0</v>
      </c>
      <c r="CH75" s="62">
        <f t="shared" ca="1" si="224"/>
        <v>0</v>
      </c>
      <c r="CI75" s="62">
        <f t="shared" ca="1" si="225"/>
        <v>0</v>
      </c>
      <c r="CJ75" s="62">
        <f t="shared" ca="1" si="226"/>
        <v>0</v>
      </c>
      <c r="CK75" s="62">
        <f t="shared" ca="1" si="227"/>
        <v>0</v>
      </c>
      <c r="CL75" s="62">
        <f t="shared" ca="1" si="228"/>
        <v>0</v>
      </c>
      <c r="CM75" s="62">
        <f t="shared" ca="1" si="229"/>
        <v>0</v>
      </c>
      <c r="CN75" s="62">
        <f t="shared" ca="1" si="230"/>
        <v>0</v>
      </c>
      <c r="CO75" s="62">
        <f t="shared" ca="1" si="231"/>
        <v>0</v>
      </c>
      <c r="CP75" s="62">
        <f t="shared" ca="1" si="232"/>
        <v>0</v>
      </c>
      <c r="CQ75" s="62">
        <f t="shared" ca="1" si="233"/>
        <v>0</v>
      </c>
      <c r="CR75" s="62">
        <f t="shared" ca="1" si="234"/>
        <v>0</v>
      </c>
      <c r="CS75" s="62">
        <f t="shared" ca="1" si="235"/>
        <v>0</v>
      </c>
      <c r="CT75" s="62">
        <f t="shared" ca="1" si="236"/>
        <v>0</v>
      </c>
      <c r="CU75" s="62">
        <f t="shared" ca="1" si="237"/>
        <v>0</v>
      </c>
      <c r="CV75" s="62">
        <f t="shared" ca="1" si="238"/>
        <v>0</v>
      </c>
      <c r="CW75" s="62">
        <f t="shared" ca="1" si="239"/>
        <v>0</v>
      </c>
      <c r="CX75" s="62">
        <f t="shared" ca="1" si="240"/>
        <v>0</v>
      </c>
      <c r="CY75" s="62">
        <f t="shared" ca="1" si="241"/>
        <v>0</v>
      </c>
      <c r="CZ75" s="62">
        <f t="shared" ca="1" si="242"/>
        <v>0</v>
      </c>
      <c r="DA75" s="62">
        <f t="shared" ca="1" si="243"/>
        <v>0</v>
      </c>
      <c r="DB75" s="62">
        <f t="shared" ca="1" si="244"/>
        <v>0</v>
      </c>
      <c r="DC75" s="62">
        <f t="shared" ca="1" si="245"/>
        <v>0</v>
      </c>
      <c r="DD75" s="62">
        <f t="shared" ca="1" si="246"/>
        <v>0</v>
      </c>
      <c r="DE75" s="62">
        <f t="shared" ca="1" si="247"/>
        <v>0</v>
      </c>
      <c r="DF75" s="62">
        <f t="shared" ca="1" si="248"/>
        <v>0</v>
      </c>
      <c r="DG75" s="62">
        <f t="shared" ca="1" si="249"/>
        <v>0</v>
      </c>
      <c r="DH75" s="62">
        <f t="shared" ca="1" si="250"/>
        <v>0</v>
      </c>
    </row>
    <row r="76" spans="1:112">
      <c r="A76" s="14">
        <f t="shared" ref="A76:C76" si="262">A14</f>
        <v>12</v>
      </c>
      <c r="B76" s="14">
        <f t="shared" ca="1" si="262"/>
        <v>2.1590792663518994</v>
      </c>
      <c r="C76" s="14">
        <f t="shared" si="262"/>
        <v>4009.6</v>
      </c>
      <c r="P76" s="63" t="b">
        <f t="shared" si="252"/>
        <v>1</v>
      </c>
      <c r="Q76" s="62">
        <f t="shared" ca="1" si="164"/>
        <v>21.119264630978023</v>
      </c>
      <c r="R76" s="62">
        <f t="shared" ca="1" si="165"/>
        <v>15.195919772348311</v>
      </c>
      <c r="S76" s="62">
        <f t="shared" ca="1" si="166"/>
        <v>4.3498987431612335</v>
      </c>
      <c r="T76" s="62">
        <f t="shared" ca="1" si="167"/>
        <v>16.69808114903395</v>
      </c>
      <c r="U76" s="62">
        <f t="shared" ca="1" si="168"/>
        <v>12.832743979682292</v>
      </c>
      <c r="V76" s="62">
        <f t="shared" ca="1" si="169"/>
        <v>5.8825323037356432</v>
      </c>
      <c r="W76" s="62">
        <f t="shared" ca="1" si="170"/>
        <v>21.06577452646135</v>
      </c>
      <c r="X76" s="62">
        <f t="shared" ca="1" si="171"/>
        <v>14.997196250937762</v>
      </c>
      <c r="Y76" s="62">
        <f t="shared" ca="1" si="172"/>
        <v>4.6365142462220961</v>
      </c>
      <c r="Z76" s="62">
        <f t="shared" ca="1" si="173"/>
        <v>16.22943663399715</v>
      </c>
      <c r="AA76" s="62">
        <f t="shared" ca="1" si="174"/>
        <v>12.123668747101057</v>
      </c>
      <c r="AB76" s="62">
        <f t="shared" ca="1" si="175"/>
        <v>5.7360623538182232</v>
      </c>
      <c r="AC76" s="62">
        <f t="shared" ca="1" si="176"/>
        <v>16.176085821340735</v>
      </c>
      <c r="AD76" s="62">
        <f t="shared" ca="1" si="177"/>
        <v>12.388300640700686</v>
      </c>
      <c r="AE76" s="62">
        <f t="shared" ca="1" si="178"/>
        <v>4.9377596657378309</v>
      </c>
      <c r="AF76" s="62"/>
      <c r="AG76" s="62"/>
      <c r="AH76" s="62"/>
      <c r="AI76" s="62">
        <f t="shared" ca="1" si="179"/>
        <v>0</v>
      </c>
      <c r="AJ76" s="62">
        <f t="shared" ca="1" si="180"/>
        <v>0</v>
      </c>
      <c r="AK76" s="62">
        <f t="shared" ca="1" si="181"/>
        <v>0</v>
      </c>
      <c r="AL76" s="62">
        <f t="shared" ca="1" si="182"/>
        <v>0</v>
      </c>
      <c r="AM76" s="62">
        <f t="shared" ca="1" si="183"/>
        <v>0</v>
      </c>
      <c r="AN76" s="62">
        <f t="shared" ca="1" si="184"/>
        <v>0</v>
      </c>
      <c r="AO76" s="62">
        <f t="shared" ca="1" si="185"/>
        <v>0</v>
      </c>
      <c r="AP76" s="62">
        <f t="shared" ca="1" si="186"/>
        <v>0</v>
      </c>
      <c r="AQ76" s="62">
        <f t="shared" ca="1" si="187"/>
        <v>0</v>
      </c>
      <c r="AR76" s="62">
        <f t="shared" ca="1" si="188"/>
        <v>0</v>
      </c>
      <c r="AS76" s="62">
        <f t="shared" ca="1" si="189"/>
        <v>0</v>
      </c>
      <c r="AT76" s="62">
        <f t="shared" ca="1" si="190"/>
        <v>0</v>
      </c>
      <c r="AU76" s="62">
        <f t="shared" ca="1" si="191"/>
        <v>0</v>
      </c>
      <c r="AV76" s="62">
        <f t="shared" ca="1" si="192"/>
        <v>0</v>
      </c>
      <c r="AW76" s="62">
        <f t="shared" ca="1" si="193"/>
        <v>0</v>
      </c>
      <c r="AX76" s="62">
        <f t="shared" ca="1" si="194"/>
        <v>0</v>
      </c>
      <c r="AY76" s="62">
        <f t="shared" ca="1" si="195"/>
        <v>0</v>
      </c>
      <c r="AZ76" s="62">
        <f t="shared" ca="1" si="196"/>
        <v>0</v>
      </c>
      <c r="BA76" s="62">
        <f t="shared" ca="1" si="197"/>
        <v>0</v>
      </c>
      <c r="BB76" s="62">
        <f t="shared" ca="1" si="198"/>
        <v>0</v>
      </c>
      <c r="BC76" s="62">
        <f t="shared" ca="1" si="199"/>
        <v>0</v>
      </c>
      <c r="BD76" s="62">
        <f t="shared" ca="1" si="200"/>
        <v>0</v>
      </c>
      <c r="BE76" s="62">
        <f t="shared" ca="1" si="201"/>
        <v>0</v>
      </c>
      <c r="BF76" s="62">
        <f t="shared" ca="1" si="202"/>
        <v>0</v>
      </c>
      <c r="BG76" s="62">
        <f t="shared" ca="1" si="203"/>
        <v>0</v>
      </c>
      <c r="BH76" s="62">
        <f t="shared" ca="1" si="204"/>
        <v>0</v>
      </c>
      <c r="BI76" s="62">
        <f t="shared" ca="1" si="205"/>
        <v>0</v>
      </c>
      <c r="BJ76" s="62">
        <f t="shared" ca="1" si="206"/>
        <v>0</v>
      </c>
      <c r="BK76" s="62">
        <f t="shared" ca="1" si="207"/>
        <v>0</v>
      </c>
      <c r="BL76" s="62">
        <f t="shared" ca="1" si="208"/>
        <v>0</v>
      </c>
      <c r="BM76" s="62">
        <f t="shared" ca="1" si="209"/>
        <v>0</v>
      </c>
      <c r="BN76" s="62">
        <f t="shared" ca="1" si="210"/>
        <v>0</v>
      </c>
      <c r="BO76" s="62">
        <f t="shared" ca="1" si="211"/>
        <v>0</v>
      </c>
      <c r="BP76" s="62">
        <f t="shared" ca="1" si="212"/>
        <v>0</v>
      </c>
      <c r="BQ76" s="62">
        <f t="shared" ca="1" si="213"/>
        <v>0</v>
      </c>
      <c r="BR76" s="62">
        <f t="shared" ca="1" si="214"/>
        <v>0</v>
      </c>
      <c r="BS76" s="62"/>
      <c r="BT76" s="62"/>
      <c r="BU76" s="62"/>
      <c r="BV76" s="62">
        <f t="shared" ca="1" si="215"/>
        <v>0</v>
      </c>
      <c r="BW76" s="62">
        <f t="shared" ca="1" si="216"/>
        <v>0</v>
      </c>
      <c r="BX76" s="62">
        <f t="shared" ca="1" si="217"/>
        <v>0</v>
      </c>
      <c r="BY76" s="62">
        <f t="shared" ca="1" si="218"/>
        <v>0</v>
      </c>
      <c r="BZ76" s="62">
        <f t="shared" ca="1" si="219"/>
        <v>0</v>
      </c>
      <c r="CA76" s="62">
        <f t="shared" ca="1" si="220"/>
        <v>0</v>
      </c>
      <c r="CB76" s="62"/>
      <c r="CC76" s="62"/>
      <c r="CD76" s="62"/>
      <c r="CE76" s="62">
        <f t="shared" ca="1" si="221"/>
        <v>0</v>
      </c>
      <c r="CF76" s="62">
        <f t="shared" ca="1" si="222"/>
        <v>0</v>
      </c>
      <c r="CG76" s="62">
        <f t="shared" ca="1" si="223"/>
        <v>0</v>
      </c>
      <c r="CH76" s="62">
        <f t="shared" ca="1" si="224"/>
        <v>0</v>
      </c>
      <c r="CI76" s="62">
        <f t="shared" ca="1" si="225"/>
        <v>0</v>
      </c>
      <c r="CJ76" s="62">
        <f t="shared" ca="1" si="226"/>
        <v>0</v>
      </c>
      <c r="CK76" s="62">
        <f t="shared" ca="1" si="227"/>
        <v>0</v>
      </c>
      <c r="CL76" s="62">
        <f t="shared" ca="1" si="228"/>
        <v>0</v>
      </c>
      <c r="CM76" s="62">
        <f t="shared" ca="1" si="229"/>
        <v>0</v>
      </c>
      <c r="CN76" s="62">
        <f t="shared" ca="1" si="230"/>
        <v>0</v>
      </c>
      <c r="CO76" s="62">
        <f t="shared" ca="1" si="231"/>
        <v>0</v>
      </c>
      <c r="CP76" s="62">
        <f t="shared" ca="1" si="232"/>
        <v>0</v>
      </c>
      <c r="CQ76" s="62">
        <f t="shared" ca="1" si="233"/>
        <v>0</v>
      </c>
      <c r="CR76" s="62">
        <f t="shared" ca="1" si="234"/>
        <v>0</v>
      </c>
      <c r="CS76" s="62">
        <f t="shared" ca="1" si="235"/>
        <v>0</v>
      </c>
      <c r="CT76" s="62">
        <f t="shared" ca="1" si="236"/>
        <v>0</v>
      </c>
      <c r="CU76" s="62">
        <f t="shared" ca="1" si="237"/>
        <v>0</v>
      </c>
      <c r="CV76" s="62">
        <f t="shared" ca="1" si="238"/>
        <v>0</v>
      </c>
      <c r="CW76" s="62">
        <f t="shared" ca="1" si="239"/>
        <v>0</v>
      </c>
      <c r="CX76" s="62">
        <f t="shared" ca="1" si="240"/>
        <v>0</v>
      </c>
      <c r="CY76" s="62">
        <f t="shared" ca="1" si="241"/>
        <v>0</v>
      </c>
      <c r="CZ76" s="62">
        <f t="shared" ca="1" si="242"/>
        <v>0</v>
      </c>
      <c r="DA76" s="62">
        <f t="shared" ca="1" si="243"/>
        <v>0</v>
      </c>
      <c r="DB76" s="62">
        <f t="shared" ca="1" si="244"/>
        <v>0</v>
      </c>
      <c r="DC76" s="62">
        <f t="shared" ca="1" si="245"/>
        <v>0</v>
      </c>
      <c r="DD76" s="62">
        <f t="shared" ca="1" si="246"/>
        <v>0</v>
      </c>
      <c r="DE76" s="62">
        <f t="shared" ca="1" si="247"/>
        <v>0</v>
      </c>
      <c r="DF76" s="62">
        <f t="shared" ca="1" si="248"/>
        <v>0</v>
      </c>
      <c r="DG76" s="62">
        <f t="shared" ca="1" si="249"/>
        <v>0</v>
      </c>
      <c r="DH76" s="62">
        <f t="shared" ca="1" si="250"/>
        <v>0</v>
      </c>
    </row>
    <row r="77" spans="1:112">
      <c r="A77" s="14">
        <f t="shared" ref="A77:C77" si="263">A15</f>
        <v>13</v>
      </c>
      <c r="B77" s="14">
        <f t="shared" ca="1" si="263"/>
        <v>1.7769039850931945</v>
      </c>
      <c r="C77" s="14">
        <f t="shared" si="263"/>
        <v>4016.5</v>
      </c>
      <c r="P77" s="63" t="b">
        <f t="shared" si="252"/>
        <v>1</v>
      </c>
      <c r="Q77" s="62">
        <f t="shared" ca="1" si="164"/>
        <v>17.363923929398005</v>
      </c>
      <c r="R77" s="62">
        <f t="shared" ca="1" si="165"/>
        <v>12.751664344864984</v>
      </c>
      <c r="S77" s="62">
        <f t="shared" ca="1" si="166"/>
        <v>3.0588296758498057</v>
      </c>
      <c r="T77" s="62">
        <f t="shared" ca="1" si="167"/>
        <v>13.703448781224232</v>
      </c>
      <c r="U77" s="62">
        <f t="shared" ca="1" si="168"/>
        <v>10.745271392024778</v>
      </c>
      <c r="V77" s="62">
        <f t="shared" ca="1" si="169"/>
        <v>4.3656384546937907</v>
      </c>
      <c r="W77" s="62">
        <f t="shared" ca="1" si="170"/>
        <v>14.362843632494425</v>
      </c>
      <c r="X77" s="62">
        <f t="shared" ca="1" si="171"/>
        <v>11.577161244479777</v>
      </c>
      <c r="Y77" s="62">
        <f t="shared" ca="1" si="172"/>
        <v>4.3129247042241703</v>
      </c>
      <c r="Z77" s="62">
        <f t="shared" ca="1" si="173"/>
        <v>15.967904760405112</v>
      </c>
      <c r="AA77" s="62">
        <f t="shared" ca="1" si="174"/>
        <v>10.905109799328754</v>
      </c>
      <c r="AB77" s="62">
        <f t="shared" ca="1" si="175"/>
        <v>3.4478074185712826</v>
      </c>
      <c r="AC77" s="62">
        <f t="shared" ca="1" si="176"/>
        <v>13.264742678068968</v>
      </c>
      <c r="AD77" s="62">
        <f t="shared" ca="1" si="177"/>
        <v>10.345928814618194</v>
      </c>
      <c r="AE77" s="62">
        <f t="shared" ca="1" si="178"/>
        <v>3.5535738473648331</v>
      </c>
      <c r="AF77" s="62"/>
      <c r="AG77" s="62"/>
      <c r="AH77" s="62"/>
      <c r="AI77" s="62">
        <f t="shared" ca="1" si="179"/>
        <v>0</v>
      </c>
      <c r="AJ77" s="62">
        <f t="shared" ca="1" si="180"/>
        <v>0</v>
      </c>
      <c r="AK77" s="62">
        <f t="shared" ca="1" si="181"/>
        <v>0</v>
      </c>
      <c r="AL77" s="62">
        <f t="shared" ca="1" si="182"/>
        <v>0</v>
      </c>
      <c r="AM77" s="62">
        <f t="shared" ca="1" si="183"/>
        <v>0</v>
      </c>
      <c r="AN77" s="62">
        <f t="shared" ca="1" si="184"/>
        <v>0</v>
      </c>
      <c r="AO77" s="62">
        <f t="shared" ca="1" si="185"/>
        <v>0</v>
      </c>
      <c r="AP77" s="62">
        <f t="shared" ca="1" si="186"/>
        <v>0</v>
      </c>
      <c r="AQ77" s="62">
        <f t="shared" ca="1" si="187"/>
        <v>0</v>
      </c>
      <c r="AR77" s="62">
        <f t="shared" ca="1" si="188"/>
        <v>0</v>
      </c>
      <c r="AS77" s="62">
        <f t="shared" ca="1" si="189"/>
        <v>0</v>
      </c>
      <c r="AT77" s="62">
        <f t="shared" ca="1" si="190"/>
        <v>0</v>
      </c>
      <c r="AU77" s="62">
        <f t="shared" ca="1" si="191"/>
        <v>0</v>
      </c>
      <c r="AV77" s="62">
        <f t="shared" ca="1" si="192"/>
        <v>0</v>
      </c>
      <c r="AW77" s="62">
        <f t="shared" ca="1" si="193"/>
        <v>0</v>
      </c>
      <c r="AX77" s="62">
        <f t="shared" ca="1" si="194"/>
        <v>0</v>
      </c>
      <c r="AY77" s="62">
        <f t="shared" ca="1" si="195"/>
        <v>0</v>
      </c>
      <c r="AZ77" s="62">
        <f t="shared" ca="1" si="196"/>
        <v>0</v>
      </c>
      <c r="BA77" s="62">
        <f t="shared" ca="1" si="197"/>
        <v>0</v>
      </c>
      <c r="BB77" s="62">
        <f t="shared" ca="1" si="198"/>
        <v>0</v>
      </c>
      <c r="BC77" s="62">
        <f t="shared" ca="1" si="199"/>
        <v>0</v>
      </c>
      <c r="BD77" s="62">
        <f t="shared" ca="1" si="200"/>
        <v>0</v>
      </c>
      <c r="BE77" s="62">
        <f t="shared" ca="1" si="201"/>
        <v>0</v>
      </c>
      <c r="BF77" s="62">
        <f t="shared" ca="1" si="202"/>
        <v>0</v>
      </c>
      <c r="BG77" s="62">
        <f t="shared" ca="1" si="203"/>
        <v>0</v>
      </c>
      <c r="BH77" s="62">
        <f t="shared" ca="1" si="204"/>
        <v>0</v>
      </c>
      <c r="BI77" s="62">
        <f t="shared" ca="1" si="205"/>
        <v>0</v>
      </c>
      <c r="BJ77" s="62">
        <f t="shared" ca="1" si="206"/>
        <v>0</v>
      </c>
      <c r="BK77" s="62">
        <f t="shared" ca="1" si="207"/>
        <v>0</v>
      </c>
      <c r="BL77" s="62">
        <f t="shared" ca="1" si="208"/>
        <v>0</v>
      </c>
      <c r="BM77" s="62">
        <f t="shared" ca="1" si="209"/>
        <v>0</v>
      </c>
      <c r="BN77" s="62">
        <f t="shared" ca="1" si="210"/>
        <v>0</v>
      </c>
      <c r="BO77" s="62">
        <f t="shared" ca="1" si="211"/>
        <v>0</v>
      </c>
      <c r="BP77" s="62">
        <f t="shared" ca="1" si="212"/>
        <v>0</v>
      </c>
      <c r="BQ77" s="62">
        <f t="shared" ca="1" si="213"/>
        <v>0</v>
      </c>
      <c r="BR77" s="62">
        <f t="shared" ca="1" si="214"/>
        <v>0</v>
      </c>
      <c r="BS77" s="62"/>
      <c r="BT77" s="62"/>
      <c r="BU77" s="62"/>
      <c r="BV77" s="62">
        <f t="shared" ca="1" si="215"/>
        <v>0</v>
      </c>
      <c r="BW77" s="62">
        <f t="shared" ca="1" si="216"/>
        <v>0</v>
      </c>
      <c r="BX77" s="62">
        <f t="shared" ca="1" si="217"/>
        <v>0</v>
      </c>
      <c r="BY77" s="62">
        <f t="shared" ca="1" si="218"/>
        <v>0</v>
      </c>
      <c r="BZ77" s="62">
        <f t="shared" ca="1" si="219"/>
        <v>0</v>
      </c>
      <c r="CA77" s="62">
        <f t="shared" ca="1" si="220"/>
        <v>0</v>
      </c>
      <c r="CB77" s="62"/>
      <c r="CC77" s="62"/>
      <c r="CD77" s="62"/>
      <c r="CE77" s="62">
        <f t="shared" ca="1" si="221"/>
        <v>0</v>
      </c>
      <c r="CF77" s="62">
        <f t="shared" ca="1" si="222"/>
        <v>0</v>
      </c>
      <c r="CG77" s="62">
        <f t="shared" ca="1" si="223"/>
        <v>0</v>
      </c>
      <c r="CH77" s="62">
        <f t="shared" ca="1" si="224"/>
        <v>0</v>
      </c>
      <c r="CI77" s="62">
        <f t="shared" ca="1" si="225"/>
        <v>0</v>
      </c>
      <c r="CJ77" s="62">
        <f t="shared" ca="1" si="226"/>
        <v>0</v>
      </c>
      <c r="CK77" s="62">
        <f t="shared" ca="1" si="227"/>
        <v>0</v>
      </c>
      <c r="CL77" s="62">
        <f t="shared" ca="1" si="228"/>
        <v>0</v>
      </c>
      <c r="CM77" s="62">
        <f t="shared" ca="1" si="229"/>
        <v>0</v>
      </c>
      <c r="CN77" s="62">
        <f t="shared" ca="1" si="230"/>
        <v>0</v>
      </c>
      <c r="CO77" s="62">
        <f t="shared" ca="1" si="231"/>
        <v>0</v>
      </c>
      <c r="CP77" s="62">
        <f t="shared" ca="1" si="232"/>
        <v>0</v>
      </c>
      <c r="CQ77" s="62">
        <f t="shared" ca="1" si="233"/>
        <v>0</v>
      </c>
      <c r="CR77" s="62">
        <f t="shared" ca="1" si="234"/>
        <v>0</v>
      </c>
      <c r="CS77" s="62">
        <f t="shared" ca="1" si="235"/>
        <v>0</v>
      </c>
      <c r="CT77" s="62">
        <f t="shared" ca="1" si="236"/>
        <v>0</v>
      </c>
      <c r="CU77" s="62">
        <f t="shared" ca="1" si="237"/>
        <v>0</v>
      </c>
      <c r="CV77" s="62">
        <f t="shared" ca="1" si="238"/>
        <v>0</v>
      </c>
      <c r="CW77" s="62">
        <f t="shared" ca="1" si="239"/>
        <v>0</v>
      </c>
      <c r="CX77" s="62">
        <f t="shared" ca="1" si="240"/>
        <v>0</v>
      </c>
      <c r="CY77" s="62">
        <f t="shared" ca="1" si="241"/>
        <v>0</v>
      </c>
      <c r="CZ77" s="62">
        <f t="shared" ca="1" si="242"/>
        <v>0</v>
      </c>
      <c r="DA77" s="62">
        <f t="shared" ca="1" si="243"/>
        <v>0</v>
      </c>
      <c r="DB77" s="62">
        <f t="shared" ca="1" si="244"/>
        <v>0</v>
      </c>
      <c r="DC77" s="62">
        <f t="shared" ca="1" si="245"/>
        <v>0</v>
      </c>
      <c r="DD77" s="62">
        <f t="shared" ca="1" si="246"/>
        <v>0</v>
      </c>
      <c r="DE77" s="62">
        <f t="shared" ca="1" si="247"/>
        <v>0</v>
      </c>
      <c r="DF77" s="62">
        <f t="shared" ca="1" si="248"/>
        <v>0</v>
      </c>
      <c r="DG77" s="62">
        <f t="shared" ca="1" si="249"/>
        <v>0</v>
      </c>
      <c r="DH77" s="62">
        <f t="shared" ca="1" si="250"/>
        <v>0</v>
      </c>
    </row>
    <row r="78" spans="1:112">
      <c r="A78" s="14">
        <f t="shared" ref="A78:C78" si="264">A16</f>
        <v>14</v>
      </c>
      <c r="B78" s="14">
        <f t="shared" ca="1" si="264"/>
        <v>1.4370560182896255</v>
      </c>
      <c r="C78" s="14">
        <f t="shared" si="264"/>
        <v>4064.6</v>
      </c>
      <c r="P78" s="63" t="b">
        <f t="shared" si="252"/>
        <v>1</v>
      </c>
      <c r="Q78" s="62">
        <f t="shared" ca="1" si="164"/>
        <v>11.134155725074187</v>
      </c>
      <c r="R78" s="62">
        <f t="shared" ca="1" si="165"/>
        <v>9.6104128280176226</v>
      </c>
      <c r="S78" s="62">
        <f t="shared" ca="1" si="166"/>
        <v>2.311104263167123</v>
      </c>
      <c r="T78" s="62">
        <f t="shared" ca="1" si="167"/>
        <v>10.489069846890684</v>
      </c>
      <c r="U78" s="62">
        <f t="shared" ca="1" si="168"/>
        <v>8.6036272225017338</v>
      </c>
      <c r="V78" s="62">
        <f t="shared" ca="1" si="169"/>
        <v>2.6987283076532522</v>
      </c>
      <c r="W78" s="62">
        <f t="shared" ca="1" si="170"/>
        <v>11.059132384449285</v>
      </c>
      <c r="X78" s="62">
        <f t="shared" ca="1" si="171"/>
        <v>9.3639387726062857</v>
      </c>
      <c r="Y78" s="62">
        <f t="shared" ca="1" si="172"/>
        <v>2.5637919158796993</v>
      </c>
      <c r="Z78" s="62">
        <f t="shared" ca="1" si="173"/>
        <v>10.210160285721011</v>
      </c>
      <c r="AA78" s="62">
        <f t="shared" ca="1" si="174"/>
        <v>8.1501017983678601</v>
      </c>
      <c r="AB78" s="62">
        <f t="shared" ca="1" si="175"/>
        <v>2.707663015520906</v>
      </c>
      <c r="AC78" s="62">
        <f t="shared" ca="1" si="176"/>
        <v>10.16590858855057</v>
      </c>
      <c r="AD78" s="62">
        <f t="shared" ca="1" si="177"/>
        <v>8.3677114720944381</v>
      </c>
      <c r="AE78" s="62">
        <f t="shared" ca="1" si="178"/>
        <v>2.0348046867187648</v>
      </c>
      <c r="AF78" s="62"/>
      <c r="AG78" s="62"/>
      <c r="AH78" s="62"/>
      <c r="AI78" s="62">
        <f t="shared" ca="1" si="179"/>
        <v>0</v>
      </c>
      <c r="AJ78" s="62">
        <f t="shared" ca="1" si="180"/>
        <v>0</v>
      </c>
      <c r="AK78" s="62">
        <f t="shared" ca="1" si="181"/>
        <v>0</v>
      </c>
      <c r="AL78" s="62">
        <f t="shared" ca="1" si="182"/>
        <v>0</v>
      </c>
      <c r="AM78" s="62">
        <f t="shared" ca="1" si="183"/>
        <v>0</v>
      </c>
      <c r="AN78" s="62">
        <f t="shared" ca="1" si="184"/>
        <v>0</v>
      </c>
      <c r="AO78" s="62">
        <f t="shared" ca="1" si="185"/>
        <v>0</v>
      </c>
      <c r="AP78" s="62">
        <f t="shared" ca="1" si="186"/>
        <v>0</v>
      </c>
      <c r="AQ78" s="62">
        <f t="shared" ca="1" si="187"/>
        <v>0</v>
      </c>
      <c r="AR78" s="62">
        <f t="shared" ca="1" si="188"/>
        <v>0</v>
      </c>
      <c r="AS78" s="62">
        <f t="shared" ca="1" si="189"/>
        <v>0</v>
      </c>
      <c r="AT78" s="62">
        <f t="shared" ca="1" si="190"/>
        <v>0</v>
      </c>
      <c r="AU78" s="62">
        <f t="shared" ca="1" si="191"/>
        <v>0</v>
      </c>
      <c r="AV78" s="62">
        <f t="shared" ca="1" si="192"/>
        <v>0</v>
      </c>
      <c r="AW78" s="62">
        <f t="shared" ca="1" si="193"/>
        <v>0</v>
      </c>
      <c r="AX78" s="62">
        <f t="shared" ca="1" si="194"/>
        <v>0</v>
      </c>
      <c r="AY78" s="62">
        <f t="shared" ca="1" si="195"/>
        <v>0</v>
      </c>
      <c r="AZ78" s="62">
        <f t="shared" ca="1" si="196"/>
        <v>0</v>
      </c>
      <c r="BA78" s="62">
        <f t="shared" ca="1" si="197"/>
        <v>0</v>
      </c>
      <c r="BB78" s="62">
        <f t="shared" ca="1" si="198"/>
        <v>0</v>
      </c>
      <c r="BC78" s="62">
        <f t="shared" ca="1" si="199"/>
        <v>0</v>
      </c>
      <c r="BD78" s="62">
        <f t="shared" ca="1" si="200"/>
        <v>0</v>
      </c>
      <c r="BE78" s="62">
        <f t="shared" ca="1" si="201"/>
        <v>0</v>
      </c>
      <c r="BF78" s="62">
        <f t="shared" ca="1" si="202"/>
        <v>0</v>
      </c>
      <c r="BG78" s="62">
        <f t="shared" ca="1" si="203"/>
        <v>0</v>
      </c>
      <c r="BH78" s="62">
        <f t="shared" ca="1" si="204"/>
        <v>0</v>
      </c>
      <c r="BI78" s="62">
        <f t="shared" ca="1" si="205"/>
        <v>0</v>
      </c>
      <c r="BJ78" s="62">
        <f t="shared" ca="1" si="206"/>
        <v>0</v>
      </c>
      <c r="BK78" s="62">
        <f t="shared" ca="1" si="207"/>
        <v>0</v>
      </c>
      <c r="BL78" s="62">
        <f t="shared" ca="1" si="208"/>
        <v>0</v>
      </c>
      <c r="BM78" s="62">
        <f t="shared" ca="1" si="209"/>
        <v>0</v>
      </c>
      <c r="BN78" s="62">
        <f t="shared" ca="1" si="210"/>
        <v>0</v>
      </c>
      <c r="BO78" s="62">
        <f t="shared" ca="1" si="211"/>
        <v>0</v>
      </c>
      <c r="BP78" s="62">
        <f t="shared" ca="1" si="212"/>
        <v>0</v>
      </c>
      <c r="BQ78" s="62">
        <f t="shared" ca="1" si="213"/>
        <v>0</v>
      </c>
      <c r="BR78" s="62">
        <f t="shared" ca="1" si="214"/>
        <v>0</v>
      </c>
      <c r="BS78" s="62"/>
      <c r="BT78" s="62"/>
      <c r="BU78" s="62"/>
      <c r="BV78" s="62">
        <f t="shared" ca="1" si="215"/>
        <v>0</v>
      </c>
      <c r="BW78" s="62">
        <f t="shared" ca="1" si="216"/>
        <v>0</v>
      </c>
      <c r="BX78" s="62">
        <f t="shared" ca="1" si="217"/>
        <v>0</v>
      </c>
      <c r="BY78" s="62">
        <f t="shared" ca="1" si="218"/>
        <v>0</v>
      </c>
      <c r="BZ78" s="62">
        <f t="shared" ca="1" si="219"/>
        <v>0</v>
      </c>
      <c r="CA78" s="62">
        <f t="shared" ca="1" si="220"/>
        <v>0</v>
      </c>
      <c r="CB78" s="62"/>
      <c r="CC78" s="62"/>
      <c r="CD78" s="62"/>
      <c r="CE78" s="62">
        <f t="shared" ca="1" si="221"/>
        <v>0</v>
      </c>
      <c r="CF78" s="62">
        <f t="shared" ca="1" si="222"/>
        <v>0</v>
      </c>
      <c r="CG78" s="62">
        <f t="shared" ca="1" si="223"/>
        <v>0</v>
      </c>
      <c r="CH78" s="62">
        <f t="shared" ca="1" si="224"/>
        <v>0</v>
      </c>
      <c r="CI78" s="62">
        <f t="shared" ca="1" si="225"/>
        <v>0</v>
      </c>
      <c r="CJ78" s="62">
        <f t="shared" ca="1" si="226"/>
        <v>0</v>
      </c>
      <c r="CK78" s="62">
        <f t="shared" ca="1" si="227"/>
        <v>0</v>
      </c>
      <c r="CL78" s="62">
        <f t="shared" ca="1" si="228"/>
        <v>0</v>
      </c>
      <c r="CM78" s="62">
        <f t="shared" ca="1" si="229"/>
        <v>0</v>
      </c>
      <c r="CN78" s="62">
        <f t="shared" ca="1" si="230"/>
        <v>0</v>
      </c>
      <c r="CO78" s="62">
        <f t="shared" ca="1" si="231"/>
        <v>0</v>
      </c>
      <c r="CP78" s="62">
        <f t="shared" ca="1" si="232"/>
        <v>0</v>
      </c>
      <c r="CQ78" s="62">
        <f t="shared" ca="1" si="233"/>
        <v>0</v>
      </c>
      <c r="CR78" s="62">
        <f t="shared" ca="1" si="234"/>
        <v>0</v>
      </c>
      <c r="CS78" s="62">
        <f t="shared" ca="1" si="235"/>
        <v>0</v>
      </c>
      <c r="CT78" s="62">
        <f t="shared" ca="1" si="236"/>
        <v>0</v>
      </c>
      <c r="CU78" s="62">
        <f t="shared" ca="1" si="237"/>
        <v>0</v>
      </c>
      <c r="CV78" s="62">
        <f t="shared" ca="1" si="238"/>
        <v>0</v>
      </c>
      <c r="CW78" s="62">
        <f t="shared" ca="1" si="239"/>
        <v>0</v>
      </c>
      <c r="CX78" s="62">
        <f t="shared" ca="1" si="240"/>
        <v>0</v>
      </c>
      <c r="CY78" s="62">
        <f t="shared" ca="1" si="241"/>
        <v>0</v>
      </c>
      <c r="CZ78" s="62">
        <f t="shared" ca="1" si="242"/>
        <v>0</v>
      </c>
      <c r="DA78" s="62">
        <f t="shared" ca="1" si="243"/>
        <v>0</v>
      </c>
      <c r="DB78" s="62">
        <f t="shared" ca="1" si="244"/>
        <v>0</v>
      </c>
      <c r="DC78" s="62">
        <f t="shared" ca="1" si="245"/>
        <v>0</v>
      </c>
      <c r="DD78" s="62">
        <f t="shared" ca="1" si="246"/>
        <v>0</v>
      </c>
      <c r="DE78" s="62">
        <f t="shared" ca="1" si="247"/>
        <v>0</v>
      </c>
      <c r="DF78" s="62">
        <f t="shared" ca="1" si="248"/>
        <v>0</v>
      </c>
      <c r="DG78" s="62">
        <f t="shared" ca="1" si="249"/>
        <v>0</v>
      </c>
      <c r="DH78" s="62">
        <f t="shared" ca="1" si="250"/>
        <v>0</v>
      </c>
    </row>
    <row r="79" spans="1:112">
      <c r="A79" s="14">
        <f t="shared" ref="A79:C79" si="265">A17</f>
        <v>15</v>
      </c>
      <c r="B79" s="14">
        <f t="shared" ca="1" si="265"/>
        <v>1.1960743068778694</v>
      </c>
      <c r="C79" s="14">
        <f t="shared" si="265"/>
        <v>4054.6</v>
      </c>
      <c r="P79" s="63" t="b">
        <f t="shared" si="252"/>
        <v>1</v>
      </c>
      <c r="Q79" s="62">
        <f t="shared" ca="1" si="164"/>
        <v>8.9807053490445767</v>
      </c>
      <c r="R79" s="62">
        <f t="shared" ca="1" si="165"/>
        <v>7.9516032856152359</v>
      </c>
      <c r="S79" s="62">
        <f t="shared" ca="1" si="166"/>
        <v>1.2709644367252422</v>
      </c>
      <c r="T79" s="62">
        <f t="shared" ca="1" si="167"/>
        <v>10.233289369097918</v>
      </c>
      <c r="U79" s="62">
        <f t="shared" ca="1" si="168"/>
        <v>7.6778457699235503</v>
      </c>
      <c r="V79" s="62">
        <f t="shared" ca="1" si="169"/>
        <v>1.0307690214161085</v>
      </c>
      <c r="W79" s="62">
        <f t="shared" ca="1" si="170"/>
        <v>8.9128770233051746</v>
      </c>
      <c r="X79" s="62">
        <f t="shared" ca="1" si="171"/>
        <v>7.7974854154065074</v>
      </c>
      <c r="Y79" s="62">
        <f t="shared" ca="1" si="172"/>
        <v>1.366304085276508</v>
      </c>
      <c r="Z79" s="62">
        <f t="shared" ca="1" si="173"/>
        <v>8.2638433829692524</v>
      </c>
      <c r="AA79" s="62">
        <f t="shared" ca="1" si="174"/>
        <v>6.891633089818785</v>
      </c>
      <c r="AB79" s="62">
        <f t="shared" ca="1" si="175"/>
        <v>1.515366888094136</v>
      </c>
      <c r="AC79" s="62">
        <f t="shared" ca="1" si="176"/>
        <v>8.169065048540908</v>
      </c>
      <c r="AD79" s="62">
        <f t="shared" ca="1" si="177"/>
        <v>6.9177051096451194</v>
      </c>
      <c r="AE79" s="62">
        <f t="shared" ca="1" si="178"/>
        <v>1.0020553949964275</v>
      </c>
      <c r="AF79" s="62"/>
      <c r="AG79" s="62"/>
      <c r="AH79" s="62"/>
      <c r="AI79" s="62">
        <f t="shared" ca="1" si="179"/>
        <v>0</v>
      </c>
      <c r="AJ79" s="62">
        <f t="shared" ca="1" si="180"/>
        <v>0</v>
      </c>
      <c r="AK79" s="62">
        <f t="shared" ca="1" si="181"/>
        <v>0</v>
      </c>
      <c r="AL79" s="62">
        <f t="shared" ca="1" si="182"/>
        <v>0</v>
      </c>
      <c r="AM79" s="62">
        <f t="shared" ca="1" si="183"/>
        <v>0</v>
      </c>
      <c r="AN79" s="62">
        <f t="shared" ca="1" si="184"/>
        <v>0</v>
      </c>
      <c r="AO79" s="62">
        <f t="shared" ca="1" si="185"/>
        <v>0</v>
      </c>
      <c r="AP79" s="62">
        <f t="shared" ca="1" si="186"/>
        <v>0</v>
      </c>
      <c r="AQ79" s="62">
        <f t="shared" ca="1" si="187"/>
        <v>0</v>
      </c>
      <c r="AR79" s="62">
        <f t="shared" ca="1" si="188"/>
        <v>0</v>
      </c>
      <c r="AS79" s="62">
        <f t="shared" ca="1" si="189"/>
        <v>0</v>
      </c>
      <c r="AT79" s="62">
        <f t="shared" ca="1" si="190"/>
        <v>0</v>
      </c>
      <c r="AU79" s="62">
        <f t="shared" ca="1" si="191"/>
        <v>0</v>
      </c>
      <c r="AV79" s="62">
        <f t="shared" ca="1" si="192"/>
        <v>0</v>
      </c>
      <c r="AW79" s="62">
        <f t="shared" ca="1" si="193"/>
        <v>0</v>
      </c>
      <c r="AX79" s="62">
        <f t="shared" ca="1" si="194"/>
        <v>0</v>
      </c>
      <c r="AY79" s="62">
        <f t="shared" ca="1" si="195"/>
        <v>0</v>
      </c>
      <c r="AZ79" s="62">
        <f t="shared" ca="1" si="196"/>
        <v>0</v>
      </c>
      <c r="BA79" s="62">
        <f t="shared" ca="1" si="197"/>
        <v>0</v>
      </c>
      <c r="BB79" s="62">
        <f t="shared" ca="1" si="198"/>
        <v>0</v>
      </c>
      <c r="BC79" s="62">
        <f t="shared" ca="1" si="199"/>
        <v>0</v>
      </c>
      <c r="BD79" s="62">
        <f t="shared" ca="1" si="200"/>
        <v>0</v>
      </c>
      <c r="BE79" s="62">
        <f t="shared" ca="1" si="201"/>
        <v>0</v>
      </c>
      <c r="BF79" s="62">
        <f t="shared" ca="1" si="202"/>
        <v>0</v>
      </c>
      <c r="BG79" s="62">
        <f t="shared" ca="1" si="203"/>
        <v>0</v>
      </c>
      <c r="BH79" s="62">
        <f t="shared" ca="1" si="204"/>
        <v>0</v>
      </c>
      <c r="BI79" s="62">
        <f t="shared" ca="1" si="205"/>
        <v>0</v>
      </c>
      <c r="BJ79" s="62">
        <f t="shared" ca="1" si="206"/>
        <v>0</v>
      </c>
      <c r="BK79" s="62">
        <f t="shared" ca="1" si="207"/>
        <v>0</v>
      </c>
      <c r="BL79" s="62">
        <f t="shared" ca="1" si="208"/>
        <v>0</v>
      </c>
      <c r="BM79" s="62">
        <f t="shared" ca="1" si="209"/>
        <v>0</v>
      </c>
      <c r="BN79" s="62">
        <f t="shared" ca="1" si="210"/>
        <v>0</v>
      </c>
      <c r="BO79" s="62">
        <f t="shared" ca="1" si="211"/>
        <v>0</v>
      </c>
      <c r="BP79" s="62">
        <f t="shared" ca="1" si="212"/>
        <v>0</v>
      </c>
      <c r="BQ79" s="62">
        <f t="shared" ca="1" si="213"/>
        <v>0</v>
      </c>
      <c r="BR79" s="62">
        <f t="shared" ca="1" si="214"/>
        <v>0</v>
      </c>
      <c r="BS79" s="62"/>
      <c r="BT79" s="62"/>
      <c r="BU79" s="62"/>
      <c r="BV79" s="62">
        <f t="shared" ca="1" si="215"/>
        <v>0</v>
      </c>
      <c r="BW79" s="62">
        <f t="shared" ca="1" si="216"/>
        <v>0</v>
      </c>
      <c r="BX79" s="62">
        <f t="shared" ca="1" si="217"/>
        <v>0</v>
      </c>
      <c r="BY79" s="62">
        <f t="shared" ca="1" si="218"/>
        <v>0</v>
      </c>
      <c r="BZ79" s="62">
        <f t="shared" ca="1" si="219"/>
        <v>0</v>
      </c>
      <c r="CA79" s="62">
        <f t="shared" ca="1" si="220"/>
        <v>0</v>
      </c>
      <c r="CB79" s="62"/>
      <c r="CC79" s="62"/>
      <c r="CD79" s="62"/>
      <c r="CE79" s="62">
        <f t="shared" ca="1" si="221"/>
        <v>0</v>
      </c>
      <c r="CF79" s="62">
        <f t="shared" ca="1" si="222"/>
        <v>0</v>
      </c>
      <c r="CG79" s="62">
        <f t="shared" ca="1" si="223"/>
        <v>0</v>
      </c>
      <c r="CH79" s="62">
        <f t="shared" ca="1" si="224"/>
        <v>0</v>
      </c>
      <c r="CI79" s="62">
        <f t="shared" ca="1" si="225"/>
        <v>0</v>
      </c>
      <c r="CJ79" s="62">
        <f t="shared" ca="1" si="226"/>
        <v>0</v>
      </c>
      <c r="CK79" s="62">
        <f t="shared" ca="1" si="227"/>
        <v>0</v>
      </c>
      <c r="CL79" s="62">
        <f t="shared" ca="1" si="228"/>
        <v>0</v>
      </c>
      <c r="CM79" s="62">
        <f t="shared" ca="1" si="229"/>
        <v>0</v>
      </c>
      <c r="CN79" s="62">
        <f t="shared" ca="1" si="230"/>
        <v>0</v>
      </c>
      <c r="CO79" s="62">
        <f t="shared" ca="1" si="231"/>
        <v>0</v>
      </c>
      <c r="CP79" s="62">
        <f t="shared" ca="1" si="232"/>
        <v>0</v>
      </c>
      <c r="CQ79" s="62">
        <f t="shared" ca="1" si="233"/>
        <v>0</v>
      </c>
      <c r="CR79" s="62">
        <f t="shared" ca="1" si="234"/>
        <v>0</v>
      </c>
      <c r="CS79" s="62">
        <f t="shared" ca="1" si="235"/>
        <v>0</v>
      </c>
      <c r="CT79" s="62">
        <f t="shared" ca="1" si="236"/>
        <v>0</v>
      </c>
      <c r="CU79" s="62">
        <f t="shared" ca="1" si="237"/>
        <v>0</v>
      </c>
      <c r="CV79" s="62">
        <f t="shared" ca="1" si="238"/>
        <v>0</v>
      </c>
      <c r="CW79" s="62">
        <f t="shared" ca="1" si="239"/>
        <v>0</v>
      </c>
      <c r="CX79" s="62">
        <f t="shared" ca="1" si="240"/>
        <v>0</v>
      </c>
      <c r="CY79" s="62">
        <f t="shared" ca="1" si="241"/>
        <v>0</v>
      </c>
      <c r="CZ79" s="62">
        <f t="shared" ca="1" si="242"/>
        <v>0</v>
      </c>
      <c r="DA79" s="62">
        <f t="shared" ca="1" si="243"/>
        <v>0</v>
      </c>
      <c r="DB79" s="62">
        <f t="shared" ca="1" si="244"/>
        <v>0</v>
      </c>
      <c r="DC79" s="62">
        <f t="shared" ca="1" si="245"/>
        <v>0</v>
      </c>
      <c r="DD79" s="62">
        <f t="shared" ca="1" si="246"/>
        <v>0</v>
      </c>
      <c r="DE79" s="62">
        <f t="shared" ca="1" si="247"/>
        <v>0</v>
      </c>
      <c r="DF79" s="62">
        <f t="shared" ca="1" si="248"/>
        <v>0</v>
      </c>
      <c r="DG79" s="62">
        <f t="shared" ca="1" si="249"/>
        <v>0</v>
      </c>
      <c r="DH79" s="62">
        <f t="shared" ca="1" si="250"/>
        <v>0</v>
      </c>
    </row>
    <row r="80" spans="1:112">
      <c r="A80" s="14">
        <f t="shared" ref="A80:C80" si="266">A18</f>
        <v>16</v>
      </c>
      <c r="B80" s="14">
        <f t="shared" ca="1" si="266"/>
        <v>0.8864930899240453</v>
      </c>
      <c r="C80" s="14">
        <f t="shared" si="266"/>
        <v>4035.6</v>
      </c>
      <c r="P80" s="63" t="b">
        <f t="shared" si="252"/>
        <v>1</v>
      </c>
      <c r="Q80" s="62">
        <f t="shared" ca="1" si="164"/>
        <v>7.4284009828034208</v>
      </c>
      <c r="R80" s="62">
        <f t="shared" ca="1" si="165"/>
        <v>6.245869533506526</v>
      </c>
      <c r="S80" s="62">
        <f t="shared" ca="1" si="166"/>
        <v>1.7701966826763831</v>
      </c>
      <c r="T80" s="62">
        <f t="shared" ca="1" si="167"/>
        <v>7.0420334845212089</v>
      </c>
      <c r="U80" s="62">
        <f t="shared" ca="1" si="168"/>
        <v>5.5482105613716977</v>
      </c>
      <c r="V80" s="62">
        <f t="shared" ca="1" si="169"/>
        <v>2.002323022983056</v>
      </c>
      <c r="W80" s="62">
        <f t="shared" ca="1" si="170"/>
        <v>9.0183411425796685</v>
      </c>
      <c r="X80" s="62">
        <f t="shared" ca="1" si="171"/>
        <v>6.5478904540740004</v>
      </c>
      <c r="Y80" s="62">
        <f t="shared" ca="1" si="172"/>
        <v>1.5925475963537157</v>
      </c>
      <c r="Z80" s="62">
        <f t="shared" ca="1" si="173"/>
        <v>6.7865377366587936</v>
      </c>
      <c r="AA80" s="62">
        <f t="shared" ca="1" si="174"/>
        <v>5.2022910188249609</v>
      </c>
      <c r="AB80" s="62">
        <f t="shared" ca="1" si="175"/>
        <v>2.0087142747037148</v>
      </c>
      <c r="AC80" s="62">
        <f t="shared" ca="1" si="176"/>
        <v>6.7444625573754289</v>
      </c>
      <c r="AD80" s="62">
        <f t="shared" ca="1" si="177"/>
        <v>5.2843074106489967</v>
      </c>
      <c r="AE80" s="62">
        <f t="shared" ca="1" si="178"/>
        <v>1.5353585032485584</v>
      </c>
      <c r="AF80" s="62"/>
      <c r="AG80" s="62"/>
      <c r="AH80" s="62"/>
      <c r="AI80" s="62">
        <f t="shared" ca="1" si="179"/>
        <v>0</v>
      </c>
      <c r="AJ80" s="62">
        <f t="shared" ca="1" si="180"/>
        <v>0</v>
      </c>
      <c r="AK80" s="62">
        <f t="shared" ca="1" si="181"/>
        <v>0</v>
      </c>
      <c r="AL80" s="62">
        <f t="shared" ca="1" si="182"/>
        <v>0</v>
      </c>
      <c r="AM80" s="62">
        <f t="shared" ca="1" si="183"/>
        <v>0</v>
      </c>
      <c r="AN80" s="62">
        <f t="shared" ca="1" si="184"/>
        <v>0</v>
      </c>
      <c r="AO80" s="62">
        <f t="shared" ca="1" si="185"/>
        <v>0</v>
      </c>
      <c r="AP80" s="62">
        <f t="shared" ca="1" si="186"/>
        <v>0</v>
      </c>
      <c r="AQ80" s="62">
        <f t="shared" ca="1" si="187"/>
        <v>0</v>
      </c>
      <c r="AR80" s="62">
        <f t="shared" ca="1" si="188"/>
        <v>0</v>
      </c>
      <c r="AS80" s="62">
        <f t="shared" ca="1" si="189"/>
        <v>0</v>
      </c>
      <c r="AT80" s="62">
        <f t="shared" ca="1" si="190"/>
        <v>0</v>
      </c>
      <c r="AU80" s="62">
        <f t="shared" ca="1" si="191"/>
        <v>0</v>
      </c>
      <c r="AV80" s="62">
        <f t="shared" ca="1" si="192"/>
        <v>0</v>
      </c>
      <c r="AW80" s="62">
        <f t="shared" ca="1" si="193"/>
        <v>0</v>
      </c>
      <c r="AX80" s="62">
        <f t="shared" ca="1" si="194"/>
        <v>0</v>
      </c>
      <c r="AY80" s="62">
        <f t="shared" ca="1" si="195"/>
        <v>0</v>
      </c>
      <c r="AZ80" s="62">
        <f t="shared" ca="1" si="196"/>
        <v>0</v>
      </c>
      <c r="BA80" s="62">
        <f t="shared" ca="1" si="197"/>
        <v>0</v>
      </c>
      <c r="BB80" s="62">
        <f t="shared" ca="1" si="198"/>
        <v>0</v>
      </c>
      <c r="BC80" s="62">
        <f t="shared" ca="1" si="199"/>
        <v>0</v>
      </c>
      <c r="BD80" s="62">
        <f t="shared" ca="1" si="200"/>
        <v>0</v>
      </c>
      <c r="BE80" s="62">
        <f t="shared" ca="1" si="201"/>
        <v>0</v>
      </c>
      <c r="BF80" s="62">
        <f t="shared" ca="1" si="202"/>
        <v>0</v>
      </c>
      <c r="BG80" s="62">
        <f t="shared" ca="1" si="203"/>
        <v>0</v>
      </c>
      <c r="BH80" s="62">
        <f t="shared" ca="1" si="204"/>
        <v>0</v>
      </c>
      <c r="BI80" s="62">
        <f t="shared" ca="1" si="205"/>
        <v>0</v>
      </c>
      <c r="BJ80" s="62">
        <f t="shared" ca="1" si="206"/>
        <v>0</v>
      </c>
      <c r="BK80" s="62">
        <f t="shared" ca="1" si="207"/>
        <v>0</v>
      </c>
      <c r="BL80" s="62">
        <f t="shared" ca="1" si="208"/>
        <v>0</v>
      </c>
      <c r="BM80" s="62">
        <f t="shared" ca="1" si="209"/>
        <v>0</v>
      </c>
      <c r="BN80" s="62">
        <f t="shared" ca="1" si="210"/>
        <v>0</v>
      </c>
      <c r="BO80" s="62">
        <f t="shared" ca="1" si="211"/>
        <v>0</v>
      </c>
      <c r="BP80" s="62">
        <f t="shared" ca="1" si="212"/>
        <v>0</v>
      </c>
      <c r="BQ80" s="62">
        <f t="shared" ca="1" si="213"/>
        <v>0</v>
      </c>
      <c r="BR80" s="62">
        <f t="shared" ca="1" si="214"/>
        <v>0</v>
      </c>
      <c r="BS80" s="62"/>
      <c r="BT80" s="62"/>
      <c r="BU80" s="62"/>
      <c r="BV80" s="62">
        <f t="shared" ca="1" si="215"/>
        <v>0</v>
      </c>
      <c r="BW80" s="62">
        <f t="shared" ca="1" si="216"/>
        <v>0</v>
      </c>
      <c r="BX80" s="62">
        <f t="shared" ca="1" si="217"/>
        <v>0</v>
      </c>
      <c r="BY80" s="62">
        <f t="shared" ca="1" si="218"/>
        <v>0</v>
      </c>
      <c r="BZ80" s="62">
        <f t="shared" ca="1" si="219"/>
        <v>0</v>
      </c>
      <c r="CA80" s="62">
        <f t="shared" ca="1" si="220"/>
        <v>0</v>
      </c>
      <c r="CB80" s="62"/>
      <c r="CC80" s="62"/>
      <c r="CD80" s="62"/>
      <c r="CE80" s="62">
        <f t="shared" ca="1" si="221"/>
        <v>0</v>
      </c>
      <c r="CF80" s="62">
        <f t="shared" ca="1" si="222"/>
        <v>0</v>
      </c>
      <c r="CG80" s="62">
        <f t="shared" ca="1" si="223"/>
        <v>0</v>
      </c>
      <c r="CH80" s="62">
        <f t="shared" ca="1" si="224"/>
        <v>0</v>
      </c>
      <c r="CI80" s="62">
        <f t="shared" ca="1" si="225"/>
        <v>0</v>
      </c>
      <c r="CJ80" s="62">
        <f t="shared" ca="1" si="226"/>
        <v>0</v>
      </c>
      <c r="CK80" s="62">
        <f t="shared" ca="1" si="227"/>
        <v>0</v>
      </c>
      <c r="CL80" s="62">
        <f t="shared" ca="1" si="228"/>
        <v>0</v>
      </c>
      <c r="CM80" s="62">
        <f t="shared" ca="1" si="229"/>
        <v>0</v>
      </c>
      <c r="CN80" s="62">
        <f t="shared" ca="1" si="230"/>
        <v>0</v>
      </c>
      <c r="CO80" s="62">
        <f t="shared" ca="1" si="231"/>
        <v>0</v>
      </c>
      <c r="CP80" s="62">
        <f t="shared" ca="1" si="232"/>
        <v>0</v>
      </c>
      <c r="CQ80" s="62">
        <f t="shared" ca="1" si="233"/>
        <v>0</v>
      </c>
      <c r="CR80" s="62">
        <f t="shared" ca="1" si="234"/>
        <v>0</v>
      </c>
      <c r="CS80" s="62">
        <f t="shared" ca="1" si="235"/>
        <v>0</v>
      </c>
      <c r="CT80" s="62">
        <f t="shared" ca="1" si="236"/>
        <v>0</v>
      </c>
      <c r="CU80" s="62">
        <f t="shared" ca="1" si="237"/>
        <v>0</v>
      </c>
      <c r="CV80" s="62">
        <f t="shared" ca="1" si="238"/>
        <v>0</v>
      </c>
      <c r="CW80" s="62">
        <f t="shared" ca="1" si="239"/>
        <v>0</v>
      </c>
      <c r="CX80" s="62">
        <f t="shared" ca="1" si="240"/>
        <v>0</v>
      </c>
      <c r="CY80" s="62">
        <f t="shared" ca="1" si="241"/>
        <v>0</v>
      </c>
      <c r="CZ80" s="62">
        <f t="shared" ca="1" si="242"/>
        <v>0</v>
      </c>
      <c r="DA80" s="62">
        <f t="shared" ca="1" si="243"/>
        <v>0</v>
      </c>
      <c r="DB80" s="62">
        <f t="shared" ca="1" si="244"/>
        <v>0</v>
      </c>
      <c r="DC80" s="62">
        <f t="shared" ca="1" si="245"/>
        <v>0</v>
      </c>
      <c r="DD80" s="62">
        <f t="shared" ca="1" si="246"/>
        <v>0</v>
      </c>
      <c r="DE80" s="62">
        <f t="shared" ca="1" si="247"/>
        <v>0</v>
      </c>
      <c r="DF80" s="62">
        <f t="shared" ca="1" si="248"/>
        <v>0</v>
      </c>
      <c r="DG80" s="62">
        <f t="shared" ca="1" si="249"/>
        <v>0</v>
      </c>
      <c r="DH80" s="62">
        <f t="shared" ca="1" si="250"/>
        <v>0</v>
      </c>
    </row>
    <row r="81" spans="1:112">
      <c r="A81" s="14">
        <f t="shared" ref="A81:C81" si="267">A19</f>
        <v>17</v>
      </c>
      <c r="B81" s="14">
        <f t="shared" ca="1" si="267"/>
        <v>0.66310300227883046</v>
      </c>
      <c r="C81" s="14">
        <f t="shared" si="267"/>
        <v>4046.8</v>
      </c>
      <c r="P81" s="63" t="b">
        <f t="shared" si="252"/>
        <v>1</v>
      </c>
      <c r="Q81" s="62">
        <f t="shared" ca="1" si="164"/>
        <v>5.5811494880628025</v>
      </c>
      <c r="R81" s="62">
        <f t="shared" ca="1" si="165"/>
        <v>4.7452493888530833</v>
      </c>
      <c r="S81" s="62">
        <f t="shared" ca="1" si="166"/>
        <v>1.1567309742733067</v>
      </c>
      <c r="T81" s="62">
        <f t="shared" ca="1" si="167"/>
        <v>6.356373266087834</v>
      </c>
      <c r="U81" s="62">
        <f t="shared" ca="1" si="168"/>
        <v>4.4811753135787074</v>
      </c>
      <c r="V81" s="62">
        <f t="shared" ca="1" si="169"/>
        <v>1.0842080438789157</v>
      </c>
      <c r="W81" s="62">
        <f t="shared" ca="1" si="170"/>
        <v>6.7452222262507009</v>
      </c>
      <c r="X81" s="62">
        <f t="shared" ca="1" si="171"/>
        <v>4.9324499454620518</v>
      </c>
      <c r="Y81" s="62">
        <f t="shared" ca="1" si="172"/>
        <v>1.0893078137244896</v>
      </c>
      <c r="Z81" s="62">
        <f t="shared" ca="1" si="173"/>
        <v>5.0890429243024204</v>
      </c>
      <c r="AA81" s="62">
        <f t="shared" ca="1" si="174"/>
        <v>3.9351088312707425</v>
      </c>
      <c r="AB81" s="62">
        <f t="shared" ca="1" si="175"/>
        <v>1.3639739096171546</v>
      </c>
      <c r="AC81" s="62">
        <f t="shared" ca="1" si="176"/>
        <v>5.0942674982002636</v>
      </c>
      <c r="AD81" s="62">
        <f t="shared" ca="1" si="177"/>
        <v>4.0650019557944521</v>
      </c>
      <c r="AE81" s="62">
        <f t="shared" ca="1" si="178"/>
        <v>1.0026223690642926</v>
      </c>
      <c r="AF81" s="62"/>
      <c r="AG81" s="62"/>
      <c r="AH81" s="62"/>
      <c r="AI81" s="62">
        <f t="shared" ca="1" si="179"/>
        <v>0</v>
      </c>
      <c r="AJ81" s="62">
        <f t="shared" ca="1" si="180"/>
        <v>0</v>
      </c>
      <c r="AK81" s="62">
        <f t="shared" ca="1" si="181"/>
        <v>0</v>
      </c>
      <c r="AL81" s="62">
        <f t="shared" ca="1" si="182"/>
        <v>0</v>
      </c>
      <c r="AM81" s="62">
        <f t="shared" ca="1" si="183"/>
        <v>0</v>
      </c>
      <c r="AN81" s="62">
        <f t="shared" ca="1" si="184"/>
        <v>0</v>
      </c>
      <c r="AO81" s="62">
        <f t="shared" ca="1" si="185"/>
        <v>0</v>
      </c>
      <c r="AP81" s="62">
        <f t="shared" ca="1" si="186"/>
        <v>0</v>
      </c>
      <c r="AQ81" s="62">
        <f t="shared" ca="1" si="187"/>
        <v>0</v>
      </c>
      <c r="AR81" s="62">
        <f t="shared" ca="1" si="188"/>
        <v>0</v>
      </c>
      <c r="AS81" s="62">
        <f t="shared" ca="1" si="189"/>
        <v>0</v>
      </c>
      <c r="AT81" s="62">
        <f t="shared" ca="1" si="190"/>
        <v>0</v>
      </c>
      <c r="AU81" s="62">
        <f t="shared" ca="1" si="191"/>
        <v>0</v>
      </c>
      <c r="AV81" s="62">
        <f t="shared" ca="1" si="192"/>
        <v>0</v>
      </c>
      <c r="AW81" s="62">
        <f t="shared" ca="1" si="193"/>
        <v>0</v>
      </c>
      <c r="AX81" s="62">
        <f t="shared" ca="1" si="194"/>
        <v>0</v>
      </c>
      <c r="AY81" s="62">
        <f t="shared" ca="1" si="195"/>
        <v>0</v>
      </c>
      <c r="AZ81" s="62">
        <f t="shared" ca="1" si="196"/>
        <v>0</v>
      </c>
      <c r="BA81" s="62">
        <f t="shared" ca="1" si="197"/>
        <v>0</v>
      </c>
      <c r="BB81" s="62">
        <f t="shared" ca="1" si="198"/>
        <v>0</v>
      </c>
      <c r="BC81" s="62">
        <f t="shared" ca="1" si="199"/>
        <v>0</v>
      </c>
      <c r="BD81" s="62">
        <f t="shared" ca="1" si="200"/>
        <v>0</v>
      </c>
      <c r="BE81" s="62">
        <f t="shared" ca="1" si="201"/>
        <v>0</v>
      </c>
      <c r="BF81" s="62">
        <f t="shared" ca="1" si="202"/>
        <v>0</v>
      </c>
      <c r="BG81" s="62">
        <f t="shared" ca="1" si="203"/>
        <v>0</v>
      </c>
      <c r="BH81" s="62">
        <f t="shared" ca="1" si="204"/>
        <v>0</v>
      </c>
      <c r="BI81" s="62">
        <f t="shared" ca="1" si="205"/>
        <v>0</v>
      </c>
      <c r="BJ81" s="62">
        <f t="shared" ca="1" si="206"/>
        <v>0</v>
      </c>
      <c r="BK81" s="62">
        <f t="shared" ca="1" si="207"/>
        <v>0</v>
      </c>
      <c r="BL81" s="62">
        <f t="shared" ca="1" si="208"/>
        <v>0</v>
      </c>
      <c r="BM81" s="62">
        <f t="shared" ca="1" si="209"/>
        <v>0</v>
      </c>
      <c r="BN81" s="62">
        <f t="shared" ca="1" si="210"/>
        <v>0</v>
      </c>
      <c r="BO81" s="62">
        <f t="shared" ca="1" si="211"/>
        <v>0</v>
      </c>
      <c r="BP81" s="62">
        <f t="shared" ca="1" si="212"/>
        <v>0</v>
      </c>
      <c r="BQ81" s="62">
        <f t="shared" ca="1" si="213"/>
        <v>0</v>
      </c>
      <c r="BR81" s="62">
        <f t="shared" ca="1" si="214"/>
        <v>0</v>
      </c>
      <c r="BS81" s="62"/>
      <c r="BT81" s="62"/>
      <c r="BU81" s="62"/>
      <c r="BV81" s="62">
        <f t="shared" ca="1" si="215"/>
        <v>0</v>
      </c>
      <c r="BW81" s="62">
        <f t="shared" ca="1" si="216"/>
        <v>0</v>
      </c>
      <c r="BX81" s="62">
        <f t="shared" ca="1" si="217"/>
        <v>0</v>
      </c>
      <c r="BY81" s="62">
        <f t="shared" ca="1" si="218"/>
        <v>0</v>
      </c>
      <c r="BZ81" s="62">
        <f t="shared" ca="1" si="219"/>
        <v>0</v>
      </c>
      <c r="CA81" s="62">
        <f t="shared" ca="1" si="220"/>
        <v>0</v>
      </c>
      <c r="CB81" s="62"/>
      <c r="CC81" s="62"/>
      <c r="CD81" s="62"/>
      <c r="CE81" s="62">
        <f t="shared" ca="1" si="221"/>
        <v>0</v>
      </c>
      <c r="CF81" s="62">
        <f t="shared" ca="1" si="222"/>
        <v>0</v>
      </c>
      <c r="CG81" s="62">
        <f t="shared" ca="1" si="223"/>
        <v>0</v>
      </c>
      <c r="CH81" s="62">
        <f t="shared" ca="1" si="224"/>
        <v>0</v>
      </c>
      <c r="CI81" s="62">
        <f t="shared" ca="1" si="225"/>
        <v>0</v>
      </c>
      <c r="CJ81" s="62">
        <f t="shared" ca="1" si="226"/>
        <v>0</v>
      </c>
      <c r="CK81" s="62">
        <f t="shared" ca="1" si="227"/>
        <v>0</v>
      </c>
      <c r="CL81" s="62">
        <f t="shared" ca="1" si="228"/>
        <v>0</v>
      </c>
      <c r="CM81" s="62">
        <f t="shared" ca="1" si="229"/>
        <v>0</v>
      </c>
      <c r="CN81" s="62">
        <f t="shared" ca="1" si="230"/>
        <v>0</v>
      </c>
      <c r="CO81" s="62">
        <f t="shared" ca="1" si="231"/>
        <v>0</v>
      </c>
      <c r="CP81" s="62">
        <f t="shared" ca="1" si="232"/>
        <v>0</v>
      </c>
      <c r="CQ81" s="62">
        <f t="shared" ca="1" si="233"/>
        <v>0</v>
      </c>
      <c r="CR81" s="62">
        <f t="shared" ca="1" si="234"/>
        <v>0</v>
      </c>
      <c r="CS81" s="62">
        <f t="shared" ca="1" si="235"/>
        <v>0</v>
      </c>
      <c r="CT81" s="62">
        <f t="shared" ca="1" si="236"/>
        <v>0</v>
      </c>
      <c r="CU81" s="62">
        <f t="shared" ca="1" si="237"/>
        <v>0</v>
      </c>
      <c r="CV81" s="62">
        <f t="shared" ca="1" si="238"/>
        <v>0</v>
      </c>
      <c r="CW81" s="62">
        <f t="shared" ca="1" si="239"/>
        <v>0</v>
      </c>
      <c r="CX81" s="62">
        <f t="shared" ca="1" si="240"/>
        <v>0</v>
      </c>
      <c r="CY81" s="62">
        <f t="shared" ca="1" si="241"/>
        <v>0</v>
      </c>
      <c r="CZ81" s="62">
        <f t="shared" ca="1" si="242"/>
        <v>0</v>
      </c>
      <c r="DA81" s="62">
        <f t="shared" ca="1" si="243"/>
        <v>0</v>
      </c>
      <c r="DB81" s="62">
        <f t="shared" ca="1" si="244"/>
        <v>0</v>
      </c>
      <c r="DC81" s="62">
        <f t="shared" ca="1" si="245"/>
        <v>0</v>
      </c>
      <c r="DD81" s="62">
        <f t="shared" ca="1" si="246"/>
        <v>0</v>
      </c>
      <c r="DE81" s="62">
        <f t="shared" ca="1" si="247"/>
        <v>0</v>
      </c>
      <c r="DF81" s="62">
        <f t="shared" ca="1" si="248"/>
        <v>0</v>
      </c>
      <c r="DG81" s="62">
        <f t="shared" ca="1" si="249"/>
        <v>0</v>
      </c>
      <c r="DH81" s="62">
        <f t="shared" ca="1" si="250"/>
        <v>0</v>
      </c>
    </row>
    <row r="82" spans="1:112">
      <c r="A82" s="14">
        <f t="shared" ref="A82:C82" si="268">A20</f>
        <v>18</v>
      </c>
      <c r="B82" s="14">
        <f t="shared" ca="1" si="268"/>
        <v>0.15701835940156691</v>
      </c>
      <c r="C82" s="14">
        <f t="shared" si="268"/>
        <v>3830.6</v>
      </c>
      <c r="P82" s="63" t="b">
        <f t="shared" si="252"/>
        <v>1</v>
      </c>
      <c r="Q82" s="62">
        <f t="shared" ca="1" si="164"/>
        <v>2.5663650343309179</v>
      </c>
      <c r="R82" s="62">
        <f t="shared" ca="1" si="165"/>
        <v>1.4936443004316415</v>
      </c>
      <c r="S82" s="62">
        <f t="shared" ca="1" si="166"/>
        <v>1.0792092707222858</v>
      </c>
      <c r="T82" s="62">
        <f t="shared" ca="1" si="167"/>
        <v>2.4575999593112035</v>
      </c>
      <c r="U82" s="62">
        <f t="shared" ca="1" si="168"/>
        <v>1.257417658785343</v>
      </c>
      <c r="V82" s="62">
        <f t="shared" ca="1" si="169"/>
        <v>1.202598759613112</v>
      </c>
      <c r="W82" s="62">
        <f t="shared" ca="1" si="170"/>
        <v>2.2155984768105732</v>
      </c>
      <c r="X82" s="62">
        <f t="shared" ca="1" si="171"/>
        <v>1.3444475295369975</v>
      </c>
      <c r="Y82" s="62">
        <f t="shared" ca="1" si="172"/>
        <v>1.4789563002145507</v>
      </c>
      <c r="Z82" s="62">
        <f t="shared" ca="1" si="173"/>
        <v>2.3491477018093407</v>
      </c>
      <c r="AA82" s="62">
        <f t="shared" ca="1" si="174"/>
        <v>1.1247445283665007</v>
      </c>
      <c r="AB82" s="62">
        <f t="shared" ca="1" si="175"/>
        <v>1.1503779500578992</v>
      </c>
      <c r="AC82" s="62">
        <f t="shared" ca="1" si="176"/>
        <v>1.9237495432233038</v>
      </c>
      <c r="AD82" s="62">
        <f t="shared" ca="1" si="177"/>
        <v>1.0479717535112993</v>
      </c>
      <c r="AE82" s="62">
        <f t="shared" ca="1" si="178"/>
        <v>1.147817204149671</v>
      </c>
      <c r="AF82" s="62"/>
      <c r="AG82" s="62"/>
      <c r="AH82" s="62"/>
      <c r="AI82" s="62">
        <f t="shared" ca="1" si="179"/>
        <v>0</v>
      </c>
      <c r="AJ82" s="62">
        <f t="shared" ca="1" si="180"/>
        <v>0</v>
      </c>
      <c r="AK82" s="62">
        <f t="shared" ca="1" si="181"/>
        <v>0</v>
      </c>
      <c r="AL82" s="62">
        <f t="shared" ca="1" si="182"/>
        <v>0</v>
      </c>
      <c r="AM82" s="62">
        <f t="shared" ca="1" si="183"/>
        <v>0</v>
      </c>
      <c r="AN82" s="62">
        <f t="shared" ca="1" si="184"/>
        <v>0</v>
      </c>
      <c r="AO82" s="62">
        <f t="shared" ca="1" si="185"/>
        <v>0</v>
      </c>
      <c r="AP82" s="62">
        <f t="shared" ca="1" si="186"/>
        <v>0</v>
      </c>
      <c r="AQ82" s="62">
        <f t="shared" ca="1" si="187"/>
        <v>0</v>
      </c>
      <c r="AR82" s="62">
        <f t="shared" ca="1" si="188"/>
        <v>0</v>
      </c>
      <c r="AS82" s="62">
        <f t="shared" ca="1" si="189"/>
        <v>0</v>
      </c>
      <c r="AT82" s="62">
        <f t="shared" ca="1" si="190"/>
        <v>0</v>
      </c>
      <c r="AU82" s="62">
        <f t="shared" ca="1" si="191"/>
        <v>0</v>
      </c>
      <c r="AV82" s="62">
        <f t="shared" ca="1" si="192"/>
        <v>0</v>
      </c>
      <c r="AW82" s="62">
        <f t="shared" ca="1" si="193"/>
        <v>0</v>
      </c>
      <c r="AX82" s="62">
        <f t="shared" ca="1" si="194"/>
        <v>0</v>
      </c>
      <c r="AY82" s="62">
        <f t="shared" ca="1" si="195"/>
        <v>0</v>
      </c>
      <c r="AZ82" s="62">
        <f t="shared" ca="1" si="196"/>
        <v>0</v>
      </c>
      <c r="BA82" s="62">
        <f t="shared" ca="1" si="197"/>
        <v>0</v>
      </c>
      <c r="BB82" s="62">
        <f t="shared" ca="1" si="198"/>
        <v>0</v>
      </c>
      <c r="BC82" s="62">
        <f t="shared" ca="1" si="199"/>
        <v>0</v>
      </c>
      <c r="BD82" s="62">
        <f t="shared" ca="1" si="200"/>
        <v>0</v>
      </c>
      <c r="BE82" s="62">
        <f t="shared" ca="1" si="201"/>
        <v>0</v>
      </c>
      <c r="BF82" s="62">
        <f t="shared" ca="1" si="202"/>
        <v>0</v>
      </c>
      <c r="BG82" s="62">
        <f t="shared" ca="1" si="203"/>
        <v>0</v>
      </c>
      <c r="BH82" s="62">
        <f t="shared" ca="1" si="204"/>
        <v>0</v>
      </c>
      <c r="BI82" s="62">
        <f t="shared" ca="1" si="205"/>
        <v>0</v>
      </c>
      <c r="BJ82" s="62">
        <f t="shared" ca="1" si="206"/>
        <v>0</v>
      </c>
      <c r="BK82" s="62">
        <f t="shared" ca="1" si="207"/>
        <v>0</v>
      </c>
      <c r="BL82" s="62">
        <f t="shared" ca="1" si="208"/>
        <v>0</v>
      </c>
      <c r="BM82" s="62">
        <f t="shared" ca="1" si="209"/>
        <v>0</v>
      </c>
      <c r="BN82" s="62">
        <f t="shared" ca="1" si="210"/>
        <v>0</v>
      </c>
      <c r="BO82" s="62">
        <f t="shared" ca="1" si="211"/>
        <v>0</v>
      </c>
      <c r="BP82" s="62">
        <f t="shared" ca="1" si="212"/>
        <v>0</v>
      </c>
      <c r="BQ82" s="62">
        <f t="shared" ca="1" si="213"/>
        <v>0</v>
      </c>
      <c r="BR82" s="62">
        <f t="shared" ca="1" si="214"/>
        <v>0</v>
      </c>
      <c r="BS82" s="62"/>
      <c r="BT82" s="62"/>
      <c r="BU82" s="62"/>
      <c r="BV82" s="62">
        <f t="shared" ca="1" si="215"/>
        <v>0</v>
      </c>
      <c r="BW82" s="62">
        <f t="shared" ca="1" si="216"/>
        <v>0</v>
      </c>
      <c r="BX82" s="62">
        <f t="shared" ca="1" si="217"/>
        <v>0</v>
      </c>
      <c r="BY82" s="62">
        <f t="shared" ca="1" si="218"/>
        <v>0</v>
      </c>
      <c r="BZ82" s="62">
        <f t="shared" ca="1" si="219"/>
        <v>0</v>
      </c>
      <c r="CA82" s="62">
        <f t="shared" ca="1" si="220"/>
        <v>0</v>
      </c>
      <c r="CB82" s="62"/>
      <c r="CC82" s="62"/>
      <c r="CD82" s="62"/>
      <c r="CE82" s="62">
        <f t="shared" ca="1" si="221"/>
        <v>0</v>
      </c>
      <c r="CF82" s="62">
        <f t="shared" ca="1" si="222"/>
        <v>0</v>
      </c>
      <c r="CG82" s="62">
        <f t="shared" ca="1" si="223"/>
        <v>0</v>
      </c>
      <c r="CH82" s="62">
        <f t="shared" ca="1" si="224"/>
        <v>0</v>
      </c>
      <c r="CI82" s="62">
        <f t="shared" ca="1" si="225"/>
        <v>0</v>
      </c>
      <c r="CJ82" s="62">
        <f t="shared" ca="1" si="226"/>
        <v>0</v>
      </c>
      <c r="CK82" s="62">
        <f t="shared" ca="1" si="227"/>
        <v>0</v>
      </c>
      <c r="CL82" s="62">
        <f t="shared" ca="1" si="228"/>
        <v>0</v>
      </c>
      <c r="CM82" s="62">
        <f t="shared" ca="1" si="229"/>
        <v>0</v>
      </c>
      <c r="CN82" s="62">
        <f t="shared" ca="1" si="230"/>
        <v>0</v>
      </c>
      <c r="CO82" s="62">
        <f t="shared" ca="1" si="231"/>
        <v>0</v>
      </c>
      <c r="CP82" s="62">
        <f t="shared" ca="1" si="232"/>
        <v>0</v>
      </c>
      <c r="CQ82" s="62">
        <f t="shared" ca="1" si="233"/>
        <v>0</v>
      </c>
      <c r="CR82" s="62">
        <f t="shared" ca="1" si="234"/>
        <v>0</v>
      </c>
      <c r="CS82" s="62">
        <f t="shared" ca="1" si="235"/>
        <v>0</v>
      </c>
      <c r="CT82" s="62">
        <f t="shared" ca="1" si="236"/>
        <v>0</v>
      </c>
      <c r="CU82" s="62">
        <f t="shared" ca="1" si="237"/>
        <v>0</v>
      </c>
      <c r="CV82" s="62">
        <f t="shared" ca="1" si="238"/>
        <v>0</v>
      </c>
      <c r="CW82" s="62">
        <f t="shared" ca="1" si="239"/>
        <v>0</v>
      </c>
      <c r="CX82" s="62">
        <f t="shared" ca="1" si="240"/>
        <v>0</v>
      </c>
      <c r="CY82" s="62">
        <f t="shared" ca="1" si="241"/>
        <v>0</v>
      </c>
      <c r="CZ82" s="62">
        <f t="shared" ca="1" si="242"/>
        <v>0</v>
      </c>
      <c r="DA82" s="62">
        <f t="shared" ca="1" si="243"/>
        <v>0</v>
      </c>
      <c r="DB82" s="62">
        <f t="shared" ca="1" si="244"/>
        <v>0</v>
      </c>
      <c r="DC82" s="62">
        <f t="shared" ca="1" si="245"/>
        <v>0</v>
      </c>
      <c r="DD82" s="62">
        <f t="shared" ca="1" si="246"/>
        <v>0</v>
      </c>
      <c r="DE82" s="62">
        <f t="shared" ca="1" si="247"/>
        <v>0</v>
      </c>
      <c r="DF82" s="62">
        <f t="shared" ca="1" si="248"/>
        <v>0</v>
      </c>
      <c r="DG82" s="62">
        <f t="shared" ca="1" si="249"/>
        <v>0</v>
      </c>
      <c r="DH82" s="62">
        <f t="shared" ca="1" si="250"/>
        <v>0</v>
      </c>
    </row>
    <row r="83" spans="1:112">
      <c r="A83" s="14">
        <f t="shared" ref="A83:C83" si="269">A21</f>
        <v>19</v>
      </c>
      <c r="B83" s="14">
        <f t="shared" ca="1" si="269"/>
        <v>0.12828800152468015</v>
      </c>
      <c r="C83" s="14">
        <f t="shared" si="269"/>
        <v>3852.3</v>
      </c>
      <c r="P83" s="63" t="b">
        <f t="shared" si="252"/>
        <v>1</v>
      </c>
      <c r="Q83" s="62">
        <f t="shared" ca="1" si="164"/>
        <v>2.0353989282492839</v>
      </c>
      <c r="R83" s="62">
        <f t="shared" ca="1" si="165"/>
        <v>1.2629142033531784</v>
      </c>
      <c r="S83" s="62">
        <f t="shared" ca="1" si="166"/>
        <v>0.6643907746360046</v>
      </c>
      <c r="T83" s="62">
        <f t="shared" ca="1" si="167"/>
        <v>1.9199763159874101</v>
      </c>
      <c r="U83" s="62">
        <f t="shared" ca="1" si="168"/>
        <v>1.0553520259456897</v>
      </c>
      <c r="V83" s="62">
        <f t="shared" ca="1" si="169"/>
        <v>0.76456191130833462</v>
      </c>
      <c r="W83" s="62">
        <f t="shared" ca="1" si="170"/>
        <v>1.7445570142400655</v>
      </c>
      <c r="X83" s="62">
        <f t="shared" ca="1" si="171"/>
        <v>1.1043659134790262</v>
      </c>
      <c r="Y83" s="62">
        <f t="shared" ca="1" si="172"/>
        <v>1.0086082757080104</v>
      </c>
      <c r="Z83" s="62">
        <f t="shared" ca="1" si="173"/>
        <v>1.8097030873852675</v>
      </c>
      <c r="AA83" s="62">
        <f t="shared" ca="1" si="174"/>
        <v>0.9078313314876395</v>
      </c>
      <c r="AB83" s="62">
        <f t="shared" ca="1" si="175"/>
        <v>0.80506940806328353</v>
      </c>
      <c r="AC83" s="62">
        <f t="shared" ca="1" si="176"/>
        <v>1.5116033312800878</v>
      </c>
      <c r="AD83" s="62">
        <f t="shared" ca="1" si="177"/>
        <v>0.89860032187695738</v>
      </c>
      <c r="AE83" s="62">
        <f t="shared" ca="1" si="178"/>
        <v>0.76484586777702335</v>
      </c>
      <c r="AF83" s="62"/>
      <c r="AG83" s="62"/>
      <c r="AH83" s="62"/>
      <c r="AI83" s="62">
        <f t="shared" ca="1" si="179"/>
        <v>0</v>
      </c>
      <c r="AJ83" s="62">
        <f t="shared" ca="1" si="180"/>
        <v>0</v>
      </c>
      <c r="AK83" s="62">
        <f t="shared" ca="1" si="181"/>
        <v>0</v>
      </c>
      <c r="AL83" s="62">
        <f t="shared" ca="1" si="182"/>
        <v>0</v>
      </c>
      <c r="AM83" s="62">
        <f t="shared" ca="1" si="183"/>
        <v>0</v>
      </c>
      <c r="AN83" s="62">
        <f t="shared" ca="1" si="184"/>
        <v>0</v>
      </c>
      <c r="AO83" s="62">
        <f t="shared" ca="1" si="185"/>
        <v>0</v>
      </c>
      <c r="AP83" s="62">
        <f t="shared" ca="1" si="186"/>
        <v>0</v>
      </c>
      <c r="AQ83" s="62">
        <f t="shared" ca="1" si="187"/>
        <v>0</v>
      </c>
      <c r="AR83" s="62">
        <f t="shared" ca="1" si="188"/>
        <v>0</v>
      </c>
      <c r="AS83" s="62">
        <f t="shared" ca="1" si="189"/>
        <v>0</v>
      </c>
      <c r="AT83" s="62">
        <f t="shared" ca="1" si="190"/>
        <v>0</v>
      </c>
      <c r="AU83" s="62">
        <f t="shared" ca="1" si="191"/>
        <v>0</v>
      </c>
      <c r="AV83" s="62">
        <f t="shared" ca="1" si="192"/>
        <v>0</v>
      </c>
      <c r="AW83" s="62">
        <f t="shared" ca="1" si="193"/>
        <v>0</v>
      </c>
      <c r="AX83" s="62">
        <f t="shared" ca="1" si="194"/>
        <v>0</v>
      </c>
      <c r="AY83" s="62">
        <f t="shared" ca="1" si="195"/>
        <v>0</v>
      </c>
      <c r="AZ83" s="62">
        <f t="shared" ca="1" si="196"/>
        <v>0</v>
      </c>
      <c r="BA83" s="62">
        <f t="shared" ca="1" si="197"/>
        <v>0</v>
      </c>
      <c r="BB83" s="62">
        <f t="shared" ca="1" si="198"/>
        <v>0</v>
      </c>
      <c r="BC83" s="62">
        <f t="shared" ca="1" si="199"/>
        <v>0</v>
      </c>
      <c r="BD83" s="62">
        <f t="shared" ca="1" si="200"/>
        <v>0</v>
      </c>
      <c r="BE83" s="62">
        <f t="shared" ca="1" si="201"/>
        <v>0</v>
      </c>
      <c r="BF83" s="62">
        <f t="shared" ca="1" si="202"/>
        <v>0</v>
      </c>
      <c r="BG83" s="62">
        <f t="shared" ca="1" si="203"/>
        <v>0</v>
      </c>
      <c r="BH83" s="62">
        <f t="shared" ca="1" si="204"/>
        <v>0</v>
      </c>
      <c r="BI83" s="62">
        <f t="shared" ca="1" si="205"/>
        <v>0</v>
      </c>
      <c r="BJ83" s="62">
        <f t="shared" ca="1" si="206"/>
        <v>0</v>
      </c>
      <c r="BK83" s="62">
        <f t="shared" ca="1" si="207"/>
        <v>0</v>
      </c>
      <c r="BL83" s="62">
        <f t="shared" ca="1" si="208"/>
        <v>0</v>
      </c>
      <c r="BM83" s="62">
        <f t="shared" ca="1" si="209"/>
        <v>0</v>
      </c>
      <c r="BN83" s="62">
        <f t="shared" ca="1" si="210"/>
        <v>0</v>
      </c>
      <c r="BO83" s="62">
        <f t="shared" ca="1" si="211"/>
        <v>0</v>
      </c>
      <c r="BP83" s="62">
        <f t="shared" ca="1" si="212"/>
        <v>0</v>
      </c>
      <c r="BQ83" s="62">
        <f t="shared" ca="1" si="213"/>
        <v>0</v>
      </c>
      <c r="BR83" s="62">
        <f t="shared" ca="1" si="214"/>
        <v>0</v>
      </c>
      <c r="BS83" s="62"/>
      <c r="BT83" s="62"/>
      <c r="BU83" s="62"/>
      <c r="BV83" s="62">
        <f t="shared" ca="1" si="215"/>
        <v>0</v>
      </c>
      <c r="BW83" s="62">
        <f t="shared" ca="1" si="216"/>
        <v>0</v>
      </c>
      <c r="BX83" s="62">
        <f t="shared" ca="1" si="217"/>
        <v>0</v>
      </c>
      <c r="BY83" s="62">
        <f t="shared" ca="1" si="218"/>
        <v>0</v>
      </c>
      <c r="BZ83" s="62">
        <f t="shared" ca="1" si="219"/>
        <v>0</v>
      </c>
      <c r="CA83" s="62">
        <f t="shared" ca="1" si="220"/>
        <v>0</v>
      </c>
      <c r="CB83" s="62"/>
      <c r="CC83" s="62"/>
      <c r="CD83" s="62"/>
      <c r="CE83" s="62">
        <f t="shared" ca="1" si="221"/>
        <v>0</v>
      </c>
      <c r="CF83" s="62">
        <f t="shared" ca="1" si="222"/>
        <v>0</v>
      </c>
      <c r="CG83" s="62">
        <f t="shared" ca="1" si="223"/>
        <v>0</v>
      </c>
      <c r="CH83" s="62">
        <f t="shared" ca="1" si="224"/>
        <v>0</v>
      </c>
      <c r="CI83" s="62">
        <f t="shared" ca="1" si="225"/>
        <v>0</v>
      </c>
      <c r="CJ83" s="62">
        <f t="shared" ca="1" si="226"/>
        <v>0</v>
      </c>
      <c r="CK83" s="62">
        <f t="shared" ca="1" si="227"/>
        <v>0</v>
      </c>
      <c r="CL83" s="62">
        <f t="shared" ca="1" si="228"/>
        <v>0</v>
      </c>
      <c r="CM83" s="62">
        <f t="shared" ca="1" si="229"/>
        <v>0</v>
      </c>
      <c r="CN83" s="62">
        <f t="shared" ca="1" si="230"/>
        <v>0</v>
      </c>
      <c r="CO83" s="62">
        <f t="shared" ca="1" si="231"/>
        <v>0</v>
      </c>
      <c r="CP83" s="62">
        <f t="shared" ca="1" si="232"/>
        <v>0</v>
      </c>
      <c r="CQ83" s="62">
        <f t="shared" ca="1" si="233"/>
        <v>0</v>
      </c>
      <c r="CR83" s="62">
        <f t="shared" ca="1" si="234"/>
        <v>0</v>
      </c>
      <c r="CS83" s="62">
        <f t="shared" ca="1" si="235"/>
        <v>0</v>
      </c>
      <c r="CT83" s="62">
        <f t="shared" ca="1" si="236"/>
        <v>0</v>
      </c>
      <c r="CU83" s="62">
        <f t="shared" ca="1" si="237"/>
        <v>0</v>
      </c>
      <c r="CV83" s="62">
        <f t="shared" ca="1" si="238"/>
        <v>0</v>
      </c>
      <c r="CW83" s="62">
        <f t="shared" ca="1" si="239"/>
        <v>0</v>
      </c>
      <c r="CX83" s="62">
        <f t="shared" ca="1" si="240"/>
        <v>0</v>
      </c>
      <c r="CY83" s="62">
        <f t="shared" ca="1" si="241"/>
        <v>0</v>
      </c>
      <c r="CZ83" s="62">
        <f t="shared" ca="1" si="242"/>
        <v>0</v>
      </c>
      <c r="DA83" s="62">
        <f t="shared" ca="1" si="243"/>
        <v>0</v>
      </c>
      <c r="DB83" s="62">
        <f t="shared" ca="1" si="244"/>
        <v>0</v>
      </c>
      <c r="DC83" s="62">
        <f t="shared" ca="1" si="245"/>
        <v>0</v>
      </c>
      <c r="DD83" s="62">
        <f t="shared" ca="1" si="246"/>
        <v>0</v>
      </c>
      <c r="DE83" s="62">
        <f t="shared" ca="1" si="247"/>
        <v>0</v>
      </c>
      <c r="DF83" s="62">
        <f t="shared" ca="1" si="248"/>
        <v>0</v>
      </c>
      <c r="DG83" s="62">
        <f t="shared" ca="1" si="249"/>
        <v>0</v>
      </c>
      <c r="DH83" s="62">
        <f t="shared" ca="1" si="250"/>
        <v>0</v>
      </c>
    </row>
    <row r="84" spans="1:112">
      <c r="A84" s="14">
        <f t="shared" ref="A84:C84" si="270">A22</f>
        <v>20</v>
      </c>
      <c r="B84" s="14">
        <f t="shared" ca="1" si="270"/>
        <v>0.1052422464745905</v>
      </c>
      <c r="C84" s="14">
        <f t="shared" si="270"/>
        <v>3884.6</v>
      </c>
      <c r="P84" s="63" t="b">
        <f t="shared" si="252"/>
        <v>1</v>
      </c>
      <c r="Q84" s="62">
        <f t="shared" ca="1" si="164"/>
        <v>1.2833954375750893</v>
      </c>
      <c r="R84" s="62">
        <f t="shared" ca="1" si="165"/>
        <v>0.95517359689038928</v>
      </c>
      <c r="S84" s="62">
        <f t="shared" ca="1" si="166"/>
        <v>0.41734073940990951</v>
      </c>
      <c r="T84" s="62">
        <f t="shared" ca="1" si="167"/>
        <v>1.2395918215674413</v>
      </c>
      <c r="U84" s="62">
        <f t="shared" ca="1" si="168"/>
        <v>0.80449673164140134</v>
      </c>
      <c r="V84" s="62">
        <f t="shared" ca="1" si="169"/>
        <v>0.59494057251311772</v>
      </c>
      <c r="W84" s="62">
        <f t="shared" ca="1" si="170"/>
        <v>1.6405817005104339</v>
      </c>
      <c r="X84" s="62">
        <f t="shared" ca="1" si="171"/>
        <v>1.0019696184037494</v>
      </c>
      <c r="Y84" s="62">
        <f t="shared" ca="1" si="172"/>
        <v>0.56315811212819478</v>
      </c>
      <c r="Z84" s="62">
        <f t="shared" ca="1" si="173"/>
        <v>1.1601831465903309</v>
      </c>
      <c r="AA84" s="62">
        <f t="shared" ca="1" si="174"/>
        <v>0.70409752041649842</v>
      </c>
      <c r="AB84" s="62">
        <f t="shared" ca="1" si="175"/>
        <v>0.52789092907797863</v>
      </c>
      <c r="AC84" s="62">
        <f t="shared" ca="1" si="176"/>
        <v>1.4258611336258424</v>
      </c>
      <c r="AD84" s="62">
        <f t="shared" ca="1" si="177"/>
        <v>0.8523667028794556</v>
      </c>
      <c r="AE84" s="62">
        <f t="shared" ca="1" si="178"/>
        <v>0.30406147408125633</v>
      </c>
      <c r="AF84" s="62"/>
      <c r="AG84" s="62"/>
      <c r="AH84" s="62"/>
      <c r="AI84" s="62">
        <f t="shared" ca="1" si="179"/>
        <v>0</v>
      </c>
      <c r="AJ84" s="62">
        <f t="shared" ca="1" si="180"/>
        <v>0</v>
      </c>
      <c r="AK84" s="62">
        <f t="shared" ca="1" si="181"/>
        <v>0</v>
      </c>
      <c r="AL84" s="62">
        <f t="shared" ca="1" si="182"/>
        <v>0</v>
      </c>
      <c r="AM84" s="62">
        <f t="shared" ca="1" si="183"/>
        <v>0</v>
      </c>
      <c r="AN84" s="62">
        <f t="shared" ca="1" si="184"/>
        <v>0</v>
      </c>
      <c r="AO84" s="62">
        <f t="shared" ca="1" si="185"/>
        <v>0</v>
      </c>
      <c r="AP84" s="62">
        <f t="shared" ca="1" si="186"/>
        <v>0</v>
      </c>
      <c r="AQ84" s="62">
        <f t="shared" ca="1" si="187"/>
        <v>0</v>
      </c>
      <c r="AR84" s="62">
        <f t="shared" ca="1" si="188"/>
        <v>0</v>
      </c>
      <c r="AS84" s="62">
        <f t="shared" ca="1" si="189"/>
        <v>0</v>
      </c>
      <c r="AT84" s="62">
        <f t="shared" ca="1" si="190"/>
        <v>0</v>
      </c>
      <c r="AU84" s="62">
        <f t="shared" ca="1" si="191"/>
        <v>0</v>
      </c>
      <c r="AV84" s="62">
        <f t="shared" ca="1" si="192"/>
        <v>0</v>
      </c>
      <c r="AW84" s="62">
        <f t="shared" ca="1" si="193"/>
        <v>0</v>
      </c>
      <c r="AX84" s="62">
        <f t="shared" ca="1" si="194"/>
        <v>0</v>
      </c>
      <c r="AY84" s="62">
        <f t="shared" ca="1" si="195"/>
        <v>0</v>
      </c>
      <c r="AZ84" s="62">
        <f t="shared" ca="1" si="196"/>
        <v>0</v>
      </c>
      <c r="BA84" s="62">
        <f t="shared" ca="1" si="197"/>
        <v>0</v>
      </c>
      <c r="BB84" s="62">
        <f t="shared" ca="1" si="198"/>
        <v>0</v>
      </c>
      <c r="BC84" s="62">
        <f t="shared" ca="1" si="199"/>
        <v>0</v>
      </c>
      <c r="BD84" s="62">
        <f t="shared" ca="1" si="200"/>
        <v>0</v>
      </c>
      <c r="BE84" s="62">
        <f t="shared" ca="1" si="201"/>
        <v>0</v>
      </c>
      <c r="BF84" s="62">
        <f t="shared" ca="1" si="202"/>
        <v>0</v>
      </c>
      <c r="BG84" s="62">
        <f t="shared" ca="1" si="203"/>
        <v>0</v>
      </c>
      <c r="BH84" s="62">
        <f t="shared" ca="1" si="204"/>
        <v>0</v>
      </c>
      <c r="BI84" s="62">
        <f t="shared" ca="1" si="205"/>
        <v>0</v>
      </c>
      <c r="BJ84" s="62">
        <f t="shared" ca="1" si="206"/>
        <v>0</v>
      </c>
      <c r="BK84" s="62">
        <f t="shared" ca="1" si="207"/>
        <v>0</v>
      </c>
      <c r="BL84" s="62">
        <f t="shared" ca="1" si="208"/>
        <v>0</v>
      </c>
      <c r="BM84" s="62">
        <f t="shared" ca="1" si="209"/>
        <v>0</v>
      </c>
      <c r="BN84" s="62">
        <f t="shared" ca="1" si="210"/>
        <v>0</v>
      </c>
      <c r="BO84" s="62">
        <f t="shared" ca="1" si="211"/>
        <v>0</v>
      </c>
      <c r="BP84" s="62">
        <f t="shared" ca="1" si="212"/>
        <v>0</v>
      </c>
      <c r="BQ84" s="62">
        <f t="shared" ca="1" si="213"/>
        <v>0</v>
      </c>
      <c r="BR84" s="62">
        <f t="shared" ca="1" si="214"/>
        <v>0</v>
      </c>
      <c r="BS84" s="62"/>
      <c r="BT84" s="62"/>
      <c r="BU84" s="62"/>
      <c r="BV84" s="62">
        <f t="shared" ca="1" si="215"/>
        <v>0</v>
      </c>
      <c r="BW84" s="62">
        <f t="shared" ca="1" si="216"/>
        <v>0</v>
      </c>
      <c r="BX84" s="62">
        <f t="shared" ca="1" si="217"/>
        <v>0</v>
      </c>
      <c r="BY84" s="62">
        <f t="shared" ca="1" si="218"/>
        <v>0</v>
      </c>
      <c r="BZ84" s="62">
        <f t="shared" ca="1" si="219"/>
        <v>0</v>
      </c>
      <c r="CA84" s="62">
        <f t="shared" ca="1" si="220"/>
        <v>0</v>
      </c>
      <c r="CB84" s="62"/>
      <c r="CC84" s="62"/>
      <c r="CD84" s="62"/>
      <c r="CE84" s="62">
        <f t="shared" ca="1" si="221"/>
        <v>0</v>
      </c>
      <c r="CF84" s="62">
        <f t="shared" ca="1" si="222"/>
        <v>0</v>
      </c>
      <c r="CG84" s="62">
        <f t="shared" ca="1" si="223"/>
        <v>0</v>
      </c>
      <c r="CH84" s="62">
        <f t="shared" ca="1" si="224"/>
        <v>0</v>
      </c>
      <c r="CI84" s="62">
        <f t="shared" ca="1" si="225"/>
        <v>0</v>
      </c>
      <c r="CJ84" s="62">
        <f t="shared" ca="1" si="226"/>
        <v>0</v>
      </c>
      <c r="CK84" s="62">
        <f t="shared" ca="1" si="227"/>
        <v>0</v>
      </c>
      <c r="CL84" s="62">
        <f t="shared" ca="1" si="228"/>
        <v>0</v>
      </c>
      <c r="CM84" s="62">
        <f t="shared" ca="1" si="229"/>
        <v>0</v>
      </c>
      <c r="CN84" s="62">
        <f t="shared" ca="1" si="230"/>
        <v>0</v>
      </c>
      <c r="CO84" s="62">
        <f t="shared" ca="1" si="231"/>
        <v>0</v>
      </c>
      <c r="CP84" s="62">
        <f t="shared" ca="1" si="232"/>
        <v>0</v>
      </c>
      <c r="CQ84" s="62">
        <f t="shared" ca="1" si="233"/>
        <v>0</v>
      </c>
      <c r="CR84" s="62">
        <f t="shared" ca="1" si="234"/>
        <v>0</v>
      </c>
      <c r="CS84" s="62">
        <f t="shared" ca="1" si="235"/>
        <v>0</v>
      </c>
      <c r="CT84" s="62">
        <f t="shared" ca="1" si="236"/>
        <v>0</v>
      </c>
      <c r="CU84" s="62">
        <f t="shared" ca="1" si="237"/>
        <v>0</v>
      </c>
      <c r="CV84" s="62">
        <f t="shared" ca="1" si="238"/>
        <v>0</v>
      </c>
      <c r="CW84" s="62">
        <f t="shared" ca="1" si="239"/>
        <v>0</v>
      </c>
      <c r="CX84" s="62">
        <f t="shared" ca="1" si="240"/>
        <v>0</v>
      </c>
      <c r="CY84" s="62">
        <f t="shared" ca="1" si="241"/>
        <v>0</v>
      </c>
      <c r="CZ84" s="62">
        <f t="shared" ca="1" si="242"/>
        <v>0</v>
      </c>
      <c r="DA84" s="62">
        <f t="shared" ca="1" si="243"/>
        <v>0</v>
      </c>
      <c r="DB84" s="62">
        <f t="shared" ca="1" si="244"/>
        <v>0</v>
      </c>
      <c r="DC84" s="62">
        <f t="shared" ca="1" si="245"/>
        <v>0</v>
      </c>
      <c r="DD84" s="62">
        <f t="shared" ca="1" si="246"/>
        <v>0</v>
      </c>
      <c r="DE84" s="62">
        <f t="shared" ca="1" si="247"/>
        <v>0</v>
      </c>
      <c r="DF84" s="62">
        <f t="shared" ca="1" si="248"/>
        <v>0</v>
      </c>
      <c r="DG84" s="62">
        <f t="shared" ca="1" si="249"/>
        <v>0</v>
      </c>
      <c r="DH84" s="62">
        <f t="shared" ca="1" si="250"/>
        <v>0</v>
      </c>
    </row>
    <row r="85" spans="1:112">
      <c r="A85" s="14">
        <f t="shared" ref="A85:C85" si="271">A23</f>
        <v>21</v>
      </c>
      <c r="B85" s="14">
        <f t="shared" ca="1" si="271"/>
        <v>8.7497019701430423E-2</v>
      </c>
      <c r="C85" s="14">
        <f t="shared" si="271"/>
        <v>3874</v>
      </c>
      <c r="P85" s="63" t="b">
        <f t="shared" si="252"/>
        <v>1</v>
      </c>
      <c r="Q85" s="62">
        <f t="shared" ca="1" si="164"/>
        <v>1.2152393129971411</v>
      </c>
      <c r="R85" s="62">
        <f t="shared" ca="1" si="165"/>
        <v>0.86513872440862771</v>
      </c>
      <c r="S85" s="62">
        <f t="shared" ca="1" si="166"/>
        <v>8.7575817482349466E-2</v>
      </c>
      <c r="T85" s="62">
        <f t="shared" ca="1" si="167"/>
        <v>1.1871278161100189</v>
      </c>
      <c r="U85" s="62">
        <f t="shared" ca="1" si="168"/>
        <v>0.72543989793245434</v>
      </c>
      <c r="V85" s="62">
        <f t="shared" ca="1" si="169"/>
        <v>0.25909154447470595</v>
      </c>
      <c r="W85" s="62">
        <f t="shared" ca="1" si="170"/>
        <v>1.077059821843203</v>
      </c>
      <c r="X85" s="62">
        <f t="shared" ca="1" si="171"/>
        <v>0.81718660465174708</v>
      </c>
      <c r="Y85" s="62">
        <f t="shared" ca="1" si="172"/>
        <v>0.35949843130687115</v>
      </c>
      <c r="Z85" s="62">
        <f t="shared" ca="1" si="173"/>
        <v>0.91959353893751217</v>
      </c>
      <c r="AA85" s="62">
        <f t="shared" ca="1" si="174"/>
        <v>0.61802717683865782</v>
      </c>
      <c r="AB85" s="62">
        <f t="shared" ca="1" si="175"/>
        <v>0.23554925522280651</v>
      </c>
      <c r="AC85" s="62">
        <f t="shared" ca="1" si="176"/>
        <v>1.0762060387797736</v>
      </c>
      <c r="AD85" s="62">
        <f t="shared" ca="1" si="177"/>
        <v>0.69197354014038448</v>
      </c>
      <c r="AE85" s="62">
        <f t="shared" ca="1" si="178"/>
        <v>0.15666994198198161</v>
      </c>
      <c r="AF85" s="62"/>
      <c r="AG85" s="62"/>
      <c r="AH85" s="62"/>
      <c r="AI85" s="62">
        <f t="shared" ca="1" si="179"/>
        <v>0</v>
      </c>
      <c r="AJ85" s="62">
        <f t="shared" ca="1" si="180"/>
        <v>0</v>
      </c>
      <c r="AK85" s="62">
        <f t="shared" ca="1" si="181"/>
        <v>0</v>
      </c>
      <c r="AL85" s="62">
        <f t="shared" ca="1" si="182"/>
        <v>0</v>
      </c>
      <c r="AM85" s="62">
        <f t="shared" ca="1" si="183"/>
        <v>0</v>
      </c>
      <c r="AN85" s="62">
        <f t="shared" ca="1" si="184"/>
        <v>0</v>
      </c>
      <c r="AO85" s="62">
        <f t="shared" ca="1" si="185"/>
        <v>0</v>
      </c>
      <c r="AP85" s="62">
        <f t="shared" ca="1" si="186"/>
        <v>0</v>
      </c>
      <c r="AQ85" s="62">
        <f t="shared" ca="1" si="187"/>
        <v>0</v>
      </c>
      <c r="AR85" s="62">
        <f t="shared" ca="1" si="188"/>
        <v>0</v>
      </c>
      <c r="AS85" s="62">
        <f t="shared" ca="1" si="189"/>
        <v>0</v>
      </c>
      <c r="AT85" s="62">
        <f t="shared" ca="1" si="190"/>
        <v>0</v>
      </c>
      <c r="AU85" s="62">
        <f t="shared" ca="1" si="191"/>
        <v>0</v>
      </c>
      <c r="AV85" s="62">
        <f t="shared" ca="1" si="192"/>
        <v>0</v>
      </c>
      <c r="AW85" s="62">
        <f t="shared" ca="1" si="193"/>
        <v>0</v>
      </c>
      <c r="AX85" s="62">
        <f t="shared" ca="1" si="194"/>
        <v>0</v>
      </c>
      <c r="AY85" s="62">
        <f t="shared" ca="1" si="195"/>
        <v>0</v>
      </c>
      <c r="AZ85" s="62">
        <f t="shared" ca="1" si="196"/>
        <v>0</v>
      </c>
      <c r="BA85" s="62">
        <f t="shared" ca="1" si="197"/>
        <v>0</v>
      </c>
      <c r="BB85" s="62">
        <f t="shared" ca="1" si="198"/>
        <v>0</v>
      </c>
      <c r="BC85" s="62">
        <f t="shared" ca="1" si="199"/>
        <v>0</v>
      </c>
      <c r="BD85" s="62">
        <f t="shared" ca="1" si="200"/>
        <v>0</v>
      </c>
      <c r="BE85" s="62">
        <f t="shared" ca="1" si="201"/>
        <v>0</v>
      </c>
      <c r="BF85" s="62">
        <f t="shared" ca="1" si="202"/>
        <v>0</v>
      </c>
      <c r="BG85" s="62">
        <f t="shared" ca="1" si="203"/>
        <v>0</v>
      </c>
      <c r="BH85" s="62">
        <f t="shared" ca="1" si="204"/>
        <v>0</v>
      </c>
      <c r="BI85" s="62">
        <f t="shared" ca="1" si="205"/>
        <v>0</v>
      </c>
      <c r="BJ85" s="62">
        <f t="shared" ca="1" si="206"/>
        <v>0</v>
      </c>
      <c r="BK85" s="62">
        <f t="shared" ca="1" si="207"/>
        <v>0</v>
      </c>
      <c r="BL85" s="62">
        <f t="shared" ca="1" si="208"/>
        <v>0</v>
      </c>
      <c r="BM85" s="62">
        <f t="shared" ca="1" si="209"/>
        <v>0</v>
      </c>
      <c r="BN85" s="62">
        <f t="shared" ca="1" si="210"/>
        <v>0</v>
      </c>
      <c r="BO85" s="62">
        <f t="shared" ca="1" si="211"/>
        <v>0</v>
      </c>
      <c r="BP85" s="62">
        <f t="shared" ca="1" si="212"/>
        <v>0</v>
      </c>
      <c r="BQ85" s="62">
        <f t="shared" ca="1" si="213"/>
        <v>0</v>
      </c>
      <c r="BR85" s="62">
        <f t="shared" ca="1" si="214"/>
        <v>0</v>
      </c>
      <c r="BS85" s="62"/>
      <c r="BT85" s="62"/>
      <c r="BU85" s="62"/>
      <c r="BV85" s="62">
        <f t="shared" ca="1" si="215"/>
        <v>0</v>
      </c>
      <c r="BW85" s="62">
        <f t="shared" ca="1" si="216"/>
        <v>0</v>
      </c>
      <c r="BX85" s="62">
        <f t="shared" ca="1" si="217"/>
        <v>0</v>
      </c>
      <c r="BY85" s="62">
        <f t="shared" ca="1" si="218"/>
        <v>0</v>
      </c>
      <c r="BZ85" s="62">
        <f t="shared" ca="1" si="219"/>
        <v>0</v>
      </c>
      <c r="CA85" s="62">
        <f t="shared" ca="1" si="220"/>
        <v>0</v>
      </c>
      <c r="CB85" s="62"/>
      <c r="CC85" s="62"/>
      <c r="CD85" s="62"/>
      <c r="CE85" s="62">
        <f t="shared" ca="1" si="221"/>
        <v>0</v>
      </c>
      <c r="CF85" s="62">
        <f t="shared" ca="1" si="222"/>
        <v>0</v>
      </c>
      <c r="CG85" s="62">
        <f t="shared" ca="1" si="223"/>
        <v>0</v>
      </c>
      <c r="CH85" s="62">
        <f t="shared" ca="1" si="224"/>
        <v>0</v>
      </c>
      <c r="CI85" s="62">
        <f t="shared" ca="1" si="225"/>
        <v>0</v>
      </c>
      <c r="CJ85" s="62">
        <f t="shared" ca="1" si="226"/>
        <v>0</v>
      </c>
      <c r="CK85" s="62">
        <f t="shared" ca="1" si="227"/>
        <v>0</v>
      </c>
      <c r="CL85" s="62">
        <f t="shared" ca="1" si="228"/>
        <v>0</v>
      </c>
      <c r="CM85" s="62">
        <f t="shared" ca="1" si="229"/>
        <v>0</v>
      </c>
      <c r="CN85" s="62">
        <f t="shared" ca="1" si="230"/>
        <v>0</v>
      </c>
      <c r="CO85" s="62">
        <f t="shared" ca="1" si="231"/>
        <v>0</v>
      </c>
      <c r="CP85" s="62">
        <f t="shared" ca="1" si="232"/>
        <v>0</v>
      </c>
      <c r="CQ85" s="62">
        <f t="shared" ca="1" si="233"/>
        <v>0</v>
      </c>
      <c r="CR85" s="62">
        <f t="shared" ca="1" si="234"/>
        <v>0</v>
      </c>
      <c r="CS85" s="62">
        <f t="shared" ca="1" si="235"/>
        <v>0</v>
      </c>
      <c r="CT85" s="62">
        <f t="shared" ca="1" si="236"/>
        <v>0</v>
      </c>
      <c r="CU85" s="62">
        <f t="shared" ca="1" si="237"/>
        <v>0</v>
      </c>
      <c r="CV85" s="62">
        <f t="shared" ca="1" si="238"/>
        <v>0</v>
      </c>
      <c r="CW85" s="62">
        <f t="shared" ca="1" si="239"/>
        <v>0</v>
      </c>
      <c r="CX85" s="62">
        <f t="shared" ca="1" si="240"/>
        <v>0</v>
      </c>
      <c r="CY85" s="62">
        <f t="shared" ca="1" si="241"/>
        <v>0</v>
      </c>
      <c r="CZ85" s="62">
        <f t="shared" ca="1" si="242"/>
        <v>0</v>
      </c>
      <c r="DA85" s="62">
        <f t="shared" ca="1" si="243"/>
        <v>0</v>
      </c>
      <c r="DB85" s="62">
        <f t="shared" ca="1" si="244"/>
        <v>0</v>
      </c>
      <c r="DC85" s="62">
        <f t="shared" ca="1" si="245"/>
        <v>0</v>
      </c>
      <c r="DD85" s="62">
        <f t="shared" ca="1" si="246"/>
        <v>0</v>
      </c>
      <c r="DE85" s="62">
        <f t="shared" ca="1" si="247"/>
        <v>0</v>
      </c>
      <c r="DF85" s="62">
        <f t="shared" ca="1" si="248"/>
        <v>0</v>
      </c>
      <c r="DG85" s="62">
        <f t="shared" ca="1" si="249"/>
        <v>0</v>
      </c>
      <c r="DH85" s="62">
        <f t="shared" ca="1" si="250"/>
        <v>0</v>
      </c>
    </row>
    <row r="86" spans="1:112">
      <c r="A86" s="14">
        <f t="shared" ref="A86:C86" si="272">A24</f>
        <v>22</v>
      </c>
      <c r="B86" s="14">
        <f t="shared" ca="1" si="272"/>
        <v>6.4528090696904072E-2</v>
      </c>
      <c r="C86" s="14">
        <f t="shared" si="272"/>
        <v>3852.9</v>
      </c>
      <c r="P86" s="63" t="b">
        <f t="shared" si="252"/>
        <v>1</v>
      </c>
      <c r="Q86" s="62">
        <f t="shared" ca="1" si="164"/>
        <v>0.89694398870922332</v>
      </c>
      <c r="R86" s="62">
        <f t="shared" ca="1" si="165"/>
        <v>0.63512466666753675</v>
      </c>
      <c r="S86" s="62">
        <f t="shared" ca="1" si="166"/>
        <v>0.35132785023324203</v>
      </c>
      <c r="T86" s="62">
        <f t="shared" ca="1" si="167"/>
        <v>1.0616648809908991</v>
      </c>
      <c r="U86" s="62">
        <f t="shared" ca="1" si="168"/>
        <v>0.58427483458113416</v>
      </c>
      <c r="V86" s="62">
        <f t="shared" ca="1" si="169"/>
        <v>0.44931393135509606</v>
      </c>
      <c r="W86" s="62">
        <f t="shared" ca="1" si="170"/>
        <v>1.1307896975752161</v>
      </c>
      <c r="X86" s="62">
        <f t="shared" ca="1" si="171"/>
        <v>0.6718397642271976</v>
      </c>
      <c r="Y86" s="62">
        <f t="shared" ca="1" si="172"/>
        <v>0.41731972974291082</v>
      </c>
      <c r="Z86" s="62">
        <f t="shared" ca="1" si="173"/>
        <v>0.80950107113996916</v>
      </c>
      <c r="AA86" s="62">
        <f t="shared" ca="1" si="174"/>
        <v>0.48668732699400219</v>
      </c>
      <c r="AB86" s="62">
        <f t="shared" ca="1" si="175"/>
        <v>0.41570117235181836</v>
      </c>
      <c r="AC86" s="62">
        <f t="shared" ca="1" si="176"/>
        <v>0.79955807010231705</v>
      </c>
      <c r="AD86" s="62">
        <f t="shared" ca="1" si="177"/>
        <v>0.48083465064399139</v>
      </c>
      <c r="AE86" s="62">
        <f t="shared" ca="1" si="178"/>
        <v>0.30989565131343699</v>
      </c>
      <c r="AF86" s="62"/>
      <c r="AG86" s="62"/>
      <c r="AH86" s="62"/>
      <c r="AI86" s="62">
        <f t="shared" ca="1" si="179"/>
        <v>0</v>
      </c>
      <c r="AJ86" s="62">
        <f t="shared" ca="1" si="180"/>
        <v>0</v>
      </c>
      <c r="AK86" s="62">
        <f t="shared" ca="1" si="181"/>
        <v>0</v>
      </c>
      <c r="AL86" s="62">
        <f t="shared" ca="1" si="182"/>
        <v>0</v>
      </c>
      <c r="AM86" s="62">
        <f t="shared" ca="1" si="183"/>
        <v>0</v>
      </c>
      <c r="AN86" s="62">
        <f t="shared" ca="1" si="184"/>
        <v>0</v>
      </c>
      <c r="AO86" s="62">
        <f t="shared" ca="1" si="185"/>
        <v>0</v>
      </c>
      <c r="AP86" s="62">
        <f t="shared" ca="1" si="186"/>
        <v>0</v>
      </c>
      <c r="AQ86" s="62">
        <f t="shared" ca="1" si="187"/>
        <v>0</v>
      </c>
      <c r="AR86" s="62">
        <f t="shared" ca="1" si="188"/>
        <v>0</v>
      </c>
      <c r="AS86" s="62">
        <f t="shared" ca="1" si="189"/>
        <v>0</v>
      </c>
      <c r="AT86" s="62">
        <f t="shared" ca="1" si="190"/>
        <v>0</v>
      </c>
      <c r="AU86" s="62">
        <f t="shared" ca="1" si="191"/>
        <v>0</v>
      </c>
      <c r="AV86" s="62">
        <f t="shared" ca="1" si="192"/>
        <v>0</v>
      </c>
      <c r="AW86" s="62">
        <f t="shared" ca="1" si="193"/>
        <v>0</v>
      </c>
      <c r="AX86" s="62">
        <f t="shared" ca="1" si="194"/>
        <v>0</v>
      </c>
      <c r="AY86" s="62">
        <f t="shared" ca="1" si="195"/>
        <v>0</v>
      </c>
      <c r="AZ86" s="62">
        <f t="shared" ca="1" si="196"/>
        <v>0</v>
      </c>
      <c r="BA86" s="62">
        <f t="shared" ca="1" si="197"/>
        <v>0</v>
      </c>
      <c r="BB86" s="62">
        <f t="shared" ca="1" si="198"/>
        <v>0</v>
      </c>
      <c r="BC86" s="62">
        <f t="shared" ca="1" si="199"/>
        <v>0</v>
      </c>
      <c r="BD86" s="62">
        <f t="shared" ca="1" si="200"/>
        <v>0</v>
      </c>
      <c r="BE86" s="62">
        <f t="shared" ca="1" si="201"/>
        <v>0</v>
      </c>
      <c r="BF86" s="62">
        <f t="shared" ca="1" si="202"/>
        <v>0</v>
      </c>
      <c r="BG86" s="62">
        <f t="shared" ca="1" si="203"/>
        <v>0</v>
      </c>
      <c r="BH86" s="62">
        <f t="shared" ca="1" si="204"/>
        <v>0</v>
      </c>
      <c r="BI86" s="62">
        <f t="shared" ca="1" si="205"/>
        <v>0</v>
      </c>
      <c r="BJ86" s="62">
        <f t="shared" ca="1" si="206"/>
        <v>0</v>
      </c>
      <c r="BK86" s="62">
        <f t="shared" ca="1" si="207"/>
        <v>0</v>
      </c>
      <c r="BL86" s="62">
        <f t="shared" ca="1" si="208"/>
        <v>0</v>
      </c>
      <c r="BM86" s="62">
        <f t="shared" ca="1" si="209"/>
        <v>0</v>
      </c>
      <c r="BN86" s="62">
        <f t="shared" ca="1" si="210"/>
        <v>0</v>
      </c>
      <c r="BO86" s="62">
        <f t="shared" ca="1" si="211"/>
        <v>0</v>
      </c>
      <c r="BP86" s="62">
        <f t="shared" ca="1" si="212"/>
        <v>0</v>
      </c>
      <c r="BQ86" s="62">
        <f t="shared" ca="1" si="213"/>
        <v>0</v>
      </c>
      <c r="BR86" s="62">
        <f t="shared" ca="1" si="214"/>
        <v>0</v>
      </c>
      <c r="BS86" s="62"/>
      <c r="BT86" s="62"/>
      <c r="BU86" s="62"/>
      <c r="BV86" s="62">
        <f t="shared" ca="1" si="215"/>
        <v>0</v>
      </c>
      <c r="BW86" s="62">
        <f t="shared" ca="1" si="216"/>
        <v>0</v>
      </c>
      <c r="BX86" s="62">
        <f t="shared" ca="1" si="217"/>
        <v>0</v>
      </c>
      <c r="BY86" s="62">
        <f t="shared" ca="1" si="218"/>
        <v>0</v>
      </c>
      <c r="BZ86" s="62">
        <f t="shared" ca="1" si="219"/>
        <v>0</v>
      </c>
      <c r="CA86" s="62">
        <f t="shared" ca="1" si="220"/>
        <v>0</v>
      </c>
      <c r="CB86" s="62"/>
      <c r="CC86" s="62"/>
      <c r="CD86" s="62"/>
      <c r="CE86" s="62">
        <f t="shared" ca="1" si="221"/>
        <v>0</v>
      </c>
      <c r="CF86" s="62">
        <f t="shared" ca="1" si="222"/>
        <v>0</v>
      </c>
      <c r="CG86" s="62">
        <f t="shared" ca="1" si="223"/>
        <v>0</v>
      </c>
      <c r="CH86" s="62">
        <f t="shared" ca="1" si="224"/>
        <v>0</v>
      </c>
      <c r="CI86" s="62">
        <f t="shared" ca="1" si="225"/>
        <v>0</v>
      </c>
      <c r="CJ86" s="62">
        <f t="shared" ca="1" si="226"/>
        <v>0</v>
      </c>
      <c r="CK86" s="62">
        <f t="shared" ca="1" si="227"/>
        <v>0</v>
      </c>
      <c r="CL86" s="62">
        <f t="shared" ca="1" si="228"/>
        <v>0</v>
      </c>
      <c r="CM86" s="62">
        <f t="shared" ca="1" si="229"/>
        <v>0</v>
      </c>
      <c r="CN86" s="62">
        <f t="shared" ca="1" si="230"/>
        <v>0</v>
      </c>
      <c r="CO86" s="62">
        <f t="shared" ca="1" si="231"/>
        <v>0</v>
      </c>
      <c r="CP86" s="62">
        <f t="shared" ca="1" si="232"/>
        <v>0</v>
      </c>
      <c r="CQ86" s="62">
        <f t="shared" ca="1" si="233"/>
        <v>0</v>
      </c>
      <c r="CR86" s="62">
        <f t="shared" ca="1" si="234"/>
        <v>0</v>
      </c>
      <c r="CS86" s="62">
        <f t="shared" ca="1" si="235"/>
        <v>0</v>
      </c>
      <c r="CT86" s="62">
        <f t="shared" ca="1" si="236"/>
        <v>0</v>
      </c>
      <c r="CU86" s="62">
        <f t="shared" ca="1" si="237"/>
        <v>0</v>
      </c>
      <c r="CV86" s="62">
        <f t="shared" ca="1" si="238"/>
        <v>0</v>
      </c>
      <c r="CW86" s="62">
        <f t="shared" ca="1" si="239"/>
        <v>0</v>
      </c>
      <c r="CX86" s="62">
        <f t="shared" ca="1" si="240"/>
        <v>0</v>
      </c>
      <c r="CY86" s="62">
        <f t="shared" ca="1" si="241"/>
        <v>0</v>
      </c>
      <c r="CZ86" s="62">
        <f t="shared" ca="1" si="242"/>
        <v>0</v>
      </c>
      <c r="DA86" s="62">
        <f t="shared" ca="1" si="243"/>
        <v>0</v>
      </c>
      <c r="DB86" s="62">
        <f t="shared" ca="1" si="244"/>
        <v>0</v>
      </c>
      <c r="DC86" s="62">
        <f t="shared" ca="1" si="245"/>
        <v>0</v>
      </c>
      <c r="DD86" s="62">
        <f t="shared" ca="1" si="246"/>
        <v>0</v>
      </c>
      <c r="DE86" s="62">
        <f t="shared" ca="1" si="247"/>
        <v>0</v>
      </c>
      <c r="DF86" s="62">
        <f t="shared" ca="1" si="248"/>
        <v>0</v>
      </c>
      <c r="DG86" s="62">
        <f t="shared" ca="1" si="249"/>
        <v>0</v>
      </c>
      <c r="DH86" s="62">
        <f t="shared" ca="1" si="250"/>
        <v>0</v>
      </c>
    </row>
    <row r="87" spans="1:112">
      <c r="A87" s="14">
        <f t="shared" ref="A87:C87" si="273">A25</f>
        <v>23</v>
      </c>
      <c r="B87" s="14">
        <f t="shared" ca="1" si="273"/>
        <v>4.8396071685701009E-2</v>
      </c>
      <c r="C87" s="14">
        <f t="shared" si="273"/>
        <v>3862.8</v>
      </c>
      <c r="P87" s="63" t="b">
        <f t="shared" si="252"/>
        <v>1</v>
      </c>
      <c r="Q87" s="62">
        <f t="shared" ca="1" si="164"/>
        <v>0.69356689568689434</v>
      </c>
      <c r="R87" s="62">
        <f t="shared" ca="1" si="165"/>
        <v>0.52323342593691402</v>
      </c>
      <c r="S87" s="62">
        <f t="shared" ca="1" si="166"/>
        <v>0.18480165166931325</v>
      </c>
      <c r="T87" s="62">
        <f t="shared" ca="1" si="167"/>
        <v>0.66975979416200004</v>
      </c>
      <c r="U87" s="62">
        <f t="shared" ca="1" si="168"/>
        <v>0.43028049908355698</v>
      </c>
      <c r="V87" s="62">
        <f t="shared" ca="1" si="169"/>
        <v>0.32684113477071219</v>
      </c>
      <c r="W87" s="62">
        <f t="shared" ca="1" si="170"/>
        <v>0.88557770584925943</v>
      </c>
      <c r="X87" s="62">
        <f t="shared" ca="1" si="171"/>
        <v>0.53653693043900075</v>
      </c>
      <c r="Y87" s="62">
        <f t="shared" ca="1" si="172"/>
        <v>0.33232240472491908</v>
      </c>
      <c r="Z87" s="62">
        <f t="shared" ca="1" si="173"/>
        <v>0.60954652819084665</v>
      </c>
      <c r="AA87" s="62">
        <f t="shared" ca="1" si="174"/>
        <v>0.3841225758475304</v>
      </c>
      <c r="AB87" s="62">
        <f t="shared" ca="1" si="175"/>
        <v>0.248972230135065</v>
      </c>
      <c r="AC87" s="62">
        <f t="shared" ca="1" si="176"/>
        <v>0.60120641519517193</v>
      </c>
      <c r="AD87" s="62">
        <f t="shared" ca="1" si="177"/>
        <v>0.36262095183722293</v>
      </c>
      <c r="AE87" s="62">
        <f t="shared" ca="1" si="178"/>
        <v>0.24332812639526777</v>
      </c>
      <c r="AF87" s="62"/>
      <c r="AG87" s="62"/>
      <c r="AH87" s="62"/>
      <c r="AI87" s="62">
        <f t="shared" ca="1" si="179"/>
        <v>0</v>
      </c>
      <c r="AJ87" s="62">
        <f t="shared" ca="1" si="180"/>
        <v>0</v>
      </c>
      <c r="AK87" s="62">
        <f t="shared" ca="1" si="181"/>
        <v>0</v>
      </c>
      <c r="AL87" s="62">
        <f t="shared" ca="1" si="182"/>
        <v>0</v>
      </c>
      <c r="AM87" s="62">
        <f t="shared" ca="1" si="183"/>
        <v>0</v>
      </c>
      <c r="AN87" s="62">
        <f t="shared" ca="1" si="184"/>
        <v>0</v>
      </c>
      <c r="AO87" s="62">
        <f t="shared" ca="1" si="185"/>
        <v>0</v>
      </c>
      <c r="AP87" s="62">
        <f t="shared" ca="1" si="186"/>
        <v>0</v>
      </c>
      <c r="AQ87" s="62">
        <f t="shared" ca="1" si="187"/>
        <v>0</v>
      </c>
      <c r="AR87" s="62">
        <f t="shared" ca="1" si="188"/>
        <v>0</v>
      </c>
      <c r="AS87" s="62">
        <f t="shared" ca="1" si="189"/>
        <v>0</v>
      </c>
      <c r="AT87" s="62">
        <f t="shared" ca="1" si="190"/>
        <v>0</v>
      </c>
      <c r="AU87" s="62">
        <f t="shared" ca="1" si="191"/>
        <v>0</v>
      </c>
      <c r="AV87" s="62">
        <f t="shared" ca="1" si="192"/>
        <v>0</v>
      </c>
      <c r="AW87" s="62">
        <f t="shared" ca="1" si="193"/>
        <v>0</v>
      </c>
      <c r="AX87" s="62">
        <f t="shared" ca="1" si="194"/>
        <v>0</v>
      </c>
      <c r="AY87" s="62">
        <f t="shared" ca="1" si="195"/>
        <v>0</v>
      </c>
      <c r="AZ87" s="62">
        <f t="shared" ca="1" si="196"/>
        <v>0</v>
      </c>
      <c r="BA87" s="62">
        <f t="shared" ca="1" si="197"/>
        <v>0</v>
      </c>
      <c r="BB87" s="62">
        <f t="shared" ca="1" si="198"/>
        <v>0</v>
      </c>
      <c r="BC87" s="62">
        <f t="shared" ca="1" si="199"/>
        <v>0</v>
      </c>
      <c r="BD87" s="62">
        <f t="shared" ca="1" si="200"/>
        <v>0</v>
      </c>
      <c r="BE87" s="62">
        <f t="shared" ca="1" si="201"/>
        <v>0</v>
      </c>
      <c r="BF87" s="62">
        <f t="shared" ca="1" si="202"/>
        <v>0</v>
      </c>
      <c r="BG87" s="62">
        <f t="shared" ca="1" si="203"/>
        <v>0</v>
      </c>
      <c r="BH87" s="62">
        <f t="shared" ca="1" si="204"/>
        <v>0</v>
      </c>
      <c r="BI87" s="62">
        <f t="shared" ca="1" si="205"/>
        <v>0</v>
      </c>
      <c r="BJ87" s="62">
        <f t="shared" ca="1" si="206"/>
        <v>0</v>
      </c>
      <c r="BK87" s="62">
        <f t="shared" ca="1" si="207"/>
        <v>0</v>
      </c>
      <c r="BL87" s="62">
        <f t="shared" ca="1" si="208"/>
        <v>0</v>
      </c>
      <c r="BM87" s="62">
        <f t="shared" ca="1" si="209"/>
        <v>0</v>
      </c>
      <c r="BN87" s="62">
        <f t="shared" ca="1" si="210"/>
        <v>0</v>
      </c>
      <c r="BO87" s="62">
        <f t="shared" ca="1" si="211"/>
        <v>0</v>
      </c>
      <c r="BP87" s="62">
        <f t="shared" ca="1" si="212"/>
        <v>0</v>
      </c>
      <c r="BQ87" s="62">
        <f t="shared" ca="1" si="213"/>
        <v>0</v>
      </c>
      <c r="BR87" s="62">
        <f t="shared" ca="1" si="214"/>
        <v>0</v>
      </c>
      <c r="BS87" s="62"/>
      <c r="BT87" s="62"/>
      <c r="BU87" s="62"/>
      <c r="BV87" s="62">
        <f t="shared" ca="1" si="215"/>
        <v>0</v>
      </c>
      <c r="BW87" s="62">
        <f t="shared" ca="1" si="216"/>
        <v>0</v>
      </c>
      <c r="BX87" s="62">
        <f t="shared" ca="1" si="217"/>
        <v>0</v>
      </c>
      <c r="BY87" s="62">
        <f t="shared" ca="1" si="218"/>
        <v>0</v>
      </c>
      <c r="BZ87" s="62">
        <f t="shared" ca="1" si="219"/>
        <v>0</v>
      </c>
      <c r="CA87" s="62">
        <f t="shared" ca="1" si="220"/>
        <v>0</v>
      </c>
      <c r="CB87" s="62"/>
      <c r="CC87" s="62"/>
      <c r="CD87" s="62"/>
      <c r="CE87" s="62">
        <f t="shared" ca="1" si="221"/>
        <v>0</v>
      </c>
      <c r="CF87" s="62">
        <f t="shared" ca="1" si="222"/>
        <v>0</v>
      </c>
      <c r="CG87" s="62">
        <f t="shared" ca="1" si="223"/>
        <v>0</v>
      </c>
      <c r="CH87" s="62">
        <f t="shared" ca="1" si="224"/>
        <v>0</v>
      </c>
      <c r="CI87" s="62">
        <f t="shared" ca="1" si="225"/>
        <v>0</v>
      </c>
      <c r="CJ87" s="62">
        <f t="shared" ca="1" si="226"/>
        <v>0</v>
      </c>
      <c r="CK87" s="62">
        <f t="shared" ca="1" si="227"/>
        <v>0</v>
      </c>
      <c r="CL87" s="62">
        <f t="shared" ca="1" si="228"/>
        <v>0</v>
      </c>
      <c r="CM87" s="62">
        <f t="shared" ca="1" si="229"/>
        <v>0</v>
      </c>
      <c r="CN87" s="62">
        <f t="shared" ca="1" si="230"/>
        <v>0</v>
      </c>
      <c r="CO87" s="62">
        <f t="shared" ca="1" si="231"/>
        <v>0</v>
      </c>
      <c r="CP87" s="62">
        <f t="shared" ca="1" si="232"/>
        <v>0</v>
      </c>
      <c r="CQ87" s="62">
        <f t="shared" ca="1" si="233"/>
        <v>0</v>
      </c>
      <c r="CR87" s="62">
        <f t="shared" ca="1" si="234"/>
        <v>0</v>
      </c>
      <c r="CS87" s="62">
        <f t="shared" ca="1" si="235"/>
        <v>0</v>
      </c>
      <c r="CT87" s="62">
        <f t="shared" ca="1" si="236"/>
        <v>0</v>
      </c>
      <c r="CU87" s="62">
        <f t="shared" ca="1" si="237"/>
        <v>0</v>
      </c>
      <c r="CV87" s="62">
        <f t="shared" ca="1" si="238"/>
        <v>0</v>
      </c>
      <c r="CW87" s="62">
        <f t="shared" ca="1" si="239"/>
        <v>0</v>
      </c>
      <c r="CX87" s="62">
        <f t="shared" ca="1" si="240"/>
        <v>0</v>
      </c>
      <c r="CY87" s="62">
        <f t="shared" ca="1" si="241"/>
        <v>0</v>
      </c>
      <c r="CZ87" s="62">
        <f t="shared" ca="1" si="242"/>
        <v>0</v>
      </c>
      <c r="DA87" s="62">
        <f t="shared" ca="1" si="243"/>
        <v>0</v>
      </c>
      <c r="DB87" s="62">
        <f t="shared" ca="1" si="244"/>
        <v>0</v>
      </c>
      <c r="DC87" s="62">
        <f t="shared" ca="1" si="245"/>
        <v>0</v>
      </c>
      <c r="DD87" s="62">
        <f t="shared" ca="1" si="246"/>
        <v>0</v>
      </c>
      <c r="DE87" s="62">
        <f t="shared" ca="1" si="247"/>
        <v>0</v>
      </c>
      <c r="DF87" s="62">
        <f t="shared" ca="1" si="248"/>
        <v>0</v>
      </c>
      <c r="DG87" s="62">
        <f t="shared" ca="1" si="249"/>
        <v>0</v>
      </c>
      <c r="DH87" s="62">
        <f t="shared" ca="1" si="250"/>
        <v>0</v>
      </c>
    </row>
    <row r="88" spans="1:112">
      <c r="A88" s="14">
        <f t="shared" ref="A88:C88" si="274">A26</f>
        <v>24</v>
      </c>
      <c r="B88" s="14">
        <f t="shared" ca="1" si="274"/>
        <v>1.6900215363934361E-2</v>
      </c>
      <c r="C88" s="14">
        <f t="shared" si="274"/>
        <v>3782.2</v>
      </c>
      <c r="P88" s="63" t="b">
        <f t="shared" si="252"/>
        <v>1</v>
      </c>
      <c r="Q88" s="62">
        <f t="shared" ca="1" si="164"/>
        <v>0.31941354477711953</v>
      </c>
      <c r="R88" s="62">
        <f t="shared" ca="1" si="165"/>
        <v>0.2349183248907642</v>
      </c>
      <c r="S88" s="62">
        <f t="shared" ca="1" si="166"/>
        <v>0.10878505000472664</v>
      </c>
      <c r="T88" s="62">
        <f t="shared" ca="1" si="167"/>
        <v>0.34561100614938195</v>
      </c>
      <c r="U88" s="62">
        <f t="shared" ca="1" si="168"/>
        <v>0.179693670469803</v>
      </c>
      <c r="V88" s="62">
        <f t="shared" ca="1" si="169"/>
        <v>0.23218395270590547</v>
      </c>
      <c r="W88" s="62">
        <f t="shared" ca="1" si="170"/>
        <v>0.44543076623954236</v>
      </c>
      <c r="X88" s="62">
        <f t="shared" ca="1" si="171"/>
        <v>0.26615246148878324</v>
      </c>
      <c r="Y88" s="62">
        <f t="shared" ca="1" si="172"/>
        <v>0.19380212168296027</v>
      </c>
      <c r="Z88" s="62">
        <f t="shared" ca="1" si="173"/>
        <v>0.34649101867907878</v>
      </c>
      <c r="AA88" s="62">
        <f t="shared" ca="1" si="174"/>
        <v>0.14778976586389095</v>
      </c>
      <c r="AB88" s="62">
        <f t="shared" ca="1" si="175"/>
        <v>0.13114759177634133</v>
      </c>
      <c r="AC88" s="62">
        <f t="shared" ca="1" si="176"/>
        <v>0.28760212376615313</v>
      </c>
      <c r="AD88" s="62">
        <f t="shared" ca="1" si="177"/>
        <v>0.1425118087872862</v>
      </c>
      <c r="AE88" s="62">
        <f t="shared" ca="1" si="178"/>
        <v>0.13931407839048379</v>
      </c>
      <c r="AF88" s="62"/>
      <c r="AG88" s="62"/>
      <c r="AH88" s="62"/>
      <c r="AI88" s="62">
        <f t="shared" ca="1" si="179"/>
        <v>0</v>
      </c>
      <c r="AJ88" s="62">
        <f t="shared" ca="1" si="180"/>
        <v>0</v>
      </c>
      <c r="AK88" s="62">
        <f t="shared" ca="1" si="181"/>
        <v>0</v>
      </c>
      <c r="AL88" s="62">
        <f t="shared" ca="1" si="182"/>
        <v>0</v>
      </c>
      <c r="AM88" s="62">
        <f t="shared" ca="1" si="183"/>
        <v>0</v>
      </c>
      <c r="AN88" s="62">
        <f t="shared" ca="1" si="184"/>
        <v>0</v>
      </c>
      <c r="AO88" s="62">
        <f t="shared" ca="1" si="185"/>
        <v>0</v>
      </c>
      <c r="AP88" s="62">
        <f t="shared" ca="1" si="186"/>
        <v>0</v>
      </c>
      <c r="AQ88" s="62">
        <f t="shared" ca="1" si="187"/>
        <v>0</v>
      </c>
      <c r="AR88" s="62">
        <f t="shared" ca="1" si="188"/>
        <v>0</v>
      </c>
      <c r="AS88" s="62">
        <f t="shared" ca="1" si="189"/>
        <v>0</v>
      </c>
      <c r="AT88" s="62">
        <f t="shared" ca="1" si="190"/>
        <v>0</v>
      </c>
      <c r="AU88" s="62">
        <f t="shared" ca="1" si="191"/>
        <v>0</v>
      </c>
      <c r="AV88" s="62">
        <f t="shared" ca="1" si="192"/>
        <v>0</v>
      </c>
      <c r="AW88" s="62">
        <f t="shared" ca="1" si="193"/>
        <v>0</v>
      </c>
      <c r="AX88" s="62">
        <f t="shared" ca="1" si="194"/>
        <v>0</v>
      </c>
      <c r="AY88" s="62">
        <f t="shared" ca="1" si="195"/>
        <v>0</v>
      </c>
      <c r="AZ88" s="62">
        <f t="shared" ca="1" si="196"/>
        <v>0</v>
      </c>
      <c r="BA88" s="62">
        <f t="shared" ca="1" si="197"/>
        <v>0</v>
      </c>
      <c r="BB88" s="62">
        <f t="shared" ca="1" si="198"/>
        <v>0</v>
      </c>
      <c r="BC88" s="62">
        <f t="shared" ca="1" si="199"/>
        <v>0</v>
      </c>
      <c r="BD88" s="62">
        <f t="shared" ca="1" si="200"/>
        <v>0</v>
      </c>
      <c r="BE88" s="62">
        <f t="shared" ca="1" si="201"/>
        <v>0</v>
      </c>
      <c r="BF88" s="62">
        <f t="shared" ca="1" si="202"/>
        <v>0</v>
      </c>
      <c r="BG88" s="62">
        <f t="shared" ca="1" si="203"/>
        <v>0</v>
      </c>
      <c r="BH88" s="62">
        <f t="shared" ca="1" si="204"/>
        <v>0</v>
      </c>
      <c r="BI88" s="62">
        <f t="shared" ca="1" si="205"/>
        <v>0</v>
      </c>
      <c r="BJ88" s="62">
        <f t="shared" ca="1" si="206"/>
        <v>0</v>
      </c>
      <c r="BK88" s="62">
        <f t="shared" ca="1" si="207"/>
        <v>0</v>
      </c>
      <c r="BL88" s="62">
        <f t="shared" ca="1" si="208"/>
        <v>0</v>
      </c>
      <c r="BM88" s="62">
        <f t="shared" ca="1" si="209"/>
        <v>0</v>
      </c>
      <c r="BN88" s="62">
        <f t="shared" ca="1" si="210"/>
        <v>0</v>
      </c>
      <c r="BO88" s="62">
        <f t="shared" ca="1" si="211"/>
        <v>0</v>
      </c>
      <c r="BP88" s="62">
        <f t="shared" ca="1" si="212"/>
        <v>0</v>
      </c>
      <c r="BQ88" s="62">
        <f t="shared" ca="1" si="213"/>
        <v>0</v>
      </c>
      <c r="BR88" s="62">
        <f t="shared" ca="1" si="214"/>
        <v>0</v>
      </c>
      <c r="BS88" s="62"/>
      <c r="BT88" s="62"/>
      <c r="BU88" s="62"/>
      <c r="BV88" s="62">
        <f t="shared" ca="1" si="215"/>
        <v>0</v>
      </c>
      <c r="BW88" s="62">
        <f t="shared" ca="1" si="216"/>
        <v>0</v>
      </c>
      <c r="BX88" s="62">
        <f t="shared" ca="1" si="217"/>
        <v>0</v>
      </c>
      <c r="BY88" s="62">
        <f t="shared" ca="1" si="218"/>
        <v>0</v>
      </c>
      <c r="BZ88" s="62">
        <f t="shared" ca="1" si="219"/>
        <v>0</v>
      </c>
      <c r="CA88" s="62">
        <f t="shared" ca="1" si="220"/>
        <v>0</v>
      </c>
      <c r="CB88" s="62"/>
      <c r="CC88" s="62"/>
      <c r="CD88" s="62"/>
      <c r="CE88" s="62">
        <f t="shared" ca="1" si="221"/>
        <v>0</v>
      </c>
      <c r="CF88" s="62">
        <f t="shared" ca="1" si="222"/>
        <v>0</v>
      </c>
      <c r="CG88" s="62">
        <f t="shared" ca="1" si="223"/>
        <v>0</v>
      </c>
      <c r="CH88" s="62">
        <f t="shared" ca="1" si="224"/>
        <v>0</v>
      </c>
      <c r="CI88" s="62">
        <f t="shared" ca="1" si="225"/>
        <v>0</v>
      </c>
      <c r="CJ88" s="62">
        <f t="shared" ca="1" si="226"/>
        <v>0</v>
      </c>
      <c r="CK88" s="62">
        <f t="shared" ca="1" si="227"/>
        <v>0</v>
      </c>
      <c r="CL88" s="62">
        <f t="shared" ca="1" si="228"/>
        <v>0</v>
      </c>
      <c r="CM88" s="62">
        <f t="shared" ca="1" si="229"/>
        <v>0</v>
      </c>
      <c r="CN88" s="62">
        <f t="shared" ca="1" si="230"/>
        <v>0</v>
      </c>
      <c r="CO88" s="62">
        <f t="shared" ca="1" si="231"/>
        <v>0</v>
      </c>
      <c r="CP88" s="62">
        <f t="shared" ca="1" si="232"/>
        <v>0</v>
      </c>
      <c r="CQ88" s="62">
        <f t="shared" ca="1" si="233"/>
        <v>0</v>
      </c>
      <c r="CR88" s="62">
        <f t="shared" ca="1" si="234"/>
        <v>0</v>
      </c>
      <c r="CS88" s="62">
        <f t="shared" ca="1" si="235"/>
        <v>0</v>
      </c>
      <c r="CT88" s="62">
        <f t="shared" ca="1" si="236"/>
        <v>0</v>
      </c>
      <c r="CU88" s="62">
        <f t="shared" ca="1" si="237"/>
        <v>0</v>
      </c>
      <c r="CV88" s="62">
        <f t="shared" ca="1" si="238"/>
        <v>0</v>
      </c>
      <c r="CW88" s="62">
        <f t="shared" ca="1" si="239"/>
        <v>0</v>
      </c>
      <c r="CX88" s="62">
        <f t="shared" ca="1" si="240"/>
        <v>0</v>
      </c>
      <c r="CY88" s="62">
        <f t="shared" ca="1" si="241"/>
        <v>0</v>
      </c>
      <c r="CZ88" s="62">
        <f t="shared" ca="1" si="242"/>
        <v>0</v>
      </c>
      <c r="DA88" s="62">
        <f t="shared" ca="1" si="243"/>
        <v>0</v>
      </c>
      <c r="DB88" s="62">
        <f t="shared" ca="1" si="244"/>
        <v>0</v>
      </c>
      <c r="DC88" s="62">
        <f t="shared" ca="1" si="245"/>
        <v>0</v>
      </c>
      <c r="DD88" s="62">
        <f t="shared" ca="1" si="246"/>
        <v>0</v>
      </c>
      <c r="DE88" s="62">
        <f t="shared" ca="1" si="247"/>
        <v>0</v>
      </c>
      <c r="DF88" s="62">
        <f t="shared" ca="1" si="248"/>
        <v>0</v>
      </c>
      <c r="DG88" s="62">
        <f t="shared" ca="1" si="249"/>
        <v>0</v>
      </c>
      <c r="DH88" s="62">
        <f t="shared" ca="1" si="250"/>
        <v>0</v>
      </c>
    </row>
    <row r="89" spans="1:112">
      <c r="A89" s="14">
        <f t="shared" ref="A89:C89" si="275">A27</f>
        <v>25</v>
      </c>
      <c r="B89" s="14">
        <f t="shared" ca="1" si="275"/>
        <v>1.3827448268123942E-2</v>
      </c>
      <c r="C89" s="14">
        <f t="shared" si="275"/>
        <v>3801.6</v>
      </c>
      <c r="P89" s="63" t="b">
        <f t="shared" si="252"/>
        <v>1</v>
      </c>
      <c r="Q89" s="62">
        <f t="shared" ca="1" si="164"/>
        <v>0.26315165853855749</v>
      </c>
      <c r="R89" s="62">
        <f t="shared" ca="1" si="165"/>
        <v>0.18329727750232411</v>
      </c>
      <c r="S89" s="62">
        <f t="shared" ca="1" si="166"/>
        <v>0.11197597870045972</v>
      </c>
      <c r="T89" s="62">
        <f t="shared" ca="1" si="167"/>
        <v>0.26435851029847302</v>
      </c>
      <c r="U89" s="62">
        <f t="shared" ca="1" si="168"/>
        <v>0.18372644438242955</v>
      </c>
      <c r="V89" s="62">
        <f t="shared" ca="1" si="169"/>
        <v>0.12622681992043322</v>
      </c>
      <c r="W89" s="62">
        <f t="shared" ca="1" si="170"/>
        <v>0.30445340409821697</v>
      </c>
      <c r="X89" s="62">
        <f t="shared" ca="1" si="171"/>
        <v>0.18210035915936926</v>
      </c>
      <c r="Y89" s="62">
        <f t="shared" ca="1" si="172"/>
        <v>0.17002962948228423</v>
      </c>
      <c r="Z89" s="62">
        <f t="shared" ca="1" si="173"/>
        <v>0.28685295621073725</v>
      </c>
      <c r="AA89" s="62">
        <f t="shared" ca="1" si="174"/>
        <v>0.12810175963784148</v>
      </c>
      <c r="AB89" s="62">
        <f t="shared" ca="1" si="175"/>
        <v>0.12856390231715009</v>
      </c>
      <c r="AC89" s="62">
        <f t="shared" ca="1" si="176"/>
        <v>0.24489551171930107</v>
      </c>
      <c r="AD89" s="62">
        <f t="shared" ca="1" si="177"/>
        <v>0.15131863018890307</v>
      </c>
      <c r="AE89" s="62">
        <f t="shared" ca="1" si="178"/>
        <v>2.4054281288506028E-2</v>
      </c>
      <c r="AF89" s="62"/>
      <c r="AG89" s="62"/>
      <c r="AH89" s="62"/>
      <c r="AI89" s="62">
        <f t="shared" ca="1" si="179"/>
        <v>0</v>
      </c>
      <c r="AJ89" s="62">
        <f t="shared" ca="1" si="180"/>
        <v>0</v>
      </c>
      <c r="AK89" s="62">
        <f t="shared" ca="1" si="181"/>
        <v>0</v>
      </c>
      <c r="AL89" s="62">
        <f t="shared" ca="1" si="182"/>
        <v>0</v>
      </c>
      <c r="AM89" s="62">
        <f t="shared" ca="1" si="183"/>
        <v>0</v>
      </c>
      <c r="AN89" s="62">
        <f t="shared" ca="1" si="184"/>
        <v>0</v>
      </c>
      <c r="AO89" s="62">
        <f t="shared" ca="1" si="185"/>
        <v>0</v>
      </c>
      <c r="AP89" s="62">
        <f t="shared" ca="1" si="186"/>
        <v>0</v>
      </c>
      <c r="AQ89" s="62">
        <f t="shared" ca="1" si="187"/>
        <v>0</v>
      </c>
      <c r="AR89" s="62">
        <f t="shared" ca="1" si="188"/>
        <v>0</v>
      </c>
      <c r="AS89" s="62">
        <f t="shared" ca="1" si="189"/>
        <v>0</v>
      </c>
      <c r="AT89" s="62">
        <f t="shared" ca="1" si="190"/>
        <v>0</v>
      </c>
      <c r="AU89" s="62">
        <f t="shared" ca="1" si="191"/>
        <v>0</v>
      </c>
      <c r="AV89" s="62">
        <f t="shared" ca="1" si="192"/>
        <v>0</v>
      </c>
      <c r="AW89" s="62">
        <f t="shared" ca="1" si="193"/>
        <v>0</v>
      </c>
      <c r="AX89" s="62">
        <f t="shared" ca="1" si="194"/>
        <v>0</v>
      </c>
      <c r="AY89" s="62">
        <f t="shared" ca="1" si="195"/>
        <v>0</v>
      </c>
      <c r="AZ89" s="62">
        <f t="shared" ca="1" si="196"/>
        <v>0</v>
      </c>
      <c r="BA89" s="62">
        <f t="shared" ca="1" si="197"/>
        <v>0</v>
      </c>
      <c r="BB89" s="62">
        <f t="shared" ca="1" si="198"/>
        <v>0</v>
      </c>
      <c r="BC89" s="62">
        <f t="shared" ca="1" si="199"/>
        <v>0</v>
      </c>
      <c r="BD89" s="62">
        <f t="shared" ca="1" si="200"/>
        <v>0</v>
      </c>
      <c r="BE89" s="62">
        <f t="shared" ca="1" si="201"/>
        <v>0</v>
      </c>
      <c r="BF89" s="62">
        <f t="shared" ca="1" si="202"/>
        <v>0</v>
      </c>
      <c r="BG89" s="62">
        <f t="shared" ca="1" si="203"/>
        <v>0</v>
      </c>
      <c r="BH89" s="62">
        <f t="shared" ca="1" si="204"/>
        <v>0</v>
      </c>
      <c r="BI89" s="62">
        <f t="shared" ca="1" si="205"/>
        <v>0</v>
      </c>
      <c r="BJ89" s="62">
        <f t="shared" ca="1" si="206"/>
        <v>0</v>
      </c>
      <c r="BK89" s="62">
        <f t="shared" ca="1" si="207"/>
        <v>0</v>
      </c>
      <c r="BL89" s="62">
        <f t="shared" ca="1" si="208"/>
        <v>0</v>
      </c>
      <c r="BM89" s="62">
        <f t="shared" ca="1" si="209"/>
        <v>0</v>
      </c>
      <c r="BN89" s="62">
        <f t="shared" ca="1" si="210"/>
        <v>0</v>
      </c>
      <c r="BO89" s="62">
        <f t="shared" ca="1" si="211"/>
        <v>0</v>
      </c>
      <c r="BP89" s="62">
        <f t="shared" ca="1" si="212"/>
        <v>0</v>
      </c>
      <c r="BQ89" s="62">
        <f t="shared" ca="1" si="213"/>
        <v>0</v>
      </c>
      <c r="BR89" s="62">
        <f t="shared" ca="1" si="214"/>
        <v>0</v>
      </c>
      <c r="BS89" s="62"/>
      <c r="BT89" s="62"/>
      <c r="BU89" s="62"/>
      <c r="BV89" s="62">
        <f t="shared" ca="1" si="215"/>
        <v>0</v>
      </c>
      <c r="BW89" s="62">
        <f t="shared" ca="1" si="216"/>
        <v>0</v>
      </c>
      <c r="BX89" s="62">
        <f t="shared" ca="1" si="217"/>
        <v>0</v>
      </c>
      <c r="BY89" s="62">
        <f t="shared" ca="1" si="218"/>
        <v>0</v>
      </c>
      <c r="BZ89" s="62">
        <f t="shared" ca="1" si="219"/>
        <v>0</v>
      </c>
      <c r="CA89" s="62">
        <f t="shared" ca="1" si="220"/>
        <v>0</v>
      </c>
      <c r="CB89" s="62"/>
      <c r="CC89" s="62"/>
      <c r="CD89" s="62"/>
      <c r="CE89" s="62">
        <f t="shared" ca="1" si="221"/>
        <v>0</v>
      </c>
      <c r="CF89" s="62">
        <f t="shared" ca="1" si="222"/>
        <v>0</v>
      </c>
      <c r="CG89" s="62">
        <f t="shared" ca="1" si="223"/>
        <v>0</v>
      </c>
      <c r="CH89" s="62">
        <f t="shared" ca="1" si="224"/>
        <v>0</v>
      </c>
      <c r="CI89" s="62">
        <f t="shared" ca="1" si="225"/>
        <v>0</v>
      </c>
      <c r="CJ89" s="62">
        <f t="shared" ca="1" si="226"/>
        <v>0</v>
      </c>
      <c r="CK89" s="62">
        <f t="shared" ca="1" si="227"/>
        <v>0</v>
      </c>
      <c r="CL89" s="62">
        <f t="shared" ca="1" si="228"/>
        <v>0</v>
      </c>
      <c r="CM89" s="62">
        <f t="shared" ca="1" si="229"/>
        <v>0</v>
      </c>
      <c r="CN89" s="62">
        <f t="shared" ca="1" si="230"/>
        <v>0</v>
      </c>
      <c r="CO89" s="62">
        <f t="shared" ca="1" si="231"/>
        <v>0</v>
      </c>
      <c r="CP89" s="62">
        <f t="shared" ca="1" si="232"/>
        <v>0</v>
      </c>
      <c r="CQ89" s="62">
        <f t="shared" ca="1" si="233"/>
        <v>0</v>
      </c>
      <c r="CR89" s="62">
        <f t="shared" ca="1" si="234"/>
        <v>0</v>
      </c>
      <c r="CS89" s="62">
        <f t="shared" ca="1" si="235"/>
        <v>0</v>
      </c>
      <c r="CT89" s="62">
        <f t="shared" ca="1" si="236"/>
        <v>0</v>
      </c>
      <c r="CU89" s="62">
        <f t="shared" ca="1" si="237"/>
        <v>0</v>
      </c>
      <c r="CV89" s="62">
        <f t="shared" ca="1" si="238"/>
        <v>0</v>
      </c>
      <c r="CW89" s="62">
        <f t="shared" ca="1" si="239"/>
        <v>0</v>
      </c>
      <c r="CX89" s="62">
        <f t="shared" ca="1" si="240"/>
        <v>0</v>
      </c>
      <c r="CY89" s="62">
        <f t="shared" ca="1" si="241"/>
        <v>0</v>
      </c>
      <c r="CZ89" s="62">
        <f t="shared" ca="1" si="242"/>
        <v>0</v>
      </c>
      <c r="DA89" s="62">
        <f t="shared" ca="1" si="243"/>
        <v>0</v>
      </c>
      <c r="DB89" s="62">
        <f t="shared" ca="1" si="244"/>
        <v>0</v>
      </c>
      <c r="DC89" s="62">
        <f t="shared" ca="1" si="245"/>
        <v>0</v>
      </c>
      <c r="DD89" s="62">
        <f t="shared" ca="1" si="246"/>
        <v>0</v>
      </c>
      <c r="DE89" s="62">
        <f t="shared" ca="1" si="247"/>
        <v>0</v>
      </c>
      <c r="DF89" s="62">
        <f t="shared" ca="1" si="248"/>
        <v>0</v>
      </c>
      <c r="DG89" s="62">
        <f t="shared" ca="1" si="249"/>
        <v>0</v>
      </c>
      <c r="DH89" s="62">
        <f t="shared" ca="1" si="250"/>
        <v>0</v>
      </c>
    </row>
    <row r="90" spans="1:112">
      <c r="P90" s="14">
        <f>ROW(P65)+MATCH(TRUE,P65:P89,0)-1</f>
        <v>65</v>
      </c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2"/>
      <c r="AF90" s="62"/>
      <c r="AG90" s="62"/>
      <c r="AH90" s="62"/>
      <c r="AI90" s="62"/>
      <c r="AJ90" s="62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 s="62"/>
      <c r="BZ90" s="62"/>
      <c r="CA90" s="62"/>
      <c r="CB90" s="62"/>
      <c r="CC90" s="62"/>
      <c r="CD90" s="62"/>
      <c r="CE90" s="62"/>
      <c r="CF90" s="62"/>
      <c r="CG90" s="62"/>
      <c r="CH90" s="62"/>
      <c r="CI90" s="62"/>
      <c r="CJ90" s="62"/>
      <c r="CK90" s="62"/>
      <c r="CL90" s="62"/>
      <c r="CM90" s="62"/>
      <c r="CN90" s="62"/>
      <c r="CO90" s="62"/>
      <c r="CP90" s="62"/>
      <c r="CQ90" s="62"/>
      <c r="CR90" s="62"/>
      <c r="CS90" s="62"/>
      <c r="CT90" s="62"/>
      <c r="CU90" s="62"/>
      <c r="CV90" s="62"/>
      <c r="CW90" s="62"/>
      <c r="CX90" s="62"/>
      <c r="CY90" s="62"/>
      <c r="CZ90" s="62"/>
      <c r="DA90" s="62"/>
      <c r="DB90" s="62"/>
      <c r="DC90" s="62"/>
      <c r="DD90" s="62"/>
      <c r="DE90" s="62"/>
      <c r="DF90" s="62"/>
      <c r="DG90" s="62"/>
      <c r="DH90" s="62"/>
    </row>
    <row r="91" spans="1:112"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  <c r="AC91" s="62"/>
      <c r="AD91" s="62"/>
      <c r="AE91" s="62"/>
      <c r="AF91" s="62"/>
      <c r="AG91" s="62"/>
      <c r="AH91" s="62"/>
      <c r="AI91" s="62"/>
      <c r="AJ91" s="62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 s="62"/>
      <c r="BZ91" s="62"/>
      <c r="CA91" s="62"/>
      <c r="CB91" s="62"/>
      <c r="CC91" s="62"/>
      <c r="CD91" s="62"/>
      <c r="CE91" s="62"/>
      <c r="CF91" s="62"/>
      <c r="CG91" s="62"/>
      <c r="CH91" s="62"/>
      <c r="CI91" s="62"/>
      <c r="CJ91" s="62"/>
      <c r="CK91" s="62"/>
      <c r="CL91" s="62"/>
      <c r="CM91" s="62"/>
      <c r="CN91" s="62"/>
      <c r="CO91" s="62"/>
      <c r="CP91" s="62"/>
      <c r="CQ91" s="62"/>
      <c r="CR91" s="62"/>
      <c r="CS91" s="62"/>
      <c r="CT91" s="62"/>
      <c r="CU91" s="62"/>
      <c r="CV91" s="62"/>
      <c r="CW91" s="62"/>
      <c r="CX91" s="62"/>
      <c r="CY91" s="62"/>
      <c r="CZ91" s="62"/>
      <c r="DA91" s="62"/>
      <c r="DB91" s="62"/>
      <c r="DC91" s="62"/>
      <c r="DD91" s="62"/>
      <c r="DE91" s="62"/>
      <c r="DF91" s="62"/>
      <c r="DG91" s="62"/>
      <c r="DH91" s="62"/>
    </row>
    <row r="92" spans="1:112"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  <c r="AC92" s="62"/>
      <c r="AD92" s="62"/>
      <c r="AE92" s="62"/>
      <c r="AF92" s="62"/>
      <c r="AG92" s="62"/>
      <c r="AH92" s="62"/>
      <c r="AI92" s="62"/>
      <c r="AJ92" s="62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 s="62"/>
      <c r="BZ92" s="62"/>
      <c r="CA92" s="62"/>
      <c r="CB92" s="62"/>
      <c r="CC92" s="62"/>
      <c r="CD92" s="62"/>
      <c r="CE92" s="62"/>
      <c r="CF92" s="62"/>
      <c r="CG92" s="62"/>
      <c r="CH92" s="62"/>
      <c r="CI92" s="62"/>
      <c r="CJ92" s="62"/>
      <c r="CK92" s="62"/>
      <c r="CL92" s="62"/>
      <c r="CM92" s="62"/>
      <c r="CN92" s="62"/>
      <c r="CO92" s="62"/>
      <c r="CP92" s="62"/>
      <c r="CQ92" s="62"/>
      <c r="CR92" s="62"/>
      <c r="CS92" s="62"/>
      <c r="CT92" s="62"/>
      <c r="CU92" s="62"/>
      <c r="CV92" s="62"/>
      <c r="CW92" s="62"/>
      <c r="CX92" s="62"/>
      <c r="CY92" s="62"/>
      <c r="CZ92" s="62"/>
      <c r="DA92" s="62"/>
      <c r="DB92" s="62"/>
      <c r="DC92" s="62"/>
      <c r="DD92" s="62"/>
      <c r="DE92" s="62"/>
      <c r="DF92" s="62"/>
      <c r="DG92" s="62"/>
      <c r="DH92" s="62"/>
    </row>
    <row r="93" spans="1:112"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  <c r="AC93" s="62"/>
      <c r="AD93" s="62"/>
      <c r="AE93" s="62"/>
      <c r="AF93" s="62"/>
      <c r="AG93" s="62"/>
      <c r="AH93" s="62"/>
      <c r="AI93" s="62"/>
      <c r="AJ93" s="62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 s="62"/>
      <c r="BZ93" s="62"/>
      <c r="CA93" s="62"/>
      <c r="CB93" s="62"/>
      <c r="CC93" s="62"/>
      <c r="CD93" s="62"/>
      <c r="CE93" s="62"/>
      <c r="CF93" s="62"/>
      <c r="CG93" s="62"/>
      <c r="CH93" s="62"/>
      <c r="CI93" s="62"/>
      <c r="CJ93" s="62"/>
      <c r="CK93" s="62"/>
      <c r="CL93" s="62"/>
      <c r="CM93" s="62"/>
      <c r="CN93" s="62"/>
      <c r="CO93" s="62"/>
      <c r="CP93" s="62"/>
      <c r="CQ93" s="62"/>
      <c r="CR93" s="62"/>
      <c r="CS93" s="62"/>
      <c r="CT93" s="62"/>
      <c r="CU93" s="62"/>
      <c r="CV93" s="62"/>
      <c r="CW93" s="62"/>
      <c r="CX93" s="62"/>
      <c r="CY93" s="62"/>
      <c r="CZ93" s="62"/>
      <c r="DA93" s="62"/>
      <c r="DB93" s="62"/>
      <c r="DC93" s="62"/>
      <c r="DD93" s="62"/>
      <c r="DE93" s="62"/>
      <c r="DF93" s="62"/>
      <c r="DG93" s="62"/>
      <c r="DH93" s="62"/>
    </row>
    <row r="94" spans="1:112"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  <c r="AC94" s="62"/>
      <c r="AD94" s="62"/>
      <c r="AE94" s="62"/>
      <c r="AF94" s="62"/>
      <c r="AG94" s="62"/>
      <c r="AH94" s="62"/>
      <c r="AI94" s="62"/>
      <c r="AJ94" s="62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 s="62"/>
      <c r="BZ94" s="62"/>
      <c r="CA94" s="62"/>
      <c r="CB94" s="62"/>
      <c r="CC94" s="62"/>
      <c r="CD94" s="62"/>
      <c r="CE94" s="62"/>
      <c r="CF94" s="62"/>
      <c r="CG94" s="62"/>
      <c r="CH94" s="62"/>
      <c r="CI94" s="62"/>
      <c r="CJ94" s="62"/>
      <c r="CK94" s="62"/>
      <c r="CL94" s="62"/>
      <c r="CM94" s="62"/>
      <c r="CN94" s="62"/>
      <c r="CO94" s="62"/>
      <c r="CP94" s="62"/>
      <c r="CQ94" s="62"/>
      <c r="CR94" s="62"/>
      <c r="CS94" s="62"/>
      <c r="CT94" s="62"/>
      <c r="CU94" s="62"/>
      <c r="CV94" s="62"/>
      <c r="CW94" s="62"/>
      <c r="CX94" s="62"/>
      <c r="CY94" s="62"/>
      <c r="CZ94" s="62"/>
      <c r="DA94" s="62"/>
      <c r="DB94" s="62"/>
      <c r="DC94" s="62"/>
      <c r="DD94" s="62"/>
      <c r="DE94" s="62"/>
      <c r="DF94" s="62"/>
      <c r="DG94" s="62"/>
      <c r="DH94" s="62"/>
    </row>
    <row r="95" spans="1:112">
      <c r="A95" s="100" t="s">
        <v>40</v>
      </c>
      <c r="B95" s="100"/>
      <c r="C95" s="100"/>
      <c r="D95" s="101" t="e">
        <f ca="1">partNumber&amp;": "&amp;D97</f>
        <v>#VALUE!</v>
      </c>
      <c r="E95" s="101"/>
      <c r="F95" s="101"/>
      <c r="G95" s="101"/>
      <c r="L95" s="101" t="str">
        <f>partNumber&amp;": CCT in/out Scatter Plot"</f>
        <v>29121: CCT in/out Scatter Plot</v>
      </c>
      <c r="M95" s="101"/>
      <c r="N95" s="101"/>
      <c r="O95" s="101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 s="62"/>
      <c r="BZ95" s="62"/>
      <c r="CA95" s="62"/>
      <c r="CB95" s="62"/>
      <c r="CC95" s="62"/>
      <c r="CD95" s="62"/>
      <c r="CE95" s="62"/>
      <c r="CF95" s="62"/>
      <c r="CG95" s="62"/>
      <c r="CH95" s="62"/>
      <c r="CI95" s="62"/>
      <c r="CJ95" s="62"/>
      <c r="CK95" s="62"/>
      <c r="CL95" s="62"/>
      <c r="CM95" s="62"/>
      <c r="CN95" s="62"/>
      <c r="CO95" s="62"/>
      <c r="CP95" s="62"/>
      <c r="CQ95" s="62"/>
      <c r="CR95" s="62"/>
      <c r="CS95" s="62"/>
      <c r="CT95" s="62"/>
      <c r="CU95" s="62"/>
      <c r="CV95" s="62"/>
      <c r="CW95" s="62"/>
      <c r="CX95" s="62"/>
      <c r="CY95" s="62"/>
      <c r="CZ95" s="62"/>
      <c r="DA95" s="62"/>
      <c r="DB95" s="62"/>
      <c r="DC95" s="62"/>
      <c r="DD95" s="62"/>
      <c r="DE95" s="62"/>
      <c r="DF95" s="62"/>
      <c r="DG95" s="62"/>
      <c r="DH95" s="62"/>
    </row>
    <row r="96" spans="1:112" ht="15.75" thickBot="1">
      <c r="A96" s="100"/>
      <c r="B96" s="100"/>
      <c r="C96" s="100"/>
      <c r="H96" s="101" t="str">
        <f>"Range= " &amp;range1!$P$1&amp;" Lux"</f>
        <v>Range= 4000 Lux</v>
      </c>
      <c r="I96" s="101"/>
      <c r="J96" s="101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 s="62"/>
      <c r="BZ96" s="62"/>
      <c r="CA96" s="62"/>
      <c r="CB96" s="62"/>
      <c r="CC96" s="62"/>
      <c r="CD96" s="62"/>
      <c r="CE96" s="62"/>
      <c r="CF96" s="62"/>
      <c r="CG96" s="62"/>
      <c r="CH96" s="62"/>
      <c r="CI96" s="62"/>
      <c r="CJ96" s="62"/>
      <c r="CK96" s="62"/>
      <c r="CL96" s="62"/>
      <c r="CM96" s="62"/>
      <c r="CN96" s="62"/>
      <c r="CO96" s="62"/>
      <c r="CP96" s="62"/>
      <c r="CQ96" s="62"/>
      <c r="CR96" s="62"/>
      <c r="CS96" s="62"/>
      <c r="CT96" s="62"/>
      <c r="CU96" s="62"/>
      <c r="CV96" s="62"/>
      <c r="CW96" s="62"/>
      <c r="CX96" s="62"/>
      <c r="CY96" s="62"/>
      <c r="CZ96" s="62"/>
      <c r="DA96" s="62"/>
      <c r="DB96" s="62"/>
      <c r="DC96" s="62"/>
      <c r="DD96" s="62"/>
      <c r="DE96" s="62"/>
      <c r="DF96" s="62"/>
      <c r="DG96" s="62"/>
      <c r="DH96" s="62"/>
    </row>
    <row r="97" spans="1:112" ht="15.75" thickBot="1">
      <c r="B97" s="101" t="str">
        <f>B1</f>
        <v>Calibration</v>
      </c>
      <c r="C97" s="101"/>
      <c r="D97" s="101" t="e">
        <f ca="1">"CCT Variation Vs. Lux= "&amp;INT(G98*1000+0.5)/10&amp;"%"</f>
        <v>#VALUE!</v>
      </c>
      <c r="E97" s="101"/>
      <c r="F97" s="101"/>
      <c r="G97" s="101"/>
      <c r="H97" s="101" t="str">
        <f>"Nominal CCT="&amp;10*INT(AVERAGE(C102:C123)/10)</f>
        <v>Nominal CCT=3950</v>
      </c>
      <c r="I97" s="101"/>
      <c r="J97" s="101"/>
      <c r="L97" s="101" t="e">
        <f ca="1">"Nominal Error= "&amp;(INT(AVERAGE(I102:I123)*1000))/10&amp;"%"</f>
        <v>#VALUE!</v>
      </c>
      <c r="M97" s="101"/>
      <c r="N97" s="101"/>
      <c r="O97" s="82" t="e">
        <f ca="1">AVERAGE(I102:I123)</f>
        <v>#VALUE!</v>
      </c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  <c r="AC97" s="62"/>
      <c r="AD97" s="62"/>
      <c r="AE97" s="62"/>
      <c r="AF97" s="62"/>
      <c r="AG97" s="62"/>
      <c r="AH97" s="62"/>
      <c r="AI97" s="62"/>
      <c r="AJ97" s="62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 s="62"/>
      <c r="BZ97" s="62"/>
      <c r="CA97" s="62"/>
      <c r="CB97" s="62"/>
      <c r="CC97" s="62"/>
      <c r="CD97" s="62"/>
      <c r="CE97" s="62"/>
      <c r="CF97" s="62"/>
      <c r="CG97" s="62"/>
      <c r="CH97" s="62"/>
      <c r="CI97" s="62"/>
      <c r="CJ97" s="62"/>
      <c r="CK97" s="62"/>
      <c r="CL97" s="62"/>
      <c r="CM97" s="62"/>
      <c r="CN97" s="62"/>
      <c r="CO97" s="62"/>
      <c r="CP97" s="62"/>
      <c r="CQ97" s="62"/>
      <c r="CR97" s="62"/>
      <c r="CS97" s="62"/>
      <c r="CT97" s="62"/>
      <c r="CU97" s="62"/>
      <c r="CV97" s="62"/>
      <c r="CW97" s="62"/>
      <c r="CX97" s="62"/>
      <c r="CY97" s="62"/>
      <c r="CZ97" s="62"/>
      <c r="DA97" s="62"/>
      <c r="DB97" s="62"/>
      <c r="DC97" s="62"/>
      <c r="DD97" s="62"/>
      <c r="DE97" s="62"/>
      <c r="DF97" s="62"/>
      <c r="DG97" s="62"/>
      <c r="DH97" s="62"/>
    </row>
    <row r="98" spans="1:112" ht="15.75" thickBot="1">
      <c r="B98" s="73" t="str">
        <f>B2</f>
        <v>Lux</v>
      </c>
      <c r="C98" s="73" t="str">
        <f>C2</f>
        <v>CCT</v>
      </c>
      <c r="D98" s="74" t="str">
        <f>D2</f>
        <v>-1.5σ</v>
      </c>
      <c r="E98" s="74" t="str">
        <f t="shared" ref="E98:F98" si="276">E2</f>
        <v>AVG</v>
      </c>
      <c r="F98" s="74" t="str">
        <f t="shared" si="276"/>
        <v>+1.5σ</v>
      </c>
      <c r="G98" s="82" t="e">
        <f ca="1">MAX(G99:G123)</f>
        <v>#VALUE!</v>
      </c>
      <c r="H98" s="74" t="str">
        <f>H2</f>
        <v>-1.5σ</v>
      </c>
      <c r="I98" s="74" t="str">
        <f t="shared" ref="I98:J98" si="277">I2</f>
        <v>AVG</v>
      </c>
      <c r="J98" s="74" t="str">
        <f t="shared" si="277"/>
        <v>+1.5σ</v>
      </c>
      <c r="L98" s="73" t="str">
        <f>L2</f>
        <v>-1.5σ</v>
      </c>
      <c r="M98" s="73" t="str">
        <f t="shared" ref="M98:O98" si="278">M2</f>
        <v>AVG</v>
      </c>
      <c r="N98" s="73" t="str">
        <f t="shared" si="278"/>
        <v>+1.5σ</v>
      </c>
      <c r="O98" s="73" t="str">
        <f t="shared" si="278"/>
        <v>STDEV</v>
      </c>
      <c r="P98" s="73"/>
      <c r="Q98" s="62"/>
      <c r="R98" s="62"/>
      <c r="S98" s="62"/>
    </row>
    <row r="99" spans="1:112">
      <c r="A99" s="14">
        <f>A3</f>
        <v>1</v>
      </c>
      <c r="B99" s="63">
        <f ca="1">B3</f>
        <v>23.151758163574332</v>
      </c>
      <c r="C99" s="63">
        <f>C3</f>
        <v>3933.1</v>
      </c>
      <c r="D99" s="2" t="e">
        <f t="shared" ref="D99:D123" ca="1" si="279">H99-$O$97</f>
        <v>#VALUE!</v>
      </c>
      <c r="E99" s="2" t="e">
        <f ca="1">I99-$O$97</f>
        <v>#VALUE!</v>
      </c>
      <c r="F99" s="2" t="e">
        <f t="shared" ref="F99:F123" ca="1" si="280">J99-$O$97</f>
        <v>#VALUE!</v>
      </c>
      <c r="G99" s="2" t="e">
        <f ca="1">MAX(ABS(D99),ABS(F99))*(P99=TRUE)</f>
        <v>#VALUE!</v>
      </c>
      <c r="H99" s="2" t="e">
        <f t="shared" ref="H99:H123" ca="1" si="281">L99/$C99-1</f>
        <v>#VALUE!</v>
      </c>
      <c r="I99" s="2" t="e">
        <f ca="1">M99/$C99-1</f>
        <v>#VALUE!</v>
      </c>
      <c r="J99" s="2" t="e">
        <f t="shared" ref="J99:J123" ca="1" si="282">N99/$C99-1</f>
        <v>#VALUE!</v>
      </c>
      <c r="L99" s="61" t="e">
        <f ca="1">M99-1.5*O99</f>
        <v>#VALUE!</v>
      </c>
      <c r="M99" s="63" t="e">
        <f ca="1">AVERAGE(Q99:DH99)</f>
        <v>#VALUE!</v>
      </c>
      <c r="N99" s="61" t="e">
        <f ca="1">M99+1.5*O99</f>
        <v>#VALUE!</v>
      </c>
      <c r="O99" s="61" t="e">
        <f ca="1">STDEV(Q99:DH99)</f>
        <v>#VALUE!</v>
      </c>
      <c r="P99" s="63" t="b">
        <f>P65</f>
        <v>1</v>
      </c>
      <c r="Q99" s="62">
        <f t="shared" ref="Q99:Q123" ca="1" si="283">getCCT(Q65,R65,S65)</f>
        <v>2182.0345325680391</v>
      </c>
      <c r="R99" s="62"/>
      <c r="S99" s="62"/>
      <c r="T99" s="62">
        <f t="shared" ref="T99:T123" ca="1" si="284">getCCT(T65,U65,V65)</f>
        <v>2180.2809007485121</v>
      </c>
      <c r="U99" s="62"/>
      <c r="V99" s="62"/>
      <c r="W99" s="62">
        <f t="shared" ref="W99:W123" ca="1" si="285">getCCT(W65,X65,Y65)</f>
        <v>2263.5722717051362</v>
      </c>
      <c r="X99" s="62"/>
      <c r="Y99" s="62"/>
      <c r="Z99" s="62">
        <f t="shared" ref="Z99:Z123" ca="1" si="286">getCCT(Z65,AA65,AB65)</f>
        <v>2087.2814890793175</v>
      </c>
      <c r="AA99" s="62"/>
      <c r="AB99" s="62"/>
      <c r="AC99" s="62">
        <f t="shared" ref="AC99:AC123" ca="1" si="287">getCCT(AC65,AD65,AE65)</f>
        <v>2090.9100272764322</v>
      </c>
      <c r="AD99" s="62"/>
      <c r="AE99" s="62"/>
      <c r="AF99" s="62"/>
      <c r="AG99" s="62"/>
      <c r="AH99" s="62"/>
      <c r="AI99" s="62" t="e">
        <f t="shared" ref="AI99:AI123" ca="1" si="288">getCCT(AI65,AJ65,AK65)</f>
        <v>#VALUE!</v>
      </c>
      <c r="AJ99" s="62"/>
      <c r="AK99" s="62"/>
      <c r="AL99" s="62" t="e">
        <f t="shared" ref="AL99:AL123" ca="1" si="289">getCCT(AL65,AM65,AN65)</f>
        <v>#VALUE!</v>
      </c>
      <c r="AM99" s="62"/>
      <c r="AN99" s="62"/>
      <c r="AO99" s="62" t="e">
        <f t="shared" ref="AO99:AO123" ca="1" si="290">getCCT(AO65,AP65,AQ65)</f>
        <v>#VALUE!</v>
      </c>
      <c r="AP99" s="62"/>
      <c r="AQ99" s="62"/>
      <c r="AR99" s="62" t="e">
        <f t="shared" ref="AR99:AR123" ca="1" si="291">getCCT(AR65,AS65,AT65)</f>
        <v>#VALUE!</v>
      </c>
      <c r="AS99" s="62"/>
      <c r="AT99" s="62"/>
      <c r="AU99" s="62" t="e">
        <f t="shared" ref="AU99:AU123" ca="1" si="292">getCCT(AU65,AV65,AW65)</f>
        <v>#VALUE!</v>
      </c>
      <c r="AV99" s="62"/>
      <c r="AW99" s="62"/>
      <c r="AX99" s="62" t="e">
        <f t="shared" ref="AX99:AX123" ca="1" si="293">getCCT(AX65,AY65,AZ65)</f>
        <v>#VALUE!</v>
      </c>
      <c r="AY99" s="62"/>
      <c r="AZ99" s="62"/>
      <c r="BA99" s="62" t="e">
        <f t="shared" ref="BA99:BA123" ca="1" si="294">getCCT(BA65,BB65,BC65)</f>
        <v>#VALUE!</v>
      </c>
      <c r="BB99" s="62"/>
      <c r="BC99" s="62"/>
      <c r="BD99" s="62" t="e">
        <f t="shared" ref="BD99:BD123" ca="1" si="295">getCCT(BD65,BE65,BF65)</f>
        <v>#VALUE!</v>
      </c>
      <c r="BE99" s="62"/>
      <c r="BF99" s="62"/>
      <c r="BG99" s="62" t="e">
        <f t="shared" ref="BG99:BG123" ca="1" si="296">getCCT(BG65,BH65,BI65)</f>
        <v>#VALUE!</v>
      </c>
      <c r="BH99" s="62"/>
      <c r="BI99" s="62"/>
      <c r="BJ99" s="62" t="e">
        <f t="shared" ref="BJ99:BJ123" ca="1" si="297">getCCT(BJ65,BK65,BL65)</f>
        <v>#VALUE!</v>
      </c>
      <c r="BK99" s="62"/>
      <c r="BL99" s="62"/>
      <c r="BM99" s="62" t="e">
        <f t="shared" ref="BM99:BM123" ca="1" si="298">getCCT(BM65,BN65,BO65)</f>
        <v>#VALUE!</v>
      </c>
      <c r="BN99" s="62"/>
      <c r="BO99" s="62"/>
      <c r="BP99" s="62" t="e">
        <f t="shared" ref="BP99:BP123" ca="1" si="299">getCCT(BP65,BQ65,BR65)</f>
        <v>#VALUE!</v>
      </c>
      <c r="BQ99" s="62"/>
      <c r="BR99" s="62"/>
      <c r="BS99" s="62"/>
      <c r="BT99" s="62"/>
      <c r="BU99" s="62"/>
      <c r="BV99" s="62" t="e">
        <f t="shared" ref="BV99:BV123" ca="1" si="300">getCCT(BV65,BW65,BX65)</f>
        <v>#VALUE!</v>
      </c>
      <c r="BW99" s="62"/>
      <c r="BX99" s="62"/>
      <c r="BY99" s="62" t="e">
        <f t="shared" ref="BY99:BY123" ca="1" si="301">getCCT(BY65,BZ65,CA65)</f>
        <v>#VALUE!</v>
      </c>
      <c r="BZ99" s="62"/>
      <c r="CA99" s="62"/>
      <c r="CB99" s="62"/>
      <c r="CC99" s="62"/>
      <c r="CD99" s="62"/>
      <c r="CE99" s="62" t="e">
        <f t="shared" ref="CE99:CE123" ca="1" si="302">getCCT(CE65,CF65,CG65)</f>
        <v>#VALUE!</v>
      </c>
      <c r="CF99" s="62"/>
      <c r="CG99" s="62"/>
      <c r="CH99" s="62" t="e">
        <f t="shared" ref="CH99:CH123" ca="1" si="303">getCCT(CH65,CI65,CJ65)</f>
        <v>#VALUE!</v>
      </c>
      <c r="CI99" s="62"/>
      <c r="CJ99" s="62"/>
      <c r="CK99" s="62" t="e">
        <f t="shared" ref="CK99:CK123" ca="1" si="304">getCCT(CK65,CL65,CM65)</f>
        <v>#VALUE!</v>
      </c>
      <c r="CL99" s="62"/>
      <c r="CM99" s="62"/>
      <c r="CN99" s="62" t="e">
        <f t="shared" ref="CN99:CN123" ca="1" si="305">getCCT(CN65,CO65,CP65)</f>
        <v>#VALUE!</v>
      </c>
      <c r="CO99" s="62"/>
      <c r="CP99" s="62"/>
      <c r="CQ99" s="62" t="e">
        <f t="shared" ref="CQ99:CQ123" ca="1" si="306">getCCT(CQ65,CR65,CS65)</f>
        <v>#VALUE!</v>
      </c>
      <c r="CR99" s="62"/>
      <c r="CS99" s="62"/>
      <c r="CT99" s="62" t="e">
        <f t="shared" ref="CT99:CT123" ca="1" si="307">getCCT(CT65,CU65,CV65)</f>
        <v>#VALUE!</v>
      </c>
      <c r="CU99" s="62"/>
      <c r="CV99" s="62"/>
      <c r="CW99" s="62" t="e">
        <f t="shared" ref="CW99:CW123" ca="1" si="308">getCCT(CW65,CX65,CY65)</f>
        <v>#VALUE!</v>
      </c>
      <c r="CX99" s="62"/>
      <c r="CY99" s="62"/>
      <c r="CZ99" s="62" t="e">
        <f t="shared" ref="CZ99:CZ123" ca="1" si="309">getCCT(CZ65,DA65,DB65)</f>
        <v>#VALUE!</v>
      </c>
      <c r="DA99" s="62"/>
      <c r="DB99" s="62"/>
      <c r="DC99" s="62" t="e">
        <f t="shared" ref="DC99:DC123" ca="1" si="310">getCCT(DC65,DD65,DE65)</f>
        <v>#VALUE!</v>
      </c>
      <c r="DD99" s="62"/>
      <c r="DE99" s="62"/>
      <c r="DF99" s="62" t="e">
        <f t="shared" ref="DF99:DF123" ca="1" si="311">getCCT(DF65,DG65,DH65)</f>
        <v>#VALUE!</v>
      </c>
      <c r="DG99" s="62"/>
      <c r="DH99" s="62"/>
    </row>
    <row r="100" spans="1:112">
      <c r="A100" s="14">
        <f t="shared" ref="A100:A123" si="312">A4</f>
        <v>2</v>
      </c>
      <c r="B100" s="63">
        <f t="shared" ref="B100:C115" ca="1" si="313">B4</f>
        <v>18.852958021449371</v>
      </c>
      <c r="C100" s="63">
        <f t="shared" si="313"/>
        <v>3954.7</v>
      </c>
      <c r="D100" s="2" t="e">
        <f t="shared" ca="1" si="279"/>
        <v>#VALUE!</v>
      </c>
      <c r="E100" s="2" t="e">
        <f t="shared" ref="E100:E123" ca="1" si="314">I100-$O$97</f>
        <v>#VALUE!</v>
      </c>
      <c r="F100" s="2" t="e">
        <f t="shared" ca="1" si="280"/>
        <v>#VALUE!</v>
      </c>
      <c r="G100" s="2" t="e">
        <f t="shared" ref="G100:G123" ca="1" si="315">MAX(ABS(D100),ABS(F100))*(P100=TRUE)</f>
        <v>#VALUE!</v>
      </c>
      <c r="H100" s="2" t="e">
        <f t="shared" ca="1" si="281"/>
        <v>#VALUE!</v>
      </c>
      <c r="I100" s="2" t="e">
        <f t="shared" ref="I100:I123" ca="1" si="316">M100/$C100-1</f>
        <v>#VALUE!</v>
      </c>
      <c r="J100" s="2" t="e">
        <f t="shared" ca="1" si="282"/>
        <v>#VALUE!</v>
      </c>
      <c r="L100" s="61" t="e">
        <f t="shared" ref="L100:L123" ca="1" si="317">M100-1.5*O100</f>
        <v>#VALUE!</v>
      </c>
      <c r="M100" s="63" t="e">
        <f t="shared" ref="M100:M123" ca="1" si="318">AVERAGE(Q100:DH100)</f>
        <v>#VALUE!</v>
      </c>
      <c r="N100" s="61" t="e">
        <f t="shared" ref="N100:N123" ca="1" si="319">M100+1.5*O100</f>
        <v>#VALUE!</v>
      </c>
      <c r="O100" s="61" t="e">
        <f t="shared" ref="O100:O123" ca="1" si="320">STDEV(Q100:DH100)</f>
        <v>#VALUE!</v>
      </c>
      <c r="P100" s="63" t="b">
        <f t="shared" ref="P100:P123" si="321">P66</f>
        <v>1</v>
      </c>
      <c r="Q100" s="62">
        <f t="shared" ca="1" si="283"/>
        <v>1746.5562923164568</v>
      </c>
      <c r="R100" s="62"/>
      <c r="S100" s="62"/>
      <c r="T100" s="62">
        <f t="shared" ca="1" si="284"/>
        <v>2238.3888119052881</v>
      </c>
      <c r="U100" s="62"/>
      <c r="V100" s="62"/>
      <c r="W100" s="62">
        <f t="shared" ca="1" si="285"/>
        <v>2327.2922019457264</v>
      </c>
      <c r="X100" s="62"/>
      <c r="Y100" s="62"/>
      <c r="Z100" s="62">
        <f t="shared" ca="1" si="286"/>
        <v>2141.8585881031099</v>
      </c>
      <c r="AA100" s="62"/>
      <c r="AB100" s="62"/>
      <c r="AC100" s="62">
        <f t="shared" ca="1" si="287"/>
        <v>2122.9094648193591</v>
      </c>
      <c r="AD100" s="62"/>
      <c r="AE100" s="62"/>
      <c r="AF100" s="62"/>
      <c r="AG100" s="62"/>
      <c r="AH100" s="62"/>
      <c r="AI100" s="62" t="e">
        <f t="shared" ca="1" si="288"/>
        <v>#VALUE!</v>
      </c>
      <c r="AJ100" s="62"/>
      <c r="AK100" s="62"/>
      <c r="AL100" s="62" t="e">
        <f t="shared" ca="1" si="289"/>
        <v>#VALUE!</v>
      </c>
      <c r="AM100" s="62"/>
      <c r="AN100" s="62"/>
      <c r="AO100" s="62" t="e">
        <f t="shared" ca="1" si="290"/>
        <v>#VALUE!</v>
      </c>
      <c r="AP100" s="62"/>
      <c r="AQ100" s="62"/>
      <c r="AR100" s="62" t="e">
        <f t="shared" ca="1" si="291"/>
        <v>#VALUE!</v>
      </c>
      <c r="AS100" s="62"/>
      <c r="AT100" s="62"/>
      <c r="AU100" s="62" t="e">
        <f t="shared" ca="1" si="292"/>
        <v>#VALUE!</v>
      </c>
      <c r="AV100" s="62"/>
      <c r="AW100" s="62"/>
      <c r="AX100" s="62" t="e">
        <f t="shared" ca="1" si="293"/>
        <v>#VALUE!</v>
      </c>
      <c r="AY100" s="62"/>
      <c r="AZ100" s="62"/>
      <c r="BA100" s="62" t="e">
        <f t="shared" ca="1" si="294"/>
        <v>#VALUE!</v>
      </c>
      <c r="BB100" s="62"/>
      <c r="BC100" s="62"/>
      <c r="BD100" s="62" t="e">
        <f t="shared" ca="1" si="295"/>
        <v>#VALUE!</v>
      </c>
      <c r="BE100" s="62"/>
      <c r="BF100" s="62"/>
      <c r="BG100" s="62" t="e">
        <f t="shared" ca="1" si="296"/>
        <v>#VALUE!</v>
      </c>
      <c r="BH100" s="62"/>
      <c r="BI100" s="62"/>
      <c r="BJ100" s="62" t="e">
        <f t="shared" ca="1" si="297"/>
        <v>#VALUE!</v>
      </c>
      <c r="BK100" s="62"/>
      <c r="BL100" s="62"/>
      <c r="BM100" s="62" t="e">
        <f t="shared" ca="1" si="298"/>
        <v>#VALUE!</v>
      </c>
      <c r="BN100" s="62"/>
      <c r="BO100" s="62"/>
      <c r="BP100" s="62" t="e">
        <f t="shared" ca="1" si="299"/>
        <v>#VALUE!</v>
      </c>
      <c r="BQ100" s="62"/>
      <c r="BR100" s="62"/>
      <c r="BS100" s="62"/>
      <c r="BT100" s="62"/>
      <c r="BU100" s="62"/>
      <c r="BV100" s="62" t="e">
        <f t="shared" ca="1" si="300"/>
        <v>#VALUE!</v>
      </c>
      <c r="BW100" s="62"/>
      <c r="BX100" s="62"/>
      <c r="BY100" s="62" t="e">
        <f t="shared" ca="1" si="301"/>
        <v>#VALUE!</v>
      </c>
      <c r="BZ100" s="62"/>
      <c r="CA100" s="62"/>
      <c r="CB100" s="62"/>
      <c r="CC100" s="62"/>
      <c r="CD100" s="62"/>
      <c r="CE100" s="62" t="e">
        <f t="shared" ca="1" si="302"/>
        <v>#VALUE!</v>
      </c>
      <c r="CF100" s="62"/>
      <c r="CG100" s="62"/>
      <c r="CH100" s="62" t="e">
        <f t="shared" ca="1" si="303"/>
        <v>#VALUE!</v>
      </c>
      <c r="CI100" s="62"/>
      <c r="CJ100" s="62"/>
      <c r="CK100" s="62" t="e">
        <f t="shared" ca="1" si="304"/>
        <v>#VALUE!</v>
      </c>
      <c r="CL100" s="62"/>
      <c r="CM100" s="62"/>
      <c r="CN100" s="62" t="e">
        <f t="shared" ca="1" si="305"/>
        <v>#VALUE!</v>
      </c>
      <c r="CO100" s="62"/>
      <c r="CP100" s="62"/>
      <c r="CQ100" s="62" t="e">
        <f t="shared" ca="1" si="306"/>
        <v>#VALUE!</v>
      </c>
      <c r="CR100" s="62"/>
      <c r="CS100" s="62"/>
      <c r="CT100" s="62" t="e">
        <f t="shared" ca="1" si="307"/>
        <v>#VALUE!</v>
      </c>
      <c r="CU100" s="62"/>
      <c r="CV100" s="62"/>
      <c r="CW100" s="62" t="e">
        <f t="shared" ca="1" si="308"/>
        <v>#VALUE!</v>
      </c>
      <c r="CX100" s="62"/>
      <c r="CY100" s="62"/>
      <c r="CZ100" s="62" t="e">
        <f t="shared" ca="1" si="309"/>
        <v>#VALUE!</v>
      </c>
      <c r="DA100" s="62"/>
      <c r="DB100" s="62"/>
      <c r="DC100" s="62" t="e">
        <f t="shared" ca="1" si="310"/>
        <v>#VALUE!</v>
      </c>
      <c r="DD100" s="62"/>
      <c r="DE100" s="62"/>
      <c r="DF100" s="62" t="e">
        <f t="shared" ca="1" si="311"/>
        <v>#VALUE!</v>
      </c>
      <c r="DG100" s="62"/>
      <c r="DH100" s="62"/>
    </row>
    <row r="101" spans="1:112">
      <c r="A101" s="14">
        <f t="shared" si="312"/>
        <v>3</v>
      </c>
      <c r="B101" s="63">
        <f t="shared" ca="1" si="313"/>
        <v>15.437578208746091</v>
      </c>
      <c r="C101" s="63">
        <f t="shared" si="313"/>
        <v>3988.4</v>
      </c>
      <c r="D101" s="2" t="e">
        <f t="shared" ca="1" si="279"/>
        <v>#VALUE!</v>
      </c>
      <c r="E101" s="2" t="e">
        <f t="shared" ca="1" si="314"/>
        <v>#VALUE!</v>
      </c>
      <c r="F101" s="2" t="e">
        <f t="shared" ca="1" si="280"/>
        <v>#VALUE!</v>
      </c>
      <c r="G101" s="2" t="e">
        <f t="shared" ca="1" si="315"/>
        <v>#VALUE!</v>
      </c>
      <c r="H101" s="2" t="e">
        <f t="shared" ca="1" si="281"/>
        <v>#VALUE!</v>
      </c>
      <c r="I101" s="2" t="e">
        <f t="shared" ca="1" si="316"/>
        <v>#VALUE!</v>
      </c>
      <c r="J101" s="2" t="e">
        <f t="shared" ca="1" si="282"/>
        <v>#VALUE!</v>
      </c>
      <c r="L101" s="61" t="e">
        <f t="shared" ca="1" si="317"/>
        <v>#VALUE!</v>
      </c>
      <c r="M101" s="63" t="e">
        <f t="shared" ca="1" si="318"/>
        <v>#VALUE!</v>
      </c>
      <c r="N101" s="61" t="e">
        <f t="shared" ca="1" si="319"/>
        <v>#VALUE!</v>
      </c>
      <c r="O101" s="61" t="e">
        <f t="shared" ca="1" si="320"/>
        <v>#VALUE!</v>
      </c>
      <c r="P101" s="63" t="b">
        <f t="shared" si="321"/>
        <v>1</v>
      </c>
      <c r="Q101" s="62">
        <f t="shared" ca="1" si="283"/>
        <v>2341.108519246759</v>
      </c>
      <c r="R101" s="62"/>
      <c r="S101" s="62"/>
      <c r="T101" s="62">
        <f t="shared" ca="1" si="284"/>
        <v>2312.2343136856171</v>
      </c>
      <c r="U101" s="62"/>
      <c r="V101" s="62"/>
      <c r="W101" s="62">
        <f t="shared" ca="1" si="285"/>
        <v>1847.1005326963345</v>
      </c>
      <c r="X101" s="62"/>
      <c r="Y101" s="62"/>
      <c r="Z101" s="62">
        <f t="shared" ca="1" si="286"/>
        <v>2235.1060549354174</v>
      </c>
      <c r="AA101" s="62"/>
      <c r="AB101" s="62"/>
      <c r="AC101" s="62">
        <f t="shared" ca="1" si="287"/>
        <v>2251.841536002084</v>
      </c>
      <c r="AD101" s="62"/>
      <c r="AE101" s="62"/>
      <c r="AF101" s="62"/>
      <c r="AG101" s="62"/>
      <c r="AH101" s="62"/>
      <c r="AI101" s="62" t="e">
        <f t="shared" ca="1" si="288"/>
        <v>#VALUE!</v>
      </c>
      <c r="AJ101" s="62"/>
      <c r="AK101" s="62"/>
      <c r="AL101" s="62" t="e">
        <f t="shared" ca="1" si="289"/>
        <v>#VALUE!</v>
      </c>
      <c r="AM101" s="62"/>
      <c r="AN101" s="62"/>
      <c r="AO101" s="62" t="e">
        <f t="shared" ca="1" si="290"/>
        <v>#VALUE!</v>
      </c>
      <c r="AP101" s="62"/>
      <c r="AQ101" s="62"/>
      <c r="AR101" s="62" t="e">
        <f t="shared" ca="1" si="291"/>
        <v>#VALUE!</v>
      </c>
      <c r="AS101" s="62"/>
      <c r="AT101" s="62"/>
      <c r="AU101" s="62" t="e">
        <f t="shared" ca="1" si="292"/>
        <v>#VALUE!</v>
      </c>
      <c r="AV101" s="62"/>
      <c r="AW101" s="62"/>
      <c r="AX101" s="62" t="e">
        <f t="shared" ca="1" si="293"/>
        <v>#VALUE!</v>
      </c>
      <c r="AY101" s="62"/>
      <c r="AZ101" s="62"/>
      <c r="BA101" s="62" t="e">
        <f t="shared" ca="1" si="294"/>
        <v>#VALUE!</v>
      </c>
      <c r="BB101" s="62"/>
      <c r="BC101" s="62"/>
      <c r="BD101" s="62" t="e">
        <f t="shared" ca="1" si="295"/>
        <v>#VALUE!</v>
      </c>
      <c r="BE101" s="62"/>
      <c r="BF101" s="62"/>
      <c r="BG101" s="62" t="e">
        <f t="shared" ca="1" si="296"/>
        <v>#VALUE!</v>
      </c>
      <c r="BH101" s="62"/>
      <c r="BI101" s="62"/>
      <c r="BJ101" s="62" t="e">
        <f t="shared" ca="1" si="297"/>
        <v>#VALUE!</v>
      </c>
      <c r="BK101" s="62"/>
      <c r="BL101" s="62"/>
      <c r="BM101" s="62" t="e">
        <f t="shared" ca="1" si="298"/>
        <v>#VALUE!</v>
      </c>
      <c r="BN101" s="62"/>
      <c r="BO101" s="62"/>
      <c r="BP101" s="62" t="e">
        <f t="shared" ca="1" si="299"/>
        <v>#VALUE!</v>
      </c>
      <c r="BQ101" s="62"/>
      <c r="BR101" s="62"/>
      <c r="BS101" s="62"/>
      <c r="BT101" s="62"/>
      <c r="BU101" s="62"/>
      <c r="BV101" s="62" t="e">
        <f t="shared" ca="1" si="300"/>
        <v>#VALUE!</v>
      </c>
      <c r="BW101" s="62"/>
      <c r="BX101" s="62"/>
      <c r="BY101" s="62" t="e">
        <f t="shared" ca="1" si="301"/>
        <v>#VALUE!</v>
      </c>
      <c r="BZ101" s="62"/>
      <c r="CA101" s="62"/>
      <c r="CB101" s="62"/>
      <c r="CC101" s="62"/>
      <c r="CD101" s="62"/>
      <c r="CE101" s="62" t="e">
        <f t="shared" ca="1" si="302"/>
        <v>#VALUE!</v>
      </c>
      <c r="CF101" s="62"/>
      <c r="CG101" s="62"/>
      <c r="CH101" s="62" t="e">
        <f t="shared" ca="1" si="303"/>
        <v>#VALUE!</v>
      </c>
      <c r="CI101" s="62"/>
      <c r="CJ101" s="62"/>
      <c r="CK101" s="62" t="e">
        <f t="shared" ca="1" si="304"/>
        <v>#VALUE!</v>
      </c>
      <c r="CL101" s="62"/>
      <c r="CM101" s="62"/>
      <c r="CN101" s="62" t="e">
        <f t="shared" ca="1" si="305"/>
        <v>#VALUE!</v>
      </c>
      <c r="CO101" s="62"/>
      <c r="CP101" s="62"/>
      <c r="CQ101" s="62" t="e">
        <f t="shared" ca="1" si="306"/>
        <v>#VALUE!</v>
      </c>
      <c r="CR101" s="62"/>
      <c r="CS101" s="62"/>
      <c r="CT101" s="62" t="e">
        <f t="shared" ca="1" si="307"/>
        <v>#VALUE!</v>
      </c>
      <c r="CU101" s="62"/>
      <c r="CV101" s="62"/>
      <c r="CW101" s="62" t="e">
        <f t="shared" ca="1" si="308"/>
        <v>#VALUE!</v>
      </c>
      <c r="CX101" s="62"/>
      <c r="CY101" s="62"/>
      <c r="CZ101" s="62" t="e">
        <f t="shared" ca="1" si="309"/>
        <v>#VALUE!</v>
      </c>
      <c r="DA101" s="62"/>
      <c r="DB101" s="62"/>
      <c r="DC101" s="62" t="e">
        <f t="shared" ca="1" si="310"/>
        <v>#VALUE!</v>
      </c>
      <c r="DD101" s="62"/>
      <c r="DE101" s="62"/>
      <c r="DF101" s="62" t="e">
        <f t="shared" ca="1" si="311"/>
        <v>#VALUE!</v>
      </c>
      <c r="DG101" s="62"/>
      <c r="DH101" s="62"/>
    </row>
    <row r="102" spans="1:112">
      <c r="A102" s="14">
        <f t="shared" si="312"/>
        <v>4</v>
      </c>
      <c r="B102" s="63">
        <f t="shared" ca="1" si="313"/>
        <v>12.825726800021135</v>
      </c>
      <c r="C102" s="63">
        <f t="shared" si="313"/>
        <v>3978.3</v>
      </c>
      <c r="D102" s="2" t="e">
        <f t="shared" ca="1" si="279"/>
        <v>#VALUE!</v>
      </c>
      <c r="E102" s="2" t="e">
        <f t="shared" ca="1" si="314"/>
        <v>#VALUE!</v>
      </c>
      <c r="F102" s="2" t="e">
        <f t="shared" ca="1" si="280"/>
        <v>#VALUE!</v>
      </c>
      <c r="G102" s="2" t="e">
        <f t="shared" ca="1" si="315"/>
        <v>#VALUE!</v>
      </c>
      <c r="H102" s="2" t="e">
        <f t="shared" ca="1" si="281"/>
        <v>#VALUE!</v>
      </c>
      <c r="I102" s="2" t="e">
        <f t="shared" ca="1" si="316"/>
        <v>#VALUE!</v>
      </c>
      <c r="J102" s="2" t="e">
        <f t="shared" ca="1" si="282"/>
        <v>#VALUE!</v>
      </c>
      <c r="L102" s="61" t="e">
        <f t="shared" ca="1" si="317"/>
        <v>#VALUE!</v>
      </c>
      <c r="M102" s="63" t="e">
        <f t="shared" ca="1" si="318"/>
        <v>#VALUE!</v>
      </c>
      <c r="N102" s="61" t="e">
        <f t="shared" ca="1" si="319"/>
        <v>#VALUE!</v>
      </c>
      <c r="O102" s="61" t="e">
        <f t="shared" ca="1" si="320"/>
        <v>#VALUE!</v>
      </c>
      <c r="P102" s="63" t="b">
        <f t="shared" si="321"/>
        <v>1</v>
      </c>
      <c r="Q102" s="62">
        <f t="shared" ca="1" si="283"/>
        <v>2418.4692520979593</v>
      </c>
      <c r="R102" s="62"/>
      <c r="S102" s="62"/>
      <c r="T102" s="62">
        <f t="shared" ca="1" si="284"/>
        <v>1821.9018261255108</v>
      </c>
      <c r="U102" s="62"/>
      <c r="V102" s="62"/>
      <c r="W102" s="62">
        <f t="shared" ca="1" si="285"/>
        <v>2471.6073692446585</v>
      </c>
      <c r="X102" s="62"/>
      <c r="Y102" s="62"/>
      <c r="Z102" s="62">
        <f t="shared" ca="1" si="286"/>
        <v>2295.1413144769654</v>
      </c>
      <c r="AA102" s="62"/>
      <c r="AB102" s="62"/>
      <c r="AC102" s="62">
        <f t="shared" ca="1" si="287"/>
        <v>2318.9414109982445</v>
      </c>
      <c r="AD102" s="62"/>
      <c r="AE102" s="62"/>
      <c r="AF102" s="62"/>
      <c r="AG102" s="62"/>
      <c r="AH102" s="62"/>
      <c r="AI102" s="62" t="e">
        <f t="shared" ca="1" si="288"/>
        <v>#VALUE!</v>
      </c>
      <c r="AJ102" s="62"/>
      <c r="AK102" s="62"/>
      <c r="AL102" s="62" t="e">
        <f t="shared" ca="1" si="289"/>
        <v>#VALUE!</v>
      </c>
      <c r="AM102" s="62"/>
      <c r="AN102" s="62"/>
      <c r="AO102" s="62" t="e">
        <f t="shared" ca="1" si="290"/>
        <v>#VALUE!</v>
      </c>
      <c r="AP102" s="62"/>
      <c r="AQ102" s="62"/>
      <c r="AR102" s="62" t="e">
        <f t="shared" ca="1" si="291"/>
        <v>#VALUE!</v>
      </c>
      <c r="AS102" s="62"/>
      <c r="AT102" s="62"/>
      <c r="AU102" s="62" t="e">
        <f t="shared" ca="1" si="292"/>
        <v>#VALUE!</v>
      </c>
      <c r="AV102" s="62"/>
      <c r="AW102" s="62"/>
      <c r="AX102" s="62" t="e">
        <f t="shared" ca="1" si="293"/>
        <v>#VALUE!</v>
      </c>
      <c r="AY102" s="62"/>
      <c r="AZ102" s="62"/>
      <c r="BA102" s="62" t="e">
        <f t="shared" ca="1" si="294"/>
        <v>#VALUE!</v>
      </c>
      <c r="BB102" s="62"/>
      <c r="BC102" s="62"/>
      <c r="BD102" s="62" t="e">
        <f t="shared" ca="1" si="295"/>
        <v>#VALUE!</v>
      </c>
      <c r="BE102" s="62"/>
      <c r="BF102" s="62"/>
      <c r="BG102" s="62" t="e">
        <f t="shared" ca="1" si="296"/>
        <v>#VALUE!</v>
      </c>
      <c r="BH102" s="62"/>
      <c r="BI102" s="62"/>
      <c r="BJ102" s="62" t="e">
        <f t="shared" ca="1" si="297"/>
        <v>#VALUE!</v>
      </c>
      <c r="BK102" s="62"/>
      <c r="BL102" s="62"/>
      <c r="BM102" s="62" t="e">
        <f t="shared" ca="1" si="298"/>
        <v>#VALUE!</v>
      </c>
      <c r="BN102" s="62"/>
      <c r="BO102" s="62"/>
      <c r="BP102" s="62" t="e">
        <f t="shared" ca="1" si="299"/>
        <v>#VALUE!</v>
      </c>
      <c r="BQ102" s="62"/>
      <c r="BR102" s="62"/>
      <c r="BS102" s="62"/>
      <c r="BT102" s="62"/>
      <c r="BU102" s="62"/>
      <c r="BV102" s="62" t="e">
        <f t="shared" ca="1" si="300"/>
        <v>#VALUE!</v>
      </c>
      <c r="BW102" s="62"/>
      <c r="BX102" s="62"/>
      <c r="BY102" s="62" t="e">
        <f t="shared" ca="1" si="301"/>
        <v>#VALUE!</v>
      </c>
      <c r="BZ102" s="62"/>
      <c r="CA102" s="62"/>
      <c r="CB102" s="62"/>
      <c r="CC102" s="62"/>
      <c r="CD102" s="62"/>
      <c r="CE102" s="62" t="e">
        <f t="shared" ca="1" si="302"/>
        <v>#VALUE!</v>
      </c>
      <c r="CF102" s="62"/>
      <c r="CG102" s="62"/>
      <c r="CH102" s="62" t="e">
        <f t="shared" ca="1" si="303"/>
        <v>#VALUE!</v>
      </c>
      <c r="CI102" s="62"/>
      <c r="CJ102" s="62"/>
      <c r="CK102" s="62" t="e">
        <f t="shared" ca="1" si="304"/>
        <v>#VALUE!</v>
      </c>
      <c r="CL102" s="62"/>
      <c r="CM102" s="62"/>
      <c r="CN102" s="62" t="e">
        <f t="shared" ca="1" si="305"/>
        <v>#VALUE!</v>
      </c>
      <c r="CO102" s="62"/>
      <c r="CP102" s="62"/>
      <c r="CQ102" s="62" t="e">
        <f t="shared" ca="1" si="306"/>
        <v>#VALUE!</v>
      </c>
      <c r="CR102" s="62"/>
      <c r="CS102" s="62"/>
      <c r="CT102" s="62" t="e">
        <f t="shared" ca="1" si="307"/>
        <v>#VALUE!</v>
      </c>
      <c r="CU102" s="62"/>
      <c r="CV102" s="62"/>
      <c r="CW102" s="62" t="e">
        <f t="shared" ca="1" si="308"/>
        <v>#VALUE!</v>
      </c>
      <c r="CX102" s="62"/>
      <c r="CY102" s="62"/>
      <c r="CZ102" s="62" t="e">
        <f t="shared" ca="1" si="309"/>
        <v>#VALUE!</v>
      </c>
      <c r="DA102" s="62"/>
      <c r="DB102" s="62"/>
      <c r="DC102" s="62" t="e">
        <f t="shared" ca="1" si="310"/>
        <v>#VALUE!</v>
      </c>
      <c r="DD102" s="62"/>
      <c r="DE102" s="62"/>
      <c r="DF102" s="62" t="e">
        <f t="shared" ca="1" si="311"/>
        <v>#VALUE!</v>
      </c>
      <c r="DG102" s="62"/>
      <c r="DH102" s="62"/>
    </row>
    <row r="103" spans="1:112">
      <c r="A103" s="14">
        <f t="shared" si="312"/>
        <v>5</v>
      </c>
      <c r="B103" s="63">
        <f t="shared" ca="1" si="313"/>
        <v>9.4994572118508245</v>
      </c>
      <c r="C103" s="63">
        <f t="shared" si="313"/>
        <v>3960.5</v>
      </c>
      <c r="D103" s="2" t="e">
        <f t="shared" ca="1" si="279"/>
        <v>#VALUE!</v>
      </c>
      <c r="E103" s="2" t="e">
        <f t="shared" ca="1" si="314"/>
        <v>#VALUE!</v>
      </c>
      <c r="F103" s="2" t="e">
        <f t="shared" ca="1" si="280"/>
        <v>#VALUE!</v>
      </c>
      <c r="G103" s="2" t="e">
        <f t="shared" ca="1" si="315"/>
        <v>#VALUE!</v>
      </c>
      <c r="H103" s="2" t="e">
        <f t="shared" ca="1" si="281"/>
        <v>#VALUE!</v>
      </c>
      <c r="I103" s="2" t="e">
        <f t="shared" ca="1" si="316"/>
        <v>#VALUE!</v>
      </c>
      <c r="J103" s="2" t="e">
        <f t="shared" ca="1" si="282"/>
        <v>#VALUE!</v>
      </c>
      <c r="L103" s="61" t="e">
        <f t="shared" ca="1" si="317"/>
        <v>#VALUE!</v>
      </c>
      <c r="M103" s="63" t="e">
        <f t="shared" ca="1" si="318"/>
        <v>#VALUE!</v>
      </c>
      <c r="N103" s="61" t="e">
        <f t="shared" ca="1" si="319"/>
        <v>#VALUE!</v>
      </c>
      <c r="O103" s="61" t="e">
        <f t="shared" ca="1" si="320"/>
        <v>#VALUE!</v>
      </c>
      <c r="P103" s="63" t="b">
        <f t="shared" si="321"/>
        <v>1</v>
      </c>
      <c r="Q103" s="62">
        <f t="shared" ca="1" si="283"/>
        <v>2231.4933119991188</v>
      </c>
      <c r="T103" s="62">
        <f t="shared" ca="1" si="284"/>
        <v>2162.867880163978</v>
      </c>
      <c r="W103" s="62">
        <f t="shared" ca="1" si="285"/>
        <v>2269.5997680171276</v>
      </c>
      <c r="Z103" s="62">
        <f t="shared" ca="1" si="286"/>
        <v>2077.4346982620605</v>
      </c>
      <c r="AC103" s="62">
        <f t="shared" ca="1" si="287"/>
        <v>2061.037619875387</v>
      </c>
      <c r="AF103" s="62"/>
      <c r="AI103" s="62" t="e">
        <f t="shared" ca="1" si="288"/>
        <v>#VALUE!</v>
      </c>
      <c r="AL103" s="62" t="e">
        <f t="shared" ca="1" si="289"/>
        <v>#VALUE!</v>
      </c>
      <c r="AO103" s="62" t="e">
        <f t="shared" ca="1" si="290"/>
        <v>#VALUE!</v>
      </c>
      <c r="AR103" s="62" t="e">
        <f t="shared" ca="1" si="291"/>
        <v>#VALUE!</v>
      </c>
      <c r="AU103" s="62" t="e">
        <f t="shared" ca="1" si="292"/>
        <v>#VALUE!</v>
      </c>
      <c r="AX103" s="62" t="e">
        <f t="shared" ca="1" si="293"/>
        <v>#VALUE!</v>
      </c>
      <c r="BA103" s="62" t="e">
        <f t="shared" ca="1" si="294"/>
        <v>#VALUE!</v>
      </c>
      <c r="BD103" s="62" t="e">
        <f t="shared" ca="1" si="295"/>
        <v>#VALUE!</v>
      </c>
      <c r="BG103" s="62" t="e">
        <f t="shared" ca="1" si="296"/>
        <v>#VALUE!</v>
      </c>
      <c r="BJ103" s="62" t="e">
        <f t="shared" ca="1" si="297"/>
        <v>#VALUE!</v>
      </c>
      <c r="BM103" s="62" t="e">
        <f t="shared" ca="1" si="298"/>
        <v>#VALUE!</v>
      </c>
      <c r="BP103" s="62" t="e">
        <f t="shared" ca="1" si="299"/>
        <v>#VALUE!</v>
      </c>
      <c r="BS103" s="62"/>
      <c r="BV103" s="62" t="e">
        <f t="shared" ca="1" si="300"/>
        <v>#VALUE!</v>
      </c>
      <c r="BY103" s="62" t="e">
        <f t="shared" ca="1" si="301"/>
        <v>#VALUE!</v>
      </c>
      <c r="CB103" s="62"/>
      <c r="CE103" s="62" t="e">
        <f t="shared" ca="1" si="302"/>
        <v>#VALUE!</v>
      </c>
      <c r="CH103" s="62" t="e">
        <f t="shared" ca="1" si="303"/>
        <v>#VALUE!</v>
      </c>
      <c r="CK103" s="62" t="e">
        <f t="shared" ca="1" si="304"/>
        <v>#VALUE!</v>
      </c>
      <c r="CN103" s="62" t="e">
        <f t="shared" ca="1" si="305"/>
        <v>#VALUE!</v>
      </c>
      <c r="CQ103" s="62" t="e">
        <f t="shared" ca="1" si="306"/>
        <v>#VALUE!</v>
      </c>
      <c r="CT103" s="62" t="e">
        <f t="shared" ca="1" si="307"/>
        <v>#VALUE!</v>
      </c>
      <c r="CW103" s="62" t="e">
        <f t="shared" ca="1" si="308"/>
        <v>#VALUE!</v>
      </c>
      <c r="CZ103" s="62" t="e">
        <f t="shared" ca="1" si="309"/>
        <v>#VALUE!</v>
      </c>
      <c r="DC103" s="62" t="e">
        <f t="shared" ca="1" si="310"/>
        <v>#VALUE!</v>
      </c>
      <c r="DF103" s="62" t="e">
        <f t="shared" ca="1" si="311"/>
        <v>#VALUE!</v>
      </c>
    </row>
    <row r="104" spans="1:112">
      <c r="A104" s="14">
        <f t="shared" si="312"/>
        <v>6</v>
      </c>
      <c r="B104" s="63">
        <f t="shared" ca="1" si="313"/>
        <v>7.108076789685887</v>
      </c>
      <c r="C104" s="63">
        <f t="shared" si="313"/>
        <v>3971.2</v>
      </c>
      <c r="D104" s="2" t="e">
        <f t="shared" ca="1" si="279"/>
        <v>#VALUE!</v>
      </c>
      <c r="E104" s="2" t="e">
        <f t="shared" ca="1" si="314"/>
        <v>#VALUE!</v>
      </c>
      <c r="F104" s="2" t="e">
        <f t="shared" ca="1" si="280"/>
        <v>#VALUE!</v>
      </c>
      <c r="G104" s="2" t="e">
        <f t="shared" ca="1" si="315"/>
        <v>#VALUE!</v>
      </c>
      <c r="H104" s="2" t="e">
        <f t="shared" ca="1" si="281"/>
        <v>#VALUE!</v>
      </c>
      <c r="I104" s="2" t="e">
        <f t="shared" ca="1" si="316"/>
        <v>#VALUE!</v>
      </c>
      <c r="J104" s="2" t="e">
        <f t="shared" ca="1" si="282"/>
        <v>#VALUE!</v>
      </c>
      <c r="L104" s="61" t="e">
        <f t="shared" ca="1" si="317"/>
        <v>#VALUE!</v>
      </c>
      <c r="M104" s="63" t="e">
        <f t="shared" ca="1" si="318"/>
        <v>#VALUE!</v>
      </c>
      <c r="N104" s="61" t="e">
        <f t="shared" ca="1" si="319"/>
        <v>#VALUE!</v>
      </c>
      <c r="O104" s="61" t="e">
        <f t="shared" ca="1" si="320"/>
        <v>#VALUE!</v>
      </c>
      <c r="P104" s="63" t="b">
        <f t="shared" si="321"/>
        <v>1</v>
      </c>
      <c r="Q104" s="62">
        <f t="shared" ca="1" si="283"/>
        <v>2228.429724196274</v>
      </c>
      <c r="T104" s="62">
        <f t="shared" ca="1" si="284"/>
        <v>2139.1050665319694</v>
      </c>
      <c r="W104" s="62">
        <f t="shared" ca="1" si="285"/>
        <v>2251.2364988963013</v>
      </c>
      <c r="Z104" s="62">
        <f t="shared" ca="1" si="286"/>
        <v>2059.2262718153315</v>
      </c>
      <c r="AC104" s="62">
        <f t="shared" ca="1" si="287"/>
        <v>2113.9806805441526</v>
      </c>
      <c r="AF104" s="62"/>
      <c r="AI104" s="62" t="e">
        <f t="shared" ca="1" si="288"/>
        <v>#VALUE!</v>
      </c>
      <c r="AL104" s="62" t="e">
        <f t="shared" ca="1" si="289"/>
        <v>#VALUE!</v>
      </c>
      <c r="AO104" s="62" t="e">
        <f t="shared" ca="1" si="290"/>
        <v>#VALUE!</v>
      </c>
      <c r="AR104" s="62" t="e">
        <f t="shared" ca="1" si="291"/>
        <v>#VALUE!</v>
      </c>
      <c r="AU104" s="62" t="e">
        <f t="shared" ca="1" si="292"/>
        <v>#VALUE!</v>
      </c>
      <c r="AX104" s="62" t="e">
        <f t="shared" ca="1" si="293"/>
        <v>#VALUE!</v>
      </c>
      <c r="BA104" s="62" t="e">
        <f t="shared" ca="1" si="294"/>
        <v>#VALUE!</v>
      </c>
      <c r="BD104" s="62" t="e">
        <f t="shared" ca="1" si="295"/>
        <v>#VALUE!</v>
      </c>
      <c r="BG104" s="62" t="e">
        <f t="shared" ca="1" si="296"/>
        <v>#VALUE!</v>
      </c>
      <c r="BJ104" s="62" t="e">
        <f t="shared" ca="1" si="297"/>
        <v>#VALUE!</v>
      </c>
      <c r="BM104" s="62" t="e">
        <f t="shared" ca="1" si="298"/>
        <v>#VALUE!</v>
      </c>
      <c r="BP104" s="62" t="e">
        <f t="shared" ca="1" si="299"/>
        <v>#VALUE!</v>
      </c>
      <c r="BS104" s="62"/>
      <c r="BV104" s="62" t="e">
        <f t="shared" ca="1" si="300"/>
        <v>#VALUE!</v>
      </c>
      <c r="BY104" s="62" t="e">
        <f t="shared" ca="1" si="301"/>
        <v>#VALUE!</v>
      </c>
      <c r="CB104" s="62"/>
      <c r="CE104" s="62" t="e">
        <f t="shared" ca="1" si="302"/>
        <v>#VALUE!</v>
      </c>
      <c r="CH104" s="62" t="e">
        <f t="shared" ca="1" si="303"/>
        <v>#VALUE!</v>
      </c>
      <c r="CK104" s="62" t="e">
        <f t="shared" ca="1" si="304"/>
        <v>#VALUE!</v>
      </c>
      <c r="CN104" s="62" t="e">
        <f t="shared" ca="1" si="305"/>
        <v>#VALUE!</v>
      </c>
      <c r="CQ104" s="62" t="e">
        <f t="shared" ca="1" si="306"/>
        <v>#VALUE!</v>
      </c>
      <c r="CT104" s="62" t="e">
        <f t="shared" ca="1" si="307"/>
        <v>#VALUE!</v>
      </c>
      <c r="CW104" s="62" t="e">
        <f t="shared" ca="1" si="308"/>
        <v>#VALUE!</v>
      </c>
      <c r="CZ104" s="62" t="e">
        <f t="shared" ca="1" si="309"/>
        <v>#VALUE!</v>
      </c>
      <c r="DC104" s="62" t="e">
        <f t="shared" ca="1" si="310"/>
        <v>#VALUE!</v>
      </c>
      <c r="DF104" s="62" t="e">
        <f t="shared" ca="1" si="311"/>
        <v>#VALUE!</v>
      </c>
    </row>
    <row r="105" spans="1:112">
      <c r="A105" s="14">
        <f t="shared" si="312"/>
        <v>7</v>
      </c>
      <c r="B105" s="63">
        <f t="shared" ca="1" si="313"/>
        <v>5.8108316409221263</v>
      </c>
      <c r="C105" s="63">
        <f t="shared" si="313"/>
        <v>3979.2</v>
      </c>
      <c r="D105" s="2" t="e">
        <f t="shared" ca="1" si="279"/>
        <v>#VALUE!</v>
      </c>
      <c r="E105" s="2" t="e">
        <f t="shared" ca="1" si="314"/>
        <v>#VALUE!</v>
      </c>
      <c r="F105" s="2" t="e">
        <f t="shared" ca="1" si="280"/>
        <v>#VALUE!</v>
      </c>
      <c r="G105" s="2" t="e">
        <f t="shared" ca="1" si="315"/>
        <v>#VALUE!</v>
      </c>
      <c r="H105" s="2" t="e">
        <f t="shared" ca="1" si="281"/>
        <v>#VALUE!</v>
      </c>
      <c r="I105" s="2" t="e">
        <f t="shared" ca="1" si="316"/>
        <v>#VALUE!</v>
      </c>
      <c r="J105" s="2" t="e">
        <f t="shared" ca="1" si="282"/>
        <v>#VALUE!</v>
      </c>
      <c r="L105" s="61" t="e">
        <f t="shared" ca="1" si="317"/>
        <v>#VALUE!</v>
      </c>
      <c r="M105" s="63" t="e">
        <f t="shared" ca="1" si="318"/>
        <v>#VALUE!</v>
      </c>
      <c r="N105" s="61" t="e">
        <f t="shared" ca="1" si="319"/>
        <v>#VALUE!</v>
      </c>
      <c r="O105" s="61" t="e">
        <f t="shared" ca="1" si="320"/>
        <v>#VALUE!</v>
      </c>
      <c r="P105" s="63" t="b">
        <f t="shared" si="321"/>
        <v>1</v>
      </c>
      <c r="Q105" s="62">
        <f t="shared" ca="1" si="283"/>
        <v>1748.6506053692397</v>
      </c>
      <c r="T105" s="62">
        <f t="shared" ca="1" si="284"/>
        <v>2113.7310597319483</v>
      </c>
      <c r="W105" s="62">
        <f t="shared" ca="1" si="285"/>
        <v>2238.4654728499636</v>
      </c>
      <c r="Z105" s="62">
        <f t="shared" ca="1" si="286"/>
        <v>2012.1805260458873</v>
      </c>
      <c r="AC105" s="62">
        <f t="shared" ca="1" si="287"/>
        <v>1644.3015125339625</v>
      </c>
      <c r="AF105" s="62"/>
      <c r="AI105" s="62" t="e">
        <f t="shared" ca="1" si="288"/>
        <v>#VALUE!</v>
      </c>
      <c r="AL105" s="62" t="e">
        <f t="shared" ca="1" si="289"/>
        <v>#VALUE!</v>
      </c>
      <c r="AO105" s="62" t="e">
        <f t="shared" ca="1" si="290"/>
        <v>#VALUE!</v>
      </c>
      <c r="AR105" s="62" t="e">
        <f t="shared" ca="1" si="291"/>
        <v>#VALUE!</v>
      </c>
      <c r="AU105" s="62" t="e">
        <f t="shared" ca="1" si="292"/>
        <v>#VALUE!</v>
      </c>
      <c r="AX105" s="62" t="e">
        <f t="shared" ca="1" si="293"/>
        <v>#VALUE!</v>
      </c>
      <c r="BA105" s="62" t="e">
        <f t="shared" ca="1" si="294"/>
        <v>#VALUE!</v>
      </c>
      <c r="BD105" s="62" t="e">
        <f t="shared" ca="1" si="295"/>
        <v>#VALUE!</v>
      </c>
      <c r="BG105" s="62" t="e">
        <f t="shared" ca="1" si="296"/>
        <v>#VALUE!</v>
      </c>
      <c r="BJ105" s="62" t="e">
        <f t="shared" ca="1" si="297"/>
        <v>#VALUE!</v>
      </c>
      <c r="BM105" s="62" t="e">
        <f t="shared" ca="1" si="298"/>
        <v>#VALUE!</v>
      </c>
      <c r="BP105" s="62" t="e">
        <f t="shared" ca="1" si="299"/>
        <v>#VALUE!</v>
      </c>
      <c r="BS105" s="62"/>
      <c r="BV105" s="62" t="e">
        <f t="shared" ca="1" si="300"/>
        <v>#VALUE!</v>
      </c>
      <c r="BY105" s="62" t="e">
        <f t="shared" ca="1" si="301"/>
        <v>#VALUE!</v>
      </c>
      <c r="CB105" s="62"/>
      <c r="CE105" s="62" t="e">
        <f t="shared" ca="1" si="302"/>
        <v>#VALUE!</v>
      </c>
      <c r="CH105" s="62" t="e">
        <f t="shared" ca="1" si="303"/>
        <v>#VALUE!</v>
      </c>
      <c r="CK105" s="62" t="e">
        <f t="shared" ca="1" si="304"/>
        <v>#VALUE!</v>
      </c>
      <c r="CN105" s="62" t="e">
        <f t="shared" ca="1" si="305"/>
        <v>#VALUE!</v>
      </c>
      <c r="CQ105" s="62" t="e">
        <f t="shared" ca="1" si="306"/>
        <v>#VALUE!</v>
      </c>
      <c r="CT105" s="62" t="e">
        <f t="shared" ca="1" si="307"/>
        <v>#VALUE!</v>
      </c>
      <c r="CW105" s="62" t="e">
        <f t="shared" ca="1" si="308"/>
        <v>#VALUE!</v>
      </c>
      <c r="CZ105" s="62" t="e">
        <f t="shared" ca="1" si="309"/>
        <v>#VALUE!</v>
      </c>
      <c r="DC105" s="62" t="e">
        <f t="shared" ca="1" si="310"/>
        <v>#VALUE!</v>
      </c>
      <c r="DF105" s="62" t="e">
        <f t="shared" ca="1" si="311"/>
        <v>#VALUE!</v>
      </c>
    </row>
    <row r="106" spans="1:112">
      <c r="A106" s="14">
        <f t="shared" si="312"/>
        <v>8</v>
      </c>
      <c r="B106" s="63">
        <f t="shared" ca="1" si="313"/>
        <v>4.7264524101014667</v>
      </c>
      <c r="C106" s="63">
        <f t="shared" si="313"/>
        <v>4001.7</v>
      </c>
      <c r="D106" s="2" t="e">
        <f t="shared" ca="1" si="279"/>
        <v>#VALUE!</v>
      </c>
      <c r="E106" s="2" t="e">
        <f t="shared" ca="1" si="314"/>
        <v>#VALUE!</v>
      </c>
      <c r="F106" s="2" t="e">
        <f t="shared" ca="1" si="280"/>
        <v>#VALUE!</v>
      </c>
      <c r="G106" s="2" t="e">
        <f t="shared" ca="1" si="315"/>
        <v>#VALUE!</v>
      </c>
      <c r="H106" s="2" t="e">
        <f t="shared" ca="1" si="281"/>
        <v>#VALUE!</v>
      </c>
      <c r="I106" s="2" t="e">
        <f t="shared" ca="1" si="316"/>
        <v>#VALUE!</v>
      </c>
      <c r="J106" s="2" t="e">
        <f t="shared" ca="1" si="282"/>
        <v>#VALUE!</v>
      </c>
      <c r="L106" s="61" t="e">
        <f t="shared" ca="1" si="317"/>
        <v>#VALUE!</v>
      </c>
      <c r="M106" s="63" t="e">
        <f t="shared" ca="1" si="318"/>
        <v>#VALUE!</v>
      </c>
      <c r="N106" s="61" t="e">
        <f t="shared" ca="1" si="319"/>
        <v>#VALUE!</v>
      </c>
      <c r="O106" s="61" t="e">
        <f t="shared" ca="1" si="320"/>
        <v>#VALUE!</v>
      </c>
      <c r="P106" s="63" t="b">
        <f t="shared" si="321"/>
        <v>1</v>
      </c>
      <c r="Q106" s="62">
        <f t="shared" ca="1" si="283"/>
        <v>1765.5947547156031</v>
      </c>
      <c r="T106" s="62">
        <f t="shared" ca="1" si="284"/>
        <v>1685.5666568354795</v>
      </c>
      <c r="W106" s="62">
        <f t="shared" ca="1" si="285"/>
        <v>2268.6731249242753</v>
      </c>
      <c r="Z106" s="62">
        <f t="shared" ca="1" si="286"/>
        <v>2071.5052146879898</v>
      </c>
      <c r="AC106" s="62">
        <f t="shared" ca="1" si="287"/>
        <v>2095.7458593716024</v>
      </c>
      <c r="AF106" s="62"/>
      <c r="AI106" s="62" t="e">
        <f t="shared" ca="1" si="288"/>
        <v>#VALUE!</v>
      </c>
      <c r="AL106" s="62" t="e">
        <f t="shared" ca="1" si="289"/>
        <v>#VALUE!</v>
      </c>
      <c r="AO106" s="62" t="e">
        <f t="shared" ca="1" si="290"/>
        <v>#VALUE!</v>
      </c>
      <c r="AR106" s="62" t="e">
        <f t="shared" ca="1" si="291"/>
        <v>#VALUE!</v>
      </c>
      <c r="AU106" s="62" t="e">
        <f t="shared" ca="1" si="292"/>
        <v>#VALUE!</v>
      </c>
      <c r="AX106" s="62" t="e">
        <f t="shared" ca="1" si="293"/>
        <v>#VALUE!</v>
      </c>
      <c r="BA106" s="62" t="e">
        <f t="shared" ca="1" si="294"/>
        <v>#VALUE!</v>
      </c>
      <c r="BD106" s="62" t="e">
        <f t="shared" ca="1" si="295"/>
        <v>#VALUE!</v>
      </c>
      <c r="BG106" s="62" t="e">
        <f t="shared" ca="1" si="296"/>
        <v>#VALUE!</v>
      </c>
      <c r="BJ106" s="62" t="e">
        <f t="shared" ca="1" si="297"/>
        <v>#VALUE!</v>
      </c>
      <c r="BM106" s="62" t="e">
        <f t="shared" ca="1" si="298"/>
        <v>#VALUE!</v>
      </c>
      <c r="BP106" s="62" t="e">
        <f t="shared" ca="1" si="299"/>
        <v>#VALUE!</v>
      </c>
      <c r="BS106" s="62"/>
      <c r="BV106" s="62" t="e">
        <f t="shared" ca="1" si="300"/>
        <v>#VALUE!</v>
      </c>
      <c r="BY106" s="62" t="e">
        <f t="shared" ca="1" si="301"/>
        <v>#VALUE!</v>
      </c>
      <c r="CB106" s="62"/>
      <c r="CE106" s="62" t="e">
        <f t="shared" ca="1" si="302"/>
        <v>#VALUE!</v>
      </c>
      <c r="CH106" s="62" t="e">
        <f t="shared" ca="1" si="303"/>
        <v>#VALUE!</v>
      </c>
      <c r="CK106" s="62" t="e">
        <f t="shared" ca="1" si="304"/>
        <v>#VALUE!</v>
      </c>
      <c r="CN106" s="62" t="e">
        <f t="shared" ca="1" si="305"/>
        <v>#VALUE!</v>
      </c>
      <c r="CQ106" s="62" t="e">
        <f t="shared" ca="1" si="306"/>
        <v>#VALUE!</v>
      </c>
      <c r="CT106" s="62" t="e">
        <f t="shared" ca="1" si="307"/>
        <v>#VALUE!</v>
      </c>
      <c r="CW106" s="62" t="e">
        <f t="shared" ca="1" si="308"/>
        <v>#VALUE!</v>
      </c>
      <c r="CZ106" s="62" t="e">
        <f t="shared" ca="1" si="309"/>
        <v>#VALUE!</v>
      </c>
      <c r="DC106" s="62" t="e">
        <f t="shared" ca="1" si="310"/>
        <v>#VALUE!</v>
      </c>
      <c r="DF106" s="62" t="e">
        <f t="shared" ca="1" si="311"/>
        <v>#VALUE!</v>
      </c>
    </row>
    <row r="107" spans="1:112">
      <c r="A107" s="14">
        <f t="shared" si="312"/>
        <v>9</v>
      </c>
      <c r="B107" s="63">
        <f t="shared" ca="1" si="313"/>
        <v>3.8737596974251551</v>
      </c>
      <c r="C107" s="63">
        <f t="shared" si="313"/>
        <v>4034.1</v>
      </c>
      <c r="D107" s="2" t="e">
        <f t="shared" ca="1" si="279"/>
        <v>#VALUE!</v>
      </c>
      <c r="E107" s="2" t="e">
        <f t="shared" ca="1" si="314"/>
        <v>#VALUE!</v>
      </c>
      <c r="F107" s="2" t="e">
        <f t="shared" ca="1" si="280"/>
        <v>#VALUE!</v>
      </c>
      <c r="G107" s="2" t="e">
        <f t="shared" ca="1" si="315"/>
        <v>#VALUE!</v>
      </c>
      <c r="H107" s="2" t="e">
        <f t="shared" ca="1" si="281"/>
        <v>#VALUE!</v>
      </c>
      <c r="I107" s="2" t="e">
        <f t="shared" ca="1" si="316"/>
        <v>#VALUE!</v>
      </c>
      <c r="J107" s="2" t="e">
        <f t="shared" ca="1" si="282"/>
        <v>#VALUE!</v>
      </c>
      <c r="L107" s="61" t="e">
        <f t="shared" ca="1" si="317"/>
        <v>#VALUE!</v>
      </c>
      <c r="M107" s="63" t="e">
        <f t="shared" ca="1" si="318"/>
        <v>#VALUE!</v>
      </c>
      <c r="N107" s="61" t="e">
        <f t="shared" ca="1" si="319"/>
        <v>#VALUE!</v>
      </c>
      <c r="O107" s="61" t="e">
        <f t="shared" ca="1" si="320"/>
        <v>#VALUE!</v>
      </c>
      <c r="P107" s="63" t="b">
        <f t="shared" si="321"/>
        <v>1</v>
      </c>
      <c r="Q107" s="62">
        <f t="shared" ca="1" si="283"/>
        <v>1871.1815050656448</v>
      </c>
      <c r="T107" s="62">
        <f t="shared" ca="1" si="284"/>
        <v>2267.0788766971959</v>
      </c>
      <c r="W107" s="62">
        <f t="shared" ca="1" si="285"/>
        <v>2374.2697636991356</v>
      </c>
      <c r="Z107" s="62">
        <f t="shared" ca="1" si="286"/>
        <v>2201.64644927778</v>
      </c>
      <c r="AC107" s="62">
        <f t="shared" ca="1" si="287"/>
        <v>2220.6007230092541</v>
      </c>
      <c r="AF107" s="62"/>
      <c r="AI107" s="62" t="e">
        <f t="shared" ca="1" si="288"/>
        <v>#VALUE!</v>
      </c>
      <c r="AL107" s="62" t="e">
        <f t="shared" ca="1" si="289"/>
        <v>#VALUE!</v>
      </c>
      <c r="AO107" s="62" t="e">
        <f t="shared" ca="1" si="290"/>
        <v>#VALUE!</v>
      </c>
      <c r="AR107" s="62" t="e">
        <f t="shared" ca="1" si="291"/>
        <v>#VALUE!</v>
      </c>
      <c r="AU107" s="62" t="e">
        <f t="shared" ca="1" si="292"/>
        <v>#VALUE!</v>
      </c>
      <c r="AX107" s="62" t="e">
        <f t="shared" ca="1" si="293"/>
        <v>#VALUE!</v>
      </c>
      <c r="BA107" s="62" t="e">
        <f t="shared" ca="1" si="294"/>
        <v>#VALUE!</v>
      </c>
      <c r="BD107" s="62" t="e">
        <f t="shared" ca="1" si="295"/>
        <v>#VALUE!</v>
      </c>
      <c r="BG107" s="62" t="e">
        <f t="shared" ca="1" si="296"/>
        <v>#VALUE!</v>
      </c>
      <c r="BJ107" s="62" t="e">
        <f t="shared" ca="1" si="297"/>
        <v>#VALUE!</v>
      </c>
      <c r="BM107" s="62" t="e">
        <f t="shared" ca="1" si="298"/>
        <v>#VALUE!</v>
      </c>
      <c r="BP107" s="62" t="e">
        <f t="shared" ca="1" si="299"/>
        <v>#VALUE!</v>
      </c>
      <c r="BS107" s="62"/>
      <c r="BV107" s="62" t="e">
        <f t="shared" ca="1" si="300"/>
        <v>#VALUE!</v>
      </c>
      <c r="BY107" s="62" t="e">
        <f t="shared" ca="1" si="301"/>
        <v>#VALUE!</v>
      </c>
      <c r="CB107" s="62"/>
      <c r="CE107" s="62" t="e">
        <f t="shared" ca="1" si="302"/>
        <v>#VALUE!</v>
      </c>
      <c r="CH107" s="62" t="e">
        <f t="shared" ca="1" si="303"/>
        <v>#VALUE!</v>
      </c>
      <c r="CK107" s="62" t="e">
        <f t="shared" ca="1" si="304"/>
        <v>#VALUE!</v>
      </c>
      <c r="CN107" s="62" t="e">
        <f t="shared" ca="1" si="305"/>
        <v>#VALUE!</v>
      </c>
      <c r="CQ107" s="62" t="e">
        <f t="shared" ca="1" si="306"/>
        <v>#VALUE!</v>
      </c>
      <c r="CT107" s="62" t="e">
        <f t="shared" ca="1" si="307"/>
        <v>#VALUE!</v>
      </c>
      <c r="CW107" s="62" t="e">
        <f t="shared" ca="1" si="308"/>
        <v>#VALUE!</v>
      </c>
      <c r="CZ107" s="62" t="e">
        <f t="shared" ca="1" si="309"/>
        <v>#VALUE!</v>
      </c>
      <c r="DC107" s="62" t="e">
        <f t="shared" ca="1" si="310"/>
        <v>#VALUE!</v>
      </c>
      <c r="DF107" s="62" t="e">
        <f t="shared" ca="1" si="311"/>
        <v>#VALUE!</v>
      </c>
    </row>
    <row r="108" spans="1:112">
      <c r="A108" s="14">
        <f t="shared" si="312"/>
        <v>10</v>
      </c>
      <c r="B108" s="63">
        <f t="shared" ca="1" si="313"/>
        <v>3.2207968686872634</v>
      </c>
      <c r="C108" s="63">
        <f t="shared" si="313"/>
        <v>4023.8</v>
      </c>
      <c r="D108" s="2" t="e">
        <f t="shared" ca="1" si="279"/>
        <v>#VALUE!</v>
      </c>
      <c r="E108" s="2" t="e">
        <f t="shared" ca="1" si="314"/>
        <v>#VALUE!</v>
      </c>
      <c r="F108" s="2" t="e">
        <f t="shared" ca="1" si="280"/>
        <v>#VALUE!</v>
      </c>
      <c r="G108" s="2" t="e">
        <f t="shared" ca="1" si="315"/>
        <v>#VALUE!</v>
      </c>
      <c r="H108" s="2" t="e">
        <f t="shared" ca="1" si="281"/>
        <v>#VALUE!</v>
      </c>
      <c r="I108" s="2" t="e">
        <f t="shared" ca="1" si="316"/>
        <v>#VALUE!</v>
      </c>
      <c r="J108" s="2" t="e">
        <f t="shared" ca="1" si="282"/>
        <v>#VALUE!</v>
      </c>
      <c r="L108" s="61" t="e">
        <f t="shared" ca="1" si="317"/>
        <v>#VALUE!</v>
      </c>
      <c r="M108" s="63" t="e">
        <f t="shared" ca="1" si="318"/>
        <v>#VALUE!</v>
      </c>
      <c r="N108" s="61" t="e">
        <f t="shared" ca="1" si="319"/>
        <v>#VALUE!</v>
      </c>
      <c r="O108" s="61" t="e">
        <f t="shared" ca="1" si="320"/>
        <v>#VALUE!</v>
      </c>
      <c r="P108" s="63" t="b">
        <f t="shared" si="321"/>
        <v>1</v>
      </c>
      <c r="Q108" s="62">
        <f t="shared" ca="1" si="283"/>
        <v>2461.1031438053633</v>
      </c>
      <c r="T108" s="62">
        <f t="shared" ca="1" si="284"/>
        <v>2360.8593902490093</v>
      </c>
      <c r="W108" s="62">
        <f t="shared" ca="1" si="285"/>
        <v>2444.8497315381833</v>
      </c>
      <c r="Z108" s="62">
        <f t="shared" ca="1" si="286"/>
        <v>2272.6167152605653</v>
      </c>
      <c r="AC108" s="62">
        <f t="shared" ca="1" si="287"/>
        <v>2274.3729344465792</v>
      </c>
      <c r="AF108" s="62"/>
      <c r="AI108" s="62" t="e">
        <f t="shared" ca="1" si="288"/>
        <v>#VALUE!</v>
      </c>
      <c r="AL108" s="62" t="e">
        <f t="shared" ca="1" si="289"/>
        <v>#VALUE!</v>
      </c>
      <c r="AO108" s="62" t="e">
        <f t="shared" ca="1" si="290"/>
        <v>#VALUE!</v>
      </c>
      <c r="AR108" s="62" t="e">
        <f t="shared" ca="1" si="291"/>
        <v>#VALUE!</v>
      </c>
      <c r="AU108" s="62" t="e">
        <f t="shared" ca="1" si="292"/>
        <v>#VALUE!</v>
      </c>
      <c r="AX108" s="62" t="e">
        <f t="shared" ca="1" si="293"/>
        <v>#VALUE!</v>
      </c>
      <c r="BA108" s="62" t="e">
        <f t="shared" ca="1" si="294"/>
        <v>#VALUE!</v>
      </c>
      <c r="BD108" s="62" t="e">
        <f t="shared" ca="1" si="295"/>
        <v>#VALUE!</v>
      </c>
      <c r="BG108" s="62" t="e">
        <f t="shared" ca="1" si="296"/>
        <v>#VALUE!</v>
      </c>
      <c r="BJ108" s="62" t="e">
        <f t="shared" ca="1" si="297"/>
        <v>#VALUE!</v>
      </c>
      <c r="BM108" s="62" t="e">
        <f t="shared" ca="1" si="298"/>
        <v>#VALUE!</v>
      </c>
      <c r="BP108" s="62" t="e">
        <f t="shared" ca="1" si="299"/>
        <v>#VALUE!</v>
      </c>
      <c r="BS108" s="62"/>
      <c r="BV108" s="62" t="e">
        <f t="shared" ca="1" si="300"/>
        <v>#VALUE!</v>
      </c>
      <c r="BY108" s="62" t="e">
        <f t="shared" ca="1" si="301"/>
        <v>#VALUE!</v>
      </c>
      <c r="CB108" s="62"/>
      <c r="CE108" s="62" t="e">
        <f t="shared" ca="1" si="302"/>
        <v>#VALUE!</v>
      </c>
      <c r="CH108" s="62" t="e">
        <f t="shared" ca="1" si="303"/>
        <v>#VALUE!</v>
      </c>
      <c r="CK108" s="62" t="e">
        <f t="shared" ca="1" si="304"/>
        <v>#VALUE!</v>
      </c>
      <c r="CN108" s="62" t="e">
        <f t="shared" ca="1" si="305"/>
        <v>#VALUE!</v>
      </c>
      <c r="CQ108" s="62" t="e">
        <f t="shared" ca="1" si="306"/>
        <v>#VALUE!</v>
      </c>
      <c r="CT108" s="62" t="e">
        <f t="shared" ca="1" si="307"/>
        <v>#VALUE!</v>
      </c>
      <c r="CW108" s="62" t="e">
        <f t="shared" ca="1" si="308"/>
        <v>#VALUE!</v>
      </c>
      <c r="CZ108" s="62" t="e">
        <f t="shared" ca="1" si="309"/>
        <v>#VALUE!</v>
      </c>
      <c r="DC108" s="62" t="e">
        <f t="shared" ca="1" si="310"/>
        <v>#VALUE!</v>
      </c>
      <c r="DF108" s="62" t="e">
        <f t="shared" ca="1" si="311"/>
        <v>#VALUE!</v>
      </c>
    </row>
    <row r="109" spans="1:112">
      <c r="A109" s="14">
        <f t="shared" si="312"/>
        <v>11</v>
      </c>
      <c r="B109" s="63">
        <f t="shared" ca="1" si="313"/>
        <v>2.38707854456778</v>
      </c>
      <c r="C109" s="63">
        <f t="shared" si="313"/>
        <v>4005.5</v>
      </c>
      <c r="D109" s="2" t="e">
        <f t="shared" ca="1" si="279"/>
        <v>#VALUE!</v>
      </c>
      <c r="E109" s="2" t="e">
        <f t="shared" ca="1" si="314"/>
        <v>#VALUE!</v>
      </c>
      <c r="F109" s="2" t="e">
        <f t="shared" ca="1" si="280"/>
        <v>#VALUE!</v>
      </c>
      <c r="G109" s="2" t="e">
        <f t="shared" ca="1" si="315"/>
        <v>#VALUE!</v>
      </c>
      <c r="H109" s="2" t="e">
        <f t="shared" ca="1" si="281"/>
        <v>#VALUE!</v>
      </c>
      <c r="I109" s="2" t="e">
        <f t="shared" ca="1" si="316"/>
        <v>#VALUE!</v>
      </c>
      <c r="J109" s="2" t="e">
        <f t="shared" ca="1" si="282"/>
        <v>#VALUE!</v>
      </c>
      <c r="L109" s="61" t="e">
        <f t="shared" ca="1" si="317"/>
        <v>#VALUE!</v>
      </c>
      <c r="M109" s="63" t="e">
        <f t="shared" ca="1" si="318"/>
        <v>#VALUE!</v>
      </c>
      <c r="N109" s="61" t="e">
        <f t="shared" ca="1" si="319"/>
        <v>#VALUE!</v>
      </c>
      <c r="O109" s="61" t="e">
        <f t="shared" ca="1" si="320"/>
        <v>#VALUE!</v>
      </c>
      <c r="P109" s="63" t="b">
        <f t="shared" si="321"/>
        <v>1</v>
      </c>
      <c r="Q109" s="62">
        <f t="shared" ca="1" si="283"/>
        <v>2304.6635923072831</v>
      </c>
      <c r="T109" s="62">
        <f t="shared" ca="1" si="284"/>
        <v>2150.8284885678372</v>
      </c>
      <c r="W109" s="62">
        <f t="shared" ca="1" si="285"/>
        <v>2267.3517955839775</v>
      </c>
      <c r="Z109" s="62">
        <f t="shared" ca="1" si="286"/>
        <v>2028.699937013203</v>
      </c>
      <c r="AC109" s="62">
        <f t="shared" ca="1" si="287"/>
        <v>2059.8864319985646</v>
      </c>
      <c r="AF109" s="62"/>
      <c r="AI109" s="62" t="e">
        <f t="shared" ca="1" si="288"/>
        <v>#VALUE!</v>
      </c>
      <c r="AL109" s="62" t="e">
        <f t="shared" ca="1" si="289"/>
        <v>#VALUE!</v>
      </c>
      <c r="AO109" s="62" t="e">
        <f t="shared" ca="1" si="290"/>
        <v>#VALUE!</v>
      </c>
      <c r="AR109" s="62" t="e">
        <f t="shared" ca="1" si="291"/>
        <v>#VALUE!</v>
      </c>
      <c r="AU109" s="62" t="e">
        <f t="shared" ca="1" si="292"/>
        <v>#VALUE!</v>
      </c>
      <c r="AX109" s="62" t="e">
        <f t="shared" ca="1" si="293"/>
        <v>#VALUE!</v>
      </c>
      <c r="BA109" s="62" t="e">
        <f t="shared" ca="1" si="294"/>
        <v>#VALUE!</v>
      </c>
      <c r="BD109" s="62" t="e">
        <f t="shared" ca="1" si="295"/>
        <v>#VALUE!</v>
      </c>
      <c r="BG109" s="62" t="e">
        <f t="shared" ca="1" si="296"/>
        <v>#VALUE!</v>
      </c>
      <c r="BJ109" s="62" t="e">
        <f t="shared" ca="1" si="297"/>
        <v>#VALUE!</v>
      </c>
      <c r="BM109" s="62" t="e">
        <f t="shared" ca="1" si="298"/>
        <v>#VALUE!</v>
      </c>
      <c r="BP109" s="62" t="e">
        <f t="shared" ca="1" si="299"/>
        <v>#VALUE!</v>
      </c>
      <c r="BS109" s="62"/>
      <c r="BV109" s="62" t="e">
        <f t="shared" ca="1" si="300"/>
        <v>#VALUE!</v>
      </c>
      <c r="BY109" s="62" t="e">
        <f t="shared" ca="1" si="301"/>
        <v>#VALUE!</v>
      </c>
      <c r="CB109" s="62"/>
      <c r="CE109" s="62" t="e">
        <f t="shared" ca="1" si="302"/>
        <v>#VALUE!</v>
      </c>
      <c r="CH109" s="62" t="e">
        <f t="shared" ca="1" si="303"/>
        <v>#VALUE!</v>
      </c>
      <c r="CK109" s="62" t="e">
        <f t="shared" ca="1" si="304"/>
        <v>#VALUE!</v>
      </c>
      <c r="CN109" s="62" t="e">
        <f t="shared" ca="1" si="305"/>
        <v>#VALUE!</v>
      </c>
      <c r="CQ109" s="62" t="e">
        <f t="shared" ca="1" si="306"/>
        <v>#VALUE!</v>
      </c>
      <c r="CT109" s="62" t="e">
        <f t="shared" ca="1" si="307"/>
        <v>#VALUE!</v>
      </c>
      <c r="CW109" s="62" t="e">
        <f t="shared" ca="1" si="308"/>
        <v>#VALUE!</v>
      </c>
      <c r="CZ109" s="62" t="e">
        <f t="shared" ca="1" si="309"/>
        <v>#VALUE!</v>
      </c>
      <c r="DC109" s="62" t="e">
        <f t="shared" ca="1" si="310"/>
        <v>#VALUE!</v>
      </c>
      <c r="DF109" s="62" t="e">
        <f t="shared" ca="1" si="311"/>
        <v>#VALUE!</v>
      </c>
    </row>
    <row r="110" spans="1:112">
      <c r="A110" s="14">
        <f t="shared" si="312"/>
        <v>12</v>
      </c>
      <c r="B110" s="63">
        <f t="shared" ca="1" si="313"/>
        <v>2.1590792663518994</v>
      </c>
      <c r="C110" s="63">
        <f t="shared" si="313"/>
        <v>4009.6</v>
      </c>
      <c r="D110" s="2" t="e">
        <f t="shared" ca="1" si="279"/>
        <v>#VALUE!</v>
      </c>
      <c r="E110" s="2" t="e">
        <f t="shared" ca="1" si="314"/>
        <v>#VALUE!</v>
      </c>
      <c r="F110" s="2" t="e">
        <f t="shared" ca="1" si="280"/>
        <v>#VALUE!</v>
      </c>
      <c r="G110" s="2" t="e">
        <f t="shared" ca="1" si="315"/>
        <v>#VALUE!</v>
      </c>
      <c r="H110" s="2" t="e">
        <f t="shared" ca="1" si="281"/>
        <v>#VALUE!</v>
      </c>
      <c r="I110" s="2" t="e">
        <f t="shared" ca="1" si="316"/>
        <v>#VALUE!</v>
      </c>
      <c r="J110" s="2" t="e">
        <f t="shared" ca="1" si="282"/>
        <v>#VALUE!</v>
      </c>
      <c r="L110" s="61" t="e">
        <f t="shared" ca="1" si="317"/>
        <v>#VALUE!</v>
      </c>
      <c r="M110" s="63" t="e">
        <f t="shared" ca="1" si="318"/>
        <v>#VALUE!</v>
      </c>
      <c r="N110" s="61" t="e">
        <f t="shared" ca="1" si="319"/>
        <v>#VALUE!</v>
      </c>
      <c r="O110" s="61" t="e">
        <f t="shared" ca="1" si="320"/>
        <v>#VALUE!</v>
      </c>
      <c r="P110" s="63" t="b">
        <f t="shared" si="321"/>
        <v>1</v>
      </c>
      <c r="Q110" s="62">
        <f t="shared" ca="1" si="283"/>
        <v>1776.2576516996817</v>
      </c>
      <c r="T110" s="62">
        <f t="shared" ca="1" si="284"/>
        <v>2108.1586730397821</v>
      </c>
      <c r="W110" s="62">
        <f t="shared" ca="1" si="285"/>
        <v>1755.7528416487701</v>
      </c>
      <c r="Z110" s="62">
        <f t="shared" ca="1" si="286"/>
        <v>1994.5878232122839</v>
      </c>
      <c r="AC110" s="62">
        <f t="shared" ca="1" si="287"/>
        <v>2048.1164046711719</v>
      </c>
      <c r="AF110" s="62"/>
      <c r="AI110" s="62" t="e">
        <f t="shared" ca="1" si="288"/>
        <v>#VALUE!</v>
      </c>
      <c r="AL110" s="62" t="e">
        <f t="shared" ca="1" si="289"/>
        <v>#VALUE!</v>
      </c>
      <c r="AO110" s="62" t="e">
        <f t="shared" ca="1" si="290"/>
        <v>#VALUE!</v>
      </c>
      <c r="AR110" s="62" t="e">
        <f t="shared" ca="1" si="291"/>
        <v>#VALUE!</v>
      </c>
      <c r="AU110" s="62" t="e">
        <f t="shared" ca="1" si="292"/>
        <v>#VALUE!</v>
      </c>
      <c r="AX110" s="62" t="e">
        <f t="shared" ca="1" si="293"/>
        <v>#VALUE!</v>
      </c>
      <c r="BA110" s="62" t="e">
        <f t="shared" ca="1" si="294"/>
        <v>#VALUE!</v>
      </c>
      <c r="BD110" s="62" t="e">
        <f t="shared" ca="1" si="295"/>
        <v>#VALUE!</v>
      </c>
      <c r="BG110" s="62" t="e">
        <f t="shared" ca="1" si="296"/>
        <v>#VALUE!</v>
      </c>
      <c r="BJ110" s="62" t="e">
        <f t="shared" ca="1" si="297"/>
        <v>#VALUE!</v>
      </c>
      <c r="BM110" s="62" t="e">
        <f t="shared" ca="1" si="298"/>
        <v>#VALUE!</v>
      </c>
      <c r="BP110" s="62" t="e">
        <f t="shared" ca="1" si="299"/>
        <v>#VALUE!</v>
      </c>
      <c r="BS110" s="62"/>
      <c r="BV110" s="62" t="e">
        <f t="shared" ca="1" si="300"/>
        <v>#VALUE!</v>
      </c>
      <c r="BY110" s="62" t="e">
        <f t="shared" ca="1" si="301"/>
        <v>#VALUE!</v>
      </c>
      <c r="CB110" s="62"/>
      <c r="CE110" s="62" t="e">
        <f t="shared" ca="1" si="302"/>
        <v>#VALUE!</v>
      </c>
      <c r="CH110" s="62" t="e">
        <f t="shared" ca="1" si="303"/>
        <v>#VALUE!</v>
      </c>
      <c r="CK110" s="62" t="e">
        <f t="shared" ca="1" si="304"/>
        <v>#VALUE!</v>
      </c>
      <c r="CN110" s="62" t="e">
        <f t="shared" ca="1" si="305"/>
        <v>#VALUE!</v>
      </c>
      <c r="CQ110" s="62" t="e">
        <f t="shared" ca="1" si="306"/>
        <v>#VALUE!</v>
      </c>
      <c r="CT110" s="62" t="e">
        <f t="shared" ca="1" si="307"/>
        <v>#VALUE!</v>
      </c>
      <c r="CW110" s="62" t="e">
        <f t="shared" ca="1" si="308"/>
        <v>#VALUE!</v>
      </c>
      <c r="CZ110" s="62" t="e">
        <f t="shared" ca="1" si="309"/>
        <v>#VALUE!</v>
      </c>
      <c r="DC110" s="62" t="e">
        <f t="shared" ca="1" si="310"/>
        <v>#VALUE!</v>
      </c>
      <c r="DF110" s="62" t="e">
        <f t="shared" ca="1" si="311"/>
        <v>#VALUE!</v>
      </c>
    </row>
    <row r="111" spans="1:112">
      <c r="A111" s="14">
        <f t="shared" si="312"/>
        <v>13</v>
      </c>
      <c r="B111" s="63">
        <f t="shared" ca="1" si="313"/>
        <v>1.7769039850931945</v>
      </c>
      <c r="C111" s="63">
        <f t="shared" si="313"/>
        <v>4016.5</v>
      </c>
      <c r="D111" s="2" t="e">
        <f t="shared" ca="1" si="279"/>
        <v>#VALUE!</v>
      </c>
      <c r="E111" s="2" t="e">
        <f t="shared" ca="1" si="314"/>
        <v>#VALUE!</v>
      </c>
      <c r="F111" s="2" t="e">
        <f t="shared" ca="1" si="280"/>
        <v>#VALUE!</v>
      </c>
      <c r="G111" s="2" t="e">
        <f t="shared" ca="1" si="315"/>
        <v>#VALUE!</v>
      </c>
      <c r="H111" s="2" t="e">
        <f t="shared" ca="1" si="281"/>
        <v>#VALUE!</v>
      </c>
      <c r="I111" s="2" t="e">
        <f t="shared" ca="1" si="316"/>
        <v>#VALUE!</v>
      </c>
      <c r="J111" s="2" t="e">
        <f t="shared" ca="1" si="282"/>
        <v>#VALUE!</v>
      </c>
      <c r="L111" s="61" t="e">
        <f t="shared" ca="1" si="317"/>
        <v>#VALUE!</v>
      </c>
      <c r="M111" s="63" t="e">
        <f t="shared" ca="1" si="318"/>
        <v>#VALUE!</v>
      </c>
      <c r="N111" s="61" t="e">
        <f t="shared" ca="1" si="319"/>
        <v>#VALUE!</v>
      </c>
      <c r="O111" s="61" t="e">
        <f t="shared" ca="1" si="320"/>
        <v>#VALUE!</v>
      </c>
      <c r="P111" s="63" t="b">
        <f t="shared" si="321"/>
        <v>1</v>
      </c>
      <c r="Q111" s="62">
        <f t="shared" ca="1" si="283"/>
        <v>1816.3359694682283</v>
      </c>
      <c r="T111" s="62">
        <f t="shared" ca="1" si="284"/>
        <v>2157.2633500408451</v>
      </c>
      <c r="W111" s="62">
        <f t="shared" ca="1" si="285"/>
        <v>2254.8974785651694</v>
      </c>
      <c r="Z111" s="62">
        <f t="shared" ca="1" si="286"/>
        <v>1669.4966135158859</v>
      </c>
      <c r="AC111" s="62">
        <f t="shared" ca="1" si="287"/>
        <v>2085.0412699692743</v>
      </c>
      <c r="AF111" s="62"/>
      <c r="AI111" s="62" t="e">
        <f t="shared" ca="1" si="288"/>
        <v>#VALUE!</v>
      </c>
      <c r="AL111" s="62" t="e">
        <f t="shared" ca="1" si="289"/>
        <v>#VALUE!</v>
      </c>
      <c r="AO111" s="62" t="e">
        <f t="shared" ca="1" si="290"/>
        <v>#VALUE!</v>
      </c>
      <c r="AR111" s="62" t="e">
        <f t="shared" ca="1" si="291"/>
        <v>#VALUE!</v>
      </c>
      <c r="AU111" s="62" t="e">
        <f t="shared" ca="1" si="292"/>
        <v>#VALUE!</v>
      </c>
      <c r="AX111" s="62" t="e">
        <f t="shared" ca="1" si="293"/>
        <v>#VALUE!</v>
      </c>
      <c r="BA111" s="62" t="e">
        <f t="shared" ca="1" si="294"/>
        <v>#VALUE!</v>
      </c>
      <c r="BD111" s="62" t="e">
        <f t="shared" ca="1" si="295"/>
        <v>#VALUE!</v>
      </c>
      <c r="BG111" s="62" t="e">
        <f t="shared" ca="1" si="296"/>
        <v>#VALUE!</v>
      </c>
      <c r="BJ111" s="62" t="e">
        <f t="shared" ca="1" si="297"/>
        <v>#VALUE!</v>
      </c>
      <c r="BM111" s="62" t="e">
        <f t="shared" ca="1" si="298"/>
        <v>#VALUE!</v>
      </c>
      <c r="BP111" s="62" t="e">
        <f t="shared" ca="1" si="299"/>
        <v>#VALUE!</v>
      </c>
      <c r="BS111" s="62"/>
      <c r="BV111" s="62" t="e">
        <f t="shared" ca="1" si="300"/>
        <v>#VALUE!</v>
      </c>
      <c r="BY111" s="62" t="e">
        <f t="shared" ca="1" si="301"/>
        <v>#VALUE!</v>
      </c>
      <c r="CB111" s="62"/>
      <c r="CE111" s="62" t="e">
        <f t="shared" ca="1" si="302"/>
        <v>#VALUE!</v>
      </c>
      <c r="CH111" s="62" t="e">
        <f t="shared" ca="1" si="303"/>
        <v>#VALUE!</v>
      </c>
      <c r="CK111" s="62" t="e">
        <f t="shared" ca="1" si="304"/>
        <v>#VALUE!</v>
      </c>
      <c r="CN111" s="62" t="e">
        <f t="shared" ca="1" si="305"/>
        <v>#VALUE!</v>
      </c>
      <c r="CQ111" s="62" t="e">
        <f t="shared" ca="1" si="306"/>
        <v>#VALUE!</v>
      </c>
      <c r="CT111" s="62" t="e">
        <f t="shared" ca="1" si="307"/>
        <v>#VALUE!</v>
      </c>
      <c r="CW111" s="62" t="e">
        <f t="shared" ca="1" si="308"/>
        <v>#VALUE!</v>
      </c>
      <c r="CZ111" s="62" t="e">
        <f t="shared" ca="1" si="309"/>
        <v>#VALUE!</v>
      </c>
      <c r="DC111" s="62" t="e">
        <f t="shared" ca="1" si="310"/>
        <v>#VALUE!</v>
      </c>
      <c r="DF111" s="62" t="e">
        <f t="shared" ca="1" si="311"/>
        <v>#VALUE!</v>
      </c>
    </row>
    <row r="112" spans="1:112">
      <c r="A112" s="14">
        <f t="shared" si="312"/>
        <v>14</v>
      </c>
      <c r="B112" s="63">
        <f t="shared" ca="1" si="313"/>
        <v>1.4370560182896255</v>
      </c>
      <c r="C112" s="63">
        <f t="shared" si="313"/>
        <v>4064.6</v>
      </c>
      <c r="D112" s="2" t="e">
        <f t="shared" ca="1" si="279"/>
        <v>#VALUE!</v>
      </c>
      <c r="E112" s="2" t="e">
        <f t="shared" ca="1" si="314"/>
        <v>#VALUE!</v>
      </c>
      <c r="F112" s="2" t="e">
        <f t="shared" ca="1" si="280"/>
        <v>#VALUE!</v>
      </c>
      <c r="G112" s="2" t="e">
        <f t="shared" ca="1" si="315"/>
        <v>#VALUE!</v>
      </c>
      <c r="H112" s="2" t="e">
        <f t="shared" ca="1" si="281"/>
        <v>#VALUE!</v>
      </c>
      <c r="I112" s="2" t="e">
        <f t="shared" ca="1" si="316"/>
        <v>#VALUE!</v>
      </c>
      <c r="J112" s="2" t="e">
        <f t="shared" ca="1" si="282"/>
        <v>#VALUE!</v>
      </c>
      <c r="L112" s="61" t="e">
        <f t="shared" ca="1" si="317"/>
        <v>#VALUE!</v>
      </c>
      <c r="M112" s="63" t="e">
        <f t="shared" ca="1" si="318"/>
        <v>#VALUE!</v>
      </c>
      <c r="N112" s="61" t="e">
        <f t="shared" ca="1" si="319"/>
        <v>#VALUE!</v>
      </c>
      <c r="O112" s="61" t="e">
        <f t="shared" ca="1" si="320"/>
        <v>#VALUE!</v>
      </c>
      <c r="P112" s="63" t="b">
        <f t="shared" si="321"/>
        <v>1</v>
      </c>
      <c r="Q112" s="62">
        <f t="shared" ca="1" si="283"/>
        <v>2442.073042885178</v>
      </c>
      <c r="T112" s="62">
        <f t="shared" ca="1" si="284"/>
        <v>2280.8939043290088</v>
      </c>
      <c r="W112" s="62">
        <f t="shared" ca="1" si="285"/>
        <v>2388.0020917526845</v>
      </c>
      <c r="Z112" s="62">
        <f t="shared" ca="1" si="286"/>
        <v>2175.4217632548857</v>
      </c>
      <c r="AC112" s="62">
        <f t="shared" ca="1" si="287"/>
        <v>2233.4013732716762</v>
      </c>
      <c r="AF112" s="62"/>
      <c r="AI112" s="62" t="e">
        <f t="shared" ca="1" si="288"/>
        <v>#VALUE!</v>
      </c>
      <c r="AL112" s="62" t="e">
        <f t="shared" ca="1" si="289"/>
        <v>#VALUE!</v>
      </c>
      <c r="AO112" s="62" t="e">
        <f t="shared" ca="1" si="290"/>
        <v>#VALUE!</v>
      </c>
      <c r="AR112" s="62" t="e">
        <f t="shared" ca="1" si="291"/>
        <v>#VALUE!</v>
      </c>
      <c r="AU112" s="62" t="e">
        <f t="shared" ca="1" si="292"/>
        <v>#VALUE!</v>
      </c>
      <c r="AX112" s="62" t="e">
        <f t="shared" ca="1" si="293"/>
        <v>#VALUE!</v>
      </c>
      <c r="BA112" s="62" t="e">
        <f t="shared" ca="1" si="294"/>
        <v>#VALUE!</v>
      </c>
      <c r="BD112" s="62" t="e">
        <f t="shared" ca="1" si="295"/>
        <v>#VALUE!</v>
      </c>
      <c r="BG112" s="62" t="e">
        <f t="shared" ca="1" si="296"/>
        <v>#VALUE!</v>
      </c>
      <c r="BJ112" s="62" t="e">
        <f t="shared" ca="1" si="297"/>
        <v>#VALUE!</v>
      </c>
      <c r="BM112" s="62" t="e">
        <f t="shared" ca="1" si="298"/>
        <v>#VALUE!</v>
      </c>
      <c r="BP112" s="62" t="e">
        <f t="shared" ca="1" si="299"/>
        <v>#VALUE!</v>
      </c>
      <c r="BS112" s="62"/>
      <c r="BV112" s="62" t="e">
        <f t="shared" ca="1" si="300"/>
        <v>#VALUE!</v>
      </c>
      <c r="BY112" s="62" t="e">
        <f t="shared" ca="1" si="301"/>
        <v>#VALUE!</v>
      </c>
      <c r="CB112" s="62"/>
      <c r="CE112" s="62" t="e">
        <f t="shared" ca="1" si="302"/>
        <v>#VALUE!</v>
      </c>
      <c r="CH112" s="62" t="e">
        <f t="shared" ca="1" si="303"/>
        <v>#VALUE!</v>
      </c>
      <c r="CK112" s="62" t="e">
        <f t="shared" ca="1" si="304"/>
        <v>#VALUE!</v>
      </c>
      <c r="CN112" s="62" t="e">
        <f t="shared" ca="1" si="305"/>
        <v>#VALUE!</v>
      </c>
      <c r="CQ112" s="62" t="e">
        <f t="shared" ca="1" si="306"/>
        <v>#VALUE!</v>
      </c>
      <c r="CT112" s="62" t="e">
        <f t="shared" ca="1" si="307"/>
        <v>#VALUE!</v>
      </c>
      <c r="CW112" s="62" t="e">
        <f t="shared" ca="1" si="308"/>
        <v>#VALUE!</v>
      </c>
      <c r="CZ112" s="62" t="e">
        <f t="shared" ca="1" si="309"/>
        <v>#VALUE!</v>
      </c>
      <c r="DC112" s="62" t="e">
        <f t="shared" ca="1" si="310"/>
        <v>#VALUE!</v>
      </c>
      <c r="DF112" s="62" t="e">
        <f t="shared" ca="1" si="311"/>
        <v>#VALUE!</v>
      </c>
    </row>
    <row r="113" spans="1:110">
      <c r="A113" s="14">
        <f t="shared" si="312"/>
        <v>15</v>
      </c>
      <c r="B113" s="63">
        <f t="shared" ca="1" si="313"/>
        <v>1.1960743068778694</v>
      </c>
      <c r="C113" s="63">
        <f t="shared" si="313"/>
        <v>4054.6</v>
      </c>
      <c r="D113" s="2" t="e">
        <f t="shared" ca="1" si="279"/>
        <v>#VALUE!</v>
      </c>
      <c r="E113" s="2" t="e">
        <f t="shared" ca="1" si="314"/>
        <v>#VALUE!</v>
      </c>
      <c r="F113" s="2" t="e">
        <f t="shared" ca="1" si="280"/>
        <v>#VALUE!</v>
      </c>
      <c r="G113" s="2" t="e">
        <f t="shared" ca="1" si="315"/>
        <v>#VALUE!</v>
      </c>
      <c r="H113" s="2" t="e">
        <f t="shared" ca="1" si="281"/>
        <v>#VALUE!</v>
      </c>
      <c r="I113" s="2" t="e">
        <f t="shared" ca="1" si="316"/>
        <v>#VALUE!</v>
      </c>
      <c r="J113" s="2" t="e">
        <f t="shared" ca="1" si="282"/>
        <v>#VALUE!</v>
      </c>
      <c r="L113" s="61" t="e">
        <f t="shared" ca="1" si="317"/>
        <v>#VALUE!</v>
      </c>
      <c r="M113" s="63" t="e">
        <f t="shared" ca="1" si="318"/>
        <v>#VALUE!</v>
      </c>
      <c r="N113" s="61" t="e">
        <f t="shared" ca="1" si="319"/>
        <v>#VALUE!</v>
      </c>
      <c r="O113" s="61" t="e">
        <f t="shared" ca="1" si="320"/>
        <v>#VALUE!</v>
      </c>
      <c r="P113" s="63" t="b">
        <f t="shared" si="321"/>
        <v>1</v>
      </c>
      <c r="Q113" s="62">
        <f t="shared" ca="1" si="283"/>
        <v>2471.568590173094</v>
      </c>
      <c r="T113" s="62">
        <f t="shared" ca="1" si="284"/>
        <v>1836.4671432102341</v>
      </c>
      <c r="W113" s="62">
        <f t="shared" ca="1" si="285"/>
        <v>2434.7120222382032</v>
      </c>
      <c r="Z113" s="62">
        <f t="shared" ca="1" si="286"/>
        <v>2269.0631858053671</v>
      </c>
      <c r="AC113" s="62">
        <f t="shared" ca="1" si="287"/>
        <v>2267.8698657755031</v>
      </c>
      <c r="AF113" s="62"/>
      <c r="AI113" s="62" t="e">
        <f t="shared" ca="1" si="288"/>
        <v>#VALUE!</v>
      </c>
      <c r="AL113" s="62" t="e">
        <f t="shared" ca="1" si="289"/>
        <v>#VALUE!</v>
      </c>
      <c r="AO113" s="62" t="e">
        <f t="shared" ca="1" si="290"/>
        <v>#VALUE!</v>
      </c>
      <c r="AR113" s="62" t="e">
        <f t="shared" ca="1" si="291"/>
        <v>#VALUE!</v>
      </c>
      <c r="AU113" s="62" t="e">
        <f t="shared" ca="1" si="292"/>
        <v>#VALUE!</v>
      </c>
      <c r="AX113" s="62" t="e">
        <f t="shared" ca="1" si="293"/>
        <v>#VALUE!</v>
      </c>
      <c r="BA113" s="62" t="e">
        <f t="shared" ca="1" si="294"/>
        <v>#VALUE!</v>
      </c>
      <c r="BD113" s="62" t="e">
        <f t="shared" ca="1" si="295"/>
        <v>#VALUE!</v>
      </c>
      <c r="BG113" s="62" t="e">
        <f t="shared" ca="1" si="296"/>
        <v>#VALUE!</v>
      </c>
      <c r="BJ113" s="62" t="e">
        <f t="shared" ca="1" si="297"/>
        <v>#VALUE!</v>
      </c>
      <c r="BM113" s="62" t="e">
        <f t="shared" ca="1" si="298"/>
        <v>#VALUE!</v>
      </c>
      <c r="BP113" s="62" t="e">
        <f t="shared" ca="1" si="299"/>
        <v>#VALUE!</v>
      </c>
      <c r="BS113" s="62"/>
      <c r="BV113" s="62" t="e">
        <f t="shared" ca="1" si="300"/>
        <v>#VALUE!</v>
      </c>
      <c r="BY113" s="62" t="e">
        <f t="shared" ca="1" si="301"/>
        <v>#VALUE!</v>
      </c>
      <c r="CB113" s="62"/>
      <c r="CE113" s="62" t="e">
        <f t="shared" ca="1" si="302"/>
        <v>#VALUE!</v>
      </c>
      <c r="CH113" s="62" t="e">
        <f t="shared" ca="1" si="303"/>
        <v>#VALUE!</v>
      </c>
      <c r="CK113" s="62" t="e">
        <f t="shared" ca="1" si="304"/>
        <v>#VALUE!</v>
      </c>
      <c r="CN113" s="62" t="e">
        <f t="shared" ca="1" si="305"/>
        <v>#VALUE!</v>
      </c>
      <c r="CQ113" s="62" t="e">
        <f t="shared" ca="1" si="306"/>
        <v>#VALUE!</v>
      </c>
      <c r="CT113" s="62" t="e">
        <f t="shared" ca="1" si="307"/>
        <v>#VALUE!</v>
      </c>
      <c r="CW113" s="62" t="e">
        <f t="shared" ca="1" si="308"/>
        <v>#VALUE!</v>
      </c>
      <c r="CZ113" s="62" t="e">
        <f t="shared" ca="1" si="309"/>
        <v>#VALUE!</v>
      </c>
      <c r="DC113" s="62" t="e">
        <f t="shared" ca="1" si="310"/>
        <v>#VALUE!</v>
      </c>
      <c r="DF113" s="62" t="e">
        <f t="shared" ca="1" si="311"/>
        <v>#VALUE!</v>
      </c>
    </row>
    <row r="114" spans="1:110">
      <c r="A114" s="14">
        <f t="shared" si="312"/>
        <v>16</v>
      </c>
      <c r="B114" s="63">
        <f t="shared" ca="1" si="313"/>
        <v>0.8864930899240453</v>
      </c>
      <c r="C114" s="63">
        <f t="shared" si="313"/>
        <v>4035.6</v>
      </c>
      <c r="D114" s="2" t="e">
        <f t="shared" ca="1" si="279"/>
        <v>#VALUE!</v>
      </c>
      <c r="E114" s="2" t="e">
        <f t="shared" ca="1" si="314"/>
        <v>#VALUE!</v>
      </c>
      <c r="F114" s="2" t="e">
        <f t="shared" ca="1" si="280"/>
        <v>#VALUE!</v>
      </c>
      <c r="G114" s="2" t="e">
        <f t="shared" ca="1" si="315"/>
        <v>#VALUE!</v>
      </c>
      <c r="H114" s="2" t="e">
        <f t="shared" ca="1" si="281"/>
        <v>#VALUE!</v>
      </c>
      <c r="I114" s="2" t="e">
        <f t="shared" ca="1" si="316"/>
        <v>#VALUE!</v>
      </c>
      <c r="J114" s="2" t="e">
        <f t="shared" ca="1" si="282"/>
        <v>#VALUE!</v>
      </c>
      <c r="L114" s="61" t="e">
        <f t="shared" ca="1" si="317"/>
        <v>#VALUE!</v>
      </c>
      <c r="M114" s="63" t="e">
        <f t="shared" ca="1" si="318"/>
        <v>#VALUE!</v>
      </c>
      <c r="N114" s="61" t="e">
        <f t="shared" ca="1" si="319"/>
        <v>#VALUE!</v>
      </c>
      <c r="O114" s="61" t="e">
        <f t="shared" ca="1" si="320"/>
        <v>#VALUE!</v>
      </c>
      <c r="P114" s="63" t="b">
        <f t="shared" si="321"/>
        <v>1</v>
      </c>
      <c r="Q114" s="62">
        <f t="shared" ca="1" si="283"/>
        <v>2365.3736217572823</v>
      </c>
      <c r="T114" s="62">
        <f t="shared" ca="1" si="284"/>
        <v>2141.4714421297954</v>
      </c>
      <c r="W114" s="62">
        <f t="shared" ca="1" si="285"/>
        <v>1786.0368121946381</v>
      </c>
      <c r="Z114" s="62">
        <f t="shared" ca="1" si="286"/>
        <v>2043.3269799918639</v>
      </c>
      <c r="AC114" s="62">
        <f t="shared" ca="1" si="287"/>
        <v>2065.9637526336146</v>
      </c>
      <c r="AF114" s="62"/>
      <c r="AI114" s="62" t="e">
        <f t="shared" ca="1" si="288"/>
        <v>#VALUE!</v>
      </c>
      <c r="AL114" s="62" t="e">
        <f t="shared" ca="1" si="289"/>
        <v>#VALUE!</v>
      </c>
      <c r="AO114" s="62" t="e">
        <f t="shared" ca="1" si="290"/>
        <v>#VALUE!</v>
      </c>
      <c r="AR114" s="62" t="e">
        <f t="shared" ca="1" si="291"/>
        <v>#VALUE!</v>
      </c>
      <c r="AU114" s="62" t="e">
        <f t="shared" ca="1" si="292"/>
        <v>#VALUE!</v>
      </c>
      <c r="AX114" s="62" t="e">
        <f t="shared" ca="1" si="293"/>
        <v>#VALUE!</v>
      </c>
      <c r="BA114" s="62" t="e">
        <f t="shared" ca="1" si="294"/>
        <v>#VALUE!</v>
      </c>
      <c r="BD114" s="62" t="e">
        <f t="shared" ca="1" si="295"/>
        <v>#VALUE!</v>
      </c>
      <c r="BG114" s="62" t="e">
        <f t="shared" ca="1" si="296"/>
        <v>#VALUE!</v>
      </c>
      <c r="BJ114" s="62" t="e">
        <f t="shared" ca="1" si="297"/>
        <v>#VALUE!</v>
      </c>
      <c r="BM114" s="62" t="e">
        <f t="shared" ca="1" si="298"/>
        <v>#VALUE!</v>
      </c>
      <c r="BP114" s="62" t="e">
        <f t="shared" ca="1" si="299"/>
        <v>#VALUE!</v>
      </c>
      <c r="BS114" s="62"/>
      <c r="BV114" s="62" t="e">
        <f t="shared" ca="1" si="300"/>
        <v>#VALUE!</v>
      </c>
      <c r="BY114" s="62" t="e">
        <f t="shared" ca="1" si="301"/>
        <v>#VALUE!</v>
      </c>
      <c r="CB114" s="62"/>
      <c r="CE114" s="62" t="e">
        <f t="shared" ca="1" si="302"/>
        <v>#VALUE!</v>
      </c>
      <c r="CH114" s="62" t="e">
        <f t="shared" ca="1" si="303"/>
        <v>#VALUE!</v>
      </c>
      <c r="CK114" s="62" t="e">
        <f t="shared" ca="1" si="304"/>
        <v>#VALUE!</v>
      </c>
      <c r="CN114" s="62" t="e">
        <f t="shared" ca="1" si="305"/>
        <v>#VALUE!</v>
      </c>
      <c r="CQ114" s="62" t="e">
        <f t="shared" ca="1" si="306"/>
        <v>#VALUE!</v>
      </c>
      <c r="CT114" s="62" t="e">
        <f t="shared" ca="1" si="307"/>
        <v>#VALUE!</v>
      </c>
      <c r="CW114" s="62" t="e">
        <f t="shared" ca="1" si="308"/>
        <v>#VALUE!</v>
      </c>
      <c r="CZ114" s="62" t="e">
        <f t="shared" ca="1" si="309"/>
        <v>#VALUE!</v>
      </c>
      <c r="DC114" s="62" t="e">
        <f t="shared" ca="1" si="310"/>
        <v>#VALUE!</v>
      </c>
      <c r="DF114" s="62" t="e">
        <f t="shared" ca="1" si="311"/>
        <v>#VALUE!</v>
      </c>
    </row>
    <row r="115" spans="1:110">
      <c r="A115" s="14">
        <f t="shared" si="312"/>
        <v>17</v>
      </c>
      <c r="B115" s="63">
        <f t="shared" ca="1" si="313"/>
        <v>0.66310300227883046</v>
      </c>
      <c r="C115" s="63">
        <f t="shared" si="313"/>
        <v>4046.8</v>
      </c>
      <c r="D115" s="2" t="e">
        <f t="shared" ca="1" si="279"/>
        <v>#VALUE!</v>
      </c>
      <c r="E115" s="2" t="e">
        <f t="shared" ca="1" si="314"/>
        <v>#VALUE!</v>
      </c>
      <c r="F115" s="2" t="e">
        <f t="shared" ca="1" si="280"/>
        <v>#VALUE!</v>
      </c>
      <c r="G115" s="2" t="e">
        <f t="shared" ca="1" si="315"/>
        <v>#VALUE!</v>
      </c>
      <c r="H115" s="2" t="e">
        <f t="shared" ca="1" si="281"/>
        <v>#VALUE!</v>
      </c>
      <c r="I115" s="2" t="e">
        <f t="shared" ca="1" si="316"/>
        <v>#VALUE!</v>
      </c>
      <c r="J115" s="2" t="e">
        <f t="shared" ca="1" si="282"/>
        <v>#VALUE!</v>
      </c>
      <c r="L115" s="61" t="e">
        <f t="shared" ca="1" si="317"/>
        <v>#VALUE!</v>
      </c>
      <c r="M115" s="63" t="e">
        <f t="shared" ca="1" si="318"/>
        <v>#VALUE!</v>
      </c>
      <c r="N115" s="61" t="e">
        <f t="shared" ca="1" si="319"/>
        <v>#VALUE!</v>
      </c>
      <c r="O115" s="61" t="e">
        <f t="shared" ca="1" si="320"/>
        <v>#VALUE!</v>
      </c>
      <c r="P115" s="63" t="b">
        <f t="shared" si="321"/>
        <v>1</v>
      </c>
      <c r="Q115" s="62">
        <f t="shared" ca="1" si="283"/>
        <v>2376.5919736818764</v>
      </c>
      <c r="T115" s="62">
        <f t="shared" ca="1" si="284"/>
        <v>1714.9831509208534</v>
      </c>
      <c r="W115" s="62">
        <f t="shared" ca="1" si="285"/>
        <v>1797.5176163561662</v>
      </c>
      <c r="Z115" s="62">
        <f t="shared" ca="1" si="286"/>
        <v>2051.678619243246</v>
      </c>
      <c r="AC115" s="62">
        <f t="shared" ca="1" si="287"/>
        <v>2107.7790429597871</v>
      </c>
      <c r="AF115" s="62"/>
      <c r="AI115" s="62" t="e">
        <f t="shared" ca="1" si="288"/>
        <v>#VALUE!</v>
      </c>
      <c r="AL115" s="62" t="e">
        <f t="shared" ca="1" si="289"/>
        <v>#VALUE!</v>
      </c>
      <c r="AO115" s="62" t="e">
        <f t="shared" ca="1" si="290"/>
        <v>#VALUE!</v>
      </c>
      <c r="AR115" s="62" t="e">
        <f t="shared" ca="1" si="291"/>
        <v>#VALUE!</v>
      </c>
      <c r="AU115" s="62" t="e">
        <f t="shared" ca="1" si="292"/>
        <v>#VALUE!</v>
      </c>
      <c r="AX115" s="62" t="e">
        <f t="shared" ca="1" si="293"/>
        <v>#VALUE!</v>
      </c>
      <c r="BA115" s="62" t="e">
        <f t="shared" ca="1" si="294"/>
        <v>#VALUE!</v>
      </c>
      <c r="BD115" s="62" t="e">
        <f t="shared" ca="1" si="295"/>
        <v>#VALUE!</v>
      </c>
      <c r="BG115" s="62" t="e">
        <f t="shared" ca="1" si="296"/>
        <v>#VALUE!</v>
      </c>
      <c r="BJ115" s="62" t="e">
        <f t="shared" ca="1" si="297"/>
        <v>#VALUE!</v>
      </c>
      <c r="BM115" s="62" t="e">
        <f t="shared" ca="1" si="298"/>
        <v>#VALUE!</v>
      </c>
      <c r="BP115" s="62" t="e">
        <f t="shared" ca="1" si="299"/>
        <v>#VALUE!</v>
      </c>
      <c r="BS115" s="62"/>
      <c r="BV115" s="62" t="e">
        <f t="shared" ca="1" si="300"/>
        <v>#VALUE!</v>
      </c>
      <c r="BY115" s="62" t="e">
        <f t="shared" ca="1" si="301"/>
        <v>#VALUE!</v>
      </c>
      <c r="CB115" s="62"/>
      <c r="CE115" s="62" t="e">
        <f t="shared" ca="1" si="302"/>
        <v>#VALUE!</v>
      </c>
      <c r="CH115" s="62" t="e">
        <f t="shared" ca="1" si="303"/>
        <v>#VALUE!</v>
      </c>
      <c r="CK115" s="62" t="e">
        <f t="shared" ca="1" si="304"/>
        <v>#VALUE!</v>
      </c>
      <c r="CN115" s="62" t="e">
        <f t="shared" ca="1" si="305"/>
        <v>#VALUE!</v>
      </c>
      <c r="CQ115" s="62" t="e">
        <f t="shared" ca="1" si="306"/>
        <v>#VALUE!</v>
      </c>
      <c r="CT115" s="62" t="e">
        <f t="shared" ca="1" si="307"/>
        <v>#VALUE!</v>
      </c>
      <c r="CW115" s="62" t="e">
        <f t="shared" ca="1" si="308"/>
        <v>#VALUE!</v>
      </c>
      <c r="CZ115" s="62" t="e">
        <f t="shared" ca="1" si="309"/>
        <v>#VALUE!</v>
      </c>
      <c r="DC115" s="62" t="e">
        <f t="shared" ca="1" si="310"/>
        <v>#VALUE!</v>
      </c>
      <c r="DF115" s="62" t="e">
        <f t="shared" ca="1" si="311"/>
        <v>#VALUE!</v>
      </c>
    </row>
    <row r="116" spans="1:110">
      <c r="A116" s="14">
        <f t="shared" si="312"/>
        <v>18</v>
      </c>
      <c r="B116" s="63">
        <f t="shared" ref="B116:C123" ca="1" si="322">B20</f>
        <v>0.15701835940156691</v>
      </c>
      <c r="C116" s="63">
        <f t="shared" si="322"/>
        <v>3830.6</v>
      </c>
      <c r="D116" s="2" t="e">
        <f t="shared" ca="1" si="279"/>
        <v>#VALUE!</v>
      </c>
      <c r="E116" s="2" t="e">
        <f t="shared" ca="1" si="314"/>
        <v>#VALUE!</v>
      </c>
      <c r="F116" s="2" t="e">
        <f t="shared" ca="1" si="280"/>
        <v>#VALUE!</v>
      </c>
      <c r="G116" s="2" t="e">
        <f t="shared" ca="1" si="315"/>
        <v>#VALUE!</v>
      </c>
      <c r="H116" s="2" t="e">
        <f t="shared" ca="1" si="281"/>
        <v>#VALUE!</v>
      </c>
      <c r="I116" s="2" t="e">
        <f t="shared" ca="1" si="316"/>
        <v>#VALUE!</v>
      </c>
      <c r="J116" s="2" t="e">
        <f t="shared" ca="1" si="282"/>
        <v>#VALUE!</v>
      </c>
      <c r="L116" s="61" t="e">
        <f t="shared" ca="1" si="317"/>
        <v>#VALUE!</v>
      </c>
      <c r="M116" s="63" t="e">
        <f t="shared" ca="1" si="318"/>
        <v>#VALUE!</v>
      </c>
      <c r="N116" s="61" t="e">
        <f t="shared" ca="1" si="319"/>
        <v>#VALUE!</v>
      </c>
      <c r="O116" s="61" t="e">
        <f t="shared" ca="1" si="320"/>
        <v>#VALUE!</v>
      </c>
      <c r="P116" s="63" t="b">
        <f t="shared" si="321"/>
        <v>1</v>
      </c>
      <c r="Q116" s="62">
        <f t="shared" ca="1" si="283"/>
        <v>1784.4078970298656</v>
      </c>
      <c r="T116" s="62">
        <f t="shared" ca="1" si="284"/>
        <v>3241.5185886441441</v>
      </c>
      <c r="W116" s="62">
        <f t="shared" ca="1" si="285"/>
        <v>1624.2726331350548</v>
      </c>
      <c r="Z116" s="62">
        <f t="shared" ca="1" si="286"/>
        <v>4793.0744466861033</v>
      </c>
      <c r="AC116" s="62">
        <f t="shared" ca="1" si="287"/>
        <v>2322.038660431132</v>
      </c>
      <c r="AF116" s="62"/>
      <c r="AI116" s="62" t="e">
        <f t="shared" ca="1" si="288"/>
        <v>#VALUE!</v>
      </c>
      <c r="AL116" s="62" t="e">
        <f t="shared" ca="1" si="289"/>
        <v>#VALUE!</v>
      </c>
      <c r="AO116" s="62" t="e">
        <f t="shared" ca="1" si="290"/>
        <v>#VALUE!</v>
      </c>
      <c r="AR116" s="62" t="e">
        <f t="shared" ca="1" si="291"/>
        <v>#VALUE!</v>
      </c>
      <c r="AU116" s="62" t="e">
        <f t="shared" ca="1" si="292"/>
        <v>#VALUE!</v>
      </c>
      <c r="AX116" s="62" t="e">
        <f t="shared" ca="1" si="293"/>
        <v>#VALUE!</v>
      </c>
      <c r="BA116" s="62" t="e">
        <f t="shared" ca="1" si="294"/>
        <v>#VALUE!</v>
      </c>
      <c r="BD116" s="62" t="e">
        <f t="shared" ca="1" si="295"/>
        <v>#VALUE!</v>
      </c>
      <c r="BG116" s="62" t="e">
        <f t="shared" ca="1" si="296"/>
        <v>#VALUE!</v>
      </c>
      <c r="BJ116" s="62" t="e">
        <f t="shared" ca="1" si="297"/>
        <v>#VALUE!</v>
      </c>
      <c r="BM116" s="62" t="e">
        <f t="shared" ca="1" si="298"/>
        <v>#VALUE!</v>
      </c>
      <c r="BP116" s="62" t="e">
        <f t="shared" ca="1" si="299"/>
        <v>#VALUE!</v>
      </c>
      <c r="BS116" s="62"/>
      <c r="BV116" s="62" t="e">
        <f t="shared" ca="1" si="300"/>
        <v>#VALUE!</v>
      </c>
      <c r="BY116" s="62" t="e">
        <f t="shared" ca="1" si="301"/>
        <v>#VALUE!</v>
      </c>
      <c r="CB116" s="62"/>
      <c r="CE116" s="62" t="e">
        <f t="shared" ca="1" si="302"/>
        <v>#VALUE!</v>
      </c>
      <c r="CH116" s="62" t="e">
        <f t="shared" ca="1" si="303"/>
        <v>#VALUE!</v>
      </c>
      <c r="CK116" s="62" t="e">
        <f t="shared" ca="1" si="304"/>
        <v>#VALUE!</v>
      </c>
      <c r="CN116" s="62" t="e">
        <f t="shared" ca="1" si="305"/>
        <v>#VALUE!</v>
      </c>
      <c r="CQ116" s="62" t="e">
        <f t="shared" ca="1" si="306"/>
        <v>#VALUE!</v>
      </c>
      <c r="CT116" s="62" t="e">
        <f t="shared" ca="1" si="307"/>
        <v>#VALUE!</v>
      </c>
      <c r="CW116" s="62" t="e">
        <f t="shared" ca="1" si="308"/>
        <v>#VALUE!</v>
      </c>
      <c r="CZ116" s="62" t="e">
        <f t="shared" ca="1" si="309"/>
        <v>#VALUE!</v>
      </c>
      <c r="DC116" s="62" t="e">
        <f t="shared" ca="1" si="310"/>
        <v>#VALUE!</v>
      </c>
      <c r="DF116" s="62" t="e">
        <f t="shared" ca="1" si="311"/>
        <v>#VALUE!</v>
      </c>
    </row>
    <row r="117" spans="1:110">
      <c r="A117" s="14">
        <f t="shared" si="312"/>
        <v>19</v>
      </c>
      <c r="B117" s="63">
        <f t="shared" ca="1" si="322"/>
        <v>0.12828800152468015</v>
      </c>
      <c r="C117" s="63">
        <f t="shared" si="322"/>
        <v>3852.3</v>
      </c>
      <c r="D117" s="2" t="e">
        <f t="shared" ca="1" si="279"/>
        <v>#VALUE!</v>
      </c>
      <c r="E117" s="2" t="e">
        <f t="shared" ca="1" si="314"/>
        <v>#VALUE!</v>
      </c>
      <c r="F117" s="2" t="e">
        <f t="shared" ca="1" si="280"/>
        <v>#VALUE!</v>
      </c>
      <c r="G117" s="2" t="e">
        <f t="shared" ca="1" si="315"/>
        <v>#VALUE!</v>
      </c>
      <c r="H117" s="2" t="e">
        <f t="shared" ca="1" si="281"/>
        <v>#VALUE!</v>
      </c>
      <c r="I117" s="2" t="e">
        <f t="shared" ca="1" si="316"/>
        <v>#VALUE!</v>
      </c>
      <c r="J117" s="2" t="e">
        <f t="shared" ca="1" si="282"/>
        <v>#VALUE!</v>
      </c>
      <c r="L117" s="61" t="e">
        <f t="shared" ca="1" si="317"/>
        <v>#VALUE!</v>
      </c>
      <c r="M117" s="63" t="e">
        <f t="shared" ca="1" si="318"/>
        <v>#VALUE!</v>
      </c>
      <c r="N117" s="61" t="e">
        <f t="shared" ca="1" si="319"/>
        <v>#VALUE!</v>
      </c>
      <c r="O117" s="61" t="e">
        <f t="shared" ca="1" si="320"/>
        <v>#VALUE!</v>
      </c>
      <c r="P117" s="63" t="b">
        <f t="shared" si="321"/>
        <v>1</v>
      </c>
      <c r="Q117" s="62">
        <f t="shared" ca="1" si="283"/>
        <v>1632.9587829217839</v>
      </c>
      <c r="T117" s="62">
        <f t="shared" ca="1" si="284"/>
        <v>2170.7476629183284</v>
      </c>
      <c r="W117" s="62">
        <f t="shared" ca="1" si="285"/>
        <v>1633.5415088203358</v>
      </c>
      <c r="Z117" s="62">
        <f t="shared" ca="1" si="286"/>
        <v>3542.4319620756619</v>
      </c>
      <c r="AC117" s="62">
        <f t="shared" ca="1" si="287"/>
        <v>1688.8303325865863</v>
      </c>
      <c r="AF117" s="62"/>
      <c r="AI117" s="62" t="e">
        <f t="shared" ca="1" si="288"/>
        <v>#VALUE!</v>
      </c>
      <c r="AL117" s="62" t="e">
        <f t="shared" ca="1" si="289"/>
        <v>#VALUE!</v>
      </c>
      <c r="AO117" s="62" t="e">
        <f t="shared" ca="1" si="290"/>
        <v>#VALUE!</v>
      </c>
      <c r="AR117" s="62" t="e">
        <f t="shared" ca="1" si="291"/>
        <v>#VALUE!</v>
      </c>
      <c r="AU117" s="62" t="e">
        <f t="shared" ca="1" si="292"/>
        <v>#VALUE!</v>
      </c>
      <c r="AX117" s="62" t="e">
        <f t="shared" ca="1" si="293"/>
        <v>#VALUE!</v>
      </c>
      <c r="BA117" s="62" t="e">
        <f t="shared" ca="1" si="294"/>
        <v>#VALUE!</v>
      </c>
      <c r="BD117" s="62" t="e">
        <f t="shared" ca="1" si="295"/>
        <v>#VALUE!</v>
      </c>
      <c r="BG117" s="62" t="e">
        <f t="shared" ca="1" si="296"/>
        <v>#VALUE!</v>
      </c>
      <c r="BJ117" s="62" t="e">
        <f t="shared" ca="1" si="297"/>
        <v>#VALUE!</v>
      </c>
      <c r="BM117" s="62" t="e">
        <f t="shared" ca="1" si="298"/>
        <v>#VALUE!</v>
      </c>
      <c r="BP117" s="62" t="e">
        <f t="shared" ca="1" si="299"/>
        <v>#VALUE!</v>
      </c>
      <c r="BS117" s="62"/>
      <c r="BV117" s="62" t="e">
        <f t="shared" ca="1" si="300"/>
        <v>#VALUE!</v>
      </c>
      <c r="BY117" s="62" t="e">
        <f t="shared" ca="1" si="301"/>
        <v>#VALUE!</v>
      </c>
      <c r="CB117" s="62"/>
      <c r="CE117" s="62" t="e">
        <f t="shared" ca="1" si="302"/>
        <v>#VALUE!</v>
      </c>
      <c r="CH117" s="62" t="e">
        <f t="shared" ca="1" si="303"/>
        <v>#VALUE!</v>
      </c>
      <c r="CK117" s="62" t="e">
        <f t="shared" ca="1" si="304"/>
        <v>#VALUE!</v>
      </c>
      <c r="CN117" s="62" t="e">
        <f t="shared" ca="1" si="305"/>
        <v>#VALUE!</v>
      </c>
      <c r="CQ117" s="62" t="e">
        <f t="shared" ca="1" si="306"/>
        <v>#VALUE!</v>
      </c>
      <c r="CT117" s="62" t="e">
        <f t="shared" ca="1" si="307"/>
        <v>#VALUE!</v>
      </c>
      <c r="CW117" s="62" t="e">
        <f t="shared" ca="1" si="308"/>
        <v>#VALUE!</v>
      </c>
      <c r="CZ117" s="62" t="e">
        <f t="shared" ca="1" si="309"/>
        <v>#VALUE!</v>
      </c>
      <c r="DC117" s="62" t="e">
        <f t="shared" ca="1" si="310"/>
        <v>#VALUE!</v>
      </c>
      <c r="DF117" s="62" t="e">
        <f t="shared" ca="1" si="311"/>
        <v>#VALUE!</v>
      </c>
    </row>
    <row r="118" spans="1:110">
      <c r="A118" s="14">
        <f t="shared" si="312"/>
        <v>20</v>
      </c>
      <c r="B118" s="63">
        <f t="shared" ca="1" si="322"/>
        <v>0.1052422464745905</v>
      </c>
      <c r="C118" s="63">
        <f t="shared" si="322"/>
        <v>3884.6</v>
      </c>
      <c r="D118" s="2" t="e">
        <f t="shared" ca="1" si="279"/>
        <v>#VALUE!</v>
      </c>
      <c r="E118" s="2" t="e">
        <f t="shared" ca="1" si="314"/>
        <v>#VALUE!</v>
      </c>
      <c r="F118" s="2" t="e">
        <f t="shared" ca="1" si="280"/>
        <v>#VALUE!</v>
      </c>
      <c r="G118" s="2" t="e">
        <f t="shared" ca="1" si="315"/>
        <v>#VALUE!</v>
      </c>
      <c r="H118" s="2" t="e">
        <f t="shared" ca="1" si="281"/>
        <v>#VALUE!</v>
      </c>
      <c r="I118" s="2" t="e">
        <f t="shared" ca="1" si="316"/>
        <v>#VALUE!</v>
      </c>
      <c r="J118" s="2" t="e">
        <f t="shared" ca="1" si="282"/>
        <v>#VALUE!</v>
      </c>
      <c r="L118" s="61" t="e">
        <f t="shared" ca="1" si="317"/>
        <v>#VALUE!</v>
      </c>
      <c r="M118" s="63" t="e">
        <f t="shared" ca="1" si="318"/>
        <v>#VALUE!</v>
      </c>
      <c r="N118" s="61" t="e">
        <f t="shared" ca="1" si="319"/>
        <v>#VALUE!</v>
      </c>
      <c r="O118" s="61" t="e">
        <f t="shared" ca="1" si="320"/>
        <v>#VALUE!</v>
      </c>
      <c r="P118" s="63" t="b">
        <f t="shared" si="321"/>
        <v>1</v>
      </c>
      <c r="Q118" s="62">
        <f t="shared" ca="1" si="283"/>
        <v>1956.6504417858987</v>
      </c>
      <c r="T118" s="62">
        <f t="shared" ca="1" si="284"/>
        <v>1649.1729521351087</v>
      </c>
      <c r="W118" s="62">
        <f t="shared" ca="1" si="285"/>
        <v>1652.596645823264</v>
      </c>
      <c r="Z118" s="62">
        <f t="shared" ca="1" si="286"/>
        <v>1648.7160309408628</v>
      </c>
      <c r="AC118" s="62">
        <f t="shared" ca="1" si="287"/>
        <v>1720.9832438347244</v>
      </c>
      <c r="AF118" s="62"/>
      <c r="AI118" s="62" t="e">
        <f t="shared" ca="1" si="288"/>
        <v>#VALUE!</v>
      </c>
      <c r="AL118" s="62" t="e">
        <f t="shared" ca="1" si="289"/>
        <v>#VALUE!</v>
      </c>
      <c r="AO118" s="62" t="e">
        <f t="shared" ca="1" si="290"/>
        <v>#VALUE!</v>
      </c>
      <c r="AR118" s="62" t="e">
        <f t="shared" ca="1" si="291"/>
        <v>#VALUE!</v>
      </c>
      <c r="AU118" s="62" t="e">
        <f t="shared" ca="1" si="292"/>
        <v>#VALUE!</v>
      </c>
      <c r="AX118" s="62" t="e">
        <f t="shared" ca="1" si="293"/>
        <v>#VALUE!</v>
      </c>
      <c r="BA118" s="62" t="e">
        <f t="shared" ca="1" si="294"/>
        <v>#VALUE!</v>
      </c>
      <c r="BD118" s="62" t="e">
        <f t="shared" ca="1" si="295"/>
        <v>#VALUE!</v>
      </c>
      <c r="BG118" s="62" t="e">
        <f t="shared" ca="1" si="296"/>
        <v>#VALUE!</v>
      </c>
      <c r="BJ118" s="62" t="e">
        <f t="shared" ca="1" si="297"/>
        <v>#VALUE!</v>
      </c>
      <c r="BM118" s="62" t="e">
        <f t="shared" ca="1" si="298"/>
        <v>#VALUE!</v>
      </c>
      <c r="BP118" s="62" t="e">
        <f t="shared" ca="1" si="299"/>
        <v>#VALUE!</v>
      </c>
      <c r="BS118" s="62"/>
      <c r="BV118" s="62" t="e">
        <f t="shared" ca="1" si="300"/>
        <v>#VALUE!</v>
      </c>
      <c r="BY118" s="62" t="e">
        <f t="shared" ca="1" si="301"/>
        <v>#VALUE!</v>
      </c>
      <c r="CB118" s="62"/>
      <c r="CE118" s="62" t="e">
        <f t="shared" ca="1" si="302"/>
        <v>#VALUE!</v>
      </c>
      <c r="CH118" s="62" t="e">
        <f t="shared" ca="1" si="303"/>
        <v>#VALUE!</v>
      </c>
      <c r="CK118" s="62" t="e">
        <f t="shared" ca="1" si="304"/>
        <v>#VALUE!</v>
      </c>
      <c r="CN118" s="62" t="e">
        <f t="shared" ca="1" si="305"/>
        <v>#VALUE!</v>
      </c>
      <c r="CQ118" s="62" t="e">
        <f t="shared" ca="1" si="306"/>
        <v>#VALUE!</v>
      </c>
      <c r="CT118" s="62" t="e">
        <f t="shared" ca="1" si="307"/>
        <v>#VALUE!</v>
      </c>
      <c r="CW118" s="62" t="e">
        <f t="shared" ca="1" si="308"/>
        <v>#VALUE!</v>
      </c>
      <c r="CZ118" s="62" t="e">
        <f t="shared" ca="1" si="309"/>
        <v>#VALUE!</v>
      </c>
      <c r="DC118" s="62" t="e">
        <f t="shared" ca="1" si="310"/>
        <v>#VALUE!</v>
      </c>
      <c r="DF118" s="62" t="e">
        <f t="shared" ca="1" si="311"/>
        <v>#VALUE!</v>
      </c>
    </row>
    <row r="119" spans="1:110">
      <c r="A119" s="14">
        <f t="shared" si="312"/>
        <v>21</v>
      </c>
      <c r="B119" s="63">
        <f t="shared" ca="1" si="322"/>
        <v>8.7497019701430423E-2</v>
      </c>
      <c r="C119" s="63">
        <f t="shared" si="322"/>
        <v>3874</v>
      </c>
      <c r="D119" s="2" t="e">
        <f t="shared" ca="1" si="279"/>
        <v>#VALUE!</v>
      </c>
      <c r="E119" s="2" t="e">
        <f t="shared" ca="1" si="314"/>
        <v>#VALUE!</v>
      </c>
      <c r="F119" s="2" t="e">
        <f t="shared" ca="1" si="280"/>
        <v>#VALUE!</v>
      </c>
      <c r="G119" s="2" t="e">
        <f t="shared" ca="1" si="315"/>
        <v>#VALUE!</v>
      </c>
      <c r="H119" s="2" t="e">
        <f t="shared" ca="1" si="281"/>
        <v>#VALUE!</v>
      </c>
      <c r="I119" s="2" t="e">
        <f t="shared" ca="1" si="316"/>
        <v>#VALUE!</v>
      </c>
      <c r="J119" s="2" t="e">
        <f t="shared" ca="1" si="282"/>
        <v>#VALUE!</v>
      </c>
      <c r="L119" s="61" t="e">
        <f t="shared" ca="1" si="317"/>
        <v>#VALUE!</v>
      </c>
      <c r="M119" s="63" t="e">
        <f t="shared" ca="1" si="318"/>
        <v>#VALUE!</v>
      </c>
      <c r="N119" s="61" t="e">
        <f t="shared" ca="1" si="319"/>
        <v>#VALUE!</v>
      </c>
      <c r="O119" s="61" t="e">
        <f t="shared" ca="1" si="320"/>
        <v>#VALUE!</v>
      </c>
      <c r="P119" s="63" t="b">
        <f t="shared" si="321"/>
        <v>1</v>
      </c>
      <c r="Q119" s="62">
        <f t="shared" ca="1" si="283"/>
        <v>1703.7420749304295</v>
      </c>
      <c r="T119" s="62">
        <f t="shared" ca="1" si="284"/>
        <v>1667.8267258157623</v>
      </c>
      <c r="W119" s="62">
        <f t="shared" ca="1" si="285"/>
        <v>2037.6936121855254</v>
      </c>
      <c r="Z119" s="62">
        <f t="shared" ca="1" si="286"/>
        <v>1654.1451293809885</v>
      </c>
      <c r="AC119" s="62">
        <f t="shared" ca="1" si="287"/>
        <v>1621.4291466888574</v>
      </c>
      <c r="AF119" s="62"/>
      <c r="AI119" s="62" t="e">
        <f t="shared" ca="1" si="288"/>
        <v>#VALUE!</v>
      </c>
      <c r="AL119" s="62" t="e">
        <f t="shared" ca="1" si="289"/>
        <v>#VALUE!</v>
      </c>
      <c r="AO119" s="62" t="e">
        <f t="shared" ca="1" si="290"/>
        <v>#VALUE!</v>
      </c>
      <c r="AR119" s="62" t="e">
        <f t="shared" ca="1" si="291"/>
        <v>#VALUE!</v>
      </c>
      <c r="AU119" s="62" t="e">
        <f t="shared" ca="1" si="292"/>
        <v>#VALUE!</v>
      </c>
      <c r="AX119" s="62" t="e">
        <f t="shared" ca="1" si="293"/>
        <v>#VALUE!</v>
      </c>
      <c r="BA119" s="62" t="e">
        <f t="shared" ca="1" si="294"/>
        <v>#VALUE!</v>
      </c>
      <c r="BD119" s="62" t="e">
        <f t="shared" ca="1" si="295"/>
        <v>#VALUE!</v>
      </c>
      <c r="BG119" s="62" t="e">
        <f t="shared" ca="1" si="296"/>
        <v>#VALUE!</v>
      </c>
      <c r="BJ119" s="62" t="e">
        <f t="shared" ca="1" si="297"/>
        <v>#VALUE!</v>
      </c>
      <c r="BM119" s="62" t="e">
        <f t="shared" ca="1" si="298"/>
        <v>#VALUE!</v>
      </c>
      <c r="BP119" s="62" t="e">
        <f t="shared" ca="1" si="299"/>
        <v>#VALUE!</v>
      </c>
      <c r="BS119" s="62"/>
      <c r="BV119" s="62" t="e">
        <f t="shared" ca="1" si="300"/>
        <v>#VALUE!</v>
      </c>
      <c r="BY119" s="62" t="e">
        <f t="shared" ca="1" si="301"/>
        <v>#VALUE!</v>
      </c>
      <c r="CB119" s="62"/>
      <c r="CE119" s="62" t="e">
        <f t="shared" ca="1" si="302"/>
        <v>#VALUE!</v>
      </c>
      <c r="CH119" s="62" t="e">
        <f t="shared" ca="1" si="303"/>
        <v>#VALUE!</v>
      </c>
      <c r="CK119" s="62" t="e">
        <f t="shared" ca="1" si="304"/>
        <v>#VALUE!</v>
      </c>
      <c r="CN119" s="62" t="e">
        <f t="shared" ca="1" si="305"/>
        <v>#VALUE!</v>
      </c>
      <c r="CQ119" s="62" t="e">
        <f t="shared" ca="1" si="306"/>
        <v>#VALUE!</v>
      </c>
      <c r="CT119" s="62" t="e">
        <f t="shared" ca="1" si="307"/>
        <v>#VALUE!</v>
      </c>
      <c r="CW119" s="62" t="e">
        <f t="shared" ca="1" si="308"/>
        <v>#VALUE!</v>
      </c>
      <c r="CZ119" s="62" t="e">
        <f t="shared" ca="1" si="309"/>
        <v>#VALUE!</v>
      </c>
      <c r="DC119" s="62" t="e">
        <f t="shared" ca="1" si="310"/>
        <v>#VALUE!</v>
      </c>
      <c r="DF119" s="62" t="e">
        <f t="shared" ca="1" si="311"/>
        <v>#VALUE!</v>
      </c>
    </row>
    <row r="120" spans="1:110">
      <c r="A120" s="14">
        <f t="shared" si="312"/>
        <v>22</v>
      </c>
      <c r="B120" s="63">
        <f t="shared" ca="1" si="322"/>
        <v>6.4528090696904072E-2</v>
      </c>
      <c r="C120" s="63">
        <f t="shared" si="322"/>
        <v>3852.9</v>
      </c>
      <c r="D120" s="2" t="e">
        <f t="shared" ca="1" si="279"/>
        <v>#VALUE!</v>
      </c>
      <c r="E120" s="2" t="e">
        <f t="shared" ca="1" si="314"/>
        <v>#VALUE!</v>
      </c>
      <c r="F120" s="2" t="e">
        <f t="shared" ca="1" si="280"/>
        <v>#VALUE!</v>
      </c>
      <c r="G120" s="2" t="e">
        <f t="shared" ca="1" si="315"/>
        <v>#VALUE!</v>
      </c>
      <c r="H120" s="2" t="e">
        <f t="shared" ca="1" si="281"/>
        <v>#VALUE!</v>
      </c>
      <c r="I120" s="2" t="e">
        <f t="shared" ca="1" si="316"/>
        <v>#VALUE!</v>
      </c>
      <c r="J120" s="2" t="e">
        <f t="shared" ca="1" si="282"/>
        <v>#VALUE!</v>
      </c>
      <c r="L120" s="61" t="e">
        <f t="shared" ca="1" si="317"/>
        <v>#VALUE!</v>
      </c>
      <c r="M120" s="63" t="e">
        <f t="shared" ca="1" si="318"/>
        <v>#VALUE!</v>
      </c>
      <c r="N120" s="61" t="e">
        <f t="shared" ca="1" si="319"/>
        <v>#VALUE!</v>
      </c>
      <c r="O120" s="61" t="e">
        <f t="shared" ca="1" si="320"/>
        <v>#VALUE!</v>
      </c>
      <c r="P120" s="63" t="b">
        <f t="shared" si="321"/>
        <v>1</v>
      </c>
      <c r="Q120" s="62">
        <f t="shared" ca="1" si="283"/>
        <v>1831.1446430040928</v>
      </c>
      <c r="T120" s="62">
        <f t="shared" ca="1" si="284"/>
        <v>2163.4199262480652</v>
      </c>
      <c r="W120" s="62">
        <f t="shared" ca="1" si="285"/>
        <v>1714.8305910791316</v>
      </c>
      <c r="Z120" s="62">
        <f t="shared" ca="1" si="286"/>
        <v>1658.403162098379</v>
      </c>
      <c r="AC120" s="62">
        <f t="shared" ca="1" si="287"/>
        <v>1677.9877074674287</v>
      </c>
      <c r="AF120" s="62"/>
      <c r="AI120" s="62" t="e">
        <f t="shared" ca="1" si="288"/>
        <v>#VALUE!</v>
      </c>
      <c r="AL120" s="62" t="e">
        <f t="shared" ca="1" si="289"/>
        <v>#VALUE!</v>
      </c>
      <c r="AO120" s="62" t="e">
        <f t="shared" ca="1" si="290"/>
        <v>#VALUE!</v>
      </c>
      <c r="AR120" s="62" t="e">
        <f t="shared" ca="1" si="291"/>
        <v>#VALUE!</v>
      </c>
      <c r="AU120" s="62" t="e">
        <f t="shared" ca="1" si="292"/>
        <v>#VALUE!</v>
      </c>
      <c r="AX120" s="62" t="e">
        <f t="shared" ca="1" si="293"/>
        <v>#VALUE!</v>
      </c>
      <c r="BA120" s="62" t="e">
        <f t="shared" ca="1" si="294"/>
        <v>#VALUE!</v>
      </c>
      <c r="BD120" s="62" t="e">
        <f t="shared" ca="1" si="295"/>
        <v>#VALUE!</v>
      </c>
      <c r="BG120" s="62" t="e">
        <f t="shared" ca="1" si="296"/>
        <v>#VALUE!</v>
      </c>
      <c r="BJ120" s="62" t="e">
        <f t="shared" ca="1" si="297"/>
        <v>#VALUE!</v>
      </c>
      <c r="BM120" s="62" t="e">
        <f t="shared" ca="1" si="298"/>
        <v>#VALUE!</v>
      </c>
      <c r="BP120" s="62" t="e">
        <f t="shared" ca="1" si="299"/>
        <v>#VALUE!</v>
      </c>
      <c r="BS120" s="62"/>
      <c r="BV120" s="62" t="e">
        <f t="shared" ca="1" si="300"/>
        <v>#VALUE!</v>
      </c>
      <c r="BY120" s="62" t="e">
        <f t="shared" ca="1" si="301"/>
        <v>#VALUE!</v>
      </c>
      <c r="CB120" s="62"/>
      <c r="CE120" s="62" t="e">
        <f t="shared" ca="1" si="302"/>
        <v>#VALUE!</v>
      </c>
      <c r="CH120" s="62" t="e">
        <f t="shared" ca="1" si="303"/>
        <v>#VALUE!</v>
      </c>
      <c r="CK120" s="62" t="e">
        <f t="shared" ca="1" si="304"/>
        <v>#VALUE!</v>
      </c>
      <c r="CN120" s="62" t="e">
        <f t="shared" ca="1" si="305"/>
        <v>#VALUE!</v>
      </c>
      <c r="CQ120" s="62" t="e">
        <f t="shared" ca="1" si="306"/>
        <v>#VALUE!</v>
      </c>
      <c r="CT120" s="62" t="e">
        <f t="shared" ca="1" si="307"/>
        <v>#VALUE!</v>
      </c>
      <c r="CW120" s="62" t="e">
        <f t="shared" ca="1" si="308"/>
        <v>#VALUE!</v>
      </c>
      <c r="CZ120" s="62" t="e">
        <f t="shared" ca="1" si="309"/>
        <v>#VALUE!</v>
      </c>
      <c r="DC120" s="62" t="e">
        <f t="shared" ca="1" si="310"/>
        <v>#VALUE!</v>
      </c>
      <c r="DF120" s="62" t="e">
        <f t="shared" ca="1" si="311"/>
        <v>#VALUE!</v>
      </c>
    </row>
    <row r="121" spans="1:110">
      <c r="A121" s="14">
        <f t="shared" si="312"/>
        <v>23</v>
      </c>
      <c r="B121" s="63">
        <f t="shared" ca="1" si="322"/>
        <v>4.8396071685701009E-2</v>
      </c>
      <c r="C121" s="63">
        <f t="shared" si="322"/>
        <v>3862.8</v>
      </c>
      <c r="D121" s="2" t="e">
        <f t="shared" ca="1" si="279"/>
        <v>#VALUE!</v>
      </c>
      <c r="E121" s="2" t="e">
        <f t="shared" ca="1" si="314"/>
        <v>#VALUE!</v>
      </c>
      <c r="F121" s="2" t="e">
        <f t="shared" ca="1" si="280"/>
        <v>#VALUE!</v>
      </c>
      <c r="G121" s="2" t="e">
        <f t="shared" ca="1" si="315"/>
        <v>#VALUE!</v>
      </c>
      <c r="H121" s="2" t="e">
        <f t="shared" ca="1" si="281"/>
        <v>#VALUE!</v>
      </c>
      <c r="I121" s="2" t="e">
        <f t="shared" ca="1" si="316"/>
        <v>#VALUE!</v>
      </c>
      <c r="J121" s="2" t="e">
        <f t="shared" ca="1" si="282"/>
        <v>#VALUE!</v>
      </c>
      <c r="L121" s="61" t="e">
        <f t="shared" ca="1" si="317"/>
        <v>#VALUE!</v>
      </c>
      <c r="M121" s="63" t="e">
        <f t="shared" ca="1" si="318"/>
        <v>#VALUE!</v>
      </c>
      <c r="N121" s="61" t="e">
        <f t="shared" ca="1" si="319"/>
        <v>#VALUE!</v>
      </c>
      <c r="O121" s="61" t="e">
        <f t="shared" ca="1" si="320"/>
        <v>#VALUE!</v>
      </c>
      <c r="P121" s="63" t="b">
        <f t="shared" si="321"/>
        <v>1</v>
      </c>
      <c r="Q121" s="62">
        <f t="shared" ca="1" si="283"/>
        <v>1959.1666252448977</v>
      </c>
      <c r="T121" s="62">
        <f t="shared" ca="1" si="284"/>
        <v>1636.7961852514868</v>
      </c>
      <c r="W121" s="62">
        <f t="shared" ca="1" si="285"/>
        <v>1663.2434167091517</v>
      </c>
      <c r="Z121" s="62">
        <f t="shared" ca="1" si="286"/>
        <v>1620.2649005630667</v>
      </c>
      <c r="AC121" s="62">
        <f t="shared" ca="1" si="287"/>
        <v>1668.4124562810107</v>
      </c>
      <c r="AF121" s="62"/>
      <c r="AI121" s="62" t="e">
        <f t="shared" ca="1" si="288"/>
        <v>#VALUE!</v>
      </c>
      <c r="AL121" s="62" t="e">
        <f t="shared" ca="1" si="289"/>
        <v>#VALUE!</v>
      </c>
      <c r="AO121" s="62" t="e">
        <f t="shared" ca="1" si="290"/>
        <v>#VALUE!</v>
      </c>
      <c r="AR121" s="62" t="e">
        <f t="shared" ca="1" si="291"/>
        <v>#VALUE!</v>
      </c>
      <c r="AU121" s="62" t="e">
        <f t="shared" ca="1" si="292"/>
        <v>#VALUE!</v>
      </c>
      <c r="AX121" s="62" t="e">
        <f t="shared" ca="1" si="293"/>
        <v>#VALUE!</v>
      </c>
      <c r="BA121" s="62" t="e">
        <f t="shared" ca="1" si="294"/>
        <v>#VALUE!</v>
      </c>
      <c r="BD121" s="62" t="e">
        <f t="shared" ca="1" si="295"/>
        <v>#VALUE!</v>
      </c>
      <c r="BG121" s="62" t="e">
        <f t="shared" ca="1" si="296"/>
        <v>#VALUE!</v>
      </c>
      <c r="BJ121" s="62" t="e">
        <f t="shared" ca="1" si="297"/>
        <v>#VALUE!</v>
      </c>
      <c r="BM121" s="62" t="e">
        <f t="shared" ca="1" si="298"/>
        <v>#VALUE!</v>
      </c>
      <c r="BP121" s="62" t="e">
        <f t="shared" ca="1" si="299"/>
        <v>#VALUE!</v>
      </c>
      <c r="BS121" s="62"/>
      <c r="BV121" s="62" t="e">
        <f t="shared" ca="1" si="300"/>
        <v>#VALUE!</v>
      </c>
      <c r="BY121" s="62" t="e">
        <f t="shared" ca="1" si="301"/>
        <v>#VALUE!</v>
      </c>
      <c r="CB121" s="62"/>
      <c r="CE121" s="62" t="e">
        <f t="shared" ca="1" si="302"/>
        <v>#VALUE!</v>
      </c>
      <c r="CH121" s="62" t="e">
        <f t="shared" ca="1" si="303"/>
        <v>#VALUE!</v>
      </c>
      <c r="CK121" s="62" t="e">
        <f t="shared" ca="1" si="304"/>
        <v>#VALUE!</v>
      </c>
      <c r="CN121" s="62" t="e">
        <f t="shared" ca="1" si="305"/>
        <v>#VALUE!</v>
      </c>
      <c r="CQ121" s="62" t="e">
        <f t="shared" ca="1" si="306"/>
        <v>#VALUE!</v>
      </c>
      <c r="CT121" s="62" t="e">
        <f t="shared" ca="1" si="307"/>
        <v>#VALUE!</v>
      </c>
      <c r="CW121" s="62" t="e">
        <f t="shared" ca="1" si="308"/>
        <v>#VALUE!</v>
      </c>
      <c r="CZ121" s="62" t="e">
        <f t="shared" ca="1" si="309"/>
        <v>#VALUE!</v>
      </c>
      <c r="DC121" s="62" t="e">
        <f t="shared" ca="1" si="310"/>
        <v>#VALUE!</v>
      </c>
      <c r="DF121" s="62" t="e">
        <f t="shared" ca="1" si="311"/>
        <v>#VALUE!</v>
      </c>
    </row>
    <row r="122" spans="1:110">
      <c r="A122" s="14">
        <f t="shared" si="312"/>
        <v>24</v>
      </c>
      <c r="B122" s="63">
        <f t="shared" ca="1" si="322"/>
        <v>1.6900215363934361E-2</v>
      </c>
      <c r="C122" s="63">
        <f t="shared" si="322"/>
        <v>3782.2</v>
      </c>
      <c r="D122" s="2" t="e">
        <f t="shared" ca="1" si="279"/>
        <v>#VALUE!</v>
      </c>
      <c r="E122" s="2" t="e">
        <f t="shared" ca="1" si="314"/>
        <v>#VALUE!</v>
      </c>
      <c r="F122" s="2" t="e">
        <f t="shared" ca="1" si="280"/>
        <v>#VALUE!</v>
      </c>
      <c r="G122" s="2" t="e">
        <f t="shared" ca="1" si="315"/>
        <v>#VALUE!</v>
      </c>
      <c r="H122" s="2" t="e">
        <f t="shared" ca="1" si="281"/>
        <v>#VALUE!</v>
      </c>
      <c r="I122" s="2" t="e">
        <f t="shared" ca="1" si="316"/>
        <v>#VALUE!</v>
      </c>
      <c r="J122" s="2" t="e">
        <f t="shared" ca="1" si="282"/>
        <v>#VALUE!</v>
      </c>
      <c r="L122" s="61" t="e">
        <f t="shared" ca="1" si="317"/>
        <v>#VALUE!</v>
      </c>
      <c r="M122" s="63" t="e">
        <f t="shared" ca="1" si="318"/>
        <v>#VALUE!</v>
      </c>
      <c r="N122" s="61" t="e">
        <f t="shared" ca="1" si="319"/>
        <v>#VALUE!</v>
      </c>
      <c r="O122" s="61" t="e">
        <f t="shared" ca="1" si="320"/>
        <v>#VALUE!</v>
      </c>
      <c r="P122" s="63" t="b">
        <f t="shared" si="321"/>
        <v>1</v>
      </c>
      <c r="Q122" s="62">
        <f t="shared" ca="1" si="283"/>
        <v>1925.5949924583406</v>
      </c>
      <c r="T122" s="62">
        <f t="shared" ca="1" si="284"/>
        <v>3279.8826606235693</v>
      </c>
      <c r="W122" s="62">
        <f t="shared" ca="1" si="285"/>
        <v>1686.7934567822435</v>
      </c>
      <c r="Z122" s="62">
        <f t="shared" ca="1" si="286"/>
        <v>5501.6583816588509</v>
      </c>
      <c r="AC122" s="62">
        <f t="shared" ca="1" si="287"/>
        <v>3919.798511396978</v>
      </c>
      <c r="AF122" s="62"/>
      <c r="AI122" s="62" t="e">
        <f t="shared" ca="1" si="288"/>
        <v>#VALUE!</v>
      </c>
      <c r="AL122" s="62" t="e">
        <f t="shared" ca="1" si="289"/>
        <v>#VALUE!</v>
      </c>
      <c r="AO122" s="62" t="e">
        <f t="shared" ca="1" si="290"/>
        <v>#VALUE!</v>
      </c>
      <c r="AR122" s="62" t="e">
        <f t="shared" ca="1" si="291"/>
        <v>#VALUE!</v>
      </c>
      <c r="AU122" s="62" t="e">
        <f t="shared" ca="1" si="292"/>
        <v>#VALUE!</v>
      </c>
      <c r="AX122" s="62" t="e">
        <f t="shared" ca="1" si="293"/>
        <v>#VALUE!</v>
      </c>
      <c r="BA122" s="62" t="e">
        <f t="shared" ca="1" si="294"/>
        <v>#VALUE!</v>
      </c>
      <c r="BD122" s="62" t="e">
        <f t="shared" ca="1" si="295"/>
        <v>#VALUE!</v>
      </c>
      <c r="BG122" s="62" t="e">
        <f t="shared" ca="1" si="296"/>
        <v>#VALUE!</v>
      </c>
      <c r="BJ122" s="62" t="e">
        <f t="shared" ca="1" si="297"/>
        <v>#VALUE!</v>
      </c>
      <c r="BM122" s="62" t="e">
        <f t="shared" ca="1" si="298"/>
        <v>#VALUE!</v>
      </c>
      <c r="BP122" s="62" t="e">
        <f t="shared" ca="1" si="299"/>
        <v>#VALUE!</v>
      </c>
      <c r="BS122" s="62"/>
      <c r="BV122" s="62" t="e">
        <f t="shared" ca="1" si="300"/>
        <v>#VALUE!</v>
      </c>
      <c r="BY122" s="62" t="e">
        <f t="shared" ca="1" si="301"/>
        <v>#VALUE!</v>
      </c>
      <c r="CB122" s="62"/>
      <c r="CE122" s="62" t="e">
        <f t="shared" ca="1" si="302"/>
        <v>#VALUE!</v>
      </c>
      <c r="CH122" s="62" t="e">
        <f t="shared" ca="1" si="303"/>
        <v>#VALUE!</v>
      </c>
      <c r="CK122" s="62" t="e">
        <f t="shared" ca="1" si="304"/>
        <v>#VALUE!</v>
      </c>
      <c r="CN122" s="62" t="e">
        <f t="shared" ca="1" si="305"/>
        <v>#VALUE!</v>
      </c>
      <c r="CQ122" s="62" t="e">
        <f t="shared" ca="1" si="306"/>
        <v>#VALUE!</v>
      </c>
      <c r="CT122" s="62" t="e">
        <f t="shared" ca="1" si="307"/>
        <v>#VALUE!</v>
      </c>
      <c r="CW122" s="62" t="e">
        <f t="shared" ca="1" si="308"/>
        <v>#VALUE!</v>
      </c>
      <c r="CZ122" s="62" t="e">
        <f t="shared" ca="1" si="309"/>
        <v>#VALUE!</v>
      </c>
      <c r="DC122" s="62" t="e">
        <f t="shared" ca="1" si="310"/>
        <v>#VALUE!</v>
      </c>
      <c r="DF122" s="62" t="e">
        <f t="shared" ca="1" si="311"/>
        <v>#VALUE!</v>
      </c>
    </row>
    <row r="123" spans="1:110">
      <c r="A123" s="14">
        <f t="shared" si="312"/>
        <v>25</v>
      </c>
      <c r="B123" s="63">
        <f t="shared" ca="1" si="322"/>
        <v>1.3827448268123942E-2</v>
      </c>
      <c r="C123" s="63">
        <f t="shared" si="322"/>
        <v>3801.6</v>
      </c>
      <c r="D123" s="2" t="e">
        <f t="shared" ca="1" si="279"/>
        <v>#VALUE!</v>
      </c>
      <c r="E123" s="2" t="e">
        <f t="shared" ca="1" si="314"/>
        <v>#VALUE!</v>
      </c>
      <c r="F123" s="2" t="e">
        <f t="shared" ca="1" si="280"/>
        <v>#VALUE!</v>
      </c>
      <c r="G123" s="2" t="e">
        <f t="shared" ca="1" si="315"/>
        <v>#VALUE!</v>
      </c>
      <c r="H123" s="2" t="e">
        <f t="shared" ca="1" si="281"/>
        <v>#VALUE!</v>
      </c>
      <c r="I123" s="2" t="e">
        <f t="shared" ca="1" si="316"/>
        <v>#VALUE!</v>
      </c>
      <c r="J123" s="2" t="e">
        <f t="shared" ca="1" si="282"/>
        <v>#VALUE!</v>
      </c>
      <c r="L123" s="61" t="e">
        <f t="shared" ca="1" si="317"/>
        <v>#VALUE!</v>
      </c>
      <c r="M123" s="63" t="e">
        <f t="shared" ca="1" si="318"/>
        <v>#VALUE!</v>
      </c>
      <c r="N123" s="61" t="e">
        <f t="shared" ca="1" si="319"/>
        <v>#VALUE!</v>
      </c>
      <c r="O123" s="61" t="e">
        <f t="shared" ca="1" si="320"/>
        <v>#VALUE!</v>
      </c>
      <c r="P123" s="63" t="b">
        <f t="shared" si="321"/>
        <v>1</v>
      </c>
      <c r="Q123" s="62">
        <f t="shared" ca="1" si="283"/>
        <v>1799.3084357748894</v>
      </c>
      <c r="T123" s="62">
        <f t="shared" ca="1" si="284"/>
        <v>1825.6143272200052</v>
      </c>
      <c r="W123" s="62">
        <f t="shared" ca="1" si="285"/>
        <v>1662.7428651961393</v>
      </c>
      <c r="Z123" s="62">
        <f t="shared" ca="1" si="286"/>
        <v>5893.8950735579883</v>
      </c>
      <c r="AC123" s="62">
        <f t="shared" ca="1" si="287"/>
        <v>1662.8642905036861</v>
      </c>
      <c r="AF123" s="62"/>
      <c r="AI123" s="62" t="e">
        <f t="shared" ca="1" si="288"/>
        <v>#VALUE!</v>
      </c>
      <c r="AL123" s="62" t="e">
        <f t="shared" ca="1" si="289"/>
        <v>#VALUE!</v>
      </c>
      <c r="AO123" s="62" t="e">
        <f t="shared" ca="1" si="290"/>
        <v>#VALUE!</v>
      </c>
      <c r="AR123" s="62" t="e">
        <f t="shared" ca="1" si="291"/>
        <v>#VALUE!</v>
      </c>
      <c r="AU123" s="62" t="e">
        <f t="shared" ca="1" si="292"/>
        <v>#VALUE!</v>
      </c>
      <c r="AX123" s="62" t="e">
        <f t="shared" ca="1" si="293"/>
        <v>#VALUE!</v>
      </c>
      <c r="BA123" s="62" t="e">
        <f t="shared" ca="1" si="294"/>
        <v>#VALUE!</v>
      </c>
      <c r="BD123" s="62" t="e">
        <f t="shared" ca="1" si="295"/>
        <v>#VALUE!</v>
      </c>
      <c r="BG123" s="62" t="e">
        <f t="shared" ca="1" si="296"/>
        <v>#VALUE!</v>
      </c>
      <c r="BJ123" s="62" t="e">
        <f t="shared" ca="1" si="297"/>
        <v>#VALUE!</v>
      </c>
      <c r="BM123" s="62" t="e">
        <f t="shared" ca="1" si="298"/>
        <v>#VALUE!</v>
      </c>
      <c r="BP123" s="62" t="e">
        <f t="shared" ca="1" si="299"/>
        <v>#VALUE!</v>
      </c>
      <c r="BS123" s="62"/>
      <c r="BV123" s="62" t="e">
        <f t="shared" ca="1" si="300"/>
        <v>#VALUE!</v>
      </c>
      <c r="BY123" s="62" t="e">
        <f t="shared" ca="1" si="301"/>
        <v>#VALUE!</v>
      </c>
      <c r="CB123" s="62"/>
      <c r="CE123" s="62" t="e">
        <f t="shared" ca="1" si="302"/>
        <v>#VALUE!</v>
      </c>
      <c r="CH123" s="62" t="e">
        <f t="shared" ca="1" si="303"/>
        <v>#VALUE!</v>
      </c>
      <c r="CK123" s="62" t="e">
        <f t="shared" ca="1" si="304"/>
        <v>#VALUE!</v>
      </c>
      <c r="CN123" s="62" t="e">
        <f t="shared" ca="1" si="305"/>
        <v>#VALUE!</v>
      </c>
      <c r="CQ123" s="62" t="e">
        <f t="shared" ca="1" si="306"/>
        <v>#VALUE!</v>
      </c>
      <c r="CT123" s="62" t="e">
        <f t="shared" ca="1" si="307"/>
        <v>#VALUE!</v>
      </c>
      <c r="CW123" s="62" t="e">
        <f t="shared" ca="1" si="308"/>
        <v>#VALUE!</v>
      </c>
      <c r="CZ123" s="62" t="e">
        <f t="shared" ca="1" si="309"/>
        <v>#VALUE!</v>
      </c>
      <c r="DC123" s="62" t="e">
        <f t="shared" ca="1" si="310"/>
        <v>#VALUE!</v>
      </c>
      <c r="DF123" s="62" t="e">
        <f t="shared" ca="1" si="311"/>
        <v>#VALUE!</v>
      </c>
    </row>
    <row r="124" spans="1:110">
      <c r="B124" s="63"/>
      <c r="J124" s="2"/>
      <c r="M124" s="63"/>
      <c r="Q124" s="62"/>
      <c r="T124" s="62"/>
      <c r="W124" s="62"/>
      <c r="Z124" s="62"/>
      <c r="AC124" s="62"/>
      <c r="AF124" s="62"/>
      <c r="AI124" s="62"/>
      <c r="AL124" s="62"/>
      <c r="AO124" s="62"/>
      <c r="AR124" s="62"/>
      <c r="AU124" s="62"/>
      <c r="AX124" s="62"/>
      <c r="BA124" s="62"/>
      <c r="BD124" s="62"/>
      <c r="BG124" s="62"/>
      <c r="BJ124" s="62"/>
      <c r="BM124" s="62"/>
      <c r="BP124" s="62"/>
      <c r="BS124" s="62"/>
      <c r="BV124" s="62"/>
      <c r="BY124" s="62"/>
      <c r="CB124" s="62"/>
      <c r="CE124" s="62"/>
      <c r="CH124" s="62"/>
      <c r="CK124" s="62"/>
      <c r="CN124" s="62"/>
      <c r="CQ124" s="62"/>
      <c r="CT124" s="62"/>
      <c r="CW124" s="62"/>
      <c r="CZ124" s="62"/>
      <c r="DC124" s="62"/>
      <c r="DF124" s="62"/>
    </row>
    <row r="125" spans="1:110">
      <c r="B125" s="63"/>
      <c r="J125" s="2"/>
      <c r="M125" s="63"/>
      <c r="Q125" s="62"/>
      <c r="T125" s="62"/>
      <c r="W125" s="62"/>
      <c r="Z125" s="62"/>
      <c r="AC125" s="62"/>
      <c r="AF125" s="62"/>
      <c r="AI125" s="62"/>
      <c r="AL125" s="62"/>
      <c r="AO125" s="62"/>
      <c r="AR125" s="62"/>
      <c r="AU125" s="62"/>
      <c r="AX125" s="62"/>
      <c r="BA125" s="62"/>
      <c r="BD125" s="62"/>
      <c r="BG125" s="62"/>
      <c r="BJ125" s="62"/>
      <c r="BM125" s="62"/>
      <c r="BP125" s="62"/>
      <c r="BS125" s="62"/>
      <c r="BV125" s="62"/>
      <c r="BY125" s="62"/>
      <c r="CB125" s="62"/>
      <c r="CE125" s="62"/>
      <c r="CH125" s="62"/>
      <c r="CK125" s="62"/>
      <c r="CN125" s="62"/>
      <c r="CQ125" s="62"/>
      <c r="CT125" s="62"/>
      <c r="CW125" s="62"/>
      <c r="CZ125" s="62"/>
      <c r="DC125" s="62"/>
      <c r="DF125" s="62"/>
    </row>
    <row r="126" spans="1:110">
      <c r="B126" s="63"/>
      <c r="J126" s="2"/>
      <c r="M126" s="63"/>
      <c r="Q126" s="62"/>
      <c r="T126" s="62"/>
      <c r="W126" s="62"/>
      <c r="Z126" s="62"/>
      <c r="AC126" s="62"/>
      <c r="AF126" s="62"/>
      <c r="AI126" s="62"/>
      <c r="AL126" s="62"/>
      <c r="AO126" s="62"/>
      <c r="AR126" s="62"/>
      <c r="AU126" s="62"/>
      <c r="AX126" s="62"/>
      <c r="BA126" s="62"/>
      <c r="BD126" s="62"/>
      <c r="BG126" s="62"/>
      <c r="BJ126" s="62"/>
      <c r="BM126" s="62"/>
      <c r="BP126" s="62"/>
      <c r="BS126" s="62"/>
      <c r="BV126" s="62"/>
      <c r="BY126" s="62"/>
      <c r="CB126" s="62"/>
      <c r="CE126" s="62"/>
      <c r="CH126" s="62"/>
      <c r="CK126" s="62"/>
      <c r="CN126" s="62"/>
      <c r="CQ126" s="62"/>
      <c r="CT126" s="62"/>
      <c r="CW126" s="62"/>
      <c r="CZ126" s="62"/>
      <c r="DC126" s="62"/>
      <c r="DF126" s="62"/>
    </row>
    <row r="127" spans="1:110">
      <c r="A127" s="100" t="s">
        <v>60</v>
      </c>
      <c r="B127" s="100"/>
      <c r="C127" s="100"/>
      <c r="J127" s="2"/>
      <c r="M127" s="63"/>
      <c r="Q127" s="62"/>
      <c r="T127" s="62"/>
      <c r="W127" s="62"/>
      <c r="Z127" s="62"/>
      <c r="AC127" s="62"/>
      <c r="AF127" s="62"/>
      <c r="AI127" s="62"/>
      <c r="AL127" s="62"/>
      <c r="AO127" s="62"/>
      <c r="AR127" s="62"/>
      <c r="AU127" s="62"/>
      <c r="AX127" s="62"/>
      <c r="BA127" s="62"/>
      <c r="BD127" s="62"/>
      <c r="BG127" s="62"/>
      <c r="BJ127" s="62"/>
      <c r="BM127" s="62"/>
      <c r="BP127" s="62"/>
      <c r="BS127" s="62"/>
      <c r="BV127" s="62"/>
      <c r="BY127" s="62"/>
      <c r="CB127" s="62"/>
      <c r="CE127" s="62"/>
      <c r="CH127" s="62"/>
      <c r="CK127" s="62"/>
      <c r="CN127" s="62"/>
      <c r="CQ127" s="62"/>
      <c r="CT127" s="62"/>
      <c r="CW127" s="62"/>
      <c r="CZ127" s="62"/>
      <c r="DC127" s="62"/>
      <c r="DF127" s="62"/>
    </row>
    <row r="128" spans="1:110" ht="15.75" thickBot="1">
      <c r="A128" s="100"/>
      <c r="B128" s="100"/>
      <c r="C128" s="100"/>
      <c r="J128" s="2"/>
      <c r="M128" s="63"/>
      <c r="Q128" s="62"/>
      <c r="T128" s="62"/>
      <c r="W128" s="62"/>
      <c r="Z128" s="62"/>
      <c r="AC128" s="62"/>
      <c r="AF128" s="62"/>
      <c r="AI128" s="62"/>
      <c r="AL128" s="62"/>
      <c r="AO128" s="62"/>
      <c r="AR128" s="62"/>
      <c r="AU128" s="62"/>
      <c r="AX128" s="62"/>
      <c r="BA128" s="62"/>
      <c r="BD128" s="62"/>
      <c r="BG128" s="62"/>
      <c r="BJ128" s="62"/>
      <c r="BM128" s="62"/>
      <c r="BP128" s="62"/>
      <c r="BS128" s="62"/>
      <c r="BV128" s="62"/>
      <c r="BY128" s="62"/>
      <c r="CB128" s="62"/>
      <c r="CE128" s="62"/>
      <c r="CH128" s="62"/>
      <c r="CK128" s="62"/>
      <c r="CN128" s="62"/>
      <c r="CQ128" s="62"/>
      <c r="CT128" s="62"/>
      <c r="CW128" s="62"/>
      <c r="CZ128" s="62"/>
      <c r="DC128" s="62"/>
      <c r="DF128" s="62"/>
    </row>
    <row r="129" spans="1:110" ht="15.75" thickBot="1">
      <c r="B129" s="113" t="str">
        <f>B1</f>
        <v>Calibration</v>
      </c>
      <c r="C129" s="113"/>
      <c r="E129" s="101" t="str">
        <f ca="1">partNumber&amp;": "&amp; "Gain Variation= +/-"&amp;INT(I129*1000)/10&amp;"%"</f>
        <v>29121: Gain Variation= +/-334.8%</v>
      </c>
      <c r="F129" s="101"/>
      <c r="G129" s="101"/>
      <c r="H129" s="101"/>
      <c r="I129" s="89">
        <f ca="1">O134*1.5/M134</f>
        <v>3.3488145319214695</v>
      </c>
      <c r="J129" s="2"/>
      <c r="M129" s="63"/>
      <c r="Q129" s="62"/>
      <c r="T129" s="62"/>
      <c r="W129" s="62"/>
      <c r="Z129" s="62"/>
      <c r="AC129" s="62"/>
      <c r="AF129" s="62"/>
      <c r="AI129" s="62"/>
      <c r="AL129" s="62"/>
      <c r="AO129" s="62"/>
      <c r="AR129" s="62"/>
      <c r="AU129" s="62"/>
      <c r="AX129" s="62"/>
      <c r="BA129" s="62"/>
      <c r="BD129" s="62"/>
      <c r="BG129" s="62"/>
      <c r="BJ129" s="62"/>
      <c r="BM129" s="62"/>
      <c r="BP129" s="62"/>
      <c r="BS129" s="62"/>
      <c r="BV129" s="62"/>
      <c r="BY129" s="62"/>
      <c r="CB129" s="62"/>
      <c r="CE129" s="62"/>
      <c r="CH129" s="62"/>
      <c r="CK129" s="62"/>
      <c r="CN129" s="62"/>
      <c r="CQ129" s="62"/>
      <c r="CT129" s="62"/>
      <c r="CW129" s="62"/>
      <c r="CZ129" s="62"/>
      <c r="DC129" s="62"/>
      <c r="DF129" s="62"/>
    </row>
    <row r="130" spans="1:110" ht="15.75" thickBot="1">
      <c r="B130" s="73" t="str">
        <f>B2</f>
        <v>Lux</v>
      </c>
      <c r="C130" s="73" t="str">
        <f>C2</f>
        <v>CCT</v>
      </c>
      <c r="E130" s="101" t="str">
        <f ca="1">partNumber&amp;": "&amp; "Nominal Gain Error= +/-"&amp;INT(I130*1000)/10&amp;"%"</f>
        <v>29121: Nominal Gain Error= +/-0%</v>
      </c>
      <c r="F130" s="101"/>
      <c r="G130" s="101"/>
      <c r="H130" s="101"/>
      <c r="I130" s="89">
        <f ca="1">M134/B134-1</f>
        <v>0</v>
      </c>
      <c r="J130" s="2"/>
      <c r="L130" s="74" t="str">
        <f>L2</f>
        <v>-1.5σ</v>
      </c>
      <c r="M130" s="74" t="str">
        <f t="shared" ref="M130:O130" si="323">M2</f>
        <v>AVG</v>
      </c>
      <c r="N130" s="74" t="str">
        <f t="shared" si="323"/>
        <v>+1.5σ</v>
      </c>
      <c r="O130" s="74" t="str">
        <f t="shared" si="323"/>
        <v>STDEV</v>
      </c>
      <c r="Q130" s="62" t="str">
        <f t="shared" ref="Q130" si="324">getCCT(Q98,R98,S98)</f>
        <v/>
      </c>
      <c r="T130" s="62" t="str">
        <f t="shared" ref="T130" si="325">getCCT(T98,U98,V98)</f>
        <v/>
      </c>
      <c r="W130" s="62" t="str">
        <f t="shared" ref="W130" si="326">getCCT(W98,X98,Y98)</f>
        <v/>
      </c>
      <c r="Z130" s="62" t="str">
        <f t="shared" ref="Z130" si="327">getCCT(Z98,AA98,AB98)</f>
        <v/>
      </c>
      <c r="AC130" s="62" t="str">
        <f t="shared" ref="AC130" si="328">getCCT(AC98,AD98,AE98)</f>
        <v/>
      </c>
      <c r="AF130" s="62"/>
      <c r="AI130" s="62" t="str">
        <f t="shared" ref="AI130" si="329">getCCT(AI98,AJ98,AK98)</f>
        <v/>
      </c>
      <c r="AL130" s="62" t="str">
        <f t="shared" ref="AL130" si="330">getCCT(AL98,AM98,AN98)</f>
        <v/>
      </c>
      <c r="AO130" s="62" t="str">
        <f t="shared" ref="AO130" si="331">getCCT(AO98,AP98,AQ98)</f>
        <v/>
      </c>
      <c r="AR130" s="62" t="str">
        <f t="shared" ref="AR130" si="332">getCCT(AR98,AS98,AT98)</f>
        <v/>
      </c>
      <c r="AU130" s="62" t="str">
        <f t="shared" ref="AU130" si="333">getCCT(AU98,AV98,AW98)</f>
        <v/>
      </c>
      <c r="AX130" s="62" t="str">
        <f t="shared" ref="AX130" si="334">getCCT(AX98,AY98,AZ98)</f>
        <v/>
      </c>
      <c r="BA130" s="62" t="str">
        <f t="shared" ref="BA130" si="335">getCCT(BA98,BB98,BC98)</f>
        <v/>
      </c>
      <c r="BD130" s="62" t="str">
        <f t="shared" ref="BD130" si="336">getCCT(BD98,BE98,BF98)</f>
        <v/>
      </c>
      <c r="BG130" s="62" t="str">
        <f t="shared" ref="BG130" si="337">getCCT(BG98,BH98,BI98)</f>
        <v/>
      </c>
      <c r="BJ130" s="62" t="str">
        <f t="shared" ref="BJ130" si="338">getCCT(BJ98,BK98,BL98)</f>
        <v/>
      </c>
      <c r="BM130" s="62" t="str">
        <f t="shared" ref="BM130" si="339">getCCT(BM98,BN98,BO98)</f>
        <v/>
      </c>
      <c r="BP130" s="62" t="str">
        <f t="shared" ref="BP130" si="340">getCCT(BP98,BQ98,BR98)</f>
        <v/>
      </c>
      <c r="BS130" s="62"/>
      <c r="BV130" s="62" t="str">
        <f t="shared" ref="BV130" si="341">getCCT(BV98,BW98,BX98)</f>
        <v/>
      </c>
      <c r="BY130" s="62" t="str">
        <f t="shared" ref="BY130" si="342">getCCT(BY98,BZ98,CA98)</f>
        <v/>
      </c>
      <c r="CB130" s="62"/>
      <c r="CE130" s="62" t="str">
        <f t="shared" ref="CE130" si="343">getCCT(CE98,CF98,CG98)</f>
        <v/>
      </c>
      <c r="CH130" s="62" t="str">
        <f t="shared" ref="CH130" si="344">getCCT(CH98,CI98,CJ98)</f>
        <v/>
      </c>
      <c r="CK130" s="62" t="str">
        <f t="shared" ref="CK130" si="345">getCCT(CK98,CL98,CM98)</f>
        <v/>
      </c>
      <c r="CN130" s="62" t="str">
        <f t="shared" ref="CN130" si="346">getCCT(CN98,CO98,CP98)</f>
        <v/>
      </c>
      <c r="CQ130" s="62" t="str">
        <f t="shared" ref="CQ130" si="347">getCCT(CQ98,CR98,CS98)</f>
        <v/>
      </c>
      <c r="CT130" s="62" t="str">
        <f t="shared" ref="CT130" si="348">getCCT(CT98,CU98,CV98)</f>
        <v/>
      </c>
      <c r="CW130" s="62" t="str">
        <f t="shared" ref="CW130" si="349">getCCT(CW98,CX98,CY98)</f>
        <v/>
      </c>
      <c r="CZ130" s="62" t="str">
        <f t="shared" ref="CZ130" si="350">getCCT(CZ98,DA98,DB98)</f>
        <v/>
      </c>
      <c r="DC130" s="62" t="str">
        <f t="shared" ref="DC130" si="351">getCCT(DC98,DD98,DE98)</f>
        <v/>
      </c>
      <c r="DF130" s="62" t="str">
        <f t="shared" ref="DF130" si="352">getCCT(DF98,DG98,DH98)</f>
        <v/>
      </c>
    </row>
    <row r="131" spans="1:110">
      <c r="A131" s="14">
        <f>A3</f>
        <v>1</v>
      </c>
      <c r="B131" s="63">
        <f t="shared" ref="B131:C155" ca="1" si="353">B3</f>
        <v>23.151758163574332</v>
      </c>
      <c r="C131" s="63">
        <f>C3</f>
        <v>3933.1</v>
      </c>
      <c r="I131" s="2"/>
      <c r="J131" s="2"/>
      <c r="L131" s="61">
        <f t="shared" ref="L131:L155" ca="1" si="354">M131-1.5*O131</f>
        <v>-53.75217207368997</v>
      </c>
      <c r="M131" s="63">
        <f t="shared" ref="M131:M155" ca="1" si="355">AVERAGE(Q131:DH131)</f>
        <v>22.898184438746377</v>
      </c>
      <c r="N131" s="61">
        <f t="shared" ref="N131:N155" ca="1" si="356">M131+1.5*O131</f>
        <v>99.54854095118273</v>
      </c>
      <c r="O131" s="61">
        <f t="shared" ref="O131:O155" ca="1" si="357">STDEV(Q131:DH131)</f>
        <v>51.100237674957562</v>
      </c>
      <c r="P131" s="63" t="b">
        <f>P99</f>
        <v>1</v>
      </c>
      <c r="Q131" s="62">
        <f t="shared" ref="Q131:Q155" ca="1" si="358">R65</f>
        <v>138.01067572392716</v>
      </c>
      <c r="T131" s="62">
        <f t="shared" ref="T131:AI146" ca="1" si="359">U65</f>
        <v>132.55978768367072</v>
      </c>
      <c r="W131" s="62">
        <f t="shared" ref="W131" ca="1" si="360">X65</f>
        <v>139.0260467327256</v>
      </c>
      <c r="Z131" s="62">
        <f t="shared" ref="Z131" ca="1" si="361">AA65</f>
        <v>127.488646239592</v>
      </c>
      <c r="AC131" s="62">
        <f t="shared" ref="AC131" ca="1" si="362">AD65</f>
        <v>126.96219234372944</v>
      </c>
      <c r="AF131" s="62"/>
      <c r="AI131" s="62">
        <f t="shared" ref="AI131" ca="1" si="363">AJ65</f>
        <v>0</v>
      </c>
      <c r="AL131" s="62">
        <f t="shared" ref="AL131:AX146" ca="1" si="364">AM65</f>
        <v>0</v>
      </c>
      <c r="AO131" s="62">
        <f t="shared" ref="AO131" ca="1" si="365">AP65</f>
        <v>0</v>
      </c>
      <c r="AR131" s="62">
        <f t="shared" ref="AR131" ca="1" si="366">AS65</f>
        <v>0</v>
      </c>
      <c r="AU131" s="62">
        <f t="shared" ref="AU131" ca="1" si="367">AV65</f>
        <v>0</v>
      </c>
      <c r="AX131" s="62">
        <f t="shared" ref="AX131" ca="1" si="368">AY65</f>
        <v>0</v>
      </c>
      <c r="BA131" s="62">
        <f t="shared" ref="BA131:BP146" ca="1" si="369">BB65</f>
        <v>0</v>
      </c>
      <c r="BD131" s="62">
        <f t="shared" ref="BD131" ca="1" si="370">BE65</f>
        <v>0</v>
      </c>
      <c r="BG131" s="62">
        <f t="shared" ref="BG131" ca="1" si="371">BH65</f>
        <v>0</v>
      </c>
      <c r="BJ131" s="62">
        <f t="shared" ref="BJ131" ca="1" si="372">BK65</f>
        <v>0</v>
      </c>
      <c r="BM131" s="62">
        <f t="shared" ref="BM131" ca="1" si="373">BN65</f>
        <v>0</v>
      </c>
      <c r="BP131" s="62">
        <f t="shared" ref="BP131" ca="1" si="374">BQ65</f>
        <v>0</v>
      </c>
      <c r="BS131" s="62"/>
      <c r="BV131" s="62">
        <f t="shared" ref="BV131:CE146" ca="1" si="375">BW65</f>
        <v>0</v>
      </c>
      <c r="BY131" s="62">
        <f t="shared" ref="BY131" ca="1" si="376">BZ65</f>
        <v>0</v>
      </c>
      <c r="CB131" s="62"/>
      <c r="CE131" s="62">
        <f t="shared" ref="CE131" ca="1" si="377">CF65</f>
        <v>0</v>
      </c>
      <c r="CH131" s="62">
        <f t="shared" ref="CH131:CW146" ca="1" si="378">CI65</f>
        <v>0</v>
      </c>
      <c r="CK131" s="62">
        <f t="shared" ref="CK131" ca="1" si="379">CL65</f>
        <v>0</v>
      </c>
      <c r="CN131" s="62">
        <f t="shared" ref="CN131" ca="1" si="380">CO65</f>
        <v>0</v>
      </c>
      <c r="CQ131" s="62">
        <f t="shared" ref="CQ131" ca="1" si="381">CR65</f>
        <v>0</v>
      </c>
      <c r="CT131" s="62">
        <f t="shared" ref="CT131" ca="1" si="382">CU65</f>
        <v>0</v>
      </c>
      <c r="CW131" s="62">
        <f t="shared" ref="CW131" ca="1" si="383">CX65</f>
        <v>0</v>
      </c>
      <c r="CZ131" s="62">
        <f t="shared" ref="CZ131:DF146" ca="1" si="384">DA65</f>
        <v>0</v>
      </c>
      <c r="DC131" s="62">
        <f t="shared" ref="DC131" ca="1" si="385">DD65</f>
        <v>0</v>
      </c>
      <c r="DF131" s="62">
        <f t="shared" ref="DF131" ca="1" si="386">DG65</f>
        <v>0</v>
      </c>
    </row>
    <row r="132" spans="1:110">
      <c r="A132" s="14">
        <f t="shared" ref="A132:A155" si="387">A4</f>
        <v>2</v>
      </c>
      <c r="B132" s="63">
        <f t="shared" ca="1" si="353"/>
        <v>18.852958021449371</v>
      </c>
      <c r="C132" s="63">
        <f t="shared" si="353"/>
        <v>3954.7</v>
      </c>
      <c r="I132" s="2"/>
      <c r="J132" s="2"/>
      <c r="L132" s="61">
        <f t="shared" ca="1" si="354"/>
        <v>-44.292837122482027</v>
      </c>
      <c r="M132" s="63">
        <f t="shared" ca="1" si="355"/>
        <v>18.829871627267242</v>
      </c>
      <c r="N132" s="61">
        <f t="shared" ca="1" si="356"/>
        <v>81.952580377016503</v>
      </c>
      <c r="O132" s="61">
        <f t="shared" ca="1" si="357"/>
        <v>42.081805833166179</v>
      </c>
      <c r="P132" s="63" t="b">
        <f t="shared" ref="P132:P155" si="388">P100</f>
        <v>1</v>
      </c>
      <c r="Q132" s="62">
        <f t="shared" ca="1" si="358"/>
        <v>120.16848324706601</v>
      </c>
      <c r="T132" s="62">
        <f t="shared" ca="1" si="359"/>
        <v>107.63026692690033</v>
      </c>
      <c r="W132" s="62">
        <f t="shared" ca="1" si="359"/>
        <v>113.2507576032137</v>
      </c>
      <c r="Z132" s="62">
        <f t="shared" ca="1" si="359"/>
        <v>103.02891702249202</v>
      </c>
      <c r="AC132" s="62">
        <f t="shared" ca="1" si="359"/>
        <v>101.98785239107801</v>
      </c>
      <c r="AF132" s="62"/>
      <c r="AI132" s="62">
        <f t="shared" ca="1" si="359"/>
        <v>0</v>
      </c>
      <c r="AL132" s="62">
        <f t="shared" ca="1" si="364"/>
        <v>0</v>
      </c>
      <c r="AO132" s="62">
        <f t="shared" ca="1" si="364"/>
        <v>0</v>
      </c>
      <c r="AR132" s="62">
        <f t="shared" ca="1" si="364"/>
        <v>0</v>
      </c>
      <c r="AU132" s="62">
        <f t="shared" ca="1" si="364"/>
        <v>0</v>
      </c>
      <c r="AX132" s="62">
        <f t="shared" ca="1" si="364"/>
        <v>0</v>
      </c>
      <c r="BA132" s="62">
        <f t="shared" ca="1" si="369"/>
        <v>0</v>
      </c>
      <c r="BD132" s="62">
        <f t="shared" ca="1" si="369"/>
        <v>0</v>
      </c>
      <c r="BG132" s="62">
        <f t="shared" ca="1" si="369"/>
        <v>0</v>
      </c>
      <c r="BJ132" s="62">
        <f t="shared" ca="1" si="369"/>
        <v>0</v>
      </c>
      <c r="BM132" s="62">
        <f t="shared" ca="1" si="369"/>
        <v>0</v>
      </c>
      <c r="BP132" s="62">
        <f t="shared" ca="1" si="369"/>
        <v>0</v>
      </c>
      <c r="BS132" s="62"/>
      <c r="BV132" s="62">
        <f t="shared" ca="1" si="375"/>
        <v>0</v>
      </c>
      <c r="BY132" s="62">
        <f t="shared" ca="1" si="375"/>
        <v>0</v>
      </c>
      <c r="CB132" s="62"/>
      <c r="CE132" s="62">
        <f t="shared" ca="1" si="375"/>
        <v>0</v>
      </c>
      <c r="CH132" s="62">
        <f t="shared" ca="1" si="378"/>
        <v>0</v>
      </c>
      <c r="CK132" s="62">
        <f t="shared" ca="1" si="378"/>
        <v>0</v>
      </c>
      <c r="CN132" s="62">
        <f t="shared" ca="1" si="378"/>
        <v>0</v>
      </c>
      <c r="CQ132" s="62">
        <f t="shared" ca="1" si="378"/>
        <v>0</v>
      </c>
      <c r="CT132" s="62">
        <f t="shared" ca="1" si="378"/>
        <v>0</v>
      </c>
      <c r="CW132" s="62">
        <f t="shared" ca="1" si="378"/>
        <v>0</v>
      </c>
      <c r="CZ132" s="62">
        <f t="shared" ca="1" si="384"/>
        <v>0</v>
      </c>
      <c r="DC132" s="62">
        <f t="shared" ca="1" si="384"/>
        <v>0</v>
      </c>
      <c r="DF132" s="62">
        <f t="shared" ca="1" si="384"/>
        <v>0</v>
      </c>
    </row>
    <row r="133" spans="1:110">
      <c r="A133" s="14">
        <f t="shared" si="387"/>
        <v>3</v>
      </c>
      <c r="B133" s="63">
        <f t="shared" ca="1" si="353"/>
        <v>15.437578208746091</v>
      </c>
      <c r="C133" s="63">
        <f t="shared" si="353"/>
        <v>3988.4</v>
      </c>
      <c r="I133" s="2"/>
      <c r="J133" s="2"/>
      <c r="L133" s="61">
        <f t="shared" ca="1" si="354"/>
        <v>-36.0509412138491</v>
      </c>
      <c r="M133" s="63">
        <f t="shared" ca="1" si="355"/>
        <v>15.32675704229476</v>
      </c>
      <c r="N133" s="61">
        <f t="shared" ca="1" si="356"/>
        <v>66.704455298438617</v>
      </c>
      <c r="O133" s="61">
        <f t="shared" ca="1" si="357"/>
        <v>34.251798837429241</v>
      </c>
      <c r="P133" s="63" t="b">
        <f t="shared" si="388"/>
        <v>1</v>
      </c>
      <c r="Q133" s="62">
        <f t="shared" ca="1" si="358"/>
        <v>91.976888490900933</v>
      </c>
      <c r="T133" s="62">
        <f t="shared" ca="1" si="359"/>
        <v>86.700481238444468</v>
      </c>
      <c r="W133" s="62">
        <f t="shared" ca="1" si="359"/>
        <v>98.060658476948049</v>
      </c>
      <c r="Z133" s="62">
        <f t="shared" ca="1" si="359"/>
        <v>83.17791120373596</v>
      </c>
      <c r="AC133" s="62">
        <f t="shared" ca="1" si="359"/>
        <v>84.560014816518631</v>
      </c>
      <c r="AF133" s="62"/>
      <c r="AI133" s="62">
        <f t="shared" ca="1" si="359"/>
        <v>0</v>
      </c>
      <c r="AL133" s="62">
        <f t="shared" ca="1" si="364"/>
        <v>0</v>
      </c>
      <c r="AO133" s="62">
        <f t="shared" ca="1" si="364"/>
        <v>0</v>
      </c>
      <c r="AR133" s="62">
        <f t="shared" ca="1" si="364"/>
        <v>0</v>
      </c>
      <c r="AU133" s="62">
        <f t="shared" ca="1" si="364"/>
        <v>0</v>
      </c>
      <c r="AX133" s="62">
        <f t="shared" ca="1" si="364"/>
        <v>0</v>
      </c>
      <c r="BA133" s="62">
        <f t="shared" ca="1" si="369"/>
        <v>0</v>
      </c>
      <c r="BD133" s="62">
        <f t="shared" ca="1" si="369"/>
        <v>0</v>
      </c>
      <c r="BG133" s="62">
        <f t="shared" ca="1" si="369"/>
        <v>0</v>
      </c>
      <c r="BJ133" s="62">
        <f t="shared" ca="1" si="369"/>
        <v>0</v>
      </c>
      <c r="BM133" s="62">
        <f t="shared" ca="1" si="369"/>
        <v>0</v>
      </c>
      <c r="BP133" s="62">
        <f t="shared" ca="1" si="369"/>
        <v>0</v>
      </c>
      <c r="BS133" s="62"/>
      <c r="BV133" s="62">
        <f t="shared" ca="1" si="375"/>
        <v>0</v>
      </c>
      <c r="BY133" s="62">
        <f t="shared" ca="1" si="375"/>
        <v>0</v>
      </c>
      <c r="CB133" s="62"/>
      <c r="CE133" s="62">
        <f t="shared" ca="1" si="375"/>
        <v>0</v>
      </c>
      <c r="CH133" s="62">
        <f t="shared" ca="1" si="378"/>
        <v>0</v>
      </c>
      <c r="CK133" s="62">
        <f t="shared" ca="1" si="378"/>
        <v>0</v>
      </c>
      <c r="CN133" s="62">
        <f t="shared" ca="1" si="378"/>
        <v>0</v>
      </c>
      <c r="CQ133" s="62">
        <f t="shared" ca="1" si="378"/>
        <v>0</v>
      </c>
      <c r="CT133" s="62">
        <f t="shared" ca="1" si="378"/>
        <v>0</v>
      </c>
      <c r="CW133" s="62">
        <f t="shared" ca="1" si="378"/>
        <v>0</v>
      </c>
      <c r="CZ133" s="62">
        <f t="shared" ca="1" si="384"/>
        <v>0</v>
      </c>
      <c r="DC133" s="62">
        <f t="shared" ca="1" si="384"/>
        <v>0</v>
      </c>
      <c r="DF133" s="62">
        <f t="shared" ca="1" si="384"/>
        <v>0</v>
      </c>
    </row>
    <row r="134" spans="1:110">
      <c r="A134" s="14">
        <f t="shared" si="387"/>
        <v>4</v>
      </c>
      <c r="B134" s="63">
        <f t="shared" ca="1" si="353"/>
        <v>12.825726800021135</v>
      </c>
      <c r="C134" s="63">
        <f t="shared" si="353"/>
        <v>3978.3</v>
      </c>
      <c r="I134" s="2"/>
      <c r="J134" s="2"/>
      <c r="L134" s="61">
        <f t="shared" ca="1" si="354"/>
        <v>-30.125253490344285</v>
      </c>
      <c r="M134" s="63">
        <f t="shared" ca="1" si="355"/>
        <v>12.825726800021135</v>
      </c>
      <c r="N134" s="61">
        <f t="shared" ca="1" si="356"/>
        <v>55.776707090386559</v>
      </c>
      <c r="O134" s="61">
        <f t="shared" ca="1" si="357"/>
        <v>28.633986860243617</v>
      </c>
      <c r="P134" s="63" t="b">
        <f t="shared" si="388"/>
        <v>1</v>
      </c>
      <c r="Q134" s="62">
        <f t="shared" ca="1" si="358"/>
        <v>77.608334278482218</v>
      </c>
      <c r="T134" s="62">
        <f t="shared" ca="1" si="359"/>
        <v>76.720307333764978</v>
      </c>
      <c r="W134" s="62">
        <f t="shared" ca="1" si="359"/>
        <v>77.170590346748511</v>
      </c>
      <c r="Z134" s="62">
        <f t="shared" ca="1" si="359"/>
        <v>69.588135924701518</v>
      </c>
      <c r="AC134" s="62">
        <f t="shared" ca="1" si="359"/>
        <v>70.858709316915665</v>
      </c>
      <c r="AF134" s="62"/>
      <c r="AI134" s="62">
        <f t="shared" ca="1" si="359"/>
        <v>0</v>
      </c>
      <c r="AL134" s="62">
        <f t="shared" ca="1" si="364"/>
        <v>0</v>
      </c>
      <c r="AO134" s="62">
        <f t="shared" ca="1" si="364"/>
        <v>0</v>
      </c>
      <c r="AR134" s="62">
        <f t="shared" ca="1" si="364"/>
        <v>0</v>
      </c>
      <c r="AU134" s="62">
        <f t="shared" ca="1" si="364"/>
        <v>0</v>
      </c>
      <c r="AX134" s="62">
        <f t="shared" ca="1" si="364"/>
        <v>0</v>
      </c>
      <c r="BA134" s="62">
        <f t="shared" ca="1" si="369"/>
        <v>0</v>
      </c>
      <c r="BD134" s="62">
        <f t="shared" ca="1" si="369"/>
        <v>0</v>
      </c>
      <c r="BG134" s="62">
        <f t="shared" ca="1" si="369"/>
        <v>0</v>
      </c>
      <c r="BJ134" s="62">
        <f t="shared" ca="1" si="369"/>
        <v>0</v>
      </c>
      <c r="BM134" s="62">
        <f t="shared" ca="1" si="369"/>
        <v>0</v>
      </c>
      <c r="BP134" s="62">
        <f t="shared" ca="1" si="369"/>
        <v>0</v>
      </c>
      <c r="BS134" s="62"/>
      <c r="BV134" s="62">
        <f t="shared" ca="1" si="375"/>
        <v>0</v>
      </c>
      <c r="BY134" s="62">
        <f t="shared" ca="1" si="375"/>
        <v>0</v>
      </c>
      <c r="CB134" s="62"/>
      <c r="CE134" s="62">
        <f t="shared" ca="1" si="375"/>
        <v>0</v>
      </c>
      <c r="CH134" s="62">
        <f t="shared" ca="1" si="378"/>
        <v>0</v>
      </c>
      <c r="CK134" s="62">
        <f t="shared" ca="1" si="378"/>
        <v>0</v>
      </c>
      <c r="CN134" s="62">
        <f t="shared" ca="1" si="378"/>
        <v>0</v>
      </c>
      <c r="CQ134" s="62">
        <f t="shared" ca="1" si="378"/>
        <v>0</v>
      </c>
      <c r="CT134" s="62">
        <f t="shared" ca="1" si="378"/>
        <v>0</v>
      </c>
      <c r="CW134" s="62">
        <f t="shared" ca="1" si="378"/>
        <v>0</v>
      </c>
      <c r="CZ134" s="62">
        <f t="shared" ca="1" si="384"/>
        <v>0</v>
      </c>
      <c r="DC134" s="62">
        <f t="shared" ca="1" si="384"/>
        <v>0</v>
      </c>
      <c r="DF134" s="62">
        <f t="shared" ca="1" si="384"/>
        <v>0</v>
      </c>
    </row>
    <row r="135" spans="1:110">
      <c r="A135" s="14">
        <f t="shared" si="387"/>
        <v>5</v>
      </c>
      <c r="B135" s="63">
        <f t="shared" ca="1" si="353"/>
        <v>9.4994572118508245</v>
      </c>
      <c r="C135" s="63">
        <f t="shared" si="353"/>
        <v>3960.5</v>
      </c>
      <c r="I135" s="2"/>
      <c r="J135" s="2"/>
      <c r="L135" s="61">
        <f t="shared" ca="1" si="354"/>
        <v>-22.449410132301978</v>
      </c>
      <c r="M135" s="63">
        <f t="shared" ca="1" si="355"/>
        <v>9.5549121249240585</v>
      </c>
      <c r="N135" s="61">
        <f t="shared" ca="1" si="356"/>
        <v>41.559234382150095</v>
      </c>
      <c r="O135" s="61">
        <f t="shared" ca="1" si="357"/>
        <v>21.336214838150688</v>
      </c>
      <c r="P135" s="63" t="b">
        <f t="shared" si="388"/>
        <v>1</v>
      </c>
      <c r="Q135" s="62">
        <f t="shared" ca="1" si="358"/>
        <v>58.756413648846213</v>
      </c>
      <c r="T135" s="62">
        <f t="shared" ca="1" si="359"/>
        <v>54.885227232493271</v>
      </c>
      <c r="W135" s="62">
        <f t="shared" ca="1" si="359"/>
        <v>58.487330098573025</v>
      </c>
      <c r="Z135" s="62">
        <f t="shared" ca="1" si="359"/>
        <v>52.412539682168173</v>
      </c>
      <c r="AC135" s="62">
        <f t="shared" ca="1" si="359"/>
        <v>52.550940960717035</v>
      </c>
      <c r="AF135" s="62"/>
      <c r="AI135" s="62">
        <f t="shared" ca="1" si="359"/>
        <v>0</v>
      </c>
      <c r="AL135" s="62">
        <f t="shared" ca="1" si="364"/>
        <v>0</v>
      </c>
      <c r="AO135" s="62">
        <f t="shared" ca="1" si="364"/>
        <v>0</v>
      </c>
      <c r="AR135" s="62">
        <f t="shared" ca="1" si="364"/>
        <v>0</v>
      </c>
      <c r="AU135" s="62">
        <f t="shared" ca="1" si="364"/>
        <v>0</v>
      </c>
      <c r="AX135" s="62">
        <f t="shared" ca="1" si="364"/>
        <v>0</v>
      </c>
      <c r="BA135" s="62">
        <f t="shared" ca="1" si="369"/>
        <v>0</v>
      </c>
      <c r="BD135" s="62">
        <f t="shared" ca="1" si="369"/>
        <v>0</v>
      </c>
      <c r="BG135" s="62">
        <f t="shared" ca="1" si="369"/>
        <v>0</v>
      </c>
      <c r="BJ135" s="62">
        <f t="shared" ca="1" si="369"/>
        <v>0</v>
      </c>
      <c r="BM135" s="62">
        <f t="shared" ca="1" si="369"/>
        <v>0</v>
      </c>
      <c r="BP135" s="62">
        <f t="shared" ca="1" si="369"/>
        <v>0</v>
      </c>
      <c r="BS135" s="62"/>
      <c r="BV135" s="62">
        <f t="shared" ca="1" si="375"/>
        <v>0</v>
      </c>
      <c r="BY135" s="62">
        <f t="shared" ca="1" si="375"/>
        <v>0</v>
      </c>
      <c r="CB135" s="62"/>
      <c r="CE135" s="62">
        <f t="shared" ca="1" si="375"/>
        <v>0</v>
      </c>
      <c r="CH135" s="62">
        <f t="shared" ca="1" si="378"/>
        <v>0</v>
      </c>
      <c r="CK135" s="62">
        <f t="shared" ca="1" si="378"/>
        <v>0</v>
      </c>
      <c r="CN135" s="62">
        <f t="shared" ca="1" si="378"/>
        <v>0</v>
      </c>
      <c r="CQ135" s="62">
        <f t="shared" ca="1" si="378"/>
        <v>0</v>
      </c>
      <c r="CT135" s="62">
        <f t="shared" ca="1" si="378"/>
        <v>0</v>
      </c>
      <c r="CW135" s="62">
        <f t="shared" ca="1" si="378"/>
        <v>0</v>
      </c>
      <c r="CZ135" s="62">
        <f t="shared" ca="1" si="384"/>
        <v>0</v>
      </c>
      <c r="DC135" s="62">
        <f t="shared" ca="1" si="384"/>
        <v>0</v>
      </c>
      <c r="DF135" s="62">
        <f t="shared" ca="1" si="384"/>
        <v>0</v>
      </c>
    </row>
    <row r="136" spans="1:110">
      <c r="A136" s="14">
        <f t="shared" si="387"/>
        <v>6</v>
      </c>
      <c r="B136" s="63">
        <f t="shared" ca="1" si="353"/>
        <v>7.108076789685887</v>
      </c>
      <c r="C136" s="63">
        <f t="shared" si="353"/>
        <v>3971.2</v>
      </c>
      <c r="I136" s="2"/>
      <c r="J136" s="2"/>
      <c r="L136" s="61">
        <f t="shared" ca="1" si="354"/>
        <v>-16.87157588961783</v>
      </c>
      <c r="M136" s="63">
        <f t="shared" ca="1" si="355"/>
        <v>7.1828826798124616</v>
      </c>
      <c r="N136" s="61">
        <f t="shared" ca="1" si="356"/>
        <v>31.237341249242753</v>
      </c>
      <c r="O136" s="61">
        <f t="shared" ca="1" si="357"/>
        <v>16.036305712953528</v>
      </c>
      <c r="P136" s="63" t="b">
        <f t="shared" si="388"/>
        <v>1</v>
      </c>
      <c r="Q136" s="62">
        <f t="shared" ca="1" si="358"/>
        <v>44.191634565760339</v>
      </c>
      <c r="T136" s="62">
        <f t="shared" ca="1" si="359"/>
        <v>41.001698313049722</v>
      </c>
      <c r="W136" s="62">
        <f t="shared" ca="1" si="359"/>
        <v>43.662122825563479</v>
      </c>
      <c r="Z136" s="62">
        <f t="shared" ca="1" si="359"/>
        <v>39.298221448923087</v>
      </c>
      <c r="AC136" s="62">
        <f t="shared" ca="1" si="359"/>
        <v>40.1499205612648</v>
      </c>
      <c r="AF136" s="62"/>
      <c r="AI136" s="62">
        <f t="shared" ca="1" si="359"/>
        <v>0</v>
      </c>
      <c r="AL136" s="62">
        <f t="shared" ca="1" si="364"/>
        <v>0</v>
      </c>
      <c r="AO136" s="62">
        <f t="shared" ca="1" si="364"/>
        <v>0</v>
      </c>
      <c r="AR136" s="62">
        <f t="shared" ca="1" si="364"/>
        <v>0</v>
      </c>
      <c r="AU136" s="62">
        <f t="shared" ca="1" si="364"/>
        <v>0</v>
      </c>
      <c r="AX136" s="62">
        <f t="shared" ca="1" si="364"/>
        <v>0</v>
      </c>
      <c r="BA136" s="62">
        <f t="shared" ca="1" si="369"/>
        <v>0</v>
      </c>
      <c r="BD136" s="62">
        <f t="shared" ca="1" si="369"/>
        <v>0</v>
      </c>
      <c r="BG136" s="62">
        <f t="shared" ca="1" si="369"/>
        <v>0</v>
      </c>
      <c r="BJ136" s="62">
        <f t="shared" ca="1" si="369"/>
        <v>0</v>
      </c>
      <c r="BM136" s="62">
        <f t="shared" ca="1" si="369"/>
        <v>0</v>
      </c>
      <c r="BP136" s="62">
        <f t="shared" ca="1" si="369"/>
        <v>0</v>
      </c>
      <c r="BS136" s="62"/>
      <c r="BV136" s="62">
        <f t="shared" ca="1" si="375"/>
        <v>0</v>
      </c>
      <c r="BY136" s="62">
        <f t="shared" ca="1" si="375"/>
        <v>0</v>
      </c>
      <c r="CB136" s="62"/>
      <c r="CE136" s="62">
        <f t="shared" ca="1" si="375"/>
        <v>0</v>
      </c>
      <c r="CH136" s="62">
        <f t="shared" ca="1" si="378"/>
        <v>0</v>
      </c>
      <c r="CK136" s="62">
        <f t="shared" ca="1" si="378"/>
        <v>0</v>
      </c>
      <c r="CN136" s="62">
        <f t="shared" ca="1" si="378"/>
        <v>0</v>
      </c>
      <c r="CQ136" s="62">
        <f t="shared" ca="1" si="378"/>
        <v>0</v>
      </c>
      <c r="CT136" s="62">
        <f t="shared" ca="1" si="378"/>
        <v>0</v>
      </c>
      <c r="CW136" s="62">
        <f t="shared" ca="1" si="378"/>
        <v>0</v>
      </c>
      <c r="CZ136" s="62">
        <f t="shared" ca="1" si="384"/>
        <v>0</v>
      </c>
      <c r="DC136" s="62">
        <f t="shared" ca="1" si="384"/>
        <v>0</v>
      </c>
      <c r="DF136" s="62">
        <f t="shared" ca="1" si="384"/>
        <v>0</v>
      </c>
    </row>
    <row r="137" spans="1:110">
      <c r="A137" s="14">
        <f t="shared" si="387"/>
        <v>7</v>
      </c>
      <c r="B137" s="63">
        <f t="shared" ca="1" si="353"/>
        <v>5.8108316409221263</v>
      </c>
      <c r="C137" s="63">
        <f t="shared" si="353"/>
        <v>3979.2</v>
      </c>
      <c r="I137" s="2"/>
      <c r="J137" s="2"/>
      <c r="L137" s="61">
        <f t="shared" ca="1" si="354"/>
        <v>-14.168968364570066</v>
      </c>
      <c r="M137" s="63">
        <f t="shared" ca="1" si="355"/>
        <v>6.0192389868670562</v>
      </c>
      <c r="N137" s="61">
        <f t="shared" ca="1" si="356"/>
        <v>26.207446338304177</v>
      </c>
      <c r="O137" s="61">
        <f t="shared" ca="1" si="357"/>
        <v>13.45880490095808</v>
      </c>
      <c r="P137" s="63" t="b">
        <f t="shared" si="388"/>
        <v>1</v>
      </c>
      <c r="Q137" s="62">
        <f t="shared" ca="1" si="358"/>
        <v>38.988097104405597</v>
      </c>
      <c r="T137" s="62">
        <f t="shared" ca="1" si="359"/>
        <v>33.505772828762886</v>
      </c>
      <c r="W137" s="62">
        <f t="shared" ca="1" si="359"/>
        <v>35.866054393635181</v>
      </c>
      <c r="Z137" s="62">
        <f t="shared" ca="1" si="359"/>
        <v>31.994576008634343</v>
      </c>
      <c r="AC137" s="62">
        <f t="shared" ca="1" si="359"/>
        <v>34.203430283706602</v>
      </c>
      <c r="AF137" s="62"/>
      <c r="AI137" s="62">
        <f t="shared" ca="1" si="359"/>
        <v>0</v>
      </c>
      <c r="AL137" s="62">
        <f t="shared" ca="1" si="364"/>
        <v>0</v>
      </c>
      <c r="AO137" s="62">
        <f t="shared" ca="1" si="364"/>
        <v>0</v>
      </c>
      <c r="AR137" s="62">
        <f t="shared" ca="1" si="364"/>
        <v>0</v>
      </c>
      <c r="AU137" s="62">
        <f t="shared" ca="1" si="364"/>
        <v>0</v>
      </c>
      <c r="AX137" s="62">
        <f t="shared" ca="1" si="364"/>
        <v>0</v>
      </c>
      <c r="BA137" s="62">
        <f t="shared" ca="1" si="369"/>
        <v>0</v>
      </c>
      <c r="BD137" s="62">
        <f t="shared" ca="1" si="369"/>
        <v>0</v>
      </c>
      <c r="BG137" s="62">
        <f t="shared" ca="1" si="369"/>
        <v>0</v>
      </c>
      <c r="BJ137" s="62">
        <f t="shared" ca="1" si="369"/>
        <v>0</v>
      </c>
      <c r="BM137" s="62">
        <f t="shared" ca="1" si="369"/>
        <v>0</v>
      </c>
      <c r="BP137" s="62">
        <f t="shared" ca="1" si="369"/>
        <v>0</v>
      </c>
      <c r="BS137" s="62"/>
      <c r="BV137" s="62">
        <f t="shared" ca="1" si="375"/>
        <v>0</v>
      </c>
      <c r="BY137" s="62">
        <f t="shared" ca="1" si="375"/>
        <v>0</v>
      </c>
      <c r="CB137" s="62"/>
      <c r="CE137" s="62">
        <f t="shared" ca="1" si="375"/>
        <v>0</v>
      </c>
      <c r="CH137" s="62">
        <f t="shared" ca="1" si="378"/>
        <v>0</v>
      </c>
      <c r="CK137" s="62">
        <f t="shared" ca="1" si="378"/>
        <v>0</v>
      </c>
      <c r="CN137" s="62">
        <f t="shared" ca="1" si="378"/>
        <v>0</v>
      </c>
      <c r="CQ137" s="62">
        <f t="shared" ca="1" si="378"/>
        <v>0</v>
      </c>
      <c r="CT137" s="62">
        <f t="shared" ca="1" si="378"/>
        <v>0</v>
      </c>
      <c r="CW137" s="62">
        <f t="shared" ca="1" si="378"/>
        <v>0</v>
      </c>
      <c r="CZ137" s="62">
        <f t="shared" ca="1" si="384"/>
        <v>0</v>
      </c>
      <c r="DC137" s="62">
        <f t="shared" ca="1" si="384"/>
        <v>0</v>
      </c>
      <c r="DF137" s="62">
        <f t="shared" ca="1" si="384"/>
        <v>0</v>
      </c>
    </row>
    <row r="138" spans="1:110">
      <c r="A138" s="14">
        <f t="shared" si="387"/>
        <v>8</v>
      </c>
      <c r="B138" s="63">
        <f t="shared" ca="1" si="353"/>
        <v>4.7264524101014667</v>
      </c>
      <c r="C138" s="63">
        <f t="shared" si="353"/>
        <v>4001.7</v>
      </c>
      <c r="I138" s="2"/>
      <c r="J138" s="2"/>
      <c r="L138" s="61">
        <f t="shared" ca="1" si="354"/>
        <v>-11.465226106533461</v>
      </c>
      <c r="M138" s="63">
        <f t="shared" ca="1" si="355"/>
        <v>4.8696554189098427</v>
      </c>
      <c r="N138" s="61">
        <f t="shared" ca="1" si="356"/>
        <v>21.204536944353148</v>
      </c>
      <c r="O138" s="61">
        <f t="shared" ca="1" si="357"/>
        <v>10.889921016962203</v>
      </c>
      <c r="P138" s="63" t="b">
        <f t="shared" si="388"/>
        <v>1</v>
      </c>
      <c r="Q138" s="62">
        <f t="shared" ca="1" si="358"/>
        <v>31.269565196885821</v>
      </c>
      <c r="T138" s="62">
        <f t="shared" ca="1" si="359"/>
        <v>28.958753350599157</v>
      </c>
      <c r="W138" s="62">
        <f t="shared" ca="1" si="359"/>
        <v>28.870047176275346</v>
      </c>
      <c r="Z138" s="62">
        <f t="shared" ca="1" si="359"/>
        <v>25.971583261005406</v>
      </c>
      <c r="AC138" s="62">
        <f t="shared" ca="1" si="359"/>
        <v>26.1500581636197</v>
      </c>
      <c r="AF138" s="62"/>
      <c r="AI138" s="62">
        <f t="shared" ca="1" si="359"/>
        <v>0</v>
      </c>
      <c r="AL138" s="62">
        <f t="shared" ca="1" si="364"/>
        <v>0</v>
      </c>
      <c r="AO138" s="62">
        <f t="shared" ca="1" si="364"/>
        <v>0</v>
      </c>
      <c r="AR138" s="62">
        <f t="shared" ca="1" si="364"/>
        <v>0</v>
      </c>
      <c r="AU138" s="62">
        <f t="shared" ca="1" si="364"/>
        <v>0</v>
      </c>
      <c r="AX138" s="62">
        <f t="shared" ca="1" si="364"/>
        <v>0</v>
      </c>
      <c r="BA138" s="62">
        <f t="shared" ca="1" si="369"/>
        <v>0</v>
      </c>
      <c r="BD138" s="62">
        <f t="shared" ca="1" si="369"/>
        <v>0</v>
      </c>
      <c r="BG138" s="62">
        <f t="shared" ca="1" si="369"/>
        <v>0</v>
      </c>
      <c r="BJ138" s="62">
        <f t="shared" ca="1" si="369"/>
        <v>0</v>
      </c>
      <c r="BM138" s="62">
        <f t="shared" ca="1" si="369"/>
        <v>0</v>
      </c>
      <c r="BP138" s="62">
        <f t="shared" ca="1" si="369"/>
        <v>0</v>
      </c>
      <c r="BS138" s="62"/>
      <c r="BV138" s="62">
        <f t="shared" ca="1" si="375"/>
        <v>0</v>
      </c>
      <c r="BY138" s="62">
        <f t="shared" ca="1" si="375"/>
        <v>0</v>
      </c>
      <c r="CB138" s="62"/>
      <c r="CE138" s="62">
        <f t="shared" ca="1" si="375"/>
        <v>0</v>
      </c>
      <c r="CH138" s="62">
        <f t="shared" ca="1" si="378"/>
        <v>0</v>
      </c>
      <c r="CK138" s="62">
        <f t="shared" ca="1" si="378"/>
        <v>0</v>
      </c>
      <c r="CN138" s="62">
        <f t="shared" ca="1" si="378"/>
        <v>0</v>
      </c>
      <c r="CQ138" s="62">
        <f t="shared" ca="1" si="378"/>
        <v>0</v>
      </c>
      <c r="CT138" s="62">
        <f t="shared" ca="1" si="378"/>
        <v>0</v>
      </c>
      <c r="CW138" s="62">
        <f t="shared" ca="1" si="378"/>
        <v>0</v>
      </c>
      <c r="CZ138" s="62">
        <f t="shared" ca="1" si="384"/>
        <v>0</v>
      </c>
      <c r="DC138" s="62">
        <f t="shared" ca="1" si="384"/>
        <v>0</v>
      </c>
      <c r="DF138" s="62">
        <f t="shared" ca="1" si="384"/>
        <v>0</v>
      </c>
    </row>
    <row r="139" spans="1:110">
      <c r="A139" s="14">
        <f t="shared" si="387"/>
        <v>9</v>
      </c>
      <c r="B139" s="63">
        <f t="shared" ca="1" si="353"/>
        <v>3.8737596974251551</v>
      </c>
      <c r="C139" s="63">
        <f t="shared" si="353"/>
        <v>4034.1</v>
      </c>
      <c r="I139" s="2"/>
      <c r="J139" s="2"/>
      <c r="L139" s="61">
        <f t="shared" ca="1" si="354"/>
        <v>-9.3588594895029154</v>
      </c>
      <c r="M139" s="63">
        <f t="shared" ca="1" si="355"/>
        <v>3.9736906675141834</v>
      </c>
      <c r="N139" s="61">
        <f t="shared" ca="1" si="356"/>
        <v>17.306240824531283</v>
      </c>
      <c r="O139" s="61">
        <f t="shared" ca="1" si="357"/>
        <v>8.8883667713447334</v>
      </c>
      <c r="P139" s="63" t="b">
        <f t="shared" si="388"/>
        <v>1</v>
      </c>
      <c r="Q139" s="62">
        <f t="shared" ca="1" si="358"/>
        <v>26.01499118892443</v>
      </c>
      <c r="T139" s="62">
        <f t="shared" ca="1" si="359"/>
        <v>22.175179761245637</v>
      </c>
      <c r="W139" s="62">
        <f t="shared" ca="1" si="359"/>
        <v>23.776269220778197</v>
      </c>
      <c r="Z139" s="62">
        <f t="shared" ca="1" si="359"/>
        <v>21.615171344545981</v>
      </c>
      <c r="AC139" s="62">
        <f t="shared" ca="1" si="359"/>
        <v>21.655417842417073</v>
      </c>
      <c r="AF139" s="62"/>
      <c r="AI139" s="62">
        <f t="shared" ca="1" si="359"/>
        <v>0</v>
      </c>
      <c r="AL139" s="62">
        <f t="shared" ca="1" si="364"/>
        <v>0</v>
      </c>
      <c r="AO139" s="62">
        <f t="shared" ca="1" si="364"/>
        <v>0</v>
      </c>
      <c r="AR139" s="62">
        <f t="shared" ca="1" si="364"/>
        <v>0</v>
      </c>
      <c r="AU139" s="62">
        <f t="shared" ca="1" si="364"/>
        <v>0</v>
      </c>
      <c r="AX139" s="62">
        <f t="shared" ca="1" si="364"/>
        <v>0</v>
      </c>
      <c r="BA139" s="62">
        <f t="shared" ca="1" si="369"/>
        <v>0</v>
      </c>
      <c r="BD139" s="62">
        <f t="shared" ca="1" si="369"/>
        <v>0</v>
      </c>
      <c r="BG139" s="62">
        <f t="shared" ca="1" si="369"/>
        <v>0</v>
      </c>
      <c r="BJ139" s="62">
        <f t="shared" ca="1" si="369"/>
        <v>0</v>
      </c>
      <c r="BM139" s="62">
        <f t="shared" ca="1" si="369"/>
        <v>0</v>
      </c>
      <c r="BP139" s="62">
        <f t="shared" ca="1" si="369"/>
        <v>0</v>
      </c>
      <c r="BS139" s="62"/>
      <c r="BV139" s="62">
        <f t="shared" ca="1" si="375"/>
        <v>0</v>
      </c>
      <c r="BY139" s="62">
        <f t="shared" ca="1" si="375"/>
        <v>0</v>
      </c>
      <c r="CB139" s="62"/>
      <c r="CE139" s="62">
        <f t="shared" ca="1" si="375"/>
        <v>0</v>
      </c>
      <c r="CH139" s="62">
        <f t="shared" ca="1" si="378"/>
        <v>0</v>
      </c>
      <c r="CK139" s="62">
        <f t="shared" ca="1" si="378"/>
        <v>0</v>
      </c>
      <c r="CN139" s="62">
        <f t="shared" ca="1" si="378"/>
        <v>0</v>
      </c>
      <c r="CQ139" s="62">
        <f t="shared" ca="1" si="378"/>
        <v>0</v>
      </c>
      <c r="CT139" s="62">
        <f t="shared" ca="1" si="378"/>
        <v>0</v>
      </c>
      <c r="CW139" s="62">
        <f t="shared" ca="1" si="378"/>
        <v>0</v>
      </c>
      <c r="CZ139" s="62">
        <f t="shared" ca="1" si="384"/>
        <v>0</v>
      </c>
      <c r="DC139" s="62">
        <f t="shared" ca="1" si="384"/>
        <v>0</v>
      </c>
      <c r="DF139" s="62">
        <f t="shared" ca="1" si="384"/>
        <v>0</v>
      </c>
    </row>
    <row r="140" spans="1:110">
      <c r="A140" s="14">
        <f t="shared" si="387"/>
        <v>10</v>
      </c>
      <c r="B140" s="63">
        <f t="shared" ca="1" si="353"/>
        <v>3.2207968686872634</v>
      </c>
      <c r="C140" s="63">
        <f t="shared" si="353"/>
        <v>4023.8</v>
      </c>
      <c r="I140" s="2"/>
      <c r="J140" s="2"/>
      <c r="L140" s="61">
        <f t="shared" ca="1" si="354"/>
        <v>-7.7094815514375297</v>
      </c>
      <c r="M140" s="63">
        <f t="shared" ca="1" si="355"/>
        <v>3.2805789175662978</v>
      </c>
      <c r="N140" s="61">
        <f t="shared" ca="1" si="356"/>
        <v>14.270639386570124</v>
      </c>
      <c r="O140" s="61">
        <f t="shared" ca="1" si="357"/>
        <v>7.326706979335885</v>
      </c>
      <c r="P140" s="63" t="b">
        <f t="shared" si="388"/>
        <v>1</v>
      </c>
      <c r="Q140" s="62">
        <f t="shared" ca="1" si="358"/>
        <v>20.45601568916776</v>
      </c>
      <c r="T140" s="62">
        <f t="shared" ca="1" si="359"/>
        <v>18.763303301922519</v>
      </c>
      <c r="W140" s="62">
        <f t="shared" ca="1" si="359"/>
        <v>19.902203664424832</v>
      </c>
      <c r="Z140" s="62">
        <f t="shared" ca="1" si="359"/>
        <v>17.962926906864499</v>
      </c>
      <c r="AC140" s="62">
        <f t="shared" ca="1" si="359"/>
        <v>18.052339047043027</v>
      </c>
      <c r="AF140" s="62"/>
      <c r="AI140" s="62">
        <f t="shared" ca="1" si="359"/>
        <v>0</v>
      </c>
      <c r="AL140" s="62">
        <f t="shared" ca="1" si="364"/>
        <v>0</v>
      </c>
      <c r="AO140" s="62">
        <f t="shared" ca="1" si="364"/>
        <v>0</v>
      </c>
      <c r="AR140" s="62">
        <f t="shared" ca="1" si="364"/>
        <v>0</v>
      </c>
      <c r="AU140" s="62">
        <f t="shared" ca="1" si="364"/>
        <v>0</v>
      </c>
      <c r="AX140" s="62">
        <f t="shared" ca="1" si="364"/>
        <v>0</v>
      </c>
      <c r="BA140" s="62">
        <f t="shared" ca="1" si="369"/>
        <v>0</v>
      </c>
      <c r="BD140" s="62">
        <f t="shared" ca="1" si="369"/>
        <v>0</v>
      </c>
      <c r="BG140" s="62">
        <f t="shared" ca="1" si="369"/>
        <v>0</v>
      </c>
      <c r="BJ140" s="62">
        <f t="shared" ca="1" si="369"/>
        <v>0</v>
      </c>
      <c r="BM140" s="62">
        <f t="shared" ca="1" si="369"/>
        <v>0</v>
      </c>
      <c r="BP140" s="62">
        <f t="shared" ca="1" si="369"/>
        <v>0</v>
      </c>
      <c r="BS140" s="62"/>
      <c r="BV140" s="62">
        <f t="shared" ca="1" si="375"/>
        <v>0</v>
      </c>
      <c r="BY140" s="62">
        <f t="shared" ca="1" si="375"/>
        <v>0</v>
      </c>
      <c r="CB140" s="62"/>
      <c r="CE140" s="62">
        <f t="shared" ca="1" si="375"/>
        <v>0</v>
      </c>
      <c r="CH140" s="62">
        <f t="shared" ca="1" si="378"/>
        <v>0</v>
      </c>
      <c r="CK140" s="62">
        <f t="shared" ca="1" si="378"/>
        <v>0</v>
      </c>
      <c r="CN140" s="62">
        <f t="shared" ca="1" si="378"/>
        <v>0</v>
      </c>
      <c r="CQ140" s="62">
        <f t="shared" ca="1" si="378"/>
        <v>0</v>
      </c>
      <c r="CT140" s="62">
        <f t="shared" ca="1" si="378"/>
        <v>0</v>
      </c>
      <c r="CW140" s="62">
        <f t="shared" ca="1" si="378"/>
        <v>0</v>
      </c>
      <c r="CZ140" s="62">
        <f t="shared" ca="1" si="384"/>
        <v>0</v>
      </c>
      <c r="DC140" s="62">
        <f t="shared" ca="1" si="384"/>
        <v>0</v>
      </c>
      <c r="DF140" s="62">
        <f t="shared" ca="1" si="384"/>
        <v>0</v>
      </c>
    </row>
    <row r="141" spans="1:110">
      <c r="A141" s="14">
        <f t="shared" si="387"/>
        <v>11</v>
      </c>
      <c r="B141" s="63">
        <f t="shared" ca="1" si="353"/>
        <v>2.38707854456778</v>
      </c>
      <c r="C141" s="63">
        <f t="shared" si="353"/>
        <v>4005.5</v>
      </c>
      <c r="I141" s="2"/>
      <c r="J141" s="2"/>
      <c r="L141" s="61">
        <f t="shared" ca="1" si="354"/>
        <v>-5.8570116907866652</v>
      </c>
      <c r="M141" s="63">
        <f t="shared" ca="1" si="355"/>
        <v>2.4891126349292718</v>
      </c>
      <c r="N141" s="61">
        <f t="shared" ca="1" si="356"/>
        <v>10.83523696064521</v>
      </c>
      <c r="O141" s="61">
        <f t="shared" ca="1" si="357"/>
        <v>5.5640828838106247</v>
      </c>
      <c r="P141" s="63" t="b">
        <f t="shared" si="388"/>
        <v>1</v>
      </c>
      <c r="Q141" s="62">
        <f t="shared" ca="1" si="358"/>
        <v>15.721500801134042</v>
      </c>
      <c r="T141" s="62">
        <f t="shared" ca="1" si="359"/>
        <v>14.210831765245109</v>
      </c>
      <c r="W141" s="62">
        <f t="shared" ca="1" si="359"/>
        <v>15.323552846309179</v>
      </c>
      <c r="Z141" s="62">
        <f t="shared" ca="1" si="359"/>
        <v>13.334127723386212</v>
      </c>
      <c r="AC141" s="62">
        <f t="shared" ca="1" si="359"/>
        <v>13.594253276874355</v>
      </c>
      <c r="AF141" s="62"/>
      <c r="AI141" s="62">
        <f t="shared" ca="1" si="359"/>
        <v>0</v>
      </c>
      <c r="AL141" s="62">
        <f t="shared" ca="1" si="364"/>
        <v>0</v>
      </c>
      <c r="AO141" s="62">
        <f t="shared" ca="1" si="364"/>
        <v>0</v>
      </c>
      <c r="AR141" s="62">
        <f t="shared" ca="1" si="364"/>
        <v>0</v>
      </c>
      <c r="AU141" s="62">
        <f t="shared" ca="1" si="364"/>
        <v>0</v>
      </c>
      <c r="AX141" s="62">
        <f t="shared" ca="1" si="364"/>
        <v>0</v>
      </c>
      <c r="BA141" s="62">
        <f t="shared" ca="1" si="369"/>
        <v>0</v>
      </c>
      <c r="BD141" s="62">
        <f t="shared" ca="1" si="369"/>
        <v>0</v>
      </c>
      <c r="BG141" s="62">
        <f t="shared" ca="1" si="369"/>
        <v>0</v>
      </c>
      <c r="BJ141" s="62">
        <f t="shared" ca="1" si="369"/>
        <v>0</v>
      </c>
      <c r="BM141" s="62">
        <f t="shared" ca="1" si="369"/>
        <v>0</v>
      </c>
      <c r="BP141" s="62">
        <f t="shared" ca="1" si="369"/>
        <v>0</v>
      </c>
      <c r="BS141" s="62"/>
      <c r="BV141" s="62">
        <f t="shared" ca="1" si="375"/>
        <v>0</v>
      </c>
      <c r="BY141" s="62">
        <f t="shared" ca="1" si="375"/>
        <v>0</v>
      </c>
      <c r="CB141" s="62"/>
      <c r="CE141" s="62">
        <f t="shared" ca="1" si="375"/>
        <v>0</v>
      </c>
      <c r="CH141" s="62">
        <f t="shared" ca="1" si="378"/>
        <v>0</v>
      </c>
      <c r="CK141" s="62">
        <f t="shared" ca="1" si="378"/>
        <v>0</v>
      </c>
      <c r="CN141" s="62">
        <f t="shared" ca="1" si="378"/>
        <v>0</v>
      </c>
      <c r="CQ141" s="62">
        <f t="shared" ca="1" si="378"/>
        <v>0</v>
      </c>
      <c r="CT141" s="62">
        <f t="shared" ca="1" si="378"/>
        <v>0</v>
      </c>
      <c r="CW141" s="62">
        <f t="shared" ca="1" si="378"/>
        <v>0</v>
      </c>
      <c r="CZ141" s="62">
        <f t="shared" ca="1" si="384"/>
        <v>0</v>
      </c>
      <c r="DC141" s="62">
        <f t="shared" ca="1" si="384"/>
        <v>0</v>
      </c>
      <c r="DF141" s="62">
        <f t="shared" ca="1" si="384"/>
        <v>0</v>
      </c>
    </row>
    <row r="142" spans="1:110">
      <c r="A142" s="14">
        <f t="shared" si="387"/>
        <v>12</v>
      </c>
      <c r="B142" s="63">
        <f t="shared" ca="1" si="353"/>
        <v>2.1590792663518994</v>
      </c>
      <c r="C142" s="63">
        <f t="shared" si="353"/>
        <v>4009.6</v>
      </c>
      <c r="I142" s="2"/>
      <c r="J142" s="2"/>
      <c r="L142" s="61">
        <f t="shared" ca="1" si="354"/>
        <v>-5.5048087200107716</v>
      </c>
      <c r="M142" s="63">
        <f t="shared" ca="1" si="355"/>
        <v>2.3288906686472455</v>
      </c>
      <c r="N142" s="61">
        <f t="shared" ca="1" si="356"/>
        <v>10.162590057305263</v>
      </c>
      <c r="O142" s="61">
        <f t="shared" ca="1" si="357"/>
        <v>5.222466259105345</v>
      </c>
      <c r="P142" s="63" t="b">
        <f t="shared" si="388"/>
        <v>1</v>
      </c>
      <c r="Q142" s="62">
        <f t="shared" ca="1" si="358"/>
        <v>15.195919772348311</v>
      </c>
      <c r="T142" s="62">
        <f t="shared" ca="1" si="359"/>
        <v>12.832743979682292</v>
      </c>
      <c r="W142" s="62">
        <f t="shared" ca="1" si="359"/>
        <v>14.997196250937762</v>
      </c>
      <c r="Z142" s="62">
        <f t="shared" ca="1" si="359"/>
        <v>12.123668747101057</v>
      </c>
      <c r="AC142" s="62">
        <f t="shared" ca="1" si="359"/>
        <v>12.388300640700686</v>
      </c>
      <c r="AF142" s="62"/>
      <c r="AI142" s="62">
        <f t="shared" ca="1" si="359"/>
        <v>0</v>
      </c>
      <c r="AL142" s="62">
        <f t="shared" ca="1" si="364"/>
        <v>0</v>
      </c>
      <c r="AO142" s="62">
        <f t="shared" ca="1" si="364"/>
        <v>0</v>
      </c>
      <c r="AR142" s="62">
        <f t="shared" ca="1" si="364"/>
        <v>0</v>
      </c>
      <c r="AU142" s="62">
        <f t="shared" ca="1" si="364"/>
        <v>0</v>
      </c>
      <c r="AX142" s="62">
        <f t="shared" ca="1" si="364"/>
        <v>0</v>
      </c>
      <c r="BA142" s="62">
        <f t="shared" ca="1" si="369"/>
        <v>0</v>
      </c>
      <c r="BD142" s="62">
        <f t="shared" ca="1" si="369"/>
        <v>0</v>
      </c>
      <c r="BG142" s="62">
        <f t="shared" ca="1" si="369"/>
        <v>0</v>
      </c>
      <c r="BJ142" s="62">
        <f t="shared" ca="1" si="369"/>
        <v>0</v>
      </c>
      <c r="BM142" s="62">
        <f t="shared" ca="1" si="369"/>
        <v>0</v>
      </c>
      <c r="BP142" s="62">
        <f t="shared" ca="1" si="369"/>
        <v>0</v>
      </c>
      <c r="BS142" s="62"/>
      <c r="BV142" s="62">
        <f t="shared" ca="1" si="375"/>
        <v>0</v>
      </c>
      <c r="BY142" s="62">
        <f t="shared" ca="1" si="375"/>
        <v>0</v>
      </c>
      <c r="CB142" s="62"/>
      <c r="CE142" s="62">
        <f t="shared" ca="1" si="375"/>
        <v>0</v>
      </c>
      <c r="CH142" s="62">
        <f t="shared" ca="1" si="378"/>
        <v>0</v>
      </c>
      <c r="CK142" s="62">
        <f t="shared" ca="1" si="378"/>
        <v>0</v>
      </c>
      <c r="CN142" s="62">
        <f t="shared" ca="1" si="378"/>
        <v>0</v>
      </c>
      <c r="CQ142" s="62">
        <f t="shared" ca="1" si="378"/>
        <v>0</v>
      </c>
      <c r="CT142" s="62">
        <f t="shared" ca="1" si="378"/>
        <v>0</v>
      </c>
      <c r="CW142" s="62">
        <f t="shared" ca="1" si="378"/>
        <v>0</v>
      </c>
      <c r="CZ142" s="62">
        <f t="shared" ca="1" si="384"/>
        <v>0</v>
      </c>
      <c r="DC142" s="62">
        <f t="shared" ca="1" si="384"/>
        <v>0</v>
      </c>
      <c r="DF142" s="62">
        <f t="shared" ca="1" si="384"/>
        <v>0</v>
      </c>
    </row>
    <row r="143" spans="1:110">
      <c r="A143" s="14">
        <f t="shared" si="387"/>
        <v>13</v>
      </c>
      <c r="B143" s="63">
        <f t="shared" ca="1" si="353"/>
        <v>1.7769039850931945</v>
      </c>
      <c r="C143" s="63">
        <f t="shared" si="353"/>
        <v>4016.5</v>
      </c>
      <c r="I143" s="2"/>
      <c r="J143" s="2"/>
      <c r="L143" s="61">
        <f t="shared" ca="1" si="354"/>
        <v>-4.575538463464361</v>
      </c>
      <c r="M143" s="63">
        <f t="shared" ca="1" si="355"/>
        <v>1.9422460550109131</v>
      </c>
      <c r="N143" s="61">
        <f t="shared" ca="1" si="356"/>
        <v>8.4600305734861863</v>
      </c>
      <c r="O143" s="61">
        <f t="shared" ca="1" si="357"/>
        <v>4.345189678983516</v>
      </c>
      <c r="P143" s="63" t="b">
        <f t="shared" si="388"/>
        <v>1</v>
      </c>
      <c r="Q143" s="62">
        <f t="shared" ca="1" si="358"/>
        <v>12.751664344864984</v>
      </c>
      <c r="T143" s="62">
        <f t="shared" ca="1" si="359"/>
        <v>10.745271392024778</v>
      </c>
      <c r="W143" s="62">
        <f t="shared" ca="1" si="359"/>
        <v>11.577161244479777</v>
      </c>
      <c r="Z143" s="62">
        <f t="shared" ca="1" si="359"/>
        <v>10.905109799328754</v>
      </c>
      <c r="AC143" s="62">
        <f t="shared" ca="1" si="359"/>
        <v>10.345928814618194</v>
      </c>
      <c r="AF143" s="62"/>
      <c r="AI143" s="62">
        <f t="shared" ca="1" si="359"/>
        <v>0</v>
      </c>
      <c r="AL143" s="62">
        <f t="shared" ca="1" si="364"/>
        <v>0</v>
      </c>
      <c r="AO143" s="62">
        <f t="shared" ca="1" si="364"/>
        <v>0</v>
      </c>
      <c r="AR143" s="62">
        <f t="shared" ca="1" si="364"/>
        <v>0</v>
      </c>
      <c r="AU143" s="62">
        <f t="shared" ca="1" si="364"/>
        <v>0</v>
      </c>
      <c r="AX143" s="62">
        <f t="shared" ca="1" si="364"/>
        <v>0</v>
      </c>
      <c r="BA143" s="62">
        <f t="shared" ca="1" si="369"/>
        <v>0</v>
      </c>
      <c r="BD143" s="62">
        <f t="shared" ca="1" si="369"/>
        <v>0</v>
      </c>
      <c r="BG143" s="62">
        <f t="shared" ca="1" si="369"/>
        <v>0</v>
      </c>
      <c r="BJ143" s="62">
        <f t="shared" ca="1" si="369"/>
        <v>0</v>
      </c>
      <c r="BM143" s="62">
        <f t="shared" ca="1" si="369"/>
        <v>0</v>
      </c>
      <c r="BP143" s="62">
        <f t="shared" ca="1" si="369"/>
        <v>0</v>
      </c>
      <c r="BS143" s="62"/>
      <c r="BV143" s="62">
        <f t="shared" ca="1" si="375"/>
        <v>0</v>
      </c>
      <c r="BY143" s="62">
        <f t="shared" ca="1" si="375"/>
        <v>0</v>
      </c>
      <c r="CB143" s="62"/>
      <c r="CE143" s="62">
        <f t="shared" ca="1" si="375"/>
        <v>0</v>
      </c>
      <c r="CH143" s="62">
        <f t="shared" ca="1" si="378"/>
        <v>0</v>
      </c>
      <c r="CK143" s="62">
        <f t="shared" ca="1" si="378"/>
        <v>0</v>
      </c>
      <c r="CN143" s="62">
        <f t="shared" ca="1" si="378"/>
        <v>0</v>
      </c>
      <c r="CQ143" s="62">
        <f t="shared" ca="1" si="378"/>
        <v>0</v>
      </c>
      <c r="CT143" s="62">
        <f t="shared" ca="1" si="378"/>
        <v>0</v>
      </c>
      <c r="CW143" s="62">
        <f t="shared" ca="1" si="378"/>
        <v>0</v>
      </c>
      <c r="CZ143" s="62">
        <f t="shared" ca="1" si="384"/>
        <v>0</v>
      </c>
      <c r="DC143" s="62">
        <f t="shared" ca="1" si="384"/>
        <v>0</v>
      </c>
      <c r="DF143" s="62">
        <f t="shared" ca="1" si="384"/>
        <v>0</v>
      </c>
    </row>
    <row r="144" spans="1:110">
      <c r="A144" s="14">
        <f t="shared" si="387"/>
        <v>14</v>
      </c>
      <c r="B144" s="63">
        <f t="shared" ca="1" si="353"/>
        <v>1.4370560182896255</v>
      </c>
      <c r="C144" s="63">
        <f t="shared" si="353"/>
        <v>4064.6</v>
      </c>
      <c r="I144" s="2"/>
      <c r="J144" s="2"/>
      <c r="L144" s="61">
        <f t="shared" ca="1" si="354"/>
        <v>-3.5777134733317077</v>
      </c>
      <c r="M144" s="63">
        <f t="shared" ca="1" si="355"/>
        <v>1.5205445549513086</v>
      </c>
      <c r="N144" s="61">
        <f t="shared" ca="1" si="356"/>
        <v>6.6188025832343254</v>
      </c>
      <c r="O144" s="61">
        <f t="shared" ca="1" si="357"/>
        <v>3.3988386855220112</v>
      </c>
      <c r="P144" s="63" t="b">
        <f t="shared" si="388"/>
        <v>1</v>
      </c>
      <c r="Q144" s="62">
        <f t="shared" ca="1" si="358"/>
        <v>9.6104128280176226</v>
      </c>
      <c r="T144" s="62">
        <f t="shared" ca="1" si="359"/>
        <v>8.6036272225017338</v>
      </c>
      <c r="W144" s="62">
        <f t="shared" ca="1" si="359"/>
        <v>9.3639387726062857</v>
      </c>
      <c r="Z144" s="62">
        <f t="shared" ca="1" si="359"/>
        <v>8.1501017983678601</v>
      </c>
      <c r="AC144" s="62">
        <f t="shared" ca="1" si="359"/>
        <v>8.3677114720944381</v>
      </c>
      <c r="AF144" s="62"/>
      <c r="AI144" s="62">
        <f t="shared" ca="1" si="359"/>
        <v>0</v>
      </c>
      <c r="AL144" s="62">
        <f t="shared" ca="1" si="364"/>
        <v>0</v>
      </c>
      <c r="AO144" s="62">
        <f t="shared" ca="1" si="364"/>
        <v>0</v>
      </c>
      <c r="AR144" s="62">
        <f t="shared" ca="1" si="364"/>
        <v>0</v>
      </c>
      <c r="AU144" s="62">
        <f t="shared" ca="1" si="364"/>
        <v>0</v>
      </c>
      <c r="AX144" s="62">
        <f t="shared" ca="1" si="364"/>
        <v>0</v>
      </c>
      <c r="BA144" s="62">
        <f t="shared" ca="1" si="369"/>
        <v>0</v>
      </c>
      <c r="BD144" s="62">
        <f t="shared" ca="1" si="369"/>
        <v>0</v>
      </c>
      <c r="BG144" s="62">
        <f t="shared" ca="1" si="369"/>
        <v>0</v>
      </c>
      <c r="BJ144" s="62">
        <f t="shared" ca="1" si="369"/>
        <v>0</v>
      </c>
      <c r="BM144" s="62">
        <f t="shared" ca="1" si="369"/>
        <v>0</v>
      </c>
      <c r="BP144" s="62">
        <f t="shared" ca="1" si="369"/>
        <v>0</v>
      </c>
      <c r="BS144" s="62"/>
      <c r="BV144" s="62">
        <f t="shared" ca="1" si="375"/>
        <v>0</v>
      </c>
      <c r="BY144" s="62">
        <f t="shared" ca="1" si="375"/>
        <v>0</v>
      </c>
      <c r="CB144" s="62"/>
      <c r="CE144" s="62">
        <f t="shared" ca="1" si="375"/>
        <v>0</v>
      </c>
      <c r="CH144" s="62">
        <f t="shared" ca="1" si="378"/>
        <v>0</v>
      </c>
      <c r="CK144" s="62">
        <f t="shared" ca="1" si="378"/>
        <v>0</v>
      </c>
      <c r="CN144" s="62">
        <f t="shared" ca="1" si="378"/>
        <v>0</v>
      </c>
      <c r="CQ144" s="62">
        <f t="shared" ca="1" si="378"/>
        <v>0</v>
      </c>
      <c r="CT144" s="62">
        <f t="shared" ca="1" si="378"/>
        <v>0</v>
      </c>
      <c r="CW144" s="62">
        <f t="shared" ca="1" si="378"/>
        <v>0</v>
      </c>
      <c r="CZ144" s="62">
        <f t="shared" ca="1" si="384"/>
        <v>0</v>
      </c>
      <c r="DC144" s="62">
        <f t="shared" ca="1" si="384"/>
        <v>0</v>
      </c>
      <c r="DF144" s="62">
        <f t="shared" ca="1" si="384"/>
        <v>0</v>
      </c>
    </row>
    <row r="145" spans="1:110">
      <c r="A145" s="14">
        <f t="shared" si="387"/>
        <v>15</v>
      </c>
      <c r="B145" s="63">
        <f t="shared" ca="1" si="353"/>
        <v>1.1960743068778694</v>
      </c>
      <c r="C145" s="63">
        <f t="shared" si="353"/>
        <v>4054.6</v>
      </c>
      <c r="I145" s="2"/>
      <c r="J145" s="2"/>
      <c r="L145" s="61">
        <f t="shared" ca="1" si="354"/>
        <v>-3.0198930431262245</v>
      </c>
      <c r="M145" s="63">
        <f t="shared" ca="1" si="355"/>
        <v>1.2840094024279032</v>
      </c>
      <c r="N145" s="61">
        <f t="shared" ca="1" si="356"/>
        <v>5.5879118479820313</v>
      </c>
      <c r="O145" s="61">
        <f t="shared" ca="1" si="357"/>
        <v>2.869268297036085</v>
      </c>
      <c r="P145" s="63" t="b">
        <f t="shared" si="388"/>
        <v>1</v>
      </c>
      <c r="Q145" s="62">
        <f t="shared" ca="1" si="358"/>
        <v>7.9516032856152359</v>
      </c>
      <c r="T145" s="62">
        <f t="shared" ca="1" si="359"/>
        <v>7.6778457699235503</v>
      </c>
      <c r="W145" s="62">
        <f t="shared" ca="1" si="359"/>
        <v>7.7974854154065074</v>
      </c>
      <c r="Z145" s="62">
        <f t="shared" ca="1" si="359"/>
        <v>6.891633089818785</v>
      </c>
      <c r="AC145" s="62">
        <f t="shared" ca="1" si="359"/>
        <v>6.9177051096451194</v>
      </c>
      <c r="AF145" s="62"/>
      <c r="AI145" s="62">
        <f t="shared" ca="1" si="359"/>
        <v>0</v>
      </c>
      <c r="AL145" s="62">
        <f t="shared" ca="1" si="364"/>
        <v>0</v>
      </c>
      <c r="AO145" s="62">
        <f t="shared" ca="1" si="364"/>
        <v>0</v>
      </c>
      <c r="AR145" s="62">
        <f t="shared" ca="1" si="364"/>
        <v>0</v>
      </c>
      <c r="AU145" s="62">
        <f t="shared" ca="1" si="364"/>
        <v>0</v>
      </c>
      <c r="AX145" s="62">
        <f t="shared" ca="1" si="364"/>
        <v>0</v>
      </c>
      <c r="BA145" s="62">
        <f t="shared" ca="1" si="369"/>
        <v>0</v>
      </c>
      <c r="BD145" s="62">
        <f t="shared" ca="1" si="369"/>
        <v>0</v>
      </c>
      <c r="BG145" s="62">
        <f t="shared" ca="1" si="369"/>
        <v>0</v>
      </c>
      <c r="BJ145" s="62">
        <f t="shared" ca="1" si="369"/>
        <v>0</v>
      </c>
      <c r="BM145" s="62">
        <f t="shared" ca="1" si="369"/>
        <v>0</v>
      </c>
      <c r="BP145" s="62">
        <f t="shared" ca="1" si="369"/>
        <v>0</v>
      </c>
      <c r="BS145" s="62"/>
      <c r="BV145" s="62">
        <f t="shared" ca="1" si="375"/>
        <v>0</v>
      </c>
      <c r="BY145" s="62">
        <f t="shared" ca="1" si="375"/>
        <v>0</v>
      </c>
      <c r="CB145" s="62"/>
      <c r="CE145" s="62">
        <f t="shared" ca="1" si="375"/>
        <v>0</v>
      </c>
      <c r="CH145" s="62">
        <f t="shared" ca="1" si="378"/>
        <v>0</v>
      </c>
      <c r="CK145" s="62">
        <f t="shared" ca="1" si="378"/>
        <v>0</v>
      </c>
      <c r="CN145" s="62">
        <f t="shared" ca="1" si="378"/>
        <v>0</v>
      </c>
      <c r="CQ145" s="62">
        <f t="shared" ca="1" si="378"/>
        <v>0</v>
      </c>
      <c r="CT145" s="62">
        <f t="shared" ca="1" si="378"/>
        <v>0</v>
      </c>
      <c r="CW145" s="62">
        <f t="shared" ca="1" si="378"/>
        <v>0</v>
      </c>
      <c r="CZ145" s="62">
        <f t="shared" ca="1" si="384"/>
        <v>0</v>
      </c>
      <c r="DC145" s="62">
        <f t="shared" ca="1" si="384"/>
        <v>0</v>
      </c>
      <c r="DF145" s="62">
        <f t="shared" ca="1" si="384"/>
        <v>0</v>
      </c>
    </row>
    <row r="146" spans="1:110">
      <c r="A146" s="14">
        <f t="shared" si="387"/>
        <v>16</v>
      </c>
      <c r="B146" s="63">
        <f t="shared" ca="1" si="353"/>
        <v>0.8864930899240453</v>
      </c>
      <c r="C146" s="63">
        <f t="shared" si="353"/>
        <v>4035.6</v>
      </c>
      <c r="I146" s="2"/>
      <c r="J146" s="2"/>
      <c r="L146" s="61">
        <f t="shared" ca="1" si="354"/>
        <v>-2.3479887094188121</v>
      </c>
      <c r="M146" s="63">
        <f t="shared" ca="1" si="355"/>
        <v>0.99408858546297185</v>
      </c>
      <c r="N146" s="61">
        <f t="shared" ca="1" si="356"/>
        <v>4.3361658803447556</v>
      </c>
      <c r="O146" s="61">
        <f t="shared" ca="1" si="357"/>
        <v>2.2280515299211894</v>
      </c>
      <c r="P146" s="63" t="b">
        <f t="shared" si="388"/>
        <v>1</v>
      </c>
      <c r="Q146" s="62">
        <f t="shared" ca="1" si="358"/>
        <v>6.245869533506526</v>
      </c>
      <c r="T146" s="62">
        <f t="shared" ca="1" si="359"/>
        <v>5.5482105613716977</v>
      </c>
      <c r="W146" s="62">
        <f t="shared" ca="1" si="359"/>
        <v>6.5478904540740004</v>
      </c>
      <c r="Z146" s="62">
        <f t="shared" ca="1" si="359"/>
        <v>5.2022910188249609</v>
      </c>
      <c r="AC146" s="62">
        <f t="shared" ca="1" si="359"/>
        <v>5.2843074106489967</v>
      </c>
      <c r="AF146" s="62"/>
      <c r="AI146" s="62">
        <f t="shared" ca="1" si="359"/>
        <v>0</v>
      </c>
      <c r="AL146" s="62">
        <f t="shared" ca="1" si="364"/>
        <v>0</v>
      </c>
      <c r="AO146" s="62">
        <f t="shared" ca="1" si="364"/>
        <v>0</v>
      </c>
      <c r="AR146" s="62">
        <f t="shared" ca="1" si="364"/>
        <v>0</v>
      </c>
      <c r="AU146" s="62">
        <f t="shared" ca="1" si="364"/>
        <v>0</v>
      </c>
      <c r="AX146" s="62">
        <f t="shared" ca="1" si="364"/>
        <v>0</v>
      </c>
      <c r="BA146" s="62">
        <f t="shared" ca="1" si="369"/>
        <v>0</v>
      </c>
      <c r="BD146" s="62">
        <f t="shared" ca="1" si="369"/>
        <v>0</v>
      </c>
      <c r="BG146" s="62">
        <f t="shared" ca="1" si="369"/>
        <v>0</v>
      </c>
      <c r="BJ146" s="62">
        <f t="shared" ca="1" si="369"/>
        <v>0</v>
      </c>
      <c r="BM146" s="62">
        <f t="shared" ca="1" si="369"/>
        <v>0</v>
      </c>
      <c r="BP146" s="62">
        <f t="shared" ca="1" si="369"/>
        <v>0</v>
      </c>
      <c r="BS146" s="62"/>
      <c r="BV146" s="62">
        <f t="shared" ca="1" si="375"/>
        <v>0</v>
      </c>
      <c r="BY146" s="62">
        <f t="shared" ca="1" si="375"/>
        <v>0</v>
      </c>
      <c r="CB146" s="62"/>
      <c r="CE146" s="62">
        <f t="shared" ca="1" si="375"/>
        <v>0</v>
      </c>
      <c r="CH146" s="62">
        <f t="shared" ca="1" si="378"/>
        <v>0</v>
      </c>
      <c r="CK146" s="62">
        <f t="shared" ca="1" si="378"/>
        <v>0</v>
      </c>
      <c r="CN146" s="62">
        <f t="shared" ca="1" si="378"/>
        <v>0</v>
      </c>
      <c r="CQ146" s="62">
        <f t="shared" ca="1" si="378"/>
        <v>0</v>
      </c>
      <c r="CT146" s="62">
        <f t="shared" ca="1" si="378"/>
        <v>0</v>
      </c>
      <c r="CW146" s="62">
        <f t="shared" ca="1" si="378"/>
        <v>0</v>
      </c>
      <c r="CZ146" s="62">
        <f t="shared" ca="1" si="384"/>
        <v>0</v>
      </c>
      <c r="DC146" s="62">
        <f t="shared" ca="1" si="384"/>
        <v>0</v>
      </c>
      <c r="DF146" s="62">
        <f t="shared" ca="1" si="384"/>
        <v>0</v>
      </c>
    </row>
    <row r="147" spans="1:110">
      <c r="A147" s="14">
        <f t="shared" si="387"/>
        <v>17</v>
      </c>
      <c r="B147" s="63">
        <f t="shared" ca="1" si="353"/>
        <v>0.66310300227883046</v>
      </c>
      <c r="C147" s="63">
        <f t="shared" si="353"/>
        <v>4046.8</v>
      </c>
      <c r="I147" s="2"/>
      <c r="J147" s="2"/>
      <c r="L147" s="61">
        <f t="shared" ca="1" si="354"/>
        <v>-1.8029351349368195</v>
      </c>
      <c r="M147" s="63">
        <f t="shared" ca="1" si="355"/>
        <v>0.76410294603307016</v>
      </c>
      <c r="N147" s="61">
        <f t="shared" ca="1" si="356"/>
        <v>3.3311410270029596</v>
      </c>
      <c r="O147" s="61">
        <f t="shared" ca="1" si="357"/>
        <v>1.711358720646593</v>
      </c>
      <c r="P147" s="63" t="b">
        <f t="shared" si="388"/>
        <v>1</v>
      </c>
      <c r="Q147" s="62">
        <f t="shared" ca="1" si="358"/>
        <v>4.7452493888530833</v>
      </c>
      <c r="T147" s="62">
        <f t="shared" ref="T147:AI155" ca="1" si="389">U81</f>
        <v>4.4811753135787074</v>
      </c>
      <c r="W147" s="62">
        <f t="shared" ca="1" si="389"/>
        <v>4.9324499454620518</v>
      </c>
      <c r="Z147" s="62">
        <f t="shared" ca="1" si="389"/>
        <v>3.9351088312707425</v>
      </c>
      <c r="AC147" s="62">
        <f t="shared" ca="1" si="389"/>
        <v>4.0650019557944521</v>
      </c>
      <c r="AF147" s="62"/>
      <c r="AI147" s="62">
        <f t="shared" ca="1" si="389"/>
        <v>0</v>
      </c>
      <c r="AL147" s="62">
        <f t="shared" ref="AL147:BA155" ca="1" si="390">AM81</f>
        <v>0</v>
      </c>
      <c r="AO147" s="62">
        <f t="shared" ca="1" si="390"/>
        <v>0</v>
      </c>
      <c r="AR147" s="62">
        <f t="shared" ca="1" si="390"/>
        <v>0</v>
      </c>
      <c r="AU147" s="62">
        <f t="shared" ca="1" si="390"/>
        <v>0</v>
      </c>
      <c r="AX147" s="62">
        <f t="shared" ca="1" si="390"/>
        <v>0</v>
      </c>
      <c r="BA147" s="62">
        <f t="shared" ca="1" si="390"/>
        <v>0</v>
      </c>
      <c r="BD147" s="62">
        <f t="shared" ref="BD147:BP155" ca="1" si="391">BE81</f>
        <v>0</v>
      </c>
      <c r="BG147" s="62">
        <f t="shared" ca="1" si="391"/>
        <v>0</v>
      </c>
      <c r="BJ147" s="62">
        <f t="shared" ca="1" si="391"/>
        <v>0</v>
      </c>
      <c r="BM147" s="62">
        <f t="shared" ca="1" si="391"/>
        <v>0</v>
      </c>
      <c r="BP147" s="62">
        <f t="shared" ca="1" si="391"/>
        <v>0</v>
      </c>
      <c r="BS147" s="62"/>
      <c r="BV147" s="62">
        <f t="shared" ref="BV147:CE155" ca="1" si="392">BW81</f>
        <v>0</v>
      </c>
      <c r="BY147" s="62">
        <f t="shared" ca="1" si="392"/>
        <v>0</v>
      </c>
      <c r="CB147" s="62"/>
      <c r="CE147" s="62">
        <f t="shared" ca="1" si="392"/>
        <v>0</v>
      </c>
      <c r="CH147" s="62">
        <f t="shared" ref="CH147:CW155" ca="1" si="393">CI81</f>
        <v>0</v>
      </c>
      <c r="CK147" s="62">
        <f t="shared" ca="1" si="393"/>
        <v>0</v>
      </c>
      <c r="CN147" s="62">
        <f t="shared" ca="1" si="393"/>
        <v>0</v>
      </c>
      <c r="CQ147" s="62">
        <f t="shared" ca="1" si="393"/>
        <v>0</v>
      </c>
      <c r="CT147" s="62">
        <f t="shared" ca="1" si="393"/>
        <v>0</v>
      </c>
      <c r="CW147" s="62">
        <f t="shared" ca="1" si="393"/>
        <v>0</v>
      </c>
      <c r="CZ147" s="62">
        <f t="shared" ref="CZ147:DF155" ca="1" si="394">DA81</f>
        <v>0</v>
      </c>
      <c r="DC147" s="62">
        <f t="shared" ca="1" si="394"/>
        <v>0</v>
      </c>
      <c r="DF147" s="62">
        <f t="shared" ca="1" si="394"/>
        <v>0</v>
      </c>
    </row>
    <row r="148" spans="1:110">
      <c r="A148" s="14">
        <f t="shared" si="387"/>
        <v>18</v>
      </c>
      <c r="B148" s="63">
        <f t="shared" ca="1" si="353"/>
        <v>0.15701835940156691</v>
      </c>
      <c r="C148" s="63">
        <f t="shared" si="353"/>
        <v>3830.6</v>
      </c>
      <c r="I148" s="2"/>
      <c r="J148" s="2"/>
      <c r="L148" s="61">
        <f t="shared" ca="1" si="354"/>
        <v>-0.5136567811169932</v>
      </c>
      <c r="M148" s="63">
        <f t="shared" ca="1" si="355"/>
        <v>0.21614571622868212</v>
      </c>
      <c r="N148" s="61">
        <f t="shared" ca="1" si="356"/>
        <v>0.94594821357435754</v>
      </c>
      <c r="O148" s="61">
        <f t="shared" ca="1" si="357"/>
        <v>0.48653499823045021</v>
      </c>
      <c r="P148" s="63" t="b">
        <f t="shared" si="388"/>
        <v>1</v>
      </c>
      <c r="Q148" s="62">
        <f t="shared" ca="1" si="358"/>
        <v>1.4936443004316415</v>
      </c>
      <c r="T148" s="62">
        <f t="shared" ca="1" si="389"/>
        <v>1.257417658785343</v>
      </c>
      <c r="W148" s="62">
        <f t="shared" ca="1" si="389"/>
        <v>1.3444475295369975</v>
      </c>
      <c r="Z148" s="62">
        <f t="shared" ca="1" si="389"/>
        <v>1.1247445283665007</v>
      </c>
      <c r="AC148" s="62">
        <f t="shared" ca="1" si="389"/>
        <v>1.0479717535112993</v>
      </c>
      <c r="AF148" s="62"/>
      <c r="AI148" s="62">
        <f t="shared" ca="1" si="389"/>
        <v>0</v>
      </c>
      <c r="AL148" s="62">
        <f t="shared" ca="1" si="390"/>
        <v>0</v>
      </c>
      <c r="AO148" s="62">
        <f t="shared" ca="1" si="390"/>
        <v>0</v>
      </c>
      <c r="AR148" s="62">
        <f t="shared" ca="1" si="390"/>
        <v>0</v>
      </c>
      <c r="AU148" s="62">
        <f t="shared" ca="1" si="390"/>
        <v>0</v>
      </c>
      <c r="AX148" s="62">
        <f t="shared" ca="1" si="390"/>
        <v>0</v>
      </c>
      <c r="BA148" s="62">
        <f t="shared" ca="1" si="390"/>
        <v>0</v>
      </c>
      <c r="BD148" s="62">
        <f t="shared" ca="1" si="391"/>
        <v>0</v>
      </c>
      <c r="BG148" s="62">
        <f t="shared" ca="1" si="391"/>
        <v>0</v>
      </c>
      <c r="BJ148" s="62">
        <f t="shared" ca="1" si="391"/>
        <v>0</v>
      </c>
      <c r="BM148" s="62">
        <f t="shared" ca="1" si="391"/>
        <v>0</v>
      </c>
      <c r="BP148" s="62">
        <f t="shared" ca="1" si="391"/>
        <v>0</v>
      </c>
      <c r="BS148" s="62"/>
      <c r="BV148" s="62">
        <f t="shared" ca="1" si="392"/>
        <v>0</v>
      </c>
      <c r="BY148" s="62">
        <f t="shared" ca="1" si="392"/>
        <v>0</v>
      </c>
      <c r="CB148" s="62"/>
      <c r="CE148" s="62">
        <f t="shared" ca="1" si="392"/>
        <v>0</v>
      </c>
      <c r="CH148" s="62">
        <f t="shared" ca="1" si="393"/>
        <v>0</v>
      </c>
      <c r="CK148" s="62">
        <f t="shared" ca="1" si="393"/>
        <v>0</v>
      </c>
      <c r="CN148" s="62">
        <f t="shared" ca="1" si="393"/>
        <v>0</v>
      </c>
      <c r="CQ148" s="62">
        <f t="shared" ca="1" si="393"/>
        <v>0</v>
      </c>
      <c r="CT148" s="62">
        <f t="shared" ca="1" si="393"/>
        <v>0</v>
      </c>
      <c r="CW148" s="62">
        <f t="shared" ca="1" si="393"/>
        <v>0</v>
      </c>
      <c r="CZ148" s="62">
        <f t="shared" ca="1" si="394"/>
        <v>0</v>
      </c>
      <c r="DC148" s="62">
        <f t="shared" ca="1" si="394"/>
        <v>0</v>
      </c>
      <c r="DF148" s="62">
        <f t="shared" ca="1" si="394"/>
        <v>0</v>
      </c>
    </row>
    <row r="149" spans="1:110">
      <c r="A149" s="14">
        <f t="shared" si="387"/>
        <v>19</v>
      </c>
      <c r="B149" s="63">
        <f t="shared" ca="1" si="353"/>
        <v>0.12828800152468015</v>
      </c>
      <c r="C149" s="63">
        <f t="shared" si="353"/>
        <v>3852.3</v>
      </c>
      <c r="I149" s="2"/>
      <c r="J149" s="2"/>
      <c r="L149" s="61">
        <f t="shared" ca="1" si="354"/>
        <v>-0.42880030902969291</v>
      </c>
      <c r="M149" s="63">
        <f t="shared" ca="1" si="355"/>
        <v>0.18031254469456867</v>
      </c>
      <c r="N149" s="61">
        <f t="shared" ca="1" si="356"/>
        <v>0.7894253984188303</v>
      </c>
      <c r="O149" s="61">
        <f t="shared" ca="1" si="357"/>
        <v>0.40607523581617438</v>
      </c>
      <c r="P149" s="63" t="b">
        <f t="shared" si="388"/>
        <v>1</v>
      </c>
      <c r="Q149" s="62">
        <f t="shared" ca="1" si="358"/>
        <v>1.2629142033531784</v>
      </c>
      <c r="T149" s="62">
        <f t="shared" ca="1" si="389"/>
        <v>1.0553520259456897</v>
      </c>
      <c r="W149" s="62">
        <f t="shared" ca="1" si="389"/>
        <v>1.1043659134790262</v>
      </c>
      <c r="Z149" s="62">
        <f t="shared" ca="1" si="389"/>
        <v>0.9078313314876395</v>
      </c>
      <c r="AC149" s="62">
        <f t="shared" ca="1" si="389"/>
        <v>0.89860032187695738</v>
      </c>
      <c r="AF149" s="62"/>
      <c r="AI149" s="62">
        <f t="shared" ca="1" si="389"/>
        <v>0</v>
      </c>
      <c r="AL149" s="62">
        <f t="shared" ca="1" si="390"/>
        <v>0</v>
      </c>
      <c r="AO149" s="62">
        <f t="shared" ca="1" si="390"/>
        <v>0</v>
      </c>
      <c r="AR149" s="62">
        <f t="shared" ca="1" si="390"/>
        <v>0</v>
      </c>
      <c r="AU149" s="62">
        <f t="shared" ca="1" si="390"/>
        <v>0</v>
      </c>
      <c r="AX149" s="62">
        <f t="shared" ca="1" si="390"/>
        <v>0</v>
      </c>
      <c r="BA149" s="62">
        <f t="shared" ca="1" si="390"/>
        <v>0</v>
      </c>
      <c r="BD149" s="62">
        <f t="shared" ca="1" si="391"/>
        <v>0</v>
      </c>
      <c r="BG149" s="62">
        <f t="shared" ca="1" si="391"/>
        <v>0</v>
      </c>
      <c r="BJ149" s="62">
        <f t="shared" ca="1" si="391"/>
        <v>0</v>
      </c>
      <c r="BM149" s="62">
        <f t="shared" ca="1" si="391"/>
        <v>0</v>
      </c>
      <c r="BP149" s="62">
        <f t="shared" ca="1" si="391"/>
        <v>0</v>
      </c>
      <c r="BS149" s="62"/>
      <c r="BV149" s="62">
        <f t="shared" ca="1" si="392"/>
        <v>0</v>
      </c>
      <c r="BY149" s="62">
        <f t="shared" ca="1" si="392"/>
        <v>0</v>
      </c>
      <c r="CB149" s="62"/>
      <c r="CE149" s="62">
        <f t="shared" ca="1" si="392"/>
        <v>0</v>
      </c>
      <c r="CH149" s="62">
        <f t="shared" ca="1" si="393"/>
        <v>0</v>
      </c>
      <c r="CK149" s="62">
        <f t="shared" ca="1" si="393"/>
        <v>0</v>
      </c>
      <c r="CN149" s="62">
        <f t="shared" ca="1" si="393"/>
        <v>0</v>
      </c>
      <c r="CQ149" s="62">
        <f t="shared" ca="1" si="393"/>
        <v>0</v>
      </c>
      <c r="CT149" s="62">
        <f t="shared" ca="1" si="393"/>
        <v>0</v>
      </c>
      <c r="CW149" s="62">
        <f t="shared" ca="1" si="393"/>
        <v>0</v>
      </c>
      <c r="CZ149" s="62">
        <f t="shared" ca="1" si="394"/>
        <v>0</v>
      </c>
      <c r="DC149" s="62">
        <f t="shared" ca="1" si="394"/>
        <v>0</v>
      </c>
      <c r="DF149" s="62">
        <f t="shared" ca="1" si="394"/>
        <v>0</v>
      </c>
    </row>
    <row r="150" spans="1:110">
      <c r="A150" s="14">
        <f t="shared" si="387"/>
        <v>20</v>
      </c>
      <c r="B150" s="63">
        <f t="shared" ca="1" si="353"/>
        <v>0.1052422464745905</v>
      </c>
      <c r="C150" s="63">
        <f t="shared" si="353"/>
        <v>3884.6</v>
      </c>
      <c r="I150" s="2"/>
      <c r="J150" s="2"/>
      <c r="L150" s="61">
        <f t="shared" ca="1" si="354"/>
        <v>-0.35364228698967604</v>
      </c>
      <c r="M150" s="63">
        <f t="shared" ca="1" si="355"/>
        <v>0.14890014380108599</v>
      </c>
      <c r="N150" s="61">
        <f t="shared" ca="1" si="356"/>
        <v>0.65144257459184796</v>
      </c>
      <c r="O150" s="61">
        <f t="shared" ca="1" si="357"/>
        <v>0.33502828719384137</v>
      </c>
      <c r="P150" s="63" t="b">
        <f t="shared" si="388"/>
        <v>1</v>
      </c>
      <c r="Q150" s="62">
        <f t="shared" ca="1" si="358"/>
        <v>0.95517359689038928</v>
      </c>
      <c r="T150" s="62">
        <f t="shared" ca="1" si="389"/>
        <v>0.80449673164140134</v>
      </c>
      <c r="W150" s="62">
        <f t="shared" ca="1" si="389"/>
        <v>1.0019696184037494</v>
      </c>
      <c r="Z150" s="62">
        <f t="shared" ca="1" si="389"/>
        <v>0.70409752041649842</v>
      </c>
      <c r="AC150" s="62">
        <f t="shared" ca="1" si="389"/>
        <v>0.8523667028794556</v>
      </c>
      <c r="AF150" s="62"/>
      <c r="AI150" s="62">
        <f t="shared" ca="1" si="389"/>
        <v>0</v>
      </c>
      <c r="AL150" s="62">
        <f t="shared" ca="1" si="390"/>
        <v>0</v>
      </c>
      <c r="AO150" s="62">
        <f t="shared" ca="1" si="390"/>
        <v>0</v>
      </c>
      <c r="AR150" s="62">
        <f t="shared" ca="1" si="390"/>
        <v>0</v>
      </c>
      <c r="AU150" s="62">
        <f t="shared" ca="1" si="390"/>
        <v>0</v>
      </c>
      <c r="AX150" s="62">
        <f t="shared" ca="1" si="390"/>
        <v>0</v>
      </c>
      <c r="BA150" s="62">
        <f t="shared" ca="1" si="390"/>
        <v>0</v>
      </c>
      <c r="BD150" s="62">
        <f t="shared" ca="1" si="391"/>
        <v>0</v>
      </c>
      <c r="BG150" s="62">
        <f t="shared" ca="1" si="391"/>
        <v>0</v>
      </c>
      <c r="BJ150" s="62">
        <f t="shared" ca="1" si="391"/>
        <v>0</v>
      </c>
      <c r="BM150" s="62">
        <f t="shared" ca="1" si="391"/>
        <v>0</v>
      </c>
      <c r="BP150" s="62">
        <f t="shared" ca="1" si="391"/>
        <v>0</v>
      </c>
      <c r="BS150" s="62"/>
      <c r="BV150" s="62">
        <f t="shared" ca="1" si="392"/>
        <v>0</v>
      </c>
      <c r="BY150" s="62">
        <f t="shared" ca="1" si="392"/>
        <v>0</v>
      </c>
      <c r="CB150" s="62"/>
      <c r="CE150" s="62">
        <f t="shared" ca="1" si="392"/>
        <v>0</v>
      </c>
      <c r="CH150" s="62">
        <f t="shared" ca="1" si="393"/>
        <v>0</v>
      </c>
      <c r="CK150" s="62">
        <f t="shared" ca="1" si="393"/>
        <v>0</v>
      </c>
      <c r="CN150" s="62">
        <f t="shared" ca="1" si="393"/>
        <v>0</v>
      </c>
      <c r="CQ150" s="62">
        <f t="shared" ca="1" si="393"/>
        <v>0</v>
      </c>
      <c r="CT150" s="62">
        <f t="shared" ca="1" si="393"/>
        <v>0</v>
      </c>
      <c r="CW150" s="62">
        <f t="shared" ca="1" si="393"/>
        <v>0</v>
      </c>
      <c r="CZ150" s="62">
        <f t="shared" ca="1" si="394"/>
        <v>0</v>
      </c>
      <c r="DC150" s="62">
        <f t="shared" ca="1" si="394"/>
        <v>0</v>
      </c>
      <c r="DF150" s="62">
        <f t="shared" ca="1" si="394"/>
        <v>0</v>
      </c>
    </row>
    <row r="151" spans="1:110">
      <c r="A151" s="14">
        <f t="shared" si="387"/>
        <v>21</v>
      </c>
      <c r="B151" s="63">
        <f t="shared" ca="1" si="353"/>
        <v>8.7497019701430423E-2</v>
      </c>
      <c r="C151" s="63">
        <f t="shared" si="353"/>
        <v>3874</v>
      </c>
      <c r="I151" s="2"/>
      <c r="J151" s="2"/>
      <c r="L151" s="61">
        <f t="shared" ca="1" si="354"/>
        <v>-0.30419736063417124</v>
      </c>
      <c r="M151" s="63">
        <f t="shared" ca="1" si="355"/>
        <v>0.12819882565420249</v>
      </c>
      <c r="N151" s="61">
        <f t="shared" ca="1" si="356"/>
        <v>0.56059501194257622</v>
      </c>
      <c r="O151" s="61">
        <f t="shared" ca="1" si="357"/>
        <v>0.28826412419224917</v>
      </c>
      <c r="P151" s="63" t="b">
        <f t="shared" si="388"/>
        <v>1</v>
      </c>
      <c r="Q151" s="62">
        <f t="shared" ca="1" si="358"/>
        <v>0.86513872440862771</v>
      </c>
      <c r="T151" s="62">
        <f t="shared" ca="1" si="389"/>
        <v>0.72543989793245434</v>
      </c>
      <c r="W151" s="62">
        <f t="shared" ca="1" si="389"/>
        <v>0.81718660465174708</v>
      </c>
      <c r="Z151" s="62">
        <f t="shared" ca="1" si="389"/>
        <v>0.61802717683865782</v>
      </c>
      <c r="AC151" s="62">
        <f t="shared" ca="1" si="389"/>
        <v>0.69197354014038448</v>
      </c>
      <c r="AF151" s="62"/>
      <c r="AI151" s="62">
        <f t="shared" ca="1" si="389"/>
        <v>0</v>
      </c>
      <c r="AL151" s="62">
        <f t="shared" ca="1" si="390"/>
        <v>0</v>
      </c>
      <c r="AO151" s="62">
        <f t="shared" ca="1" si="390"/>
        <v>0</v>
      </c>
      <c r="AR151" s="62">
        <f t="shared" ca="1" si="390"/>
        <v>0</v>
      </c>
      <c r="AU151" s="62">
        <f t="shared" ca="1" si="390"/>
        <v>0</v>
      </c>
      <c r="AX151" s="62">
        <f t="shared" ca="1" si="390"/>
        <v>0</v>
      </c>
      <c r="BA151" s="62">
        <f t="shared" ca="1" si="390"/>
        <v>0</v>
      </c>
      <c r="BD151" s="62">
        <f t="shared" ca="1" si="391"/>
        <v>0</v>
      </c>
      <c r="BG151" s="62">
        <f t="shared" ca="1" si="391"/>
        <v>0</v>
      </c>
      <c r="BJ151" s="62">
        <f t="shared" ca="1" si="391"/>
        <v>0</v>
      </c>
      <c r="BM151" s="62">
        <f t="shared" ca="1" si="391"/>
        <v>0</v>
      </c>
      <c r="BP151" s="62">
        <f t="shared" ca="1" si="391"/>
        <v>0</v>
      </c>
      <c r="BS151" s="62"/>
      <c r="BV151" s="62">
        <f t="shared" ca="1" si="392"/>
        <v>0</v>
      </c>
      <c r="BY151" s="62">
        <f t="shared" ca="1" si="392"/>
        <v>0</v>
      </c>
      <c r="CB151" s="62"/>
      <c r="CE151" s="62">
        <f t="shared" ca="1" si="392"/>
        <v>0</v>
      </c>
      <c r="CH151" s="62">
        <f t="shared" ca="1" si="393"/>
        <v>0</v>
      </c>
      <c r="CK151" s="62">
        <f t="shared" ca="1" si="393"/>
        <v>0</v>
      </c>
      <c r="CN151" s="62">
        <f t="shared" ca="1" si="393"/>
        <v>0</v>
      </c>
      <c r="CQ151" s="62">
        <f t="shared" ca="1" si="393"/>
        <v>0</v>
      </c>
      <c r="CT151" s="62">
        <f t="shared" ca="1" si="393"/>
        <v>0</v>
      </c>
      <c r="CW151" s="62">
        <f t="shared" ca="1" si="393"/>
        <v>0</v>
      </c>
      <c r="CZ151" s="62">
        <f t="shared" ca="1" si="394"/>
        <v>0</v>
      </c>
      <c r="DC151" s="62">
        <f t="shared" ca="1" si="394"/>
        <v>0</v>
      </c>
      <c r="DF151" s="62">
        <f t="shared" ca="1" si="394"/>
        <v>0</v>
      </c>
    </row>
    <row r="152" spans="1:110">
      <c r="A152" s="14">
        <f t="shared" si="387"/>
        <v>22</v>
      </c>
      <c r="B152" s="63">
        <f t="shared" ca="1" si="353"/>
        <v>6.4528090696904072E-2</v>
      </c>
      <c r="C152" s="63">
        <f t="shared" si="353"/>
        <v>3852.9</v>
      </c>
      <c r="I152" s="2"/>
      <c r="J152" s="2"/>
      <c r="L152" s="61">
        <f t="shared" ca="1" si="354"/>
        <v>-0.23471541973137044</v>
      </c>
      <c r="M152" s="63">
        <f t="shared" ca="1" si="355"/>
        <v>9.8577973900478011E-2</v>
      </c>
      <c r="N152" s="61">
        <f t="shared" ca="1" si="356"/>
        <v>0.43187136753232647</v>
      </c>
      <c r="O152" s="61">
        <f t="shared" ca="1" si="357"/>
        <v>0.22219559575456563</v>
      </c>
      <c r="P152" s="63" t="b">
        <f t="shared" si="388"/>
        <v>1</v>
      </c>
      <c r="Q152" s="62">
        <f t="shared" ca="1" si="358"/>
        <v>0.63512466666753675</v>
      </c>
      <c r="T152" s="62">
        <f t="shared" ca="1" si="389"/>
        <v>0.58427483458113416</v>
      </c>
      <c r="W152" s="62">
        <f t="shared" ca="1" si="389"/>
        <v>0.6718397642271976</v>
      </c>
      <c r="Z152" s="62">
        <f t="shared" ca="1" si="389"/>
        <v>0.48668732699400219</v>
      </c>
      <c r="AC152" s="62">
        <f t="shared" ca="1" si="389"/>
        <v>0.48083465064399139</v>
      </c>
      <c r="AF152" s="62"/>
      <c r="AI152" s="62">
        <f t="shared" ca="1" si="389"/>
        <v>0</v>
      </c>
      <c r="AL152" s="62">
        <f t="shared" ca="1" si="390"/>
        <v>0</v>
      </c>
      <c r="AO152" s="62">
        <f t="shared" ca="1" si="390"/>
        <v>0</v>
      </c>
      <c r="AR152" s="62">
        <f t="shared" ca="1" si="390"/>
        <v>0</v>
      </c>
      <c r="AU152" s="62">
        <f t="shared" ca="1" si="390"/>
        <v>0</v>
      </c>
      <c r="AX152" s="62">
        <f t="shared" ca="1" si="390"/>
        <v>0</v>
      </c>
      <c r="BA152" s="62">
        <f t="shared" ca="1" si="390"/>
        <v>0</v>
      </c>
      <c r="BD152" s="62">
        <f t="shared" ca="1" si="391"/>
        <v>0</v>
      </c>
      <c r="BG152" s="62">
        <f t="shared" ca="1" si="391"/>
        <v>0</v>
      </c>
      <c r="BJ152" s="62">
        <f t="shared" ca="1" si="391"/>
        <v>0</v>
      </c>
      <c r="BM152" s="62">
        <f t="shared" ca="1" si="391"/>
        <v>0</v>
      </c>
      <c r="BP152" s="62">
        <f t="shared" ca="1" si="391"/>
        <v>0</v>
      </c>
      <c r="BS152" s="62"/>
      <c r="BV152" s="62">
        <f t="shared" ca="1" si="392"/>
        <v>0</v>
      </c>
      <c r="BY152" s="62">
        <f t="shared" ca="1" si="392"/>
        <v>0</v>
      </c>
      <c r="CB152" s="62"/>
      <c r="CE152" s="62">
        <f t="shared" ca="1" si="392"/>
        <v>0</v>
      </c>
      <c r="CH152" s="62">
        <f t="shared" ca="1" si="393"/>
        <v>0</v>
      </c>
      <c r="CK152" s="62">
        <f t="shared" ca="1" si="393"/>
        <v>0</v>
      </c>
      <c r="CN152" s="62">
        <f t="shared" ca="1" si="393"/>
        <v>0</v>
      </c>
      <c r="CQ152" s="62">
        <f t="shared" ca="1" si="393"/>
        <v>0</v>
      </c>
      <c r="CT152" s="62">
        <f t="shared" ca="1" si="393"/>
        <v>0</v>
      </c>
      <c r="CW152" s="62">
        <f t="shared" ca="1" si="393"/>
        <v>0</v>
      </c>
      <c r="CZ152" s="62">
        <f t="shared" ca="1" si="394"/>
        <v>0</v>
      </c>
      <c r="DC152" s="62">
        <f t="shared" ca="1" si="394"/>
        <v>0</v>
      </c>
      <c r="DF152" s="62">
        <f t="shared" ca="1" si="394"/>
        <v>0</v>
      </c>
    </row>
    <row r="153" spans="1:110">
      <c r="A153" s="14">
        <f t="shared" si="387"/>
        <v>23</v>
      </c>
      <c r="B153" s="63">
        <f t="shared" ca="1" si="353"/>
        <v>4.8396071685701009E-2</v>
      </c>
      <c r="C153" s="63">
        <f t="shared" si="353"/>
        <v>3862.8</v>
      </c>
      <c r="I153" s="2"/>
      <c r="J153" s="2"/>
      <c r="L153" s="61">
        <f t="shared" ca="1" si="354"/>
        <v>-0.18472623106372862</v>
      </c>
      <c r="M153" s="63">
        <f t="shared" ca="1" si="355"/>
        <v>7.7130840798076722E-2</v>
      </c>
      <c r="N153" s="61">
        <f t="shared" ca="1" si="356"/>
        <v>0.33898791265988204</v>
      </c>
      <c r="O153" s="61">
        <f t="shared" ca="1" si="357"/>
        <v>0.17457138124120355</v>
      </c>
      <c r="P153" s="63" t="b">
        <f t="shared" si="388"/>
        <v>1</v>
      </c>
      <c r="Q153" s="62">
        <f t="shared" ca="1" si="358"/>
        <v>0.52323342593691402</v>
      </c>
      <c r="T153" s="62">
        <f t="shared" ca="1" si="389"/>
        <v>0.43028049908355698</v>
      </c>
      <c r="W153" s="62">
        <f t="shared" ca="1" si="389"/>
        <v>0.53653693043900075</v>
      </c>
      <c r="Z153" s="62">
        <f t="shared" ca="1" si="389"/>
        <v>0.3841225758475304</v>
      </c>
      <c r="AC153" s="62">
        <f t="shared" ca="1" si="389"/>
        <v>0.36262095183722293</v>
      </c>
      <c r="AF153" s="62"/>
      <c r="AI153" s="62">
        <f t="shared" ca="1" si="389"/>
        <v>0</v>
      </c>
      <c r="AL153" s="62">
        <f t="shared" ca="1" si="390"/>
        <v>0</v>
      </c>
      <c r="AO153" s="62">
        <f t="shared" ca="1" si="390"/>
        <v>0</v>
      </c>
      <c r="AR153" s="62">
        <f t="shared" ca="1" si="390"/>
        <v>0</v>
      </c>
      <c r="AU153" s="62">
        <f t="shared" ca="1" si="390"/>
        <v>0</v>
      </c>
      <c r="AX153" s="62">
        <f t="shared" ca="1" si="390"/>
        <v>0</v>
      </c>
      <c r="BA153" s="62">
        <f t="shared" ca="1" si="390"/>
        <v>0</v>
      </c>
      <c r="BD153" s="62">
        <f t="shared" ca="1" si="391"/>
        <v>0</v>
      </c>
      <c r="BG153" s="62">
        <f t="shared" ca="1" si="391"/>
        <v>0</v>
      </c>
      <c r="BJ153" s="62">
        <f t="shared" ca="1" si="391"/>
        <v>0</v>
      </c>
      <c r="BM153" s="62">
        <f t="shared" ca="1" si="391"/>
        <v>0</v>
      </c>
      <c r="BP153" s="62">
        <f t="shared" ca="1" si="391"/>
        <v>0</v>
      </c>
      <c r="BS153" s="62"/>
      <c r="BV153" s="62">
        <f t="shared" ca="1" si="392"/>
        <v>0</v>
      </c>
      <c r="BY153" s="62">
        <f t="shared" ca="1" si="392"/>
        <v>0</v>
      </c>
      <c r="CB153" s="62"/>
      <c r="CE153" s="62">
        <f t="shared" ca="1" si="392"/>
        <v>0</v>
      </c>
      <c r="CH153" s="62">
        <f t="shared" ca="1" si="393"/>
        <v>0</v>
      </c>
      <c r="CK153" s="62">
        <f t="shared" ca="1" si="393"/>
        <v>0</v>
      </c>
      <c r="CN153" s="62">
        <f t="shared" ca="1" si="393"/>
        <v>0</v>
      </c>
      <c r="CQ153" s="62">
        <f t="shared" ca="1" si="393"/>
        <v>0</v>
      </c>
      <c r="CT153" s="62">
        <f t="shared" ca="1" si="393"/>
        <v>0</v>
      </c>
      <c r="CW153" s="62">
        <f t="shared" ca="1" si="393"/>
        <v>0</v>
      </c>
      <c r="CZ153" s="62">
        <f t="shared" ca="1" si="394"/>
        <v>0</v>
      </c>
      <c r="DC153" s="62">
        <f t="shared" ca="1" si="394"/>
        <v>0</v>
      </c>
      <c r="DF153" s="62">
        <f t="shared" ca="1" si="394"/>
        <v>0</v>
      </c>
    </row>
    <row r="154" spans="1:110">
      <c r="A154" s="14">
        <f t="shared" si="387"/>
        <v>24</v>
      </c>
      <c r="B154" s="63">
        <f t="shared" ca="1" si="353"/>
        <v>1.6900215363934361E-2</v>
      </c>
      <c r="C154" s="63">
        <f t="shared" si="353"/>
        <v>3782.2</v>
      </c>
      <c r="I154" s="2"/>
      <c r="J154" s="2"/>
      <c r="L154" s="61">
        <f t="shared" ca="1" si="354"/>
        <v>-8.2686764372959021E-2</v>
      </c>
      <c r="M154" s="63">
        <f t="shared" ca="1" si="355"/>
        <v>3.3485035568983711E-2</v>
      </c>
      <c r="N154" s="61">
        <f t="shared" ca="1" si="356"/>
        <v>0.14965683551092646</v>
      </c>
      <c r="O154" s="61">
        <f t="shared" ca="1" si="357"/>
        <v>7.7447866627961826E-2</v>
      </c>
      <c r="P154" s="63" t="b">
        <f t="shared" si="388"/>
        <v>1</v>
      </c>
      <c r="Q154" s="62">
        <f t="shared" ca="1" si="358"/>
        <v>0.2349183248907642</v>
      </c>
      <c r="T154" s="62">
        <f t="shared" ca="1" si="389"/>
        <v>0.179693670469803</v>
      </c>
      <c r="W154" s="62">
        <f t="shared" ca="1" si="389"/>
        <v>0.26615246148878324</v>
      </c>
      <c r="Z154" s="62">
        <f t="shared" ca="1" si="389"/>
        <v>0.14778976586389095</v>
      </c>
      <c r="AC154" s="62">
        <f t="shared" ca="1" si="389"/>
        <v>0.1425118087872862</v>
      </c>
      <c r="AF154" s="62"/>
      <c r="AI154" s="62">
        <f t="shared" ca="1" si="389"/>
        <v>0</v>
      </c>
      <c r="AL154" s="62">
        <f t="shared" ca="1" si="390"/>
        <v>0</v>
      </c>
      <c r="AO154" s="62">
        <f t="shared" ca="1" si="390"/>
        <v>0</v>
      </c>
      <c r="AR154" s="62">
        <f t="shared" ca="1" si="390"/>
        <v>0</v>
      </c>
      <c r="AU154" s="62">
        <f t="shared" ca="1" si="390"/>
        <v>0</v>
      </c>
      <c r="AX154" s="62">
        <f t="shared" ca="1" si="390"/>
        <v>0</v>
      </c>
      <c r="BA154" s="62">
        <f t="shared" ca="1" si="390"/>
        <v>0</v>
      </c>
      <c r="BD154" s="62">
        <f t="shared" ca="1" si="391"/>
        <v>0</v>
      </c>
      <c r="BG154" s="62">
        <f t="shared" ca="1" si="391"/>
        <v>0</v>
      </c>
      <c r="BJ154" s="62">
        <f t="shared" ca="1" si="391"/>
        <v>0</v>
      </c>
      <c r="BM154" s="62">
        <f t="shared" ca="1" si="391"/>
        <v>0</v>
      </c>
      <c r="BP154" s="62">
        <f t="shared" ca="1" si="391"/>
        <v>0</v>
      </c>
      <c r="BS154" s="62"/>
      <c r="BV154" s="62">
        <f t="shared" ca="1" si="392"/>
        <v>0</v>
      </c>
      <c r="BY154" s="62">
        <f t="shared" ca="1" si="392"/>
        <v>0</v>
      </c>
      <c r="CB154" s="62"/>
      <c r="CE154" s="62">
        <f t="shared" ca="1" si="392"/>
        <v>0</v>
      </c>
      <c r="CH154" s="62">
        <f t="shared" ca="1" si="393"/>
        <v>0</v>
      </c>
      <c r="CK154" s="62">
        <f t="shared" ca="1" si="393"/>
        <v>0</v>
      </c>
      <c r="CN154" s="62">
        <f t="shared" ca="1" si="393"/>
        <v>0</v>
      </c>
      <c r="CQ154" s="62">
        <f t="shared" ca="1" si="393"/>
        <v>0</v>
      </c>
      <c r="CT154" s="62">
        <f t="shared" ca="1" si="393"/>
        <v>0</v>
      </c>
      <c r="CW154" s="62">
        <f t="shared" ca="1" si="393"/>
        <v>0</v>
      </c>
      <c r="CZ154" s="62">
        <f t="shared" ca="1" si="394"/>
        <v>0</v>
      </c>
      <c r="DC154" s="62">
        <f t="shared" ca="1" si="394"/>
        <v>0</v>
      </c>
      <c r="DF154" s="62">
        <f t="shared" ca="1" si="394"/>
        <v>0</v>
      </c>
    </row>
    <row r="155" spans="1:110">
      <c r="A155" s="14">
        <f t="shared" si="387"/>
        <v>25</v>
      </c>
      <c r="B155" s="63">
        <f t="shared" ca="1" si="353"/>
        <v>1.3827448268123942E-2</v>
      </c>
      <c r="C155" s="63">
        <f t="shared" si="353"/>
        <v>3801.6</v>
      </c>
      <c r="I155" s="2"/>
      <c r="J155" s="2"/>
      <c r="L155" s="61">
        <f t="shared" ca="1" si="354"/>
        <v>-6.8039157854393267E-2</v>
      </c>
      <c r="M155" s="63">
        <f t="shared" ca="1" si="355"/>
        <v>2.8570498995547158E-2</v>
      </c>
      <c r="N155" s="61">
        <f t="shared" ca="1" si="356"/>
        <v>0.12518015584548758</v>
      </c>
      <c r="O155" s="61">
        <f t="shared" ca="1" si="357"/>
        <v>6.4406437899960284E-2</v>
      </c>
      <c r="P155" s="63" t="b">
        <f t="shared" si="388"/>
        <v>1</v>
      </c>
      <c r="Q155" s="62">
        <f t="shared" ca="1" si="358"/>
        <v>0.18329727750232411</v>
      </c>
      <c r="T155" s="62">
        <f t="shared" ca="1" si="389"/>
        <v>0.18372644438242955</v>
      </c>
      <c r="W155" s="62">
        <f t="shared" ca="1" si="389"/>
        <v>0.18210035915936926</v>
      </c>
      <c r="Z155" s="62">
        <f t="shared" ca="1" si="389"/>
        <v>0.12810175963784148</v>
      </c>
      <c r="AC155" s="62">
        <f t="shared" ca="1" si="389"/>
        <v>0.15131863018890307</v>
      </c>
      <c r="AF155" s="62"/>
      <c r="AI155" s="62">
        <f t="shared" ca="1" si="389"/>
        <v>0</v>
      </c>
      <c r="AL155" s="62">
        <f t="shared" ca="1" si="390"/>
        <v>0</v>
      </c>
      <c r="AO155" s="62">
        <f t="shared" ca="1" si="390"/>
        <v>0</v>
      </c>
      <c r="AR155" s="62">
        <f t="shared" ca="1" si="390"/>
        <v>0</v>
      </c>
      <c r="AU155" s="62">
        <f t="shared" ca="1" si="390"/>
        <v>0</v>
      </c>
      <c r="AX155" s="62">
        <f t="shared" ca="1" si="390"/>
        <v>0</v>
      </c>
      <c r="BA155" s="62">
        <f t="shared" ca="1" si="390"/>
        <v>0</v>
      </c>
      <c r="BD155" s="62">
        <f t="shared" ca="1" si="391"/>
        <v>0</v>
      </c>
      <c r="BG155" s="62">
        <f t="shared" ca="1" si="391"/>
        <v>0</v>
      </c>
      <c r="BJ155" s="62">
        <f t="shared" ca="1" si="391"/>
        <v>0</v>
      </c>
      <c r="BM155" s="62">
        <f t="shared" ca="1" si="391"/>
        <v>0</v>
      </c>
      <c r="BP155" s="62">
        <f t="shared" ca="1" si="391"/>
        <v>0</v>
      </c>
      <c r="BS155" s="62"/>
      <c r="BV155" s="62">
        <f t="shared" ca="1" si="392"/>
        <v>0</v>
      </c>
      <c r="BY155" s="62">
        <f t="shared" ca="1" si="392"/>
        <v>0</v>
      </c>
      <c r="CB155" s="62"/>
      <c r="CE155" s="62">
        <f t="shared" ca="1" si="392"/>
        <v>0</v>
      </c>
      <c r="CH155" s="62">
        <f t="shared" ca="1" si="393"/>
        <v>0</v>
      </c>
      <c r="CK155" s="62">
        <f t="shared" ca="1" si="393"/>
        <v>0</v>
      </c>
      <c r="CN155" s="62">
        <f t="shared" ca="1" si="393"/>
        <v>0</v>
      </c>
      <c r="CQ155" s="62">
        <f t="shared" ca="1" si="393"/>
        <v>0</v>
      </c>
      <c r="CT155" s="62">
        <f t="shared" ca="1" si="393"/>
        <v>0</v>
      </c>
      <c r="CW155" s="62">
        <f t="shared" ca="1" si="393"/>
        <v>0</v>
      </c>
      <c r="CZ155" s="62">
        <f t="shared" ca="1" si="394"/>
        <v>0</v>
      </c>
      <c r="DC155" s="62">
        <f t="shared" ca="1" si="394"/>
        <v>0</v>
      </c>
      <c r="DF155" s="62">
        <f t="shared" ca="1" si="394"/>
        <v>0</v>
      </c>
    </row>
    <row r="156" spans="1:110">
      <c r="B156" s="63"/>
      <c r="C156" s="63"/>
      <c r="I156" s="2"/>
      <c r="J156" s="2"/>
      <c r="M156" s="63"/>
      <c r="Q156" s="75"/>
      <c r="T156" s="75"/>
      <c r="W156" s="75"/>
      <c r="Z156" s="75"/>
      <c r="AC156" s="75"/>
      <c r="AF156" s="75"/>
      <c r="AI156" s="75"/>
      <c r="AL156" s="75"/>
      <c r="AO156" s="75"/>
      <c r="AR156" s="75"/>
      <c r="AU156" s="75"/>
      <c r="AX156" s="75"/>
      <c r="BA156" s="75"/>
      <c r="BD156" s="75"/>
      <c r="BG156" s="75"/>
      <c r="BJ156" s="75"/>
      <c r="BM156" s="75"/>
      <c r="BP156" s="75"/>
      <c r="BS156" s="75"/>
      <c r="BV156" s="75"/>
      <c r="BY156" s="75"/>
      <c r="CB156" s="75"/>
      <c r="CE156" s="75"/>
      <c r="CH156" s="75"/>
      <c r="CK156" s="75"/>
      <c r="CN156" s="75"/>
      <c r="CQ156" s="75"/>
      <c r="CT156" s="75"/>
      <c r="CW156" s="75"/>
      <c r="CZ156" s="75"/>
      <c r="DC156" s="75"/>
      <c r="DF156" s="75"/>
    </row>
    <row r="157" spans="1:110">
      <c r="B157" s="63"/>
      <c r="C157" s="63"/>
      <c r="I157" s="2"/>
      <c r="J157" s="2"/>
      <c r="M157" s="63"/>
      <c r="Q157" s="75"/>
      <c r="T157" s="75"/>
      <c r="W157" s="75"/>
      <c r="Z157" s="75"/>
      <c r="AC157" s="75"/>
      <c r="AF157" s="75"/>
      <c r="AI157" s="75"/>
      <c r="AL157" s="75"/>
      <c r="AO157" s="75"/>
      <c r="AR157" s="75"/>
      <c r="AU157" s="75"/>
      <c r="AX157" s="75"/>
      <c r="BA157" s="75"/>
      <c r="BD157" s="75"/>
      <c r="BG157" s="75"/>
      <c r="BJ157" s="75"/>
      <c r="BM157" s="75"/>
      <c r="BP157" s="75"/>
      <c r="BS157" s="75"/>
      <c r="BV157" s="75"/>
      <c r="BY157" s="75"/>
      <c r="CB157" s="75"/>
      <c r="CE157" s="75"/>
      <c r="CH157" s="75"/>
      <c r="CK157" s="75"/>
      <c r="CN157" s="75"/>
      <c r="CQ157" s="75"/>
      <c r="CT157" s="75"/>
      <c r="CW157" s="75"/>
      <c r="CZ157" s="75"/>
      <c r="DC157" s="75"/>
      <c r="DF157" s="75"/>
    </row>
    <row r="158" spans="1:110">
      <c r="A158" s="100" t="s">
        <v>70</v>
      </c>
      <c r="B158" s="100"/>
      <c r="C158" s="100"/>
      <c r="Q158" s="75"/>
      <c r="T158" s="75"/>
      <c r="W158" s="75"/>
      <c r="Z158" s="75"/>
      <c r="AC158" s="75"/>
      <c r="AF158" s="75"/>
      <c r="AI158" s="75"/>
      <c r="AL158" s="75"/>
      <c r="AO158" s="75"/>
      <c r="AR158" s="75"/>
      <c r="AU158" s="75"/>
      <c r="AX158" s="75"/>
      <c r="BA158" s="75"/>
      <c r="BD158" s="75"/>
      <c r="BG158" s="75"/>
      <c r="BJ158" s="75"/>
      <c r="BM158" s="75"/>
      <c r="BP158" s="75"/>
      <c r="BS158" s="75"/>
      <c r="BV158" s="75"/>
      <c r="BY158" s="75"/>
      <c r="CB158" s="75"/>
      <c r="CE158" s="75"/>
      <c r="CH158" s="75"/>
      <c r="CK158" s="75"/>
      <c r="CN158" s="75"/>
      <c r="CQ158" s="75"/>
      <c r="CT158" s="75"/>
      <c r="CW158" s="75"/>
      <c r="CZ158" s="75"/>
      <c r="DC158" s="75"/>
      <c r="DF158" s="75"/>
    </row>
    <row r="159" spans="1:110">
      <c r="A159" s="100"/>
      <c r="B159" s="100"/>
      <c r="C159" s="100"/>
      <c r="Q159" s="75"/>
      <c r="T159" s="75"/>
      <c r="W159" s="75"/>
      <c r="Z159" s="75"/>
      <c r="AC159" s="75"/>
      <c r="AF159" s="75"/>
      <c r="AI159" s="75"/>
      <c r="AL159" s="75"/>
      <c r="AO159" s="75"/>
      <c r="AR159" s="75"/>
      <c r="AU159" s="75"/>
      <c r="AX159" s="75"/>
      <c r="BA159" s="75"/>
      <c r="BD159" s="75"/>
      <c r="BG159" s="75"/>
      <c r="BJ159" s="75"/>
      <c r="BM159" s="75"/>
      <c r="BP159" s="75"/>
      <c r="BS159" s="75"/>
      <c r="BV159" s="75"/>
      <c r="BY159" s="75"/>
      <c r="CB159" s="75"/>
      <c r="CE159" s="75"/>
      <c r="CH159" s="75"/>
      <c r="CK159" s="75"/>
      <c r="CN159" s="75"/>
      <c r="CQ159" s="75"/>
      <c r="CT159" s="75"/>
      <c r="CW159" s="75"/>
      <c r="CZ159" s="75"/>
      <c r="DC159" s="75"/>
      <c r="DF159" s="75"/>
    </row>
    <row r="160" spans="1:110" ht="18">
      <c r="A160" s="14" t="s">
        <v>65</v>
      </c>
      <c r="B160" s="63">
        <f ca="1">INDIRECT(ADDRESS(C160,COLUMN(B155)))</f>
        <v>23.151758163574332</v>
      </c>
      <c r="C160" s="71">
        <f>ROW(P131)+MATCH(TRUE,P131:P155,0)-1</f>
        <v>131</v>
      </c>
      <c r="D160" s="76" t="s">
        <v>67</v>
      </c>
      <c r="E160" s="75">
        <f ca="1">INDIRECT(ADDRESS($C160,COLUMN(M155)))</f>
        <v>22.898184438746377</v>
      </c>
      <c r="I160" s="79"/>
      <c r="J160" s="45" t="str">
        <f>H2</f>
        <v>-1.5σ</v>
      </c>
      <c r="K160" s="45" t="str">
        <f>I2</f>
        <v>AVG</v>
      </c>
      <c r="L160" s="45" t="str">
        <f>J2</f>
        <v>+1.5σ</v>
      </c>
      <c r="M160" s="45" t="str">
        <f>K2</f>
        <v>STDEV</v>
      </c>
      <c r="N160" s="79"/>
      <c r="Q160" s="75">
        <f ca="1">INDIRECT(ADDRESS($C160,COLUMN(Q155)))</f>
        <v>138.01067572392716</v>
      </c>
      <c r="T160" s="75">
        <f t="shared" ref="T160" ca="1" si="395">INDIRECT(ADDRESS($C160,COLUMN(T155)))</f>
        <v>132.55978768367072</v>
      </c>
      <c r="W160" s="75">
        <f t="shared" ref="W160" ca="1" si="396">INDIRECT(ADDRESS($C160,COLUMN(W155)))</f>
        <v>139.0260467327256</v>
      </c>
      <c r="Z160" s="75">
        <f t="shared" ref="Z160" ca="1" si="397">INDIRECT(ADDRESS($C160,COLUMN(Z155)))</f>
        <v>127.488646239592</v>
      </c>
      <c r="AC160" s="75">
        <f t="shared" ref="AC160" ca="1" si="398">INDIRECT(ADDRESS($C160,COLUMN(AC155)))</f>
        <v>126.96219234372944</v>
      </c>
      <c r="AF160" s="75"/>
      <c r="AI160" s="75">
        <f t="shared" ref="AI160" ca="1" si="399">INDIRECT(ADDRESS($C160,COLUMN(AI155)))</f>
        <v>0</v>
      </c>
      <c r="AL160" s="75">
        <f t="shared" ref="AL160" ca="1" si="400">INDIRECT(ADDRESS($C160,COLUMN(AL155)))</f>
        <v>0</v>
      </c>
      <c r="AO160" s="75">
        <f t="shared" ref="AO160" ca="1" si="401">INDIRECT(ADDRESS($C160,COLUMN(AO155)))</f>
        <v>0</v>
      </c>
      <c r="AR160" s="75">
        <f t="shared" ref="AR160" ca="1" si="402">INDIRECT(ADDRESS($C160,COLUMN(AR155)))</f>
        <v>0</v>
      </c>
      <c r="AU160" s="75">
        <f t="shared" ref="AU160" ca="1" si="403">INDIRECT(ADDRESS($C160,COLUMN(AU155)))</f>
        <v>0</v>
      </c>
      <c r="AX160" s="75">
        <f t="shared" ref="AX160" ca="1" si="404">INDIRECT(ADDRESS($C160,COLUMN(AX155)))</f>
        <v>0</v>
      </c>
      <c r="BA160" s="75">
        <f t="shared" ref="BA160" ca="1" si="405">INDIRECT(ADDRESS($C160,COLUMN(BA155)))</f>
        <v>0</v>
      </c>
      <c r="BD160" s="75">
        <f t="shared" ref="BD160" ca="1" si="406">INDIRECT(ADDRESS($C160,COLUMN(BD155)))</f>
        <v>0</v>
      </c>
      <c r="BG160" s="75">
        <f t="shared" ref="BG160" ca="1" si="407">INDIRECT(ADDRESS($C160,COLUMN(BG155)))</f>
        <v>0</v>
      </c>
      <c r="BJ160" s="75">
        <f t="shared" ref="BJ160" ca="1" si="408">INDIRECT(ADDRESS($C160,COLUMN(BJ155)))</f>
        <v>0</v>
      </c>
      <c r="BM160" s="75">
        <f t="shared" ref="BM160" ca="1" si="409">INDIRECT(ADDRESS($C160,COLUMN(BM155)))</f>
        <v>0</v>
      </c>
      <c r="BP160" s="75">
        <f t="shared" ref="BP160" ca="1" si="410">INDIRECT(ADDRESS($C160,COLUMN(BP155)))</f>
        <v>0</v>
      </c>
      <c r="BS160" s="75"/>
      <c r="BV160" s="75">
        <f t="shared" ref="BV160" ca="1" si="411">INDIRECT(ADDRESS($C160,COLUMN(BV155)))</f>
        <v>0</v>
      </c>
      <c r="BY160" s="75">
        <f t="shared" ref="BY160" ca="1" si="412">INDIRECT(ADDRESS($C160,COLUMN(BY155)))</f>
        <v>0</v>
      </c>
      <c r="CB160" s="75"/>
      <c r="CE160" s="75">
        <f t="shared" ref="CE160" ca="1" si="413">INDIRECT(ADDRESS($C160,COLUMN(CE155)))</f>
        <v>0</v>
      </c>
      <c r="CH160" s="75">
        <f t="shared" ref="CH160" ca="1" si="414">INDIRECT(ADDRESS($C160,COLUMN(CH155)))</f>
        <v>0</v>
      </c>
      <c r="CK160" s="75">
        <f t="shared" ref="CK160" ca="1" si="415">INDIRECT(ADDRESS($C160,COLUMN(CK155)))</f>
        <v>0</v>
      </c>
      <c r="CN160" s="75">
        <f t="shared" ref="CN160" ca="1" si="416">INDIRECT(ADDRESS($C160,COLUMN(CN155)))</f>
        <v>0</v>
      </c>
      <c r="CQ160" s="75">
        <f t="shared" ref="CQ160" ca="1" si="417">INDIRECT(ADDRESS($C160,COLUMN(CQ155)))</f>
        <v>0</v>
      </c>
      <c r="CT160" s="75">
        <f t="shared" ref="CT160" ca="1" si="418">INDIRECT(ADDRESS($C160,COLUMN(CT155)))</f>
        <v>0</v>
      </c>
      <c r="CW160" s="75">
        <f t="shared" ref="CW160" ca="1" si="419">INDIRECT(ADDRESS($C160,COLUMN(CW155)))</f>
        <v>0</v>
      </c>
      <c r="CZ160" s="75">
        <f t="shared" ref="CZ160" ca="1" si="420">INDIRECT(ADDRESS($C160,COLUMN(CZ155)))</f>
        <v>0</v>
      </c>
      <c r="DC160" s="75">
        <f t="shared" ref="DC160" ca="1" si="421">INDIRECT(ADDRESS($C160,COLUMN(DC155)))</f>
        <v>0</v>
      </c>
      <c r="DF160" s="75">
        <f t="shared" ref="DF160" ca="1" si="422">INDIRECT(ADDRESS($C160,COLUMN(DF155)))</f>
        <v>0</v>
      </c>
    </row>
    <row r="161" spans="1:110" ht="18">
      <c r="A161" s="14" t="s">
        <v>64</v>
      </c>
      <c r="B161" s="75">
        <f ca="1">B155</f>
        <v>1.3827448268123942E-2</v>
      </c>
      <c r="D161" s="74" t="s">
        <v>68</v>
      </c>
      <c r="E161" s="75">
        <f ca="1">M155</f>
        <v>2.8570498995547158E-2</v>
      </c>
      <c r="I161" s="79" t="s">
        <v>25</v>
      </c>
      <c r="J161" s="78">
        <f t="shared" ref="J161:J162" ca="1" si="423">K161-1.5*M161</f>
        <v>-3.3202064915735554</v>
      </c>
      <c r="K161" s="78">
        <f ca="1">AVERAGE(Q163:DH163)-1</f>
        <v>-1.1596403276369127E-2</v>
      </c>
      <c r="L161" s="78">
        <f t="shared" ref="L161:L162" ca="1" si="424">K161+1.5*M161</f>
        <v>3.2970136850208172</v>
      </c>
      <c r="M161" s="78">
        <f ca="1">STDEV(Q163:DH163)</f>
        <v>2.2057400588647909</v>
      </c>
      <c r="N161" s="45" t="s">
        <v>75</v>
      </c>
      <c r="P161" s="72"/>
      <c r="Q161" s="75">
        <f ca="1">Q155</f>
        <v>0.18329727750232411</v>
      </c>
      <c r="T161" s="75">
        <f t="shared" ref="T161" ca="1" si="425">T155</f>
        <v>0.18372644438242955</v>
      </c>
      <c r="W161" s="75">
        <f t="shared" ref="W161" ca="1" si="426">W155</f>
        <v>0.18210035915936926</v>
      </c>
      <c r="Z161" s="75">
        <f t="shared" ref="Z161" ca="1" si="427">Z155</f>
        <v>0.12810175963784148</v>
      </c>
      <c r="AC161" s="75">
        <f t="shared" ref="AC161" ca="1" si="428">AC155</f>
        <v>0.15131863018890307</v>
      </c>
      <c r="AF161" s="75"/>
      <c r="AI161" s="75">
        <f t="shared" ref="AI161" ca="1" si="429">AI155</f>
        <v>0</v>
      </c>
      <c r="AL161" s="75">
        <f t="shared" ref="AL161" ca="1" si="430">AL155</f>
        <v>0</v>
      </c>
      <c r="AO161" s="75">
        <f t="shared" ref="AO161" ca="1" si="431">AO155</f>
        <v>0</v>
      </c>
      <c r="AR161" s="75">
        <f t="shared" ref="AR161" ca="1" si="432">AR155</f>
        <v>0</v>
      </c>
      <c r="AU161" s="75">
        <f t="shared" ref="AU161" ca="1" si="433">AU155</f>
        <v>0</v>
      </c>
      <c r="AX161" s="75">
        <f t="shared" ref="AX161" ca="1" si="434">AX155</f>
        <v>0</v>
      </c>
      <c r="BA161" s="75">
        <f t="shared" ref="BA161" ca="1" si="435">BA155</f>
        <v>0</v>
      </c>
      <c r="BD161" s="75">
        <f t="shared" ref="BD161" ca="1" si="436">BD155</f>
        <v>0</v>
      </c>
      <c r="BG161" s="75">
        <f t="shared" ref="BG161" ca="1" si="437">BG155</f>
        <v>0</v>
      </c>
      <c r="BJ161" s="75">
        <f t="shared" ref="BJ161" ca="1" si="438">BJ155</f>
        <v>0</v>
      </c>
      <c r="BM161" s="75">
        <f t="shared" ref="BM161" ca="1" si="439">BM155</f>
        <v>0</v>
      </c>
      <c r="BP161" s="75">
        <f t="shared" ref="BP161" ca="1" si="440">BP155</f>
        <v>0</v>
      </c>
      <c r="BS161" s="75"/>
      <c r="BV161" s="75">
        <f t="shared" ref="BV161" ca="1" si="441">BV155</f>
        <v>0</v>
      </c>
      <c r="BY161" s="75">
        <f t="shared" ref="BY161" ca="1" si="442">BY155</f>
        <v>0</v>
      </c>
      <c r="CB161" s="75"/>
      <c r="CE161" s="75">
        <f t="shared" ref="CE161" ca="1" si="443">CE155</f>
        <v>0</v>
      </c>
      <c r="CH161" s="75">
        <f t="shared" ref="CH161" ca="1" si="444">CH155</f>
        <v>0</v>
      </c>
      <c r="CK161" s="75">
        <f t="shared" ref="CK161" ca="1" si="445">CK155</f>
        <v>0</v>
      </c>
      <c r="CN161" s="75">
        <f t="shared" ref="CN161" ca="1" si="446">CN155</f>
        <v>0</v>
      </c>
      <c r="CQ161" s="75">
        <f t="shared" ref="CQ161" ca="1" si="447">CQ155</f>
        <v>0</v>
      </c>
      <c r="CT161" s="75">
        <f t="shared" ref="CT161" ca="1" si="448">CT155</f>
        <v>0</v>
      </c>
      <c r="CW161" s="75">
        <f t="shared" ref="CW161" ca="1" si="449">CW155</f>
        <v>0</v>
      </c>
      <c r="CZ161" s="75">
        <f t="shared" ref="CZ161" ca="1" si="450">CZ155</f>
        <v>0</v>
      </c>
      <c r="DC161" s="75">
        <f t="shared" ref="DC161" ca="1" si="451">DC155</f>
        <v>0</v>
      </c>
      <c r="DF161" s="75">
        <f t="shared" ref="DF161" ca="1" si="452">DF155</f>
        <v>0</v>
      </c>
    </row>
    <row r="162" spans="1:110">
      <c r="A162" s="14" t="s">
        <v>69</v>
      </c>
      <c r="B162" s="63">
        <f ca="1">B160-B161</f>
        <v>23.137930715306208</v>
      </c>
      <c r="D162" s="74" t="s">
        <v>66</v>
      </c>
      <c r="E162" s="63">
        <f ca="1">E160-E161</f>
        <v>22.869613939750831</v>
      </c>
      <c r="F162" s="77"/>
      <c r="I162" s="79" t="s">
        <v>74</v>
      </c>
      <c r="J162" s="79">
        <f t="shared" ca="1" si="423"/>
        <v>-3.6533489328557038E-2</v>
      </c>
      <c r="K162" s="48">
        <f ca="1">AVERAGE(Q164:DH164)</f>
        <v>1.4903399393823508E-2</v>
      </c>
      <c r="L162" s="79">
        <f t="shared" ca="1" si="424"/>
        <v>6.6340288116204058E-2</v>
      </c>
      <c r="M162" s="79">
        <f ca="1">STDEV(Q164:DH164)</f>
        <v>3.4291259148253699E-2</v>
      </c>
      <c r="N162" s="45" t="s">
        <v>36</v>
      </c>
      <c r="P162" s="14"/>
      <c r="Q162" s="63">
        <f ca="1">Q160-Q161</f>
        <v>137.82737844642483</v>
      </c>
      <c r="T162" s="63">
        <f t="shared" ref="T162" ca="1" si="453">T160-T161</f>
        <v>132.3760612392883</v>
      </c>
      <c r="W162" s="63">
        <f t="shared" ref="W162" ca="1" si="454">W160-W161</f>
        <v>138.84394637356624</v>
      </c>
      <c r="Z162" s="63">
        <f t="shared" ref="Z162" ca="1" si="455">Z160-Z161</f>
        <v>127.36054447995416</v>
      </c>
      <c r="AC162" s="63">
        <f t="shared" ref="AC162" ca="1" si="456">AC160-AC161</f>
        <v>126.81087371354054</v>
      </c>
      <c r="AF162" s="63"/>
      <c r="AI162" s="63">
        <f t="shared" ref="AI162" ca="1" si="457">AI160-AI161</f>
        <v>0</v>
      </c>
      <c r="AL162" s="63">
        <f t="shared" ref="AL162" ca="1" si="458">AL160-AL161</f>
        <v>0</v>
      </c>
      <c r="AO162" s="63">
        <f t="shared" ref="AO162" ca="1" si="459">AO160-AO161</f>
        <v>0</v>
      </c>
      <c r="AR162" s="63">
        <f t="shared" ref="AR162" ca="1" si="460">AR160-AR161</f>
        <v>0</v>
      </c>
      <c r="AU162" s="63">
        <f t="shared" ref="AU162" ca="1" si="461">AU160-AU161</f>
        <v>0</v>
      </c>
      <c r="AX162" s="63">
        <f t="shared" ref="AX162" ca="1" si="462">AX160-AX161</f>
        <v>0</v>
      </c>
      <c r="BA162" s="63">
        <f t="shared" ref="BA162" ca="1" si="463">BA160-BA161</f>
        <v>0</v>
      </c>
      <c r="BD162" s="63">
        <f t="shared" ref="BD162" ca="1" si="464">BD160-BD161</f>
        <v>0</v>
      </c>
      <c r="BG162" s="63">
        <f t="shared" ref="BG162" ca="1" si="465">BG160-BG161</f>
        <v>0</v>
      </c>
      <c r="BJ162" s="63">
        <f t="shared" ref="BJ162" ca="1" si="466">BJ160-BJ161</f>
        <v>0</v>
      </c>
      <c r="BM162" s="63">
        <f t="shared" ref="BM162" ca="1" si="467">BM160-BM161</f>
        <v>0</v>
      </c>
      <c r="BP162" s="63">
        <f t="shared" ref="BP162" ca="1" si="468">BP160-BP161</f>
        <v>0</v>
      </c>
      <c r="BS162" s="63"/>
      <c r="BV162" s="63">
        <f t="shared" ref="BV162" ca="1" si="469">BV160-BV161</f>
        <v>0</v>
      </c>
      <c r="BY162" s="63">
        <f t="shared" ref="BY162" ca="1" si="470">BY160-BY161</f>
        <v>0</v>
      </c>
      <c r="CB162" s="63"/>
      <c r="CE162" s="63">
        <f t="shared" ref="CE162" ca="1" si="471">CE160-CE161</f>
        <v>0</v>
      </c>
      <c r="CH162" s="63">
        <f t="shared" ref="CH162" ca="1" si="472">CH160-CH161</f>
        <v>0</v>
      </c>
      <c r="CK162" s="63">
        <f t="shared" ref="CK162" ca="1" si="473">CK160-CK161</f>
        <v>0</v>
      </c>
      <c r="CN162" s="63">
        <f t="shared" ref="CN162" ca="1" si="474">CN160-CN161</f>
        <v>0</v>
      </c>
      <c r="CQ162" s="63">
        <f t="shared" ref="CQ162" ca="1" si="475">CQ160-CQ161</f>
        <v>0</v>
      </c>
      <c r="CT162" s="63">
        <f t="shared" ref="CT162" ca="1" si="476">CT160-CT161</f>
        <v>0</v>
      </c>
      <c r="CW162" s="63">
        <f t="shared" ref="CW162" ca="1" si="477">CW160-CW161</f>
        <v>0</v>
      </c>
      <c r="CZ162" s="63">
        <f t="shared" ref="CZ162" ca="1" si="478">CZ160-CZ161</f>
        <v>0</v>
      </c>
      <c r="DC162" s="63">
        <f t="shared" ref="DC162" ca="1" si="479">DC160-DC161</f>
        <v>0</v>
      </c>
      <c r="DF162" s="63">
        <f t="shared" ref="DF162" ca="1" si="480">DF160-DF161</f>
        <v>0</v>
      </c>
    </row>
    <row r="163" spans="1:110">
      <c r="C163" s="29" t="s">
        <v>73</v>
      </c>
      <c r="D163" s="74" t="s">
        <v>0</v>
      </c>
      <c r="E163" s="61">
        <f ca="1">E162/$B162</f>
        <v>0.98840359672363098</v>
      </c>
      <c r="I163" s="80" t="str">
        <f ca="1">partNumber&amp;": INL="&amp;INT(G166*1000+0.5)/10&amp;"% FSR"</f>
        <v>29121: INL=10.4% FSR</v>
      </c>
      <c r="J163" s="80"/>
      <c r="K163" s="80"/>
      <c r="P163" s="74"/>
      <c r="Q163" s="61">
        <f ca="1">Q162/$B162</f>
        <v>5.9567720269492055</v>
      </c>
      <c r="T163" s="61">
        <f t="shared" ref="T163" ca="1" si="481">T162/$B162</f>
        <v>5.7211711309913671</v>
      </c>
      <c r="W163" s="61">
        <f t="shared" ref="W163" ca="1" si="482">W162/$B162</f>
        <v>6.0007071540636163</v>
      </c>
      <c r="Z163" s="61">
        <f t="shared" ref="Z163" ca="1" si="483">Z162/$B162</f>
        <v>5.5044051279703501</v>
      </c>
      <c r="AC163" s="61">
        <f t="shared" ref="AC163" ca="1" si="484">AC162/$B162</f>
        <v>5.4806488650107585</v>
      </c>
      <c r="AI163" s="61">
        <f t="shared" ref="AI163" ca="1" si="485">AI162/$B162</f>
        <v>0</v>
      </c>
      <c r="AL163" s="61">
        <f t="shared" ref="AL163" ca="1" si="486">AL162/$B162</f>
        <v>0</v>
      </c>
      <c r="AO163" s="61">
        <f t="shared" ref="AO163" ca="1" si="487">AO162/$B162</f>
        <v>0</v>
      </c>
      <c r="AR163" s="61">
        <f t="shared" ref="AR163" ca="1" si="488">AR162/$B162</f>
        <v>0</v>
      </c>
      <c r="AU163" s="61">
        <f t="shared" ref="AU163" ca="1" si="489">AU162/$B162</f>
        <v>0</v>
      </c>
      <c r="AX163" s="61">
        <f t="shared" ref="AX163" ca="1" si="490">AX162/$B162</f>
        <v>0</v>
      </c>
      <c r="BA163" s="61">
        <f t="shared" ref="BA163" ca="1" si="491">BA162/$B162</f>
        <v>0</v>
      </c>
      <c r="BD163" s="61">
        <f t="shared" ref="BD163" ca="1" si="492">BD162/$B162</f>
        <v>0</v>
      </c>
      <c r="BG163" s="61">
        <f t="shared" ref="BG163" ca="1" si="493">BG162/$B162</f>
        <v>0</v>
      </c>
      <c r="BJ163" s="61">
        <f t="shared" ref="BJ163" ca="1" si="494">BJ162/$B162</f>
        <v>0</v>
      </c>
      <c r="BM163" s="61">
        <f t="shared" ref="BM163" ca="1" si="495">BM162/$B162</f>
        <v>0</v>
      </c>
      <c r="BP163" s="61">
        <f t="shared" ref="BP163" ca="1" si="496">BP162/$B162</f>
        <v>0</v>
      </c>
      <c r="BV163" s="61">
        <f t="shared" ref="BV163" ca="1" si="497">BV162/$B162</f>
        <v>0</v>
      </c>
      <c r="BY163" s="61">
        <f t="shared" ref="BY163" ca="1" si="498">BY162/$B162</f>
        <v>0</v>
      </c>
      <c r="CE163" s="61">
        <f t="shared" ref="CE163" ca="1" si="499">CE162/$B162</f>
        <v>0</v>
      </c>
      <c r="CH163" s="61">
        <f t="shared" ref="CH163" ca="1" si="500">CH162/$B162</f>
        <v>0</v>
      </c>
      <c r="CK163" s="61">
        <f t="shared" ref="CK163" ca="1" si="501">CK162/$B162</f>
        <v>0</v>
      </c>
      <c r="CN163" s="61">
        <f t="shared" ref="CN163" ca="1" si="502">CN162/$B162</f>
        <v>0</v>
      </c>
      <c r="CQ163" s="61">
        <f t="shared" ref="CQ163" ca="1" si="503">CQ162/$B162</f>
        <v>0</v>
      </c>
      <c r="CT163" s="61">
        <f t="shared" ref="CT163" ca="1" si="504">CT162/$B162</f>
        <v>0</v>
      </c>
      <c r="CW163" s="61">
        <f t="shared" ref="CW163" ca="1" si="505">CW162/$B162</f>
        <v>0</v>
      </c>
      <c r="CZ163" s="61">
        <f t="shared" ref="CZ163" ca="1" si="506">CZ162/$B162</f>
        <v>0</v>
      </c>
      <c r="DC163" s="61">
        <f t="shared" ref="DC163" ca="1" si="507">DC162/$B162</f>
        <v>0</v>
      </c>
      <c r="DF163" s="61">
        <f t="shared" ref="DF163" ca="1" si="508">DF162/$B162</f>
        <v>0</v>
      </c>
    </row>
    <row r="164" spans="1:110">
      <c r="C164" s="29" t="s">
        <v>74</v>
      </c>
      <c r="D164" s="74" t="s">
        <v>1</v>
      </c>
      <c r="E164" s="61">
        <f ca="1">E161-E163*$B161</f>
        <v>1.4903399393823511E-2</v>
      </c>
      <c r="P164" s="74"/>
      <c r="Q164" s="61">
        <f ca="1">Q161-Q163*$B161</f>
        <v>0.10093032045467618</v>
      </c>
      <c r="T164" s="61">
        <f t="shared" ref="T164" ca="1" si="509">T161-T163*$B161</f>
        <v>0.10461724653556227</v>
      </c>
      <c r="W164" s="61">
        <f t="shared" ref="W164" ca="1" si="510">W161-W163*$B161</f>
        <v>9.9125891414393361E-2</v>
      </c>
      <c r="Z164" s="61">
        <f t="shared" ref="Z164" ca="1" si="511">Z161-Z163*$B161</f>
        <v>5.1989882484035313E-2</v>
      </c>
      <c r="AC164" s="61">
        <f t="shared" ref="AC164" ca="1" si="512">AC161-AC163*$B161</f>
        <v>7.5535241532214609E-2</v>
      </c>
      <c r="AI164" s="61">
        <f t="shared" ref="AI164" ca="1" si="513">AI161-AI163*$B161</f>
        <v>0</v>
      </c>
      <c r="AL164" s="61">
        <f t="shared" ref="AL164" ca="1" si="514">AL161-AL163*$B161</f>
        <v>0</v>
      </c>
      <c r="AO164" s="61">
        <f t="shared" ref="AO164" ca="1" si="515">AO161-AO163*$B161</f>
        <v>0</v>
      </c>
      <c r="AR164" s="61">
        <f t="shared" ref="AR164" ca="1" si="516">AR161-AR163*$B161</f>
        <v>0</v>
      </c>
      <c r="AU164" s="61">
        <f t="shared" ref="AU164" ca="1" si="517">AU161-AU163*$B161</f>
        <v>0</v>
      </c>
      <c r="AX164" s="61">
        <f t="shared" ref="AX164" ca="1" si="518">AX161-AX163*$B161</f>
        <v>0</v>
      </c>
      <c r="BA164" s="61">
        <f t="shared" ref="BA164" ca="1" si="519">BA161-BA163*$B161</f>
        <v>0</v>
      </c>
      <c r="BD164" s="61">
        <f t="shared" ref="BD164" ca="1" si="520">BD161-BD163*$B161</f>
        <v>0</v>
      </c>
      <c r="BG164" s="61">
        <f t="shared" ref="BG164" ca="1" si="521">BG161-BG163*$B161</f>
        <v>0</v>
      </c>
      <c r="BJ164" s="61">
        <f t="shared" ref="BJ164" ca="1" si="522">BJ161-BJ163*$B161</f>
        <v>0</v>
      </c>
      <c r="BM164" s="61">
        <f t="shared" ref="BM164" ca="1" si="523">BM161-BM163*$B161</f>
        <v>0</v>
      </c>
      <c r="BP164" s="61">
        <f t="shared" ref="BP164" ca="1" si="524">BP161-BP163*$B161</f>
        <v>0</v>
      </c>
      <c r="BV164" s="61">
        <f t="shared" ref="BV164" ca="1" si="525">BV161-BV163*$B161</f>
        <v>0</v>
      </c>
      <c r="BY164" s="61">
        <f t="shared" ref="BY164" ca="1" si="526">BY161-BY163*$B161</f>
        <v>0</v>
      </c>
      <c r="CE164" s="61">
        <f t="shared" ref="CE164" ca="1" si="527">CE161-CE163*$B161</f>
        <v>0</v>
      </c>
      <c r="CH164" s="61">
        <f t="shared" ref="CH164" ca="1" si="528">CH161-CH163*$B161</f>
        <v>0</v>
      </c>
      <c r="CK164" s="61">
        <f t="shared" ref="CK164" ca="1" si="529">CK161-CK163*$B161</f>
        <v>0</v>
      </c>
      <c r="CN164" s="61">
        <f t="shared" ref="CN164" ca="1" si="530">CN161-CN163*$B161</f>
        <v>0</v>
      </c>
      <c r="CQ164" s="61">
        <f t="shared" ref="CQ164" ca="1" si="531">CQ161-CQ163*$B161</f>
        <v>0</v>
      </c>
      <c r="CT164" s="61">
        <f t="shared" ref="CT164" ca="1" si="532">CT161-CT163*$B161</f>
        <v>0</v>
      </c>
      <c r="CW164" s="61">
        <f t="shared" ref="CW164" ca="1" si="533">CW161-CW163*$B161</f>
        <v>0</v>
      </c>
      <c r="CZ164" s="61">
        <f t="shared" ref="CZ164" ca="1" si="534">CZ161-CZ163*$B161</f>
        <v>0</v>
      </c>
      <c r="DC164" s="61">
        <f t="shared" ref="DC164" ca="1" si="535">DC161-DC163*$B161</f>
        <v>0</v>
      </c>
      <c r="DF164" s="61">
        <f t="shared" ref="DF164" ca="1" si="536">DF161-DF163*$B161</f>
        <v>0</v>
      </c>
    </row>
    <row r="165" spans="1:110" ht="15.75" thickBot="1">
      <c r="B165" s="113" t="str">
        <f>B1</f>
        <v>Calibration</v>
      </c>
      <c r="C165" s="113"/>
      <c r="D165" s="74"/>
      <c r="H165" s="114" t="s">
        <v>72</v>
      </c>
      <c r="I165" s="114"/>
      <c r="J165" s="114"/>
      <c r="K165" s="114"/>
      <c r="L165" s="101" t="s">
        <v>71</v>
      </c>
      <c r="M165" s="101"/>
      <c r="N165" s="101"/>
      <c r="O165" s="101"/>
      <c r="P165" s="74"/>
    </row>
    <row r="166" spans="1:110" ht="15.75" thickBot="1">
      <c r="B166" s="75" t="str">
        <f>B2</f>
        <v>Lux</v>
      </c>
      <c r="C166" s="74" t="str">
        <f>C2</f>
        <v>CCT</v>
      </c>
      <c r="D166" s="74"/>
      <c r="F166" s="61">
        <f ca="1">MAX(F167:F191)</f>
        <v>23.151758163574332</v>
      </c>
      <c r="G166" s="82">
        <f ca="1">MAX(G167:G191)</f>
        <v>0.10428586012878971</v>
      </c>
      <c r="H166" s="74" t="str">
        <f t="shared" ref="H166:O166" si="537">H2</f>
        <v>-1.5σ</v>
      </c>
      <c r="I166" s="74" t="str">
        <f t="shared" si="537"/>
        <v>AVG</v>
      </c>
      <c r="J166" s="74" t="str">
        <f t="shared" si="537"/>
        <v>+1.5σ</v>
      </c>
      <c r="K166" s="74" t="str">
        <f t="shared" si="537"/>
        <v>STDEV</v>
      </c>
      <c r="L166" s="74" t="str">
        <f t="shared" si="537"/>
        <v>-1.5σ</v>
      </c>
      <c r="M166" s="74" t="str">
        <f t="shared" si="537"/>
        <v>AVG</v>
      </c>
      <c r="N166" s="74" t="str">
        <f t="shared" si="537"/>
        <v>+1.5σ</v>
      </c>
      <c r="O166" s="74" t="str">
        <f t="shared" si="537"/>
        <v>STDEV</v>
      </c>
      <c r="P166" s="74"/>
    </row>
    <row r="167" spans="1:110">
      <c r="A167" s="14">
        <f>A3</f>
        <v>1</v>
      </c>
      <c r="B167" s="63">
        <f ca="1">B3</f>
        <v>23.151758163574332</v>
      </c>
      <c r="C167" s="63">
        <f>C3</f>
        <v>3933.1</v>
      </c>
      <c r="E167" s="61">
        <f t="shared" ref="E167:E191" ca="1" si="538">inlError($B$167:$B$191,M$131:M$155,$P$131:$P$155,E$163:E$164,$A167)</f>
        <v>5.0012613428407349E-7</v>
      </c>
      <c r="F167" s="61">
        <f t="shared" ref="F167:F191" ca="1" si="539">B167*(P131=TRUE)</f>
        <v>23.151758163574332</v>
      </c>
      <c r="G167" s="2">
        <f ca="1">MAX(ABS(H167),ABS(J167))</f>
        <v>1.0580940724238535E-7</v>
      </c>
      <c r="H167" s="12">
        <f t="shared" ref="H167:H191" ca="1" si="540">L167/$F$166</f>
        <v>-1.0580940724238535E-7</v>
      </c>
      <c r="I167" s="12">
        <f t="shared" ref="I167:I191" ca="1" si="541">M167/$F$166</f>
        <v>-1.3326089836163488E-8</v>
      </c>
      <c r="J167" s="12">
        <f t="shared" ref="J167:J191" ca="1" si="542">N167/$F$166</f>
        <v>7.9157227570058376E-8</v>
      </c>
      <c r="K167" s="12">
        <f t="shared" ref="K167:K191" ca="1" si="543">O167/$F$166</f>
        <v>6.1655544937481236E-8</v>
      </c>
      <c r="L167" s="61">
        <f t="shared" ref="L167:L191" ca="1" si="544">M167-1.5*O167</f>
        <v>-2.4496738079068559E-6</v>
      </c>
      <c r="M167" s="63">
        <f t="shared" ref="M167:M191" ca="1" si="545">AVERAGE(Q167:DH167)</f>
        <v>-3.0852240915292297E-7</v>
      </c>
      <c r="N167" s="61">
        <f t="shared" ref="N167:N191" ca="1" si="546">M167+1.5*O167</f>
        <v>1.8326289896010102E-6</v>
      </c>
      <c r="O167" s="61">
        <f t="shared" ref="O167:O191" ca="1" si="547">STDEV(Q167:DH167)</f>
        <v>1.4274342658359552E-6</v>
      </c>
      <c r="Q167" s="61">
        <f t="shared" ref="Q167:Q191" ca="1" si="548">inlError($B$167:$B$191,Q$131:Q$155,$P$131:$P$155,Q$163:Q$164,$A167)</f>
        <v>-4.0853378777683247E-6</v>
      </c>
      <c r="T167" s="61">
        <f t="shared" ref="T167:T182" ca="1" si="549">inlError($B$167:$B$191,T$131:T$155,$P$131:$P$155,T$163:T$164,$A167)</f>
        <v>-5.2967543524573557E-6</v>
      </c>
      <c r="W167" s="61">
        <f t="shared" ref="W167:W182" ca="1" si="550">inlError($B$167:$B$191,W$131:W$155,$P$131:$P$155,W$163:W$164,$A167)</f>
        <v>-1.0501622682568268E-7</v>
      </c>
      <c r="Z167" s="61">
        <f t="shared" ref="Z167:Z182" ca="1" si="551">inlError($B$167:$B$191,Z$131:Z$155,$P$131:$P$155,Z$163:Z$164,$A167)</f>
        <v>-2.4603978090453893E-6</v>
      </c>
      <c r="AC167" s="61">
        <f t="shared" ref="AC167:AC182" ca="1" si="552">inlError($B$167:$B$191,AC$131:AC$155,$P$131:$P$155,AC$163:AC$164,$A167)</f>
        <v>3.0003564006619854E-6</v>
      </c>
      <c r="AI167" s="61">
        <f t="shared" ref="AI167:AI182" ca="1" si="553">inlError($B$167:$B$191,AI$131:AI$155,$P$131:$P$155,AI$163:AI$164,$A167)</f>
        <v>0</v>
      </c>
      <c r="AL167" s="61">
        <f t="shared" ref="AL167:AL182" ca="1" si="554">inlError($B$167:$B$191,AL$131:AL$155,$P$131:$P$155,AL$163:AL$164,$A167)</f>
        <v>0</v>
      </c>
      <c r="AO167" s="61">
        <f t="shared" ref="AO167:AO182" ca="1" si="555">inlError($B$167:$B$191,AO$131:AO$155,$P$131:$P$155,AO$163:AO$164,$A167)</f>
        <v>0</v>
      </c>
      <c r="AR167" s="61">
        <f t="shared" ref="AR167:AR182" ca="1" si="556">inlError($B$167:$B$191,AR$131:AR$155,$P$131:$P$155,AR$163:AR$164,$A167)</f>
        <v>0</v>
      </c>
      <c r="AU167" s="61">
        <f t="shared" ref="AU167:AU182" ca="1" si="557">inlError($B$167:$B$191,AU$131:AU$155,$P$131:$P$155,AU$163:AU$164,$A167)</f>
        <v>0</v>
      </c>
      <c r="AX167" s="61">
        <f t="shared" ref="AX167:AX182" ca="1" si="558">inlError($B$167:$B$191,AX$131:AX$155,$P$131:$P$155,AX$163:AX$164,$A167)</f>
        <v>0</v>
      </c>
      <c r="BA167" s="61">
        <f t="shared" ref="BA167:BA182" ca="1" si="559">inlError($B$167:$B$191,BA$131:BA$155,$P$131:$P$155,BA$163:BA$164,$A167)</f>
        <v>0</v>
      </c>
      <c r="BD167" s="61">
        <f t="shared" ref="BD167:BD182" ca="1" si="560">inlError($B$167:$B$191,BD$131:BD$155,$P$131:$P$155,BD$163:BD$164,$A167)</f>
        <v>0</v>
      </c>
      <c r="BG167" s="61">
        <f t="shared" ref="BG167:BG182" ca="1" si="561">inlError($B$167:$B$191,BG$131:BG$155,$P$131:$P$155,BG$163:BG$164,$A167)</f>
        <v>0</v>
      </c>
      <c r="BJ167" s="61">
        <f t="shared" ref="BJ167:BJ182" ca="1" si="562">inlError($B$167:$B$191,BJ$131:BJ$155,$P$131:$P$155,BJ$163:BJ$164,$A167)</f>
        <v>0</v>
      </c>
      <c r="BM167" s="61">
        <f t="shared" ref="BM167:BM182" ca="1" si="563">inlError($B$167:$B$191,BM$131:BM$155,$P$131:$P$155,BM$163:BM$164,$A167)</f>
        <v>0</v>
      </c>
      <c r="BP167" s="61">
        <f t="shared" ref="BP167:BP182" ca="1" si="564">inlError($B$167:$B$191,BP$131:BP$155,$P$131:$P$155,BP$163:BP$164,$A167)</f>
        <v>0</v>
      </c>
      <c r="BV167" s="61">
        <f t="shared" ref="BV167:BV182" ca="1" si="565">inlError($B$167:$B$191,BV$131:BV$155,$P$131:$P$155,BV$163:BV$164,$A167)</f>
        <v>0</v>
      </c>
      <c r="BY167" s="61">
        <f t="shared" ref="BY167:BY182" ca="1" si="566">inlError($B$167:$B$191,BY$131:BY$155,$P$131:$P$155,BY$163:BY$164,$A167)</f>
        <v>0</v>
      </c>
      <c r="CE167" s="61">
        <f t="shared" ref="CE167:CE182" ca="1" si="567">inlError($B$167:$B$191,CE$131:CE$155,$P$131:$P$155,CE$163:CE$164,$A167)</f>
        <v>0</v>
      </c>
      <c r="CH167" s="61">
        <f t="shared" ref="CH167:CH182" ca="1" si="568">inlError($B$167:$B$191,CH$131:CH$155,$P$131:$P$155,CH$163:CH$164,$A167)</f>
        <v>0</v>
      </c>
      <c r="CK167" s="61">
        <f t="shared" ref="CK167:CK182" ca="1" si="569">inlError($B$167:$B$191,CK$131:CK$155,$P$131:$P$155,CK$163:CK$164,$A167)</f>
        <v>0</v>
      </c>
      <c r="CN167" s="61">
        <f t="shared" ref="CN167:CN182" ca="1" si="570">inlError($B$167:$B$191,CN$131:CN$155,$P$131:$P$155,CN$163:CN$164,$A167)</f>
        <v>0</v>
      </c>
      <c r="CQ167" s="61">
        <f t="shared" ref="CQ167:CQ182" ca="1" si="571">inlError($B$167:$B$191,CQ$131:CQ$155,$P$131:$P$155,CQ$163:CQ$164,$A167)</f>
        <v>0</v>
      </c>
      <c r="CT167" s="61">
        <f t="shared" ref="CT167:CT182" ca="1" si="572">inlError($B$167:$B$191,CT$131:CT$155,$P$131:$P$155,CT$163:CT$164,$A167)</f>
        <v>0</v>
      </c>
      <c r="CW167" s="61">
        <f t="shared" ref="CW167:CW182" ca="1" si="573">inlError($B$167:$B$191,CW$131:CW$155,$P$131:$P$155,CW$163:CW$164,$A167)</f>
        <v>0</v>
      </c>
      <c r="CZ167" s="61">
        <f t="shared" ref="CZ167:CZ182" ca="1" si="574">inlError($B$167:$B$191,CZ$131:CZ$155,$P$131:$P$155,CZ$163:CZ$164,$A167)</f>
        <v>0</v>
      </c>
      <c r="DC167" s="61">
        <f t="shared" ref="DC167:DC182" ca="1" si="575">inlError($B$167:$B$191,DC$131:DC$155,$P$131:$P$155,DC$163:DC$164,$A167)</f>
        <v>0</v>
      </c>
      <c r="DF167" s="61">
        <f t="shared" ref="DF167:DF182" ca="1" si="576">inlError($B$167:$B$191,DF$131:DF$155,$P$131:$P$155,DF$163:DF$164,$A167)</f>
        <v>0</v>
      </c>
    </row>
    <row r="168" spans="1:110">
      <c r="A168" s="14">
        <f t="shared" ref="A168:C168" si="577">A4</f>
        <v>2</v>
      </c>
      <c r="B168" s="63">
        <f t="shared" ca="1" si="577"/>
        <v>18.852958021449371</v>
      </c>
      <c r="C168" s="63">
        <f t="shared" si="577"/>
        <v>3954.7</v>
      </c>
      <c r="E168" s="61">
        <f t="shared" ca="1" si="538"/>
        <v>-0.18063630163669586</v>
      </c>
      <c r="F168" s="61">
        <f t="shared" ca="1" si="539"/>
        <v>18.852958021449371</v>
      </c>
      <c r="G168" s="2">
        <f t="shared" ref="G168:G191" ca="1" si="578">MAX(ABS(H168),ABS(J168))</f>
        <v>0.10428586012878971</v>
      </c>
      <c r="H168" s="12">
        <f t="shared" ca="1" si="540"/>
        <v>-0.10428586012878971</v>
      </c>
      <c r="I168" s="12">
        <f t="shared" ca="1" si="541"/>
        <v>-7.8023000261609431E-3</v>
      </c>
      <c r="J168" s="12">
        <f t="shared" ca="1" si="542"/>
        <v>8.868126007646783E-2</v>
      </c>
      <c r="K168" s="12">
        <f t="shared" ca="1" si="543"/>
        <v>6.4322373401752508E-2</v>
      </c>
      <c r="L168" s="61">
        <f t="shared" ca="1" si="544"/>
        <v>-2.4144010135820779</v>
      </c>
      <c r="M168" s="63">
        <f t="shared" ca="1" si="545"/>
        <v>-0.18063696332532783</v>
      </c>
      <c r="N168" s="61">
        <f t="shared" ca="1" si="546"/>
        <v>2.0531270869314224</v>
      </c>
      <c r="O168" s="61">
        <f t="shared" ca="1" si="547"/>
        <v>1.4891760335045001</v>
      </c>
      <c r="P168" s="74"/>
      <c r="Q168" s="61">
        <f t="shared" ca="1" si="548"/>
        <v>-7.7647833824157715</v>
      </c>
      <c r="T168" s="61">
        <f t="shared" ca="1" si="549"/>
        <v>0.33534517884254456</v>
      </c>
      <c r="W168" s="61">
        <f t="shared" ca="1" si="550"/>
        <v>-2.0551722496747971E-2</v>
      </c>
      <c r="Z168" s="61">
        <f t="shared" ca="1" si="551"/>
        <v>0.7973896861076355</v>
      </c>
      <c r="AC168" s="61">
        <f t="shared" ca="1" si="552"/>
        <v>1.414128303527832</v>
      </c>
      <c r="AI168" s="61">
        <f t="shared" ca="1" si="553"/>
        <v>0</v>
      </c>
      <c r="AL168" s="61">
        <f t="shared" ca="1" si="554"/>
        <v>0</v>
      </c>
      <c r="AO168" s="61">
        <f t="shared" ca="1" si="555"/>
        <v>0</v>
      </c>
      <c r="AR168" s="61">
        <f t="shared" ca="1" si="556"/>
        <v>0</v>
      </c>
      <c r="AU168" s="61">
        <f t="shared" ca="1" si="557"/>
        <v>0</v>
      </c>
      <c r="AX168" s="61">
        <f t="shared" ca="1" si="558"/>
        <v>0</v>
      </c>
      <c r="BA168" s="61">
        <f t="shared" ca="1" si="559"/>
        <v>0</v>
      </c>
      <c r="BD168" s="61">
        <f t="shared" ca="1" si="560"/>
        <v>0</v>
      </c>
      <c r="BG168" s="61">
        <f t="shared" ca="1" si="561"/>
        <v>0</v>
      </c>
      <c r="BJ168" s="61">
        <f t="shared" ca="1" si="562"/>
        <v>0</v>
      </c>
      <c r="BM168" s="61">
        <f t="shared" ca="1" si="563"/>
        <v>0</v>
      </c>
      <c r="BP168" s="61">
        <f t="shared" ca="1" si="564"/>
        <v>0</v>
      </c>
      <c r="BV168" s="61">
        <f t="shared" ca="1" si="565"/>
        <v>0</v>
      </c>
      <c r="BY168" s="61">
        <f t="shared" ca="1" si="566"/>
        <v>0</v>
      </c>
      <c r="CE168" s="61">
        <f t="shared" ca="1" si="567"/>
        <v>0</v>
      </c>
      <c r="CH168" s="61">
        <f t="shared" ca="1" si="568"/>
        <v>0</v>
      </c>
      <c r="CK168" s="61">
        <f t="shared" ca="1" si="569"/>
        <v>0</v>
      </c>
      <c r="CN168" s="61">
        <f t="shared" ca="1" si="570"/>
        <v>0</v>
      </c>
      <c r="CQ168" s="61">
        <f t="shared" ca="1" si="571"/>
        <v>0</v>
      </c>
      <c r="CT168" s="61">
        <f t="shared" ca="1" si="572"/>
        <v>0</v>
      </c>
      <c r="CW168" s="61">
        <f t="shared" ca="1" si="573"/>
        <v>0</v>
      </c>
      <c r="CZ168" s="61">
        <f t="shared" ca="1" si="574"/>
        <v>0</v>
      </c>
      <c r="DC168" s="61">
        <f t="shared" ca="1" si="575"/>
        <v>0</v>
      </c>
      <c r="DF168" s="61">
        <f t="shared" ca="1" si="576"/>
        <v>0</v>
      </c>
    </row>
    <row r="169" spans="1:110">
      <c r="A169" s="14">
        <f t="shared" ref="A169:C169" si="579">A5</f>
        <v>3</v>
      </c>
      <c r="B169" s="63">
        <f t="shared" ca="1" si="579"/>
        <v>15.437578208746091</v>
      </c>
      <c r="C169" s="63">
        <f t="shared" si="579"/>
        <v>3988.4</v>
      </c>
      <c r="E169" s="61">
        <f t="shared" ca="1" si="538"/>
        <v>-5.3295481950044632E-2</v>
      </c>
      <c r="F169" s="61">
        <f t="shared" ca="1" si="539"/>
        <v>15.437578208746091</v>
      </c>
      <c r="G169" s="2">
        <f t="shared" ca="1" si="578"/>
        <v>7.4418767897280177E-2</v>
      </c>
      <c r="H169" s="12">
        <f t="shared" ca="1" si="540"/>
        <v>-7.4418767897280177E-2</v>
      </c>
      <c r="I169" s="12">
        <f t="shared" ca="1" si="541"/>
        <v>-2.3020291700707207E-3</v>
      </c>
      <c r="J169" s="12">
        <f t="shared" ca="1" si="542"/>
        <v>6.9814709557138727E-2</v>
      </c>
      <c r="K169" s="12">
        <f t="shared" ca="1" si="543"/>
        <v>4.8077825818139637E-2</v>
      </c>
      <c r="L169" s="61">
        <f t="shared" ca="1" si="544"/>
        <v>-1.7229253171889998</v>
      </c>
      <c r="M169" s="63">
        <f t="shared" ca="1" si="545"/>
        <v>-5.3296022630971052E-2</v>
      </c>
      <c r="N169" s="61">
        <f t="shared" ca="1" si="546"/>
        <v>1.6163332719270576</v>
      </c>
      <c r="O169" s="61">
        <f t="shared" ca="1" si="547"/>
        <v>1.1130861963720191</v>
      </c>
      <c r="P169" s="74"/>
      <c r="Q169" s="61">
        <f t="shared" ca="1" si="548"/>
        <v>8.2173138856887817E-2</v>
      </c>
      <c r="T169" s="61">
        <f t="shared" ca="1" si="549"/>
        <v>1.7251592874526978</v>
      </c>
      <c r="W169" s="61">
        <f t="shared" ca="1" si="550"/>
        <v>-5.3251466751098633</v>
      </c>
      <c r="Z169" s="61">
        <f t="shared" ca="1" si="551"/>
        <v>1.8487616777420044</v>
      </c>
      <c r="AC169" s="61">
        <f t="shared" ca="1" si="552"/>
        <v>0.12346791476011276</v>
      </c>
      <c r="AI169" s="61">
        <f t="shared" ca="1" si="553"/>
        <v>0</v>
      </c>
      <c r="AL169" s="61">
        <f t="shared" ca="1" si="554"/>
        <v>0</v>
      </c>
      <c r="AO169" s="61">
        <f t="shared" ca="1" si="555"/>
        <v>0</v>
      </c>
      <c r="AR169" s="61">
        <f t="shared" ca="1" si="556"/>
        <v>0</v>
      </c>
      <c r="AU169" s="61">
        <f t="shared" ca="1" si="557"/>
        <v>0</v>
      </c>
      <c r="AX169" s="61">
        <f t="shared" ca="1" si="558"/>
        <v>0</v>
      </c>
      <c r="BA169" s="61">
        <f t="shared" ca="1" si="559"/>
        <v>0</v>
      </c>
      <c r="BD169" s="61">
        <f t="shared" ca="1" si="560"/>
        <v>0</v>
      </c>
      <c r="BG169" s="61">
        <f t="shared" ca="1" si="561"/>
        <v>0</v>
      </c>
      <c r="BJ169" s="61">
        <f t="shared" ca="1" si="562"/>
        <v>0</v>
      </c>
      <c r="BM169" s="61">
        <f t="shared" ca="1" si="563"/>
        <v>0</v>
      </c>
      <c r="BP169" s="61">
        <f t="shared" ca="1" si="564"/>
        <v>0</v>
      </c>
      <c r="BV169" s="61">
        <f t="shared" ca="1" si="565"/>
        <v>0</v>
      </c>
      <c r="BY169" s="61">
        <f t="shared" ca="1" si="566"/>
        <v>0</v>
      </c>
      <c r="CE169" s="61">
        <f t="shared" ca="1" si="567"/>
        <v>0</v>
      </c>
      <c r="CH169" s="61">
        <f t="shared" ca="1" si="568"/>
        <v>0</v>
      </c>
      <c r="CK169" s="61">
        <f t="shared" ca="1" si="569"/>
        <v>0</v>
      </c>
      <c r="CN169" s="61">
        <f t="shared" ca="1" si="570"/>
        <v>0</v>
      </c>
      <c r="CQ169" s="61">
        <f t="shared" ca="1" si="571"/>
        <v>0</v>
      </c>
      <c r="CT169" s="61">
        <f t="shared" ca="1" si="572"/>
        <v>0</v>
      </c>
      <c r="CW169" s="61">
        <f t="shared" ca="1" si="573"/>
        <v>0</v>
      </c>
      <c r="CZ169" s="61">
        <f t="shared" ca="1" si="574"/>
        <v>0</v>
      </c>
      <c r="DC169" s="61">
        <f t="shared" ca="1" si="575"/>
        <v>0</v>
      </c>
      <c r="DF169" s="61">
        <f t="shared" ca="1" si="576"/>
        <v>0</v>
      </c>
    </row>
    <row r="170" spans="1:110">
      <c r="A170" s="14">
        <f t="shared" ref="A170:C170" si="580">A6</f>
        <v>4</v>
      </c>
      <c r="B170" s="63">
        <f t="shared" ca="1" si="580"/>
        <v>12.825726800021135</v>
      </c>
      <c r="C170" s="63">
        <f t="shared" si="580"/>
        <v>3978.3</v>
      </c>
      <c r="E170" s="61">
        <f t="shared" ca="1" si="538"/>
        <v>-0.13382862508296967</v>
      </c>
      <c r="F170" s="61">
        <f t="shared" ca="1" si="539"/>
        <v>12.825726800021135</v>
      </c>
      <c r="G170" s="2">
        <f t="shared" ca="1" si="578"/>
        <v>4.9187284528454965E-2</v>
      </c>
      <c r="H170" s="12">
        <f t="shared" ca="1" si="540"/>
        <v>-4.9187284528454965E-2</v>
      </c>
      <c r="I170" s="12">
        <f t="shared" ca="1" si="541"/>
        <v>-5.7805145731126377E-3</v>
      </c>
      <c r="J170" s="12">
        <f t="shared" ca="1" si="542"/>
        <v>3.762625538222969E-2</v>
      </c>
      <c r="K170" s="12">
        <f t="shared" ca="1" si="543"/>
        <v>2.8937846636894887E-2</v>
      </c>
      <c r="L170" s="61">
        <f t="shared" ca="1" si="544"/>
        <v>-1.1387721161257107</v>
      </c>
      <c r="M170" s="63">
        <f t="shared" ca="1" si="545"/>
        <v>-0.13382907545772091</v>
      </c>
      <c r="N170" s="61">
        <f t="shared" ca="1" si="546"/>
        <v>0.87111396521026885</v>
      </c>
      <c r="O170" s="61">
        <f t="shared" ca="1" si="547"/>
        <v>0.66996202711199326</v>
      </c>
      <c r="Q170" s="61">
        <f t="shared" ca="1" si="548"/>
        <v>-1.1074756383895874</v>
      </c>
      <c r="T170" s="61">
        <f t="shared" ca="1" si="549"/>
        <v>-3.2375152111053467</v>
      </c>
      <c r="W170" s="61">
        <f t="shared" ca="1" si="550"/>
        <v>-0.10803394764661789</v>
      </c>
      <c r="Z170" s="61">
        <f t="shared" ca="1" si="551"/>
        <v>1.0618489980697632</v>
      </c>
      <c r="AC170" s="61">
        <f t="shared" ca="1" si="552"/>
        <v>-0.48986738920211792</v>
      </c>
      <c r="AI170" s="61">
        <f t="shared" ca="1" si="553"/>
        <v>0</v>
      </c>
      <c r="AL170" s="61">
        <f t="shared" ca="1" si="554"/>
        <v>0</v>
      </c>
      <c r="AO170" s="61">
        <f t="shared" ca="1" si="555"/>
        <v>0</v>
      </c>
      <c r="AR170" s="61">
        <f t="shared" ca="1" si="556"/>
        <v>0</v>
      </c>
      <c r="AU170" s="61">
        <f t="shared" ca="1" si="557"/>
        <v>0</v>
      </c>
      <c r="AX170" s="61">
        <f t="shared" ca="1" si="558"/>
        <v>0</v>
      </c>
      <c r="BA170" s="61">
        <f t="shared" ca="1" si="559"/>
        <v>0</v>
      </c>
      <c r="BD170" s="61">
        <f t="shared" ca="1" si="560"/>
        <v>0</v>
      </c>
      <c r="BG170" s="61">
        <f t="shared" ca="1" si="561"/>
        <v>0</v>
      </c>
      <c r="BJ170" s="61">
        <f t="shared" ca="1" si="562"/>
        <v>0</v>
      </c>
      <c r="BM170" s="61">
        <f t="shared" ca="1" si="563"/>
        <v>0</v>
      </c>
      <c r="BP170" s="61">
        <f t="shared" ca="1" si="564"/>
        <v>0</v>
      </c>
      <c r="BV170" s="61">
        <f t="shared" ca="1" si="565"/>
        <v>0</v>
      </c>
      <c r="BY170" s="61">
        <f t="shared" ca="1" si="566"/>
        <v>0</v>
      </c>
      <c r="CE170" s="61">
        <f t="shared" ca="1" si="567"/>
        <v>0</v>
      </c>
      <c r="CH170" s="61">
        <f t="shared" ca="1" si="568"/>
        <v>0</v>
      </c>
      <c r="CK170" s="61">
        <f t="shared" ca="1" si="569"/>
        <v>0</v>
      </c>
      <c r="CN170" s="61">
        <f t="shared" ca="1" si="570"/>
        <v>0</v>
      </c>
      <c r="CQ170" s="61">
        <f t="shared" ca="1" si="571"/>
        <v>0</v>
      </c>
      <c r="CT170" s="61">
        <f t="shared" ca="1" si="572"/>
        <v>0</v>
      </c>
      <c r="CW170" s="61">
        <f t="shared" ca="1" si="573"/>
        <v>0</v>
      </c>
      <c r="CZ170" s="61">
        <f t="shared" ca="1" si="574"/>
        <v>0</v>
      </c>
      <c r="DC170" s="61">
        <f t="shared" ca="1" si="575"/>
        <v>0</v>
      </c>
      <c r="DF170" s="61">
        <f t="shared" ca="1" si="576"/>
        <v>0</v>
      </c>
    </row>
    <row r="171" spans="1:110">
      <c r="A171" s="14">
        <f t="shared" ref="A171:C171" si="581">A7</f>
        <v>5</v>
      </c>
      <c r="B171" s="63">
        <f t="shared" ca="1" si="581"/>
        <v>9.4994572118508245</v>
      </c>
      <c r="C171" s="63">
        <f t="shared" si="581"/>
        <v>3960.5</v>
      </c>
      <c r="E171" s="61">
        <f t="shared" ca="1" si="538"/>
        <v>-0.15071085095405579</v>
      </c>
      <c r="F171" s="61">
        <f t="shared" ca="1" si="539"/>
        <v>9.4994572118508245</v>
      </c>
      <c r="G171" s="2">
        <f t="shared" ca="1" si="578"/>
        <v>3.6259085089522962E-2</v>
      </c>
      <c r="H171" s="12">
        <f t="shared" ca="1" si="540"/>
        <v>-3.6259085089522962E-2</v>
      </c>
      <c r="I171" s="12">
        <f t="shared" ca="1" si="541"/>
        <v>-6.5097078612646334E-3</v>
      </c>
      <c r="J171" s="12">
        <f t="shared" ca="1" si="542"/>
        <v>2.3239669366993697E-2</v>
      </c>
      <c r="K171" s="12">
        <f t="shared" ca="1" si="543"/>
        <v>1.9832918152172221E-2</v>
      </c>
      <c r="L171" s="61">
        <f t="shared" ca="1" si="544"/>
        <v>-0.83946156922509962</v>
      </c>
      <c r="M171" s="63">
        <f t="shared" ca="1" si="545"/>
        <v>-0.15071118211951748</v>
      </c>
      <c r="N171" s="61">
        <f t="shared" ca="1" si="546"/>
        <v>0.53803920498606461</v>
      </c>
      <c r="O171" s="61">
        <f t="shared" ca="1" si="547"/>
        <v>0.45916692473705473</v>
      </c>
      <c r="Q171" s="61">
        <f t="shared" ca="1" si="548"/>
        <v>-2.0693840980529785</v>
      </c>
      <c r="T171" s="61">
        <f t="shared" ca="1" si="549"/>
        <v>-0.43259179592132568</v>
      </c>
      <c r="W171" s="61">
        <f t="shared" ca="1" si="550"/>
        <v>-1.3847434520721436</v>
      </c>
      <c r="Z171" s="61">
        <f t="shared" ca="1" si="551"/>
        <v>-7.1689821779727936E-2</v>
      </c>
      <c r="AC171" s="61">
        <f t="shared" ca="1" si="552"/>
        <v>-0.41221511363983154</v>
      </c>
      <c r="AI171" s="61">
        <f t="shared" ca="1" si="553"/>
        <v>0</v>
      </c>
      <c r="AL171" s="61">
        <f t="shared" ca="1" si="554"/>
        <v>0</v>
      </c>
      <c r="AO171" s="61">
        <f t="shared" ca="1" si="555"/>
        <v>0</v>
      </c>
      <c r="AR171" s="61">
        <f t="shared" ca="1" si="556"/>
        <v>0</v>
      </c>
      <c r="AU171" s="61">
        <f t="shared" ca="1" si="557"/>
        <v>0</v>
      </c>
      <c r="AX171" s="61">
        <f t="shared" ca="1" si="558"/>
        <v>0</v>
      </c>
      <c r="BA171" s="61">
        <f t="shared" ca="1" si="559"/>
        <v>0</v>
      </c>
      <c r="BD171" s="61">
        <f t="shared" ca="1" si="560"/>
        <v>0</v>
      </c>
      <c r="BG171" s="61">
        <f t="shared" ca="1" si="561"/>
        <v>0</v>
      </c>
      <c r="BJ171" s="61">
        <f t="shared" ca="1" si="562"/>
        <v>0</v>
      </c>
      <c r="BM171" s="61">
        <f t="shared" ca="1" si="563"/>
        <v>0</v>
      </c>
      <c r="BP171" s="61">
        <f t="shared" ca="1" si="564"/>
        <v>0</v>
      </c>
      <c r="BV171" s="61">
        <f t="shared" ca="1" si="565"/>
        <v>0</v>
      </c>
      <c r="BY171" s="61">
        <f t="shared" ca="1" si="566"/>
        <v>0</v>
      </c>
      <c r="CE171" s="61">
        <f t="shared" ca="1" si="567"/>
        <v>0</v>
      </c>
      <c r="CH171" s="61">
        <f t="shared" ca="1" si="568"/>
        <v>0</v>
      </c>
      <c r="CK171" s="61">
        <f t="shared" ca="1" si="569"/>
        <v>0</v>
      </c>
      <c r="CN171" s="61">
        <f t="shared" ca="1" si="570"/>
        <v>0</v>
      </c>
      <c r="CQ171" s="61">
        <f t="shared" ca="1" si="571"/>
        <v>0</v>
      </c>
      <c r="CT171" s="61">
        <f t="shared" ca="1" si="572"/>
        <v>0</v>
      </c>
      <c r="CW171" s="61">
        <f t="shared" ca="1" si="573"/>
        <v>0</v>
      </c>
      <c r="CZ171" s="61">
        <f t="shared" ca="1" si="574"/>
        <v>0</v>
      </c>
      <c r="DC171" s="61">
        <f t="shared" ca="1" si="575"/>
        <v>0</v>
      </c>
      <c r="DF171" s="61">
        <f t="shared" ca="1" si="576"/>
        <v>0</v>
      </c>
    </row>
    <row r="172" spans="1:110">
      <c r="A172" s="14">
        <f t="shared" ref="A172:C172" si="582">A8</f>
        <v>6</v>
      </c>
      <c r="B172" s="63">
        <f t="shared" ca="1" si="582"/>
        <v>7.108076789685887</v>
      </c>
      <c r="C172" s="63">
        <f t="shared" si="582"/>
        <v>3971.2</v>
      </c>
      <c r="E172" s="61">
        <f t="shared" ca="1" si="538"/>
        <v>-0.14233046770095825</v>
      </c>
      <c r="F172" s="61">
        <f t="shared" ca="1" si="539"/>
        <v>7.108076789685887</v>
      </c>
      <c r="G172" s="2">
        <f t="shared" ca="1" si="578"/>
        <v>3.2457042010939949E-2</v>
      </c>
      <c r="H172" s="12">
        <f t="shared" ca="1" si="540"/>
        <v>-3.2457042010939949E-2</v>
      </c>
      <c r="I172" s="12">
        <f t="shared" ca="1" si="541"/>
        <v>-6.147727949576234E-3</v>
      </c>
      <c r="J172" s="12">
        <f t="shared" ca="1" si="542"/>
        <v>2.0161586111787477E-2</v>
      </c>
      <c r="K172" s="12">
        <f t="shared" ca="1" si="543"/>
        <v>1.7539542707575809E-2</v>
      </c>
      <c r="L172" s="61">
        <f t="shared" ca="1" si="544"/>
        <v>-0.75143758734225397</v>
      </c>
      <c r="M172" s="63">
        <f t="shared" ca="1" si="545"/>
        <v>-0.14233071074403567</v>
      </c>
      <c r="N172" s="61">
        <f t="shared" ca="1" si="546"/>
        <v>0.46677616585418258</v>
      </c>
      <c r="O172" s="61">
        <f t="shared" ca="1" si="547"/>
        <v>0.40607125106547887</v>
      </c>
      <c r="Q172" s="61">
        <f t="shared" ca="1" si="548"/>
        <v>-1.7495125532150269</v>
      </c>
      <c r="T172" s="61">
        <f t="shared" ca="1" si="549"/>
        <v>-0.23055896162986755</v>
      </c>
      <c r="W172" s="61">
        <f t="shared" ca="1" si="550"/>
        <v>-0.90950971841812134</v>
      </c>
      <c r="Z172" s="61">
        <f t="shared" ca="1" si="551"/>
        <v>-0.12049798667430878</v>
      </c>
      <c r="AC172" s="61">
        <f t="shared" ca="1" si="552"/>
        <v>-1.1175113916397095</v>
      </c>
      <c r="AI172" s="61">
        <f t="shared" ca="1" si="553"/>
        <v>0</v>
      </c>
      <c r="AL172" s="61">
        <f t="shared" ca="1" si="554"/>
        <v>0</v>
      </c>
      <c r="AO172" s="61">
        <f t="shared" ca="1" si="555"/>
        <v>0</v>
      </c>
      <c r="AR172" s="61">
        <f t="shared" ca="1" si="556"/>
        <v>0</v>
      </c>
      <c r="AU172" s="61">
        <f t="shared" ca="1" si="557"/>
        <v>0</v>
      </c>
      <c r="AX172" s="61">
        <f t="shared" ca="1" si="558"/>
        <v>0</v>
      </c>
      <c r="BA172" s="61">
        <f t="shared" ca="1" si="559"/>
        <v>0</v>
      </c>
      <c r="BD172" s="61">
        <f t="shared" ca="1" si="560"/>
        <v>0</v>
      </c>
      <c r="BG172" s="61">
        <f t="shared" ca="1" si="561"/>
        <v>0</v>
      </c>
      <c r="BJ172" s="61">
        <f t="shared" ca="1" si="562"/>
        <v>0</v>
      </c>
      <c r="BM172" s="61">
        <f t="shared" ca="1" si="563"/>
        <v>0</v>
      </c>
      <c r="BP172" s="61">
        <f t="shared" ca="1" si="564"/>
        <v>0</v>
      </c>
      <c r="BV172" s="61">
        <f t="shared" ca="1" si="565"/>
        <v>0</v>
      </c>
      <c r="BY172" s="61">
        <f t="shared" ca="1" si="566"/>
        <v>0</v>
      </c>
      <c r="CE172" s="61">
        <f t="shared" ca="1" si="567"/>
        <v>0</v>
      </c>
      <c r="CH172" s="61">
        <f t="shared" ca="1" si="568"/>
        <v>0</v>
      </c>
      <c r="CK172" s="61">
        <f t="shared" ca="1" si="569"/>
        <v>0</v>
      </c>
      <c r="CN172" s="61">
        <f t="shared" ca="1" si="570"/>
        <v>0</v>
      </c>
      <c r="CQ172" s="61">
        <f t="shared" ca="1" si="571"/>
        <v>0</v>
      </c>
      <c r="CT172" s="61">
        <f t="shared" ca="1" si="572"/>
        <v>0</v>
      </c>
      <c r="CW172" s="61">
        <f t="shared" ca="1" si="573"/>
        <v>0</v>
      </c>
      <c r="CZ172" s="61">
        <f t="shared" ca="1" si="574"/>
        <v>0</v>
      </c>
      <c r="DC172" s="61">
        <f t="shared" ca="1" si="575"/>
        <v>0</v>
      </c>
      <c r="DF172" s="61">
        <f t="shared" ca="1" si="576"/>
        <v>0</v>
      </c>
    </row>
    <row r="173" spans="1:110">
      <c r="A173" s="14">
        <f t="shared" ref="A173:C173" si="583">A9</f>
        <v>7</v>
      </c>
      <c r="B173" s="63">
        <f t="shared" ca="1" si="583"/>
        <v>5.8108316409221263</v>
      </c>
      <c r="C173" s="63">
        <f t="shared" si="583"/>
        <v>3979.2</v>
      </c>
      <c r="E173" s="61">
        <f t="shared" ca="1" si="538"/>
        <v>-0.26088857650756836</v>
      </c>
      <c r="F173" s="61">
        <f t="shared" ca="1" si="539"/>
        <v>5.8108316409221263</v>
      </c>
      <c r="G173" s="2">
        <f t="shared" ca="1" si="578"/>
        <v>6.9117652069744684E-2</v>
      </c>
      <c r="H173" s="12">
        <f t="shared" ca="1" si="540"/>
        <v>-6.9117652069744684E-2</v>
      </c>
      <c r="I173" s="12">
        <f t="shared" ca="1" si="541"/>
        <v>-1.1268637466263007E-2</v>
      </c>
      <c r="J173" s="12">
        <f t="shared" ca="1" si="542"/>
        <v>4.6580377137218673E-2</v>
      </c>
      <c r="K173" s="12">
        <f t="shared" ca="1" si="543"/>
        <v>3.8566009735654452E-2</v>
      </c>
      <c r="L173" s="61">
        <f t="shared" ca="1" si="544"/>
        <v>-1.6001951655528019</v>
      </c>
      <c r="M173" s="63">
        <f t="shared" ca="1" si="545"/>
        <v>-0.26088876945191414</v>
      </c>
      <c r="N173" s="61">
        <f t="shared" ca="1" si="546"/>
        <v>1.0784176266489736</v>
      </c>
      <c r="O173" s="61">
        <f t="shared" ca="1" si="547"/>
        <v>0.89287093073392521</v>
      </c>
      <c r="Q173" s="61">
        <f t="shared" ca="1" si="548"/>
        <v>-4.2733683586120605</v>
      </c>
      <c r="T173" s="61">
        <f t="shared" ca="1" si="549"/>
        <v>-0.15639467537403107</v>
      </c>
      <c r="W173" s="61">
        <f t="shared" ca="1" si="550"/>
        <v>-0.89782953262329102</v>
      </c>
      <c r="Z173" s="61">
        <f t="shared" ca="1" si="551"/>
        <v>4.2584739625453949E-2</v>
      </c>
      <c r="AC173" s="61">
        <f t="shared" ca="1" si="552"/>
        <v>-2.280766487121582</v>
      </c>
      <c r="AI173" s="61">
        <f t="shared" ca="1" si="553"/>
        <v>0</v>
      </c>
      <c r="AL173" s="61">
        <f t="shared" ca="1" si="554"/>
        <v>0</v>
      </c>
      <c r="AO173" s="61">
        <f t="shared" ca="1" si="555"/>
        <v>0</v>
      </c>
      <c r="AR173" s="61">
        <f t="shared" ca="1" si="556"/>
        <v>0</v>
      </c>
      <c r="AU173" s="61">
        <f t="shared" ca="1" si="557"/>
        <v>0</v>
      </c>
      <c r="AX173" s="61">
        <f t="shared" ca="1" si="558"/>
        <v>0</v>
      </c>
      <c r="BA173" s="61">
        <f t="shared" ca="1" si="559"/>
        <v>0</v>
      </c>
      <c r="BD173" s="61">
        <f t="shared" ca="1" si="560"/>
        <v>0</v>
      </c>
      <c r="BG173" s="61">
        <f t="shared" ca="1" si="561"/>
        <v>0</v>
      </c>
      <c r="BJ173" s="61">
        <f t="shared" ca="1" si="562"/>
        <v>0</v>
      </c>
      <c r="BM173" s="61">
        <f t="shared" ca="1" si="563"/>
        <v>0</v>
      </c>
      <c r="BP173" s="61">
        <f t="shared" ca="1" si="564"/>
        <v>0</v>
      </c>
      <c r="BV173" s="61">
        <f t="shared" ca="1" si="565"/>
        <v>0</v>
      </c>
      <c r="BY173" s="61">
        <f t="shared" ca="1" si="566"/>
        <v>0</v>
      </c>
      <c r="CE173" s="61">
        <f t="shared" ca="1" si="567"/>
        <v>0</v>
      </c>
      <c r="CH173" s="61">
        <f t="shared" ca="1" si="568"/>
        <v>0</v>
      </c>
      <c r="CK173" s="61">
        <f t="shared" ca="1" si="569"/>
        <v>0</v>
      </c>
      <c r="CN173" s="61">
        <f t="shared" ca="1" si="570"/>
        <v>0</v>
      </c>
      <c r="CQ173" s="61">
        <f t="shared" ca="1" si="571"/>
        <v>0</v>
      </c>
      <c r="CT173" s="61">
        <f t="shared" ca="1" si="572"/>
        <v>0</v>
      </c>
      <c r="CW173" s="61">
        <f t="shared" ca="1" si="573"/>
        <v>0</v>
      </c>
      <c r="CZ173" s="61">
        <f t="shared" ca="1" si="574"/>
        <v>0</v>
      </c>
      <c r="DC173" s="61">
        <f t="shared" ca="1" si="575"/>
        <v>0</v>
      </c>
      <c r="DF173" s="61">
        <f t="shared" ca="1" si="576"/>
        <v>0</v>
      </c>
    </row>
    <row r="174" spans="1:110">
      <c r="A174" s="14">
        <f t="shared" ref="A174:C174" si="584">A10</f>
        <v>8</v>
      </c>
      <c r="B174" s="63">
        <f t="shared" ca="1" si="584"/>
        <v>4.7264524101014667</v>
      </c>
      <c r="C174" s="63">
        <f t="shared" si="584"/>
        <v>4001.7</v>
      </c>
      <c r="E174" s="61">
        <f t="shared" ca="1" si="538"/>
        <v>-0.18310935795307159</v>
      </c>
      <c r="F174" s="61">
        <f t="shared" ca="1" si="539"/>
        <v>4.7264524101014667</v>
      </c>
      <c r="G174" s="2">
        <f t="shared" ca="1" si="578"/>
        <v>4.9623542879783822E-2</v>
      </c>
      <c r="H174" s="12">
        <f t="shared" ca="1" si="540"/>
        <v>-4.9623542879783822E-2</v>
      </c>
      <c r="I174" s="12">
        <f t="shared" ca="1" si="541"/>
        <v>-7.9090977887274743E-3</v>
      </c>
      <c r="J174" s="12">
        <f t="shared" ca="1" si="542"/>
        <v>3.3805347302328863E-2</v>
      </c>
      <c r="K174" s="12">
        <f t="shared" ca="1" si="543"/>
        <v>2.7809630060704228E-2</v>
      </c>
      <c r="L174" s="61">
        <f t="shared" ca="1" si="544"/>
        <v>-1.148872263972516</v>
      </c>
      <c r="M174" s="63">
        <f t="shared" ca="1" si="545"/>
        <v>-0.18310951929667901</v>
      </c>
      <c r="N174" s="61">
        <f t="shared" ca="1" si="546"/>
        <v>0.78265322537915782</v>
      </c>
      <c r="O174" s="61">
        <f t="shared" ca="1" si="547"/>
        <v>0.64384182978389126</v>
      </c>
      <c r="Q174" s="61">
        <f t="shared" ca="1" si="548"/>
        <v>-3.0142362117767334</v>
      </c>
      <c r="T174" s="61">
        <f t="shared" ca="1" si="549"/>
        <v>-1.8132940530776978</v>
      </c>
      <c r="W174" s="61">
        <f t="shared" ca="1" si="550"/>
        <v>-0.40886452794075012</v>
      </c>
      <c r="Z174" s="61">
        <f t="shared" ca="1" si="551"/>
        <v>9.6715003252029419E-2</v>
      </c>
      <c r="AC174" s="61">
        <f t="shared" ca="1" si="552"/>
        <v>-0.17049627006053925</v>
      </c>
      <c r="AI174" s="61">
        <f t="shared" ca="1" si="553"/>
        <v>0</v>
      </c>
      <c r="AL174" s="61">
        <f t="shared" ca="1" si="554"/>
        <v>0</v>
      </c>
      <c r="AO174" s="61">
        <f t="shared" ca="1" si="555"/>
        <v>0</v>
      </c>
      <c r="AR174" s="61">
        <f t="shared" ca="1" si="556"/>
        <v>0</v>
      </c>
      <c r="AU174" s="61">
        <f t="shared" ca="1" si="557"/>
        <v>0</v>
      </c>
      <c r="AX174" s="61">
        <f t="shared" ca="1" si="558"/>
        <v>0</v>
      </c>
      <c r="BA174" s="61">
        <f t="shared" ca="1" si="559"/>
        <v>0</v>
      </c>
      <c r="BD174" s="61">
        <f t="shared" ca="1" si="560"/>
        <v>0</v>
      </c>
      <c r="BG174" s="61">
        <f t="shared" ca="1" si="561"/>
        <v>0</v>
      </c>
      <c r="BJ174" s="61">
        <f t="shared" ca="1" si="562"/>
        <v>0</v>
      </c>
      <c r="BM174" s="61">
        <f t="shared" ca="1" si="563"/>
        <v>0</v>
      </c>
      <c r="BP174" s="61">
        <f t="shared" ca="1" si="564"/>
        <v>0</v>
      </c>
      <c r="BV174" s="61">
        <f t="shared" ca="1" si="565"/>
        <v>0</v>
      </c>
      <c r="BY174" s="61">
        <f t="shared" ca="1" si="566"/>
        <v>0</v>
      </c>
      <c r="CE174" s="61">
        <f t="shared" ca="1" si="567"/>
        <v>0</v>
      </c>
      <c r="CH174" s="61">
        <f t="shared" ca="1" si="568"/>
        <v>0</v>
      </c>
      <c r="CK174" s="61">
        <f t="shared" ca="1" si="569"/>
        <v>0</v>
      </c>
      <c r="CN174" s="61">
        <f t="shared" ca="1" si="570"/>
        <v>0</v>
      </c>
      <c r="CQ174" s="61">
        <f t="shared" ca="1" si="571"/>
        <v>0</v>
      </c>
      <c r="CT174" s="61">
        <f t="shared" ca="1" si="572"/>
        <v>0</v>
      </c>
      <c r="CW174" s="61">
        <f t="shared" ca="1" si="573"/>
        <v>0</v>
      </c>
      <c r="CZ174" s="61">
        <f t="shared" ca="1" si="574"/>
        <v>0</v>
      </c>
      <c r="DC174" s="61">
        <f t="shared" ca="1" si="575"/>
        <v>0</v>
      </c>
      <c r="DF174" s="61">
        <f t="shared" ca="1" si="576"/>
        <v>0</v>
      </c>
    </row>
    <row r="175" spans="1:110">
      <c r="A175" s="14">
        <f t="shared" ref="A175:C175" si="585">A11</f>
        <v>9</v>
      </c>
      <c r="B175" s="63">
        <f t="shared" ca="1" si="585"/>
        <v>3.8737596974251551</v>
      </c>
      <c r="C175" s="63">
        <f t="shared" si="585"/>
        <v>4034.1</v>
      </c>
      <c r="E175" s="61">
        <f t="shared" ca="1" si="538"/>
        <v>-0.1299491673707962</v>
      </c>
      <c r="F175" s="61">
        <f t="shared" ca="1" si="539"/>
        <v>3.8737596974251551</v>
      </c>
      <c r="G175" s="2">
        <f t="shared" ca="1" si="578"/>
        <v>4.0124527086571708E-2</v>
      </c>
      <c r="H175" s="12">
        <f t="shared" ca="1" si="540"/>
        <v>-4.0124527086571708E-2</v>
      </c>
      <c r="I175" s="12">
        <f t="shared" ca="1" si="541"/>
        <v>-5.612934660542696E-3</v>
      </c>
      <c r="J175" s="12">
        <f t="shared" ca="1" si="542"/>
        <v>2.8898657765486314E-2</v>
      </c>
      <c r="K175" s="12">
        <f t="shared" ca="1" si="543"/>
        <v>2.3007728284019341E-2</v>
      </c>
      <c r="L175" s="61">
        <f t="shared" ca="1" si="544"/>
        <v>-0.92895334753609593</v>
      </c>
      <c r="M175" s="63">
        <f t="shared" ca="1" si="545"/>
        <v>-0.12994930584882869</v>
      </c>
      <c r="N175" s="61">
        <f t="shared" ca="1" si="546"/>
        <v>0.66905473583843855</v>
      </c>
      <c r="O175" s="61">
        <f t="shared" ca="1" si="547"/>
        <v>0.53266936112484486</v>
      </c>
      <c r="Q175" s="61">
        <f t="shared" ca="1" si="548"/>
        <v>-2.8389582633972168</v>
      </c>
      <c r="T175" s="61">
        <f t="shared" ca="1" si="549"/>
        <v>9.1878749430179596E-2</v>
      </c>
      <c r="W175" s="61">
        <f t="shared" ca="1" si="550"/>
        <v>-0.43184581398963928</v>
      </c>
      <c r="Z175" s="61">
        <f t="shared" ca="1" si="551"/>
        <v>-0.24043913185596466</v>
      </c>
      <c r="AC175" s="61">
        <f t="shared" ca="1" si="552"/>
        <v>-0.3491654098033905</v>
      </c>
      <c r="AI175" s="61">
        <f t="shared" ca="1" si="553"/>
        <v>0</v>
      </c>
      <c r="AL175" s="61">
        <f t="shared" ca="1" si="554"/>
        <v>0</v>
      </c>
      <c r="AO175" s="61">
        <f t="shared" ca="1" si="555"/>
        <v>0</v>
      </c>
      <c r="AR175" s="61">
        <f t="shared" ca="1" si="556"/>
        <v>0</v>
      </c>
      <c r="AU175" s="61">
        <f t="shared" ca="1" si="557"/>
        <v>0</v>
      </c>
      <c r="AX175" s="61">
        <f t="shared" ca="1" si="558"/>
        <v>0</v>
      </c>
      <c r="BA175" s="61">
        <f t="shared" ca="1" si="559"/>
        <v>0</v>
      </c>
      <c r="BD175" s="61">
        <f t="shared" ca="1" si="560"/>
        <v>0</v>
      </c>
      <c r="BG175" s="61">
        <f t="shared" ca="1" si="561"/>
        <v>0</v>
      </c>
      <c r="BJ175" s="61">
        <f t="shared" ca="1" si="562"/>
        <v>0</v>
      </c>
      <c r="BM175" s="61">
        <f t="shared" ca="1" si="563"/>
        <v>0</v>
      </c>
      <c r="BP175" s="61">
        <f t="shared" ca="1" si="564"/>
        <v>0</v>
      </c>
      <c r="BV175" s="61">
        <f t="shared" ca="1" si="565"/>
        <v>0</v>
      </c>
      <c r="BY175" s="61">
        <f t="shared" ca="1" si="566"/>
        <v>0</v>
      </c>
      <c r="CE175" s="61">
        <f t="shared" ca="1" si="567"/>
        <v>0</v>
      </c>
      <c r="CH175" s="61">
        <f t="shared" ca="1" si="568"/>
        <v>0</v>
      </c>
      <c r="CK175" s="61">
        <f t="shared" ca="1" si="569"/>
        <v>0</v>
      </c>
      <c r="CN175" s="61">
        <f t="shared" ca="1" si="570"/>
        <v>0</v>
      </c>
      <c r="CQ175" s="61">
        <f t="shared" ca="1" si="571"/>
        <v>0</v>
      </c>
      <c r="CT175" s="61">
        <f t="shared" ca="1" si="572"/>
        <v>0</v>
      </c>
      <c r="CW175" s="61">
        <f t="shared" ca="1" si="573"/>
        <v>0</v>
      </c>
      <c r="CZ175" s="61">
        <f t="shared" ca="1" si="574"/>
        <v>0</v>
      </c>
      <c r="DC175" s="61">
        <f t="shared" ca="1" si="575"/>
        <v>0</v>
      </c>
      <c r="DF175" s="61">
        <f t="shared" ca="1" si="576"/>
        <v>0</v>
      </c>
    </row>
    <row r="176" spans="1:110">
      <c r="A176" s="14">
        <f t="shared" ref="A176:C176" si="586">A12</f>
        <v>10</v>
      </c>
      <c r="B176" s="63">
        <f t="shared" ca="1" si="586"/>
        <v>3.2207968686872634</v>
      </c>
      <c r="C176" s="63">
        <f t="shared" si="586"/>
        <v>4023.8</v>
      </c>
      <c r="E176" s="61">
        <f t="shared" ca="1" si="538"/>
        <v>-8.2228235900402069E-2</v>
      </c>
      <c r="F176" s="61">
        <f t="shared" ca="1" si="539"/>
        <v>3.2207968686872634</v>
      </c>
      <c r="G176" s="2">
        <f t="shared" ca="1" si="578"/>
        <v>1.8995063039870849E-2</v>
      </c>
      <c r="H176" s="12">
        <f t="shared" ca="1" si="540"/>
        <v>-1.8995063039870849E-2</v>
      </c>
      <c r="I176" s="12">
        <f t="shared" ca="1" si="541"/>
        <v>-3.5517108754753875E-3</v>
      </c>
      <c r="J176" s="12">
        <f t="shared" ca="1" si="542"/>
        <v>1.1891641288920075E-2</v>
      </c>
      <c r="K176" s="12">
        <f t="shared" ca="1" si="543"/>
        <v>1.0295568109596975E-2</v>
      </c>
      <c r="L176" s="61">
        <f t="shared" ca="1" si="544"/>
        <v>-0.43976910580093898</v>
      </c>
      <c r="M176" s="63">
        <f t="shared" ca="1" si="545"/>
        <v>-8.2228351255943036E-2</v>
      </c>
      <c r="N176" s="61">
        <f t="shared" ca="1" si="546"/>
        <v>0.27531240328905293</v>
      </c>
      <c r="O176" s="61">
        <f t="shared" ca="1" si="547"/>
        <v>0.23836050302999731</v>
      </c>
      <c r="Q176" s="61">
        <f t="shared" ca="1" si="548"/>
        <v>-1.1695332527160645</v>
      </c>
      <c r="T176" s="61">
        <f t="shared" ca="1" si="549"/>
        <v>-0.23195673525333405</v>
      </c>
      <c r="W176" s="61">
        <f t="shared" ca="1" si="550"/>
        <v>-0.47601896524429321</v>
      </c>
      <c r="Z176" s="61">
        <f t="shared" ca="1" si="551"/>
        <v>-0.18236656486988068</v>
      </c>
      <c r="AC176" s="61">
        <f t="shared" ca="1" si="552"/>
        <v>-0.32474666833877563</v>
      </c>
      <c r="AI176" s="61">
        <f t="shared" ca="1" si="553"/>
        <v>0</v>
      </c>
      <c r="AL176" s="61">
        <f t="shared" ca="1" si="554"/>
        <v>0</v>
      </c>
      <c r="AO176" s="61">
        <f t="shared" ca="1" si="555"/>
        <v>0</v>
      </c>
      <c r="AR176" s="61">
        <f t="shared" ca="1" si="556"/>
        <v>0</v>
      </c>
      <c r="AU176" s="61">
        <f t="shared" ca="1" si="557"/>
        <v>0</v>
      </c>
      <c r="AX176" s="61">
        <f t="shared" ca="1" si="558"/>
        <v>0</v>
      </c>
      <c r="BA176" s="61">
        <f t="shared" ca="1" si="559"/>
        <v>0</v>
      </c>
      <c r="BD176" s="61">
        <f t="shared" ca="1" si="560"/>
        <v>0</v>
      </c>
      <c r="BG176" s="61">
        <f t="shared" ca="1" si="561"/>
        <v>0</v>
      </c>
      <c r="BJ176" s="61">
        <f t="shared" ca="1" si="562"/>
        <v>0</v>
      </c>
      <c r="BM176" s="61">
        <f t="shared" ca="1" si="563"/>
        <v>0</v>
      </c>
      <c r="BP176" s="61">
        <f t="shared" ca="1" si="564"/>
        <v>0</v>
      </c>
      <c r="BV176" s="61">
        <f t="shared" ca="1" si="565"/>
        <v>0</v>
      </c>
      <c r="BY176" s="61">
        <f t="shared" ca="1" si="566"/>
        <v>0</v>
      </c>
      <c r="CE176" s="61">
        <f t="shared" ca="1" si="567"/>
        <v>0</v>
      </c>
      <c r="CH176" s="61">
        <f t="shared" ca="1" si="568"/>
        <v>0</v>
      </c>
      <c r="CK176" s="61">
        <f t="shared" ca="1" si="569"/>
        <v>0</v>
      </c>
      <c r="CN176" s="61">
        <f t="shared" ca="1" si="570"/>
        <v>0</v>
      </c>
      <c r="CQ176" s="61">
        <f t="shared" ca="1" si="571"/>
        <v>0</v>
      </c>
      <c r="CT176" s="61">
        <f t="shared" ca="1" si="572"/>
        <v>0</v>
      </c>
      <c r="CW176" s="61">
        <f t="shared" ca="1" si="573"/>
        <v>0</v>
      </c>
      <c r="CZ176" s="61">
        <f t="shared" ca="1" si="574"/>
        <v>0</v>
      </c>
      <c r="DC176" s="61">
        <f t="shared" ca="1" si="575"/>
        <v>0</v>
      </c>
      <c r="DF176" s="61">
        <f t="shared" ca="1" si="576"/>
        <v>0</v>
      </c>
    </row>
    <row r="177" spans="1:110">
      <c r="A177" s="14">
        <f t="shared" ref="A177:C177" si="587">A13</f>
        <v>11</v>
      </c>
      <c r="B177" s="63">
        <f t="shared" ca="1" si="587"/>
        <v>2.38707854456778</v>
      </c>
      <c r="C177" s="63">
        <f t="shared" si="587"/>
        <v>4005.5</v>
      </c>
      <c r="E177" s="61">
        <f t="shared" ca="1" si="538"/>
        <v>-0.11481216549873352</v>
      </c>
      <c r="F177" s="61">
        <f t="shared" ca="1" si="539"/>
        <v>2.38707854456778</v>
      </c>
      <c r="G177" s="2">
        <f t="shared" ca="1" si="578"/>
        <v>2.5462665063068848E-2</v>
      </c>
      <c r="H177" s="12">
        <f t="shared" ca="1" si="540"/>
        <v>-2.5462665063068848E-2</v>
      </c>
      <c r="I177" s="12">
        <f t="shared" ca="1" si="541"/>
        <v>-4.9591156694531076E-3</v>
      </c>
      <c r="J177" s="12">
        <f t="shared" ca="1" si="542"/>
        <v>1.5544433724162636E-2</v>
      </c>
      <c r="K177" s="12">
        <f t="shared" ca="1" si="543"/>
        <v>1.3669032929077162E-2</v>
      </c>
      <c r="L177" s="61">
        <f t="shared" ca="1" si="544"/>
        <v>-0.58950546374026314</v>
      </c>
      <c r="M177" s="63">
        <f t="shared" ca="1" si="545"/>
        <v>-0.11481224668437037</v>
      </c>
      <c r="N177" s="61">
        <f t="shared" ca="1" si="546"/>
        <v>0.35988097037152245</v>
      </c>
      <c r="O177" s="61">
        <f t="shared" ca="1" si="547"/>
        <v>0.31646214470392853</v>
      </c>
      <c r="Q177" s="61">
        <f t="shared" ca="1" si="548"/>
        <v>-1.4012881517410278</v>
      </c>
      <c r="T177" s="61">
        <f t="shared" ca="1" si="549"/>
        <v>-0.44933021068572998</v>
      </c>
      <c r="W177" s="61">
        <f t="shared" ca="1" si="550"/>
        <v>-0.90026766061782837</v>
      </c>
      <c r="Z177" s="61">
        <f t="shared" ca="1" si="551"/>
        <v>-0.14269071817398071</v>
      </c>
      <c r="AC177" s="61">
        <f t="shared" ca="1" si="552"/>
        <v>-0.43597841262817383</v>
      </c>
      <c r="AI177" s="61">
        <f t="shared" ca="1" si="553"/>
        <v>0</v>
      </c>
      <c r="AL177" s="61">
        <f t="shared" ca="1" si="554"/>
        <v>0</v>
      </c>
      <c r="AO177" s="61">
        <f t="shared" ca="1" si="555"/>
        <v>0</v>
      </c>
      <c r="AR177" s="61">
        <f t="shared" ca="1" si="556"/>
        <v>0</v>
      </c>
      <c r="AU177" s="61">
        <f t="shared" ca="1" si="557"/>
        <v>0</v>
      </c>
      <c r="AX177" s="61">
        <f t="shared" ca="1" si="558"/>
        <v>0</v>
      </c>
      <c r="BA177" s="61">
        <f t="shared" ca="1" si="559"/>
        <v>0</v>
      </c>
      <c r="BD177" s="61">
        <f t="shared" ca="1" si="560"/>
        <v>0</v>
      </c>
      <c r="BG177" s="61">
        <f t="shared" ca="1" si="561"/>
        <v>0</v>
      </c>
      <c r="BJ177" s="61">
        <f t="shared" ca="1" si="562"/>
        <v>0</v>
      </c>
      <c r="BM177" s="61">
        <f t="shared" ca="1" si="563"/>
        <v>0</v>
      </c>
      <c r="BP177" s="61">
        <f t="shared" ca="1" si="564"/>
        <v>0</v>
      </c>
      <c r="BV177" s="61">
        <f t="shared" ca="1" si="565"/>
        <v>0</v>
      </c>
      <c r="BY177" s="61">
        <f t="shared" ca="1" si="566"/>
        <v>0</v>
      </c>
      <c r="CE177" s="61">
        <f t="shared" ca="1" si="567"/>
        <v>0</v>
      </c>
      <c r="CH177" s="61">
        <f t="shared" ca="1" si="568"/>
        <v>0</v>
      </c>
      <c r="CK177" s="61">
        <f t="shared" ca="1" si="569"/>
        <v>0</v>
      </c>
      <c r="CN177" s="61">
        <f t="shared" ca="1" si="570"/>
        <v>0</v>
      </c>
      <c r="CQ177" s="61">
        <f t="shared" ca="1" si="571"/>
        <v>0</v>
      </c>
      <c r="CT177" s="61">
        <f t="shared" ca="1" si="572"/>
        <v>0</v>
      </c>
      <c r="CW177" s="61">
        <f t="shared" ca="1" si="573"/>
        <v>0</v>
      </c>
      <c r="CZ177" s="61">
        <f t="shared" ca="1" si="574"/>
        <v>0</v>
      </c>
      <c r="DC177" s="61">
        <f t="shared" ca="1" si="575"/>
        <v>0</v>
      </c>
      <c r="DF177" s="61">
        <f t="shared" ca="1" si="576"/>
        <v>0</v>
      </c>
    </row>
    <row r="178" spans="1:110">
      <c r="A178" s="14">
        <f t="shared" ref="A178:C178" si="588">A14</f>
        <v>12</v>
      </c>
      <c r="B178" s="63">
        <f t="shared" ca="1" si="588"/>
        <v>2.1590792663518994</v>
      </c>
      <c r="C178" s="63">
        <f t="shared" si="588"/>
        <v>4009.6</v>
      </c>
      <c r="E178" s="61">
        <f t="shared" ca="1" si="538"/>
        <v>-0.17994551360607147</v>
      </c>
      <c r="F178" s="61">
        <f t="shared" ca="1" si="539"/>
        <v>2.1590792663518994</v>
      </c>
      <c r="G178" s="2">
        <f t="shared" ca="1" si="578"/>
        <v>4.2895992300853364E-2</v>
      </c>
      <c r="H178" s="12">
        <f t="shared" ca="1" si="540"/>
        <v>-4.2895992300853364E-2</v>
      </c>
      <c r="I178" s="12">
        <f t="shared" ca="1" si="541"/>
        <v>-7.7724372297274325E-3</v>
      </c>
      <c r="J178" s="12">
        <f t="shared" ca="1" si="542"/>
        <v>2.7351117841398501E-2</v>
      </c>
      <c r="K178" s="12">
        <f t="shared" ca="1" si="543"/>
        <v>2.3415703380750622E-2</v>
      </c>
      <c r="L178" s="61">
        <f t="shared" ca="1" si="544"/>
        <v>-0.99311763993590363</v>
      </c>
      <c r="M178" s="63">
        <f t="shared" ca="1" si="545"/>
        <v>-0.17994558708421116</v>
      </c>
      <c r="N178" s="61">
        <f t="shared" ca="1" si="546"/>
        <v>0.63322646576748132</v>
      </c>
      <c r="O178" s="61">
        <f t="shared" ca="1" si="547"/>
        <v>0.54211470190112832</v>
      </c>
      <c r="Q178" s="61">
        <f t="shared" ca="1" si="548"/>
        <v>-2.23384690284729</v>
      </c>
      <c r="T178" s="61">
        <f t="shared" ca="1" si="549"/>
        <v>-0.37566524744033813</v>
      </c>
      <c r="W178" s="61">
        <f t="shared" ca="1" si="550"/>
        <v>-1.9420679807662964</v>
      </c>
      <c r="Z178" s="61">
        <f t="shared" ca="1" si="551"/>
        <v>-0.18723210692405701</v>
      </c>
      <c r="AC178" s="61">
        <f t="shared" ca="1" si="552"/>
        <v>-0.47960978746414185</v>
      </c>
      <c r="AI178" s="61">
        <f t="shared" ca="1" si="553"/>
        <v>0</v>
      </c>
      <c r="AL178" s="61">
        <f t="shared" ca="1" si="554"/>
        <v>0</v>
      </c>
      <c r="AO178" s="61">
        <f t="shared" ca="1" si="555"/>
        <v>0</v>
      </c>
      <c r="AR178" s="61">
        <f t="shared" ca="1" si="556"/>
        <v>0</v>
      </c>
      <c r="AU178" s="61">
        <f t="shared" ca="1" si="557"/>
        <v>0</v>
      </c>
      <c r="AX178" s="61">
        <f t="shared" ca="1" si="558"/>
        <v>0</v>
      </c>
      <c r="BA178" s="61">
        <f t="shared" ca="1" si="559"/>
        <v>0</v>
      </c>
      <c r="BD178" s="61">
        <f t="shared" ca="1" si="560"/>
        <v>0</v>
      </c>
      <c r="BG178" s="61">
        <f t="shared" ca="1" si="561"/>
        <v>0</v>
      </c>
      <c r="BJ178" s="61">
        <f t="shared" ca="1" si="562"/>
        <v>0</v>
      </c>
      <c r="BM178" s="61">
        <f t="shared" ca="1" si="563"/>
        <v>0</v>
      </c>
      <c r="BP178" s="61">
        <f t="shared" ca="1" si="564"/>
        <v>0</v>
      </c>
      <c r="BV178" s="61">
        <f t="shared" ca="1" si="565"/>
        <v>0</v>
      </c>
      <c r="BY178" s="61">
        <f t="shared" ca="1" si="566"/>
        <v>0</v>
      </c>
      <c r="CE178" s="61">
        <f t="shared" ca="1" si="567"/>
        <v>0</v>
      </c>
      <c r="CH178" s="61">
        <f t="shared" ca="1" si="568"/>
        <v>0</v>
      </c>
      <c r="CK178" s="61">
        <f t="shared" ca="1" si="569"/>
        <v>0</v>
      </c>
      <c r="CN178" s="61">
        <f t="shared" ca="1" si="570"/>
        <v>0</v>
      </c>
      <c r="CQ178" s="61">
        <f t="shared" ca="1" si="571"/>
        <v>0</v>
      </c>
      <c r="CT178" s="61">
        <f t="shared" ca="1" si="572"/>
        <v>0</v>
      </c>
      <c r="CW178" s="61">
        <f t="shared" ca="1" si="573"/>
        <v>0</v>
      </c>
      <c r="CZ178" s="61">
        <f t="shared" ca="1" si="574"/>
        <v>0</v>
      </c>
      <c r="DC178" s="61">
        <f t="shared" ca="1" si="575"/>
        <v>0</v>
      </c>
      <c r="DF178" s="61">
        <f t="shared" ca="1" si="576"/>
        <v>0</v>
      </c>
    </row>
    <row r="179" spans="1:110">
      <c r="A179" s="14">
        <f t="shared" ref="A179:C179" si="589">A15</f>
        <v>13</v>
      </c>
      <c r="B179" s="63">
        <f t="shared" ca="1" si="589"/>
        <v>1.7769039850931945</v>
      </c>
      <c r="C179" s="63">
        <f t="shared" si="589"/>
        <v>4016.5</v>
      </c>
      <c r="E179" s="61">
        <f t="shared" ca="1" si="538"/>
        <v>-0.17104433476924896</v>
      </c>
      <c r="F179" s="61">
        <f t="shared" ca="1" si="539"/>
        <v>1.7769039850931945</v>
      </c>
      <c r="G179" s="2">
        <f t="shared" ca="1" si="578"/>
        <v>3.6731139926390828E-2</v>
      </c>
      <c r="H179" s="12">
        <f t="shared" ca="1" si="540"/>
        <v>-3.6731139926390828E-2</v>
      </c>
      <c r="I179" s="12">
        <f t="shared" ca="1" si="541"/>
        <v>-7.387965286707333E-3</v>
      </c>
      <c r="J179" s="12">
        <f t="shared" ca="1" si="542"/>
        <v>2.1955209352976165E-2</v>
      </c>
      <c r="K179" s="12">
        <f t="shared" ca="1" si="543"/>
        <v>1.9562116426455667E-2</v>
      </c>
      <c r="L179" s="61">
        <f t="shared" ca="1" si="544"/>
        <v>-0.85039046864821</v>
      </c>
      <c r="M179" s="63">
        <f t="shared" ca="1" si="545"/>
        <v>-0.17104438563873028</v>
      </c>
      <c r="N179" s="61">
        <f t="shared" ca="1" si="546"/>
        <v>0.50830169737074948</v>
      </c>
      <c r="O179" s="61">
        <f t="shared" ca="1" si="547"/>
        <v>0.45289738867298651</v>
      </c>
      <c r="Q179" s="61">
        <f t="shared" ca="1" si="548"/>
        <v>-2.06612229347229</v>
      </c>
      <c r="T179" s="61">
        <f t="shared" ca="1" si="549"/>
        <v>-0.47468277812004089</v>
      </c>
      <c r="W179" s="61">
        <f t="shared" ca="1" si="550"/>
        <v>-0.81535488367080688</v>
      </c>
      <c r="Z179" s="61">
        <f t="shared" ca="1" si="551"/>
        <v>-1.0723206996917725</v>
      </c>
      <c r="AC179" s="61">
        <f t="shared" ca="1" si="552"/>
        <v>-0.53180652856826782</v>
      </c>
      <c r="AI179" s="61">
        <f t="shared" ca="1" si="553"/>
        <v>0</v>
      </c>
      <c r="AL179" s="61">
        <f t="shared" ca="1" si="554"/>
        <v>0</v>
      </c>
      <c r="AO179" s="61">
        <f t="shared" ca="1" si="555"/>
        <v>0</v>
      </c>
      <c r="AR179" s="61">
        <f t="shared" ca="1" si="556"/>
        <v>0</v>
      </c>
      <c r="AU179" s="61">
        <f t="shared" ca="1" si="557"/>
        <v>0</v>
      </c>
      <c r="AX179" s="61">
        <f t="shared" ca="1" si="558"/>
        <v>0</v>
      </c>
      <c r="BA179" s="61">
        <f t="shared" ca="1" si="559"/>
        <v>0</v>
      </c>
      <c r="BD179" s="61">
        <f t="shared" ca="1" si="560"/>
        <v>0</v>
      </c>
      <c r="BG179" s="61">
        <f t="shared" ca="1" si="561"/>
        <v>0</v>
      </c>
      <c r="BJ179" s="61">
        <f t="shared" ca="1" si="562"/>
        <v>0</v>
      </c>
      <c r="BM179" s="61">
        <f t="shared" ca="1" si="563"/>
        <v>0</v>
      </c>
      <c r="BP179" s="61">
        <f t="shared" ca="1" si="564"/>
        <v>0</v>
      </c>
      <c r="BV179" s="61">
        <f t="shared" ca="1" si="565"/>
        <v>0</v>
      </c>
      <c r="BY179" s="61">
        <f t="shared" ca="1" si="566"/>
        <v>0</v>
      </c>
      <c r="CE179" s="61">
        <f t="shared" ca="1" si="567"/>
        <v>0</v>
      </c>
      <c r="CH179" s="61">
        <f t="shared" ca="1" si="568"/>
        <v>0</v>
      </c>
      <c r="CK179" s="61">
        <f t="shared" ca="1" si="569"/>
        <v>0</v>
      </c>
      <c r="CN179" s="61">
        <f t="shared" ca="1" si="570"/>
        <v>0</v>
      </c>
      <c r="CQ179" s="61">
        <f t="shared" ca="1" si="571"/>
        <v>0</v>
      </c>
      <c r="CT179" s="61">
        <f t="shared" ca="1" si="572"/>
        <v>0</v>
      </c>
      <c r="CW179" s="61">
        <f t="shared" ca="1" si="573"/>
        <v>0</v>
      </c>
      <c r="CZ179" s="61">
        <f t="shared" ca="1" si="574"/>
        <v>0</v>
      </c>
      <c r="DC179" s="61">
        <f t="shared" ca="1" si="575"/>
        <v>0</v>
      </c>
      <c r="DF179" s="61">
        <f t="shared" ca="1" si="576"/>
        <v>0</v>
      </c>
    </row>
    <row r="180" spans="1:110">
      <c r="A180" s="14">
        <f t="shared" ref="A180:C180" si="590">A16</f>
        <v>14</v>
      </c>
      <c r="B180" s="63">
        <f t="shared" ca="1" si="590"/>
        <v>1.4370560182896255</v>
      </c>
      <c r="C180" s="63">
        <f t="shared" si="590"/>
        <v>4064.6</v>
      </c>
      <c r="E180" s="61">
        <f t="shared" ca="1" si="538"/>
        <v>-8.524978905916214E-2</v>
      </c>
      <c r="F180" s="61">
        <f t="shared" ca="1" si="539"/>
        <v>1.4370560182896255</v>
      </c>
      <c r="G180" s="2">
        <f t="shared" ca="1" si="578"/>
        <v>1.8103775981828902E-2</v>
      </c>
      <c r="H180" s="12">
        <f t="shared" ca="1" si="540"/>
        <v>-1.8103775981828902E-2</v>
      </c>
      <c r="I180" s="12">
        <f t="shared" ca="1" si="541"/>
        <v>-3.6822187553926132E-3</v>
      </c>
      <c r="J180" s="12">
        <f t="shared" ca="1" si="542"/>
        <v>1.0739338471043676E-2</v>
      </c>
      <c r="K180" s="12">
        <f t="shared" ca="1" si="543"/>
        <v>9.6143714842908592E-3</v>
      </c>
      <c r="L180" s="61">
        <f t="shared" ca="1" si="544"/>
        <v>-0.41913424337882821</v>
      </c>
      <c r="M180" s="63">
        <f t="shared" ca="1" si="545"/>
        <v>-8.5249838130227448E-2</v>
      </c>
      <c r="N180" s="61">
        <f t="shared" ca="1" si="546"/>
        <v>0.24863456711837328</v>
      </c>
      <c r="O180" s="61">
        <f t="shared" ca="1" si="547"/>
        <v>0.22258960349906717</v>
      </c>
      <c r="Q180" s="61">
        <f t="shared" ca="1" si="548"/>
        <v>-0.9492676854133606</v>
      </c>
      <c r="T180" s="61">
        <f t="shared" ca="1" si="549"/>
        <v>-0.27736690640449524</v>
      </c>
      <c r="W180" s="61">
        <f t="shared" ca="1" si="550"/>
        <v>-0.64146053791046143</v>
      </c>
      <c r="Z180" s="61">
        <f t="shared" ca="1" si="551"/>
        <v>-0.18797355890274048</v>
      </c>
      <c r="AC180" s="61">
        <f t="shared" ca="1" si="552"/>
        <v>-0.41617661714553833</v>
      </c>
      <c r="AI180" s="61">
        <f t="shared" ca="1" si="553"/>
        <v>0</v>
      </c>
      <c r="AL180" s="61">
        <f t="shared" ca="1" si="554"/>
        <v>0</v>
      </c>
      <c r="AO180" s="61">
        <f t="shared" ca="1" si="555"/>
        <v>0</v>
      </c>
      <c r="AR180" s="61">
        <f t="shared" ca="1" si="556"/>
        <v>0</v>
      </c>
      <c r="AU180" s="61">
        <f t="shared" ca="1" si="557"/>
        <v>0</v>
      </c>
      <c r="AX180" s="61">
        <f t="shared" ca="1" si="558"/>
        <v>0</v>
      </c>
      <c r="BA180" s="61">
        <f t="shared" ca="1" si="559"/>
        <v>0</v>
      </c>
      <c r="BD180" s="61">
        <f t="shared" ca="1" si="560"/>
        <v>0</v>
      </c>
      <c r="BG180" s="61">
        <f t="shared" ca="1" si="561"/>
        <v>0</v>
      </c>
      <c r="BJ180" s="61">
        <f t="shared" ca="1" si="562"/>
        <v>0</v>
      </c>
      <c r="BM180" s="61">
        <f t="shared" ca="1" si="563"/>
        <v>0</v>
      </c>
      <c r="BP180" s="61">
        <f t="shared" ca="1" si="564"/>
        <v>0</v>
      </c>
      <c r="BV180" s="61">
        <f t="shared" ca="1" si="565"/>
        <v>0</v>
      </c>
      <c r="BY180" s="61">
        <f t="shared" ca="1" si="566"/>
        <v>0</v>
      </c>
      <c r="CE180" s="61">
        <f t="shared" ca="1" si="567"/>
        <v>0</v>
      </c>
      <c r="CH180" s="61">
        <f t="shared" ca="1" si="568"/>
        <v>0</v>
      </c>
      <c r="CK180" s="61">
        <f t="shared" ca="1" si="569"/>
        <v>0</v>
      </c>
      <c r="CN180" s="61">
        <f t="shared" ca="1" si="570"/>
        <v>0</v>
      </c>
      <c r="CQ180" s="61">
        <f t="shared" ca="1" si="571"/>
        <v>0</v>
      </c>
      <c r="CT180" s="61">
        <f t="shared" ca="1" si="572"/>
        <v>0</v>
      </c>
      <c r="CW180" s="61">
        <f t="shared" ca="1" si="573"/>
        <v>0</v>
      </c>
      <c r="CZ180" s="61">
        <f t="shared" ca="1" si="574"/>
        <v>0</v>
      </c>
      <c r="DC180" s="61">
        <f t="shared" ca="1" si="575"/>
        <v>0</v>
      </c>
      <c r="DF180" s="61">
        <f t="shared" ca="1" si="576"/>
        <v>0</v>
      </c>
    </row>
    <row r="181" spans="1:110">
      <c r="A181" s="14">
        <f t="shared" ref="A181:C181" si="591">A17</f>
        <v>15</v>
      </c>
      <c r="B181" s="63">
        <f t="shared" ca="1" si="591"/>
        <v>1.1960743068778694</v>
      </c>
      <c r="C181" s="63">
        <f t="shared" si="591"/>
        <v>4054.6</v>
      </c>
      <c r="E181" s="61">
        <f t="shared" ca="1" si="538"/>
        <v>-8.6901828646659851E-2</v>
      </c>
      <c r="F181" s="61">
        <f t="shared" ca="1" si="539"/>
        <v>1.1960743068778694</v>
      </c>
      <c r="G181" s="2">
        <f t="shared" ca="1" si="578"/>
        <v>1.7501017010695251E-2</v>
      </c>
      <c r="H181" s="12">
        <f t="shared" ca="1" si="540"/>
        <v>-1.7501017010695251E-2</v>
      </c>
      <c r="I181" s="12">
        <f t="shared" ca="1" si="541"/>
        <v>-3.7535755486108146E-3</v>
      </c>
      <c r="J181" s="12">
        <f t="shared" ca="1" si="542"/>
        <v>9.9938659134736207E-3</v>
      </c>
      <c r="K181" s="12">
        <f t="shared" ca="1" si="543"/>
        <v>9.1649609747229566E-3</v>
      </c>
      <c r="L181" s="61">
        <f t="shared" ca="1" si="544"/>
        <v>-0.405179313448217</v>
      </c>
      <c r="M181" s="63">
        <f t="shared" ca="1" si="545"/>
        <v>-8.6901873350143433E-2</v>
      </c>
      <c r="N181" s="61">
        <f t="shared" ca="1" si="546"/>
        <v>0.23137556674793014</v>
      </c>
      <c r="O181" s="61">
        <f t="shared" ca="1" si="547"/>
        <v>0.21218496006538237</v>
      </c>
      <c r="Q181" s="61">
        <f t="shared" ca="1" si="548"/>
        <v>-0.72593122720718384</v>
      </c>
      <c r="T181" s="61">
        <f t="shared" ca="1" si="549"/>
        <v>-0.73028302192687988</v>
      </c>
      <c r="W181" s="61">
        <f t="shared" ca="1" si="550"/>
        <v>-0.52106785774230957</v>
      </c>
      <c r="Z181" s="61">
        <f t="shared" ca="1" si="551"/>
        <v>-0.25596579909324646</v>
      </c>
      <c r="AC181" s="61">
        <f t="shared" ca="1" si="552"/>
        <v>-0.28690642118453979</v>
      </c>
      <c r="AI181" s="61">
        <f t="shared" ca="1" si="553"/>
        <v>0</v>
      </c>
      <c r="AL181" s="61">
        <f t="shared" ca="1" si="554"/>
        <v>0</v>
      </c>
      <c r="AO181" s="61">
        <f t="shared" ca="1" si="555"/>
        <v>0</v>
      </c>
      <c r="AR181" s="61">
        <f t="shared" ca="1" si="556"/>
        <v>0</v>
      </c>
      <c r="AU181" s="61">
        <f t="shared" ca="1" si="557"/>
        <v>0</v>
      </c>
      <c r="AX181" s="61">
        <f t="shared" ca="1" si="558"/>
        <v>0</v>
      </c>
      <c r="BA181" s="61">
        <f t="shared" ca="1" si="559"/>
        <v>0</v>
      </c>
      <c r="BD181" s="61">
        <f t="shared" ca="1" si="560"/>
        <v>0</v>
      </c>
      <c r="BG181" s="61">
        <f t="shared" ca="1" si="561"/>
        <v>0</v>
      </c>
      <c r="BJ181" s="61">
        <f t="shared" ca="1" si="562"/>
        <v>0</v>
      </c>
      <c r="BM181" s="61">
        <f t="shared" ca="1" si="563"/>
        <v>0</v>
      </c>
      <c r="BP181" s="61">
        <f t="shared" ca="1" si="564"/>
        <v>0</v>
      </c>
      <c r="BV181" s="61">
        <f t="shared" ca="1" si="565"/>
        <v>0</v>
      </c>
      <c r="BY181" s="61">
        <f t="shared" ca="1" si="566"/>
        <v>0</v>
      </c>
      <c r="CE181" s="61">
        <f t="shared" ca="1" si="567"/>
        <v>0</v>
      </c>
      <c r="CH181" s="61">
        <f t="shared" ca="1" si="568"/>
        <v>0</v>
      </c>
      <c r="CK181" s="61">
        <f t="shared" ca="1" si="569"/>
        <v>0</v>
      </c>
      <c r="CN181" s="61">
        <f t="shared" ca="1" si="570"/>
        <v>0</v>
      </c>
      <c r="CQ181" s="61">
        <f t="shared" ca="1" si="571"/>
        <v>0</v>
      </c>
      <c r="CT181" s="61">
        <f t="shared" ca="1" si="572"/>
        <v>0</v>
      </c>
      <c r="CW181" s="61">
        <f t="shared" ca="1" si="573"/>
        <v>0</v>
      </c>
      <c r="CZ181" s="61">
        <f t="shared" ca="1" si="574"/>
        <v>0</v>
      </c>
      <c r="DC181" s="61">
        <f t="shared" ca="1" si="575"/>
        <v>0</v>
      </c>
      <c r="DF181" s="61">
        <f t="shared" ca="1" si="576"/>
        <v>0</v>
      </c>
    </row>
    <row r="182" spans="1:110">
      <c r="A182" s="14">
        <f t="shared" ref="A182:C182" si="592">A18</f>
        <v>16</v>
      </c>
      <c r="B182" s="63">
        <f t="shared" ca="1" si="592"/>
        <v>0.8864930899240453</v>
      </c>
      <c r="C182" s="63">
        <f t="shared" si="592"/>
        <v>4035.6</v>
      </c>
      <c r="E182" s="61">
        <f t="shared" ca="1" si="538"/>
        <v>-0.10297220945358276</v>
      </c>
      <c r="F182" s="61">
        <f t="shared" ca="1" si="539"/>
        <v>0.8864930899240453</v>
      </c>
      <c r="G182" s="2">
        <f t="shared" ca="1" si="578"/>
        <v>2.1973237191261773E-2</v>
      </c>
      <c r="H182" s="12">
        <f t="shared" ca="1" si="540"/>
        <v>-2.1973237191261773E-2</v>
      </c>
      <c r="I182" s="12">
        <f t="shared" ca="1" si="541"/>
        <v>-4.4477071040728063E-3</v>
      </c>
      <c r="J182" s="12">
        <f t="shared" ca="1" si="542"/>
        <v>1.3077822983116157E-2</v>
      </c>
      <c r="K182" s="12">
        <f t="shared" ca="1" si="543"/>
        <v>1.1683686724792643E-2</v>
      </c>
      <c r="L182" s="61">
        <f t="shared" ca="1" si="544"/>
        <v>-0.50871907352294987</v>
      </c>
      <c r="M182" s="63">
        <f t="shared" ca="1" si="545"/>
        <v>-0.10297223925590515</v>
      </c>
      <c r="N182" s="61">
        <f t="shared" ca="1" si="546"/>
        <v>0.30277459501113951</v>
      </c>
      <c r="O182" s="61">
        <f t="shared" ca="1" si="547"/>
        <v>0.27049788951136311</v>
      </c>
      <c r="Q182" s="61">
        <f t="shared" ca="1" si="548"/>
        <v>-0.86430215835571289</v>
      </c>
      <c r="T182" s="61">
        <f t="shared" ca="1" si="549"/>
        <v>-0.37181484699249268</v>
      </c>
      <c r="W182" s="61">
        <f t="shared" ca="1" si="550"/>
        <v>-1.1291791200637817</v>
      </c>
      <c r="Z182" s="61">
        <f t="shared" ca="1" si="551"/>
        <v>-0.27068412303924561</v>
      </c>
      <c r="AC182" s="61">
        <f t="shared" ca="1" si="552"/>
        <v>-0.35021468997001648</v>
      </c>
      <c r="AI182" s="61">
        <f t="shared" ca="1" si="553"/>
        <v>0</v>
      </c>
      <c r="AL182" s="61">
        <f t="shared" ca="1" si="554"/>
        <v>0</v>
      </c>
      <c r="AO182" s="61">
        <f t="shared" ca="1" si="555"/>
        <v>0</v>
      </c>
      <c r="AR182" s="61">
        <f t="shared" ca="1" si="556"/>
        <v>0</v>
      </c>
      <c r="AU182" s="61">
        <f t="shared" ca="1" si="557"/>
        <v>0</v>
      </c>
      <c r="AX182" s="61">
        <f t="shared" ca="1" si="558"/>
        <v>0</v>
      </c>
      <c r="BA182" s="61">
        <f t="shared" ca="1" si="559"/>
        <v>0</v>
      </c>
      <c r="BD182" s="61">
        <f t="shared" ca="1" si="560"/>
        <v>0</v>
      </c>
      <c r="BG182" s="61">
        <f t="shared" ca="1" si="561"/>
        <v>0</v>
      </c>
      <c r="BJ182" s="61">
        <f t="shared" ca="1" si="562"/>
        <v>0</v>
      </c>
      <c r="BM182" s="61">
        <f t="shared" ca="1" si="563"/>
        <v>0</v>
      </c>
      <c r="BP182" s="61">
        <f t="shared" ca="1" si="564"/>
        <v>0</v>
      </c>
      <c r="BV182" s="61">
        <f t="shared" ca="1" si="565"/>
        <v>0</v>
      </c>
      <c r="BY182" s="61">
        <f t="shared" ca="1" si="566"/>
        <v>0</v>
      </c>
      <c r="CE182" s="61">
        <f t="shared" ca="1" si="567"/>
        <v>0</v>
      </c>
      <c r="CH182" s="61">
        <f t="shared" ca="1" si="568"/>
        <v>0</v>
      </c>
      <c r="CK182" s="61">
        <f t="shared" ca="1" si="569"/>
        <v>0</v>
      </c>
      <c r="CN182" s="61">
        <f t="shared" ca="1" si="570"/>
        <v>0</v>
      </c>
      <c r="CQ182" s="61">
        <f t="shared" ca="1" si="571"/>
        <v>0</v>
      </c>
      <c r="CT182" s="61">
        <f t="shared" ca="1" si="572"/>
        <v>0</v>
      </c>
      <c r="CW182" s="61">
        <f t="shared" ca="1" si="573"/>
        <v>0</v>
      </c>
      <c r="CZ182" s="61">
        <f t="shared" ca="1" si="574"/>
        <v>0</v>
      </c>
      <c r="DC182" s="61">
        <f t="shared" ca="1" si="575"/>
        <v>0</v>
      </c>
      <c r="DF182" s="61">
        <f t="shared" ca="1" si="576"/>
        <v>0</v>
      </c>
    </row>
    <row r="183" spans="1:110">
      <c r="A183" s="14">
        <f t="shared" ref="A183:C183" si="593">A19</f>
        <v>17</v>
      </c>
      <c r="B183" s="63">
        <f t="shared" ca="1" si="593"/>
        <v>0.66310300227883046</v>
      </c>
      <c r="C183" s="63">
        <f t="shared" si="593"/>
        <v>4046.8</v>
      </c>
      <c r="E183" s="61">
        <f t="shared" ca="1" si="538"/>
        <v>-9.3786142766475677E-2</v>
      </c>
      <c r="F183" s="61">
        <f t="shared" ca="1" si="539"/>
        <v>0.66310300227883046</v>
      </c>
      <c r="G183" s="2">
        <f t="shared" ca="1" si="578"/>
        <v>1.8931560742438756E-2</v>
      </c>
      <c r="H183" s="12">
        <f t="shared" ca="1" si="540"/>
        <v>-1.8931560742438756E-2</v>
      </c>
      <c r="I183" s="12">
        <f t="shared" ca="1" si="541"/>
        <v>-4.0509305352933855E-3</v>
      </c>
      <c r="J183" s="12">
        <f t="shared" ca="1" si="542"/>
        <v>1.0829699671851985E-2</v>
      </c>
      <c r="K183" s="12">
        <f t="shared" ca="1" si="543"/>
        <v>9.9204201380969151E-3</v>
      </c>
      <c r="L183" s="61">
        <f t="shared" ca="1" si="544"/>
        <v>-0.43829891596795983</v>
      </c>
      <c r="M183" s="63">
        <f t="shared" ca="1" si="545"/>
        <v>-9.3786164090551183E-2</v>
      </c>
      <c r="N183" s="61">
        <f t="shared" ca="1" si="546"/>
        <v>0.25072658778685747</v>
      </c>
      <c r="O183" s="61">
        <f t="shared" ca="1" si="547"/>
        <v>0.22967516791827244</v>
      </c>
      <c r="Q183" s="61">
        <f t="shared" ca="1" si="548"/>
        <v>-0.69436579942703247</v>
      </c>
      <c r="T183" s="61">
        <f t="shared" ref="T183:T191" ca="1" si="594">inlError($B$167:$B$191,T$131:T$155,$P$131:$P$155,T$163:T$164,$A183)</f>
        <v>-0.5828324556350708</v>
      </c>
      <c r="W183" s="61">
        <f t="shared" ref="W183:W191" ca="1" si="595">inlError($B$167:$B$191,W$131:W$155,$P$131:$P$155,W$163:W$164,$A183)</f>
        <v>-0.8542371392250061</v>
      </c>
      <c r="Z183" s="61">
        <f t="shared" ref="Z183:Z191" ca="1" si="596">inlError($B$167:$B$191,Z$131:Z$155,$P$131:$P$155,Z$163:Z$164,$A183)</f>
        <v>-0.23313145339488983</v>
      </c>
      <c r="AC183" s="61">
        <f t="shared" ref="AC183:AC191" ca="1" si="597">inlError($B$167:$B$191,AC$131:AC$155,$P$131:$P$155,AC$163:AC$164,$A183)</f>
        <v>-0.35523191094398499</v>
      </c>
      <c r="AI183" s="61">
        <f t="shared" ref="AI183:AI191" ca="1" si="598">inlError($B$167:$B$191,AI$131:AI$155,$P$131:$P$155,AI$163:AI$164,$A183)</f>
        <v>0</v>
      </c>
      <c r="AL183" s="61">
        <f t="shared" ref="AL183:AL191" ca="1" si="599">inlError($B$167:$B$191,AL$131:AL$155,$P$131:$P$155,AL$163:AL$164,$A183)</f>
        <v>0</v>
      </c>
      <c r="AO183" s="61">
        <f t="shared" ref="AO183:AO191" ca="1" si="600">inlError($B$167:$B$191,AO$131:AO$155,$P$131:$P$155,AO$163:AO$164,$A183)</f>
        <v>0</v>
      </c>
      <c r="AR183" s="61">
        <f t="shared" ref="AR183:AR191" ca="1" si="601">inlError($B$167:$B$191,AR$131:AR$155,$P$131:$P$155,AR$163:AR$164,$A183)</f>
        <v>0</v>
      </c>
      <c r="AU183" s="61">
        <f t="shared" ref="AU183:AU191" ca="1" si="602">inlError($B$167:$B$191,AU$131:AU$155,$P$131:$P$155,AU$163:AU$164,$A183)</f>
        <v>0</v>
      </c>
      <c r="AX183" s="61">
        <f t="shared" ref="AX183:AX191" ca="1" si="603">inlError($B$167:$B$191,AX$131:AX$155,$P$131:$P$155,AX$163:AX$164,$A183)</f>
        <v>0</v>
      </c>
      <c r="BA183" s="61">
        <f t="shared" ref="BA183:BA191" ca="1" si="604">inlError($B$167:$B$191,BA$131:BA$155,$P$131:$P$155,BA$163:BA$164,$A183)</f>
        <v>0</v>
      </c>
      <c r="BD183" s="61">
        <f t="shared" ref="BD183:BD191" ca="1" si="605">inlError($B$167:$B$191,BD$131:BD$155,$P$131:$P$155,BD$163:BD$164,$A183)</f>
        <v>0</v>
      </c>
      <c r="BG183" s="61">
        <f t="shared" ref="BG183:BG191" ca="1" si="606">inlError($B$167:$B$191,BG$131:BG$155,$P$131:$P$155,BG$163:BG$164,$A183)</f>
        <v>0</v>
      </c>
      <c r="BJ183" s="61">
        <f t="shared" ref="BJ183:BJ191" ca="1" si="607">inlError($B$167:$B$191,BJ$131:BJ$155,$P$131:$P$155,BJ$163:BJ$164,$A183)</f>
        <v>0</v>
      </c>
      <c r="BM183" s="61">
        <f t="shared" ref="BM183:BM191" ca="1" si="608">inlError($B$167:$B$191,BM$131:BM$155,$P$131:$P$155,BM$163:BM$164,$A183)</f>
        <v>0</v>
      </c>
      <c r="BP183" s="61">
        <f t="shared" ref="BP183:BP191" ca="1" si="609">inlError($B$167:$B$191,BP$131:BP$155,$P$131:$P$155,BP$163:BP$164,$A183)</f>
        <v>0</v>
      </c>
      <c r="BV183" s="61">
        <f t="shared" ref="BV183:BV191" ca="1" si="610">inlError($B$167:$B$191,BV$131:BV$155,$P$131:$P$155,BV$163:BV$164,$A183)</f>
        <v>0</v>
      </c>
      <c r="BY183" s="61">
        <f t="shared" ref="BY183:BY191" ca="1" si="611">inlError($B$167:$B$191,BY$131:BY$155,$P$131:$P$155,BY$163:BY$164,$A183)</f>
        <v>0</v>
      </c>
      <c r="CE183" s="61">
        <f t="shared" ref="CE183:CE191" ca="1" si="612">inlError($B$167:$B$191,CE$131:CE$155,$P$131:$P$155,CE$163:CE$164,$A183)</f>
        <v>0</v>
      </c>
      <c r="CH183" s="61">
        <f t="shared" ref="CH183:CH191" ca="1" si="613">inlError($B$167:$B$191,CH$131:CH$155,$P$131:$P$155,CH$163:CH$164,$A183)</f>
        <v>0</v>
      </c>
      <c r="CK183" s="61">
        <f t="shared" ref="CK183:CK191" ca="1" si="614">inlError($B$167:$B$191,CK$131:CK$155,$P$131:$P$155,CK$163:CK$164,$A183)</f>
        <v>0</v>
      </c>
      <c r="CN183" s="61">
        <f t="shared" ref="CN183:CN191" ca="1" si="615">inlError($B$167:$B$191,CN$131:CN$155,$P$131:$P$155,CN$163:CN$164,$A183)</f>
        <v>0</v>
      </c>
      <c r="CQ183" s="61">
        <f t="shared" ref="CQ183:CQ191" ca="1" si="616">inlError($B$167:$B$191,CQ$131:CQ$155,$P$131:$P$155,CQ$163:CQ$164,$A183)</f>
        <v>0</v>
      </c>
      <c r="CT183" s="61">
        <f t="shared" ref="CT183:CT191" ca="1" si="617">inlError($B$167:$B$191,CT$131:CT$155,$P$131:$P$155,CT$163:CT$164,$A183)</f>
        <v>0</v>
      </c>
      <c r="CW183" s="61">
        <f t="shared" ref="CW183:CW191" ca="1" si="618">inlError($B$167:$B$191,CW$131:CW$155,$P$131:$P$155,CW$163:CW$164,$A183)</f>
        <v>0</v>
      </c>
      <c r="CZ183" s="61">
        <f t="shared" ref="CZ183:CZ191" ca="1" si="619">inlError($B$167:$B$191,CZ$131:CZ$155,$P$131:$P$155,CZ$163:CZ$164,$A183)</f>
        <v>0</v>
      </c>
      <c r="DC183" s="61">
        <f t="shared" ref="DC183:DC191" ca="1" si="620">inlError($B$167:$B$191,DC$131:DC$155,$P$131:$P$155,DC$163:DC$164,$A183)</f>
        <v>0</v>
      </c>
      <c r="DF183" s="61">
        <f t="shared" ref="DF183:DF191" ca="1" si="621">inlError($B$167:$B$191,DF$131:DF$155,$P$131:$P$155,DF$163:DF$164,$A183)</f>
        <v>0</v>
      </c>
    </row>
    <row r="184" spans="1:110">
      <c r="A184" s="14">
        <f t="shared" ref="A184:C184" si="622">A20</f>
        <v>18</v>
      </c>
      <c r="B184" s="63">
        <f t="shared" ca="1" si="622"/>
        <v>0.15701835940156691</v>
      </c>
      <c r="C184" s="63">
        <f t="shared" si="622"/>
        <v>3830.6</v>
      </c>
      <c r="E184" s="61">
        <f t="shared" ca="1" si="538"/>
        <v>-4.6044804155826569E-2</v>
      </c>
      <c r="F184" s="61">
        <f t="shared" ca="1" si="539"/>
        <v>0.15701835940156691</v>
      </c>
      <c r="G184" s="2">
        <f t="shared" ca="1" si="578"/>
        <v>9.3385853857285341E-3</v>
      </c>
      <c r="H184" s="12">
        <f t="shared" ca="1" si="540"/>
        <v>-9.3385853857285341E-3</v>
      </c>
      <c r="I184" s="12">
        <f t="shared" ca="1" si="541"/>
        <v>-1.988825510075936E-3</v>
      </c>
      <c r="J184" s="12">
        <f t="shared" ca="1" si="542"/>
        <v>5.3609343655766622E-3</v>
      </c>
      <c r="K184" s="12">
        <f t="shared" ca="1" si="543"/>
        <v>4.8998399171017327E-3</v>
      </c>
      <c r="L184" s="61">
        <f t="shared" ca="1" si="544"/>
        <v>-0.21620467044027653</v>
      </c>
      <c r="M184" s="63">
        <f t="shared" ca="1" si="545"/>
        <v>-4.6044807238825439E-2</v>
      </c>
      <c r="N184" s="61">
        <f t="shared" ca="1" si="546"/>
        <v>0.12411505596262566</v>
      </c>
      <c r="O184" s="61">
        <f t="shared" ca="1" si="547"/>
        <v>0.11343990880096741</v>
      </c>
      <c r="Q184" s="61">
        <f t="shared" ca="1" si="548"/>
        <v>-0.45739144086837769</v>
      </c>
      <c r="T184" s="61">
        <f t="shared" ca="1" si="594"/>
        <v>-0.2544715404510498</v>
      </c>
      <c r="W184" s="61">
        <f t="shared" ca="1" si="595"/>
        <v>-0.30310043692588806</v>
      </c>
      <c r="Z184" s="61">
        <f t="shared" ca="1" si="596"/>
        <v>-0.20846199989318848</v>
      </c>
      <c r="AC184" s="61">
        <f t="shared" ca="1" si="597"/>
        <v>-0.11187399178743362</v>
      </c>
      <c r="AI184" s="61">
        <f t="shared" ca="1" si="598"/>
        <v>0</v>
      </c>
      <c r="AL184" s="61">
        <f t="shared" ca="1" si="599"/>
        <v>0</v>
      </c>
      <c r="AO184" s="61">
        <f t="shared" ca="1" si="600"/>
        <v>0</v>
      </c>
      <c r="AR184" s="61">
        <f t="shared" ca="1" si="601"/>
        <v>0</v>
      </c>
      <c r="AU184" s="61">
        <f t="shared" ca="1" si="602"/>
        <v>0</v>
      </c>
      <c r="AX184" s="61">
        <f t="shared" ca="1" si="603"/>
        <v>0</v>
      </c>
      <c r="BA184" s="61">
        <f t="shared" ca="1" si="604"/>
        <v>0</v>
      </c>
      <c r="BD184" s="61">
        <f t="shared" ca="1" si="605"/>
        <v>0</v>
      </c>
      <c r="BG184" s="61">
        <f t="shared" ca="1" si="606"/>
        <v>0</v>
      </c>
      <c r="BJ184" s="61">
        <f t="shared" ca="1" si="607"/>
        <v>0</v>
      </c>
      <c r="BM184" s="61">
        <f t="shared" ca="1" si="608"/>
        <v>0</v>
      </c>
      <c r="BP184" s="61">
        <f t="shared" ca="1" si="609"/>
        <v>0</v>
      </c>
      <c r="BV184" s="61">
        <f t="shared" ca="1" si="610"/>
        <v>0</v>
      </c>
      <c r="BY184" s="61">
        <f t="shared" ca="1" si="611"/>
        <v>0</v>
      </c>
      <c r="CE184" s="61">
        <f t="shared" ca="1" si="612"/>
        <v>0</v>
      </c>
      <c r="CH184" s="61">
        <f t="shared" ca="1" si="613"/>
        <v>0</v>
      </c>
      <c r="CK184" s="61">
        <f t="shared" ca="1" si="614"/>
        <v>0</v>
      </c>
      <c r="CN184" s="61">
        <f t="shared" ca="1" si="615"/>
        <v>0</v>
      </c>
      <c r="CQ184" s="61">
        <f t="shared" ca="1" si="616"/>
        <v>0</v>
      </c>
      <c r="CT184" s="61">
        <f t="shared" ca="1" si="617"/>
        <v>0</v>
      </c>
      <c r="CW184" s="61">
        <f t="shared" ca="1" si="618"/>
        <v>0</v>
      </c>
      <c r="CZ184" s="61">
        <f t="shared" ca="1" si="619"/>
        <v>0</v>
      </c>
      <c r="DC184" s="61">
        <f t="shared" ca="1" si="620"/>
        <v>0</v>
      </c>
      <c r="DF184" s="61">
        <f t="shared" ca="1" si="621"/>
        <v>0</v>
      </c>
    </row>
    <row r="185" spans="1:110">
      <c r="A185" s="14">
        <f t="shared" ref="A185:C185" si="623">A21</f>
        <v>19</v>
      </c>
      <c r="B185" s="63">
        <f t="shared" ca="1" si="623"/>
        <v>0.12828800152468015</v>
      </c>
      <c r="C185" s="63">
        <f t="shared" si="623"/>
        <v>3852.3</v>
      </c>
      <c r="E185" s="61">
        <f t="shared" ca="1" si="538"/>
        <v>-3.8608819246292114E-2</v>
      </c>
      <c r="F185" s="61">
        <f t="shared" ca="1" si="539"/>
        <v>0.12828800152468015</v>
      </c>
      <c r="G185" s="2">
        <f t="shared" ca="1" si="578"/>
        <v>7.8413111637595963E-3</v>
      </c>
      <c r="H185" s="12">
        <f t="shared" ca="1" si="540"/>
        <v>-7.8413111637595963E-3</v>
      </c>
      <c r="I185" s="12">
        <f t="shared" ca="1" si="541"/>
        <v>-1.6676411625274165E-3</v>
      </c>
      <c r="J185" s="12">
        <f t="shared" ca="1" si="542"/>
        <v>4.5060288387047632E-3</v>
      </c>
      <c r="K185" s="12">
        <f t="shared" ca="1" si="543"/>
        <v>4.1157800008214535E-3</v>
      </c>
      <c r="L185" s="61">
        <f t="shared" ca="1" si="544"/>
        <v>-0.18154013974869779</v>
      </c>
      <c r="M185" s="63">
        <f t="shared" ca="1" si="545"/>
        <v>-3.8608824898456705E-2</v>
      </c>
      <c r="N185" s="61">
        <f t="shared" ca="1" si="546"/>
        <v>0.10432248995178436</v>
      </c>
      <c r="O185" s="61">
        <f t="shared" ca="1" si="547"/>
        <v>9.528754323349406E-2</v>
      </c>
      <c r="Q185" s="61">
        <f t="shared" ca="1" si="548"/>
        <v>-0.39780151844024658</v>
      </c>
      <c r="T185" s="61">
        <f t="shared" ca="1" si="594"/>
        <v>-0.21677720546722412</v>
      </c>
      <c r="W185" s="61">
        <f t="shared" ca="1" si="595"/>
        <v>-0.23542129993438721</v>
      </c>
      <c r="Z185" s="61">
        <f t="shared" ca="1" si="596"/>
        <v>-0.14969232678413391</v>
      </c>
      <c r="AC185" s="61">
        <f t="shared" ca="1" si="597"/>
        <v>-0.11996357142925262</v>
      </c>
      <c r="AI185" s="61">
        <f t="shared" ca="1" si="598"/>
        <v>0</v>
      </c>
      <c r="AL185" s="61">
        <f t="shared" ca="1" si="599"/>
        <v>0</v>
      </c>
      <c r="AO185" s="61">
        <f t="shared" ca="1" si="600"/>
        <v>0</v>
      </c>
      <c r="AR185" s="61">
        <f t="shared" ca="1" si="601"/>
        <v>0</v>
      </c>
      <c r="AU185" s="61">
        <f t="shared" ca="1" si="602"/>
        <v>0</v>
      </c>
      <c r="AX185" s="61">
        <f t="shared" ca="1" si="603"/>
        <v>0</v>
      </c>
      <c r="BA185" s="61">
        <f t="shared" ca="1" si="604"/>
        <v>0</v>
      </c>
      <c r="BD185" s="61">
        <f t="shared" ca="1" si="605"/>
        <v>0</v>
      </c>
      <c r="BG185" s="61">
        <f t="shared" ca="1" si="606"/>
        <v>0</v>
      </c>
      <c r="BJ185" s="61">
        <f t="shared" ca="1" si="607"/>
        <v>0</v>
      </c>
      <c r="BM185" s="61">
        <f t="shared" ca="1" si="608"/>
        <v>0</v>
      </c>
      <c r="BP185" s="61">
        <f t="shared" ca="1" si="609"/>
        <v>0</v>
      </c>
      <c r="BV185" s="61">
        <f t="shared" ca="1" si="610"/>
        <v>0</v>
      </c>
      <c r="BY185" s="61">
        <f t="shared" ca="1" si="611"/>
        <v>0</v>
      </c>
      <c r="CE185" s="61">
        <f t="shared" ca="1" si="612"/>
        <v>0</v>
      </c>
      <c r="CH185" s="61">
        <f t="shared" ca="1" si="613"/>
        <v>0</v>
      </c>
      <c r="CK185" s="61">
        <f t="shared" ca="1" si="614"/>
        <v>0</v>
      </c>
      <c r="CN185" s="61">
        <f t="shared" ca="1" si="615"/>
        <v>0</v>
      </c>
      <c r="CQ185" s="61">
        <f t="shared" ca="1" si="616"/>
        <v>0</v>
      </c>
      <c r="CT185" s="61">
        <f t="shared" ca="1" si="617"/>
        <v>0</v>
      </c>
      <c r="CW185" s="61">
        <f t="shared" ca="1" si="618"/>
        <v>0</v>
      </c>
      <c r="CZ185" s="61">
        <f t="shared" ca="1" si="619"/>
        <v>0</v>
      </c>
      <c r="DC185" s="61">
        <f t="shared" ca="1" si="620"/>
        <v>0</v>
      </c>
      <c r="DF185" s="61">
        <f t="shared" ca="1" si="621"/>
        <v>0</v>
      </c>
    </row>
    <row r="186" spans="1:110">
      <c r="A186" s="14">
        <f t="shared" ref="A186:C186" si="624">A22</f>
        <v>20</v>
      </c>
      <c r="B186" s="63">
        <f t="shared" ca="1" si="624"/>
        <v>0.1052422464745905</v>
      </c>
      <c r="C186" s="63">
        <f t="shared" si="624"/>
        <v>3884.6</v>
      </c>
      <c r="E186" s="61">
        <f t="shared" ca="1" si="538"/>
        <v>-2.9974928125739098E-2</v>
      </c>
      <c r="F186" s="61">
        <f t="shared" ca="1" si="539"/>
        <v>0.1052422464745905</v>
      </c>
      <c r="G186" s="2">
        <f t="shared" ca="1" si="578"/>
        <v>6.1014387469312719E-3</v>
      </c>
      <c r="H186" s="12">
        <f t="shared" ca="1" si="540"/>
        <v>-6.1014387469312719E-3</v>
      </c>
      <c r="I186" s="12">
        <f t="shared" ca="1" si="541"/>
        <v>-1.294715072329223E-3</v>
      </c>
      <c r="J186" s="12">
        <f t="shared" ca="1" si="542"/>
        <v>3.5120086022728259E-3</v>
      </c>
      <c r="K186" s="12">
        <f t="shared" ca="1" si="543"/>
        <v>3.204482449734699E-3</v>
      </c>
      <c r="L186" s="61">
        <f t="shared" ca="1" si="544"/>
        <v>-0.14125903431881481</v>
      </c>
      <c r="M186" s="63">
        <f t="shared" ca="1" si="545"/>
        <v>-2.9974930245300818E-2</v>
      </c>
      <c r="N186" s="61">
        <f t="shared" ca="1" si="546"/>
        <v>8.1309173828213177E-2</v>
      </c>
      <c r="O186" s="61">
        <f t="shared" ca="1" si="547"/>
        <v>7.4189402715675992E-2</v>
      </c>
      <c r="Q186" s="61">
        <f t="shared" ca="1" si="548"/>
        <v>-0.22733922302722931</v>
      </c>
      <c r="T186" s="61">
        <f t="shared" ca="1" si="594"/>
        <v>-9.7770608961582184E-2</v>
      </c>
      <c r="W186" s="61">
        <f t="shared" ca="1" si="595"/>
        <v>-0.2713158130645752</v>
      </c>
      <c r="Z186" s="61">
        <f t="shared" ca="1" si="596"/>
        <v>-7.2811685502529144E-2</v>
      </c>
      <c r="AC186" s="61">
        <f t="shared" ca="1" si="597"/>
        <v>-0.20003564655780792</v>
      </c>
      <c r="AI186" s="61">
        <f t="shared" ca="1" si="598"/>
        <v>0</v>
      </c>
      <c r="AL186" s="61">
        <f t="shared" ca="1" si="599"/>
        <v>0</v>
      </c>
      <c r="AO186" s="61">
        <f t="shared" ca="1" si="600"/>
        <v>0</v>
      </c>
      <c r="AR186" s="61">
        <f t="shared" ca="1" si="601"/>
        <v>0</v>
      </c>
      <c r="AU186" s="61">
        <f t="shared" ca="1" si="602"/>
        <v>0</v>
      </c>
      <c r="AX186" s="61">
        <f t="shared" ca="1" si="603"/>
        <v>0</v>
      </c>
      <c r="BA186" s="61">
        <f t="shared" ca="1" si="604"/>
        <v>0</v>
      </c>
      <c r="BD186" s="61">
        <f t="shared" ca="1" si="605"/>
        <v>0</v>
      </c>
      <c r="BG186" s="61">
        <f t="shared" ca="1" si="606"/>
        <v>0</v>
      </c>
      <c r="BJ186" s="61">
        <f t="shared" ca="1" si="607"/>
        <v>0</v>
      </c>
      <c r="BM186" s="61">
        <f t="shared" ca="1" si="608"/>
        <v>0</v>
      </c>
      <c r="BP186" s="61">
        <f t="shared" ca="1" si="609"/>
        <v>0</v>
      </c>
      <c r="BV186" s="61">
        <f t="shared" ca="1" si="610"/>
        <v>0</v>
      </c>
      <c r="BY186" s="61">
        <f t="shared" ca="1" si="611"/>
        <v>0</v>
      </c>
      <c r="CE186" s="61">
        <f t="shared" ca="1" si="612"/>
        <v>0</v>
      </c>
      <c r="CH186" s="61">
        <f t="shared" ca="1" si="613"/>
        <v>0</v>
      </c>
      <c r="CK186" s="61">
        <f t="shared" ca="1" si="614"/>
        <v>0</v>
      </c>
      <c r="CN186" s="61">
        <f t="shared" ca="1" si="615"/>
        <v>0</v>
      </c>
      <c r="CQ186" s="61">
        <f t="shared" ca="1" si="616"/>
        <v>0</v>
      </c>
      <c r="CT186" s="61">
        <f t="shared" ca="1" si="617"/>
        <v>0</v>
      </c>
      <c r="CW186" s="61">
        <f t="shared" ca="1" si="618"/>
        <v>0</v>
      </c>
      <c r="CZ186" s="61">
        <f t="shared" ca="1" si="619"/>
        <v>0</v>
      </c>
      <c r="DC186" s="61">
        <f t="shared" ca="1" si="620"/>
        <v>0</v>
      </c>
      <c r="DF186" s="61">
        <f t="shared" ca="1" si="621"/>
        <v>0</v>
      </c>
    </row>
    <row r="187" spans="1:110">
      <c r="A187" s="14">
        <f t="shared" ref="A187:C187" si="625">A23</f>
        <v>21</v>
      </c>
      <c r="B187" s="63">
        <f t="shared" ca="1" si="625"/>
        <v>8.7497019701430423E-2</v>
      </c>
      <c r="C187" s="63">
        <f t="shared" si="625"/>
        <v>3874</v>
      </c>
      <c r="E187" s="61">
        <f t="shared" ca="1" si="538"/>
        <v>-2.6813056319952011E-2</v>
      </c>
      <c r="F187" s="61">
        <f t="shared" ca="1" si="539"/>
        <v>8.7497019701430423E-2</v>
      </c>
      <c r="G187" s="2">
        <f t="shared" ca="1" si="578"/>
        <v>5.3244599170925574E-3</v>
      </c>
      <c r="H187" s="12">
        <f t="shared" ca="1" si="540"/>
        <v>-5.3244599170925574E-3</v>
      </c>
      <c r="I187" s="12">
        <f t="shared" ca="1" si="541"/>
        <v>-1.1581435228900068E-3</v>
      </c>
      <c r="J187" s="12">
        <f t="shared" ca="1" si="542"/>
        <v>3.0081728713125442E-3</v>
      </c>
      <c r="K187" s="12">
        <f t="shared" ca="1" si="543"/>
        <v>2.7775442628017004E-3</v>
      </c>
      <c r="L187" s="61">
        <f t="shared" ca="1" si="544"/>
        <v>-0.12327060835217193</v>
      </c>
      <c r="M187" s="63">
        <f t="shared" ca="1" si="545"/>
        <v>-2.6813058760659449E-2</v>
      </c>
      <c r="N187" s="61">
        <f t="shared" ca="1" si="546"/>
        <v>6.9644490830853029E-2</v>
      </c>
      <c r="O187" s="61">
        <f t="shared" ca="1" si="547"/>
        <v>6.4305033061008321E-2</v>
      </c>
      <c r="Q187" s="61">
        <f t="shared" ca="1" si="548"/>
        <v>-0.24300862848758698</v>
      </c>
      <c r="T187" s="61">
        <f t="shared" ca="1" si="594"/>
        <v>-0.12023724615573883</v>
      </c>
      <c r="W187" s="61">
        <f t="shared" ca="1" si="595"/>
        <v>-0.19301672279834747</v>
      </c>
      <c r="Z187" s="61">
        <f t="shared" ca="1" si="596"/>
        <v>-8.4418259561061859E-2</v>
      </c>
      <c r="AC187" s="61">
        <f t="shared" ca="1" si="597"/>
        <v>-0.13689784705638885</v>
      </c>
      <c r="AI187" s="61">
        <f t="shared" ca="1" si="598"/>
        <v>0</v>
      </c>
      <c r="AL187" s="61">
        <f t="shared" ca="1" si="599"/>
        <v>0</v>
      </c>
      <c r="AO187" s="61">
        <f t="shared" ca="1" si="600"/>
        <v>0</v>
      </c>
      <c r="AR187" s="61">
        <f t="shared" ca="1" si="601"/>
        <v>0</v>
      </c>
      <c r="AU187" s="61">
        <f t="shared" ca="1" si="602"/>
        <v>0</v>
      </c>
      <c r="AX187" s="61">
        <f t="shared" ca="1" si="603"/>
        <v>0</v>
      </c>
      <c r="BA187" s="61">
        <f t="shared" ca="1" si="604"/>
        <v>0</v>
      </c>
      <c r="BD187" s="61">
        <f t="shared" ca="1" si="605"/>
        <v>0</v>
      </c>
      <c r="BG187" s="61">
        <f t="shared" ca="1" si="606"/>
        <v>0</v>
      </c>
      <c r="BJ187" s="61">
        <f t="shared" ca="1" si="607"/>
        <v>0</v>
      </c>
      <c r="BM187" s="61">
        <f t="shared" ca="1" si="608"/>
        <v>0</v>
      </c>
      <c r="BP187" s="61">
        <f t="shared" ca="1" si="609"/>
        <v>0</v>
      </c>
      <c r="BV187" s="61">
        <f t="shared" ca="1" si="610"/>
        <v>0</v>
      </c>
      <c r="BY187" s="61">
        <f t="shared" ca="1" si="611"/>
        <v>0</v>
      </c>
      <c r="CE187" s="61">
        <f t="shared" ca="1" si="612"/>
        <v>0</v>
      </c>
      <c r="CH187" s="61">
        <f t="shared" ca="1" si="613"/>
        <v>0</v>
      </c>
      <c r="CK187" s="61">
        <f t="shared" ca="1" si="614"/>
        <v>0</v>
      </c>
      <c r="CN187" s="61">
        <f t="shared" ca="1" si="615"/>
        <v>0</v>
      </c>
      <c r="CQ187" s="61">
        <f t="shared" ca="1" si="616"/>
        <v>0</v>
      </c>
      <c r="CT187" s="61">
        <f t="shared" ca="1" si="617"/>
        <v>0</v>
      </c>
      <c r="CW187" s="61">
        <f t="shared" ca="1" si="618"/>
        <v>0</v>
      </c>
      <c r="CZ187" s="61">
        <f t="shared" ca="1" si="619"/>
        <v>0</v>
      </c>
      <c r="DC187" s="61">
        <f t="shared" ca="1" si="620"/>
        <v>0</v>
      </c>
      <c r="DF187" s="61">
        <f t="shared" ca="1" si="621"/>
        <v>0</v>
      </c>
    </row>
    <row r="188" spans="1:110">
      <c r="A188" s="14">
        <f t="shared" ref="A188:C188" si="626">A24</f>
        <v>22</v>
      </c>
      <c r="B188" s="63">
        <f t="shared" ca="1" si="626"/>
        <v>6.4528090696904072E-2</v>
      </c>
      <c r="C188" s="63">
        <f t="shared" si="626"/>
        <v>3852.9</v>
      </c>
      <c r="E188" s="61">
        <f t="shared" ca="1" si="538"/>
        <v>-1.9894776865839958E-2</v>
      </c>
      <c r="F188" s="61">
        <f t="shared" ca="1" si="539"/>
        <v>6.4528090696904072E-2</v>
      </c>
      <c r="G188" s="2">
        <f t="shared" ca="1" si="578"/>
        <v>4.0184816088191079E-3</v>
      </c>
      <c r="H188" s="12">
        <f t="shared" ca="1" si="540"/>
        <v>-4.0184816088191079E-3</v>
      </c>
      <c r="I188" s="12">
        <f t="shared" ca="1" si="541"/>
        <v>-8.5932041111294827E-4</v>
      </c>
      <c r="J188" s="12">
        <f t="shared" ca="1" si="542"/>
        <v>2.2998407865932116E-3</v>
      </c>
      <c r="K188" s="12">
        <f t="shared" ca="1" si="543"/>
        <v>2.1061074651374401E-3</v>
      </c>
      <c r="L188" s="61">
        <f t="shared" ca="1" si="544"/>
        <v>-9.30349143921511E-2</v>
      </c>
      <c r="M188" s="63">
        <f t="shared" ca="1" si="545"/>
        <v>-1.989477834311025E-2</v>
      </c>
      <c r="N188" s="61">
        <f t="shared" ca="1" si="546"/>
        <v>5.3245357705930599E-2</v>
      </c>
      <c r="O188" s="61">
        <f t="shared" ca="1" si="547"/>
        <v>4.8760090699360568E-2</v>
      </c>
      <c r="Q188" s="61">
        <f t="shared" ca="1" si="548"/>
        <v>-0.14981523156166077</v>
      </c>
      <c r="T188" s="61">
        <f t="shared" ca="1" si="594"/>
        <v>-0.11048135161399841</v>
      </c>
      <c r="W188" s="61">
        <f t="shared" ca="1" si="595"/>
        <v>-0.18549969792366028</v>
      </c>
      <c r="Z188" s="61">
        <f t="shared" ca="1" si="596"/>
        <v>-7.9508699476718903E-2</v>
      </c>
      <c r="AC188" s="61">
        <f t="shared" ca="1" si="597"/>
        <v>-5.1643591374158859E-2</v>
      </c>
      <c r="AI188" s="61">
        <f t="shared" ca="1" si="598"/>
        <v>0</v>
      </c>
      <c r="AL188" s="61">
        <f t="shared" ca="1" si="599"/>
        <v>0</v>
      </c>
      <c r="AO188" s="61">
        <f t="shared" ca="1" si="600"/>
        <v>0</v>
      </c>
      <c r="AR188" s="61">
        <f t="shared" ca="1" si="601"/>
        <v>0</v>
      </c>
      <c r="AU188" s="61">
        <f t="shared" ca="1" si="602"/>
        <v>0</v>
      </c>
      <c r="AX188" s="61">
        <f t="shared" ca="1" si="603"/>
        <v>0</v>
      </c>
      <c r="BA188" s="61">
        <f t="shared" ca="1" si="604"/>
        <v>0</v>
      </c>
      <c r="BD188" s="61">
        <f t="shared" ca="1" si="605"/>
        <v>0</v>
      </c>
      <c r="BG188" s="61">
        <f t="shared" ca="1" si="606"/>
        <v>0</v>
      </c>
      <c r="BJ188" s="61">
        <f t="shared" ca="1" si="607"/>
        <v>0</v>
      </c>
      <c r="BM188" s="61">
        <f t="shared" ca="1" si="608"/>
        <v>0</v>
      </c>
      <c r="BP188" s="61">
        <f t="shared" ca="1" si="609"/>
        <v>0</v>
      </c>
      <c r="BV188" s="61">
        <f t="shared" ca="1" si="610"/>
        <v>0</v>
      </c>
      <c r="BY188" s="61">
        <f t="shared" ca="1" si="611"/>
        <v>0</v>
      </c>
      <c r="CE188" s="61">
        <f t="shared" ca="1" si="612"/>
        <v>0</v>
      </c>
      <c r="CH188" s="61">
        <f t="shared" ca="1" si="613"/>
        <v>0</v>
      </c>
      <c r="CK188" s="61">
        <f t="shared" ca="1" si="614"/>
        <v>0</v>
      </c>
      <c r="CN188" s="61">
        <f t="shared" ca="1" si="615"/>
        <v>0</v>
      </c>
      <c r="CQ188" s="61">
        <f t="shared" ca="1" si="616"/>
        <v>0</v>
      </c>
      <c r="CT188" s="61">
        <f t="shared" ca="1" si="617"/>
        <v>0</v>
      </c>
      <c r="CW188" s="61">
        <f t="shared" ca="1" si="618"/>
        <v>0</v>
      </c>
      <c r="CZ188" s="61">
        <f t="shared" ca="1" si="619"/>
        <v>0</v>
      </c>
      <c r="DC188" s="61">
        <f t="shared" ca="1" si="620"/>
        <v>0</v>
      </c>
      <c r="DF188" s="61">
        <f t="shared" ca="1" si="621"/>
        <v>0</v>
      </c>
    </row>
    <row r="189" spans="1:110">
      <c r="A189" s="14">
        <f t="shared" ref="A189:C189" si="627">A25</f>
        <v>23</v>
      </c>
      <c r="B189" s="63">
        <f t="shared" ca="1" si="627"/>
        <v>4.8396071685701009E-2</v>
      </c>
      <c r="C189" s="63">
        <f t="shared" si="627"/>
        <v>3862.8</v>
      </c>
      <c r="E189" s="61">
        <f t="shared" ca="1" si="538"/>
        <v>-1.4392589218914509E-2</v>
      </c>
      <c r="F189" s="61">
        <f t="shared" ca="1" si="539"/>
        <v>4.8396071685701009E-2</v>
      </c>
      <c r="G189" s="2">
        <f t="shared" ca="1" si="578"/>
        <v>3.0930849229965141E-3</v>
      </c>
      <c r="H189" s="12">
        <f t="shared" ca="1" si="540"/>
        <v>-3.0930849229965141E-3</v>
      </c>
      <c r="I189" s="12">
        <f t="shared" ca="1" si="541"/>
        <v>-6.2166296946483571E-4</v>
      </c>
      <c r="J189" s="12">
        <f t="shared" ca="1" si="542"/>
        <v>1.8497589840668427E-3</v>
      </c>
      <c r="K189" s="12">
        <f t="shared" ca="1" si="543"/>
        <v>1.6476146356877855E-3</v>
      </c>
      <c r="L189" s="61">
        <f t="shared" ca="1" si="544"/>
        <v>-7.1610354116613234E-2</v>
      </c>
      <c r="M189" s="63">
        <f t="shared" ca="1" si="545"/>
        <v>-1.4392590728299371E-2</v>
      </c>
      <c r="N189" s="61">
        <f t="shared" ca="1" si="546"/>
        <v>4.2825172660014489E-2</v>
      </c>
      <c r="O189" s="61">
        <f t="shared" ca="1" si="547"/>
        <v>3.8145175592209236E-2</v>
      </c>
      <c r="Q189" s="61">
        <f t="shared" ca="1" si="548"/>
        <v>-0.13401874899864197</v>
      </c>
      <c r="T189" s="61">
        <f t="shared" ca="1" si="594"/>
        <v>-4.8781055957078934E-2</v>
      </c>
      <c r="W189" s="61">
        <f t="shared" ca="1" si="595"/>
        <v>-0.14700038731098175</v>
      </c>
      <c r="Z189" s="61">
        <f t="shared" ca="1" si="596"/>
        <v>-6.5741114318370819E-2</v>
      </c>
      <c r="AC189" s="61">
        <f t="shared" ca="1" si="597"/>
        <v>-2.1843824535608292E-2</v>
      </c>
      <c r="AI189" s="61">
        <f t="shared" ca="1" si="598"/>
        <v>0</v>
      </c>
      <c r="AL189" s="61">
        <f t="shared" ca="1" si="599"/>
        <v>0</v>
      </c>
      <c r="AO189" s="61">
        <f t="shared" ca="1" si="600"/>
        <v>0</v>
      </c>
      <c r="AR189" s="61">
        <f t="shared" ca="1" si="601"/>
        <v>0</v>
      </c>
      <c r="AU189" s="61">
        <f t="shared" ca="1" si="602"/>
        <v>0</v>
      </c>
      <c r="AX189" s="61">
        <f t="shared" ca="1" si="603"/>
        <v>0</v>
      </c>
      <c r="BA189" s="61">
        <f t="shared" ca="1" si="604"/>
        <v>0</v>
      </c>
      <c r="BD189" s="61">
        <f t="shared" ca="1" si="605"/>
        <v>0</v>
      </c>
      <c r="BG189" s="61">
        <f t="shared" ca="1" si="606"/>
        <v>0</v>
      </c>
      <c r="BJ189" s="61">
        <f t="shared" ca="1" si="607"/>
        <v>0</v>
      </c>
      <c r="BM189" s="61">
        <f t="shared" ca="1" si="608"/>
        <v>0</v>
      </c>
      <c r="BP189" s="61">
        <f t="shared" ca="1" si="609"/>
        <v>0</v>
      </c>
      <c r="BV189" s="61">
        <f t="shared" ca="1" si="610"/>
        <v>0</v>
      </c>
      <c r="BY189" s="61">
        <f t="shared" ca="1" si="611"/>
        <v>0</v>
      </c>
      <c r="CE189" s="61">
        <f t="shared" ca="1" si="612"/>
        <v>0</v>
      </c>
      <c r="CH189" s="61">
        <f t="shared" ca="1" si="613"/>
        <v>0</v>
      </c>
      <c r="CK189" s="61">
        <f t="shared" ca="1" si="614"/>
        <v>0</v>
      </c>
      <c r="CN189" s="61">
        <f t="shared" ca="1" si="615"/>
        <v>0</v>
      </c>
      <c r="CQ189" s="61">
        <f t="shared" ca="1" si="616"/>
        <v>0</v>
      </c>
      <c r="CT189" s="61">
        <f t="shared" ca="1" si="617"/>
        <v>0</v>
      </c>
      <c r="CW189" s="61">
        <f t="shared" ca="1" si="618"/>
        <v>0</v>
      </c>
      <c r="CZ189" s="61">
        <f t="shared" ca="1" si="619"/>
        <v>0</v>
      </c>
      <c r="DC189" s="61">
        <f t="shared" ca="1" si="620"/>
        <v>0</v>
      </c>
      <c r="DF189" s="61">
        <f t="shared" ca="1" si="621"/>
        <v>0</v>
      </c>
    </row>
    <row r="190" spans="1:110">
      <c r="A190" s="14">
        <f t="shared" ref="A190:C190" si="628">A26</f>
        <v>24</v>
      </c>
      <c r="B190" s="63">
        <f t="shared" ca="1" si="628"/>
        <v>1.6900215363934361E-2</v>
      </c>
      <c r="C190" s="63">
        <f t="shared" si="628"/>
        <v>3782.2</v>
      </c>
      <c r="E190" s="61">
        <f t="shared" ca="1" si="538"/>
        <v>-1.8774024210870266E-3</v>
      </c>
      <c r="F190" s="61">
        <f t="shared" ca="1" si="539"/>
        <v>1.6900215363934361E-2</v>
      </c>
      <c r="G190" s="2">
        <f t="shared" ca="1" si="578"/>
        <v>1.064100724610011E-3</v>
      </c>
      <c r="H190" s="12">
        <f t="shared" ca="1" si="540"/>
        <v>-1.064100724610011E-3</v>
      </c>
      <c r="I190" s="12">
        <f t="shared" ca="1" si="541"/>
        <v>-8.1091153816981206E-5</v>
      </c>
      <c r="J190" s="12">
        <f t="shared" ca="1" si="542"/>
        <v>9.0191841697604867E-4</v>
      </c>
      <c r="K190" s="12">
        <f t="shared" ca="1" si="543"/>
        <v>6.5533971386201996E-4</v>
      </c>
      <c r="L190" s="61">
        <f t="shared" ca="1" si="544"/>
        <v>-2.4635802637855184E-2</v>
      </c>
      <c r="M190" s="63">
        <f t="shared" ca="1" si="545"/>
        <v>-1.8774027823759564E-3</v>
      </c>
      <c r="N190" s="61">
        <f t="shared" ca="1" si="546"/>
        <v>2.0880997073103272E-2</v>
      </c>
      <c r="O190" s="61">
        <f t="shared" ca="1" si="547"/>
        <v>1.5172266570319486E-2</v>
      </c>
      <c r="Q190" s="61">
        <f t="shared" ca="1" si="548"/>
        <v>-3.3317279070615768E-2</v>
      </c>
      <c r="T190" s="61">
        <f t="shared" ca="1" si="594"/>
        <v>2.1612595766782761E-2</v>
      </c>
      <c r="W190" s="61">
        <f t="shared" ca="1" si="595"/>
        <v>-6.5613329410552979E-2</v>
      </c>
      <c r="Z190" s="61">
        <f t="shared" ca="1" si="596"/>
        <v>-2.7742523234337568E-3</v>
      </c>
      <c r="AC190" s="61">
        <f t="shared" ca="1" si="597"/>
        <v>2.5647584348917007E-2</v>
      </c>
      <c r="AI190" s="61">
        <f t="shared" ca="1" si="598"/>
        <v>0</v>
      </c>
      <c r="AL190" s="61">
        <f t="shared" ca="1" si="599"/>
        <v>0</v>
      </c>
      <c r="AO190" s="61">
        <f t="shared" ca="1" si="600"/>
        <v>0</v>
      </c>
      <c r="AR190" s="61">
        <f t="shared" ca="1" si="601"/>
        <v>0</v>
      </c>
      <c r="AU190" s="61">
        <f t="shared" ca="1" si="602"/>
        <v>0</v>
      </c>
      <c r="AX190" s="61">
        <f t="shared" ca="1" si="603"/>
        <v>0</v>
      </c>
      <c r="BA190" s="61">
        <f t="shared" ca="1" si="604"/>
        <v>0</v>
      </c>
      <c r="BD190" s="61">
        <f t="shared" ca="1" si="605"/>
        <v>0</v>
      </c>
      <c r="BG190" s="61">
        <f t="shared" ca="1" si="606"/>
        <v>0</v>
      </c>
      <c r="BJ190" s="61">
        <f t="shared" ca="1" si="607"/>
        <v>0</v>
      </c>
      <c r="BM190" s="61">
        <f t="shared" ca="1" si="608"/>
        <v>0</v>
      </c>
      <c r="BP190" s="61">
        <f t="shared" ca="1" si="609"/>
        <v>0</v>
      </c>
      <c r="BV190" s="61">
        <f t="shared" ca="1" si="610"/>
        <v>0</v>
      </c>
      <c r="BY190" s="61">
        <f t="shared" ca="1" si="611"/>
        <v>0</v>
      </c>
      <c r="CE190" s="61">
        <f t="shared" ca="1" si="612"/>
        <v>0</v>
      </c>
      <c r="CH190" s="61">
        <f t="shared" ca="1" si="613"/>
        <v>0</v>
      </c>
      <c r="CK190" s="61">
        <f t="shared" ca="1" si="614"/>
        <v>0</v>
      </c>
      <c r="CN190" s="61">
        <f t="shared" ca="1" si="615"/>
        <v>0</v>
      </c>
      <c r="CQ190" s="61">
        <f t="shared" ca="1" si="616"/>
        <v>0</v>
      </c>
      <c r="CT190" s="61">
        <f t="shared" ca="1" si="617"/>
        <v>0</v>
      </c>
      <c r="CW190" s="61">
        <f t="shared" ca="1" si="618"/>
        <v>0</v>
      </c>
      <c r="CZ190" s="61">
        <f t="shared" ca="1" si="619"/>
        <v>0</v>
      </c>
      <c r="DC190" s="61">
        <f t="shared" ca="1" si="620"/>
        <v>0</v>
      </c>
      <c r="DF190" s="61">
        <f t="shared" ca="1" si="621"/>
        <v>0</v>
      </c>
    </row>
    <row r="191" spans="1:110">
      <c r="A191" s="14">
        <f t="shared" ref="A191:C191" si="629">A27</f>
        <v>25</v>
      </c>
      <c r="B191" s="63">
        <f t="shared" ca="1" si="629"/>
        <v>1.3827448268123942E-2</v>
      </c>
      <c r="C191" s="63">
        <f t="shared" si="629"/>
        <v>3801.6</v>
      </c>
      <c r="E191" s="61">
        <f t="shared" ca="1" si="538"/>
        <v>6.7011042548248412E-11</v>
      </c>
      <c r="F191" s="61">
        <f t="shared" ca="1" si="539"/>
        <v>1.3827448268123942E-2</v>
      </c>
      <c r="G191" s="2">
        <f t="shared" ca="1" si="578"/>
        <v>1.0785601710958747E-10</v>
      </c>
      <c r="H191" s="12">
        <f t="shared" ca="1" si="540"/>
        <v>-1.0785601710958747E-10</v>
      </c>
      <c r="I191" s="12">
        <f t="shared" ca="1" si="541"/>
        <v>-5.4897728963612107E-12</v>
      </c>
      <c r="J191" s="12">
        <f t="shared" ca="1" si="542"/>
        <v>9.6876471316865057E-11</v>
      </c>
      <c r="K191" s="12">
        <f t="shared" ca="1" si="543"/>
        <v>6.8244162808817513E-11</v>
      </c>
      <c r="L191" s="61">
        <f t="shared" ca="1" si="544"/>
        <v>-2.4970564246075046E-9</v>
      </c>
      <c r="M191" s="63">
        <f t="shared" ca="1" si="545"/>
        <v>-1.2709789446949977E-10</v>
      </c>
      <c r="N191" s="61">
        <f t="shared" ca="1" si="546"/>
        <v>2.2428606356685053E-9</v>
      </c>
      <c r="O191" s="61">
        <f t="shared" ca="1" si="547"/>
        <v>1.5799723534253367E-9</v>
      </c>
      <c r="Q191" s="61">
        <f t="shared" ca="1" si="548"/>
        <v>-4.6569792466755189E-9</v>
      </c>
      <c r="T191" s="61">
        <f t="shared" ca="1" si="594"/>
        <v>-4.2031218505655943E-9</v>
      </c>
      <c r="W191" s="61">
        <f t="shared" ca="1" si="595"/>
        <v>4.4648554298198917E-10</v>
      </c>
      <c r="Z191" s="61">
        <f t="shared" ca="1" si="596"/>
        <v>-7.6949979721518957E-10</v>
      </c>
      <c r="AC191" s="61">
        <f t="shared" ca="1" si="597"/>
        <v>5.4972764118588202E-9</v>
      </c>
      <c r="AI191" s="61">
        <f t="shared" ca="1" si="598"/>
        <v>0</v>
      </c>
      <c r="AL191" s="61">
        <f t="shared" ca="1" si="599"/>
        <v>0</v>
      </c>
      <c r="AO191" s="61">
        <f t="shared" ca="1" si="600"/>
        <v>0</v>
      </c>
      <c r="AR191" s="61">
        <f t="shared" ca="1" si="601"/>
        <v>0</v>
      </c>
      <c r="AU191" s="61">
        <f t="shared" ca="1" si="602"/>
        <v>0</v>
      </c>
      <c r="AX191" s="61">
        <f t="shared" ca="1" si="603"/>
        <v>0</v>
      </c>
      <c r="BA191" s="61">
        <f t="shared" ca="1" si="604"/>
        <v>0</v>
      </c>
      <c r="BD191" s="61">
        <f t="shared" ca="1" si="605"/>
        <v>0</v>
      </c>
      <c r="BG191" s="61">
        <f t="shared" ca="1" si="606"/>
        <v>0</v>
      </c>
      <c r="BJ191" s="61">
        <f t="shared" ca="1" si="607"/>
        <v>0</v>
      </c>
      <c r="BM191" s="61">
        <f t="shared" ca="1" si="608"/>
        <v>0</v>
      </c>
      <c r="BP191" s="61">
        <f t="shared" ca="1" si="609"/>
        <v>0</v>
      </c>
      <c r="BV191" s="61">
        <f t="shared" ca="1" si="610"/>
        <v>0</v>
      </c>
      <c r="BY191" s="61">
        <f t="shared" ca="1" si="611"/>
        <v>0</v>
      </c>
      <c r="CE191" s="61">
        <f t="shared" ca="1" si="612"/>
        <v>0</v>
      </c>
      <c r="CH191" s="61">
        <f t="shared" ca="1" si="613"/>
        <v>0</v>
      </c>
      <c r="CK191" s="61">
        <f t="shared" ca="1" si="614"/>
        <v>0</v>
      </c>
      <c r="CN191" s="61">
        <f t="shared" ca="1" si="615"/>
        <v>0</v>
      </c>
      <c r="CQ191" s="61">
        <f t="shared" ca="1" si="616"/>
        <v>0</v>
      </c>
      <c r="CT191" s="61">
        <f t="shared" ca="1" si="617"/>
        <v>0</v>
      </c>
      <c r="CW191" s="61">
        <f t="shared" ca="1" si="618"/>
        <v>0</v>
      </c>
      <c r="CZ191" s="61">
        <f t="shared" ca="1" si="619"/>
        <v>0</v>
      </c>
      <c r="DC191" s="61">
        <f t="shared" ca="1" si="620"/>
        <v>0</v>
      </c>
      <c r="DF191" s="61">
        <f t="shared" ca="1" si="621"/>
        <v>0</v>
      </c>
    </row>
    <row r="193" spans="3:14">
      <c r="C193" s="111" t="str">
        <f ca="1">partNumber&amp;": Offset Histogram="&amp;INT(K162*100)/100&amp;"+/-"&amp;INT(M162*1.5*100)/100</f>
        <v>29121: Offset Histogram=0.01+/-0.05</v>
      </c>
      <c r="D193" s="111"/>
      <c r="E193" s="111"/>
      <c r="F193" s="111"/>
      <c r="G193" s="111"/>
    </row>
    <row r="196" spans="3:14">
      <c r="M196" s="10">
        <f ca="1">M162/2</f>
        <v>1.7145629574126849E-2</v>
      </c>
    </row>
    <row r="197" spans="3:14">
      <c r="M197" s="10">
        <f ca="1">J162</f>
        <v>-3.6533489328557038E-2</v>
      </c>
      <c r="N197" s="61">
        <f t="shared" ref="N197:N202" ca="1" si="630">histogram(Q$164:DH$164,M$197:M$202,M197)</f>
        <v>0</v>
      </c>
    </row>
    <row r="198" spans="3:14">
      <c r="M198" s="10">
        <f ca="1">M197+M$196</f>
        <v>-1.9387859754430189E-2</v>
      </c>
      <c r="N198" s="61">
        <f t="shared" ca="1" si="630"/>
        <v>0</v>
      </c>
    </row>
    <row r="199" spans="3:14">
      <c r="M199" s="10">
        <f ca="1">M198+M$196</f>
        <v>-2.2422301803033395E-3</v>
      </c>
      <c r="N199" s="61">
        <f t="shared" ca="1" si="630"/>
        <v>0</v>
      </c>
    </row>
    <row r="200" spans="3:14">
      <c r="K200" s="10"/>
      <c r="M200" s="10">
        <f ca="1">M199+M$196</f>
        <v>1.490339939382351E-2</v>
      </c>
      <c r="N200" s="61">
        <f t="shared" ca="1" si="630"/>
        <v>24</v>
      </c>
    </row>
    <row r="201" spans="3:14">
      <c r="M201" s="10">
        <f ca="1">M200+M$196</f>
        <v>3.2049028967950359E-2</v>
      </c>
      <c r="N201" s="61">
        <f t="shared" ca="1" si="630"/>
        <v>0</v>
      </c>
    </row>
    <row r="202" spans="3:14">
      <c r="M202" s="10">
        <f ca="1">M201+M$196</f>
        <v>4.9194658542077205E-2</v>
      </c>
      <c r="N202" s="61">
        <f t="shared" ca="1" si="630"/>
        <v>5</v>
      </c>
    </row>
  </sheetData>
  <mergeCells count="58">
    <mergeCell ref="C193:G193"/>
    <mergeCell ref="D97:G97"/>
    <mergeCell ref="D95:G95"/>
    <mergeCell ref="L97:N97"/>
    <mergeCell ref="L95:O95"/>
    <mergeCell ref="H96:J96"/>
    <mergeCell ref="H97:J97"/>
    <mergeCell ref="L165:O165"/>
    <mergeCell ref="H165:K165"/>
    <mergeCell ref="E129:H129"/>
    <mergeCell ref="E130:H130"/>
    <mergeCell ref="B63:C63"/>
    <mergeCell ref="A61:C62"/>
    <mergeCell ref="A158:C159"/>
    <mergeCell ref="B165:C165"/>
    <mergeCell ref="AX32:AZ32"/>
    <mergeCell ref="AU32:AW32"/>
    <mergeCell ref="B129:C129"/>
    <mergeCell ref="A127:C128"/>
    <mergeCell ref="B1:C1"/>
    <mergeCell ref="Q1:AV1"/>
    <mergeCell ref="AW1:CB1"/>
    <mergeCell ref="CC1:DH1"/>
    <mergeCell ref="Q32:S32"/>
    <mergeCell ref="T32:V32"/>
    <mergeCell ref="W32:Y32"/>
    <mergeCell ref="Z32:AB32"/>
    <mergeCell ref="AC32:AE32"/>
    <mergeCell ref="AF32:AH32"/>
    <mergeCell ref="B32:C32"/>
    <mergeCell ref="A30:C31"/>
    <mergeCell ref="AI32:AK32"/>
    <mergeCell ref="AL32:AN32"/>
    <mergeCell ref="AO32:AQ32"/>
    <mergeCell ref="AR32:AT32"/>
    <mergeCell ref="CH32:CJ32"/>
    <mergeCell ref="BA32:BC32"/>
    <mergeCell ref="BD32:BF32"/>
    <mergeCell ref="BG32:BI32"/>
    <mergeCell ref="BJ32:BL32"/>
    <mergeCell ref="BM32:BO32"/>
    <mergeCell ref="BP32:BR32"/>
    <mergeCell ref="DC32:DE32"/>
    <mergeCell ref="DF32:DH32"/>
    <mergeCell ref="E64:F64"/>
    <mergeCell ref="A95:C96"/>
    <mergeCell ref="B97:C97"/>
    <mergeCell ref="CK32:CM32"/>
    <mergeCell ref="CN32:CP32"/>
    <mergeCell ref="CQ32:CS32"/>
    <mergeCell ref="CT32:CV32"/>
    <mergeCell ref="CW32:CY32"/>
    <mergeCell ref="CZ32:DB32"/>
    <mergeCell ref="BS32:BU32"/>
    <mergeCell ref="BV32:BX32"/>
    <mergeCell ref="BY32:CA32"/>
    <mergeCell ref="CB32:CD32"/>
    <mergeCell ref="CE32:CG32"/>
  </mergeCells>
  <conditionalFormatting sqref="P3:P27 P65:P89 P99:P123 P34:P58 P131:P155">
    <cfRule type="cellIs" dxfId="1" priority="5" operator="equal">
      <formula>TRUE</formula>
    </cfRule>
    <cfRule type="cellIs" dxfId="0" priority="6" operator="equal">
      <formula>FALSE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P212"/>
  <sheetViews>
    <sheetView topLeftCell="A54" zoomScale="70" zoomScaleNormal="70" workbookViewId="0">
      <selection activeCell="D2" sqref="D2"/>
    </sheetView>
  </sheetViews>
  <sheetFormatPr defaultRowHeight="15"/>
  <cols>
    <col min="2" max="33" width="6.5703125" customWidth="1"/>
    <col min="34" max="34" width="7.7109375" customWidth="1"/>
    <col min="35" max="35" width="9.7109375" customWidth="1"/>
    <col min="36" max="36" width="7.5703125" customWidth="1"/>
    <col min="37" max="37" width="7.28515625" customWidth="1"/>
    <col min="38" max="38" width="6.5703125" style="7" customWidth="1"/>
  </cols>
  <sheetData>
    <row r="1" spans="1:42">
      <c r="A1" s="7" t="s">
        <v>38</v>
      </c>
      <c r="B1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  <c r="AH1" s="4" t="s">
        <v>12</v>
      </c>
      <c r="AI1" s="13" t="s">
        <v>18</v>
      </c>
      <c r="AJ1" s="4" t="s">
        <v>13</v>
      </c>
      <c r="AK1" s="13" t="s">
        <v>19</v>
      </c>
      <c r="AL1" s="16" t="s">
        <v>16</v>
      </c>
      <c r="AM1" s="15" t="str">
        <f>AI1</f>
        <v>-1.5σ</v>
      </c>
      <c r="AN1" s="15" t="str">
        <f t="shared" ref="AN1:AO1" si="1">AJ1</f>
        <v>MEAN</v>
      </c>
      <c r="AO1" s="15" t="str">
        <f t="shared" si="1"/>
        <v>+1.5σ</v>
      </c>
      <c r="AP1" s="16"/>
    </row>
    <row r="2" spans="1:42">
      <c r="A2">
        <v>0</v>
      </c>
      <c r="B2" s="8">
        <v>141.31626892089844</v>
      </c>
      <c r="C2" s="8">
        <v>137.43058776855469</v>
      </c>
      <c r="D2" s="7">
        <v>139.90721130371094</v>
      </c>
      <c r="E2" s="7">
        <v>132.63229370117187</v>
      </c>
      <c r="F2" s="7">
        <v>134.56826782226562</v>
      </c>
      <c r="G2" s="7">
        <v>139.31990051269531</v>
      </c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J2" s="1"/>
      <c r="AL2" s="8"/>
      <c r="AM2" s="7"/>
      <c r="AN2" s="7"/>
      <c r="AO2" s="7"/>
      <c r="AP2" s="16"/>
    </row>
    <row r="3" spans="1:42">
      <c r="A3" s="3">
        <f>A2+1</f>
        <v>1</v>
      </c>
      <c r="B3" s="8">
        <v>199.87356567382812</v>
      </c>
      <c r="C3" s="8">
        <v>192.39010620117187</v>
      </c>
      <c r="D3" s="7">
        <v>196.01852416992187</v>
      </c>
      <c r="E3" s="7">
        <v>191.54254150390625</v>
      </c>
      <c r="F3" s="7">
        <v>188.63993835449219</v>
      </c>
      <c r="G3" s="7">
        <v>198.17060852050781</v>
      </c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3"/>
      <c r="AI3" s="3"/>
      <c r="AJ3" s="1"/>
      <c r="AK3" s="3"/>
      <c r="AL3" s="8"/>
      <c r="AM3" s="7"/>
      <c r="AN3" s="7"/>
      <c r="AO3" s="7"/>
      <c r="AP3" s="16"/>
    </row>
    <row r="4" spans="1:42">
      <c r="A4" s="7">
        <f t="shared" ref="A4:A51" si="2">A3+1</f>
        <v>2</v>
      </c>
      <c r="B4" s="8">
        <v>110.00503540039062</v>
      </c>
      <c r="C4" s="8">
        <v>109.96871185302734</v>
      </c>
      <c r="D4" s="7">
        <v>109.99550628662109</v>
      </c>
      <c r="E4" s="7">
        <v>105.60870361328125</v>
      </c>
      <c r="F4" s="7">
        <v>107.43010711669922</v>
      </c>
      <c r="G4" s="7">
        <v>109.97841644287109</v>
      </c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3">
        <f t="shared" ref="AH4:AH26" si="3">STDEV(B4:AG4)</f>
        <v>1.8810147050283674</v>
      </c>
      <c r="AI4" s="3">
        <f t="shared" ref="AI4:AI26" si="4">AJ4-1.5*AH4</f>
        <v>106.00955806127256</v>
      </c>
      <c r="AJ4" s="1">
        <f t="shared" ref="AJ4:AJ26" si="5">AVERAGE(B4:AG4)</f>
        <v>108.83108011881511</v>
      </c>
      <c r="AK4" s="3">
        <f t="shared" ref="AK4:AK26" si="6">AJ4+1.5*AH4</f>
        <v>111.65260217635766</v>
      </c>
      <c r="AL4" s="8">
        <f t="shared" ref="AL4:AL26" si="7">MAX(B4:AG4)</f>
        <v>110.00503540039062</v>
      </c>
      <c r="AM4" s="7" t="e">
        <f t="shared" ref="AM4:AM16" si="8">AI4*mult</f>
        <v>#NAME?</v>
      </c>
      <c r="AN4" s="7" t="e">
        <f t="shared" ref="AN4:AN16" si="9">AJ4*mult</f>
        <v>#NAME?</v>
      </c>
      <c r="AO4" s="7" t="e">
        <f t="shared" ref="AO4:AO16" si="10">AK4*mult</f>
        <v>#NAME?</v>
      </c>
      <c r="AP4" s="16"/>
    </row>
    <row r="5" spans="1:42">
      <c r="A5" s="7">
        <f t="shared" si="2"/>
        <v>3</v>
      </c>
      <c r="B5" s="8">
        <v>200.49046325683594</v>
      </c>
      <c r="C5" s="8">
        <v>152.08885192871094</v>
      </c>
      <c r="D5" s="7">
        <v>154.99549865722656</v>
      </c>
      <c r="E5" s="7">
        <v>150.91963195800781</v>
      </c>
      <c r="F5" s="7">
        <v>148.8602294921875</v>
      </c>
      <c r="G5" s="7">
        <v>156.29081726074219</v>
      </c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3">
        <f t="shared" si="3"/>
        <v>19.724094826346985</v>
      </c>
      <c r="AI5" s="3">
        <f t="shared" si="4"/>
        <v>131.02143985276467</v>
      </c>
      <c r="AJ5" s="1">
        <f t="shared" si="5"/>
        <v>160.60758209228516</v>
      </c>
      <c r="AK5" s="3">
        <f t="shared" si="6"/>
        <v>190.19372433180564</v>
      </c>
      <c r="AL5" s="8">
        <f t="shared" si="7"/>
        <v>200.49046325683594</v>
      </c>
      <c r="AM5" s="7" t="e">
        <f t="shared" si="8"/>
        <v>#NAME?</v>
      </c>
      <c r="AN5" s="7" t="e">
        <f t="shared" si="9"/>
        <v>#NAME?</v>
      </c>
      <c r="AO5" s="7" t="e">
        <f t="shared" si="10"/>
        <v>#NAME?</v>
      </c>
    </row>
    <row r="6" spans="1:42">
      <c r="A6" s="7">
        <f t="shared" si="2"/>
        <v>4</v>
      </c>
      <c r="B6" s="8">
        <v>86.690956115722656</v>
      </c>
      <c r="C6" s="8">
        <v>85.032844543457031</v>
      </c>
      <c r="D6" s="7">
        <v>86.03131103515625</v>
      </c>
      <c r="E6" s="7">
        <v>81.625625610351563</v>
      </c>
      <c r="F6" s="7">
        <v>83.419692993164063</v>
      </c>
      <c r="G6" s="7">
        <v>85.253509521484375</v>
      </c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3">
        <f t="shared" si="3"/>
        <v>1.8569255198291856</v>
      </c>
      <c r="AI6" s="3">
        <f t="shared" si="4"/>
        <v>81.8902683568122</v>
      </c>
      <c r="AJ6" s="1">
        <f t="shared" si="5"/>
        <v>84.675656636555985</v>
      </c>
      <c r="AK6" s="3">
        <f t="shared" si="6"/>
        <v>87.46104491629977</v>
      </c>
      <c r="AL6" s="8">
        <f t="shared" si="7"/>
        <v>86.690956115722656</v>
      </c>
      <c r="AM6" s="7" t="e">
        <f t="shared" si="8"/>
        <v>#NAME?</v>
      </c>
      <c r="AN6" s="7" t="e">
        <f t="shared" si="9"/>
        <v>#NAME?</v>
      </c>
      <c r="AO6" s="7" t="e">
        <f t="shared" si="10"/>
        <v>#NAME?</v>
      </c>
    </row>
    <row r="7" spans="1:42">
      <c r="A7" s="7">
        <f t="shared" si="2"/>
        <v>5</v>
      </c>
      <c r="B7" s="8">
        <v>124.19939422607422</v>
      </c>
      <c r="C7" s="8">
        <v>118.61572265625</v>
      </c>
      <c r="D7" s="7">
        <v>154.43873596191406</v>
      </c>
      <c r="E7" s="7">
        <v>116.92479705810547</v>
      </c>
      <c r="F7" s="7">
        <v>116.69195556640625</v>
      </c>
      <c r="G7" s="7">
        <v>154.94229125976562</v>
      </c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3">
        <f t="shared" si="3"/>
        <v>18.574454808917274</v>
      </c>
      <c r="AI7" s="3">
        <f t="shared" si="4"/>
        <v>103.10713390804337</v>
      </c>
      <c r="AJ7" s="1">
        <f t="shared" si="5"/>
        <v>130.96881612141928</v>
      </c>
      <c r="AK7" s="3">
        <f t="shared" si="6"/>
        <v>158.83049833479518</v>
      </c>
      <c r="AL7" s="8">
        <f t="shared" si="7"/>
        <v>154.94229125976562</v>
      </c>
      <c r="AM7" s="7" t="e">
        <f t="shared" si="8"/>
        <v>#NAME?</v>
      </c>
      <c r="AN7" s="7" t="e">
        <f t="shared" si="9"/>
        <v>#NAME?</v>
      </c>
      <c r="AO7" s="7" t="e">
        <f t="shared" si="10"/>
        <v>#NAME?</v>
      </c>
    </row>
    <row r="8" spans="1:42">
      <c r="A8" s="7">
        <f t="shared" si="2"/>
        <v>6</v>
      </c>
      <c r="B8" s="8">
        <v>70.163803100585938</v>
      </c>
      <c r="C8" s="8">
        <v>68.982620239257813</v>
      </c>
      <c r="D8" s="7">
        <v>69.7325439453125</v>
      </c>
      <c r="E8" s="7">
        <v>66.054130554199219</v>
      </c>
      <c r="F8" s="7">
        <v>67.217506408691406</v>
      </c>
      <c r="G8" s="7">
        <v>69.012657165527344</v>
      </c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3">
        <f t="shared" si="3"/>
        <v>1.5751679133016947</v>
      </c>
      <c r="AI8" s="3">
        <f t="shared" si="4"/>
        <v>66.164458365643156</v>
      </c>
      <c r="AJ8" s="1">
        <f t="shared" si="5"/>
        <v>68.527210235595703</v>
      </c>
      <c r="AK8" s="3">
        <f t="shared" si="6"/>
        <v>70.88996210554825</v>
      </c>
      <c r="AL8" s="8">
        <f t="shared" si="7"/>
        <v>70.163803100585938</v>
      </c>
      <c r="AM8" s="7" t="e">
        <f t="shared" si="8"/>
        <v>#NAME?</v>
      </c>
      <c r="AN8" s="7" t="e">
        <f t="shared" si="9"/>
        <v>#NAME?</v>
      </c>
      <c r="AO8" s="7" t="e">
        <f t="shared" si="10"/>
        <v>#NAME?</v>
      </c>
    </row>
    <row r="9" spans="1:42">
      <c r="A9" s="7">
        <f t="shared" si="2"/>
        <v>7</v>
      </c>
      <c r="B9" s="8">
        <v>99.844139099121094</v>
      </c>
      <c r="C9" s="8">
        <v>121.62748718261719</v>
      </c>
      <c r="D9" s="7">
        <v>97.131019592285156</v>
      </c>
      <c r="E9" s="7">
        <v>94.092781066894531</v>
      </c>
      <c r="F9" s="7">
        <v>93.681350708007812</v>
      </c>
      <c r="G9" s="7">
        <v>98.265838623046875</v>
      </c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3">
        <f t="shared" si="3"/>
        <v>10.490368046990184</v>
      </c>
      <c r="AI9" s="3">
        <f t="shared" si="4"/>
        <v>85.038217308176826</v>
      </c>
      <c r="AJ9" s="1">
        <f t="shared" si="5"/>
        <v>100.77376937866211</v>
      </c>
      <c r="AK9" s="3">
        <f t="shared" si="6"/>
        <v>116.50932144914739</v>
      </c>
      <c r="AL9" s="8">
        <f t="shared" si="7"/>
        <v>121.62748718261719</v>
      </c>
      <c r="AM9" s="7" t="e">
        <f t="shared" si="8"/>
        <v>#NAME?</v>
      </c>
      <c r="AN9" s="7" t="e">
        <f t="shared" si="9"/>
        <v>#NAME?</v>
      </c>
      <c r="AO9" s="7" t="e">
        <f t="shared" si="10"/>
        <v>#NAME?</v>
      </c>
    </row>
    <row r="10" spans="1:42">
      <c r="A10" s="7">
        <f t="shared" si="2"/>
        <v>8</v>
      </c>
      <c r="B10" s="8">
        <v>58.346073150634766</v>
      </c>
      <c r="C10" s="8">
        <v>57.207698822021484</v>
      </c>
      <c r="D10" s="7">
        <v>58.630218505859375</v>
      </c>
      <c r="E10" s="7">
        <v>55.028594970703125</v>
      </c>
      <c r="F10" s="7">
        <v>56.161937713623047</v>
      </c>
      <c r="G10" s="7">
        <v>57.548671722412109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3">
        <f t="shared" si="3"/>
        <v>1.3609146054063184</v>
      </c>
      <c r="AI10" s="3">
        <f t="shared" si="4"/>
        <v>55.112493906099509</v>
      </c>
      <c r="AJ10" s="1">
        <f t="shared" si="5"/>
        <v>57.153865814208984</v>
      </c>
      <c r="AK10" s="3">
        <f t="shared" si="6"/>
        <v>59.19523772231846</v>
      </c>
      <c r="AL10" s="8">
        <f t="shared" si="7"/>
        <v>58.630218505859375</v>
      </c>
      <c r="AM10" s="7" t="e">
        <f t="shared" si="8"/>
        <v>#NAME?</v>
      </c>
      <c r="AN10" s="7" t="e">
        <f t="shared" si="9"/>
        <v>#NAME?</v>
      </c>
      <c r="AO10" s="7" t="e">
        <f t="shared" si="10"/>
        <v>#NAME?</v>
      </c>
    </row>
    <row r="11" spans="1:42">
      <c r="A11" s="7">
        <f t="shared" si="2"/>
        <v>9</v>
      </c>
      <c r="B11" s="7">
        <v>83.052032470703125</v>
      </c>
      <c r="C11" s="7">
        <v>79.577980041503906</v>
      </c>
      <c r="D11" s="7">
        <v>81.621070861816406</v>
      </c>
      <c r="E11" s="7">
        <v>78.438156127929688</v>
      </c>
      <c r="F11" s="7">
        <v>78.187225341796875</v>
      </c>
      <c r="G11" s="7">
        <v>81.926254272460937</v>
      </c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3">
        <f t="shared" si="3"/>
        <v>2.0123435000128533</v>
      </c>
      <c r="AI11" s="3">
        <f t="shared" si="4"/>
        <v>77.448604602682551</v>
      </c>
      <c r="AJ11" s="1">
        <f t="shared" si="5"/>
        <v>80.467119852701828</v>
      </c>
      <c r="AK11" s="3">
        <f t="shared" si="6"/>
        <v>83.485635102721105</v>
      </c>
      <c r="AL11" s="8">
        <f t="shared" si="7"/>
        <v>83.052032470703125</v>
      </c>
      <c r="AM11" s="7" t="e">
        <f t="shared" si="8"/>
        <v>#NAME?</v>
      </c>
      <c r="AN11" s="7" t="e">
        <f t="shared" si="9"/>
        <v>#NAME?</v>
      </c>
      <c r="AO11" s="7" t="e">
        <f t="shared" si="10"/>
        <v>#NAME?</v>
      </c>
    </row>
    <row r="12" spans="1:42">
      <c r="A12" s="7">
        <f t="shared" si="2"/>
        <v>10</v>
      </c>
      <c r="B12" s="7">
        <v>43.65057373046875</v>
      </c>
      <c r="C12" s="7">
        <v>43.084800720214844</v>
      </c>
      <c r="D12" s="7">
        <v>43.746067047119141</v>
      </c>
      <c r="E12" s="7">
        <v>41.213401794433594</v>
      </c>
      <c r="F12" s="7">
        <v>41.920528411865234</v>
      </c>
      <c r="G12" s="7">
        <v>43.143428802490234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3">
        <f t="shared" si="3"/>
        <v>1.0107476996517919</v>
      </c>
      <c r="AI12" s="3">
        <f t="shared" si="4"/>
        <v>41.277011868287609</v>
      </c>
      <c r="AJ12" s="1">
        <f t="shared" si="5"/>
        <v>42.793133417765297</v>
      </c>
      <c r="AK12" s="3">
        <f t="shared" si="6"/>
        <v>44.309254967242985</v>
      </c>
      <c r="AL12" s="8">
        <f t="shared" si="7"/>
        <v>43.746067047119141</v>
      </c>
      <c r="AM12" s="7" t="e">
        <f t="shared" si="8"/>
        <v>#NAME?</v>
      </c>
      <c r="AN12" s="7" t="e">
        <f t="shared" si="9"/>
        <v>#NAME?</v>
      </c>
      <c r="AO12" s="7" t="e">
        <f t="shared" si="10"/>
        <v>#NAME?</v>
      </c>
    </row>
    <row r="13" spans="1:42">
      <c r="A13" s="7">
        <f t="shared" si="2"/>
        <v>11</v>
      </c>
      <c r="B13" s="7">
        <v>62.20013427734375</v>
      </c>
      <c r="C13" s="7">
        <v>59.795745849609375</v>
      </c>
      <c r="D13" s="7">
        <v>61.149116516113281</v>
      </c>
      <c r="E13" s="7">
        <v>59.03546142578125</v>
      </c>
      <c r="F13" s="7">
        <v>58.459007263183594</v>
      </c>
      <c r="G13" s="7">
        <v>61.363872528076172</v>
      </c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3">
        <f t="shared" si="3"/>
        <v>1.4628073796089669</v>
      </c>
      <c r="AI13" s="3">
        <f t="shared" si="4"/>
        <v>58.139678573937786</v>
      </c>
      <c r="AJ13" s="1">
        <f t="shared" si="5"/>
        <v>60.333889643351235</v>
      </c>
      <c r="AK13" s="3">
        <f t="shared" si="6"/>
        <v>62.528100712764683</v>
      </c>
      <c r="AL13" s="8">
        <f t="shared" si="7"/>
        <v>62.20013427734375</v>
      </c>
      <c r="AM13" s="7" t="e">
        <f t="shared" si="8"/>
        <v>#NAME?</v>
      </c>
      <c r="AN13" s="7" t="e">
        <f t="shared" si="9"/>
        <v>#NAME?</v>
      </c>
      <c r="AO13" s="7" t="e">
        <f t="shared" si="10"/>
        <v>#NAME?</v>
      </c>
    </row>
    <row r="14" spans="1:42">
      <c r="A14" s="7">
        <f t="shared" si="2"/>
        <v>12</v>
      </c>
      <c r="B14" s="7">
        <v>35.929569244384766</v>
      </c>
      <c r="C14" s="7">
        <v>35.534461975097656</v>
      </c>
      <c r="D14" s="7">
        <v>36.024703979492188</v>
      </c>
      <c r="E14" s="7">
        <v>34.130645751953125</v>
      </c>
      <c r="F14" s="7">
        <v>34.491939544677734</v>
      </c>
      <c r="G14" s="7">
        <v>35.525650024414063</v>
      </c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3">
        <f t="shared" si="3"/>
        <v>0.78017497152565185</v>
      </c>
      <c r="AI14" s="3">
        <f t="shared" si="4"/>
        <v>34.102565962714777</v>
      </c>
      <c r="AJ14" s="1">
        <f t="shared" si="5"/>
        <v>35.272828420003258</v>
      </c>
      <c r="AK14" s="3">
        <f t="shared" si="6"/>
        <v>36.443090877291738</v>
      </c>
      <c r="AL14" s="8">
        <f t="shared" si="7"/>
        <v>36.024703979492188</v>
      </c>
      <c r="AM14" s="7" t="e">
        <f t="shared" si="8"/>
        <v>#NAME?</v>
      </c>
      <c r="AN14" s="7" t="e">
        <f t="shared" si="9"/>
        <v>#NAME?</v>
      </c>
      <c r="AO14" s="7" t="e">
        <f t="shared" si="10"/>
        <v>#NAME?</v>
      </c>
    </row>
    <row r="15" spans="1:42">
      <c r="A15" s="7">
        <f t="shared" si="2"/>
        <v>13</v>
      </c>
      <c r="B15" s="7">
        <v>64.754928588867188</v>
      </c>
      <c r="C15" s="7">
        <v>49.323940277099609</v>
      </c>
      <c r="D15" s="7">
        <v>50.289375305175781</v>
      </c>
      <c r="E15" s="7">
        <v>48.828868865966797</v>
      </c>
      <c r="F15" s="7">
        <v>61.306388854980469</v>
      </c>
      <c r="G15" s="7">
        <v>50.472484588623047</v>
      </c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3">
        <f t="shared" si="3"/>
        <v>6.9815654566040299</v>
      </c>
      <c r="AI15" s="3">
        <f t="shared" si="4"/>
        <v>43.690316228546102</v>
      </c>
      <c r="AJ15" s="1">
        <f t="shared" si="5"/>
        <v>54.162664413452148</v>
      </c>
      <c r="AK15" s="3">
        <f t="shared" si="6"/>
        <v>64.635012598358188</v>
      </c>
      <c r="AL15" s="8">
        <f t="shared" si="7"/>
        <v>64.754928588867188</v>
      </c>
      <c r="AM15" s="7" t="e">
        <f t="shared" si="8"/>
        <v>#NAME?</v>
      </c>
      <c r="AN15" s="7" t="e">
        <f t="shared" si="9"/>
        <v>#NAME?</v>
      </c>
      <c r="AO15" s="7" t="e">
        <f t="shared" si="10"/>
        <v>#NAME?</v>
      </c>
    </row>
    <row r="16" spans="1:42">
      <c r="A16" s="7">
        <f t="shared" si="2"/>
        <v>14</v>
      </c>
      <c r="B16" s="7">
        <v>28.470048904418945</v>
      </c>
      <c r="C16" s="7">
        <v>28.254423141479492</v>
      </c>
      <c r="D16" s="7">
        <v>28.532453536987305</v>
      </c>
      <c r="E16" s="7">
        <v>27.094823837280273</v>
      </c>
      <c r="F16" s="7">
        <v>27.296783447265625</v>
      </c>
      <c r="G16" s="7">
        <v>28.152812957763672</v>
      </c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3">
        <f t="shared" si="3"/>
        <v>0.61641152411528122</v>
      </c>
      <c r="AI16" s="3">
        <f t="shared" si="4"/>
        <v>27.042273684692965</v>
      </c>
      <c r="AJ16" s="1">
        <f t="shared" si="5"/>
        <v>27.966890970865887</v>
      </c>
      <c r="AK16" s="3">
        <f t="shared" si="6"/>
        <v>28.891508257038808</v>
      </c>
      <c r="AL16" s="8">
        <f t="shared" si="7"/>
        <v>28.532453536987305</v>
      </c>
      <c r="AM16" s="7" t="e">
        <f t="shared" si="8"/>
        <v>#NAME?</v>
      </c>
      <c r="AN16" s="7" t="e">
        <f t="shared" si="9"/>
        <v>#NAME?</v>
      </c>
      <c r="AO16" s="7" t="e">
        <f t="shared" si="10"/>
        <v>#NAME?</v>
      </c>
    </row>
    <row r="17" spans="1:41">
      <c r="A17" s="7">
        <f t="shared" si="2"/>
        <v>15</v>
      </c>
      <c r="B17" s="7">
        <v>51.285572052001953</v>
      </c>
      <c r="C17" s="7">
        <v>50.056373596191406</v>
      </c>
      <c r="D17" s="7">
        <v>39.795528411865234</v>
      </c>
      <c r="E17" s="7">
        <v>38.531856536865234</v>
      </c>
      <c r="F17" s="7">
        <v>38.005138397216797</v>
      </c>
      <c r="G17" s="7">
        <v>39.992202758789063</v>
      </c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3">
        <f t="shared" si="3"/>
        <v>6.0440553512699102</v>
      </c>
      <c r="AI17" s="3">
        <f t="shared" si="4"/>
        <v>33.878362265250082</v>
      </c>
      <c r="AJ17" s="1">
        <f t="shared" si="5"/>
        <v>42.944445292154946</v>
      </c>
      <c r="AK17" s="3">
        <f t="shared" si="6"/>
        <v>52.010528319059809</v>
      </c>
      <c r="AL17" s="8">
        <f t="shared" si="7"/>
        <v>51.285572052001953</v>
      </c>
      <c r="AM17" s="7" t="e">
        <f t="shared" ref="AM17:AM18" si="11">AI17*mult</f>
        <v>#NAME?</v>
      </c>
      <c r="AN17" s="7" t="e">
        <f t="shared" ref="AN17:AN18" si="12">AJ17*mult</f>
        <v>#NAME?</v>
      </c>
      <c r="AO17" s="7" t="e">
        <f t="shared" ref="AO17:AO18" si="13">AK17*mult</f>
        <v>#NAME?</v>
      </c>
    </row>
    <row r="18" spans="1:41">
      <c r="A18" s="7">
        <f t="shared" si="2"/>
        <v>16</v>
      </c>
      <c r="B18" s="7">
        <v>22.28486442565918</v>
      </c>
      <c r="C18" s="7">
        <v>22.171566009521484</v>
      </c>
      <c r="D18" s="7">
        <v>22.283605575561523</v>
      </c>
      <c r="E18" s="7">
        <v>21.107461929321289</v>
      </c>
      <c r="F18" s="7">
        <v>21.285501480102539</v>
      </c>
      <c r="G18" s="7">
        <v>22.001977920532227</v>
      </c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3">
        <f t="shared" si="3"/>
        <v>0.52410691917793206</v>
      </c>
      <c r="AI18" s="3">
        <f t="shared" si="4"/>
        <v>21.069669178016142</v>
      </c>
      <c r="AJ18" s="1">
        <f t="shared" si="5"/>
        <v>21.855829556783039</v>
      </c>
      <c r="AK18" s="3">
        <f t="shared" si="6"/>
        <v>22.641989935549937</v>
      </c>
      <c r="AL18" s="8">
        <f t="shared" si="7"/>
        <v>22.28486442565918</v>
      </c>
      <c r="AM18" s="7" t="e">
        <f t="shared" si="11"/>
        <v>#NAME?</v>
      </c>
      <c r="AN18" s="7" t="e">
        <f t="shared" si="12"/>
        <v>#NAME?</v>
      </c>
      <c r="AO18" s="7" t="e">
        <f t="shared" si="13"/>
        <v>#NAME?</v>
      </c>
    </row>
    <row r="19" spans="1:41">
      <c r="A19" s="7">
        <f t="shared" si="2"/>
        <v>17</v>
      </c>
      <c r="B19" s="7">
        <v>40.200984954833984</v>
      </c>
      <c r="C19" s="7">
        <v>30.395971298217773</v>
      </c>
      <c r="D19" s="7">
        <v>31.189441680908203</v>
      </c>
      <c r="E19" s="7">
        <v>30.269378662109375</v>
      </c>
      <c r="F19" s="7">
        <v>29.729095458984375</v>
      </c>
      <c r="G19" s="7">
        <v>31.306991577148437</v>
      </c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3">
        <f t="shared" si="3"/>
        <v>3.9729004783078663</v>
      </c>
      <c r="AI19" s="3">
        <f t="shared" si="4"/>
        <v>26.222626554571892</v>
      </c>
      <c r="AJ19" s="1">
        <f t="shared" si="5"/>
        <v>32.181977272033691</v>
      </c>
      <c r="AK19" s="3">
        <f t="shared" si="6"/>
        <v>38.141327989495494</v>
      </c>
      <c r="AL19" s="8">
        <f t="shared" si="7"/>
        <v>40.200984954833984</v>
      </c>
      <c r="AM19" t="e">
        <f t="shared" ref="AM19:AO26" si="14">AI19*mult</f>
        <v>#NAME?</v>
      </c>
      <c r="AN19" s="7" t="e">
        <f t="shared" si="14"/>
        <v>#NAME?</v>
      </c>
      <c r="AO19" s="7" t="e">
        <f t="shared" si="14"/>
        <v>#NAME?</v>
      </c>
    </row>
    <row r="20" spans="1:41">
      <c r="A20" s="7">
        <f t="shared" si="2"/>
        <v>18</v>
      </c>
      <c r="B20" s="7">
        <v>17.870548248291016</v>
      </c>
      <c r="C20" s="7">
        <v>17.547199249267578</v>
      </c>
      <c r="D20" s="7">
        <v>17.715349197387695</v>
      </c>
      <c r="E20" s="7">
        <v>16.909671783447266</v>
      </c>
      <c r="F20" s="7">
        <v>16.955890655517578</v>
      </c>
      <c r="G20" s="7">
        <v>17.560327529907227</v>
      </c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3">
        <f t="shared" si="3"/>
        <v>0.40041862661125011</v>
      </c>
      <c r="AI20" s="3">
        <f t="shared" si="4"/>
        <v>16.825869837386183</v>
      </c>
      <c r="AJ20" s="1">
        <f t="shared" si="5"/>
        <v>17.426497777303059</v>
      </c>
      <c r="AK20" s="3">
        <f t="shared" si="6"/>
        <v>18.027125717219935</v>
      </c>
      <c r="AL20" s="8">
        <f t="shared" si="7"/>
        <v>17.870548248291016</v>
      </c>
      <c r="AM20" s="7" t="e">
        <f t="shared" si="14"/>
        <v>#NAME?</v>
      </c>
      <c r="AN20" s="7" t="e">
        <f t="shared" si="14"/>
        <v>#NAME?</v>
      </c>
      <c r="AO20" s="7" t="e">
        <f t="shared" si="14"/>
        <v>#NAME?</v>
      </c>
    </row>
    <row r="21" spans="1:41">
      <c r="A21" s="7">
        <f t="shared" si="2"/>
        <v>19</v>
      </c>
      <c r="B21" s="7">
        <v>25.452049255371094</v>
      </c>
      <c r="C21" s="7">
        <v>24.342498779296875</v>
      </c>
      <c r="D21" s="7">
        <v>24.90272331237793</v>
      </c>
      <c r="E21" s="7">
        <v>24.056938171386719</v>
      </c>
      <c r="F21" s="7">
        <v>23.804073333740234</v>
      </c>
      <c r="G21" s="7">
        <v>25.081310272216797</v>
      </c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3">
        <f t="shared" si="3"/>
        <v>0.63933558210862473</v>
      </c>
      <c r="AI21" s="3">
        <f t="shared" si="4"/>
        <v>23.647595480902005</v>
      </c>
      <c r="AJ21" s="1">
        <f t="shared" si="5"/>
        <v>24.606598854064941</v>
      </c>
      <c r="AK21" s="3">
        <f t="shared" si="6"/>
        <v>25.565602227227878</v>
      </c>
      <c r="AL21" s="8">
        <f t="shared" si="7"/>
        <v>25.452049255371094</v>
      </c>
      <c r="AM21" s="7" t="e">
        <f t="shared" si="14"/>
        <v>#NAME?</v>
      </c>
      <c r="AN21" s="7" t="e">
        <f t="shared" si="14"/>
        <v>#NAME?</v>
      </c>
      <c r="AO21" s="7" t="e">
        <f t="shared" si="14"/>
        <v>#NAME?</v>
      </c>
    </row>
    <row r="22" spans="1:41">
      <c r="A22" s="7">
        <f t="shared" si="2"/>
        <v>20</v>
      </c>
      <c r="B22" s="7">
        <v>14.876777648925781</v>
      </c>
      <c r="C22" s="7">
        <v>14.637413024902344</v>
      </c>
      <c r="D22" s="7">
        <v>14.951231002807617</v>
      </c>
      <c r="E22" s="7">
        <v>13.930647850036621</v>
      </c>
      <c r="F22" s="7">
        <v>14.155086517333984</v>
      </c>
      <c r="G22" s="7">
        <v>14.633096694946289</v>
      </c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3">
        <f t="shared" si="3"/>
        <v>0.40487946028434396</v>
      </c>
      <c r="AI22" s="3">
        <f t="shared" si="4"/>
        <v>13.923389599398924</v>
      </c>
      <c r="AJ22" s="1">
        <f t="shared" si="5"/>
        <v>14.530708789825439</v>
      </c>
      <c r="AK22" s="3">
        <f t="shared" si="6"/>
        <v>15.138027980251955</v>
      </c>
      <c r="AL22" s="8">
        <f t="shared" si="7"/>
        <v>14.951231002807617</v>
      </c>
      <c r="AM22" s="7" t="e">
        <f t="shared" si="14"/>
        <v>#NAME?</v>
      </c>
      <c r="AN22" s="7" t="e">
        <f t="shared" si="14"/>
        <v>#NAME?</v>
      </c>
      <c r="AO22" s="7" t="e">
        <f t="shared" si="14"/>
        <v>#NAME?</v>
      </c>
    </row>
    <row r="23" spans="1:41">
      <c r="A23" s="7">
        <f t="shared" si="2"/>
        <v>21</v>
      </c>
      <c r="B23" s="7">
        <v>21.240558624267578</v>
      </c>
      <c r="C23" s="7">
        <v>20.419961929321289</v>
      </c>
      <c r="D23" s="7">
        <v>21.077795028686523</v>
      </c>
      <c r="E23" s="7">
        <v>20.026618957519531</v>
      </c>
      <c r="F23" s="7">
        <v>19.926103591918945</v>
      </c>
      <c r="G23" s="7">
        <v>20.973808288574219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3">
        <f t="shared" si="3"/>
        <v>0.56443797351435376</v>
      </c>
      <c r="AI23" s="3">
        <f t="shared" si="4"/>
        <v>19.764150776443149</v>
      </c>
      <c r="AJ23" s="1">
        <f t="shared" si="5"/>
        <v>20.61080773671468</v>
      </c>
      <c r="AK23" s="3">
        <f t="shared" si="6"/>
        <v>21.457464696986211</v>
      </c>
      <c r="AL23" s="8">
        <f t="shared" si="7"/>
        <v>21.240558624267578</v>
      </c>
      <c r="AM23" s="7" t="e">
        <f t="shared" si="14"/>
        <v>#NAME?</v>
      </c>
      <c r="AN23" s="7" t="e">
        <f t="shared" si="14"/>
        <v>#NAME?</v>
      </c>
      <c r="AO23" s="7" t="e">
        <f t="shared" si="14"/>
        <v>#NAME?</v>
      </c>
    </row>
    <row r="24" spans="1:41">
      <c r="A24" s="7">
        <f t="shared" si="2"/>
        <v>22</v>
      </c>
      <c r="B24" s="7">
        <v>13.659991264343262</v>
      </c>
      <c r="C24" s="7">
        <v>13.492201805114746</v>
      </c>
      <c r="D24" s="7">
        <v>13.807278633117676</v>
      </c>
      <c r="E24" s="7">
        <v>12.831295013427734</v>
      </c>
      <c r="F24" s="7">
        <v>13.016169548034668</v>
      </c>
      <c r="G24" s="7">
        <v>13.460370063781738</v>
      </c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3">
        <f t="shared" si="3"/>
        <v>0.37773896696839054</v>
      </c>
      <c r="AI24" s="3">
        <f t="shared" si="4"/>
        <v>12.811275937517385</v>
      </c>
      <c r="AJ24" s="1">
        <f t="shared" si="5"/>
        <v>13.377884387969971</v>
      </c>
      <c r="AK24" s="3">
        <f t="shared" si="6"/>
        <v>13.944492838422557</v>
      </c>
      <c r="AL24" s="8">
        <f t="shared" si="7"/>
        <v>13.807278633117676</v>
      </c>
      <c r="AM24" s="7" t="e">
        <f t="shared" si="14"/>
        <v>#NAME?</v>
      </c>
      <c r="AN24" s="7" t="e">
        <f t="shared" si="14"/>
        <v>#NAME?</v>
      </c>
      <c r="AO24" s="7" t="e">
        <f t="shared" si="14"/>
        <v>#NAME?</v>
      </c>
    </row>
    <row r="25" spans="1:41">
      <c r="A25" s="7">
        <f t="shared" si="2"/>
        <v>23</v>
      </c>
      <c r="B25" s="7">
        <v>24.756673812866211</v>
      </c>
      <c r="C25" s="7">
        <v>18.790073394775391</v>
      </c>
      <c r="D25" s="7">
        <v>24.754493713378906</v>
      </c>
      <c r="E25" s="7">
        <v>18.469955444335937</v>
      </c>
      <c r="F25" s="7">
        <v>18.319868087768555</v>
      </c>
      <c r="G25" s="7">
        <v>19.287403106689453</v>
      </c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3">
        <f t="shared" si="3"/>
        <v>3.1359716041776973</v>
      </c>
      <c r="AI25" s="3">
        <f t="shared" si="4"/>
        <v>16.025787187035863</v>
      </c>
      <c r="AJ25" s="1">
        <f t="shared" si="5"/>
        <v>20.72974459330241</v>
      </c>
      <c r="AK25" s="3">
        <f t="shared" si="6"/>
        <v>25.433701999568957</v>
      </c>
      <c r="AL25" s="8">
        <f t="shared" si="7"/>
        <v>24.756673812866211</v>
      </c>
      <c r="AM25" s="7" t="e">
        <f t="shared" si="14"/>
        <v>#NAME?</v>
      </c>
      <c r="AN25" s="7" t="e">
        <f t="shared" si="14"/>
        <v>#NAME?</v>
      </c>
      <c r="AO25" s="7" t="e">
        <f t="shared" si="14"/>
        <v>#NAME?</v>
      </c>
    </row>
    <row r="26" spans="1:41">
      <c r="A26" s="7">
        <f t="shared" si="2"/>
        <v>24</v>
      </c>
      <c r="B26" s="7">
        <v>11.151424407958984</v>
      </c>
      <c r="C26" s="7">
        <v>10.988490104675293</v>
      </c>
      <c r="D26" s="7">
        <v>11.257888793945313</v>
      </c>
      <c r="E26" s="7">
        <v>10.430631637573242</v>
      </c>
      <c r="F26" s="7">
        <v>10.603635787963867</v>
      </c>
      <c r="G26" s="7">
        <v>10.962233543395996</v>
      </c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3">
        <f t="shared" si="3"/>
        <v>0.31972961490660307</v>
      </c>
      <c r="AI26" s="3">
        <f t="shared" si="4"/>
        <v>10.419456290225545</v>
      </c>
      <c r="AJ26" s="1">
        <f t="shared" si="5"/>
        <v>10.899050712585449</v>
      </c>
      <c r="AK26" s="3">
        <f t="shared" si="6"/>
        <v>11.378645134945353</v>
      </c>
      <c r="AL26" s="8">
        <f t="shared" si="7"/>
        <v>11.257888793945313</v>
      </c>
      <c r="AM26" s="7" t="e">
        <f t="shared" si="14"/>
        <v>#NAME?</v>
      </c>
      <c r="AN26" s="7" t="e">
        <f t="shared" si="14"/>
        <v>#NAME?</v>
      </c>
      <c r="AO26" s="7" t="e">
        <f t="shared" si="14"/>
        <v>#NAME?</v>
      </c>
    </row>
    <row r="27" spans="1:41">
      <c r="A27" s="7">
        <f t="shared" si="2"/>
        <v>25</v>
      </c>
      <c r="B27">
        <v>20.261800765991211</v>
      </c>
      <c r="C27">
        <v>15.347185134887695</v>
      </c>
      <c r="D27">
        <v>15.928157806396484</v>
      </c>
      <c r="E27">
        <v>19.049798965454102</v>
      </c>
      <c r="F27">
        <v>14.96966552734375</v>
      </c>
      <c r="G27">
        <v>15.749570846557617</v>
      </c>
    </row>
    <row r="28" spans="1:41" s="7" customFormat="1">
      <c r="A28" s="7">
        <f t="shared" si="2"/>
        <v>26</v>
      </c>
      <c r="B28" s="7">
        <v>8.4234542846679687</v>
      </c>
      <c r="C28" s="7">
        <v>8.2865972518920898</v>
      </c>
      <c r="D28" s="7">
        <v>8.5439462661743164</v>
      </c>
      <c r="E28" s="7">
        <v>7.8877153396606445</v>
      </c>
      <c r="F28" s="7">
        <v>8.0130624771118164</v>
      </c>
      <c r="G28" s="7">
        <v>8.2851581573486328</v>
      </c>
    </row>
    <row r="29" spans="1:41" s="7" customFormat="1">
      <c r="A29" s="7">
        <f t="shared" si="2"/>
        <v>27</v>
      </c>
      <c r="B29" s="7">
        <v>12.089666366577148</v>
      </c>
      <c r="C29" s="7">
        <v>11.596857070922852</v>
      </c>
      <c r="D29" s="7">
        <v>12.085144996643066</v>
      </c>
      <c r="E29" s="7">
        <v>11.413748741149902</v>
      </c>
      <c r="F29" s="7">
        <v>11.29167652130127</v>
      </c>
      <c r="G29" s="7">
        <v>11.902036666870117</v>
      </c>
    </row>
    <row r="30" spans="1:41" s="7" customFormat="1">
      <c r="A30" s="7">
        <f t="shared" si="2"/>
        <v>28</v>
      </c>
      <c r="B30" s="7">
        <v>6.7255992889404297</v>
      </c>
      <c r="C30" s="7">
        <v>6.6223716735839844</v>
      </c>
      <c r="D30" s="7">
        <v>6.8103032112121582</v>
      </c>
      <c r="E30" s="7">
        <v>6.3047771453857422</v>
      </c>
      <c r="F30" s="7">
        <v>6.3986530303955078</v>
      </c>
      <c r="G30" s="7">
        <v>6.6256089210510254</v>
      </c>
    </row>
    <row r="31" spans="1:41" s="7" customFormat="1">
      <c r="A31" s="7">
        <f t="shared" si="2"/>
        <v>29</v>
      </c>
      <c r="B31" s="7">
        <v>9.7024774551391602</v>
      </c>
      <c r="C31" s="7">
        <v>11.935946464538574</v>
      </c>
      <c r="D31" s="7">
        <v>9.6730899810791016</v>
      </c>
      <c r="E31" s="7">
        <v>9.1418495178222656</v>
      </c>
      <c r="F31" s="7">
        <v>9.0333414077758789</v>
      </c>
      <c r="G31" s="7">
        <v>9.5216293334960937</v>
      </c>
    </row>
    <row r="32" spans="1:41" s="7" customFormat="1">
      <c r="A32" s="7">
        <f t="shared" si="2"/>
        <v>30</v>
      </c>
      <c r="B32" s="7">
        <v>5.6397342681884766</v>
      </c>
      <c r="C32" s="7">
        <v>5.5892000198364258</v>
      </c>
      <c r="D32" s="7">
        <v>5.8397150039672852</v>
      </c>
      <c r="E32" s="7">
        <v>5.2895889282226562</v>
      </c>
      <c r="F32" s="7">
        <v>5.3780694007873535</v>
      </c>
      <c r="G32" s="7">
        <v>5.5710363388061523</v>
      </c>
    </row>
    <row r="33" spans="1:7" s="7" customFormat="1">
      <c r="A33" s="7">
        <f t="shared" si="2"/>
        <v>31</v>
      </c>
      <c r="B33" s="7">
        <v>8.1381454467773437</v>
      </c>
      <c r="C33" s="7">
        <v>7.8998136520385742</v>
      </c>
      <c r="D33" s="7">
        <v>10.567962646484375</v>
      </c>
      <c r="E33" s="7">
        <v>7.690546989440918</v>
      </c>
      <c r="F33" s="7">
        <v>7.6295108795166016</v>
      </c>
      <c r="G33" s="7">
        <v>8.0567636489868164</v>
      </c>
    </row>
    <row r="34" spans="1:7" s="7" customFormat="1">
      <c r="A34" s="7">
        <f t="shared" si="2"/>
        <v>32</v>
      </c>
      <c r="B34" s="7">
        <v>4.223146915435791</v>
      </c>
      <c r="C34" s="7">
        <v>4.1772880554199219</v>
      </c>
      <c r="D34" s="7">
        <v>4.3634209632873535</v>
      </c>
      <c r="E34" s="7">
        <v>3.9548277854919434</v>
      </c>
      <c r="F34" s="7">
        <v>4.0235261917114258</v>
      </c>
      <c r="G34" s="7">
        <v>4.1607427597045898</v>
      </c>
    </row>
    <row r="35" spans="1:7" s="7" customFormat="1">
      <c r="A35" s="7">
        <f t="shared" si="2"/>
        <v>33</v>
      </c>
      <c r="B35" s="7">
        <v>6.1036086082458496</v>
      </c>
      <c r="C35" s="7">
        <v>7.5335969924926758</v>
      </c>
      <c r="D35" s="7">
        <v>7.895453929901123</v>
      </c>
      <c r="E35" s="7">
        <v>5.7635507583618164</v>
      </c>
      <c r="F35" s="7">
        <v>5.7373924255371094</v>
      </c>
      <c r="G35" s="7">
        <v>6.0425724983215332</v>
      </c>
    </row>
    <row r="36" spans="1:7" s="7" customFormat="1">
      <c r="A36" s="7">
        <f t="shared" si="2"/>
        <v>34</v>
      </c>
      <c r="B36" s="7">
        <v>1.7081058025360107</v>
      </c>
      <c r="C36" s="7">
        <v>1.7181767225265503</v>
      </c>
      <c r="D36" s="7">
        <v>1.8244613409042358</v>
      </c>
      <c r="E36" s="7">
        <v>1.6070365905761719</v>
      </c>
      <c r="F36" s="7">
        <v>1.643004298210144</v>
      </c>
      <c r="G36" s="7">
        <v>1.6798712015151978</v>
      </c>
    </row>
    <row r="37" spans="1:7" s="7" customFormat="1">
      <c r="A37" s="7">
        <f t="shared" si="2"/>
        <v>35</v>
      </c>
      <c r="B37" s="7">
        <v>3.1542577743530273</v>
      </c>
      <c r="C37" s="7">
        <v>3.1041209697723389</v>
      </c>
      <c r="D37" s="7">
        <v>2.6245517730712891</v>
      </c>
      <c r="E37" s="7">
        <v>3.0133743286132812</v>
      </c>
      <c r="F37" s="7">
        <v>2.3668439388275146</v>
      </c>
      <c r="G37" s="7">
        <v>2.4523427486419678</v>
      </c>
    </row>
    <row r="38" spans="1:7" s="7" customFormat="1">
      <c r="A38" s="7">
        <f t="shared" si="2"/>
        <v>36</v>
      </c>
      <c r="B38" s="7">
        <v>1.3300853967666626</v>
      </c>
      <c r="C38" s="7">
        <v>1.3385376930236816</v>
      </c>
      <c r="D38" s="7">
        <v>1.4162279367446899</v>
      </c>
      <c r="E38" s="7">
        <v>1.2496975660324097</v>
      </c>
      <c r="F38" s="7">
        <v>1.2755942344665527</v>
      </c>
      <c r="G38" s="7">
        <v>1.3095837831497192</v>
      </c>
    </row>
    <row r="39" spans="1:7" s="7" customFormat="1">
      <c r="A39" s="7">
        <f t="shared" si="2"/>
        <v>37</v>
      </c>
      <c r="B39" s="7">
        <v>2.4776129722595215</v>
      </c>
      <c r="C39" s="7">
        <v>2.4022059440612793</v>
      </c>
      <c r="D39" s="7">
        <v>2.0577881336212158</v>
      </c>
      <c r="E39" s="7">
        <v>2.3062920570373535</v>
      </c>
      <c r="F39" s="7">
        <v>1.8310825824737549</v>
      </c>
      <c r="G39" s="7">
        <v>1.9418518543243408</v>
      </c>
    </row>
    <row r="40" spans="1:7" s="7" customFormat="1">
      <c r="A40" s="7">
        <f t="shared" si="2"/>
        <v>38</v>
      </c>
      <c r="B40" s="7">
        <v>1.0137494802474976</v>
      </c>
      <c r="C40" s="7">
        <v>1.0232808589935303</v>
      </c>
      <c r="D40" s="7">
        <v>1.087483286857605</v>
      </c>
      <c r="E40" s="7">
        <v>0.95188504457473755</v>
      </c>
      <c r="F40" s="7">
        <v>0.96950918436050415</v>
      </c>
      <c r="G40" s="7">
        <v>0.99522608518600464</v>
      </c>
    </row>
    <row r="41" spans="1:7" s="7" customFormat="1">
      <c r="A41" s="7">
        <f t="shared" si="2"/>
        <v>39</v>
      </c>
      <c r="B41" s="7">
        <v>1.4670459032058716</v>
      </c>
      <c r="C41" s="7">
        <v>1.4648661613464355</v>
      </c>
      <c r="D41" s="7">
        <v>2.0032916069030762</v>
      </c>
      <c r="E41" s="7">
        <v>1.4038300514221191</v>
      </c>
      <c r="F41" s="7">
        <v>1.7744063138961792</v>
      </c>
      <c r="G41" s="7">
        <v>1.4648661613464355</v>
      </c>
    </row>
    <row r="42" spans="1:7" s="7" customFormat="1">
      <c r="A42" s="7">
        <f t="shared" si="2"/>
        <v>40</v>
      </c>
      <c r="B42" s="7">
        <v>0.76719093322753906</v>
      </c>
      <c r="C42" s="7">
        <v>0.78229737281799316</v>
      </c>
      <c r="D42" s="7">
        <v>0.82527875900268555</v>
      </c>
      <c r="E42" s="7">
        <v>0.72492885589599609</v>
      </c>
      <c r="F42" s="7">
        <v>0.73517966270446777</v>
      </c>
      <c r="G42" s="7">
        <v>0.74992644786834717</v>
      </c>
    </row>
    <row r="43" spans="1:7" s="7" customFormat="1">
      <c r="A43" s="7">
        <f t="shared" si="2"/>
        <v>41</v>
      </c>
      <c r="B43" s="7">
        <v>1.4496071338653564</v>
      </c>
      <c r="C43" s="7">
        <v>1.467126727104187</v>
      </c>
      <c r="D43" s="7">
        <v>1.2207217216491699</v>
      </c>
      <c r="E43" s="7">
        <v>1.0986496210098267</v>
      </c>
      <c r="F43" s="7">
        <v>1.3188154697418213</v>
      </c>
      <c r="G43" s="7">
        <v>1.0986496210098267</v>
      </c>
    </row>
    <row r="44" spans="1:7" s="7" customFormat="1">
      <c r="A44" s="7">
        <f t="shared" si="2"/>
        <v>42</v>
      </c>
      <c r="B44" s="7">
        <v>0.7051466703414917</v>
      </c>
      <c r="C44" s="7">
        <v>0.72456920146942139</v>
      </c>
      <c r="D44" s="7">
        <v>0.76071673631668091</v>
      </c>
      <c r="E44" s="7">
        <v>0.66486281156539917</v>
      </c>
      <c r="F44" s="7">
        <v>0.67583298683166504</v>
      </c>
      <c r="G44" s="7">
        <v>0.68392568826675415</v>
      </c>
    </row>
    <row r="45" spans="1:7" s="7" customFormat="1">
      <c r="A45" s="7">
        <f t="shared" si="2"/>
        <v>43</v>
      </c>
      <c r="B45" s="7">
        <v>1.0376135110855103</v>
      </c>
      <c r="C45" s="7">
        <v>1.3247091770172119</v>
      </c>
      <c r="D45" s="7">
        <v>1.38857102394104</v>
      </c>
      <c r="E45" s="7">
        <v>0.97657740116119385</v>
      </c>
      <c r="F45" s="7">
        <v>0.97657740116119385</v>
      </c>
      <c r="G45" s="7">
        <v>1.0376135110855103</v>
      </c>
    </row>
    <row r="46" spans="1:7" s="7" customFormat="1">
      <c r="A46" s="7">
        <f t="shared" si="2"/>
        <v>44</v>
      </c>
      <c r="B46" s="7">
        <v>0.52350980043411255</v>
      </c>
      <c r="C46" s="7">
        <v>0.5398750901222229</v>
      </c>
      <c r="D46" s="7">
        <v>0.57152664661407471</v>
      </c>
      <c r="E46" s="7">
        <v>0.49545499682426453</v>
      </c>
      <c r="F46" s="7">
        <v>0.50354772806167603</v>
      </c>
      <c r="G46" s="7">
        <v>0.50444692373275757</v>
      </c>
    </row>
    <row r="47" spans="1:7" s="7" customFormat="1">
      <c r="A47" s="7">
        <f t="shared" si="2"/>
        <v>45</v>
      </c>
      <c r="B47" s="7">
        <v>0.7934691309928894</v>
      </c>
      <c r="C47" s="7">
        <v>0.7934691309928894</v>
      </c>
      <c r="D47" s="7">
        <v>1.0805648565292358</v>
      </c>
      <c r="E47" s="7">
        <v>0.73243308067321777</v>
      </c>
      <c r="F47" s="7">
        <v>0.73243308067321777</v>
      </c>
      <c r="G47" s="7">
        <v>0.7934691309928894</v>
      </c>
    </row>
    <row r="48" spans="1:7" s="7" customFormat="1">
      <c r="A48" s="7">
        <f t="shared" si="2"/>
        <v>46</v>
      </c>
      <c r="B48" s="7">
        <v>0.25231337547302246</v>
      </c>
      <c r="C48" s="7">
        <v>0.27227544784545898</v>
      </c>
      <c r="D48" s="7">
        <v>0.29097864031791687</v>
      </c>
      <c r="E48" s="7">
        <v>0.24206258356571198</v>
      </c>
      <c r="F48" s="7">
        <v>0.24637870490550995</v>
      </c>
      <c r="G48" s="7">
        <v>0.23918516933917999</v>
      </c>
    </row>
    <row r="49" spans="1:33" s="7" customFormat="1">
      <c r="A49" s="7">
        <f t="shared" si="2"/>
        <v>47</v>
      </c>
      <c r="B49" s="7">
        <v>0.36621654033660889</v>
      </c>
      <c r="C49" s="7">
        <v>0.42725262045860291</v>
      </c>
      <c r="D49" s="7">
        <v>0.54254299402236938</v>
      </c>
      <c r="E49" s="7">
        <v>0.45995050668716431</v>
      </c>
      <c r="F49" s="7">
        <v>0.36621654033660889</v>
      </c>
      <c r="G49" s="7">
        <v>0.36621654033660889</v>
      </c>
    </row>
    <row r="50" spans="1:33" s="7" customFormat="1">
      <c r="A50" s="7">
        <f t="shared" si="2"/>
        <v>48</v>
      </c>
      <c r="B50" s="7">
        <v>0.19134813547134399</v>
      </c>
      <c r="C50" s="7">
        <v>0.21149004995822906</v>
      </c>
      <c r="D50" s="7">
        <v>0.221560999751091</v>
      </c>
      <c r="E50" s="7">
        <v>0.18433442711830139</v>
      </c>
      <c r="F50" s="7">
        <v>0.18433442711830139</v>
      </c>
      <c r="G50" s="7">
        <v>0.17606186866760254</v>
      </c>
    </row>
    <row r="51" spans="1:33" s="7" customFormat="1">
      <c r="A51" s="7">
        <f t="shared" si="2"/>
        <v>49</v>
      </c>
      <c r="B51" s="7">
        <v>0.30518043041229248</v>
      </c>
      <c r="C51" s="7">
        <v>0.30518043041229248</v>
      </c>
      <c r="D51" s="7">
        <v>0.36621654033660889</v>
      </c>
      <c r="E51" s="7">
        <v>0.37493595480918884</v>
      </c>
      <c r="F51" s="7">
        <v>0.30518043041229248</v>
      </c>
      <c r="G51" s="7">
        <v>0.30518043041229248</v>
      </c>
    </row>
    <row r="52" spans="1:33" s="7" customFormat="1"/>
    <row r="53" spans="1:33" s="7" customFormat="1">
      <c r="A53" s="29" t="s">
        <v>38</v>
      </c>
    </row>
    <row r="54" spans="1:33" s="7" customFormat="1">
      <c r="A54" s="29"/>
    </row>
    <row r="55" spans="1:33" s="7" customFormat="1">
      <c r="A55" s="7">
        <v>1</v>
      </c>
      <c r="B55" s="7">
        <f>A55+1</f>
        <v>2</v>
      </c>
      <c r="C55" s="7">
        <f t="shared" ref="C55:P55" si="15">B55+1</f>
        <v>3</v>
      </c>
      <c r="D55" s="7">
        <f t="shared" si="15"/>
        <v>4</v>
      </c>
      <c r="E55" s="7">
        <f t="shared" si="15"/>
        <v>5</v>
      </c>
      <c r="F55" s="7">
        <f t="shared" si="15"/>
        <v>6</v>
      </c>
      <c r="G55" s="7">
        <f t="shared" si="15"/>
        <v>7</v>
      </c>
      <c r="H55" s="7">
        <f t="shared" si="15"/>
        <v>8</v>
      </c>
      <c r="I55" s="7">
        <f t="shared" si="15"/>
        <v>9</v>
      </c>
      <c r="J55" s="7">
        <f t="shared" si="15"/>
        <v>10</v>
      </c>
      <c r="K55" s="7">
        <f t="shared" si="15"/>
        <v>11</v>
      </c>
      <c r="L55" s="7">
        <f t="shared" si="15"/>
        <v>12</v>
      </c>
      <c r="M55" s="7">
        <f t="shared" si="15"/>
        <v>13</v>
      </c>
      <c r="N55" s="7">
        <f t="shared" si="15"/>
        <v>14</v>
      </c>
      <c r="O55" s="7">
        <f t="shared" si="15"/>
        <v>15</v>
      </c>
      <c r="P55" s="7">
        <f t="shared" si="15"/>
        <v>16</v>
      </c>
      <c r="Q55" s="7">
        <f t="shared" ref="Q55:AG55" si="16">P55+1</f>
        <v>17</v>
      </c>
      <c r="R55" s="7">
        <f t="shared" si="16"/>
        <v>18</v>
      </c>
      <c r="S55" s="7">
        <f t="shared" si="16"/>
        <v>19</v>
      </c>
      <c r="T55" s="7">
        <f t="shared" si="16"/>
        <v>20</v>
      </c>
      <c r="U55" s="7">
        <f t="shared" si="16"/>
        <v>21</v>
      </c>
      <c r="V55" s="7">
        <f t="shared" si="16"/>
        <v>22</v>
      </c>
      <c r="W55" s="7">
        <f t="shared" si="16"/>
        <v>23</v>
      </c>
      <c r="X55" s="7">
        <f t="shared" si="16"/>
        <v>24</v>
      </c>
      <c r="Y55" s="7">
        <f t="shared" si="16"/>
        <v>25</v>
      </c>
      <c r="Z55" s="7">
        <f t="shared" si="16"/>
        <v>26</v>
      </c>
      <c r="AA55" s="7">
        <f t="shared" si="16"/>
        <v>27</v>
      </c>
      <c r="AB55" s="7">
        <f t="shared" si="16"/>
        <v>28</v>
      </c>
      <c r="AC55" s="7">
        <f t="shared" si="16"/>
        <v>29</v>
      </c>
      <c r="AD55" s="7">
        <f t="shared" si="16"/>
        <v>30</v>
      </c>
      <c r="AE55" s="7">
        <f t="shared" si="16"/>
        <v>31</v>
      </c>
      <c r="AF55" s="7">
        <f t="shared" si="16"/>
        <v>32</v>
      </c>
      <c r="AG55" s="7">
        <f t="shared" si="16"/>
        <v>33</v>
      </c>
    </row>
    <row r="56" spans="1:33" s="7" customFormat="1">
      <c r="A56" s="7">
        <v>0</v>
      </c>
      <c r="B56" s="7">
        <f>VLOOKUP($A56,$A$2:B$51,B$55)</f>
        <v>141.31626892089844</v>
      </c>
      <c r="C56" s="7">
        <f>VLOOKUP($A56,$A$2:C$51,C$55)</f>
        <v>137.43058776855469</v>
      </c>
      <c r="D56" s="7">
        <f>VLOOKUP($A56,$A$2:D$51,D$55)</f>
        <v>139.90721130371094</v>
      </c>
      <c r="E56" s="7">
        <f>VLOOKUP($A56,$A$2:E$51,E$55)</f>
        <v>132.63229370117187</v>
      </c>
      <c r="F56" s="7">
        <f>VLOOKUP($A56,$A$2:F$51,F$55)</f>
        <v>134.56826782226562</v>
      </c>
      <c r="G56" s="7">
        <f>VLOOKUP($A56,$A$2:G$51,G$55)</f>
        <v>139.31990051269531</v>
      </c>
      <c r="H56" s="7">
        <f>VLOOKUP($A56,$A$2:H$51,H$55)</f>
        <v>0</v>
      </c>
      <c r="I56" s="7">
        <f>VLOOKUP($A56,$A$2:I$51,I$55)</f>
        <v>0</v>
      </c>
      <c r="J56" s="7">
        <f>VLOOKUP($A56,$A$2:J$51,J$55)</f>
        <v>0</v>
      </c>
      <c r="K56" s="7">
        <f>VLOOKUP($A56,$A$2:K$51,K$55)</f>
        <v>0</v>
      </c>
      <c r="L56" s="7">
        <f>VLOOKUP($A56,$A$2:L$51,L$55)</f>
        <v>0</v>
      </c>
      <c r="M56" s="7">
        <f>VLOOKUP($A56,$A$2:M$51,M$55)</f>
        <v>0</v>
      </c>
      <c r="N56" s="7">
        <f>VLOOKUP($A56,$A$2:N$51,N$55)</f>
        <v>0</v>
      </c>
      <c r="O56" s="7">
        <f>VLOOKUP($A56,$A$2:O$51,O$55)</f>
        <v>0</v>
      </c>
      <c r="P56" s="7">
        <f>VLOOKUP($A56,$A$2:P$51,P$55)</f>
        <v>0</v>
      </c>
      <c r="Q56" s="7">
        <f>VLOOKUP($A56,$A$2:Q$51,Q$55)</f>
        <v>0</v>
      </c>
      <c r="R56" s="7">
        <f>VLOOKUP($A56,$A$2:R$51,R$55)</f>
        <v>0</v>
      </c>
      <c r="S56" s="7">
        <f>VLOOKUP($A56,$A$2:S$51,S$55)</f>
        <v>0</v>
      </c>
      <c r="T56" s="7">
        <f>VLOOKUP($A56,$A$2:T$51,T$55)</f>
        <v>0</v>
      </c>
      <c r="U56" s="7">
        <f>VLOOKUP($A56,$A$2:U$51,U$55)</f>
        <v>0</v>
      </c>
      <c r="V56" s="7">
        <f>VLOOKUP($A56,$A$2:V$51,V$55)</f>
        <v>0</v>
      </c>
      <c r="W56" s="7">
        <f>VLOOKUP($A56,$A$2:W$51,W$55)</f>
        <v>0</v>
      </c>
      <c r="X56" s="7">
        <f>VLOOKUP($A56,$A$2:X$51,X$55)</f>
        <v>0</v>
      </c>
      <c r="Y56" s="7">
        <f>VLOOKUP($A56,$A$2:Y$51,Y$55)</f>
        <v>0</v>
      </c>
      <c r="Z56" s="7">
        <f>VLOOKUP($A56,$A$2:Z$51,Z$55)</f>
        <v>0</v>
      </c>
      <c r="AA56" s="7">
        <f>VLOOKUP($A56,$A$2:AA$51,AA$55)</f>
        <v>0</v>
      </c>
      <c r="AB56" s="7">
        <f>VLOOKUP($A56,$A$2:AB$51,AB$55)</f>
        <v>0</v>
      </c>
      <c r="AC56" s="7">
        <f>VLOOKUP($A56,$A$2:AC$51,AC$55)</f>
        <v>0</v>
      </c>
      <c r="AD56" s="7">
        <f>VLOOKUP($A56,$A$2:AD$51,AD$55)</f>
        <v>0</v>
      </c>
      <c r="AE56" s="7">
        <f>VLOOKUP($A56,$A$2:AE$51,AE$55)</f>
        <v>0</v>
      </c>
      <c r="AF56" s="7">
        <f>VLOOKUP($A56,$A$2:AF$51,AF$55)</f>
        <v>0</v>
      </c>
      <c r="AG56" s="7">
        <f>VLOOKUP($A56,$A$2:AG$51,AG$55)</f>
        <v>0</v>
      </c>
    </row>
    <row r="57" spans="1:33" s="7" customFormat="1">
      <c r="A57" s="7">
        <f>A56+2</f>
        <v>2</v>
      </c>
      <c r="B57" s="7">
        <f>VLOOKUP($A57,$A$2:B$51,B$55)</f>
        <v>110.00503540039062</v>
      </c>
      <c r="C57" s="7">
        <f>VLOOKUP($A57,$A$2:C$51,C$55)</f>
        <v>109.96871185302734</v>
      </c>
      <c r="D57" s="7">
        <f>VLOOKUP($A57,$A$2:D$51,D$55)</f>
        <v>109.99550628662109</v>
      </c>
      <c r="E57" s="7">
        <f>VLOOKUP($A57,$A$2:E$51,E$55)</f>
        <v>105.60870361328125</v>
      </c>
      <c r="F57" s="7">
        <f>VLOOKUP($A57,$A$2:F$51,F$55)</f>
        <v>107.43010711669922</v>
      </c>
      <c r="G57" s="7">
        <f>VLOOKUP($A57,$A$2:G$51,G$55)</f>
        <v>109.97841644287109</v>
      </c>
      <c r="H57" s="7">
        <f>VLOOKUP($A57,$A$2:H$51,H$55)</f>
        <v>0</v>
      </c>
      <c r="I57" s="7">
        <f>VLOOKUP($A57,$A$2:I$51,I$55)</f>
        <v>0</v>
      </c>
      <c r="J57" s="7">
        <f>VLOOKUP($A57,$A$2:J$51,J$55)</f>
        <v>0</v>
      </c>
      <c r="K57" s="7">
        <f>VLOOKUP($A57,$A$2:K$51,K$55)</f>
        <v>0</v>
      </c>
      <c r="L57" s="7">
        <f>VLOOKUP($A57,$A$2:L$51,L$55)</f>
        <v>0</v>
      </c>
      <c r="M57" s="7">
        <f>VLOOKUP($A57,$A$2:M$51,M$55)</f>
        <v>0</v>
      </c>
      <c r="N57" s="7">
        <f>VLOOKUP($A57,$A$2:N$51,N$55)</f>
        <v>0</v>
      </c>
      <c r="O57" s="7">
        <f>VLOOKUP($A57,$A$2:O$51,O$55)</f>
        <v>0</v>
      </c>
      <c r="P57" s="7">
        <f>VLOOKUP($A57,$A$2:P$51,P$55)</f>
        <v>0</v>
      </c>
      <c r="Q57" s="7">
        <f>VLOOKUP($A57,$A$2:Q$51,Q$55)</f>
        <v>0</v>
      </c>
      <c r="R57" s="7">
        <f>VLOOKUP($A57,$A$2:R$51,R$55)</f>
        <v>0</v>
      </c>
      <c r="S57" s="7">
        <f>VLOOKUP($A57,$A$2:S$51,S$55)</f>
        <v>0</v>
      </c>
      <c r="T57" s="7">
        <f>VLOOKUP($A57,$A$2:T$51,T$55)</f>
        <v>0</v>
      </c>
      <c r="U57" s="7">
        <f>VLOOKUP($A57,$A$2:U$51,U$55)</f>
        <v>0</v>
      </c>
      <c r="V57" s="7">
        <f>VLOOKUP($A57,$A$2:V$51,V$55)</f>
        <v>0</v>
      </c>
      <c r="W57" s="7">
        <f>VLOOKUP($A57,$A$2:W$51,W$55)</f>
        <v>0</v>
      </c>
      <c r="X57" s="7">
        <f>VLOOKUP($A57,$A$2:X$51,X$55)</f>
        <v>0</v>
      </c>
      <c r="Y57" s="7">
        <f>VLOOKUP($A57,$A$2:Y$51,Y$55)</f>
        <v>0</v>
      </c>
      <c r="Z57" s="7">
        <f>VLOOKUP($A57,$A$2:Z$51,Z$55)</f>
        <v>0</v>
      </c>
      <c r="AA57" s="7">
        <f>VLOOKUP($A57,$A$2:AA$51,AA$55)</f>
        <v>0</v>
      </c>
      <c r="AB57" s="7">
        <f>VLOOKUP($A57,$A$2:AB$51,AB$55)</f>
        <v>0</v>
      </c>
      <c r="AC57" s="7">
        <f>VLOOKUP($A57,$A$2:AC$51,AC$55)</f>
        <v>0</v>
      </c>
      <c r="AD57" s="7">
        <f>VLOOKUP($A57,$A$2:AD$51,AD$55)</f>
        <v>0</v>
      </c>
      <c r="AE57" s="7">
        <f>VLOOKUP($A57,$A$2:AE$51,AE$55)</f>
        <v>0</v>
      </c>
      <c r="AF57" s="7">
        <f>VLOOKUP($A57,$A$2:AF$51,AF$55)</f>
        <v>0</v>
      </c>
      <c r="AG57" s="7">
        <f>VLOOKUP($A57,$A$2:AG$51,AG$55)</f>
        <v>0</v>
      </c>
    </row>
    <row r="58" spans="1:33" s="7" customFormat="1">
      <c r="A58" s="7">
        <f t="shared" ref="A58:A80" si="17">A57+2</f>
        <v>4</v>
      </c>
      <c r="B58" s="7">
        <f>VLOOKUP($A58,$A$2:B$51,B$55)</f>
        <v>86.690956115722656</v>
      </c>
      <c r="C58" s="7">
        <f>VLOOKUP($A58,$A$2:C$51,C$55)</f>
        <v>85.032844543457031</v>
      </c>
      <c r="D58" s="7">
        <f>VLOOKUP($A58,$A$2:D$51,D$55)</f>
        <v>86.03131103515625</v>
      </c>
      <c r="E58" s="7">
        <f>VLOOKUP($A58,$A$2:E$51,E$55)</f>
        <v>81.625625610351563</v>
      </c>
      <c r="F58" s="7">
        <f>VLOOKUP($A58,$A$2:F$51,F$55)</f>
        <v>83.419692993164063</v>
      </c>
      <c r="G58" s="7">
        <f>VLOOKUP($A58,$A$2:G$51,G$55)</f>
        <v>85.253509521484375</v>
      </c>
      <c r="H58" s="7">
        <f>VLOOKUP($A58,$A$2:H$51,H$55)</f>
        <v>0</v>
      </c>
      <c r="I58" s="7">
        <f>VLOOKUP($A58,$A$2:I$51,I$55)</f>
        <v>0</v>
      </c>
      <c r="J58" s="7">
        <f>VLOOKUP($A58,$A$2:J$51,J$55)</f>
        <v>0</v>
      </c>
      <c r="K58" s="7">
        <f>VLOOKUP($A58,$A$2:K$51,K$55)</f>
        <v>0</v>
      </c>
      <c r="L58" s="7">
        <f>VLOOKUP($A58,$A$2:L$51,L$55)</f>
        <v>0</v>
      </c>
      <c r="M58" s="7">
        <f>VLOOKUP($A58,$A$2:M$51,M$55)</f>
        <v>0</v>
      </c>
      <c r="N58" s="7">
        <f>VLOOKUP($A58,$A$2:N$51,N$55)</f>
        <v>0</v>
      </c>
      <c r="O58" s="7">
        <f>VLOOKUP($A58,$A$2:O$51,O$55)</f>
        <v>0</v>
      </c>
      <c r="P58" s="7">
        <f>VLOOKUP($A58,$A$2:P$51,P$55)</f>
        <v>0</v>
      </c>
      <c r="Q58" s="7">
        <f>VLOOKUP($A58,$A$2:Q$51,Q$55)</f>
        <v>0</v>
      </c>
      <c r="R58" s="7">
        <f>VLOOKUP($A58,$A$2:R$51,R$55)</f>
        <v>0</v>
      </c>
      <c r="S58" s="7">
        <f>VLOOKUP($A58,$A$2:S$51,S$55)</f>
        <v>0</v>
      </c>
      <c r="T58" s="7">
        <f>VLOOKUP($A58,$A$2:T$51,T$55)</f>
        <v>0</v>
      </c>
      <c r="U58" s="7">
        <f>VLOOKUP($A58,$A$2:U$51,U$55)</f>
        <v>0</v>
      </c>
      <c r="V58" s="7">
        <f>VLOOKUP($A58,$A$2:V$51,V$55)</f>
        <v>0</v>
      </c>
      <c r="W58" s="7">
        <f>VLOOKUP($A58,$A$2:W$51,W$55)</f>
        <v>0</v>
      </c>
      <c r="X58" s="7">
        <f>VLOOKUP($A58,$A$2:X$51,X$55)</f>
        <v>0</v>
      </c>
      <c r="Y58" s="7">
        <f>VLOOKUP($A58,$A$2:Y$51,Y$55)</f>
        <v>0</v>
      </c>
      <c r="Z58" s="7">
        <f>VLOOKUP($A58,$A$2:Z$51,Z$55)</f>
        <v>0</v>
      </c>
      <c r="AA58" s="7">
        <f>VLOOKUP($A58,$A$2:AA$51,AA$55)</f>
        <v>0</v>
      </c>
      <c r="AB58" s="7">
        <f>VLOOKUP($A58,$A$2:AB$51,AB$55)</f>
        <v>0</v>
      </c>
      <c r="AC58" s="7">
        <f>VLOOKUP($A58,$A$2:AC$51,AC$55)</f>
        <v>0</v>
      </c>
      <c r="AD58" s="7">
        <f>VLOOKUP($A58,$A$2:AD$51,AD$55)</f>
        <v>0</v>
      </c>
      <c r="AE58" s="7">
        <f>VLOOKUP($A58,$A$2:AE$51,AE$55)</f>
        <v>0</v>
      </c>
      <c r="AF58" s="7">
        <f>VLOOKUP($A58,$A$2:AF$51,AF$55)</f>
        <v>0</v>
      </c>
      <c r="AG58" s="7">
        <f>VLOOKUP($A58,$A$2:AG$51,AG$55)</f>
        <v>0</v>
      </c>
    </row>
    <row r="59" spans="1:33" s="7" customFormat="1">
      <c r="A59" s="7">
        <f t="shared" si="17"/>
        <v>6</v>
      </c>
      <c r="B59" s="7">
        <f>VLOOKUP($A59,$A$2:B$51,B$55)</f>
        <v>70.163803100585938</v>
      </c>
      <c r="C59" s="7">
        <f>VLOOKUP($A59,$A$2:C$51,C$55)</f>
        <v>68.982620239257813</v>
      </c>
      <c r="D59" s="7">
        <f>VLOOKUP($A59,$A$2:D$51,D$55)</f>
        <v>69.7325439453125</v>
      </c>
      <c r="E59" s="7">
        <f>VLOOKUP($A59,$A$2:E$51,E$55)</f>
        <v>66.054130554199219</v>
      </c>
      <c r="F59" s="7">
        <f>VLOOKUP($A59,$A$2:F$51,F$55)</f>
        <v>67.217506408691406</v>
      </c>
      <c r="G59" s="7">
        <f>VLOOKUP($A59,$A$2:G$51,G$55)</f>
        <v>69.012657165527344</v>
      </c>
      <c r="H59" s="7">
        <f>VLOOKUP($A59,$A$2:H$51,H$55)</f>
        <v>0</v>
      </c>
      <c r="I59" s="7">
        <f>VLOOKUP($A59,$A$2:I$51,I$55)</f>
        <v>0</v>
      </c>
      <c r="J59" s="7">
        <f>VLOOKUP($A59,$A$2:J$51,J$55)</f>
        <v>0</v>
      </c>
      <c r="K59" s="7">
        <f>VLOOKUP($A59,$A$2:K$51,K$55)</f>
        <v>0</v>
      </c>
      <c r="L59" s="7">
        <f>VLOOKUP($A59,$A$2:L$51,L$55)</f>
        <v>0</v>
      </c>
      <c r="M59" s="7">
        <f>VLOOKUP($A59,$A$2:M$51,M$55)</f>
        <v>0</v>
      </c>
      <c r="N59" s="7">
        <f>VLOOKUP($A59,$A$2:N$51,N$55)</f>
        <v>0</v>
      </c>
      <c r="O59" s="7">
        <f>VLOOKUP($A59,$A$2:O$51,O$55)</f>
        <v>0</v>
      </c>
      <c r="P59" s="7">
        <f>VLOOKUP($A59,$A$2:P$51,P$55)</f>
        <v>0</v>
      </c>
      <c r="Q59" s="7">
        <f>VLOOKUP($A59,$A$2:Q$51,Q$55)</f>
        <v>0</v>
      </c>
      <c r="R59" s="7">
        <f>VLOOKUP($A59,$A$2:R$51,R$55)</f>
        <v>0</v>
      </c>
      <c r="S59" s="7">
        <f>VLOOKUP($A59,$A$2:S$51,S$55)</f>
        <v>0</v>
      </c>
      <c r="T59" s="7">
        <f>VLOOKUP($A59,$A$2:T$51,T$55)</f>
        <v>0</v>
      </c>
      <c r="U59" s="7">
        <f>VLOOKUP($A59,$A$2:U$51,U$55)</f>
        <v>0</v>
      </c>
      <c r="V59" s="7">
        <f>VLOOKUP($A59,$A$2:V$51,V$55)</f>
        <v>0</v>
      </c>
      <c r="W59" s="7">
        <f>VLOOKUP($A59,$A$2:W$51,W$55)</f>
        <v>0</v>
      </c>
      <c r="X59" s="7">
        <f>VLOOKUP($A59,$A$2:X$51,X$55)</f>
        <v>0</v>
      </c>
      <c r="Y59" s="7">
        <f>VLOOKUP($A59,$A$2:Y$51,Y$55)</f>
        <v>0</v>
      </c>
      <c r="Z59" s="7">
        <f>VLOOKUP($A59,$A$2:Z$51,Z$55)</f>
        <v>0</v>
      </c>
      <c r="AA59" s="7">
        <f>VLOOKUP($A59,$A$2:AA$51,AA$55)</f>
        <v>0</v>
      </c>
      <c r="AB59" s="7">
        <f>VLOOKUP($A59,$A$2:AB$51,AB$55)</f>
        <v>0</v>
      </c>
      <c r="AC59" s="7">
        <f>VLOOKUP($A59,$A$2:AC$51,AC$55)</f>
        <v>0</v>
      </c>
      <c r="AD59" s="7">
        <f>VLOOKUP($A59,$A$2:AD$51,AD$55)</f>
        <v>0</v>
      </c>
      <c r="AE59" s="7">
        <f>VLOOKUP($A59,$A$2:AE$51,AE$55)</f>
        <v>0</v>
      </c>
      <c r="AF59" s="7">
        <f>VLOOKUP($A59,$A$2:AF$51,AF$55)</f>
        <v>0</v>
      </c>
      <c r="AG59" s="7">
        <f>VLOOKUP($A59,$A$2:AG$51,AG$55)</f>
        <v>0</v>
      </c>
    </row>
    <row r="60" spans="1:33" s="7" customFormat="1">
      <c r="A60" s="7">
        <f t="shared" si="17"/>
        <v>8</v>
      </c>
      <c r="B60" s="7">
        <f>VLOOKUP($A60,$A$2:B$51,B$55)</f>
        <v>58.346073150634766</v>
      </c>
      <c r="C60" s="7">
        <f>VLOOKUP($A60,$A$2:C$51,C$55)</f>
        <v>57.207698822021484</v>
      </c>
      <c r="D60" s="7">
        <f>VLOOKUP($A60,$A$2:D$51,D$55)</f>
        <v>58.630218505859375</v>
      </c>
      <c r="E60" s="7">
        <f>VLOOKUP($A60,$A$2:E$51,E$55)</f>
        <v>55.028594970703125</v>
      </c>
      <c r="F60" s="7">
        <f>VLOOKUP($A60,$A$2:F$51,F$55)</f>
        <v>56.161937713623047</v>
      </c>
      <c r="G60" s="7">
        <f>VLOOKUP($A60,$A$2:G$51,G$55)</f>
        <v>57.548671722412109</v>
      </c>
      <c r="H60" s="7">
        <f>VLOOKUP($A60,$A$2:H$51,H$55)</f>
        <v>0</v>
      </c>
      <c r="I60" s="7">
        <f>VLOOKUP($A60,$A$2:I$51,I$55)</f>
        <v>0</v>
      </c>
      <c r="J60" s="7">
        <f>VLOOKUP($A60,$A$2:J$51,J$55)</f>
        <v>0</v>
      </c>
      <c r="K60" s="7">
        <f>VLOOKUP($A60,$A$2:K$51,K$55)</f>
        <v>0</v>
      </c>
      <c r="L60" s="7">
        <f>VLOOKUP($A60,$A$2:L$51,L$55)</f>
        <v>0</v>
      </c>
      <c r="M60" s="7">
        <f>VLOOKUP($A60,$A$2:M$51,M$55)</f>
        <v>0</v>
      </c>
      <c r="N60" s="7">
        <f>VLOOKUP($A60,$A$2:N$51,N$55)</f>
        <v>0</v>
      </c>
      <c r="O60" s="7">
        <f>VLOOKUP($A60,$A$2:O$51,O$55)</f>
        <v>0</v>
      </c>
      <c r="P60" s="7">
        <f>VLOOKUP($A60,$A$2:P$51,P$55)</f>
        <v>0</v>
      </c>
      <c r="Q60" s="7">
        <f>VLOOKUP($A60,$A$2:Q$51,Q$55)</f>
        <v>0</v>
      </c>
      <c r="R60" s="7">
        <f>VLOOKUP($A60,$A$2:R$51,R$55)</f>
        <v>0</v>
      </c>
      <c r="S60" s="7">
        <f>VLOOKUP($A60,$A$2:S$51,S$55)</f>
        <v>0</v>
      </c>
      <c r="T60" s="7">
        <f>VLOOKUP($A60,$A$2:T$51,T$55)</f>
        <v>0</v>
      </c>
      <c r="U60" s="7">
        <f>VLOOKUP($A60,$A$2:U$51,U$55)</f>
        <v>0</v>
      </c>
      <c r="V60" s="7">
        <f>VLOOKUP($A60,$A$2:V$51,V$55)</f>
        <v>0</v>
      </c>
      <c r="W60" s="7">
        <f>VLOOKUP($A60,$A$2:W$51,W$55)</f>
        <v>0</v>
      </c>
      <c r="X60" s="7">
        <f>VLOOKUP($A60,$A$2:X$51,X$55)</f>
        <v>0</v>
      </c>
      <c r="Y60" s="7">
        <f>VLOOKUP($A60,$A$2:Y$51,Y$55)</f>
        <v>0</v>
      </c>
      <c r="Z60" s="7">
        <f>VLOOKUP($A60,$A$2:Z$51,Z$55)</f>
        <v>0</v>
      </c>
      <c r="AA60" s="7">
        <f>VLOOKUP($A60,$A$2:AA$51,AA$55)</f>
        <v>0</v>
      </c>
      <c r="AB60" s="7">
        <f>VLOOKUP($A60,$A$2:AB$51,AB$55)</f>
        <v>0</v>
      </c>
      <c r="AC60" s="7">
        <f>VLOOKUP($A60,$A$2:AC$51,AC$55)</f>
        <v>0</v>
      </c>
      <c r="AD60" s="7">
        <f>VLOOKUP($A60,$A$2:AD$51,AD$55)</f>
        <v>0</v>
      </c>
      <c r="AE60" s="7">
        <f>VLOOKUP($A60,$A$2:AE$51,AE$55)</f>
        <v>0</v>
      </c>
      <c r="AF60" s="7">
        <f>VLOOKUP($A60,$A$2:AF$51,AF$55)</f>
        <v>0</v>
      </c>
      <c r="AG60" s="7">
        <f>VLOOKUP($A60,$A$2:AG$51,AG$55)</f>
        <v>0</v>
      </c>
    </row>
    <row r="61" spans="1:33" s="7" customFormat="1">
      <c r="A61" s="7">
        <f t="shared" si="17"/>
        <v>10</v>
      </c>
      <c r="B61" s="7">
        <f>VLOOKUP($A61,$A$2:B$51,B$55)</f>
        <v>43.65057373046875</v>
      </c>
      <c r="C61" s="7">
        <f>VLOOKUP($A61,$A$2:C$51,C$55)</f>
        <v>43.084800720214844</v>
      </c>
      <c r="D61" s="7">
        <f>VLOOKUP($A61,$A$2:D$51,D$55)</f>
        <v>43.746067047119141</v>
      </c>
      <c r="E61" s="7">
        <f>VLOOKUP($A61,$A$2:E$51,E$55)</f>
        <v>41.213401794433594</v>
      </c>
      <c r="F61" s="7">
        <f>VLOOKUP($A61,$A$2:F$51,F$55)</f>
        <v>41.920528411865234</v>
      </c>
      <c r="G61" s="7">
        <f>VLOOKUP($A61,$A$2:G$51,G$55)</f>
        <v>43.143428802490234</v>
      </c>
      <c r="H61" s="7">
        <f>VLOOKUP($A61,$A$2:H$51,H$55)</f>
        <v>0</v>
      </c>
      <c r="I61" s="7">
        <f>VLOOKUP($A61,$A$2:I$51,I$55)</f>
        <v>0</v>
      </c>
      <c r="J61" s="7">
        <f>VLOOKUP($A61,$A$2:J$51,J$55)</f>
        <v>0</v>
      </c>
      <c r="K61" s="7">
        <f>VLOOKUP($A61,$A$2:K$51,K$55)</f>
        <v>0</v>
      </c>
      <c r="L61" s="7">
        <f>VLOOKUP($A61,$A$2:L$51,L$55)</f>
        <v>0</v>
      </c>
      <c r="M61" s="7">
        <f>VLOOKUP($A61,$A$2:M$51,M$55)</f>
        <v>0</v>
      </c>
      <c r="N61" s="7">
        <f>VLOOKUP($A61,$A$2:N$51,N$55)</f>
        <v>0</v>
      </c>
      <c r="O61" s="7">
        <f>VLOOKUP($A61,$A$2:O$51,O$55)</f>
        <v>0</v>
      </c>
      <c r="P61" s="7">
        <f>VLOOKUP($A61,$A$2:P$51,P$55)</f>
        <v>0</v>
      </c>
      <c r="Q61" s="7">
        <f>VLOOKUP($A61,$A$2:Q$51,Q$55)</f>
        <v>0</v>
      </c>
      <c r="R61" s="7">
        <f>VLOOKUP($A61,$A$2:R$51,R$55)</f>
        <v>0</v>
      </c>
      <c r="S61" s="7">
        <f>VLOOKUP($A61,$A$2:S$51,S$55)</f>
        <v>0</v>
      </c>
      <c r="T61" s="7">
        <f>VLOOKUP($A61,$A$2:T$51,T$55)</f>
        <v>0</v>
      </c>
      <c r="U61" s="7">
        <f>VLOOKUP($A61,$A$2:U$51,U$55)</f>
        <v>0</v>
      </c>
      <c r="V61" s="7">
        <f>VLOOKUP($A61,$A$2:V$51,V$55)</f>
        <v>0</v>
      </c>
      <c r="W61" s="7">
        <f>VLOOKUP($A61,$A$2:W$51,W$55)</f>
        <v>0</v>
      </c>
      <c r="X61" s="7">
        <f>VLOOKUP($A61,$A$2:X$51,X$55)</f>
        <v>0</v>
      </c>
      <c r="Y61" s="7">
        <f>VLOOKUP($A61,$A$2:Y$51,Y$55)</f>
        <v>0</v>
      </c>
      <c r="Z61" s="7">
        <f>VLOOKUP($A61,$A$2:Z$51,Z$55)</f>
        <v>0</v>
      </c>
      <c r="AA61" s="7">
        <f>VLOOKUP($A61,$A$2:AA$51,AA$55)</f>
        <v>0</v>
      </c>
      <c r="AB61" s="7">
        <f>VLOOKUP($A61,$A$2:AB$51,AB$55)</f>
        <v>0</v>
      </c>
      <c r="AC61" s="7">
        <f>VLOOKUP($A61,$A$2:AC$51,AC$55)</f>
        <v>0</v>
      </c>
      <c r="AD61" s="7">
        <f>VLOOKUP($A61,$A$2:AD$51,AD$55)</f>
        <v>0</v>
      </c>
      <c r="AE61" s="7">
        <f>VLOOKUP($A61,$A$2:AE$51,AE$55)</f>
        <v>0</v>
      </c>
      <c r="AF61" s="7">
        <f>VLOOKUP($A61,$A$2:AF$51,AF$55)</f>
        <v>0</v>
      </c>
      <c r="AG61" s="7">
        <f>VLOOKUP($A61,$A$2:AG$51,AG$55)</f>
        <v>0</v>
      </c>
    </row>
    <row r="62" spans="1:33" s="7" customFormat="1">
      <c r="A62" s="7">
        <f t="shared" si="17"/>
        <v>12</v>
      </c>
      <c r="B62" s="7">
        <f>VLOOKUP($A62,$A$2:B$51,B$55)</f>
        <v>35.929569244384766</v>
      </c>
      <c r="C62" s="7">
        <f>VLOOKUP($A62,$A$2:C$51,C$55)</f>
        <v>35.534461975097656</v>
      </c>
      <c r="D62" s="7">
        <f>VLOOKUP($A62,$A$2:D$51,D$55)</f>
        <v>36.024703979492188</v>
      </c>
      <c r="E62" s="7">
        <f>VLOOKUP($A62,$A$2:E$51,E$55)</f>
        <v>34.130645751953125</v>
      </c>
      <c r="F62" s="7">
        <f>VLOOKUP($A62,$A$2:F$51,F$55)</f>
        <v>34.491939544677734</v>
      </c>
      <c r="G62" s="7">
        <f>VLOOKUP($A62,$A$2:G$51,G$55)</f>
        <v>35.525650024414063</v>
      </c>
      <c r="H62" s="7">
        <f>VLOOKUP($A62,$A$2:H$51,H$55)</f>
        <v>0</v>
      </c>
      <c r="I62" s="7">
        <f>VLOOKUP($A62,$A$2:I$51,I$55)</f>
        <v>0</v>
      </c>
      <c r="J62" s="7">
        <f>VLOOKUP($A62,$A$2:J$51,J$55)</f>
        <v>0</v>
      </c>
      <c r="K62" s="7">
        <f>VLOOKUP($A62,$A$2:K$51,K$55)</f>
        <v>0</v>
      </c>
      <c r="L62" s="7">
        <f>VLOOKUP($A62,$A$2:L$51,L$55)</f>
        <v>0</v>
      </c>
      <c r="M62" s="7">
        <f>VLOOKUP($A62,$A$2:M$51,M$55)</f>
        <v>0</v>
      </c>
      <c r="N62" s="7">
        <f>VLOOKUP($A62,$A$2:N$51,N$55)</f>
        <v>0</v>
      </c>
      <c r="O62" s="7">
        <f>VLOOKUP($A62,$A$2:O$51,O$55)</f>
        <v>0</v>
      </c>
      <c r="P62" s="7">
        <f>VLOOKUP($A62,$A$2:P$51,P$55)</f>
        <v>0</v>
      </c>
      <c r="Q62" s="7">
        <f>VLOOKUP($A62,$A$2:Q$51,Q$55)</f>
        <v>0</v>
      </c>
      <c r="R62" s="7">
        <f>VLOOKUP($A62,$A$2:R$51,R$55)</f>
        <v>0</v>
      </c>
      <c r="S62" s="7">
        <f>VLOOKUP($A62,$A$2:S$51,S$55)</f>
        <v>0</v>
      </c>
      <c r="T62" s="7">
        <f>VLOOKUP($A62,$A$2:T$51,T$55)</f>
        <v>0</v>
      </c>
      <c r="U62" s="7">
        <f>VLOOKUP($A62,$A$2:U$51,U$55)</f>
        <v>0</v>
      </c>
      <c r="V62" s="7">
        <f>VLOOKUP($A62,$A$2:V$51,V$55)</f>
        <v>0</v>
      </c>
      <c r="W62" s="7">
        <f>VLOOKUP($A62,$A$2:W$51,W$55)</f>
        <v>0</v>
      </c>
      <c r="X62" s="7">
        <f>VLOOKUP($A62,$A$2:X$51,X$55)</f>
        <v>0</v>
      </c>
      <c r="Y62" s="7">
        <f>VLOOKUP($A62,$A$2:Y$51,Y$55)</f>
        <v>0</v>
      </c>
      <c r="Z62" s="7">
        <f>VLOOKUP($A62,$A$2:Z$51,Z$55)</f>
        <v>0</v>
      </c>
      <c r="AA62" s="7">
        <f>VLOOKUP($A62,$A$2:AA$51,AA$55)</f>
        <v>0</v>
      </c>
      <c r="AB62" s="7">
        <f>VLOOKUP($A62,$A$2:AB$51,AB$55)</f>
        <v>0</v>
      </c>
      <c r="AC62" s="7">
        <f>VLOOKUP($A62,$A$2:AC$51,AC$55)</f>
        <v>0</v>
      </c>
      <c r="AD62" s="7">
        <f>VLOOKUP($A62,$A$2:AD$51,AD$55)</f>
        <v>0</v>
      </c>
      <c r="AE62" s="7">
        <f>VLOOKUP($A62,$A$2:AE$51,AE$55)</f>
        <v>0</v>
      </c>
      <c r="AF62" s="7">
        <f>VLOOKUP($A62,$A$2:AF$51,AF$55)</f>
        <v>0</v>
      </c>
      <c r="AG62" s="7">
        <f>VLOOKUP($A62,$A$2:AG$51,AG$55)</f>
        <v>0</v>
      </c>
    </row>
    <row r="63" spans="1:33" s="7" customFormat="1">
      <c r="A63" s="7">
        <f t="shared" si="17"/>
        <v>14</v>
      </c>
      <c r="B63" s="7">
        <f>VLOOKUP($A63,$A$2:B$51,B$55)</f>
        <v>28.470048904418945</v>
      </c>
      <c r="C63" s="7">
        <f>VLOOKUP($A63,$A$2:C$51,C$55)</f>
        <v>28.254423141479492</v>
      </c>
      <c r="D63" s="7">
        <f>VLOOKUP($A63,$A$2:D$51,D$55)</f>
        <v>28.532453536987305</v>
      </c>
      <c r="E63" s="7">
        <f>VLOOKUP($A63,$A$2:E$51,E$55)</f>
        <v>27.094823837280273</v>
      </c>
      <c r="F63" s="7">
        <f>VLOOKUP($A63,$A$2:F$51,F$55)</f>
        <v>27.296783447265625</v>
      </c>
      <c r="G63" s="7">
        <f>VLOOKUP($A63,$A$2:G$51,G$55)</f>
        <v>28.152812957763672</v>
      </c>
      <c r="H63" s="7">
        <f>VLOOKUP($A63,$A$2:H$51,H$55)</f>
        <v>0</v>
      </c>
      <c r="I63" s="7">
        <f>VLOOKUP($A63,$A$2:I$51,I$55)</f>
        <v>0</v>
      </c>
      <c r="J63" s="7">
        <f>VLOOKUP($A63,$A$2:J$51,J$55)</f>
        <v>0</v>
      </c>
      <c r="K63" s="7">
        <f>VLOOKUP($A63,$A$2:K$51,K$55)</f>
        <v>0</v>
      </c>
      <c r="L63" s="7">
        <f>VLOOKUP($A63,$A$2:L$51,L$55)</f>
        <v>0</v>
      </c>
      <c r="M63" s="7">
        <f>VLOOKUP($A63,$A$2:M$51,M$55)</f>
        <v>0</v>
      </c>
      <c r="N63" s="7">
        <f>VLOOKUP($A63,$A$2:N$51,N$55)</f>
        <v>0</v>
      </c>
      <c r="O63" s="7">
        <f>VLOOKUP($A63,$A$2:O$51,O$55)</f>
        <v>0</v>
      </c>
      <c r="P63" s="7">
        <f>VLOOKUP($A63,$A$2:P$51,P$55)</f>
        <v>0</v>
      </c>
      <c r="Q63" s="7">
        <f>VLOOKUP($A63,$A$2:Q$51,Q$55)</f>
        <v>0</v>
      </c>
      <c r="R63" s="7">
        <f>VLOOKUP($A63,$A$2:R$51,R$55)</f>
        <v>0</v>
      </c>
      <c r="S63" s="7">
        <f>VLOOKUP($A63,$A$2:S$51,S$55)</f>
        <v>0</v>
      </c>
      <c r="T63" s="7">
        <f>VLOOKUP($A63,$A$2:T$51,T$55)</f>
        <v>0</v>
      </c>
      <c r="U63" s="7">
        <f>VLOOKUP($A63,$A$2:U$51,U$55)</f>
        <v>0</v>
      </c>
      <c r="V63" s="7">
        <f>VLOOKUP($A63,$A$2:V$51,V$55)</f>
        <v>0</v>
      </c>
      <c r="W63" s="7">
        <f>VLOOKUP($A63,$A$2:W$51,W$55)</f>
        <v>0</v>
      </c>
      <c r="X63" s="7">
        <f>VLOOKUP($A63,$A$2:X$51,X$55)</f>
        <v>0</v>
      </c>
      <c r="Y63" s="7">
        <f>VLOOKUP($A63,$A$2:Y$51,Y$55)</f>
        <v>0</v>
      </c>
      <c r="Z63" s="7">
        <f>VLOOKUP($A63,$A$2:Z$51,Z$55)</f>
        <v>0</v>
      </c>
      <c r="AA63" s="7">
        <f>VLOOKUP($A63,$A$2:AA$51,AA$55)</f>
        <v>0</v>
      </c>
      <c r="AB63" s="7">
        <f>VLOOKUP($A63,$A$2:AB$51,AB$55)</f>
        <v>0</v>
      </c>
      <c r="AC63" s="7">
        <f>VLOOKUP($A63,$A$2:AC$51,AC$55)</f>
        <v>0</v>
      </c>
      <c r="AD63" s="7">
        <f>VLOOKUP($A63,$A$2:AD$51,AD$55)</f>
        <v>0</v>
      </c>
      <c r="AE63" s="7">
        <f>VLOOKUP($A63,$A$2:AE$51,AE$55)</f>
        <v>0</v>
      </c>
      <c r="AF63" s="7">
        <f>VLOOKUP($A63,$A$2:AF$51,AF$55)</f>
        <v>0</v>
      </c>
      <c r="AG63" s="7">
        <f>VLOOKUP($A63,$A$2:AG$51,AG$55)</f>
        <v>0</v>
      </c>
    </row>
    <row r="64" spans="1:33" s="7" customFormat="1">
      <c r="A64" s="7">
        <f t="shared" si="17"/>
        <v>16</v>
      </c>
      <c r="B64" s="7">
        <f>VLOOKUP($A64,$A$2:B$51,B$55)</f>
        <v>22.28486442565918</v>
      </c>
      <c r="C64" s="7">
        <f>VLOOKUP($A64,$A$2:C$51,C$55)</f>
        <v>22.171566009521484</v>
      </c>
      <c r="D64" s="7">
        <f>VLOOKUP($A64,$A$2:D$51,D$55)</f>
        <v>22.283605575561523</v>
      </c>
      <c r="E64" s="7">
        <f>VLOOKUP($A64,$A$2:E$51,E$55)</f>
        <v>21.107461929321289</v>
      </c>
      <c r="F64" s="7">
        <f>VLOOKUP($A64,$A$2:F$51,F$55)</f>
        <v>21.285501480102539</v>
      </c>
      <c r="G64" s="7">
        <f>VLOOKUP($A64,$A$2:G$51,G$55)</f>
        <v>22.001977920532227</v>
      </c>
      <c r="H64" s="7">
        <f>VLOOKUP($A64,$A$2:H$51,H$55)</f>
        <v>0</v>
      </c>
      <c r="I64" s="7">
        <f>VLOOKUP($A64,$A$2:I$51,I$55)</f>
        <v>0</v>
      </c>
      <c r="J64" s="7">
        <f>VLOOKUP($A64,$A$2:J$51,J$55)</f>
        <v>0</v>
      </c>
      <c r="K64" s="7">
        <f>VLOOKUP($A64,$A$2:K$51,K$55)</f>
        <v>0</v>
      </c>
      <c r="L64" s="7">
        <f>VLOOKUP($A64,$A$2:L$51,L$55)</f>
        <v>0</v>
      </c>
      <c r="M64" s="7">
        <f>VLOOKUP($A64,$A$2:M$51,M$55)</f>
        <v>0</v>
      </c>
      <c r="N64" s="7">
        <f>VLOOKUP($A64,$A$2:N$51,N$55)</f>
        <v>0</v>
      </c>
      <c r="O64" s="7">
        <f>VLOOKUP($A64,$A$2:O$51,O$55)</f>
        <v>0</v>
      </c>
      <c r="P64" s="7">
        <f>VLOOKUP($A64,$A$2:P$51,P$55)</f>
        <v>0</v>
      </c>
      <c r="Q64" s="7">
        <f>VLOOKUP($A64,$A$2:Q$51,Q$55)</f>
        <v>0</v>
      </c>
      <c r="R64" s="7">
        <f>VLOOKUP($A64,$A$2:R$51,R$55)</f>
        <v>0</v>
      </c>
      <c r="S64" s="7">
        <f>VLOOKUP($A64,$A$2:S$51,S$55)</f>
        <v>0</v>
      </c>
      <c r="T64" s="7">
        <f>VLOOKUP($A64,$A$2:T$51,T$55)</f>
        <v>0</v>
      </c>
      <c r="U64" s="7">
        <f>VLOOKUP($A64,$A$2:U$51,U$55)</f>
        <v>0</v>
      </c>
      <c r="V64" s="7">
        <f>VLOOKUP($A64,$A$2:V$51,V$55)</f>
        <v>0</v>
      </c>
      <c r="W64" s="7">
        <f>VLOOKUP($A64,$A$2:W$51,W$55)</f>
        <v>0</v>
      </c>
      <c r="X64" s="7">
        <f>VLOOKUP($A64,$A$2:X$51,X$55)</f>
        <v>0</v>
      </c>
      <c r="Y64" s="7">
        <f>VLOOKUP($A64,$A$2:Y$51,Y$55)</f>
        <v>0</v>
      </c>
      <c r="Z64" s="7">
        <f>VLOOKUP($A64,$A$2:Z$51,Z$55)</f>
        <v>0</v>
      </c>
      <c r="AA64" s="7">
        <f>VLOOKUP($A64,$A$2:AA$51,AA$55)</f>
        <v>0</v>
      </c>
      <c r="AB64" s="7">
        <f>VLOOKUP($A64,$A$2:AB$51,AB$55)</f>
        <v>0</v>
      </c>
      <c r="AC64" s="7">
        <f>VLOOKUP($A64,$A$2:AC$51,AC$55)</f>
        <v>0</v>
      </c>
      <c r="AD64" s="7">
        <f>VLOOKUP($A64,$A$2:AD$51,AD$55)</f>
        <v>0</v>
      </c>
      <c r="AE64" s="7">
        <f>VLOOKUP($A64,$A$2:AE$51,AE$55)</f>
        <v>0</v>
      </c>
      <c r="AF64" s="7">
        <f>VLOOKUP($A64,$A$2:AF$51,AF$55)</f>
        <v>0</v>
      </c>
      <c r="AG64" s="7">
        <f>VLOOKUP($A64,$A$2:AG$51,AG$55)</f>
        <v>0</v>
      </c>
    </row>
    <row r="65" spans="1:33" s="7" customFormat="1">
      <c r="A65" s="7">
        <f t="shared" si="17"/>
        <v>18</v>
      </c>
      <c r="B65" s="7">
        <f>VLOOKUP($A65,$A$2:B$51,B$55)</f>
        <v>17.870548248291016</v>
      </c>
      <c r="C65" s="7">
        <f>VLOOKUP($A65,$A$2:C$51,C$55)</f>
        <v>17.547199249267578</v>
      </c>
      <c r="D65" s="7">
        <f>VLOOKUP($A65,$A$2:D$51,D$55)</f>
        <v>17.715349197387695</v>
      </c>
      <c r="E65" s="7">
        <f>VLOOKUP($A65,$A$2:E$51,E$55)</f>
        <v>16.909671783447266</v>
      </c>
      <c r="F65" s="7">
        <f>VLOOKUP($A65,$A$2:F$51,F$55)</f>
        <v>16.955890655517578</v>
      </c>
      <c r="G65" s="7">
        <f>VLOOKUP($A65,$A$2:G$51,G$55)</f>
        <v>17.560327529907227</v>
      </c>
      <c r="H65" s="7">
        <f>VLOOKUP($A65,$A$2:H$51,H$55)</f>
        <v>0</v>
      </c>
      <c r="I65" s="7">
        <f>VLOOKUP($A65,$A$2:I$51,I$55)</f>
        <v>0</v>
      </c>
      <c r="J65" s="7">
        <f>VLOOKUP($A65,$A$2:J$51,J$55)</f>
        <v>0</v>
      </c>
      <c r="K65" s="7">
        <f>VLOOKUP($A65,$A$2:K$51,K$55)</f>
        <v>0</v>
      </c>
      <c r="L65" s="7">
        <f>VLOOKUP($A65,$A$2:L$51,L$55)</f>
        <v>0</v>
      </c>
      <c r="M65" s="7">
        <f>VLOOKUP($A65,$A$2:M$51,M$55)</f>
        <v>0</v>
      </c>
      <c r="N65" s="7">
        <f>VLOOKUP($A65,$A$2:N$51,N$55)</f>
        <v>0</v>
      </c>
      <c r="O65" s="7">
        <f>VLOOKUP($A65,$A$2:O$51,O$55)</f>
        <v>0</v>
      </c>
      <c r="P65" s="7">
        <f>VLOOKUP($A65,$A$2:P$51,P$55)</f>
        <v>0</v>
      </c>
      <c r="Q65" s="7">
        <f>VLOOKUP($A65,$A$2:Q$51,Q$55)</f>
        <v>0</v>
      </c>
      <c r="R65" s="7">
        <f>VLOOKUP($A65,$A$2:R$51,R$55)</f>
        <v>0</v>
      </c>
      <c r="S65" s="7">
        <f>VLOOKUP($A65,$A$2:S$51,S$55)</f>
        <v>0</v>
      </c>
      <c r="T65" s="7">
        <f>VLOOKUP($A65,$A$2:T$51,T$55)</f>
        <v>0</v>
      </c>
      <c r="U65" s="7">
        <f>VLOOKUP($A65,$A$2:U$51,U$55)</f>
        <v>0</v>
      </c>
      <c r="V65" s="7">
        <f>VLOOKUP($A65,$A$2:V$51,V$55)</f>
        <v>0</v>
      </c>
      <c r="W65" s="7">
        <f>VLOOKUP($A65,$A$2:W$51,W$55)</f>
        <v>0</v>
      </c>
      <c r="X65" s="7">
        <f>VLOOKUP($A65,$A$2:X$51,X$55)</f>
        <v>0</v>
      </c>
      <c r="Y65" s="7">
        <f>VLOOKUP($A65,$A$2:Y$51,Y$55)</f>
        <v>0</v>
      </c>
      <c r="Z65" s="7">
        <f>VLOOKUP($A65,$A$2:Z$51,Z$55)</f>
        <v>0</v>
      </c>
      <c r="AA65" s="7">
        <f>VLOOKUP($A65,$A$2:AA$51,AA$55)</f>
        <v>0</v>
      </c>
      <c r="AB65" s="7">
        <f>VLOOKUP($A65,$A$2:AB$51,AB$55)</f>
        <v>0</v>
      </c>
      <c r="AC65" s="7">
        <f>VLOOKUP($A65,$A$2:AC$51,AC$55)</f>
        <v>0</v>
      </c>
      <c r="AD65" s="7">
        <f>VLOOKUP($A65,$A$2:AD$51,AD$55)</f>
        <v>0</v>
      </c>
      <c r="AE65" s="7">
        <f>VLOOKUP($A65,$A$2:AE$51,AE$55)</f>
        <v>0</v>
      </c>
      <c r="AF65" s="7">
        <f>VLOOKUP($A65,$A$2:AF$51,AF$55)</f>
        <v>0</v>
      </c>
      <c r="AG65" s="7">
        <f>VLOOKUP($A65,$A$2:AG$51,AG$55)</f>
        <v>0</v>
      </c>
    </row>
    <row r="66" spans="1:33" s="7" customFormat="1">
      <c r="A66" s="7">
        <f t="shared" si="17"/>
        <v>20</v>
      </c>
      <c r="B66" s="7">
        <f>VLOOKUP($A66,$A$2:B$51,B$55)</f>
        <v>14.876777648925781</v>
      </c>
      <c r="C66" s="7">
        <f>VLOOKUP($A66,$A$2:C$51,C$55)</f>
        <v>14.637413024902344</v>
      </c>
      <c r="D66" s="7">
        <f>VLOOKUP($A66,$A$2:D$51,D$55)</f>
        <v>14.951231002807617</v>
      </c>
      <c r="E66" s="7">
        <f>VLOOKUP($A66,$A$2:E$51,E$55)</f>
        <v>13.930647850036621</v>
      </c>
      <c r="F66" s="7">
        <f>VLOOKUP($A66,$A$2:F$51,F$55)</f>
        <v>14.155086517333984</v>
      </c>
      <c r="G66" s="7">
        <f>VLOOKUP($A66,$A$2:G$51,G$55)</f>
        <v>14.633096694946289</v>
      </c>
      <c r="H66" s="7">
        <f>VLOOKUP($A66,$A$2:H$51,H$55)</f>
        <v>0</v>
      </c>
      <c r="I66" s="7">
        <f>VLOOKUP($A66,$A$2:I$51,I$55)</f>
        <v>0</v>
      </c>
      <c r="J66" s="7">
        <f>VLOOKUP($A66,$A$2:J$51,J$55)</f>
        <v>0</v>
      </c>
      <c r="K66" s="7">
        <f>VLOOKUP($A66,$A$2:K$51,K$55)</f>
        <v>0</v>
      </c>
      <c r="L66" s="7">
        <f>VLOOKUP($A66,$A$2:L$51,L$55)</f>
        <v>0</v>
      </c>
      <c r="M66" s="7">
        <f>VLOOKUP($A66,$A$2:M$51,M$55)</f>
        <v>0</v>
      </c>
      <c r="N66" s="7">
        <f>VLOOKUP($A66,$A$2:N$51,N$55)</f>
        <v>0</v>
      </c>
      <c r="O66" s="7">
        <f>VLOOKUP($A66,$A$2:O$51,O$55)</f>
        <v>0</v>
      </c>
      <c r="P66" s="7">
        <f>VLOOKUP($A66,$A$2:P$51,P$55)</f>
        <v>0</v>
      </c>
      <c r="Q66" s="7">
        <f>VLOOKUP($A66,$A$2:Q$51,Q$55)</f>
        <v>0</v>
      </c>
      <c r="R66" s="7">
        <f>VLOOKUP($A66,$A$2:R$51,R$55)</f>
        <v>0</v>
      </c>
      <c r="S66" s="7">
        <f>VLOOKUP($A66,$A$2:S$51,S$55)</f>
        <v>0</v>
      </c>
      <c r="T66" s="7">
        <f>VLOOKUP($A66,$A$2:T$51,T$55)</f>
        <v>0</v>
      </c>
      <c r="U66" s="7">
        <f>VLOOKUP($A66,$A$2:U$51,U$55)</f>
        <v>0</v>
      </c>
      <c r="V66" s="7">
        <f>VLOOKUP($A66,$A$2:V$51,V$55)</f>
        <v>0</v>
      </c>
      <c r="W66" s="7">
        <f>VLOOKUP($A66,$A$2:W$51,W$55)</f>
        <v>0</v>
      </c>
      <c r="X66" s="7">
        <f>VLOOKUP($A66,$A$2:X$51,X$55)</f>
        <v>0</v>
      </c>
      <c r="Y66" s="7">
        <f>VLOOKUP($A66,$A$2:Y$51,Y$55)</f>
        <v>0</v>
      </c>
      <c r="Z66" s="7">
        <f>VLOOKUP($A66,$A$2:Z$51,Z$55)</f>
        <v>0</v>
      </c>
      <c r="AA66" s="7">
        <f>VLOOKUP($A66,$A$2:AA$51,AA$55)</f>
        <v>0</v>
      </c>
      <c r="AB66" s="7">
        <f>VLOOKUP($A66,$A$2:AB$51,AB$55)</f>
        <v>0</v>
      </c>
      <c r="AC66" s="7">
        <f>VLOOKUP($A66,$A$2:AC$51,AC$55)</f>
        <v>0</v>
      </c>
      <c r="AD66" s="7">
        <f>VLOOKUP($A66,$A$2:AD$51,AD$55)</f>
        <v>0</v>
      </c>
      <c r="AE66" s="7">
        <f>VLOOKUP($A66,$A$2:AE$51,AE$55)</f>
        <v>0</v>
      </c>
      <c r="AF66" s="7">
        <f>VLOOKUP($A66,$A$2:AF$51,AF$55)</f>
        <v>0</v>
      </c>
      <c r="AG66" s="7">
        <f>VLOOKUP($A66,$A$2:AG$51,AG$55)</f>
        <v>0</v>
      </c>
    </row>
    <row r="67" spans="1:33" s="7" customFormat="1">
      <c r="A67" s="7">
        <f t="shared" si="17"/>
        <v>22</v>
      </c>
      <c r="B67" s="7">
        <f>VLOOKUP($A67,$A$2:B$51,B$55)</f>
        <v>13.659991264343262</v>
      </c>
      <c r="C67" s="7">
        <f>VLOOKUP($A67,$A$2:C$51,C$55)</f>
        <v>13.492201805114746</v>
      </c>
      <c r="D67" s="7">
        <f>VLOOKUP($A67,$A$2:D$51,D$55)</f>
        <v>13.807278633117676</v>
      </c>
      <c r="E67" s="7">
        <f>VLOOKUP($A67,$A$2:E$51,E$55)</f>
        <v>12.831295013427734</v>
      </c>
      <c r="F67" s="7">
        <f>VLOOKUP($A67,$A$2:F$51,F$55)</f>
        <v>13.016169548034668</v>
      </c>
      <c r="G67" s="7">
        <f>VLOOKUP($A67,$A$2:G$51,G$55)</f>
        <v>13.460370063781738</v>
      </c>
      <c r="H67" s="7">
        <f>VLOOKUP($A67,$A$2:H$51,H$55)</f>
        <v>0</v>
      </c>
      <c r="I67" s="7">
        <f>VLOOKUP($A67,$A$2:I$51,I$55)</f>
        <v>0</v>
      </c>
      <c r="J67" s="7">
        <f>VLOOKUP($A67,$A$2:J$51,J$55)</f>
        <v>0</v>
      </c>
      <c r="K67" s="7">
        <f>VLOOKUP($A67,$A$2:K$51,K$55)</f>
        <v>0</v>
      </c>
      <c r="L67" s="7">
        <f>VLOOKUP($A67,$A$2:L$51,L$55)</f>
        <v>0</v>
      </c>
      <c r="M67" s="7">
        <f>VLOOKUP($A67,$A$2:M$51,M$55)</f>
        <v>0</v>
      </c>
      <c r="N67" s="7">
        <f>VLOOKUP($A67,$A$2:N$51,N$55)</f>
        <v>0</v>
      </c>
      <c r="O67" s="7">
        <f>VLOOKUP($A67,$A$2:O$51,O$55)</f>
        <v>0</v>
      </c>
      <c r="P67" s="7">
        <f>VLOOKUP($A67,$A$2:P$51,P$55)</f>
        <v>0</v>
      </c>
      <c r="Q67" s="7">
        <f>VLOOKUP($A67,$A$2:Q$51,Q$55)</f>
        <v>0</v>
      </c>
      <c r="R67" s="7">
        <f>VLOOKUP($A67,$A$2:R$51,R$55)</f>
        <v>0</v>
      </c>
      <c r="S67" s="7">
        <f>VLOOKUP($A67,$A$2:S$51,S$55)</f>
        <v>0</v>
      </c>
      <c r="T67" s="7">
        <f>VLOOKUP($A67,$A$2:T$51,T$55)</f>
        <v>0</v>
      </c>
      <c r="U67" s="7">
        <f>VLOOKUP($A67,$A$2:U$51,U$55)</f>
        <v>0</v>
      </c>
      <c r="V67" s="7">
        <f>VLOOKUP($A67,$A$2:V$51,V$55)</f>
        <v>0</v>
      </c>
      <c r="W67" s="7">
        <f>VLOOKUP($A67,$A$2:W$51,W$55)</f>
        <v>0</v>
      </c>
      <c r="X67" s="7">
        <f>VLOOKUP($A67,$A$2:X$51,X$55)</f>
        <v>0</v>
      </c>
      <c r="Y67" s="7">
        <f>VLOOKUP($A67,$A$2:Y$51,Y$55)</f>
        <v>0</v>
      </c>
      <c r="Z67" s="7">
        <f>VLOOKUP($A67,$A$2:Z$51,Z$55)</f>
        <v>0</v>
      </c>
      <c r="AA67" s="7">
        <f>VLOOKUP($A67,$A$2:AA$51,AA$55)</f>
        <v>0</v>
      </c>
      <c r="AB67" s="7">
        <f>VLOOKUP($A67,$A$2:AB$51,AB$55)</f>
        <v>0</v>
      </c>
      <c r="AC67" s="7">
        <f>VLOOKUP($A67,$A$2:AC$51,AC$55)</f>
        <v>0</v>
      </c>
      <c r="AD67" s="7">
        <f>VLOOKUP($A67,$A$2:AD$51,AD$55)</f>
        <v>0</v>
      </c>
      <c r="AE67" s="7">
        <f>VLOOKUP($A67,$A$2:AE$51,AE$55)</f>
        <v>0</v>
      </c>
      <c r="AF67" s="7">
        <f>VLOOKUP($A67,$A$2:AF$51,AF$55)</f>
        <v>0</v>
      </c>
      <c r="AG67" s="7">
        <f>VLOOKUP($A67,$A$2:AG$51,AG$55)</f>
        <v>0</v>
      </c>
    </row>
    <row r="68" spans="1:33" s="7" customFormat="1">
      <c r="A68" s="7">
        <f t="shared" si="17"/>
        <v>24</v>
      </c>
      <c r="B68" s="7">
        <f>VLOOKUP($A68,$A$2:B$51,B$55)</f>
        <v>11.151424407958984</v>
      </c>
      <c r="C68" s="7">
        <f>VLOOKUP($A68,$A$2:C$51,C$55)</f>
        <v>10.988490104675293</v>
      </c>
      <c r="D68" s="7">
        <f>VLOOKUP($A68,$A$2:D$51,D$55)</f>
        <v>11.257888793945313</v>
      </c>
      <c r="E68" s="7">
        <f>VLOOKUP($A68,$A$2:E$51,E$55)</f>
        <v>10.430631637573242</v>
      </c>
      <c r="F68" s="7">
        <f>VLOOKUP($A68,$A$2:F$51,F$55)</f>
        <v>10.603635787963867</v>
      </c>
      <c r="G68" s="7">
        <f>VLOOKUP($A68,$A$2:G$51,G$55)</f>
        <v>10.962233543395996</v>
      </c>
      <c r="H68" s="7">
        <f>VLOOKUP($A68,$A$2:H$51,H$55)</f>
        <v>0</v>
      </c>
      <c r="I68" s="7">
        <f>VLOOKUP($A68,$A$2:I$51,I$55)</f>
        <v>0</v>
      </c>
      <c r="J68" s="7">
        <f>VLOOKUP($A68,$A$2:J$51,J$55)</f>
        <v>0</v>
      </c>
      <c r="K68" s="7">
        <f>VLOOKUP($A68,$A$2:K$51,K$55)</f>
        <v>0</v>
      </c>
      <c r="L68" s="7">
        <f>VLOOKUP($A68,$A$2:L$51,L$55)</f>
        <v>0</v>
      </c>
      <c r="M68" s="7">
        <f>VLOOKUP($A68,$A$2:M$51,M$55)</f>
        <v>0</v>
      </c>
      <c r="N68" s="7">
        <f>VLOOKUP($A68,$A$2:N$51,N$55)</f>
        <v>0</v>
      </c>
      <c r="O68" s="7">
        <f>VLOOKUP($A68,$A$2:O$51,O$55)</f>
        <v>0</v>
      </c>
      <c r="P68" s="7">
        <f>VLOOKUP($A68,$A$2:P$51,P$55)</f>
        <v>0</v>
      </c>
      <c r="Q68" s="7">
        <f>VLOOKUP($A68,$A$2:Q$51,Q$55)</f>
        <v>0</v>
      </c>
      <c r="R68" s="7">
        <f>VLOOKUP($A68,$A$2:R$51,R$55)</f>
        <v>0</v>
      </c>
      <c r="S68" s="7">
        <f>VLOOKUP($A68,$A$2:S$51,S$55)</f>
        <v>0</v>
      </c>
      <c r="T68" s="7">
        <f>VLOOKUP($A68,$A$2:T$51,T$55)</f>
        <v>0</v>
      </c>
      <c r="U68" s="7">
        <f>VLOOKUP($A68,$A$2:U$51,U$55)</f>
        <v>0</v>
      </c>
      <c r="V68" s="7">
        <f>VLOOKUP($A68,$A$2:V$51,V$55)</f>
        <v>0</v>
      </c>
      <c r="W68" s="7">
        <f>VLOOKUP($A68,$A$2:W$51,W$55)</f>
        <v>0</v>
      </c>
      <c r="X68" s="7">
        <f>VLOOKUP($A68,$A$2:X$51,X$55)</f>
        <v>0</v>
      </c>
      <c r="Y68" s="7">
        <f>VLOOKUP($A68,$A$2:Y$51,Y$55)</f>
        <v>0</v>
      </c>
      <c r="Z68" s="7">
        <f>VLOOKUP($A68,$A$2:Z$51,Z$55)</f>
        <v>0</v>
      </c>
      <c r="AA68" s="7">
        <f>VLOOKUP($A68,$A$2:AA$51,AA$55)</f>
        <v>0</v>
      </c>
      <c r="AB68" s="7">
        <f>VLOOKUP($A68,$A$2:AB$51,AB$55)</f>
        <v>0</v>
      </c>
      <c r="AC68" s="7">
        <f>VLOOKUP($A68,$A$2:AC$51,AC$55)</f>
        <v>0</v>
      </c>
      <c r="AD68" s="7">
        <f>VLOOKUP($A68,$A$2:AD$51,AD$55)</f>
        <v>0</v>
      </c>
      <c r="AE68" s="7">
        <f>VLOOKUP($A68,$A$2:AE$51,AE$55)</f>
        <v>0</v>
      </c>
      <c r="AF68" s="7">
        <f>VLOOKUP($A68,$A$2:AF$51,AF$55)</f>
        <v>0</v>
      </c>
      <c r="AG68" s="7">
        <f>VLOOKUP($A68,$A$2:AG$51,AG$55)</f>
        <v>0</v>
      </c>
    </row>
    <row r="69" spans="1:33" s="7" customFormat="1">
      <c r="A69" s="7">
        <f t="shared" si="17"/>
        <v>26</v>
      </c>
      <c r="B69" s="7">
        <f>VLOOKUP($A69,$A$2:B$51,B$55)</f>
        <v>8.4234542846679687</v>
      </c>
      <c r="C69" s="7">
        <f>VLOOKUP($A69,$A$2:C$51,C$55)</f>
        <v>8.2865972518920898</v>
      </c>
      <c r="D69" s="7">
        <f>VLOOKUP($A69,$A$2:D$51,D$55)</f>
        <v>8.5439462661743164</v>
      </c>
      <c r="E69" s="7">
        <f>VLOOKUP($A69,$A$2:E$51,E$55)</f>
        <v>7.8877153396606445</v>
      </c>
      <c r="F69" s="7">
        <f>VLOOKUP($A69,$A$2:F$51,F$55)</f>
        <v>8.0130624771118164</v>
      </c>
      <c r="G69" s="7">
        <f>VLOOKUP($A69,$A$2:G$51,G$55)</f>
        <v>8.2851581573486328</v>
      </c>
      <c r="H69" s="7">
        <f>VLOOKUP($A69,$A$2:H$51,H$55)</f>
        <v>0</v>
      </c>
      <c r="I69" s="7">
        <f>VLOOKUP($A69,$A$2:I$51,I$55)</f>
        <v>0</v>
      </c>
      <c r="J69" s="7">
        <f>VLOOKUP($A69,$A$2:J$51,J$55)</f>
        <v>0</v>
      </c>
      <c r="K69" s="7">
        <f>VLOOKUP($A69,$A$2:K$51,K$55)</f>
        <v>0</v>
      </c>
      <c r="L69" s="7">
        <f>VLOOKUP($A69,$A$2:L$51,L$55)</f>
        <v>0</v>
      </c>
      <c r="M69" s="7">
        <f>VLOOKUP($A69,$A$2:M$51,M$55)</f>
        <v>0</v>
      </c>
      <c r="N69" s="7">
        <f>VLOOKUP($A69,$A$2:N$51,N$55)</f>
        <v>0</v>
      </c>
      <c r="O69" s="7">
        <f>VLOOKUP($A69,$A$2:O$51,O$55)</f>
        <v>0</v>
      </c>
      <c r="P69" s="7">
        <f>VLOOKUP($A69,$A$2:P$51,P$55)</f>
        <v>0</v>
      </c>
      <c r="Q69" s="7">
        <f>VLOOKUP($A69,$A$2:Q$51,Q$55)</f>
        <v>0</v>
      </c>
      <c r="R69" s="7">
        <f>VLOOKUP($A69,$A$2:R$51,R$55)</f>
        <v>0</v>
      </c>
      <c r="S69" s="7">
        <f>VLOOKUP($A69,$A$2:S$51,S$55)</f>
        <v>0</v>
      </c>
      <c r="T69" s="7">
        <f>VLOOKUP($A69,$A$2:T$51,T$55)</f>
        <v>0</v>
      </c>
      <c r="U69" s="7">
        <f>VLOOKUP($A69,$A$2:U$51,U$55)</f>
        <v>0</v>
      </c>
      <c r="V69" s="7">
        <f>VLOOKUP($A69,$A$2:V$51,V$55)</f>
        <v>0</v>
      </c>
      <c r="W69" s="7">
        <f>VLOOKUP($A69,$A$2:W$51,W$55)</f>
        <v>0</v>
      </c>
      <c r="X69" s="7">
        <f>VLOOKUP($A69,$A$2:X$51,X$55)</f>
        <v>0</v>
      </c>
      <c r="Y69" s="7">
        <f>VLOOKUP($A69,$A$2:Y$51,Y$55)</f>
        <v>0</v>
      </c>
      <c r="Z69" s="7">
        <f>VLOOKUP($A69,$A$2:Z$51,Z$55)</f>
        <v>0</v>
      </c>
      <c r="AA69" s="7">
        <f>VLOOKUP($A69,$A$2:AA$51,AA$55)</f>
        <v>0</v>
      </c>
      <c r="AB69" s="7">
        <f>VLOOKUP($A69,$A$2:AB$51,AB$55)</f>
        <v>0</v>
      </c>
      <c r="AC69" s="7">
        <f>VLOOKUP($A69,$A$2:AC$51,AC$55)</f>
        <v>0</v>
      </c>
      <c r="AD69" s="7">
        <f>VLOOKUP($A69,$A$2:AD$51,AD$55)</f>
        <v>0</v>
      </c>
      <c r="AE69" s="7">
        <f>VLOOKUP($A69,$A$2:AE$51,AE$55)</f>
        <v>0</v>
      </c>
      <c r="AF69" s="7">
        <f>VLOOKUP($A69,$A$2:AF$51,AF$55)</f>
        <v>0</v>
      </c>
      <c r="AG69" s="7">
        <f>VLOOKUP($A69,$A$2:AG$51,AG$55)</f>
        <v>0</v>
      </c>
    </row>
    <row r="70" spans="1:33" s="7" customFormat="1">
      <c r="A70" s="7">
        <f t="shared" si="17"/>
        <v>28</v>
      </c>
      <c r="B70" s="7">
        <f>VLOOKUP($A70,$A$2:B$51,B$55)</f>
        <v>6.7255992889404297</v>
      </c>
      <c r="C70" s="7">
        <f>VLOOKUP($A70,$A$2:C$51,C$55)</f>
        <v>6.6223716735839844</v>
      </c>
      <c r="D70" s="7">
        <f>VLOOKUP($A70,$A$2:D$51,D$55)</f>
        <v>6.8103032112121582</v>
      </c>
      <c r="E70" s="7">
        <f>VLOOKUP($A70,$A$2:E$51,E$55)</f>
        <v>6.3047771453857422</v>
      </c>
      <c r="F70" s="7">
        <f>VLOOKUP($A70,$A$2:F$51,F$55)</f>
        <v>6.3986530303955078</v>
      </c>
      <c r="G70" s="7">
        <f>VLOOKUP($A70,$A$2:G$51,G$55)</f>
        <v>6.6256089210510254</v>
      </c>
      <c r="H70" s="7">
        <f>VLOOKUP($A70,$A$2:H$51,H$55)</f>
        <v>0</v>
      </c>
      <c r="I70" s="7">
        <f>VLOOKUP($A70,$A$2:I$51,I$55)</f>
        <v>0</v>
      </c>
      <c r="J70" s="7">
        <f>VLOOKUP($A70,$A$2:J$51,J$55)</f>
        <v>0</v>
      </c>
      <c r="K70" s="7">
        <f>VLOOKUP($A70,$A$2:K$51,K$55)</f>
        <v>0</v>
      </c>
      <c r="L70" s="7">
        <f>VLOOKUP($A70,$A$2:L$51,L$55)</f>
        <v>0</v>
      </c>
      <c r="M70" s="7">
        <f>VLOOKUP($A70,$A$2:M$51,M$55)</f>
        <v>0</v>
      </c>
      <c r="N70" s="7">
        <f>VLOOKUP($A70,$A$2:N$51,N$55)</f>
        <v>0</v>
      </c>
      <c r="O70" s="7">
        <f>VLOOKUP($A70,$A$2:O$51,O$55)</f>
        <v>0</v>
      </c>
      <c r="P70" s="7">
        <f>VLOOKUP($A70,$A$2:P$51,P$55)</f>
        <v>0</v>
      </c>
      <c r="Q70" s="7">
        <f>VLOOKUP($A70,$A$2:Q$51,Q$55)</f>
        <v>0</v>
      </c>
      <c r="R70" s="7">
        <f>VLOOKUP($A70,$A$2:R$51,R$55)</f>
        <v>0</v>
      </c>
      <c r="S70" s="7">
        <f>VLOOKUP($A70,$A$2:S$51,S$55)</f>
        <v>0</v>
      </c>
      <c r="T70" s="7">
        <f>VLOOKUP($A70,$A$2:T$51,T$55)</f>
        <v>0</v>
      </c>
      <c r="U70" s="7">
        <f>VLOOKUP($A70,$A$2:U$51,U$55)</f>
        <v>0</v>
      </c>
      <c r="V70" s="7">
        <f>VLOOKUP($A70,$A$2:V$51,V$55)</f>
        <v>0</v>
      </c>
      <c r="W70" s="7">
        <f>VLOOKUP($A70,$A$2:W$51,W$55)</f>
        <v>0</v>
      </c>
      <c r="X70" s="7">
        <f>VLOOKUP($A70,$A$2:X$51,X$55)</f>
        <v>0</v>
      </c>
      <c r="Y70" s="7">
        <f>VLOOKUP($A70,$A$2:Y$51,Y$55)</f>
        <v>0</v>
      </c>
      <c r="Z70" s="7">
        <f>VLOOKUP($A70,$A$2:Z$51,Z$55)</f>
        <v>0</v>
      </c>
      <c r="AA70" s="7">
        <f>VLOOKUP($A70,$A$2:AA$51,AA$55)</f>
        <v>0</v>
      </c>
      <c r="AB70" s="7">
        <f>VLOOKUP($A70,$A$2:AB$51,AB$55)</f>
        <v>0</v>
      </c>
      <c r="AC70" s="7">
        <f>VLOOKUP($A70,$A$2:AC$51,AC$55)</f>
        <v>0</v>
      </c>
      <c r="AD70" s="7">
        <f>VLOOKUP($A70,$A$2:AD$51,AD$55)</f>
        <v>0</v>
      </c>
      <c r="AE70" s="7">
        <f>VLOOKUP($A70,$A$2:AE$51,AE$55)</f>
        <v>0</v>
      </c>
      <c r="AF70" s="7">
        <f>VLOOKUP($A70,$A$2:AF$51,AF$55)</f>
        <v>0</v>
      </c>
      <c r="AG70" s="7">
        <f>VLOOKUP($A70,$A$2:AG$51,AG$55)</f>
        <v>0</v>
      </c>
    </row>
    <row r="71" spans="1:33" s="7" customFormat="1">
      <c r="A71" s="7">
        <f t="shared" si="17"/>
        <v>30</v>
      </c>
      <c r="B71" s="7">
        <f>VLOOKUP($A71,$A$2:B$51,B$55)</f>
        <v>5.6397342681884766</v>
      </c>
      <c r="C71" s="7">
        <f>VLOOKUP($A71,$A$2:C$51,C$55)</f>
        <v>5.5892000198364258</v>
      </c>
      <c r="D71" s="7">
        <f>VLOOKUP($A71,$A$2:D$51,D$55)</f>
        <v>5.8397150039672852</v>
      </c>
      <c r="E71" s="7">
        <f>VLOOKUP($A71,$A$2:E$51,E$55)</f>
        <v>5.2895889282226562</v>
      </c>
      <c r="F71" s="7">
        <f>VLOOKUP($A71,$A$2:F$51,F$55)</f>
        <v>5.3780694007873535</v>
      </c>
      <c r="G71" s="7">
        <f>VLOOKUP($A71,$A$2:G$51,G$55)</f>
        <v>5.5710363388061523</v>
      </c>
      <c r="H71" s="7">
        <f>VLOOKUP($A71,$A$2:H$51,H$55)</f>
        <v>0</v>
      </c>
      <c r="I71" s="7">
        <f>VLOOKUP($A71,$A$2:I$51,I$55)</f>
        <v>0</v>
      </c>
      <c r="J71" s="7">
        <f>VLOOKUP($A71,$A$2:J$51,J$55)</f>
        <v>0</v>
      </c>
      <c r="K71" s="7">
        <f>VLOOKUP($A71,$A$2:K$51,K$55)</f>
        <v>0</v>
      </c>
      <c r="L71" s="7">
        <f>VLOOKUP($A71,$A$2:L$51,L$55)</f>
        <v>0</v>
      </c>
      <c r="M71" s="7">
        <f>VLOOKUP($A71,$A$2:M$51,M$55)</f>
        <v>0</v>
      </c>
      <c r="N71" s="7">
        <f>VLOOKUP($A71,$A$2:N$51,N$55)</f>
        <v>0</v>
      </c>
      <c r="O71" s="7">
        <f>VLOOKUP($A71,$A$2:O$51,O$55)</f>
        <v>0</v>
      </c>
      <c r="P71" s="7">
        <f>VLOOKUP($A71,$A$2:P$51,P$55)</f>
        <v>0</v>
      </c>
      <c r="Q71" s="7">
        <f>VLOOKUP($A71,$A$2:Q$51,Q$55)</f>
        <v>0</v>
      </c>
      <c r="R71" s="7">
        <f>VLOOKUP($A71,$A$2:R$51,R$55)</f>
        <v>0</v>
      </c>
      <c r="S71" s="7">
        <f>VLOOKUP($A71,$A$2:S$51,S$55)</f>
        <v>0</v>
      </c>
      <c r="T71" s="7">
        <f>VLOOKUP($A71,$A$2:T$51,T$55)</f>
        <v>0</v>
      </c>
      <c r="U71" s="7">
        <f>VLOOKUP($A71,$A$2:U$51,U$55)</f>
        <v>0</v>
      </c>
      <c r="V71" s="7">
        <f>VLOOKUP($A71,$A$2:V$51,V$55)</f>
        <v>0</v>
      </c>
      <c r="W71" s="7">
        <f>VLOOKUP($A71,$A$2:W$51,W$55)</f>
        <v>0</v>
      </c>
      <c r="X71" s="7">
        <f>VLOOKUP($A71,$A$2:X$51,X$55)</f>
        <v>0</v>
      </c>
      <c r="Y71" s="7">
        <f>VLOOKUP($A71,$A$2:Y$51,Y$55)</f>
        <v>0</v>
      </c>
      <c r="Z71" s="7">
        <f>VLOOKUP($A71,$A$2:Z$51,Z$55)</f>
        <v>0</v>
      </c>
      <c r="AA71" s="7">
        <f>VLOOKUP($A71,$A$2:AA$51,AA$55)</f>
        <v>0</v>
      </c>
      <c r="AB71" s="7">
        <f>VLOOKUP($A71,$A$2:AB$51,AB$55)</f>
        <v>0</v>
      </c>
      <c r="AC71" s="7">
        <f>VLOOKUP($A71,$A$2:AC$51,AC$55)</f>
        <v>0</v>
      </c>
      <c r="AD71" s="7">
        <f>VLOOKUP($A71,$A$2:AD$51,AD$55)</f>
        <v>0</v>
      </c>
      <c r="AE71" s="7">
        <f>VLOOKUP($A71,$A$2:AE$51,AE$55)</f>
        <v>0</v>
      </c>
      <c r="AF71" s="7">
        <f>VLOOKUP($A71,$A$2:AF$51,AF$55)</f>
        <v>0</v>
      </c>
      <c r="AG71" s="7">
        <f>VLOOKUP($A71,$A$2:AG$51,AG$55)</f>
        <v>0</v>
      </c>
    </row>
    <row r="72" spans="1:33" s="7" customFormat="1">
      <c r="A72" s="7">
        <f t="shared" si="17"/>
        <v>32</v>
      </c>
      <c r="B72" s="7">
        <f>VLOOKUP($A72,$A$2:B$51,B$55)</f>
        <v>4.223146915435791</v>
      </c>
      <c r="C72" s="7">
        <f>VLOOKUP($A72,$A$2:C$51,C$55)</f>
        <v>4.1772880554199219</v>
      </c>
      <c r="D72" s="7">
        <f>VLOOKUP($A72,$A$2:D$51,D$55)</f>
        <v>4.3634209632873535</v>
      </c>
      <c r="E72" s="7">
        <f>VLOOKUP($A72,$A$2:E$51,E$55)</f>
        <v>3.9548277854919434</v>
      </c>
      <c r="F72" s="7">
        <f>VLOOKUP($A72,$A$2:F$51,F$55)</f>
        <v>4.0235261917114258</v>
      </c>
      <c r="G72" s="7">
        <f>VLOOKUP($A72,$A$2:G$51,G$55)</f>
        <v>4.1607427597045898</v>
      </c>
      <c r="H72" s="7">
        <f>VLOOKUP($A72,$A$2:H$51,H$55)</f>
        <v>0</v>
      </c>
      <c r="I72" s="7">
        <f>VLOOKUP($A72,$A$2:I$51,I$55)</f>
        <v>0</v>
      </c>
      <c r="J72" s="7">
        <f>VLOOKUP($A72,$A$2:J$51,J$55)</f>
        <v>0</v>
      </c>
      <c r="K72" s="7">
        <f>VLOOKUP($A72,$A$2:K$51,K$55)</f>
        <v>0</v>
      </c>
      <c r="L72" s="7">
        <f>VLOOKUP($A72,$A$2:L$51,L$55)</f>
        <v>0</v>
      </c>
      <c r="M72" s="7">
        <f>VLOOKUP($A72,$A$2:M$51,M$55)</f>
        <v>0</v>
      </c>
      <c r="N72" s="7">
        <f>VLOOKUP($A72,$A$2:N$51,N$55)</f>
        <v>0</v>
      </c>
      <c r="O72" s="7">
        <f>VLOOKUP($A72,$A$2:O$51,O$55)</f>
        <v>0</v>
      </c>
      <c r="P72" s="7">
        <f>VLOOKUP($A72,$A$2:P$51,P$55)</f>
        <v>0</v>
      </c>
      <c r="Q72" s="7">
        <f>VLOOKUP($A72,$A$2:Q$51,Q$55)</f>
        <v>0</v>
      </c>
      <c r="R72" s="7">
        <f>VLOOKUP($A72,$A$2:R$51,R$55)</f>
        <v>0</v>
      </c>
      <c r="S72" s="7">
        <f>VLOOKUP($A72,$A$2:S$51,S$55)</f>
        <v>0</v>
      </c>
      <c r="T72" s="7">
        <f>VLOOKUP($A72,$A$2:T$51,T$55)</f>
        <v>0</v>
      </c>
      <c r="U72" s="7">
        <f>VLOOKUP($A72,$A$2:U$51,U$55)</f>
        <v>0</v>
      </c>
      <c r="V72" s="7">
        <f>VLOOKUP($A72,$A$2:V$51,V$55)</f>
        <v>0</v>
      </c>
      <c r="W72" s="7">
        <f>VLOOKUP($A72,$A$2:W$51,W$55)</f>
        <v>0</v>
      </c>
      <c r="X72" s="7">
        <f>VLOOKUP($A72,$A$2:X$51,X$55)</f>
        <v>0</v>
      </c>
      <c r="Y72" s="7">
        <f>VLOOKUP($A72,$A$2:Y$51,Y$55)</f>
        <v>0</v>
      </c>
      <c r="Z72" s="7">
        <f>VLOOKUP($A72,$A$2:Z$51,Z$55)</f>
        <v>0</v>
      </c>
      <c r="AA72" s="7">
        <f>VLOOKUP($A72,$A$2:AA$51,AA$55)</f>
        <v>0</v>
      </c>
      <c r="AB72" s="7">
        <f>VLOOKUP($A72,$A$2:AB$51,AB$55)</f>
        <v>0</v>
      </c>
      <c r="AC72" s="7">
        <f>VLOOKUP($A72,$A$2:AC$51,AC$55)</f>
        <v>0</v>
      </c>
      <c r="AD72" s="7">
        <f>VLOOKUP($A72,$A$2:AD$51,AD$55)</f>
        <v>0</v>
      </c>
      <c r="AE72" s="7">
        <f>VLOOKUP($A72,$A$2:AE$51,AE$55)</f>
        <v>0</v>
      </c>
      <c r="AF72" s="7">
        <f>VLOOKUP($A72,$A$2:AF$51,AF$55)</f>
        <v>0</v>
      </c>
      <c r="AG72" s="7">
        <f>VLOOKUP($A72,$A$2:AG$51,AG$55)</f>
        <v>0</v>
      </c>
    </row>
    <row r="73" spans="1:33" s="7" customFormat="1">
      <c r="A73" s="7">
        <f t="shared" si="17"/>
        <v>34</v>
      </c>
      <c r="B73" s="7">
        <f>VLOOKUP($A73,$A$2:B$51,B$55)</f>
        <v>1.7081058025360107</v>
      </c>
      <c r="C73" s="7">
        <f>VLOOKUP($A73,$A$2:C$51,C$55)</f>
        <v>1.7181767225265503</v>
      </c>
      <c r="D73" s="7">
        <f>VLOOKUP($A73,$A$2:D$51,D$55)</f>
        <v>1.8244613409042358</v>
      </c>
      <c r="E73" s="7">
        <f>VLOOKUP($A73,$A$2:E$51,E$55)</f>
        <v>1.6070365905761719</v>
      </c>
      <c r="F73" s="7">
        <f>VLOOKUP($A73,$A$2:F$51,F$55)</f>
        <v>1.643004298210144</v>
      </c>
      <c r="G73" s="7">
        <f>VLOOKUP($A73,$A$2:G$51,G$55)</f>
        <v>1.6798712015151978</v>
      </c>
      <c r="H73" s="7">
        <f>VLOOKUP($A73,$A$2:H$51,H$55)</f>
        <v>0</v>
      </c>
      <c r="I73" s="7">
        <f>VLOOKUP($A73,$A$2:I$51,I$55)</f>
        <v>0</v>
      </c>
      <c r="J73" s="7">
        <f>VLOOKUP($A73,$A$2:J$51,J$55)</f>
        <v>0</v>
      </c>
      <c r="K73" s="7">
        <f>VLOOKUP($A73,$A$2:K$51,K$55)</f>
        <v>0</v>
      </c>
      <c r="L73" s="7">
        <f>VLOOKUP($A73,$A$2:L$51,L$55)</f>
        <v>0</v>
      </c>
      <c r="M73" s="7">
        <f>VLOOKUP($A73,$A$2:M$51,M$55)</f>
        <v>0</v>
      </c>
      <c r="N73" s="7">
        <f>VLOOKUP($A73,$A$2:N$51,N$55)</f>
        <v>0</v>
      </c>
      <c r="O73" s="7">
        <f>VLOOKUP($A73,$A$2:O$51,O$55)</f>
        <v>0</v>
      </c>
      <c r="P73" s="7">
        <f>VLOOKUP($A73,$A$2:P$51,P$55)</f>
        <v>0</v>
      </c>
      <c r="Q73" s="7">
        <f>VLOOKUP($A73,$A$2:Q$51,Q$55)</f>
        <v>0</v>
      </c>
      <c r="R73" s="7">
        <f>VLOOKUP($A73,$A$2:R$51,R$55)</f>
        <v>0</v>
      </c>
      <c r="S73" s="7">
        <f>VLOOKUP($A73,$A$2:S$51,S$55)</f>
        <v>0</v>
      </c>
      <c r="T73" s="7">
        <f>VLOOKUP($A73,$A$2:T$51,T$55)</f>
        <v>0</v>
      </c>
      <c r="U73" s="7">
        <f>VLOOKUP($A73,$A$2:U$51,U$55)</f>
        <v>0</v>
      </c>
      <c r="V73" s="7">
        <f>VLOOKUP($A73,$A$2:V$51,V$55)</f>
        <v>0</v>
      </c>
      <c r="W73" s="7">
        <f>VLOOKUP($A73,$A$2:W$51,W$55)</f>
        <v>0</v>
      </c>
      <c r="X73" s="7">
        <f>VLOOKUP($A73,$A$2:X$51,X$55)</f>
        <v>0</v>
      </c>
      <c r="Y73" s="7">
        <f>VLOOKUP($A73,$A$2:Y$51,Y$55)</f>
        <v>0</v>
      </c>
      <c r="Z73" s="7">
        <f>VLOOKUP($A73,$A$2:Z$51,Z$55)</f>
        <v>0</v>
      </c>
      <c r="AA73" s="7">
        <f>VLOOKUP($A73,$A$2:AA$51,AA$55)</f>
        <v>0</v>
      </c>
      <c r="AB73" s="7">
        <f>VLOOKUP($A73,$A$2:AB$51,AB$55)</f>
        <v>0</v>
      </c>
      <c r="AC73" s="7">
        <f>VLOOKUP($A73,$A$2:AC$51,AC$55)</f>
        <v>0</v>
      </c>
      <c r="AD73" s="7">
        <f>VLOOKUP($A73,$A$2:AD$51,AD$55)</f>
        <v>0</v>
      </c>
      <c r="AE73" s="7">
        <f>VLOOKUP($A73,$A$2:AE$51,AE$55)</f>
        <v>0</v>
      </c>
      <c r="AF73" s="7">
        <f>VLOOKUP($A73,$A$2:AF$51,AF$55)</f>
        <v>0</v>
      </c>
      <c r="AG73" s="7">
        <f>VLOOKUP($A73,$A$2:AG$51,AG$55)</f>
        <v>0</v>
      </c>
    </row>
    <row r="74" spans="1:33" s="7" customFormat="1">
      <c r="A74" s="7">
        <f t="shared" si="17"/>
        <v>36</v>
      </c>
      <c r="B74" s="7">
        <f>VLOOKUP($A74,$A$2:B$51,B$55)</f>
        <v>1.3300853967666626</v>
      </c>
      <c r="C74" s="7">
        <f>VLOOKUP($A74,$A$2:C$51,C$55)</f>
        <v>1.3385376930236816</v>
      </c>
      <c r="D74" s="7">
        <f>VLOOKUP($A74,$A$2:D$51,D$55)</f>
        <v>1.4162279367446899</v>
      </c>
      <c r="E74" s="7">
        <f>VLOOKUP($A74,$A$2:E$51,E$55)</f>
        <v>1.2496975660324097</v>
      </c>
      <c r="F74" s="7">
        <f>VLOOKUP($A74,$A$2:F$51,F$55)</f>
        <v>1.2755942344665527</v>
      </c>
      <c r="G74" s="7">
        <f>VLOOKUP($A74,$A$2:G$51,G$55)</f>
        <v>1.3095837831497192</v>
      </c>
      <c r="H74" s="7">
        <f>VLOOKUP($A74,$A$2:H$51,H$55)</f>
        <v>0</v>
      </c>
      <c r="I74" s="7">
        <f>VLOOKUP($A74,$A$2:I$51,I$55)</f>
        <v>0</v>
      </c>
      <c r="J74" s="7">
        <f>VLOOKUP($A74,$A$2:J$51,J$55)</f>
        <v>0</v>
      </c>
      <c r="K74" s="7">
        <f>VLOOKUP($A74,$A$2:K$51,K$55)</f>
        <v>0</v>
      </c>
      <c r="L74" s="7">
        <f>VLOOKUP($A74,$A$2:L$51,L$55)</f>
        <v>0</v>
      </c>
      <c r="M74" s="7">
        <f>VLOOKUP($A74,$A$2:M$51,M$55)</f>
        <v>0</v>
      </c>
      <c r="N74" s="7">
        <f>VLOOKUP($A74,$A$2:N$51,N$55)</f>
        <v>0</v>
      </c>
      <c r="O74" s="7">
        <f>VLOOKUP($A74,$A$2:O$51,O$55)</f>
        <v>0</v>
      </c>
      <c r="P74" s="7">
        <f>VLOOKUP($A74,$A$2:P$51,P$55)</f>
        <v>0</v>
      </c>
      <c r="Q74" s="7">
        <f>VLOOKUP($A74,$A$2:Q$51,Q$55)</f>
        <v>0</v>
      </c>
      <c r="R74" s="7">
        <f>VLOOKUP($A74,$A$2:R$51,R$55)</f>
        <v>0</v>
      </c>
      <c r="S74" s="7">
        <f>VLOOKUP($A74,$A$2:S$51,S$55)</f>
        <v>0</v>
      </c>
      <c r="T74" s="7">
        <f>VLOOKUP($A74,$A$2:T$51,T$55)</f>
        <v>0</v>
      </c>
      <c r="U74" s="7">
        <f>VLOOKUP($A74,$A$2:U$51,U$55)</f>
        <v>0</v>
      </c>
      <c r="V74" s="7">
        <f>VLOOKUP($A74,$A$2:V$51,V$55)</f>
        <v>0</v>
      </c>
      <c r="W74" s="7">
        <f>VLOOKUP($A74,$A$2:W$51,W$55)</f>
        <v>0</v>
      </c>
      <c r="X74" s="7">
        <f>VLOOKUP($A74,$A$2:X$51,X$55)</f>
        <v>0</v>
      </c>
      <c r="Y74" s="7">
        <f>VLOOKUP($A74,$A$2:Y$51,Y$55)</f>
        <v>0</v>
      </c>
      <c r="Z74" s="7">
        <f>VLOOKUP($A74,$A$2:Z$51,Z$55)</f>
        <v>0</v>
      </c>
      <c r="AA74" s="7">
        <f>VLOOKUP($A74,$A$2:AA$51,AA$55)</f>
        <v>0</v>
      </c>
      <c r="AB74" s="7">
        <f>VLOOKUP($A74,$A$2:AB$51,AB$55)</f>
        <v>0</v>
      </c>
      <c r="AC74" s="7">
        <f>VLOOKUP($A74,$A$2:AC$51,AC$55)</f>
        <v>0</v>
      </c>
      <c r="AD74" s="7">
        <f>VLOOKUP($A74,$A$2:AD$51,AD$55)</f>
        <v>0</v>
      </c>
      <c r="AE74" s="7">
        <f>VLOOKUP($A74,$A$2:AE$51,AE$55)</f>
        <v>0</v>
      </c>
      <c r="AF74" s="7">
        <f>VLOOKUP($A74,$A$2:AF$51,AF$55)</f>
        <v>0</v>
      </c>
      <c r="AG74" s="7">
        <f>VLOOKUP($A74,$A$2:AG$51,AG$55)</f>
        <v>0</v>
      </c>
    </row>
    <row r="75" spans="1:33" s="7" customFormat="1">
      <c r="A75" s="7">
        <f t="shared" si="17"/>
        <v>38</v>
      </c>
      <c r="B75" s="7">
        <f>VLOOKUP($A75,$A$2:B$51,B$55)</f>
        <v>1.0137494802474976</v>
      </c>
      <c r="C75" s="7">
        <f>VLOOKUP($A75,$A$2:C$51,C$55)</f>
        <v>1.0232808589935303</v>
      </c>
      <c r="D75" s="7">
        <f>VLOOKUP($A75,$A$2:D$51,D$55)</f>
        <v>1.087483286857605</v>
      </c>
      <c r="E75" s="7">
        <f>VLOOKUP($A75,$A$2:E$51,E$55)</f>
        <v>0.95188504457473755</v>
      </c>
      <c r="F75" s="7">
        <f>VLOOKUP($A75,$A$2:F$51,F$55)</f>
        <v>0.96950918436050415</v>
      </c>
      <c r="G75" s="7">
        <f>VLOOKUP($A75,$A$2:G$51,G$55)</f>
        <v>0.99522608518600464</v>
      </c>
      <c r="H75" s="7">
        <f>VLOOKUP($A75,$A$2:H$51,H$55)</f>
        <v>0</v>
      </c>
      <c r="I75" s="7">
        <f>VLOOKUP($A75,$A$2:I$51,I$55)</f>
        <v>0</v>
      </c>
      <c r="J75" s="7">
        <f>VLOOKUP($A75,$A$2:J$51,J$55)</f>
        <v>0</v>
      </c>
      <c r="K75" s="7">
        <f>VLOOKUP($A75,$A$2:K$51,K$55)</f>
        <v>0</v>
      </c>
      <c r="L75" s="7">
        <f>VLOOKUP($A75,$A$2:L$51,L$55)</f>
        <v>0</v>
      </c>
      <c r="M75" s="7">
        <f>VLOOKUP($A75,$A$2:M$51,M$55)</f>
        <v>0</v>
      </c>
      <c r="N75" s="7">
        <f>VLOOKUP($A75,$A$2:N$51,N$55)</f>
        <v>0</v>
      </c>
      <c r="O75" s="7">
        <f>VLOOKUP($A75,$A$2:O$51,O$55)</f>
        <v>0</v>
      </c>
      <c r="P75" s="7">
        <f>VLOOKUP($A75,$A$2:P$51,P$55)</f>
        <v>0</v>
      </c>
      <c r="Q75" s="7">
        <f>VLOOKUP($A75,$A$2:Q$51,Q$55)</f>
        <v>0</v>
      </c>
      <c r="R75" s="7">
        <f>VLOOKUP($A75,$A$2:R$51,R$55)</f>
        <v>0</v>
      </c>
      <c r="S75" s="7">
        <f>VLOOKUP($A75,$A$2:S$51,S$55)</f>
        <v>0</v>
      </c>
      <c r="T75" s="7">
        <f>VLOOKUP($A75,$A$2:T$51,T$55)</f>
        <v>0</v>
      </c>
      <c r="U75" s="7">
        <f>VLOOKUP($A75,$A$2:U$51,U$55)</f>
        <v>0</v>
      </c>
      <c r="V75" s="7">
        <f>VLOOKUP($A75,$A$2:V$51,V$55)</f>
        <v>0</v>
      </c>
      <c r="W75" s="7">
        <f>VLOOKUP($A75,$A$2:W$51,W$55)</f>
        <v>0</v>
      </c>
      <c r="X75" s="7">
        <f>VLOOKUP($A75,$A$2:X$51,X$55)</f>
        <v>0</v>
      </c>
      <c r="Y75" s="7">
        <f>VLOOKUP($A75,$A$2:Y$51,Y$55)</f>
        <v>0</v>
      </c>
      <c r="Z75" s="7">
        <f>VLOOKUP($A75,$A$2:Z$51,Z$55)</f>
        <v>0</v>
      </c>
      <c r="AA75" s="7">
        <f>VLOOKUP($A75,$A$2:AA$51,AA$55)</f>
        <v>0</v>
      </c>
      <c r="AB75" s="7">
        <f>VLOOKUP($A75,$A$2:AB$51,AB$55)</f>
        <v>0</v>
      </c>
      <c r="AC75" s="7">
        <f>VLOOKUP($A75,$A$2:AC$51,AC$55)</f>
        <v>0</v>
      </c>
      <c r="AD75" s="7">
        <f>VLOOKUP($A75,$A$2:AD$51,AD$55)</f>
        <v>0</v>
      </c>
      <c r="AE75" s="7">
        <f>VLOOKUP($A75,$A$2:AE$51,AE$55)</f>
        <v>0</v>
      </c>
      <c r="AF75" s="7">
        <f>VLOOKUP($A75,$A$2:AF$51,AF$55)</f>
        <v>0</v>
      </c>
      <c r="AG75" s="7">
        <f>VLOOKUP($A75,$A$2:AG$51,AG$55)</f>
        <v>0</v>
      </c>
    </row>
    <row r="76" spans="1:33" s="7" customFormat="1">
      <c r="A76" s="7">
        <f t="shared" si="17"/>
        <v>40</v>
      </c>
      <c r="B76" s="7">
        <f>VLOOKUP($A76,$A$2:B$51,B$55)</f>
        <v>0.76719093322753906</v>
      </c>
      <c r="C76" s="7">
        <f>VLOOKUP($A76,$A$2:C$51,C$55)</f>
        <v>0.78229737281799316</v>
      </c>
      <c r="D76" s="7">
        <f>VLOOKUP($A76,$A$2:D$51,D$55)</f>
        <v>0.82527875900268555</v>
      </c>
      <c r="E76" s="7">
        <f>VLOOKUP($A76,$A$2:E$51,E$55)</f>
        <v>0.72492885589599609</v>
      </c>
      <c r="F76" s="7">
        <f>VLOOKUP($A76,$A$2:F$51,F$55)</f>
        <v>0.73517966270446777</v>
      </c>
      <c r="G76" s="7">
        <f>VLOOKUP($A76,$A$2:G$51,G$55)</f>
        <v>0.74992644786834717</v>
      </c>
      <c r="H76" s="7">
        <f>VLOOKUP($A76,$A$2:H$51,H$55)</f>
        <v>0</v>
      </c>
      <c r="I76" s="7">
        <f>VLOOKUP($A76,$A$2:I$51,I$55)</f>
        <v>0</v>
      </c>
      <c r="J76" s="7">
        <f>VLOOKUP($A76,$A$2:J$51,J$55)</f>
        <v>0</v>
      </c>
      <c r="K76" s="7">
        <f>VLOOKUP($A76,$A$2:K$51,K$55)</f>
        <v>0</v>
      </c>
      <c r="L76" s="7">
        <f>VLOOKUP($A76,$A$2:L$51,L$55)</f>
        <v>0</v>
      </c>
      <c r="M76" s="7">
        <f>VLOOKUP($A76,$A$2:M$51,M$55)</f>
        <v>0</v>
      </c>
      <c r="N76" s="7">
        <f>VLOOKUP($A76,$A$2:N$51,N$55)</f>
        <v>0</v>
      </c>
      <c r="O76" s="7">
        <f>VLOOKUP($A76,$A$2:O$51,O$55)</f>
        <v>0</v>
      </c>
      <c r="P76" s="7">
        <f>VLOOKUP($A76,$A$2:P$51,P$55)</f>
        <v>0</v>
      </c>
      <c r="Q76" s="7">
        <f>VLOOKUP($A76,$A$2:Q$51,Q$55)</f>
        <v>0</v>
      </c>
      <c r="R76" s="7">
        <f>VLOOKUP($A76,$A$2:R$51,R$55)</f>
        <v>0</v>
      </c>
      <c r="S76" s="7">
        <f>VLOOKUP($A76,$A$2:S$51,S$55)</f>
        <v>0</v>
      </c>
      <c r="T76" s="7">
        <f>VLOOKUP($A76,$A$2:T$51,T$55)</f>
        <v>0</v>
      </c>
      <c r="U76" s="7">
        <f>VLOOKUP($A76,$A$2:U$51,U$55)</f>
        <v>0</v>
      </c>
      <c r="V76" s="7">
        <f>VLOOKUP($A76,$A$2:V$51,V$55)</f>
        <v>0</v>
      </c>
      <c r="W76" s="7">
        <f>VLOOKUP($A76,$A$2:W$51,W$55)</f>
        <v>0</v>
      </c>
      <c r="X76" s="7">
        <f>VLOOKUP($A76,$A$2:X$51,X$55)</f>
        <v>0</v>
      </c>
      <c r="Y76" s="7">
        <f>VLOOKUP($A76,$A$2:Y$51,Y$55)</f>
        <v>0</v>
      </c>
      <c r="Z76" s="7">
        <f>VLOOKUP($A76,$A$2:Z$51,Z$55)</f>
        <v>0</v>
      </c>
      <c r="AA76" s="7">
        <f>VLOOKUP($A76,$A$2:AA$51,AA$55)</f>
        <v>0</v>
      </c>
      <c r="AB76" s="7">
        <f>VLOOKUP($A76,$A$2:AB$51,AB$55)</f>
        <v>0</v>
      </c>
      <c r="AC76" s="7">
        <f>VLOOKUP($A76,$A$2:AC$51,AC$55)</f>
        <v>0</v>
      </c>
      <c r="AD76" s="7">
        <f>VLOOKUP($A76,$A$2:AD$51,AD$55)</f>
        <v>0</v>
      </c>
      <c r="AE76" s="7">
        <f>VLOOKUP($A76,$A$2:AE$51,AE$55)</f>
        <v>0</v>
      </c>
      <c r="AF76" s="7">
        <f>VLOOKUP($A76,$A$2:AF$51,AF$55)</f>
        <v>0</v>
      </c>
      <c r="AG76" s="7">
        <f>VLOOKUP($A76,$A$2:AG$51,AG$55)</f>
        <v>0</v>
      </c>
    </row>
    <row r="77" spans="1:33" s="7" customFormat="1">
      <c r="A77" s="7">
        <f t="shared" si="17"/>
        <v>42</v>
      </c>
      <c r="B77" s="7">
        <f>VLOOKUP($A77,$A$2:B$51,B$55)</f>
        <v>0.7051466703414917</v>
      </c>
      <c r="C77" s="7">
        <f>VLOOKUP($A77,$A$2:C$51,C$55)</f>
        <v>0.72456920146942139</v>
      </c>
      <c r="D77" s="7">
        <f>VLOOKUP($A77,$A$2:D$51,D$55)</f>
        <v>0.76071673631668091</v>
      </c>
      <c r="E77" s="7">
        <f>VLOOKUP($A77,$A$2:E$51,E$55)</f>
        <v>0.66486281156539917</v>
      </c>
      <c r="F77" s="7">
        <f>VLOOKUP($A77,$A$2:F$51,F$55)</f>
        <v>0.67583298683166504</v>
      </c>
      <c r="G77" s="7">
        <f>VLOOKUP($A77,$A$2:G$51,G$55)</f>
        <v>0.68392568826675415</v>
      </c>
      <c r="H77" s="7">
        <f>VLOOKUP($A77,$A$2:H$51,H$55)</f>
        <v>0</v>
      </c>
      <c r="I77" s="7">
        <f>VLOOKUP($A77,$A$2:I$51,I$55)</f>
        <v>0</v>
      </c>
      <c r="J77" s="7">
        <f>VLOOKUP($A77,$A$2:J$51,J$55)</f>
        <v>0</v>
      </c>
      <c r="K77" s="7">
        <f>VLOOKUP($A77,$A$2:K$51,K$55)</f>
        <v>0</v>
      </c>
      <c r="L77" s="7">
        <f>VLOOKUP($A77,$A$2:L$51,L$55)</f>
        <v>0</v>
      </c>
      <c r="M77" s="7">
        <f>VLOOKUP($A77,$A$2:M$51,M$55)</f>
        <v>0</v>
      </c>
      <c r="N77" s="7">
        <f>VLOOKUP($A77,$A$2:N$51,N$55)</f>
        <v>0</v>
      </c>
      <c r="O77" s="7">
        <f>VLOOKUP($A77,$A$2:O$51,O$55)</f>
        <v>0</v>
      </c>
      <c r="P77" s="7">
        <f>VLOOKUP($A77,$A$2:P$51,P$55)</f>
        <v>0</v>
      </c>
      <c r="Q77" s="7">
        <f>VLOOKUP($A77,$A$2:Q$51,Q$55)</f>
        <v>0</v>
      </c>
      <c r="R77" s="7">
        <f>VLOOKUP($A77,$A$2:R$51,R$55)</f>
        <v>0</v>
      </c>
      <c r="S77" s="7">
        <f>VLOOKUP($A77,$A$2:S$51,S$55)</f>
        <v>0</v>
      </c>
      <c r="T77" s="7">
        <f>VLOOKUP($A77,$A$2:T$51,T$55)</f>
        <v>0</v>
      </c>
      <c r="U77" s="7">
        <f>VLOOKUP($A77,$A$2:U$51,U$55)</f>
        <v>0</v>
      </c>
      <c r="V77" s="7">
        <f>VLOOKUP($A77,$A$2:V$51,V$55)</f>
        <v>0</v>
      </c>
      <c r="W77" s="7">
        <f>VLOOKUP($A77,$A$2:W$51,W$55)</f>
        <v>0</v>
      </c>
      <c r="X77" s="7">
        <f>VLOOKUP($A77,$A$2:X$51,X$55)</f>
        <v>0</v>
      </c>
      <c r="Y77" s="7">
        <f>VLOOKUP($A77,$A$2:Y$51,Y$55)</f>
        <v>0</v>
      </c>
      <c r="Z77" s="7">
        <f>VLOOKUP($A77,$A$2:Z$51,Z$55)</f>
        <v>0</v>
      </c>
      <c r="AA77" s="7">
        <f>VLOOKUP($A77,$A$2:AA$51,AA$55)</f>
        <v>0</v>
      </c>
      <c r="AB77" s="7">
        <f>VLOOKUP($A77,$A$2:AB$51,AB$55)</f>
        <v>0</v>
      </c>
      <c r="AC77" s="7">
        <f>VLOOKUP($A77,$A$2:AC$51,AC$55)</f>
        <v>0</v>
      </c>
      <c r="AD77" s="7">
        <f>VLOOKUP($A77,$A$2:AD$51,AD$55)</f>
        <v>0</v>
      </c>
      <c r="AE77" s="7">
        <f>VLOOKUP($A77,$A$2:AE$51,AE$55)</f>
        <v>0</v>
      </c>
      <c r="AF77" s="7">
        <f>VLOOKUP($A77,$A$2:AF$51,AF$55)</f>
        <v>0</v>
      </c>
      <c r="AG77" s="7">
        <f>VLOOKUP($A77,$A$2:AG$51,AG$55)</f>
        <v>0</v>
      </c>
    </row>
    <row r="78" spans="1:33" s="7" customFormat="1">
      <c r="A78" s="7">
        <f t="shared" si="17"/>
        <v>44</v>
      </c>
      <c r="B78" s="7">
        <f>VLOOKUP($A78,$A$2:B$51,B$55)</f>
        <v>0.52350980043411255</v>
      </c>
      <c r="C78" s="7">
        <f>VLOOKUP($A78,$A$2:C$51,C$55)</f>
        <v>0.5398750901222229</v>
      </c>
      <c r="D78" s="7">
        <f>VLOOKUP($A78,$A$2:D$51,D$55)</f>
        <v>0.57152664661407471</v>
      </c>
      <c r="E78" s="7">
        <f>VLOOKUP($A78,$A$2:E$51,E$55)</f>
        <v>0.49545499682426453</v>
      </c>
      <c r="F78" s="7">
        <f>VLOOKUP($A78,$A$2:F$51,F$55)</f>
        <v>0.50354772806167603</v>
      </c>
      <c r="G78" s="7">
        <f>VLOOKUP($A78,$A$2:G$51,G$55)</f>
        <v>0.50444692373275757</v>
      </c>
      <c r="H78" s="7">
        <f>VLOOKUP($A78,$A$2:H$51,H$55)</f>
        <v>0</v>
      </c>
      <c r="I78" s="7">
        <f>VLOOKUP($A78,$A$2:I$51,I$55)</f>
        <v>0</v>
      </c>
      <c r="J78" s="7">
        <f>VLOOKUP($A78,$A$2:J$51,J$55)</f>
        <v>0</v>
      </c>
      <c r="K78" s="7">
        <f>VLOOKUP($A78,$A$2:K$51,K$55)</f>
        <v>0</v>
      </c>
      <c r="L78" s="7">
        <f>VLOOKUP($A78,$A$2:L$51,L$55)</f>
        <v>0</v>
      </c>
      <c r="M78" s="7">
        <f>VLOOKUP($A78,$A$2:M$51,M$55)</f>
        <v>0</v>
      </c>
      <c r="N78" s="7">
        <f>VLOOKUP($A78,$A$2:N$51,N$55)</f>
        <v>0</v>
      </c>
      <c r="O78" s="7">
        <f>VLOOKUP($A78,$A$2:O$51,O$55)</f>
        <v>0</v>
      </c>
      <c r="P78" s="7">
        <f>VLOOKUP($A78,$A$2:P$51,P$55)</f>
        <v>0</v>
      </c>
      <c r="Q78" s="7">
        <f>VLOOKUP($A78,$A$2:Q$51,Q$55)</f>
        <v>0</v>
      </c>
      <c r="R78" s="7">
        <f>VLOOKUP($A78,$A$2:R$51,R$55)</f>
        <v>0</v>
      </c>
      <c r="S78" s="7">
        <f>VLOOKUP($A78,$A$2:S$51,S$55)</f>
        <v>0</v>
      </c>
      <c r="T78" s="7">
        <f>VLOOKUP($A78,$A$2:T$51,T$55)</f>
        <v>0</v>
      </c>
      <c r="U78" s="7">
        <f>VLOOKUP($A78,$A$2:U$51,U$55)</f>
        <v>0</v>
      </c>
      <c r="V78" s="7">
        <f>VLOOKUP($A78,$A$2:V$51,V$55)</f>
        <v>0</v>
      </c>
      <c r="W78" s="7">
        <f>VLOOKUP($A78,$A$2:W$51,W$55)</f>
        <v>0</v>
      </c>
      <c r="X78" s="7">
        <f>VLOOKUP($A78,$A$2:X$51,X$55)</f>
        <v>0</v>
      </c>
      <c r="Y78" s="7">
        <f>VLOOKUP($A78,$A$2:Y$51,Y$55)</f>
        <v>0</v>
      </c>
      <c r="Z78" s="7">
        <f>VLOOKUP($A78,$A$2:Z$51,Z$55)</f>
        <v>0</v>
      </c>
      <c r="AA78" s="7">
        <f>VLOOKUP($A78,$A$2:AA$51,AA$55)</f>
        <v>0</v>
      </c>
      <c r="AB78" s="7">
        <f>VLOOKUP($A78,$A$2:AB$51,AB$55)</f>
        <v>0</v>
      </c>
      <c r="AC78" s="7">
        <f>VLOOKUP($A78,$A$2:AC$51,AC$55)</f>
        <v>0</v>
      </c>
      <c r="AD78" s="7">
        <f>VLOOKUP($A78,$A$2:AD$51,AD$55)</f>
        <v>0</v>
      </c>
      <c r="AE78" s="7">
        <f>VLOOKUP($A78,$A$2:AE$51,AE$55)</f>
        <v>0</v>
      </c>
      <c r="AF78" s="7">
        <f>VLOOKUP($A78,$A$2:AF$51,AF$55)</f>
        <v>0</v>
      </c>
      <c r="AG78" s="7">
        <f>VLOOKUP($A78,$A$2:AG$51,AG$55)</f>
        <v>0</v>
      </c>
    </row>
    <row r="79" spans="1:33" s="7" customFormat="1">
      <c r="A79" s="7">
        <f t="shared" si="17"/>
        <v>46</v>
      </c>
      <c r="B79" s="7">
        <f>VLOOKUP($A79,$A$2:B$51,B$55)</f>
        <v>0.25231337547302246</v>
      </c>
      <c r="C79" s="7">
        <f>VLOOKUP($A79,$A$2:C$51,C$55)</f>
        <v>0.27227544784545898</v>
      </c>
      <c r="D79" s="7">
        <f>VLOOKUP($A79,$A$2:D$51,D$55)</f>
        <v>0.29097864031791687</v>
      </c>
      <c r="E79" s="7">
        <f>VLOOKUP($A79,$A$2:E$51,E$55)</f>
        <v>0.24206258356571198</v>
      </c>
      <c r="F79" s="7">
        <f>VLOOKUP($A79,$A$2:F$51,F$55)</f>
        <v>0.24637870490550995</v>
      </c>
      <c r="G79" s="7">
        <f>VLOOKUP($A79,$A$2:G$51,G$55)</f>
        <v>0.23918516933917999</v>
      </c>
      <c r="H79" s="7">
        <f>VLOOKUP($A79,$A$2:H$51,H$55)</f>
        <v>0</v>
      </c>
      <c r="I79" s="7">
        <f>VLOOKUP($A79,$A$2:I$51,I$55)</f>
        <v>0</v>
      </c>
      <c r="J79" s="7">
        <f>VLOOKUP($A79,$A$2:J$51,J$55)</f>
        <v>0</v>
      </c>
      <c r="K79" s="7">
        <f>VLOOKUP($A79,$A$2:K$51,K$55)</f>
        <v>0</v>
      </c>
      <c r="L79" s="7">
        <f>VLOOKUP($A79,$A$2:L$51,L$55)</f>
        <v>0</v>
      </c>
      <c r="M79" s="7">
        <f>VLOOKUP($A79,$A$2:M$51,M$55)</f>
        <v>0</v>
      </c>
      <c r="N79" s="7">
        <f>VLOOKUP($A79,$A$2:N$51,N$55)</f>
        <v>0</v>
      </c>
      <c r="O79" s="7">
        <f>VLOOKUP($A79,$A$2:O$51,O$55)</f>
        <v>0</v>
      </c>
      <c r="P79" s="7">
        <f>VLOOKUP($A79,$A$2:P$51,P$55)</f>
        <v>0</v>
      </c>
      <c r="Q79" s="7">
        <f>VLOOKUP($A79,$A$2:Q$51,Q$55)</f>
        <v>0</v>
      </c>
      <c r="R79" s="7">
        <f>VLOOKUP($A79,$A$2:R$51,R$55)</f>
        <v>0</v>
      </c>
      <c r="S79" s="7">
        <f>VLOOKUP($A79,$A$2:S$51,S$55)</f>
        <v>0</v>
      </c>
      <c r="T79" s="7">
        <f>VLOOKUP($A79,$A$2:T$51,T$55)</f>
        <v>0</v>
      </c>
      <c r="U79" s="7">
        <f>VLOOKUP($A79,$A$2:U$51,U$55)</f>
        <v>0</v>
      </c>
      <c r="V79" s="7">
        <f>VLOOKUP($A79,$A$2:V$51,V$55)</f>
        <v>0</v>
      </c>
      <c r="W79" s="7">
        <f>VLOOKUP($A79,$A$2:W$51,W$55)</f>
        <v>0</v>
      </c>
      <c r="X79" s="7">
        <f>VLOOKUP($A79,$A$2:X$51,X$55)</f>
        <v>0</v>
      </c>
      <c r="Y79" s="7">
        <f>VLOOKUP($A79,$A$2:Y$51,Y$55)</f>
        <v>0</v>
      </c>
      <c r="Z79" s="7">
        <f>VLOOKUP($A79,$A$2:Z$51,Z$55)</f>
        <v>0</v>
      </c>
      <c r="AA79" s="7">
        <f>VLOOKUP($A79,$A$2:AA$51,AA$55)</f>
        <v>0</v>
      </c>
      <c r="AB79" s="7">
        <f>VLOOKUP($A79,$A$2:AB$51,AB$55)</f>
        <v>0</v>
      </c>
      <c r="AC79" s="7">
        <f>VLOOKUP($A79,$A$2:AC$51,AC$55)</f>
        <v>0</v>
      </c>
      <c r="AD79" s="7">
        <f>VLOOKUP($A79,$A$2:AD$51,AD$55)</f>
        <v>0</v>
      </c>
      <c r="AE79" s="7">
        <f>VLOOKUP($A79,$A$2:AE$51,AE$55)</f>
        <v>0</v>
      </c>
      <c r="AF79" s="7">
        <f>VLOOKUP($A79,$A$2:AF$51,AF$55)</f>
        <v>0</v>
      </c>
      <c r="AG79" s="7">
        <f>VLOOKUP($A79,$A$2:AG$51,AG$55)</f>
        <v>0</v>
      </c>
    </row>
    <row r="80" spans="1:33" s="7" customFormat="1">
      <c r="A80" s="7">
        <f t="shared" si="17"/>
        <v>48</v>
      </c>
      <c r="B80" s="7">
        <f>VLOOKUP($A80,$A$2:B$51,B$55)</f>
        <v>0.19134813547134399</v>
      </c>
      <c r="C80" s="7">
        <f>VLOOKUP($A80,$A$2:C$51,C$55)</f>
        <v>0.21149004995822906</v>
      </c>
      <c r="D80" s="7">
        <f>VLOOKUP($A80,$A$2:D$51,D$55)</f>
        <v>0.221560999751091</v>
      </c>
      <c r="E80" s="7">
        <f>VLOOKUP($A80,$A$2:E$51,E$55)</f>
        <v>0.18433442711830139</v>
      </c>
      <c r="F80" s="7">
        <f>VLOOKUP($A80,$A$2:F$51,F$55)</f>
        <v>0.18433442711830139</v>
      </c>
      <c r="G80" s="7">
        <f>VLOOKUP($A80,$A$2:G$51,G$55)</f>
        <v>0.17606186866760254</v>
      </c>
      <c r="H80" s="7">
        <f>VLOOKUP($A80,$A$2:H$51,H$55)</f>
        <v>0</v>
      </c>
      <c r="I80" s="7">
        <f>VLOOKUP($A80,$A$2:I$51,I$55)</f>
        <v>0</v>
      </c>
      <c r="J80" s="7">
        <f>VLOOKUP($A80,$A$2:J$51,J$55)</f>
        <v>0</v>
      </c>
      <c r="K80" s="7">
        <f>VLOOKUP($A80,$A$2:K$51,K$55)</f>
        <v>0</v>
      </c>
      <c r="L80" s="7">
        <f>VLOOKUP($A80,$A$2:L$51,L$55)</f>
        <v>0</v>
      </c>
      <c r="M80" s="7">
        <f>VLOOKUP($A80,$A$2:M$51,M$55)</f>
        <v>0</v>
      </c>
      <c r="N80" s="7">
        <f>VLOOKUP($A80,$A$2:N$51,N$55)</f>
        <v>0</v>
      </c>
      <c r="O80" s="7">
        <f>VLOOKUP($A80,$A$2:O$51,O$55)</f>
        <v>0</v>
      </c>
      <c r="P80" s="7">
        <f>VLOOKUP($A80,$A$2:P$51,P$55)</f>
        <v>0</v>
      </c>
      <c r="Q80" s="7">
        <f>VLOOKUP($A80,$A$2:Q$51,Q$55)</f>
        <v>0</v>
      </c>
      <c r="R80" s="7">
        <f>VLOOKUP($A80,$A$2:R$51,R$55)</f>
        <v>0</v>
      </c>
      <c r="S80" s="7">
        <f>VLOOKUP($A80,$A$2:S$51,S$55)</f>
        <v>0</v>
      </c>
      <c r="T80" s="7">
        <f>VLOOKUP($A80,$A$2:T$51,T$55)</f>
        <v>0</v>
      </c>
      <c r="U80" s="7">
        <f>VLOOKUP($A80,$A$2:U$51,U$55)</f>
        <v>0</v>
      </c>
      <c r="V80" s="7">
        <f>VLOOKUP($A80,$A$2:V$51,V$55)</f>
        <v>0</v>
      </c>
      <c r="W80" s="7">
        <f>VLOOKUP($A80,$A$2:W$51,W$55)</f>
        <v>0</v>
      </c>
      <c r="X80" s="7">
        <f>VLOOKUP($A80,$A$2:X$51,X$55)</f>
        <v>0</v>
      </c>
      <c r="Y80" s="7">
        <f>VLOOKUP($A80,$A$2:Y$51,Y$55)</f>
        <v>0</v>
      </c>
      <c r="Z80" s="7">
        <f>VLOOKUP($A80,$A$2:Z$51,Z$55)</f>
        <v>0</v>
      </c>
      <c r="AA80" s="7">
        <f>VLOOKUP($A80,$A$2:AA$51,AA$55)</f>
        <v>0</v>
      </c>
      <c r="AB80" s="7">
        <f>VLOOKUP($A80,$A$2:AB$51,AB$55)</f>
        <v>0</v>
      </c>
      <c r="AC80" s="7">
        <f>VLOOKUP($A80,$A$2:AC$51,AC$55)</f>
        <v>0</v>
      </c>
      <c r="AD80" s="7">
        <f>VLOOKUP($A80,$A$2:AD$51,AD$55)</f>
        <v>0</v>
      </c>
      <c r="AE80" s="7">
        <f>VLOOKUP($A80,$A$2:AE$51,AE$55)</f>
        <v>0</v>
      </c>
      <c r="AF80" s="7">
        <f>VLOOKUP($A80,$A$2:AF$51,AF$55)</f>
        <v>0</v>
      </c>
      <c r="AG80" s="7">
        <f>VLOOKUP($A80,$A$2:AG$51,AG$55)</f>
        <v>0</v>
      </c>
    </row>
    <row r="81" spans="1:33" s="7" customFormat="1"/>
    <row r="82" spans="1:33" s="7" customFormat="1">
      <c r="A82" s="7" t="s">
        <v>39</v>
      </c>
    </row>
    <row r="83" spans="1:33" s="7" customFormat="1">
      <c r="A83" s="7">
        <f>A55</f>
        <v>1</v>
      </c>
      <c r="B83" s="7">
        <f t="shared" ref="B83:P83" si="18">B55</f>
        <v>2</v>
      </c>
      <c r="C83" s="7">
        <f t="shared" si="18"/>
        <v>3</v>
      </c>
      <c r="D83" s="7">
        <f t="shared" si="18"/>
        <v>4</v>
      </c>
      <c r="E83" s="7">
        <f t="shared" si="18"/>
        <v>5</v>
      </c>
      <c r="F83" s="7">
        <f t="shared" si="18"/>
        <v>6</v>
      </c>
      <c r="G83" s="7">
        <f t="shared" si="18"/>
        <v>7</v>
      </c>
      <c r="H83" s="7">
        <f t="shared" si="18"/>
        <v>8</v>
      </c>
      <c r="I83" s="7">
        <f t="shared" si="18"/>
        <v>9</v>
      </c>
      <c r="J83" s="7">
        <f t="shared" si="18"/>
        <v>10</v>
      </c>
      <c r="K83" s="7">
        <f t="shared" si="18"/>
        <v>11</v>
      </c>
      <c r="L83" s="7">
        <f t="shared" si="18"/>
        <v>12</v>
      </c>
      <c r="M83" s="7">
        <f t="shared" si="18"/>
        <v>13</v>
      </c>
      <c r="N83" s="7">
        <f t="shared" si="18"/>
        <v>14</v>
      </c>
      <c r="O83" s="7">
        <f t="shared" si="18"/>
        <v>15</v>
      </c>
      <c r="P83" s="7">
        <f t="shared" si="18"/>
        <v>16</v>
      </c>
      <c r="Q83" s="7">
        <f t="shared" ref="Q83:AG83" si="19">Q55</f>
        <v>17</v>
      </c>
      <c r="R83" s="7">
        <f t="shared" si="19"/>
        <v>18</v>
      </c>
      <c r="S83" s="7">
        <f t="shared" si="19"/>
        <v>19</v>
      </c>
      <c r="T83" s="7">
        <f t="shared" si="19"/>
        <v>20</v>
      </c>
      <c r="U83" s="7">
        <f t="shared" si="19"/>
        <v>21</v>
      </c>
      <c r="V83" s="7">
        <f t="shared" si="19"/>
        <v>22</v>
      </c>
      <c r="W83" s="7">
        <f t="shared" si="19"/>
        <v>23</v>
      </c>
      <c r="X83" s="7">
        <f t="shared" si="19"/>
        <v>24</v>
      </c>
      <c r="Y83" s="7">
        <f t="shared" si="19"/>
        <v>25</v>
      </c>
      <c r="Z83" s="7">
        <f t="shared" si="19"/>
        <v>26</v>
      </c>
      <c r="AA83" s="7">
        <f t="shared" si="19"/>
        <v>27</v>
      </c>
      <c r="AB83" s="7">
        <f t="shared" si="19"/>
        <v>28</v>
      </c>
      <c r="AC83" s="7">
        <f t="shared" si="19"/>
        <v>29</v>
      </c>
      <c r="AD83" s="7">
        <f t="shared" si="19"/>
        <v>30</v>
      </c>
      <c r="AE83" s="7">
        <f t="shared" si="19"/>
        <v>31</v>
      </c>
      <c r="AF83" s="7">
        <f t="shared" si="19"/>
        <v>32</v>
      </c>
      <c r="AG83" s="7">
        <f t="shared" si="19"/>
        <v>33</v>
      </c>
    </row>
    <row r="84" spans="1:33" s="7" customFormat="1">
      <c r="A84" s="7">
        <f>A56+1</f>
        <v>1</v>
      </c>
      <c r="B84" s="7">
        <f>VLOOKUP($A84,$A$2:B$51,B$83)</f>
        <v>199.87356567382812</v>
      </c>
      <c r="C84" s="7">
        <f>VLOOKUP($A84,$A$2:C$51,C$83)</f>
        <v>192.39010620117187</v>
      </c>
      <c r="D84" s="7">
        <f>VLOOKUP($A84,$A$2:D$51,D$83)</f>
        <v>196.01852416992187</v>
      </c>
      <c r="E84" s="7">
        <f>VLOOKUP($A84,$A$2:E$51,E$83)</f>
        <v>191.54254150390625</v>
      </c>
      <c r="F84" s="7">
        <f>VLOOKUP($A84,$A$2:F$51,F$83)</f>
        <v>188.63993835449219</v>
      </c>
      <c r="G84" s="7">
        <f>VLOOKUP($A84,$A$2:G$51,G$83)</f>
        <v>198.17060852050781</v>
      </c>
      <c r="H84" s="7">
        <f>VLOOKUP($A84,$A$2:H$51,H$83)</f>
        <v>0</v>
      </c>
      <c r="I84" s="7">
        <f>VLOOKUP($A84,$A$2:I$51,I$83)</f>
        <v>0</v>
      </c>
      <c r="J84" s="7">
        <f>VLOOKUP($A84,$A$2:J$51,J$83)</f>
        <v>0</v>
      </c>
      <c r="K84" s="7">
        <f>VLOOKUP($A84,$A$2:K$51,K$83)</f>
        <v>0</v>
      </c>
      <c r="L84" s="7">
        <f>VLOOKUP($A84,$A$2:L$51,L$83)</f>
        <v>0</v>
      </c>
      <c r="M84" s="7">
        <f>VLOOKUP($A84,$A$2:M$51,M$83)</f>
        <v>0</v>
      </c>
      <c r="N84" s="7">
        <f>VLOOKUP($A84,$A$2:N$51,N$83)</f>
        <v>0</v>
      </c>
      <c r="O84" s="7">
        <f>VLOOKUP($A84,$A$2:O$51,O$83)</f>
        <v>0</v>
      </c>
      <c r="P84" s="7">
        <f>VLOOKUP($A84,$A$2:P$51,P$83)</f>
        <v>0</v>
      </c>
      <c r="Q84" s="7">
        <f>VLOOKUP($A84,$A$2:Q$51,Q$83)</f>
        <v>0</v>
      </c>
      <c r="R84" s="7">
        <f>VLOOKUP($A84,$A$2:R$51,R$83)</f>
        <v>0</v>
      </c>
      <c r="S84" s="7">
        <f>VLOOKUP($A84,$A$2:S$51,S$83)</f>
        <v>0</v>
      </c>
      <c r="T84" s="7">
        <f>VLOOKUP($A84,$A$2:T$51,T$83)</f>
        <v>0</v>
      </c>
      <c r="U84" s="7">
        <f>VLOOKUP($A84,$A$2:U$51,U$83)</f>
        <v>0</v>
      </c>
      <c r="V84" s="7">
        <f>VLOOKUP($A84,$A$2:V$51,V$83)</f>
        <v>0</v>
      </c>
      <c r="W84" s="7">
        <f>VLOOKUP($A84,$A$2:W$51,W$83)</f>
        <v>0</v>
      </c>
      <c r="X84" s="7">
        <f>VLOOKUP($A84,$A$2:X$51,X$83)</f>
        <v>0</v>
      </c>
      <c r="Y84" s="7">
        <f>VLOOKUP($A84,$A$2:Y$51,Y$83)</f>
        <v>0</v>
      </c>
      <c r="Z84" s="7">
        <f>VLOOKUP($A84,$A$2:Z$51,Z$83)</f>
        <v>0</v>
      </c>
      <c r="AA84" s="7">
        <f>VLOOKUP($A84,$A$2:AA$51,AA$83)</f>
        <v>0</v>
      </c>
      <c r="AB84" s="7">
        <f>VLOOKUP($A84,$A$2:AB$51,AB$83)</f>
        <v>0</v>
      </c>
      <c r="AC84" s="7">
        <f>VLOOKUP($A84,$A$2:AC$51,AC$83)</f>
        <v>0</v>
      </c>
      <c r="AD84" s="7">
        <f>VLOOKUP($A84,$A$2:AD$51,AD$83)</f>
        <v>0</v>
      </c>
      <c r="AE84" s="7">
        <f>VLOOKUP($A84,$A$2:AE$51,AE$83)</f>
        <v>0</v>
      </c>
      <c r="AF84" s="7">
        <f>VLOOKUP($A84,$A$2:AF$51,AF$83)</f>
        <v>0</v>
      </c>
      <c r="AG84" s="7">
        <f>VLOOKUP($A84,$A$2:AG$51,AG$83)</f>
        <v>0</v>
      </c>
    </row>
    <row r="85" spans="1:33" s="7" customFormat="1">
      <c r="A85" s="7">
        <f t="shared" ref="A85:A108" si="20">A57+1</f>
        <v>3</v>
      </c>
      <c r="B85" s="7">
        <f>VLOOKUP($A85,$A$2:B$51,B$83)</f>
        <v>200.49046325683594</v>
      </c>
      <c r="C85" s="7">
        <f>VLOOKUP($A85,$A$2:C$51,C$83)</f>
        <v>152.08885192871094</v>
      </c>
      <c r="D85" s="7">
        <f>VLOOKUP($A85,$A$2:D$51,D$83)</f>
        <v>154.99549865722656</v>
      </c>
      <c r="E85" s="7">
        <f>VLOOKUP($A85,$A$2:E$51,E$83)</f>
        <v>150.91963195800781</v>
      </c>
      <c r="F85" s="7">
        <f>VLOOKUP($A85,$A$2:F$51,F$83)</f>
        <v>148.8602294921875</v>
      </c>
      <c r="G85" s="7">
        <f>VLOOKUP($A85,$A$2:G$51,G$83)</f>
        <v>156.29081726074219</v>
      </c>
      <c r="H85" s="7">
        <f>VLOOKUP($A85,$A$2:H$51,H$83)</f>
        <v>0</v>
      </c>
      <c r="I85" s="7">
        <f>VLOOKUP($A85,$A$2:I$51,I$83)</f>
        <v>0</v>
      </c>
      <c r="J85" s="7">
        <f>VLOOKUP($A85,$A$2:J$51,J$83)</f>
        <v>0</v>
      </c>
      <c r="K85" s="7">
        <f>VLOOKUP($A85,$A$2:K$51,K$83)</f>
        <v>0</v>
      </c>
      <c r="L85" s="7">
        <f>VLOOKUP($A85,$A$2:L$51,L$83)</f>
        <v>0</v>
      </c>
      <c r="M85" s="7">
        <f>VLOOKUP($A85,$A$2:M$51,M$83)</f>
        <v>0</v>
      </c>
      <c r="N85" s="7">
        <f>VLOOKUP($A85,$A$2:N$51,N$83)</f>
        <v>0</v>
      </c>
      <c r="O85" s="7">
        <f>VLOOKUP($A85,$A$2:O$51,O$83)</f>
        <v>0</v>
      </c>
      <c r="P85" s="7">
        <f>VLOOKUP($A85,$A$2:P$51,P$83)</f>
        <v>0</v>
      </c>
      <c r="Q85" s="7">
        <f>VLOOKUP($A85,$A$2:Q$51,Q$83)</f>
        <v>0</v>
      </c>
      <c r="R85" s="7">
        <f>VLOOKUP($A85,$A$2:R$51,R$83)</f>
        <v>0</v>
      </c>
      <c r="S85" s="7">
        <f>VLOOKUP($A85,$A$2:S$51,S$83)</f>
        <v>0</v>
      </c>
      <c r="T85" s="7">
        <f>VLOOKUP($A85,$A$2:T$51,T$83)</f>
        <v>0</v>
      </c>
      <c r="U85" s="7">
        <f>VLOOKUP($A85,$A$2:U$51,U$83)</f>
        <v>0</v>
      </c>
      <c r="V85" s="7">
        <f>VLOOKUP($A85,$A$2:V$51,V$83)</f>
        <v>0</v>
      </c>
      <c r="W85" s="7">
        <f>VLOOKUP($A85,$A$2:W$51,W$83)</f>
        <v>0</v>
      </c>
      <c r="X85" s="7">
        <f>VLOOKUP($A85,$A$2:X$51,X$83)</f>
        <v>0</v>
      </c>
      <c r="Y85" s="7">
        <f>VLOOKUP($A85,$A$2:Y$51,Y$83)</f>
        <v>0</v>
      </c>
      <c r="Z85" s="7">
        <f>VLOOKUP($A85,$A$2:Z$51,Z$83)</f>
        <v>0</v>
      </c>
      <c r="AA85" s="7">
        <f>VLOOKUP($A85,$A$2:AA$51,AA$83)</f>
        <v>0</v>
      </c>
      <c r="AB85" s="7">
        <f>VLOOKUP($A85,$A$2:AB$51,AB$83)</f>
        <v>0</v>
      </c>
      <c r="AC85" s="7">
        <f>VLOOKUP($A85,$A$2:AC$51,AC$83)</f>
        <v>0</v>
      </c>
      <c r="AD85" s="7">
        <f>VLOOKUP($A85,$A$2:AD$51,AD$83)</f>
        <v>0</v>
      </c>
      <c r="AE85" s="7">
        <f>VLOOKUP($A85,$A$2:AE$51,AE$83)</f>
        <v>0</v>
      </c>
      <c r="AF85" s="7">
        <f>VLOOKUP($A85,$A$2:AF$51,AF$83)</f>
        <v>0</v>
      </c>
      <c r="AG85" s="7">
        <f>VLOOKUP($A85,$A$2:AG$51,AG$83)</f>
        <v>0</v>
      </c>
    </row>
    <row r="86" spans="1:33" s="7" customFormat="1">
      <c r="A86" s="7">
        <f t="shared" si="20"/>
        <v>5</v>
      </c>
      <c r="B86" s="7">
        <f>VLOOKUP($A86,$A$2:B$51,B$83)</f>
        <v>124.19939422607422</v>
      </c>
      <c r="C86" s="7">
        <f>VLOOKUP($A86,$A$2:C$51,C$83)</f>
        <v>118.61572265625</v>
      </c>
      <c r="D86" s="7">
        <f>VLOOKUP($A86,$A$2:D$51,D$83)</f>
        <v>154.43873596191406</v>
      </c>
      <c r="E86" s="7">
        <f>VLOOKUP($A86,$A$2:E$51,E$83)</f>
        <v>116.92479705810547</v>
      </c>
      <c r="F86" s="7">
        <f>VLOOKUP($A86,$A$2:F$51,F$83)</f>
        <v>116.69195556640625</v>
      </c>
      <c r="G86" s="7">
        <f>VLOOKUP($A86,$A$2:G$51,G$83)</f>
        <v>154.94229125976562</v>
      </c>
      <c r="H86" s="7">
        <f>VLOOKUP($A86,$A$2:H$51,H$83)</f>
        <v>0</v>
      </c>
      <c r="I86" s="7">
        <f>VLOOKUP($A86,$A$2:I$51,I$83)</f>
        <v>0</v>
      </c>
      <c r="J86" s="7">
        <f>VLOOKUP($A86,$A$2:J$51,J$83)</f>
        <v>0</v>
      </c>
      <c r="K86" s="7">
        <f>VLOOKUP($A86,$A$2:K$51,K$83)</f>
        <v>0</v>
      </c>
      <c r="L86" s="7">
        <f>VLOOKUP($A86,$A$2:L$51,L$83)</f>
        <v>0</v>
      </c>
      <c r="M86" s="7">
        <f>VLOOKUP($A86,$A$2:M$51,M$83)</f>
        <v>0</v>
      </c>
      <c r="N86" s="7">
        <f>VLOOKUP($A86,$A$2:N$51,N$83)</f>
        <v>0</v>
      </c>
      <c r="O86" s="7">
        <f>VLOOKUP($A86,$A$2:O$51,O$83)</f>
        <v>0</v>
      </c>
      <c r="P86" s="7">
        <f>VLOOKUP($A86,$A$2:P$51,P$83)</f>
        <v>0</v>
      </c>
      <c r="Q86" s="7">
        <f>VLOOKUP($A86,$A$2:Q$51,Q$83)</f>
        <v>0</v>
      </c>
      <c r="R86" s="7">
        <f>VLOOKUP($A86,$A$2:R$51,R$83)</f>
        <v>0</v>
      </c>
      <c r="S86" s="7">
        <f>VLOOKUP($A86,$A$2:S$51,S$83)</f>
        <v>0</v>
      </c>
      <c r="T86" s="7">
        <f>VLOOKUP($A86,$A$2:T$51,T$83)</f>
        <v>0</v>
      </c>
      <c r="U86" s="7">
        <f>VLOOKUP($A86,$A$2:U$51,U$83)</f>
        <v>0</v>
      </c>
      <c r="V86" s="7">
        <f>VLOOKUP($A86,$A$2:V$51,V$83)</f>
        <v>0</v>
      </c>
      <c r="W86" s="7">
        <f>VLOOKUP($A86,$A$2:W$51,W$83)</f>
        <v>0</v>
      </c>
      <c r="X86" s="7">
        <f>VLOOKUP($A86,$A$2:X$51,X$83)</f>
        <v>0</v>
      </c>
      <c r="Y86" s="7">
        <f>VLOOKUP($A86,$A$2:Y$51,Y$83)</f>
        <v>0</v>
      </c>
      <c r="Z86" s="7">
        <f>VLOOKUP($A86,$A$2:Z$51,Z$83)</f>
        <v>0</v>
      </c>
      <c r="AA86" s="7">
        <f>VLOOKUP($A86,$A$2:AA$51,AA$83)</f>
        <v>0</v>
      </c>
      <c r="AB86" s="7">
        <f>VLOOKUP($A86,$A$2:AB$51,AB$83)</f>
        <v>0</v>
      </c>
      <c r="AC86" s="7">
        <f>VLOOKUP($A86,$A$2:AC$51,AC$83)</f>
        <v>0</v>
      </c>
      <c r="AD86" s="7">
        <f>VLOOKUP($A86,$A$2:AD$51,AD$83)</f>
        <v>0</v>
      </c>
      <c r="AE86" s="7">
        <f>VLOOKUP($A86,$A$2:AE$51,AE$83)</f>
        <v>0</v>
      </c>
      <c r="AF86" s="7">
        <f>VLOOKUP($A86,$A$2:AF$51,AF$83)</f>
        <v>0</v>
      </c>
      <c r="AG86" s="7">
        <f>VLOOKUP($A86,$A$2:AG$51,AG$83)</f>
        <v>0</v>
      </c>
    </row>
    <row r="87" spans="1:33" s="7" customFormat="1">
      <c r="A87" s="7">
        <f t="shared" si="20"/>
        <v>7</v>
      </c>
      <c r="B87" s="7">
        <f>VLOOKUP($A87,$A$2:B$51,B$83)</f>
        <v>99.844139099121094</v>
      </c>
      <c r="C87" s="7">
        <f>VLOOKUP($A87,$A$2:C$51,C$83)</f>
        <v>121.62748718261719</v>
      </c>
      <c r="D87" s="7">
        <f>VLOOKUP($A87,$A$2:D$51,D$83)</f>
        <v>97.131019592285156</v>
      </c>
      <c r="E87" s="7">
        <f>VLOOKUP($A87,$A$2:E$51,E$83)</f>
        <v>94.092781066894531</v>
      </c>
      <c r="F87" s="7">
        <f>VLOOKUP($A87,$A$2:F$51,F$83)</f>
        <v>93.681350708007812</v>
      </c>
      <c r="G87" s="7">
        <f>VLOOKUP($A87,$A$2:G$51,G$83)</f>
        <v>98.265838623046875</v>
      </c>
      <c r="H87" s="7">
        <f>VLOOKUP($A87,$A$2:H$51,H$83)</f>
        <v>0</v>
      </c>
      <c r="I87" s="7">
        <f>VLOOKUP($A87,$A$2:I$51,I$83)</f>
        <v>0</v>
      </c>
      <c r="J87" s="7">
        <f>VLOOKUP($A87,$A$2:J$51,J$83)</f>
        <v>0</v>
      </c>
      <c r="K87" s="7">
        <f>VLOOKUP($A87,$A$2:K$51,K$83)</f>
        <v>0</v>
      </c>
      <c r="L87" s="7">
        <f>VLOOKUP($A87,$A$2:L$51,L$83)</f>
        <v>0</v>
      </c>
      <c r="M87" s="7">
        <f>VLOOKUP($A87,$A$2:M$51,M$83)</f>
        <v>0</v>
      </c>
      <c r="N87" s="7">
        <f>VLOOKUP($A87,$A$2:N$51,N$83)</f>
        <v>0</v>
      </c>
      <c r="O87" s="7">
        <f>VLOOKUP($A87,$A$2:O$51,O$83)</f>
        <v>0</v>
      </c>
      <c r="P87" s="7">
        <f>VLOOKUP($A87,$A$2:P$51,P$83)</f>
        <v>0</v>
      </c>
      <c r="Q87" s="7">
        <f>VLOOKUP($A87,$A$2:Q$51,Q$83)</f>
        <v>0</v>
      </c>
      <c r="R87" s="7">
        <f>VLOOKUP($A87,$A$2:R$51,R$83)</f>
        <v>0</v>
      </c>
      <c r="S87" s="7">
        <f>VLOOKUP($A87,$A$2:S$51,S$83)</f>
        <v>0</v>
      </c>
      <c r="T87" s="7">
        <f>VLOOKUP($A87,$A$2:T$51,T$83)</f>
        <v>0</v>
      </c>
      <c r="U87" s="7">
        <f>VLOOKUP($A87,$A$2:U$51,U$83)</f>
        <v>0</v>
      </c>
      <c r="V87" s="7">
        <f>VLOOKUP($A87,$A$2:V$51,V$83)</f>
        <v>0</v>
      </c>
      <c r="W87" s="7">
        <f>VLOOKUP($A87,$A$2:W$51,W$83)</f>
        <v>0</v>
      </c>
      <c r="X87" s="7">
        <f>VLOOKUP($A87,$A$2:X$51,X$83)</f>
        <v>0</v>
      </c>
      <c r="Y87" s="7">
        <f>VLOOKUP($A87,$A$2:Y$51,Y$83)</f>
        <v>0</v>
      </c>
      <c r="Z87" s="7">
        <f>VLOOKUP($A87,$A$2:Z$51,Z$83)</f>
        <v>0</v>
      </c>
      <c r="AA87" s="7">
        <f>VLOOKUP($A87,$A$2:AA$51,AA$83)</f>
        <v>0</v>
      </c>
      <c r="AB87" s="7">
        <f>VLOOKUP($A87,$A$2:AB$51,AB$83)</f>
        <v>0</v>
      </c>
      <c r="AC87" s="7">
        <f>VLOOKUP($A87,$A$2:AC$51,AC$83)</f>
        <v>0</v>
      </c>
      <c r="AD87" s="7">
        <f>VLOOKUP($A87,$A$2:AD$51,AD$83)</f>
        <v>0</v>
      </c>
      <c r="AE87" s="7">
        <f>VLOOKUP($A87,$A$2:AE$51,AE$83)</f>
        <v>0</v>
      </c>
      <c r="AF87" s="7">
        <f>VLOOKUP($A87,$A$2:AF$51,AF$83)</f>
        <v>0</v>
      </c>
      <c r="AG87" s="7">
        <f>VLOOKUP($A87,$A$2:AG$51,AG$83)</f>
        <v>0</v>
      </c>
    </row>
    <row r="88" spans="1:33" s="7" customFormat="1">
      <c r="A88" s="7">
        <f t="shared" si="20"/>
        <v>9</v>
      </c>
      <c r="B88" s="7">
        <f>VLOOKUP($A88,$A$2:B$51,B$83)</f>
        <v>83.052032470703125</v>
      </c>
      <c r="C88" s="7">
        <f>VLOOKUP($A88,$A$2:C$51,C$83)</f>
        <v>79.577980041503906</v>
      </c>
      <c r="D88" s="7">
        <f>VLOOKUP($A88,$A$2:D$51,D$83)</f>
        <v>81.621070861816406</v>
      </c>
      <c r="E88" s="7">
        <f>VLOOKUP($A88,$A$2:E$51,E$83)</f>
        <v>78.438156127929688</v>
      </c>
      <c r="F88" s="7">
        <f>VLOOKUP($A88,$A$2:F$51,F$83)</f>
        <v>78.187225341796875</v>
      </c>
      <c r="G88" s="7">
        <f>VLOOKUP($A88,$A$2:G$51,G$83)</f>
        <v>81.926254272460937</v>
      </c>
      <c r="H88" s="7">
        <f>VLOOKUP($A88,$A$2:H$51,H$83)</f>
        <v>0</v>
      </c>
      <c r="I88" s="7">
        <f>VLOOKUP($A88,$A$2:I$51,I$83)</f>
        <v>0</v>
      </c>
      <c r="J88" s="7">
        <f>VLOOKUP($A88,$A$2:J$51,J$83)</f>
        <v>0</v>
      </c>
      <c r="K88" s="7">
        <f>VLOOKUP($A88,$A$2:K$51,K$83)</f>
        <v>0</v>
      </c>
      <c r="L88" s="7">
        <f>VLOOKUP($A88,$A$2:L$51,L$83)</f>
        <v>0</v>
      </c>
      <c r="M88" s="7">
        <f>VLOOKUP($A88,$A$2:M$51,M$83)</f>
        <v>0</v>
      </c>
      <c r="N88" s="7">
        <f>VLOOKUP($A88,$A$2:N$51,N$83)</f>
        <v>0</v>
      </c>
      <c r="O88" s="7">
        <f>VLOOKUP($A88,$A$2:O$51,O$83)</f>
        <v>0</v>
      </c>
      <c r="P88" s="7">
        <f>VLOOKUP($A88,$A$2:P$51,P$83)</f>
        <v>0</v>
      </c>
      <c r="Q88" s="7">
        <f>VLOOKUP($A88,$A$2:Q$51,Q$83)</f>
        <v>0</v>
      </c>
      <c r="R88" s="7">
        <f>VLOOKUP($A88,$A$2:R$51,R$83)</f>
        <v>0</v>
      </c>
      <c r="S88" s="7">
        <f>VLOOKUP($A88,$A$2:S$51,S$83)</f>
        <v>0</v>
      </c>
      <c r="T88" s="7">
        <f>VLOOKUP($A88,$A$2:T$51,T$83)</f>
        <v>0</v>
      </c>
      <c r="U88" s="7">
        <f>VLOOKUP($A88,$A$2:U$51,U$83)</f>
        <v>0</v>
      </c>
      <c r="V88" s="7">
        <f>VLOOKUP($A88,$A$2:V$51,V$83)</f>
        <v>0</v>
      </c>
      <c r="W88" s="7">
        <f>VLOOKUP($A88,$A$2:W$51,W$83)</f>
        <v>0</v>
      </c>
      <c r="X88" s="7">
        <f>VLOOKUP($A88,$A$2:X$51,X$83)</f>
        <v>0</v>
      </c>
      <c r="Y88" s="7">
        <f>VLOOKUP($A88,$A$2:Y$51,Y$83)</f>
        <v>0</v>
      </c>
      <c r="Z88" s="7">
        <f>VLOOKUP($A88,$A$2:Z$51,Z$83)</f>
        <v>0</v>
      </c>
      <c r="AA88" s="7">
        <f>VLOOKUP($A88,$A$2:AA$51,AA$83)</f>
        <v>0</v>
      </c>
      <c r="AB88" s="7">
        <f>VLOOKUP($A88,$A$2:AB$51,AB$83)</f>
        <v>0</v>
      </c>
      <c r="AC88" s="7">
        <f>VLOOKUP($A88,$A$2:AC$51,AC$83)</f>
        <v>0</v>
      </c>
      <c r="AD88" s="7">
        <f>VLOOKUP($A88,$A$2:AD$51,AD$83)</f>
        <v>0</v>
      </c>
      <c r="AE88" s="7">
        <f>VLOOKUP($A88,$A$2:AE$51,AE$83)</f>
        <v>0</v>
      </c>
      <c r="AF88" s="7">
        <f>VLOOKUP($A88,$A$2:AF$51,AF$83)</f>
        <v>0</v>
      </c>
      <c r="AG88" s="7">
        <f>VLOOKUP($A88,$A$2:AG$51,AG$83)</f>
        <v>0</v>
      </c>
    </row>
    <row r="89" spans="1:33" s="7" customFormat="1">
      <c r="A89" s="7">
        <f t="shared" si="20"/>
        <v>11</v>
      </c>
      <c r="B89" s="7">
        <f>VLOOKUP($A89,$A$2:B$51,B$83)</f>
        <v>62.20013427734375</v>
      </c>
      <c r="C89" s="7">
        <f>VLOOKUP($A89,$A$2:C$51,C$83)</f>
        <v>59.795745849609375</v>
      </c>
      <c r="D89" s="7">
        <f>VLOOKUP($A89,$A$2:D$51,D$83)</f>
        <v>61.149116516113281</v>
      </c>
      <c r="E89" s="7">
        <f>VLOOKUP($A89,$A$2:E$51,E$83)</f>
        <v>59.03546142578125</v>
      </c>
      <c r="F89" s="7">
        <f>VLOOKUP($A89,$A$2:F$51,F$83)</f>
        <v>58.459007263183594</v>
      </c>
      <c r="G89" s="7">
        <f>VLOOKUP($A89,$A$2:G$51,G$83)</f>
        <v>61.363872528076172</v>
      </c>
      <c r="H89" s="7">
        <f>VLOOKUP($A89,$A$2:H$51,H$83)</f>
        <v>0</v>
      </c>
      <c r="I89" s="7">
        <f>VLOOKUP($A89,$A$2:I$51,I$83)</f>
        <v>0</v>
      </c>
      <c r="J89" s="7">
        <f>VLOOKUP($A89,$A$2:J$51,J$83)</f>
        <v>0</v>
      </c>
      <c r="K89" s="7">
        <f>VLOOKUP($A89,$A$2:K$51,K$83)</f>
        <v>0</v>
      </c>
      <c r="L89" s="7">
        <f>VLOOKUP($A89,$A$2:L$51,L$83)</f>
        <v>0</v>
      </c>
      <c r="M89" s="7">
        <f>VLOOKUP($A89,$A$2:M$51,M$83)</f>
        <v>0</v>
      </c>
      <c r="N89" s="7">
        <f>VLOOKUP($A89,$A$2:N$51,N$83)</f>
        <v>0</v>
      </c>
      <c r="O89" s="7">
        <f>VLOOKUP($A89,$A$2:O$51,O$83)</f>
        <v>0</v>
      </c>
      <c r="P89" s="7">
        <f>VLOOKUP($A89,$A$2:P$51,P$83)</f>
        <v>0</v>
      </c>
      <c r="Q89" s="7">
        <f>VLOOKUP($A89,$A$2:Q$51,Q$83)</f>
        <v>0</v>
      </c>
      <c r="R89" s="7">
        <f>VLOOKUP($A89,$A$2:R$51,R$83)</f>
        <v>0</v>
      </c>
      <c r="S89" s="7">
        <f>VLOOKUP($A89,$A$2:S$51,S$83)</f>
        <v>0</v>
      </c>
      <c r="T89" s="7">
        <f>VLOOKUP($A89,$A$2:T$51,T$83)</f>
        <v>0</v>
      </c>
      <c r="U89" s="7">
        <f>VLOOKUP($A89,$A$2:U$51,U$83)</f>
        <v>0</v>
      </c>
      <c r="V89" s="7">
        <f>VLOOKUP($A89,$A$2:V$51,V$83)</f>
        <v>0</v>
      </c>
      <c r="W89" s="7">
        <f>VLOOKUP($A89,$A$2:W$51,W$83)</f>
        <v>0</v>
      </c>
      <c r="X89" s="7">
        <f>VLOOKUP($A89,$A$2:X$51,X$83)</f>
        <v>0</v>
      </c>
      <c r="Y89" s="7">
        <f>VLOOKUP($A89,$A$2:Y$51,Y$83)</f>
        <v>0</v>
      </c>
      <c r="Z89" s="7">
        <f>VLOOKUP($A89,$A$2:Z$51,Z$83)</f>
        <v>0</v>
      </c>
      <c r="AA89" s="7">
        <f>VLOOKUP($A89,$A$2:AA$51,AA$83)</f>
        <v>0</v>
      </c>
      <c r="AB89" s="7">
        <f>VLOOKUP($A89,$A$2:AB$51,AB$83)</f>
        <v>0</v>
      </c>
      <c r="AC89" s="7">
        <f>VLOOKUP($A89,$A$2:AC$51,AC$83)</f>
        <v>0</v>
      </c>
      <c r="AD89" s="7">
        <f>VLOOKUP($A89,$A$2:AD$51,AD$83)</f>
        <v>0</v>
      </c>
      <c r="AE89" s="7">
        <f>VLOOKUP($A89,$A$2:AE$51,AE$83)</f>
        <v>0</v>
      </c>
      <c r="AF89" s="7">
        <f>VLOOKUP($A89,$A$2:AF$51,AF$83)</f>
        <v>0</v>
      </c>
      <c r="AG89" s="7">
        <f>VLOOKUP($A89,$A$2:AG$51,AG$83)</f>
        <v>0</v>
      </c>
    </row>
    <row r="90" spans="1:33" s="7" customFormat="1">
      <c r="A90" s="7">
        <f t="shared" si="20"/>
        <v>13</v>
      </c>
      <c r="B90" s="7">
        <f>VLOOKUP($A90,$A$2:B$51,B$83)</f>
        <v>64.754928588867188</v>
      </c>
      <c r="C90" s="7">
        <f>VLOOKUP($A90,$A$2:C$51,C$83)</f>
        <v>49.323940277099609</v>
      </c>
      <c r="D90" s="7">
        <f>VLOOKUP($A90,$A$2:D$51,D$83)</f>
        <v>50.289375305175781</v>
      </c>
      <c r="E90" s="7">
        <f>VLOOKUP($A90,$A$2:E$51,E$83)</f>
        <v>48.828868865966797</v>
      </c>
      <c r="F90" s="7">
        <f>VLOOKUP($A90,$A$2:F$51,F$83)</f>
        <v>61.306388854980469</v>
      </c>
      <c r="G90" s="7">
        <f>VLOOKUP($A90,$A$2:G$51,G$83)</f>
        <v>50.472484588623047</v>
      </c>
      <c r="H90" s="7">
        <f>VLOOKUP($A90,$A$2:H$51,H$83)</f>
        <v>0</v>
      </c>
      <c r="I90" s="7">
        <f>VLOOKUP($A90,$A$2:I$51,I$83)</f>
        <v>0</v>
      </c>
      <c r="J90" s="7">
        <f>VLOOKUP($A90,$A$2:J$51,J$83)</f>
        <v>0</v>
      </c>
      <c r="K90" s="7">
        <f>VLOOKUP($A90,$A$2:K$51,K$83)</f>
        <v>0</v>
      </c>
      <c r="L90" s="7">
        <f>VLOOKUP($A90,$A$2:L$51,L$83)</f>
        <v>0</v>
      </c>
      <c r="M90" s="7">
        <f>VLOOKUP($A90,$A$2:M$51,M$83)</f>
        <v>0</v>
      </c>
      <c r="N90" s="7">
        <f>VLOOKUP($A90,$A$2:N$51,N$83)</f>
        <v>0</v>
      </c>
      <c r="O90" s="7">
        <f>VLOOKUP($A90,$A$2:O$51,O$83)</f>
        <v>0</v>
      </c>
      <c r="P90" s="7">
        <f>VLOOKUP($A90,$A$2:P$51,P$83)</f>
        <v>0</v>
      </c>
      <c r="Q90" s="7">
        <f>VLOOKUP($A90,$A$2:Q$51,Q$83)</f>
        <v>0</v>
      </c>
      <c r="R90" s="7">
        <f>VLOOKUP($A90,$A$2:R$51,R$83)</f>
        <v>0</v>
      </c>
      <c r="S90" s="7">
        <f>VLOOKUP($A90,$A$2:S$51,S$83)</f>
        <v>0</v>
      </c>
      <c r="T90" s="7">
        <f>VLOOKUP($A90,$A$2:T$51,T$83)</f>
        <v>0</v>
      </c>
      <c r="U90" s="7">
        <f>VLOOKUP($A90,$A$2:U$51,U$83)</f>
        <v>0</v>
      </c>
      <c r="V90" s="7">
        <f>VLOOKUP($A90,$A$2:V$51,V$83)</f>
        <v>0</v>
      </c>
      <c r="W90" s="7">
        <f>VLOOKUP($A90,$A$2:W$51,W$83)</f>
        <v>0</v>
      </c>
      <c r="X90" s="7">
        <f>VLOOKUP($A90,$A$2:X$51,X$83)</f>
        <v>0</v>
      </c>
      <c r="Y90" s="7">
        <f>VLOOKUP($A90,$A$2:Y$51,Y$83)</f>
        <v>0</v>
      </c>
      <c r="Z90" s="7">
        <f>VLOOKUP($A90,$A$2:Z$51,Z$83)</f>
        <v>0</v>
      </c>
      <c r="AA90" s="7">
        <f>VLOOKUP($A90,$A$2:AA$51,AA$83)</f>
        <v>0</v>
      </c>
      <c r="AB90" s="7">
        <f>VLOOKUP($A90,$A$2:AB$51,AB$83)</f>
        <v>0</v>
      </c>
      <c r="AC90" s="7">
        <f>VLOOKUP($A90,$A$2:AC$51,AC$83)</f>
        <v>0</v>
      </c>
      <c r="AD90" s="7">
        <f>VLOOKUP($A90,$A$2:AD$51,AD$83)</f>
        <v>0</v>
      </c>
      <c r="AE90" s="7">
        <f>VLOOKUP($A90,$A$2:AE$51,AE$83)</f>
        <v>0</v>
      </c>
      <c r="AF90" s="7">
        <f>VLOOKUP($A90,$A$2:AF$51,AF$83)</f>
        <v>0</v>
      </c>
      <c r="AG90" s="7">
        <f>VLOOKUP($A90,$A$2:AG$51,AG$83)</f>
        <v>0</v>
      </c>
    </row>
    <row r="91" spans="1:33" s="7" customFormat="1">
      <c r="A91" s="7">
        <f t="shared" si="20"/>
        <v>15</v>
      </c>
      <c r="B91" s="7">
        <f>VLOOKUP($A91,$A$2:B$51,B$83)</f>
        <v>51.285572052001953</v>
      </c>
      <c r="C91" s="7">
        <f>VLOOKUP($A91,$A$2:C$51,C$83)</f>
        <v>50.056373596191406</v>
      </c>
      <c r="D91" s="7">
        <f>VLOOKUP($A91,$A$2:D$51,D$83)</f>
        <v>39.795528411865234</v>
      </c>
      <c r="E91" s="7">
        <f>VLOOKUP($A91,$A$2:E$51,E$83)</f>
        <v>38.531856536865234</v>
      </c>
      <c r="F91" s="7">
        <f>VLOOKUP($A91,$A$2:F$51,F$83)</f>
        <v>38.005138397216797</v>
      </c>
      <c r="G91" s="7">
        <f>VLOOKUP($A91,$A$2:G$51,G$83)</f>
        <v>39.992202758789063</v>
      </c>
      <c r="H91" s="7">
        <f>VLOOKUP($A91,$A$2:H$51,H$83)</f>
        <v>0</v>
      </c>
      <c r="I91" s="7">
        <f>VLOOKUP($A91,$A$2:I$51,I$83)</f>
        <v>0</v>
      </c>
      <c r="J91" s="7">
        <f>VLOOKUP($A91,$A$2:J$51,J$83)</f>
        <v>0</v>
      </c>
      <c r="K91" s="7">
        <f>VLOOKUP($A91,$A$2:K$51,K$83)</f>
        <v>0</v>
      </c>
      <c r="L91" s="7">
        <f>VLOOKUP($A91,$A$2:L$51,L$83)</f>
        <v>0</v>
      </c>
      <c r="M91" s="7">
        <f>VLOOKUP($A91,$A$2:M$51,M$83)</f>
        <v>0</v>
      </c>
      <c r="N91" s="7">
        <f>VLOOKUP($A91,$A$2:N$51,N$83)</f>
        <v>0</v>
      </c>
      <c r="O91" s="7">
        <f>VLOOKUP($A91,$A$2:O$51,O$83)</f>
        <v>0</v>
      </c>
      <c r="P91" s="7">
        <f>VLOOKUP($A91,$A$2:P$51,P$83)</f>
        <v>0</v>
      </c>
      <c r="Q91" s="7">
        <f>VLOOKUP($A91,$A$2:Q$51,Q$83)</f>
        <v>0</v>
      </c>
      <c r="R91" s="7">
        <f>VLOOKUP($A91,$A$2:R$51,R$83)</f>
        <v>0</v>
      </c>
      <c r="S91" s="7">
        <f>VLOOKUP($A91,$A$2:S$51,S$83)</f>
        <v>0</v>
      </c>
      <c r="T91" s="7">
        <f>VLOOKUP($A91,$A$2:T$51,T$83)</f>
        <v>0</v>
      </c>
      <c r="U91" s="7">
        <f>VLOOKUP($A91,$A$2:U$51,U$83)</f>
        <v>0</v>
      </c>
      <c r="V91" s="7">
        <f>VLOOKUP($A91,$A$2:V$51,V$83)</f>
        <v>0</v>
      </c>
      <c r="W91" s="7">
        <f>VLOOKUP($A91,$A$2:W$51,W$83)</f>
        <v>0</v>
      </c>
      <c r="X91" s="7">
        <f>VLOOKUP($A91,$A$2:X$51,X$83)</f>
        <v>0</v>
      </c>
      <c r="Y91" s="7">
        <f>VLOOKUP($A91,$A$2:Y$51,Y$83)</f>
        <v>0</v>
      </c>
      <c r="Z91" s="7">
        <f>VLOOKUP($A91,$A$2:Z$51,Z$83)</f>
        <v>0</v>
      </c>
      <c r="AA91" s="7">
        <f>VLOOKUP($A91,$A$2:AA$51,AA$83)</f>
        <v>0</v>
      </c>
      <c r="AB91" s="7">
        <f>VLOOKUP($A91,$A$2:AB$51,AB$83)</f>
        <v>0</v>
      </c>
      <c r="AC91" s="7">
        <f>VLOOKUP($A91,$A$2:AC$51,AC$83)</f>
        <v>0</v>
      </c>
      <c r="AD91" s="7">
        <f>VLOOKUP($A91,$A$2:AD$51,AD$83)</f>
        <v>0</v>
      </c>
      <c r="AE91" s="7">
        <f>VLOOKUP($A91,$A$2:AE$51,AE$83)</f>
        <v>0</v>
      </c>
      <c r="AF91" s="7">
        <f>VLOOKUP($A91,$A$2:AF$51,AF$83)</f>
        <v>0</v>
      </c>
      <c r="AG91" s="7">
        <f>VLOOKUP($A91,$A$2:AG$51,AG$83)</f>
        <v>0</v>
      </c>
    </row>
    <row r="92" spans="1:33" s="7" customFormat="1">
      <c r="A92" s="7">
        <f t="shared" si="20"/>
        <v>17</v>
      </c>
      <c r="B92" s="7">
        <f>VLOOKUP($A92,$A$2:B$51,B$83)</f>
        <v>40.200984954833984</v>
      </c>
      <c r="C92" s="7">
        <f>VLOOKUP($A92,$A$2:C$51,C$83)</f>
        <v>30.395971298217773</v>
      </c>
      <c r="D92" s="7">
        <f>VLOOKUP($A92,$A$2:D$51,D$83)</f>
        <v>31.189441680908203</v>
      </c>
      <c r="E92" s="7">
        <f>VLOOKUP($A92,$A$2:E$51,E$83)</f>
        <v>30.269378662109375</v>
      </c>
      <c r="F92" s="7">
        <f>VLOOKUP($A92,$A$2:F$51,F$83)</f>
        <v>29.729095458984375</v>
      </c>
      <c r="G92" s="7">
        <f>VLOOKUP($A92,$A$2:G$51,G$83)</f>
        <v>31.306991577148437</v>
      </c>
      <c r="H92" s="7">
        <f>VLOOKUP($A92,$A$2:H$51,H$83)</f>
        <v>0</v>
      </c>
      <c r="I92" s="7">
        <f>VLOOKUP($A92,$A$2:I$51,I$83)</f>
        <v>0</v>
      </c>
      <c r="J92" s="7">
        <f>VLOOKUP($A92,$A$2:J$51,J$83)</f>
        <v>0</v>
      </c>
      <c r="K92" s="7">
        <f>VLOOKUP($A92,$A$2:K$51,K$83)</f>
        <v>0</v>
      </c>
      <c r="L92" s="7">
        <f>VLOOKUP($A92,$A$2:L$51,L$83)</f>
        <v>0</v>
      </c>
      <c r="M92" s="7">
        <f>VLOOKUP($A92,$A$2:M$51,M$83)</f>
        <v>0</v>
      </c>
      <c r="N92" s="7">
        <f>VLOOKUP($A92,$A$2:N$51,N$83)</f>
        <v>0</v>
      </c>
      <c r="O92" s="7">
        <f>VLOOKUP($A92,$A$2:O$51,O$83)</f>
        <v>0</v>
      </c>
      <c r="P92" s="7">
        <f>VLOOKUP($A92,$A$2:P$51,P$83)</f>
        <v>0</v>
      </c>
      <c r="Q92" s="7">
        <f>VLOOKUP($A92,$A$2:Q$51,Q$83)</f>
        <v>0</v>
      </c>
      <c r="R92" s="7">
        <f>VLOOKUP($A92,$A$2:R$51,R$83)</f>
        <v>0</v>
      </c>
      <c r="S92" s="7">
        <f>VLOOKUP($A92,$A$2:S$51,S$83)</f>
        <v>0</v>
      </c>
      <c r="T92" s="7">
        <f>VLOOKUP($A92,$A$2:T$51,T$83)</f>
        <v>0</v>
      </c>
      <c r="U92" s="7">
        <f>VLOOKUP($A92,$A$2:U$51,U$83)</f>
        <v>0</v>
      </c>
      <c r="V92" s="7">
        <f>VLOOKUP($A92,$A$2:V$51,V$83)</f>
        <v>0</v>
      </c>
      <c r="W92" s="7">
        <f>VLOOKUP($A92,$A$2:W$51,W$83)</f>
        <v>0</v>
      </c>
      <c r="X92" s="7">
        <f>VLOOKUP($A92,$A$2:X$51,X$83)</f>
        <v>0</v>
      </c>
      <c r="Y92" s="7">
        <f>VLOOKUP($A92,$A$2:Y$51,Y$83)</f>
        <v>0</v>
      </c>
      <c r="Z92" s="7">
        <f>VLOOKUP($A92,$A$2:Z$51,Z$83)</f>
        <v>0</v>
      </c>
      <c r="AA92" s="7">
        <f>VLOOKUP($A92,$A$2:AA$51,AA$83)</f>
        <v>0</v>
      </c>
      <c r="AB92" s="7">
        <f>VLOOKUP($A92,$A$2:AB$51,AB$83)</f>
        <v>0</v>
      </c>
      <c r="AC92" s="7">
        <f>VLOOKUP($A92,$A$2:AC$51,AC$83)</f>
        <v>0</v>
      </c>
      <c r="AD92" s="7">
        <f>VLOOKUP($A92,$A$2:AD$51,AD$83)</f>
        <v>0</v>
      </c>
      <c r="AE92" s="7">
        <f>VLOOKUP($A92,$A$2:AE$51,AE$83)</f>
        <v>0</v>
      </c>
      <c r="AF92" s="7">
        <f>VLOOKUP($A92,$A$2:AF$51,AF$83)</f>
        <v>0</v>
      </c>
      <c r="AG92" s="7">
        <f>VLOOKUP($A92,$A$2:AG$51,AG$83)</f>
        <v>0</v>
      </c>
    </row>
    <row r="93" spans="1:33" s="7" customFormat="1">
      <c r="A93" s="7">
        <f t="shared" si="20"/>
        <v>19</v>
      </c>
      <c r="B93" s="7">
        <f>VLOOKUP($A93,$A$2:B$51,B$83)</f>
        <v>25.452049255371094</v>
      </c>
      <c r="C93" s="7">
        <f>VLOOKUP($A93,$A$2:C$51,C$83)</f>
        <v>24.342498779296875</v>
      </c>
      <c r="D93" s="7">
        <f>VLOOKUP($A93,$A$2:D$51,D$83)</f>
        <v>24.90272331237793</v>
      </c>
      <c r="E93" s="7">
        <f>VLOOKUP($A93,$A$2:E$51,E$83)</f>
        <v>24.056938171386719</v>
      </c>
      <c r="F93" s="7">
        <f>VLOOKUP($A93,$A$2:F$51,F$83)</f>
        <v>23.804073333740234</v>
      </c>
      <c r="G93" s="7">
        <f>VLOOKUP($A93,$A$2:G$51,G$83)</f>
        <v>25.081310272216797</v>
      </c>
      <c r="H93" s="7">
        <f>VLOOKUP($A93,$A$2:H$51,H$83)</f>
        <v>0</v>
      </c>
      <c r="I93" s="7">
        <f>VLOOKUP($A93,$A$2:I$51,I$83)</f>
        <v>0</v>
      </c>
      <c r="J93" s="7">
        <f>VLOOKUP($A93,$A$2:J$51,J$83)</f>
        <v>0</v>
      </c>
      <c r="K93" s="7">
        <f>VLOOKUP($A93,$A$2:K$51,K$83)</f>
        <v>0</v>
      </c>
      <c r="L93" s="7">
        <f>VLOOKUP($A93,$A$2:L$51,L$83)</f>
        <v>0</v>
      </c>
      <c r="M93" s="7">
        <f>VLOOKUP($A93,$A$2:M$51,M$83)</f>
        <v>0</v>
      </c>
      <c r="N93" s="7">
        <f>VLOOKUP($A93,$A$2:N$51,N$83)</f>
        <v>0</v>
      </c>
      <c r="O93" s="7">
        <f>VLOOKUP($A93,$A$2:O$51,O$83)</f>
        <v>0</v>
      </c>
      <c r="P93" s="7">
        <f>VLOOKUP($A93,$A$2:P$51,P$83)</f>
        <v>0</v>
      </c>
      <c r="Q93" s="7">
        <f>VLOOKUP($A93,$A$2:Q$51,Q$83)</f>
        <v>0</v>
      </c>
      <c r="R93" s="7">
        <f>VLOOKUP($A93,$A$2:R$51,R$83)</f>
        <v>0</v>
      </c>
      <c r="S93" s="7">
        <f>VLOOKUP($A93,$A$2:S$51,S$83)</f>
        <v>0</v>
      </c>
      <c r="T93" s="7">
        <f>VLOOKUP($A93,$A$2:T$51,T$83)</f>
        <v>0</v>
      </c>
      <c r="U93" s="7">
        <f>VLOOKUP($A93,$A$2:U$51,U$83)</f>
        <v>0</v>
      </c>
      <c r="V93" s="7">
        <f>VLOOKUP($A93,$A$2:V$51,V$83)</f>
        <v>0</v>
      </c>
      <c r="W93" s="7">
        <f>VLOOKUP($A93,$A$2:W$51,W$83)</f>
        <v>0</v>
      </c>
      <c r="X93" s="7">
        <f>VLOOKUP($A93,$A$2:X$51,X$83)</f>
        <v>0</v>
      </c>
      <c r="Y93" s="7">
        <f>VLOOKUP($A93,$A$2:Y$51,Y$83)</f>
        <v>0</v>
      </c>
      <c r="Z93" s="7">
        <f>VLOOKUP($A93,$A$2:Z$51,Z$83)</f>
        <v>0</v>
      </c>
      <c r="AA93" s="7">
        <f>VLOOKUP($A93,$A$2:AA$51,AA$83)</f>
        <v>0</v>
      </c>
      <c r="AB93" s="7">
        <f>VLOOKUP($A93,$A$2:AB$51,AB$83)</f>
        <v>0</v>
      </c>
      <c r="AC93" s="7">
        <f>VLOOKUP($A93,$A$2:AC$51,AC$83)</f>
        <v>0</v>
      </c>
      <c r="AD93" s="7">
        <f>VLOOKUP($A93,$A$2:AD$51,AD$83)</f>
        <v>0</v>
      </c>
      <c r="AE93" s="7">
        <f>VLOOKUP($A93,$A$2:AE$51,AE$83)</f>
        <v>0</v>
      </c>
      <c r="AF93" s="7">
        <f>VLOOKUP($A93,$A$2:AF$51,AF$83)</f>
        <v>0</v>
      </c>
      <c r="AG93" s="7">
        <f>VLOOKUP($A93,$A$2:AG$51,AG$83)</f>
        <v>0</v>
      </c>
    </row>
    <row r="94" spans="1:33" s="7" customFormat="1">
      <c r="A94" s="7">
        <f t="shared" si="20"/>
        <v>21</v>
      </c>
      <c r="B94" s="7">
        <f>VLOOKUP($A94,$A$2:B$51,B$83)</f>
        <v>21.240558624267578</v>
      </c>
      <c r="C94" s="7">
        <f>VLOOKUP($A94,$A$2:C$51,C$83)</f>
        <v>20.419961929321289</v>
      </c>
      <c r="D94" s="7">
        <f>VLOOKUP($A94,$A$2:D$51,D$83)</f>
        <v>21.077795028686523</v>
      </c>
      <c r="E94" s="7">
        <f>VLOOKUP($A94,$A$2:E$51,E$83)</f>
        <v>20.026618957519531</v>
      </c>
      <c r="F94" s="7">
        <f>VLOOKUP($A94,$A$2:F$51,F$83)</f>
        <v>19.926103591918945</v>
      </c>
      <c r="G94" s="7">
        <f>VLOOKUP($A94,$A$2:G$51,G$83)</f>
        <v>20.973808288574219</v>
      </c>
      <c r="H94" s="7">
        <f>VLOOKUP($A94,$A$2:H$51,H$83)</f>
        <v>0</v>
      </c>
      <c r="I94" s="7">
        <f>VLOOKUP($A94,$A$2:I$51,I$83)</f>
        <v>0</v>
      </c>
      <c r="J94" s="7">
        <f>VLOOKUP($A94,$A$2:J$51,J$83)</f>
        <v>0</v>
      </c>
      <c r="K94" s="7">
        <f>VLOOKUP($A94,$A$2:K$51,K$83)</f>
        <v>0</v>
      </c>
      <c r="L94" s="7">
        <f>VLOOKUP($A94,$A$2:L$51,L$83)</f>
        <v>0</v>
      </c>
      <c r="M94" s="7">
        <f>VLOOKUP($A94,$A$2:M$51,M$83)</f>
        <v>0</v>
      </c>
      <c r="N94" s="7">
        <f>VLOOKUP($A94,$A$2:N$51,N$83)</f>
        <v>0</v>
      </c>
      <c r="O94" s="7">
        <f>VLOOKUP($A94,$A$2:O$51,O$83)</f>
        <v>0</v>
      </c>
      <c r="P94" s="7">
        <f>VLOOKUP($A94,$A$2:P$51,P$83)</f>
        <v>0</v>
      </c>
      <c r="Q94" s="7">
        <f>VLOOKUP($A94,$A$2:Q$51,Q$83)</f>
        <v>0</v>
      </c>
      <c r="R94" s="7">
        <f>VLOOKUP($A94,$A$2:R$51,R$83)</f>
        <v>0</v>
      </c>
      <c r="S94" s="7">
        <f>VLOOKUP($A94,$A$2:S$51,S$83)</f>
        <v>0</v>
      </c>
      <c r="T94" s="7">
        <f>VLOOKUP($A94,$A$2:T$51,T$83)</f>
        <v>0</v>
      </c>
      <c r="U94" s="7">
        <f>VLOOKUP($A94,$A$2:U$51,U$83)</f>
        <v>0</v>
      </c>
      <c r="V94" s="7">
        <f>VLOOKUP($A94,$A$2:V$51,V$83)</f>
        <v>0</v>
      </c>
      <c r="W94" s="7">
        <f>VLOOKUP($A94,$A$2:W$51,W$83)</f>
        <v>0</v>
      </c>
      <c r="X94" s="7">
        <f>VLOOKUP($A94,$A$2:X$51,X$83)</f>
        <v>0</v>
      </c>
      <c r="Y94" s="7">
        <f>VLOOKUP($A94,$A$2:Y$51,Y$83)</f>
        <v>0</v>
      </c>
      <c r="Z94" s="7">
        <f>VLOOKUP($A94,$A$2:Z$51,Z$83)</f>
        <v>0</v>
      </c>
      <c r="AA94" s="7">
        <f>VLOOKUP($A94,$A$2:AA$51,AA$83)</f>
        <v>0</v>
      </c>
      <c r="AB94" s="7">
        <f>VLOOKUP($A94,$A$2:AB$51,AB$83)</f>
        <v>0</v>
      </c>
      <c r="AC94" s="7">
        <f>VLOOKUP($A94,$A$2:AC$51,AC$83)</f>
        <v>0</v>
      </c>
      <c r="AD94" s="7">
        <f>VLOOKUP($A94,$A$2:AD$51,AD$83)</f>
        <v>0</v>
      </c>
      <c r="AE94" s="7">
        <f>VLOOKUP($A94,$A$2:AE$51,AE$83)</f>
        <v>0</v>
      </c>
      <c r="AF94" s="7">
        <f>VLOOKUP($A94,$A$2:AF$51,AF$83)</f>
        <v>0</v>
      </c>
      <c r="AG94" s="7">
        <f>VLOOKUP($A94,$A$2:AG$51,AG$83)</f>
        <v>0</v>
      </c>
    </row>
    <row r="95" spans="1:33" s="7" customFormat="1">
      <c r="A95" s="7">
        <f t="shared" si="20"/>
        <v>23</v>
      </c>
      <c r="B95" s="7">
        <f>VLOOKUP($A95,$A$2:B$51,B$83)</f>
        <v>24.756673812866211</v>
      </c>
      <c r="C95" s="7">
        <f>VLOOKUP($A95,$A$2:C$51,C$83)</f>
        <v>18.790073394775391</v>
      </c>
      <c r="D95" s="7">
        <f>VLOOKUP($A95,$A$2:D$51,D$83)</f>
        <v>24.754493713378906</v>
      </c>
      <c r="E95" s="7">
        <f>VLOOKUP($A95,$A$2:E$51,E$83)</f>
        <v>18.469955444335937</v>
      </c>
      <c r="F95" s="7">
        <f>VLOOKUP($A95,$A$2:F$51,F$83)</f>
        <v>18.319868087768555</v>
      </c>
      <c r="G95" s="7">
        <f>VLOOKUP($A95,$A$2:G$51,G$83)</f>
        <v>19.287403106689453</v>
      </c>
      <c r="H95" s="7">
        <f>VLOOKUP($A95,$A$2:H$51,H$83)</f>
        <v>0</v>
      </c>
      <c r="I95" s="7">
        <f>VLOOKUP($A95,$A$2:I$51,I$83)</f>
        <v>0</v>
      </c>
      <c r="J95" s="7">
        <f>VLOOKUP($A95,$A$2:J$51,J$83)</f>
        <v>0</v>
      </c>
      <c r="K95" s="7">
        <f>VLOOKUP($A95,$A$2:K$51,K$83)</f>
        <v>0</v>
      </c>
      <c r="L95" s="7">
        <f>VLOOKUP($A95,$A$2:L$51,L$83)</f>
        <v>0</v>
      </c>
      <c r="M95" s="7">
        <f>VLOOKUP($A95,$A$2:M$51,M$83)</f>
        <v>0</v>
      </c>
      <c r="N95" s="7">
        <f>VLOOKUP($A95,$A$2:N$51,N$83)</f>
        <v>0</v>
      </c>
      <c r="O95" s="7">
        <f>VLOOKUP($A95,$A$2:O$51,O$83)</f>
        <v>0</v>
      </c>
      <c r="P95" s="7">
        <f>VLOOKUP($A95,$A$2:P$51,P$83)</f>
        <v>0</v>
      </c>
      <c r="Q95" s="7">
        <f>VLOOKUP($A95,$A$2:Q$51,Q$83)</f>
        <v>0</v>
      </c>
      <c r="R95" s="7">
        <f>VLOOKUP($A95,$A$2:R$51,R$83)</f>
        <v>0</v>
      </c>
      <c r="S95" s="7">
        <f>VLOOKUP($A95,$A$2:S$51,S$83)</f>
        <v>0</v>
      </c>
      <c r="T95" s="7">
        <f>VLOOKUP($A95,$A$2:T$51,T$83)</f>
        <v>0</v>
      </c>
      <c r="U95" s="7">
        <f>VLOOKUP($A95,$A$2:U$51,U$83)</f>
        <v>0</v>
      </c>
      <c r="V95" s="7">
        <f>VLOOKUP($A95,$A$2:V$51,V$83)</f>
        <v>0</v>
      </c>
      <c r="W95" s="7">
        <f>VLOOKUP($A95,$A$2:W$51,W$83)</f>
        <v>0</v>
      </c>
      <c r="X95" s="7">
        <f>VLOOKUP($A95,$A$2:X$51,X$83)</f>
        <v>0</v>
      </c>
      <c r="Y95" s="7">
        <f>VLOOKUP($A95,$A$2:Y$51,Y$83)</f>
        <v>0</v>
      </c>
      <c r="Z95" s="7">
        <f>VLOOKUP($A95,$A$2:Z$51,Z$83)</f>
        <v>0</v>
      </c>
      <c r="AA95" s="7">
        <f>VLOOKUP($A95,$A$2:AA$51,AA$83)</f>
        <v>0</v>
      </c>
      <c r="AB95" s="7">
        <f>VLOOKUP($A95,$A$2:AB$51,AB$83)</f>
        <v>0</v>
      </c>
      <c r="AC95" s="7">
        <f>VLOOKUP($A95,$A$2:AC$51,AC$83)</f>
        <v>0</v>
      </c>
      <c r="AD95" s="7">
        <f>VLOOKUP($A95,$A$2:AD$51,AD$83)</f>
        <v>0</v>
      </c>
      <c r="AE95" s="7">
        <f>VLOOKUP($A95,$A$2:AE$51,AE$83)</f>
        <v>0</v>
      </c>
      <c r="AF95" s="7">
        <f>VLOOKUP($A95,$A$2:AF$51,AF$83)</f>
        <v>0</v>
      </c>
      <c r="AG95" s="7">
        <f>VLOOKUP($A95,$A$2:AG$51,AG$83)</f>
        <v>0</v>
      </c>
    </row>
    <row r="96" spans="1:33" s="7" customFormat="1">
      <c r="A96" s="7">
        <f t="shared" si="20"/>
        <v>25</v>
      </c>
      <c r="B96" s="7">
        <f>VLOOKUP($A96,$A$2:B$51,B$83)</f>
        <v>20.261800765991211</v>
      </c>
      <c r="C96" s="7">
        <f>VLOOKUP($A96,$A$2:C$51,C$83)</f>
        <v>15.347185134887695</v>
      </c>
      <c r="D96" s="7">
        <f>VLOOKUP($A96,$A$2:D$51,D$83)</f>
        <v>15.928157806396484</v>
      </c>
      <c r="E96" s="7">
        <f>VLOOKUP($A96,$A$2:E$51,E$83)</f>
        <v>19.049798965454102</v>
      </c>
      <c r="F96" s="7">
        <f>VLOOKUP($A96,$A$2:F$51,F$83)</f>
        <v>14.96966552734375</v>
      </c>
      <c r="G96" s="7">
        <f>VLOOKUP($A96,$A$2:G$51,G$83)</f>
        <v>15.749570846557617</v>
      </c>
      <c r="H96" s="7">
        <f>VLOOKUP($A96,$A$2:H$51,H$83)</f>
        <v>0</v>
      </c>
      <c r="I96" s="7">
        <f>VLOOKUP($A96,$A$2:I$51,I$83)</f>
        <v>0</v>
      </c>
      <c r="J96" s="7">
        <f>VLOOKUP($A96,$A$2:J$51,J$83)</f>
        <v>0</v>
      </c>
      <c r="K96" s="7">
        <f>VLOOKUP($A96,$A$2:K$51,K$83)</f>
        <v>0</v>
      </c>
      <c r="L96" s="7">
        <f>VLOOKUP($A96,$A$2:L$51,L$83)</f>
        <v>0</v>
      </c>
      <c r="M96" s="7">
        <f>VLOOKUP($A96,$A$2:M$51,M$83)</f>
        <v>0</v>
      </c>
      <c r="N96" s="7">
        <f>VLOOKUP($A96,$A$2:N$51,N$83)</f>
        <v>0</v>
      </c>
      <c r="O96" s="7">
        <f>VLOOKUP($A96,$A$2:O$51,O$83)</f>
        <v>0</v>
      </c>
      <c r="P96" s="7">
        <f>VLOOKUP($A96,$A$2:P$51,P$83)</f>
        <v>0</v>
      </c>
      <c r="Q96" s="7">
        <f>VLOOKUP($A96,$A$2:Q$51,Q$83)</f>
        <v>0</v>
      </c>
      <c r="R96" s="7">
        <f>VLOOKUP($A96,$A$2:R$51,R$83)</f>
        <v>0</v>
      </c>
      <c r="S96" s="7">
        <f>VLOOKUP($A96,$A$2:S$51,S$83)</f>
        <v>0</v>
      </c>
      <c r="T96" s="7">
        <f>VLOOKUP($A96,$A$2:T$51,T$83)</f>
        <v>0</v>
      </c>
      <c r="U96" s="7">
        <f>VLOOKUP($A96,$A$2:U$51,U$83)</f>
        <v>0</v>
      </c>
      <c r="V96" s="7">
        <f>VLOOKUP($A96,$A$2:V$51,V$83)</f>
        <v>0</v>
      </c>
      <c r="W96" s="7">
        <f>VLOOKUP($A96,$A$2:W$51,W$83)</f>
        <v>0</v>
      </c>
      <c r="X96" s="7">
        <f>VLOOKUP($A96,$A$2:X$51,X$83)</f>
        <v>0</v>
      </c>
      <c r="Y96" s="7">
        <f>VLOOKUP($A96,$A$2:Y$51,Y$83)</f>
        <v>0</v>
      </c>
      <c r="Z96" s="7">
        <f>VLOOKUP($A96,$A$2:Z$51,Z$83)</f>
        <v>0</v>
      </c>
      <c r="AA96" s="7">
        <f>VLOOKUP($A96,$A$2:AA$51,AA$83)</f>
        <v>0</v>
      </c>
      <c r="AB96" s="7">
        <f>VLOOKUP($A96,$A$2:AB$51,AB$83)</f>
        <v>0</v>
      </c>
      <c r="AC96" s="7">
        <f>VLOOKUP($A96,$A$2:AC$51,AC$83)</f>
        <v>0</v>
      </c>
      <c r="AD96" s="7">
        <f>VLOOKUP($A96,$A$2:AD$51,AD$83)</f>
        <v>0</v>
      </c>
      <c r="AE96" s="7">
        <f>VLOOKUP($A96,$A$2:AE$51,AE$83)</f>
        <v>0</v>
      </c>
      <c r="AF96" s="7">
        <f>VLOOKUP($A96,$A$2:AF$51,AF$83)</f>
        <v>0</v>
      </c>
      <c r="AG96" s="7">
        <f>VLOOKUP($A96,$A$2:AG$51,AG$83)</f>
        <v>0</v>
      </c>
    </row>
    <row r="97" spans="1:33" s="7" customFormat="1">
      <c r="A97" s="7">
        <f t="shared" si="20"/>
        <v>27</v>
      </c>
      <c r="B97" s="7">
        <f>VLOOKUP($A97,$A$2:B$51,B$83)</f>
        <v>12.089666366577148</v>
      </c>
      <c r="C97" s="7">
        <f>VLOOKUP($A97,$A$2:C$51,C$83)</f>
        <v>11.596857070922852</v>
      </c>
      <c r="D97" s="7">
        <f>VLOOKUP($A97,$A$2:D$51,D$83)</f>
        <v>12.085144996643066</v>
      </c>
      <c r="E97" s="7">
        <f>VLOOKUP($A97,$A$2:E$51,E$83)</f>
        <v>11.413748741149902</v>
      </c>
      <c r="F97" s="7">
        <f>VLOOKUP($A97,$A$2:F$51,F$83)</f>
        <v>11.29167652130127</v>
      </c>
      <c r="G97" s="7">
        <f>VLOOKUP($A97,$A$2:G$51,G$83)</f>
        <v>11.902036666870117</v>
      </c>
      <c r="H97" s="7">
        <f>VLOOKUP($A97,$A$2:H$51,H$83)</f>
        <v>0</v>
      </c>
      <c r="I97" s="7">
        <f>VLOOKUP($A97,$A$2:I$51,I$83)</f>
        <v>0</v>
      </c>
      <c r="J97" s="7">
        <f>VLOOKUP($A97,$A$2:J$51,J$83)</f>
        <v>0</v>
      </c>
      <c r="K97" s="7">
        <f>VLOOKUP($A97,$A$2:K$51,K$83)</f>
        <v>0</v>
      </c>
      <c r="L97" s="7">
        <f>VLOOKUP($A97,$A$2:L$51,L$83)</f>
        <v>0</v>
      </c>
      <c r="M97" s="7">
        <f>VLOOKUP($A97,$A$2:M$51,M$83)</f>
        <v>0</v>
      </c>
      <c r="N97" s="7">
        <f>VLOOKUP($A97,$A$2:N$51,N$83)</f>
        <v>0</v>
      </c>
      <c r="O97" s="7">
        <f>VLOOKUP($A97,$A$2:O$51,O$83)</f>
        <v>0</v>
      </c>
      <c r="P97" s="7">
        <f>VLOOKUP($A97,$A$2:P$51,P$83)</f>
        <v>0</v>
      </c>
      <c r="Q97" s="7">
        <f>VLOOKUP($A97,$A$2:Q$51,Q$83)</f>
        <v>0</v>
      </c>
      <c r="R97" s="7">
        <f>VLOOKUP($A97,$A$2:R$51,R$83)</f>
        <v>0</v>
      </c>
      <c r="S97" s="7">
        <f>VLOOKUP($A97,$A$2:S$51,S$83)</f>
        <v>0</v>
      </c>
      <c r="T97" s="7">
        <f>VLOOKUP($A97,$A$2:T$51,T$83)</f>
        <v>0</v>
      </c>
      <c r="U97" s="7">
        <f>VLOOKUP($A97,$A$2:U$51,U$83)</f>
        <v>0</v>
      </c>
      <c r="V97" s="7">
        <f>VLOOKUP($A97,$A$2:V$51,V$83)</f>
        <v>0</v>
      </c>
      <c r="W97" s="7">
        <f>VLOOKUP($A97,$A$2:W$51,W$83)</f>
        <v>0</v>
      </c>
      <c r="X97" s="7">
        <f>VLOOKUP($A97,$A$2:X$51,X$83)</f>
        <v>0</v>
      </c>
      <c r="Y97" s="7">
        <f>VLOOKUP($A97,$A$2:Y$51,Y$83)</f>
        <v>0</v>
      </c>
      <c r="Z97" s="7">
        <f>VLOOKUP($A97,$A$2:Z$51,Z$83)</f>
        <v>0</v>
      </c>
      <c r="AA97" s="7">
        <f>VLOOKUP($A97,$A$2:AA$51,AA$83)</f>
        <v>0</v>
      </c>
      <c r="AB97" s="7">
        <f>VLOOKUP($A97,$A$2:AB$51,AB$83)</f>
        <v>0</v>
      </c>
      <c r="AC97" s="7">
        <f>VLOOKUP($A97,$A$2:AC$51,AC$83)</f>
        <v>0</v>
      </c>
      <c r="AD97" s="7">
        <f>VLOOKUP($A97,$A$2:AD$51,AD$83)</f>
        <v>0</v>
      </c>
      <c r="AE97" s="7">
        <f>VLOOKUP($A97,$A$2:AE$51,AE$83)</f>
        <v>0</v>
      </c>
      <c r="AF97" s="7">
        <f>VLOOKUP($A97,$A$2:AF$51,AF$83)</f>
        <v>0</v>
      </c>
      <c r="AG97" s="7">
        <f>VLOOKUP($A97,$A$2:AG$51,AG$83)</f>
        <v>0</v>
      </c>
    </row>
    <row r="98" spans="1:33" s="7" customFormat="1">
      <c r="A98" s="7">
        <f t="shared" si="20"/>
        <v>29</v>
      </c>
      <c r="B98" s="7">
        <f>VLOOKUP($A98,$A$2:B$51,B$83)</f>
        <v>9.7024774551391602</v>
      </c>
      <c r="C98" s="7">
        <f>VLOOKUP($A98,$A$2:C$51,C$83)</f>
        <v>11.935946464538574</v>
      </c>
      <c r="D98" s="7">
        <f>VLOOKUP($A98,$A$2:D$51,D$83)</f>
        <v>9.6730899810791016</v>
      </c>
      <c r="E98" s="7">
        <f>VLOOKUP($A98,$A$2:E$51,E$83)</f>
        <v>9.1418495178222656</v>
      </c>
      <c r="F98" s="7">
        <f>VLOOKUP($A98,$A$2:F$51,F$83)</f>
        <v>9.0333414077758789</v>
      </c>
      <c r="G98" s="7">
        <f>VLOOKUP($A98,$A$2:G$51,G$83)</f>
        <v>9.5216293334960937</v>
      </c>
      <c r="H98" s="7">
        <f>VLOOKUP($A98,$A$2:H$51,H$83)</f>
        <v>0</v>
      </c>
      <c r="I98" s="7">
        <f>VLOOKUP($A98,$A$2:I$51,I$83)</f>
        <v>0</v>
      </c>
      <c r="J98" s="7">
        <f>VLOOKUP($A98,$A$2:J$51,J$83)</f>
        <v>0</v>
      </c>
      <c r="K98" s="7">
        <f>VLOOKUP($A98,$A$2:K$51,K$83)</f>
        <v>0</v>
      </c>
      <c r="L98" s="7">
        <f>VLOOKUP($A98,$A$2:L$51,L$83)</f>
        <v>0</v>
      </c>
      <c r="M98" s="7">
        <f>VLOOKUP($A98,$A$2:M$51,M$83)</f>
        <v>0</v>
      </c>
      <c r="N98" s="7">
        <f>VLOOKUP($A98,$A$2:N$51,N$83)</f>
        <v>0</v>
      </c>
      <c r="O98" s="7">
        <f>VLOOKUP($A98,$A$2:O$51,O$83)</f>
        <v>0</v>
      </c>
      <c r="P98" s="7">
        <f>VLOOKUP($A98,$A$2:P$51,P$83)</f>
        <v>0</v>
      </c>
      <c r="Q98" s="7">
        <f>VLOOKUP($A98,$A$2:Q$51,Q$83)</f>
        <v>0</v>
      </c>
      <c r="R98" s="7">
        <f>VLOOKUP($A98,$A$2:R$51,R$83)</f>
        <v>0</v>
      </c>
      <c r="S98" s="7">
        <f>VLOOKUP($A98,$A$2:S$51,S$83)</f>
        <v>0</v>
      </c>
      <c r="T98" s="7">
        <f>VLOOKUP($A98,$A$2:T$51,T$83)</f>
        <v>0</v>
      </c>
      <c r="U98" s="7">
        <f>VLOOKUP($A98,$A$2:U$51,U$83)</f>
        <v>0</v>
      </c>
      <c r="V98" s="7">
        <f>VLOOKUP($A98,$A$2:V$51,V$83)</f>
        <v>0</v>
      </c>
      <c r="W98" s="7">
        <f>VLOOKUP($A98,$A$2:W$51,W$83)</f>
        <v>0</v>
      </c>
      <c r="X98" s="7">
        <f>VLOOKUP($A98,$A$2:X$51,X$83)</f>
        <v>0</v>
      </c>
      <c r="Y98" s="7">
        <f>VLOOKUP($A98,$A$2:Y$51,Y$83)</f>
        <v>0</v>
      </c>
      <c r="Z98" s="7">
        <f>VLOOKUP($A98,$A$2:Z$51,Z$83)</f>
        <v>0</v>
      </c>
      <c r="AA98" s="7">
        <f>VLOOKUP($A98,$A$2:AA$51,AA$83)</f>
        <v>0</v>
      </c>
      <c r="AB98" s="7">
        <f>VLOOKUP($A98,$A$2:AB$51,AB$83)</f>
        <v>0</v>
      </c>
      <c r="AC98" s="7">
        <f>VLOOKUP($A98,$A$2:AC$51,AC$83)</f>
        <v>0</v>
      </c>
      <c r="AD98" s="7">
        <f>VLOOKUP($A98,$A$2:AD$51,AD$83)</f>
        <v>0</v>
      </c>
      <c r="AE98" s="7">
        <f>VLOOKUP($A98,$A$2:AE$51,AE$83)</f>
        <v>0</v>
      </c>
      <c r="AF98" s="7">
        <f>VLOOKUP($A98,$A$2:AF$51,AF$83)</f>
        <v>0</v>
      </c>
      <c r="AG98" s="7">
        <f>VLOOKUP($A98,$A$2:AG$51,AG$83)</f>
        <v>0</v>
      </c>
    </row>
    <row r="99" spans="1:33" s="7" customFormat="1">
      <c r="A99" s="7">
        <f t="shared" si="20"/>
        <v>31</v>
      </c>
      <c r="B99" s="7">
        <f>VLOOKUP($A99,$A$2:B$51,B$83)</f>
        <v>8.1381454467773437</v>
      </c>
      <c r="C99" s="7">
        <f>VLOOKUP($A99,$A$2:C$51,C$83)</f>
        <v>7.8998136520385742</v>
      </c>
      <c r="D99" s="7">
        <f>VLOOKUP($A99,$A$2:D$51,D$83)</f>
        <v>10.567962646484375</v>
      </c>
      <c r="E99" s="7">
        <f>VLOOKUP($A99,$A$2:E$51,E$83)</f>
        <v>7.690546989440918</v>
      </c>
      <c r="F99" s="7">
        <f>VLOOKUP($A99,$A$2:F$51,F$83)</f>
        <v>7.6295108795166016</v>
      </c>
      <c r="G99" s="7">
        <f>VLOOKUP($A99,$A$2:G$51,G$83)</f>
        <v>8.0567636489868164</v>
      </c>
      <c r="H99" s="7">
        <f>VLOOKUP($A99,$A$2:H$51,H$83)</f>
        <v>0</v>
      </c>
      <c r="I99" s="7">
        <f>VLOOKUP($A99,$A$2:I$51,I$83)</f>
        <v>0</v>
      </c>
      <c r="J99" s="7">
        <f>VLOOKUP($A99,$A$2:J$51,J$83)</f>
        <v>0</v>
      </c>
      <c r="K99" s="7">
        <f>VLOOKUP($A99,$A$2:K$51,K$83)</f>
        <v>0</v>
      </c>
      <c r="L99" s="7">
        <f>VLOOKUP($A99,$A$2:L$51,L$83)</f>
        <v>0</v>
      </c>
      <c r="M99" s="7">
        <f>VLOOKUP($A99,$A$2:M$51,M$83)</f>
        <v>0</v>
      </c>
      <c r="N99" s="7">
        <f>VLOOKUP($A99,$A$2:N$51,N$83)</f>
        <v>0</v>
      </c>
      <c r="O99" s="7">
        <f>VLOOKUP($A99,$A$2:O$51,O$83)</f>
        <v>0</v>
      </c>
      <c r="P99" s="7">
        <f>VLOOKUP($A99,$A$2:P$51,P$83)</f>
        <v>0</v>
      </c>
      <c r="Q99" s="7">
        <f>VLOOKUP($A99,$A$2:Q$51,Q$83)</f>
        <v>0</v>
      </c>
      <c r="R99" s="7">
        <f>VLOOKUP($A99,$A$2:R$51,R$83)</f>
        <v>0</v>
      </c>
      <c r="S99" s="7">
        <f>VLOOKUP($A99,$A$2:S$51,S$83)</f>
        <v>0</v>
      </c>
      <c r="T99" s="7">
        <f>VLOOKUP($A99,$A$2:T$51,T$83)</f>
        <v>0</v>
      </c>
      <c r="U99" s="7">
        <f>VLOOKUP($A99,$A$2:U$51,U$83)</f>
        <v>0</v>
      </c>
      <c r="V99" s="7">
        <f>VLOOKUP($A99,$A$2:V$51,V$83)</f>
        <v>0</v>
      </c>
      <c r="W99" s="7">
        <f>VLOOKUP($A99,$A$2:W$51,W$83)</f>
        <v>0</v>
      </c>
      <c r="X99" s="7">
        <f>VLOOKUP($A99,$A$2:X$51,X$83)</f>
        <v>0</v>
      </c>
      <c r="Y99" s="7">
        <f>VLOOKUP($A99,$A$2:Y$51,Y$83)</f>
        <v>0</v>
      </c>
      <c r="Z99" s="7">
        <f>VLOOKUP($A99,$A$2:Z$51,Z$83)</f>
        <v>0</v>
      </c>
      <c r="AA99" s="7">
        <f>VLOOKUP($A99,$A$2:AA$51,AA$83)</f>
        <v>0</v>
      </c>
      <c r="AB99" s="7">
        <f>VLOOKUP($A99,$A$2:AB$51,AB$83)</f>
        <v>0</v>
      </c>
      <c r="AC99" s="7">
        <f>VLOOKUP($A99,$A$2:AC$51,AC$83)</f>
        <v>0</v>
      </c>
      <c r="AD99" s="7">
        <f>VLOOKUP($A99,$A$2:AD$51,AD$83)</f>
        <v>0</v>
      </c>
      <c r="AE99" s="7">
        <f>VLOOKUP($A99,$A$2:AE$51,AE$83)</f>
        <v>0</v>
      </c>
      <c r="AF99" s="7">
        <f>VLOOKUP($A99,$A$2:AF$51,AF$83)</f>
        <v>0</v>
      </c>
      <c r="AG99" s="7">
        <f>VLOOKUP($A99,$A$2:AG$51,AG$83)</f>
        <v>0</v>
      </c>
    </row>
    <row r="100" spans="1:33" s="7" customFormat="1">
      <c r="A100" s="7">
        <f t="shared" si="20"/>
        <v>33</v>
      </c>
      <c r="B100" s="7">
        <f>VLOOKUP($A100,$A$2:B$51,B$83)</f>
        <v>6.1036086082458496</v>
      </c>
      <c r="C100" s="7">
        <f>VLOOKUP($A100,$A$2:C$51,C$83)</f>
        <v>7.5335969924926758</v>
      </c>
      <c r="D100" s="7">
        <f>VLOOKUP($A100,$A$2:D$51,D$83)</f>
        <v>7.895453929901123</v>
      </c>
      <c r="E100" s="7">
        <f>VLOOKUP($A100,$A$2:E$51,E$83)</f>
        <v>5.7635507583618164</v>
      </c>
      <c r="F100" s="7">
        <f>VLOOKUP($A100,$A$2:F$51,F$83)</f>
        <v>5.7373924255371094</v>
      </c>
      <c r="G100" s="7">
        <f>VLOOKUP($A100,$A$2:G$51,G$83)</f>
        <v>6.0425724983215332</v>
      </c>
      <c r="H100" s="7">
        <f>VLOOKUP($A100,$A$2:H$51,H$83)</f>
        <v>0</v>
      </c>
      <c r="I100" s="7">
        <f>VLOOKUP($A100,$A$2:I$51,I$83)</f>
        <v>0</v>
      </c>
      <c r="J100" s="7">
        <f>VLOOKUP($A100,$A$2:J$51,J$83)</f>
        <v>0</v>
      </c>
      <c r="K100" s="7">
        <f>VLOOKUP($A100,$A$2:K$51,K$83)</f>
        <v>0</v>
      </c>
      <c r="L100" s="7">
        <f>VLOOKUP($A100,$A$2:L$51,L$83)</f>
        <v>0</v>
      </c>
      <c r="M100" s="7">
        <f>VLOOKUP($A100,$A$2:M$51,M$83)</f>
        <v>0</v>
      </c>
      <c r="N100" s="7">
        <f>VLOOKUP($A100,$A$2:N$51,N$83)</f>
        <v>0</v>
      </c>
      <c r="O100" s="7">
        <f>VLOOKUP($A100,$A$2:O$51,O$83)</f>
        <v>0</v>
      </c>
      <c r="P100" s="7">
        <f>VLOOKUP($A100,$A$2:P$51,P$83)</f>
        <v>0</v>
      </c>
      <c r="Q100" s="7">
        <f>VLOOKUP($A100,$A$2:Q$51,Q$83)</f>
        <v>0</v>
      </c>
      <c r="R100" s="7">
        <f>VLOOKUP($A100,$A$2:R$51,R$83)</f>
        <v>0</v>
      </c>
      <c r="S100" s="7">
        <f>VLOOKUP($A100,$A$2:S$51,S$83)</f>
        <v>0</v>
      </c>
      <c r="T100" s="7">
        <f>VLOOKUP($A100,$A$2:T$51,T$83)</f>
        <v>0</v>
      </c>
      <c r="U100" s="7">
        <f>VLOOKUP($A100,$A$2:U$51,U$83)</f>
        <v>0</v>
      </c>
      <c r="V100" s="7">
        <f>VLOOKUP($A100,$A$2:V$51,V$83)</f>
        <v>0</v>
      </c>
      <c r="W100" s="7">
        <f>VLOOKUP($A100,$A$2:W$51,W$83)</f>
        <v>0</v>
      </c>
      <c r="X100" s="7">
        <f>VLOOKUP($A100,$A$2:X$51,X$83)</f>
        <v>0</v>
      </c>
      <c r="Y100" s="7">
        <f>VLOOKUP($A100,$A$2:Y$51,Y$83)</f>
        <v>0</v>
      </c>
      <c r="Z100" s="7">
        <f>VLOOKUP($A100,$A$2:Z$51,Z$83)</f>
        <v>0</v>
      </c>
      <c r="AA100" s="7">
        <f>VLOOKUP($A100,$A$2:AA$51,AA$83)</f>
        <v>0</v>
      </c>
      <c r="AB100" s="7">
        <f>VLOOKUP($A100,$A$2:AB$51,AB$83)</f>
        <v>0</v>
      </c>
      <c r="AC100" s="7">
        <f>VLOOKUP($A100,$A$2:AC$51,AC$83)</f>
        <v>0</v>
      </c>
      <c r="AD100" s="7">
        <f>VLOOKUP($A100,$A$2:AD$51,AD$83)</f>
        <v>0</v>
      </c>
      <c r="AE100" s="7">
        <f>VLOOKUP($A100,$A$2:AE$51,AE$83)</f>
        <v>0</v>
      </c>
      <c r="AF100" s="7">
        <f>VLOOKUP($A100,$A$2:AF$51,AF$83)</f>
        <v>0</v>
      </c>
      <c r="AG100" s="7">
        <f>VLOOKUP($A100,$A$2:AG$51,AG$83)</f>
        <v>0</v>
      </c>
    </row>
    <row r="101" spans="1:33" s="7" customFormat="1">
      <c r="A101" s="7">
        <f t="shared" si="20"/>
        <v>35</v>
      </c>
      <c r="B101" s="7">
        <f>VLOOKUP($A101,$A$2:B$51,B$83)</f>
        <v>3.1542577743530273</v>
      </c>
      <c r="C101" s="7">
        <f>VLOOKUP($A101,$A$2:C$51,C$83)</f>
        <v>3.1041209697723389</v>
      </c>
      <c r="D101" s="7">
        <f>VLOOKUP($A101,$A$2:D$51,D$83)</f>
        <v>2.6245517730712891</v>
      </c>
      <c r="E101" s="7">
        <f>VLOOKUP($A101,$A$2:E$51,E$83)</f>
        <v>3.0133743286132812</v>
      </c>
      <c r="F101" s="7">
        <f>VLOOKUP($A101,$A$2:F$51,F$83)</f>
        <v>2.3668439388275146</v>
      </c>
      <c r="G101" s="7">
        <f>VLOOKUP($A101,$A$2:G$51,G$83)</f>
        <v>2.4523427486419678</v>
      </c>
      <c r="H101" s="7">
        <f>VLOOKUP($A101,$A$2:H$51,H$83)</f>
        <v>0</v>
      </c>
      <c r="I101" s="7">
        <f>VLOOKUP($A101,$A$2:I$51,I$83)</f>
        <v>0</v>
      </c>
      <c r="J101" s="7">
        <f>VLOOKUP($A101,$A$2:J$51,J$83)</f>
        <v>0</v>
      </c>
      <c r="K101" s="7">
        <f>VLOOKUP($A101,$A$2:K$51,K$83)</f>
        <v>0</v>
      </c>
      <c r="L101" s="7">
        <f>VLOOKUP($A101,$A$2:L$51,L$83)</f>
        <v>0</v>
      </c>
      <c r="M101" s="7">
        <f>VLOOKUP($A101,$A$2:M$51,M$83)</f>
        <v>0</v>
      </c>
      <c r="N101" s="7">
        <f>VLOOKUP($A101,$A$2:N$51,N$83)</f>
        <v>0</v>
      </c>
      <c r="O101" s="7">
        <f>VLOOKUP($A101,$A$2:O$51,O$83)</f>
        <v>0</v>
      </c>
      <c r="P101" s="7">
        <f>VLOOKUP($A101,$A$2:P$51,P$83)</f>
        <v>0</v>
      </c>
      <c r="Q101" s="7">
        <f>VLOOKUP($A101,$A$2:Q$51,Q$83)</f>
        <v>0</v>
      </c>
      <c r="R101" s="7">
        <f>VLOOKUP($A101,$A$2:R$51,R$83)</f>
        <v>0</v>
      </c>
      <c r="S101" s="7">
        <f>VLOOKUP($A101,$A$2:S$51,S$83)</f>
        <v>0</v>
      </c>
      <c r="T101" s="7">
        <f>VLOOKUP($A101,$A$2:T$51,T$83)</f>
        <v>0</v>
      </c>
      <c r="U101" s="7">
        <f>VLOOKUP($A101,$A$2:U$51,U$83)</f>
        <v>0</v>
      </c>
      <c r="V101" s="7">
        <f>VLOOKUP($A101,$A$2:V$51,V$83)</f>
        <v>0</v>
      </c>
      <c r="W101" s="7">
        <f>VLOOKUP($A101,$A$2:W$51,W$83)</f>
        <v>0</v>
      </c>
      <c r="X101" s="7">
        <f>VLOOKUP($A101,$A$2:X$51,X$83)</f>
        <v>0</v>
      </c>
      <c r="Y101" s="7">
        <f>VLOOKUP($A101,$A$2:Y$51,Y$83)</f>
        <v>0</v>
      </c>
      <c r="Z101" s="7">
        <f>VLOOKUP($A101,$A$2:Z$51,Z$83)</f>
        <v>0</v>
      </c>
      <c r="AA101" s="7">
        <f>VLOOKUP($A101,$A$2:AA$51,AA$83)</f>
        <v>0</v>
      </c>
      <c r="AB101" s="7">
        <f>VLOOKUP($A101,$A$2:AB$51,AB$83)</f>
        <v>0</v>
      </c>
      <c r="AC101" s="7">
        <f>VLOOKUP($A101,$A$2:AC$51,AC$83)</f>
        <v>0</v>
      </c>
      <c r="AD101" s="7">
        <f>VLOOKUP($A101,$A$2:AD$51,AD$83)</f>
        <v>0</v>
      </c>
      <c r="AE101" s="7">
        <f>VLOOKUP($A101,$A$2:AE$51,AE$83)</f>
        <v>0</v>
      </c>
      <c r="AF101" s="7">
        <f>VLOOKUP($A101,$A$2:AF$51,AF$83)</f>
        <v>0</v>
      </c>
      <c r="AG101" s="7">
        <f>VLOOKUP($A101,$A$2:AG$51,AG$83)</f>
        <v>0</v>
      </c>
    </row>
    <row r="102" spans="1:33" s="7" customFormat="1">
      <c r="A102" s="7">
        <f t="shared" si="20"/>
        <v>37</v>
      </c>
      <c r="B102" s="7">
        <f>VLOOKUP($A102,$A$2:B$51,B$83)</f>
        <v>2.4776129722595215</v>
      </c>
      <c r="C102" s="7">
        <f>VLOOKUP($A102,$A$2:C$51,C$83)</f>
        <v>2.4022059440612793</v>
      </c>
      <c r="D102" s="7">
        <f>VLOOKUP($A102,$A$2:D$51,D$83)</f>
        <v>2.0577881336212158</v>
      </c>
      <c r="E102" s="7">
        <f>VLOOKUP($A102,$A$2:E$51,E$83)</f>
        <v>2.3062920570373535</v>
      </c>
      <c r="F102" s="7">
        <f>VLOOKUP($A102,$A$2:F$51,F$83)</f>
        <v>1.8310825824737549</v>
      </c>
      <c r="G102" s="7">
        <f>VLOOKUP($A102,$A$2:G$51,G$83)</f>
        <v>1.9418518543243408</v>
      </c>
      <c r="H102" s="7">
        <f>VLOOKUP($A102,$A$2:H$51,H$83)</f>
        <v>0</v>
      </c>
      <c r="I102" s="7">
        <f>VLOOKUP($A102,$A$2:I$51,I$83)</f>
        <v>0</v>
      </c>
      <c r="J102" s="7">
        <f>VLOOKUP($A102,$A$2:J$51,J$83)</f>
        <v>0</v>
      </c>
      <c r="K102" s="7">
        <f>VLOOKUP($A102,$A$2:K$51,K$83)</f>
        <v>0</v>
      </c>
      <c r="L102" s="7">
        <f>VLOOKUP($A102,$A$2:L$51,L$83)</f>
        <v>0</v>
      </c>
      <c r="M102" s="7">
        <f>VLOOKUP($A102,$A$2:M$51,M$83)</f>
        <v>0</v>
      </c>
      <c r="N102" s="7">
        <f>VLOOKUP($A102,$A$2:N$51,N$83)</f>
        <v>0</v>
      </c>
      <c r="O102" s="7">
        <f>VLOOKUP($A102,$A$2:O$51,O$83)</f>
        <v>0</v>
      </c>
      <c r="P102" s="7">
        <f>VLOOKUP($A102,$A$2:P$51,P$83)</f>
        <v>0</v>
      </c>
      <c r="Q102" s="7">
        <f>VLOOKUP($A102,$A$2:Q$51,Q$83)</f>
        <v>0</v>
      </c>
      <c r="R102" s="7">
        <f>VLOOKUP($A102,$A$2:R$51,R$83)</f>
        <v>0</v>
      </c>
      <c r="S102" s="7">
        <f>VLOOKUP($A102,$A$2:S$51,S$83)</f>
        <v>0</v>
      </c>
      <c r="T102" s="7">
        <f>VLOOKUP($A102,$A$2:T$51,T$83)</f>
        <v>0</v>
      </c>
      <c r="U102" s="7">
        <f>VLOOKUP($A102,$A$2:U$51,U$83)</f>
        <v>0</v>
      </c>
      <c r="V102" s="7">
        <f>VLOOKUP($A102,$A$2:V$51,V$83)</f>
        <v>0</v>
      </c>
      <c r="W102" s="7">
        <f>VLOOKUP($A102,$A$2:W$51,W$83)</f>
        <v>0</v>
      </c>
      <c r="X102" s="7">
        <f>VLOOKUP($A102,$A$2:X$51,X$83)</f>
        <v>0</v>
      </c>
      <c r="Y102" s="7">
        <f>VLOOKUP($A102,$A$2:Y$51,Y$83)</f>
        <v>0</v>
      </c>
      <c r="Z102" s="7">
        <f>VLOOKUP($A102,$A$2:Z$51,Z$83)</f>
        <v>0</v>
      </c>
      <c r="AA102" s="7">
        <f>VLOOKUP($A102,$A$2:AA$51,AA$83)</f>
        <v>0</v>
      </c>
      <c r="AB102" s="7">
        <f>VLOOKUP($A102,$A$2:AB$51,AB$83)</f>
        <v>0</v>
      </c>
      <c r="AC102" s="7">
        <f>VLOOKUP($A102,$A$2:AC$51,AC$83)</f>
        <v>0</v>
      </c>
      <c r="AD102" s="7">
        <f>VLOOKUP($A102,$A$2:AD$51,AD$83)</f>
        <v>0</v>
      </c>
      <c r="AE102" s="7">
        <f>VLOOKUP($A102,$A$2:AE$51,AE$83)</f>
        <v>0</v>
      </c>
      <c r="AF102" s="7">
        <f>VLOOKUP($A102,$A$2:AF$51,AF$83)</f>
        <v>0</v>
      </c>
      <c r="AG102" s="7">
        <f>VLOOKUP($A102,$A$2:AG$51,AG$83)</f>
        <v>0</v>
      </c>
    </row>
    <row r="103" spans="1:33" s="7" customFormat="1">
      <c r="A103" s="7">
        <f t="shared" si="20"/>
        <v>39</v>
      </c>
      <c r="B103" s="7">
        <f>VLOOKUP($A103,$A$2:B$51,B$83)</f>
        <v>1.4670459032058716</v>
      </c>
      <c r="C103" s="7">
        <f>VLOOKUP($A103,$A$2:C$51,C$83)</f>
        <v>1.4648661613464355</v>
      </c>
      <c r="D103" s="7">
        <f>VLOOKUP($A103,$A$2:D$51,D$83)</f>
        <v>2.0032916069030762</v>
      </c>
      <c r="E103" s="7">
        <f>VLOOKUP($A103,$A$2:E$51,E$83)</f>
        <v>1.4038300514221191</v>
      </c>
      <c r="F103" s="7">
        <f>VLOOKUP($A103,$A$2:F$51,F$83)</f>
        <v>1.7744063138961792</v>
      </c>
      <c r="G103" s="7">
        <f>VLOOKUP($A103,$A$2:G$51,G$83)</f>
        <v>1.4648661613464355</v>
      </c>
      <c r="H103" s="7">
        <f>VLOOKUP($A103,$A$2:H$51,H$83)</f>
        <v>0</v>
      </c>
      <c r="I103" s="7">
        <f>VLOOKUP($A103,$A$2:I$51,I$83)</f>
        <v>0</v>
      </c>
      <c r="J103" s="7">
        <f>VLOOKUP($A103,$A$2:J$51,J$83)</f>
        <v>0</v>
      </c>
      <c r="K103" s="7">
        <f>VLOOKUP($A103,$A$2:K$51,K$83)</f>
        <v>0</v>
      </c>
      <c r="L103" s="7">
        <f>VLOOKUP($A103,$A$2:L$51,L$83)</f>
        <v>0</v>
      </c>
      <c r="M103" s="7">
        <f>VLOOKUP($A103,$A$2:M$51,M$83)</f>
        <v>0</v>
      </c>
      <c r="N103" s="7">
        <f>VLOOKUP($A103,$A$2:N$51,N$83)</f>
        <v>0</v>
      </c>
      <c r="O103" s="7">
        <f>VLOOKUP($A103,$A$2:O$51,O$83)</f>
        <v>0</v>
      </c>
      <c r="P103" s="7">
        <f>VLOOKUP($A103,$A$2:P$51,P$83)</f>
        <v>0</v>
      </c>
      <c r="Q103" s="7">
        <f>VLOOKUP($A103,$A$2:Q$51,Q$83)</f>
        <v>0</v>
      </c>
      <c r="R103" s="7">
        <f>VLOOKUP($A103,$A$2:R$51,R$83)</f>
        <v>0</v>
      </c>
      <c r="S103" s="7">
        <f>VLOOKUP($A103,$A$2:S$51,S$83)</f>
        <v>0</v>
      </c>
      <c r="T103" s="7">
        <f>VLOOKUP($A103,$A$2:T$51,T$83)</f>
        <v>0</v>
      </c>
      <c r="U103" s="7">
        <f>VLOOKUP($A103,$A$2:U$51,U$83)</f>
        <v>0</v>
      </c>
      <c r="V103" s="7">
        <f>VLOOKUP($A103,$A$2:V$51,V$83)</f>
        <v>0</v>
      </c>
      <c r="W103" s="7">
        <f>VLOOKUP($A103,$A$2:W$51,W$83)</f>
        <v>0</v>
      </c>
      <c r="X103" s="7">
        <f>VLOOKUP($A103,$A$2:X$51,X$83)</f>
        <v>0</v>
      </c>
      <c r="Y103" s="7">
        <f>VLOOKUP($A103,$A$2:Y$51,Y$83)</f>
        <v>0</v>
      </c>
      <c r="Z103" s="7">
        <f>VLOOKUP($A103,$A$2:Z$51,Z$83)</f>
        <v>0</v>
      </c>
      <c r="AA103" s="7">
        <f>VLOOKUP($A103,$A$2:AA$51,AA$83)</f>
        <v>0</v>
      </c>
      <c r="AB103" s="7">
        <f>VLOOKUP($A103,$A$2:AB$51,AB$83)</f>
        <v>0</v>
      </c>
      <c r="AC103" s="7">
        <f>VLOOKUP($A103,$A$2:AC$51,AC$83)</f>
        <v>0</v>
      </c>
      <c r="AD103" s="7">
        <f>VLOOKUP($A103,$A$2:AD$51,AD$83)</f>
        <v>0</v>
      </c>
      <c r="AE103" s="7">
        <f>VLOOKUP($A103,$A$2:AE$51,AE$83)</f>
        <v>0</v>
      </c>
      <c r="AF103" s="7">
        <f>VLOOKUP($A103,$A$2:AF$51,AF$83)</f>
        <v>0</v>
      </c>
      <c r="AG103" s="7">
        <f>VLOOKUP($A103,$A$2:AG$51,AG$83)</f>
        <v>0</v>
      </c>
    </row>
    <row r="104" spans="1:33" s="7" customFormat="1">
      <c r="A104" s="7">
        <f t="shared" si="20"/>
        <v>41</v>
      </c>
      <c r="B104" s="7">
        <f>VLOOKUP($A104,$A$2:B$51,B$83)</f>
        <v>1.4496071338653564</v>
      </c>
      <c r="C104" s="7">
        <f>VLOOKUP($A104,$A$2:C$51,C$83)</f>
        <v>1.467126727104187</v>
      </c>
      <c r="D104" s="7">
        <f>VLOOKUP($A104,$A$2:D$51,D$83)</f>
        <v>1.2207217216491699</v>
      </c>
      <c r="E104" s="7">
        <f>VLOOKUP($A104,$A$2:E$51,E$83)</f>
        <v>1.0986496210098267</v>
      </c>
      <c r="F104" s="7">
        <f>VLOOKUP($A104,$A$2:F$51,F$83)</f>
        <v>1.3188154697418213</v>
      </c>
      <c r="G104" s="7">
        <f>VLOOKUP($A104,$A$2:G$51,G$83)</f>
        <v>1.0986496210098267</v>
      </c>
      <c r="H104" s="7">
        <f>VLOOKUP($A104,$A$2:H$51,H$83)</f>
        <v>0</v>
      </c>
      <c r="I104" s="7">
        <f>VLOOKUP($A104,$A$2:I$51,I$83)</f>
        <v>0</v>
      </c>
      <c r="J104" s="7">
        <f>VLOOKUP($A104,$A$2:J$51,J$83)</f>
        <v>0</v>
      </c>
      <c r="K104" s="7">
        <f>VLOOKUP($A104,$A$2:K$51,K$83)</f>
        <v>0</v>
      </c>
      <c r="L104" s="7">
        <f>VLOOKUP($A104,$A$2:L$51,L$83)</f>
        <v>0</v>
      </c>
      <c r="M104" s="7">
        <f>VLOOKUP($A104,$A$2:M$51,M$83)</f>
        <v>0</v>
      </c>
      <c r="N104" s="7">
        <f>VLOOKUP($A104,$A$2:N$51,N$83)</f>
        <v>0</v>
      </c>
      <c r="O104" s="7">
        <f>VLOOKUP($A104,$A$2:O$51,O$83)</f>
        <v>0</v>
      </c>
      <c r="P104" s="7">
        <f>VLOOKUP($A104,$A$2:P$51,P$83)</f>
        <v>0</v>
      </c>
      <c r="Q104" s="7">
        <f>VLOOKUP($A104,$A$2:Q$51,Q$83)</f>
        <v>0</v>
      </c>
      <c r="R104" s="7">
        <f>VLOOKUP($A104,$A$2:R$51,R$83)</f>
        <v>0</v>
      </c>
      <c r="S104" s="7">
        <f>VLOOKUP($A104,$A$2:S$51,S$83)</f>
        <v>0</v>
      </c>
      <c r="T104" s="7">
        <f>VLOOKUP($A104,$A$2:T$51,T$83)</f>
        <v>0</v>
      </c>
      <c r="U104" s="7">
        <f>VLOOKUP($A104,$A$2:U$51,U$83)</f>
        <v>0</v>
      </c>
      <c r="V104" s="7">
        <f>VLOOKUP($A104,$A$2:V$51,V$83)</f>
        <v>0</v>
      </c>
      <c r="W104" s="7">
        <f>VLOOKUP($A104,$A$2:W$51,W$83)</f>
        <v>0</v>
      </c>
      <c r="X104" s="7">
        <f>VLOOKUP($A104,$A$2:X$51,X$83)</f>
        <v>0</v>
      </c>
      <c r="Y104" s="7">
        <f>VLOOKUP($A104,$A$2:Y$51,Y$83)</f>
        <v>0</v>
      </c>
      <c r="Z104" s="7">
        <f>VLOOKUP($A104,$A$2:Z$51,Z$83)</f>
        <v>0</v>
      </c>
      <c r="AA104" s="7">
        <f>VLOOKUP($A104,$A$2:AA$51,AA$83)</f>
        <v>0</v>
      </c>
      <c r="AB104" s="7">
        <f>VLOOKUP($A104,$A$2:AB$51,AB$83)</f>
        <v>0</v>
      </c>
      <c r="AC104" s="7">
        <f>VLOOKUP($A104,$A$2:AC$51,AC$83)</f>
        <v>0</v>
      </c>
      <c r="AD104" s="7">
        <f>VLOOKUP($A104,$A$2:AD$51,AD$83)</f>
        <v>0</v>
      </c>
      <c r="AE104" s="7">
        <f>VLOOKUP($A104,$A$2:AE$51,AE$83)</f>
        <v>0</v>
      </c>
      <c r="AF104" s="7">
        <f>VLOOKUP($A104,$A$2:AF$51,AF$83)</f>
        <v>0</v>
      </c>
      <c r="AG104" s="7">
        <f>VLOOKUP($A104,$A$2:AG$51,AG$83)</f>
        <v>0</v>
      </c>
    </row>
    <row r="105" spans="1:33" s="7" customFormat="1">
      <c r="A105" s="7">
        <f t="shared" si="20"/>
        <v>43</v>
      </c>
      <c r="B105" s="7">
        <f>VLOOKUP($A105,$A$2:B$51,B$83)</f>
        <v>1.0376135110855103</v>
      </c>
      <c r="C105" s="7">
        <f>VLOOKUP($A105,$A$2:C$51,C$83)</f>
        <v>1.3247091770172119</v>
      </c>
      <c r="D105" s="7">
        <f>VLOOKUP($A105,$A$2:D$51,D$83)</f>
        <v>1.38857102394104</v>
      </c>
      <c r="E105" s="7">
        <f>VLOOKUP($A105,$A$2:E$51,E$83)</f>
        <v>0.97657740116119385</v>
      </c>
      <c r="F105" s="7">
        <f>VLOOKUP($A105,$A$2:F$51,F$83)</f>
        <v>0.97657740116119385</v>
      </c>
      <c r="G105" s="7">
        <f>VLOOKUP($A105,$A$2:G$51,G$83)</f>
        <v>1.0376135110855103</v>
      </c>
      <c r="H105" s="7">
        <f>VLOOKUP($A105,$A$2:H$51,H$83)</f>
        <v>0</v>
      </c>
      <c r="I105" s="7">
        <f>VLOOKUP($A105,$A$2:I$51,I$83)</f>
        <v>0</v>
      </c>
      <c r="J105" s="7">
        <f>VLOOKUP($A105,$A$2:J$51,J$83)</f>
        <v>0</v>
      </c>
      <c r="K105" s="7">
        <f>VLOOKUP($A105,$A$2:K$51,K$83)</f>
        <v>0</v>
      </c>
      <c r="L105" s="7">
        <f>VLOOKUP($A105,$A$2:L$51,L$83)</f>
        <v>0</v>
      </c>
      <c r="M105" s="7">
        <f>VLOOKUP($A105,$A$2:M$51,M$83)</f>
        <v>0</v>
      </c>
      <c r="N105" s="7">
        <f>VLOOKUP($A105,$A$2:N$51,N$83)</f>
        <v>0</v>
      </c>
      <c r="O105" s="7">
        <f>VLOOKUP($A105,$A$2:O$51,O$83)</f>
        <v>0</v>
      </c>
      <c r="P105" s="7">
        <f>VLOOKUP($A105,$A$2:P$51,P$83)</f>
        <v>0</v>
      </c>
      <c r="Q105" s="7">
        <f>VLOOKUP($A105,$A$2:Q$51,Q$83)</f>
        <v>0</v>
      </c>
      <c r="R105" s="7">
        <f>VLOOKUP($A105,$A$2:R$51,R$83)</f>
        <v>0</v>
      </c>
      <c r="S105" s="7">
        <f>VLOOKUP($A105,$A$2:S$51,S$83)</f>
        <v>0</v>
      </c>
      <c r="T105" s="7">
        <f>VLOOKUP($A105,$A$2:T$51,T$83)</f>
        <v>0</v>
      </c>
      <c r="U105" s="7">
        <f>VLOOKUP($A105,$A$2:U$51,U$83)</f>
        <v>0</v>
      </c>
      <c r="V105" s="7">
        <f>VLOOKUP($A105,$A$2:V$51,V$83)</f>
        <v>0</v>
      </c>
      <c r="W105" s="7">
        <f>VLOOKUP($A105,$A$2:W$51,W$83)</f>
        <v>0</v>
      </c>
      <c r="X105" s="7">
        <f>VLOOKUP($A105,$A$2:X$51,X$83)</f>
        <v>0</v>
      </c>
      <c r="Y105" s="7">
        <f>VLOOKUP($A105,$A$2:Y$51,Y$83)</f>
        <v>0</v>
      </c>
      <c r="Z105" s="7">
        <f>VLOOKUP($A105,$A$2:Z$51,Z$83)</f>
        <v>0</v>
      </c>
      <c r="AA105" s="7">
        <f>VLOOKUP($A105,$A$2:AA$51,AA$83)</f>
        <v>0</v>
      </c>
      <c r="AB105" s="7">
        <f>VLOOKUP($A105,$A$2:AB$51,AB$83)</f>
        <v>0</v>
      </c>
      <c r="AC105" s="7">
        <f>VLOOKUP($A105,$A$2:AC$51,AC$83)</f>
        <v>0</v>
      </c>
      <c r="AD105" s="7">
        <f>VLOOKUP($A105,$A$2:AD$51,AD$83)</f>
        <v>0</v>
      </c>
      <c r="AE105" s="7">
        <f>VLOOKUP($A105,$A$2:AE$51,AE$83)</f>
        <v>0</v>
      </c>
      <c r="AF105" s="7">
        <f>VLOOKUP($A105,$A$2:AF$51,AF$83)</f>
        <v>0</v>
      </c>
      <c r="AG105" s="7">
        <f>VLOOKUP($A105,$A$2:AG$51,AG$83)</f>
        <v>0</v>
      </c>
    </row>
    <row r="106" spans="1:33" s="7" customFormat="1">
      <c r="A106" s="7">
        <f t="shared" si="20"/>
        <v>45</v>
      </c>
      <c r="B106" s="7">
        <f>VLOOKUP($A106,$A$2:B$51,B$83)</f>
        <v>0.7934691309928894</v>
      </c>
      <c r="C106" s="7">
        <f>VLOOKUP($A106,$A$2:C$51,C$83)</f>
        <v>0.7934691309928894</v>
      </c>
      <c r="D106" s="7">
        <f>VLOOKUP($A106,$A$2:D$51,D$83)</f>
        <v>1.0805648565292358</v>
      </c>
      <c r="E106" s="7">
        <f>VLOOKUP($A106,$A$2:E$51,E$83)</f>
        <v>0.73243308067321777</v>
      </c>
      <c r="F106" s="7">
        <f>VLOOKUP($A106,$A$2:F$51,F$83)</f>
        <v>0.73243308067321777</v>
      </c>
      <c r="G106" s="7">
        <f>VLOOKUP($A106,$A$2:G$51,G$83)</f>
        <v>0.7934691309928894</v>
      </c>
      <c r="H106" s="7">
        <f>VLOOKUP($A106,$A$2:H$51,H$83)</f>
        <v>0</v>
      </c>
      <c r="I106" s="7">
        <f>VLOOKUP($A106,$A$2:I$51,I$83)</f>
        <v>0</v>
      </c>
      <c r="J106" s="7">
        <f>VLOOKUP($A106,$A$2:J$51,J$83)</f>
        <v>0</v>
      </c>
      <c r="K106" s="7">
        <f>VLOOKUP($A106,$A$2:K$51,K$83)</f>
        <v>0</v>
      </c>
      <c r="L106" s="7">
        <f>VLOOKUP($A106,$A$2:L$51,L$83)</f>
        <v>0</v>
      </c>
      <c r="M106" s="7">
        <f>VLOOKUP($A106,$A$2:M$51,M$83)</f>
        <v>0</v>
      </c>
      <c r="N106" s="7">
        <f>VLOOKUP($A106,$A$2:N$51,N$83)</f>
        <v>0</v>
      </c>
      <c r="O106" s="7">
        <f>VLOOKUP($A106,$A$2:O$51,O$83)</f>
        <v>0</v>
      </c>
      <c r="P106" s="7">
        <f>VLOOKUP($A106,$A$2:P$51,P$83)</f>
        <v>0</v>
      </c>
      <c r="Q106" s="7">
        <f>VLOOKUP($A106,$A$2:Q$51,Q$83)</f>
        <v>0</v>
      </c>
      <c r="R106" s="7">
        <f>VLOOKUP($A106,$A$2:R$51,R$83)</f>
        <v>0</v>
      </c>
      <c r="S106" s="7">
        <f>VLOOKUP($A106,$A$2:S$51,S$83)</f>
        <v>0</v>
      </c>
      <c r="T106" s="7">
        <f>VLOOKUP($A106,$A$2:T$51,T$83)</f>
        <v>0</v>
      </c>
      <c r="U106" s="7">
        <f>VLOOKUP($A106,$A$2:U$51,U$83)</f>
        <v>0</v>
      </c>
      <c r="V106" s="7">
        <f>VLOOKUP($A106,$A$2:V$51,V$83)</f>
        <v>0</v>
      </c>
      <c r="W106" s="7">
        <f>VLOOKUP($A106,$A$2:W$51,W$83)</f>
        <v>0</v>
      </c>
      <c r="X106" s="7">
        <f>VLOOKUP($A106,$A$2:X$51,X$83)</f>
        <v>0</v>
      </c>
      <c r="Y106" s="7">
        <f>VLOOKUP($A106,$A$2:Y$51,Y$83)</f>
        <v>0</v>
      </c>
      <c r="Z106" s="7">
        <f>VLOOKUP($A106,$A$2:Z$51,Z$83)</f>
        <v>0</v>
      </c>
      <c r="AA106" s="7">
        <f>VLOOKUP($A106,$A$2:AA$51,AA$83)</f>
        <v>0</v>
      </c>
      <c r="AB106" s="7">
        <f>VLOOKUP($A106,$A$2:AB$51,AB$83)</f>
        <v>0</v>
      </c>
      <c r="AC106" s="7">
        <f>VLOOKUP($A106,$A$2:AC$51,AC$83)</f>
        <v>0</v>
      </c>
      <c r="AD106" s="7">
        <f>VLOOKUP($A106,$A$2:AD$51,AD$83)</f>
        <v>0</v>
      </c>
      <c r="AE106" s="7">
        <f>VLOOKUP($A106,$A$2:AE$51,AE$83)</f>
        <v>0</v>
      </c>
      <c r="AF106" s="7">
        <f>VLOOKUP($A106,$A$2:AF$51,AF$83)</f>
        <v>0</v>
      </c>
      <c r="AG106" s="7">
        <f>VLOOKUP($A106,$A$2:AG$51,AG$83)</f>
        <v>0</v>
      </c>
    </row>
    <row r="107" spans="1:33" s="7" customFormat="1">
      <c r="A107" s="7">
        <f t="shared" si="20"/>
        <v>47</v>
      </c>
      <c r="B107" s="7">
        <f>VLOOKUP($A107,$A$2:B$51,B$83)</f>
        <v>0.36621654033660889</v>
      </c>
      <c r="C107" s="7">
        <f>VLOOKUP($A107,$A$2:C$51,C$83)</f>
        <v>0.42725262045860291</v>
      </c>
      <c r="D107" s="7">
        <f>VLOOKUP($A107,$A$2:D$51,D$83)</f>
        <v>0.54254299402236938</v>
      </c>
      <c r="E107" s="7">
        <f>VLOOKUP($A107,$A$2:E$51,E$83)</f>
        <v>0.45995050668716431</v>
      </c>
      <c r="F107" s="7">
        <f>VLOOKUP($A107,$A$2:F$51,F$83)</f>
        <v>0.36621654033660889</v>
      </c>
      <c r="G107" s="7">
        <f>VLOOKUP($A107,$A$2:G$51,G$83)</f>
        <v>0.36621654033660889</v>
      </c>
      <c r="H107" s="7">
        <f>VLOOKUP($A107,$A$2:H$51,H$83)</f>
        <v>0</v>
      </c>
      <c r="I107" s="7">
        <f>VLOOKUP($A107,$A$2:I$51,I$83)</f>
        <v>0</v>
      </c>
      <c r="J107" s="7">
        <f>VLOOKUP($A107,$A$2:J$51,J$83)</f>
        <v>0</v>
      </c>
      <c r="K107" s="7">
        <f>VLOOKUP($A107,$A$2:K$51,K$83)</f>
        <v>0</v>
      </c>
      <c r="L107" s="7">
        <f>VLOOKUP($A107,$A$2:L$51,L$83)</f>
        <v>0</v>
      </c>
      <c r="M107" s="7">
        <f>VLOOKUP($A107,$A$2:M$51,M$83)</f>
        <v>0</v>
      </c>
      <c r="N107" s="7">
        <f>VLOOKUP($A107,$A$2:N$51,N$83)</f>
        <v>0</v>
      </c>
      <c r="O107" s="7">
        <f>VLOOKUP($A107,$A$2:O$51,O$83)</f>
        <v>0</v>
      </c>
      <c r="P107" s="7">
        <f>VLOOKUP($A107,$A$2:P$51,P$83)</f>
        <v>0</v>
      </c>
      <c r="Q107" s="7">
        <f>VLOOKUP($A107,$A$2:Q$51,Q$83)</f>
        <v>0</v>
      </c>
      <c r="R107" s="7">
        <f>VLOOKUP($A107,$A$2:R$51,R$83)</f>
        <v>0</v>
      </c>
      <c r="S107" s="7">
        <f>VLOOKUP($A107,$A$2:S$51,S$83)</f>
        <v>0</v>
      </c>
      <c r="T107" s="7">
        <f>VLOOKUP($A107,$A$2:T$51,T$83)</f>
        <v>0</v>
      </c>
      <c r="U107" s="7">
        <f>VLOOKUP($A107,$A$2:U$51,U$83)</f>
        <v>0</v>
      </c>
      <c r="V107" s="7">
        <f>VLOOKUP($A107,$A$2:V$51,V$83)</f>
        <v>0</v>
      </c>
      <c r="W107" s="7">
        <f>VLOOKUP($A107,$A$2:W$51,W$83)</f>
        <v>0</v>
      </c>
      <c r="X107" s="7">
        <f>VLOOKUP($A107,$A$2:X$51,X$83)</f>
        <v>0</v>
      </c>
      <c r="Y107" s="7">
        <f>VLOOKUP($A107,$A$2:Y$51,Y$83)</f>
        <v>0</v>
      </c>
      <c r="Z107" s="7">
        <f>VLOOKUP($A107,$A$2:Z$51,Z$83)</f>
        <v>0</v>
      </c>
      <c r="AA107" s="7">
        <f>VLOOKUP($A107,$A$2:AA$51,AA$83)</f>
        <v>0</v>
      </c>
      <c r="AB107" s="7">
        <f>VLOOKUP($A107,$A$2:AB$51,AB$83)</f>
        <v>0</v>
      </c>
      <c r="AC107" s="7">
        <f>VLOOKUP($A107,$A$2:AC$51,AC$83)</f>
        <v>0</v>
      </c>
      <c r="AD107" s="7">
        <f>VLOOKUP($A107,$A$2:AD$51,AD$83)</f>
        <v>0</v>
      </c>
      <c r="AE107" s="7">
        <f>VLOOKUP($A107,$A$2:AE$51,AE$83)</f>
        <v>0</v>
      </c>
      <c r="AF107" s="7">
        <f>VLOOKUP($A107,$A$2:AF$51,AF$83)</f>
        <v>0</v>
      </c>
      <c r="AG107" s="7">
        <f>VLOOKUP($A107,$A$2:AG$51,AG$83)</f>
        <v>0</v>
      </c>
    </row>
    <row r="108" spans="1:33" s="7" customFormat="1">
      <c r="A108" s="7">
        <f t="shared" si="20"/>
        <v>49</v>
      </c>
      <c r="B108" s="7">
        <f>VLOOKUP($A108,$A$2:B$51,B$83)</f>
        <v>0.30518043041229248</v>
      </c>
      <c r="C108" s="7">
        <f>VLOOKUP($A108,$A$2:C$51,C$83)</f>
        <v>0.30518043041229248</v>
      </c>
      <c r="D108" s="7">
        <f>VLOOKUP($A108,$A$2:D$51,D$83)</f>
        <v>0.36621654033660889</v>
      </c>
      <c r="E108" s="7">
        <f>VLOOKUP($A108,$A$2:E$51,E$83)</f>
        <v>0.37493595480918884</v>
      </c>
      <c r="F108" s="7">
        <f>VLOOKUP($A108,$A$2:F$51,F$83)</f>
        <v>0.30518043041229248</v>
      </c>
      <c r="G108" s="7">
        <f>VLOOKUP($A108,$A$2:G$51,G$83)</f>
        <v>0.30518043041229248</v>
      </c>
      <c r="H108" s="7">
        <f>VLOOKUP($A108,$A$2:H$51,H$83)</f>
        <v>0</v>
      </c>
      <c r="I108" s="7">
        <f>VLOOKUP($A108,$A$2:I$51,I$83)</f>
        <v>0</v>
      </c>
      <c r="J108" s="7">
        <f>VLOOKUP($A108,$A$2:J$51,J$83)</f>
        <v>0</v>
      </c>
      <c r="K108" s="7">
        <f>VLOOKUP($A108,$A$2:K$51,K$83)</f>
        <v>0</v>
      </c>
      <c r="L108" s="7">
        <f>VLOOKUP($A108,$A$2:L$51,L$83)</f>
        <v>0</v>
      </c>
      <c r="M108" s="7">
        <f>VLOOKUP($A108,$A$2:M$51,M$83)</f>
        <v>0</v>
      </c>
      <c r="N108" s="7">
        <f>VLOOKUP($A108,$A$2:N$51,N$83)</f>
        <v>0</v>
      </c>
      <c r="O108" s="7">
        <f>VLOOKUP($A108,$A$2:O$51,O$83)</f>
        <v>0</v>
      </c>
      <c r="P108" s="7">
        <f>VLOOKUP($A108,$A$2:P$51,P$83)</f>
        <v>0</v>
      </c>
      <c r="Q108" s="7">
        <f>VLOOKUP($A108,$A$2:Q$51,Q$83)</f>
        <v>0</v>
      </c>
      <c r="R108" s="7">
        <f>VLOOKUP($A108,$A$2:R$51,R$83)</f>
        <v>0</v>
      </c>
      <c r="S108" s="7">
        <f>VLOOKUP($A108,$A$2:S$51,S$83)</f>
        <v>0</v>
      </c>
      <c r="T108" s="7">
        <f>VLOOKUP($A108,$A$2:T$51,T$83)</f>
        <v>0</v>
      </c>
      <c r="U108" s="7">
        <f>VLOOKUP($A108,$A$2:U$51,U$83)</f>
        <v>0</v>
      </c>
      <c r="V108" s="7">
        <f>VLOOKUP($A108,$A$2:V$51,V$83)</f>
        <v>0</v>
      </c>
      <c r="W108" s="7">
        <f>VLOOKUP($A108,$A$2:W$51,W$83)</f>
        <v>0</v>
      </c>
      <c r="X108" s="7">
        <f>VLOOKUP($A108,$A$2:X$51,X$83)</f>
        <v>0</v>
      </c>
      <c r="Y108" s="7">
        <f>VLOOKUP($A108,$A$2:Y$51,Y$83)</f>
        <v>0</v>
      </c>
      <c r="Z108" s="7">
        <f>VLOOKUP($A108,$A$2:Z$51,Z$83)</f>
        <v>0</v>
      </c>
      <c r="AA108" s="7">
        <f>VLOOKUP($A108,$A$2:AA$51,AA$83)</f>
        <v>0</v>
      </c>
      <c r="AB108" s="7">
        <f>VLOOKUP($A108,$A$2:AB$51,AB$83)</f>
        <v>0</v>
      </c>
      <c r="AC108" s="7">
        <f>VLOOKUP($A108,$A$2:AC$51,AC$83)</f>
        <v>0</v>
      </c>
      <c r="AD108" s="7">
        <f>VLOOKUP($A108,$A$2:AD$51,AD$83)</f>
        <v>0</v>
      </c>
      <c r="AE108" s="7">
        <f>VLOOKUP($A108,$A$2:AE$51,AE$83)</f>
        <v>0</v>
      </c>
      <c r="AF108" s="7">
        <f>VLOOKUP($A108,$A$2:AF$51,AF$83)</f>
        <v>0</v>
      </c>
      <c r="AG108" s="7">
        <f>VLOOKUP($A108,$A$2:AG$51,AG$83)</f>
        <v>0</v>
      </c>
    </row>
    <row r="109" spans="1:33" s="7" customFormat="1"/>
    <row r="110" spans="1:33" s="7" customFormat="1"/>
    <row r="111" spans="1:33" s="7" customFormat="1"/>
    <row r="112" spans="1:33" s="7" customFormat="1"/>
    <row r="113" spans="35:42" s="7" customFormat="1"/>
    <row r="114" spans="35:42" s="7" customFormat="1"/>
    <row r="115" spans="35:42" s="7" customFormat="1"/>
    <row r="116" spans="35:42">
      <c r="AI116" s="7"/>
      <c r="AJ116" s="7" t="s">
        <v>5</v>
      </c>
      <c r="AK116" s="28" t="s">
        <v>20</v>
      </c>
      <c r="AL116" s="29">
        <f>data0!AP1</f>
        <v>0</v>
      </c>
      <c r="AM116" s="19">
        <v>0.5</v>
      </c>
      <c r="AN116" s="29">
        <f>data0!AP2</f>
        <v>0</v>
      </c>
      <c r="AO116" s="19">
        <v>1</v>
      </c>
      <c r="AP116" s="18">
        <f>125/2</f>
        <v>62.5</v>
      </c>
    </row>
    <row r="117" spans="35:42">
      <c r="AI117" s="7" t="s">
        <v>25</v>
      </c>
      <c r="AJ117" s="2" t="e">
        <f>AN17/A17-1</f>
        <v>#NAME?</v>
      </c>
      <c r="AK117" s="2">
        <f>1.5*AH17/A17</f>
        <v>0.60440553512699102</v>
      </c>
      <c r="AL117" s="115" t="e">
        <f>"Range " &amp; AO116 &amp;" Gain Error=" &amp;INT(AJ117*1000)/10 &amp; "% +/- " &amp;INT(AK117*1000)/10 &amp; "%"</f>
        <v>#NAME?</v>
      </c>
      <c r="AM117" s="115"/>
      <c r="AN117" s="115"/>
      <c r="AO117" s="115"/>
      <c r="AP117" s="115"/>
    </row>
    <row r="118" spans="35:42">
      <c r="AI118" s="7" t="s">
        <v>26</v>
      </c>
      <c r="AJ118" s="30" t="e">
        <f>AJ160</f>
        <v>#NAME?</v>
      </c>
      <c r="AK118" s="30" t="e">
        <f>AH160</f>
        <v>#NAME?</v>
      </c>
      <c r="AL118" s="101" t="e">
        <f>"Range" &amp;AO116 &amp; " Offset Histogram: " &amp; INT(AJ160*100)/100 &amp; " +/- " &amp; INT(AH160*100)/100 &amp; " Lux"</f>
        <v>#NAME?</v>
      </c>
      <c r="AM118" s="101"/>
      <c r="AN118" s="101"/>
      <c r="AO118" s="101"/>
      <c r="AP118" s="101"/>
    </row>
    <row r="119" spans="35:42">
      <c r="AI119" s="7" t="s">
        <v>27</v>
      </c>
      <c r="AJ119" s="31" t="e">
        <f>MAX(AL203:AL212)/AP116</f>
        <v>#NAME?</v>
      </c>
      <c r="AK119" s="31" t="e">
        <f>MAX(AH203:AH212)/AP116</f>
        <v>#NAME?</v>
      </c>
      <c r="AL119" s="101" t="e">
        <f>"Range "&amp; AO116 &amp; " `Linearity` Error: " &amp;INT(AJ119*10000)/100 &amp; " +/-"&amp;INT(AK119*10000)/100 &amp; "%"</f>
        <v>#NAME?</v>
      </c>
      <c r="AM119" s="101"/>
      <c r="AN119" s="101"/>
      <c r="AO119" s="101"/>
      <c r="AP119" s="101"/>
    </row>
    <row r="123" spans="35:42">
      <c r="AI123" t="e">
        <f>(AK160-AI160)/5</f>
        <v>#NAME?</v>
      </c>
    </row>
    <row r="124" spans="35:42">
      <c r="AI124" s="9" t="e">
        <f>AI160</f>
        <v>#NAME?</v>
      </c>
      <c r="AJ124" t="e">
        <f ca="1">_xll.HISTOGRAM(B$160:AG$160,AI$124:AI$129,AI124)</f>
        <v>#NAME?</v>
      </c>
    </row>
    <row r="125" spans="35:42">
      <c r="AI125" s="9" t="e">
        <f>AI124+AI$123</f>
        <v>#NAME?</v>
      </c>
      <c r="AJ125" s="7" t="e">
        <f ca="1">_xll.HISTOGRAM(B$160:AG$160,AI$124:AI$129,AI125)</f>
        <v>#NAME?</v>
      </c>
    </row>
    <row r="126" spans="35:42">
      <c r="AI126" s="9" t="e">
        <f>AI125+AI$123</f>
        <v>#NAME?</v>
      </c>
      <c r="AJ126" s="7" t="e">
        <f ca="1">_xll.HISTOGRAM(B$160:AG$160,AI$124:AI$129,AI126)</f>
        <v>#NAME?</v>
      </c>
    </row>
    <row r="127" spans="35:42">
      <c r="AI127" s="9" t="e">
        <f>AI126+AI$123</f>
        <v>#NAME?</v>
      </c>
      <c r="AJ127" s="7" t="e">
        <f ca="1">_xll.HISTOGRAM(B$160:AG$160,AI$124:AI$129,AI127)</f>
        <v>#NAME?</v>
      </c>
    </row>
    <row r="128" spans="35:42">
      <c r="AI128" s="9" t="e">
        <f>AI127+AI$123</f>
        <v>#NAME?</v>
      </c>
      <c r="AJ128" s="7" t="e">
        <f ca="1">_xll.HISTOGRAM(B$160:AG$160,AI$124:AI$129,AI128)</f>
        <v>#NAME?</v>
      </c>
    </row>
    <row r="129" spans="1:36">
      <c r="AI129" s="9" t="e">
        <f>AI128+AI$123</f>
        <v>#NAME?</v>
      </c>
      <c r="AJ129" s="7" t="e">
        <f ca="1">_xll.HISTOGRAM(B$160:AG$160,AI$124:AI$129,AI129)</f>
        <v>#NAME?</v>
      </c>
    </row>
    <row r="131" spans="1:36" s="7" customFormat="1"/>
    <row r="132" spans="1:36" s="7" customFormat="1">
      <c r="A132" s="7">
        <f t="shared" ref="A132:A144" si="21">A4</f>
        <v>2</v>
      </c>
      <c r="B132" s="7" t="e">
        <f t="shared" ref="B132:S132" si="22">B4*mult</f>
        <v>#NAME?</v>
      </c>
      <c r="C132" s="7" t="e">
        <f t="shared" si="22"/>
        <v>#NAME?</v>
      </c>
      <c r="D132" s="7" t="e">
        <f t="shared" si="22"/>
        <v>#NAME?</v>
      </c>
      <c r="E132" s="7" t="e">
        <f t="shared" si="22"/>
        <v>#NAME?</v>
      </c>
      <c r="F132" s="7" t="e">
        <f t="shared" si="22"/>
        <v>#NAME?</v>
      </c>
      <c r="G132" s="7" t="e">
        <f t="shared" si="22"/>
        <v>#NAME?</v>
      </c>
      <c r="H132" s="7" t="e">
        <f t="shared" si="22"/>
        <v>#NAME?</v>
      </c>
      <c r="I132" s="7" t="e">
        <f t="shared" si="22"/>
        <v>#NAME?</v>
      </c>
      <c r="J132" s="7" t="e">
        <f t="shared" si="22"/>
        <v>#NAME?</v>
      </c>
      <c r="K132" s="7" t="e">
        <f t="shared" si="22"/>
        <v>#NAME?</v>
      </c>
      <c r="L132" s="7" t="e">
        <f t="shared" si="22"/>
        <v>#NAME?</v>
      </c>
      <c r="M132" s="7" t="e">
        <f t="shared" si="22"/>
        <v>#NAME?</v>
      </c>
      <c r="N132" s="7" t="e">
        <f t="shared" si="22"/>
        <v>#NAME?</v>
      </c>
      <c r="O132" s="7" t="e">
        <f t="shared" si="22"/>
        <v>#NAME?</v>
      </c>
      <c r="P132" s="7" t="e">
        <f t="shared" si="22"/>
        <v>#NAME?</v>
      </c>
      <c r="Q132" s="7" t="e">
        <f t="shared" si="22"/>
        <v>#NAME?</v>
      </c>
      <c r="R132" s="7" t="e">
        <f t="shared" si="22"/>
        <v>#NAME?</v>
      </c>
      <c r="S132" s="7" t="e">
        <f t="shared" si="22"/>
        <v>#NAME?</v>
      </c>
      <c r="U132" s="7" t="e">
        <f t="shared" ref="U132:AG132" si="23">U4*mult</f>
        <v>#NAME?</v>
      </c>
      <c r="V132" s="7" t="e">
        <f t="shared" si="23"/>
        <v>#NAME?</v>
      </c>
      <c r="W132" s="7" t="e">
        <f t="shared" si="23"/>
        <v>#NAME?</v>
      </c>
      <c r="X132" s="7" t="e">
        <f t="shared" si="23"/>
        <v>#NAME?</v>
      </c>
      <c r="Y132" s="7" t="e">
        <f t="shared" si="23"/>
        <v>#NAME?</v>
      </c>
      <c r="Z132" s="7" t="e">
        <f t="shared" si="23"/>
        <v>#NAME?</v>
      </c>
      <c r="AA132" s="7" t="e">
        <f t="shared" si="23"/>
        <v>#NAME?</v>
      </c>
      <c r="AB132" s="7" t="e">
        <f t="shared" si="23"/>
        <v>#NAME?</v>
      </c>
      <c r="AC132" s="7" t="e">
        <f t="shared" si="23"/>
        <v>#NAME?</v>
      </c>
      <c r="AD132" s="7" t="e">
        <f t="shared" si="23"/>
        <v>#NAME?</v>
      </c>
      <c r="AE132" s="7" t="e">
        <f t="shared" si="23"/>
        <v>#NAME?</v>
      </c>
      <c r="AF132" s="7" t="e">
        <f t="shared" si="23"/>
        <v>#NAME?</v>
      </c>
      <c r="AG132" s="7" t="e">
        <f t="shared" si="23"/>
        <v>#NAME?</v>
      </c>
    </row>
    <row r="133" spans="1:36" s="7" customFormat="1">
      <c r="A133" s="7">
        <f t="shared" si="21"/>
        <v>3</v>
      </c>
      <c r="B133" s="7" t="e">
        <f t="shared" ref="B133:S133" si="24">B5*mult</f>
        <v>#NAME?</v>
      </c>
      <c r="C133" s="7" t="e">
        <f t="shared" si="24"/>
        <v>#NAME?</v>
      </c>
      <c r="D133" s="7" t="e">
        <f t="shared" si="24"/>
        <v>#NAME?</v>
      </c>
      <c r="E133" s="7" t="e">
        <f t="shared" si="24"/>
        <v>#NAME?</v>
      </c>
      <c r="F133" s="7" t="e">
        <f t="shared" si="24"/>
        <v>#NAME?</v>
      </c>
      <c r="G133" s="7" t="e">
        <f t="shared" si="24"/>
        <v>#NAME?</v>
      </c>
      <c r="H133" s="7" t="e">
        <f t="shared" si="24"/>
        <v>#NAME?</v>
      </c>
      <c r="I133" s="7" t="e">
        <f t="shared" si="24"/>
        <v>#NAME?</v>
      </c>
      <c r="J133" s="7" t="e">
        <f t="shared" si="24"/>
        <v>#NAME?</v>
      </c>
      <c r="K133" s="7" t="e">
        <f t="shared" si="24"/>
        <v>#NAME?</v>
      </c>
      <c r="L133" s="7" t="e">
        <f t="shared" si="24"/>
        <v>#NAME?</v>
      </c>
      <c r="M133" s="7" t="e">
        <f t="shared" si="24"/>
        <v>#NAME?</v>
      </c>
      <c r="N133" s="7" t="e">
        <f t="shared" si="24"/>
        <v>#NAME?</v>
      </c>
      <c r="O133" s="7" t="e">
        <f t="shared" si="24"/>
        <v>#NAME?</v>
      </c>
      <c r="P133" s="7" t="e">
        <f t="shared" si="24"/>
        <v>#NAME?</v>
      </c>
      <c r="Q133" s="7" t="e">
        <f t="shared" si="24"/>
        <v>#NAME?</v>
      </c>
      <c r="R133" s="7" t="e">
        <f t="shared" si="24"/>
        <v>#NAME?</v>
      </c>
      <c r="S133" s="7" t="e">
        <f t="shared" si="24"/>
        <v>#NAME?</v>
      </c>
      <c r="U133" s="7" t="e">
        <f t="shared" ref="U133:AG133" si="25">U5*mult</f>
        <v>#NAME?</v>
      </c>
      <c r="V133" s="7" t="e">
        <f t="shared" si="25"/>
        <v>#NAME?</v>
      </c>
      <c r="W133" s="7" t="e">
        <f t="shared" si="25"/>
        <v>#NAME?</v>
      </c>
      <c r="X133" s="7" t="e">
        <f t="shared" si="25"/>
        <v>#NAME?</v>
      </c>
      <c r="Y133" s="7" t="e">
        <f t="shared" si="25"/>
        <v>#NAME?</v>
      </c>
      <c r="Z133" s="7" t="e">
        <f t="shared" si="25"/>
        <v>#NAME?</v>
      </c>
      <c r="AA133" s="7" t="e">
        <f t="shared" si="25"/>
        <v>#NAME?</v>
      </c>
      <c r="AB133" s="7" t="e">
        <f t="shared" si="25"/>
        <v>#NAME?</v>
      </c>
      <c r="AC133" s="7" t="e">
        <f t="shared" si="25"/>
        <v>#NAME?</v>
      </c>
      <c r="AD133" s="7" t="e">
        <f t="shared" si="25"/>
        <v>#NAME?</v>
      </c>
      <c r="AE133" s="7" t="e">
        <f t="shared" si="25"/>
        <v>#NAME?</v>
      </c>
      <c r="AF133" s="7" t="e">
        <f t="shared" si="25"/>
        <v>#NAME?</v>
      </c>
      <c r="AG133" s="7" t="e">
        <f t="shared" si="25"/>
        <v>#NAME?</v>
      </c>
    </row>
    <row r="134" spans="1:36" s="7" customFormat="1">
      <c r="A134" s="7">
        <f t="shared" si="21"/>
        <v>4</v>
      </c>
      <c r="B134" s="7" t="e">
        <f t="shared" ref="B134:S134" si="26">B6*mult</f>
        <v>#NAME?</v>
      </c>
      <c r="C134" s="7" t="e">
        <f t="shared" si="26"/>
        <v>#NAME?</v>
      </c>
      <c r="D134" s="7" t="e">
        <f t="shared" si="26"/>
        <v>#NAME?</v>
      </c>
      <c r="E134" s="7" t="e">
        <f t="shared" si="26"/>
        <v>#NAME?</v>
      </c>
      <c r="F134" s="7" t="e">
        <f t="shared" si="26"/>
        <v>#NAME?</v>
      </c>
      <c r="G134" s="7" t="e">
        <f t="shared" si="26"/>
        <v>#NAME?</v>
      </c>
      <c r="H134" s="7" t="e">
        <f t="shared" si="26"/>
        <v>#NAME?</v>
      </c>
      <c r="I134" s="7" t="e">
        <f t="shared" si="26"/>
        <v>#NAME?</v>
      </c>
      <c r="J134" s="7" t="e">
        <f t="shared" si="26"/>
        <v>#NAME?</v>
      </c>
      <c r="K134" s="7" t="e">
        <f t="shared" si="26"/>
        <v>#NAME?</v>
      </c>
      <c r="L134" s="7" t="e">
        <f t="shared" si="26"/>
        <v>#NAME?</v>
      </c>
      <c r="M134" s="7" t="e">
        <f t="shared" si="26"/>
        <v>#NAME?</v>
      </c>
      <c r="N134" s="7" t="e">
        <f t="shared" si="26"/>
        <v>#NAME?</v>
      </c>
      <c r="O134" s="7" t="e">
        <f t="shared" si="26"/>
        <v>#NAME?</v>
      </c>
      <c r="P134" s="7" t="e">
        <f t="shared" si="26"/>
        <v>#NAME?</v>
      </c>
      <c r="Q134" s="7" t="e">
        <f t="shared" si="26"/>
        <v>#NAME?</v>
      </c>
      <c r="R134" s="7" t="e">
        <f t="shared" si="26"/>
        <v>#NAME?</v>
      </c>
      <c r="S134" s="7" t="e">
        <f t="shared" si="26"/>
        <v>#NAME?</v>
      </c>
      <c r="U134" s="7" t="e">
        <f t="shared" ref="U134:AG134" si="27">U6*mult</f>
        <v>#NAME?</v>
      </c>
      <c r="V134" s="7" t="e">
        <f t="shared" si="27"/>
        <v>#NAME?</v>
      </c>
      <c r="W134" s="7" t="e">
        <f t="shared" si="27"/>
        <v>#NAME?</v>
      </c>
      <c r="X134" s="7" t="e">
        <f t="shared" si="27"/>
        <v>#NAME?</v>
      </c>
      <c r="Y134" s="7" t="e">
        <f t="shared" si="27"/>
        <v>#NAME?</v>
      </c>
      <c r="Z134" s="7" t="e">
        <f t="shared" si="27"/>
        <v>#NAME?</v>
      </c>
      <c r="AA134" s="7" t="e">
        <f t="shared" si="27"/>
        <v>#NAME?</v>
      </c>
      <c r="AB134" s="7" t="e">
        <f t="shared" si="27"/>
        <v>#NAME?</v>
      </c>
      <c r="AC134" s="7" t="e">
        <f t="shared" si="27"/>
        <v>#NAME?</v>
      </c>
      <c r="AD134" s="7" t="e">
        <f t="shared" si="27"/>
        <v>#NAME?</v>
      </c>
      <c r="AE134" s="7" t="e">
        <f t="shared" si="27"/>
        <v>#NAME?</v>
      </c>
      <c r="AF134" s="7" t="e">
        <f t="shared" si="27"/>
        <v>#NAME?</v>
      </c>
      <c r="AG134" s="7" t="e">
        <f t="shared" si="27"/>
        <v>#NAME?</v>
      </c>
    </row>
    <row r="135" spans="1:36" s="7" customFormat="1">
      <c r="A135" s="7">
        <f t="shared" si="21"/>
        <v>5</v>
      </c>
      <c r="B135" s="7" t="e">
        <f t="shared" ref="B135:S135" si="28">B7*mult</f>
        <v>#NAME?</v>
      </c>
      <c r="C135" s="7" t="e">
        <f t="shared" si="28"/>
        <v>#NAME?</v>
      </c>
      <c r="D135" s="7" t="e">
        <f t="shared" si="28"/>
        <v>#NAME?</v>
      </c>
      <c r="E135" s="7" t="e">
        <f t="shared" si="28"/>
        <v>#NAME?</v>
      </c>
      <c r="F135" s="7" t="e">
        <f t="shared" si="28"/>
        <v>#NAME?</v>
      </c>
      <c r="G135" s="7" t="e">
        <f t="shared" si="28"/>
        <v>#NAME?</v>
      </c>
      <c r="H135" s="7" t="e">
        <f t="shared" si="28"/>
        <v>#NAME?</v>
      </c>
      <c r="I135" s="7" t="e">
        <f t="shared" si="28"/>
        <v>#NAME?</v>
      </c>
      <c r="J135" s="7" t="e">
        <f t="shared" si="28"/>
        <v>#NAME?</v>
      </c>
      <c r="K135" s="7" t="e">
        <f t="shared" si="28"/>
        <v>#NAME?</v>
      </c>
      <c r="L135" s="7" t="e">
        <f t="shared" si="28"/>
        <v>#NAME?</v>
      </c>
      <c r="M135" s="7" t="e">
        <f t="shared" si="28"/>
        <v>#NAME?</v>
      </c>
      <c r="N135" s="7" t="e">
        <f t="shared" si="28"/>
        <v>#NAME?</v>
      </c>
      <c r="O135" s="7" t="e">
        <f t="shared" si="28"/>
        <v>#NAME?</v>
      </c>
      <c r="P135" s="7" t="e">
        <f t="shared" si="28"/>
        <v>#NAME?</v>
      </c>
      <c r="Q135" s="7" t="e">
        <f t="shared" si="28"/>
        <v>#NAME?</v>
      </c>
      <c r="R135" s="7" t="e">
        <f t="shared" si="28"/>
        <v>#NAME?</v>
      </c>
      <c r="S135" s="7" t="e">
        <f t="shared" si="28"/>
        <v>#NAME?</v>
      </c>
      <c r="U135" s="7" t="e">
        <f t="shared" ref="U135:AG135" si="29">U7*mult</f>
        <v>#NAME?</v>
      </c>
      <c r="V135" s="7" t="e">
        <f t="shared" si="29"/>
        <v>#NAME?</v>
      </c>
      <c r="W135" s="7" t="e">
        <f t="shared" si="29"/>
        <v>#NAME?</v>
      </c>
      <c r="X135" s="7" t="e">
        <f t="shared" si="29"/>
        <v>#NAME?</v>
      </c>
      <c r="Y135" s="7" t="e">
        <f t="shared" si="29"/>
        <v>#NAME?</v>
      </c>
      <c r="Z135" s="7" t="e">
        <f t="shared" si="29"/>
        <v>#NAME?</v>
      </c>
      <c r="AA135" s="7" t="e">
        <f t="shared" si="29"/>
        <v>#NAME?</v>
      </c>
      <c r="AB135" s="7" t="e">
        <f t="shared" si="29"/>
        <v>#NAME?</v>
      </c>
      <c r="AC135" s="7" t="e">
        <f t="shared" si="29"/>
        <v>#NAME?</v>
      </c>
      <c r="AD135" s="7" t="e">
        <f t="shared" si="29"/>
        <v>#NAME?</v>
      </c>
      <c r="AE135" s="7" t="e">
        <f t="shared" si="29"/>
        <v>#NAME?</v>
      </c>
      <c r="AF135" s="7" t="e">
        <f t="shared" si="29"/>
        <v>#NAME?</v>
      </c>
      <c r="AG135" s="7" t="e">
        <f t="shared" si="29"/>
        <v>#NAME?</v>
      </c>
    </row>
    <row r="136" spans="1:36" s="7" customFormat="1">
      <c r="A136" s="7">
        <f t="shared" si="21"/>
        <v>6</v>
      </c>
      <c r="B136" s="7" t="e">
        <f t="shared" ref="B136:S136" si="30">B8*mult</f>
        <v>#NAME?</v>
      </c>
      <c r="C136" s="7" t="e">
        <f t="shared" si="30"/>
        <v>#NAME?</v>
      </c>
      <c r="D136" s="7" t="e">
        <f t="shared" si="30"/>
        <v>#NAME?</v>
      </c>
      <c r="E136" s="7" t="e">
        <f t="shared" si="30"/>
        <v>#NAME?</v>
      </c>
      <c r="F136" s="7" t="e">
        <f t="shared" si="30"/>
        <v>#NAME?</v>
      </c>
      <c r="G136" s="7" t="e">
        <f t="shared" si="30"/>
        <v>#NAME?</v>
      </c>
      <c r="H136" s="7" t="e">
        <f t="shared" si="30"/>
        <v>#NAME?</v>
      </c>
      <c r="I136" s="7" t="e">
        <f t="shared" si="30"/>
        <v>#NAME?</v>
      </c>
      <c r="J136" s="7" t="e">
        <f t="shared" si="30"/>
        <v>#NAME?</v>
      </c>
      <c r="K136" s="7" t="e">
        <f t="shared" si="30"/>
        <v>#NAME?</v>
      </c>
      <c r="L136" s="7" t="e">
        <f t="shared" si="30"/>
        <v>#NAME?</v>
      </c>
      <c r="M136" s="7" t="e">
        <f t="shared" si="30"/>
        <v>#NAME?</v>
      </c>
      <c r="N136" s="7" t="e">
        <f t="shared" si="30"/>
        <v>#NAME?</v>
      </c>
      <c r="O136" s="7" t="e">
        <f t="shared" si="30"/>
        <v>#NAME?</v>
      </c>
      <c r="P136" s="7" t="e">
        <f t="shared" si="30"/>
        <v>#NAME?</v>
      </c>
      <c r="Q136" s="7" t="e">
        <f t="shared" si="30"/>
        <v>#NAME?</v>
      </c>
      <c r="R136" s="7" t="e">
        <f t="shared" si="30"/>
        <v>#NAME?</v>
      </c>
      <c r="S136" s="7" t="e">
        <f t="shared" si="30"/>
        <v>#NAME?</v>
      </c>
      <c r="U136" s="7" t="e">
        <f t="shared" ref="U136:AG136" si="31">U8*mult</f>
        <v>#NAME?</v>
      </c>
      <c r="V136" s="7" t="e">
        <f t="shared" si="31"/>
        <v>#NAME?</v>
      </c>
      <c r="W136" s="7" t="e">
        <f t="shared" si="31"/>
        <v>#NAME?</v>
      </c>
      <c r="X136" s="7" t="e">
        <f t="shared" si="31"/>
        <v>#NAME?</v>
      </c>
      <c r="Y136" s="7" t="e">
        <f t="shared" si="31"/>
        <v>#NAME?</v>
      </c>
      <c r="Z136" s="7" t="e">
        <f t="shared" si="31"/>
        <v>#NAME?</v>
      </c>
      <c r="AA136" s="7" t="e">
        <f t="shared" si="31"/>
        <v>#NAME?</v>
      </c>
      <c r="AB136" s="7" t="e">
        <f t="shared" si="31"/>
        <v>#NAME?</v>
      </c>
      <c r="AC136" s="7" t="e">
        <f t="shared" si="31"/>
        <v>#NAME?</v>
      </c>
      <c r="AD136" s="7" t="e">
        <f t="shared" si="31"/>
        <v>#NAME?</v>
      </c>
      <c r="AE136" s="7" t="e">
        <f t="shared" si="31"/>
        <v>#NAME?</v>
      </c>
      <c r="AF136" s="7" t="e">
        <f t="shared" si="31"/>
        <v>#NAME?</v>
      </c>
      <c r="AG136" s="7" t="e">
        <f t="shared" si="31"/>
        <v>#NAME?</v>
      </c>
    </row>
    <row r="137" spans="1:36" s="7" customFormat="1">
      <c r="A137" s="7">
        <f t="shared" si="21"/>
        <v>7</v>
      </c>
      <c r="B137" s="7" t="e">
        <f t="shared" ref="B137:AG137" si="32">B9*mult</f>
        <v>#NAME?</v>
      </c>
      <c r="C137" s="7" t="e">
        <f t="shared" si="32"/>
        <v>#NAME?</v>
      </c>
      <c r="D137" s="7" t="e">
        <f t="shared" si="32"/>
        <v>#NAME?</v>
      </c>
      <c r="E137" s="7" t="e">
        <f t="shared" si="32"/>
        <v>#NAME?</v>
      </c>
      <c r="F137" s="7" t="e">
        <f t="shared" si="32"/>
        <v>#NAME?</v>
      </c>
      <c r="G137" s="7" t="e">
        <f t="shared" si="32"/>
        <v>#NAME?</v>
      </c>
      <c r="H137" s="7" t="e">
        <f t="shared" si="32"/>
        <v>#NAME?</v>
      </c>
      <c r="I137" s="7" t="e">
        <f t="shared" si="32"/>
        <v>#NAME?</v>
      </c>
      <c r="J137" s="7" t="e">
        <f t="shared" si="32"/>
        <v>#NAME?</v>
      </c>
      <c r="K137" s="7" t="e">
        <f t="shared" si="32"/>
        <v>#NAME?</v>
      </c>
      <c r="L137" s="7" t="e">
        <f t="shared" si="32"/>
        <v>#NAME?</v>
      </c>
      <c r="M137" s="7" t="e">
        <f t="shared" si="32"/>
        <v>#NAME?</v>
      </c>
      <c r="N137" s="7" t="e">
        <f t="shared" si="32"/>
        <v>#NAME?</v>
      </c>
      <c r="O137" s="7" t="e">
        <f t="shared" si="32"/>
        <v>#NAME?</v>
      </c>
      <c r="P137" s="7" t="e">
        <f t="shared" si="32"/>
        <v>#NAME?</v>
      </c>
      <c r="Q137" s="7" t="e">
        <f t="shared" si="32"/>
        <v>#NAME?</v>
      </c>
      <c r="R137" s="7" t="e">
        <f t="shared" si="32"/>
        <v>#NAME?</v>
      </c>
      <c r="S137" s="7" t="e">
        <f t="shared" si="32"/>
        <v>#NAME?</v>
      </c>
      <c r="U137" s="7" t="e">
        <f t="shared" si="32"/>
        <v>#NAME?</v>
      </c>
      <c r="V137" s="7" t="e">
        <f t="shared" si="32"/>
        <v>#NAME?</v>
      </c>
      <c r="W137" s="7" t="e">
        <f t="shared" si="32"/>
        <v>#NAME?</v>
      </c>
      <c r="X137" s="7" t="e">
        <f t="shared" si="32"/>
        <v>#NAME?</v>
      </c>
      <c r="Y137" s="7" t="e">
        <f t="shared" si="32"/>
        <v>#NAME?</v>
      </c>
      <c r="Z137" s="7" t="e">
        <f t="shared" si="32"/>
        <v>#NAME?</v>
      </c>
      <c r="AA137" s="7" t="e">
        <f t="shared" si="32"/>
        <v>#NAME?</v>
      </c>
      <c r="AB137" s="7" t="e">
        <f t="shared" si="32"/>
        <v>#NAME?</v>
      </c>
      <c r="AC137" s="7" t="e">
        <f t="shared" si="32"/>
        <v>#NAME?</v>
      </c>
      <c r="AD137" s="7" t="e">
        <f t="shared" si="32"/>
        <v>#NAME?</v>
      </c>
      <c r="AE137" s="7" t="e">
        <f t="shared" si="32"/>
        <v>#NAME?</v>
      </c>
      <c r="AF137" s="7" t="e">
        <f t="shared" si="32"/>
        <v>#NAME?</v>
      </c>
      <c r="AG137" s="7" t="e">
        <f t="shared" si="32"/>
        <v>#NAME?</v>
      </c>
    </row>
    <row r="138" spans="1:36" s="7" customFormat="1">
      <c r="A138" s="7">
        <f t="shared" si="21"/>
        <v>8</v>
      </c>
      <c r="B138" s="7" t="e">
        <f t="shared" ref="B138:AG138" si="33">B10*mult</f>
        <v>#NAME?</v>
      </c>
      <c r="C138" s="7" t="e">
        <f t="shared" si="33"/>
        <v>#NAME?</v>
      </c>
      <c r="D138" s="7" t="e">
        <f t="shared" si="33"/>
        <v>#NAME?</v>
      </c>
      <c r="E138" s="7" t="e">
        <f t="shared" si="33"/>
        <v>#NAME?</v>
      </c>
      <c r="F138" s="7" t="e">
        <f t="shared" si="33"/>
        <v>#NAME?</v>
      </c>
      <c r="G138" s="7" t="e">
        <f t="shared" si="33"/>
        <v>#NAME?</v>
      </c>
      <c r="H138" s="7" t="e">
        <f t="shared" si="33"/>
        <v>#NAME?</v>
      </c>
      <c r="I138" s="7" t="e">
        <f t="shared" si="33"/>
        <v>#NAME?</v>
      </c>
      <c r="J138" s="7" t="e">
        <f t="shared" si="33"/>
        <v>#NAME?</v>
      </c>
      <c r="K138" s="7" t="e">
        <f t="shared" si="33"/>
        <v>#NAME?</v>
      </c>
      <c r="L138" s="7" t="e">
        <f t="shared" si="33"/>
        <v>#NAME?</v>
      </c>
      <c r="M138" s="7" t="e">
        <f t="shared" si="33"/>
        <v>#NAME?</v>
      </c>
      <c r="N138" s="7" t="e">
        <f t="shared" si="33"/>
        <v>#NAME?</v>
      </c>
      <c r="O138" s="7" t="e">
        <f t="shared" si="33"/>
        <v>#NAME?</v>
      </c>
      <c r="P138" s="7" t="e">
        <f t="shared" si="33"/>
        <v>#NAME?</v>
      </c>
      <c r="Q138" s="7" t="e">
        <f t="shared" si="33"/>
        <v>#NAME?</v>
      </c>
      <c r="R138" s="7" t="e">
        <f t="shared" si="33"/>
        <v>#NAME?</v>
      </c>
      <c r="S138" s="7" t="e">
        <f t="shared" si="33"/>
        <v>#NAME?</v>
      </c>
      <c r="U138" s="7" t="e">
        <f t="shared" si="33"/>
        <v>#NAME?</v>
      </c>
      <c r="V138" s="7" t="e">
        <f t="shared" si="33"/>
        <v>#NAME?</v>
      </c>
      <c r="W138" s="7" t="e">
        <f t="shared" si="33"/>
        <v>#NAME?</v>
      </c>
      <c r="X138" s="7" t="e">
        <f t="shared" si="33"/>
        <v>#NAME?</v>
      </c>
      <c r="Y138" s="7" t="e">
        <f t="shared" si="33"/>
        <v>#NAME?</v>
      </c>
      <c r="Z138" s="7" t="e">
        <f t="shared" si="33"/>
        <v>#NAME?</v>
      </c>
      <c r="AA138" s="7" t="e">
        <f t="shared" si="33"/>
        <v>#NAME?</v>
      </c>
      <c r="AB138" s="7" t="e">
        <f t="shared" si="33"/>
        <v>#NAME?</v>
      </c>
      <c r="AC138" s="7" t="e">
        <f t="shared" si="33"/>
        <v>#NAME?</v>
      </c>
      <c r="AD138" s="7" t="e">
        <f t="shared" si="33"/>
        <v>#NAME?</v>
      </c>
      <c r="AE138" s="7" t="e">
        <f t="shared" si="33"/>
        <v>#NAME?</v>
      </c>
      <c r="AF138" s="7" t="e">
        <f t="shared" si="33"/>
        <v>#NAME?</v>
      </c>
      <c r="AG138" s="7" t="e">
        <f t="shared" si="33"/>
        <v>#NAME?</v>
      </c>
    </row>
    <row r="139" spans="1:36" s="7" customFormat="1">
      <c r="A139" s="7">
        <f t="shared" si="21"/>
        <v>9</v>
      </c>
      <c r="B139" s="7" t="e">
        <f t="shared" ref="B139:AG139" si="34">B11*mult</f>
        <v>#NAME?</v>
      </c>
      <c r="C139" s="7" t="e">
        <f t="shared" si="34"/>
        <v>#NAME?</v>
      </c>
      <c r="D139" s="7" t="e">
        <f t="shared" si="34"/>
        <v>#NAME?</v>
      </c>
      <c r="E139" s="7" t="e">
        <f t="shared" si="34"/>
        <v>#NAME?</v>
      </c>
      <c r="F139" s="7" t="e">
        <f t="shared" si="34"/>
        <v>#NAME?</v>
      </c>
      <c r="G139" s="7" t="e">
        <f t="shared" si="34"/>
        <v>#NAME?</v>
      </c>
      <c r="H139" s="7" t="e">
        <f t="shared" si="34"/>
        <v>#NAME?</v>
      </c>
      <c r="I139" s="7" t="e">
        <f t="shared" si="34"/>
        <v>#NAME?</v>
      </c>
      <c r="J139" s="7" t="e">
        <f t="shared" si="34"/>
        <v>#NAME?</v>
      </c>
      <c r="K139" s="7" t="e">
        <f t="shared" si="34"/>
        <v>#NAME?</v>
      </c>
      <c r="L139" s="7" t="e">
        <f t="shared" si="34"/>
        <v>#NAME?</v>
      </c>
      <c r="M139" s="7" t="e">
        <f t="shared" si="34"/>
        <v>#NAME?</v>
      </c>
      <c r="N139" s="7" t="e">
        <f t="shared" si="34"/>
        <v>#NAME?</v>
      </c>
      <c r="O139" s="7" t="e">
        <f t="shared" si="34"/>
        <v>#NAME?</v>
      </c>
      <c r="P139" s="7" t="e">
        <f t="shared" si="34"/>
        <v>#NAME?</v>
      </c>
      <c r="Q139" s="7" t="e">
        <f t="shared" si="34"/>
        <v>#NAME?</v>
      </c>
      <c r="R139" s="7" t="e">
        <f t="shared" si="34"/>
        <v>#NAME?</v>
      </c>
      <c r="S139" s="7" t="e">
        <f t="shared" si="34"/>
        <v>#NAME?</v>
      </c>
      <c r="U139" s="7" t="e">
        <f t="shared" si="34"/>
        <v>#NAME?</v>
      </c>
      <c r="V139" s="7" t="e">
        <f t="shared" si="34"/>
        <v>#NAME?</v>
      </c>
      <c r="W139" s="7" t="e">
        <f t="shared" si="34"/>
        <v>#NAME?</v>
      </c>
      <c r="X139" s="7" t="e">
        <f t="shared" si="34"/>
        <v>#NAME?</v>
      </c>
      <c r="Y139" s="7" t="e">
        <f t="shared" si="34"/>
        <v>#NAME?</v>
      </c>
      <c r="Z139" s="7" t="e">
        <f t="shared" si="34"/>
        <v>#NAME?</v>
      </c>
      <c r="AA139" s="7" t="e">
        <f t="shared" si="34"/>
        <v>#NAME?</v>
      </c>
      <c r="AB139" s="7" t="e">
        <f t="shared" si="34"/>
        <v>#NAME?</v>
      </c>
      <c r="AC139" s="7" t="e">
        <f t="shared" si="34"/>
        <v>#NAME?</v>
      </c>
      <c r="AD139" s="7" t="e">
        <f t="shared" si="34"/>
        <v>#NAME?</v>
      </c>
      <c r="AE139" s="7" t="e">
        <f t="shared" si="34"/>
        <v>#NAME?</v>
      </c>
      <c r="AF139" s="7" t="e">
        <f t="shared" si="34"/>
        <v>#NAME?</v>
      </c>
      <c r="AG139" s="7" t="e">
        <f t="shared" si="34"/>
        <v>#NAME?</v>
      </c>
    </row>
    <row r="140" spans="1:36" s="7" customFormat="1">
      <c r="A140" s="7">
        <f t="shared" si="21"/>
        <v>10</v>
      </c>
      <c r="B140" s="7" t="e">
        <f t="shared" ref="B140:AG140" si="35">B12*mult</f>
        <v>#NAME?</v>
      </c>
      <c r="C140" s="7" t="e">
        <f t="shared" si="35"/>
        <v>#NAME?</v>
      </c>
      <c r="D140" s="7" t="e">
        <f t="shared" si="35"/>
        <v>#NAME?</v>
      </c>
      <c r="E140" s="7" t="e">
        <f t="shared" si="35"/>
        <v>#NAME?</v>
      </c>
      <c r="F140" s="7" t="e">
        <f t="shared" si="35"/>
        <v>#NAME?</v>
      </c>
      <c r="G140" s="7" t="e">
        <f t="shared" si="35"/>
        <v>#NAME?</v>
      </c>
      <c r="H140" s="7" t="e">
        <f t="shared" si="35"/>
        <v>#NAME?</v>
      </c>
      <c r="I140" s="7" t="e">
        <f t="shared" si="35"/>
        <v>#NAME?</v>
      </c>
      <c r="J140" s="7" t="e">
        <f t="shared" si="35"/>
        <v>#NAME?</v>
      </c>
      <c r="K140" s="7" t="e">
        <f t="shared" si="35"/>
        <v>#NAME?</v>
      </c>
      <c r="L140" s="7" t="e">
        <f t="shared" si="35"/>
        <v>#NAME?</v>
      </c>
      <c r="M140" s="7" t="e">
        <f t="shared" si="35"/>
        <v>#NAME?</v>
      </c>
      <c r="N140" s="7" t="e">
        <f t="shared" si="35"/>
        <v>#NAME?</v>
      </c>
      <c r="O140" s="7" t="e">
        <f t="shared" si="35"/>
        <v>#NAME?</v>
      </c>
      <c r="P140" s="7" t="e">
        <f t="shared" si="35"/>
        <v>#NAME?</v>
      </c>
      <c r="Q140" s="7" t="e">
        <f t="shared" si="35"/>
        <v>#NAME?</v>
      </c>
      <c r="R140" s="7" t="e">
        <f t="shared" si="35"/>
        <v>#NAME?</v>
      </c>
      <c r="S140" s="7" t="e">
        <f t="shared" si="35"/>
        <v>#NAME?</v>
      </c>
      <c r="U140" s="7" t="e">
        <f t="shared" si="35"/>
        <v>#NAME?</v>
      </c>
      <c r="V140" s="7" t="e">
        <f t="shared" si="35"/>
        <v>#NAME?</v>
      </c>
      <c r="W140" s="7" t="e">
        <f t="shared" si="35"/>
        <v>#NAME?</v>
      </c>
      <c r="X140" s="7" t="e">
        <f t="shared" si="35"/>
        <v>#NAME?</v>
      </c>
      <c r="Y140" s="7" t="e">
        <f t="shared" si="35"/>
        <v>#NAME?</v>
      </c>
      <c r="Z140" s="7" t="e">
        <f t="shared" si="35"/>
        <v>#NAME?</v>
      </c>
      <c r="AA140" s="7" t="e">
        <f t="shared" si="35"/>
        <v>#NAME?</v>
      </c>
      <c r="AB140" s="7" t="e">
        <f t="shared" si="35"/>
        <v>#NAME?</v>
      </c>
      <c r="AC140" s="7" t="e">
        <f t="shared" si="35"/>
        <v>#NAME?</v>
      </c>
      <c r="AD140" s="7" t="e">
        <f t="shared" si="35"/>
        <v>#NAME?</v>
      </c>
      <c r="AE140" s="7" t="e">
        <f t="shared" si="35"/>
        <v>#NAME?</v>
      </c>
      <c r="AF140" s="7" t="e">
        <f t="shared" si="35"/>
        <v>#NAME?</v>
      </c>
      <c r="AG140" s="7" t="e">
        <f t="shared" si="35"/>
        <v>#NAME?</v>
      </c>
    </row>
    <row r="141" spans="1:36" s="7" customFormat="1">
      <c r="A141" s="7">
        <f t="shared" si="21"/>
        <v>11</v>
      </c>
      <c r="B141" s="7" t="e">
        <f t="shared" ref="B141:AG141" si="36">B13*mult</f>
        <v>#NAME?</v>
      </c>
      <c r="C141" s="7" t="e">
        <f t="shared" si="36"/>
        <v>#NAME?</v>
      </c>
      <c r="D141" s="7" t="e">
        <f t="shared" si="36"/>
        <v>#NAME?</v>
      </c>
      <c r="E141" s="7" t="e">
        <f t="shared" si="36"/>
        <v>#NAME?</v>
      </c>
      <c r="F141" s="7" t="e">
        <f t="shared" si="36"/>
        <v>#NAME?</v>
      </c>
      <c r="G141" s="7" t="e">
        <f t="shared" si="36"/>
        <v>#NAME?</v>
      </c>
      <c r="H141" s="7" t="e">
        <f t="shared" si="36"/>
        <v>#NAME?</v>
      </c>
      <c r="I141" s="7" t="e">
        <f t="shared" si="36"/>
        <v>#NAME?</v>
      </c>
      <c r="J141" s="7" t="e">
        <f t="shared" si="36"/>
        <v>#NAME?</v>
      </c>
      <c r="K141" s="7" t="e">
        <f t="shared" si="36"/>
        <v>#NAME?</v>
      </c>
      <c r="L141" s="7" t="e">
        <f t="shared" si="36"/>
        <v>#NAME?</v>
      </c>
      <c r="M141" s="7" t="e">
        <f t="shared" si="36"/>
        <v>#NAME?</v>
      </c>
      <c r="N141" s="7" t="e">
        <f t="shared" si="36"/>
        <v>#NAME?</v>
      </c>
      <c r="O141" s="7" t="e">
        <f t="shared" si="36"/>
        <v>#NAME?</v>
      </c>
      <c r="P141" s="7" t="e">
        <f t="shared" si="36"/>
        <v>#NAME?</v>
      </c>
      <c r="Q141" s="7" t="e">
        <f t="shared" si="36"/>
        <v>#NAME?</v>
      </c>
      <c r="R141" s="7" t="e">
        <f t="shared" si="36"/>
        <v>#NAME?</v>
      </c>
      <c r="S141" s="7" t="e">
        <f t="shared" si="36"/>
        <v>#NAME?</v>
      </c>
      <c r="U141" s="7" t="e">
        <f t="shared" si="36"/>
        <v>#NAME?</v>
      </c>
      <c r="V141" s="7" t="e">
        <f t="shared" si="36"/>
        <v>#NAME?</v>
      </c>
      <c r="W141" s="7" t="e">
        <f t="shared" si="36"/>
        <v>#NAME?</v>
      </c>
      <c r="X141" s="7" t="e">
        <f t="shared" si="36"/>
        <v>#NAME?</v>
      </c>
      <c r="Y141" s="7" t="e">
        <f t="shared" si="36"/>
        <v>#NAME?</v>
      </c>
      <c r="Z141" s="7" t="e">
        <f t="shared" si="36"/>
        <v>#NAME?</v>
      </c>
      <c r="AA141" s="7" t="e">
        <f t="shared" si="36"/>
        <v>#NAME?</v>
      </c>
      <c r="AB141" s="7" t="e">
        <f t="shared" si="36"/>
        <v>#NAME?</v>
      </c>
      <c r="AC141" s="7" t="e">
        <f t="shared" si="36"/>
        <v>#NAME?</v>
      </c>
      <c r="AD141" s="7" t="e">
        <f t="shared" si="36"/>
        <v>#NAME?</v>
      </c>
      <c r="AE141" s="7" t="e">
        <f t="shared" si="36"/>
        <v>#NAME?</v>
      </c>
      <c r="AF141" s="7" t="e">
        <f t="shared" si="36"/>
        <v>#NAME?</v>
      </c>
      <c r="AG141" s="7" t="e">
        <f t="shared" si="36"/>
        <v>#NAME?</v>
      </c>
    </row>
    <row r="142" spans="1:36" s="7" customFormat="1">
      <c r="A142" s="7">
        <f t="shared" si="21"/>
        <v>12</v>
      </c>
      <c r="B142" s="7" t="e">
        <f t="shared" ref="B142:AG142" si="37">B14*mult</f>
        <v>#NAME?</v>
      </c>
      <c r="C142" s="7" t="e">
        <f t="shared" si="37"/>
        <v>#NAME?</v>
      </c>
      <c r="D142" s="7" t="e">
        <f t="shared" si="37"/>
        <v>#NAME?</v>
      </c>
      <c r="E142" s="7" t="e">
        <f t="shared" si="37"/>
        <v>#NAME?</v>
      </c>
      <c r="F142" s="7" t="e">
        <f t="shared" si="37"/>
        <v>#NAME?</v>
      </c>
      <c r="G142" s="7" t="e">
        <f t="shared" si="37"/>
        <v>#NAME?</v>
      </c>
      <c r="H142" s="7" t="e">
        <f t="shared" si="37"/>
        <v>#NAME?</v>
      </c>
      <c r="I142" s="7" t="e">
        <f t="shared" si="37"/>
        <v>#NAME?</v>
      </c>
      <c r="J142" s="7" t="e">
        <f t="shared" si="37"/>
        <v>#NAME?</v>
      </c>
      <c r="K142" s="7" t="e">
        <f t="shared" si="37"/>
        <v>#NAME?</v>
      </c>
      <c r="L142" s="7" t="e">
        <f t="shared" si="37"/>
        <v>#NAME?</v>
      </c>
      <c r="M142" s="7" t="e">
        <f t="shared" si="37"/>
        <v>#NAME?</v>
      </c>
      <c r="N142" s="7" t="e">
        <f t="shared" si="37"/>
        <v>#NAME?</v>
      </c>
      <c r="O142" s="7" t="e">
        <f t="shared" si="37"/>
        <v>#NAME?</v>
      </c>
      <c r="P142" s="7" t="e">
        <f t="shared" si="37"/>
        <v>#NAME?</v>
      </c>
      <c r="Q142" s="7" t="e">
        <f t="shared" si="37"/>
        <v>#NAME?</v>
      </c>
      <c r="R142" s="7" t="e">
        <f t="shared" si="37"/>
        <v>#NAME?</v>
      </c>
      <c r="S142" s="7" t="e">
        <f t="shared" si="37"/>
        <v>#NAME?</v>
      </c>
      <c r="U142" s="7" t="e">
        <f t="shared" si="37"/>
        <v>#NAME?</v>
      </c>
      <c r="V142" s="7" t="e">
        <f t="shared" si="37"/>
        <v>#NAME?</v>
      </c>
      <c r="W142" s="7" t="e">
        <f t="shared" si="37"/>
        <v>#NAME?</v>
      </c>
      <c r="X142" s="7" t="e">
        <f t="shared" si="37"/>
        <v>#NAME?</v>
      </c>
      <c r="Y142" s="7" t="e">
        <f t="shared" si="37"/>
        <v>#NAME?</v>
      </c>
      <c r="Z142" s="7" t="e">
        <f t="shared" si="37"/>
        <v>#NAME?</v>
      </c>
      <c r="AA142" s="7" t="e">
        <f t="shared" si="37"/>
        <v>#NAME?</v>
      </c>
      <c r="AB142" s="7" t="e">
        <f t="shared" si="37"/>
        <v>#NAME?</v>
      </c>
      <c r="AC142" s="7" t="e">
        <f t="shared" si="37"/>
        <v>#NAME?</v>
      </c>
      <c r="AD142" s="7" t="e">
        <f t="shared" si="37"/>
        <v>#NAME?</v>
      </c>
      <c r="AE142" s="7" t="e">
        <f t="shared" si="37"/>
        <v>#NAME?</v>
      </c>
      <c r="AF142" s="7" t="e">
        <f t="shared" si="37"/>
        <v>#NAME?</v>
      </c>
      <c r="AG142" s="7" t="e">
        <f t="shared" si="37"/>
        <v>#NAME?</v>
      </c>
    </row>
    <row r="143" spans="1:36" s="7" customFormat="1">
      <c r="A143" s="7">
        <f t="shared" si="21"/>
        <v>13</v>
      </c>
      <c r="B143" s="7" t="e">
        <f t="shared" ref="B143:AG143" si="38">B15*mult</f>
        <v>#NAME?</v>
      </c>
      <c r="C143" s="7" t="e">
        <f t="shared" si="38"/>
        <v>#NAME?</v>
      </c>
      <c r="D143" s="7" t="e">
        <f t="shared" si="38"/>
        <v>#NAME?</v>
      </c>
      <c r="E143" s="7" t="e">
        <f t="shared" si="38"/>
        <v>#NAME?</v>
      </c>
      <c r="F143" s="7" t="e">
        <f t="shared" si="38"/>
        <v>#NAME?</v>
      </c>
      <c r="G143" s="7" t="e">
        <f t="shared" si="38"/>
        <v>#NAME?</v>
      </c>
      <c r="H143" s="7" t="e">
        <f t="shared" si="38"/>
        <v>#NAME?</v>
      </c>
      <c r="I143" s="7" t="e">
        <f t="shared" si="38"/>
        <v>#NAME?</v>
      </c>
      <c r="J143" s="7" t="e">
        <f t="shared" si="38"/>
        <v>#NAME?</v>
      </c>
      <c r="K143" s="7" t="e">
        <f t="shared" si="38"/>
        <v>#NAME?</v>
      </c>
      <c r="L143" s="7" t="e">
        <f t="shared" si="38"/>
        <v>#NAME?</v>
      </c>
      <c r="M143" s="7" t="e">
        <f t="shared" si="38"/>
        <v>#NAME?</v>
      </c>
      <c r="N143" s="7" t="e">
        <f t="shared" si="38"/>
        <v>#NAME?</v>
      </c>
      <c r="O143" s="7" t="e">
        <f t="shared" si="38"/>
        <v>#NAME?</v>
      </c>
      <c r="P143" s="7" t="e">
        <f t="shared" si="38"/>
        <v>#NAME?</v>
      </c>
      <c r="Q143" s="7" t="e">
        <f t="shared" si="38"/>
        <v>#NAME?</v>
      </c>
      <c r="R143" s="7" t="e">
        <f t="shared" si="38"/>
        <v>#NAME?</v>
      </c>
      <c r="S143" s="7" t="e">
        <f t="shared" si="38"/>
        <v>#NAME?</v>
      </c>
      <c r="U143" s="7" t="e">
        <f t="shared" si="38"/>
        <v>#NAME?</v>
      </c>
      <c r="V143" s="7" t="e">
        <f t="shared" si="38"/>
        <v>#NAME?</v>
      </c>
      <c r="W143" s="7" t="e">
        <f t="shared" si="38"/>
        <v>#NAME?</v>
      </c>
      <c r="X143" s="7" t="e">
        <f t="shared" si="38"/>
        <v>#NAME?</v>
      </c>
      <c r="Y143" s="7" t="e">
        <f t="shared" si="38"/>
        <v>#NAME?</v>
      </c>
      <c r="Z143" s="7" t="e">
        <f t="shared" si="38"/>
        <v>#NAME?</v>
      </c>
      <c r="AA143" s="7" t="e">
        <f t="shared" si="38"/>
        <v>#NAME?</v>
      </c>
      <c r="AB143" s="7" t="e">
        <f t="shared" si="38"/>
        <v>#NAME?</v>
      </c>
      <c r="AC143" s="7" t="e">
        <f t="shared" si="38"/>
        <v>#NAME?</v>
      </c>
      <c r="AD143" s="7" t="e">
        <f t="shared" si="38"/>
        <v>#NAME?</v>
      </c>
      <c r="AE143" s="7" t="e">
        <f t="shared" si="38"/>
        <v>#NAME?</v>
      </c>
      <c r="AF143" s="7" t="e">
        <f t="shared" si="38"/>
        <v>#NAME?</v>
      </c>
      <c r="AG143" s="7" t="e">
        <f t="shared" si="38"/>
        <v>#NAME?</v>
      </c>
    </row>
    <row r="144" spans="1:36" s="7" customFormat="1">
      <c r="A144" s="7">
        <f t="shared" si="21"/>
        <v>14</v>
      </c>
      <c r="B144" s="7" t="e">
        <f t="shared" ref="B144:AG144" si="39">B16*mult</f>
        <v>#NAME?</v>
      </c>
      <c r="C144" s="7" t="e">
        <f t="shared" si="39"/>
        <v>#NAME?</v>
      </c>
      <c r="D144" s="7" t="e">
        <f t="shared" si="39"/>
        <v>#NAME?</v>
      </c>
      <c r="E144" s="7" t="e">
        <f t="shared" si="39"/>
        <v>#NAME?</v>
      </c>
      <c r="F144" s="7" t="e">
        <f t="shared" si="39"/>
        <v>#NAME?</v>
      </c>
      <c r="G144" s="7" t="e">
        <f t="shared" si="39"/>
        <v>#NAME?</v>
      </c>
      <c r="H144" s="7" t="e">
        <f t="shared" si="39"/>
        <v>#NAME?</v>
      </c>
      <c r="I144" s="7" t="e">
        <f t="shared" si="39"/>
        <v>#NAME?</v>
      </c>
      <c r="J144" s="7" t="e">
        <f t="shared" si="39"/>
        <v>#NAME?</v>
      </c>
      <c r="K144" s="7" t="e">
        <f t="shared" si="39"/>
        <v>#NAME?</v>
      </c>
      <c r="L144" s="7" t="e">
        <f t="shared" si="39"/>
        <v>#NAME?</v>
      </c>
      <c r="M144" s="7" t="e">
        <f t="shared" si="39"/>
        <v>#NAME?</v>
      </c>
      <c r="N144" s="7" t="e">
        <f t="shared" si="39"/>
        <v>#NAME?</v>
      </c>
      <c r="O144" s="7" t="e">
        <f t="shared" si="39"/>
        <v>#NAME?</v>
      </c>
      <c r="P144" s="7" t="e">
        <f t="shared" si="39"/>
        <v>#NAME?</v>
      </c>
      <c r="Q144" s="7" t="e">
        <f t="shared" si="39"/>
        <v>#NAME?</v>
      </c>
      <c r="R144" s="7" t="e">
        <f t="shared" si="39"/>
        <v>#NAME?</v>
      </c>
      <c r="S144" s="7" t="e">
        <f t="shared" si="39"/>
        <v>#NAME?</v>
      </c>
      <c r="U144" s="7" t="e">
        <f t="shared" si="39"/>
        <v>#NAME?</v>
      </c>
      <c r="V144" s="7" t="e">
        <f t="shared" si="39"/>
        <v>#NAME?</v>
      </c>
      <c r="W144" s="7" t="e">
        <f t="shared" si="39"/>
        <v>#NAME?</v>
      </c>
      <c r="X144" s="7" t="e">
        <f t="shared" si="39"/>
        <v>#NAME?</v>
      </c>
      <c r="Y144" s="7" t="e">
        <f t="shared" si="39"/>
        <v>#NAME?</v>
      </c>
      <c r="Z144" s="7" t="e">
        <f t="shared" si="39"/>
        <v>#NAME?</v>
      </c>
      <c r="AA144" s="7" t="e">
        <f t="shared" si="39"/>
        <v>#NAME?</v>
      </c>
      <c r="AB144" s="7" t="e">
        <f t="shared" si="39"/>
        <v>#NAME?</v>
      </c>
      <c r="AC144" s="7" t="e">
        <f t="shared" si="39"/>
        <v>#NAME?</v>
      </c>
      <c r="AD144" s="7" t="e">
        <f t="shared" si="39"/>
        <v>#NAME?</v>
      </c>
      <c r="AE144" s="7" t="e">
        <f t="shared" si="39"/>
        <v>#NAME?</v>
      </c>
      <c r="AF144" s="7" t="e">
        <f t="shared" si="39"/>
        <v>#NAME?</v>
      </c>
      <c r="AG144" s="7" t="e">
        <f t="shared" si="39"/>
        <v>#NAME?</v>
      </c>
    </row>
    <row r="145" spans="1:37" s="7" customFormat="1">
      <c r="A145" s="7">
        <f t="shared" ref="A145:A146" si="40">A17</f>
        <v>15</v>
      </c>
      <c r="B145" s="7" t="e">
        <f t="shared" ref="B145:AG145" si="41">B17*mult</f>
        <v>#NAME?</v>
      </c>
      <c r="C145" s="7" t="e">
        <f t="shared" si="41"/>
        <v>#NAME?</v>
      </c>
      <c r="D145" s="7" t="e">
        <f t="shared" si="41"/>
        <v>#NAME?</v>
      </c>
      <c r="E145" s="7" t="e">
        <f t="shared" si="41"/>
        <v>#NAME?</v>
      </c>
      <c r="F145" s="7" t="e">
        <f t="shared" si="41"/>
        <v>#NAME?</v>
      </c>
      <c r="G145" s="7" t="e">
        <f t="shared" si="41"/>
        <v>#NAME?</v>
      </c>
      <c r="H145" s="7" t="e">
        <f t="shared" si="41"/>
        <v>#NAME?</v>
      </c>
      <c r="I145" s="7" t="e">
        <f t="shared" si="41"/>
        <v>#NAME?</v>
      </c>
      <c r="J145" s="7" t="e">
        <f t="shared" si="41"/>
        <v>#NAME?</v>
      </c>
      <c r="K145" s="7" t="e">
        <f t="shared" si="41"/>
        <v>#NAME?</v>
      </c>
      <c r="L145" s="7" t="e">
        <f t="shared" si="41"/>
        <v>#NAME?</v>
      </c>
      <c r="M145" s="7" t="e">
        <f t="shared" si="41"/>
        <v>#NAME?</v>
      </c>
      <c r="N145" s="7" t="e">
        <f t="shared" si="41"/>
        <v>#NAME?</v>
      </c>
      <c r="O145" s="7" t="e">
        <f t="shared" si="41"/>
        <v>#NAME?</v>
      </c>
      <c r="P145" s="7" t="e">
        <f t="shared" si="41"/>
        <v>#NAME?</v>
      </c>
      <c r="Q145" s="7" t="e">
        <f t="shared" si="41"/>
        <v>#NAME?</v>
      </c>
      <c r="R145" s="7" t="e">
        <f t="shared" si="41"/>
        <v>#NAME?</v>
      </c>
      <c r="S145" s="7" t="e">
        <f t="shared" si="41"/>
        <v>#NAME?</v>
      </c>
      <c r="U145" s="7" t="e">
        <f t="shared" si="41"/>
        <v>#NAME?</v>
      </c>
      <c r="V145" s="7" t="e">
        <f t="shared" si="41"/>
        <v>#NAME?</v>
      </c>
      <c r="W145" s="7" t="e">
        <f t="shared" si="41"/>
        <v>#NAME?</v>
      </c>
      <c r="X145" s="7" t="e">
        <f t="shared" si="41"/>
        <v>#NAME?</v>
      </c>
      <c r="Y145" s="7" t="e">
        <f t="shared" si="41"/>
        <v>#NAME?</v>
      </c>
      <c r="Z145" s="7" t="e">
        <f t="shared" si="41"/>
        <v>#NAME?</v>
      </c>
      <c r="AA145" s="7" t="e">
        <f t="shared" si="41"/>
        <v>#NAME?</v>
      </c>
      <c r="AB145" s="7" t="e">
        <f t="shared" si="41"/>
        <v>#NAME?</v>
      </c>
      <c r="AC145" s="7" t="e">
        <f t="shared" si="41"/>
        <v>#NAME?</v>
      </c>
      <c r="AD145" s="7" t="e">
        <f t="shared" si="41"/>
        <v>#NAME?</v>
      </c>
      <c r="AE145" s="7" t="e">
        <f t="shared" si="41"/>
        <v>#NAME?</v>
      </c>
      <c r="AF145" s="7" t="e">
        <f t="shared" si="41"/>
        <v>#NAME?</v>
      </c>
      <c r="AG145" s="7" t="e">
        <f t="shared" si="41"/>
        <v>#NAME?</v>
      </c>
    </row>
    <row r="146" spans="1:37" s="7" customFormat="1">
      <c r="A146" s="7">
        <f t="shared" si="40"/>
        <v>16</v>
      </c>
      <c r="B146" s="7" t="e">
        <f t="shared" ref="B146:AG146" si="42">B18*mult</f>
        <v>#NAME?</v>
      </c>
      <c r="C146" s="7" t="e">
        <f t="shared" si="42"/>
        <v>#NAME?</v>
      </c>
      <c r="D146" s="7" t="e">
        <f t="shared" si="42"/>
        <v>#NAME?</v>
      </c>
      <c r="E146" s="7" t="e">
        <f t="shared" si="42"/>
        <v>#NAME?</v>
      </c>
      <c r="F146" s="7" t="e">
        <f t="shared" si="42"/>
        <v>#NAME?</v>
      </c>
      <c r="G146" s="7" t="e">
        <f t="shared" si="42"/>
        <v>#NAME?</v>
      </c>
      <c r="H146" s="7" t="e">
        <f t="shared" si="42"/>
        <v>#NAME?</v>
      </c>
      <c r="I146" s="7" t="e">
        <f t="shared" si="42"/>
        <v>#NAME?</v>
      </c>
      <c r="J146" s="7" t="e">
        <f t="shared" si="42"/>
        <v>#NAME?</v>
      </c>
      <c r="K146" s="7" t="e">
        <f t="shared" si="42"/>
        <v>#NAME?</v>
      </c>
      <c r="L146" s="7" t="e">
        <f t="shared" si="42"/>
        <v>#NAME?</v>
      </c>
      <c r="M146" s="7" t="e">
        <f t="shared" si="42"/>
        <v>#NAME?</v>
      </c>
      <c r="N146" s="7" t="e">
        <f t="shared" si="42"/>
        <v>#NAME?</v>
      </c>
      <c r="O146" s="7" t="e">
        <f t="shared" si="42"/>
        <v>#NAME?</v>
      </c>
      <c r="P146" s="7" t="e">
        <f t="shared" si="42"/>
        <v>#NAME?</v>
      </c>
      <c r="Q146" s="7" t="e">
        <f t="shared" si="42"/>
        <v>#NAME?</v>
      </c>
      <c r="R146" s="7" t="e">
        <f t="shared" si="42"/>
        <v>#NAME?</v>
      </c>
      <c r="S146" s="7" t="e">
        <f t="shared" si="42"/>
        <v>#NAME?</v>
      </c>
      <c r="U146" s="7" t="e">
        <f t="shared" si="42"/>
        <v>#NAME?</v>
      </c>
      <c r="V146" s="7" t="e">
        <f t="shared" si="42"/>
        <v>#NAME?</v>
      </c>
      <c r="W146" s="7" t="e">
        <f t="shared" si="42"/>
        <v>#NAME?</v>
      </c>
      <c r="X146" s="7" t="e">
        <f t="shared" si="42"/>
        <v>#NAME?</v>
      </c>
      <c r="Y146" s="7" t="e">
        <f t="shared" si="42"/>
        <v>#NAME?</v>
      </c>
      <c r="Z146" s="7" t="e">
        <f t="shared" si="42"/>
        <v>#NAME?</v>
      </c>
      <c r="AA146" s="7" t="e">
        <f t="shared" si="42"/>
        <v>#NAME?</v>
      </c>
      <c r="AB146" s="7" t="e">
        <f t="shared" si="42"/>
        <v>#NAME?</v>
      </c>
      <c r="AC146" s="7" t="e">
        <f t="shared" si="42"/>
        <v>#NAME?</v>
      </c>
      <c r="AD146" s="7" t="e">
        <f t="shared" si="42"/>
        <v>#NAME?</v>
      </c>
      <c r="AE146" s="7" t="e">
        <f t="shared" si="42"/>
        <v>#NAME?</v>
      </c>
      <c r="AF146" s="7" t="e">
        <f t="shared" si="42"/>
        <v>#NAME?</v>
      </c>
      <c r="AG146" s="7" t="e">
        <f t="shared" si="42"/>
        <v>#NAME?</v>
      </c>
    </row>
    <row r="147" spans="1:37">
      <c r="A147">
        <f>A19</f>
        <v>17</v>
      </c>
      <c r="B147" s="7" t="e">
        <f t="shared" ref="B147:AG147" si="43">B19*mult</f>
        <v>#NAME?</v>
      </c>
      <c r="C147" s="7" t="e">
        <f t="shared" si="43"/>
        <v>#NAME?</v>
      </c>
      <c r="D147" s="7" t="e">
        <f t="shared" si="43"/>
        <v>#NAME?</v>
      </c>
      <c r="E147" s="7" t="e">
        <f t="shared" si="43"/>
        <v>#NAME?</v>
      </c>
      <c r="F147" s="7" t="e">
        <f t="shared" si="43"/>
        <v>#NAME?</v>
      </c>
      <c r="G147" s="7" t="e">
        <f t="shared" si="43"/>
        <v>#NAME?</v>
      </c>
      <c r="H147" s="7" t="e">
        <f t="shared" si="43"/>
        <v>#NAME?</v>
      </c>
      <c r="I147" s="7" t="e">
        <f t="shared" si="43"/>
        <v>#NAME?</v>
      </c>
      <c r="J147" s="7" t="e">
        <f t="shared" si="43"/>
        <v>#NAME?</v>
      </c>
      <c r="K147" s="7" t="e">
        <f t="shared" si="43"/>
        <v>#NAME?</v>
      </c>
      <c r="L147" s="7" t="e">
        <f t="shared" si="43"/>
        <v>#NAME?</v>
      </c>
      <c r="M147" s="7" t="e">
        <f t="shared" si="43"/>
        <v>#NAME?</v>
      </c>
      <c r="N147" s="7" t="e">
        <f t="shared" si="43"/>
        <v>#NAME?</v>
      </c>
      <c r="O147" s="7" t="e">
        <f t="shared" si="43"/>
        <v>#NAME?</v>
      </c>
      <c r="P147" s="7" t="e">
        <f t="shared" si="43"/>
        <v>#NAME?</v>
      </c>
      <c r="Q147" s="7" t="e">
        <f t="shared" si="43"/>
        <v>#NAME?</v>
      </c>
      <c r="R147" s="7" t="e">
        <f t="shared" si="43"/>
        <v>#NAME?</v>
      </c>
      <c r="S147" s="7" t="e">
        <f t="shared" si="43"/>
        <v>#NAME?</v>
      </c>
      <c r="T147" s="7"/>
      <c r="U147" s="7" t="e">
        <f t="shared" si="43"/>
        <v>#NAME?</v>
      </c>
      <c r="V147" s="7" t="e">
        <f t="shared" si="43"/>
        <v>#NAME?</v>
      </c>
      <c r="W147" s="7" t="e">
        <f t="shared" si="43"/>
        <v>#NAME?</v>
      </c>
      <c r="X147" s="7" t="e">
        <f t="shared" si="43"/>
        <v>#NAME?</v>
      </c>
      <c r="Y147" s="7" t="e">
        <f t="shared" si="43"/>
        <v>#NAME?</v>
      </c>
      <c r="Z147" s="7" t="e">
        <f t="shared" si="43"/>
        <v>#NAME?</v>
      </c>
      <c r="AA147" s="7" t="e">
        <f t="shared" si="43"/>
        <v>#NAME?</v>
      </c>
      <c r="AB147" s="7" t="e">
        <f t="shared" si="43"/>
        <v>#NAME?</v>
      </c>
      <c r="AC147" s="7" t="e">
        <f t="shared" si="43"/>
        <v>#NAME?</v>
      </c>
      <c r="AD147" s="7" t="e">
        <f t="shared" si="43"/>
        <v>#NAME?</v>
      </c>
      <c r="AE147" s="7" t="e">
        <f t="shared" si="43"/>
        <v>#NAME?</v>
      </c>
      <c r="AF147" s="7" t="e">
        <f t="shared" si="43"/>
        <v>#NAME?</v>
      </c>
      <c r="AG147" s="7" t="e">
        <f t="shared" si="43"/>
        <v>#NAME?</v>
      </c>
    </row>
    <row r="148" spans="1:37">
      <c r="A148" s="7">
        <f t="shared" ref="A148" si="44">A20</f>
        <v>18</v>
      </c>
      <c r="B148" s="7" t="e">
        <f t="shared" ref="B148:AG148" si="45">B20*mult</f>
        <v>#NAME?</v>
      </c>
      <c r="C148" s="7" t="e">
        <f t="shared" si="45"/>
        <v>#NAME?</v>
      </c>
      <c r="D148" s="7" t="e">
        <f t="shared" si="45"/>
        <v>#NAME?</v>
      </c>
      <c r="E148" s="7" t="e">
        <f t="shared" si="45"/>
        <v>#NAME?</v>
      </c>
      <c r="F148" s="7" t="e">
        <f t="shared" si="45"/>
        <v>#NAME?</v>
      </c>
      <c r="G148" s="7" t="e">
        <f t="shared" si="45"/>
        <v>#NAME?</v>
      </c>
      <c r="H148" s="7" t="e">
        <f t="shared" si="45"/>
        <v>#NAME?</v>
      </c>
      <c r="I148" s="7" t="e">
        <f t="shared" si="45"/>
        <v>#NAME?</v>
      </c>
      <c r="J148" s="7" t="e">
        <f t="shared" si="45"/>
        <v>#NAME?</v>
      </c>
      <c r="K148" s="7" t="e">
        <f t="shared" si="45"/>
        <v>#NAME?</v>
      </c>
      <c r="L148" s="7" t="e">
        <f t="shared" si="45"/>
        <v>#NAME?</v>
      </c>
      <c r="M148" s="7" t="e">
        <f t="shared" si="45"/>
        <v>#NAME?</v>
      </c>
      <c r="N148" s="7" t="e">
        <f t="shared" si="45"/>
        <v>#NAME?</v>
      </c>
      <c r="O148" s="7" t="e">
        <f t="shared" si="45"/>
        <v>#NAME?</v>
      </c>
      <c r="P148" s="7" t="e">
        <f t="shared" si="45"/>
        <v>#NAME?</v>
      </c>
      <c r="Q148" s="7" t="e">
        <f t="shared" si="45"/>
        <v>#NAME?</v>
      </c>
      <c r="R148" s="7" t="e">
        <f t="shared" si="45"/>
        <v>#NAME?</v>
      </c>
      <c r="S148" s="7" t="e">
        <f t="shared" si="45"/>
        <v>#NAME?</v>
      </c>
      <c r="T148" s="7"/>
      <c r="U148" s="7" t="e">
        <f t="shared" si="45"/>
        <v>#NAME?</v>
      </c>
      <c r="V148" s="7" t="e">
        <f t="shared" si="45"/>
        <v>#NAME?</v>
      </c>
      <c r="W148" s="7" t="e">
        <f t="shared" si="45"/>
        <v>#NAME?</v>
      </c>
      <c r="X148" s="7" t="e">
        <f t="shared" si="45"/>
        <v>#NAME?</v>
      </c>
      <c r="Y148" s="7" t="e">
        <f t="shared" si="45"/>
        <v>#NAME?</v>
      </c>
      <c r="Z148" s="7" t="e">
        <f t="shared" si="45"/>
        <v>#NAME?</v>
      </c>
      <c r="AA148" s="7" t="e">
        <f t="shared" si="45"/>
        <v>#NAME?</v>
      </c>
      <c r="AB148" s="7" t="e">
        <f t="shared" si="45"/>
        <v>#NAME?</v>
      </c>
      <c r="AC148" s="7" t="e">
        <f t="shared" si="45"/>
        <v>#NAME?</v>
      </c>
      <c r="AD148" s="7" t="e">
        <f t="shared" si="45"/>
        <v>#NAME?</v>
      </c>
      <c r="AE148" s="7" t="e">
        <f t="shared" si="45"/>
        <v>#NAME?</v>
      </c>
      <c r="AF148" s="7" t="e">
        <f t="shared" si="45"/>
        <v>#NAME?</v>
      </c>
      <c r="AG148" s="7" t="e">
        <f t="shared" si="45"/>
        <v>#NAME?</v>
      </c>
    </row>
    <row r="149" spans="1:37">
      <c r="A149" s="7">
        <f t="shared" ref="A149" si="46">A21</f>
        <v>19</v>
      </c>
      <c r="B149" s="7" t="e">
        <f t="shared" ref="B149:AG149" si="47">B21*mult</f>
        <v>#NAME?</v>
      </c>
      <c r="C149" s="7" t="e">
        <f t="shared" si="47"/>
        <v>#NAME?</v>
      </c>
      <c r="D149" s="7" t="e">
        <f t="shared" si="47"/>
        <v>#NAME?</v>
      </c>
      <c r="E149" s="7" t="e">
        <f t="shared" si="47"/>
        <v>#NAME?</v>
      </c>
      <c r="F149" s="7" t="e">
        <f t="shared" si="47"/>
        <v>#NAME?</v>
      </c>
      <c r="G149" s="7" t="e">
        <f t="shared" si="47"/>
        <v>#NAME?</v>
      </c>
      <c r="H149" s="7" t="e">
        <f t="shared" si="47"/>
        <v>#NAME?</v>
      </c>
      <c r="I149" s="7" t="e">
        <f t="shared" si="47"/>
        <v>#NAME?</v>
      </c>
      <c r="J149" s="7" t="e">
        <f t="shared" si="47"/>
        <v>#NAME?</v>
      </c>
      <c r="K149" s="7" t="e">
        <f t="shared" si="47"/>
        <v>#NAME?</v>
      </c>
      <c r="L149" s="7" t="e">
        <f t="shared" si="47"/>
        <v>#NAME?</v>
      </c>
      <c r="M149" s="7" t="e">
        <f t="shared" si="47"/>
        <v>#NAME?</v>
      </c>
      <c r="N149" s="7" t="e">
        <f t="shared" si="47"/>
        <v>#NAME?</v>
      </c>
      <c r="O149" s="7" t="e">
        <f t="shared" si="47"/>
        <v>#NAME?</v>
      </c>
      <c r="P149" s="7" t="e">
        <f t="shared" si="47"/>
        <v>#NAME?</v>
      </c>
      <c r="Q149" s="7" t="e">
        <f t="shared" si="47"/>
        <v>#NAME?</v>
      </c>
      <c r="R149" s="7" t="e">
        <f t="shared" si="47"/>
        <v>#NAME?</v>
      </c>
      <c r="S149" s="7" t="e">
        <f t="shared" si="47"/>
        <v>#NAME?</v>
      </c>
      <c r="T149" s="7"/>
      <c r="U149" s="7" t="e">
        <f t="shared" si="47"/>
        <v>#NAME?</v>
      </c>
      <c r="V149" s="7" t="e">
        <f t="shared" si="47"/>
        <v>#NAME?</v>
      </c>
      <c r="W149" s="7" t="e">
        <f t="shared" si="47"/>
        <v>#NAME?</v>
      </c>
      <c r="X149" s="7" t="e">
        <f t="shared" si="47"/>
        <v>#NAME?</v>
      </c>
      <c r="Y149" s="7" t="e">
        <f t="shared" si="47"/>
        <v>#NAME?</v>
      </c>
      <c r="Z149" s="7" t="e">
        <f t="shared" si="47"/>
        <v>#NAME?</v>
      </c>
      <c r="AA149" s="7" t="e">
        <f t="shared" si="47"/>
        <v>#NAME?</v>
      </c>
      <c r="AB149" s="7" t="e">
        <f t="shared" si="47"/>
        <v>#NAME?</v>
      </c>
      <c r="AC149" s="7" t="e">
        <f t="shared" si="47"/>
        <v>#NAME?</v>
      </c>
      <c r="AD149" s="7" t="e">
        <f t="shared" si="47"/>
        <v>#NAME?</v>
      </c>
      <c r="AE149" s="7" t="e">
        <f t="shared" si="47"/>
        <v>#NAME?</v>
      </c>
      <c r="AF149" s="7" t="e">
        <f t="shared" si="47"/>
        <v>#NAME?</v>
      </c>
      <c r="AG149" s="7" t="e">
        <f t="shared" si="47"/>
        <v>#NAME?</v>
      </c>
    </row>
    <row r="150" spans="1:37">
      <c r="A150" s="7">
        <f t="shared" ref="A150" si="48">A22</f>
        <v>20</v>
      </c>
      <c r="B150" s="7" t="e">
        <f t="shared" ref="B150:AG150" si="49">B22*mult</f>
        <v>#NAME?</v>
      </c>
      <c r="C150" s="7" t="e">
        <f t="shared" si="49"/>
        <v>#NAME?</v>
      </c>
      <c r="D150" s="7" t="e">
        <f t="shared" si="49"/>
        <v>#NAME?</v>
      </c>
      <c r="E150" s="7" t="e">
        <f t="shared" si="49"/>
        <v>#NAME?</v>
      </c>
      <c r="F150" s="7" t="e">
        <f t="shared" si="49"/>
        <v>#NAME?</v>
      </c>
      <c r="G150" s="7" t="e">
        <f t="shared" si="49"/>
        <v>#NAME?</v>
      </c>
      <c r="H150" s="7" t="e">
        <f t="shared" si="49"/>
        <v>#NAME?</v>
      </c>
      <c r="I150" s="7" t="e">
        <f t="shared" si="49"/>
        <v>#NAME?</v>
      </c>
      <c r="J150" s="7" t="e">
        <f t="shared" si="49"/>
        <v>#NAME?</v>
      </c>
      <c r="K150" s="7" t="e">
        <f t="shared" si="49"/>
        <v>#NAME?</v>
      </c>
      <c r="L150" s="7" t="e">
        <f t="shared" si="49"/>
        <v>#NAME?</v>
      </c>
      <c r="M150" s="7" t="e">
        <f t="shared" si="49"/>
        <v>#NAME?</v>
      </c>
      <c r="N150" s="7" t="e">
        <f t="shared" si="49"/>
        <v>#NAME?</v>
      </c>
      <c r="O150" s="7" t="e">
        <f t="shared" si="49"/>
        <v>#NAME?</v>
      </c>
      <c r="P150" s="7" t="e">
        <f t="shared" si="49"/>
        <v>#NAME?</v>
      </c>
      <c r="Q150" s="7" t="e">
        <f t="shared" si="49"/>
        <v>#NAME?</v>
      </c>
      <c r="R150" s="7" t="e">
        <f t="shared" si="49"/>
        <v>#NAME?</v>
      </c>
      <c r="S150" s="7" t="e">
        <f t="shared" si="49"/>
        <v>#NAME?</v>
      </c>
      <c r="T150" s="7"/>
      <c r="U150" s="7" t="e">
        <f t="shared" si="49"/>
        <v>#NAME?</v>
      </c>
      <c r="V150" s="7" t="e">
        <f t="shared" si="49"/>
        <v>#NAME?</v>
      </c>
      <c r="W150" s="7" t="e">
        <f t="shared" si="49"/>
        <v>#NAME?</v>
      </c>
      <c r="X150" s="7" t="e">
        <f t="shared" si="49"/>
        <v>#NAME?</v>
      </c>
      <c r="Y150" s="7" t="e">
        <f t="shared" si="49"/>
        <v>#NAME?</v>
      </c>
      <c r="Z150" s="7" t="e">
        <f t="shared" si="49"/>
        <v>#NAME?</v>
      </c>
      <c r="AA150" s="7" t="e">
        <f t="shared" si="49"/>
        <v>#NAME?</v>
      </c>
      <c r="AB150" s="7" t="e">
        <f t="shared" si="49"/>
        <v>#NAME?</v>
      </c>
      <c r="AC150" s="7" t="e">
        <f t="shared" si="49"/>
        <v>#NAME?</v>
      </c>
      <c r="AD150" s="7" t="e">
        <f t="shared" si="49"/>
        <v>#NAME?</v>
      </c>
      <c r="AE150" s="7" t="e">
        <f t="shared" si="49"/>
        <v>#NAME?</v>
      </c>
      <c r="AF150" s="7" t="e">
        <f t="shared" si="49"/>
        <v>#NAME?</v>
      </c>
      <c r="AG150" s="7" t="e">
        <f t="shared" si="49"/>
        <v>#NAME?</v>
      </c>
    </row>
    <row r="151" spans="1:37">
      <c r="A151" s="7">
        <f t="shared" ref="A151" si="50">A23</f>
        <v>21</v>
      </c>
      <c r="B151" s="7" t="e">
        <f t="shared" ref="B151:AG151" si="51">B23*mult</f>
        <v>#NAME?</v>
      </c>
      <c r="C151" s="7" t="e">
        <f t="shared" si="51"/>
        <v>#NAME?</v>
      </c>
      <c r="D151" s="7" t="e">
        <f t="shared" si="51"/>
        <v>#NAME?</v>
      </c>
      <c r="E151" s="7" t="e">
        <f t="shared" si="51"/>
        <v>#NAME?</v>
      </c>
      <c r="F151" s="7" t="e">
        <f t="shared" si="51"/>
        <v>#NAME?</v>
      </c>
      <c r="G151" s="7" t="e">
        <f t="shared" si="51"/>
        <v>#NAME?</v>
      </c>
      <c r="H151" s="7" t="e">
        <f t="shared" si="51"/>
        <v>#NAME?</v>
      </c>
      <c r="I151" s="7" t="e">
        <f t="shared" si="51"/>
        <v>#NAME?</v>
      </c>
      <c r="J151" s="7" t="e">
        <f t="shared" si="51"/>
        <v>#NAME?</v>
      </c>
      <c r="K151" s="7" t="e">
        <f t="shared" si="51"/>
        <v>#NAME?</v>
      </c>
      <c r="L151" s="7" t="e">
        <f t="shared" si="51"/>
        <v>#NAME?</v>
      </c>
      <c r="M151" s="7" t="e">
        <f t="shared" si="51"/>
        <v>#NAME?</v>
      </c>
      <c r="N151" s="7" t="e">
        <f t="shared" si="51"/>
        <v>#NAME?</v>
      </c>
      <c r="O151" s="7" t="e">
        <f t="shared" si="51"/>
        <v>#NAME?</v>
      </c>
      <c r="P151" s="7" t="e">
        <f t="shared" si="51"/>
        <v>#NAME?</v>
      </c>
      <c r="Q151" s="7" t="e">
        <f t="shared" si="51"/>
        <v>#NAME?</v>
      </c>
      <c r="R151" s="7" t="e">
        <f t="shared" si="51"/>
        <v>#NAME?</v>
      </c>
      <c r="S151" s="7" t="e">
        <f t="shared" si="51"/>
        <v>#NAME?</v>
      </c>
      <c r="T151" s="7"/>
      <c r="U151" s="7" t="e">
        <f t="shared" si="51"/>
        <v>#NAME?</v>
      </c>
      <c r="V151" s="7" t="e">
        <f t="shared" si="51"/>
        <v>#NAME?</v>
      </c>
      <c r="W151" s="7" t="e">
        <f t="shared" si="51"/>
        <v>#NAME?</v>
      </c>
      <c r="X151" s="7" t="e">
        <f t="shared" si="51"/>
        <v>#NAME?</v>
      </c>
      <c r="Y151" s="7" t="e">
        <f t="shared" si="51"/>
        <v>#NAME?</v>
      </c>
      <c r="Z151" s="7" t="e">
        <f t="shared" si="51"/>
        <v>#NAME?</v>
      </c>
      <c r="AA151" s="7" t="e">
        <f t="shared" si="51"/>
        <v>#NAME?</v>
      </c>
      <c r="AB151" s="7" t="e">
        <f t="shared" si="51"/>
        <v>#NAME?</v>
      </c>
      <c r="AC151" s="7" t="e">
        <f t="shared" si="51"/>
        <v>#NAME?</v>
      </c>
      <c r="AD151" s="7" t="e">
        <f t="shared" si="51"/>
        <v>#NAME?</v>
      </c>
      <c r="AE151" s="7" t="e">
        <f t="shared" si="51"/>
        <v>#NAME?</v>
      </c>
      <c r="AF151" s="7" t="e">
        <f t="shared" si="51"/>
        <v>#NAME?</v>
      </c>
      <c r="AG151" s="7" t="e">
        <f t="shared" si="51"/>
        <v>#NAME?</v>
      </c>
    </row>
    <row r="152" spans="1:37">
      <c r="A152" s="7">
        <f t="shared" ref="A152" si="52">A24</f>
        <v>22</v>
      </c>
      <c r="B152" s="7" t="e">
        <f t="shared" ref="B152:AG152" si="53">B24*mult</f>
        <v>#NAME?</v>
      </c>
      <c r="C152" s="7" t="e">
        <f t="shared" si="53"/>
        <v>#NAME?</v>
      </c>
      <c r="D152" s="7" t="e">
        <f t="shared" si="53"/>
        <v>#NAME?</v>
      </c>
      <c r="E152" s="7" t="e">
        <f t="shared" si="53"/>
        <v>#NAME?</v>
      </c>
      <c r="F152" s="7" t="e">
        <f t="shared" si="53"/>
        <v>#NAME?</v>
      </c>
      <c r="G152" s="7" t="e">
        <f t="shared" si="53"/>
        <v>#NAME?</v>
      </c>
      <c r="H152" s="7" t="e">
        <f t="shared" si="53"/>
        <v>#NAME?</v>
      </c>
      <c r="I152" s="7" t="e">
        <f t="shared" si="53"/>
        <v>#NAME?</v>
      </c>
      <c r="J152" s="7" t="e">
        <f t="shared" si="53"/>
        <v>#NAME?</v>
      </c>
      <c r="K152" s="7" t="e">
        <f t="shared" si="53"/>
        <v>#NAME?</v>
      </c>
      <c r="L152" s="7" t="e">
        <f t="shared" si="53"/>
        <v>#NAME?</v>
      </c>
      <c r="M152" s="7" t="e">
        <f t="shared" si="53"/>
        <v>#NAME?</v>
      </c>
      <c r="N152" s="7" t="e">
        <f t="shared" si="53"/>
        <v>#NAME?</v>
      </c>
      <c r="O152" s="7" t="e">
        <f t="shared" si="53"/>
        <v>#NAME?</v>
      </c>
      <c r="P152" s="7" t="e">
        <f t="shared" si="53"/>
        <v>#NAME?</v>
      </c>
      <c r="Q152" s="7" t="e">
        <f t="shared" si="53"/>
        <v>#NAME?</v>
      </c>
      <c r="R152" s="7" t="e">
        <f t="shared" si="53"/>
        <v>#NAME?</v>
      </c>
      <c r="S152" s="7" t="e">
        <f t="shared" si="53"/>
        <v>#NAME?</v>
      </c>
      <c r="T152" s="7"/>
      <c r="U152" s="7" t="e">
        <f t="shared" si="53"/>
        <v>#NAME?</v>
      </c>
      <c r="V152" s="7" t="e">
        <f t="shared" si="53"/>
        <v>#NAME?</v>
      </c>
      <c r="W152" s="7" t="e">
        <f t="shared" si="53"/>
        <v>#NAME?</v>
      </c>
      <c r="X152" s="7" t="e">
        <f t="shared" si="53"/>
        <v>#NAME?</v>
      </c>
      <c r="Y152" s="7" t="e">
        <f t="shared" si="53"/>
        <v>#NAME?</v>
      </c>
      <c r="Z152" s="7" t="e">
        <f t="shared" si="53"/>
        <v>#NAME?</v>
      </c>
      <c r="AA152" s="7" t="e">
        <f t="shared" si="53"/>
        <v>#NAME?</v>
      </c>
      <c r="AB152" s="7" t="e">
        <f t="shared" si="53"/>
        <v>#NAME?</v>
      </c>
      <c r="AC152" s="7" t="e">
        <f t="shared" si="53"/>
        <v>#NAME?</v>
      </c>
      <c r="AD152" s="7" t="e">
        <f t="shared" si="53"/>
        <v>#NAME?</v>
      </c>
      <c r="AE152" s="7" t="e">
        <f t="shared" si="53"/>
        <v>#NAME?</v>
      </c>
      <c r="AF152" s="7" t="e">
        <f t="shared" si="53"/>
        <v>#NAME?</v>
      </c>
      <c r="AG152" s="7" t="e">
        <f t="shared" si="53"/>
        <v>#NAME?</v>
      </c>
    </row>
    <row r="153" spans="1:37">
      <c r="A153" s="7">
        <f t="shared" ref="A153" si="54">A25</f>
        <v>23</v>
      </c>
      <c r="B153" s="7" t="e">
        <f t="shared" ref="B153:AG153" si="55">B25*mult</f>
        <v>#NAME?</v>
      </c>
      <c r="C153" s="7" t="e">
        <f t="shared" si="55"/>
        <v>#NAME?</v>
      </c>
      <c r="D153" s="7" t="e">
        <f t="shared" si="55"/>
        <v>#NAME?</v>
      </c>
      <c r="E153" s="7" t="e">
        <f t="shared" si="55"/>
        <v>#NAME?</v>
      </c>
      <c r="F153" s="7" t="e">
        <f t="shared" si="55"/>
        <v>#NAME?</v>
      </c>
      <c r="G153" s="7" t="e">
        <f t="shared" si="55"/>
        <v>#NAME?</v>
      </c>
      <c r="H153" s="7" t="e">
        <f t="shared" si="55"/>
        <v>#NAME?</v>
      </c>
      <c r="I153" s="7" t="e">
        <f t="shared" si="55"/>
        <v>#NAME?</v>
      </c>
      <c r="J153" s="7" t="e">
        <f t="shared" si="55"/>
        <v>#NAME?</v>
      </c>
      <c r="K153" s="7" t="e">
        <f t="shared" si="55"/>
        <v>#NAME?</v>
      </c>
      <c r="L153" s="7" t="e">
        <f t="shared" si="55"/>
        <v>#NAME?</v>
      </c>
      <c r="M153" s="7" t="e">
        <f t="shared" si="55"/>
        <v>#NAME?</v>
      </c>
      <c r="N153" s="7" t="e">
        <f t="shared" si="55"/>
        <v>#NAME?</v>
      </c>
      <c r="O153" s="7" t="e">
        <f t="shared" si="55"/>
        <v>#NAME?</v>
      </c>
      <c r="P153" s="7" t="e">
        <f t="shared" si="55"/>
        <v>#NAME?</v>
      </c>
      <c r="Q153" s="7" t="e">
        <f t="shared" si="55"/>
        <v>#NAME?</v>
      </c>
      <c r="R153" s="7" t="e">
        <f t="shared" si="55"/>
        <v>#NAME?</v>
      </c>
      <c r="S153" s="7" t="e">
        <f t="shared" si="55"/>
        <v>#NAME?</v>
      </c>
      <c r="T153" s="7"/>
      <c r="U153" s="7" t="e">
        <f t="shared" si="55"/>
        <v>#NAME?</v>
      </c>
      <c r="V153" s="7" t="e">
        <f t="shared" si="55"/>
        <v>#NAME?</v>
      </c>
      <c r="W153" s="7" t="e">
        <f t="shared" si="55"/>
        <v>#NAME?</v>
      </c>
      <c r="X153" s="7" t="e">
        <f t="shared" si="55"/>
        <v>#NAME?</v>
      </c>
      <c r="Y153" s="7" t="e">
        <f t="shared" si="55"/>
        <v>#NAME?</v>
      </c>
      <c r="Z153" s="7" t="e">
        <f t="shared" si="55"/>
        <v>#NAME?</v>
      </c>
      <c r="AA153" s="7" t="e">
        <f t="shared" si="55"/>
        <v>#NAME?</v>
      </c>
      <c r="AB153" s="7" t="e">
        <f t="shared" si="55"/>
        <v>#NAME?</v>
      </c>
      <c r="AC153" s="7" t="e">
        <f t="shared" si="55"/>
        <v>#NAME?</v>
      </c>
      <c r="AD153" s="7" t="e">
        <f t="shared" si="55"/>
        <v>#NAME?</v>
      </c>
      <c r="AE153" s="7" t="e">
        <f t="shared" si="55"/>
        <v>#NAME?</v>
      </c>
      <c r="AF153" s="7" t="e">
        <f t="shared" si="55"/>
        <v>#NAME?</v>
      </c>
      <c r="AG153" s="7" t="e">
        <f t="shared" si="55"/>
        <v>#NAME?</v>
      </c>
    </row>
    <row r="154" spans="1:37">
      <c r="A154" s="7">
        <f t="shared" ref="A154" si="56">A26</f>
        <v>24</v>
      </c>
      <c r="B154" s="7" t="e">
        <f t="shared" ref="B154:AG154" si="57">B26*mult</f>
        <v>#NAME?</v>
      </c>
      <c r="C154" s="7" t="e">
        <f t="shared" si="57"/>
        <v>#NAME?</v>
      </c>
      <c r="D154" s="7" t="e">
        <f t="shared" si="57"/>
        <v>#NAME?</v>
      </c>
      <c r="E154" s="7" t="e">
        <f t="shared" si="57"/>
        <v>#NAME?</v>
      </c>
      <c r="F154" s="7" t="e">
        <f t="shared" si="57"/>
        <v>#NAME?</v>
      </c>
      <c r="G154" s="7" t="e">
        <f t="shared" si="57"/>
        <v>#NAME?</v>
      </c>
      <c r="H154" s="7" t="e">
        <f t="shared" si="57"/>
        <v>#NAME?</v>
      </c>
      <c r="I154" s="7" t="e">
        <f t="shared" si="57"/>
        <v>#NAME?</v>
      </c>
      <c r="J154" s="7" t="e">
        <f t="shared" si="57"/>
        <v>#NAME?</v>
      </c>
      <c r="K154" s="7" t="e">
        <f t="shared" si="57"/>
        <v>#NAME?</v>
      </c>
      <c r="L154" s="7" t="e">
        <f t="shared" si="57"/>
        <v>#NAME?</v>
      </c>
      <c r="M154" s="7" t="e">
        <f t="shared" si="57"/>
        <v>#NAME?</v>
      </c>
      <c r="N154" s="7" t="e">
        <f t="shared" si="57"/>
        <v>#NAME?</v>
      </c>
      <c r="O154" s="7" t="e">
        <f t="shared" si="57"/>
        <v>#NAME?</v>
      </c>
      <c r="P154" s="7" t="e">
        <f t="shared" si="57"/>
        <v>#NAME?</v>
      </c>
      <c r="Q154" s="7" t="e">
        <f t="shared" si="57"/>
        <v>#NAME?</v>
      </c>
      <c r="R154" s="7" t="e">
        <f t="shared" si="57"/>
        <v>#NAME?</v>
      </c>
      <c r="S154" s="7" t="e">
        <f t="shared" si="57"/>
        <v>#NAME?</v>
      </c>
      <c r="T154" s="7"/>
      <c r="U154" s="7" t="e">
        <f t="shared" si="57"/>
        <v>#NAME?</v>
      </c>
      <c r="V154" s="7" t="e">
        <f t="shared" si="57"/>
        <v>#NAME?</v>
      </c>
      <c r="W154" s="7" t="e">
        <f t="shared" si="57"/>
        <v>#NAME?</v>
      </c>
      <c r="X154" s="7" t="e">
        <f t="shared" si="57"/>
        <v>#NAME?</v>
      </c>
      <c r="Y154" s="7" t="e">
        <f t="shared" si="57"/>
        <v>#NAME?</v>
      </c>
      <c r="Z154" s="7" t="e">
        <f t="shared" si="57"/>
        <v>#NAME?</v>
      </c>
      <c r="AA154" s="7" t="e">
        <f t="shared" si="57"/>
        <v>#NAME?</v>
      </c>
      <c r="AB154" s="7" t="e">
        <f t="shared" si="57"/>
        <v>#NAME?</v>
      </c>
      <c r="AC154" s="7" t="e">
        <f t="shared" si="57"/>
        <v>#NAME?</v>
      </c>
      <c r="AD154" s="7" t="e">
        <f t="shared" si="57"/>
        <v>#NAME?</v>
      </c>
      <c r="AE154" s="7" t="e">
        <f t="shared" si="57"/>
        <v>#NAME?</v>
      </c>
      <c r="AF154" s="7" t="e">
        <f t="shared" si="57"/>
        <v>#NAME?</v>
      </c>
      <c r="AG154" s="7" t="e">
        <f t="shared" si="57"/>
        <v>#NAME?</v>
      </c>
    </row>
    <row r="155" spans="1:37">
      <c r="AH155" t="str">
        <f>AH1</f>
        <v>STDEV</v>
      </c>
      <c r="AI155" s="7" t="str">
        <f t="shared" ref="AI155:AK155" si="58">AI1</f>
        <v>-1.5σ</v>
      </c>
      <c r="AJ155" s="7" t="str">
        <f t="shared" si="58"/>
        <v>MEAN</v>
      </c>
      <c r="AK155" s="7" t="str">
        <f t="shared" si="58"/>
        <v>+1.5σ</v>
      </c>
    </row>
    <row r="156" spans="1:37">
      <c r="A156" s="7">
        <f>MAX(A132:A154)-A157</f>
        <v>22</v>
      </c>
      <c r="B156" s="7" t="e">
        <f t="shared" ref="B156:AG156" si="59">MAX(B132:B154)-B157</f>
        <v>#NAME?</v>
      </c>
      <c r="C156" s="7" t="e">
        <f t="shared" si="59"/>
        <v>#NAME?</v>
      </c>
      <c r="D156" s="7" t="e">
        <f t="shared" si="59"/>
        <v>#NAME?</v>
      </c>
      <c r="E156" s="7" t="e">
        <f t="shared" si="59"/>
        <v>#NAME?</v>
      </c>
      <c r="F156" s="7" t="e">
        <f t="shared" si="59"/>
        <v>#NAME?</v>
      </c>
      <c r="G156" s="7" t="e">
        <f t="shared" si="59"/>
        <v>#NAME?</v>
      </c>
      <c r="H156" s="7" t="e">
        <f t="shared" si="59"/>
        <v>#NAME?</v>
      </c>
      <c r="I156" s="7" t="e">
        <f t="shared" si="59"/>
        <v>#NAME?</v>
      </c>
      <c r="J156" s="7" t="e">
        <f t="shared" si="59"/>
        <v>#NAME?</v>
      </c>
      <c r="K156" s="7" t="e">
        <f t="shared" si="59"/>
        <v>#NAME?</v>
      </c>
      <c r="L156" s="7" t="e">
        <f t="shared" si="59"/>
        <v>#NAME?</v>
      </c>
      <c r="M156" s="7" t="e">
        <f t="shared" si="59"/>
        <v>#NAME?</v>
      </c>
      <c r="N156" s="7" t="e">
        <f t="shared" si="59"/>
        <v>#NAME?</v>
      </c>
      <c r="O156" s="7" t="e">
        <f t="shared" si="59"/>
        <v>#NAME?</v>
      </c>
      <c r="P156" s="7" t="e">
        <f t="shared" si="59"/>
        <v>#NAME?</v>
      </c>
      <c r="Q156" s="7" t="e">
        <f t="shared" si="59"/>
        <v>#NAME?</v>
      </c>
      <c r="R156" s="7" t="e">
        <f t="shared" si="59"/>
        <v>#NAME?</v>
      </c>
      <c r="S156" s="7" t="e">
        <f t="shared" si="59"/>
        <v>#NAME?</v>
      </c>
      <c r="T156" s="7"/>
      <c r="U156" s="7" t="e">
        <f t="shared" si="59"/>
        <v>#NAME?</v>
      </c>
      <c r="V156" s="7" t="e">
        <f t="shared" si="59"/>
        <v>#NAME?</v>
      </c>
      <c r="W156" s="7" t="e">
        <f t="shared" si="59"/>
        <v>#NAME?</v>
      </c>
      <c r="X156" s="7" t="e">
        <f t="shared" si="59"/>
        <v>#NAME?</v>
      </c>
      <c r="Y156" s="7" t="e">
        <f t="shared" si="59"/>
        <v>#NAME?</v>
      </c>
      <c r="Z156" s="7" t="e">
        <f t="shared" si="59"/>
        <v>#NAME?</v>
      </c>
      <c r="AA156" s="7" t="e">
        <f t="shared" si="59"/>
        <v>#NAME?</v>
      </c>
      <c r="AB156" s="7" t="e">
        <f t="shared" si="59"/>
        <v>#NAME?</v>
      </c>
      <c r="AC156" s="7" t="e">
        <f t="shared" si="59"/>
        <v>#NAME?</v>
      </c>
      <c r="AD156" s="7" t="e">
        <f t="shared" si="59"/>
        <v>#NAME?</v>
      </c>
      <c r="AE156" s="7" t="e">
        <f t="shared" si="59"/>
        <v>#NAME?</v>
      </c>
      <c r="AF156" s="7" t="e">
        <f t="shared" si="59"/>
        <v>#NAME?</v>
      </c>
      <c r="AG156" s="7" t="e">
        <f t="shared" si="59"/>
        <v>#NAME?</v>
      </c>
      <c r="AH156" s="7" t="e">
        <f t="shared" ref="AH156:AH211" si="60">STDEV(B156:AG156)</f>
        <v>#NAME?</v>
      </c>
      <c r="AI156" s="7" t="e">
        <f t="shared" ref="AI156:AI212" si="61">AJ156-1.5*AH156</f>
        <v>#NAME?</v>
      </c>
      <c r="AJ156" s="8" t="e">
        <f t="shared" ref="AJ156:AJ212" si="62">AVERAGE(B156:AG156)</f>
        <v>#NAME?</v>
      </c>
      <c r="AK156" s="7" t="e">
        <f t="shared" ref="AK156:AK212" si="63">AJ156+1.5*AH156</f>
        <v>#NAME?</v>
      </c>
    </row>
    <row r="157" spans="1:37">
      <c r="A157" s="7">
        <f>MIN(A132:A154)</f>
        <v>2</v>
      </c>
      <c r="B157" s="7" t="e">
        <f t="shared" ref="B157:AG157" si="64">MIN(B132:B154)</f>
        <v>#NAME?</v>
      </c>
      <c r="C157" s="7" t="e">
        <f t="shared" si="64"/>
        <v>#NAME?</v>
      </c>
      <c r="D157" s="7" t="e">
        <f t="shared" si="64"/>
        <v>#NAME?</v>
      </c>
      <c r="E157" s="7" t="e">
        <f t="shared" si="64"/>
        <v>#NAME?</v>
      </c>
      <c r="F157" s="7" t="e">
        <f t="shared" si="64"/>
        <v>#NAME?</v>
      </c>
      <c r="G157" s="7" t="e">
        <f t="shared" si="64"/>
        <v>#NAME?</v>
      </c>
      <c r="H157" s="7" t="e">
        <f t="shared" si="64"/>
        <v>#NAME?</v>
      </c>
      <c r="I157" s="7" t="e">
        <f t="shared" si="64"/>
        <v>#NAME?</v>
      </c>
      <c r="J157" s="7" t="e">
        <f t="shared" si="64"/>
        <v>#NAME?</v>
      </c>
      <c r="K157" s="7" t="e">
        <f t="shared" si="64"/>
        <v>#NAME?</v>
      </c>
      <c r="L157" s="7" t="e">
        <f t="shared" si="64"/>
        <v>#NAME?</v>
      </c>
      <c r="M157" s="7" t="e">
        <f t="shared" si="64"/>
        <v>#NAME?</v>
      </c>
      <c r="N157" s="7" t="e">
        <f t="shared" si="64"/>
        <v>#NAME?</v>
      </c>
      <c r="O157" s="7" t="e">
        <f t="shared" si="64"/>
        <v>#NAME?</v>
      </c>
      <c r="P157" s="7" t="e">
        <f t="shared" si="64"/>
        <v>#NAME?</v>
      </c>
      <c r="Q157" s="7" t="e">
        <f t="shared" si="64"/>
        <v>#NAME?</v>
      </c>
      <c r="R157" s="7" t="e">
        <f t="shared" si="64"/>
        <v>#NAME?</v>
      </c>
      <c r="S157" s="7" t="e">
        <f t="shared" si="64"/>
        <v>#NAME?</v>
      </c>
      <c r="T157" s="7"/>
      <c r="U157" s="7" t="e">
        <f t="shared" si="64"/>
        <v>#NAME?</v>
      </c>
      <c r="V157" s="7" t="e">
        <f t="shared" si="64"/>
        <v>#NAME?</v>
      </c>
      <c r="W157" s="7" t="e">
        <f t="shared" si="64"/>
        <v>#NAME?</v>
      </c>
      <c r="X157" s="7" t="e">
        <f t="shared" si="64"/>
        <v>#NAME?</v>
      </c>
      <c r="Y157" s="7" t="e">
        <f t="shared" si="64"/>
        <v>#NAME?</v>
      </c>
      <c r="Z157" s="7" t="e">
        <f t="shared" si="64"/>
        <v>#NAME?</v>
      </c>
      <c r="AA157" s="7" t="e">
        <f t="shared" si="64"/>
        <v>#NAME?</v>
      </c>
      <c r="AB157" s="7" t="e">
        <f t="shared" si="64"/>
        <v>#NAME?</v>
      </c>
      <c r="AC157" s="7" t="e">
        <f t="shared" si="64"/>
        <v>#NAME?</v>
      </c>
      <c r="AD157" s="7" t="e">
        <f t="shared" si="64"/>
        <v>#NAME?</v>
      </c>
      <c r="AE157" s="7" t="e">
        <f t="shared" si="64"/>
        <v>#NAME?</v>
      </c>
      <c r="AF157" s="7" t="e">
        <f t="shared" si="64"/>
        <v>#NAME?</v>
      </c>
      <c r="AG157" s="7" t="e">
        <f t="shared" si="64"/>
        <v>#NAME?</v>
      </c>
      <c r="AH157" s="7" t="e">
        <f t="shared" si="60"/>
        <v>#NAME?</v>
      </c>
      <c r="AI157" s="7" t="e">
        <f t="shared" si="61"/>
        <v>#NAME?</v>
      </c>
      <c r="AJ157" s="8" t="e">
        <f t="shared" si="62"/>
        <v>#NAME?</v>
      </c>
      <c r="AK157" s="7" t="e">
        <f t="shared" si="63"/>
        <v>#NAME?</v>
      </c>
    </row>
    <row r="158" spans="1:37">
      <c r="AH158" s="7"/>
      <c r="AI158" s="7"/>
      <c r="AJ158" s="8"/>
      <c r="AK158" s="7"/>
    </row>
    <row r="159" spans="1:37">
      <c r="A159" s="7" t="s">
        <v>0</v>
      </c>
      <c r="B159" t="e">
        <f>B156/$A156</f>
        <v>#NAME?</v>
      </c>
      <c r="C159" s="7" t="e">
        <f t="shared" ref="C159:AG159" si="65">C156/$A156</f>
        <v>#NAME?</v>
      </c>
      <c r="D159" s="7" t="e">
        <f t="shared" si="65"/>
        <v>#NAME?</v>
      </c>
      <c r="E159" s="7" t="e">
        <f t="shared" si="65"/>
        <v>#NAME?</v>
      </c>
      <c r="F159" s="7" t="e">
        <f t="shared" si="65"/>
        <v>#NAME?</v>
      </c>
      <c r="G159" s="7" t="e">
        <f t="shared" si="65"/>
        <v>#NAME?</v>
      </c>
      <c r="H159" s="7" t="e">
        <f t="shared" si="65"/>
        <v>#NAME?</v>
      </c>
      <c r="I159" s="7" t="e">
        <f t="shared" si="65"/>
        <v>#NAME?</v>
      </c>
      <c r="J159" s="7" t="e">
        <f t="shared" si="65"/>
        <v>#NAME?</v>
      </c>
      <c r="K159" s="7" t="e">
        <f t="shared" si="65"/>
        <v>#NAME?</v>
      </c>
      <c r="L159" s="7" t="e">
        <f t="shared" si="65"/>
        <v>#NAME?</v>
      </c>
      <c r="M159" s="7" t="e">
        <f t="shared" si="65"/>
        <v>#NAME?</v>
      </c>
      <c r="N159" s="7" t="e">
        <f t="shared" si="65"/>
        <v>#NAME?</v>
      </c>
      <c r="O159" s="7" t="e">
        <f t="shared" si="65"/>
        <v>#NAME?</v>
      </c>
      <c r="P159" s="7" t="e">
        <f t="shared" si="65"/>
        <v>#NAME?</v>
      </c>
      <c r="Q159" s="7" t="e">
        <f t="shared" si="65"/>
        <v>#NAME?</v>
      </c>
      <c r="R159" s="7" t="e">
        <f t="shared" si="65"/>
        <v>#NAME?</v>
      </c>
      <c r="S159" s="7" t="e">
        <f t="shared" si="65"/>
        <v>#NAME?</v>
      </c>
      <c r="T159" s="7"/>
      <c r="U159" s="7" t="e">
        <f t="shared" si="65"/>
        <v>#NAME?</v>
      </c>
      <c r="V159" s="7" t="e">
        <f t="shared" si="65"/>
        <v>#NAME?</v>
      </c>
      <c r="W159" s="7" t="e">
        <f t="shared" si="65"/>
        <v>#NAME?</v>
      </c>
      <c r="X159" s="7" t="e">
        <f t="shared" si="65"/>
        <v>#NAME?</v>
      </c>
      <c r="Y159" s="7" t="e">
        <f t="shared" si="65"/>
        <v>#NAME?</v>
      </c>
      <c r="Z159" s="7" t="e">
        <f t="shared" si="65"/>
        <v>#NAME?</v>
      </c>
      <c r="AA159" s="7" t="e">
        <f t="shared" si="65"/>
        <v>#NAME?</v>
      </c>
      <c r="AB159" s="7" t="e">
        <f t="shared" si="65"/>
        <v>#NAME?</v>
      </c>
      <c r="AC159" s="7" t="e">
        <f t="shared" si="65"/>
        <v>#NAME?</v>
      </c>
      <c r="AD159" s="7" t="e">
        <f t="shared" si="65"/>
        <v>#NAME?</v>
      </c>
      <c r="AE159" s="7" t="e">
        <f t="shared" si="65"/>
        <v>#NAME?</v>
      </c>
      <c r="AF159" s="7" t="e">
        <f t="shared" si="65"/>
        <v>#NAME?</v>
      </c>
      <c r="AG159" s="7" t="e">
        <f t="shared" si="65"/>
        <v>#NAME?</v>
      </c>
      <c r="AH159" s="7" t="e">
        <f t="shared" si="60"/>
        <v>#NAME?</v>
      </c>
      <c r="AI159" s="7" t="e">
        <f t="shared" si="61"/>
        <v>#NAME?</v>
      </c>
      <c r="AJ159" s="8" t="e">
        <f t="shared" si="62"/>
        <v>#NAME?</v>
      </c>
      <c r="AK159" s="7" t="e">
        <f t="shared" si="63"/>
        <v>#NAME?</v>
      </c>
    </row>
    <row r="160" spans="1:37">
      <c r="A160" s="7" t="s">
        <v>1</v>
      </c>
      <c r="B160" t="e">
        <f>B132-B159*$A132</f>
        <v>#NAME?</v>
      </c>
      <c r="C160" s="7" t="e">
        <f t="shared" ref="C160:AG160" si="66">C132-C159*$A132</f>
        <v>#NAME?</v>
      </c>
      <c r="D160" s="7" t="e">
        <f t="shared" si="66"/>
        <v>#NAME?</v>
      </c>
      <c r="E160" s="7" t="e">
        <f t="shared" si="66"/>
        <v>#NAME?</v>
      </c>
      <c r="F160" s="7" t="e">
        <f t="shared" si="66"/>
        <v>#NAME?</v>
      </c>
      <c r="G160" s="7" t="e">
        <f t="shared" si="66"/>
        <v>#NAME?</v>
      </c>
      <c r="H160" s="7" t="e">
        <f t="shared" si="66"/>
        <v>#NAME?</v>
      </c>
      <c r="I160" s="7" t="e">
        <f t="shared" si="66"/>
        <v>#NAME?</v>
      </c>
      <c r="J160" s="7" t="e">
        <f t="shared" si="66"/>
        <v>#NAME?</v>
      </c>
      <c r="K160" s="7" t="e">
        <f t="shared" si="66"/>
        <v>#NAME?</v>
      </c>
      <c r="L160" s="7" t="e">
        <f t="shared" si="66"/>
        <v>#NAME?</v>
      </c>
      <c r="M160" s="7" t="e">
        <f t="shared" si="66"/>
        <v>#NAME?</v>
      </c>
      <c r="N160" s="7" t="e">
        <f t="shared" si="66"/>
        <v>#NAME?</v>
      </c>
      <c r="O160" s="7" t="e">
        <f t="shared" si="66"/>
        <v>#NAME?</v>
      </c>
      <c r="P160" s="7" t="e">
        <f t="shared" si="66"/>
        <v>#NAME?</v>
      </c>
      <c r="Q160" s="7" t="e">
        <f t="shared" si="66"/>
        <v>#NAME?</v>
      </c>
      <c r="R160" s="7" t="e">
        <f t="shared" si="66"/>
        <v>#NAME?</v>
      </c>
      <c r="S160" s="7" t="e">
        <f t="shared" si="66"/>
        <v>#NAME?</v>
      </c>
      <c r="T160" s="7"/>
      <c r="U160" s="7" t="e">
        <f t="shared" si="66"/>
        <v>#NAME?</v>
      </c>
      <c r="V160" s="7" t="e">
        <f t="shared" si="66"/>
        <v>#NAME?</v>
      </c>
      <c r="W160" s="7" t="e">
        <f t="shared" si="66"/>
        <v>#NAME?</v>
      </c>
      <c r="X160" s="7" t="e">
        <f t="shared" si="66"/>
        <v>#NAME?</v>
      </c>
      <c r="Y160" s="7" t="e">
        <f t="shared" si="66"/>
        <v>#NAME?</v>
      </c>
      <c r="Z160" s="7" t="e">
        <f t="shared" si="66"/>
        <v>#NAME?</v>
      </c>
      <c r="AA160" s="7" t="e">
        <f t="shared" si="66"/>
        <v>#NAME?</v>
      </c>
      <c r="AB160" s="7" t="e">
        <f t="shared" si="66"/>
        <v>#NAME?</v>
      </c>
      <c r="AC160" s="7" t="e">
        <f t="shared" si="66"/>
        <v>#NAME?</v>
      </c>
      <c r="AD160" s="7" t="e">
        <f t="shared" si="66"/>
        <v>#NAME?</v>
      </c>
      <c r="AE160" s="7" t="e">
        <f t="shared" si="66"/>
        <v>#NAME?</v>
      </c>
      <c r="AF160" s="7" t="e">
        <f t="shared" si="66"/>
        <v>#NAME?</v>
      </c>
      <c r="AG160" s="7" t="e">
        <f t="shared" si="66"/>
        <v>#NAME?</v>
      </c>
      <c r="AH160" s="7" t="e">
        <f t="shared" si="60"/>
        <v>#NAME?</v>
      </c>
      <c r="AI160" s="7" t="e">
        <f t="shared" si="61"/>
        <v>#NAME?</v>
      </c>
      <c r="AJ160" s="8" t="e">
        <f t="shared" si="62"/>
        <v>#NAME?</v>
      </c>
      <c r="AK160" s="7" t="e">
        <f t="shared" si="63"/>
        <v>#NAME?</v>
      </c>
    </row>
    <row r="161" spans="1:39">
      <c r="AH161" s="7"/>
      <c r="AI161" s="7"/>
      <c r="AJ161" s="8"/>
      <c r="AK161" s="7"/>
    </row>
    <row r="162" spans="1:39">
      <c r="A162" s="7" t="s">
        <v>17</v>
      </c>
      <c r="B162">
        <f>B1</f>
        <v>0</v>
      </c>
      <c r="C162" s="7">
        <f t="shared" ref="C162:AK162" si="67">C1</f>
        <v>1</v>
      </c>
      <c r="D162" s="7">
        <f t="shared" si="67"/>
        <v>2</v>
      </c>
      <c r="E162" s="7">
        <f t="shared" si="67"/>
        <v>3</v>
      </c>
      <c r="F162" s="7">
        <f t="shared" si="67"/>
        <v>4</v>
      </c>
      <c r="G162" s="7">
        <f t="shared" si="67"/>
        <v>5</v>
      </c>
      <c r="H162" s="7">
        <f t="shared" si="67"/>
        <v>6</v>
      </c>
      <c r="I162" s="7">
        <f t="shared" si="67"/>
        <v>7</v>
      </c>
      <c r="J162" s="7">
        <f t="shared" si="67"/>
        <v>8</v>
      </c>
      <c r="K162" s="7">
        <f t="shared" si="67"/>
        <v>9</v>
      </c>
      <c r="L162" s="7">
        <f t="shared" si="67"/>
        <v>10</v>
      </c>
      <c r="M162" s="7">
        <f t="shared" si="67"/>
        <v>11</v>
      </c>
      <c r="N162" s="7">
        <f t="shared" si="67"/>
        <v>12</v>
      </c>
      <c r="O162" s="7">
        <f t="shared" si="67"/>
        <v>13</v>
      </c>
      <c r="P162" s="7">
        <f t="shared" si="67"/>
        <v>14</v>
      </c>
      <c r="Q162" s="7">
        <f t="shared" si="67"/>
        <v>15</v>
      </c>
      <c r="R162" s="7">
        <f t="shared" si="67"/>
        <v>16</v>
      </c>
      <c r="S162" s="7">
        <f t="shared" si="67"/>
        <v>17</v>
      </c>
      <c r="T162" s="7">
        <f t="shared" si="67"/>
        <v>18</v>
      </c>
      <c r="U162" s="7">
        <f t="shared" si="67"/>
        <v>19</v>
      </c>
      <c r="V162" s="7">
        <f t="shared" si="67"/>
        <v>20</v>
      </c>
      <c r="W162" s="7">
        <f t="shared" si="67"/>
        <v>21</v>
      </c>
      <c r="X162" s="7">
        <f t="shared" si="67"/>
        <v>22</v>
      </c>
      <c r="Y162" s="7">
        <f t="shared" si="67"/>
        <v>23</v>
      </c>
      <c r="Z162" s="7">
        <f t="shared" si="67"/>
        <v>24</v>
      </c>
      <c r="AA162" s="7">
        <f t="shared" si="67"/>
        <v>25</v>
      </c>
      <c r="AB162" s="7">
        <f t="shared" si="67"/>
        <v>26</v>
      </c>
      <c r="AC162" s="7">
        <f t="shared" si="67"/>
        <v>27</v>
      </c>
      <c r="AD162" s="7">
        <f t="shared" si="67"/>
        <v>28</v>
      </c>
      <c r="AE162" s="7">
        <f t="shared" si="67"/>
        <v>29</v>
      </c>
      <c r="AF162" s="7">
        <f t="shared" si="67"/>
        <v>30</v>
      </c>
      <c r="AG162" s="7">
        <f t="shared" si="67"/>
        <v>31</v>
      </c>
      <c r="AH162" s="7" t="str">
        <f t="shared" si="67"/>
        <v>STDEV</v>
      </c>
      <c r="AI162" s="7" t="str">
        <f t="shared" si="67"/>
        <v>-1.5σ</v>
      </c>
      <c r="AJ162" s="7" t="str">
        <f t="shared" si="67"/>
        <v>MEAN</v>
      </c>
      <c r="AK162" s="7" t="str">
        <f t="shared" si="67"/>
        <v>+1.5σ</v>
      </c>
    </row>
    <row r="163" spans="1:39" s="7" customFormat="1"/>
    <row r="164" spans="1:39" s="7" customFormat="1">
      <c r="A164" s="7">
        <f t="shared" ref="A164:A179" si="68">A132</f>
        <v>2</v>
      </c>
      <c r="B164" s="7" t="e">
        <f t="shared" ref="B164:S164" si="69">B$159*$A132+B$160</f>
        <v>#NAME?</v>
      </c>
      <c r="C164" s="7" t="e">
        <f t="shared" si="69"/>
        <v>#NAME?</v>
      </c>
      <c r="D164" s="7" t="e">
        <f t="shared" si="69"/>
        <v>#NAME?</v>
      </c>
      <c r="E164" s="7" t="e">
        <f t="shared" si="69"/>
        <v>#NAME?</v>
      </c>
      <c r="F164" s="7" t="e">
        <f t="shared" si="69"/>
        <v>#NAME?</v>
      </c>
      <c r="G164" s="7" t="e">
        <f t="shared" si="69"/>
        <v>#NAME?</v>
      </c>
      <c r="H164" s="7" t="e">
        <f t="shared" si="69"/>
        <v>#NAME?</v>
      </c>
      <c r="I164" s="7" t="e">
        <f t="shared" si="69"/>
        <v>#NAME?</v>
      </c>
      <c r="J164" s="7" t="e">
        <f t="shared" si="69"/>
        <v>#NAME?</v>
      </c>
      <c r="K164" s="7" t="e">
        <f t="shared" si="69"/>
        <v>#NAME?</v>
      </c>
      <c r="L164" s="7" t="e">
        <f t="shared" si="69"/>
        <v>#NAME?</v>
      </c>
      <c r="M164" s="7" t="e">
        <f t="shared" si="69"/>
        <v>#NAME?</v>
      </c>
      <c r="N164" s="7" t="e">
        <f t="shared" si="69"/>
        <v>#NAME?</v>
      </c>
      <c r="O164" s="7" t="e">
        <f t="shared" si="69"/>
        <v>#NAME?</v>
      </c>
      <c r="P164" s="7" t="e">
        <f t="shared" si="69"/>
        <v>#NAME?</v>
      </c>
      <c r="Q164" s="7" t="e">
        <f t="shared" si="69"/>
        <v>#NAME?</v>
      </c>
      <c r="R164" s="7" t="e">
        <f t="shared" si="69"/>
        <v>#NAME?</v>
      </c>
      <c r="S164" s="7" t="e">
        <f t="shared" si="69"/>
        <v>#NAME?</v>
      </c>
      <c r="U164" s="7" t="e">
        <f t="shared" ref="U164:AG164" si="70">U$159*$A132+U$160</f>
        <v>#NAME?</v>
      </c>
      <c r="V164" s="7" t="e">
        <f t="shared" si="70"/>
        <v>#NAME?</v>
      </c>
      <c r="W164" s="7" t="e">
        <f t="shared" si="70"/>
        <v>#NAME?</v>
      </c>
      <c r="X164" s="7" t="e">
        <f t="shared" si="70"/>
        <v>#NAME?</v>
      </c>
      <c r="Y164" s="7" t="e">
        <f t="shared" si="70"/>
        <v>#NAME?</v>
      </c>
      <c r="Z164" s="7" t="e">
        <f t="shared" si="70"/>
        <v>#NAME?</v>
      </c>
      <c r="AA164" s="7" t="e">
        <f t="shared" si="70"/>
        <v>#NAME?</v>
      </c>
      <c r="AB164" s="7" t="e">
        <f t="shared" si="70"/>
        <v>#NAME?</v>
      </c>
      <c r="AC164" s="7" t="e">
        <f t="shared" si="70"/>
        <v>#NAME?</v>
      </c>
      <c r="AD164" s="7" t="e">
        <f t="shared" si="70"/>
        <v>#NAME?</v>
      </c>
      <c r="AE164" s="7" t="e">
        <f t="shared" si="70"/>
        <v>#NAME?</v>
      </c>
      <c r="AF164" s="7" t="e">
        <f t="shared" si="70"/>
        <v>#NAME?</v>
      </c>
      <c r="AG164" s="7" t="e">
        <f t="shared" si="70"/>
        <v>#NAME?</v>
      </c>
      <c r="AH164" s="7" t="e">
        <f t="shared" ref="AH164" si="71">STDEV(B164:AG164)</f>
        <v>#NAME?</v>
      </c>
      <c r="AI164" s="7" t="e">
        <f t="shared" ref="AI164" si="72">AJ164-1.5*AH164</f>
        <v>#NAME?</v>
      </c>
      <c r="AJ164" s="8" t="e">
        <f t="shared" ref="AJ164" si="73">AVERAGE(B164:AG164)</f>
        <v>#NAME?</v>
      </c>
      <c r="AK164" s="7" t="e">
        <f t="shared" ref="AK164" si="74">AJ164+1.5*AH164</f>
        <v>#NAME?</v>
      </c>
    </row>
    <row r="165" spans="1:39" s="7" customFormat="1">
      <c r="A165" s="7">
        <f t="shared" si="68"/>
        <v>3</v>
      </c>
      <c r="B165" s="7" t="e">
        <f t="shared" ref="B165:S165" si="75">B$159*$A133+B$160</f>
        <v>#NAME?</v>
      </c>
      <c r="C165" s="7" t="e">
        <f t="shared" si="75"/>
        <v>#NAME?</v>
      </c>
      <c r="D165" s="7" t="e">
        <f t="shared" si="75"/>
        <v>#NAME?</v>
      </c>
      <c r="E165" s="7" t="e">
        <f t="shared" si="75"/>
        <v>#NAME?</v>
      </c>
      <c r="F165" s="7" t="e">
        <f t="shared" si="75"/>
        <v>#NAME?</v>
      </c>
      <c r="G165" s="7" t="e">
        <f t="shared" si="75"/>
        <v>#NAME?</v>
      </c>
      <c r="H165" s="7" t="e">
        <f t="shared" si="75"/>
        <v>#NAME?</v>
      </c>
      <c r="I165" s="7" t="e">
        <f t="shared" si="75"/>
        <v>#NAME?</v>
      </c>
      <c r="J165" s="7" t="e">
        <f t="shared" si="75"/>
        <v>#NAME?</v>
      </c>
      <c r="K165" s="7" t="e">
        <f t="shared" si="75"/>
        <v>#NAME?</v>
      </c>
      <c r="L165" s="7" t="e">
        <f t="shared" si="75"/>
        <v>#NAME?</v>
      </c>
      <c r="M165" s="7" t="e">
        <f t="shared" si="75"/>
        <v>#NAME?</v>
      </c>
      <c r="N165" s="7" t="e">
        <f t="shared" si="75"/>
        <v>#NAME?</v>
      </c>
      <c r="O165" s="7" t="e">
        <f t="shared" si="75"/>
        <v>#NAME?</v>
      </c>
      <c r="P165" s="7" t="e">
        <f t="shared" si="75"/>
        <v>#NAME?</v>
      </c>
      <c r="Q165" s="7" t="e">
        <f t="shared" si="75"/>
        <v>#NAME?</v>
      </c>
      <c r="R165" s="7" t="e">
        <f t="shared" si="75"/>
        <v>#NAME?</v>
      </c>
      <c r="S165" s="7" t="e">
        <f t="shared" si="75"/>
        <v>#NAME?</v>
      </c>
      <c r="U165" s="7" t="e">
        <f t="shared" ref="U165:AG165" si="76">U$159*$A133+U$160</f>
        <v>#NAME?</v>
      </c>
      <c r="V165" s="7" t="e">
        <f t="shared" si="76"/>
        <v>#NAME?</v>
      </c>
      <c r="W165" s="7" t="e">
        <f t="shared" si="76"/>
        <v>#NAME?</v>
      </c>
      <c r="X165" s="7" t="e">
        <f t="shared" si="76"/>
        <v>#NAME?</v>
      </c>
      <c r="Y165" s="7" t="e">
        <f t="shared" si="76"/>
        <v>#NAME?</v>
      </c>
      <c r="Z165" s="7" t="e">
        <f t="shared" si="76"/>
        <v>#NAME?</v>
      </c>
      <c r="AA165" s="7" t="e">
        <f t="shared" si="76"/>
        <v>#NAME?</v>
      </c>
      <c r="AB165" s="7" t="e">
        <f t="shared" si="76"/>
        <v>#NAME?</v>
      </c>
      <c r="AC165" s="7" t="e">
        <f t="shared" si="76"/>
        <v>#NAME?</v>
      </c>
      <c r="AD165" s="7" t="e">
        <f t="shared" si="76"/>
        <v>#NAME?</v>
      </c>
      <c r="AE165" s="7" t="e">
        <f t="shared" si="76"/>
        <v>#NAME?</v>
      </c>
      <c r="AF165" s="7" t="e">
        <f t="shared" si="76"/>
        <v>#NAME?</v>
      </c>
      <c r="AG165" s="7" t="e">
        <f t="shared" si="76"/>
        <v>#NAME?</v>
      </c>
      <c r="AH165" s="7" t="e">
        <f t="shared" ref="AH165" si="77">STDEV(B165:AG165)</f>
        <v>#NAME?</v>
      </c>
      <c r="AI165" s="7" t="e">
        <f t="shared" ref="AI165" si="78">AJ165-1.5*AH165</f>
        <v>#NAME?</v>
      </c>
      <c r="AJ165" s="8" t="e">
        <f t="shared" ref="AJ165" si="79">AVERAGE(B165:AG165)</f>
        <v>#NAME?</v>
      </c>
      <c r="AK165" s="7" t="e">
        <f t="shared" ref="AK165" si="80">AJ165+1.5*AH165</f>
        <v>#NAME?</v>
      </c>
    </row>
    <row r="166" spans="1:39" s="7" customFormat="1">
      <c r="A166" s="7">
        <f t="shared" si="68"/>
        <v>4</v>
      </c>
      <c r="B166" s="7" t="e">
        <f t="shared" ref="B166:S166" si="81">B$159*$A134+B$160</f>
        <v>#NAME?</v>
      </c>
      <c r="C166" s="7" t="e">
        <f t="shared" si="81"/>
        <v>#NAME?</v>
      </c>
      <c r="D166" s="7" t="e">
        <f t="shared" si="81"/>
        <v>#NAME?</v>
      </c>
      <c r="E166" s="7" t="e">
        <f t="shared" si="81"/>
        <v>#NAME?</v>
      </c>
      <c r="F166" s="7" t="e">
        <f t="shared" si="81"/>
        <v>#NAME?</v>
      </c>
      <c r="G166" s="7" t="e">
        <f t="shared" si="81"/>
        <v>#NAME?</v>
      </c>
      <c r="H166" s="7" t="e">
        <f t="shared" si="81"/>
        <v>#NAME?</v>
      </c>
      <c r="I166" s="7" t="e">
        <f t="shared" si="81"/>
        <v>#NAME?</v>
      </c>
      <c r="J166" s="7" t="e">
        <f t="shared" si="81"/>
        <v>#NAME?</v>
      </c>
      <c r="K166" s="7" t="e">
        <f t="shared" si="81"/>
        <v>#NAME?</v>
      </c>
      <c r="L166" s="7" t="e">
        <f t="shared" si="81"/>
        <v>#NAME?</v>
      </c>
      <c r="M166" s="7" t="e">
        <f t="shared" si="81"/>
        <v>#NAME?</v>
      </c>
      <c r="N166" s="7" t="e">
        <f t="shared" si="81"/>
        <v>#NAME?</v>
      </c>
      <c r="O166" s="7" t="e">
        <f t="shared" si="81"/>
        <v>#NAME?</v>
      </c>
      <c r="P166" s="7" t="e">
        <f t="shared" si="81"/>
        <v>#NAME?</v>
      </c>
      <c r="Q166" s="7" t="e">
        <f t="shared" si="81"/>
        <v>#NAME?</v>
      </c>
      <c r="R166" s="7" t="e">
        <f t="shared" si="81"/>
        <v>#NAME?</v>
      </c>
      <c r="S166" s="7" t="e">
        <f t="shared" si="81"/>
        <v>#NAME?</v>
      </c>
      <c r="U166" s="7" t="e">
        <f t="shared" ref="U166:AG166" si="82">U$159*$A134+U$160</f>
        <v>#NAME?</v>
      </c>
      <c r="V166" s="7" t="e">
        <f t="shared" si="82"/>
        <v>#NAME?</v>
      </c>
      <c r="W166" s="7" t="e">
        <f t="shared" si="82"/>
        <v>#NAME?</v>
      </c>
      <c r="X166" s="7" t="e">
        <f t="shared" si="82"/>
        <v>#NAME?</v>
      </c>
      <c r="Y166" s="7" t="e">
        <f t="shared" si="82"/>
        <v>#NAME?</v>
      </c>
      <c r="Z166" s="7" t="e">
        <f t="shared" si="82"/>
        <v>#NAME?</v>
      </c>
      <c r="AA166" s="7" t="e">
        <f t="shared" si="82"/>
        <v>#NAME?</v>
      </c>
      <c r="AB166" s="7" t="e">
        <f t="shared" si="82"/>
        <v>#NAME?</v>
      </c>
      <c r="AC166" s="7" t="e">
        <f t="shared" si="82"/>
        <v>#NAME?</v>
      </c>
      <c r="AD166" s="7" t="e">
        <f t="shared" si="82"/>
        <v>#NAME?</v>
      </c>
      <c r="AE166" s="7" t="e">
        <f t="shared" si="82"/>
        <v>#NAME?</v>
      </c>
      <c r="AF166" s="7" t="e">
        <f t="shared" si="82"/>
        <v>#NAME?</v>
      </c>
      <c r="AG166" s="7" t="e">
        <f t="shared" si="82"/>
        <v>#NAME?</v>
      </c>
      <c r="AH166" s="7" t="e">
        <f t="shared" ref="AH166" si="83">STDEV(B166:AG166)</f>
        <v>#NAME?</v>
      </c>
      <c r="AI166" s="7" t="e">
        <f t="shared" ref="AI166" si="84">AJ166-1.5*AH166</f>
        <v>#NAME?</v>
      </c>
      <c r="AJ166" s="8" t="e">
        <f t="shared" ref="AJ166" si="85">AVERAGE(B166:AG166)</f>
        <v>#NAME?</v>
      </c>
      <c r="AK166" s="7" t="e">
        <f t="shared" ref="AK166" si="86">AJ166+1.5*AH166</f>
        <v>#NAME?</v>
      </c>
    </row>
    <row r="167" spans="1:39" s="7" customFormat="1">
      <c r="A167" s="7">
        <f t="shared" si="68"/>
        <v>5</v>
      </c>
      <c r="B167" s="7" t="e">
        <f t="shared" ref="B167:S167" si="87">B$159*$A135+B$160</f>
        <v>#NAME?</v>
      </c>
      <c r="C167" s="7" t="e">
        <f t="shared" si="87"/>
        <v>#NAME?</v>
      </c>
      <c r="D167" s="7" t="e">
        <f t="shared" si="87"/>
        <v>#NAME?</v>
      </c>
      <c r="E167" s="7" t="e">
        <f t="shared" si="87"/>
        <v>#NAME?</v>
      </c>
      <c r="F167" s="7" t="e">
        <f t="shared" si="87"/>
        <v>#NAME?</v>
      </c>
      <c r="G167" s="7" t="e">
        <f t="shared" si="87"/>
        <v>#NAME?</v>
      </c>
      <c r="H167" s="7" t="e">
        <f t="shared" si="87"/>
        <v>#NAME?</v>
      </c>
      <c r="I167" s="7" t="e">
        <f t="shared" si="87"/>
        <v>#NAME?</v>
      </c>
      <c r="J167" s="7" t="e">
        <f t="shared" si="87"/>
        <v>#NAME?</v>
      </c>
      <c r="K167" s="7" t="e">
        <f t="shared" si="87"/>
        <v>#NAME?</v>
      </c>
      <c r="L167" s="7" t="e">
        <f t="shared" si="87"/>
        <v>#NAME?</v>
      </c>
      <c r="M167" s="7" t="e">
        <f t="shared" si="87"/>
        <v>#NAME?</v>
      </c>
      <c r="N167" s="7" t="e">
        <f t="shared" si="87"/>
        <v>#NAME?</v>
      </c>
      <c r="O167" s="7" t="e">
        <f t="shared" si="87"/>
        <v>#NAME?</v>
      </c>
      <c r="P167" s="7" t="e">
        <f t="shared" si="87"/>
        <v>#NAME?</v>
      </c>
      <c r="Q167" s="7" t="e">
        <f t="shared" si="87"/>
        <v>#NAME?</v>
      </c>
      <c r="R167" s="7" t="e">
        <f t="shared" si="87"/>
        <v>#NAME?</v>
      </c>
      <c r="S167" s="7" t="e">
        <f t="shared" si="87"/>
        <v>#NAME?</v>
      </c>
      <c r="U167" s="7" t="e">
        <f t="shared" ref="U167:AG167" si="88">U$159*$A135+U$160</f>
        <v>#NAME?</v>
      </c>
      <c r="V167" s="7" t="e">
        <f t="shared" si="88"/>
        <v>#NAME?</v>
      </c>
      <c r="W167" s="7" t="e">
        <f t="shared" si="88"/>
        <v>#NAME?</v>
      </c>
      <c r="X167" s="7" t="e">
        <f t="shared" si="88"/>
        <v>#NAME?</v>
      </c>
      <c r="Y167" s="7" t="e">
        <f t="shared" si="88"/>
        <v>#NAME?</v>
      </c>
      <c r="Z167" s="7" t="e">
        <f t="shared" si="88"/>
        <v>#NAME?</v>
      </c>
      <c r="AA167" s="7" t="e">
        <f t="shared" si="88"/>
        <v>#NAME?</v>
      </c>
      <c r="AB167" s="7" t="e">
        <f t="shared" si="88"/>
        <v>#NAME?</v>
      </c>
      <c r="AC167" s="7" t="e">
        <f t="shared" si="88"/>
        <v>#NAME?</v>
      </c>
      <c r="AD167" s="7" t="e">
        <f t="shared" si="88"/>
        <v>#NAME?</v>
      </c>
      <c r="AE167" s="7" t="e">
        <f t="shared" si="88"/>
        <v>#NAME?</v>
      </c>
      <c r="AF167" s="7" t="e">
        <f t="shared" si="88"/>
        <v>#NAME?</v>
      </c>
      <c r="AG167" s="7" t="e">
        <f t="shared" si="88"/>
        <v>#NAME?</v>
      </c>
      <c r="AH167" s="7" t="e">
        <f t="shared" ref="AH167" si="89">STDEV(B167:AG167)</f>
        <v>#NAME?</v>
      </c>
      <c r="AI167" s="7" t="e">
        <f t="shared" ref="AI167" si="90">AJ167-1.5*AH167</f>
        <v>#NAME?</v>
      </c>
      <c r="AJ167" s="8" t="e">
        <f t="shared" ref="AJ167" si="91">AVERAGE(B167:AG167)</f>
        <v>#NAME?</v>
      </c>
      <c r="AK167" s="7" t="e">
        <f t="shared" ref="AK167" si="92">AJ167+1.5*AH167</f>
        <v>#NAME?</v>
      </c>
    </row>
    <row r="168" spans="1:39" s="7" customFormat="1">
      <c r="A168" s="7">
        <f t="shared" si="68"/>
        <v>6</v>
      </c>
      <c r="B168" s="7" t="e">
        <f t="shared" ref="B168:S168" si="93">B$159*$A136+B$160</f>
        <v>#NAME?</v>
      </c>
      <c r="C168" s="7" t="e">
        <f t="shared" si="93"/>
        <v>#NAME?</v>
      </c>
      <c r="D168" s="7" t="e">
        <f t="shared" si="93"/>
        <v>#NAME?</v>
      </c>
      <c r="E168" s="7" t="e">
        <f t="shared" si="93"/>
        <v>#NAME?</v>
      </c>
      <c r="F168" s="7" t="e">
        <f t="shared" si="93"/>
        <v>#NAME?</v>
      </c>
      <c r="G168" s="7" t="e">
        <f t="shared" si="93"/>
        <v>#NAME?</v>
      </c>
      <c r="H168" s="7" t="e">
        <f t="shared" si="93"/>
        <v>#NAME?</v>
      </c>
      <c r="I168" s="7" t="e">
        <f t="shared" si="93"/>
        <v>#NAME?</v>
      </c>
      <c r="J168" s="7" t="e">
        <f t="shared" si="93"/>
        <v>#NAME?</v>
      </c>
      <c r="K168" s="7" t="e">
        <f t="shared" si="93"/>
        <v>#NAME?</v>
      </c>
      <c r="L168" s="7" t="e">
        <f t="shared" si="93"/>
        <v>#NAME?</v>
      </c>
      <c r="M168" s="7" t="e">
        <f t="shared" si="93"/>
        <v>#NAME?</v>
      </c>
      <c r="N168" s="7" t="e">
        <f t="shared" si="93"/>
        <v>#NAME?</v>
      </c>
      <c r="O168" s="7" t="e">
        <f t="shared" si="93"/>
        <v>#NAME?</v>
      </c>
      <c r="P168" s="7" t="e">
        <f t="shared" si="93"/>
        <v>#NAME?</v>
      </c>
      <c r="Q168" s="7" t="e">
        <f t="shared" si="93"/>
        <v>#NAME?</v>
      </c>
      <c r="R168" s="7" t="e">
        <f t="shared" si="93"/>
        <v>#NAME?</v>
      </c>
      <c r="S168" s="7" t="e">
        <f t="shared" si="93"/>
        <v>#NAME?</v>
      </c>
      <c r="U168" s="7" t="e">
        <f t="shared" ref="U168:AG168" si="94">U$159*$A136+U$160</f>
        <v>#NAME?</v>
      </c>
      <c r="V168" s="7" t="e">
        <f t="shared" si="94"/>
        <v>#NAME?</v>
      </c>
      <c r="W168" s="7" t="e">
        <f t="shared" si="94"/>
        <v>#NAME?</v>
      </c>
      <c r="X168" s="7" t="e">
        <f t="shared" si="94"/>
        <v>#NAME?</v>
      </c>
      <c r="Y168" s="7" t="e">
        <f t="shared" si="94"/>
        <v>#NAME?</v>
      </c>
      <c r="Z168" s="7" t="e">
        <f t="shared" si="94"/>
        <v>#NAME?</v>
      </c>
      <c r="AA168" s="7" t="e">
        <f t="shared" si="94"/>
        <v>#NAME?</v>
      </c>
      <c r="AB168" s="7" t="e">
        <f t="shared" si="94"/>
        <v>#NAME?</v>
      </c>
      <c r="AC168" s="7" t="e">
        <f t="shared" si="94"/>
        <v>#NAME?</v>
      </c>
      <c r="AD168" s="7" t="e">
        <f t="shared" si="94"/>
        <v>#NAME?</v>
      </c>
      <c r="AE168" s="7" t="e">
        <f t="shared" si="94"/>
        <v>#NAME?</v>
      </c>
      <c r="AF168" s="7" t="e">
        <f t="shared" si="94"/>
        <v>#NAME?</v>
      </c>
      <c r="AG168" s="7" t="e">
        <f t="shared" si="94"/>
        <v>#NAME?</v>
      </c>
      <c r="AH168" s="7" t="e">
        <f t="shared" ref="AH168" si="95">STDEV(B168:AG168)</f>
        <v>#NAME?</v>
      </c>
      <c r="AI168" s="7" t="e">
        <f t="shared" ref="AI168" si="96">AJ168-1.5*AH168</f>
        <v>#NAME?</v>
      </c>
      <c r="AJ168" s="8" t="e">
        <f t="shared" ref="AJ168" si="97">AVERAGE(B168:AG168)</f>
        <v>#NAME?</v>
      </c>
      <c r="AK168" s="7" t="e">
        <f t="shared" ref="AK168" si="98">AJ168+1.5*AH168</f>
        <v>#NAME?</v>
      </c>
    </row>
    <row r="169" spans="1:39" s="7" customFormat="1">
      <c r="A169" s="7">
        <f t="shared" si="68"/>
        <v>7</v>
      </c>
      <c r="B169" s="7" t="e">
        <f t="shared" ref="B169:S169" si="99">B$159*$A137+B$160</f>
        <v>#NAME?</v>
      </c>
      <c r="C169" s="7" t="e">
        <f t="shared" si="99"/>
        <v>#NAME?</v>
      </c>
      <c r="D169" s="7" t="e">
        <f t="shared" si="99"/>
        <v>#NAME?</v>
      </c>
      <c r="E169" s="7" t="e">
        <f t="shared" si="99"/>
        <v>#NAME?</v>
      </c>
      <c r="F169" s="7" t="e">
        <f t="shared" si="99"/>
        <v>#NAME?</v>
      </c>
      <c r="G169" s="7" t="e">
        <f t="shared" si="99"/>
        <v>#NAME?</v>
      </c>
      <c r="H169" s="7" t="e">
        <f t="shared" si="99"/>
        <v>#NAME?</v>
      </c>
      <c r="I169" s="7" t="e">
        <f t="shared" si="99"/>
        <v>#NAME?</v>
      </c>
      <c r="J169" s="7" t="e">
        <f t="shared" si="99"/>
        <v>#NAME?</v>
      </c>
      <c r="K169" s="7" t="e">
        <f t="shared" si="99"/>
        <v>#NAME?</v>
      </c>
      <c r="L169" s="7" t="e">
        <f t="shared" si="99"/>
        <v>#NAME?</v>
      </c>
      <c r="M169" s="7" t="e">
        <f t="shared" si="99"/>
        <v>#NAME?</v>
      </c>
      <c r="N169" s="7" t="e">
        <f t="shared" si="99"/>
        <v>#NAME?</v>
      </c>
      <c r="O169" s="7" t="e">
        <f t="shared" si="99"/>
        <v>#NAME?</v>
      </c>
      <c r="P169" s="7" t="e">
        <f t="shared" si="99"/>
        <v>#NAME?</v>
      </c>
      <c r="Q169" s="7" t="e">
        <f t="shared" si="99"/>
        <v>#NAME?</v>
      </c>
      <c r="R169" s="7" t="e">
        <f t="shared" si="99"/>
        <v>#NAME?</v>
      </c>
      <c r="S169" s="7" t="e">
        <f t="shared" si="99"/>
        <v>#NAME?</v>
      </c>
      <c r="U169" s="7" t="e">
        <f t="shared" ref="U169:AG169" si="100">U$159*$A137+U$160</f>
        <v>#NAME?</v>
      </c>
      <c r="V169" s="7" t="e">
        <f t="shared" si="100"/>
        <v>#NAME?</v>
      </c>
      <c r="W169" s="7" t="e">
        <f t="shared" si="100"/>
        <v>#NAME?</v>
      </c>
      <c r="X169" s="7" t="e">
        <f t="shared" si="100"/>
        <v>#NAME?</v>
      </c>
      <c r="Y169" s="7" t="e">
        <f t="shared" si="100"/>
        <v>#NAME?</v>
      </c>
      <c r="Z169" s="7" t="e">
        <f t="shared" si="100"/>
        <v>#NAME?</v>
      </c>
      <c r="AA169" s="7" t="e">
        <f t="shared" si="100"/>
        <v>#NAME?</v>
      </c>
      <c r="AB169" s="7" t="e">
        <f t="shared" si="100"/>
        <v>#NAME?</v>
      </c>
      <c r="AC169" s="7" t="e">
        <f t="shared" si="100"/>
        <v>#NAME?</v>
      </c>
      <c r="AD169" s="7" t="e">
        <f t="shared" si="100"/>
        <v>#NAME?</v>
      </c>
      <c r="AE169" s="7" t="e">
        <f t="shared" si="100"/>
        <v>#NAME?</v>
      </c>
      <c r="AF169" s="7" t="e">
        <f t="shared" si="100"/>
        <v>#NAME?</v>
      </c>
      <c r="AG169" s="7" t="e">
        <f t="shared" si="100"/>
        <v>#NAME?</v>
      </c>
      <c r="AH169" s="7" t="e">
        <f t="shared" ref="AH169" si="101">STDEV(B169:AG169)</f>
        <v>#NAME?</v>
      </c>
      <c r="AI169" s="7" t="e">
        <f t="shared" ref="AI169" si="102">AJ169-1.5*AH169</f>
        <v>#NAME?</v>
      </c>
      <c r="AJ169" s="8" t="e">
        <f t="shared" ref="AJ169" si="103">AVERAGE(B169:AG169)</f>
        <v>#NAME?</v>
      </c>
      <c r="AK169" s="7" t="e">
        <f t="shared" ref="AK169" si="104">AJ169+1.5*AH169</f>
        <v>#NAME?</v>
      </c>
    </row>
    <row r="170" spans="1:39" s="7" customFormat="1">
      <c r="A170" s="7">
        <f t="shared" si="68"/>
        <v>8</v>
      </c>
      <c r="B170" s="7" t="e">
        <f t="shared" ref="B170:S170" si="105">B$159*$A138+B$160</f>
        <v>#NAME?</v>
      </c>
      <c r="C170" s="7" t="e">
        <f t="shared" si="105"/>
        <v>#NAME?</v>
      </c>
      <c r="D170" s="7" t="e">
        <f t="shared" si="105"/>
        <v>#NAME?</v>
      </c>
      <c r="E170" s="7" t="e">
        <f t="shared" si="105"/>
        <v>#NAME?</v>
      </c>
      <c r="F170" s="7" t="e">
        <f t="shared" si="105"/>
        <v>#NAME?</v>
      </c>
      <c r="G170" s="7" t="e">
        <f t="shared" si="105"/>
        <v>#NAME?</v>
      </c>
      <c r="H170" s="7" t="e">
        <f t="shared" si="105"/>
        <v>#NAME?</v>
      </c>
      <c r="I170" s="7" t="e">
        <f t="shared" si="105"/>
        <v>#NAME?</v>
      </c>
      <c r="J170" s="7" t="e">
        <f t="shared" si="105"/>
        <v>#NAME?</v>
      </c>
      <c r="K170" s="7" t="e">
        <f t="shared" si="105"/>
        <v>#NAME?</v>
      </c>
      <c r="L170" s="7" t="e">
        <f t="shared" si="105"/>
        <v>#NAME?</v>
      </c>
      <c r="M170" s="7" t="e">
        <f t="shared" si="105"/>
        <v>#NAME?</v>
      </c>
      <c r="N170" s="7" t="e">
        <f t="shared" si="105"/>
        <v>#NAME?</v>
      </c>
      <c r="O170" s="7" t="e">
        <f t="shared" si="105"/>
        <v>#NAME?</v>
      </c>
      <c r="P170" s="7" t="e">
        <f t="shared" si="105"/>
        <v>#NAME?</v>
      </c>
      <c r="Q170" s="7" t="e">
        <f t="shared" si="105"/>
        <v>#NAME?</v>
      </c>
      <c r="R170" s="7" t="e">
        <f t="shared" si="105"/>
        <v>#NAME?</v>
      </c>
      <c r="S170" s="7" t="e">
        <f t="shared" si="105"/>
        <v>#NAME?</v>
      </c>
      <c r="U170" s="7" t="e">
        <f t="shared" ref="U170:AG170" si="106">U$159*$A138+U$160</f>
        <v>#NAME?</v>
      </c>
      <c r="V170" s="7" t="e">
        <f t="shared" si="106"/>
        <v>#NAME?</v>
      </c>
      <c r="W170" s="7" t="e">
        <f t="shared" si="106"/>
        <v>#NAME?</v>
      </c>
      <c r="X170" s="7" t="e">
        <f t="shared" si="106"/>
        <v>#NAME?</v>
      </c>
      <c r="Y170" s="7" t="e">
        <f t="shared" si="106"/>
        <v>#NAME?</v>
      </c>
      <c r="Z170" s="7" t="e">
        <f t="shared" si="106"/>
        <v>#NAME?</v>
      </c>
      <c r="AA170" s="7" t="e">
        <f t="shared" si="106"/>
        <v>#NAME?</v>
      </c>
      <c r="AB170" s="7" t="e">
        <f t="shared" si="106"/>
        <v>#NAME?</v>
      </c>
      <c r="AC170" s="7" t="e">
        <f t="shared" si="106"/>
        <v>#NAME?</v>
      </c>
      <c r="AD170" s="7" t="e">
        <f t="shared" si="106"/>
        <v>#NAME?</v>
      </c>
      <c r="AE170" s="7" t="e">
        <f t="shared" si="106"/>
        <v>#NAME?</v>
      </c>
      <c r="AF170" s="7" t="e">
        <f t="shared" si="106"/>
        <v>#NAME?</v>
      </c>
      <c r="AG170" s="7" t="e">
        <f t="shared" si="106"/>
        <v>#NAME?</v>
      </c>
      <c r="AH170" s="7" t="e">
        <f t="shared" ref="AH170" si="107">STDEV(B170:AG170)</f>
        <v>#NAME?</v>
      </c>
      <c r="AI170" s="7" t="e">
        <f t="shared" ref="AI170" si="108">AJ170-1.5*AH170</f>
        <v>#NAME?</v>
      </c>
      <c r="AJ170" s="8" t="e">
        <f t="shared" ref="AJ170" si="109">AVERAGE(B170:AG170)</f>
        <v>#NAME?</v>
      </c>
      <c r="AK170" s="7" t="e">
        <f t="shared" ref="AK170" si="110">AJ170+1.5*AH170</f>
        <v>#NAME?</v>
      </c>
    </row>
    <row r="171" spans="1:39" s="7" customFormat="1">
      <c r="A171" s="7">
        <f t="shared" si="68"/>
        <v>9</v>
      </c>
      <c r="B171" s="7" t="e">
        <f t="shared" ref="B171:S171" si="111">B$159*$A139+B$160</f>
        <v>#NAME?</v>
      </c>
      <c r="C171" s="7" t="e">
        <f t="shared" si="111"/>
        <v>#NAME?</v>
      </c>
      <c r="D171" s="7" t="e">
        <f t="shared" si="111"/>
        <v>#NAME?</v>
      </c>
      <c r="E171" s="7" t="e">
        <f t="shared" si="111"/>
        <v>#NAME?</v>
      </c>
      <c r="F171" s="7" t="e">
        <f t="shared" si="111"/>
        <v>#NAME?</v>
      </c>
      <c r="G171" s="7" t="e">
        <f t="shared" si="111"/>
        <v>#NAME?</v>
      </c>
      <c r="H171" s="7" t="e">
        <f t="shared" si="111"/>
        <v>#NAME?</v>
      </c>
      <c r="I171" s="7" t="e">
        <f t="shared" si="111"/>
        <v>#NAME?</v>
      </c>
      <c r="J171" s="7" t="e">
        <f t="shared" si="111"/>
        <v>#NAME?</v>
      </c>
      <c r="K171" s="7" t="e">
        <f t="shared" si="111"/>
        <v>#NAME?</v>
      </c>
      <c r="L171" s="7" t="e">
        <f t="shared" si="111"/>
        <v>#NAME?</v>
      </c>
      <c r="M171" s="7" t="e">
        <f t="shared" si="111"/>
        <v>#NAME?</v>
      </c>
      <c r="N171" s="7" t="e">
        <f t="shared" si="111"/>
        <v>#NAME?</v>
      </c>
      <c r="O171" s="7" t="e">
        <f t="shared" si="111"/>
        <v>#NAME?</v>
      </c>
      <c r="P171" s="7" t="e">
        <f t="shared" si="111"/>
        <v>#NAME?</v>
      </c>
      <c r="Q171" s="7" t="e">
        <f t="shared" si="111"/>
        <v>#NAME?</v>
      </c>
      <c r="R171" s="7" t="e">
        <f t="shared" si="111"/>
        <v>#NAME?</v>
      </c>
      <c r="S171" s="7" t="e">
        <f t="shared" si="111"/>
        <v>#NAME?</v>
      </c>
      <c r="U171" s="7" t="e">
        <f t="shared" ref="U171:AG171" si="112">U$159*$A139+U$160</f>
        <v>#NAME?</v>
      </c>
      <c r="V171" s="7" t="e">
        <f t="shared" si="112"/>
        <v>#NAME?</v>
      </c>
      <c r="W171" s="7" t="e">
        <f t="shared" si="112"/>
        <v>#NAME?</v>
      </c>
      <c r="X171" s="7" t="e">
        <f t="shared" si="112"/>
        <v>#NAME?</v>
      </c>
      <c r="Y171" s="7" t="e">
        <f t="shared" si="112"/>
        <v>#NAME?</v>
      </c>
      <c r="Z171" s="7" t="e">
        <f t="shared" si="112"/>
        <v>#NAME?</v>
      </c>
      <c r="AA171" s="7" t="e">
        <f t="shared" si="112"/>
        <v>#NAME?</v>
      </c>
      <c r="AB171" s="7" t="e">
        <f t="shared" si="112"/>
        <v>#NAME?</v>
      </c>
      <c r="AC171" s="7" t="e">
        <f t="shared" si="112"/>
        <v>#NAME?</v>
      </c>
      <c r="AD171" s="7" t="e">
        <f t="shared" si="112"/>
        <v>#NAME?</v>
      </c>
      <c r="AE171" s="7" t="e">
        <f t="shared" si="112"/>
        <v>#NAME?</v>
      </c>
      <c r="AF171" s="7" t="e">
        <f t="shared" si="112"/>
        <v>#NAME?</v>
      </c>
      <c r="AG171" s="7" t="e">
        <f t="shared" si="112"/>
        <v>#NAME?</v>
      </c>
      <c r="AH171" s="7" t="e">
        <f t="shared" ref="AH171" si="113">STDEV(B171:AG171)</f>
        <v>#NAME?</v>
      </c>
      <c r="AI171" s="7" t="e">
        <f t="shared" ref="AI171" si="114">AJ171-1.5*AH171</f>
        <v>#NAME?</v>
      </c>
      <c r="AJ171" s="8" t="e">
        <f t="shared" ref="AJ171" si="115">AVERAGE(B171:AG171)</f>
        <v>#NAME?</v>
      </c>
      <c r="AK171" s="7" t="e">
        <f t="shared" ref="AK171" si="116">AJ171+1.5*AH171</f>
        <v>#NAME?</v>
      </c>
    </row>
    <row r="172" spans="1:39" s="7" customFormat="1">
      <c r="A172" s="7">
        <f t="shared" si="68"/>
        <v>10</v>
      </c>
      <c r="B172" s="7" t="e">
        <f t="shared" ref="B172:S172" si="117">B$159*$A140+B$160</f>
        <v>#NAME?</v>
      </c>
      <c r="C172" s="7" t="e">
        <f t="shared" si="117"/>
        <v>#NAME?</v>
      </c>
      <c r="D172" s="7" t="e">
        <f t="shared" si="117"/>
        <v>#NAME?</v>
      </c>
      <c r="E172" s="7" t="e">
        <f t="shared" si="117"/>
        <v>#NAME?</v>
      </c>
      <c r="F172" s="7" t="e">
        <f t="shared" si="117"/>
        <v>#NAME?</v>
      </c>
      <c r="G172" s="7" t="e">
        <f t="shared" si="117"/>
        <v>#NAME?</v>
      </c>
      <c r="H172" s="7" t="e">
        <f t="shared" si="117"/>
        <v>#NAME?</v>
      </c>
      <c r="I172" s="7" t="e">
        <f t="shared" si="117"/>
        <v>#NAME?</v>
      </c>
      <c r="J172" s="7" t="e">
        <f t="shared" si="117"/>
        <v>#NAME?</v>
      </c>
      <c r="K172" s="7" t="e">
        <f t="shared" si="117"/>
        <v>#NAME?</v>
      </c>
      <c r="L172" s="7" t="e">
        <f t="shared" si="117"/>
        <v>#NAME?</v>
      </c>
      <c r="M172" s="7" t="e">
        <f t="shared" si="117"/>
        <v>#NAME?</v>
      </c>
      <c r="N172" s="7" t="e">
        <f t="shared" si="117"/>
        <v>#NAME?</v>
      </c>
      <c r="O172" s="7" t="e">
        <f t="shared" si="117"/>
        <v>#NAME?</v>
      </c>
      <c r="P172" s="7" t="e">
        <f t="shared" si="117"/>
        <v>#NAME?</v>
      </c>
      <c r="Q172" s="7" t="e">
        <f t="shared" si="117"/>
        <v>#NAME?</v>
      </c>
      <c r="R172" s="7" t="e">
        <f t="shared" si="117"/>
        <v>#NAME?</v>
      </c>
      <c r="S172" s="7" t="e">
        <f t="shared" si="117"/>
        <v>#NAME?</v>
      </c>
      <c r="U172" s="7" t="e">
        <f t="shared" ref="U172:AG172" si="118">U$159*$A140+U$160</f>
        <v>#NAME?</v>
      </c>
      <c r="V172" s="7" t="e">
        <f t="shared" si="118"/>
        <v>#NAME?</v>
      </c>
      <c r="W172" s="7" t="e">
        <f t="shared" si="118"/>
        <v>#NAME?</v>
      </c>
      <c r="X172" s="7" t="e">
        <f t="shared" si="118"/>
        <v>#NAME?</v>
      </c>
      <c r="Y172" s="7" t="e">
        <f t="shared" si="118"/>
        <v>#NAME?</v>
      </c>
      <c r="Z172" s="7" t="e">
        <f t="shared" si="118"/>
        <v>#NAME?</v>
      </c>
      <c r="AA172" s="7" t="e">
        <f t="shared" si="118"/>
        <v>#NAME?</v>
      </c>
      <c r="AB172" s="7" t="e">
        <f t="shared" si="118"/>
        <v>#NAME?</v>
      </c>
      <c r="AC172" s="7" t="e">
        <f t="shared" si="118"/>
        <v>#NAME?</v>
      </c>
      <c r="AD172" s="7" t="e">
        <f t="shared" si="118"/>
        <v>#NAME?</v>
      </c>
      <c r="AE172" s="7" t="e">
        <f t="shared" si="118"/>
        <v>#NAME?</v>
      </c>
      <c r="AF172" s="7" t="e">
        <f t="shared" si="118"/>
        <v>#NAME?</v>
      </c>
      <c r="AG172" s="7" t="e">
        <f t="shared" si="118"/>
        <v>#NAME?</v>
      </c>
      <c r="AH172" s="7" t="e">
        <f t="shared" ref="AH172" si="119">STDEV(B172:AG172)</f>
        <v>#NAME?</v>
      </c>
      <c r="AI172" s="7" t="e">
        <f t="shared" ref="AI172" si="120">AJ172-1.5*AH172</f>
        <v>#NAME?</v>
      </c>
      <c r="AJ172" s="8" t="e">
        <f t="shared" ref="AJ172" si="121">AVERAGE(B172:AG172)</f>
        <v>#NAME?</v>
      </c>
      <c r="AK172" s="7" t="e">
        <f t="shared" ref="AK172" si="122">AJ172+1.5*AH172</f>
        <v>#NAME?</v>
      </c>
    </row>
    <row r="173" spans="1:39" s="7" customFormat="1">
      <c r="A173" s="7">
        <f t="shared" si="68"/>
        <v>11</v>
      </c>
      <c r="B173" s="7" t="e">
        <f t="shared" ref="B173:S173" si="123">B$159*$A141+B$160</f>
        <v>#NAME?</v>
      </c>
      <c r="C173" s="7" t="e">
        <f t="shared" si="123"/>
        <v>#NAME?</v>
      </c>
      <c r="D173" s="7" t="e">
        <f t="shared" si="123"/>
        <v>#NAME?</v>
      </c>
      <c r="E173" s="7" t="e">
        <f t="shared" si="123"/>
        <v>#NAME?</v>
      </c>
      <c r="F173" s="7" t="e">
        <f t="shared" si="123"/>
        <v>#NAME?</v>
      </c>
      <c r="G173" s="7" t="e">
        <f t="shared" si="123"/>
        <v>#NAME?</v>
      </c>
      <c r="H173" s="7" t="e">
        <f t="shared" si="123"/>
        <v>#NAME?</v>
      </c>
      <c r="I173" s="7" t="e">
        <f t="shared" si="123"/>
        <v>#NAME?</v>
      </c>
      <c r="J173" s="7" t="e">
        <f t="shared" si="123"/>
        <v>#NAME?</v>
      </c>
      <c r="K173" s="7" t="e">
        <f t="shared" si="123"/>
        <v>#NAME?</v>
      </c>
      <c r="L173" s="7" t="e">
        <f t="shared" si="123"/>
        <v>#NAME?</v>
      </c>
      <c r="M173" s="7" t="e">
        <f t="shared" si="123"/>
        <v>#NAME?</v>
      </c>
      <c r="N173" s="7" t="e">
        <f t="shared" si="123"/>
        <v>#NAME?</v>
      </c>
      <c r="O173" s="7" t="e">
        <f t="shared" si="123"/>
        <v>#NAME?</v>
      </c>
      <c r="P173" s="7" t="e">
        <f t="shared" si="123"/>
        <v>#NAME?</v>
      </c>
      <c r="Q173" s="7" t="e">
        <f t="shared" si="123"/>
        <v>#NAME?</v>
      </c>
      <c r="R173" s="7" t="e">
        <f t="shared" si="123"/>
        <v>#NAME?</v>
      </c>
      <c r="S173" s="7" t="e">
        <f t="shared" si="123"/>
        <v>#NAME?</v>
      </c>
      <c r="U173" s="7" t="e">
        <f t="shared" ref="U173:AG173" si="124">U$159*$A141+U$160</f>
        <v>#NAME?</v>
      </c>
      <c r="V173" s="7" t="e">
        <f t="shared" si="124"/>
        <v>#NAME?</v>
      </c>
      <c r="W173" s="7" t="e">
        <f t="shared" si="124"/>
        <v>#NAME?</v>
      </c>
      <c r="X173" s="7" t="e">
        <f t="shared" si="124"/>
        <v>#NAME?</v>
      </c>
      <c r="Y173" s="7" t="e">
        <f t="shared" si="124"/>
        <v>#NAME?</v>
      </c>
      <c r="Z173" s="7" t="e">
        <f t="shared" si="124"/>
        <v>#NAME?</v>
      </c>
      <c r="AA173" s="7" t="e">
        <f t="shared" si="124"/>
        <v>#NAME?</v>
      </c>
      <c r="AB173" s="7" t="e">
        <f t="shared" si="124"/>
        <v>#NAME?</v>
      </c>
      <c r="AC173" s="7" t="e">
        <f t="shared" si="124"/>
        <v>#NAME?</v>
      </c>
      <c r="AD173" s="7" t="e">
        <f t="shared" si="124"/>
        <v>#NAME?</v>
      </c>
      <c r="AE173" s="7" t="e">
        <f t="shared" si="124"/>
        <v>#NAME?</v>
      </c>
      <c r="AF173" s="7" t="e">
        <f t="shared" si="124"/>
        <v>#NAME?</v>
      </c>
      <c r="AG173" s="7" t="e">
        <f t="shared" si="124"/>
        <v>#NAME?</v>
      </c>
      <c r="AH173" s="7" t="e">
        <f t="shared" ref="AH173" si="125">STDEV(B173:AG173)</f>
        <v>#NAME?</v>
      </c>
      <c r="AI173" s="7" t="e">
        <f t="shared" ref="AI173" si="126">AJ173-1.5*AH173</f>
        <v>#NAME?</v>
      </c>
      <c r="AJ173" s="8" t="e">
        <f t="shared" ref="AJ173" si="127">AVERAGE(B173:AG173)</f>
        <v>#NAME?</v>
      </c>
      <c r="AK173" s="7" t="e">
        <f t="shared" ref="AK173" si="128">AJ173+1.5*AH173</f>
        <v>#NAME?</v>
      </c>
    </row>
    <row r="174" spans="1:39" s="7" customFormat="1">
      <c r="A174" s="7">
        <f t="shared" si="68"/>
        <v>12</v>
      </c>
      <c r="B174" s="7" t="e">
        <f t="shared" ref="B174:S174" si="129">B$159*$A142+B$160</f>
        <v>#NAME?</v>
      </c>
      <c r="C174" s="7" t="e">
        <f t="shared" si="129"/>
        <v>#NAME?</v>
      </c>
      <c r="D174" s="7" t="e">
        <f t="shared" si="129"/>
        <v>#NAME?</v>
      </c>
      <c r="E174" s="7" t="e">
        <f t="shared" si="129"/>
        <v>#NAME?</v>
      </c>
      <c r="F174" s="7" t="e">
        <f t="shared" si="129"/>
        <v>#NAME?</v>
      </c>
      <c r="G174" s="7" t="e">
        <f t="shared" si="129"/>
        <v>#NAME?</v>
      </c>
      <c r="H174" s="7" t="e">
        <f t="shared" si="129"/>
        <v>#NAME?</v>
      </c>
      <c r="I174" s="7" t="e">
        <f t="shared" si="129"/>
        <v>#NAME?</v>
      </c>
      <c r="J174" s="7" t="e">
        <f t="shared" si="129"/>
        <v>#NAME?</v>
      </c>
      <c r="K174" s="7" t="e">
        <f t="shared" si="129"/>
        <v>#NAME?</v>
      </c>
      <c r="L174" s="7" t="e">
        <f t="shared" si="129"/>
        <v>#NAME?</v>
      </c>
      <c r="M174" s="7" t="e">
        <f t="shared" si="129"/>
        <v>#NAME?</v>
      </c>
      <c r="N174" s="7" t="e">
        <f t="shared" si="129"/>
        <v>#NAME?</v>
      </c>
      <c r="O174" s="7" t="e">
        <f t="shared" si="129"/>
        <v>#NAME?</v>
      </c>
      <c r="P174" s="7" t="e">
        <f t="shared" si="129"/>
        <v>#NAME?</v>
      </c>
      <c r="Q174" s="7" t="e">
        <f t="shared" si="129"/>
        <v>#NAME?</v>
      </c>
      <c r="R174" s="7" t="e">
        <f t="shared" si="129"/>
        <v>#NAME?</v>
      </c>
      <c r="S174" s="7" t="e">
        <f t="shared" si="129"/>
        <v>#NAME?</v>
      </c>
      <c r="U174" s="7" t="e">
        <f t="shared" ref="U174:AG174" si="130">U$159*$A142+U$160</f>
        <v>#NAME?</v>
      </c>
      <c r="V174" s="7" t="e">
        <f t="shared" si="130"/>
        <v>#NAME?</v>
      </c>
      <c r="W174" s="7" t="e">
        <f t="shared" si="130"/>
        <v>#NAME?</v>
      </c>
      <c r="X174" s="7" t="e">
        <f t="shared" si="130"/>
        <v>#NAME?</v>
      </c>
      <c r="Y174" s="7" t="e">
        <f t="shared" si="130"/>
        <v>#NAME?</v>
      </c>
      <c r="Z174" s="7" t="e">
        <f t="shared" si="130"/>
        <v>#NAME?</v>
      </c>
      <c r="AA174" s="7" t="e">
        <f t="shared" si="130"/>
        <v>#NAME?</v>
      </c>
      <c r="AB174" s="7" t="e">
        <f t="shared" si="130"/>
        <v>#NAME?</v>
      </c>
      <c r="AC174" s="7" t="e">
        <f t="shared" si="130"/>
        <v>#NAME?</v>
      </c>
      <c r="AD174" s="7" t="e">
        <f t="shared" si="130"/>
        <v>#NAME?</v>
      </c>
      <c r="AE174" s="7" t="e">
        <f t="shared" si="130"/>
        <v>#NAME?</v>
      </c>
      <c r="AF174" s="7" t="e">
        <f t="shared" si="130"/>
        <v>#NAME?</v>
      </c>
      <c r="AG174" s="7" t="e">
        <f t="shared" si="130"/>
        <v>#NAME?</v>
      </c>
      <c r="AH174" s="7" t="e">
        <f t="shared" ref="AH174" si="131">STDEV(B174:AG174)</f>
        <v>#NAME?</v>
      </c>
      <c r="AI174" s="7" t="e">
        <f t="shared" ref="AI174" si="132">AJ174-1.5*AH174</f>
        <v>#NAME?</v>
      </c>
      <c r="AJ174" s="8" t="e">
        <f t="shared" ref="AJ174" si="133">AVERAGE(B174:AG174)</f>
        <v>#NAME?</v>
      </c>
      <c r="AK174" s="7" t="e">
        <f t="shared" ref="AK174" si="134">AJ174+1.5*AH174</f>
        <v>#NAME?</v>
      </c>
    </row>
    <row r="175" spans="1:39" s="7" customFormat="1">
      <c r="A175" s="7">
        <f t="shared" si="68"/>
        <v>13</v>
      </c>
      <c r="B175" s="7" t="e">
        <f t="shared" ref="B175:S175" si="135">B$159*$A143+B$160</f>
        <v>#NAME?</v>
      </c>
      <c r="C175" s="7" t="e">
        <f t="shared" si="135"/>
        <v>#NAME?</v>
      </c>
      <c r="D175" s="7" t="e">
        <f t="shared" si="135"/>
        <v>#NAME?</v>
      </c>
      <c r="E175" s="7" t="e">
        <f t="shared" si="135"/>
        <v>#NAME?</v>
      </c>
      <c r="F175" s="7" t="e">
        <f t="shared" si="135"/>
        <v>#NAME?</v>
      </c>
      <c r="G175" s="7" t="e">
        <f t="shared" si="135"/>
        <v>#NAME?</v>
      </c>
      <c r="H175" s="7" t="e">
        <f t="shared" si="135"/>
        <v>#NAME?</v>
      </c>
      <c r="I175" s="7" t="e">
        <f t="shared" si="135"/>
        <v>#NAME?</v>
      </c>
      <c r="J175" s="7" t="e">
        <f t="shared" si="135"/>
        <v>#NAME?</v>
      </c>
      <c r="K175" s="7" t="e">
        <f t="shared" si="135"/>
        <v>#NAME?</v>
      </c>
      <c r="L175" s="7" t="e">
        <f t="shared" si="135"/>
        <v>#NAME?</v>
      </c>
      <c r="M175" s="7" t="e">
        <f t="shared" si="135"/>
        <v>#NAME?</v>
      </c>
      <c r="N175" s="7" t="e">
        <f t="shared" si="135"/>
        <v>#NAME?</v>
      </c>
      <c r="O175" s="7" t="e">
        <f t="shared" si="135"/>
        <v>#NAME?</v>
      </c>
      <c r="P175" s="7" t="e">
        <f t="shared" si="135"/>
        <v>#NAME?</v>
      </c>
      <c r="Q175" s="7" t="e">
        <f t="shared" si="135"/>
        <v>#NAME?</v>
      </c>
      <c r="R175" s="7" t="e">
        <f t="shared" si="135"/>
        <v>#NAME?</v>
      </c>
      <c r="S175" s="7" t="e">
        <f t="shared" si="135"/>
        <v>#NAME?</v>
      </c>
      <c r="U175" s="7" t="e">
        <f t="shared" ref="U175:AG175" si="136">U$159*$A143+U$160</f>
        <v>#NAME?</v>
      </c>
      <c r="V175" s="7" t="e">
        <f t="shared" si="136"/>
        <v>#NAME?</v>
      </c>
      <c r="W175" s="7" t="e">
        <f t="shared" si="136"/>
        <v>#NAME?</v>
      </c>
      <c r="X175" s="7" t="e">
        <f t="shared" si="136"/>
        <v>#NAME?</v>
      </c>
      <c r="Y175" s="7" t="e">
        <f t="shared" si="136"/>
        <v>#NAME?</v>
      </c>
      <c r="Z175" s="7" t="e">
        <f t="shared" si="136"/>
        <v>#NAME?</v>
      </c>
      <c r="AA175" s="7" t="e">
        <f t="shared" si="136"/>
        <v>#NAME?</v>
      </c>
      <c r="AB175" s="7" t="e">
        <f t="shared" si="136"/>
        <v>#NAME?</v>
      </c>
      <c r="AC175" s="7" t="e">
        <f t="shared" si="136"/>
        <v>#NAME?</v>
      </c>
      <c r="AD175" s="7" t="e">
        <f t="shared" si="136"/>
        <v>#NAME?</v>
      </c>
      <c r="AE175" s="7" t="e">
        <f t="shared" si="136"/>
        <v>#NAME?</v>
      </c>
      <c r="AF175" s="7" t="e">
        <f t="shared" si="136"/>
        <v>#NAME?</v>
      </c>
      <c r="AG175" s="7" t="e">
        <f t="shared" si="136"/>
        <v>#NAME?</v>
      </c>
      <c r="AH175" s="7" t="e">
        <f t="shared" ref="AH175" si="137">STDEV(B175:AG175)</f>
        <v>#NAME?</v>
      </c>
      <c r="AI175" s="7" t="e">
        <f t="shared" ref="AI175" si="138">AJ175-1.5*AH175</f>
        <v>#NAME?</v>
      </c>
      <c r="AJ175" s="8" t="e">
        <f t="shared" ref="AJ175" si="139">AVERAGE(B175:AG175)</f>
        <v>#NAME?</v>
      </c>
      <c r="AK175" s="7" t="e">
        <f t="shared" ref="AK175" si="140">AJ175+1.5*AH175</f>
        <v>#NAME?</v>
      </c>
      <c r="AM175" s="9"/>
    </row>
    <row r="176" spans="1:39" s="7" customFormat="1">
      <c r="A176" s="7">
        <f t="shared" si="68"/>
        <v>14</v>
      </c>
      <c r="B176" s="7" t="e">
        <f t="shared" ref="B176:S176" si="141">B$159*$A144+B$160</f>
        <v>#NAME?</v>
      </c>
      <c r="C176" s="7" t="e">
        <f t="shared" si="141"/>
        <v>#NAME?</v>
      </c>
      <c r="D176" s="7" t="e">
        <f t="shared" si="141"/>
        <v>#NAME?</v>
      </c>
      <c r="E176" s="7" t="e">
        <f t="shared" si="141"/>
        <v>#NAME?</v>
      </c>
      <c r="F176" s="7" t="e">
        <f t="shared" si="141"/>
        <v>#NAME?</v>
      </c>
      <c r="G176" s="7" t="e">
        <f t="shared" si="141"/>
        <v>#NAME?</v>
      </c>
      <c r="H176" s="7" t="e">
        <f t="shared" si="141"/>
        <v>#NAME?</v>
      </c>
      <c r="I176" s="7" t="e">
        <f t="shared" si="141"/>
        <v>#NAME?</v>
      </c>
      <c r="J176" s="7" t="e">
        <f t="shared" si="141"/>
        <v>#NAME?</v>
      </c>
      <c r="K176" s="7" t="e">
        <f t="shared" si="141"/>
        <v>#NAME?</v>
      </c>
      <c r="L176" s="7" t="e">
        <f t="shared" si="141"/>
        <v>#NAME?</v>
      </c>
      <c r="M176" s="7" t="e">
        <f t="shared" si="141"/>
        <v>#NAME?</v>
      </c>
      <c r="N176" s="7" t="e">
        <f t="shared" si="141"/>
        <v>#NAME?</v>
      </c>
      <c r="O176" s="7" t="e">
        <f t="shared" si="141"/>
        <v>#NAME?</v>
      </c>
      <c r="P176" s="7" t="e">
        <f t="shared" si="141"/>
        <v>#NAME?</v>
      </c>
      <c r="Q176" s="7" t="e">
        <f t="shared" si="141"/>
        <v>#NAME?</v>
      </c>
      <c r="R176" s="7" t="e">
        <f t="shared" si="141"/>
        <v>#NAME?</v>
      </c>
      <c r="S176" s="7" t="e">
        <f t="shared" si="141"/>
        <v>#NAME?</v>
      </c>
      <c r="U176" s="7" t="e">
        <f t="shared" ref="U176:AG176" si="142">U$159*$A144+U$160</f>
        <v>#NAME?</v>
      </c>
      <c r="V176" s="7" t="e">
        <f t="shared" si="142"/>
        <v>#NAME?</v>
      </c>
      <c r="W176" s="7" t="e">
        <f t="shared" si="142"/>
        <v>#NAME?</v>
      </c>
      <c r="X176" s="7" t="e">
        <f t="shared" si="142"/>
        <v>#NAME?</v>
      </c>
      <c r="Y176" s="7" t="e">
        <f t="shared" si="142"/>
        <v>#NAME?</v>
      </c>
      <c r="Z176" s="7" t="e">
        <f t="shared" si="142"/>
        <v>#NAME?</v>
      </c>
      <c r="AA176" s="7" t="e">
        <f t="shared" si="142"/>
        <v>#NAME?</v>
      </c>
      <c r="AB176" s="7" t="e">
        <f t="shared" si="142"/>
        <v>#NAME?</v>
      </c>
      <c r="AC176" s="7" t="e">
        <f t="shared" si="142"/>
        <v>#NAME?</v>
      </c>
      <c r="AD176" s="7" t="e">
        <f t="shared" si="142"/>
        <v>#NAME?</v>
      </c>
      <c r="AE176" s="7" t="e">
        <f t="shared" si="142"/>
        <v>#NAME?</v>
      </c>
      <c r="AF176" s="7" t="e">
        <f t="shared" si="142"/>
        <v>#NAME?</v>
      </c>
      <c r="AG176" s="7" t="e">
        <f t="shared" si="142"/>
        <v>#NAME?</v>
      </c>
      <c r="AH176" s="7" t="e">
        <f t="shared" ref="AH176" si="143">STDEV(B176:AG176)</f>
        <v>#NAME?</v>
      </c>
      <c r="AI176" s="7" t="e">
        <f t="shared" ref="AI176" si="144">AJ176-1.5*AH176</f>
        <v>#NAME?</v>
      </c>
      <c r="AJ176" s="8" t="e">
        <f t="shared" ref="AJ176" si="145">AVERAGE(B176:AG176)</f>
        <v>#NAME?</v>
      </c>
      <c r="AK176" s="7" t="e">
        <f t="shared" ref="AK176" si="146">AJ176+1.5*AH176</f>
        <v>#NAME?</v>
      </c>
      <c r="AM176" s="9"/>
    </row>
    <row r="177" spans="1:38" s="7" customFormat="1">
      <c r="A177" s="7">
        <f t="shared" si="68"/>
        <v>15</v>
      </c>
      <c r="B177" s="7" t="e">
        <f t="shared" ref="B177:S177" si="147">B$159*$A145+B$160</f>
        <v>#NAME?</v>
      </c>
      <c r="C177" s="7" t="e">
        <f t="shared" si="147"/>
        <v>#NAME?</v>
      </c>
      <c r="D177" s="7" t="e">
        <f t="shared" si="147"/>
        <v>#NAME?</v>
      </c>
      <c r="E177" s="7" t="e">
        <f t="shared" si="147"/>
        <v>#NAME?</v>
      </c>
      <c r="F177" s="7" t="e">
        <f t="shared" si="147"/>
        <v>#NAME?</v>
      </c>
      <c r="G177" s="7" t="e">
        <f t="shared" si="147"/>
        <v>#NAME?</v>
      </c>
      <c r="H177" s="7" t="e">
        <f t="shared" si="147"/>
        <v>#NAME?</v>
      </c>
      <c r="I177" s="7" t="e">
        <f t="shared" si="147"/>
        <v>#NAME?</v>
      </c>
      <c r="J177" s="7" t="e">
        <f t="shared" si="147"/>
        <v>#NAME?</v>
      </c>
      <c r="K177" s="7" t="e">
        <f t="shared" si="147"/>
        <v>#NAME?</v>
      </c>
      <c r="L177" s="7" t="e">
        <f t="shared" si="147"/>
        <v>#NAME?</v>
      </c>
      <c r="M177" s="7" t="e">
        <f t="shared" si="147"/>
        <v>#NAME?</v>
      </c>
      <c r="N177" s="7" t="e">
        <f t="shared" si="147"/>
        <v>#NAME?</v>
      </c>
      <c r="O177" s="7" t="e">
        <f t="shared" si="147"/>
        <v>#NAME?</v>
      </c>
      <c r="P177" s="7" t="e">
        <f t="shared" si="147"/>
        <v>#NAME?</v>
      </c>
      <c r="Q177" s="7" t="e">
        <f t="shared" si="147"/>
        <v>#NAME?</v>
      </c>
      <c r="R177" s="7" t="e">
        <f t="shared" si="147"/>
        <v>#NAME?</v>
      </c>
      <c r="S177" s="7" t="e">
        <f t="shared" si="147"/>
        <v>#NAME?</v>
      </c>
      <c r="U177" s="7" t="e">
        <f t="shared" ref="U177:AG177" si="148">U$159*$A145+U$160</f>
        <v>#NAME?</v>
      </c>
      <c r="V177" s="7" t="e">
        <f t="shared" si="148"/>
        <v>#NAME?</v>
      </c>
      <c r="W177" s="7" t="e">
        <f t="shared" si="148"/>
        <v>#NAME?</v>
      </c>
      <c r="X177" s="7" t="e">
        <f t="shared" si="148"/>
        <v>#NAME?</v>
      </c>
      <c r="Y177" s="7" t="e">
        <f t="shared" si="148"/>
        <v>#NAME?</v>
      </c>
      <c r="Z177" s="7" t="e">
        <f t="shared" si="148"/>
        <v>#NAME?</v>
      </c>
      <c r="AA177" s="7" t="e">
        <f t="shared" si="148"/>
        <v>#NAME?</v>
      </c>
      <c r="AB177" s="7" t="e">
        <f t="shared" si="148"/>
        <v>#NAME?</v>
      </c>
      <c r="AC177" s="7" t="e">
        <f t="shared" si="148"/>
        <v>#NAME?</v>
      </c>
      <c r="AD177" s="7" t="e">
        <f t="shared" si="148"/>
        <v>#NAME?</v>
      </c>
      <c r="AE177" s="7" t="e">
        <f t="shared" si="148"/>
        <v>#NAME?</v>
      </c>
      <c r="AF177" s="7" t="e">
        <f t="shared" si="148"/>
        <v>#NAME?</v>
      </c>
      <c r="AG177" s="7" t="e">
        <f t="shared" si="148"/>
        <v>#NAME?</v>
      </c>
      <c r="AH177" s="7" t="e">
        <f t="shared" ref="AH177:AH178" si="149">STDEV(B177:AG177)</f>
        <v>#NAME?</v>
      </c>
      <c r="AI177" s="7" t="e">
        <f t="shared" ref="AI177:AI178" si="150">AJ177-1.5*AH177</f>
        <v>#NAME?</v>
      </c>
      <c r="AJ177" s="8" t="e">
        <f t="shared" ref="AJ177:AJ178" si="151">AVERAGE(B177:AG177)</f>
        <v>#NAME?</v>
      </c>
      <c r="AK177" s="7" t="e">
        <f t="shared" ref="AK177:AK178" si="152">AJ177+1.5*AH177</f>
        <v>#NAME?</v>
      </c>
    </row>
    <row r="178" spans="1:38" s="7" customFormat="1">
      <c r="A178" s="7">
        <f t="shared" si="68"/>
        <v>16</v>
      </c>
      <c r="B178" s="7" t="e">
        <f t="shared" ref="B178:Q178" si="153">B$159*$A146+B$160</f>
        <v>#NAME?</v>
      </c>
      <c r="C178" s="7" t="e">
        <f t="shared" si="153"/>
        <v>#NAME?</v>
      </c>
      <c r="D178" s="7" t="e">
        <f t="shared" si="153"/>
        <v>#NAME?</v>
      </c>
      <c r="E178" s="7" t="e">
        <f t="shared" si="153"/>
        <v>#NAME?</v>
      </c>
      <c r="F178" s="7" t="e">
        <f t="shared" si="153"/>
        <v>#NAME?</v>
      </c>
      <c r="G178" s="7" t="e">
        <f t="shared" si="153"/>
        <v>#NAME?</v>
      </c>
      <c r="H178" s="7" t="e">
        <f t="shared" si="153"/>
        <v>#NAME?</v>
      </c>
      <c r="I178" s="7" t="e">
        <f t="shared" si="153"/>
        <v>#NAME?</v>
      </c>
      <c r="J178" s="7" t="e">
        <f t="shared" si="153"/>
        <v>#NAME?</v>
      </c>
      <c r="K178" s="7" t="e">
        <f t="shared" si="153"/>
        <v>#NAME?</v>
      </c>
      <c r="L178" s="7" t="e">
        <f t="shared" si="153"/>
        <v>#NAME?</v>
      </c>
      <c r="M178" s="7" t="e">
        <f t="shared" si="153"/>
        <v>#NAME?</v>
      </c>
      <c r="N178" s="7" t="e">
        <f t="shared" si="153"/>
        <v>#NAME?</v>
      </c>
      <c r="O178" s="7" t="e">
        <f t="shared" si="153"/>
        <v>#NAME?</v>
      </c>
      <c r="P178" s="7" t="e">
        <f t="shared" si="153"/>
        <v>#NAME?</v>
      </c>
      <c r="Q178" s="7" t="e">
        <f t="shared" si="153"/>
        <v>#NAME?</v>
      </c>
      <c r="R178" s="7" t="e">
        <f t="shared" ref="R178:AG178" si="154">R$159*$A146+R$160</f>
        <v>#NAME?</v>
      </c>
      <c r="S178" s="7" t="e">
        <f t="shared" si="154"/>
        <v>#NAME?</v>
      </c>
      <c r="U178" s="7" t="e">
        <f t="shared" si="154"/>
        <v>#NAME?</v>
      </c>
      <c r="V178" s="7" t="e">
        <f t="shared" si="154"/>
        <v>#NAME?</v>
      </c>
      <c r="W178" s="7" t="e">
        <f t="shared" si="154"/>
        <v>#NAME?</v>
      </c>
      <c r="X178" s="7" t="e">
        <f t="shared" si="154"/>
        <v>#NAME?</v>
      </c>
      <c r="Y178" s="7" t="e">
        <f t="shared" si="154"/>
        <v>#NAME?</v>
      </c>
      <c r="Z178" s="7" t="e">
        <f t="shared" si="154"/>
        <v>#NAME?</v>
      </c>
      <c r="AA178" s="7" t="e">
        <f t="shared" si="154"/>
        <v>#NAME?</v>
      </c>
      <c r="AB178" s="7" t="e">
        <f t="shared" si="154"/>
        <v>#NAME?</v>
      </c>
      <c r="AC178" s="7" t="e">
        <f t="shared" si="154"/>
        <v>#NAME?</v>
      </c>
      <c r="AD178" s="7" t="e">
        <f t="shared" si="154"/>
        <v>#NAME?</v>
      </c>
      <c r="AE178" s="7" t="e">
        <f t="shared" si="154"/>
        <v>#NAME?</v>
      </c>
      <c r="AF178" s="7" t="e">
        <f t="shared" si="154"/>
        <v>#NAME?</v>
      </c>
      <c r="AG178" s="7" t="e">
        <f t="shared" si="154"/>
        <v>#NAME?</v>
      </c>
      <c r="AH178" s="7" t="e">
        <f t="shared" si="149"/>
        <v>#NAME?</v>
      </c>
      <c r="AI178" s="7" t="e">
        <f t="shared" si="150"/>
        <v>#NAME?</v>
      </c>
      <c r="AJ178" s="8" t="e">
        <f t="shared" si="151"/>
        <v>#NAME?</v>
      </c>
      <c r="AK178" s="7" t="e">
        <f t="shared" si="152"/>
        <v>#NAME?</v>
      </c>
    </row>
    <row r="179" spans="1:38">
      <c r="A179">
        <f t="shared" si="68"/>
        <v>17</v>
      </c>
      <c r="B179" t="e">
        <f t="shared" ref="B179:B186" si="155">B$159*$A147+B$160</f>
        <v>#NAME?</v>
      </c>
      <c r="C179" s="7" t="e">
        <f t="shared" ref="C179:AG179" si="156">C$159*$A147+C$160</f>
        <v>#NAME?</v>
      </c>
      <c r="D179" s="7" t="e">
        <f t="shared" si="156"/>
        <v>#NAME?</v>
      </c>
      <c r="E179" s="7" t="e">
        <f t="shared" si="156"/>
        <v>#NAME?</v>
      </c>
      <c r="F179" s="7" t="e">
        <f t="shared" si="156"/>
        <v>#NAME?</v>
      </c>
      <c r="G179" s="7" t="e">
        <f t="shared" si="156"/>
        <v>#NAME?</v>
      </c>
      <c r="H179" s="7" t="e">
        <f t="shared" si="156"/>
        <v>#NAME?</v>
      </c>
      <c r="I179" s="7" t="e">
        <f t="shared" si="156"/>
        <v>#NAME?</v>
      </c>
      <c r="J179" s="7" t="e">
        <f t="shared" si="156"/>
        <v>#NAME?</v>
      </c>
      <c r="K179" s="7" t="e">
        <f t="shared" si="156"/>
        <v>#NAME?</v>
      </c>
      <c r="L179" s="7" t="e">
        <f t="shared" si="156"/>
        <v>#NAME?</v>
      </c>
      <c r="M179" s="7" t="e">
        <f t="shared" si="156"/>
        <v>#NAME?</v>
      </c>
      <c r="N179" s="7" t="e">
        <f t="shared" si="156"/>
        <v>#NAME?</v>
      </c>
      <c r="O179" s="7" t="e">
        <f t="shared" si="156"/>
        <v>#NAME?</v>
      </c>
      <c r="P179" s="7" t="e">
        <f t="shared" si="156"/>
        <v>#NAME?</v>
      </c>
      <c r="Q179" s="7" t="e">
        <f t="shared" si="156"/>
        <v>#NAME?</v>
      </c>
      <c r="R179" s="7" t="e">
        <f t="shared" si="156"/>
        <v>#NAME?</v>
      </c>
      <c r="S179" s="7" t="e">
        <f t="shared" si="156"/>
        <v>#NAME?</v>
      </c>
      <c r="T179" s="7"/>
      <c r="U179" s="7" t="e">
        <f t="shared" si="156"/>
        <v>#NAME?</v>
      </c>
      <c r="V179" s="7" t="e">
        <f t="shared" si="156"/>
        <v>#NAME?</v>
      </c>
      <c r="W179" s="7" t="e">
        <f t="shared" si="156"/>
        <v>#NAME?</v>
      </c>
      <c r="X179" s="7" t="e">
        <f t="shared" si="156"/>
        <v>#NAME?</v>
      </c>
      <c r="Y179" s="7" t="e">
        <f t="shared" si="156"/>
        <v>#NAME?</v>
      </c>
      <c r="Z179" s="7" t="e">
        <f t="shared" si="156"/>
        <v>#NAME?</v>
      </c>
      <c r="AA179" s="7" t="e">
        <f t="shared" si="156"/>
        <v>#NAME?</v>
      </c>
      <c r="AB179" s="7" t="e">
        <f t="shared" si="156"/>
        <v>#NAME?</v>
      </c>
      <c r="AC179" s="7" t="e">
        <f t="shared" si="156"/>
        <v>#NAME?</v>
      </c>
      <c r="AD179" s="7" t="e">
        <f t="shared" si="156"/>
        <v>#NAME?</v>
      </c>
      <c r="AE179" s="7" t="e">
        <f t="shared" si="156"/>
        <v>#NAME?</v>
      </c>
      <c r="AF179" s="7" t="e">
        <f t="shared" si="156"/>
        <v>#NAME?</v>
      </c>
      <c r="AG179" s="7" t="e">
        <f t="shared" si="156"/>
        <v>#NAME?</v>
      </c>
      <c r="AH179" s="7" t="e">
        <f t="shared" si="60"/>
        <v>#NAME?</v>
      </c>
      <c r="AI179" s="7" t="e">
        <f t="shared" si="61"/>
        <v>#NAME?</v>
      </c>
      <c r="AJ179" s="8" t="e">
        <f t="shared" si="62"/>
        <v>#NAME?</v>
      </c>
      <c r="AK179" s="7" t="e">
        <f t="shared" si="63"/>
        <v>#NAME?</v>
      </c>
    </row>
    <row r="180" spans="1:38">
      <c r="A180" s="7">
        <f t="shared" ref="A180:A185" si="157">A148</f>
        <v>18</v>
      </c>
      <c r="B180" s="7" t="e">
        <f t="shared" si="155"/>
        <v>#NAME?</v>
      </c>
      <c r="C180" s="7" t="e">
        <f t="shared" ref="C180:AG180" si="158">C$159*$A148+C$160</f>
        <v>#NAME?</v>
      </c>
      <c r="D180" s="7" t="e">
        <f t="shared" si="158"/>
        <v>#NAME?</v>
      </c>
      <c r="E180" s="7" t="e">
        <f t="shared" si="158"/>
        <v>#NAME?</v>
      </c>
      <c r="F180" s="7" t="e">
        <f t="shared" si="158"/>
        <v>#NAME?</v>
      </c>
      <c r="G180" s="7" t="e">
        <f t="shared" si="158"/>
        <v>#NAME?</v>
      </c>
      <c r="H180" s="7" t="e">
        <f t="shared" si="158"/>
        <v>#NAME?</v>
      </c>
      <c r="I180" s="7" t="e">
        <f t="shared" si="158"/>
        <v>#NAME?</v>
      </c>
      <c r="J180" s="7" t="e">
        <f t="shared" si="158"/>
        <v>#NAME?</v>
      </c>
      <c r="K180" s="7" t="e">
        <f t="shared" si="158"/>
        <v>#NAME?</v>
      </c>
      <c r="L180" s="7" t="e">
        <f t="shared" si="158"/>
        <v>#NAME?</v>
      </c>
      <c r="M180" s="7" t="e">
        <f t="shared" si="158"/>
        <v>#NAME?</v>
      </c>
      <c r="N180" s="7" t="e">
        <f t="shared" si="158"/>
        <v>#NAME?</v>
      </c>
      <c r="O180" s="7" t="e">
        <f t="shared" si="158"/>
        <v>#NAME?</v>
      </c>
      <c r="P180" s="7" t="e">
        <f t="shared" si="158"/>
        <v>#NAME?</v>
      </c>
      <c r="Q180" s="7" t="e">
        <f t="shared" si="158"/>
        <v>#NAME?</v>
      </c>
      <c r="R180" s="7" t="e">
        <f t="shared" si="158"/>
        <v>#NAME?</v>
      </c>
      <c r="S180" s="7" t="e">
        <f t="shared" si="158"/>
        <v>#NAME?</v>
      </c>
      <c r="T180" s="7"/>
      <c r="U180" s="7" t="e">
        <f t="shared" si="158"/>
        <v>#NAME?</v>
      </c>
      <c r="V180" s="7" t="e">
        <f t="shared" si="158"/>
        <v>#NAME?</v>
      </c>
      <c r="W180" s="7" t="e">
        <f t="shared" si="158"/>
        <v>#NAME?</v>
      </c>
      <c r="X180" s="7" t="e">
        <f t="shared" si="158"/>
        <v>#NAME?</v>
      </c>
      <c r="Y180" s="7" t="e">
        <f t="shared" si="158"/>
        <v>#NAME?</v>
      </c>
      <c r="Z180" s="7" t="e">
        <f t="shared" si="158"/>
        <v>#NAME?</v>
      </c>
      <c r="AA180" s="7" t="e">
        <f t="shared" si="158"/>
        <v>#NAME?</v>
      </c>
      <c r="AB180" s="7" t="e">
        <f t="shared" si="158"/>
        <v>#NAME?</v>
      </c>
      <c r="AC180" s="7" t="e">
        <f t="shared" si="158"/>
        <v>#NAME?</v>
      </c>
      <c r="AD180" s="7" t="e">
        <f t="shared" si="158"/>
        <v>#NAME?</v>
      </c>
      <c r="AE180" s="7" t="e">
        <f t="shared" si="158"/>
        <v>#NAME?</v>
      </c>
      <c r="AF180" s="7" t="e">
        <f t="shared" si="158"/>
        <v>#NAME?</v>
      </c>
      <c r="AG180" s="7" t="e">
        <f t="shared" si="158"/>
        <v>#NAME?</v>
      </c>
      <c r="AH180" s="7" t="e">
        <f t="shared" si="60"/>
        <v>#NAME?</v>
      </c>
      <c r="AI180" s="7" t="e">
        <f t="shared" si="61"/>
        <v>#NAME?</v>
      </c>
      <c r="AJ180" s="8" t="e">
        <f t="shared" si="62"/>
        <v>#NAME?</v>
      </c>
      <c r="AK180" s="7" t="e">
        <f t="shared" si="63"/>
        <v>#NAME?</v>
      </c>
    </row>
    <row r="181" spans="1:38">
      <c r="A181" s="7">
        <f t="shared" si="157"/>
        <v>19</v>
      </c>
      <c r="B181" s="7" t="e">
        <f t="shared" si="155"/>
        <v>#NAME?</v>
      </c>
      <c r="C181" s="7" t="e">
        <f t="shared" ref="C181:AG181" si="159">C$159*$A149+C$160</f>
        <v>#NAME?</v>
      </c>
      <c r="D181" s="7" t="e">
        <f t="shared" si="159"/>
        <v>#NAME?</v>
      </c>
      <c r="E181" s="7" t="e">
        <f t="shared" si="159"/>
        <v>#NAME?</v>
      </c>
      <c r="F181" s="7" t="e">
        <f t="shared" si="159"/>
        <v>#NAME?</v>
      </c>
      <c r="G181" s="7" t="e">
        <f t="shared" si="159"/>
        <v>#NAME?</v>
      </c>
      <c r="H181" s="7" t="e">
        <f t="shared" si="159"/>
        <v>#NAME?</v>
      </c>
      <c r="I181" s="7" t="e">
        <f t="shared" si="159"/>
        <v>#NAME?</v>
      </c>
      <c r="J181" s="7" t="e">
        <f t="shared" si="159"/>
        <v>#NAME?</v>
      </c>
      <c r="K181" s="7" t="e">
        <f t="shared" si="159"/>
        <v>#NAME?</v>
      </c>
      <c r="L181" s="7" t="e">
        <f t="shared" si="159"/>
        <v>#NAME?</v>
      </c>
      <c r="M181" s="7" t="e">
        <f t="shared" si="159"/>
        <v>#NAME?</v>
      </c>
      <c r="N181" s="7" t="e">
        <f t="shared" si="159"/>
        <v>#NAME?</v>
      </c>
      <c r="O181" s="7" t="e">
        <f t="shared" si="159"/>
        <v>#NAME?</v>
      </c>
      <c r="P181" s="7" t="e">
        <f t="shared" si="159"/>
        <v>#NAME?</v>
      </c>
      <c r="Q181" s="7" t="e">
        <f t="shared" si="159"/>
        <v>#NAME?</v>
      </c>
      <c r="R181" s="7" t="e">
        <f t="shared" si="159"/>
        <v>#NAME?</v>
      </c>
      <c r="S181" s="7" t="e">
        <f t="shared" si="159"/>
        <v>#NAME?</v>
      </c>
      <c r="T181" s="7"/>
      <c r="U181" s="7" t="e">
        <f t="shared" si="159"/>
        <v>#NAME?</v>
      </c>
      <c r="V181" s="7" t="e">
        <f t="shared" si="159"/>
        <v>#NAME?</v>
      </c>
      <c r="W181" s="7" t="e">
        <f t="shared" si="159"/>
        <v>#NAME?</v>
      </c>
      <c r="X181" s="7" t="e">
        <f t="shared" si="159"/>
        <v>#NAME?</v>
      </c>
      <c r="Y181" s="7" t="e">
        <f t="shared" si="159"/>
        <v>#NAME?</v>
      </c>
      <c r="Z181" s="7" t="e">
        <f t="shared" si="159"/>
        <v>#NAME?</v>
      </c>
      <c r="AA181" s="7" t="e">
        <f t="shared" si="159"/>
        <v>#NAME?</v>
      </c>
      <c r="AB181" s="7" t="e">
        <f t="shared" si="159"/>
        <v>#NAME?</v>
      </c>
      <c r="AC181" s="7" t="e">
        <f t="shared" si="159"/>
        <v>#NAME?</v>
      </c>
      <c r="AD181" s="7" t="e">
        <f t="shared" si="159"/>
        <v>#NAME?</v>
      </c>
      <c r="AE181" s="7" t="e">
        <f t="shared" si="159"/>
        <v>#NAME?</v>
      </c>
      <c r="AF181" s="7" t="e">
        <f t="shared" si="159"/>
        <v>#NAME?</v>
      </c>
      <c r="AG181" s="7" t="e">
        <f t="shared" si="159"/>
        <v>#NAME?</v>
      </c>
      <c r="AH181" s="7" t="e">
        <f t="shared" si="60"/>
        <v>#NAME?</v>
      </c>
      <c r="AI181" s="7" t="e">
        <f t="shared" si="61"/>
        <v>#NAME?</v>
      </c>
      <c r="AJ181" s="8" t="e">
        <f t="shared" si="62"/>
        <v>#NAME?</v>
      </c>
      <c r="AK181" s="7" t="e">
        <f t="shared" si="63"/>
        <v>#NAME?</v>
      </c>
    </row>
    <row r="182" spans="1:38">
      <c r="A182" s="7">
        <f t="shared" si="157"/>
        <v>20</v>
      </c>
      <c r="B182" s="7" t="e">
        <f t="shared" si="155"/>
        <v>#NAME?</v>
      </c>
      <c r="C182" s="7" t="e">
        <f t="shared" ref="C182:AG182" si="160">C$159*$A150+C$160</f>
        <v>#NAME?</v>
      </c>
      <c r="D182" s="7" t="e">
        <f t="shared" si="160"/>
        <v>#NAME?</v>
      </c>
      <c r="E182" s="7" t="e">
        <f t="shared" si="160"/>
        <v>#NAME?</v>
      </c>
      <c r="F182" s="7" t="e">
        <f t="shared" si="160"/>
        <v>#NAME?</v>
      </c>
      <c r="G182" s="7" t="e">
        <f t="shared" si="160"/>
        <v>#NAME?</v>
      </c>
      <c r="H182" s="7" t="e">
        <f t="shared" si="160"/>
        <v>#NAME?</v>
      </c>
      <c r="I182" s="7" t="e">
        <f t="shared" si="160"/>
        <v>#NAME?</v>
      </c>
      <c r="J182" s="7" t="e">
        <f t="shared" si="160"/>
        <v>#NAME?</v>
      </c>
      <c r="K182" s="7" t="e">
        <f t="shared" si="160"/>
        <v>#NAME?</v>
      </c>
      <c r="L182" s="7" t="e">
        <f t="shared" si="160"/>
        <v>#NAME?</v>
      </c>
      <c r="M182" s="7" t="e">
        <f t="shared" si="160"/>
        <v>#NAME?</v>
      </c>
      <c r="N182" s="7" t="e">
        <f t="shared" si="160"/>
        <v>#NAME?</v>
      </c>
      <c r="O182" s="7" t="e">
        <f t="shared" si="160"/>
        <v>#NAME?</v>
      </c>
      <c r="P182" s="7" t="e">
        <f t="shared" si="160"/>
        <v>#NAME?</v>
      </c>
      <c r="Q182" s="7" t="e">
        <f t="shared" si="160"/>
        <v>#NAME?</v>
      </c>
      <c r="R182" s="7" t="e">
        <f t="shared" si="160"/>
        <v>#NAME?</v>
      </c>
      <c r="S182" s="7" t="e">
        <f t="shared" si="160"/>
        <v>#NAME?</v>
      </c>
      <c r="T182" s="7"/>
      <c r="U182" s="7" t="e">
        <f t="shared" si="160"/>
        <v>#NAME?</v>
      </c>
      <c r="V182" s="7" t="e">
        <f t="shared" si="160"/>
        <v>#NAME?</v>
      </c>
      <c r="W182" s="7" t="e">
        <f t="shared" si="160"/>
        <v>#NAME?</v>
      </c>
      <c r="X182" s="7" t="e">
        <f t="shared" si="160"/>
        <v>#NAME?</v>
      </c>
      <c r="Y182" s="7" t="e">
        <f t="shared" si="160"/>
        <v>#NAME?</v>
      </c>
      <c r="Z182" s="7" t="e">
        <f t="shared" si="160"/>
        <v>#NAME?</v>
      </c>
      <c r="AA182" s="7" t="e">
        <f t="shared" si="160"/>
        <v>#NAME?</v>
      </c>
      <c r="AB182" s="7" t="e">
        <f t="shared" si="160"/>
        <v>#NAME?</v>
      </c>
      <c r="AC182" s="7" t="e">
        <f t="shared" si="160"/>
        <v>#NAME?</v>
      </c>
      <c r="AD182" s="7" t="e">
        <f t="shared" si="160"/>
        <v>#NAME?</v>
      </c>
      <c r="AE182" s="7" t="e">
        <f t="shared" si="160"/>
        <v>#NAME?</v>
      </c>
      <c r="AF182" s="7" t="e">
        <f t="shared" si="160"/>
        <v>#NAME?</v>
      </c>
      <c r="AG182" s="7" t="e">
        <f t="shared" si="160"/>
        <v>#NAME?</v>
      </c>
      <c r="AH182" s="7" t="e">
        <f t="shared" si="60"/>
        <v>#NAME?</v>
      </c>
      <c r="AI182" s="7" t="e">
        <f t="shared" si="61"/>
        <v>#NAME?</v>
      </c>
      <c r="AJ182" s="8" t="e">
        <f t="shared" si="62"/>
        <v>#NAME?</v>
      </c>
      <c r="AK182" s="7" t="e">
        <f t="shared" si="63"/>
        <v>#NAME?</v>
      </c>
    </row>
    <row r="183" spans="1:38">
      <c r="A183" s="7">
        <f t="shared" si="157"/>
        <v>21</v>
      </c>
      <c r="B183" s="7" t="e">
        <f t="shared" si="155"/>
        <v>#NAME?</v>
      </c>
      <c r="C183" s="7" t="e">
        <f t="shared" ref="C183:AG183" si="161">C$159*$A151+C$160</f>
        <v>#NAME?</v>
      </c>
      <c r="D183" s="7" t="e">
        <f t="shared" si="161"/>
        <v>#NAME?</v>
      </c>
      <c r="E183" s="7" t="e">
        <f t="shared" si="161"/>
        <v>#NAME?</v>
      </c>
      <c r="F183" s="7" t="e">
        <f t="shared" si="161"/>
        <v>#NAME?</v>
      </c>
      <c r="G183" s="7" t="e">
        <f t="shared" si="161"/>
        <v>#NAME?</v>
      </c>
      <c r="H183" s="7" t="e">
        <f t="shared" si="161"/>
        <v>#NAME?</v>
      </c>
      <c r="I183" s="7" t="e">
        <f t="shared" si="161"/>
        <v>#NAME?</v>
      </c>
      <c r="J183" s="7" t="e">
        <f t="shared" si="161"/>
        <v>#NAME?</v>
      </c>
      <c r="K183" s="7" t="e">
        <f t="shared" si="161"/>
        <v>#NAME?</v>
      </c>
      <c r="L183" s="7" t="e">
        <f t="shared" si="161"/>
        <v>#NAME?</v>
      </c>
      <c r="M183" s="7" t="e">
        <f t="shared" si="161"/>
        <v>#NAME?</v>
      </c>
      <c r="N183" s="7" t="e">
        <f t="shared" si="161"/>
        <v>#NAME?</v>
      </c>
      <c r="O183" s="7" t="e">
        <f t="shared" si="161"/>
        <v>#NAME?</v>
      </c>
      <c r="P183" s="7" t="e">
        <f t="shared" si="161"/>
        <v>#NAME?</v>
      </c>
      <c r="Q183" s="7" t="e">
        <f t="shared" si="161"/>
        <v>#NAME?</v>
      </c>
      <c r="R183" s="7" t="e">
        <f t="shared" si="161"/>
        <v>#NAME?</v>
      </c>
      <c r="S183" s="7" t="e">
        <f t="shared" si="161"/>
        <v>#NAME?</v>
      </c>
      <c r="T183" s="7"/>
      <c r="U183" s="7" t="e">
        <f t="shared" si="161"/>
        <v>#NAME?</v>
      </c>
      <c r="V183" s="7" t="e">
        <f t="shared" si="161"/>
        <v>#NAME?</v>
      </c>
      <c r="W183" s="7" t="e">
        <f t="shared" si="161"/>
        <v>#NAME?</v>
      </c>
      <c r="X183" s="7" t="e">
        <f t="shared" si="161"/>
        <v>#NAME?</v>
      </c>
      <c r="Y183" s="7" t="e">
        <f t="shared" si="161"/>
        <v>#NAME?</v>
      </c>
      <c r="Z183" s="7" t="e">
        <f t="shared" si="161"/>
        <v>#NAME?</v>
      </c>
      <c r="AA183" s="7" t="e">
        <f t="shared" si="161"/>
        <v>#NAME?</v>
      </c>
      <c r="AB183" s="7" t="e">
        <f t="shared" si="161"/>
        <v>#NAME?</v>
      </c>
      <c r="AC183" s="7" t="e">
        <f t="shared" si="161"/>
        <v>#NAME?</v>
      </c>
      <c r="AD183" s="7" t="e">
        <f t="shared" si="161"/>
        <v>#NAME?</v>
      </c>
      <c r="AE183" s="7" t="e">
        <f t="shared" si="161"/>
        <v>#NAME?</v>
      </c>
      <c r="AF183" s="7" t="e">
        <f t="shared" si="161"/>
        <v>#NAME?</v>
      </c>
      <c r="AG183" s="7" t="e">
        <f t="shared" si="161"/>
        <v>#NAME?</v>
      </c>
      <c r="AH183" s="7" t="e">
        <f t="shared" si="60"/>
        <v>#NAME?</v>
      </c>
      <c r="AI183" s="7" t="e">
        <f t="shared" si="61"/>
        <v>#NAME?</v>
      </c>
      <c r="AJ183" s="8" t="e">
        <f t="shared" si="62"/>
        <v>#NAME?</v>
      </c>
      <c r="AK183" s="7" t="e">
        <f t="shared" si="63"/>
        <v>#NAME?</v>
      </c>
    </row>
    <row r="184" spans="1:38">
      <c r="A184" s="7">
        <f t="shared" si="157"/>
        <v>22</v>
      </c>
      <c r="B184" s="7" t="e">
        <f t="shared" si="155"/>
        <v>#NAME?</v>
      </c>
      <c r="C184" s="7" t="e">
        <f t="shared" ref="C184:AG184" si="162">C$159*$A152+C$160</f>
        <v>#NAME?</v>
      </c>
      <c r="D184" s="7" t="e">
        <f t="shared" si="162"/>
        <v>#NAME?</v>
      </c>
      <c r="E184" s="7" t="e">
        <f t="shared" si="162"/>
        <v>#NAME?</v>
      </c>
      <c r="F184" s="7" t="e">
        <f t="shared" si="162"/>
        <v>#NAME?</v>
      </c>
      <c r="G184" s="7" t="e">
        <f t="shared" si="162"/>
        <v>#NAME?</v>
      </c>
      <c r="H184" s="7" t="e">
        <f t="shared" si="162"/>
        <v>#NAME?</v>
      </c>
      <c r="I184" s="7" t="e">
        <f t="shared" si="162"/>
        <v>#NAME?</v>
      </c>
      <c r="J184" s="7" t="e">
        <f t="shared" si="162"/>
        <v>#NAME?</v>
      </c>
      <c r="K184" s="7" t="e">
        <f t="shared" si="162"/>
        <v>#NAME?</v>
      </c>
      <c r="L184" s="7" t="e">
        <f t="shared" si="162"/>
        <v>#NAME?</v>
      </c>
      <c r="M184" s="7" t="e">
        <f t="shared" si="162"/>
        <v>#NAME?</v>
      </c>
      <c r="N184" s="7" t="e">
        <f t="shared" si="162"/>
        <v>#NAME?</v>
      </c>
      <c r="O184" s="7" t="e">
        <f t="shared" si="162"/>
        <v>#NAME?</v>
      </c>
      <c r="P184" s="7" t="e">
        <f t="shared" si="162"/>
        <v>#NAME?</v>
      </c>
      <c r="Q184" s="7" t="e">
        <f t="shared" si="162"/>
        <v>#NAME?</v>
      </c>
      <c r="R184" s="7" t="e">
        <f t="shared" si="162"/>
        <v>#NAME?</v>
      </c>
      <c r="S184" s="7" t="e">
        <f t="shared" si="162"/>
        <v>#NAME?</v>
      </c>
      <c r="T184" s="7"/>
      <c r="U184" s="7" t="e">
        <f t="shared" si="162"/>
        <v>#NAME?</v>
      </c>
      <c r="V184" s="7" t="e">
        <f t="shared" si="162"/>
        <v>#NAME?</v>
      </c>
      <c r="W184" s="7" t="e">
        <f t="shared" si="162"/>
        <v>#NAME?</v>
      </c>
      <c r="X184" s="7" t="e">
        <f t="shared" si="162"/>
        <v>#NAME?</v>
      </c>
      <c r="Y184" s="7" t="e">
        <f t="shared" si="162"/>
        <v>#NAME?</v>
      </c>
      <c r="Z184" s="7" t="e">
        <f t="shared" si="162"/>
        <v>#NAME?</v>
      </c>
      <c r="AA184" s="7" t="e">
        <f t="shared" si="162"/>
        <v>#NAME?</v>
      </c>
      <c r="AB184" s="7" t="e">
        <f t="shared" si="162"/>
        <v>#NAME?</v>
      </c>
      <c r="AC184" s="7" t="e">
        <f t="shared" si="162"/>
        <v>#NAME?</v>
      </c>
      <c r="AD184" s="7" t="e">
        <f t="shared" si="162"/>
        <v>#NAME?</v>
      </c>
      <c r="AE184" s="7" t="e">
        <f t="shared" si="162"/>
        <v>#NAME?</v>
      </c>
      <c r="AF184" s="7" t="e">
        <f t="shared" si="162"/>
        <v>#NAME?</v>
      </c>
      <c r="AG184" s="7" t="e">
        <f t="shared" si="162"/>
        <v>#NAME?</v>
      </c>
      <c r="AH184" s="7" t="e">
        <f t="shared" si="60"/>
        <v>#NAME?</v>
      </c>
      <c r="AI184" s="7" t="e">
        <f t="shared" si="61"/>
        <v>#NAME?</v>
      </c>
      <c r="AJ184" s="8" t="e">
        <f t="shared" si="62"/>
        <v>#NAME?</v>
      </c>
      <c r="AK184" s="7" t="e">
        <f t="shared" si="63"/>
        <v>#NAME?</v>
      </c>
    </row>
    <row r="185" spans="1:38">
      <c r="A185" s="7">
        <f t="shared" si="157"/>
        <v>23</v>
      </c>
      <c r="B185" s="7" t="e">
        <f t="shared" si="155"/>
        <v>#NAME?</v>
      </c>
      <c r="C185" s="7" t="e">
        <f t="shared" ref="C185:AG185" si="163">C$159*$A153+C$160</f>
        <v>#NAME?</v>
      </c>
      <c r="D185" s="7" t="e">
        <f t="shared" si="163"/>
        <v>#NAME?</v>
      </c>
      <c r="E185" s="7" t="e">
        <f t="shared" si="163"/>
        <v>#NAME?</v>
      </c>
      <c r="F185" s="7" t="e">
        <f t="shared" si="163"/>
        <v>#NAME?</v>
      </c>
      <c r="G185" s="7" t="e">
        <f t="shared" si="163"/>
        <v>#NAME?</v>
      </c>
      <c r="H185" s="7" t="e">
        <f t="shared" si="163"/>
        <v>#NAME?</v>
      </c>
      <c r="I185" s="7" t="e">
        <f t="shared" si="163"/>
        <v>#NAME?</v>
      </c>
      <c r="J185" s="7" t="e">
        <f t="shared" si="163"/>
        <v>#NAME?</v>
      </c>
      <c r="K185" s="7" t="e">
        <f t="shared" si="163"/>
        <v>#NAME?</v>
      </c>
      <c r="L185" s="7" t="e">
        <f t="shared" si="163"/>
        <v>#NAME?</v>
      </c>
      <c r="M185" s="7" t="e">
        <f t="shared" si="163"/>
        <v>#NAME?</v>
      </c>
      <c r="N185" s="7" t="e">
        <f t="shared" si="163"/>
        <v>#NAME?</v>
      </c>
      <c r="O185" s="7" t="e">
        <f t="shared" si="163"/>
        <v>#NAME?</v>
      </c>
      <c r="P185" s="7" t="e">
        <f t="shared" si="163"/>
        <v>#NAME?</v>
      </c>
      <c r="Q185" s="7" t="e">
        <f t="shared" si="163"/>
        <v>#NAME?</v>
      </c>
      <c r="R185" s="7" t="e">
        <f t="shared" si="163"/>
        <v>#NAME?</v>
      </c>
      <c r="S185" s="7" t="e">
        <f t="shared" si="163"/>
        <v>#NAME?</v>
      </c>
      <c r="T185" s="7"/>
      <c r="U185" s="7" t="e">
        <f t="shared" si="163"/>
        <v>#NAME?</v>
      </c>
      <c r="V185" s="7" t="e">
        <f t="shared" si="163"/>
        <v>#NAME?</v>
      </c>
      <c r="W185" s="7" t="e">
        <f t="shared" si="163"/>
        <v>#NAME?</v>
      </c>
      <c r="X185" s="7" t="e">
        <f t="shared" si="163"/>
        <v>#NAME?</v>
      </c>
      <c r="Y185" s="7" t="e">
        <f t="shared" si="163"/>
        <v>#NAME?</v>
      </c>
      <c r="Z185" s="7" t="e">
        <f t="shared" si="163"/>
        <v>#NAME?</v>
      </c>
      <c r="AA185" s="7" t="e">
        <f t="shared" si="163"/>
        <v>#NAME?</v>
      </c>
      <c r="AB185" s="7" t="e">
        <f t="shared" si="163"/>
        <v>#NAME?</v>
      </c>
      <c r="AC185" s="7" t="e">
        <f t="shared" si="163"/>
        <v>#NAME?</v>
      </c>
      <c r="AD185" s="7" t="e">
        <f t="shared" si="163"/>
        <v>#NAME?</v>
      </c>
      <c r="AE185" s="7" t="e">
        <f t="shared" si="163"/>
        <v>#NAME?</v>
      </c>
      <c r="AF185" s="7" t="e">
        <f t="shared" si="163"/>
        <v>#NAME?</v>
      </c>
      <c r="AG185" s="7" t="e">
        <f t="shared" si="163"/>
        <v>#NAME?</v>
      </c>
      <c r="AH185" s="7" t="e">
        <f t="shared" si="60"/>
        <v>#NAME?</v>
      </c>
      <c r="AI185" s="7" t="e">
        <f t="shared" si="61"/>
        <v>#NAME?</v>
      </c>
      <c r="AJ185" s="8" t="e">
        <f t="shared" si="62"/>
        <v>#NAME?</v>
      </c>
      <c r="AK185" s="7" t="e">
        <f t="shared" si="63"/>
        <v>#NAME?</v>
      </c>
    </row>
    <row r="186" spans="1:38">
      <c r="A186" s="7">
        <f>A154</f>
        <v>24</v>
      </c>
      <c r="B186" s="7" t="e">
        <f t="shared" si="155"/>
        <v>#NAME?</v>
      </c>
      <c r="C186" s="7" t="e">
        <f t="shared" ref="C186:AG186" si="164">C$159*$A154+C$160</f>
        <v>#NAME?</v>
      </c>
      <c r="D186" s="7" t="e">
        <f t="shared" si="164"/>
        <v>#NAME?</v>
      </c>
      <c r="E186" s="7" t="e">
        <f t="shared" si="164"/>
        <v>#NAME?</v>
      </c>
      <c r="F186" s="7" t="e">
        <f t="shared" si="164"/>
        <v>#NAME?</v>
      </c>
      <c r="G186" s="7" t="e">
        <f t="shared" si="164"/>
        <v>#NAME?</v>
      </c>
      <c r="H186" s="7" t="e">
        <f t="shared" si="164"/>
        <v>#NAME?</v>
      </c>
      <c r="I186" s="7" t="e">
        <f t="shared" si="164"/>
        <v>#NAME?</v>
      </c>
      <c r="J186" s="7" t="e">
        <f t="shared" si="164"/>
        <v>#NAME?</v>
      </c>
      <c r="K186" s="7" t="e">
        <f t="shared" si="164"/>
        <v>#NAME?</v>
      </c>
      <c r="L186" s="7" t="e">
        <f t="shared" si="164"/>
        <v>#NAME?</v>
      </c>
      <c r="M186" s="7" t="e">
        <f t="shared" si="164"/>
        <v>#NAME?</v>
      </c>
      <c r="N186" s="7" t="e">
        <f t="shared" si="164"/>
        <v>#NAME?</v>
      </c>
      <c r="O186" s="7" t="e">
        <f t="shared" si="164"/>
        <v>#NAME?</v>
      </c>
      <c r="P186" s="7" t="e">
        <f t="shared" si="164"/>
        <v>#NAME?</v>
      </c>
      <c r="Q186" s="7" t="e">
        <f t="shared" si="164"/>
        <v>#NAME?</v>
      </c>
      <c r="R186" s="7" t="e">
        <f t="shared" si="164"/>
        <v>#NAME?</v>
      </c>
      <c r="S186" s="7" t="e">
        <f t="shared" si="164"/>
        <v>#NAME?</v>
      </c>
      <c r="T186" s="7"/>
      <c r="U186" s="7" t="e">
        <f t="shared" si="164"/>
        <v>#NAME?</v>
      </c>
      <c r="V186" s="7" t="e">
        <f t="shared" si="164"/>
        <v>#NAME?</v>
      </c>
      <c r="W186" s="7" t="e">
        <f t="shared" si="164"/>
        <v>#NAME?</v>
      </c>
      <c r="X186" s="7" t="e">
        <f t="shared" si="164"/>
        <v>#NAME?</v>
      </c>
      <c r="Y186" s="7" t="e">
        <f t="shared" si="164"/>
        <v>#NAME?</v>
      </c>
      <c r="Z186" s="7" t="e">
        <f t="shared" si="164"/>
        <v>#NAME?</v>
      </c>
      <c r="AA186" s="7" t="e">
        <f t="shared" si="164"/>
        <v>#NAME?</v>
      </c>
      <c r="AB186" s="7" t="e">
        <f t="shared" si="164"/>
        <v>#NAME?</v>
      </c>
      <c r="AC186" s="7" t="e">
        <f t="shared" si="164"/>
        <v>#NAME?</v>
      </c>
      <c r="AD186" s="7" t="e">
        <f t="shared" si="164"/>
        <v>#NAME?</v>
      </c>
      <c r="AE186" s="7" t="e">
        <f t="shared" si="164"/>
        <v>#NAME?</v>
      </c>
      <c r="AF186" s="7" t="e">
        <f t="shared" si="164"/>
        <v>#NAME?</v>
      </c>
      <c r="AG186" s="7" t="e">
        <f t="shared" si="164"/>
        <v>#NAME?</v>
      </c>
      <c r="AH186" s="7" t="e">
        <f t="shared" si="60"/>
        <v>#NAME?</v>
      </c>
      <c r="AI186" s="7" t="e">
        <f t="shared" si="61"/>
        <v>#NAME?</v>
      </c>
      <c r="AJ186" s="8" t="e">
        <f t="shared" si="62"/>
        <v>#NAME?</v>
      </c>
      <c r="AK186" s="7" t="e">
        <f t="shared" si="63"/>
        <v>#NAME?</v>
      </c>
    </row>
    <row r="187" spans="1:38" s="7" customFormat="1">
      <c r="AJ187" s="8"/>
    </row>
    <row r="188" spans="1:38"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8"/>
      <c r="AK188" s="7"/>
    </row>
    <row r="189" spans="1:38">
      <c r="B189">
        <f>B162</f>
        <v>0</v>
      </c>
      <c r="C189" s="7">
        <f t="shared" ref="C189:AK189" si="165">C162</f>
        <v>1</v>
      </c>
      <c r="D189" s="7">
        <f t="shared" si="165"/>
        <v>2</v>
      </c>
      <c r="E189" s="7">
        <f t="shared" si="165"/>
        <v>3</v>
      </c>
      <c r="F189" s="7">
        <f t="shared" si="165"/>
        <v>4</v>
      </c>
      <c r="G189" s="7">
        <f t="shared" si="165"/>
        <v>5</v>
      </c>
      <c r="H189" s="7">
        <f t="shared" si="165"/>
        <v>6</v>
      </c>
      <c r="I189" s="7">
        <f t="shared" si="165"/>
        <v>7</v>
      </c>
      <c r="J189" s="7">
        <f t="shared" si="165"/>
        <v>8</v>
      </c>
      <c r="K189" s="7">
        <f t="shared" si="165"/>
        <v>9</v>
      </c>
      <c r="L189" s="7">
        <f t="shared" si="165"/>
        <v>10</v>
      </c>
      <c r="M189" s="7">
        <f t="shared" si="165"/>
        <v>11</v>
      </c>
      <c r="N189" s="7">
        <f t="shared" si="165"/>
        <v>12</v>
      </c>
      <c r="O189" s="7">
        <f t="shared" si="165"/>
        <v>13</v>
      </c>
      <c r="P189" s="7">
        <f t="shared" si="165"/>
        <v>14</v>
      </c>
      <c r="Q189" s="7">
        <f t="shared" si="165"/>
        <v>15</v>
      </c>
      <c r="R189" s="7">
        <f t="shared" si="165"/>
        <v>16</v>
      </c>
      <c r="S189" s="7">
        <f t="shared" si="165"/>
        <v>17</v>
      </c>
      <c r="T189" s="7">
        <f t="shared" si="165"/>
        <v>18</v>
      </c>
      <c r="U189" s="7">
        <f t="shared" si="165"/>
        <v>19</v>
      </c>
      <c r="V189" s="7">
        <f t="shared" si="165"/>
        <v>20</v>
      </c>
      <c r="W189" s="7">
        <f t="shared" si="165"/>
        <v>21</v>
      </c>
      <c r="X189" s="7">
        <f t="shared" si="165"/>
        <v>22</v>
      </c>
      <c r="Y189" s="7">
        <f t="shared" si="165"/>
        <v>23</v>
      </c>
      <c r="Z189" s="7">
        <f t="shared" si="165"/>
        <v>24</v>
      </c>
      <c r="AA189" s="7">
        <f t="shared" si="165"/>
        <v>25</v>
      </c>
      <c r="AB189" s="7">
        <f t="shared" si="165"/>
        <v>26</v>
      </c>
      <c r="AC189" s="7">
        <f t="shared" si="165"/>
        <v>27</v>
      </c>
      <c r="AD189" s="7">
        <f t="shared" si="165"/>
        <v>28</v>
      </c>
      <c r="AE189" s="7">
        <f t="shared" si="165"/>
        <v>29</v>
      </c>
      <c r="AF189" s="7">
        <f t="shared" si="165"/>
        <v>30</v>
      </c>
      <c r="AG189" s="7">
        <f t="shared" si="165"/>
        <v>31</v>
      </c>
      <c r="AH189" s="7" t="str">
        <f t="shared" si="165"/>
        <v>STDEV</v>
      </c>
      <c r="AI189" s="7" t="str">
        <f t="shared" si="165"/>
        <v>-1.5σ</v>
      </c>
      <c r="AJ189" s="7" t="str">
        <f t="shared" si="165"/>
        <v>MEAN</v>
      </c>
      <c r="AK189" s="7" t="str">
        <f t="shared" si="165"/>
        <v>+1.5σ</v>
      </c>
      <c r="AL189" s="7" t="s">
        <v>23</v>
      </c>
    </row>
    <row r="190" spans="1:38" s="7" customFormat="1">
      <c r="A190" s="7">
        <f t="shared" ref="A190:A211" si="166">A164</f>
        <v>2</v>
      </c>
      <c r="B190" s="7" t="e">
        <f t="shared" ref="B190:S190" si="167">B132-B164</f>
        <v>#NAME?</v>
      </c>
      <c r="C190" s="7" t="e">
        <f t="shared" si="167"/>
        <v>#NAME?</v>
      </c>
      <c r="D190" s="7" t="e">
        <f t="shared" si="167"/>
        <v>#NAME?</v>
      </c>
      <c r="E190" s="7" t="e">
        <f t="shared" si="167"/>
        <v>#NAME?</v>
      </c>
      <c r="F190" s="7" t="e">
        <f t="shared" si="167"/>
        <v>#NAME?</v>
      </c>
      <c r="G190" s="7" t="e">
        <f t="shared" si="167"/>
        <v>#NAME?</v>
      </c>
      <c r="H190" s="7" t="e">
        <f t="shared" si="167"/>
        <v>#NAME?</v>
      </c>
      <c r="I190" s="7" t="e">
        <f t="shared" si="167"/>
        <v>#NAME?</v>
      </c>
      <c r="J190" s="7" t="e">
        <f t="shared" si="167"/>
        <v>#NAME?</v>
      </c>
      <c r="K190" s="7" t="e">
        <f t="shared" si="167"/>
        <v>#NAME?</v>
      </c>
      <c r="L190" s="7" t="e">
        <f t="shared" si="167"/>
        <v>#NAME?</v>
      </c>
      <c r="M190" s="7" t="e">
        <f t="shared" si="167"/>
        <v>#NAME?</v>
      </c>
      <c r="N190" s="7" t="e">
        <f t="shared" si="167"/>
        <v>#NAME?</v>
      </c>
      <c r="O190" s="7" t="e">
        <f t="shared" si="167"/>
        <v>#NAME?</v>
      </c>
      <c r="P190" s="7" t="e">
        <f t="shared" si="167"/>
        <v>#NAME?</v>
      </c>
      <c r="Q190" s="7" t="e">
        <f t="shared" si="167"/>
        <v>#NAME?</v>
      </c>
      <c r="R190" s="7" t="e">
        <f t="shared" si="167"/>
        <v>#NAME?</v>
      </c>
      <c r="S190" s="7" t="e">
        <f t="shared" si="167"/>
        <v>#NAME?</v>
      </c>
      <c r="U190" s="7" t="e">
        <f t="shared" ref="U190:AG190" si="168">U132-U164</f>
        <v>#NAME?</v>
      </c>
      <c r="V190" s="7" t="e">
        <f t="shared" si="168"/>
        <v>#NAME?</v>
      </c>
      <c r="W190" s="7" t="e">
        <f t="shared" si="168"/>
        <v>#NAME?</v>
      </c>
      <c r="X190" s="7" t="e">
        <f t="shared" si="168"/>
        <v>#NAME?</v>
      </c>
      <c r="Y190" s="7" t="e">
        <f t="shared" si="168"/>
        <v>#NAME?</v>
      </c>
      <c r="Z190" s="7" t="e">
        <f t="shared" si="168"/>
        <v>#NAME?</v>
      </c>
      <c r="AA190" s="7" t="e">
        <f t="shared" si="168"/>
        <v>#NAME?</v>
      </c>
      <c r="AB190" s="7" t="e">
        <f t="shared" si="168"/>
        <v>#NAME?</v>
      </c>
      <c r="AC190" s="7" t="e">
        <f t="shared" si="168"/>
        <v>#NAME?</v>
      </c>
      <c r="AD190" s="7" t="e">
        <f t="shared" si="168"/>
        <v>#NAME?</v>
      </c>
      <c r="AE190" s="7" t="e">
        <f t="shared" si="168"/>
        <v>#NAME?</v>
      </c>
      <c r="AF190" s="7" t="e">
        <f t="shared" si="168"/>
        <v>#NAME?</v>
      </c>
      <c r="AG190" s="7" t="e">
        <f t="shared" si="168"/>
        <v>#NAME?</v>
      </c>
      <c r="AH190" s="7" t="e">
        <f t="shared" ref="AH190" si="169">STDEV(B190:AG190)</f>
        <v>#NAME?</v>
      </c>
      <c r="AI190" s="7" t="e">
        <f t="shared" ref="AI190" si="170">AJ190-1.5*AH190</f>
        <v>#NAME?</v>
      </c>
      <c r="AJ190" s="8" t="e">
        <f t="shared" ref="AJ190" si="171">AVERAGE(B190:AG190)</f>
        <v>#NAME?</v>
      </c>
      <c r="AK190" s="7" t="e">
        <f t="shared" ref="AK190" si="172">AJ190+1.5*AH190</f>
        <v>#NAME?</v>
      </c>
      <c r="AL190" s="7" t="e">
        <f t="shared" ref="AL190" si="173">ABS(AJ190)</f>
        <v>#NAME?</v>
      </c>
    </row>
    <row r="191" spans="1:38" s="7" customFormat="1">
      <c r="A191" s="7">
        <f t="shared" si="166"/>
        <v>3</v>
      </c>
      <c r="B191" s="7" t="e">
        <f t="shared" ref="B191:S191" si="174">B133-B165</f>
        <v>#NAME?</v>
      </c>
      <c r="C191" s="7" t="e">
        <f t="shared" si="174"/>
        <v>#NAME?</v>
      </c>
      <c r="D191" s="7" t="e">
        <f t="shared" si="174"/>
        <v>#NAME?</v>
      </c>
      <c r="E191" s="7" t="e">
        <f t="shared" si="174"/>
        <v>#NAME?</v>
      </c>
      <c r="F191" s="7" t="e">
        <f t="shared" si="174"/>
        <v>#NAME?</v>
      </c>
      <c r="G191" s="7" t="e">
        <f t="shared" si="174"/>
        <v>#NAME?</v>
      </c>
      <c r="H191" s="7" t="e">
        <f t="shared" si="174"/>
        <v>#NAME?</v>
      </c>
      <c r="I191" s="7" t="e">
        <f t="shared" si="174"/>
        <v>#NAME?</v>
      </c>
      <c r="J191" s="7" t="e">
        <f t="shared" si="174"/>
        <v>#NAME?</v>
      </c>
      <c r="K191" s="7" t="e">
        <f t="shared" si="174"/>
        <v>#NAME?</v>
      </c>
      <c r="L191" s="7" t="e">
        <f t="shared" si="174"/>
        <v>#NAME?</v>
      </c>
      <c r="M191" s="7" t="e">
        <f t="shared" si="174"/>
        <v>#NAME?</v>
      </c>
      <c r="N191" s="7" t="e">
        <f t="shared" si="174"/>
        <v>#NAME?</v>
      </c>
      <c r="O191" s="7" t="e">
        <f t="shared" si="174"/>
        <v>#NAME?</v>
      </c>
      <c r="P191" s="7" t="e">
        <f t="shared" si="174"/>
        <v>#NAME?</v>
      </c>
      <c r="Q191" s="7" t="e">
        <f t="shared" si="174"/>
        <v>#NAME?</v>
      </c>
      <c r="R191" s="7" t="e">
        <f t="shared" si="174"/>
        <v>#NAME?</v>
      </c>
      <c r="S191" s="7" t="e">
        <f t="shared" si="174"/>
        <v>#NAME?</v>
      </c>
      <c r="U191" s="7" t="e">
        <f t="shared" ref="U191:AG191" si="175">U133-U165</f>
        <v>#NAME?</v>
      </c>
      <c r="V191" s="7" t="e">
        <f t="shared" si="175"/>
        <v>#NAME?</v>
      </c>
      <c r="W191" s="7" t="e">
        <f t="shared" si="175"/>
        <v>#NAME?</v>
      </c>
      <c r="X191" s="7" t="e">
        <f t="shared" si="175"/>
        <v>#NAME?</v>
      </c>
      <c r="Y191" s="7" t="e">
        <f t="shared" si="175"/>
        <v>#NAME?</v>
      </c>
      <c r="Z191" s="7" t="e">
        <f t="shared" si="175"/>
        <v>#NAME?</v>
      </c>
      <c r="AA191" s="7" t="e">
        <f t="shared" si="175"/>
        <v>#NAME?</v>
      </c>
      <c r="AB191" s="7" t="e">
        <f t="shared" si="175"/>
        <v>#NAME?</v>
      </c>
      <c r="AC191" s="7" t="e">
        <f t="shared" si="175"/>
        <v>#NAME?</v>
      </c>
      <c r="AD191" s="7" t="e">
        <f t="shared" si="175"/>
        <v>#NAME?</v>
      </c>
      <c r="AE191" s="7" t="e">
        <f t="shared" si="175"/>
        <v>#NAME?</v>
      </c>
      <c r="AF191" s="7" t="e">
        <f t="shared" si="175"/>
        <v>#NAME?</v>
      </c>
      <c r="AG191" s="7" t="e">
        <f t="shared" si="175"/>
        <v>#NAME?</v>
      </c>
      <c r="AH191" s="7" t="e">
        <f t="shared" ref="AH191" si="176">STDEV(B191:AG191)</f>
        <v>#NAME?</v>
      </c>
      <c r="AI191" s="7" t="e">
        <f t="shared" ref="AI191" si="177">AJ191-1.5*AH191</f>
        <v>#NAME?</v>
      </c>
      <c r="AJ191" s="8" t="e">
        <f t="shared" ref="AJ191" si="178">AVERAGE(B191:AG191)</f>
        <v>#NAME?</v>
      </c>
      <c r="AK191" s="7" t="e">
        <f t="shared" ref="AK191" si="179">AJ191+1.5*AH191</f>
        <v>#NAME?</v>
      </c>
      <c r="AL191" s="7" t="e">
        <f t="shared" ref="AL191" si="180">ABS(AJ191)</f>
        <v>#NAME?</v>
      </c>
    </row>
    <row r="192" spans="1:38" s="7" customFormat="1">
      <c r="A192" s="7">
        <f t="shared" si="166"/>
        <v>4</v>
      </c>
      <c r="B192" s="7" t="e">
        <f t="shared" ref="B192:S192" si="181">B134-B166</f>
        <v>#NAME?</v>
      </c>
      <c r="C192" s="7" t="e">
        <f t="shared" si="181"/>
        <v>#NAME?</v>
      </c>
      <c r="D192" s="7" t="e">
        <f t="shared" si="181"/>
        <v>#NAME?</v>
      </c>
      <c r="E192" s="7" t="e">
        <f t="shared" si="181"/>
        <v>#NAME?</v>
      </c>
      <c r="F192" s="7" t="e">
        <f t="shared" si="181"/>
        <v>#NAME?</v>
      </c>
      <c r="G192" s="7" t="e">
        <f t="shared" si="181"/>
        <v>#NAME?</v>
      </c>
      <c r="H192" s="7" t="e">
        <f t="shared" si="181"/>
        <v>#NAME?</v>
      </c>
      <c r="I192" s="7" t="e">
        <f t="shared" si="181"/>
        <v>#NAME?</v>
      </c>
      <c r="J192" s="7" t="e">
        <f t="shared" si="181"/>
        <v>#NAME?</v>
      </c>
      <c r="K192" s="7" t="e">
        <f t="shared" si="181"/>
        <v>#NAME?</v>
      </c>
      <c r="L192" s="7" t="e">
        <f t="shared" si="181"/>
        <v>#NAME?</v>
      </c>
      <c r="M192" s="7" t="e">
        <f t="shared" si="181"/>
        <v>#NAME?</v>
      </c>
      <c r="N192" s="7" t="e">
        <f t="shared" si="181"/>
        <v>#NAME?</v>
      </c>
      <c r="O192" s="7" t="e">
        <f t="shared" si="181"/>
        <v>#NAME?</v>
      </c>
      <c r="P192" s="7" t="e">
        <f t="shared" si="181"/>
        <v>#NAME?</v>
      </c>
      <c r="Q192" s="7" t="e">
        <f t="shared" si="181"/>
        <v>#NAME?</v>
      </c>
      <c r="R192" s="7" t="e">
        <f t="shared" si="181"/>
        <v>#NAME?</v>
      </c>
      <c r="S192" s="7" t="e">
        <f t="shared" si="181"/>
        <v>#NAME?</v>
      </c>
      <c r="U192" s="7" t="e">
        <f t="shared" ref="U192:AG192" si="182">U134-U166</f>
        <v>#NAME?</v>
      </c>
      <c r="V192" s="7" t="e">
        <f t="shared" si="182"/>
        <v>#NAME?</v>
      </c>
      <c r="W192" s="7" t="e">
        <f t="shared" si="182"/>
        <v>#NAME?</v>
      </c>
      <c r="X192" s="7" t="e">
        <f t="shared" si="182"/>
        <v>#NAME?</v>
      </c>
      <c r="Y192" s="7" t="e">
        <f t="shared" si="182"/>
        <v>#NAME?</v>
      </c>
      <c r="Z192" s="7" t="e">
        <f t="shared" si="182"/>
        <v>#NAME?</v>
      </c>
      <c r="AA192" s="7" t="e">
        <f t="shared" si="182"/>
        <v>#NAME?</v>
      </c>
      <c r="AB192" s="7" t="e">
        <f t="shared" si="182"/>
        <v>#NAME?</v>
      </c>
      <c r="AC192" s="7" t="e">
        <f t="shared" si="182"/>
        <v>#NAME?</v>
      </c>
      <c r="AD192" s="7" t="e">
        <f t="shared" si="182"/>
        <v>#NAME?</v>
      </c>
      <c r="AE192" s="7" t="e">
        <f t="shared" si="182"/>
        <v>#NAME?</v>
      </c>
      <c r="AF192" s="7" t="e">
        <f t="shared" si="182"/>
        <v>#NAME?</v>
      </c>
      <c r="AG192" s="7" t="e">
        <f t="shared" si="182"/>
        <v>#NAME?</v>
      </c>
      <c r="AH192" s="7" t="e">
        <f t="shared" ref="AH192" si="183">STDEV(B192:AG192)</f>
        <v>#NAME?</v>
      </c>
      <c r="AI192" s="7" t="e">
        <f t="shared" ref="AI192" si="184">AJ192-1.5*AH192</f>
        <v>#NAME?</v>
      </c>
      <c r="AJ192" s="8" t="e">
        <f t="shared" ref="AJ192" si="185">AVERAGE(B192:AG192)</f>
        <v>#NAME?</v>
      </c>
      <c r="AK192" s="7" t="e">
        <f t="shared" ref="AK192" si="186">AJ192+1.5*AH192</f>
        <v>#NAME?</v>
      </c>
      <c r="AL192" s="7" t="e">
        <f t="shared" ref="AL192" si="187">ABS(AJ192)</f>
        <v>#NAME?</v>
      </c>
    </row>
    <row r="193" spans="1:38" s="7" customFormat="1">
      <c r="A193" s="7">
        <f t="shared" si="166"/>
        <v>5</v>
      </c>
      <c r="B193" s="7" t="e">
        <f t="shared" ref="B193:S193" si="188">B135-B167</f>
        <v>#NAME?</v>
      </c>
      <c r="C193" s="7" t="e">
        <f t="shared" si="188"/>
        <v>#NAME?</v>
      </c>
      <c r="D193" s="7" t="e">
        <f t="shared" si="188"/>
        <v>#NAME?</v>
      </c>
      <c r="E193" s="7" t="e">
        <f t="shared" si="188"/>
        <v>#NAME?</v>
      </c>
      <c r="F193" s="7" t="e">
        <f t="shared" si="188"/>
        <v>#NAME?</v>
      </c>
      <c r="G193" s="7" t="e">
        <f t="shared" si="188"/>
        <v>#NAME?</v>
      </c>
      <c r="H193" s="7" t="e">
        <f t="shared" si="188"/>
        <v>#NAME?</v>
      </c>
      <c r="I193" s="7" t="e">
        <f t="shared" si="188"/>
        <v>#NAME?</v>
      </c>
      <c r="J193" s="7" t="e">
        <f t="shared" si="188"/>
        <v>#NAME?</v>
      </c>
      <c r="K193" s="7" t="e">
        <f t="shared" si="188"/>
        <v>#NAME?</v>
      </c>
      <c r="L193" s="7" t="e">
        <f t="shared" si="188"/>
        <v>#NAME?</v>
      </c>
      <c r="M193" s="7" t="e">
        <f t="shared" si="188"/>
        <v>#NAME?</v>
      </c>
      <c r="N193" s="7" t="e">
        <f t="shared" si="188"/>
        <v>#NAME?</v>
      </c>
      <c r="O193" s="7" t="e">
        <f t="shared" si="188"/>
        <v>#NAME?</v>
      </c>
      <c r="P193" s="7" t="e">
        <f t="shared" si="188"/>
        <v>#NAME?</v>
      </c>
      <c r="Q193" s="7" t="e">
        <f t="shared" si="188"/>
        <v>#NAME?</v>
      </c>
      <c r="R193" s="7" t="e">
        <f t="shared" si="188"/>
        <v>#NAME?</v>
      </c>
      <c r="S193" s="7" t="e">
        <f t="shared" si="188"/>
        <v>#NAME?</v>
      </c>
      <c r="U193" s="7" t="e">
        <f t="shared" ref="U193:AG193" si="189">U135-U167</f>
        <v>#NAME?</v>
      </c>
      <c r="V193" s="7" t="e">
        <f t="shared" si="189"/>
        <v>#NAME?</v>
      </c>
      <c r="W193" s="7" t="e">
        <f t="shared" si="189"/>
        <v>#NAME?</v>
      </c>
      <c r="X193" s="7" t="e">
        <f t="shared" si="189"/>
        <v>#NAME?</v>
      </c>
      <c r="Y193" s="7" t="e">
        <f t="shared" si="189"/>
        <v>#NAME?</v>
      </c>
      <c r="Z193" s="7" t="e">
        <f t="shared" si="189"/>
        <v>#NAME?</v>
      </c>
      <c r="AA193" s="7" t="e">
        <f t="shared" si="189"/>
        <v>#NAME?</v>
      </c>
      <c r="AB193" s="7" t="e">
        <f t="shared" si="189"/>
        <v>#NAME?</v>
      </c>
      <c r="AC193" s="7" t="e">
        <f t="shared" si="189"/>
        <v>#NAME?</v>
      </c>
      <c r="AD193" s="7" t="e">
        <f t="shared" si="189"/>
        <v>#NAME?</v>
      </c>
      <c r="AE193" s="7" t="e">
        <f t="shared" si="189"/>
        <v>#NAME?</v>
      </c>
      <c r="AF193" s="7" t="e">
        <f t="shared" si="189"/>
        <v>#NAME?</v>
      </c>
      <c r="AG193" s="7" t="e">
        <f t="shared" si="189"/>
        <v>#NAME?</v>
      </c>
      <c r="AH193" s="7" t="e">
        <f t="shared" ref="AH193" si="190">STDEV(B193:AG193)</f>
        <v>#NAME?</v>
      </c>
      <c r="AI193" s="7" t="e">
        <f t="shared" ref="AI193" si="191">AJ193-1.5*AH193</f>
        <v>#NAME?</v>
      </c>
      <c r="AJ193" s="8" t="e">
        <f t="shared" ref="AJ193" si="192">AVERAGE(B193:AG193)</f>
        <v>#NAME?</v>
      </c>
      <c r="AK193" s="7" t="e">
        <f t="shared" ref="AK193" si="193">AJ193+1.5*AH193</f>
        <v>#NAME?</v>
      </c>
      <c r="AL193" s="7" t="e">
        <f t="shared" ref="AL193" si="194">ABS(AJ193)</f>
        <v>#NAME?</v>
      </c>
    </row>
    <row r="194" spans="1:38" s="7" customFormat="1">
      <c r="A194" s="7">
        <f t="shared" si="166"/>
        <v>6</v>
      </c>
      <c r="B194" s="7" t="e">
        <f t="shared" ref="B194:S194" si="195">B136-B168</f>
        <v>#NAME?</v>
      </c>
      <c r="C194" s="7" t="e">
        <f t="shared" si="195"/>
        <v>#NAME?</v>
      </c>
      <c r="D194" s="7" t="e">
        <f t="shared" si="195"/>
        <v>#NAME?</v>
      </c>
      <c r="E194" s="7" t="e">
        <f t="shared" si="195"/>
        <v>#NAME?</v>
      </c>
      <c r="F194" s="7" t="e">
        <f t="shared" si="195"/>
        <v>#NAME?</v>
      </c>
      <c r="G194" s="7" t="e">
        <f t="shared" si="195"/>
        <v>#NAME?</v>
      </c>
      <c r="H194" s="7" t="e">
        <f t="shared" si="195"/>
        <v>#NAME?</v>
      </c>
      <c r="I194" s="7" t="e">
        <f t="shared" si="195"/>
        <v>#NAME?</v>
      </c>
      <c r="J194" s="7" t="e">
        <f t="shared" si="195"/>
        <v>#NAME?</v>
      </c>
      <c r="K194" s="7" t="e">
        <f t="shared" si="195"/>
        <v>#NAME?</v>
      </c>
      <c r="L194" s="7" t="e">
        <f t="shared" si="195"/>
        <v>#NAME?</v>
      </c>
      <c r="M194" s="7" t="e">
        <f t="shared" si="195"/>
        <v>#NAME?</v>
      </c>
      <c r="N194" s="7" t="e">
        <f t="shared" si="195"/>
        <v>#NAME?</v>
      </c>
      <c r="O194" s="7" t="e">
        <f t="shared" si="195"/>
        <v>#NAME?</v>
      </c>
      <c r="P194" s="7" t="e">
        <f t="shared" si="195"/>
        <v>#NAME?</v>
      </c>
      <c r="Q194" s="7" t="e">
        <f t="shared" si="195"/>
        <v>#NAME?</v>
      </c>
      <c r="R194" s="7" t="e">
        <f t="shared" si="195"/>
        <v>#NAME?</v>
      </c>
      <c r="S194" s="7" t="e">
        <f t="shared" si="195"/>
        <v>#NAME?</v>
      </c>
      <c r="U194" s="7" t="e">
        <f t="shared" ref="U194:AG194" si="196">U136-U168</f>
        <v>#NAME?</v>
      </c>
      <c r="V194" s="7" t="e">
        <f t="shared" si="196"/>
        <v>#NAME?</v>
      </c>
      <c r="W194" s="7" t="e">
        <f t="shared" si="196"/>
        <v>#NAME?</v>
      </c>
      <c r="X194" s="7" t="e">
        <f t="shared" si="196"/>
        <v>#NAME?</v>
      </c>
      <c r="Y194" s="7" t="e">
        <f t="shared" si="196"/>
        <v>#NAME?</v>
      </c>
      <c r="Z194" s="7" t="e">
        <f t="shared" si="196"/>
        <v>#NAME?</v>
      </c>
      <c r="AA194" s="7" t="e">
        <f t="shared" si="196"/>
        <v>#NAME?</v>
      </c>
      <c r="AB194" s="7" t="e">
        <f t="shared" si="196"/>
        <v>#NAME?</v>
      </c>
      <c r="AC194" s="7" t="e">
        <f t="shared" si="196"/>
        <v>#NAME?</v>
      </c>
      <c r="AD194" s="7" t="e">
        <f t="shared" si="196"/>
        <v>#NAME?</v>
      </c>
      <c r="AE194" s="7" t="e">
        <f t="shared" si="196"/>
        <v>#NAME?</v>
      </c>
      <c r="AF194" s="7" t="e">
        <f t="shared" si="196"/>
        <v>#NAME?</v>
      </c>
      <c r="AG194" s="7" t="e">
        <f t="shared" si="196"/>
        <v>#NAME?</v>
      </c>
      <c r="AH194" s="7" t="e">
        <f t="shared" ref="AH194" si="197">STDEV(B194:AG194)</f>
        <v>#NAME?</v>
      </c>
      <c r="AI194" s="7" t="e">
        <f t="shared" ref="AI194" si="198">AJ194-1.5*AH194</f>
        <v>#NAME?</v>
      </c>
      <c r="AJ194" s="8" t="e">
        <f t="shared" ref="AJ194" si="199">AVERAGE(B194:AG194)</f>
        <v>#NAME?</v>
      </c>
      <c r="AK194" s="7" t="e">
        <f t="shared" ref="AK194" si="200">AJ194+1.5*AH194</f>
        <v>#NAME?</v>
      </c>
      <c r="AL194" s="7" t="e">
        <f t="shared" ref="AL194" si="201">ABS(AJ194)</f>
        <v>#NAME?</v>
      </c>
    </row>
    <row r="195" spans="1:38" s="7" customFormat="1">
      <c r="A195" s="7">
        <f t="shared" si="166"/>
        <v>7</v>
      </c>
      <c r="B195" s="7" t="e">
        <f t="shared" ref="B195:S195" si="202">B137-B169</f>
        <v>#NAME?</v>
      </c>
      <c r="C195" s="7" t="e">
        <f t="shared" si="202"/>
        <v>#NAME?</v>
      </c>
      <c r="D195" s="7" t="e">
        <f t="shared" si="202"/>
        <v>#NAME?</v>
      </c>
      <c r="E195" s="7" t="e">
        <f t="shared" si="202"/>
        <v>#NAME?</v>
      </c>
      <c r="F195" s="7" t="e">
        <f t="shared" si="202"/>
        <v>#NAME?</v>
      </c>
      <c r="G195" s="7" t="e">
        <f t="shared" si="202"/>
        <v>#NAME?</v>
      </c>
      <c r="H195" s="7" t="e">
        <f t="shared" si="202"/>
        <v>#NAME?</v>
      </c>
      <c r="I195" s="7" t="e">
        <f t="shared" si="202"/>
        <v>#NAME?</v>
      </c>
      <c r="J195" s="7" t="e">
        <f t="shared" si="202"/>
        <v>#NAME?</v>
      </c>
      <c r="K195" s="7" t="e">
        <f t="shared" si="202"/>
        <v>#NAME?</v>
      </c>
      <c r="L195" s="7" t="e">
        <f t="shared" si="202"/>
        <v>#NAME?</v>
      </c>
      <c r="M195" s="7" t="e">
        <f t="shared" si="202"/>
        <v>#NAME?</v>
      </c>
      <c r="N195" s="7" t="e">
        <f t="shared" si="202"/>
        <v>#NAME?</v>
      </c>
      <c r="O195" s="7" t="e">
        <f t="shared" si="202"/>
        <v>#NAME?</v>
      </c>
      <c r="P195" s="7" t="e">
        <f t="shared" si="202"/>
        <v>#NAME?</v>
      </c>
      <c r="Q195" s="7" t="e">
        <f t="shared" si="202"/>
        <v>#NAME?</v>
      </c>
      <c r="R195" s="7" t="e">
        <f t="shared" si="202"/>
        <v>#NAME?</v>
      </c>
      <c r="S195" s="7" t="e">
        <f t="shared" si="202"/>
        <v>#NAME?</v>
      </c>
      <c r="U195" s="7" t="e">
        <f t="shared" ref="U195:AG195" si="203">U137-U169</f>
        <v>#NAME?</v>
      </c>
      <c r="V195" s="7" t="e">
        <f t="shared" si="203"/>
        <v>#NAME?</v>
      </c>
      <c r="W195" s="7" t="e">
        <f t="shared" si="203"/>
        <v>#NAME?</v>
      </c>
      <c r="X195" s="7" t="e">
        <f t="shared" si="203"/>
        <v>#NAME?</v>
      </c>
      <c r="Y195" s="7" t="e">
        <f t="shared" si="203"/>
        <v>#NAME?</v>
      </c>
      <c r="Z195" s="7" t="e">
        <f t="shared" si="203"/>
        <v>#NAME?</v>
      </c>
      <c r="AA195" s="7" t="e">
        <f t="shared" si="203"/>
        <v>#NAME?</v>
      </c>
      <c r="AB195" s="7" t="e">
        <f t="shared" si="203"/>
        <v>#NAME?</v>
      </c>
      <c r="AC195" s="7" t="e">
        <f t="shared" si="203"/>
        <v>#NAME?</v>
      </c>
      <c r="AD195" s="7" t="e">
        <f t="shared" si="203"/>
        <v>#NAME?</v>
      </c>
      <c r="AE195" s="7" t="e">
        <f t="shared" si="203"/>
        <v>#NAME?</v>
      </c>
      <c r="AF195" s="7" t="e">
        <f t="shared" si="203"/>
        <v>#NAME?</v>
      </c>
      <c r="AG195" s="7" t="e">
        <f t="shared" si="203"/>
        <v>#NAME?</v>
      </c>
      <c r="AH195" s="7" t="e">
        <f t="shared" ref="AH195" si="204">STDEV(B195:AG195)</f>
        <v>#NAME?</v>
      </c>
      <c r="AI195" s="7" t="e">
        <f t="shared" ref="AI195" si="205">AJ195-1.5*AH195</f>
        <v>#NAME?</v>
      </c>
      <c r="AJ195" s="8" t="e">
        <f t="shared" ref="AJ195" si="206">AVERAGE(B195:AG195)</f>
        <v>#NAME?</v>
      </c>
      <c r="AK195" s="7" t="e">
        <f t="shared" ref="AK195" si="207">AJ195+1.5*AH195</f>
        <v>#NAME?</v>
      </c>
      <c r="AL195" s="7" t="e">
        <f t="shared" ref="AL195" si="208">ABS(AJ195)</f>
        <v>#NAME?</v>
      </c>
    </row>
    <row r="196" spans="1:38" s="7" customFormat="1">
      <c r="A196" s="7">
        <f t="shared" si="166"/>
        <v>8</v>
      </c>
      <c r="B196" s="7" t="e">
        <f t="shared" ref="B196:S196" si="209">B138-B170</f>
        <v>#NAME?</v>
      </c>
      <c r="C196" s="7" t="e">
        <f t="shared" si="209"/>
        <v>#NAME?</v>
      </c>
      <c r="D196" s="7" t="e">
        <f t="shared" si="209"/>
        <v>#NAME?</v>
      </c>
      <c r="E196" s="7" t="e">
        <f t="shared" si="209"/>
        <v>#NAME?</v>
      </c>
      <c r="F196" s="7" t="e">
        <f t="shared" si="209"/>
        <v>#NAME?</v>
      </c>
      <c r="G196" s="7" t="e">
        <f t="shared" si="209"/>
        <v>#NAME?</v>
      </c>
      <c r="H196" s="7" t="e">
        <f t="shared" si="209"/>
        <v>#NAME?</v>
      </c>
      <c r="I196" s="7" t="e">
        <f t="shared" si="209"/>
        <v>#NAME?</v>
      </c>
      <c r="J196" s="7" t="e">
        <f t="shared" si="209"/>
        <v>#NAME?</v>
      </c>
      <c r="K196" s="7" t="e">
        <f t="shared" si="209"/>
        <v>#NAME?</v>
      </c>
      <c r="L196" s="7" t="e">
        <f t="shared" si="209"/>
        <v>#NAME?</v>
      </c>
      <c r="M196" s="7" t="e">
        <f t="shared" si="209"/>
        <v>#NAME?</v>
      </c>
      <c r="N196" s="7" t="e">
        <f t="shared" si="209"/>
        <v>#NAME?</v>
      </c>
      <c r="O196" s="7" t="e">
        <f t="shared" si="209"/>
        <v>#NAME?</v>
      </c>
      <c r="P196" s="7" t="e">
        <f t="shared" si="209"/>
        <v>#NAME?</v>
      </c>
      <c r="Q196" s="7" t="e">
        <f t="shared" si="209"/>
        <v>#NAME?</v>
      </c>
      <c r="R196" s="7" t="e">
        <f t="shared" si="209"/>
        <v>#NAME?</v>
      </c>
      <c r="S196" s="7" t="e">
        <f t="shared" si="209"/>
        <v>#NAME?</v>
      </c>
      <c r="U196" s="7" t="e">
        <f t="shared" ref="U196:AG196" si="210">U138-U170</f>
        <v>#NAME?</v>
      </c>
      <c r="V196" s="7" t="e">
        <f t="shared" si="210"/>
        <v>#NAME?</v>
      </c>
      <c r="W196" s="7" t="e">
        <f t="shared" si="210"/>
        <v>#NAME?</v>
      </c>
      <c r="X196" s="7" t="e">
        <f t="shared" si="210"/>
        <v>#NAME?</v>
      </c>
      <c r="Y196" s="7" t="e">
        <f t="shared" si="210"/>
        <v>#NAME?</v>
      </c>
      <c r="Z196" s="7" t="e">
        <f t="shared" si="210"/>
        <v>#NAME?</v>
      </c>
      <c r="AA196" s="7" t="e">
        <f t="shared" si="210"/>
        <v>#NAME?</v>
      </c>
      <c r="AB196" s="7" t="e">
        <f t="shared" si="210"/>
        <v>#NAME?</v>
      </c>
      <c r="AC196" s="7" t="e">
        <f t="shared" si="210"/>
        <v>#NAME?</v>
      </c>
      <c r="AD196" s="7" t="e">
        <f t="shared" si="210"/>
        <v>#NAME?</v>
      </c>
      <c r="AE196" s="7" t="e">
        <f t="shared" si="210"/>
        <v>#NAME?</v>
      </c>
      <c r="AF196" s="7" t="e">
        <f t="shared" si="210"/>
        <v>#NAME?</v>
      </c>
      <c r="AG196" s="7" t="e">
        <f t="shared" si="210"/>
        <v>#NAME?</v>
      </c>
      <c r="AH196" s="7" t="e">
        <f t="shared" ref="AH196" si="211">STDEV(B196:AG196)</f>
        <v>#NAME?</v>
      </c>
      <c r="AI196" s="7" t="e">
        <f t="shared" ref="AI196" si="212">AJ196-1.5*AH196</f>
        <v>#NAME?</v>
      </c>
      <c r="AJ196" s="8" t="e">
        <f t="shared" ref="AJ196" si="213">AVERAGE(B196:AG196)</f>
        <v>#NAME?</v>
      </c>
      <c r="AK196" s="7" t="e">
        <f t="shared" ref="AK196" si="214">AJ196+1.5*AH196</f>
        <v>#NAME?</v>
      </c>
      <c r="AL196" s="7" t="e">
        <f t="shared" ref="AL196" si="215">ABS(AJ196)</f>
        <v>#NAME?</v>
      </c>
    </row>
    <row r="197" spans="1:38" s="7" customFormat="1">
      <c r="A197" s="7">
        <f t="shared" si="166"/>
        <v>9</v>
      </c>
      <c r="B197" s="7" t="e">
        <f t="shared" ref="B197:S197" si="216">B139-B171</f>
        <v>#NAME?</v>
      </c>
      <c r="C197" s="7" t="e">
        <f t="shared" si="216"/>
        <v>#NAME?</v>
      </c>
      <c r="D197" s="7" t="e">
        <f t="shared" si="216"/>
        <v>#NAME?</v>
      </c>
      <c r="E197" s="7" t="e">
        <f t="shared" si="216"/>
        <v>#NAME?</v>
      </c>
      <c r="F197" s="7" t="e">
        <f t="shared" si="216"/>
        <v>#NAME?</v>
      </c>
      <c r="G197" s="7" t="e">
        <f t="shared" si="216"/>
        <v>#NAME?</v>
      </c>
      <c r="H197" s="7" t="e">
        <f t="shared" si="216"/>
        <v>#NAME?</v>
      </c>
      <c r="I197" s="7" t="e">
        <f t="shared" si="216"/>
        <v>#NAME?</v>
      </c>
      <c r="J197" s="7" t="e">
        <f t="shared" si="216"/>
        <v>#NAME?</v>
      </c>
      <c r="K197" s="7" t="e">
        <f t="shared" si="216"/>
        <v>#NAME?</v>
      </c>
      <c r="L197" s="7" t="e">
        <f t="shared" si="216"/>
        <v>#NAME?</v>
      </c>
      <c r="M197" s="7" t="e">
        <f t="shared" si="216"/>
        <v>#NAME?</v>
      </c>
      <c r="N197" s="7" t="e">
        <f t="shared" si="216"/>
        <v>#NAME?</v>
      </c>
      <c r="O197" s="7" t="e">
        <f t="shared" si="216"/>
        <v>#NAME?</v>
      </c>
      <c r="P197" s="7" t="e">
        <f t="shared" si="216"/>
        <v>#NAME?</v>
      </c>
      <c r="Q197" s="7" t="e">
        <f t="shared" si="216"/>
        <v>#NAME?</v>
      </c>
      <c r="R197" s="7" t="e">
        <f t="shared" si="216"/>
        <v>#NAME?</v>
      </c>
      <c r="S197" s="7" t="e">
        <f t="shared" si="216"/>
        <v>#NAME?</v>
      </c>
      <c r="U197" s="7" t="e">
        <f t="shared" ref="U197:AG197" si="217">U139-U171</f>
        <v>#NAME?</v>
      </c>
      <c r="V197" s="7" t="e">
        <f t="shared" si="217"/>
        <v>#NAME?</v>
      </c>
      <c r="W197" s="7" t="e">
        <f t="shared" si="217"/>
        <v>#NAME?</v>
      </c>
      <c r="X197" s="7" t="e">
        <f t="shared" si="217"/>
        <v>#NAME?</v>
      </c>
      <c r="Y197" s="7" t="e">
        <f t="shared" si="217"/>
        <v>#NAME?</v>
      </c>
      <c r="Z197" s="7" t="e">
        <f t="shared" si="217"/>
        <v>#NAME?</v>
      </c>
      <c r="AA197" s="7" t="e">
        <f t="shared" si="217"/>
        <v>#NAME?</v>
      </c>
      <c r="AB197" s="7" t="e">
        <f t="shared" si="217"/>
        <v>#NAME?</v>
      </c>
      <c r="AC197" s="7" t="e">
        <f t="shared" si="217"/>
        <v>#NAME?</v>
      </c>
      <c r="AD197" s="7" t="e">
        <f t="shared" si="217"/>
        <v>#NAME?</v>
      </c>
      <c r="AE197" s="7" t="e">
        <f t="shared" si="217"/>
        <v>#NAME?</v>
      </c>
      <c r="AF197" s="7" t="e">
        <f t="shared" si="217"/>
        <v>#NAME?</v>
      </c>
      <c r="AG197" s="7" t="e">
        <f t="shared" si="217"/>
        <v>#NAME?</v>
      </c>
      <c r="AH197" s="7" t="e">
        <f t="shared" ref="AH197" si="218">STDEV(B197:AG197)</f>
        <v>#NAME?</v>
      </c>
      <c r="AI197" s="7" t="e">
        <f t="shared" ref="AI197" si="219">AJ197-1.5*AH197</f>
        <v>#NAME?</v>
      </c>
      <c r="AJ197" s="8" t="e">
        <f t="shared" ref="AJ197" si="220">AVERAGE(B197:AG197)</f>
        <v>#NAME?</v>
      </c>
      <c r="AK197" s="7" t="e">
        <f t="shared" ref="AK197" si="221">AJ197+1.5*AH197</f>
        <v>#NAME?</v>
      </c>
      <c r="AL197" s="7" t="e">
        <f t="shared" ref="AL197" si="222">ABS(AJ197)</f>
        <v>#NAME?</v>
      </c>
    </row>
    <row r="198" spans="1:38" s="7" customFormat="1">
      <c r="A198" s="7">
        <f t="shared" si="166"/>
        <v>10</v>
      </c>
      <c r="B198" s="7" t="e">
        <f t="shared" ref="B198:S198" si="223">B140-B172</f>
        <v>#NAME?</v>
      </c>
      <c r="C198" s="7" t="e">
        <f t="shared" si="223"/>
        <v>#NAME?</v>
      </c>
      <c r="D198" s="7" t="e">
        <f t="shared" si="223"/>
        <v>#NAME?</v>
      </c>
      <c r="E198" s="7" t="e">
        <f t="shared" si="223"/>
        <v>#NAME?</v>
      </c>
      <c r="F198" s="7" t="e">
        <f t="shared" si="223"/>
        <v>#NAME?</v>
      </c>
      <c r="G198" s="7" t="e">
        <f t="shared" si="223"/>
        <v>#NAME?</v>
      </c>
      <c r="H198" s="7" t="e">
        <f t="shared" si="223"/>
        <v>#NAME?</v>
      </c>
      <c r="I198" s="7" t="e">
        <f t="shared" si="223"/>
        <v>#NAME?</v>
      </c>
      <c r="J198" s="7" t="e">
        <f t="shared" si="223"/>
        <v>#NAME?</v>
      </c>
      <c r="K198" s="7" t="e">
        <f t="shared" si="223"/>
        <v>#NAME?</v>
      </c>
      <c r="L198" s="7" t="e">
        <f t="shared" si="223"/>
        <v>#NAME?</v>
      </c>
      <c r="M198" s="7" t="e">
        <f t="shared" si="223"/>
        <v>#NAME?</v>
      </c>
      <c r="N198" s="7" t="e">
        <f t="shared" si="223"/>
        <v>#NAME?</v>
      </c>
      <c r="O198" s="7" t="e">
        <f t="shared" si="223"/>
        <v>#NAME?</v>
      </c>
      <c r="P198" s="7" t="e">
        <f t="shared" si="223"/>
        <v>#NAME?</v>
      </c>
      <c r="Q198" s="7" t="e">
        <f t="shared" si="223"/>
        <v>#NAME?</v>
      </c>
      <c r="R198" s="7" t="e">
        <f t="shared" si="223"/>
        <v>#NAME?</v>
      </c>
      <c r="S198" s="7" t="e">
        <f t="shared" si="223"/>
        <v>#NAME?</v>
      </c>
      <c r="U198" s="7" t="e">
        <f t="shared" ref="U198:AG198" si="224">U140-U172</f>
        <v>#NAME?</v>
      </c>
      <c r="V198" s="7" t="e">
        <f t="shared" si="224"/>
        <v>#NAME?</v>
      </c>
      <c r="W198" s="7" t="e">
        <f t="shared" si="224"/>
        <v>#NAME?</v>
      </c>
      <c r="X198" s="7" t="e">
        <f t="shared" si="224"/>
        <v>#NAME?</v>
      </c>
      <c r="Y198" s="7" t="e">
        <f t="shared" si="224"/>
        <v>#NAME?</v>
      </c>
      <c r="Z198" s="7" t="e">
        <f t="shared" si="224"/>
        <v>#NAME?</v>
      </c>
      <c r="AA198" s="7" t="e">
        <f t="shared" si="224"/>
        <v>#NAME?</v>
      </c>
      <c r="AB198" s="7" t="e">
        <f t="shared" si="224"/>
        <v>#NAME?</v>
      </c>
      <c r="AC198" s="7" t="e">
        <f t="shared" si="224"/>
        <v>#NAME?</v>
      </c>
      <c r="AD198" s="7" t="e">
        <f t="shared" si="224"/>
        <v>#NAME?</v>
      </c>
      <c r="AE198" s="7" t="e">
        <f t="shared" si="224"/>
        <v>#NAME?</v>
      </c>
      <c r="AF198" s="7" t="e">
        <f t="shared" si="224"/>
        <v>#NAME?</v>
      </c>
      <c r="AG198" s="7" t="e">
        <f t="shared" si="224"/>
        <v>#NAME?</v>
      </c>
      <c r="AH198" s="7" t="e">
        <f t="shared" ref="AH198" si="225">STDEV(B198:AG198)</f>
        <v>#NAME?</v>
      </c>
      <c r="AI198" s="7" t="e">
        <f t="shared" ref="AI198" si="226">AJ198-1.5*AH198</f>
        <v>#NAME?</v>
      </c>
      <c r="AJ198" s="8" t="e">
        <f t="shared" ref="AJ198" si="227">AVERAGE(B198:AG198)</f>
        <v>#NAME?</v>
      </c>
      <c r="AK198" s="7" t="e">
        <f t="shared" ref="AK198" si="228">AJ198+1.5*AH198</f>
        <v>#NAME?</v>
      </c>
      <c r="AL198" s="7" t="e">
        <f t="shared" ref="AL198" si="229">ABS(AJ198)</f>
        <v>#NAME?</v>
      </c>
    </row>
    <row r="199" spans="1:38" s="7" customFormat="1">
      <c r="A199" s="7">
        <f t="shared" si="166"/>
        <v>11</v>
      </c>
      <c r="B199" s="7" t="e">
        <f t="shared" ref="B199:S199" si="230">B141-B173</f>
        <v>#NAME?</v>
      </c>
      <c r="C199" s="7" t="e">
        <f t="shared" si="230"/>
        <v>#NAME?</v>
      </c>
      <c r="D199" s="7" t="e">
        <f t="shared" si="230"/>
        <v>#NAME?</v>
      </c>
      <c r="E199" s="7" t="e">
        <f t="shared" si="230"/>
        <v>#NAME?</v>
      </c>
      <c r="F199" s="7" t="e">
        <f t="shared" si="230"/>
        <v>#NAME?</v>
      </c>
      <c r="G199" s="7" t="e">
        <f t="shared" si="230"/>
        <v>#NAME?</v>
      </c>
      <c r="H199" s="7" t="e">
        <f t="shared" si="230"/>
        <v>#NAME?</v>
      </c>
      <c r="I199" s="7" t="e">
        <f t="shared" si="230"/>
        <v>#NAME?</v>
      </c>
      <c r="J199" s="7" t="e">
        <f t="shared" si="230"/>
        <v>#NAME?</v>
      </c>
      <c r="K199" s="7" t="e">
        <f t="shared" si="230"/>
        <v>#NAME?</v>
      </c>
      <c r="L199" s="7" t="e">
        <f t="shared" si="230"/>
        <v>#NAME?</v>
      </c>
      <c r="M199" s="7" t="e">
        <f t="shared" si="230"/>
        <v>#NAME?</v>
      </c>
      <c r="N199" s="7" t="e">
        <f t="shared" si="230"/>
        <v>#NAME?</v>
      </c>
      <c r="O199" s="7" t="e">
        <f t="shared" si="230"/>
        <v>#NAME?</v>
      </c>
      <c r="P199" s="7" t="e">
        <f t="shared" si="230"/>
        <v>#NAME?</v>
      </c>
      <c r="Q199" s="7" t="e">
        <f t="shared" si="230"/>
        <v>#NAME?</v>
      </c>
      <c r="R199" s="7" t="e">
        <f t="shared" si="230"/>
        <v>#NAME?</v>
      </c>
      <c r="S199" s="7" t="e">
        <f t="shared" si="230"/>
        <v>#NAME?</v>
      </c>
      <c r="U199" s="7" t="e">
        <f t="shared" ref="U199:AG199" si="231">U141-U173</f>
        <v>#NAME?</v>
      </c>
      <c r="V199" s="7" t="e">
        <f t="shared" si="231"/>
        <v>#NAME?</v>
      </c>
      <c r="W199" s="7" t="e">
        <f t="shared" si="231"/>
        <v>#NAME?</v>
      </c>
      <c r="X199" s="7" t="e">
        <f t="shared" si="231"/>
        <v>#NAME?</v>
      </c>
      <c r="Y199" s="7" t="e">
        <f t="shared" si="231"/>
        <v>#NAME?</v>
      </c>
      <c r="Z199" s="7" t="e">
        <f t="shared" si="231"/>
        <v>#NAME?</v>
      </c>
      <c r="AA199" s="7" t="e">
        <f t="shared" si="231"/>
        <v>#NAME?</v>
      </c>
      <c r="AB199" s="7" t="e">
        <f t="shared" si="231"/>
        <v>#NAME?</v>
      </c>
      <c r="AC199" s="7" t="e">
        <f t="shared" si="231"/>
        <v>#NAME?</v>
      </c>
      <c r="AD199" s="7" t="e">
        <f t="shared" si="231"/>
        <v>#NAME?</v>
      </c>
      <c r="AE199" s="7" t="e">
        <f t="shared" si="231"/>
        <v>#NAME?</v>
      </c>
      <c r="AF199" s="7" t="e">
        <f t="shared" si="231"/>
        <v>#NAME?</v>
      </c>
      <c r="AG199" s="7" t="e">
        <f t="shared" si="231"/>
        <v>#NAME?</v>
      </c>
      <c r="AH199" s="7" t="e">
        <f t="shared" ref="AH199" si="232">STDEV(B199:AG199)</f>
        <v>#NAME?</v>
      </c>
      <c r="AI199" s="7" t="e">
        <f t="shared" ref="AI199" si="233">AJ199-1.5*AH199</f>
        <v>#NAME?</v>
      </c>
      <c r="AJ199" s="8" t="e">
        <f t="shared" ref="AJ199" si="234">AVERAGE(B199:AG199)</f>
        <v>#NAME?</v>
      </c>
      <c r="AK199" s="7" t="e">
        <f t="shared" ref="AK199" si="235">AJ199+1.5*AH199</f>
        <v>#NAME?</v>
      </c>
      <c r="AL199" s="7" t="e">
        <f t="shared" ref="AL199" si="236">ABS(AJ199)</f>
        <v>#NAME?</v>
      </c>
    </row>
    <row r="200" spans="1:38" s="7" customFormat="1">
      <c r="A200" s="7">
        <f t="shared" si="166"/>
        <v>12</v>
      </c>
      <c r="B200" s="7" t="e">
        <f t="shared" ref="B200:S200" si="237">B142-B174</f>
        <v>#NAME?</v>
      </c>
      <c r="C200" s="7" t="e">
        <f t="shared" si="237"/>
        <v>#NAME?</v>
      </c>
      <c r="D200" s="7" t="e">
        <f t="shared" si="237"/>
        <v>#NAME?</v>
      </c>
      <c r="E200" s="7" t="e">
        <f t="shared" si="237"/>
        <v>#NAME?</v>
      </c>
      <c r="F200" s="7" t="e">
        <f t="shared" si="237"/>
        <v>#NAME?</v>
      </c>
      <c r="G200" s="7" t="e">
        <f t="shared" si="237"/>
        <v>#NAME?</v>
      </c>
      <c r="H200" s="7" t="e">
        <f t="shared" si="237"/>
        <v>#NAME?</v>
      </c>
      <c r="I200" s="7" t="e">
        <f t="shared" si="237"/>
        <v>#NAME?</v>
      </c>
      <c r="J200" s="7" t="e">
        <f t="shared" si="237"/>
        <v>#NAME?</v>
      </c>
      <c r="K200" s="7" t="e">
        <f t="shared" si="237"/>
        <v>#NAME?</v>
      </c>
      <c r="L200" s="7" t="e">
        <f t="shared" si="237"/>
        <v>#NAME?</v>
      </c>
      <c r="M200" s="7" t="e">
        <f t="shared" si="237"/>
        <v>#NAME?</v>
      </c>
      <c r="N200" s="7" t="e">
        <f t="shared" si="237"/>
        <v>#NAME?</v>
      </c>
      <c r="O200" s="7" t="e">
        <f t="shared" si="237"/>
        <v>#NAME?</v>
      </c>
      <c r="P200" s="7" t="e">
        <f t="shared" si="237"/>
        <v>#NAME?</v>
      </c>
      <c r="Q200" s="7" t="e">
        <f t="shared" si="237"/>
        <v>#NAME?</v>
      </c>
      <c r="R200" s="7" t="e">
        <f t="shared" si="237"/>
        <v>#NAME?</v>
      </c>
      <c r="S200" s="7" t="e">
        <f t="shared" si="237"/>
        <v>#NAME?</v>
      </c>
      <c r="U200" s="7" t="e">
        <f t="shared" ref="U200:AG200" si="238">U142-U174</f>
        <v>#NAME?</v>
      </c>
      <c r="V200" s="7" t="e">
        <f t="shared" si="238"/>
        <v>#NAME?</v>
      </c>
      <c r="W200" s="7" t="e">
        <f t="shared" si="238"/>
        <v>#NAME?</v>
      </c>
      <c r="X200" s="7" t="e">
        <f t="shared" si="238"/>
        <v>#NAME?</v>
      </c>
      <c r="Y200" s="7" t="e">
        <f t="shared" si="238"/>
        <v>#NAME?</v>
      </c>
      <c r="Z200" s="7" t="e">
        <f t="shared" si="238"/>
        <v>#NAME?</v>
      </c>
      <c r="AA200" s="7" t="e">
        <f t="shared" si="238"/>
        <v>#NAME?</v>
      </c>
      <c r="AB200" s="7" t="e">
        <f t="shared" si="238"/>
        <v>#NAME?</v>
      </c>
      <c r="AC200" s="7" t="e">
        <f t="shared" si="238"/>
        <v>#NAME?</v>
      </c>
      <c r="AD200" s="7" t="e">
        <f t="shared" si="238"/>
        <v>#NAME?</v>
      </c>
      <c r="AE200" s="7" t="e">
        <f t="shared" si="238"/>
        <v>#NAME?</v>
      </c>
      <c r="AF200" s="7" t="e">
        <f t="shared" si="238"/>
        <v>#NAME?</v>
      </c>
      <c r="AG200" s="7" t="e">
        <f t="shared" si="238"/>
        <v>#NAME?</v>
      </c>
      <c r="AH200" s="7" t="e">
        <f t="shared" ref="AH200" si="239">STDEV(B200:AG200)</f>
        <v>#NAME?</v>
      </c>
      <c r="AI200" s="7" t="e">
        <f t="shared" ref="AI200" si="240">AJ200-1.5*AH200</f>
        <v>#NAME?</v>
      </c>
      <c r="AJ200" s="8" t="e">
        <f t="shared" ref="AJ200" si="241">AVERAGE(B200:AG200)</f>
        <v>#NAME?</v>
      </c>
      <c r="AK200" s="7" t="e">
        <f t="shared" ref="AK200" si="242">AJ200+1.5*AH200</f>
        <v>#NAME?</v>
      </c>
      <c r="AL200" s="7" t="e">
        <f t="shared" ref="AL200" si="243">ABS(AJ200)</f>
        <v>#NAME?</v>
      </c>
    </row>
    <row r="201" spans="1:38" s="7" customFormat="1">
      <c r="A201" s="7">
        <f t="shared" si="166"/>
        <v>13</v>
      </c>
      <c r="B201" s="7" t="e">
        <f t="shared" ref="B201:S201" si="244">B143-B175</f>
        <v>#NAME?</v>
      </c>
      <c r="C201" s="7" t="e">
        <f t="shared" si="244"/>
        <v>#NAME?</v>
      </c>
      <c r="D201" s="7" t="e">
        <f t="shared" si="244"/>
        <v>#NAME?</v>
      </c>
      <c r="E201" s="7" t="e">
        <f t="shared" si="244"/>
        <v>#NAME?</v>
      </c>
      <c r="F201" s="7" t="e">
        <f t="shared" si="244"/>
        <v>#NAME?</v>
      </c>
      <c r="G201" s="7" t="e">
        <f t="shared" si="244"/>
        <v>#NAME?</v>
      </c>
      <c r="H201" s="7" t="e">
        <f t="shared" si="244"/>
        <v>#NAME?</v>
      </c>
      <c r="I201" s="7" t="e">
        <f t="shared" si="244"/>
        <v>#NAME?</v>
      </c>
      <c r="J201" s="7" t="e">
        <f t="shared" si="244"/>
        <v>#NAME?</v>
      </c>
      <c r="K201" s="7" t="e">
        <f t="shared" si="244"/>
        <v>#NAME?</v>
      </c>
      <c r="L201" s="7" t="e">
        <f t="shared" si="244"/>
        <v>#NAME?</v>
      </c>
      <c r="M201" s="7" t="e">
        <f t="shared" si="244"/>
        <v>#NAME?</v>
      </c>
      <c r="N201" s="7" t="e">
        <f t="shared" si="244"/>
        <v>#NAME?</v>
      </c>
      <c r="O201" s="7" t="e">
        <f t="shared" si="244"/>
        <v>#NAME?</v>
      </c>
      <c r="P201" s="7" t="e">
        <f t="shared" si="244"/>
        <v>#NAME?</v>
      </c>
      <c r="Q201" s="7" t="e">
        <f t="shared" si="244"/>
        <v>#NAME?</v>
      </c>
      <c r="R201" s="7" t="e">
        <f t="shared" si="244"/>
        <v>#NAME?</v>
      </c>
      <c r="S201" s="7" t="e">
        <f t="shared" si="244"/>
        <v>#NAME?</v>
      </c>
      <c r="U201" s="7" t="e">
        <f t="shared" ref="U201:AG201" si="245">U143-U175</f>
        <v>#NAME?</v>
      </c>
      <c r="V201" s="7" t="e">
        <f t="shared" si="245"/>
        <v>#NAME?</v>
      </c>
      <c r="W201" s="7" t="e">
        <f t="shared" si="245"/>
        <v>#NAME?</v>
      </c>
      <c r="X201" s="7" t="e">
        <f t="shared" si="245"/>
        <v>#NAME?</v>
      </c>
      <c r="Y201" s="7" t="e">
        <f t="shared" si="245"/>
        <v>#NAME?</v>
      </c>
      <c r="Z201" s="7" t="e">
        <f t="shared" si="245"/>
        <v>#NAME?</v>
      </c>
      <c r="AA201" s="7" t="e">
        <f t="shared" si="245"/>
        <v>#NAME?</v>
      </c>
      <c r="AB201" s="7" t="e">
        <f t="shared" si="245"/>
        <v>#NAME?</v>
      </c>
      <c r="AC201" s="7" t="e">
        <f t="shared" si="245"/>
        <v>#NAME?</v>
      </c>
      <c r="AD201" s="7" t="e">
        <f t="shared" si="245"/>
        <v>#NAME?</v>
      </c>
      <c r="AE201" s="7" t="e">
        <f t="shared" si="245"/>
        <v>#NAME?</v>
      </c>
      <c r="AF201" s="7" t="e">
        <f t="shared" si="245"/>
        <v>#NAME?</v>
      </c>
      <c r="AG201" s="7" t="e">
        <f t="shared" si="245"/>
        <v>#NAME?</v>
      </c>
      <c r="AH201" s="7" t="e">
        <f t="shared" ref="AH201" si="246">STDEV(B201:AG201)</f>
        <v>#NAME?</v>
      </c>
      <c r="AI201" s="7" t="e">
        <f t="shared" ref="AI201" si="247">AJ201-1.5*AH201</f>
        <v>#NAME?</v>
      </c>
      <c r="AJ201" s="8" t="e">
        <f t="shared" ref="AJ201" si="248">AVERAGE(B201:AG201)</f>
        <v>#NAME?</v>
      </c>
      <c r="AK201" s="7" t="e">
        <f t="shared" ref="AK201" si="249">AJ201+1.5*AH201</f>
        <v>#NAME?</v>
      </c>
      <c r="AL201" s="7" t="e">
        <f t="shared" ref="AL201" si="250">ABS(AJ201)</f>
        <v>#NAME?</v>
      </c>
    </row>
    <row r="202" spans="1:38" s="7" customFormat="1">
      <c r="A202" s="7">
        <f t="shared" si="166"/>
        <v>14</v>
      </c>
      <c r="B202" s="7" t="e">
        <f t="shared" ref="B202:S202" si="251">B144-B176</f>
        <v>#NAME?</v>
      </c>
      <c r="C202" s="7" t="e">
        <f t="shared" si="251"/>
        <v>#NAME?</v>
      </c>
      <c r="D202" s="7" t="e">
        <f t="shared" si="251"/>
        <v>#NAME?</v>
      </c>
      <c r="E202" s="7" t="e">
        <f t="shared" si="251"/>
        <v>#NAME?</v>
      </c>
      <c r="F202" s="7" t="e">
        <f t="shared" si="251"/>
        <v>#NAME?</v>
      </c>
      <c r="G202" s="7" t="e">
        <f t="shared" si="251"/>
        <v>#NAME?</v>
      </c>
      <c r="H202" s="7" t="e">
        <f t="shared" si="251"/>
        <v>#NAME?</v>
      </c>
      <c r="I202" s="7" t="e">
        <f t="shared" si="251"/>
        <v>#NAME?</v>
      </c>
      <c r="J202" s="7" t="e">
        <f t="shared" si="251"/>
        <v>#NAME?</v>
      </c>
      <c r="K202" s="7" t="e">
        <f t="shared" si="251"/>
        <v>#NAME?</v>
      </c>
      <c r="L202" s="7" t="e">
        <f t="shared" si="251"/>
        <v>#NAME?</v>
      </c>
      <c r="M202" s="7" t="e">
        <f t="shared" si="251"/>
        <v>#NAME?</v>
      </c>
      <c r="N202" s="7" t="e">
        <f t="shared" si="251"/>
        <v>#NAME?</v>
      </c>
      <c r="O202" s="7" t="e">
        <f t="shared" si="251"/>
        <v>#NAME?</v>
      </c>
      <c r="P202" s="7" t="e">
        <f t="shared" si="251"/>
        <v>#NAME?</v>
      </c>
      <c r="Q202" s="7" t="e">
        <f t="shared" si="251"/>
        <v>#NAME?</v>
      </c>
      <c r="R202" s="7" t="e">
        <f t="shared" si="251"/>
        <v>#NAME?</v>
      </c>
      <c r="S202" s="7" t="e">
        <f t="shared" si="251"/>
        <v>#NAME?</v>
      </c>
      <c r="U202" s="7" t="e">
        <f t="shared" ref="U202:AG202" si="252">U144-U176</f>
        <v>#NAME?</v>
      </c>
      <c r="V202" s="7" t="e">
        <f t="shared" si="252"/>
        <v>#NAME?</v>
      </c>
      <c r="W202" s="7" t="e">
        <f t="shared" si="252"/>
        <v>#NAME?</v>
      </c>
      <c r="X202" s="7" t="e">
        <f t="shared" si="252"/>
        <v>#NAME?</v>
      </c>
      <c r="Y202" s="7" t="e">
        <f t="shared" si="252"/>
        <v>#NAME?</v>
      </c>
      <c r="Z202" s="7" t="e">
        <f t="shared" si="252"/>
        <v>#NAME?</v>
      </c>
      <c r="AA202" s="7" t="e">
        <f t="shared" si="252"/>
        <v>#NAME?</v>
      </c>
      <c r="AB202" s="7" t="e">
        <f t="shared" si="252"/>
        <v>#NAME?</v>
      </c>
      <c r="AC202" s="7" t="e">
        <f t="shared" si="252"/>
        <v>#NAME?</v>
      </c>
      <c r="AD202" s="7" t="e">
        <f t="shared" si="252"/>
        <v>#NAME?</v>
      </c>
      <c r="AE202" s="7" t="e">
        <f t="shared" si="252"/>
        <v>#NAME?</v>
      </c>
      <c r="AF202" s="7" t="e">
        <f t="shared" si="252"/>
        <v>#NAME?</v>
      </c>
      <c r="AG202" s="7" t="e">
        <f t="shared" si="252"/>
        <v>#NAME?</v>
      </c>
      <c r="AH202" s="7" t="e">
        <f t="shared" ref="AH202" si="253">STDEV(B202:AG202)</f>
        <v>#NAME?</v>
      </c>
      <c r="AI202" s="7" t="e">
        <f t="shared" ref="AI202" si="254">AJ202-1.5*AH202</f>
        <v>#NAME?</v>
      </c>
      <c r="AJ202" s="8" t="e">
        <f t="shared" ref="AJ202" si="255">AVERAGE(B202:AG202)</f>
        <v>#NAME?</v>
      </c>
      <c r="AK202" s="7" t="e">
        <f t="shared" ref="AK202" si="256">AJ202+1.5*AH202</f>
        <v>#NAME?</v>
      </c>
      <c r="AL202" s="7" t="e">
        <f t="shared" ref="AL202" si="257">ABS(AJ202)</f>
        <v>#NAME?</v>
      </c>
    </row>
    <row r="203" spans="1:38" s="7" customFormat="1">
      <c r="A203" s="7">
        <f t="shared" si="166"/>
        <v>15</v>
      </c>
      <c r="B203" s="7" t="e">
        <f t="shared" ref="B203:S203" si="258">B145-B177</f>
        <v>#NAME?</v>
      </c>
      <c r="C203" s="7" t="e">
        <f t="shared" si="258"/>
        <v>#NAME?</v>
      </c>
      <c r="D203" s="7" t="e">
        <f t="shared" si="258"/>
        <v>#NAME?</v>
      </c>
      <c r="E203" s="7" t="e">
        <f t="shared" si="258"/>
        <v>#NAME?</v>
      </c>
      <c r="F203" s="7" t="e">
        <f t="shared" si="258"/>
        <v>#NAME?</v>
      </c>
      <c r="G203" s="7" t="e">
        <f t="shared" si="258"/>
        <v>#NAME?</v>
      </c>
      <c r="H203" s="7" t="e">
        <f t="shared" si="258"/>
        <v>#NAME?</v>
      </c>
      <c r="I203" s="7" t="e">
        <f t="shared" si="258"/>
        <v>#NAME?</v>
      </c>
      <c r="J203" s="7" t="e">
        <f t="shared" si="258"/>
        <v>#NAME?</v>
      </c>
      <c r="K203" s="7" t="e">
        <f t="shared" si="258"/>
        <v>#NAME?</v>
      </c>
      <c r="L203" s="7" t="e">
        <f t="shared" si="258"/>
        <v>#NAME?</v>
      </c>
      <c r="M203" s="7" t="e">
        <f t="shared" si="258"/>
        <v>#NAME?</v>
      </c>
      <c r="N203" s="7" t="e">
        <f t="shared" si="258"/>
        <v>#NAME?</v>
      </c>
      <c r="O203" s="7" t="e">
        <f t="shared" si="258"/>
        <v>#NAME?</v>
      </c>
      <c r="P203" s="7" t="e">
        <f t="shared" si="258"/>
        <v>#NAME?</v>
      </c>
      <c r="Q203" s="7" t="e">
        <f t="shared" si="258"/>
        <v>#NAME?</v>
      </c>
      <c r="R203" s="7" t="e">
        <f t="shared" si="258"/>
        <v>#NAME?</v>
      </c>
      <c r="S203" s="7" t="e">
        <f t="shared" si="258"/>
        <v>#NAME?</v>
      </c>
      <c r="U203" s="7" t="e">
        <f t="shared" ref="U203:AG203" si="259">U145-U177</f>
        <v>#NAME?</v>
      </c>
      <c r="V203" s="7" t="e">
        <f t="shared" si="259"/>
        <v>#NAME?</v>
      </c>
      <c r="W203" s="7" t="e">
        <f t="shared" si="259"/>
        <v>#NAME?</v>
      </c>
      <c r="X203" s="7" t="e">
        <f t="shared" si="259"/>
        <v>#NAME?</v>
      </c>
      <c r="Y203" s="7" t="e">
        <f t="shared" si="259"/>
        <v>#NAME?</v>
      </c>
      <c r="Z203" s="7" t="e">
        <f t="shared" si="259"/>
        <v>#NAME?</v>
      </c>
      <c r="AA203" s="7" t="e">
        <f t="shared" si="259"/>
        <v>#NAME?</v>
      </c>
      <c r="AB203" s="7" t="e">
        <f t="shared" si="259"/>
        <v>#NAME?</v>
      </c>
      <c r="AC203" s="7" t="e">
        <f t="shared" si="259"/>
        <v>#NAME?</v>
      </c>
      <c r="AD203" s="7" t="e">
        <f t="shared" si="259"/>
        <v>#NAME?</v>
      </c>
      <c r="AE203" s="7" t="e">
        <f t="shared" si="259"/>
        <v>#NAME?</v>
      </c>
      <c r="AF203" s="7" t="e">
        <f t="shared" si="259"/>
        <v>#NAME?</v>
      </c>
      <c r="AG203" s="7" t="e">
        <f t="shared" si="259"/>
        <v>#NAME?</v>
      </c>
      <c r="AH203" s="7" t="e">
        <f t="shared" ref="AH203:AH205" si="260">STDEV(B203:AG203)</f>
        <v>#NAME?</v>
      </c>
      <c r="AI203" s="7" t="e">
        <f t="shared" ref="AI203:AI205" si="261">AJ203-1.5*AH203</f>
        <v>#NAME?</v>
      </c>
      <c r="AJ203" s="8" t="e">
        <f t="shared" ref="AJ203:AJ205" si="262">AVERAGE(B203:AG203)</f>
        <v>#NAME?</v>
      </c>
      <c r="AK203" s="7" t="e">
        <f t="shared" ref="AK203:AK205" si="263">AJ203+1.5*AH203</f>
        <v>#NAME?</v>
      </c>
      <c r="AL203" s="7" t="e">
        <f t="shared" ref="AL203:AL205" si="264">ABS(AJ203)</f>
        <v>#NAME?</v>
      </c>
    </row>
    <row r="204" spans="1:38" s="7" customFormat="1">
      <c r="A204" s="7">
        <f t="shared" si="166"/>
        <v>16</v>
      </c>
      <c r="B204" s="7" t="e">
        <f t="shared" ref="B204:S204" si="265">B146-B178</f>
        <v>#NAME?</v>
      </c>
      <c r="C204" s="7" t="e">
        <f t="shared" si="265"/>
        <v>#NAME?</v>
      </c>
      <c r="D204" s="7" t="e">
        <f t="shared" si="265"/>
        <v>#NAME?</v>
      </c>
      <c r="E204" s="7" t="e">
        <f t="shared" si="265"/>
        <v>#NAME?</v>
      </c>
      <c r="F204" s="7" t="e">
        <f t="shared" si="265"/>
        <v>#NAME?</v>
      </c>
      <c r="G204" s="7" t="e">
        <f t="shared" si="265"/>
        <v>#NAME?</v>
      </c>
      <c r="H204" s="7" t="e">
        <f t="shared" si="265"/>
        <v>#NAME?</v>
      </c>
      <c r="I204" s="7" t="e">
        <f t="shared" si="265"/>
        <v>#NAME?</v>
      </c>
      <c r="J204" s="7" t="e">
        <f t="shared" si="265"/>
        <v>#NAME?</v>
      </c>
      <c r="K204" s="7" t="e">
        <f t="shared" si="265"/>
        <v>#NAME?</v>
      </c>
      <c r="L204" s="7" t="e">
        <f t="shared" si="265"/>
        <v>#NAME?</v>
      </c>
      <c r="M204" s="7" t="e">
        <f t="shared" si="265"/>
        <v>#NAME?</v>
      </c>
      <c r="N204" s="7" t="e">
        <f t="shared" si="265"/>
        <v>#NAME?</v>
      </c>
      <c r="O204" s="7" t="e">
        <f t="shared" si="265"/>
        <v>#NAME?</v>
      </c>
      <c r="P204" s="7" t="e">
        <f t="shared" si="265"/>
        <v>#NAME?</v>
      </c>
      <c r="Q204" s="7" t="e">
        <f t="shared" si="265"/>
        <v>#NAME?</v>
      </c>
      <c r="R204" s="7" t="e">
        <f t="shared" si="265"/>
        <v>#NAME?</v>
      </c>
      <c r="S204" s="7" t="e">
        <f t="shared" si="265"/>
        <v>#NAME?</v>
      </c>
      <c r="U204" s="7" t="e">
        <f t="shared" ref="U204:AG204" si="266">U146-U178</f>
        <v>#NAME?</v>
      </c>
      <c r="V204" s="7" t="e">
        <f t="shared" si="266"/>
        <v>#NAME?</v>
      </c>
      <c r="W204" s="7" t="e">
        <f t="shared" si="266"/>
        <v>#NAME?</v>
      </c>
      <c r="X204" s="7" t="e">
        <f t="shared" si="266"/>
        <v>#NAME?</v>
      </c>
      <c r="Y204" s="7" t="e">
        <f t="shared" si="266"/>
        <v>#NAME?</v>
      </c>
      <c r="Z204" s="7" t="e">
        <f t="shared" si="266"/>
        <v>#NAME?</v>
      </c>
      <c r="AA204" s="7" t="e">
        <f t="shared" si="266"/>
        <v>#NAME?</v>
      </c>
      <c r="AB204" s="7" t="e">
        <f t="shared" si="266"/>
        <v>#NAME?</v>
      </c>
      <c r="AC204" s="7" t="e">
        <f t="shared" si="266"/>
        <v>#NAME?</v>
      </c>
      <c r="AD204" s="7" t="e">
        <f t="shared" si="266"/>
        <v>#NAME?</v>
      </c>
      <c r="AE204" s="7" t="e">
        <f t="shared" si="266"/>
        <v>#NAME?</v>
      </c>
      <c r="AF204" s="7" t="e">
        <f t="shared" si="266"/>
        <v>#NAME?</v>
      </c>
      <c r="AG204" s="7" t="e">
        <f t="shared" si="266"/>
        <v>#NAME?</v>
      </c>
      <c r="AH204" s="7" t="e">
        <f t="shared" si="260"/>
        <v>#NAME?</v>
      </c>
      <c r="AI204" s="7" t="e">
        <f t="shared" si="261"/>
        <v>#NAME?</v>
      </c>
      <c r="AJ204" s="8" t="e">
        <f t="shared" si="262"/>
        <v>#NAME?</v>
      </c>
      <c r="AK204" s="7" t="e">
        <f t="shared" si="263"/>
        <v>#NAME?</v>
      </c>
      <c r="AL204" s="7" t="e">
        <f t="shared" si="264"/>
        <v>#NAME?</v>
      </c>
    </row>
    <row r="205" spans="1:38">
      <c r="A205" s="7">
        <f t="shared" si="166"/>
        <v>17</v>
      </c>
      <c r="B205" s="7" t="e">
        <f t="shared" ref="B205:S205" si="267">B147-B179</f>
        <v>#NAME?</v>
      </c>
      <c r="C205" s="7" t="e">
        <f t="shared" si="267"/>
        <v>#NAME?</v>
      </c>
      <c r="D205" s="7" t="e">
        <f t="shared" si="267"/>
        <v>#NAME?</v>
      </c>
      <c r="E205" s="7" t="e">
        <f t="shared" si="267"/>
        <v>#NAME?</v>
      </c>
      <c r="F205" s="7" t="e">
        <f t="shared" si="267"/>
        <v>#NAME?</v>
      </c>
      <c r="G205" s="7" t="e">
        <f t="shared" si="267"/>
        <v>#NAME?</v>
      </c>
      <c r="H205" s="7" t="e">
        <f t="shared" si="267"/>
        <v>#NAME?</v>
      </c>
      <c r="I205" s="7" t="e">
        <f t="shared" si="267"/>
        <v>#NAME?</v>
      </c>
      <c r="J205" s="7" t="e">
        <f t="shared" si="267"/>
        <v>#NAME?</v>
      </c>
      <c r="K205" s="7" t="e">
        <f t="shared" si="267"/>
        <v>#NAME?</v>
      </c>
      <c r="L205" s="7" t="e">
        <f t="shared" si="267"/>
        <v>#NAME?</v>
      </c>
      <c r="M205" s="7" t="e">
        <f t="shared" si="267"/>
        <v>#NAME?</v>
      </c>
      <c r="N205" s="7" t="e">
        <f t="shared" si="267"/>
        <v>#NAME?</v>
      </c>
      <c r="O205" s="7" t="e">
        <f t="shared" si="267"/>
        <v>#NAME?</v>
      </c>
      <c r="P205" s="7" t="e">
        <f t="shared" si="267"/>
        <v>#NAME?</v>
      </c>
      <c r="Q205" s="7" t="e">
        <f t="shared" si="267"/>
        <v>#NAME?</v>
      </c>
      <c r="R205" s="7" t="e">
        <f t="shared" si="267"/>
        <v>#NAME?</v>
      </c>
      <c r="S205" s="7" t="e">
        <f t="shared" si="267"/>
        <v>#NAME?</v>
      </c>
      <c r="T205" s="7"/>
      <c r="U205" s="7" t="e">
        <f t="shared" ref="U205:AG205" si="268">U147-U179</f>
        <v>#NAME?</v>
      </c>
      <c r="V205" s="7" t="e">
        <f t="shared" si="268"/>
        <v>#NAME?</v>
      </c>
      <c r="W205" s="7" t="e">
        <f t="shared" si="268"/>
        <v>#NAME?</v>
      </c>
      <c r="X205" s="7" t="e">
        <f t="shared" si="268"/>
        <v>#NAME?</v>
      </c>
      <c r="Y205" s="7" t="e">
        <f t="shared" si="268"/>
        <v>#NAME?</v>
      </c>
      <c r="Z205" s="7" t="e">
        <f t="shared" si="268"/>
        <v>#NAME?</v>
      </c>
      <c r="AA205" s="7" t="e">
        <f t="shared" si="268"/>
        <v>#NAME?</v>
      </c>
      <c r="AB205" s="7" t="e">
        <f t="shared" si="268"/>
        <v>#NAME?</v>
      </c>
      <c r="AC205" s="7" t="e">
        <f t="shared" si="268"/>
        <v>#NAME?</v>
      </c>
      <c r="AD205" s="7" t="e">
        <f t="shared" si="268"/>
        <v>#NAME?</v>
      </c>
      <c r="AE205" s="7" t="e">
        <f t="shared" si="268"/>
        <v>#NAME?</v>
      </c>
      <c r="AF205" s="7" t="e">
        <f t="shared" si="268"/>
        <v>#NAME?</v>
      </c>
      <c r="AG205" s="7" t="e">
        <f t="shared" si="268"/>
        <v>#NAME?</v>
      </c>
      <c r="AH205" s="7" t="e">
        <f t="shared" si="260"/>
        <v>#NAME?</v>
      </c>
      <c r="AI205" s="7" t="e">
        <f t="shared" si="261"/>
        <v>#NAME?</v>
      </c>
      <c r="AJ205" s="8" t="e">
        <f t="shared" si="262"/>
        <v>#NAME?</v>
      </c>
      <c r="AK205" s="7" t="e">
        <f t="shared" si="263"/>
        <v>#NAME?</v>
      </c>
      <c r="AL205" s="7" t="e">
        <f t="shared" si="264"/>
        <v>#NAME?</v>
      </c>
    </row>
    <row r="206" spans="1:38">
      <c r="A206" s="7">
        <f t="shared" si="166"/>
        <v>18</v>
      </c>
      <c r="B206" s="7" t="e">
        <f t="shared" ref="B206:S206" si="269">B148-B180</f>
        <v>#NAME?</v>
      </c>
      <c r="C206" s="7" t="e">
        <f t="shared" si="269"/>
        <v>#NAME?</v>
      </c>
      <c r="D206" s="7" t="e">
        <f t="shared" si="269"/>
        <v>#NAME?</v>
      </c>
      <c r="E206" s="7" t="e">
        <f t="shared" si="269"/>
        <v>#NAME?</v>
      </c>
      <c r="F206" s="7" t="e">
        <f t="shared" si="269"/>
        <v>#NAME?</v>
      </c>
      <c r="G206" s="7" t="e">
        <f t="shared" si="269"/>
        <v>#NAME?</v>
      </c>
      <c r="H206" s="7" t="e">
        <f t="shared" si="269"/>
        <v>#NAME?</v>
      </c>
      <c r="I206" s="7" t="e">
        <f t="shared" si="269"/>
        <v>#NAME?</v>
      </c>
      <c r="J206" s="7" t="e">
        <f t="shared" si="269"/>
        <v>#NAME?</v>
      </c>
      <c r="K206" s="7" t="e">
        <f t="shared" si="269"/>
        <v>#NAME?</v>
      </c>
      <c r="L206" s="7" t="e">
        <f t="shared" si="269"/>
        <v>#NAME?</v>
      </c>
      <c r="M206" s="7" t="e">
        <f t="shared" si="269"/>
        <v>#NAME?</v>
      </c>
      <c r="N206" s="7" t="e">
        <f t="shared" si="269"/>
        <v>#NAME?</v>
      </c>
      <c r="O206" s="7" t="e">
        <f t="shared" si="269"/>
        <v>#NAME?</v>
      </c>
      <c r="P206" s="7" t="e">
        <f t="shared" si="269"/>
        <v>#NAME?</v>
      </c>
      <c r="Q206" s="7" t="e">
        <f t="shared" si="269"/>
        <v>#NAME?</v>
      </c>
      <c r="R206" s="7" t="e">
        <f t="shared" si="269"/>
        <v>#NAME?</v>
      </c>
      <c r="S206" s="7" t="e">
        <f t="shared" si="269"/>
        <v>#NAME?</v>
      </c>
      <c r="T206" s="7"/>
      <c r="U206" s="7" t="e">
        <f t="shared" ref="U206:AG206" si="270">U148-U180</f>
        <v>#NAME?</v>
      </c>
      <c r="V206" s="7" t="e">
        <f t="shared" si="270"/>
        <v>#NAME?</v>
      </c>
      <c r="W206" s="7" t="e">
        <f t="shared" si="270"/>
        <v>#NAME?</v>
      </c>
      <c r="X206" s="7" t="e">
        <f t="shared" si="270"/>
        <v>#NAME?</v>
      </c>
      <c r="Y206" s="7" t="e">
        <f t="shared" si="270"/>
        <v>#NAME?</v>
      </c>
      <c r="Z206" s="7" t="e">
        <f t="shared" si="270"/>
        <v>#NAME?</v>
      </c>
      <c r="AA206" s="7" t="e">
        <f t="shared" si="270"/>
        <v>#NAME?</v>
      </c>
      <c r="AB206" s="7" t="e">
        <f t="shared" si="270"/>
        <v>#NAME?</v>
      </c>
      <c r="AC206" s="7" t="e">
        <f t="shared" si="270"/>
        <v>#NAME?</v>
      </c>
      <c r="AD206" s="7" t="e">
        <f t="shared" si="270"/>
        <v>#NAME?</v>
      </c>
      <c r="AE206" s="7" t="e">
        <f t="shared" si="270"/>
        <v>#NAME?</v>
      </c>
      <c r="AF206" s="7" t="e">
        <f t="shared" si="270"/>
        <v>#NAME?</v>
      </c>
      <c r="AG206" s="7" t="e">
        <f t="shared" si="270"/>
        <v>#NAME?</v>
      </c>
      <c r="AH206" s="7" t="e">
        <f t="shared" si="60"/>
        <v>#NAME?</v>
      </c>
      <c r="AI206" s="7" t="e">
        <f t="shared" si="61"/>
        <v>#NAME?</v>
      </c>
      <c r="AJ206" s="8" t="e">
        <f t="shared" si="62"/>
        <v>#NAME?</v>
      </c>
      <c r="AK206" s="7" t="e">
        <f t="shared" si="63"/>
        <v>#NAME?</v>
      </c>
      <c r="AL206" s="7" t="e">
        <f t="shared" ref="AL206:AL211" si="271">ABS(AJ206)</f>
        <v>#NAME?</v>
      </c>
    </row>
    <row r="207" spans="1:38">
      <c r="A207" s="7">
        <f t="shared" si="166"/>
        <v>19</v>
      </c>
      <c r="B207" s="7" t="e">
        <f t="shared" ref="B207:S207" si="272">B149-B181</f>
        <v>#NAME?</v>
      </c>
      <c r="C207" s="7" t="e">
        <f t="shared" si="272"/>
        <v>#NAME?</v>
      </c>
      <c r="D207" s="7" t="e">
        <f t="shared" si="272"/>
        <v>#NAME?</v>
      </c>
      <c r="E207" s="7" t="e">
        <f t="shared" si="272"/>
        <v>#NAME?</v>
      </c>
      <c r="F207" s="7" t="e">
        <f t="shared" si="272"/>
        <v>#NAME?</v>
      </c>
      <c r="G207" s="7" t="e">
        <f t="shared" si="272"/>
        <v>#NAME?</v>
      </c>
      <c r="H207" s="7" t="e">
        <f t="shared" si="272"/>
        <v>#NAME?</v>
      </c>
      <c r="I207" s="7" t="e">
        <f t="shared" si="272"/>
        <v>#NAME?</v>
      </c>
      <c r="J207" s="7" t="e">
        <f t="shared" si="272"/>
        <v>#NAME?</v>
      </c>
      <c r="K207" s="7" t="e">
        <f t="shared" si="272"/>
        <v>#NAME?</v>
      </c>
      <c r="L207" s="7" t="e">
        <f t="shared" si="272"/>
        <v>#NAME?</v>
      </c>
      <c r="M207" s="7" t="e">
        <f t="shared" si="272"/>
        <v>#NAME?</v>
      </c>
      <c r="N207" s="7" t="e">
        <f t="shared" si="272"/>
        <v>#NAME?</v>
      </c>
      <c r="O207" s="7" t="e">
        <f t="shared" si="272"/>
        <v>#NAME?</v>
      </c>
      <c r="P207" s="7" t="e">
        <f t="shared" si="272"/>
        <v>#NAME?</v>
      </c>
      <c r="Q207" s="7" t="e">
        <f t="shared" si="272"/>
        <v>#NAME?</v>
      </c>
      <c r="R207" s="7" t="e">
        <f t="shared" si="272"/>
        <v>#NAME?</v>
      </c>
      <c r="S207" s="7" t="e">
        <f t="shared" si="272"/>
        <v>#NAME?</v>
      </c>
      <c r="T207" s="7"/>
      <c r="U207" s="7" t="e">
        <f t="shared" ref="U207:AG207" si="273">U149-U181</f>
        <v>#NAME?</v>
      </c>
      <c r="V207" s="7" t="e">
        <f t="shared" si="273"/>
        <v>#NAME?</v>
      </c>
      <c r="W207" s="7" t="e">
        <f t="shared" si="273"/>
        <v>#NAME?</v>
      </c>
      <c r="X207" s="7" t="e">
        <f t="shared" si="273"/>
        <v>#NAME?</v>
      </c>
      <c r="Y207" s="7" t="e">
        <f t="shared" si="273"/>
        <v>#NAME?</v>
      </c>
      <c r="Z207" s="7" t="e">
        <f t="shared" si="273"/>
        <v>#NAME?</v>
      </c>
      <c r="AA207" s="7" t="e">
        <f t="shared" si="273"/>
        <v>#NAME?</v>
      </c>
      <c r="AB207" s="7" t="e">
        <f t="shared" si="273"/>
        <v>#NAME?</v>
      </c>
      <c r="AC207" s="7" t="e">
        <f t="shared" si="273"/>
        <v>#NAME?</v>
      </c>
      <c r="AD207" s="7" t="e">
        <f t="shared" si="273"/>
        <v>#NAME?</v>
      </c>
      <c r="AE207" s="7" t="e">
        <f t="shared" si="273"/>
        <v>#NAME?</v>
      </c>
      <c r="AF207" s="7" t="e">
        <f t="shared" si="273"/>
        <v>#NAME?</v>
      </c>
      <c r="AG207" s="7" t="e">
        <f t="shared" si="273"/>
        <v>#NAME?</v>
      </c>
      <c r="AH207" s="7" t="e">
        <f t="shared" si="60"/>
        <v>#NAME?</v>
      </c>
      <c r="AI207" s="7" t="e">
        <f t="shared" si="61"/>
        <v>#NAME?</v>
      </c>
      <c r="AJ207" s="8" t="e">
        <f t="shared" si="62"/>
        <v>#NAME?</v>
      </c>
      <c r="AK207" s="7" t="e">
        <f t="shared" si="63"/>
        <v>#NAME?</v>
      </c>
      <c r="AL207" s="7" t="e">
        <f t="shared" si="271"/>
        <v>#NAME?</v>
      </c>
    </row>
    <row r="208" spans="1:38">
      <c r="A208" s="7">
        <f t="shared" si="166"/>
        <v>20</v>
      </c>
      <c r="B208" s="7" t="e">
        <f t="shared" ref="B208:S208" si="274">B150-B182</f>
        <v>#NAME?</v>
      </c>
      <c r="C208" s="7" t="e">
        <f t="shared" si="274"/>
        <v>#NAME?</v>
      </c>
      <c r="D208" s="7" t="e">
        <f t="shared" si="274"/>
        <v>#NAME?</v>
      </c>
      <c r="E208" s="7" t="e">
        <f t="shared" si="274"/>
        <v>#NAME?</v>
      </c>
      <c r="F208" s="7" t="e">
        <f t="shared" si="274"/>
        <v>#NAME?</v>
      </c>
      <c r="G208" s="7" t="e">
        <f t="shared" si="274"/>
        <v>#NAME?</v>
      </c>
      <c r="H208" s="7" t="e">
        <f t="shared" si="274"/>
        <v>#NAME?</v>
      </c>
      <c r="I208" s="7" t="e">
        <f t="shared" si="274"/>
        <v>#NAME?</v>
      </c>
      <c r="J208" s="7" t="e">
        <f t="shared" si="274"/>
        <v>#NAME?</v>
      </c>
      <c r="K208" s="7" t="e">
        <f t="shared" si="274"/>
        <v>#NAME?</v>
      </c>
      <c r="L208" s="7" t="e">
        <f t="shared" si="274"/>
        <v>#NAME?</v>
      </c>
      <c r="M208" s="7" t="e">
        <f t="shared" si="274"/>
        <v>#NAME?</v>
      </c>
      <c r="N208" s="7" t="e">
        <f t="shared" si="274"/>
        <v>#NAME?</v>
      </c>
      <c r="O208" s="7" t="e">
        <f t="shared" si="274"/>
        <v>#NAME?</v>
      </c>
      <c r="P208" s="7" t="e">
        <f t="shared" si="274"/>
        <v>#NAME?</v>
      </c>
      <c r="Q208" s="7" t="e">
        <f t="shared" si="274"/>
        <v>#NAME?</v>
      </c>
      <c r="R208" s="7" t="e">
        <f t="shared" si="274"/>
        <v>#NAME?</v>
      </c>
      <c r="S208" s="7" t="e">
        <f t="shared" si="274"/>
        <v>#NAME?</v>
      </c>
      <c r="T208" s="7"/>
      <c r="U208" s="7" t="e">
        <f t="shared" ref="U208:AG208" si="275">U150-U182</f>
        <v>#NAME?</v>
      </c>
      <c r="V208" s="7" t="e">
        <f t="shared" si="275"/>
        <v>#NAME?</v>
      </c>
      <c r="W208" s="7" t="e">
        <f t="shared" si="275"/>
        <v>#NAME?</v>
      </c>
      <c r="X208" s="7" t="e">
        <f t="shared" si="275"/>
        <v>#NAME?</v>
      </c>
      <c r="Y208" s="7" t="e">
        <f t="shared" si="275"/>
        <v>#NAME?</v>
      </c>
      <c r="Z208" s="7" t="e">
        <f t="shared" si="275"/>
        <v>#NAME?</v>
      </c>
      <c r="AA208" s="7" t="e">
        <f t="shared" si="275"/>
        <v>#NAME?</v>
      </c>
      <c r="AB208" s="7" t="e">
        <f t="shared" si="275"/>
        <v>#NAME?</v>
      </c>
      <c r="AC208" s="7" t="e">
        <f t="shared" si="275"/>
        <v>#NAME?</v>
      </c>
      <c r="AD208" s="7" t="e">
        <f t="shared" si="275"/>
        <v>#NAME?</v>
      </c>
      <c r="AE208" s="7" t="e">
        <f t="shared" si="275"/>
        <v>#NAME?</v>
      </c>
      <c r="AF208" s="7" t="e">
        <f t="shared" si="275"/>
        <v>#NAME?</v>
      </c>
      <c r="AG208" s="7" t="e">
        <f t="shared" si="275"/>
        <v>#NAME?</v>
      </c>
      <c r="AH208" s="7" t="e">
        <f t="shared" si="60"/>
        <v>#NAME?</v>
      </c>
      <c r="AI208" s="7" t="e">
        <f t="shared" si="61"/>
        <v>#NAME?</v>
      </c>
      <c r="AJ208" s="8" t="e">
        <f t="shared" si="62"/>
        <v>#NAME?</v>
      </c>
      <c r="AK208" s="7" t="e">
        <f t="shared" si="63"/>
        <v>#NAME?</v>
      </c>
      <c r="AL208" s="7" t="e">
        <f t="shared" si="271"/>
        <v>#NAME?</v>
      </c>
    </row>
    <row r="209" spans="1:38">
      <c r="A209" s="7">
        <f t="shared" si="166"/>
        <v>21</v>
      </c>
      <c r="B209" s="7" t="e">
        <f t="shared" ref="B209:S209" si="276">B151-B183</f>
        <v>#NAME?</v>
      </c>
      <c r="C209" s="7" t="e">
        <f t="shared" si="276"/>
        <v>#NAME?</v>
      </c>
      <c r="D209" s="7" t="e">
        <f t="shared" si="276"/>
        <v>#NAME?</v>
      </c>
      <c r="E209" s="7" t="e">
        <f t="shared" si="276"/>
        <v>#NAME?</v>
      </c>
      <c r="F209" s="7" t="e">
        <f t="shared" si="276"/>
        <v>#NAME?</v>
      </c>
      <c r="G209" s="7" t="e">
        <f t="shared" si="276"/>
        <v>#NAME?</v>
      </c>
      <c r="H209" s="7" t="e">
        <f t="shared" si="276"/>
        <v>#NAME?</v>
      </c>
      <c r="I209" s="7" t="e">
        <f t="shared" si="276"/>
        <v>#NAME?</v>
      </c>
      <c r="J209" s="7" t="e">
        <f t="shared" si="276"/>
        <v>#NAME?</v>
      </c>
      <c r="K209" s="7" t="e">
        <f t="shared" si="276"/>
        <v>#NAME?</v>
      </c>
      <c r="L209" s="7" t="e">
        <f t="shared" si="276"/>
        <v>#NAME?</v>
      </c>
      <c r="M209" s="7" t="e">
        <f t="shared" si="276"/>
        <v>#NAME?</v>
      </c>
      <c r="N209" s="7" t="e">
        <f t="shared" si="276"/>
        <v>#NAME?</v>
      </c>
      <c r="O209" s="7" t="e">
        <f t="shared" si="276"/>
        <v>#NAME?</v>
      </c>
      <c r="P209" s="7" t="e">
        <f t="shared" si="276"/>
        <v>#NAME?</v>
      </c>
      <c r="Q209" s="7" t="e">
        <f t="shared" si="276"/>
        <v>#NAME?</v>
      </c>
      <c r="R209" s="7" t="e">
        <f t="shared" si="276"/>
        <v>#NAME?</v>
      </c>
      <c r="S209" s="7" t="e">
        <f t="shared" si="276"/>
        <v>#NAME?</v>
      </c>
      <c r="T209" s="7"/>
      <c r="U209" s="7" t="e">
        <f t="shared" ref="U209:AG209" si="277">U151-U183</f>
        <v>#NAME?</v>
      </c>
      <c r="V209" s="7" t="e">
        <f t="shared" si="277"/>
        <v>#NAME?</v>
      </c>
      <c r="W209" s="7" t="e">
        <f t="shared" si="277"/>
        <v>#NAME?</v>
      </c>
      <c r="X209" s="7" t="e">
        <f t="shared" si="277"/>
        <v>#NAME?</v>
      </c>
      <c r="Y209" s="7" t="e">
        <f t="shared" si="277"/>
        <v>#NAME?</v>
      </c>
      <c r="Z209" s="7" t="e">
        <f t="shared" si="277"/>
        <v>#NAME?</v>
      </c>
      <c r="AA209" s="7" t="e">
        <f t="shared" si="277"/>
        <v>#NAME?</v>
      </c>
      <c r="AB209" s="7" t="e">
        <f t="shared" si="277"/>
        <v>#NAME?</v>
      </c>
      <c r="AC209" s="7" t="e">
        <f t="shared" si="277"/>
        <v>#NAME?</v>
      </c>
      <c r="AD209" s="7" t="e">
        <f t="shared" si="277"/>
        <v>#NAME?</v>
      </c>
      <c r="AE209" s="7" t="e">
        <f t="shared" si="277"/>
        <v>#NAME?</v>
      </c>
      <c r="AF209" s="7" t="e">
        <f t="shared" si="277"/>
        <v>#NAME?</v>
      </c>
      <c r="AG209" s="7" t="e">
        <f t="shared" si="277"/>
        <v>#NAME?</v>
      </c>
      <c r="AH209" s="7" t="e">
        <f t="shared" si="60"/>
        <v>#NAME?</v>
      </c>
      <c r="AI209" s="7" t="e">
        <f t="shared" si="61"/>
        <v>#NAME?</v>
      </c>
      <c r="AJ209" s="8" t="e">
        <f t="shared" si="62"/>
        <v>#NAME?</v>
      </c>
      <c r="AK209" s="7" t="e">
        <f t="shared" si="63"/>
        <v>#NAME?</v>
      </c>
      <c r="AL209" s="7" t="e">
        <f t="shared" si="271"/>
        <v>#NAME?</v>
      </c>
    </row>
    <row r="210" spans="1:38">
      <c r="A210" s="7">
        <f t="shared" si="166"/>
        <v>22</v>
      </c>
      <c r="B210" s="7" t="e">
        <f t="shared" ref="B210:S210" si="278">B152-B184</f>
        <v>#NAME?</v>
      </c>
      <c r="C210" s="7" t="e">
        <f t="shared" si="278"/>
        <v>#NAME?</v>
      </c>
      <c r="D210" s="7" t="e">
        <f t="shared" si="278"/>
        <v>#NAME?</v>
      </c>
      <c r="E210" s="7" t="e">
        <f t="shared" si="278"/>
        <v>#NAME?</v>
      </c>
      <c r="F210" s="7" t="e">
        <f t="shared" si="278"/>
        <v>#NAME?</v>
      </c>
      <c r="G210" s="7" t="e">
        <f t="shared" si="278"/>
        <v>#NAME?</v>
      </c>
      <c r="H210" s="7" t="e">
        <f t="shared" si="278"/>
        <v>#NAME?</v>
      </c>
      <c r="I210" s="7" t="e">
        <f t="shared" si="278"/>
        <v>#NAME?</v>
      </c>
      <c r="J210" s="7" t="e">
        <f t="shared" si="278"/>
        <v>#NAME?</v>
      </c>
      <c r="K210" s="7" t="e">
        <f t="shared" si="278"/>
        <v>#NAME?</v>
      </c>
      <c r="L210" s="7" t="e">
        <f t="shared" si="278"/>
        <v>#NAME?</v>
      </c>
      <c r="M210" s="7" t="e">
        <f t="shared" si="278"/>
        <v>#NAME?</v>
      </c>
      <c r="N210" s="7" t="e">
        <f t="shared" si="278"/>
        <v>#NAME?</v>
      </c>
      <c r="O210" s="7" t="e">
        <f t="shared" si="278"/>
        <v>#NAME?</v>
      </c>
      <c r="P210" s="7" t="e">
        <f t="shared" si="278"/>
        <v>#NAME?</v>
      </c>
      <c r="Q210" s="7" t="e">
        <f t="shared" si="278"/>
        <v>#NAME?</v>
      </c>
      <c r="R210" s="7" t="e">
        <f t="shared" si="278"/>
        <v>#NAME?</v>
      </c>
      <c r="S210" s="7" t="e">
        <f t="shared" si="278"/>
        <v>#NAME?</v>
      </c>
      <c r="T210" s="7"/>
      <c r="U210" s="7" t="e">
        <f t="shared" ref="U210:AG210" si="279">U152-U184</f>
        <v>#NAME?</v>
      </c>
      <c r="V210" s="7" t="e">
        <f t="shared" si="279"/>
        <v>#NAME?</v>
      </c>
      <c r="W210" s="7" t="e">
        <f t="shared" si="279"/>
        <v>#NAME?</v>
      </c>
      <c r="X210" s="7" t="e">
        <f t="shared" si="279"/>
        <v>#NAME?</v>
      </c>
      <c r="Y210" s="7" t="e">
        <f t="shared" si="279"/>
        <v>#NAME?</v>
      </c>
      <c r="Z210" s="7" t="e">
        <f t="shared" si="279"/>
        <v>#NAME?</v>
      </c>
      <c r="AA210" s="7" t="e">
        <f t="shared" si="279"/>
        <v>#NAME?</v>
      </c>
      <c r="AB210" s="7" t="e">
        <f t="shared" si="279"/>
        <v>#NAME?</v>
      </c>
      <c r="AC210" s="7" t="e">
        <f t="shared" si="279"/>
        <v>#NAME?</v>
      </c>
      <c r="AD210" s="7" t="e">
        <f t="shared" si="279"/>
        <v>#NAME?</v>
      </c>
      <c r="AE210" s="7" t="e">
        <f t="shared" si="279"/>
        <v>#NAME?</v>
      </c>
      <c r="AF210" s="7" t="e">
        <f t="shared" si="279"/>
        <v>#NAME?</v>
      </c>
      <c r="AG210" s="7" t="e">
        <f t="shared" si="279"/>
        <v>#NAME?</v>
      </c>
      <c r="AH210" s="7" t="e">
        <f t="shared" si="60"/>
        <v>#NAME?</v>
      </c>
      <c r="AI210" s="7" t="e">
        <f t="shared" si="61"/>
        <v>#NAME?</v>
      </c>
      <c r="AJ210" s="8" t="e">
        <f t="shared" si="62"/>
        <v>#NAME?</v>
      </c>
      <c r="AK210" s="7" t="e">
        <f t="shared" si="63"/>
        <v>#NAME?</v>
      </c>
      <c r="AL210" s="7" t="e">
        <f t="shared" si="271"/>
        <v>#NAME?</v>
      </c>
    </row>
    <row r="211" spans="1:38">
      <c r="A211" s="7">
        <f t="shared" si="166"/>
        <v>23</v>
      </c>
      <c r="B211" s="7" t="e">
        <f t="shared" ref="B211:S211" si="280">B153-B185</f>
        <v>#NAME?</v>
      </c>
      <c r="C211" s="7" t="e">
        <f t="shared" si="280"/>
        <v>#NAME?</v>
      </c>
      <c r="D211" s="7" t="e">
        <f t="shared" si="280"/>
        <v>#NAME?</v>
      </c>
      <c r="E211" s="7" t="e">
        <f t="shared" si="280"/>
        <v>#NAME?</v>
      </c>
      <c r="F211" s="7" t="e">
        <f t="shared" si="280"/>
        <v>#NAME?</v>
      </c>
      <c r="G211" s="7" t="e">
        <f t="shared" si="280"/>
        <v>#NAME?</v>
      </c>
      <c r="H211" s="7" t="e">
        <f t="shared" si="280"/>
        <v>#NAME?</v>
      </c>
      <c r="I211" s="7" t="e">
        <f t="shared" si="280"/>
        <v>#NAME?</v>
      </c>
      <c r="J211" s="7" t="e">
        <f t="shared" si="280"/>
        <v>#NAME?</v>
      </c>
      <c r="K211" s="7" t="e">
        <f t="shared" si="280"/>
        <v>#NAME?</v>
      </c>
      <c r="L211" s="7" t="e">
        <f t="shared" si="280"/>
        <v>#NAME?</v>
      </c>
      <c r="M211" s="7" t="e">
        <f t="shared" si="280"/>
        <v>#NAME?</v>
      </c>
      <c r="N211" s="7" t="e">
        <f t="shared" si="280"/>
        <v>#NAME?</v>
      </c>
      <c r="O211" s="7" t="e">
        <f t="shared" si="280"/>
        <v>#NAME?</v>
      </c>
      <c r="P211" s="7" t="e">
        <f t="shared" si="280"/>
        <v>#NAME?</v>
      </c>
      <c r="Q211" s="7" t="e">
        <f t="shared" si="280"/>
        <v>#NAME?</v>
      </c>
      <c r="R211" s="7" t="e">
        <f t="shared" si="280"/>
        <v>#NAME?</v>
      </c>
      <c r="S211" s="7" t="e">
        <f t="shared" si="280"/>
        <v>#NAME?</v>
      </c>
      <c r="T211" s="7"/>
      <c r="U211" s="7" t="e">
        <f t="shared" ref="U211:AG211" si="281">U153-U185</f>
        <v>#NAME?</v>
      </c>
      <c r="V211" s="7" t="e">
        <f t="shared" si="281"/>
        <v>#NAME?</v>
      </c>
      <c r="W211" s="7" t="e">
        <f t="shared" si="281"/>
        <v>#NAME?</v>
      </c>
      <c r="X211" s="7" t="e">
        <f t="shared" si="281"/>
        <v>#NAME?</v>
      </c>
      <c r="Y211" s="7" t="e">
        <f t="shared" si="281"/>
        <v>#NAME?</v>
      </c>
      <c r="Z211" s="7" t="e">
        <f t="shared" si="281"/>
        <v>#NAME?</v>
      </c>
      <c r="AA211" s="7" t="e">
        <f t="shared" si="281"/>
        <v>#NAME?</v>
      </c>
      <c r="AB211" s="7" t="e">
        <f t="shared" si="281"/>
        <v>#NAME?</v>
      </c>
      <c r="AC211" s="7" t="e">
        <f t="shared" si="281"/>
        <v>#NAME?</v>
      </c>
      <c r="AD211" s="7" t="e">
        <f t="shared" si="281"/>
        <v>#NAME?</v>
      </c>
      <c r="AE211" s="7" t="e">
        <f t="shared" si="281"/>
        <v>#NAME?</v>
      </c>
      <c r="AF211" s="7" t="e">
        <f t="shared" si="281"/>
        <v>#NAME?</v>
      </c>
      <c r="AG211" s="7" t="e">
        <f t="shared" si="281"/>
        <v>#NAME?</v>
      </c>
      <c r="AH211" s="7" t="e">
        <f t="shared" si="60"/>
        <v>#NAME?</v>
      </c>
      <c r="AI211" s="7" t="e">
        <f t="shared" si="61"/>
        <v>#NAME?</v>
      </c>
      <c r="AJ211" s="8" t="e">
        <f t="shared" si="62"/>
        <v>#NAME?</v>
      </c>
      <c r="AK211" s="7" t="e">
        <f t="shared" si="63"/>
        <v>#NAME?</v>
      </c>
      <c r="AL211" s="7" t="e">
        <f t="shared" si="271"/>
        <v>#NAME?</v>
      </c>
    </row>
    <row r="212" spans="1:38">
      <c r="A212" s="7">
        <f t="shared" ref="A212" si="282">A186</f>
        <v>24</v>
      </c>
      <c r="B212" s="7" t="e">
        <f t="shared" ref="B212:S212" si="283">B154-B186</f>
        <v>#NAME?</v>
      </c>
      <c r="C212" s="7" t="e">
        <f t="shared" si="283"/>
        <v>#NAME?</v>
      </c>
      <c r="D212" s="7" t="e">
        <f t="shared" si="283"/>
        <v>#NAME?</v>
      </c>
      <c r="E212" s="7" t="e">
        <f t="shared" si="283"/>
        <v>#NAME?</v>
      </c>
      <c r="F212" s="7" t="e">
        <f t="shared" si="283"/>
        <v>#NAME?</v>
      </c>
      <c r="G212" s="7" t="e">
        <f t="shared" si="283"/>
        <v>#NAME?</v>
      </c>
      <c r="H212" s="7" t="e">
        <f t="shared" si="283"/>
        <v>#NAME?</v>
      </c>
      <c r="I212" s="7" t="e">
        <f t="shared" si="283"/>
        <v>#NAME?</v>
      </c>
      <c r="J212" s="7" t="e">
        <f t="shared" si="283"/>
        <v>#NAME?</v>
      </c>
      <c r="K212" s="7" t="e">
        <f t="shared" si="283"/>
        <v>#NAME?</v>
      </c>
      <c r="L212" s="7" t="e">
        <f t="shared" si="283"/>
        <v>#NAME?</v>
      </c>
      <c r="M212" s="7" t="e">
        <f t="shared" si="283"/>
        <v>#NAME?</v>
      </c>
      <c r="N212" s="7" t="e">
        <f t="shared" si="283"/>
        <v>#NAME?</v>
      </c>
      <c r="O212" s="7" t="e">
        <f t="shared" si="283"/>
        <v>#NAME?</v>
      </c>
      <c r="P212" s="7" t="e">
        <f t="shared" si="283"/>
        <v>#NAME?</v>
      </c>
      <c r="Q212" s="7" t="e">
        <f t="shared" si="283"/>
        <v>#NAME?</v>
      </c>
      <c r="R212" s="7" t="e">
        <f t="shared" si="283"/>
        <v>#NAME?</v>
      </c>
      <c r="S212" s="7" t="e">
        <f t="shared" si="283"/>
        <v>#NAME?</v>
      </c>
      <c r="T212" s="7"/>
      <c r="U212" s="7" t="e">
        <f t="shared" ref="U212:AG212" si="284">U154-U186</f>
        <v>#NAME?</v>
      </c>
      <c r="V212" s="7" t="e">
        <f t="shared" si="284"/>
        <v>#NAME?</v>
      </c>
      <c r="W212" s="7" t="e">
        <f t="shared" si="284"/>
        <v>#NAME?</v>
      </c>
      <c r="X212" s="7" t="e">
        <f t="shared" si="284"/>
        <v>#NAME?</v>
      </c>
      <c r="Y212" s="7" t="e">
        <f t="shared" si="284"/>
        <v>#NAME?</v>
      </c>
      <c r="Z212" s="7" t="e">
        <f t="shared" si="284"/>
        <v>#NAME?</v>
      </c>
      <c r="AA212" s="7" t="e">
        <f t="shared" si="284"/>
        <v>#NAME?</v>
      </c>
      <c r="AB212" s="7" t="e">
        <f t="shared" si="284"/>
        <v>#NAME?</v>
      </c>
      <c r="AC212" s="7" t="e">
        <f t="shared" si="284"/>
        <v>#NAME?</v>
      </c>
      <c r="AD212" s="7" t="e">
        <f t="shared" si="284"/>
        <v>#NAME?</v>
      </c>
      <c r="AE212" s="7" t="e">
        <f t="shared" si="284"/>
        <v>#NAME?</v>
      </c>
      <c r="AF212" s="7" t="e">
        <f t="shared" si="284"/>
        <v>#NAME?</v>
      </c>
      <c r="AG212" s="7" t="e">
        <f t="shared" si="284"/>
        <v>#NAME?</v>
      </c>
      <c r="AH212" s="7"/>
      <c r="AI212" s="7" t="e">
        <f t="shared" si="61"/>
        <v>#NAME?</v>
      </c>
      <c r="AJ212" s="8" t="e">
        <f t="shared" si="62"/>
        <v>#NAME?</v>
      </c>
      <c r="AK212" s="7" t="e">
        <f t="shared" si="63"/>
        <v>#NAME?</v>
      </c>
    </row>
  </sheetData>
  <mergeCells count="3">
    <mergeCell ref="AL117:AP117"/>
    <mergeCell ref="AL118:AP118"/>
    <mergeCell ref="AL119:AP119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V229"/>
  <sheetViews>
    <sheetView tabSelected="1" topLeftCell="A52" zoomScale="70" zoomScaleNormal="70" workbookViewId="0">
      <selection activeCell="B2" sqref="B2:AG51"/>
    </sheetView>
  </sheetViews>
  <sheetFormatPr defaultRowHeight="15"/>
  <cols>
    <col min="2" max="34" width="6.5703125" customWidth="1"/>
    <col min="35" max="35" width="8.42578125" customWidth="1"/>
    <col min="36" max="37" width="6.5703125" customWidth="1"/>
    <col min="38" max="38" width="6.5703125" style="7" customWidth="1"/>
  </cols>
  <sheetData>
    <row r="1" spans="1:42">
      <c r="B1" s="3">
        <f>data0!B1</f>
        <v>0</v>
      </c>
      <c r="C1" s="3">
        <f>data0!C1</f>
        <v>1</v>
      </c>
      <c r="D1" s="3">
        <f>data0!D1</f>
        <v>2</v>
      </c>
      <c r="E1" s="3">
        <f>data0!E1</f>
        <v>3</v>
      </c>
      <c r="F1" s="3">
        <f>data0!F1</f>
        <v>4</v>
      </c>
      <c r="G1" s="3">
        <f>data0!G1</f>
        <v>5</v>
      </c>
      <c r="H1" s="3">
        <f>data0!H1</f>
        <v>6</v>
      </c>
      <c r="I1" s="3">
        <f>data0!I1</f>
        <v>7</v>
      </c>
      <c r="J1" s="3">
        <f>data0!J1</f>
        <v>8</v>
      </c>
      <c r="K1" s="3">
        <f>data0!K1</f>
        <v>9</v>
      </c>
      <c r="L1" s="3">
        <f>data0!L1</f>
        <v>10</v>
      </c>
      <c r="M1" s="3">
        <f>data0!M1</f>
        <v>11</v>
      </c>
      <c r="N1" s="3">
        <f>data0!N1</f>
        <v>12</v>
      </c>
      <c r="O1" s="3">
        <f>data0!O1</f>
        <v>13</v>
      </c>
      <c r="P1" s="3">
        <f>data0!P1</f>
        <v>14</v>
      </c>
      <c r="Q1" s="3">
        <f>data0!Q1</f>
        <v>15</v>
      </c>
      <c r="R1" s="3">
        <f>data0!R1</f>
        <v>16</v>
      </c>
      <c r="S1" s="3">
        <f>data0!S1</f>
        <v>17</v>
      </c>
      <c r="T1" s="3">
        <f>data0!T1</f>
        <v>18</v>
      </c>
      <c r="U1" s="3">
        <f>data0!U1</f>
        <v>19</v>
      </c>
      <c r="V1" s="3">
        <f>data0!V1</f>
        <v>20</v>
      </c>
      <c r="W1" s="3">
        <f>data0!W1</f>
        <v>21</v>
      </c>
      <c r="X1" s="3">
        <f>data0!X1</f>
        <v>22</v>
      </c>
      <c r="Y1" s="3">
        <f>data0!Y1</f>
        <v>23</v>
      </c>
      <c r="Z1" s="3">
        <f>data0!Z1</f>
        <v>24</v>
      </c>
      <c r="AA1" s="3">
        <f>data0!AA1</f>
        <v>25</v>
      </c>
      <c r="AB1" s="3">
        <f>data0!AB1</f>
        <v>26</v>
      </c>
      <c r="AC1" s="3">
        <f>data0!AC1</f>
        <v>27</v>
      </c>
      <c r="AD1" s="3">
        <f>data0!AD1</f>
        <v>28</v>
      </c>
      <c r="AE1" s="3">
        <f>data0!AE1</f>
        <v>29</v>
      </c>
      <c r="AF1" s="3">
        <f>data0!AF1</f>
        <v>30</v>
      </c>
      <c r="AG1" s="3">
        <f>data0!AG1</f>
        <v>31</v>
      </c>
      <c r="AH1" s="4" t="s">
        <v>12</v>
      </c>
      <c r="AI1" s="13" t="s">
        <v>18</v>
      </c>
      <c r="AJ1" s="4" t="s">
        <v>13</v>
      </c>
      <c r="AK1" s="13" t="s">
        <v>19</v>
      </c>
      <c r="AL1" s="16" t="s">
        <v>16</v>
      </c>
      <c r="AM1" s="16" t="str">
        <f>AI1</f>
        <v>-1.5σ</v>
      </c>
      <c r="AN1" s="16" t="str">
        <f t="shared" ref="AN1:AO1" si="0">AJ1</f>
        <v>MEAN</v>
      </c>
      <c r="AO1" s="16" t="str">
        <f t="shared" si="0"/>
        <v>+1.5σ</v>
      </c>
      <c r="AP1" s="16"/>
    </row>
    <row r="2" spans="1:42">
      <c r="A2">
        <f>data0!A2</f>
        <v>0</v>
      </c>
      <c r="B2" s="7">
        <v>94.128646850585938</v>
      </c>
      <c r="C2" s="7">
        <v>93.146759033203125</v>
      </c>
      <c r="D2" s="7">
        <v>97.447059631347656</v>
      </c>
      <c r="E2" s="7">
        <v>87.324241638183594</v>
      </c>
      <c r="F2" s="7">
        <v>87.807647705078125</v>
      </c>
      <c r="G2" s="7">
        <v>86.99945068359375</v>
      </c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>
        <f>STDEV(B2:AG2)</f>
        <v>4.3714252499058963</v>
      </c>
      <c r="AI2">
        <f>AJ2-1.5*AH2</f>
        <v>84.585163048806521</v>
      </c>
      <c r="AJ2">
        <f>AVERAGE(B2:AG2)</f>
        <v>91.14230092366536</v>
      </c>
      <c r="AK2">
        <f>AJ2+1.5*AH2</f>
        <v>97.699438798524199</v>
      </c>
      <c r="AL2" s="7">
        <f>MAX(B2:AG2)</f>
        <v>97.447059631347656</v>
      </c>
      <c r="AM2" s="7" t="e">
        <f t="shared" ref="AM2:AM12" si="1">AI2*mult</f>
        <v>#NAME?</v>
      </c>
      <c r="AN2" s="7" t="e">
        <f t="shared" ref="AN2:AN12" si="2">AJ2*mult</f>
        <v>#NAME?</v>
      </c>
      <c r="AO2" s="7" t="e">
        <f t="shared" ref="AO2:AO12" si="3">AK2*mult</f>
        <v>#NAME?</v>
      </c>
      <c r="AP2" s="16"/>
    </row>
    <row r="3" spans="1:42">
      <c r="A3" s="3">
        <f>data0!A3</f>
        <v>1</v>
      </c>
      <c r="B3" s="7">
        <v>134.17912292480469</v>
      </c>
      <c r="C3" s="7">
        <v>129.17416381835937</v>
      </c>
      <c r="D3" s="7">
        <v>135.05929565429687</v>
      </c>
      <c r="E3" s="7">
        <v>125.06294250488281</v>
      </c>
      <c r="F3" s="7">
        <v>122.54689788818359</v>
      </c>
      <c r="G3" s="7">
        <v>122.14677429199219</v>
      </c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3">
        <f t="shared" ref="AH3:AH26" si="4">STDEV(B3:AG3)</f>
        <v>5.6923103431194644</v>
      </c>
      <c r="AI3" s="3">
        <f t="shared" ref="AI3:AI26" si="5">AJ3-1.5*AH3</f>
        <v>119.48973399907408</v>
      </c>
      <c r="AJ3" s="3">
        <f t="shared" ref="AJ3:AJ26" si="6">AVERAGE(B3:AG3)</f>
        <v>128.02819951375326</v>
      </c>
      <c r="AK3" s="3">
        <f t="shared" ref="AK3:AK26" si="7">AJ3+1.5*AH3</f>
        <v>136.56666502843245</v>
      </c>
      <c r="AL3" s="7">
        <f t="shared" ref="AL3:AL26" si="8">MAX(B3:AG3)</f>
        <v>135.05929565429687</v>
      </c>
      <c r="AM3" s="7" t="e">
        <f t="shared" si="1"/>
        <v>#NAME?</v>
      </c>
      <c r="AN3" s="7" t="e">
        <f t="shared" si="2"/>
        <v>#NAME?</v>
      </c>
      <c r="AO3" s="7" t="e">
        <f t="shared" si="3"/>
        <v>#NAME?</v>
      </c>
      <c r="AP3" s="16"/>
    </row>
    <row r="4" spans="1:42">
      <c r="A4" s="3">
        <f>data0!A4</f>
        <v>2</v>
      </c>
      <c r="B4" s="7">
        <v>76.147026062011719</v>
      </c>
      <c r="C4" s="7">
        <v>75.453926086425781</v>
      </c>
      <c r="D4" s="7">
        <v>78.724288940429688</v>
      </c>
      <c r="E4" s="7">
        <v>70.465927124023438</v>
      </c>
      <c r="F4" s="7">
        <v>71.216575622558594</v>
      </c>
      <c r="G4" s="7">
        <v>69.987022399902344</v>
      </c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3">
        <f t="shared" si="4"/>
        <v>3.5975958399038115</v>
      </c>
      <c r="AI4" s="3">
        <f t="shared" si="5"/>
        <v>68.269400612702881</v>
      </c>
      <c r="AJ4" s="3">
        <f t="shared" si="6"/>
        <v>73.665794372558594</v>
      </c>
      <c r="AK4" s="3">
        <f t="shared" si="7"/>
        <v>79.062188132414306</v>
      </c>
      <c r="AL4" s="7">
        <f t="shared" si="8"/>
        <v>78.724288940429688</v>
      </c>
      <c r="AM4" s="7" t="e">
        <f t="shared" si="1"/>
        <v>#NAME?</v>
      </c>
      <c r="AN4" s="7" t="e">
        <f t="shared" si="2"/>
        <v>#NAME?</v>
      </c>
      <c r="AO4" s="7" t="e">
        <f t="shared" si="3"/>
        <v>#NAME?</v>
      </c>
      <c r="AP4" s="16"/>
    </row>
    <row r="5" spans="1:42">
      <c r="A5" s="3">
        <f>data0!A5</f>
        <v>3</v>
      </c>
      <c r="B5" s="7">
        <v>108.78810882568359</v>
      </c>
      <c r="C5" s="7">
        <v>103.72865295410156</v>
      </c>
      <c r="D5" s="7">
        <v>108.72561645507812</v>
      </c>
      <c r="E5" s="7">
        <v>99.902511596679688</v>
      </c>
      <c r="F5" s="7">
        <v>97.372901916503906</v>
      </c>
      <c r="G5" s="7">
        <v>98.885246276855469</v>
      </c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3">
        <f t="shared" si="4"/>
        <v>4.9989257689022883</v>
      </c>
      <c r="AI5" s="3">
        <f t="shared" si="5"/>
        <v>95.402117684130289</v>
      </c>
      <c r="AJ5" s="3">
        <f t="shared" si="6"/>
        <v>102.90050633748372</v>
      </c>
      <c r="AK5" s="3">
        <f t="shared" si="7"/>
        <v>110.39889499083715</v>
      </c>
      <c r="AL5" s="7">
        <f t="shared" si="8"/>
        <v>108.78810882568359</v>
      </c>
      <c r="AM5" s="7" t="e">
        <f t="shared" si="1"/>
        <v>#NAME?</v>
      </c>
      <c r="AN5" s="7" t="e">
        <f t="shared" si="2"/>
        <v>#NAME?</v>
      </c>
      <c r="AO5" s="7" t="e">
        <f t="shared" si="3"/>
        <v>#NAME?</v>
      </c>
    </row>
    <row r="6" spans="1:42">
      <c r="A6" s="3">
        <f>data0!A6</f>
        <v>4</v>
      </c>
      <c r="B6" s="7">
        <v>61.706714630126953</v>
      </c>
      <c r="C6" s="7">
        <v>61.033042907714844</v>
      </c>
      <c r="D6" s="7">
        <v>63.310157775878906</v>
      </c>
      <c r="E6" s="7">
        <v>56.578083038330078</v>
      </c>
      <c r="F6" s="7">
        <v>57.304271697998047</v>
      </c>
      <c r="G6" s="7">
        <v>56.289623260498047</v>
      </c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3">
        <f t="shared" si="4"/>
        <v>3.0100346932468498</v>
      </c>
      <c r="AI6" s="3">
        <f t="shared" si="5"/>
        <v>54.855263511887536</v>
      </c>
      <c r="AJ6" s="3">
        <f t="shared" si="6"/>
        <v>59.370315551757813</v>
      </c>
      <c r="AK6" s="3">
        <f t="shared" si="7"/>
        <v>63.885367591628089</v>
      </c>
      <c r="AL6" s="7">
        <f t="shared" si="8"/>
        <v>63.310157775878906</v>
      </c>
      <c r="AM6" s="7" t="e">
        <f t="shared" si="1"/>
        <v>#NAME?</v>
      </c>
      <c r="AN6" s="7" t="e">
        <f t="shared" si="2"/>
        <v>#NAME?</v>
      </c>
      <c r="AO6" s="7" t="e">
        <f t="shared" si="3"/>
        <v>#NAME?</v>
      </c>
    </row>
    <row r="7" spans="1:42">
      <c r="A7" s="3">
        <f>data0!A7</f>
        <v>5</v>
      </c>
      <c r="B7" s="7">
        <v>87.338119506835938</v>
      </c>
      <c r="C7" s="7">
        <v>82.683555603027344</v>
      </c>
      <c r="D7" s="7">
        <v>87.397140502929688</v>
      </c>
      <c r="E7" s="7">
        <v>79.4735107421875</v>
      </c>
      <c r="F7" s="7">
        <v>79.398910522460938</v>
      </c>
      <c r="G7" s="7">
        <v>79.314216613769531</v>
      </c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3">
        <f t="shared" si="4"/>
        <v>3.906087337262258</v>
      </c>
      <c r="AI7" s="3">
        <f t="shared" si="5"/>
        <v>76.741777909308439</v>
      </c>
      <c r="AJ7" s="3">
        <f t="shared" si="6"/>
        <v>82.600908915201828</v>
      </c>
      <c r="AK7" s="3">
        <f t="shared" si="7"/>
        <v>88.460039921095216</v>
      </c>
      <c r="AL7" s="7">
        <f t="shared" si="8"/>
        <v>87.397140502929688</v>
      </c>
      <c r="AM7" s="7" t="e">
        <f t="shared" si="1"/>
        <v>#NAME?</v>
      </c>
      <c r="AN7" s="7" t="e">
        <f t="shared" si="2"/>
        <v>#NAME?</v>
      </c>
      <c r="AO7" s="7" t="e">
        <f t="shared" si="3"/>
        <v>#NAME?</v>
      </c>
    </row>
    <row r="8" spans="1:42">
      <c r="A8" s="3">
        <f>data0!A8</f>
        <v>6</v>
      </c>
      <c r="B8" s="7">
        <v>50.446849822998047</v>
      </c>
      <c r="C8" s="7">
        <v>50.043292999267578</v>
      </c>
      <c r="D8" s="7">
        <v>52.150459289550781</v>
      </c>
      <c r="E8" s="7">
        <v>46.200862884521484</v>
      </c>
      <c r="F8" s="7">
        <v>46.969493865966797</v>
      </c>
      <c r="G8" s="7">
        <v>46.033432006835937</v>
      </c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3">
        <f t="shared" si="4"/>
        <v>2.5726031971487928</v>
      </c>
      <c r="AI8" s="3">
        <f t="shared" si="5"/>
        <v>44.781827015800246</v>
      </c>
      <c r="AJ8" s="3">
        <f t="shared" si="6"/>
        <v>48.640731811523438</v>
      </c>
      <c r="AK8" s="3">
        <f t="shared" si="7"/>
        <v>52.499636607246629</v>
      </c>
      <c r="AL8" s="7">
        <f t="shared" si="8"/>
        <v>52.150459289550781</v>
      </c>
      <c r="AM8" s="7" t="e">
        <f t="shared" si="1"/>
        <v>#NAME?</v>
      </c>
      <c r="AN8" s="7" t="e">
        <f t="shared" si="2"/>
        <v>#NAME?</v>
      </c>
      <c r="AO8" s="7" t="e">
        <f t="shared" si="3"/>
        <v>#NAME?</v>
      </c>
    </row>
    <row r="9" spans="1:42">
      <c r="A9" s="3">
        <f>data0!A9</f>
        <v>7</v>
      </c>
      <c r="B9" s="7">
        <v>71.819854736328125</v>
      </c>
      <c r="C9" s="7">
        <v>67.290107727050781</v>
      </c>
      <c r="D9" s="7">
        <v>71.17938232421875</v>
      </c>
      <c r="E9" s="7">
        <v>64.888145446777344</v>
      </c>
      <c r="F9" s="7">
        <v>64.903968811035156</v>
      </c>
      <c r="G9" s="7">
        <v>64.847450256347656</v>
      </c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3">
        <f t="shared" si="4"/>
        <v>3.2508274013318266</v>
      </c>
      <c r="AI9" s="3">
        <f t="shared" si="5"/>
        <v>62.611910448295227</v>
      </c>
      <c r="AJ9" s="3">
        <f t="shared" si="6"/>
        <v>67.488151550292969</v>
      </c>
      <c r="AK9" s="3">
        <f t="shared" si="7"/>
        <v>72.364392652290704</v>
      </c>
      <c r="AL9" s="7">
        <f t="shared" si="8"/>
        <v>71.819854736328125</v>
      </c>
      <c r="AM9" s="7" t="e">
        <f t="shared" si="1"/>
        <v>#NAME?</v>
      </c>
      <c r="AN9" s="7" t="e">
        <f t="shared" si="2"/>
        <v>#NAME?</v>
      </c>
      <c r="AO9" s="7" t="e">
        <f t="shared" si="3"/>
        <v>#NAME?</v>
      </c>
    </row>
    <row r="10" spans="1:42">
      <c r="A10" s="3">
        <f>data0!A10</f>
        <v>8</v>
      </c>
      <c r="B10" s="7">
        <v>39.825767517089844</v>
      </c>
      <c r="C10" s="7">
        <v>38.769039154052734</v>
      </c>
      <c r="D10" s="7">
        <v>41.00299072265625</v>
      </c>
      <c r="E10" s="7">
        <v>36.057613372802734</v>
      </c>
      <c r="F10" s="7">
        <v>36.736503601074219</v>
      </c>
      <c r="G10" s="7">
        <v>35.996646881103516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3">
        <f t="shared" si="4"/>
        <v>2.1118878236568044</v>
      </c>
      <c r="AI10" s="3">
        <f t="shared" si="5"/>
        <v>34.896928472644674</v>
      </c>
      <c r="AJ10" s="3">
        <f t="shared" si="6"/>
        <v>38.064760208129883</v>
      </c>
      <c r="AK10" s="3">
        <f t="shared" si="7"/>
        <v>41.232591943615091</v>
      </c>
      <c r="AL10" s="7">
        <f t="shared" si="8"/>
        <v>41.00299072265625</v>
      </c>
      <c r="AM10" s="7" t="e">
        <f t="shared" si="1"/>
        <v>#NAME?</v>
      </c>
      <c r="AN10" s="7" t="e">
        <f t="shared" si="2"/>
        <v>#NAME?</v>
      </c>
      <c r="AO10" s="7" t="e">
        <f t="shared" si="3"/>
        <v>#NAME?</v>
      </c>
    </row>
    <row r="11" spans="1:42">
      <c r="A11" s="3">
        <f>data0!A11</f>
        <v>9</v>
      </c>
      <c r="B11" s="7">
        <v>56.474205017089844</v>
      </c>
      <c r="C11" s="7">
        <v>52.957527160644531</v>
      </c>
      <c r="D11" s="7">
        <v>56.196151733398437</v>
      </c>
      <c r="E11" s="7">
        <v>50.809150695800781</v>
      </c>
      <c r="F11" s="7">
        <v>49.960216522216797</v>
      </c>
      <c r="G11" s="7">
        <v>50.083499908447266</v>
      </c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3">
        <f t="shared" si="4"/>
        <v>2.9815660703845537</v>
      </c>
      <c r="AI11" s="3">
        <f t="shared" si="5"/>
        <v>48.274442734022777</v>
      </c>
      <c r="AJ11" s="3">
        <f t="shared" si="6"/>
        <v>52.746791839599609</v>
      </c>
      <c r="AK11" s="3">
        <f t="shared" si="7"/>
        <v>57.219140945176441</v>
      </c>
      <c r="AL11" s="7">
        <f t="shared" si="8"/>
        <v>56.474205017089844</v>
      </c>
      <c r="AM11" s="7" t="e">
        <f t="shared" si="1"/>
        <v>#NAME?</v>
      </c>
      <c r="AN11" s="7" t="e">
        <f t="shared" si="2"/>
        <v>#NAME?</v>
      </c>
      <c r="AO11" s="7" t="e">
        <f t="shared" si="3"/>
        <v>#NAME?</v>
      </c>
    </row>
    <row r="12" spans="1:42">
      <c r="A12" s="3">
        <f>data0!A12</f>
        <v>10</v>
      </c>
      <c r="B12" s="7">
        <v>29.821535110473633</v>
      </c>
      <c r="C12" s="7">
        <v>29.114950180053711</v>
      </c>
      <c r="D12" s="7">
        <v>30.534774780273438</v>
      </c>
      <c r="E12" s="7">
        <v>27.078638076782227</v>
      </c>
      <c r="F12" s="7">
        <v>27.306314468383789</v>
      </c>
      <c r="G12" s="7">
        <v>26.925235748291016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3">
        <f t="shared" si="4"/>
        <v>1.5608974142658227</v>
      </c>
      <c r="AI12" s="3">
        <f t="shared" si="5"/>
        <v>26.122228605977568</v>
      </c>
      <c r="AJ12" s="3">
        <f t="shared" si="6"/>
        <v>28.463574727376301</v>
      </c>
      <c r="AK12" s="3">
        <f t="shared" si="7"/>
        <v>30.804920848775033</v>
      </c>
      <c r="AL12" s="7">
        <f t="shared" si="8"/>
        <v>30.534774780273438</v>
      </c>
      <c r="AM12" s="7" t="e">
        <f t="shared" si="1"/>
        <v>#NAME?</v>
      </c>
      <c r="AN12" s="7" t="e">
        <f t="shared" si="2"/>
        <v>#NAME?</v>
      </c>
      <c r="AO12" s="7" t="e">
        <f t="shared" si="3"/>
        <v>#NAME?</v>
      </c>
    </row>
    <row r="13" spans="1:42">
      <c r="A13" s="3">
        <f>data0!A13</f>
        <v>11</v>
      </c>
      <c r="B13" s="7">
        <v>42.167217254638672</v>
      </c>
      <c r="C13" s="7">
        <v>39.433673858642578</v>
      </c>
      <c r="D13" s="7">
        <v>41.811981201171875</v>
      </c>
      <c r="E13" s="7">
        <v>37.939579010009766</v>
      </c>
      <c r="F13" s="7">
        <v>37.99609375</v>
      </c>
      <c r="G13" s="7">
        <v>37.329219818115234</v>
      </c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3">
        <f t="shared" si="4"/>
        <v>2.0907095674509488</v>
      </c>
      <c r="AI13" s="3">
        <f t="shared" si="5"/>
        <v>36.310229797586601</v>
      </c>
      <c r="AJ13" s="3">
        <f t="shared" si="6"/>
        <v>39.446294148763023</v>
      </c>
      <c r="AK13" s="3">
        <f t="shared" si="7"/>
        <v>42.582358499939446</v>
      </c>
      <c r="AL13" s="7">
        <f t="shared" si="8"/>
        <v>42.167217254638672</v>
      </c>
      <c r="AM13" s="7" t="e">
        <f t="shared" ref="AM13:AM16" si="9">AI13*mult</f>
        <v>#NAME?</v>
      </c>
      <c r="AN13" s="7" t="e">
        <f t="shared" ref="AN13:AN16" si="10">AJ13*mult</f>
        <v>#NAME?</v>
      </c>
      <c r="AO13" s="7" t="e">
        <f t="shared" ref="AO13:AO16" si="11">AK13*mult</f>
        <v>#NAME?</v>
      </c>
    </row>
    <row r="14" spans="1:42">
      <c r="A14" s="3">
        <f>data0!A14</f>
        <v>12</v>
      </c>
      <c r="B14" s="7">
        <v>24.369012832641602</v>
      </c>
      <c r="C14" s="7">
        <v>24.037750244140625</v>
      </c>
      <c r="D14" s="7">
        <v>25.075597763061523</v>
      </c>
      <c r="E14" s="7">
        <v>22.226236343383789</v>
      </c>
      <c r="F14" s="7">
        <v>22.076070785522461</v>
      </c>
      <c r="G14" s="7">
        <v>21.804336547851563</v>
      </c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3">
        <f t="shared" si="4"/>
        <v>1.3943006634641462</v>
      </c>
      <c r="AI14" s="3">
        <f t="shared" si="5"/>
        <v>21.173383090904043</v>
      </c>
      <c r="AJ14" s="3">
        <f t="shared" si="6"/>
        <v>23.264834086100262</v>
      </c>
      <c r="AK14" s="3">
        <f t="shared" si="7"/>
        <v>25.35628508129648</v>
      </c>
      <c r="AL14" s="7">
        <f t="shared" si="8"/>
        <v>25.075597763061523</v>
      </c>
      <c r="AM14" s="7" t="e">
        <f t="shared" si="9"/>
        <v>#NAME?</v>
      </c>
      <c r="AN14" s="7" t="e">
        <f t="shared" si="10"/>
        <v>#NAME?</v>
      </c>
      <c r="AO14" s="7" t="e">
        <f t="shared" si="11"/>
        <v>#NAME?</v>
      </c>
    </row>
    <row r="15" spans="1:42">
      <c r="A15" s="3">
        <f>data0!A15</f>
        <v>13</v>
      </c>
      <c r="B15" s="7">
        <v>34.903923034667969</v>
      </c>
      <c r="C15" s="7">
        <v>32.263225555419922</v>
      </c>
      <c r="D15" s="7">
        <v>34.202007293701172</v>
      </c>
      <c r="E15" s="7">
        <v>30.850351333618164</v>
      </c>
      <c r="F15" s="7">
        <v>30.243381500244141</v>
      </c>
      <c r="G15" s="7">
        <v>30.223762512207031</v>
      </c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3">
        <f t="shared" si="4"/>
        <v>2.0413099410301978</v>
      </c>
      <c r="AI15" s="3">
        <f t="shared" si="5"/>
        <v>29.052476960097771</v>
      </c>
      <c r="AJ15" s="3">
        <f t="shared" si="6"/>
        <v>32.114441871643066</v>
      </c>
      <c r="AK15" s="3">
        <f t="shared" si="7"/>
        <v>35.176406783188362</v>
      </c>
      <c r="AL15" s="7">
        <f t="shared" si="8"/>
        <v>34.903923034667969</v>
      </c>
      <c r="AM15" s="7" t="e">
        <f t="shared" si="9"/>
        <v>#NAME?</v>
      </c>
      <c r="AN15" s="7" t="e">
        <f t="shared" si="10"/>
        <v>#NAME?</v>
      </c>
      <c r="AO15" s="7" t="e">
        <f t="shared" si="11"/>
        <v>#NAME?</v>
      </c>
    </row>
    <row r="16" spans="1:42">
      <c r="A16" s="3">
        <f>data0!A16</f>
        <v>14</v>
      </c>
      <c r="B16" s="7">
        <v>19.741588592529297</v>
      </c>
      <c r="C16" s="7">
        <v>19.290193557739258</v>
      </c>
      <c r="D16" s="7">
        <v>19.989765167236328</v>
      </c>
      <c r="E16" s="7">
        <v>17.849147796630859</v>
      </c>
      <c r="F16" s="7">
        <v>18.088872909545898</v>
      </c>
      <c r="G16" s="7">
        <v>17.588741302490234</v>
      </c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3">
        <f t="shared" si="4"/>
        <v>1.0400799205804769</v>
      </c>
      <c r="AI16" s="3">
        <f t="shared" si="5"/>
        <v>17.197931673491265</v>
      </c>
      <c r="AJ16" s="3">
        <f t="shared" si="6"/>
        <v>18.75805155436198</v>
      </c>
      <c r="AK16" s="3">
        <f t="shared" si="7"/>
        <v>20.318171435232696</v>
      </c>
      <c r="AL16" s="7">
        <f t="shared" si="8"/>
        <v>19.989765167236328</v>
      </c>
      <c r="AM16" s="7" t="e">
        <f t="shared" si="9"/>
        <v>#NAME?</v>
      </c>
      <c r="AN16" s="7" t="e">
        <f t="shared" si="10"/>
        <v>#NAME?</v>
      </c>
      <c r="AO16" s="7" t="e">
        <f t="shared" si="11"/>
        <v>#NAME?</v>
      </c>
    </row>
    <row r="17" spans="1:41">
      <c r="A17" s="3">
        <f>data0!A17</f>
        <v>15</v>
      </c>
      <c r="B17" s="7">
        <v>27.727823257446289</v>
      </c>
      <c r="C17" s="7">
        <v>25.797920227050781</v>
      </c>
      <c r="D17" s="7">
        <v>27.278610229492188</v>
      </c>
      <c r="E17" s="7">
        <v>24.728658676147461</v>
      </c>
      <c r="F17" s="7">
        <v>24.412174224853516</v>
      </c>
      <c r="G17" s="7">
        <v>24.186115264892578</v>
      </c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3">
        <f t="shared" si="4"/>
        <v>1.517018484050773</v>
      </c>
      <c r="AI17" s="3">
        <f t="shared" si="5"/>
        <v>23.413022587237641</v>
      </c>
      <c r="AJ17" s="3">
        <f t="shared" si="6"/>
        <v>25.688550313313801</v>
      </c>
      <c r="AK17" s="3">
        <f t="shared" si="7"/>
        <v>27.96407803938996</v>
      </c>
      <c r="AL17" s="7">
        <f t="shared" si="8"/>
        <v>27.727823257446289</v>
      </c>
      <c r="AM17" s="7" t="e">
        <f t="shared" ref="AM17:AM26" si="12">AI17*mult</f>
        <v>#NAME?</v>
      </c>
      <c r="AN17" s="7" t="e">
        <f t="shared" ref="AN17:AN26" si="13">AJ17*mult</f>
        <v>#NAME?</v>
      </c>
      <c r="AO17" s="7" t="e">
        <f t="shared" ref="AO17:AO26" si="14">AK17*mult</f>
        <v>#NAME?</v>
      </c>
    </row>
    <row r="18" spans="1:41">
      <c r="A18" s="3">
        <f>data0!A18</f>
        <v>16</v>
      </c>
      <c r="B18" s="7">
        <v>15.888909339904785</v>
      </c>
      <c r="C18" s="7">
        <v>15.511608123779297</v>
      </c>
      <c r="D18" s="7">
        <v>16.066410064697266</v>
      </c>
      <c r="E18" s="7">
        <v>14.182241439819336</v>
      </c>
      <c r="F18" s="7">
        <v>14.360821723937988</v>
      </c>
      <c r="G18" s="7">
        <v>13.931906700134277</v>
      </c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3">
        <f t="shared" si="4"/>
        <v>0.93879408704572798</v>
      </c>
      <c r="AI18" s="3">
        <f t="shared" si="5"/>
        <v>13.582125101476901</v>
      </c>
      <c r="AJ18" s="3">
        <f t="shared" si="6"/>
        <v>14.990316232045492</v>
      </c>
      <c r="AK18" s="3">
        <f t="shared" si="7"/>
        <v>16.398507362614083</v>
      </c>
      <c r="AL18" s="7">
        <f t="shared" si="8"/>
        <v>16.066410064697266</v>
      </c>
      <c r="AM18" s="7" t="e">
        <f t="shared" si="12"/>
        <v>#NAME?</v>
      </c>
      <c r="AN18" s="7" t="e">
        <f t="shared" si="13"/>
        <v>#NAME?</v>
      </c>
      <c r="AO18" s="7" t="e">
        <f t="shared" si="14"/>
        <v>#NAME?</v>
      </c>
    </row>
    <row r="19" spans="1:41">
      <c r="A19" s="3">
        <f>data0!A19</f>
        <v>17</v>
      </c>
      <c r="B19" s="7">
        <v>22.762100219726563</v>
      </c>
      <c r="C19" s="7">
        <v>20.781658172607422</v>
      </c>
      <c r="D19" s="7">
        <v>22.101844787597656</v>
      </c>
      <c r="E19" s="7">
        <v>20.211986541748047</v>
      </c>
      <c r="F19" s="7">
        <v>19.877418518066406</v>
      </c>
      <c r="G19" s="7">
        <v>19.646839141845703</v>
      </c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3">
        <f t="shared" si="4"/>
        <v>1.2661157555799392</v>
      </c>
      <c r="AI19" s="3">
        <f t="shared" si="5"/>
        <v>18.997800930228724</v>
      </c>
      <c r="AJ19" s="3">
        <f t="shared" si="6"/>
        <v>20.896974563598633</v>
      </c>
      <c r="AK19" s="3">
        <f t="shared" si="7"/>
        <v>22.796148196968542</v>
      </c>
      <c r="AL19" s="7">
        <f t="shared" si="8"/>
        <v>22.762100219726563</v>
      </c>
      <c r="AM19" s="7" t="e">
        <f t="shared" si="12"/>
        <v>#NAME?</v>
      </c>
      <c r="AN19" s="7" t="e">
        <f t="shared" si="13"/>
        <v>#NAME?</v>
      </c>
      <c r="AO19" s="7" t="e">
        <f t="shared" si="14"/>
        <v>#NAME?</v>
      </c>
    </row>
    <row r="20" spans="1:41">
      <c r="A20" s="3">
        <f>data0!A20</f>
        <v>18</v>
      </c>
      <c r="B20" s="7">
        <v>13.022643089294434</v>
      </c>
      <c r="C20" s="7">
        <v>12.297174453735352</v>
      </c>
      <c r="D20" s="7">
        <v>12.974086761474609</v>
      </c>
      <c r="E20" s="7">
        <v>11.50660514831543</v>
      </c>
      <c r="F20" s="7">
        <v>11.550845146179199</v>
      </c>
      <c r="G20" s="7">
        <v>11.378379821777344</v>
      </c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3">
        <f t="shared" si="4"/>
        <v>0.75177053907739499</v>
      </c>
      <c r="AI20" s="3">
        <f t="shared" si="5"/>
        <v>10.993966594846636</v>
      </c>
      <c r="AJ20" s="3">
        <f t="shared" si="6"/>
        <v>12.121622403462728</v>
      </c>
      <c r="AK20" s="3">
        <f t="shared" si="7"/>
        <v>13.249278212078821</v>
      </c>
      <c r="AL20" s="7">
        <f t="shared" si="8"/>
        <v>13.022643089294434</v>
      </c>
      <c r="AM20" s="7" t="e">
        <f t="shared" si="12"/>
        <v>#NAME?</v>
      </c>
      <c r="AN20" s="7" t="e">
        <f t="shared" si="13"/>
        <v>#NAME?</v>
      </c>
      <c r="AO20" s="7" t="e">
        <f t="shared" si="14"/>
        <v>#NAME?</v>
      </c>
    </row>
    <row r="21" spans="1:41">
      <c r="A21" s="3">
        <f>data0!A21</f>
        <v>19</v>
      </c>
      <c r="B21" s="7">
        <v>18.554969787597656</v>
      </c>
      <c r="C21" s="7">
        <v>17.111902236938477</v>
      </c>
      <c r="D21" s="7">
        <v>18.044076919555664</v>
      </c>
      <c r="E21" s="7">
        <v>16.36421012878418</v>
      </c>
      <c r="F21" s="7">
        <v>16.122245788574219</v>
      </c>
      <c r="G21" s="7">
        <v>16.203950881958008</v>
      </c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3">
        <f t="shared" si="4"/>
        <v>1.0297647731865252</v>
      </c>
      <c r="AI21" s="3">
        <f t="shared" si="5"/>
        <v>15.52224546412158</v>
      </c>
      <c r="AJ21" s="3">
        <f t="shared" si="6"/>
        <v>17.066892623901367</v>
      </c>
      <c r="AK21" s="3">
        <f t="shared" si="7"/>
        <v>18.611539783681156</v>
      </c>
      <c r="AL21" s="7">
        <f t="shared" si="8"/>
        <v>18.554969787597656</v>
      </c>
      <c r="AM21" s="7" t="e">
        <f t="shared" si="12"/>
        <v>#NAME?</v>
      </c>
      <c r="AN21" s="7" t="e">
        <f t="shared" si="13"/>
        <v>#NAME?</v>
      </c>
      <c r="AO21" s="7" t="e">
        <f t="shared" si="14"/>
        <v>#NAME?</v>
      </c>
    </row>
    <row r="22" spans="1:41">
      <c r="A22" s="3">
        <f>data0!A22</f>
        <v>20</v>
      </c>
      <c r="B22" s="7">
        <v>10.252411842346191</v>
      </c>
      <c r="C22" s="7">
        <v>9.5995979309082031</v>
      </c>
      <c r="D22" s="7">
        <v>10.400777816772461</v>
      </c>
      <c r="E22" s="7">
        <v>8.9417486190795898</v>
      </c>
      <c r="F22" s="7">
        <v>9.0944318771362305</v>
      </c>
      <c r="G22" s="7">
        <v>8.7297191619873047</v>
      </c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3">
        <f t="shared" si="4"/>
        <v>0.70097767115907139</v>
      </c>
      <c r="AI22" s="3">
        <f t="shared" si="5"/>
        <v>8.451648034633056</v>
      </c>
      <c r="AJ22" s="3">
        <f t="shared" si="6"/>
        <v>9.503114541371664</v>
      </c>
      <c r="AK22" s="3">
        <f t="shared" si="7"/>
        <v>10.554581048110272</v>
      </c>
      <c r="AL22" s="7">
        <f t="shared" si="8"/>
        <v>10.400777816772461</v>
      </c>
      <c r="AM22" s="7" t="e">
        <f t="shared" si="12"/>
        <v>#NAME?</v>
      </c>
      <c r="AN22" s="7" t="e">
        <f t="shared" si="13"/>
        <v>#NAME?</v>
      </c>
      <c r="AO22" s="7" t="e">
        <f t="shared" si="14"/>
        <v>#NAME?</v>
      </c>
    </row>
    <row r="23" spans="1:41">
      <c r="A23" s="3">
        <f>data0!A23</f>
        <v>21</v>
      </c>
      <c r="B23" s="7">
        <v>14.707436561584473</v>
      </c>
      <c r="C23" s="7">
        <v>13.443763732910156</v>
      </c>
      <c r="D23" s="7">
        <v>14.429383277893066</v>
      </c>
      <c r="E23" s="7">
        <v>12.625428199768066</v>
      </c>
      <c r="F23" s="7">
        <v>12.586513519287109</v>
      </c>
      <c r="G23" s="7">
        <v>12.54178524017334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3">
        <f t="shared" si="4"/>
        <v>0.97657264730457016</v>
      </c>
      <c r="AI23" s="3">
        <f t="shared" si="5"/>
        <v>11.924192784312513</v>
      </c>
      <c r="AJ23" s="3">
        <f t="shared" si="6"/>
        <v>13.389051755269369</v>
      </c>
      <c r="AK23" s="3">
        <f t="shared" si="7"/>
        <v>14.853910726226225</v>
      </c>
      <c r="AL23" s="7">
        <f t="shared" si="8"/>
        <v>14.707436561584473</v>
      </c>
      <c r="AM23" s="7" t="e">
        <f t="shared" si="12"/>
        <v>#NAME?</v>
      </c>
      <c r="AN23" s="7" t="e">
        <f t="shared" si="13"/>
        <v>#NAME?</v>
      </c>
      <c r="AO23" s="7" t="e">
        <f t="shared" si="14"/>
        <v>#NAME?</v>
      </c>
    </row>
    <row r="24" spans="1:41">
      <c r="A24" s="3">
        <f>data0!A24</f>
        <v>22</v>
      </c>
      <c r="B24" s="7">
        <v>9.2688751220703125</v>
      </c>
      <c r="C24" s="7">
        <v>8.7293596267700195</v>
      </c>
      <c r="D24" s="7">
        <v>9.2940521240234375</v>
      </c>
      <c r="E24" s="7">
        <v>8.0177383422851562</v>
      </c>
      <c r="F24" s="7">
        <v>8.2274303436279297</v>
      </c>
      <c r="G24" s="7">
        <v>8.028529167175293</v>
      </c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3">
        <f t="shared" si="4"/>
        <v>0.59161795994984445</v>
      </c>
      <c r="AI24" s="3">
        <f t="shared" si="5"/>
        <v>7.7069038477339245</v>
      </c>
      <c r="AJ24" s="3">
        <f t="shared" si="6"/>
        <v>8.5943307876586914</v>
      </c>
      <c r="AK24" s="3">
        <f t="shared" si="7"/>
        <v>9.4817577275834584</v>
      </c>
      <c r="AL24" s="7">
        <f t="shared" si="8"/>
        <v>9.2940521240234375</v>
      </c>
      <c r="AM24" s="7" t="e">
        <f t="shared" si="12"/>
        <v>#NAME?</v>
      </c>
      <c r="AN24" s="7" t="e">
        <f t="shared" si="13"/>
        <v>#NAME?</v>
      </c>
      <c r="AO24" s="7" t="e">
        <f t="shared" si="14"/>
        <v>#NAME?</v>
      </c>
    </row>
    <row r="25" spans="1:41">
      <c r="A25" s="3">
        <f>data0!A25</f>
        <v>23</v>
      </c>
      <c r="B25" s="7">
        <v>13.443198204040527</v>
      </c>
      <c r="C25" s="7">
        <v>12.21399974822998</v>
      </c>
      <c r="D25" s="7">
        <v>13.332025527954102</v>
      </c>
      <c r="E25" s="7">
        <v>11.514021873474121</v>
      </c>
      <c r="F25" s="7">
        <v>11.558426856994629</v>
      </c>
      <c r="G25" s="7">
        <v>11.55616569519043</v>
      </c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3">
        <f t="shared" si="4"/>
        <v>0.90496698032967349</v>
      </c>
      <c r="AI25" s="3">
        <f t="shared" si="5"/>
        <v>10.91218918048612</v>
      </c>
      <c r="AJ25" s="3">
        <f t="shared" si="6"/>
        <v>12.269639650980631</v>
      </c>
      <c r="AK25" s="3">
        <f t="shared" si="7"/>
        <v>13.627090121475142</v>
      </c>
      <c r="AL25" s="7">
        <f t="shared" si="8"/>
        <v>13.443198204040527</v>
      </c>
      <c r="AM25" s="7" t="e">
        <f t="shared" si="12"/>
        <v>#NAME?</v>
      </c>
      <c r="AN25" s="7" t="e">
        <f t="shared" si="13"/>
        <v>#NAME?</v>
      </c>
      <c r="AO25" s="7" t="e">
        <f t="shared" si="14"/>
        <v>#NAME?</v>
      </c>
    </row>
    <row r="26" spans="1:41">
      <c r="A26" s="3">
        <f>data0!A26</f>
        <v>24</v>
      </c>
      <c r="B26" s="7">
        <v>7.6792826652526855</v>
      </c>
      <c r="C26" s="7">
        <v>7.2068467140197754</v>
      </c>
      <c r="D26" s="7">
        <v>7.5809111595153809</v>
      </c>
      <c r="E26" s="7">
        <v>6.602409839630127</v>
      </c>
      <c r="F26" s="7">
        <v>6.7764935493469238</v>
      </c>
      <c r="G26" s="7">
        <v>6.6486282348632812</v>
      </c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3">
        <f t="shared" si="4"/>
        <v>0.47589841915344239</v>
      </c>
      <c r="AI26" s="3">
        <f t="shared" si="5"/>
        <v>6.3685810650411989</v>
      </c>
      <c r="AJ26" s="3">
        <f t="shared" si="6"/>
        <v>7.0824286937713623</v>
      </c>
      <c r="AK26" s="3">
        <f t="shared" si="7"/>
        <v>7.7962763225015257</v>
      </c>
      <c r="AL26" s="7">
        <f t="shared" si="8"/>
        <v>7.6792826652526855</v>
      </c>
      <c r="AM26" s="7" t="e">
        <f t="shared" si="12"/>
        <v>#NAME?</v>
      </c>
      <c r="AN26" s="7" t="e">
        <f t="shared" si="13"/>
        <v>#NAME?</v>
      </c>
      <c r="AO26" s="7" t="e">
        <f t="shared" si="14"/>
        <v>#NAME?</v>
      </c>
    </row>
    <row r="27" spans="1:41" s="7" customFormat="1">
      <c r="A27" s="7">
        <f>data0!A27</f>
        <v>25</v>
      </c>
      <c r="B27" s="7">
        <v>11.165244102478027</v>
      </c>
      <c r="C27" s="7">
        <v>10.107124328613281</v>
      </c>
      <c r="D27" s="7">
        <v>10.841817855834961</v>
      </c>
      <c r="E27" s="7">
        <v>9.6044645309448242</v>
      </c>
      <c r="F27" s="7">
        <v>9.523890495300293</v>
      </c>
      <c r="G27" s="7">
        <v>9.6482229232788086</v>
      </c>
    </row>
    <row r="28" spans="1:41" s="7" customFormat="1">
      <c r="A28" s="7">
        <f>data0!A28</f>
        <v>26</v>
      </c>
      <c r="B28" s="7">
        <v>6.046349048614502</v>
      </c>
      <c r="C28" s="7">
        <v>5.6474676132202148</v>
      </c>
      <c r="D28" s="7">
        <v>6.0824966430664063</v>
      </c>
      <c r="E28" s="7">
        <v>5.180427074432373</v>
      </c>
      <c r="F28" s="7">
        <v>5.4023475646972656</v>
      </c>
      <c r="G28" s="7">
        <v>5.1458978652954102</v>
      </c>
    </row>
    <row r="29" spans="1:41" s="7" customFormat="1">
      <c r="A29" s="7">
        <f>data0!A29</f>
        <v>27</v>
      </c>
      <c r="B29" s="7">
        <v>8.7552881240844727</v>
      </c>
      <c r="C29" s="7">
        <v>7.9369521141052246</v>
      </c>
      <c r="D29" s="7">
        <v>8.5880031585693359</v>
      </c>
      <c r="E29" s="7">
        <v>7.5164809226989746</v>
      </c>
      <c r="F29" s="7">
        <v>7.5481295585632324</v>
      </c>
      <c r="G29" s="7">
        <v>7.4260573387145996</v>
      </c>
    </row>
    <row r="30" spans="1:41" s="7" customFormat="1">
      <c r="A30" s="7">
        <f>data0!A30</f>
        <v>28</v>
      </c>
      <c r="B30" s="7">
        <v>4.9148054122924805</v>
      </c>
      <c r="C30" s="7">
        <v>4.6207695007324219</v>
      </c>
      <c r="D30" s="7">
        <v>4.9405226707458496</v>
      </c>
      <c r="E30" s="7">
        <v>4.2551579475402832</v>
      </c>
      <c r="F30" s="7">
        <v>4.3734917640686035</v>
      </c>
      <c r="G30" s="7">
        <v>4.2859106063842773</v>
      </c>
    </row>
    <row r="31" spans="1:41" s="7" customFormat="1">
      <c r="A31" s="7">
        <f>data0!A31</f>
        <v>29</v>
      </c>
      <c r="B31" s="7">
        <v>7.091489315032959</v>
      </c>
      <c r="C31" s="7">
        <v>6.5172977447509766</v>
      </c>
      <c r="D31" s="7">
        <v>6.9716777801513672</v>
      </c>
      <c r="E31" s="7">
        <v>6.1872506141662598</v>
      </c>
      <c r="F31" s="7">
        <v>6.076481819152832</v>
      </c>
      <c r="G31" s="7">
        <v>6.166905403137207</v>
      </c>
    </row>
    <row r="32" spans="1:41" s="7" customFormat="1">
      <c r="A32" s="7">
        <f>data0!A32</f>
        <v>30</v>
      </c>
      <c r="B32" s="7">
        <v>3.937563419342041</v>
      </c>
      <c r="C32" s="7">
        <v>3.6501815319061279</v>
      </c>
      <c r="D32" s="7">
        <v>3.9819834232330322</v>
      </c>
      <c r="E32" s="7">
        <v>3.3036327362060547</v>
      </c>
      <c r="F32" s="7">
        <v>3.4658470153808594</v>
      </c>
      <c r="G32" s="7">
        <v>3.275937557220459</v>
      </c>
    </row>
    <row r="33" spans="1:7" s="7" customFormat="1">
      <c r="A33" s="7">
        <f>data0!A33</f>
        <v>31</v>
      </c>
      <c r="B33" s="7">
        <v>5.7373924255371094</v>
      </c>
      <c r="C33" s="7">
        <v>5.1488299369812012</v>
      </c>
      <c r="D33" s="7">
        <v>5.7221331596374512</v>
      </c>
      <c r="E33" s="7">
        <v>4.8354144096374512</v>
      </c>
      <c r="F33" s="7">
        <v>4.7856812477111816</v>
      </c>
      <c r="G33" s="7">
        <v>4.7969841957092285</v>
      </c>
    </row>
    <row r="34" spans="1:7" s="7" customFormat="1">
      <c r="A34" s="7">
        <f>data0!A34</f>
        <v>32</v>
      </c>
      <c r="B34" s="7">
        <v>2.9560048580169678</v>
      </c>
      <c r="C34" s="7">
        <v>2.7243731021881104</v>
      </c>
      <c r="D34" s="7">
        <v>2.9319067001342773</v>
      </c>
      <c r="E34" s="7">
        <v>2.4893240928649902</v>
      </c>
      <c r="F34" s="7">
        <v>2.5427360534667969</v>
      </c>
      <c r="G34" s="7">
        <v>2.4645063877105713</v>
      </c>
    </row>
    <row r="35" spans="1:7" s="7" customFormat="1">
      <c r="A35" s="7">
        <f>data0!A35</f>
        <v>33</v>
      </c>
      <c r="B35" s="7">
        <v>4.3132166862487793</v>
      </c>
      <c r="C35" s="7">
        <v>3.8823311328887939</v>
      </c>
      <c r="D35" s="7">
        <v>4.2856054306030273</v>
      </c>
      <c r="E35" s="7">
        <v>3.618567943572998</v>
      </c>
      <c r="F35" s="7">
        <v>3.6440804004669189</v>
      </c>
      <c r="G35" s="7">
        <v>3.6327774524688721</v>
      </c>
    </row>
    <row r="36" spans="1:7" s="7" customFormat="1">
      <c r="A36" s="7">
        <f>data0!A36</f>
        <v>34</v>
      </c>
      <c r="B36" s="7">
        <v>0.95134550333023071</v>
      </c>
      <c r="C36" s="7">
        <v>0.85657066106796265</v>
      </c>
      <c r="D36" s="7">
        <v>1.0038583278656006</v>
      </c>
      <c r="E36" s="7">
        <v>0.73625868558883667</v>
      </c>
      <c r="F36" s="7">
        <v>0.75963771343231201</v>
      </c>
      <c r="G36" s="7">
        <v>0.69381684064865112</v>
      </c>
    </row>
    <row r="37" spans="1:7" s="7" customFormat="1">
      <c r="A37" s="7">
        <f>data0!A37</f>
        <v>35</v>
      </c>
      <c r="B37" s="7">
        <v>1.4321682453155518</v>
      </c>
      <c r="C37" s="7">
        <v>1.2425203323364258</v>
      </c>
      <c r="D37" s="7">
        <v>1.4580843448638916</v>
      </c>
      <c r="E37" s="7">
        <v>1.1076920032501221</v>
      </c>
      <c r="F37" s="7">
        <v>1.1009101867675781</v>
      </c>
      <c r="G37" s="7">
        <v>1.0550523996353149</v>
      </c>
    </row>
    <row r="38" spans="1:7" s="7" customFormat="1">
      <c r="A38" s="7">
        <f>data0!A38</f>
        <v>36</v>
      </c>
      <c r="B38" s="7">
        <v>0.76665139198303223</v>
      </c>
      <c r="C38" s="7">
        <v>0.69165873527526855</v>
      </c>
      <c r="D38" s="7">
        <v>0.79920214414596558</v>
      </c>
      <c r="E38" s="7">
        <v>0.60641533136367798</v>
      </c>
      <c r="F38" s="7">
        <v>0.61684596538543701</v>
      </c>
      <c r="G38" s="7">
        <v>0.55048555135726929</v>
      </c>
    </row>
    <row r="39" spans="1:7" s="7" customFormat="1">
      <c r="A39" s="7">
        <f>data0!A39</f>
        <v>37</v>
      </c>
      <c r="B39" s="7">
        <v>1.1596856117248535</v>
      </c>
      <c r="C39" s="7">
        <v>0.99401628971099854</v>
      </c>
      <c r="D39" s="7">
        <v>1.1487863063812256</v>
      </c>
      <c r="E39" s="7">
        <v>0.8719441294670105</v>
      </c>
      <c r="F39" s="7">
        <v>0.90197771787643433</v>
      </c>
      <c r="G39" s="7">
        <v>0.8409416675567627</v>
      </c>
    </row>
    <row r="40" spans="1:7" s="7" customFormat="1">
      <c r="A40" s="7">
        <f>data0!A40</f>
        <v>38</v>
      </c>
      <c r="B40" s="7">
        <v>0.61037176847457886</v>
      </c>
      <c r="C40" s="7">
        <v>0.54455089569091797</v>
      </c>
      <c r="D40" s="7">
        <v>0.61990320682525635</v>
      </c>
      <c r="E40" s="7">
        <v>0.4684792160987854</v>
      </c>
      <c r="F40" s="7">
        <v>0.48034855723381042</v>
      </c>
      <c r="G40" s="7">
        <v>0.43916556239128113</v>
      </c>
    </row>
    <row r="41" spans="1:7" s="7" customFormat="1">
      <c r="A41" s="7">
        <f>data0!A41</f>
        <v>39</v>
      </c>
      <c r="B41" s="7">
        <v>0.89592254161834717</v>
      </c>
      <c r="C41" s="7">
        <v>0.80025094747543335</v>
      </c>
      <c r="D41" s="7">
        <v>0.92644059658050537</v>
      </c>
      <c r="E41" s="7">
        <v>0.68948173522949219</v>
      </c>
      <c r="F41" s="7">
        <v>0.73025321960449219</v>
      </c>
      <c r="G41" s="7">
        <v>0.69626349210739136</v>
      </c>
    </row>
    <row r="42" spans="1:7" s="7" customFormat="1">
      <c r="A42" s="7">
        <f>data0!A42</f>
        <v>40</v>
      </c>
      <c r="B42" s="7">
        <v>0.46434292197227478</v>
      </c>
      <c r="C42" s="7">
        <v>0.4353889524936676</v>
      </c>
      <c r="D42" s="7">
        <v>0.5159565806388855</v>
      </c>
      <c r="E42" s="7">
        <v>0.37190595269203186</v>
      </c>
      <c r="F42" s="7">
        <v>0.37604224681854248</v>
      </c>
      <c r="G42" s="7">
        <v>0.34798744320869446</v>
      </c>
    </row>
    <row r="43" spans="1:7" s="7" customFormat="1">
      <c r="A43" s="7">
        <f>data0!A43</f>
        <v>41</v>
      </c>
      <c r="B43" s="7">
        <v>0.71499419212341309</v>
      </c>
      <c r="C43" s="7">
        <v>0.62618505954742432</v>
      </c>
      <c r="D43" s="7">
        <v>0.77086317539215088</v>
      </c>
      <c r="E43" s="7">
        <v>0.55384600162506104</v>
      </c>
      <c r="F43" s="7">
        <v>0.57984280586242676</v>
      </c>
      <c r="G43" s="7">
        <v>0.54028242826461792</v>
      </c>
    </row>
    <row r="44" spans="1:7" s="7" customFormat="1">
      <c r="A44" s="7">
        <f>data0!A44</f>
        <v>42</v>
      </c>
      <c r="B44" s="7">
        <v>0.40607526898384094</v>
      </c>
      <c r="C44" s="7">
        <v>0.36974790692329407</v>
      </c>
      <c r="D44" s="7">
        <v>0.41740509867668152</v>
      </c>
      <c r="E44" s="7">
        <v>0.30536571145057678</v>
      </c>
      <c r="F44" s="7">
        <v>0.30500605702400208</v>
      </c>
      <c r="G44" s="7">
        <v>0.28540366888046265</v>
      </c>
    </row>
    <row r="45" spans="1:7" s="7" customFormat="1">
      <c r="A45" s="7">
        <f>data0!A45</f>
        <v>43</v>
      </c>
      <c r="B45" s="7">
        <v>0.61036086082458496</v>
      </c>
      <c r="C45" s="7">
        <v>0.55836719274520874</v>
      </c>
      <c r="D45" s="7">
        <v>0.62779974937438965</v>
      </c>
      <c r="E45" s="7">
        <v>0.49054929614067078</v>
      </c>
      <c r="F45" s="7">
        <v>0.45437976717948914</v>
      </c>
      <c r="G45" s="7">
        <v>0.44533738493919373</v>
      </c>
    </row>
    <row r="46" spans="1:7" s="7" customFormat="1">
      <c r="A46" s="7">
        <f>data0!A46</f>
        <v>44</v>
      </c>
      <c r="B46" s="7">
        <v>0.30716410279273987</v>
      </c>
      <c r="C46" s="7">
        <v>0.27713108062744141</v>
      </c>
      <c r="D46" s="7">
        <v>0.31076088547706604</v>
      </c>
      <c r="E46" s="7">
        <v>0.2307327538728714</v>
      </c>
      <c r="F46" s="7">
        <v>0.2300134003162384</v>
      </c>
      <c r="G46" s="7">
        <v>0.21202956140041351</v>
      </c>
    </row>
    <row r="47" spans="1:7" s="7" customFormat="1">
      <c r="A47" s="7">
        <f>data0!A47</f>
        <v>45</v>
      </c>
      <c r="B47" s="7">
        <v>0.47924631834030151</v>
      </c>
      <c r="C47" s="7">
        <v>0.42943248152732849</v>
      </c>
      <c r="D47" s="7">
        <v>0.50411289930343628</v>
      </c>
      <c r="E47" s="7">
        <v>0.36847713589668274</v>
      </c>
      <c r="F47" s="7">
        <v>0.34587115049362183</v>
      </c>
      <c r="G47" s="7">
        <v>0.3187440037727356</v>
      </c>
    </row>
    <row r="48" spans="1:7" s="7" customFormat="1">
      <c r="A48" s="7">
        <f>data0!A48</f>
        <v>46</v>
      </c>
      <c r="B48" s="7">
        <v>0.12984338402748108</v>
      </c>
      <c r="C48" s="7">
        <v>0.12049177289009094</v>
      </c>
      <c r="D48" s="7">
        <v>0.1354183703660965</v>
      </c>
      <c r="E48" s="7">
        <v>8.9020043611526489E-2</v>
      </c>
      <c r="F48" s="7">
        <v>8.1286989152431488E-2</v>
      </c>
      <c r="G48" s="7">
        <v>6.3123300671577454E-2</v>
      </c>
    </row>
    <row r="49" spans="1:33" s="7" customFormat="1">
      <c r="A49" s="7">
        <f>data0!A49</f>
        <v>47</v>
      </c>
      <c r="B49" s="7">
        <v>0.22153839468955994</v>
      </c>
      <c r="C49" s="7">
        <v>0.19667184352874756</v>
      </c>
      <c r="D49" s="7">
        <v>0.25770792365074158</v>
      </c>
      <c r="E49" s="7">
        <v>0.13297148048877716</v>
      </c>
      <c r="F49" s="7">
        <v>0.14015693962574005</v>
      </c>
      <c r="G49" s="7">
        <v>0.13111455738544464</v>
      </c>
    </row>
    <row r="50" spans="1:33" s="7" customFormat="1">
      <c r="A50" s="7">
        <f>data0!A50</f>
        <v>48</v>
      </c>
      <c r="B50" s="7">
        <v>9.5314390957355499E-2</v>
      </c>
      <c r="C50" s="7">
        <v>9.2976488173007965E-2</v>
      </c>
      <c r="D50" s="7">
        <v>0.11275872588157654</v>
      </c>
      <c r="E50" s="7">
        <v>7.1935385465621948E-2</v>
      </c>
      <c r="F50" s="7">
        <v>6.0245886445045471E-2</v>
      </c>
      <c r="G50" s="7">
        <v>4.6937841922044754E-2</v>
      </c>
    </row>
    <row r="51" spans="1:33" s="7" customFormat="1">
      <c r="A51" s="7">
        <f>data0!A51</f>
        <v>49</v>
      </c>
      <c r="B51" s="7">
        <v>0.17858706414699554</v>
      </c>
      <c r="C51" s="7">
        <v>0.18310827016830444</v>
      </c>
      <c r="D51" s="7">
        <v>0.18762946128845215</v>
      </c>
      <c r="E51" s="7">
        <v>0.12207217514514923</v>
      </c>
      <c r="F51" s="7">
        <v>0.12207217514514923</v>
      </c>
      <c r="G51" s="7">
        <v>7.0078469812870026E-2</v>
      </c>
    </row>
    <row r="52" spans="1:33" s="7" customFormat="1"/>
    <row r="53" spans="1:33" s="7" customFormat="1">
      <c r="A53" s="29" t="s">
        <v>38</v>
      </c>
    </row>
    <row r="54" spans="1:33" s="7" customFormat="1">
      <c r="A54" s="29"/>
    </row>
    <row r="55" spans="1:33" s="7" customFormat="1">
      <c r="A55" s="7">
        <v>1</v>
      </c>
      <c r="B55" s="7">
        <f>A55+1</f>
        <v>2</v>
      </c>
      <c r="C55" s="7">
        <f t="shared" ref="C55:AG55" si="15">B55+1</f>
        <v>3</v>
      </c>
      <c r="D55" s="7">
        <f t="shared" si="15"/>
        <v>4</v>
      </c>
      <c r="E55" s="7">
        <f t="shared" si="15"/>
        <v>5</v>
      </c>
      <c r="F55" s="7">
        <f t="shared" si="15"/>
        <v>6</v>
      </c>
      <c r="G55" s="7">
        <f t="shared" si="15"/>
        <v>7</v>
      </c>
      <c r="H55" s="7">
        <f t="shared" si="15"/>
        <v>8</v>
      </c>
      <c r="I55" s="7">
        <f t="shared" si="15"/>
        <v>9</v>
      </c>
      <c r="J55" s="7">
        <f t="shared" si="15"/>
        <v>10</v>
      </c>
      <c r="K55" s="7">
        <f t="shared" si="15"/>
        <v>11</v>
      </c>
      <c r="L55" s="7">
        <f t="shared" si="15"/>
        <v>12</v>
      </c>
      <c r="M55" s="7">
        <f t="shared" si="15"/>
        <v>13</v>
      </c>
      <c r="N55" s="7">
        <f t="shared" si="15"/>
        <v>14</v>
      </c>
      <c r="O55" s="7">
        <f t="shared" si="15"/>
        <v>15</v>
      </c>
      <c r="P55" s="7">
        <f t="shared" si="15"/>
        <v>16</v>
      </c>
      <c r="Q55" s="7">
        <f t="shared" si="15"/>
        <v>17</v>
      </c>
      <c r="R55" s="7">
        <f t="shared" si="15"/>
        <v>18</v>
      </c>
      <c r="S55" s="7">
        <f t="shared" si="15"/>
        <v>19</v>
      </c>
      <c r="T55" s="7">
        <f t="shared" si="15"/>
        <v>20</v>
      </c>
      <c r="U55" s="7">
        <f t="shared" si="15"/>
        <v>21</v>
      </c>
      <c r="V55" s="7">
        <f t="shared" si="15"/>
        <v>22</v>
      </c>
      <c r="W55" s="7">
        <f t="shared" si="15"/>
        <v>23</v>
      </c>
      <c r="X55" s="7">
        <f t="shared" si="15"/>
        <v>24</v>
      </c>
      <c r="Y55" s="7">
        <f t="shared" si="15"/>
        <v>25</v>
      </c>
      <c r="Z55" s="7">
        <f t="shared" si="15"/>
        <v>26</v>
      </c>
      <c r="AA55" s="7">
        <f t="shared" si="15"/>
        <v>27</v>
      </c>
      <c r="AB55" s="7">
        <f t="shared" si="15"/>
        <v>28</v>
      </c>
      <c r="AC55" s="7">
        <f t="shared" si="15"/>
        <v>29</v>
      </c>
      <c r="AD55" s="7">
        <f t="shared" si="15"/>
        <v>30</v>
      </c>
      <c r="AE55" s="7">
        <f t="shared" si="15"/>
        <v>31</v>
      </c>
      <c r="AF55" s="7">
        <f t="shared" si="15"/>
        <v>32</v>
      </c>
      <c r="AG55" s="7">
        <f t="shared" si="15"/>
        <v>33</v>
      </c>
    </row>
    <row r="56" spans="1:33" s="7" customFormat="1">
      <c r="A56" s="7">
        <v>0</v>
      </c>
      <c r="B56" s="7">
        <f>VLOOKUP($A56,$A$2:B$51,B$55)</f>
        <v>94.128646850585938</v>
      </c>
      <c r="C56" s="7">
        <f>VLOOKUP($A56,$A$2:C$51,C$55)</f>
        <v>93.146759033203125</v>
      </c>
      <c r="D56" s="7">
        <f>VLOOKUP($A56,$A$2:D$51,D$55)</f>
        <v>97.447059631347656</v>
      </c>
      <c r="E56" s="7">
        <f>VLOOKUP($A56,$A$2:E$51,E$55)</f>
        <v>87.324241638183594</v>
      </c>
      <c r="F56" s="7">
        <f>VLOOKUP($A56,$A$2:F$51,F$55)</f>
        <v>87.807647705078125</v>
      </c>
      <c r="G56" s="7">
        <f>VLOOKUP($A56,$A$2:G$51,G$55)</f>
        <v>86.99945068359375</v>
      </c>
      <c r="H56" s="7">
        <f>VLOOKUP($A56,$A$2:H$51,H$55)</f>
        <v>0</v>
      </c>
      <c r="I56" s="7">
        <f>VLOOKUP($A56,$A$2:I$51,I$55)</f>
        <v>0</v>
      </c>
      <c r="J56" s="7">
        <f>VLOOKUP($A56,$A$2:J$51,J$55)</f>
        <v>0</v>
      </c>
      <c r="K56" s="7">
        <f>VLOOKUP($A56,$A$2:K$51,K$55)</f>
        <v>0</v>
      </c>
      <c r="L56" s="7">
        <f>VLOOKUP($A56,$A$2:L$51,L$55)</f>
        <v>0</v>
      </c>
      <c r="M56" s="7">
        <f>VLOOKUP($A56,$A$2:M$51,M$55)</f>
        <v>0</v>
      </c>
      <c r="N56" s="7">
        <f>VLOOKUP($A56,$A$2:N$51,N$55)</f>
        <v>0</v>
      </c>
      <c r="O56" s="7">
        <f>VLOOKUP($A56,$A$2:O$51,O$55)</f>
        <v>0</v>
      </c>
      <c r="P56" s="7">
        <f>VLOOKUP($A56,$A$2:P$51,P$55)</f>
        <v>0</v>
      </c>
      <c r="Q56" s="7">
        <f>VLOOKUP($A56,$A$2:Q$51,Q$55)</f>
        <v>0</v>
      </c>
      <c r="R56" s="7">
        <f>VLOOKUP($A56,$A$2:R$51,R$55)</f>
        <v>0</v>
      </c>
      <c r="S56" s="7">
        <f>VLOOKUP($A56,$A$2:S$51,S$55)</f>
        <v>0</v>
      </c>
      <c r="T56" s="7">
        <f>VLOOKUP($A56,$A$2:T$51,T$55)</f>
        <v>0</v>
      </c>
      <c r="U56" s="7">
        <f>VLOOKUP($A56,$A$2:U$51,U$55)</f>
        <v>0</v>
      </c>
      <c r="V56" s="7">
        <f>VLOOKUP($A56,$A$2:V$51,V$55)</f>
        <v>0</v>
      </c>
      <c r="W56" s="7">
        <f>VLOOKUP($A56,$A$2:W$51,W$55)</f>
        <v>0</v>
      </c>
      <c r="X56" s="7">
        <f>VLOOKUP($A56,$A$2:X$51,X$55)</f>
        <v>0</v>
      </c>
      <c r="Y56" s="7">
        <f>VLOOKUP($A56,$A$2:Y$51,Y$55)</f>
        <v>0</v>
      </c>
      <c r="Z56" s="7">
        <f>VLOOKUP($A56,$A$2:Z$51,Z$55)</f>
        <v>0</v>
      </c>
      <c r="AA56" s="7">
        <f>VLOOKUP($A56,$A$2:AA$51,AA$55)</f>
        <v>0</v>
      </c>
      <c r="AB56" s="7">
        <f>VLOOKUP($A56,$A$2:AB$51,AB$55)</f>
        <v>0</v>
      </c>
      <c r="AC56" s="7">
        <f>VLOOKUP($A56,$A$2:AC$51,AC$55)</f>
        <v>0</v>
      </c>
      <c r="AD56" s="7">
        <f>VLOOKUP($A56,$A$2:AD$51,AD$55)</f>
        <v>0</v>
      </c>
      <c r="AE56" s="7">
        <f>VLOOKUP($A56,$A$2:AE$51,AE$55)</f>
        <v>0</v>
      </c>
      <c r="AF56" s="7">
        <f>VLOOKUP($A56,$A$2:AF$51,AF$55)</f>
        <v>0</v>
      </c>
      <c r="AG56" s="7">
        <f>VLOOKUP($A56,$A$2:AG$51,AG$55)</f>
        <v>0</v>
      </c>
    </row>
    <row r="57" spans="1:33" s="7" customFormat="1">
      <c r="A57" s="7">
        <f>A56+2</f>
        <v>2</v>
      </c>
      <c r="B57" s="7">
        <f>VLOOKUP($A57,$A$2:B$51,B$55)</f>
        <v>76.147026062011719</v>
      </c>
      <c r="C57" s="7">
        <f>VLOOKUP($A57,$A$2:C$51,C$55)</f>
        <v>75.453926086425781</v>
      </c>
      <c r="D57" s="7">
        <f>VLOOKUP($A57,$A$2:D$51,D$55)</f>
        <v>78.724288940429688</v>
      </c>
      <c r="E57" s="7">
        <f>VLOOKUP($A57,$A$2:E$51,E$55)</f>
        <v>70.465927124023438</v>
      </c>
      <c r="F57" s="7">
        <f>VLOOKUP($A57,$A$2:F$51,F$55)</f>
        <v>71.216575622558594</v>
      </c>
      <c r="G57" s="7">
        <f>VLOOKUP($A57,$A$2:G$51,G$55)</f>
        <v>69.987022399902344</v>
      </c>
      <c r="H57" s="7">
        <f>VLOOKUP($A57,$A$2:H$51,H$55)</f>
        <v>0</v>
      </c>
      <c r="I57" s="7">
        <f>VLOOKUP($A57,$A$2:I$51,I$55)</f>
        <v>0</v>
      </c>
      <c r="J57" s="7">
        <f>VLOOKUP($A57,$A$2:J$51,J$55)</f>
        <v>0</v>
      </c>
      <c r="K57" s="7">
        <f>VLOOKUP($A57,$A$2:K$51,K$55)</f>
        <v>0</v>
      </c>
      <c r="L57" s="7">
        <f>VLOOKUP($A57,$A$2:L$51,L$55)</f>
        <v>0</v>
      </c>
      <c r="M57" s="7">
        <f>VLOOKUP($A57,$A$2:M$51,M$55)</f>
        <v>0</v>
      </c>
      <c r="N57" s="7">
        <f>VLOOKUP($A57,$A$2:N$51,N$55)</f>
        <v>0</v>
      </c>
      <c r="O57" s="7">
        <f>VLOOKUP($A57,$A$2:O$51,O$55)</f>
        <v>0</v>
      </c>
      <c r="P57" s="7">
        <f>VLOOKUP($A57,$A$2:P$51,P$55)</f>
        <v>0</v>
      </c>
      <c r="Q57" s="7">
        <f>VLOOKUP($A57,$A$2:Q$51,Q$55)</f>
        <v>0</v>
      </c>
      <c r="R57" s="7">
        <f>VLOOKUP($A57,$A$2:R$51,R$55)</f>
        <v>0</v>
      </c>
      <c r="S57" s="7">
        <f>VLOOKUP($A57,$A$2:S$51,S$55)</f>
        <v>0</v>
      </c>
      <c r="T57" s="7">
        <f>VLOOKUP($A57,$A$2:T$51,T$55)</f>
        <v>0</v>
      </c>
      <c r="U57" s="7">
        <f>VLOOKUP($A57,$A$2:U$51,U$55)</f>
        <v>0</v>
      </c>
      <c r="V57" s="7">
        <f>VLOOKUP($A57,$A$2:V$51,V$55)</f>
        <v>0</v>
      </c>
      <c r="W57" s="7">
        <f>VLOOKUP($A57,$A$2:W$51,W$55)</f>
        <v>0</v>
      </c>
      <c r="X57" s="7">
        <f>VLOOKUP($A57,$A$2:X$51,X$55)</f>
        <v>0</v>
      </c>
      <c r="Y57" s="7">
        <f>VLOOKUP($A57,$A$2:Y$51,Y$55)</f>
        <v>0</v>
      </c>
      <c r="Z57" s="7">
        <f>VLOOKUP($A57,$A$2:Z$51,Z$55)</f>
        <v>0</v>
      </c>
      <c r="AA57" s="7">
        <f>VLOOKUP($A57,$A$2:AA$51,AA$55)</f>
        <v>0</v>
      </c>
      <c r="AB57" s="7">
        <f>VLOOKUP($A57,$A$2:AB$51,AB$55)</f>
        <v>0</v>
      </c>
      <c r="AC57" s="7">
        <f>VLOOKUP($A57,$A$2:AC$51,AC$55)</f>
        <v>0</v>
      </c>
      <c r="AD57" s="7">
        <f>VLOOKUP($A57,$A$2:AD$51,AD$55)</f>
        <v>0</v>
      </c>
      <c r="AE57" s="7">
        <f>VLOOKUP($A57,$A$2:AE$51,AE$55)</f>
        <v>0</v>
      </c>
      <c r="AF57" s="7">
        <f>VLOOKUP($A57,$A$2:AF$51,AF$55)</f>
        <v>0</v>
      </c>
      <c r="AG57" s="7">
        <f>VLOOKUP($A57,$A$2:AG$51,AG$55)</f>
        <v>0</v>
      </c>
    </row>
    <row r="58" spans="1:33" s="7" customFormat="1">
      <c r="A58" s="7">
        <f t="shared" ref="A58:A80" si="16">A57+2</f>
        <v>4</v>
      </c>
      <c r="B58" s="7">
        <f>VLOOKUP($A58,$A$2:B$51,B$55)</f>
        <v>61.706714630126953</v>
      </c>
      <c r="C58" s="7">
        <f>VLOOKUP($A58,$A$2:C$51,C$55)</f>
        <v>61.033042907714844</v>
      </c>
      <c r="D58" s="7">
        <f>VLOOKUP($A58,$A$2:D$51,D$55)</f>
        <v>63.310157775878906</v>
      </c>
      <c r="E58" s="7">
        <f>VLOOKUP($A58,$A$2:E$51,E$55)</f>
        <v>56.578083038330078</v>
      </c>
      <c r="F58" s="7">
        <f>VLOOKUP($A58,$A$2:F$51,F$55)</f>
        <v>57.304271697998047</v>
      </c>
      <c r="G58" s="7">
        <f>VLOOKUP($A58,$A$2:G$51,G$55)</f>
        <v>56.289623260498047</v>
      </c>
      <c r="H58" s="7">
        <f>VLOOKUP($A58,$A$2:H$51,H$55)</f>
        <v>0</v>
      </c>
      <c r="I58" s="7">
        <f>VLOOKUP($A58,$A$2:I$51,I$55)</f>
        <v>0</v>
      </c>
      <c r="J58" s="7">
        <f>VLOOKUP($A58,$A$2:J$51,J$55)</f>
        <v>0</v>
      </c>
      <c r="K58" s="7">
        <f>VLOOKUP($A58,$A$2:K$51,K$55)</f>
        <v>0</v>
      </c>
      <c r="L58" s="7">
        <f>VLOOKUP($A58,$A$2:L$51,L$55)</f>
        <v>0</v>
      </c>
      <c r="M58" s="7">
        <f>VLOOKUP($A58,$A$2:M$51,M$55)</f>
        <v>0</v>
      </c>
      <c r="N58" s="7">
        <f>VLOOKUP($A58,$A$2:N$51,N$55)</f>
        <v>0</v>
      </c>
      <c r="O58" s="7">
        <f>VLOOKUP($A58,$A$2:O$51,O$55)</f>
        <v>0</v>
      </c>
      <c r="P58" s="7">
        <f>VLOOKUP($A58,$A$2:P$51,P$55)</f>
        <v>0</v>
      </c>
      <c r="Q58" s="7">
        <f>VLOOKUP($A58,$A$2:Q$51,Q$55)</f>
        <v>0</v>
      </c>
      <c r="R58" s="7">
        <f>VLOOKUP($A58,$A$2:R$51,R$55)</f>
        <v>0</v>
      </c>
      <c r="S58" s="7">
        <f>VLOOKUP($A58,$A$2:S$51,S$55)</f>
        <v>0</v>
      </c>
      <c r="T58" s="7">
        <f>VLOOKUP($A58,$A$2:T$51,T$55)</f>
        <v>0</v>
      </c>
      <c r="U58" s="7">
        <f>VLOOKUP($A58,$A$2:U$51,U$55)</f>
        <v>0</v>
      </c>
      <c r="V58" s="7">
        <f>VLOOKUP($A58,$A$2:V$51,V$55)</f>
        <v>0</v>
      </c>
      <c r="W58" s="7">
        <f>VLOOKUP($A58,$A$2:W$51,W$55)</f>
        <v>0</v>
      </c>
      <c r="X58" s="7">
        <f>VLOOKUP($A58,$A$2:X$51,X$55)</f>
        <v>0</v>
      </c>
      <c r="Y58" s="7">
        <f>VLOOKUP($A58,$A$2:Y$51,Y$55)</f>
        <v>0</v>
      </c>
      <c r="Z58" s="7">
        <f>VLOOKUP($A58,$A$2:Z$51,Z$55)</f>
        <v>0</v>
      </c>
      <c r="AA58" s="7">
        <f>VLOOKUP($A58,$A$2:AA$51,AA$55)</f>
        <v>0</v>
      </c>
      <c r="AB58" s="7">
        <f>VLOOKUP($A58,$A$2:AB$51,AB$55)</f>
        <v>0</v>
      </c>
      <c r="AC58" s="7">
        <f>VLOOKUP($A58,$A$2:AC$51,AC$55)</f>
        <v>0</v>
      </c>
      <c r="AD58" s="7">
        <f>VLOOKUP($A58,$A$2:AD$51,AD$55)</f>
        <v>0</v>
      </c>
      <c r="AE58" s="7">
        <f>VLOOKUP($A58,$A$2:AE$51,AE$55)</f>
        <v>0</v>
      </c>
      <c r="AF58" s="7">
        <f>VLOOKUP($A58,$A$2:AF$51,AF$55)</f>
        <v>0</v>
      </c>
      <c r="AG58" s="7">
        <f>VLOOKUP($A58,$A$2:AG$51,AG$55)</f>
        <v>0</v>
      </c>
    </row>
    <row r="59" spans="1:33" s="7" customFormat="1">
      <c r="A59" s="7">
        <f t="shared" si="16"/>
        <v>6</v>
      </c>
      <c r="B59" s="7">
        <f>VLOOKUP($A59,$A$2:B$51,B$55)</f>
        <v>50.446849822998047</v>
      </c>
      <c r="C59" s="7">
        <f>VLOOKUP($A59,$A$2:C$51,C$55)</f>
        <v>50.043292999267578</v>
      </c>
      <c r="D59" s="7">
        <f>VLOOKUP($A59,$A$2:D$51,D$55)</f>
        <v>52.150459289550781</v>
      </c>
      <c r="E59" s="7">
        <f>VLOOKUP($A59,$A$2:E$51,E$55)</f>
        <v>46.200862884521484</v>
      </c>
      <c r="F59" s="7">
        <f>VLOOKUP($A59,$A$2:F$51,F$55)</f>
        <v>46.969493865966797</v>
      </c>
      <c r="G59" s="7">
        <f>VLOOKUP($A59,$A$2:G$51,G$55)</f>
        <v>46.033432006835937</v>
      </c>
      <c r="H59" s="7">
        <f>VLOOKUP($A59,$A$2:H$51,H$55)</f>
        <v>0</v>
      </c>
      <c r="I59" s="7">
        <f>VLOOKUP($A59,$A$2:I$51,I$55)</f>
        <v>0</v>
      </c>
      <c r="J59" s="7">
        <f>VLOOKUP($A59,$A$2:J$51,J$55)</f>
        <v>0</v>
      </c>
      <c r="K59" s="7">
        <f>VLOOKUP($A59,$A$2:K$51,K$55)</f>
        <v>0</v>
      </c>
      <c r="L59" s="7">
        <f>VLOOKUP($A59,$A$2:L$51,L$55)</f>
        <v>0</v>
      </c>
      <c r="M59" s="7">
        <f>VLOOKUP($A59,$A$2:M$51,M$55)</f>
        <v>0</v>
      </c>
      <c r="N59" s="7">
        <f>VLOOKUP($A59,$A$2:N$51,N$55)</f>
        <v>0</v>
      </c>
      <c r="O59" s="7">
        <f>VLOOKUP($A59,$A$2:O$51,O$55)</f>
        <v>0</v>
      </c>
      <c r="P59" s="7">
        <f>VLOOKUP($A59,$A$2:P$51,P$55)</f>
        <v>0</v>
      </c>
      <c r="Q59" s="7">
        <f>VLOOKUP($A59,$A$2:Q$51,Q$55)</f>
        <v>0</v>
      </c>
      <c r="R59" s="7">
        <f>VLOOKUP($A59,$A$2:R$51,R$55)</f>
        <v>0</v>
      </c>
      <c r="S59" s="7">
        <f>VLOOKUP($A59,$A$2:S$51,S$55)</f>
        <v>0</v>
      </c>
      <c r="T59" s="7">
        <f>VLOOKUP($A59,$A$2:T$51,T$55)</f>
        <v>0</v>
      </c>
      <c r="U59" s="7">
        <f>VLOOKUP($A59,$A$2:U$51,U$55)</f>
        <v>0</v>
      </c>
      <c r="V59" s="7">
        <f>VLOOKUP($A59,$A$2:V$51,V$55)</f>
        <v>0</v>
      </c>
      <c r="W59" s="7">
        <f>VLOOKUP($A59,$A$2:W$51,W$55)</f>
        <v>0</v>
      </c>
      <c r="X59" s="7">
        <f>VLOOKUP($A59,$A$2:X$51,X$55)</f>
        <v>0</v>
      </c>
      <c r="Y59" s="7">
        <f>VLOOKUP($A59,$A$2:Y$51,Y$55)</f>
        <v>0</v>
      </c>
      <c r="Z59" s="7">
        <f>VLOOKUP($A59,$A$2:Z$51,Z$55)</f>
        <v>0</v>
      </c>
      <c r="AA59" s="7">
        <f>VLOOKUP($A59,$A$2:AA$51,AA$55)</f>
        <v>0</v>
      </c>
      <c r="AB59" s="7">
        <f>VLOOKUP($A59,$A$2:AB$51,AB$55)</f>
        <v>0</v>
      </c>
      <c r="AC59" s="7">
        <f>VLOOKUP($A59,$A$2:AC$51,AC$55)</f>
        <v>0</v>
      </c>
      <c r="AD59" s="7">
        <f>VLOOKUP($A59,$A$2:AD$51,AD$55)</f>
        <v>0</v>
      </c>
      <c r="AE59" s="7">
        <f>VLOOKUP($A59,$A$2:AE$51,AE$55)</f>
        <v>0</v>
      </c>
      <c r="AF59" s="7">
        <f>VLOOKUP($A59,$A$2:AF$51,AF$55)</f>
        <v>0</v>
      </c>
      <c r="AG59" s="7">
        <f>VLOOKUP($A59,$A$2:AG$51,AG$55)</f>
        <v>0</v>
      </c>
    </row>
    <row r="60" spans="1:33" s="7" customFormat="1">
      <c r="A60" s="7">
        <f t="shared" si="16"/>
        <v>8</v>
      </c>
      <c r="B60" s="7">
        <f>VLOOKUP($A60,$A$2:B$51,B$55)</f>
        <v>39.825767517089844</v>
      </c>
      <c r="C60" s="7">
        <f>VLOOKUP($A60,$A$2:C$51,C$55)</f>
        <v>38.769039154052734</v>
      </c>
      <c r="D60" s="7">
        <f>VLOOKUP($A60,$A$2:D$51,D$55)</f>
        <v>41.00299072265625</v>
      </c>
      <c r="E60" s="7">
        <f>VLOOKUP($A60,$A$2:E$51,E$55)</f>
        <v>36.057613372802734</v>
      </c>
      <c r="F60" s="7">
        <f>VLOOKUP($A60,$A$2:F$51,F$55)</f>
        <v>36.736503601074219</v>
      </c>
      <c r="G60" s="7">
        <f>VLOOKUP($A60,$A$2:G$51,G$55)</f>
        <v>35.996646881103516</v>
      </c>
      <c r="H60" s="7">
        <f>VLOOKUP($A60,$A$2:H$51,H$55)</f>
        <v>0</v>
      </c>
      <c r="I60" s="7">
        <f>VLOOKUP($A60,$A$2:I$51,I$55)</f>
        <v>0</v>
      </c>
      <c r="J60" s="7">
        <f>VLOOKUP($A60,$A$2:J$51,J$55)</f>
        <v>0</v>
      </c>
      <c r="K60" s="7">
        <f>VLOOKUP($A60,$A$2:K$51,K$55)</f>
        <v>0</v>
      </c>
      <c r="L60" s="7">
        <f>VLOOKUP($A60,$A$2:L$51,L$55)</f>
        <v>0</v>
      </c>
      <c r="M60" s="7">
        <f>VLOOKUP($A60,$A$2:M$51,M$55)</f>
        <v>0</v>
      </c>
      <c r="N60" s="7">
        <f>VLOOKUP($A60,$A$2:N$51,N$55)</f>
        <v>0</v>
      </c>
      <c r="O60" s="7">
        <f>VLOOKUP($A60,$A$2:O$51,O$55)</f>
        <v>0</v>
      </c>
      <c r="P60" s="7">
        <f>VLOOKUP($A60,$A$2:P$51,P$55)</f>
        <v>0</v>
      </c>
      <c r="Q60" s="7">
        <f>VLOOKUP($A60,$A$2:Q$51,Q$55)</f>
        <v>0</v>
      </c>
      <c r="R60" s="7">
        <f>VLOOKUP($A60,$A$2:R$51,R$55)</f>
        <v>0</v>
      </c>
      <c r="S60" s="7">
        <f>VLOOKUP($A60,$A$2:S$51,S$55)</f>
        <v>0</v>
      </c>
      <c r="T60" s="7">
        <f>VLOOKUP($A60,$A$2:T$51,T$55)</f>
        <v>0</v>
      </c>
      <c r="U60" s="7">
        <f>VLOOKUP($A60,$A$2:U$51,U$55)</f>
        <v>0</v>
      </c>
      <c r="V60" s="7">
        <f>VLOOKUP($A60,$A$2:V$51,V$55)</f>
        <v>0</v>
      </c>
      <c r="W60" s="7">
        <f>VLOOKUP($A60,$A$2:W$51,W$55)</f>
        <v>0</v>
      </c>
      <c r="X60" s="7">
        <f>VLOOKUP($A60,$A$2:X$51,X$55)</f>
        <v>0</v>
      </c>
      <c r="Y60" s="7">
        <f>VLOOKUP($A60,$A$2:Y$51,Y$55)</f>
        <v>0</v>
      </c>
      <c r="Z60" s="7">
        <f>VLOOKUP($A60,$A$2:Z$51,Z$55)</f>
        <v>0</v>
      </c>
      <c r="AA60" s="7">
        <f>VLOOKUP($A60,$A$2:AA$51,AA$55)</f>
        <v>0</v>
      </c>
      <c r="AB60" s="7">
        <f>VLOOKUP($A60,$A$2:AB$51,AB$55)</f>
        <v>0</v>
      </c>
      <c r="AC60" s="7">
        <f>VLOOKUP($A60,$A$2:AC$51,AC$55)</f>
        <v>0</v>
      </c>
      <c r="AD60" s="7">
        <f>VLOOKUP($A60,$A$2:AD$51,AD$55)</f>
        <v>0</v>
      </c>
      <c r="AE60" s="7">
        <f>VLOOKUP($A60,$A$2:AE$51,AE$55)</f>
        <v>0</v>
      </c>
      <c r="AF60" s="7">
        <f>VLOOKUP($A60,$A$2:AF$51,AF$55)</f>
        <v>0</v>
      </c>
      <c r="AG60" s="7">
        <f>VLOOKUP($A60,$A$2:AG$51,AG$55)</f>
        <v>0</v>
      </c>
    </row>
    <row r="61" spans="1:33" s="7" customFormat="1">
      <c r="A61" s="7">
        <f t="shared" si="16"/>
        <v>10</v>
      </c>
      <c r="B61" s="7">
        <f>VLOOKUP($A61,$A$2:B$51,B$55)</f>
        <v>29.821535110473633</v>
      </c>
      <c r="C61" s="7">
        <f>VLOOKUP($A61,$A$2:C$51,C$55)</f>
        <v>29.114950180053711</v>
      </c>
      <c r="D61" s="7">
        <f>VLOOKUP($A61,$A$2:D$51,D$55)</f>
        <v>30.534774780273438</v>
      </c>
      <c r="E61" s="7">
        <f>VLOOKUP($A61,$A$2:E$51,E$55)</f>
        <v>27.078638076782227</v>
      </c>
      <c r="F61" s="7">
        <f>VLOOKUP($A61,$A$2:F$51,F$55)</f>
        <v>27.306314468383789</v>
      </c>
      <c r="G61" s="7">
        <f>VLOOKUP($A61,$A$2:G$51,G$55)</f>
        <v>26.925235748291016</v>
      </c>
      <c r="H61" s="7">
        <f>VLOOKUP($A61,$A$2:H$51,H$55)</f>
        <v>0</v>
      </c>
      <c r="I61" s="7">
        <f>VLOOKUP($A61,$A$2:I$51,I$55)</f>
        <v>0</v>
      </c>
      <c r="J61" s="7">
        <f>VLOOKUP($A61,$A$2:J$51,J$55)</f>
        <v>0</v>
      </c>
      <c r="K61" s="7">
        <f>VLOOKUP($A61,$A$2:K$51,K$55)</f>
        <v>0</v>
      </c>
      <c r="L61" s="7">
        <f>VLOOKUP($A61,$A$2:L$51,L$55)</f>
        <v>0</v>
      </c>
      <c r="M61" s="7">
        <f>VLOOKUP($A61,$A$2:M$51,M$55)</f>
        <v>0</v>
      </c>
      <c r="N61" s="7">
        <f>VLOOKUP($A61,$A$2:N$51,N$55)</f>
        <v>0</v>
      </c>
      <c r="O61" s="7">
        <f>VLOOKUP($A61,$A$2:O$51,O$55)</f>
        <v>0</v>
      </c>
      <c r="P61" s="7">
        <f>VLOOKUP($A61,$A$2:P$51,P$55)</f>
        <v>0</v>
      </c>
      <c r="Q61" s="7">
        <f>VLOOKUP($A61,$A$2:Q$51,Q$55)</f>
        <v>0</v>
      </c>
      <c r="R61" s="7">
        <f>VLOOKUP($A61,$A$2:R$51,R$55)</f>
        <v>0</v>
      </c>
      <c r="S61" s="7">
        <f>VLOOKUP($A61,$A$2:S$51,S$55)</f>
        <v>0</v>
      </c>
      <c r="T61" s="7">
        <f>VLOOKUP($A61,$A$2:T$51,T$55)</f>
        <v>0</v>
      </c>
      <c r="U61" s="7">
        <f>VLOOKUP($A61,$A$2:U$51,U$55)</f>
        <v>0</v>
      </c>
      <c r="V61" s="7">
        <f>VLOOKUP($A61,$A$2:V$51,V$55)</f>
        <v>0</v>
      </c>
      <c r="W61" s="7">
        <f>VLOOKUP($A61,$A$2:W$51,W$55)</f>
        <v>0</v>
      </c>
      <c r="X61" s="7">
        <f>VLOOKUP($A61,$A$2:X$51,X$55)</f>
        <v>0</v>
      </c>
      <c r="Y61" s="7">
        <f>VLOOKUP($A61,$A$2:Y$51,Y$55)</f>
        <v>0</v>
      </c>
      <c r="Z61" s="7">
        <f>VLOOKUP($A61,$A$2:Z$51,Z$55)</f>
        <v>0</v>
      </c>
      <c r="AA61" s="7">
        <f>VLOOKUP($A61,$A$2:AA$51,AA$55)</f>
        <v>0</v>
      </c>
      <c r="AB61" s="7">
        <f>VLOOKUP($A61,$A$2:AB$51,AB$55)</f>
        <v>0</v>
      </c>
      <c r="AC61" s="7">
        <f>VLOOKUP($A61,$A$2:AC$51,AC$55)</f>
        <v>0</v>
      </c>
      <c r="AD61" s="7">
        <f>VLOOKUP($A61,$A$2:AD$51,AD$55)</f>
        <v>0</v>
      </c>
      <c r="AE61" s="7">
        <f>VLOOKUP($A61,$A$2:AE$51,AE$55)</f>
        <v>0</v>
      </c>
      <c r="AF61" s="7">
        <f>VLOOKUP($A61,$A$2:AF$51,AF$55)</f>
        <v>0</v>
      </c>
      <c r="AG61" s="7">
        <f>VLOOKUP($A61,$A$2:AG$51,AG$55)</f>
        <v>0</v>
      </c>
    </row>
    <row r="62" spans="1:33" s="7" customFormat="1">
      <c r="A62" s="7">
        <f t="shared" si="16"/>
        <v>12</v>
      </c>
      <c r="B62" s="7">
        <f>VLOOKUP($A62,$A$2:B$51,B$55)</f>
        <v>24.369012832641602</v>
      </c>
      <c r="C62" s="7">
        <f>VLOOKUP($A62,$A$2:C$51,C$55)</f>
        <v>24.037750244140625</v>
      </c>
      <c r="D62" s="7">
        <f>VLOOKUP($A62,$A$2:D$51,D$55)</f>
        <v>25.075597763061523</v>
      </c>
      <c r="E62" s="7">
        <f>VLOOKUP($A62,$A$2:E$51,E$55)</f>
        <v>22.226236343383789</v>
      </c>
      <c r="F62" s="7">
        <f>VLOOKUP($A62,$A$2:F$51,F$55)</f>
        <v>22.076070785522461</v>
      </c>
      <c r="G62" s="7">
        <f>VLOOKUP($A62,$A$2:G$51,G$55)</f>
        <v>21.804336547851563</v>
      </c>
      <c r="H62" s="7">
        <f>VLOOKUP($A62,$A$2:H$51,H$55)</f>
        <v>0</v>
      </c>
      <c r="I62" s="7">
        <f>VLOOKUP($A62,$A$2:I$51,I$55)</f>
        <v>0</v>
      </c>
      <c r="J62" s="7">
        <f>VLOOKUP($A62,$A$2:J$51,J$55)</f>
        <v>0</v>
      </c>
      <c r="K62" s="7">
        <f>VLOOKUP($A62,$A$2:K$51,K$55)</f>
        <v>0</v>
      </c>
      <c r="L62" s="7">
        <f>VLOOKUP($A62,$A$2:L$51,L$55)</f>
        <v>0</v>
      </c>
      <c r="M62" s="7">
        <f>VLOOKUP($A62,$A$2:M$51,M$55)</f>
        <v>0</v>
      </c>
      <c r="N62" s="7">
        <f>VLOOKUP($A62,$A$2:N$51,N$55)</f>
        <v>0</v>
      </c>
      <c r="O62" s="7">
        <f>VLOOKUP($A62,$A$2:O$51,O$55)</f>
        <v>0</v>
      </c>
      <c r="P62" s="7">
        <f>VLOOKUP($A62,$A$2:P$51,P$55)</f>
        <v>0</v>
      </c>
      <c r="Q62" s="7">
        <f>VLOOKUP($A62,$A$2:Q$51,Q$55)</f>
        <v>0</v>
      </c>
      <c r="R62" s="7">
        <f>VLOOKUP($A62,$A$2:R$51,R$55)</f>
        <v>0</v>
      </c>
      <c r="S62" s="7">
        <f>VLOOKUP($A62,$A$2:S$51,S$55)</f>
        <v>0</v>
      </c>
      <c r="T62" s="7">
        <f>VLOOKUP($A62,$A$2:T$51,T$55)</f>
        <v>0</v>
      </c>
      <c r="U62" s="7">
        <f>VLOOKUP($A62,$A$2:U$51,U$55)</f>
        <v>0</v>
      </c>
      <c r="V62" s="7">
        <f>VLOOKUP($A62,$A$2:V$51,V$55)</f>
        <v>0</v>
      </c>
      <c r="W62" s="7">
        <f>VLOOKUP($A62,$A$2:W$51,W$55)</f>
        <v>0</v>
      </c>
      <c r="X62" s="7">
        <f>VLOOKUP($A62,$A$2:X$51,X$55)</f>
        <v>0</v>
      </c>
      <c r="Y62" s="7">
        <f>VLOOKUP($A62,$A$2:Y$51,Y$55)</f>
        <v>0</v>
      </c>
      <c r="Z62" s="7">
        <f>VLOOKUP($A62,$A$2:Z$51,Z$55)</f>
        <v>0</v>
      </c>
      <c r="AA62" s="7">
        <f>VLOOKUP($A62,$A$2:AA$51,AA$55)</f>
        <v>0</v>
      </c>
      <c r="AB62" s="7">
        <f>VLOOKUP($A62,$A$2:AB$51,AB$55)</f>
        <v>0</v>
      </c>
      <c r="AC62" s="7">
        <f>VLOOKUP($A62,$A$2:AC$51,AC$55)</f>
        <v>0</v>
      </c>
      <c r="AD62" s="7">
        <f>VLOOKUP($A62,$A$2:AD$51,AD$55)</f>
        <v>0</v>
      </c>
      <c r="AE62" s="7">
        <f>VLOOKUP($A62,$A$2:AE$51,AE$55)</f>
        <v>0</v>
      </c>
      <c r="AF62" s="7">
        <f>VLOOKUP($A62,$A$2:AF$51,AF$55)</f>
        <v>0</v>
      </c>
      <c r="AG62" s="7">
        <f>VLOOKUP($A62,$A$2:AG$51,AG$55)</f>
        <v>0</v>
      </c>
    </row>
    <row r="63" spans="1:33" s="7" customFormat="1">
      <c r="A63" s="7">
        <f t="shared" si="16"/>
        <v>14</v>
      </c>
      <c r="B63" s="7">
        <f>VLOOKUP($A63,$A$2:B$51,B$55)</f>
        <v>19.741588592529297</v>
      </c>
      <c r="C63" s="7">
        <f>VLOOKUP($A63,$A$2:C$51,C$55)</f>
        <v>19.290193557739258</v>
      </c>
      <c r="D63" s="7">
        <f>VLOOKUP($A63,$A$2:D$51,D$55)</f>
        <v>19.989765167236328</v>
      </c>
      <c r="E63" s="7">
        <f>VLOOKUP($A63,$A$2:E$51,E$55)</f>
        <v>17.849147796630859</v>
      </c>
      <c r="F63" s="7">
        <f>VLOOKUP($A63,$A$2:F$51,F$55)</f>
        <v>18.088872909545898</v>
      </c>
      <c r="G63" s="7">
        <f>VLOOKUP($A63,$A$2:G$51,G$55)</f>
        <v>17.588741302490234</v>
      </c>
      <c r="H63" s="7">
        <f>VLOOKUP($A63,$A$2:H$51,H$55)</f>
        <v>0</v>
      </c>
      <c r="I63" s="7">
        <f>VLOOKUP($A63,$A$2:I$51,I$55)</f>
        <v>0</v>
      </c>
      <c r="J63" s="7">
        <f>VLOOKUP($A63,$A$2:J$51,J$55)</f>
        <v>0</v>
      </c>
      <c r="K63" s="7">
        <f>VLOOKUP($A63,$A$2:K$51,K$55)</f>
        <v>0</v>
      </c>
      <c r="L63" s="7">
        <f>VLOOKUP($A63,$A$2:L$51,L$55)</f>
        <v>0</v>
      </c>
      <c r="M63" s="7">
        <f>VLOOKUP($A63,$A$2:M$51,M$55)</f>
        <v>0</v>
      </c>
      <c r="N63" s="7">
        <f>VLOOKUP($A63,$A$2:N$51,N$55)</f>
        <v>0</v>
      </c>
      <c r="O63" s="7">
        <f>VLOOKUP($A63,$A$2:O$51,O$55)</f>
        <v>0</v>
      </c>
      <c r="P63" s="7">
        <f>VLOOKUP($A63,$A$2:P$51,P$55)</f>
        <v>0</v>
      </c>
      <c r="Q63" s="7">
        <f>VLOOKUP($A63,$A$2:Q$51,Q$55)</f>
        <v>0</v>
      </c>
      <c r="R63" s="7">
        <f>VLOOKUP($A63,$A$2:R$51,R$55)</f>
        <v>0</v>
      </c>
      <c r="S63" s="7">
        <f>VLOOKUP($A63,$A$2:S$51,S$55)</f>
        <v>0</v>
      </c>
      <c r="T63" s="7">
        <f>VLOOKUP($A63,$A$2:T$51,T$55)</f>
        <v>0</v>
      </c>
      <c r="U63" s="7">
        <f>VLOOKUP($A63,$A$2:U$51,U$55)</f>
        <v>0</v>
      </c>
      <c r="V63" s="7">
        <f>VLOOKUP($A63,$A$2:V$51,V$55)</f>
        <v>0</v>
      </c>
      <c r="W63" s="7">
        <f>VLOOKUP($A63,$A$2:W$51,W$55)</f>
        <v>0</v>
      </c>
      <c r="X63" s="7">
        <f>VLOOKUP($A63,$A$2:X$51,X$55)</f>
        <v>0</v>
      </c>
      <c r="Y63" s="7">
        <f>VLOOKUP($A63,$A$2:Y$51,Y$55)</f>
        <v>0</v>
      </c>
      <c r="Z63" s="7">
        <f>VLOOKUP($A63,$A$2:Z$51,Z$55)</f>
        <v>0</v>
      </c>
      <c r="AA63" s="7">
        <f>VLOOKUP($A63,$A$2:AA$51,AA$55)</f>
        <v>0</v>
      </c>
      <c r="AB63" s="7">
        <f>VLOOKUP($A63,$A$2:AB$51,AB$55)</f>
        <v>0</v>
      </c>
      <c r="AC63" s="7">
        <f>VLOOKUP($A63,$A$2:AC$51,AC$55)</f>
        <v>0</v>
      </c>
      <c r="AD63" s="7">
        <f>VLOOKUP($A63,$A$2:AD$51,AD$55)</f>
        <v>0</v>
      </c>
      <c r="AE63" s="7">
        <f>VLOOKUP($A63,$A$2:AE$51,AE$55)</f>
        <v>0</v>
      </c>
      <c r="AF63" s="7">
        <f>VLOOKUP($A63,$A$2:AF$51,AF$55)</f>
        <v>0</v>
      </c>
      <c r="AG63" s="7">
        <f>VLOOKUP($A63,$A$2:AG$51,AG$55)</f>
        <v>0</v>
      </c>
    </row>
    <row r="64" spans="1:33" s="7" customFormat="1">
      <c r="A64" s="7">
        <f t="shared" si="16"/>
        <v>16</v>
      </c>
      <c r="B64" s="7">
        <f>VLOOKUP($A64,$A$2:B$51,B$55)</f>
        <v>15.888909339904785</v>
      </c>
      <c r="C64" s="7">
        <f>VLOOKUP($A64,$A$2:C$51,C$55)</f>
        <v>15.511608123779297</v>
      </c>
      <c r="D64" s="7">
        <f>VLOOKUP($A64,$A$2:D$51,D$55)</f>
        <v>16.066410064697266</v>
      </c>
      <c r="E64" s="7">
        <f>VLOOKUP($A64,$A$2:E$51,E$55)</f>
        <v>14.182241439819336</v>
      </c>
      <c r="F64" s="7">
        <f>VLOOKUP($A64,$A$2:F$51,F$55)</f>
        <v>14.360821723937988</v>
      </c>
      <c r="G64" s="7">
        <f>VLOOKUP($A64,$A$2:G$51,G$55)</f>
        <v>13.931906700134277</v>
      </c>
      <c r="H64" s="7">
        <f>VLOOKUP($A64,$A$2:H$51,H$55)</f>
        <v>0</v>
      </c>
      <c r="I64" s="7">
        <f>VLOOKUP($A64,$A$2:I$51,I$55)</f>
        <v>0</v>
      </c>
      <c r="J64" s="7">
        <f>VLOOKUP($A64,$A$2:J$51,J$55)</f>
        <v>0</v>
      </c>
      <c r="K64" s="7">
        <f>VLOOKUP($A64,$A$2:K$51,K$55)</f>
        <v>0</v>
      </c>
      <c r="L64" s="7">
        <f>VLOOKUP($A64,$A$2:L$51,L$55)</f>
        <v>0</v>
      </c>
      <c r="M64" s="7">
        <f>VLOOKUP($A64,$A$2:M$51,M$55)</f>
        <v>0</v>
      </c>
      <c r="N64" s="7">
        <f>VLOOKUP($A64,$A$2:N$51,N$55)</f>
        <v>0</v>
      </c>
      <c r="O64" s="7">
        <f>VLOOKUP($A64,$A$2:O$51,O$55)</f>
        <v>0</v>
      </c>
      <c r="P64" s="7">
        <f>VLOOKUP($A64,$A$2:P$51,P$55)</f>
        <v>0</v>
      </c>
      <c r="Q64" s="7">
        <f>VLOOKUP($A64,$A$2:Q$51,Q$55)</f>
        <v>0</v>
      </c>
      <c r="R64" s="7">
        <f>VLOOKUP($A64,$A$2:R$51,R$55)</f>
        <v>0</v>
      </c>
      <c r="S64" s="7">
        <f>VLOOKUP($A64,$A$2:S$51,S$55)</f>
        <v>0</v>
      </c>
      <c r="T64" s="7">
        <f>VLOOKUP($A64,$A$2:T$51,T$55)</f>
        <v>0</v>
      </c>
      <c r="U64" s="7">
        <f>VLOOKUP($A64,$A$2:U$51,U$55)</f>
        <v>0</v>
      </c>
      <c r="V64" s="7">
        <f>VLOOKUP($A64,$A$2:V$51,V$55)</f>
        <v>0</v>
      </c>
      <c r="W64" s="7">
        <f>VLOOKUP($A64,$A$2:W$51,W$55)</f>
        <v>0</v>
      </c>
      <c r="X64" s="7">
        <f>VLOOKUP($A64,$A$2:X$51,X$55)</f>
        <v>0</v>
      </c>
      <c r="Y64" s="7">
        <f>VLOOKUP($A64,$A$2:Y$51,Y$55)</f>
        <v>0</v>
      </c>
      <c r="Z64" s="7">
        <f>VLOOKUP($A64,$A$2:Z$51,Z$55)</f>
        <v>0</v>
      </c>
      <c r="AA64" s="7">
        <f>VLOOKUP($A64,$A$2:AA$51,AA$55)</f>
        <v>0</v>
      </c>
      <c r="AB64" s="7">
        <f>VLOOKUP($A64,$A$2:AB$51,AB$55)</f>
        <v>0</v>
      </c>
      <c r="AC64" s="7">
        <f>VLOOKUP($A64,$A$2:AC$51,AC$55)</f>
        <v>0</v>
      </c>
      <c r="AD64" s="7">
        <f>VLOOKUP($A64,$A$2:AD$51,AD$55)</f>
        <v>0</v>
      </c>
      <c r="AE64" s="7">
        <f>VLOOKUP($A64,$A$2:AE$51,AE$55)</f>
        <v>0</v>
      </c>
      <c r="AF64" s="7">
        <f>VLOOKUP($A64,$A$2:AF$51,AF$55)</f>
        <v>0</v>
      </c>
      <c r="AG64" s="7">
        <f>VLOOKUP($A64,$A$2:AG$51,AG$55)</f>
        <v>0</v>
      </c>
    </row>
    <row r="65" spans="1:33" s="7" customFormat="1">
      <c r="A65" s="7">
        <f t="shared" si="16"/>
        <v>18</v>
      </c>
      <c r="B65" s="7">
        <f>VLOOKUP($A65,$A$2:B$51,B$55)</f>
        <v>13.022643089294434</v>
      </c>
      <c r="C65" s="7">
        <f>VLOOKUP($A65,$A$2:C$51,C$55)</f>
        <v>12.297174453735352</v>
      </c>
      <c r="D65" s="7">
        <f>VLOOKUP($A65,$A$2:D$51,D$55)</f>
        <v>12.974086761474609</v>
      </c>
      <c r="E65" s="7">
        <f>VLOOKUP($A65,$A$2:E$51,E$55)</f>
        <v>11.50660514831543</v>
      </c>
      <c r="F65" s="7">
        <f>VLOOKUP($A65,$A$2:F$51,F$55)</f>
        <v>11.550845146179199</v>
      </c>
      <c r="G65" s="7">
        <f>VLOOKUP($A65,$A$2:G$51,G$55)</f>
        <v>11.378379821777344</v>
      </c>
      <c r="H65" s="7">
        <f>VLOOKUP($A65,$A$2:H$51,H$55)</f>
        <v>0</v>
      </c>
      <c r="I65" s="7">
        <f>VLOOKUP($A65,$A$2:I$51,I$55)</f>
        <v>0</v>
      </c>
      <c r="J65" s="7">
        <f>VLOOKUP($A65,$A$2:J$51,J$55)</f>
        <v>0</v>
      </c>
      <c r="K65" s="7">
        <f>VLOOKUP($A65,$A$2:K$51,K$55)</f>
        <v>0</v>
      </c>
      <c r="L65" s="7">
        <f>VLOOKUP($A65,$A$2:L$51,L$55)</f>
        <v>0</v>
      </c>
      <c r="M65" s="7">
        <f>VLOOKUP($A65,$A$2:M$51,M$55)</f>
        <v>0</v>
      </c>
      <c r="N65" s="7">
        <f>VLOOKUP($A65,$A$2:N$51,N$55)</f>
        <v>0</v>
      </c>
      <c r="O65" s="7">
        <f>VLOOKUP($A65,$A$2:O$51,O$55)</f>
        <v>0</v>
      </c>
      <c r="P65" s="7">
        <f>VLOOKUP($A65,$A$2:P$51,P$55)</f>
        <v>0</v>
      </c>
      <c r="Q65" s="7">
        <f>VLOOKUP($A65,$A$2:Q$51,Q$55)</f>
        <v>0</v>
      </c>
      <c r="R65" s="7">
        <f>VLOOKUP($A65,$A$2:R$51,R$55)</f>
        <v>0</v>
      </c>
      <c r="S65" s="7">
        <f>VLOOKUP($A65,$A$2:S$51,S$55)</f>
        <v>0</v>
      </c>
      <c r="T65" s="7">
        <f>VLOOKUP($A65,$A$2:T$51,T$55)</f>
        <v>0</v>
      </c>
      <c r="U65" s="7">
        <f>VLOOKUP($A65,$A$2:U$51,U$55)</f>
        <v>0</v>
      </c>
      <c r="V65" s="7">
        <f>VLOOKUP($A65,$A$2:V$51,V$55)</f>
        <v>0</v>
      </c>
      <c r="W65" s="7">
        <f>VLOOKUP($A65,$A$2:W$51,W$55)</f>
        <v>0</v>
      </c>
      <c r="X65" s="7">
        <f>VLOOKUP($A65,$A$2:X$51,X$55)</f>
        <v>0</v>
      </c>
      <c r="Y65" s="7">
        <f>VLOOKUP($A65,$A$2:Y$51,Y$55)</f>
        <v>0</v>
      </c>
      <c r="Z65" s="7">
        <f>VLOOKUP($A65,$A$2:Z$51,Z$55)</f>
        <v>0</v>
      </c>
      <c r="AA65" s="7">
        <f>VLOOKUP($A65,$A$2:AA$51,AA$55)</f>
        <v>0</v>
      </c>
      <c r="AB65" s="7">
        <f>VLOOKUP($A65,$A$2:AB$51,AB$55)</f>
        <v>0</v>
      </c>
      <c r="AC65" s="7">
        <f>VLOOKUP($A65,$A$2:AC$51,AC$55)</f>
        <v>0</v>
      </c>
      <c r="AD65" s="7">
        <f>VLOOKUP($A65,$A$2:AD$51,AD$55)</f>
        <v>0</v>
      </c>
      <c r="AE65" s="7">
        <f>VLOOKUP($A65,$A$2:AE$51,AE$55)</f>
        <v>0</v>
      </c>
      <c r="AF65" s="7">
        <f>VLOOKUP($A65,$A$2:AF$51,AF$55)</f>
        <v>0</v>
      </c>
      <c r="AG65" s="7">
        <f>VLOOKUP($A65,$A$2:AG$51,AG$55)</f>
        <v>0</v>
      </c>
    </row>
    <row r="66" spans="1:33" s="7" customFormat="1">
      <c r="A66" s="7">
        <f t="shared" si="16"/>
        <v>20</v>
      </c>
      <c r="B66" s="7">
        <f>VLOOKUP($A66,$A$2:B$51,B$55)</f>
        <v>10.252411842346191</v>
      </c>
      <c r="C66" s="7">
        <f>VLOOKUP($A66,$A$2:C$51,C$55)</f>
        <v>9.5995979309082031</v>
      </c>
      <c r="D66" s="7">
        <f>VLOOKUP($A66,$A$2:D$51,D$55)</f>
        <v>10.400777816772461</v>
      </c>
      <c r="E66" s="7">
        <f>VLOOKUP($A66,$A$2:E$51,E$55)</f>
        <v>8.9417486190795898</v>
      </c>
      <c r="F66" s="7">
        <f>VLOOKUP($A66,$A$2:F$51,F$55)</f>
        <v>9.0944318771362305</v>
      </c>
      <c r="G66" s="7">
        <f>VLOOKUP($A66,$A$2:G$51,G$55)</f>
        <v>8.7297191619873047</v>
      </c>
      <c r="H66" s="7">
        <f>VLOOKUP($A66,$A$2:H$51,H$55)</f>
        <v>0</v>
      </c>
      <c r="I66" s="7">
        <f>VLOOKUP($A66,$A$2:I$51,I$55)</f>
        <v>0</v>
      </c>
      <c r="J66" s="7">
        <f>VLOOKUP($A66,$A$2:J$51,J$55)</f>
        <v>0</v>
      </c>
      <c r="K66" s="7">
        <f>VLOOKUP($A66,$A$2:K$51,K$55)</f>
        <v>0</v>
      </c>
      <c r="L66" s="7">
        <f>VLOOKUP($A66,$A$2:L$51,L$55)</f>
        <v>0</v>
      </c>
      <c r="M66" s="7">
        <f>VLOOKUP($A66,$A$2:M$51,M$55)</f>
        <v>0</v>
      </c>
      <c r="N66" s="7">
        <f>VLOOKUP($A66,$A$2:N$51,N$55)</f>
        <v>0</v>
      </c>
      <c r="O66" s="7">
        <f>VLOOKUP($A66,$A$2:O$51,O$55)</f>
        <v>0</v>
      </c>
      <c r="P66" s="7">
        <f>VLOOKUP($A66,$A$2:P$51,P$55)</f>
        <v>0</v>
      </c>
      <c r="Q66" s="7">
        <f>VLOOKUP($A66,$A$2:Q$51,Q$55)</f>
        <v>0</v>
      </c>
      <c r="R66" s="7">
        <f>VLOOKUP($A66,$A$2:R$51,R$55)</f>
        <v>0</v>
      </c>
      <c r="S66" s="7">
        <f>VLOOKUP($A66,$A$2:S$51,S$55)</f>
        <v>0</v>
      </c>
      <c r="T66" s="7">
        <f>VLOOKUP($A66,$A$2:T$51,T$55)</f>
        <v>0</v>
      </c>
      <c r="U66" s="7">
        <f>VLOOKUP($A66,$A$2:U$51,U$55)</f>
        <v>0</v>
      </c>
      <c r="V66" s="7">
        <f>VLOOKUP($A66,$A$2:V$51,V$55)</f>
        <v>0</v>
      </c>
      <c r="W66" s="7">
        <f>VLOOKUP($A66,$A$2:W$51,W$55)</f>
        <v>0</v>
      </c>
      <c r="X66" s="7">
        <f>VLOOKUP($A66,$A$2:X$51,X$55)</f>
        <v>0</v>
      </c>
      <c r="Y66" s="7">
        <f>VLOOKUP($A66,$A$2:Y$51,Y$55)</f>
        <v>0</v>
      </c>
      <c r="Z66" s="7">
        <f>VLOOKUP($A66,$A$2:Z$51,Z$55)</f>
        <v>0</v>
      </c>
      <c r="AA66" s="7">
        <f>VLOOKUP($A66,$A$2:AA$51,AA$55)</f>
        <v>0</v>
      </c>
      <c r="AB66" s="7">
        <f>VLOOKUP($A66,$A$2:AB$51,AB$55)</f>
        <v>0</v>
      </c>
      <c r="AC66" s="7">
        <f>VLOOKUP($A66,$A$2:AC$51,AC$55)</f>
        <v>0</v>
      </c>
      <c r="AD66" s="7">
        <f>VLOOKUP($A66,$A$2:AD$51,AD$55)</f>
        <v>0</v>
      </c>
      <c r="AE66" s="7">
        <f>VLOOKUP($A66,$A$2:AE$51,AE$55)</f>
        <v>0</v>
      </c>
      <c r="AF66" s="7">
        <f>VLOOKUP($A66,$A$2:AF$51,AF$55)</f>
        <v>0</v>
      </c>
      <c r="AG66" s="7">
        <f>VLOOKUP($A66,$A$2:AG$51,AG$55)</f>
        <v>0</v>
      </c>
    </row>
    <row r="67" spans="1:33" s="7" customFormat="1">
      <c r="A67" s="7">
        <f t="shared" si="16"/>
        <v>22</v>
      </c>
      <c r="B67" s="7">
        <f>VLOOKUP($A67,$A$2:B$51,B$55)</f>
        <v>9.2688751220703125</v>
      </c>
      <c r="C67" s="7">
        <f>VLOOKUP($A67,$A$2:C$51,C$55)</f>
        <v>8.7293596267700195</v>
      </c>
      <c r="D67" s="7">
        <f>VLOOKUP($A67,$A$2:D$51,D$55)</f>
        <v>9.2940521240234375</v>
      </c>
      <c r="E67" s="7">
        <f>VLOOKUP($A67,$A$2:E$51,E$55)</f>
        <v>8.0177383422851562</v>
      </c>
      <c r="F67" s="7">
        <f>VLOOKUP($A67,$A$2:F$51,F$55)</f>
        <v>8.2274303436279297</v>
      </c>
      <c r="G67" s="7">
        <f>VLOOKUP($A67,$A$2:G$51,G$55)</f>
        <v>8.028529167175293</v>
      </c>
      <c r="H67" s="7">
        <f>VLOOKUP($A67,$A$2:H$51,H$55)</f>
        <v>0</v>
      </c>
      <c r="I67" s="7">
        <f>VLOOKUP($A67,$A$2:I$51,I$55)</f>
        <v>0</v>
      </c>
      <c r="J67" s="7">
        <f>VLOOKUP($A67,$A$2:J$51,J$55)</f>
        <v>0</v>
      </c>
      <c r="K67" s="7">
        <f>VLOOKUP($A67,$A$2:K$51,K$55)</f>
        <v>0</v>
      </c>
      <c r="L67" s="7">
        <f>VLOOKUP($A67,$A$2:L$51,L$55)</f>
        <v>0</v>
      </c>
      <c r="M67" s="7">
        <f>VLOOKUP($A67,$A$2:M$51,M$55)</f>
        <v>0</v>
      </c>
      <c r="N67" s="7">
        <f>VLOOKUP($A67,$A$2:N$51,N$55)</f>
        <v>0</v>
      </c>
      <c r="O67" s="7">
        <f>VLOOKUP($A67,$A$2:O$51,O$55)</f>
        <v>0</v>
      </c>
      <c r="P67" s="7">
        <f>VLOOKUP($A67,$A$2:P$51,P$55)</f>
        <v>0</v>
      </c>
      <c r="Q67" s="7">
        <f>VLOOKUP($A67,$A$2:Q$51,Q$55)</f>
        <v>0</v>
      </c>
      <c r="R67" s="7">
        <f>VLOOKUP($A67,$A$2:R$51,R$55)</f>
        <v>0</v>
      </c>
      <c r="S67" s="7">
        <f>VLOOKUP($A67,$A$2:S$51,S$55)</f>
        <v>0</v>
      </c>
      <c r="T67" s="7">
        <f>VLOOKUP($A67,$A$2:T$51,T$55)</f>
        <v>0</v>
      </c>
      <c r="U67" s="7">
        <f>VLOOKUP($A67,$A$2:U$51,U$55)</f>
        <v>0</v>
      </c>
      <c r="V67" s="7">
        <f>VLOOKUP($A67,$A$2:V$51,V$55)</f>
        <v>0</v>
      </c>
      <c r="W67" s="7">
        <f>VLOOKUP($A67,$A$2:W$51,W$55)</f>
        <v>0</v>
      </c>
      <c r="X67" s="7">
        <f>VLOOKUP($A67,$A$2:X$51,X$55)</f>
        <v>0</v>
      </c>
      <c r="Y67" s="7">
        <f>VLOOKUP($A67,$A$2:Y$51,Y$55)</f>
        <v>0</v>
      </c>
      <c r="Z67" s="7">
        <f>VLOOKUP($A67,$A$2:Z$51,Z$55)</f>
        <v>0</v>
      </c>
      <c r="AA67" s="7">
        <f>VLOOKUP($A67,$A$2:AA$51,AA$55)</f>
        <v>0</v>
      </c>
      <c r="AB67" s="7">
        <f>VLOOKUP($A67,$A$2:AB$51,AB$55)</f>
        <v>0</v>
      </c>
      <c r="AC67" s="7">
        <f>VLOOKUP($A67,$A$2:AC$51,AC$55)</f>
        <v>0</v>
      </c>
      <c r="AD67" s="7">
        <f>VLOOKUP($A67,$A$2:AD$51,AD$55)</f>
        <v>0</v>
      </c>
      <c r="AE67" s="7">
        <f>VLOOKUP($A67,$A$2:AE$51,AE$55)</f>
        <v>0</v>
      </c>
      <c r="AF67" s="7">
        <f>VLOOKUP($A67,$A$2:AF$51,AF$55)</f>
        <v>0</v>
      </c>
      <c r="AG67" s="7">
        <f>VLOOKUP($A67,$A$2:AG$51,AG$55)</f>
        <v>0</v>
      </c>
    </row>
    <row r="68" spans="1:33" s="7" customFormat="1">
      <c r="A68" s="7">
        <f t="shared" si="16"/>
        <v>24</v>
      </c>
      <c r="B68" s="7">
        <f>VLOOKUP($A68,$A$2:B$51,B$55)</f>
        <v>7.6792826652526855</v>
      </c>
      <c r="C68" s="7">
        <f>VLOOKUP($A68,$A$2:C$51,C$55)</f>
        <v>7.2068467140197754</v>
      </c>
      <c r="D68" s="7">
        <f>VLOOKUP($A68,$A$2:D$51,D$55)</f>
        <v>7.5809111595153809</v>
      </c>
      <c r="E68" s="7">
        <f>VLOOKUP($A68,$A$2:E$51,E$55)</f>
        <v>6.602409839630127</v>
      </c>
      <c r="F68" s="7">
        <f>VLOOKUP($A68,$A$2:F$51,F$55)</f>
        <v>6.7764935493469238</v>
      </c>
      <c r="G68" s="7">
        <f>VLOOKUP($A68,$A$2:G$51,G$55)</f>
        <v>6.6486282348632812</v>
      </c>
      <c r="H68" s="7">
        <f>VLOOKUP($A68,$A$2:H$51,H$55)</f>
        <v>0</v>
      </c>
      <c r="I68" s="7">
        <f>VLOOKUP($A68,$A$2:I$51,I$55)</f>
        <v>0</v>
      </c>
      <c r="J68" s="7">
        <f>VLOOKUP($A68,$A$2:J$51,J$55)</f>
        <v>0</v>
      </c>
      <c r="K68" s="7">
        <f>VLOOKUP($A68,$A$2:K$51,K$55)</f>
        <v>0</v>
      </c>
      <c r="L68" s="7">
        <f>VLOOKUP($A68,$A$2:L$51,L$55)</f>
        <v>0</v>
      </c>
      <c r="M68" s="7">
        <f>VLOOKUP($A68,$A$2:M$51,M$55)</f>
        <v>0</v>
      </c>
      <c r="N68" s="7">
        <f>VLOOKUP($A68,$A$2:N$51,N$55)</f>
        <v>0</v>
      </c>
      <c r="O68" s="7">
        <f>VLOOKUP($A68,$A$2:O$51,O$55)</f>
        <v>0</v>
      </c>
      <c r="P68" s="7">
        <f>VLOOKUP($A68,$A$2:P$51,P$55)</f>
        <v>0</v>
      </c>
      <c r="Q68" s="7">
        <f>VLOOKUP($A68,$A$2:Q$51,Q$55)</f>
        <v>0</v>
      </c>
      <c r="R68" s="7">
        <f>VLOOKUP($A68,$A$2:R$51,R$55)</f>
        <v>0</v>
      </c>
      <c r="S68" s="7">
        <f>VLOOKUP($A68,$A$2:S$51,S$55)</f>
        <v>0</v>
      </c>
      <c r="T68" s="7">
        <f>VLOOKUP($A68,$A$2:T$51,T$55)</f>
        <v>0</v>
      </c>
      <c r="U68" s="7">
        <f>VLOOKUP($A68,$A$2:U$51,U$55)</f>
        <v>0</v>
      </c>
      <c r="V68" s="7">
        <f>VLOOKUP($A68,$A$2:V$51,V$55)</f>
        <v>0</v>
      </c>
      <c r="W68" s="7">
        <f>VLOOKUP($A68,$A$2:W$51,W$55)</f>
        <v>0</v>
      </c>
      <c r="X68" s="7">
        <f>VLOOKUP($A68,$A$2:X$51,X$55)</f>
        <v>0</v>
      </c>
      <c r="Y68" s="7">
        <f>VLOOKUP($A68,$A$2:Y$51,Y$55)</f>
        <v>0</v>
      </c>
      <c r="Z68" s="7">
        <f>VLOOKUP($A68,$A$2:Z$51,Z$55)</f>
        <v>0</v>
      </c>
      <c r="AA68" s="7">
        <f>VLOOKUP($A68,$A$2:AA$51,AA$55)</f>
        <v>0</v>
      </c>
      <c r="AB68" s="7">
        <f>VLOOKUP($A68,$A$2:AB$51,AB$55)</f>
        <v>0</v>
      </c>
      <c r="AC68" s="7">
        <f>VLOOKUP($A68,$A$2:AC$51,AC$55)</f>
        <v>0</v>
      </c>
      <c r="AD68" s="7">
        <f>VLOOKUP($A68,$A$2:AD$51,AD$55)</f>
        <v>0</v>
      </c>
      <c r="AE68" s="7">
        <f>VLOOKUP($A68,$A$2:AE$51,AE$55)</f>
        <v>0</v>
      </c>
      <c r="AF68" s="7">
        <f>VLOOKUP($A68,$A$2:AF$51,AF$55)</f>
        <v>0</v>
      </c>
      <c r="AG68" s="7">
        <f>VLOOKUP($A68,$A$2:AG$51,AG$55)</f>
        <v>0</v>
      </c>
    </row>
    <row r="69" spans="1:33" s="7" customFormat="1">
      <c r="A69" s="7">
        <f t="shared" si="16"/>
        <v>26</v>
      </c>
      <c r="B69" s="7">
        <f>VLOOKUP($A69,$A$2:B$51,B$55)</f>
        <v>6.046349048614502</v>
      </c>
      <c r="C69" s="7">
        <f>VLOOKUP($A69,$A$2:C$51,C$55)</f>
        <v>5.6474676132202148</v>
      </c>
      <c r="D69" s="7">
        <f>VLOOKUP($A69,$A$2:D$51,D$55)</f>
        <v>6.0824966430664063</v>
      </c>
      <c r="E69" s="7">
        <f>VLOOKUP($A69,$A$2:E$51,E$55)</f>
        <v>5.180427074432373</v>
      </c>
      <c r="F69" s="7">
        <f>VLOOKUP($A69,$A$2:F$51,F$55)</f>
        <v>5.4023475646972656</v>
      </c>
      <c r="G69" s="7">
        <f>VLOOKUP($A69,$A$2:G$51,G$55)</f>
        <v>5.1458978652954102</v>
      </c>
      <c r="H69" s="7">
        <f>VLOOKUP($A69,$A$2:H$51,H$55)</f>
        <v>0</v>
      </c>
      <c r="I69" s="7">
        <f>VLOOKUP($A69,$A$2:I$51,I$55)</f>
        <v>0</v>
      </c>
      <c r="J69" s="7">
        <f>VLOOKUP($A69,$A$2:J$51,J$55)</f>
        <v>0</v>
      </c>
      <c r="K69" s="7">
        <f>VLOOKUP($A69,$A$2:K$51,K$55)</f>
        <v>0</v>
      </c>
      <c r="L69" s="7">
        <f>VLOOKUP($A69,$A$2:L$51,L$55)</f>
        <v>0</v>
      </c>
      <c r="M69" s="7">
        <f>VLOOKUP($A69,$A$2:M$51,M$55)</f>
        <v>0</v>
      </c>
      <c r="N69" s="7">
        <f>VLOOKUP($A69,$A$2:N$51,N$55)</f>
        <v>0</v>
      </c>
      <c r="O69" s="7">
        <f>VLOOKUP($A69,$A$2:O$51,O$55)</f>
        <v>0</v>
      </c>
      <c r="P69" s="7">
        <f>VLOOKUP($A69,$A$2:P$51,P$55)</f>
        <v>0</v>
      </c>
      <c r="Q69" s="7">
        <f>VLOOKUP($A69,$A$2:Q$51,Q$55)</f>
        <v>0</v>
      </c>
      <c r="R69" s="7">
        <f>VLOOKUP($A69,$A$2:R$51,R$55)</f>
        <v>0</v>
      </c>
      <c r="S69" s="7">
        <f>VLOOKUP($A69,$A$2:S$51,S$55)</f>
        <v>0</v>
      </c>
      <c r="T69" s="7">
        <f>VLOOKUP($A69,$A$2:T$51,T$55)</f>
        <v>0</v>
      </c>
      <c r="U69" s="7">
        <f>VLOOKUP($A69,$A$2:U$51,U$55)</f>
        <v>0</v>
      </c>
      <c r="V69" s="7">
        <f>VLOOKUP($A69,$A$2:V$51,V$55)</f>
        <v>0</v>
      </c>
      <c r="W69" s="7">
        <f>VLOOKUP($A69,$A$2:W$51,W$55)</f>
        <v>0</v>
      </c>
      <c r="X69" s="7">
        <f>VLOOKUP($A69,$A$2:X$51,X$55)</f>
        <v>0</v>
      </c>
      <c r="Y69" s="7">
        <f>VLOOKUP($A69,$A$2:Y$51,Y$55)</f>
        <v>0</v>
      </c>
      <c r="Z69" s="7">
        <f>VLOOKUP($A69,$A$2:Z$51,Z$55)</f>
        <v>0</v>
      </c>
      <c r="AA69" s="7">
        <f>VLOOKUP($A69,$A$2:AA$51,AA$55)</f>
        <v>0</v>
      </c>
      <c r="AB69" s="7">
        <f>VLOOKUP($A69,$A$2:AB$51,AB$55)</f>
        <v>0</v>
      </c>
      <c r="AC69" s="7">
        <f>VLOOKUP($A69,$A$2:AC$51,AC$55)</f>
        <v>0</v>
      </c>
      <c r="AD69" s="7">
        <f>VLOOKUP($A69,$A$2:AD$51,AD$55)</f>
        <v>0</v>
      </c>
      <c r="AE69" s="7">
        <f>VLOOKUP($A69,$A$2:AE$51,AE$55)</f>
        <v>0</v>
      </c>
      <c r="AF69" s="7">
        <f>VLOOKUP($A69,$A$2:AF$51,AF$55)</f>
        <v>0</v>
      </c>
      <c r="AG69" s="7">
        <f>VLOOKUP($A69,$A$2:AG$51,AG$55)</f>
        <v>0</v>
      </c>
    </row>
    <row r="70" spans="1:33" s="7" customFormat="1">
      <c r="A70" s="7">
        <f t="shared" si="16"/>
        <v>28</v>
      </c>
      <c r="B70" s="7">
        <f>VLOOKUP($A70,$A$2:B$51,B$55)</f>
        <v>4.9148054122924805</v>
      </c>
      <c r="C70" s="7">
        <f>VLOOKUP($A70,$A$2:C$51,C$55)</f>
        <v>4.6207695007324219</v>
      </c>
      <c r="D70" s="7">
        <f>VLOOKUP($A70,$A$2:D$51,D$55)</f>
        <v>4.9405226707458496</v>
      </c>
      <c r="E70" s="7">
        <f>VLOOKUP($A70,$A$2:E$51,E$55)</f>
        <v>4.2551579475402832</v>
      </c>
      <c r="F70" s="7">
        <f>VLOOKUP($A70,$A$2:F$51,F$55)</f>
        <v>4.3734917640686035</v>
      </c>
      <c r="G70" s="7">
        <f>VLOOKUP($A70,$A$2:G$51,G$55)</f>
        <v>4.2859106063842773</v>
      </c>
      <c r="H70" s="7">
        <f>VLOOKUP($A70,$A$2:H$51,H$55)</f>
        <v>0</v>
      </c>
      <c r="I70" s="7">
        <f>VLOOKUP($A70,$A$2:I$51,I$55)</f>
        <v>0</v>
      </c>
      <c r="J70" s="7">
        <f>VLOOKUP($A70,$A$2:J$51,J$55)</f>
        <v>0</v>
      </c>
      <c r="K70" s="7">
        <f>VLOOKUP($A70,$A$2:K$51,K$55)</f>
        <v>0</v>
      </c>
      <c r="L70" s="7">
        <f>VLOOKUP($A70,$A$2:L$51,L$55)</f>
        <v>0</v>
      </c>
      <c r="M70" s="7">
        <f>VLOOKUP($A70,$A$2:M$51,M$55)</f>
        <v>0</v>
      </c>
      <c r="N70" s="7">
        <f>VLOOKUP($A70,$A$2:N$51,N$55)</f>
        <v>0</v>
      </c>
      <c r="O70" s="7">
        <f>VLOOKUP($A70,$A$2:O$51,O$55)</f>
        <v>0</v>
      </c>
      <c r="P70" s="7">
        <f>VLOOKUP($A70,$A$2:P$51,P$55)</f>
        <v>0</v>
      </c>
      <c r="Q70" s="7">
        <f>VLOOKUP($A70,$A$2:Q$51,Q$55)</f>
        <v>0</v>
      </c>
      <c r="R70" s="7">
        <f>VLOOKUP($A70,$A$2:R$51,R$55)</f>
        <v>0</v>
      </c>
      <c r="S70" s="7">
        <f>VLOOKUP($A70,$A$2:S$51,S$55)</f>
        <v>0</v>
      </c>
      <c r="T70" s="7">
        <f>VLOOKUP($A70,$A$2:T$51,T$55)</f>
        <v>0</v>
      </c>
      <c r="U70" s="7">
        <f>VLOOKUP($A70,$A$2:U$51,U$55)</f>
        <v>0</v>
      </c>
      <c r="V70" s="7">
        <f>VLOOKUP($A70,$A$2:V$51,V$55)</f>
        <v>0</v>
      </c>
      <c r="W70" s="7">
        <f>VLOOKUP($A70,$A$2:W$51,W$55)</f>
        <v>0</v>
      </c>
      <c r="X70" s="7">
        <f>VLOOKUP($A70,$A$2:X$51,X$55)</f>
        <v>0</v>
      </c>
      <c r="Y70" s="7">
        <f>VLOOKUP($A70,$A$2:Y$51,Y$55)</f>
        <v>0</v>
      </c>
      <c r="Z70" s="7">
        <f>VLOOKUP($A70,$A$2:Z$51,Z$55)</f>
        <v>0</v>
      </c>
      <c r="AA70" s="7">
        <f>VLOOKUP($A70,$A$2:AA$51,AA$55)</f>
        <v>0</v>
      </c>
      <c r="AB70" s="7">
        <f>VLOOKUP($A70,$A$2:AB$51,AB$55)</f>
        <v>0</v>
      </c>
      <c r="AC70" s="7">
        <f>VLOOKUP($A70,$A$2:AC$51,AC$55)</f>
        <v>0</v>
      </c>
      <c r="AD70" s="7">
        <f>VLOOKUP($A70,$A$2:AD$51,AD$55)</f>
        <v>0</v>
      </c>
      <c r="AE70" s="7">
        <f>VLOOKUP($A70,$A$2:AE$51,AE$55)</f>
        <v>0</v>
      </c>
      <c r="AF70" s="7">
        <f>VLOOKUP($A70,$A$2:AF$51,AF$55)</f>
        <v>0</v>
      </c>
      <c r="AG70" s="7">
        <f>VLOOKUP($A70,$A$2:AG$51,AG$55)</f>
        <v>0</v>
      </c>
    </row>
    <row r="71" spans="1:33" s="7" customFormat="1">
      <c r="A71" s="7">
        <f t="shared" si="16"/>
        <v>30</v>
      </c>
      <c r="B71" s="7">
        <f>VLOOKUP($A71,$A$2:B$51,B$55)</f>
        <v>3.937563419342041</v>
      </c>
      <c r="C71" s="7">
        <f>VLOOKUP($A71,$A$2:C$51,C$55)</f>
        <v>3.6501815319061279</v>
      </c>
      <c r="D71" s="7">
        <f>VLOOKUP($A71,$A$2:D$51,D$55)</f>
        <v>3.9819834232330322</v>
      </c>
      <c r="E71" s="7">
        <f>VLOOKUP($A71,$A$2:E$51,E$55)</f>
        <v>3.3036327362060547</v>
      </c>
      <c r="F71" s="7">
        <f>VLOOKUP($A71,$A$2:F$51,F$55)</f>
        <v>3.4658470153808594</v>
      </c>
      <c r="G71" s="7">
        <f>VLOOKUP($A71,$A$2:G$51,G$55)</f>
        <v>3.275937557220459</v>
      </c>
      <c r="H71" s="7">
        <f>VLOOKUP($A71,$A$2:H$51,H$55)</f>
        <v>0</v>
      </c>
      <c r="I71" s="7">
        <f>VLOOKUP($A71,$A$2:I$51,I$55)</f>
        <v>0</v>
      </c>
      <c r="J71" s="7">
        <f>VLOOKUP($A71,$A$2:J$51,J$55)</f>
        <v>0</v>
      </c>
      <c r="K71" s="7">
        <f>VLOOKUP($A71,$A$2:K$51,K$55)</f>
        <v>0</v>
      </c>
      <c r="L71" s="7">
        <f>VLOOKUP($A71,$A$2:L$51,L$55)</f>
        <v>0</v>
      </c>
      <c r="M71" s="7">
        <f>VLOOKUP($A71,$A$2:M$51,M$55)</f>
        <v>0</v>
      </c>
      <c r="N71" s="7">
        <f>VLOOKUP($A71,$A$2:N$51,N$55)</f>
        <v>0</v>
      </c>
      <c r="O71" s="7">
        <f>VLOOKUP($A71,$A$2:O$51,O$55)</f>
        <v>0</v>
      </c>
      <c r="P71" s="7">
        <f>VLOOKUP($A71,$A$2:P$51,P$55)</f>
        <v>0</v>
      </c>
      <c r="Q71" s="7">
        <f>VLOOKUP($A71,$A$2:Q$51,Q$55)</f>
        <v>0</v>
      </c>
      <c r="R71" s="7">
        <f>VLOOKUP($A71,$A$2:R$51,R$55)</f>
        <v>0</v>
      </c>
      <c r="S71" s="7">
        <f>VLOOKUP($A71,$A$2:S$51,S$55)</f>
        <v>0</v>
      </c>
      <c r="T71" s="7">
        <f>VLOOKUP($A71,$A$2:T$51,T$55)</f>
        <v>0</v>
      </c>
      <c r="U71" s="7">
        <f>VLOOKUP($A71,$A$2:U$51,U$55)</f>
        <v>0</v>
      </c>
      <c r="V71" s="7">
        <f>VLOOKUP($A71,$A$2:V$51,V$55)</f>
        <v>0</v>
      </c>
      <c r="W71" s="7">
        <f>VLOOKUP($A71,$A$2:W$51,W$55)</f>
        <v>0</v>
      </c>
      <c r="X71" s="7">
        <f>VLOOKUP($A71,$A$2:X$51,X$55)</f>
        <v>0</v>
      </c>
      <c r="Y71" s="7">
        <f>VLOOKUP($A71,$A$2:Y$51,Y$55)</f>
        <v>0</v>
      </c>
      <c r="Z71" s="7">
        <f>VLOOKUP($A71,$A$2:Z$51,Z$55)</f>
        <v>0</v>
      </c>
      <c r="AA71" s="7">
        <f>VLOOKUP($A71,$A$2:AA$51,AA$55)</f>
        <v>0</v>
      </c>
      <c r="AB71" s="7">
        <f>VLOOKUP($A71,$A$2:AB$51,AB$55)</f>
        <v>0</v>
      </c>
      <c r="AC71" s="7">
        <f>VLOOKUP($A71,$A$2:AC$51,AC$55)</f>
        <v>0</v>
      </c>
      <c r="AD71" s="7">
        <f>VLOOKUP($A71,$A$2:AD$51,AD$55)</f>
        <v>0</v>
      </c>
      <c r="AE71" s="7">
        <f>VLOOKUP($A71,$A$2:AE$51,AE$55)</f>
        <v>0</v>
      </c>
      <c r="AF71" s="7">
        <f>VLOOKUP($A71,$A$2:AF$51,AF$55)</f>
        <v>0</v>
      </c>
      <c r="AG71" s="7">
        <f>VLOOKUP($A71,$A$2:AG$51,AG$55)</f>
        <v>0</v>
      </c>
    </row>
    <row r="72" spans="1:33" s="7" customFormat="1">
      <c r="A72" s="7">
        <f t="shared" si="16"/>
        <v>32</v>
      </c>
      <c r="B72" s="7">
        <f>VLOOKUP($A72,$A$2:B$51,B$55)</f>
        <v>2.9560048580169678</v>
      </c>
      <c r="C72" s="7">
        <f>VLOOKUP($A72,$A$2:C$51,C$55)</f>
        <v>2.7243731021881104</v>
      </c>
      <c r="D72" s="7">
        <f>VLOOKUP($A72,$A$2:D$51,D$55)</f>
        <v>2.9319067001342773</v>
      </c>
      <c r="E72" s="7">
        <f>VLOOKUP($A72,$A$2:E$51,E$55)</f>
        <v>2.4893240928649902</v>
      </c>
      <c r="F72" s="7">
        <f>VLOOKUP($A72,$A$2:F$51,F$55)</f>
        <v>2.5427360534667969</v>
      </c>
      <c r="G72" s="7">
        <f>VLOOKUP($A72,$A$2:G$51,G$55)</f>
        <v>2.4645063877105713</v>
      </c>
      <c r="H72" s="7">
        <f>VLOOKUP($A72,$A$2:H$51,H$55)</f>
        <v>0</v>
      </c>
      <c r="I72" s="7">
        <f>VLOOKUP($A72,$A$2:I$51,I$55)</f>
        <v>0</v>
      </c>
      <c r="J72" s="7">
        <f>VLOOKUP($A72,$A$2:J$51,J$55)</f>
        <v>0</v>
      </c>
      <c r="K72" s="7">
        <f>VLOOKUP($A72,$A$2:K$51,K$55)</f>
        <v>0</v>
      </c>
      <c r="L72" s="7">
        <f>VLOOKUP($A72,$A$2:L$51,L$55)</f>
        <v>0</v>
      </c>
      <c r="M72" s="7">
        <f>VLOOKUP($A72,$A$2:M$51,M$55)</f>
        <v>0</v>
      </c>
      <c r="N72" s="7">
        <f>VLOOKUP($A72,$A$2:N$51,N$55)</f>
        <v>0</v>
      </c>
      <c r="O72" s="7">
        <f>VLOOKUP($A72,$A$2:O$51,O$55)</f>
        <v>0</v>
      </c>
      <c r="P72" s="7">
        <f>VLOOKUP($A72,$A$2:P$51,P$55)</f>
        <v>0</v>
      </c>
      <c r="Q72" s="7">
        <f>VLOOKUP($A72,$A$2:Q$51,Q$55)</f>
        <v>0</v>
      </c>
      <c r="R72" s="7">
        <f>VLOOKUP($A72,$A$2:R$51,R$55)</f>
        <v>0</v>
      </c>
      <c r="S72" s="7">
        <f>VLOOKUP($A72,$A$2:S$51,S$55)</f>
        <v>0</v>
      </c>
      <c r="T72" s="7">
        <f>VLOOKUP($A72,$A$2:T$51,T$55)</f>
        <v>0</v>
      </c>
      <c r="U72" s="7">
        <f>VLOOKUP($A72,$A$2:U$51,U$55)</f>
        <v>0</v>
      </c>
      <c r="V72" s="7">
        <f>VLOOKUP($A72,$A$2:V$51,V$55)</f>
        <v>0</v>
      </c>
      <c r="W72" s="7">
        <f>VLOOKUP($A72,$A$2:W$51,W$55)</f>
        <v>0</v>
      </c>
      <c r="X72" s="7">
        <f>VLOOKUP($A72,$A$2:X$51,X$55)</f>
        <v>0</v>
      </c>
      <c r="Y72" s="7">
        <f>VLOOKUP($A72,$A$2:Y$51,Y$55)</f>
        <v>0</v>
      </c>
      <c r="Z72" s="7">
        <f>VLOOKUP($A72,$A$2:Z$51,Z$55)</f>
        <v>0</v>
      </c>
      <c r="AA72" s="7">
        <f>VLOOKUP($A72,$A$2:AA$51,AA$55)</f>
        <v>0</v>
      </c>
      <c r="AB72" s="7">
        <f>VLOOKUP($A72,$A$2:AB$51,AB$55)</f>
        <v>0</v>
      </c>
      <c r="AC72" s="7">
        <f>VLOOKUP($A72,$A$2:AC$51,AC$55)</f>
        <v>0</v>
      </c>
      <c r="AD72" s="7">
        <f>VLOOKUP($A72,$A$2:AD$51,AD$55)</f>
        <v>0</v>
      </c>
      <c r="AE72" s="7">
        <f>VLOOKUP($A72,$A$2:AE$51,AE$55)</f>
        <v>0</v>
      </c>
      <c r="AF72" s="7">
        <f>VLOOKUP($A72,$A$2:AF$51,AF$55)</f>
        <v>0</v>
      </c>
      <c r="AG72" s="7">
        <f>VLOOKUP($A72,$A$2:AG$51,AG$55)</f>
        <v>0</v>
      </c>
    </row>
    <row r="73" spans="1:33" s="7" customFormat="1">
      <c r="A73" s="7">
        <f t="shared" si="16"/>
        <v>34</v>
      </c>
      <c r="B73" s="7">
        <f>VLOOKUP($A73,$A$2:B$51,B$55)</f>
        <v>0.95134550333023071</v>
      </c>
      <c r="C73" s="7">
        <f>VLOOKUP($A73,$A$2:C$51,C$55)</f>
        <v>0.85657066106796265</v>
      </c>
      <c r="D73" s="7">
        <f>VLOOKUP($A73,$A$2:D$51,D$55)</f>
        <v>1.0038583278656006</v>
      </c>
      <c r="E73" s="7">
        <f>VLOOKUP($A73,$A$2:E$51,E$55)</f>
        <v>0.73625868558883667</v>
      </c>
      <c r="F73" s="7">
        <f>VLOOKUP($A73,$A$2:F$51,F$55)</f>
        <v>0.75963771343231201</v>
      </c>
      <c r="G73" s="7">
        <f>VLOOKUP($A73,$A$2:G$51,G$55)</f>
        <v>0.69381684064865112</v>
      </c>
      <c r="H73" s="7">
        <f>VLOOKUP($A73,$A$2:H$51,H$55)</f>
        <v>0</v>
      </c>
      <c r="I73" s="7">
        <f>VLOOKUP($A73,$A$2:I$51,I$55)</f>
        <v>0</v>
      </c>
      <c r="J73" s="7">
        <f>VLOOKUP($A73,$A$2:J$51,J$55)</f>
        <v>0</v>
      </c>
      <c r="K73" s="7">
        <f>VLOOKUP($A73,$A$2:K$51,K$55)</f>
        <v>0</v>
      </c>
      <c r="L73" s="7">
        <f>VLOOKUP($A73,$A$2:L$51,L$55)</f>
        <v>0</v>
      </c>
      <c r="M73" s="7">
        <f>VLOOKUP($A73,$A$2:M$51,M$55)</f>
        <v>0</v>
      </c>
      <c r="N73" s="7">
        <f>VLOOKUP($A73,$A$2:N$51,N$55)</f>
        <v>0</v>
      </c>
      <c r="O73" s="7">
        <f>VLOOKUP($A73,$A$2:O$51,O$55)</f>
        <v>0</v>
      </c>
      <c r="P73" s="7">
        <f>VLOOKUP($A73,$A$2:P$51,P$55)</f>
        <v>0</v>
      </c>
      <c r="Q73" s="7">
        <f>VLOOKUP($A73,$A$2:Q$51,Q$55)</f>
        <v>0</v>
      </c>
      <c r="R73" s="7">
        <f>VLOOKUP($A73,$A$2:R$51,R$55)</f>
        <v>0</v>
      </c>
      <c r="S73" s="7">
        <f>VLOOKUP($A73,$A$2:S$51,S$55)</f>
        <v>0</v>
      </c>
      <c r="T73" s="7">
        <f>VLOOKUP($A73,$A$2:T$51,T$55)</f>
        <v>0</v>
      </c>
      <c r="U73" s="7">
        <f>VLOOKUP($A73,$A$2:U$51,U$55)</f>
        <v>0</v>
      </c>
      <c r="V73" s="7">
        <f>VLOOKUP($A73,$A$2:V$51,V$55)</f>
        <v>0</v>
      </c>
      <c r="W73" s="7">
        <f>VLOOKUP($A73,$A$2:W$51,W$55)</f>
        <v>0</v>
      </c>
      <c r="X73" s="7">
        <f>VLOOKUP($A73,$A$2:X$51,X$55)</f>
        <v>0</v>
      </c>
      <c r="Y73" s="7">
        <f>VLOOKUP($A73,$A$2:Y$51,Y$55)</f>
        <v>0</v>
      </c>
      <c r="Z73" s="7">
        <f>VLOOKUP($A73,$A$2:Z$51,Z$55)</f>
        <v>0</v>
      </c>
      <c r="AA73" s="7">
        <f>VLOOKUP($A73,$A$2:AA$51,AA$55)</f>
        <v>0</v>
      </c>
      <c r="AB73" s="7">
        <f>VLOOKUP($A73,$A$2:AB$51,AB$55)</f>
        <v>0</v>
      </c>
      <c r="AC73" s="7">
        <f>VLOOKUP($A73,$A$2:AC$51,AC$55)</f>
        <v>0</v>
      </c>
      <c r="AD73" s="7">
        <f>VLOOKUP($A73,$A$2:AD$51,AD$55)</f>
        <v>0</v>
      </c>
      <c r="AE73" s="7">
        <f>VLOOKUP($A73,$A$2:AE$51,AE$55)</f>
        <v>0</v>
      </c>
      <c r="AF73" s="7">
        <f>VLOOKUP($A73,$A$2:AF$51,AF$55)</f>
        <v>0</v>
      </c>
      <c r="AG73" s="7">
        <f>VLOOKUP($A73,$A$2:AG$51,AG$55)</f>
        <v>0</v>
      </c>
    </row>
    <row r="74" spans="1:33" s="7" customFormat="1">
      <c r="A74" s="7">
        <f t="shared" si="16"/>
        <v>36</v>
      </c>
      <c r="B74" s="7">
        <f>VLOOKUP($A74,$A$2:B$51,B$55)</f>
        <v>0.76665139198303223</v>
      </c>
      <c r="C74" s="7">
        <f>VLOOKUP($A74,$A$2:C$51,C$55)</f>
        <v>0.69165873527526855</v>
      </c>
      <c r="D74" s="7">
        <f>VLOOKUP($A74,$A$2:D$51,D$55)</f>
        <v>0.79920214414596558</v>
      </c>
      <c r="E74" s="7">
        <f>VLOOKUP($A74,$A$2:E$51,E$55)</f>
        <v>0.60641533136367798</v>
      </c>
      <c r="F74" s="7">
        <f>VLOOKUP($A74,$A$2:F$51,F$55)</f>
        <v>0.61684596538543701</v>
      </c>
      <c r="G74" s="7">
        <f>VLOOKUP($A74,$A$2:G$51,G$55)</f>
        <v>0.55048555135726929</v>
      </c>
      <c r="H74" s="7">
        <f>VLOOKUP($A74,$A$2:H$51,H$55)</f>
        <v>0</v>
      </c>
      <c r="I74" s="7">
        <f>VLOOKUP($A74,$A$2:I$51,I$55)</f>
        <v>0</v>
      </c>
      <c r="J74" s="7">
        <f>VLOOKUP($A74,$A$2:J$51,J$55)</f>
        <v>0</v>
      </c>
      <c r="K74" s="7">
        <f>VLOOKUP($A74,$A$2:K$51,K$55)</f>
        <v>0</v>
      </c>
      <c r="L74" s="7">
        <f>VLOOKUP($A74,$A$2:L$51,L$55)</f>
        <v>0</v>
      </c>
      <c r="M74" s="7">
        <f>VLOOKUP($A74,$A$2:M$51,M$55)</f>
        <v>0</v>
      </c>
      <c r="N74" s="7">
        <f>VLOOKUP($A74,$A$2:N$51,N$55)</f>
        <v>0</v>
      </c>
      <c r="O74" s="7">
        <f>VLOOKUP($A74,$A$2:O$51,O$55)</f>
        <v>0</v>
      </c>
      <c r="P74" s="7">
        <f>VLOOKUP($A74,$A$2:P$51,P$55)</f>
        <v>0</v>
      </c>
      <c r="Q74" s="7">
        <f>VLOOKUP($A74,$A$2:Q$51,Q$55)</f>
        <v>0</v>
      </c>
      <c r="R74" s="7">
        <f>VLOOKUP($A74,$A$2:R$51,R$55)</f>
        <v>0</v>
      </c>
      <c r="S74" s="7">
        <f>VLOOKUP($A74,$A$2:S$51,S$55)</f>
        <v>0</v>
      </c>
      <c r="T74" s="7">
        <f>VLOOKUP($A74,$A$2:T$51,T$55)</f>
        <v>0</v>
      </c>
      <c r="U74" s="7">
        <f>VLOOKUP($A74,$A$2:U$51,U$55)</f>
        <v>0</v>
      </c>
      <c r="V74" s="7">
        <f>VLOOKUP($A74,$A$2:V$51,V$55)</f>
        <v>0</v>
      </c>
      <c r="W74" s="7">
        <f>VLOOKUP($A74,$A$2:W$51,W$55)</f>
        <v>0</v>
      </c>
      <c r="X74" s="7">
        <f>VLOOKUP($A74,$A$2:X$51,X$55)</f>
        <v>0</v>
      </c>
      <c r="Y74" s="7">
        <f>VLOOKUP($A74,$A$2:Y$51,Y$55)</f>
        <v>0</v>
      </c>
      <c r="Z74" s="7">
        <f>VLOOKUP($A74,$A$2:Z$51,Z$55)</f>
        <v>0</v>
      </c>
      <c r="AA74" s="7">
        <f>VLOOKUP($A74,$A$2:AA$51,AA$55)</f>
        <v>0</v>
      </c>
      <c r="AB74" s="7">
        <f>VLOOKUP($A74,$A$2:AB$51,AB$55)</f>
        <v>0</v>
      </c>
      <c r="AC74" s="7">
        <f>VLOOKUP($A74,$A$2:AC$51,AC$55)</f>
        <v>0</v>
      </c>
      <c r="AD74" s="7">
        <f>VLOOKUP($A74,$A$2:AD$51,AD$55)</f>
        <v>0</v>
      </c>
      <c r="AE74" s="7">
        <f>VLOOKUP($A74,$A$2:AE$51,AE$55)</f>
        <v>0</v>
      </c>
      <c r="AF74" s="7">
        <f>VLOOKUP($A74,$A$2:AF$51,AF$55)</f>
        <v>0</v>
      </c>
      <c r="AG74" s="7">
        <f>VLOOKUP($A74,$A$2:AG$51,AG$55)</f>
        <v>0</v>
      </c>
    </row>
    <row r="75" spans="1:33" s="7" customFormat="1">
      <c r="A75" s="7">
        <f t="shared" si="16"/>
        <v>38</v>
      </c>
      <c r="B75" s="7">
        <f>VLOOKUP($A75,$A$2:B$51,B$55)</f>
        <v>0.61037176847457886</v>
      </c>
      <c r="C75" s="7">
        <f>VLOOKUP($A75,$A$2:C$51,C$55)</f>
        <v>0.54455089569091797</v>
      </c>
      <c r="D75" s="7">
        <f>VLOOKUP($A75,$A$2:D$51,D$55)</f>
        <v>0.61990320682525635</v>
      </c>
      <c r="E75" s="7">
        <f>VLOOKUP($A75,$A$2:E$51,E$55)</f>
        <v>0.4684792160987854</v>
      </c>
      <c r="F75" s="7">
        <f>VLOOKUP($A75,$A$2:F$51,F$55)</f>
        <v>0.48034855723381042</v>
      </c>
      <c r="G75" s="7">
        <f>VLOOKUP($A75,$A$2:G$51,G$55)</f>
        <v>0.43916556239128113</v>
      </c>
      <c r="H75" s="7">
        <f>VLOOKUP($A75,$A$2:H$51,H$55)</f>
        <v>0</v>
      </c>
      <c r="I75" s="7">
        <f>VLOOKUP($A75,$A$2:I$51,I$55)</f>
        <v>0</v>
      </c>
      <c r="J75" s="7">
        <f>VLOOKUP($A75,$A$2:J$51,J$55)</f>
        <v>0</v>
      </c>
      <c r="K75" s="7">
        <f>VLOOKUP($A75,$A$2:K$51,K$55)</f>
        <v>0</v>
      </c>
      <c r="L75" s="7">
        <f>VLOOKUP($A75,$A$2:L$51,L$55)</f>
        <v>0</v>
      </c>
      <c r="M75" s="7">
        <f>VLOOKUP($A75,$A$2:M$51,M$55)</f>
        <v>0</v>
      </c>
      <c r="N75" s="7">
        <f>VLOOKUP($A75,$A$2:N$51,N$55)</f>
        <v>0</v>
      </c>
      <c r="O75" s="7">
        <f>VLOOKUP($A75,$A$2:O$51,O$55)</f>
        <v>0</v>
      </c>
      <c r="P75" s="7">
        <f>VLOOKUP($A75,$A$2:P$51,P$55)</f>
        <v>0</v>
      </c>
      <c r="Q75" s="7">
        <f>VLOOKUP($A75,$A$2:Q$51,Q$55)</f>
        <v>0</v>
      </c>
      <c r="R75" s="7">
        <f>VLOOKUP($A75,$A$2:R$51,R$55)</f>
        <v>0</v>
      </c>
      <c r="S75" s="7">
        <f>VLOOKUP($A75,$A$2:S$51,S$55)</f>
        <v>0</v>
      </c>
      <c r="T75" s="7">
        <f>VLOOKUP($A75,$A$2:T$51,T$55)</f>
        <v>0</v>
      </c>
      <c r="U75" s="7">
        <f>VLOOKUP($A75,$A$2:U$51,U$55)</f>
        <v>0</v>
      </c>
      <c r="V75" s="7">
        <f>VLOOKUP($A75,$A$2:V$51,V$55)</f>
        <v>0</v>
      </c>
      <c r="W75" s="7">
        <f>VLOOKUP($A75,$A$2:W$51,W$55)</f>
        <v>0</v>
      </c>
      <c r="X75" s="7">
        <f>VLOOKUP($A75,$A$2:X$51,X$55)</f>
        <v>0</v>
      </c>
      <c r="Y75" s="7">
        <f>VLOOKUP($A75,$A$2:Y$51,Y$55)</f>
        <v>0</v>
      </c>
      <c r="Z75" s="7">
        <f>VLOOKUP($A75,$A$2:Z$51,Z$55)</f>
        <v>0</v>
      </c>
      <c r="AA75" s="7">
        <f>VLOOKUP($A75,$A$2:AA$51,AA$55)</f>
        <v>0</v>
      </c>
      <c r="AB75" s="7">
        <f>VLOOKUP($A75,$A$2:AB$51,AB$55)</f>
        <v>0</v>
      </c>
      <c r="AC75" s="7">
        <f>VLOOKUP($A75,$A$2:AC$51,AC$55)</f>
        <v>0</v>
      </c>
      <c r="AD75" s="7">
        <f>VLOOKUP($A75,$A$2:AD$51,AD$55)</f>
        <v>0</v>
      </c>
      <c r="AE75" s="7">
        <f>VLOOKUP($A75,$A$2:AE$51,AE$55)</f>
        <v>0</v>
      </c>
      <c r="AF75" s="7">
        <f>VLOOKUP($A75,$A$2:AF$51,AF$55)</f>
        <v>0</v>
      </c>
      <c r="AG75" s="7">
        <f>VLOOKUP($A75,$A$2:AG$51,AG$55)</f>
        <v>0</v>
      </c>
    </row>
    <row r="76" spans="1:33" s="7" customFormat="1">
      <c r="A76" s="7">
        <f t="shared" si="16"/>
        <v>40</v>
      </c>
      <c r="B76" s="7">
        <f>VLOOKUP($A76,$A$2:B$51,B$55)</f>
        <v>0.46434292197227478</v>
      </c>
      <c r="C76" s="7">
        <f>VLOOKUP($A76,$A$2:C$51,C$55)</f>
        <v>0.4353889524936676</v>
      </c>
      <c r="D76" s="7">
        <f>VLOOKUP($A76,$A$2:D$51,D$55)</f>
        <v>0.5159565806388855</v>
      </c>
      <c r="E76" s="7">
        <f>VLOOKUP($A76,$A$2:E$51,E$55)</f>
        <v>0.37190595269203186</v>
      </c>
      <c r="F76" s="7">
        <f>VLOOKUP($A76,$A$2:F$51,F$55)</f>
        <v>0.37604224681854248</v>
      </c>
      <c r="G76" s="7">
        <f>VLOOKUP($A76,$A$2:G$51,G$55)</f>
        <v>0.34798744320869446</v>
      </c>
      <c r="H76" s="7">
        <f>VLOOKUP($A76,$A$2:H$51,H$55)</f>
        <v>0</v>
      </c>
      <c r="I76" s="7">
        <f>VLOOKUP($A76,$A$2:I$51,I$55)</f>
        <v>0</v>
      </c>
      <c r="J76" s="7">
        <f>VLOOKUP($A76,$A$2:J$51,J$55)</f>
        <v>0</v>
      </c>
      <c r="K76" s="7">
        <f>VLOOKUP($A76,$A$2:K$51,K$55)</f>
        <v>0</v>
      </c>
      <c r="L76" s="7">
        <f>VLOOKUP($A76,$A$2:L$51,L$55)</f>
        <v>0</v>
      </c>
      <c r="M76" s="7">
        <f>VLOOKUP($A76,$A$2:M$51,M$55)</f>
        <v>0</v>
      </c>
      <c r="N76" s="7">
        <f>VLOOKUP($A76,$A$2:N$51,N$55)</f>
        <v>0</v>
      </c>
      <c r="O76" s="7">
        <f>VLOOKUP($A76,$A$2:O$51,O$55)</f>
        <v>0</v>
      </c>
      <c r="P76" s="7">
        <f>VLOOKUP($A76,$A$2:P$51,P$55)</f>
        <v>0</v>
      </c>
      <c r="Q76" s="7">
        <f>VLOOKUP($A76,$A$2:Q$51,Q$55)</f>
        <v>0</v>
      </c>
      <c r="R76" s="7">
        <f>VLOOKUP($A76,$A$2:R$51,R$55)</f>
        <v>0</v>
      </c>
      <c r="S76" s="7">
        <f>VLOOKUP($A76,$A$2:S$51,S$55)</f>
        <v>0</v>
      </c>
      <c r="T76" s="7">
        <f>VLOOKUP($A76,$A$2:T$51,T$55)</f>
        <v>0</v>
      </c>
      <c r="U76" s="7">
        <f>VLOOKUP($A76,$A$2:U$51,U$55)</f>
        <v>0</v>
      </c>
      <c r="V76" s="7">
        <f>VLOOKUP($A76,$A$2:V$51,V$55)</f>
        <v>0</v>
      </c>
      <c r="W76" s="7">
        <f>VLOOKUP($A76,$A$2:W$51,W$55)</f>
        <v>0</v>
      </c>
      <c r="X76" s="7">
        <f>VLOOKUP($A76,$A$2:X$51,X$55)</f>
        <v>0</v>
      </c>
      <c r="Y76" s="7">
        <f>VLOOKUP($A76,$A$2:Y$51,Y$55)</f>
        <v>0</v>
      </c>
      <c r="Z76" s="7">
        <f>VLOOKUP($A76,$A$2:Z$51,Z$55)</f>
        <v>0</v>
      </c>
      <c r="AA76" s="7">
        <f>VLOOKUP($A76,$A$2:AA$51,AA$55)</f>
        <v>0</v>
      </c>
      <c r="AB76" s="7">
        <f>VLOOKUP($A76,$A$2:AB$51,AB$55)</f>
        <v>0</v>
      </c>
      <c r="AC76" s="7">
        <f>VLOOKUP($A76,$A$2:AC$51,AC$55)</f>
        <v>0</v>
      </c>
      <c r="AD76" s="7">
        <f>VLOOKUP($A76,$A$2:AD$51,AD$55)</f>
        <v>0</v>
      </c>
      <c r="AE76" s="7">
        <f>VLOOKUP($A76,$A$2:AE$51,AE$55)</f>
        <v>0</v>
      </c>
      <c r="AF76" s="7">
        <f>VLOOKUP($A76,$A$2:AF$51,AF$55)</f>
        <v>0</v>
      </c>
      <c r="AG76" s="7">
        <f>VLOOKUP($A76,$A$2:AG$51,AG$55)</f>
        <v>0</v>
      </c>
    </row>
    <row r="77" spans="1:33" s="7" customFormat="1">
      <c r="A77" s="7">
        <f t="shared" si="16"/>
        <v>42</v>
      </c>
      <c r="B77" s="7">
        <f>VLOOKUP($A77,$A$2:B$51,B$55)</f>
        <v>0.40607526898384094</v>
      </c>
      <c r="C77" s="7">
        <f>VLOOKUP($A77,$A$2:C$51,C$55)</f>
        <v>0.36974790692329407</v>
      </c>
      <c r="D77" s="7">
        <f>VLOOKUP($A77,$A$2:D$51,D$55)</f>
        <v>0.41740509867668152</v>
      </c>
      <c r="E77" s="7">
        <f>VLOOKUP($A77,$A$2:E$51,E$55)</f>
        <v>0.30536571145057678</v>
      </c>
      <c r="F77" s="7">
        <f>VLOOKUP($A77,$A$2:F$51,F$55)</f>
        <v>0.30500605702400208</v>
      </c>
      <c r="G77" s="7">
        <f>VLOOKUP($A77,$A$2:G$51,G$55)</f>
        <v>0.28540366888046265</v>
      </c>
      <c r="H77" s="7">
        <f>VLOOKUP($A77,$A$2:H$51,H$55)</f>
        <v>0</v>
      </c>
      <c r="I77" s="7">
        <f>VLOOKUP($A77,$A$2:I$51,I$55)</f>
        <v>0</v>
      </c>
      <c r="J77" s="7">
        <f>VLOOKUP($A77,$A$2:J$51,J$55)</f>
        <v>0</v>
      </c>
      <c r="K77" s="7">
        <f>VLOOKUP($A77,$A$2:K$51,K$55)</f>
        <v>0</v>
      </c>
      <c r="L77" s="7">
        <f>VLOOKUP($A77,$A$2:L$51,L$55)</f>
        <v>0</v>
      </c>
      <c r="M77" s="7">
        <f>VLOOKUP($A77,$A$2:M$51,M$55)</f>
        <v>0</v>
      </c>
      <c r="N77" s="7">
        <f>VLOOKUP($A77,$A$2:N$51,N$55)</f>
        <v>0</v>
      </c>
      <c r="O77" s="7">
        <f>VLOOKUP($A77,$A$2:O$51,O$55)</f>
        <v>0</v>
      </c>
      <c r="P77" s="7">
        <f>VLOOKUP($A77,$A$2:P$51,P$55)</f>
        <v>0</v>
      </c>
      <c r="Q77" s="7">
        <f>VLOOKUP($A77,$A$2:Q$51,Q$55)</f>
        <v>0</v>
      </c>
      <c r="R77" s="7">
        <f>VLOOKUP($A77,$A$2:R$51,R$55)</f>
        <v>0</v>
      </c>
      <c r="S77" s="7">
        <f>VLOOKUP($A77,$A$2:S$51,S$55)</f>
        <v>0</v>
      </c>
      <c r="T77" s="7">
        <f>VLOOKUP($A77,$A$2:T$51,T$55)</f>
        <v>0</v>
      </c>
      <c r="U77" s="7">
        <f>VLOOKUP($A77,$A$2:U$51,U$55)</f>
        <v>0</v>
      </c>
      <c r="V77" s="7">
        <f>VLOOKUP($A77,$A$2:V$51,V$55)</f>
        <v>0</v>
      </c>
      <c r="W77" s="7">
        <f>VLOOKUP($A77,$A$2:W$51,W$55)</f>
        <v>0</v>
      </c>
      <c r="X77" s="7">
        <f>VLOOKUP($A77,$A$2:X$51,X$55)</f>
        <v>0</v>
      </c>
      <c r="Y77" s="7">
        <f>VLOOKUP($A77,$A$2:Y$51,Y$55)</f>
        <v>0</v>
      </c>
      <c r="Z77" s="7">
        <f>VLOOKUP($A77,$A$2:Z$51,Z$55)</f>
        <v>0</v>
      </c>
      <c r="AA77" s="7">
        <f>VLOOKUP($A77,$A$2:AA$51,AA$55)</f>
        <v>0</v>
      </c>
      <c r="AB77" s="7">
        <f>VLOOKUP($A77,$A$2:AB$51,AB$55)</f>
        <v>0</v>
      </c>
      <c r="AC77" s="7">
        <f>VLOOKUP($A77,$A$2:AC$51,AC$55)</f>
        <v>0</v>
      </c>
      <c r="AD77" s="7">
        <f>VLOOKUP($A77,$A$2:AD$51,AD$55)</f>
        <v>0</v>
      </c>
      <c r="AE77" s="7">
        <f>VLOOKUP($A77,$A$2:AE$51,AE$55)</f>
        <v>0</v>
      </c>
      <c r="AF77" s="7">
        <f>VLOOKUP($A77,$A$2:AF$51,AF$55)</f>
        <v>0</v>
      </c>
      <c r="AG77" s="7">
        <f>VLOOKUP($A77,$A$2:AG$51,AG$55)</f>
        <v>0</v>
      </c>
    </row>
    <row r="78" spans="1:33" s="7" customFormat="1">
      <c r="A78" s="7">
        <f t="shared" si="16"/>
        <v>44</v>
      </c>
      <c r="B78" s="7">
        <f>VLOOKUP($A78,$A$2:B$51,B$55)</f>
        <v>0.30716410279273987</v>
      </c>
      <c r="C78" s="7">
        <f>VLOOKUP($A78,$A$2:C$51,C$55)</f>
        <v>0.27713108062744141</v>
      </c>
      <c r="D78" s="7">
        <f>VLOOKUP($A78,$A$2:D$51,D$55)</f>
        <v>0.31076088547706604</v>
      </c>
      <c r="E78" s="7">
        <f>VLOOKUP($A78,$A$2:E$51,E$55)</f>
        <v>0.2307327538728714</v>
      </c>
      <c r="F78" s="7">
        <f>VLOOKUP($A78,$A$2:F$51,F$55)</f>
        <v>0.2300134003162384</v>
      </c>
      <c r="G78" s="7">
        <f>VLOOKUP($A78,$A$2:G$51,G$55)</f>
        <v>0.21202956140041351</v>
      </c>
      <c r="H78" s="7">
        <f>VLOOKUP($A78,$A$2:H$51,H$55)</f>
        <v>0</v>
      </c>
      <c r="I78" s="7">
        <f>VLOOKUP($A78,$A$2:I$51,I$55)</f>
        <v>0</v>
      </c>
      <c r="J78" s="7">
        <f>VLOOKUP($A78,$A$2:J$51,J$55)</f>
        <v>0</v>
      </c>
      <c r="K78" s="7">
        <f>VLOOKUP($A78,$A$2:K$51,K$55)</f>
        <v>0</v>
      </c>
      <c r="L78" s="7">
        <f>VLOOKUP($A78,$A$2:L$51,L$55)</f>
        <v>0</v>
      </c>
      <c r="M78" s="7">
        <f>VLOOKUP($A78,$A$2:M$51,M$55)</f>
        <v>0</v>
      </c>
      <c r="N78" s="7">
        <f>VLOOKUP($A78,$A$2:N$51,N$55)</f>
        <v>0</v>
      </c>
      <c r="O78" s="7">
        <f>VLOOKUP($A78,$A$2:O$51,O$55)</f>
        <v>0</v>
      </c>
      <c r="P78" s="7">
        <f>VLOOKUP($A78,$A$2:P$51,P$55)</f>
        <v>0</v>
      </c>
      <c r="Q78" s="7">
        <f>VLOOKUP($A78,$A$2:Q$51,Q$55)</f>
        <v>0</v>
      </c>
      <c r="R78" s="7">
        <f>VLOOKUP($A78,$A$2:R$51,R$55)</f>
        <v>0</v>
      </c>
      <c r="S78" s="7">
        <f>VLOOKUP($A78,$A$2:S$51,S$55)</f>
        <v>0</v>
      </c>
      <c r="T78" s="7">
        <f>VLOOKUP($A78,$A$2:T$51,T$55)</f>
        <v>0</v>
      </c>
      <c r="U78" s="7">
        <f>VLOOKUP($A78,$A$2:U$51,U$55)</f>
        <v>0</v>
      </c>
      <c r="V78" s="7">
        <f>VLOOKUP($A78,$A$2:V$51,V$55)</f>
        <v>0</v>
      </c>
      <c r="W78" s="7">
        <f>VLOOKUP($A78,$A$2:W$51,W$55)</f>
        <v>0</v>
      </c>
      <c r="X78" s="7">
        <f>VLOOKUP($A78,$A$2:X$51,X$55)</f>
        <v>0</v>
      </c>
      <c r="Y78" s="7">
        <f>VLOOKUP($A78,$A$2:Y$51,Y$55)</f>
        <v>0</v>
      </c>
      <c r="Z78" s="7">
        <f>VLOOKUP($A78,$A$2:Z$51,Z$55)</f>
        <v>0</v>
      </c>
      <c r="AA78" s="7">
        <f>VLOOKUP($A78,$A$2:AA$51,AA$55)</f>
        <v>0</v>
      </c>
      <c r="AB78" s="7">
        <f>VLOOKUP($A78,$A$2:AB$51,AB$55)</f>
        <v>0</v>
      </c>
      <c r="AC78" s="7">
        <f>VLOOKUP($A78,$A$2:AC$51,AC$55)</f>
        <v>0</v>
      </c>
      <c r="AD78" s="7">
        <f>VLOOKUP($A78,$A$2:AD$51,AD$55)</f>
        <v>0</v>
      </c>
      <c r="AE78" s="7">
        <f>VLOOKUP($A78,$A$2:AE$51,AE$55)</f>
        <v>0</v>
      </c>
      <c r="AF78" s="7">
        <f>VLOOKUP($A78,$A$2:AF$51,AF$55)</f>
        <v>0</v>
      </c>
      <c r="AG78" s="7">
        <f>VLOOKUP($A78,$A$2:AG$51,AG$55)</f>
        <v>0</v>
      </c>
    </row>
    <row r="79" spans="1:33" s="7" customFormat="1">
      <c r="A79" s="7">
        <f t="shared" si="16"/>
        <v>46</v>
      </c>
      <c r="B79" s="7">
        <f>VLOOKUP($A79,$A$2:B$51,B$55)</f>
        <v>0.12984338402748108</v>
      </c>
      <c r="C79" s="7">
        <f>VLOOKUP($A79,$A$2:C$51,C$55)</f>
        <v>0.12049177289009094</v>
      </c>
      <c r="D79" s="7">
        <f>VLOOKUP($A79,$A$2:D$51,D$55)</f>
        <v>0.1354183703660965</v>
      </c>
      <c r="E79" s="7">
        <f>VLOOKUP($A79,$A$2:E$51,E$55)</f>
        <v>8.9020043611526489E-2</v>
      </c>
      <c r="F79" s="7">
        <f>VLOOKUP($A79,$A$2:F$51,F$55)</f>
        <v>8.1286989152431488E-2</v>
      </c>
      <c r="G79" s="7">
        <f>VLOOKUP($A79,$A$2:G$51,G$55)</f>
        <v>6.3123300671577454E-2</v>
      </c>
      <c r="H79" s="7">
        <f>VLOOKUP($A79,$A$2:H$51,H$55)</f>
        <v>0</v>
      </c>
      <c r="I79" s="7">
        <f>VLOOKUP($A79,$A$2:I$51,I$55)</f>
        <v>0</v>
      </c>
      <c r="J79" s="7">
        <f>VLOOKUP($A79,$A$2:J$51,J$55)</f>
        <v>0</v>
      </c>
      <c r="K79" s="7">
        <f>VLOOKUP($A79,$A$2:K$51,K$55)</f>
        <v>0</v>
      </c>
      <c r="L79" s="7">
        <f>VLOOKUP($A79,$A$2:L$51,L$55)</f>
        <v>0</v>
      </c>
      <c r="M79" s="7">
        <f>VLOOKUP($A79,$A$2:M$51,M$55)</f>
        <v>0</v>
      </c>
      <c r="N79" s="7">
        <f>VLOOKUP($A79,$A$2:N$51,N$55)</f>
        <v>0</v>
      </c>
      <c r="O79" s="7">
        <f>VLOOKUP($A79,$A$2:O$51,O$55)</f>
        <v>0</v>
      </c>
      <c r="P79" s="7">
        <f>VLOOKUP($A79,$A$2:P$51,P$55)</f>
        <v>0</v>
      </c>
      <c r="Q79" s="7">
        <f>VLOOKUP($A79,$A$2:Q$51,Q$55)</f>
        <v>0</v>
      </c>
      <c r="R79" s="7">
        <f>VLOOKUP($A79,$A$2:R$51,R$55)</f>
        <v>0</v>
      </c>
      <c r="S79" s="7">
        <f>VLOOKUP($A79,$A$2:S$51,S$55)</f>
        <v>0</v>
      </c>
      <c r="T79" s="7">
        <f>VLOOKUP($A79,$A$2:T$51,T$55)</f>
        <v>0</v>
      </c>
      <c r="U79" s="7">
        <f>VLOOKUP($A79,$A$2:U$51,U$55)</f>
        <v>0</v>
      </c>
      <c r="V79" s="7">
        <f>VLOOKUP($A79,$A$2:V$51,V$55)</f>
        <v>0</v>
      </c>
      <c r="W79" s="7">
        <f>VLOOKUP($A79,$A$2:W$51,W$55)</f>
        <v>0</v>
      </c>
      <c r="X79" s="7">
        <f>VLOOKUP($A79,$A$2:X$51,X$55)</f>
        <v>0</v>
      </c>
      <c r="Y79" s="7">
        <f>VLOOKUP($A79,$A$2:Y$51,Y$55)</f>
        <v>0</v>
      </c>
      <c r="Z79" s="7">
        <f>VLOOKUP($A79,$A$2:Z$51,Z$55)</f>
        <v>0</v>
      </c>
      <c r="AA79" s="7">
        <f>VLOOKUP($A79,$A$2:AA$51,AA$55)</f>
        <v>0</v>
      </c>
      <c r="AB79" s="7">
        <f>VLOOKUP($A79,$A$2:AB$51,AB$55)</f>
        <v>0</v>
      </c>
      <c r="AC79" s="7">
        <f>VLOOKUP($A79,$A$2:AC$51,AC$55)</f>
        <v>0</v>
      </c>
      <c r="AD79" s="7">
        <f>VLOOKUP($A79,$A$2:AD$51,AD$55)</f>
        <v>0</v>
      </c>
      <c r="AE79" s="7">
        <f>VLOOKUP($A79,$A$2:AE$51,AE$55)</f>
        <v>0</v>
      </c>
      <c r="AF79" s="7">
        <f>VLOOKUP($A79,$A$2:AF$51,AF$55)</f>
        <v>0</v>
      </c>
      <c r="AG79" s="7">
        <f>VLOOKUP($A79,$A$2:AG$51,AG$55)</f>
        <v>0</v>
      </c>
    </row>
    <row r="80" spans="1:33" s="7" customFormat="1">
      <c r="A80" s="7">
        <f t="shared" si="16"/>
        <v>48</v>
      </c>
      <c r="B80" s="7">
        <f>VLOOKUP($A80,$A$2:B$51,B$55)</f>
        <v>9.5314390957355499E-2</v>
      </c>
      <c r="C80" s="7">
        <f>VLOOKUP($A80,$A$2:C$51,C$55)</f>
        <v>9.2976488173007965E-2</v>
      </c>
      <c r="D80" s="7">
        <f>VLOOKUP($A80,$A$2:D$51,D$55)</f>
        <v>0.11275872588157654</v>
      </c>
      <c r="E80" s="7">
        <f>VLOOKUP($A80,$A$2:E$51,E$55)</f>
        <v>7.1935385465621948E-2</v>
      </c>
      <c r="F80" s="7">
        <f>VLOOKUP($A80,$A$2:F$51,F$55)</f>
        <v>6.0245886445045471E-2</v>
      </c>
      <c r="G80" s="7">
        <f>VLOOKUP($A80,$A$2:G$51,G$55)</f>
        <v>4.6937841922044754E-2</v>
      </c>
      <c r="H80" s="7">
        <f>VLOOKUP($A80,$A$2:H$51,H$55)</f>
        <v>0</v>
      </c>
      <c r="I80" s="7">
        <f>VLOOKUP($A80,$A$2:I$51,I$55)</f>
        <v>0</v>
      </c>
      <c r="J80" s="7">
        <f>VLOOKUP($A80,$A$2:J$51,J$55)</f>
        <v>0</v>
      </c>
      <c r="K80" s="7">
        <f>VLOOKUP($A80,$A$2:K$51,K$55)</f>
        <v>0</v>
      </c>
      <c r="L80" s="7">
        <f>VLOOKUP($A80,$A$2:L$51,L$55)</f>
        <v>0</v>
      </c>
      <c r="M80" s="7">
        <f>VLOOKUP($A80,$A$2:M$51,M$55)</f>
        <v>0</v>
      </c>
      <c r="N80" s="7">
        <f>VLOOKUP($A80,$A$2:N$51,N$55)</f>
        <v>0</v>
      </c>
      <c r="O80" s="7">
        <f>VLOOKUP($A80,$A$2:O$51,O$55)</f>
        <v>0</v>
      </c>
      <c r="P80" s="7">
        <f>VLOOKUP($A80,$A$2:P$51,P$55)</f>
        <v>0</v>
      </c>
      <c r="Q80" s="7">
        <f>VLOOKUP($A80,$A$2:Q$51,Q$55)</f>
        <v>0</v>
      </c>
      <c r="R80" s="7">
        <f>VLOOKUP($A80,$A$2:R$51,R$55)</f>
        <v>0</v>
      </c>
      <c r="S80" s="7">
        <f>VLOOKUP($A80,$A$2:S$51,S$55)</f>
        <v>0</v>
      </c>
      <c r="T80" s="7">
        <f>VLOOKUP($A80,$A$2:T$51,T$55)</f>
        <v>0</v>
      </c>
      <c r="U80" s="7">
        <f>VLOOKUP($A80,$A$2:U$51,U$55)</f>
        <v>0</v>
      </c>
      <c r="V80" s="7">
        <f>VLOOKUP($A80,$A$2:V$51,V$55)</f>
        <v>0</v>
      </c>
      <c r="W80" s="7">
        <f>VLOOKUP($A80,$A$2:W$51,W$55)</f>
        <v>0</v>
      </c>
      <c r="X80" s="7">
        <f>VLOOKUP($A80,$A$2:X$51,X$55)</f>
        <v>0</v>
      </c>
      <c r="Y80" s="7">
        <f>VLOOKUP($A80,$A$2:Y$51,Y$55)</f>
        <v>0</v>
      </c>
      <c r="Z80" s="7">
        <f>VLOOKUP($A80,$A$2:Z$51,Z$55)</f>
        <v>0</v>
      </c>
      <c r="AA80" s="7">
        <f>VLOOKUP($A80,$A$2:AA$51,AA$55)</f>
        <v>0</v>
      </c>
      <c r="AB80" s="7">
        <f>VLOOKUP($A80,$A$2:AB$51,AB$55)</f>
        <v>0</v>
      </c>
      <c r="AC80" s="7">
        <f>VLOOKUP($A80,$A$2:AC$51,AC$55)</f>
        <v>0</v>
      </c>
      <c r="AD80" s="7">
        <f>VLOOKUP($A80,$A$2:AD$51,AD$55)</f>
        <v>0</v>
      </c>
      <c r="AE80" s="7">
        <f>VLOOKUP($A80,$A$2:AE$51,AE$55)</f>
        <v>0</v>
      </c>
      <c r="AF80" s="7">
        <f>VLOOKUP($A80,$A$2:AF$51,AF$55)</f>
        <v>0</v>
      </c>
      <c r="AG80" s="7">
        <f>VLOOKUP($A80,$A$2:AG$51,AG$55)</f>
        <v>0</v>
      </c>
    </row>
    <row r="81" spans="1:33" s="7" customFormat="1"/>
    <row r="82" spans="1:33" s="7" customFormat="1">
      <c r="A82" s="7" t="s">
        <v>39</v>
      </c>
    </row>
    <row r="83" spans="1:33" s="7" customFormat="1">
      <c r="A83" s="7">
        <f>A55</f>
        <v>1</v>
      </c>
      <c r="B83" s="7">
        <f t="shared" ref="B83:AG83" si="17">B55</f>
        <v>2</v>
      </c>
      <c r="C83" s="7">
        <f t="shared" si="17"/>
        <v>3</v>
      </c>
      <c r="D83" s="7">
        <f t="shared" si="17"/>
        <v>4</v>
      </c>
      <c r="E83" s="7">
        <f t="shared" si="17"/>
        <v>5</v>
      </c>
      <c r="F83" s="7">
        <f t="shared" si="17"/>
        <v>6</v>
      </c>
      <c r="G83" s="7">
        <f t="shared" si="17"/>
        <v>7</v>
      </c>
      <c r="H83" s="7">
        <f t="shared" si="17"/>
        <v>8</v>
      </c>
      <c r="I83" s="7">
        <f t="shared" si="17"/>
        <v>9</v>
      </c>
      <c r="J83" s="7">
        <f t="shared" si="17"/>
        <v>10</v>
      </c>
      <c r="K83" s="7">
        <f t="shared" si="17"/>
        <v>11</v>
      </c>
      <c r="L83" s="7">
        <f t="shared" si="17"/>
        <v>12</v>
      </c>
      <c r="M83" s="7">
        <f t="shared" si="17"/>
        <v>13</v>
      </c>
      <c r="N83" s="7">
        <f t="shared" si="17"/>
        <v>14</v>
      </c>
      <c r="O83" s="7">
        <f t="shared" si="17"/>
        <v>15</v>
      </c>
      <c r="P83" s="7">
        <f t="shared" si="17"/>
        <v>16</v>
      </c>
      <c r="Q83" s="7">
        <f t="shared" si="17"/>
        <v>17</v>
      </c>
      <c r="R83" s="7">
        <f t="shared" si="17"/>
        <v>18</v>
      </c>
      <c r="S83" s="7">
        <f t="shared" si="17"/>
        <v>19</v>
      </c>
      <c r="T83" s="7">
        <f t="shared" si="17"/>
        <v>20</v>
      </c>
      <c r="U83" s="7">
        <f t="shared" si="17"/>
        <v>21</v>
      </c>
      <c r="V83" s="7">
        <f t="shared" si="17"/>
        <v>22</v>
      </c>
      <c r="W83" s="7">
        <f t="shared" si="17"/>
        <v>23</v>
      </c>
      <c r="X83" s="7">
        <f t="shared" si="17"/>
        <v>24</v>
      </c>
      <c r="Y83" s="7">
        <f t="shared" si="17"/>
        <v>25</v>
      </c>
      <c r="Z83" s="7">
        <f t="shared" si="17"/>
        <v>26</v>
      </c>
      <c r="AA83" s="7">
        <f t="shared" si="17"/>
        <v>27</v>
      </c>
      <c r="AB83" s="7">
        <f t="shared" si="17"/>
        <v>28</v>
      </c>
      <c r="AC83" s="7">
        <f t="shared" si="17"/>
        <v>29</v>
      </c>
      <c r="AD83" s="7">
        <f t="shared" si="17"/>
        <v>30</v>
      </c>
      <c r="AE83" s="7">
        <f t="shared" si="17"/>
        <v>31</v>
      </c>
      <c r="AF83" s="7">
        <f t="shared" si="17"/>
        <v>32</v>
      </c>
      <c r="AG83" s="7">
        <f t="shared" si="17"/>
        <v>33</v>
      </c>
    </row>
    <row r="84" spans="1:33" s="7" customFormat="1">
      <c r="A84" s="7">
        <f>A56+1</f>
        <v>1</v>
      </c>
      <c r="B84" s="7">
        <f>VLOOKUP($A84,$A$2:B$51,B$83)</f>
        <v>134.17912292480469</v>
      </c>
      <c r="C84" s="7">
        <f>VLOOKUP($A84,$A$2:C$51,C$83)</f>
        <v>129.17416381835937</v>
      </c>
      <c r="D84" s="7">
        <f>VLOOKUP($A84,$A$2:D$51,D$83)</f>
        <v>135.05929565429687</v>
      </c>
      <c r="E84" s="7">
        <f>VLOOKUP($A84,$A$2:E$51,E$83)</f>
        <v>125.06294250488281</v>
      </c>
      <c r="F84" s="7">
        <f>VLOOKUP($A84,$A$2:F$51,F$83)</f>
        <v>122.54689788818359</v>
      </c>
      <c r="G84" s="7">
        <f>VLOOKUP($A84,$A$2:G$51,G$83)</f>
        <v>122.14677429199219</v>
      </c>
      <c r="H84" s="7">
        <f>VLOOKUP($A84,$A$2:H$51,H$83)</f>
        <v>0</v>
      </c>
      <c r="I84" s="7">
        <f>VLOOKUP($A84,$A$2:I$51,I$83)</f>
        <v>0</v>
      </c>
      <c r="J84" s="7">
        <f>VLOOKUP($A84,$A$2:J$51,J$83)</f>
        <v>0</v>
      </c>
      <c r="K84" s="7">
        <f>VLOOKUP($A84,$A$2:K$51,K$83)</f>
        <v>0</v>
      </c>
      <c r="L84" s="7">
        <f>VLOOKUP($A84,$A$2:L$51,L$83)</f>
        <v>0</v>
      </c>
      <c r="M84" s="7">
        <f>VLOOKUP($A84,$A$2:M$51,M$83)</f>
        <v>0</v>
      </c>
      <c r="N84" s="7">
        <f>VLOOKUP($A84,$A$2:N$51,N$83)</f>
        <v>0</v>
      </c>
      <c r="O84" s="7">
        <f>VLOOKUP($A84,$A$2:O$51,O$83)</f>
        <v>0</v>
      </c>
      <c r="P84" s="7">
        <f>VLOOKUP($A84,$A$2:P$51,P$83)</f>
        <v>0</v>
      </c>
      <c r="Q84" s="7">
        <f>VLOOKUP($A84,$A$2:Q$51,Q$83)</f>
        <v>0</v>
      </c>
      <c r="R84" s="7">
        <f>VLOOKUP($A84,$A$2:R$51,R$83)</f>
        <v>0</v>
      </c>
      <c r="S84" s="7">
        <f>VLOOKUP($A84,$A$2:S$51,S$83)</f>
        <v>0</v>
      </c>
      <c r="T84" s="7">
        <f>VLOOKUP($A84,$A$2:T$51,T$83)</f>
        <v>0</v>
      </c>
      <c r="U84" s="7">
        <f>VLOOKUP($A84,$A$2:U$51,U$83)</f>
        <v>0</v>
      </c>
      <c r="V84" s="7">
        <f>VLOOKUP($A84,$A$2:V$51,V$83)</f>
        <v>0</v>
      </c>
      <c r="W84" s="7">
        <f>VLOOKUP($A84,$A$2:W$51,W$83)</f>
        <v>0</v>
      </c>
      <c r="X84" s="7">
        <f>VLOOKUP($A84,$A$2:X$51,X$83)</f>
        <v>0</v>
      </c>
      <c r="Y84" s="7">
        <f>VLOOKUP($A84,$A$2:Y$51,Y$83)</f>
        <v>0</v>
      </c>
      <c r="Z84" s="7">
        <f>VLOOKUP($A84,$A$2:Z$51,Z$83)</f>
        <v>0</v>
      </c>
      <c r="AA84" s="7">
        <f>VLOOKUP($A84,$A$2:AA$51,AA$83)</f>
        <v>0</v>
      </c>
      <c r="AB84" s="7">
        <f>VLOOKUP($A84,$A$2:AB$51,AB$83)</f>
        <v>0</v>
      </c>
      <c r="AC84" s="7">
        <f>VLOOKUP($A84,$A$2:AC$51,AC$83)</f>
        <v>0</v>
      </c>
      <c r="AD84" s="7">
        <f>VLOOKUP($A84,$A$2:AD$51,AD$83)</f>
        <v>0</v>
      </c>
      <c r="AE84" s="7">
        <f>VLOOKUP($A84,$A$2:AE$51,AE$83)</f>
        <v>0</v>
      </c>
      <c r="AF84" s="7">
        <f>VLOOKUP($A84,$A$2:AF$51,AF$83)</f>
        <v>0</v>
      </c>
      <c r="AG84" s="7">
        <f>VLOOKUP($A84,$A$2:AG$51,AG$83)</f>
        <v>0</v>
      </c>
    </row>
    <row r="85" spans="1:33" s="7" customFormat="1">
      <c r="A85" s="7">
        <f t="shared" ref="A85:A108" si="18">A57+1</f>
        <v>3</v>
      </c>
      <c r="B85" s="7">
        <f>VLOOKUP($A85,$A$2:B$51,B$83)</f>
        <v>108.78810882568359</v>
      </c>
      <c r="C85" s="7">
        <f>VLOOKUP($A85,$A$2:C$51,C$83)</f>
        <v>103.72865295410156</v>
      </c>
      <c r="D85" s="7">
        <f>VLOOKUP($A85,$A$2:D$51,D$83)</f>
        <v>108.72561645507812</v>
      </c>
      <c r="E85" s="7">
        <f>VLOOKUP($A85,$A$2:E$51,E$83)</f>
        <v>99.902511596679688</v>
      </c>
      <c r="F85" s="7">
        <f>VLOOKUP($A85,$A$2:F$51,F$83)</f>
        <v>97.372901916503906</v>
      </c>
      <c r="G85" s="7">
        <f>VLOOKUP($A85,$A$2:G$51,G$83)</f>
        <v>98.885246276855469</v>
      </c>
      <c r="H85" s="7">
        <f>VLOOKUP($A85,$A$2:H$51,H$83)</f>
        <v>0</v>
      </c>
      <c r="I85" s="7">
        <f>VLOOKUP($A85,$A$2:I$51,I$83)</f>
        <v>0</v>
      </c>
      <c r="J85" s="7">
        <f>VLOOKUP($A85,$A$2:J$51,J$83)</f>
        <v>0</v>
      </c>
      <c r="K85" s="7">
        <f>VLOOKUP($A85,$A$2:K$51,K$83)</f>
        <v>0</v>
      </c>
      <c r="L85" s="7">
        <f>VLOOKUP($A85,$A$2:L$51,L$83)</f>
        <v>0</v>
      </c>
      <c r="M85" s="7">
        <f>VLOOKUP($A85,$A$2:M$51,M$83)</f>
        <v>0</v>
      </c>
      <c r="N85" s="7">
        <f>VLOOKUP($A85,$A$2:N$51,N$83)</f>
        <v>0</v>
      </c>
      <c r="O85" s="7">
        <f>VLOOKUP($A85,$A$2:O$51,O$83)</f>
        <v>0</v>
      </c>
      <c r="P85" s="7">
        <f>VLOOKUP($A85,$A$2:P$51,P$83)</f>
        <v>0</v>
      </c>
      <c r="Q85" s="7">
        <f>VLOOKUP($A85,$A$2:Q$51,Q$83)</f>
        <v>0</v>
      </c>
      <c r="R85" s="7">
        <f>VLOOKUP($A85,$A$2:R$51,R$83)</f>
        <v>0</v>
      </c>
      <c r="S85" s="7">
        <f>VLOOKUP($A85,$A$2:S$51,S$83)</f>
        <v>0</v>
      </c>
      <c r="T85" s="7">
        <f>VLOOKUP($A85,$A$2:T$51,T$83)</f>
        <v>0</v>
      </c>
      <c r="U85" s="7">
        <f>VLOOKUP($A85,$A$2:U$51,U$83)</f>
        <v>0</v>
      </c>
      <c r="V85" s="7">
        <f>VLOOKUP($A85,$A$2:V$51,V$83)</f>
        <v>0</v>
      </c>
      <c r="W85" s="7">
        <f>VLOOKUP($A85,$A$2:W$51,W$83)</f>
        <v>0</v>
      </c>
      <c r="X85" s="7">
        <f>VLOOKUP($A85,$A$2:X$51,X$83)</f>
        <v>0</v>
      </c>
      <c r="Y85" s="7">
        <f>VLOOKUP($A85,$A$2:Y$51,Y$83)</f>
        <v>0</v>
      </c>
      <c r="Z85" s="7">
        <f>VLOOKUP($A85,$A$2:Z$51,Z$83)</f>
        <v>0</v>
      </c>
      <c r="AA85" s="7">
        <f>VLOOKUP($A85,$A$2:AA$51,AA$83)</f>
        <v>0</v>
      </c>
      <c r="AB85" s="7">
        <f>VLOOKUP($A85,$A$2:AB$51,AB$83)</f>
        <v>0</v>
      </c>
      <c r="AC85" s="7">
        <f>VLOOKUP($A85,$A$2:AC$51,AC$83)</f>
        <v>0</v>
      </c>
      <c r="AD85" s="7">
        <f>VLOOKUP($A85,$A$2:AD$51,AD$83)</f>
        <v>0</v>
      </c>
      <c r="AE85" s="7">
        <f>VLOOKUP($A85,$A$2:AE$51,AE$83)</f>
        <v>0</v>
      </c>
      <c r="AF85" s="7">
        <f>VLOOKUP($A85,$A$2:AF$51,AF$83)</f>
        <v>0</v>
      </c>
      <c r="AG85" s="7">
        <f>VLOOKUP($A85,$A$2:AG$51,AG$83)</f>
        <v>0</v>
      </c>
    </row>
    <row r="86" spans="1:33" s="7" customFormat="1">
      <c r="A86" s="7">
        <f t="shared" si="18"/>
        <v>5</v>
      </c>
      <c r="B86" s="7">
        <f>VLOOKUP($A86,$A$2:B$51,B$83)</f>
        <v>87.338119506835938</v>
      </c>
      <c r="C86" s="7">
        <f>VLOOKUP($A86,$A$2:C$51,C$83)</f>
        <v>82.683555603027344</v>
      </c>
      <c r="D86" s="7">
        <f>VLOOKUP($A86,$A$2:D$51,D$83)</f>
        <v>87.397140502929688</v>
      </c>
      <c r="E86" s="7">
        <f>VLOOKUP($A86,$A$2:E$51,E$83)</f>
        <v>79.4735107421875</v>
      </c>
      <c r="F86" s="7">
        <f>VLOOKUP($A86,$A$2:F$51,F$83)</f>
        <v>79.398910522460938</v>
      </c>
      <c r="G86" s="7">
        <f>VLOOKUP($A86,$A$2:G$51,G$83)</f>
        <v>79.314216613769531</v>
      </c>
      <c r="H86" s="7">
        <f>VLOOKUP($A86,$A$2:H$51,H$83)</f>
        <v>0</v>
      </c>
      <c r="I86" s="7">
        <f>VLOOKUP($A86,$A$2:I$51,I$83)</f>
        <v>0</v>
      </c>
      <c r="J86" s="7">
        <f>VLOOKUP($A86,$A$2:J$51,J$83)</f>
        <v>0</v>
      </c>
      <c r="K86" s="7">
        <f>VLOOKUP($A86,$A$2:K$51,K$83)</f>
        <v>0</v>
      </c>
      <c r="L86" s="7">
        <f>VLOOKUP($A86,$A$2:L$51,L$83)</f>
        <v>0</v>
      </c>
      <c r="M86" s="7">
        <f>VLOOKUP($A86,$A$2:M$51,M$83)</f>
        <v>0</v>
      </c>
      <c r="N86" s="7">
        <f>VLOOKUP($A86,$A$2:N$51,N$83)</f>
        <v>0</v>
      </c>
      <c r="O86" s="7">
        <f>VLOOKUP($A86,$A$2:O$51,O$83)</f>
        <v>0</v>
      </c>
      <c r="P86" s="7">
        <f>VLOOKUP($A86,$A$2:P$51,P$83)</f>
        <v>0</v>
      </c>
      <c r="Q86" s="7">
        <f>VLOOKUP($A86,$A$2:Q$51,Q$83)</f>
        <v>0</v>
      </c>
      <c r="R86" s="7">
        <f>VLOOKUP($A86,$A$2:R$51,R$83)</f>
        <v>0</v>
      </c>
      <c r="S86" s="7">
        <f>VLOOKUP($A86,$A$2:S$51,S$83)</f>
        <v>0</v>
      </c>
      <c r="T86" s="7">
        <f>VLOOKUP($A86,$A$2:T$51,T$83)</f>
        <v>0</v>
      </c>
      <c r="U86" s="7">
        <f>VLOOKUP($A86,$A$2:U$51,U$83)</f>
        <v>0</v>
      </c>
      <c r="V86" s="7">
        <f>VLOOKUP($A86,$A$2:V$51,V$83)</f>
        <v>0</v>
      </c>
      <c r="W86" s="7">
        <f>VLOOKUP($A86,$A$2:W$51,W$83)</f>
        <v>0</v>
      </c>
      <c r="X86" s="7">
        <f>VLOOKUP($A86,$A$2:X$51,X$83)</f>
        <v>0</v>
      </c>
      <c r="Y86" s="7">
        <f>VLOOKUP($A86,$A$2:Y$51,Y$83)</f>
        <v>0</v>
      </c>
      <c r="Z86" s="7">
        <f>VLOOKUP($A86,$A$2:Z$51,Z$83)</f>
        <v>0</v>
      </c>
      <c r="AA86" s="7">
        <f>VLOOKUP($A86,$A$2:AA$51,AA$83)</f>
        <v>0</v>
      </c>
      <c r="AB86" s="7">
        <f>VLOOKUP($A86,$A$2:AB$51,AB$83)</f>
        <v>0</v>
      </c>
      <c r="AC86" s="7">
        <f>VLOOKUP($A86,$A$2:AC$51,AC$83)</f>
        <v>0</v>
      </c>
      <c r="AD86" s="7">
        <f>VLOOKUP($A86,$A$2:AD$51,AD$83)</f>
        <v>0</v>
      </c>
      <c r="AE86" s="7">
        <f>VLOOKUP($A86,$A$2:AE$51,AE$83)</f>
        <v>0</v>
      </c>
      <c r="AF86" s="7">
        <f>VLOOKUP($A86,$A$2:AF$51,AF$83)</f>
        <v>0</v>
      </c>
      <c r="AG86" s="7">
        <f>VLOOKUP($A86,$A$2:AG$51,AG$83)</f>
        <v>0</v>
      </c>
    </row>
    <row r="87" spans="1:33" s="7" customFormat="1">
      <c r="A87" s="7">
        <f t="shared" si="18"/>
        <v>7</v>
      </c>
      <c r="B87" s="7">
        <f>VLOOKUP($A87,$A$2:B$51,B$83)</f>
        <v>71.819854736328125</v>
      </c>
      <c r="C87" s="7">
        <f>VLOOKUP($A87,$A$2:C$51,C$83)</f>
        <v>67.290107727050781</v>
      </c>
      <c r="D87" s="7">
        <f>VLOOKUP($A87,$A$2:D$51,D$83)</f>
        <v>71.17938232421875</v>
      </c>
      <c r="E87" s="7">
        <f>VLOOKUP($A87,$A$2:E$51,E$83)</f>
        <v>64.888145446777344</v>
      </c>
      <c r="F87" s="7">
        <f>VLOOKUP($A87,$A$2:F$51,F$83)</f>
        <v>64.903968811035156</v>
      </c>
      <c r="G87" s="7">
        <f>VLOOKUP($A87,$A$2:G$51,G$83)</f>
        <v>64.847450256347656</v>
      </c>
      <c r="H87" s="7">
        <f>VLOOKUP($A87,$A$2:H$51,H$83)</f>
        <v>0</v>
      </c>
      <c r="I87" s="7">
        <f>VLOOKUP($A87,$A$2:I$51,I$83)</f>
        <v>0</v>
      </c>
      <c r="J87" s="7">
        <f>VLOOKUP($A87,$A$2:J$51,J$83)</f>
        <v>0</v>
      </c>
      <c r="K87" s="7">
        <f>VLOOKUP($A87,$A$2:K$51,K$83)</f>
        <v>0</v>
      </c>
      <c r="L87" s="7">
        <f>VLOOKUP($A87,$A$2:L$51,L$83)</f>
        <v>0</v>
      </c>
      <c r="M87" s="7">
        <f>VLOOKUP($A87,$A$2:M$51,M$83)</f>
        <v>0</v>
      </c>
      <c r="N87" s="7">
        <f>VLOOKUP($A87,$A$2:N$51,N$83)</f>
        <v>0</v>
      </c>
      <c r="O87" s="7">
        <f>VLOOKUP($A87,$A$2:O$51,O$83)</f>
        <v>0</v>
      </c>
      <c r="P87" s="7">
        <f>VLOOKUP($A87,$A$2:P$51,P$83)</f>
        <v>0</v>
      </c>
      <c r="Q87" s="7">
        <f>VLOOKUP($A87,$A$2:Q$51,Q$83)</f>
        <v>0</v>
      </c>
      <c r="R87" s="7">
        <f>VLOOKUP($A87,$A$2:R$51,R$83)</f>
        <v>0</v>
      </c>
      <c r="S87" s="7">
        <f>VLOOKUP($A87,$A$2:S$51,S$83)</f>
        <v>0</v>
      </c>
      <c r="T87" s="7">
        <f>VLOOKUP($A87,$A$2:T$51,T$83)</f>
        <v>0</v>
      </c>
      <c r="U87" s="7">
        <f>VLOOKUP($A87,$A$2:U$51,U$83)</f>
        <v>0</v>
      </c>
      <c r="V87" s="7">
        <f>VLOOKUP($A87,$A$2:V$51,V$83)</f>
        <v>0</v>
      </c>
      <c r="W87" s="7">
        <f>VLOOKUP($A87,$A$2:W$51,W$83)</f>
        <v>0</v>
      </c>
      <c r="X87" s="7">
        <f>VLOOKUP($A87,$A$2:X$51,X$83)</f>
        <v>0</v>
      </c>
      <c r="Y87" s="7">
        <f>VLOOKUP($A87,$A$2:Y$51,Y$83)</f>
        <v>0</v>
      </c>
      <c r="Z87" s="7">
        <f>VLOOKUP($A87,$A$2:Z$51,Z$83)</f>
        <v>0</v>
      </c>
      <c r="AA87" s="7">
        <f>VLOOKUP($A87,$A$2:AA$51,AA$83)</f>
        <v>0</v>
      </c>
      <c r="AB87" s="7">
        <f>VLOOKUP($A87,$A$2:AB$51,AB$83)</f>
        <v>0</v>
      </c>
      <c r="AC87" s="7">
        <f>VLOOKUP($A87,$A$2:AC$51,AC$83)</f>
        <v>0</v>
      </c>
      <c r="AD87" s="7">
        <f>VLOOKUP($A87,$A$2:AD$51,AD$83)</f>
        <v>0</v>
      </c>
      <c r="AE87" s="7">
        <f>VLOOKUP($A87,$A$2:AE$51,AE$83)</f>
        <v>0</v>
      </c>
      <c r="AF87" s="7">
        <f>VLOOKUP($A87,$A$2:AF$51,AF$83)</f>
        <v>0</v>
      </c>
      <c r="AG87" s="7">
        <f>VLOOKUP($A87,$A$2:AG$51,AG$83)</f>
        <v>0</v>
      </c>
    </row>
    <row r="88" spans="1:33" s="7" customFormat="1">
      <c r="A88" s="7">
        <f t="shared" si="18"/>
        <v>9</v>
      </c>
      <c r="B88" s="7">
        <f>VLOOKUP($A88,$A$2:B$51,B$83)</f>
        <v>56.474205017089844</v>
      </c>
      <c r="C88" s="7">
        <f>VLOOKUP($A88,$A$2:C$51,C$83)</f>
        <v>52.957527160644531</v>
      </c>
      <c r="D88" s="7">
        <f>VLOOKUP($A88,$A$2:D$51,D$83)</f>
        <v>56.196151733398437</v>
      </c>
      <c r="E88" s="7">
        <f>VLOOKUP($A88,$A$2:E$51,E$83)</f>
        <v>50.809150695800781</v>
      </c>
      <c r="F88" s="7">
        <f>VLOOKUP($A88,$A$2:F$51,F$83)</f>
        <v>49.960216522216797</v>
      </c>
      <c r="G88" s="7">
        <f>VLOOKUP($A88,$A$2:G$51,G$83)</f>
        <v>50.083499908447266</v>
      </c>
      <c r="H88" s="7">
        <f>VLOOKUP($A88,$A$2:H$51,H$83)</f>
        <v>0</v>
      </c>
      <c r="I88" s="7">
        <f>VLOOKUP($A88,$A$2:I$51,I$83)</f>
        <v>0</v>
      </c>
      <c r="J88" s="7">
        <f>VLOOKUP($A88,$A$2:J$51,J$83)</f>
        <v>0</v>
      </c>
      <c r="K88" s="7">
        <f>VLOOKUP($A88,$A$2:K$51,K$83)</f>
        <v>0</v>
      </c>
      <c r="L88" s="7">
        <f>VLOOKUP($A88,$A$2:L$51,L$83)</f>
        <v>0</v>
      </c>
      <c r="M88" s="7">
        <f>VLOOKUP($A88,$A$2:M$51,M$83)</f>
        <v>0</v>
      </c>
      <c r="N88" s="7">
        <f>VLOOKUP($A88,$A$2:N$51,N$83)</f>
        <v>0</v>
      </c>
      <c r="O88" s="7">
        <f>VLOOKUP($A88,$A$2:O$51,O$83)</f>
        <v>0</v>
      </c>
      <c r="P88" s="7">
        <f>VLOOKUP($A88,$A$2:P$51,P$83)</f>
        <v>0</v>
      </c>
      <c r="Q88" s="7">
        <f>VLOOKUP($A88,$A$2:Q$51,Q$83)</f>
        <v>0</v>
      </c>
      <c r="R88" s="7">
        <f>VLOOKUP($A88,$A$2:R$51,R$83)</f>
        <v>0</v>
      </c>
      <c r="S88" s="7">
        <f>VLOOKUP($A88,$A$2:S$51,S$83)</f>
        <v>0</v>
      </c>
      <c r="T88" s="7">
        <f>VLOOKUP($A88,$A$2:T$51,T$83)</f>
        <v>0</v>
      </c>
      <c r="U88" s="7">
        <f>VLOOKUP($A88,$A$2:U$51,U$83)</f>
        <v>0</v>
      </c>
      <c r="V88" s="7">
        <f>VLOOKUP($A88,$A$2:V$51,V$83)</f>
        <v>0</v>
      </c>
      <c r="W88" s="7">
        <f>VLOOKUP($A88,$A$2:W$51,W$83)</f>
        <v>0</v>
      </c>
      <c r="X88" s="7">
        <f>VLOOKUP($A88,$A$2:X$51,X$83)</f>
        <v>0</v>
      </c>
      <c r="Y88" s="7">
        <f>VLOOKUP($A88,$A$2:Y$51,Y$83)</f>
        <v>0</v>
      </c>
      <c r="Z88" s="7">
        <f>VLOOKUP($A88,$A$2:Z$51,Z$83)</f>
        <v>0</v>
      </c>
      <c r="AA88" s="7">
        <f>VLOOKUP($A88,$A$2:AA$51,AA$83)</f>
        <v>0</v>
      </c>
      <c r="AB88" s="7">
        <f>VLOOKUP($A88,$A$2:AB$51,AB$83)</f>
        <v>0</v>
      </c>
      <c r="AC88" s="7">
        <f>VLOOKUP($A88,$A$2:AC$51,AC$83)</f>
        <v>0</v>
      </c>
      <c r="AD88" s="7">
        <f>VLOOKUP($A88,$A$2:AD$51,AD$83)</f>
        <v>0</v>
      </c>
      <c r="AE88" s="7">
        <f>VLOOKUP($A88,$A$2:AE$51,AE$83)</f>
        <v>0</v>
      </c>
      <c r="AF88" s="7">
        <f>VLOOKUP($A88,$A$2:AF$51,AF$83)</f>
        <v>0</v>
      </c>
      <c r="AG88" s="7">
        <f>VLOOKUP($A88,$A$2:AG$51,AG$83)</f>
        <v>0</v>
      </c>
    </row>
    <row r="89" spans="1:33" s="7" customFormat="1">
      <c r="A89" s="7">
        <f t="shared" si="18"/>
        <v>11</v>
      </c>
      <c r="B89" s="7">
        <f>VLOOKUP($A89,$A$2:B$51,B$83)</f>
        <v>42.167217254638672</v>
      </c>
      <c r="C89" s="7">
        <f>VLOOKUP($A89,$A$2:C$51,C$83)</f>
        <v>39.433673858642578</v>
      </c>
      <c r="D89" s="7">
        <f>VLOOKUP($A89,$A$2:D$51,D$83)</f>
        <v>41.811981201171875</v>
      </c>
      <c r="E89" s="7">
        <f>VLOOKUP($A89,$A$2:E$51,E$83)</f>
        <v>37.939579010009766</v>
      </c>
      <c r="F89" s="7">
        <f>VLOOKUP($A89,$A$2:F$51,F$83)</f>
        <v>37.99609375</v>
      </c>
      <c r="G89" s="7">
        <f>VLOOKUP($A89,$A$2:G$51,G$83)</f>
        <v>37.329219818115234</v>
      </c>
      <c r="H89" s="7">
        <f>VLOOKUP($A89,$A$2:H$51,H$83)</f>
        <v>0</v>
      </c>
      <c r="I89" s="7">
        <f>VLOOKUP($A89,$A$2:I$51,I$83)</f>
        <v>0</v>
      </c>
      <c r="J89" s="7">
        <f>VLOOKUP($A89,$A$2:J$51,J$83)</f>
        <v>0</v>
      </c>
      <c r="K89" s="7">
        <f>VLOOKUP($A89,$A$2:K$51,K$83)</f>
        <v>0</v>
      </c>
      <c r="L89" s="7">
        <f>VLOOKUP($A89,$A$2:L$51,L$83)</f>
        <v>0</v>
      </c>
      <c r="M89" s="7">
        <f>VLOOKUP($A89,$A$2:M$51,M$83)</f>
        <v>0</v>
      </c>
      <c r="N89" s="7">
        <f>VLOOKUP($A89,$A$2:N$51,N$83)</f>
        <v>0</v>
      </c>
      <c r="O89" s="7">
        <f>VLOOKUP($A89,$A$2:O$51,O$83)</f>
        <v>0</v>
      </c>
      <c r="P89" s="7">
        <f>VLOOKUP($A89,$A$2:P$51,P$83)</f>
        <v>0</v>
      </c>
      <c r="Q89" s="7">
        <f>VLOOKUP($A89,$A$2:Q$51,Q$83)</f>
        <v>0</v>
      </c>
      <c r="R89" s="7">
        <f>VLOOKUP($A89,$A$2:R$51,R$83)</f>
        <v>0</v>
      </c>
      <c r="S89" s="7">
        <f>VLOOKUP($A89,$A$2:S$51,S$83)</f>
        <v>0</v>
      </c>
      <c r="T89" s="7">
        <f>VLOOKUP($A89,$A$2:T$51,T$83)</f>
        <v>0</v>
      </c>
      <c r="U89" s="7">
        <f>VLOOKUP($A89,$A$2:U$51,U$83)</f>
        <v>0</v>
      </c>
      <c r="V89" s="7">
        <f>VLOOKUP($A89,$A$2:V$51,V$83)</f>
        <v>0</v>
      </c>
      <c r="W89" s="7">
        <f>VLOOKUP($A89,$A$2:W$51,W$83)</f>
        <v>0</v>
      </c>
      <c r="X89" s="7">
        <f>VLOOKUP($A89,$A$2:X$51,X$83)</f>
        <v>0</v>
      </c>
      <c r="Y89" s="7">
        <f>VLOOKUP($A89,$A$2:Y$51,Y$83)</f>
        <v>0</v>
      </c>
      <c r="Z89" s="7">
        <f>VLOOKUP($A89,$A$2:Z$51,Z$83)</f>
        <v>0</v>
      </c>
      <c r="AA89" s="7">
        <f>VLOOKUP($A89,$A$2:AA$51,AA$83)</f>
        <v>0</v>
      </c>
      <c r="AB89" s="7">
        <f>VLOOKUP($A89,$A$2:AB$51,AB$83)</f>
        <v>0</v>
      </c>
      <c r="AC89" s="7">
        <f>VLOOKUP($A89,$A$2:AC$51,AC$83)</f>
        <v>0</v>
      </c>
      <c r="AD89" s="7">
        <f>VLOOKUP($A89,$A$2:AD$51,AD$83)</f>
        <v>0</v>
      </c>
      <c r="AE89" s="7">
        <f>VLOOKUP($A89,$A$2:AE$51,AE$83)</f>
        <v>0</v>
      </c>
      <c r="AF89" s="7">
        <f>VLOOKUP($A89,$A$2:AF$51,AF$83)</f>
        <v>0</v>
      </c>
      <c r="AG89" s="7">
        <f>VLOOKUP($A89,$A$2:AG$51,AG$83)</f>
        <v>0</v>
      </c>
    </row>
    <row r="90" spans="1:33" s="7" customFormat="1">
      <c r="A90" s="7">
        <f t="shared" si="18"/>
        <v>13</v>
      </c>
      <c r="B90" s="7">
        <f>VLOOKUP($A90,$A$2:B$51,B$83)</f>
        <v>34.903923034667969</v>
      </c>
      <c r="C90" s="7">
        <f>VLOOKUP($A90,$A$2:C$51,C$83)</f>
        <v>32.263225555419922</v>
      </c>
      <c r="D90" s="7">
        <f>VLOOKUP($A90,$A$2:D$51,D$83)</f>
        <v>34.202007293701172</v>
      </c>
      <c r="E90" s="7">
        <f>VLOOKUP($A90,$A$2:E$51,E$83)</f>
        <v>30.850351333618164</v>
      </c>
      <c r="F90" s="7">
        <f>VLOOKUP($A90,$A$2:F$51,F$83)</f>
        <v>30.243381500244141</v>
      </c>
      <c r="G90" s="7">
        <f>VLOOKUP($A90,$A$2:G$51,G$83)</f>
        <v>30.223762512207031</v>
      </c>
      <c r="H90" s="7">
        <f>VLOOKUP($A90,$A$2:H$51,H$83)</f>
        <v>0</v>
      </c>
      <c r="I90" s="7">
        <f>VLOOKUP($A90,$A$2:I$51,I$83)</f>
        <v>0</v>
      </c>
      <c r="J90" s="7">
        <f>VLOOKUP($A90,$A$2:J$51,J$83)</f>
        <v>0</v>
      </c>
      <c r="K90" s="7">
        <f>VLOOKUP($A90,$A$2:K$51,K$83)</f>
        <v>0</v>
      </c>
      <c r="L90" s="7">
        <f>VLOOKUP($A90,$A$2:L$51,L$83)</f>
        <v>0</v>
      </c>
      <c r="M90" s="7">
        <f>VLOOKUP($A90,$A$2:M$51,M$83)</f>
        <v>0</v>
      </c>
      <c r="N90" s="7">
        <f>VLOOKUP($A90,$A$2:N$51,N$83)</f>
        <v>0</v>
      </c>
      <c r="O90" s="7">
        <f>VLOOKUP($A90,$A$2:O$51,O$83)</f>
        <v>0</v>
      </c>
      <c r="P90" s="7">
        <f>VLOOKUP($A90,$A$2:P$51,P$83)</f>
        <v>0</v>
      </c>
      <c r="Q90" s="7">
        <f>VLOOKUP($A90,$A$2:Q$51,Q$83)</f>
        <v>0</v>
      </c>
      <c r="R90" s="7">
        <f>VLOOKUP($A90,$A$2:R$51,R$83)</f>
        <v>0</v>
      </c>
      <c r="S90" s="7">
        <f>VLOOKUP($A90,$A$2:S$51,S$83)</f>
        <v>0</v>
      </c>
      <c r="T90" s="7">
        <f>VLOOKUP($A90,$A$2:T$51,T$83)</f>
        <v>0</v>
      </c>
      <c r="U90" s="7">
        <f>VLOOKUP($A90,$A$2:U$51,U$83)</f>
        <v>0</v>
      </c>
      <c r="V90" s="7">
        <f>VLOOKUP($A90,$A$2:V$51,V$83)</f>
        <v>0</v>
      </c>
      <c r="W90" s="7">
        <f>VLOOKUP($A90,$A$2:W$51,W$83)</f>
        <v>0</v>
      </c>
      <c r="X90" s="7">
        <f>VLOOKUP($A90,$A$2:X$51,X$83)</f>
        <v>0</v>
      </c>
      <c r="Y90" s="7">
        <f>VLOOKUP($A90,$A$2:Y$51,Y$83)</f>
        <v>0</v>
      </c>
      <c r="Z90" s="7">
        <f>VLOOKUP($A90,$A$2:Z$51,Z$83)</f>
        <v>0</v>
      </c>
      <c r="AA90" s="7">
        <f>VLOOKUP($A90,$A$2:AA$51,AA$83)</f>
        <v>0</v>
      </c>
      <c r="AB90" s="7">
        <f>VLOOKUP($A90,$A$2:AB$51,AB$83)</f>
        <v>0</v>
      </c>
      <c r="AC90" s="7">
        <f>VLOOKUP($A90,$A$2:AC$51,AC$83)</f>
        <v>0</v>
      </c>
      <c r="AD90" s="7">
        <f>VLOOKUP($A90,$A$2:AD$51,AD$83)</f>
        <v>0</v>
      </c>
      <c r="AE90" s="7">
        <f>VLOOKUP($A90,$A$2:AE$51,AE$83)</f>
        <v>0</v>
      </c>
      <c r="AF90" s="7">
        <f>VLOOKUP($A90,$A$2:AF$51,AF$83)</f>
        <v>0</v>
      </c>
      <c r="AG90" s="7">
        <f>VLOOKUP($A90,$A$2:AG$51,AG$83)</f>
        <v>0</v>
      </c>
    </row>
    <row r="91" spans="1:33" s="7" customFormat="1">
      <c r="A91" s="7">
        <f t="shared" si="18"/>
        <v>15</v>
      </c>
      <c r="B91" s="7">
        <f>VLOOKUP($A91,$A$2:B$51,B$83)</f>
        <v>27.727823257446289</v>
      </c>
      <c r="C91" s="7">
        <f>VLOOKUP($A91,$A$2:C$51,C$83)</f>
        <v>25.797920227050781</v>
      </c>
      <c r="D91" s="7">
        <f>VLOOKUP($A91,$A$2:D$51,D$83)</f>
        <v>27.278610229492188</v>
      </c>
      <c r="E91" s="7">
        <f>VLOOKUP($A91,$A$2:E$51,E$83)</f>
        <v>24.728658676147461</v>
      </c>
      <c r="F91" s="7">
        <f>VLOOKUP($A91,$A$2:F$51,F$83)</f>
        <v>24.412174224853516</v>
      </c>
      <c r="G91" s="7">
        <f>VLOOKUP($A91,$A$2:G$51,G$83)</f>
        <v>24.186115264892578</v>
      </c>
      <c r="H91" s="7">
        <f>VLOOKUP($A91,$A$2:H$51,H$83)</f>
        <v>0</v>
      </c>
      <c r="I91" s="7">
        <f>VLOOKUP($A91,$A$2:I$51,I$83)</f>
        <v>0</v>
      </c>
      <c r="J91" s="7">
        <f>VLOOKUP($A91,$A$2:J$51,J$83)</f>
        <v>0</v>
      </c>
      <c r="K91" s="7">
        <f>VLOOKUP($A91,$A$2:K$51,K$83)</f>
        <v>0</v>
      </c>
      <c r="L91" s="7">
        <f>VLOOKUP($A91,$A$2:L$51,L$83)</f>
        <v>0</v>
      </c>
      <c r="M91" s="7">
        <f>VLOOKUP($A91,$A$2:M$51,M$83)</f>
        <v>0</v>
      </c>
      <c r="N91" s="7">
        <f>VLOOKUP($A91,$A$2:N$51,N$83)</f>
        <v>0</v>
      </c>
      <c r="O91" s="7">
        <f>VLOOKUP($A91,$A$2:O$51,O$83)</f>
        <v>0</v>
      </c>
      <c r="P91" s="7">
        <f>VLOOKUP($A91,$A$2:P$51,P$83)</f>
        <v>0</v>
      </c>
      <c r="Q91" s="7">
        <f>VLOOKUP($A91,$A$2:Q$51,Q$83)</f>
        <v>0</v>
      </c>
      <c r="R91" s="7">
        <f>VLOOKUP($A91,$A$2:R$51,R$83)</f>
        <v>0</v>
      </c>
      <c r="S91" s="7">
        <f>VLOOKUP($A91,$A$2:S$51,S$83)</f>
        <v>0</v>
      </c>
      <c r="T91" s="7">
        <f>VLOOKUP($A91,$A$2:T$51,T$83)</f>
        <v>0</v>
      </c>
      <c r="U91" s="7">
        <f>VLOOKUP($A91,$A$2:U$51,U$83)</f>
        <v>0</v>
      </c>
      <c r="V91" s="7">
        <f>VLOOKUP($A91,$A$2:V$51,V$83)</f>
        <v>0</v>
      </c>
      <c r="W91" s="7">
        <f>VLOOKUP($A91,$A$2:W$51,W$83)</f>
        <v>0</v>
      </c>
      <c r="X91" s="7">
        <f>VLOOKUP($A91,$A$2:X$51,X$83)</f>
        <v>0</v>
      </c>
      <c r="Y91" s="7">
        <f>VLOOKUP($A91,$A$2:Y$51,Y$83)</f>
        <v>0</v>
      </c>
      <c r="Z91" s="7">
        <f>VLOOKUP($A91,$A$2:Z$51,Z$83)</f>
        <v>0</v>
      </c>
      <c r="AA91" s="7">
        <f>VLOOKUP($A91,$A$2:AA$51,AA$83)</f>
        <v>0</v>
      </c>
      <c r="AB91" s="7">
        <f>VLOOKUP($A91,$A$2:AB$51,AB$83)</f>
        <v>0</v>
      </c>
      <c r="AC91" s="7">
        <f>VLOOKUP($A91,$A$2:AC$51,AC$83)</f>
        <v>0</v>
      </c>
      <c r="AD91" s="7">
        <f>VLOOKUP($A91,$A$2:AD$51,AD$83)</f>
        <v>0</v>
      </c>
      <c r="AE91" s="7">
        <f>VLOOKUP($A91,$A$2:AE$51,AE$83)</f>
        <v>0</v>
      </c>
      <c r="AF91" s="7">
        <f>VLOOKUP($A91,$A$2:AF$51,AF$83)</f>
        <v>0</v>
      </c>
      <c r="AG91" s="7">
        <f>VLOOKUP($A91,$A$2:AG$51,AG$83)</f>
        <v>0</v>
      </c>
    </row>
    <row r="92" spans="1:33" s="7" customFormat="1">
      <c r="A92" s="7">
        <f t="shared" si="18"/>
        <v>17</v>
      </c>
      <c r="B92" s="7">
        <f>VLOOKUP($A92,$A$2:B$51,B$83)</f>
        <v>22.762100219726563</v>
      </c>
      <c r="C92" s="7">
        <f>VLOOKUP($A92,$A$2:C$51,C$83)</f>
        <v>20.781658172607422</v>
      </c>
      <c r="D92" s="7">
        <f>VLOOKUP($A92,$A$2:D$51,D$83)</f>
        <v>22.101844787597656</v>
      </c>
      <c r="E92" s="7">
        <f>VLOOKUP($A92,$A$2:E$51,E$83)</f>
        <v>20.211986541748047</v>
      </c>
      <c r="F92" s="7">
        <f>VLOOKUP($A92,$A$2:F$51,F$83)</f>
        <v>19.877418518066406</v>
      </c>
      <c r="G92" s="7">
        <f>VLOOKUP($A92,$A$2:G$51,G$83)</f>
        <v>19.646839141845703</v>
      </c>
      <c r="H92" s="7">
        <f>VLOOKUP($A92,$A$2:H$51,H$83)</f>
        <v>0</v>
      </c>
      <c r="I92" s="7">
        <f>VLOOKUP($A92,$A$2:I$51,I$83)</f>
        <v>0</v>
      </c>
      <c r="J92" s="7">
        <f>VLOOKUP($A92,$A$2:J$51,J$83)</f>
        <v>0</v>
      </c>
      <c r="K92" s="7">
        <f>VLOOKUP($A92,$A$2:K$51,K$83)</f>
        <v>0</v>
      </c>
      <c r="L92" s="7">
        <f>VLOOKUP($A92,$A$2:L$51,L$83)</f>
        <v>0</v>
      </c>
      <c r="M92" s="7">
        <f>VLOOKUP($A92,$A$2:M$51,M$83)</f>
        <v>0</v>
      </c>
      <c r="N92" s="7">
        <f>VLOOKUP($A92,$A$2:N$51,N$83)</f>
        <v>0</v>
      </c>
      <c r="O92" s="7">
        <f>VLOOKUP($A92,$A$2:O$51,O$83)</f>
        <v>0</v>
      </c>
      <c r="P92" s="7">
        <f>VLOOKUP($A92,$A$2:P$51,P$83)</f>
        <v>0</v>
      </c>
      <c r="Q92" s="7">
        <f>VLOOKUP($A92,$A$2:Q$51,Q$83)</f>
        <v>0</v>
      </c>
      <c r="R92" s="7">
        <f>VLOOKUP($A92,$A$2:R$51,R$83)</f>
        <v>0</v>
      </c>
      <c r="S92" s="7">
        <f>VLOOKUP($A92,$A$2:S$51,S$83)</f>
        <v>0</v>
      </c>
      <c r="T92" s="7">
        <f>VLOOKUP($A92,$A$2:T$51,T$83)</f>
        <v>0</v>
      </c>
      <c r="U92" s="7">
        <f>VLOOKUP($A92,$A$2:U$51,U$83)</f>
        <v>0</v>
      </c>
      <c r="V92" s="7">
        <f>VLOOKUP($A92,$A$2:V$51,V$83)</f>
        <v>0</v>
      </c>
      <c r="W92" s="7">
        <f>VLOOKUP($A92,$A$2:W$51,W$83)</f>
        <v>0</v>
      </c>
      <c r="X92" s="7">
        <f>VLOOKUP($A92,$A$2:X$51,X$83)</f>
        <v>0</v>
      </c>
      <c r="Y92" s="7">
        <f>VLOOKUP($A92,$A$2:Y$51,Y$83)</f>
        <v>0</v>
      </c>
      <c r="Z92" s="7">
        <f>VLOOKUP($A92,$A$2:Z$51,Z$83)</f>
        <v>0</v>
      </c>
      <c r="AA92" s="7">
        <f>VLOOKUP($A92,$A$2:AA$51,AA$83)</f>
        <v>0</v>
      </c>
      <c r="AB92" s="7">
        <f>VLOOKUP($A92,$A$2:AB$51,AB$83)</f>
        <v>0</v>
      </c>
      <c r="AC92" s="7">
        <f>VLOOKUP($A92,$A$2:AC$51,AC$83)</f>
        <v>0</v>
      </c>
      <c r="AD92" s="7">
        <f>VLOOKUP($A92,$A$2:AD$51,AD$83)</f>
        <v>0</v>
      </c>
      <c r="AE92" s="7">
        <f>VLOOKUP($A92,$A$2:AE$51,AE$83)</f>
        <v>0</v>
      </c>
      <c r="AF92" s="7">
        <f>VLOOKUP($A92,$A$2:AF$51,AF$83)</f>
        <v>0</v>
      </c>
      <c r="AG92" s="7">
        <f>VLOOKUP($A92,$A$2:AG$51,AG$83)</f>
        <v>0</v>
      </c>
    </row>
    <row r="93" spans="1:33" s="7" customFormat="1">
      <c r="A93" s="7">
        <f t="shared" si="18"/>
        <v>19</v>
      </c>
      <c r="B93" s="7">
        <f>VLOOKUP($A93,$A$2:B$51,B$83)</f>
        <v>18.554969787597656</v>
      </c>
      <c r="C93" s="7">
        <f>VLOOKUP($A93,$A$2:C$51,C$83)</f>
        <v>17.111902236938477</v>
      </c>
      <c r="D93" s="7">
        <f>VLOOKUP($A93,$A$2:D$51,D$83)</f>
        <v>18.044076919555664</v>
      </c>
      <c r="E93" s="7">
        <f>VLOOKUP($A93,$A$2:E$51,E$83)</f>
        <v>16.36421012878418</v>
      </c>
      <c r="F93" s="7">
        <f>VLOOKUP($A93,$A$2:F$51,F$83)</f>
        <v>16.122245788574219</v>
      </c>
      <c r="G93" s="7">
        <f>VLOOKUP($A93,$A$2:G$51,G$83)</f>
        <v>16.203950881958008</v>
      </c>
      <c r="H93" s="7">
        <f>VLOOKUP($A93,$A$2:H$51,H$83)</f>
        <v>0</v>
      </c>
      <c r="I93" s="7">
        <f>VLOOKUP($A93,$A$2:I$51,I$83)</f>
        <v>0</v>
      </c>
      <c r="J93" s="7">
        <f>VLOOKUP($A93,$A$2:J$51,J$83)</f>
        <v>0</v>
      </c>
      <c r="K93" s="7">
        <f>VLOOKUP($A93,$A$2:K$51,K$83)</f>
        <v>0</v>
      </c>
      <c r="L93" s="7">
        <f>VLOOKUP($A93,$A$2:L$51,L$83)</f>
        <v>0</v>
      </c>
      <c r="M93" s="7">
        <f>VLOOKUP($A93,$A$2:M$51,M$83)</f>
        <v>0</v>
      </c>
      <c r="N93" s="7">
        <f>VLOOKUP($A93,$A$2:N$51,N$83)</f>
        <v>0</v>
      </c>
      <c r="O93" s="7">
        <f>VLOOKUP($A93,$A$2:O$51,O$83)</f>
        <v>0</v>
      </c>
      <c r="P93" s="7">
        <f>VLOOKUP($A93,$A$2:P$51,P$83)</f>
        <v>0</v>
      </c>
      <c r="Q93" s="7">
        <f>VLOOKUP($A93,$A$2:Q$51,Q$83)</f>
        <v>0</v>
      </c>
      <c r="R93" s="7">
        <f>VLOOKUP($A93,$A$2:R$51,R$83)</f>
        <v>0</v>
      </c>
      <c r="S93" s="7">
        <f>VLOOKUP($A93,$A$2:S$51,S$83)</f>
        <v>0</v>
      </c>
      <c r="T93" s="7">
        <f>VLOOKUP($A93,$A$2:T$51,T$83)</f>
        <v>0</v>
      </c>
      <c r="U93" s="7">
        <f>VLOOKUP($A93,$A$2:U$51,U$83)</f>
        <v>0</v>
      </c>
      <c r="V93" s="7">
        <f>VLOOKUP($A93,$A$2:V$51,V$83)</f>
        <v>0</v>
      </c>
      <c r="W93" s="7">
        <f>VLOOKUP($A93,$A$2:W$51,W$83)</f>
        <v>0</v>
      </c>
      <c r="X93" s="7">
        <f>VLOOKUP($A93,$A$2:X$51,X$83)</f>
        <v>0</v>
      </c>
      <c r="Y93" s="7">
        <f>VLOOKUP($A93,$A$2:Y$51,Y$83)</f>
        <v>0</v>
      </c>
      <c r="Z93" s="7">
        <f>VLOOKUP($A93,$A$2:Z$51,Z$83)</f>
        <v>0</v>
      </c>
      <c r="AA93" s="7">
        <f>VLOOKUP($A93,$A$2:AA$51,AA$83)</f>
        <v>0</v>
      </c>
      <c r="AB93" s="7">
        <f>VLOOKUP($A93,$A$2:AB$51,AB$83)</f>
        <v>0</v>
      </c>
      <c r="AC93" s="7">
        <f>VLOOKUP($A93,$A$2:AC$51,AC$83)</f>
        <v>0</v>
      </c>
      <c r="AD93" s="7">
        <f>VLOOKUP($A93,$A$2:AD$51,AD$83)</f>
        <v>0</v>
      </c>
      <c r="AE93" s="7">
        <f>VLOOKUP($A93,$A$2:AE$51,AE$83)</f>
        <v>0</v>
      </c>
      <c r="AF93" s="7">
        <f>VLOOKUP($A93,$A$2:AF$51,AF$83)</f>
        <v>0</v>
      </c>
      <c r="AG93" s="7">
        <f>VLOOKUP($A93,$A$2:AG$51,AG$83)</f>
        <v>0</v>
      </c>
    </row>
    <row r="94" spans="1:33" s="7" customFormat="1">
      <c r="A94" s="7">
        <f t="shared" si="18"/>
        <v>21</v>
      </c>
      <c r="B94" s="7">
        <f>VLOOKUP($A94,$A$2:B$51,B$83)</f>
        <v>14.707436561584473</v>
      </c>
      <c r="C94" s="7">
        <f>VLOOKUP($A94,$A$2:C$51,C$83)</f>
        <v>13.443763732910156</v>
      </c>
      <c r="D94" s="7">
        <f>VLOOKUP($A94,$A$2:D$51,D$83)</f>
        <v>14.429383277893066</v>
      </c>
      <c r="E94" s="7">
        <f>VLOOKUP($A94,$A$2:E$51,E$83)</f>
        <v>12.625428199768066</v>
      </c>
      <c r="F94" s="7">
        <f>VLOOKUP($A94,$A$2:F$51,F$83)</f>
        <v>12.586513519287109</v>
      </c>
      <c r="G94" s="7">
        <f>VLOOKUP($A94,$A$2:G$51,G$83)</f>
        <v>12.54178524017334</v>
      </c>
      <c r="H94" s="7">
        <f>VLOOKUP($A94,$A$2:H$51,H$83)</f>
        <v>0</v>
      </c>
      <c r="I94" s="7">
        <f>VLOOKUP($A94,$A$2:I$51,I$83)</f>
        <v>0</v>
      </c>
      <c r="J94" s="7">
        <f>VLOOKUP($A94,$A$2:J$51,J$83)</f>
        <v>0</v>
      </c>
      <c r="K94" s="7">
        <f>VLOOKUP($A94,$A$2:K$51,K$83)</f>
        <v>0</v>
      </c>
      <c r="L94" s="7">
        <f>VLOOKUP($A94,$A$2:L$51,L$83)</f>
        <v>0</v>
      </c>
      <c r="M94" s="7">
        <f>VLOOKUP($A94,$A$2:M$51,M$83)</f>
        <v>0</v>
      </c>
      <c r="N94" s="7">
        <f>VLOOKUP($A94,$A$2:N$51,N$83)</f>
        <v>0</v>
      </c>
      <c r="O94" s="7">
        <f>VLOOKUP($A94,$A$2:O$51,O$83)</f>
        <v>0</v>
      </c>
      <c r="P94" s="7">
        <f>VLOOKUP($A94,$A$2:P$51,P$83)</f>
        <v>0</v>
      </c>
      <c r="Q94" s="7">
        <f>VLOOKUP($A94,$A$2:Q$51,Q$83)</f>
        <v>0</v>
      </c>
      <c r="R94" s="7">
        <f>VLOOKUP($A94,$A$2:R$51,R$83)</f>
        <v>0</v>
      </c>
      <c r="S94" s="7">
        <f>VLOOKUP($A94,$A$2:S$51,S$83)</f>
        <v>0</v>
      </c>
      <c r="T94" s="7">
        <f>VLOOKUP($A94,$A$2:T$51,T$83)</f>
        <v>0</v>
      </c>
      <c r="U94" s="7">
        <f>VLOOKUP($A94,$A$2:U$51,U$83)</f>
        <v>0</v>
      </c>
      <c r="V94" s="7">
        <f>VLOOKUP($A94,$A$2:V$51,V$83)</f>
        <v>0</v>
      </c>
      <c r="W94" s="7">
        <f>VLOOKUP($A94,$A$2:W$51,W$83)</f>
        <v>0</v>
      </c>
      <c r="X94" s="7">
        <f>VLOOKUP($A94,$A$2:X$51,X$83)</f>
        <v>0</v>
      </c>
      <c r="Y94" s="7">
        <f>VLOOKUP($A94,$A$2:Y$51,Y$83)</f>
        <v>0</v>
      </c>
      <c r="Z94" s="7">
        <f>VLOOKUP($A94,$A$2:Z$51,Z$83)</f>
        <v>0</v>
      </c>
      <c r="AA94" s="7">
        <f>VLOOKUP($A94,$A$2:AA$51,AA$83)</f>
        <v>0</v>
      </c>
      <c r="AB94" s="7">
        <f>VLOOKUP($A94,$A$2:AB$51,AB$83)</f>
        <v>0</v>
      </c>
      <c r="AC94" s="7">
        <f>VLOOKUP($A94,$A$2:AC$51,AC$83)</f>
        <v>0</v>
      </c>
      <c r="AD94" s="7">
        <f>VLOOKUP($A94,$A$2:AD$51,AD$83)</f>
        <v>0</v>
      </c>
      <c r="AE94" s="7">
        <f>VLOOKUP($A94,$A$2:AE$51,AE$83)</f>
        <v>0</v>
      </c>
      <c r="AF94" s="7">
        <f>VLOOKUP($A94,$A$2:AF$51,AF$83)</f>
        <v>0</v>
      </c>
      <c r="AG94" s="7">
        <f>VLOOKUP($A94,$A$2:AG$51,AG$83)</f>
        <v>0</v>
      </c>
    </row>
    <row r="95" spans="1:33" s="7" customFormat="1">
      <c r="A95" s="7">
        <f t="shared" si="18"/>
        <v>23</v>
      </c>
      <c r="B95" s="7">
        <f>VLOOKUP($A95,$A$2:B$51,B$83)</f>
        <v>13.443198204040527</v>
      </c>
      <c r="C95" s="7">
        <f>VLOOKUP($A95,$A$2:C$51,C$83)</f>
        <v>12.21399974822998</v>
      </c>
      <c r="D95" s="7">
        <f>VLOOKUP($A95,$A$2:D$51,D$83)</f>
        <v>13.332025527954102</v>
      </c>
      <c r="E95" s="7">
        <f>VLOOKUP($A95,$A$2:E$51,E$83)</f>
        <v>11.514021873474121</v>
      </c>
      <c r="F95" s="7">
        <f>VLOOKUP($A95,$A$2:F$51,F$83)</f>
        <v>11.558426856994629</v>
      </c>
      <c r="G95" s="7">
        <f>VLOOKUP($A95,$A$2:G$51,G$83)</f>
        <v>11.55616569519043</v>
      </c>
      <c r="H95" s="7">
        <f>VLOOKUP($A95,$A$2:H$51,H$83)</f>
        <v>0</v>
      </c>
      <c r="I95" s="7">
        <f>VLOOKUP($A95,$A$2:I$51,I$83)</f>
        <v>0</v>
      </c>
      <c r="J95" s="7">
        <f>VLOOKUP($A95,$A$2:J$51,J$83)</f>
        <v>0</v>
      </c>
      <c r="K95" s="7">
        <f>VLOOKUP($A95,$A$2:K$51,K$83)</f>
        <v>0</v>
      </c>
      <c r="L95" s="7">
        <f>VLOOKUP($A95,$A$2:L$51,L$83)</f>
        <v>0</v>
      </c>
      <c r="M95" s="7">
        <f>VLOOKUP($A95,$A$2:M$51,M$83)</f>
        <v>0</v>
      </c>
      <c r="N95" s="7">
        <f>VLOOKUP($A95,$A$2:N$51,N$83)</f>
        <v>0</v>
      </c>
      <c r="O95" s="7">
        <f>VLOOKUP($A95,$A$2:O$51,O$83)</f>
        <v>0</v>
      </c>
      <c r="P95" s="7">
        <f>VLOOKUP($A95,$A$2:P$51,P$83)</f>
        <v>0</v>
      </c>
      <c r="Q95" s="7">
        <f>VLOOKUP($A95,$A$2:Q$51,Q$83)</f>
        <v>0</v>
      </c>
      <c r="R95" s="7">
        <f>VLOOKUP($A95,$A$2:R$51,R$83)</f>
        <v>0</v>
      </c>
      <c r="S95" s="7">
        <f>VLOOKUP($A95,$A$2:S$51,S$83)</f>
        <v>0</v>
      </c>
      <c r="T95" s="7">
        <f>VLOOKUP($A95,$A$2:T$51,T$83)</f>
        <v>0</v>
      </c>
      <c r="U95" s="7">
        <f>VLOOKUP($A95,$A$2:U$51,U$83)</f>
        <v>0</v>
      </c>
      <c r="V95" s="7">
        <f>VLOOKUP($A95,$A$2:V$51,V$83)</f>
        <v>0</v>
      </c>
      <c r="W95" s="7">
        <f>VLOOKUP($A95,$A$2:W$51,W$83)</f>
        <v>0</v>
      </c>
      <c r="X95" s="7">
        <f>VLOOKUP($A95,$A$2:X$51,X$83)</f>
        <v>0</v>
      </c>
      <c r="Y95" s="7">
        <f>VLOOKUP($A95,$A$2:Y$51,Y$83)</f>
        <v>0</v>
      </c>
      <c r="Z95" s="7">
        <f>VLOOKUP($A95,$A$2:Z$51,Z$83)</f>
        <v>0</v>
      </c>
      <c r="AA95" s="7">
        <f>VLOOKUP($A95,$A$2:AA$51,AA$83)</f>
        <v>0</v>
      </c>
      <c r="AB95" s="7">
        <f>VLOOKUP($A95,$A$2:AB$51,AB$83)</f>
        <v>0</v>
      </c>
      <c r="AC95" s="7">
        <f>VLOOKUP($A95,$A$2:AC$51,AC$83)</f>
        <v>0</v>
      </c>
      <c r="AD95" s="7">
        <f>VLOOKUP($A95,$A$2:AD$51,AD$83)</f>
        <v>0</v>
      </c>
      <c r="AE95" s="7">
        <f>VLOOKUP($A95,$A$2:AE$51,AE$83)</f>
        <v>0</v>
      </c>
      <c r="AF95" s="7">
        <f>VLOOKUP($A95,$A$2:AF$51,AF$83)</f>
        <v>0</v>
      </c>
      <c r="AG95" s="7">
        <f>VLOOKUP($A95,$A$2:AG$51,AG$83)</f>
        <v>0</v>
      </c>
    </row>
    <row r="96" spans="1:33" s="7" customFormat="1">
      <c r="A96" s="7">
        <f t="shared" si="18"/>
        <v>25</v>
      </c>
      <c r="B96" s="7">
        <f>VLOOKUP($A96,$A$2:B$51,B$83)</f>
        <v>11.165244102478027</v>
      </c>
      <c r="C96" s="7">
        <f>VLOOKUP($A96,$A$2:C$51,C$83)</f>
        <v>10.107124328613281</v>
      </c>
      <c r="D96" s="7">
        <f>VLOOKUP($A96,$A$2:D$51,D$83)</f>
        <v>10.841817855834961</v>
      </c>
      <c r="E96" s="7">
        <f>VLOOKUP($A96,$A$2:E$51,E$83)</f>
        <v>9.6044645309448242</v>
      </c>
      <c r="F96" s="7">
        <f>VLOOKUP($A96,$A$2:F$51,F$83)</f>
        <v>9.523890495300293</v>
      </c>
      <c r="G96" s="7">
        <f>VLOOKUP($A96,$A$2:G$51,G$83)</f>
        <v>9.6482229232788086</v>
      </c>
      <c r="H96" s="7">
        <f>VLOOKUP($A96,$A$2:H$51,H$83)</f>
        <v>0</v>
      </c>
      <c r="I96" s="7">
        <f>VLOOKUP($A96,$A$2:I$51,I$83)</f>
        <v>0</v>
      </c>
      <c r="J96" s="7">
        <f>VLOOKUP($A96,$A$2:J$51,J$83)</f>
        <v>0</v>
      </c>
      <c r="K96" s="7">
        <f>VLOOKUP($A96,$A$2:K$51,K$83)</f>
        <v>0</v>
      </c>
      <c r="L96" s="7">
        <f>VLOOKUP($A96,$A$2:L$51,L$83)</f>
        <v>0</v>
      </c>
      <c r="M96" s="7">
        <f>VLOOKUP($A96,$A$2:M$51,M$83)</f>
        <v>0</v>
      </c>
      <c r="N96" s="7">
        <f>VLOOKUP($A96,$A$2:N$51,N$83)</f>
        <v>0</v>
      </c>
      <c r="O96" s="7">
        <f>VLOOKUP($A96,$A$2:O$51,O$83)</f>
        <v>0</v>
      </c>
      <c r="P96" s="7">
        <f>VLOOKUP($A96,$A$2:P$51,P$83)</f>
        <v>0</v>
      </c>
      <c r="Q96" s="7">
        <f>VLOOKUP($A96,$A$2:Q$51,Q$83)</f>
        <v>0</v>
      </c>
      <c r="R96" s="7">
        <f>VLOOKUP($A96,$A$2:R$51,R$83)</f>
        <v>0</v>
      </c>
      <c r="S96" s="7">
        <f>VLOOKUP($A96,$A$2:S$51,S$83)</f>
        <v>0</v>
      </c>
      <c r="T96" s="7">
        <f>VLOOKUP($A96,$A$2:T$51,T$83)</f>
        <v>0</v>
      </c>
      <c r="U96" s="7">
        <f>VLOOKUP($A96,$A$2:U$51,U$83)</f>
        <v>0</v>
      </c>
      <c r="V96" s="7">
        <f>VLOOKUP($A96,$A$2:V$51,V$83)</f>
        <v>0</v>
      </c>
      <c r="W96" s="7">
        <f>VLOOKUP($A96,$A$2:W$51,W$83)</f>
        <v>0</v>
      </c>
      <c r="X96" s="7">
        <f>VLOOKUP($A96,$A$2:X$51,X$83)</f>
        <v>0</v>
      </c>
      <c r="Y96" s="7">
        <f>VLOOKUP($A96,$A$2:Y$51,Y$83)</f>
        <v>0</v>
      </c>
      <c r="Z96" s="7">
        <f>VLOOKUP($A96,$A$2:Z$51,Z$83)</f>
        <v>0</v>
      </c>
      <c r="AA96" s="7">
        <f>VLOOKUP($A96,$A$2:AA$51,AA$83)</f>
        <v>0</v>
      </c>
      <c r="AB96" s="7">
        <f>VLOOKUP($A96,$A$2:AB$51,AB$83)</f>
        <v>0</v>
      </c>
      <c r="AC96" s="7">
        <f>VLOOKUP($A96,$A$2:AC$51,AC$83)</f>
        <v>0</v>
      </c>
      <c r="AD96" s="7">
        <f>VLOOKUP($A96,$A$2:AD$51,AD$83)</f>
        <v>0</v>
      </c>
      <c r="AE96" s="7">
        <f>VLOOKUP($A96,$A$2:AE$51,AE$83)</f>
        <v>0</v>
      </c>
      <c r="AF96" s="7">
        <f>VLOOKUP($A96,$A$2:AF$51,AF$83)</f>
        <v>0</v>
      </c>
      <c r="AG96" s="7">
        <f>VLOOKUP($A96,$A$2:AG$51,AG$83)</f>
        <v>0</v>
      </c>
    </row>
    <row r="97" spans="1:33" s="7" customFormat="1">
      <c r="A97" s="7">
        <f t="shared" si="18"/>
        <v>27</v>
      </c>
      <c r="B97" s="7">
        <f>VLOOKUP($A97,$A$2:B$51,B$83)</f>
        <v>8.7552881240844727</v>
      </c>
      <c r="C97" s="7">
        <f>VLOOKUP($A97,$A$2:C$51,C$83)</f>
        <v>7.9369521141052246</v>
      </c>
      <c r="D97" s="7">
        <f>VLOOKUP($A97,$A$2:D$51,D$83)</f>
        <v>8.5880031585693359</v>
      </c>
      <c r="E97" s="7">
        <f>VLOOKUP($A97,$A$2:E$51,E$83)</f>
        <v>7.5164809226989746</v>
      </c>
      <c r="F97" s="7">
        <f>VLOOKUP($A97,$A$2:F$51,F$83)</f>
        <v>7.5481295585632324</v>
      </c>
      <c r="G97" s="7">
        <f>VLOOKUP($A97,$A$2:G$51,G$83)</f>
        <v>7.4260573387145996</v>
      </c>
      <c r="H97" s="7">
        <f>VLOOKUP($A97,$A$2:H$51,H$83)</f>
        <v>0</v>
      </c>
      <c r="I97" s="7">
        <f>VLOOKUP($A97,$A$2:I$51,I$83)</f>
        <v>0</v>
      </c>
      <c r="J97" s="7">
        <f>VLOOKUP($A97,$A$2:J$51,J$83)</f>
        <v>0</v>
      </c>
      <c r="K97" s="7">
        <f>VLOOKUP($A97,$A$2:K$51,K$83)</f>
        <v>0</v>
      </c>
      <c r="L97" s="7">
        <f>VLOOKUP($A97,$A$2:L$51,L$83)</f>
        <v>0</v>
      </c>
      <c r="M97" s="7">
        <f>VLOOKUP($A97,$A$2:M$51,M$83)</f>
        <v>0</v>
      </c>
      <c r="N97" s="7">
        <f>VLOOKUP($A97,$A$2:N$51,N$83)</f>
        <v>0</v>
      </c>
      <c r="O97" s="7">
        <f>VLOOKUP($A97,$A$2:O$51,O$83)</f>
        <v>0</v>
      </c>
      <c r="P97" s="7">
        <f>VLOOKUP($A97,$A$2:P$51,P$83)</f>
        <v>0</v>
      </c>
      <c r="Q97" s="7">
        <f>VLOOKUP($A97,$A$2:Q$51,Q$83)</f>
        <v>0</v>
      </c>
      <c r="R97" s="7">
        <f>VLOOKUP($A97,$A$2:R$51,R$83)</f>
        <v>0</v>
      </c>
      <c r="S97" s="7">
        <f>VLOOKUP($A97,$A$2:S$51,S$83)</f>
        <v>0</v>
      </c>
      <c r="T97" s="7">
        <f>VLOOKUP($A97,$A$2:T$51,T$83)</f>
        <v>0</v>
      </c>
      <c r="U97" s="7">
        <f>VLOOKUP($A97,$A$2:U$51,U$83)</f>
        <v>0</v>
      </c>
      <c r="V97" s="7">
        <f>VLOOKUP($A97,$A$2:V$51,V$83)</f>
        <v>0</v>
      </c>
      <c r="W97" s="7">
        <f>VLOOKUP($A97,$A$2:W$51,W$83)</f>
        <v>0</v>
      </c>
      <c r="X97" s="7">
        <f>VLOOKUP($A97,$A$2:X$51,X$83)</f>
        <v>0</v>
      </c>
      <c r="Y97" s="7">
        <f>VLOOKUP($A97,$A$2:Y$51,Y$83)</f>
        <v>0</v>
      </c>
      <c r="Z97" s="7">
        <f>VLOOKUP($A97,$A$2:Z$51,Z$83)</f>
        <v>0</v>
      </c>
      <c r="AA97" s="7">
        <f>VLOOKUP($A97,$A$2:AA$51,AA$83)</f>
        <v>0</v>
      </c>
      <c r="AB97" s="7">
        <f>VLOOKUP($A97,$A$2:AB$51,AB$83)</f>
        <v>0</v>
      </c>
      <c r="AC97" s="7">
        <f>VLOOKUP($A97,$A$2:AC$51,AC$83)</f>
        <v>0</v>
      </c>
      <c r="AD97" s="7">
        <f>VLOOKUP($A97,$A$2:AD$51,AD$83)</f>
        <v>0</v>
      </c>
      <c r="AE97" s="7">
        <f>VLOOKUP($A97,$A$2:AE$51,AE$83)</f>
        <v>0</v>
      </c>
      <c r="AF97" s="7">
        <f>VLOOKUP($A97,$A$2:AF$51,AF$83)</f>
        <v>0</v>
      </c>
      <c r="AG97" s="7">
        <f>VLOOKUP($A97,$A$2:AG$51,AG$83)</f>
        <v>0</v>
      </c>
    </row>
    <row r="98" spans="1:33" s="7" customFormat="1">
      <c r="A98" s="7">
        <f t="shared" si="18"/>
        <v>29</v>
      </c>
      <c r="B98" s="7">
        <f>VLOOKUP($A98,$A$2:B$51,B$83)</f>
        <v>7.091489315032959</v>
      </c>
      <c r="C98" s="7">
        <f>VLOOKUP($A98,$A$2:C$51,C$83)</f>
        <v>6.5172977447509766</v>
      </c>
      <c r="D98" s="7">
        <f>VLOOKUP($A98,$A$2:D$51,D$83)</f>
        <v>6.9716777801513672</v>
      </c>
      <c r="E98" s="7">
        <f>VLOOKUP($A98,$A$2:E$51,E$83)</f>
        <v>6.1872506141662598</v>
      </c>
      <c r="F98" s="7">
        <f>VLOOKUP($A98,$A$2:F$51,F$83)</f>
        <v>6.076481819152832</v>
      </c>
      <c r="G98" s="7">
        <f>VLOOKUP($A98,$A$2:G$51,G$83)</f>
        <v>6.166905403137207</v>
      </c>
      <c r="H98" s="7">
        <f>VLOOKUP($A98,$A$2:H$51,H$83)</f>
        <v>0</v>
      </c>
      <c r="I98" s="7">
        <f>VLOOKUP($A98,$A$2:I$51,I$83)</f>
        <v>0</v>
      </c>
      <c r="J98" s="7">
        <f>VLOOKUP($A98,$A$2:J$51,J$83)</f>
        <v>0</v>
      </c>
      <c r="K98" s="7">
        <f>VLOOKUP($A98,$A$2:K$51,K$83)</f>
        <v>0</v>
      </c>
      <c r="L98" s="7">
        <f>VLOOKUP($A98,$A$2:L$51,L$83)</f>
        <v>0</v>
      </c>
      <c r="M98" s="7">
        <f>VLOOKUP($A98,$A$2:M$51,M$83)</f>
        <v>0</v>
      </c>
      <c r="N98" s="7">
        <f>VLOOKUP($A98,$A$2:N$51,N$83)</f>
        <v>0</v>
      </c>
      <c r="O98" s="7">
        <f>VLOOKUP($A98,$A$2:O$51,O$83)</f>
        <v>0</v>
      </c>
      <c r="P98" s="7">
        <f>VLOOKUP($A98,$A$2:P$51,P$83)</f>
        <v>0</v>
      </c>
      <c r="Q98" s="7">
        <f>VLOOKUP($A98,$A$2:Q$51,Q$83)</f>
        <v>0</v>
      </c>
      <c r="R98" s="7">
        <f>VLOOKUP($A98,$A$2:R$51,R$83)</f>
        <v>0</v>
      </c>
      <c r="S98" s="7">
        <f>VLOOKUP($A98,$A$2:S$51,S$83)</f>
        <v>0</v>
      </c>
      <c r="T98" s="7">
        <f>VLOOKUP($A98,$A$2:T$51,T$83)</f>
        <v>0</v>
      </c>
      <c r="U98" s="7">
        <f>VLOOKUP($A98,$A$2:U$51,U$83)</f>
        <v>0</v>
      </c>
      <c r="V98" s="7">
        <f>VLOOKUP($A98,$A$2:V$51,V$83)</f>
        <v>0</v>
      </c>
      <c r="W98" s="7">
        <f>VLOOKUP($A98,$A$2:W$51,W$83)</f>
        <v>0</v>
      </c>
      <c r="X98" s="7">
        <f>VLOOKUP($A98,$A$2:X$51,X$83)</f>
        <v>0</v>
      </c>
      <c r="Y98" s="7">
        <f>VLOOKUP($A98,$A$2:Y$51,Y$83)</f>
        <v>0</v>
      </c>
      <c r="Z98" s="7">
        <f>VLOOKUP($A98,$A$2:Z$51,Z$83)</f>
        <v>0</v>
      </c>
      <c r="AA98" s="7">
        <f>VLOOKUP($A98,$A$2:AA$51,AA$83)</f>
        <v>0</v>
      </c>
      <c r="AB98" s="7">
        <f>VLOOKUP($A98,$A$2:AB$51,AB$83)</f>
        <v>0</v>
      </c>
      <c r="AC98" s="7">
        <f>VLOOKUP($A98,$A$2:AC$51,AC$83)</f>
        <v>0</v>
      </c>
      <c r="AD98" s="7">
        <f>VLOOKUP($A98,$A$2:AD$51,AD$83)</f>
        <v>0</v>
      </c>
      <c r="AE98" s="7">
        <f>VLOOKUP($A98,$A$2:AE$51,AE$83)</f>
        <v>0</v>
      </c>
      <c r="AF98" s="7">
        <f>VLOOKUP($A98,$A$2:AF$51,AF$83)</f>
        <v>0</v>
      </c>
      <c r="AG98" s="7">
        <f>VLOOKUP($A98,$A$2:AG$51,AG$83)</f>
        <v>0</v>
      </c>
    </row>
    <row r="99" spans="1:33" s="7" customFormat="1">
      <c r="A99" s="7">
        <f t="shared" si="18"/>
        <v>31</v>
      </c>
      <c r="B99" s="7">
        <f>VLOOKUP($A99,$A$2:B$51,B$83)</f>
        <v>5.7373924255371094</v>
      </c>
      <c r="C99" s="7">
        <f>VLOOKUP($A99,$A$2:C$51,C$83)</f>
        <v>5.1488299369812012</v>
      </c>
      <c r="D99" s="7">
        <f>VLOOKUP($A99,$A$2:D$51,D$83)</f>
        <v>5.7221331596374512</v>
      </c>
      <c r="E99" s="7">
        <f>VLOOKUP($A99,$A$2:E$51,E$83)</f>
        <v>4.8354144096374512</v>
      </c>
      <c r="F99" s="7">
        <f>VLOOKUP($A99,$A$2:F$51,F$83)</f>
        <v>4.7856812477111816</v>
      </c>
      <c r="G99" s="7">
        <f>VLOOKUP($A99,$A$2:G$51,G$83)</f>
        <v>4.7969841957092285</v>
      </c>
      <c r="H99" s="7">
        <f>VLOOKUP($A99,$A$2:H$51,H$83)</f>
        <v>0</v>
      </c>
      <c r="I99" s="7">
        <f>VLOOKUP($A99,$A$2:I$51,I$83)</f>
        <v>0</v>
      </c>
      <c r="J99" s="7">
        <f>VLOOKUP($A99,$A$2:J$51,J$83)</f>
        <v>0</v>
      </c>
      <c r="K99" s="7">
        <f>VLOOKUP($A99,$A$2:K$51,K$83)</f>
        <v>0</v>
      </c>
      <c r="L99" s="7">
        <f>VLOOKUP($A99,$A$2:L$51,L$83)</f>
        <v>0</v>
      </c>
      <c r="M99" s="7">
        <f>VLOOKUP($A99,$A$2:M$51,M$83)</f>
        <v>0</v>
      </c>
      <c r="N99" s="7">
        <f>VLOOKUP($A99,$A$2:N$51,N$83)</f>
        <v>0</v>
      </c>
      <c r="O99" s="7">
        <f>VLOOKUP($A99,$A$2:O$51,O$83)</f>
        <v>0</v>
      </c>
      <c r="P99" s="7">
        <f>VLOOKUP($A99,$A$2:P$51,P$83)</f>
        <v>0</v>
      </c>
      <c r="Q99" s="7">
        <f>VLOOKUP($A99,$A$2:Q$51,Q$83)</f>
        <v>0</v>
      </c>
      <c r="R99" s="7">
        <f>VLOOKUP($A99,$A$2:R$51,R$83)</f>
        <v>0</v>
      </c>
      <c r="S99" s="7">
        <f>VLOOKUP($A99,$A$2:S$51,S$83)</f>
        <v>0</v>
      </c>
      <c r="T99" s="7">
        <f>VLOOKUP($A99,$A$2:T$51,T$83)</f>
        <v>0</v>
      </c>
      <c r="U99" s="7">
        <f>VLOOKUP($A99,$A$2:U$51,U$83)</f>
        <v>0</v>
      </c>
      <c r="V99" s="7">
        <f>VLOOKUP($A99,$A$2:V$51,V$83)</f>
        <v>0</v>
      </c>
      <c r="W99" s="7">
        <f>VLOOKUP($A99,$A$2:W$51,W$83)</f>
        <v>0</v>
      </c>
      <c r="X99" s="7">
        <f>VLOOKUP($A99,$A$2:X$51,X$83)</f>
        <v>0</v>
      </c>
      <c r="Y99" s="7">
        <f>VLOOKUP($A99,$A$2:Y$51,Y$83)</f>
        <v>0</v>
      </c>
      <c r="Z99" s="7">
        <f>VLOOKUP($A99,$A$2:Z$51,Z$83)</f>
        <v>0</v>
      </c>
      <c r="AA99" s="7">
        <f>VLOOKUP($A99,$A$2:AA$51,AA$83)</f>
        <v>0</v>
      </c>
      <c r="AB99" s="7">
        <f>VLOOKUP($A99,$A$2:AB$51,AB$83)</f>
        <v>0</v>
      </c>
      <c r="AC99" s="7">
        <f>VLOOKUP($A99,$A$2:AC$51,AC$83)</f>
        <v>0</v>
      </c>
      <c r="AD99" s="7">
        <f>VLOOKUP($A99,$A$2:AD$51,AD$83)</f>
        <v>0</v>
      </c>
      <c r="AE99" s="7">
        <f>VLOOKUP($A99,$A$2:AE$51,AE$83)</f>
        <v>0</v>
      </c>
      <c r="AF99" s="7">
        <f>VLOOKUP($A99,$A$2:AF$51,AF$83)</f>
        <v>0</v>
      </c>
      <c r="AG99" s="7">
        <f>VLOOKUP($A99,$A$2:AG$51,AG$83)</f>
        <v>0</v>
      </c>
    </row>
    <row r="100" spans="1:33" s="7" customFormat="1">
      <c r="A100" s="7">
        <f t="shared" si="18"/>
        <v>33</v>
      </c>
      <c r="B100" s="7">
        <f>VLOOKUP($A100,$A$2:B$51,B$83)</f>
        <v>4.3132166862487793</v>
      </c>
      <c r="C100" s="7">
        <f>VLOOKUP($A100,$A$2:C$51,C$83)</f>
        <v>3.8823311328887939</v>
      </c>
      <c r="D100" s="7">
        <f>VLOOKUP($A100,$A$2:D$51,D$83)</f>
        <v>4.2856054306030273</v>
      </c>
      <c r="E100" s="7">
        <f>VLOOKUP($A100,$A$2:E$51,E$83)</f>
        <v>3.618567943572998</v>
      </c>
      <c r="F100" s="7">
        <f>VLOOKUP($A100,$A$2:F$51,F$83)</f>
        <v>3.6440804004669189</v>
      </c>
      <c r="G100" s="7">
        <f>VLOOKUP($A100,$A$2:G$51,G$83)</f>
        <v>3.6327774524688721</v>
      </c>
      <c r="H100" s="7">
        <f>VLOOKUP($A100,$A$2:H$51,H$83)</f>
        <v>0</v>
      </c>
      <c r="I100" s="7">
        <f>VLOOKUP($A100,$A$2:I$51,I$83)</f>
        <v>0</v>
      </c>
      <c r="J100" s="7">
        <f>VLOOKUP($A100,$A$2:J$51,J$83)</f>
        <v>0</v>
      </c>
      <c r="K100" s="7">
        <f>VLOOKUP($A100,$A$2:K$51,K$83)</f>
        <v>0</v>
      </c>
      <c r="L100" s="7">
        <f>VLOOKUP($A100,$A$2:L$51,L$83)</f>
        <v>0</v>
      </c>
      <c r="M100" s="7">
        <f>VLOOKUP($A100,$A$2:M$51,M$83)</f>
        <v>0</v>
      </c>
      <c r="N100" s="7">
        <f>VLOOKUP($A100,$A$2:N$51,N$83)</f>
        <v>0</v>
      </c>
      <c r="O100" s="7">
        <f>VLOOKUP($A100,$A$2:O$51,O$83)</f>
        <v>0</v>
      </c>
      <c r="P100" s="7">
        <f>VLOOKUP($A100,$A$2:P$51,P$83)</f>
        <v>0</v>
      </c>
      <c r="Q100" s="7">
        <f>VLOOKUP($A100,$A$2:Q$51,Q$83)</f>
        <v>0</v>
      </c>
      <c r="R100" s="7">
        <f>VLOOKUP($A100,$A$2:R$51,R$83)</f>
        <v>0</v>
      </c>
      <c r="S100" s="7">
        <f>VLOOKUP($A100,$A$2:S$51,S$83)</f>
        <v>0</v>
      </c>
      <c r="T100" s="7">
        <f>VLOOKUP($A100,$A$2:T$51,T$83)</f>
        <v>0</v>
      </c>
      <c r="U100" s="7">
        <f>VLOOKUP($A100,$A$2:U$51,U$83)</f>
        <v>0</v>
      </c>
      <c r="V100" s="7">
        <f>VLOOKUP($A100,$A$2:V$51,V$83)</f>
        <v>0</v>
      </c>
      <c r="W100" s="7">
        <f>VLOOKUP($A100,$A$2:W$51,W$83)</f>
        <v>0</v>
      </c>
      <c r="X100" s="7">
        <f>VLOOKUP($A100,$A$2:X$51,X$83)</f>
        <v>0</v>
      </c>
      <c r="Y100" s="7">
        <f>VLOOKUP($A100,$A$2:Y$51,Y$83)</f>
        <v>0</v>
      </c>
      <c r="Z100" s="7">
        <f>VLOOKUP($A100,$A$2:Z$51,Z$83)</f>
        <v>0</v>
      </c>
      <c r="AA100" s="7">
        <f>VLOOKUP($A100,$A$2:AA$51,AA$83)</f>
        <v>0</v>
      </c>
      <c r="AB100" s="7">
        <f>VLOOKUP($A100,$A$2:AB$51,AB$83)</f>
        <v>0</v>
      </c>
      <c r="AC100" s="7">
        <f>VLOOKUP($A100,$A$2:AC$51,AC$83)</f>
        <v>0</v>
      </c>
      <c r="AD100" s="7">
        <f>VLOOKUP($A100,$A$2:AD$51,AD$83)</f>
        <v>0</v>
      </c>
      <c r="AE100" s="7">
        <f>VLOOKUP($A100,$A$2:AE$51,AE$83)</f>
        <v>0</v>
      </c>
      <c r="AF100" s="7">
        <f>VLOOKUP($A100,$A$2:AF$51,AF$83)</f>
        <v>0</v>
      </c>
      <c r="AG100" s="7">
        <f>VLOOKUP($A100,$A$2:AG$51,AG$83)</f>
        <v>0</v>
      </c>
    </row>
    <row r="101" spans="1:33" s="7" customFormat="1">
      <c r="A101" s="7">
        <f t="shared" si="18"/>
        <v>35</v>
      </c>
      <c r="B101" s="7">
        <f>VLOOKUP($A101,$A$2:B$51,B$83)</f>
        <v>1.4321682453155518</v>
      </c>
      <c r="C101" s="7">
        <f>VLOOKUP($A101,$A$2:C$51,C$83)</f>
        <v>1.2425203323364258</v>
      </c>
      <c r="D101" s="7">
        <f>VLOOKUP($A101,$A$2:D$51,D$83)</f>
        <v>1.4580843448638916</v>
      </c>
      <c r="E101" s="7">
        <f>VLOOKUP($A101,$A$2:E$51,E$83)</f>
        <v>1.1076920032501221</v>
      </c>
      <c r="F101" s="7">
        <f>VLOOKUP($A101,$A$2:F$51,F$83)</f>
        <v>1.1009101867675781</v>
      </c>
      <c r="G101" s="7">
        <f>VLOOKUP($A101,$A$2:G$51,G$83)</f>
        <v>1.0550523996353149</v>
      </c>
      <c r="H101" s="7">
        <f>VLOOKUP($A101,$A$2:H$51,H$83)</f>
        <v>0</v>
      </c>
      <c r="I101" s="7">
        <f>VLOOKUP($A101,$A$2:I$51,I$83)</f>
        <v>0</v>
      </c>
      <c r="J101" s="7">
        <f>VLOOKUP($A101,$A$2:J$51,J$83)</f>
        <v>0</v>
      </c>
      <c r="K101" s="7">
        <f>VLOOKUP($A101,$A$2:K$51,K$83)</f>
        <v>0</v>
      </c>
      <c r="L101" s="7">
        <f>VLOOKUP($A101,$A$2:L$51,L$83)</f>
        <v>0</v>
      </c>
      <c r="M101" s="7">
        <f>VLOOKUP($A101,$A$2:M$51,M$83)</f>
        <v>0</v>
      </c>
      <c r="N101" s="7">
        <f>VLOOKUP($A101,$A$2:N$51,N$83)</f>
        <v>0</v>
      </c>
      <c r="O101" s="7">
        <f>VLOOKUP($A101,$A$2:O$51,O$83)</f>
        <v>0</v>
      </c>
      <c r="P101" s="7">
        <f>VLOOKUP($A101,$A$2:P$51,P$83)</f>
        <v>0</v>
      </c>
      <c r="Q101" s="7">
        <f>VLOOKUP($A101,$A$2:Q$51,Q$83)</f>
        <v>0</v>
      </c>
      <c r="R101" s="7">
        <f>VLOOKUP($A101,$A$2:R$51,R$83)</f>
        <v>0</v>
      </c>
      <c r="S101" s="7">
        <f>VLOOKUP($A101,$A$2:S$51,S$83)</f>
        <v>0</v>
      </c>
      <c r="T101" s="7">
        <f>VLOOKUP($A101,$A$2:T$51,T$83)</f>
        <v>0</v>
      </c>
      <c r="U101" s="7">
        <f>VLOOKUP($A101,$A$2:U$51,U$83)</f>
        <v>0</v>
      </c>
      <c r="V101" s="7">
        <f>VLOOKUP($A101,$A$2:V$51,V$83)</f>
        <v>0</v>
      </c>
      <c r="W101" s="7">
        <f>VLOOKUP($A101,$A$2:W$51,W$83)</f>
        <v>0</v>
      </c>
      <c r="X101" s="7">
        <f>VLOOKUP($A101,$A$2:X$51,X$83)</f>
        <v>0</v>
      </c>
      <c r="Y101" s="7">
        <f>VLOOKUP($A101,$A$2:Y$51,Y$83)</f>
        <v>0</v>
      </c>
      <c r="Z101" s="7">
        <f>VLOOKUP($A101,$A$2:Z$51,Z$83)</f>
        <v>0</v>
      </c>
      <c r="AA101" s="7">
        <f>VLOOKUP($A101,$A$2:AA$51,AA$83)</f>
        <v>0</v>
      </c>
      <c r="AB101" s="7">
        <f>VLOOKUP($A101,$A$2:AB$51,AB$83)</f>
        <v>0</v>
      </c>
      <c r="AC101" s="7">
        <f>VLOOKUP($A101,$A$2:AC$51,AC$83)</f>
        <v>0</v>
      </c>
      <c r="AD101" s="7">
        <f>VLOOKUP($A101,$A$2:AD$51,AD$83)</f>
        <v>0</v>
      </c>
      <c r="AE101" s="7">
        <f>VLOOKUP($A101,$A$2:AE$51,AE$83)</f>
        <v>0</v>
      </c>
      <c r="AF101" s="7">
        <f>VLOOKUP($A101,$A$2:AF$51,AF$83)</f>
        <v>0</v>
      </c>
      <c r="AG101" s="7">
        <f>VLOOKUP($A101,$A$2:AG$51,AG$83)</f>
        <v>0</v>
      </c>
    </row>
    <row r="102" spans="1:33" s="7" customFormat="1">
      <c r="A102" s="7">
        <f t="shared" si="18"/>
        <v>37</v>
      </c>
      <c r="B102" s="7">
        <f>VLOOKUP($A102,$A$2:B$51,B$83)</f>
        <v>1.1596856117248535</v>
      </c>
      <c r="C102" s="7">
        <f>VLOOKUP($A102,$A$2:C$51,C$83)</f>
        <v>0.99401628971099854</v>
      </c>
      <c r="D102" s="7">
        <f>VLOOKUP($A102,$A$2:D$51,D$83)</f>
        <v>1.1487863063812256</v>
      </c>
      <c r="E102" s="7">
        <f>VLOOKUP($A102,$A$2:E$51,E$83)</f>
        <v>0.8719441294670105</v>
      </c>
      <c r="F102" s="7">
        <f>VLOOKUP($A102,$A$2:F$51,F$83)</f>
        <v>0.90197771787643433</v>
      </c>
      <c r="G102" s="7">
        <f>VLOOKUP($A102,$A$2:G$51,G$83)</f>
        <v>0.8409416675567627</v>
      </c>
      <c r="H102" s="7">
        <f>VLOOKUP($A102,$A$2:H$51,H$83)</f>
        <v>0</v>
      </c>
      <c r="I102" s="7">
        <f>VLOOKUP($A102,$A$2:I$51,I$83)</f>
        <v>0</v>
      </c>
      <c r="J102" s="7">
        <f>VLOOKUP($A102,$A$2:J$51,J$83)</f>
        <v>0</v>
      </c>
      <c r="K102" s="7">
        <f>VLOOKUP($A102,$A$2:K$51,K$83)</f>
        <v>0</v>
      </c>
      <c r="L102" s="7">
        <f>VLOOKUP($A102,$A$2:L$51,L$83)</f>
        <v>0</v>
      </c>
      <c r="M102" s="7">
        <f>VLOOKUP($A102,$A$2:M$51,M$83)</f>
        <v>0</v>
      </c>
      <c r="N102" s="7">
        <f>VLOOKUP($A102,$A$2:N$51,N$83)</f>
        <v>0</v>
      </c>
      <c r="O102" s="7">
        <f>VLOOKUP($A102,$A$2:O$51,O$83)</f>
        <v>0</v>
      </c>
      <c r="P102" s="7">
        <f>VLOOKUP($A102,$A$2:P$51,P$83)</f>
        <v>0</v>
      </c>
      <c r="Q102" s="7">
        <f>VLOOKUP($A102,$A$2:Q$51,Q$83)</f>
        <v>0</v>
      </c>
      <c r="R102" s="7">
        <f>VLOOKUP($A102,$A$2:R$51,R$83)</f>
        <v>0</v>
      </c>
      <c r="S102" s="7">
        <f>VLOOKUP($A102,$A$2:S$51,S$83)</f>
        <v>0</v>
      </c>
      <c r="T102" s="7">
        <f>VLOOKUP($A102,$A$2:T$51,T$83)</f>
        <v>0</v>
      </c>
      <c r="U102" s="7">
        <f>VLOOKUP($A102,$A$2:U$51,U$83)</f>
        <v>0</v>
      </c>
      <c r="V102" s="7">
        <f>VLOOKUP($A102,$A$2:V$51,V$83)</f>
        <v>0</v>
      </c>
      <c r="W102" s="7">
        <f>VLOOKUP($A102,$A$2:W$51,W$83)</f>
        <v>0</v>
      </c>
      <c r="X102" s="7">
        <f>VLOOKUP($A102,$A$2:X$51,X$83)</f>
        <v>0</v>
      </c>
      <c r="Y102" s="7">
        <f>VLOOKUP($A102,$A$2:Y$51,Y$83)</f>
        <v>0</v>
      </c>
      <c r="Z102" s="7">
        <f>VLOOKUP($A102,$A$2:Z$51,Z$83)</f>
        <v>0</v>
      </c>
      <c r="AA102" s="7">
        <f>VLOOKUP($A102,$A$2:AA$51,AA$83)</f>
        <v>0</v>
      </c>
      <c r="AB102" s="7">
        <f>VLOOKUP($A102,$A$2:AB$51,AB$83)</f>
        <v>0</v>
      </c>
      <c r="AC102" s="7">
        <f>VLOOKUP($A102,$A$2:AC$51,AC$83)</f>
        <v>0</v>
      </c>
      <c r="AD102" s="7">
        <f>VLOOKUP($A102,$A$2:AD$51,AD$83)</f>
        <v>0</v>
      </c>
      <c r="AE102" s="7">
        <f>VLOOKUP($A102,$A$2:AE$51,AE$83)</f>
        <v>0</v>
      </c>
      <c r="AF102" s="7">
        <f>VLOOKUP($A102,$A$2:AF$51,AF$83)</f>
        <v>0</v>
      </c>
      <c r="AG102" s="7">
        <f>VLOOKUP($A102,$A$2:AG$51,AG$83)</f>
        <v>0</v>
      </c>
    </row>
    <row r="103" spans="1:33" s="7" customFormat="1">
      <c r="A103" s="7">
        <f t="shared" si="18"/>
        <v>39</v>
      </c>
      <c r="B103" s="7">
        <f>VLOOKUP($A103,$A$2:B$51,B$83)</f>
        <v>0.89592254161834717</v>
      </c>
      <c r="C103" s="7">
        <f>VLOOKUP($A103,$A$2:C$51,C$83)</f>
        <v>0.80025094747543335</v>
      </c>
      <c r="D103" s="7">
        <f>VLOOKUP($A103,$A$2:D$51,D$83)</f>
        <v>0.92644059658050537</v>
      </c>
      <c r="E103" s="7">
        <f>VLOOKUP($A103,$A$2:E$51,E$83)</f>
        <v>0.68948173522949219</v>
      </c>
      <c r="F103" s="7">
        <f>VLOOKUP($A103,$A$2:F$51,F$83)</f>
        <v>0.73025321960449219</v>
      </c>
      <c r="G103" s="7">
        <f>VLOOKUP($A103,$A$2:G$51,G$83)</f>
        <v>0.69626349210739136</v>
      </c>
      <c r="H103" s="7">
        <f>VLOOKUP($A103,$A$2:H$51,H$83)</f>
        <v>0</v>
      </c>
      <c r="I103" s="7">
        <f>VLOOKUP($A103,$A$2:I$51,I$83)</f>
        <v>0</v>
      </c>
      <c r="J103" s="7">
        <f>VLOOKUP($A103,$A$2:J$51,J$83)</f>
        <v>0</v>
      </c>
      <c r="K103" s="7">
        <f>VLOOKUP($A103,$A$2:K$51,K$83)</f>
        <v>0</v>
      </c>
      <c r="L103" s="7">
        <f>VLOOKUP($A103,$A$2:L$51,L$83)</f>
        <v>0</v>
      </c>
      <c r="M103" s="7">
        <f>VLOOKUP($A103,$A$2:M$51,M$83)</f>
        <v>0</v>
      </c>
      <c r="N103" s="7">
        <f>VLOOKUP($A103,$A$2:N$51,N$83)</f>
        <v>0</v>
      </c>
      <c r="O103" s="7">
        <f>VLOOKUP($A103,$A$2:O$51,O$83)</f>
        <v>0</v>
      </c>
      <c r="P103" s="7">
        <f>VLOOKUP($A103,$A$2:P$51,P$83)</f>
        <v>0</v>
      </c>
      <c r="Q103" s="7">
        <f>VLOOKUP($A103,$A$2:Q$51,Q$83)</f>
        <v>0</v>
      </c>
      <c r="R103" s="7">
        <f>VLOOKUP($A103,$A$2:R$51,R$83)</f>
        <v>0</v>
      </c>
      <c r="S103" s="7">
        <f>VLOOKUP($A103,$A$2:S$51,S$83)</f>
        <v>0</v>
      </c>
      <c r="T103" s="7">
        <f>VLOOKUP($A103,$A$2:T$51,T$83)</f>
        <v>0</v>
      </c>
      <c r="U103" s="7">
        <f>VLOOKUP($A103,$A$2:U$51,U$83)</f>
        <v>0</v>
      </c>
      <c r="V103" s="7">
        <f>VLOOKUP($A103,$A$2:V$51,V$83)</f>
        <v>0</v>
      </c>
      <c r="W103" s="7">
        <f>VLOOKUP($A103,$A$2:W$51,W$83)</f>
        <v>0</v>
      </c>
      <c r="X103" s="7">
        <f>VLOOKUP($A103,$A$2:X$51,X$83)</f>
        <v>0</v>
      </c>
      <c r="Y103" s="7">
        <f>VLOOKUP($A103,$A$2:Y$51,Y$83)</f>
        <v>0</v>
      </c>
      <c r="Z103" s="7">
        <f>VLOOKUP($A103,$A$2:Z$51,Z$83)</f>
        <v>0</v>
      </c>
      <c r="AA103" s="7">
        <f>VLOOKUP($A103,$A$2:AA$51,AA$83)</f>
        <v>0</v>
      </c>
      <c r="AB103" s="7">
        <f>VLOOKUP($A103,$A$2:AB$51,AB$83)</f>
        <v>0</v>
      </c>
      <c r="AC103" s="7">
        <f>VLOOKUP($A103,$A$2:AC$51,AC$83)</f>
        <v>0</v>
      </c>
      <c r="AD103" s="7">
        <f>VLOOKUP($A103,$A$2:AD$51,AD$83)</f>
        <v>0</v>
      </c>
      <c r="AE103" s="7">
        <f>VLOOKUP($A103,$A$2:AE$51,AE$83)</f>
        <v>0</v>
      </c>
      <c r="AF103" s="7">
        <f>VLOOKUP($A103,$A$2:AF$51,AF$83)</f>
        <v>0</v>
      </c>
      <c r="AG103" s="7">
        <f>VLOOKUP($A103,$A$2:AG$51,AG$83)</f>
        <v>0</v>
      </c>
    </row>
    <row r="104" spans="1:33" s="7" customFormat="1">
      <c r="A104" s="7">
        <f t="shared" si="18"/>
        <v>41</v>
      </c>
      <c r="B104" s="7">
        <f>VLOOKUP($A104,$A$2:B$51,B$83)</f>
        <v>0.71499419212341309</v>
      </c>
      <c r="C104" s="7">
        <f>VLOOKUP($A104,$A$2:C$51,C$83)</f>
        <v>0.62618505954742432</v>
      </c>
      <c r="D104" s="7">
        <f>VLOOKUP($A104,$A$2:D$51,D$83)</f>
        <v>0.77086317539215088</v>
      </c>
      <c r="E104" s="7">
        <f>VLOOKUP($A104,$A$2:E$51,E$83)</f>
        <v>0.55384600162506104</v>
      </c>
      <c r="F104" s="7">
        <f>VLOOKUP($A104,$A$2:F$51,F$83)</f>
        <v>0.57984280586242676</v>
      </c>
      <c r="G104" s="7">
        <f>VLOOKUP($A104,$A$2:G$51,G$83)</f>
        <v>0.54028242826461792</v>
      </c>
      <c r="H104" s="7">
        <f>VLOOKUP($A104,$A$2:H$51,H$83)</f>
        <v>0</v>
      </c>
      <c r="I104" s="7">
        <f>VLOOKUP($A104,$A$2:I$51,I$83)</f>
        <v>0</v>
      </c>
      <c r="J104" s="7">
        <f>VLOOKUP($A104,$A$2:J$51,J$83)</f>
        <v>0</v>
      </c>
      <c r="K104" s="7">
        <f>VLOOKUP($A104,$A$2:K$51,K$83)</f>
        <v>0</v>
      </c>
      <c r="L104" s="7">
        <f>VLOOKUP($A104,$A$2:L$51,L$83)</f>
        <v>0</v>
      </c>
      <c r="M104" s="7">
        <f>VLOOKUP($A104,$A$2:M$51,M$83)</f>
        <v>0</v>
      </c>
      <c r="N104" s="7">
        <f>VLOOKUP($A104,$A$2:N$51,N$83)</f>
        <v>0</v>
      </c>
      <c r="O104" s="7">
        <f>VLOOKUP($A104,$A$2:O$51,O$83)</f>
        <v>0</v>
      </c>
      <c r="P104" s="7">
        <f>VLOOKUP($A104,$A$2:P$51,P$83)</f>
        <v>0</v>
      </c>
      <c r="Q104" s="7">
        <f>VLOOKUP($A104,$A$2:Q$51,Q$83)</f>
        <v>0</v>
      </c>
      <c r="R104" s="7">
        <f>VLOOKUP($A104,$A$2:R$51,R$83)</f>
        <v>0</v>
      </c>
      <c r="S104" s="7">
        <f>VLOOKUP($A104,$A$2:S$51,S$83)</f>
        <v>0</v>
      </c>
      <c r="T104" s="7">
        <f>VLOOKUP($A104,$A$2:T$51,T$83)</f>
        <v>0</v>
      </c>
      <c r="U104" s="7">
        <f>VLOOKUP($A104,$A$2:U$51,U$83)</f>
        <v>0</v>
      </c>
      <c r="V104" s="7">
        <f>VLOOKUP($A104,$A$2:V$51,V$83)</f>
        <v>0</v>
      </c>
      <c r="W104" s="7">
        <f>VLOOKUP($A104,$A$2:W$51,W$83)</f>
        <v>0</v>
      </c>
      <c r="X104" s="7">
        <f>VLOOKUP($A104,$A$2:X$51,X$83)</f>
        <v>0</v>
      </c>
      <c r="Y104" s="7">
        <f>VLOOKUP($A104,$A$2:Y$51,Y$83)</f>
        <v>0</v>
      </c>
      <c r="Z104" s="7">
        <f>VLOOKUP($A104,$A$2:Z$51,Z$83)</f>
        <v>0</v>
      </c>
      <c r="AA104" s="7">
        <f>VLOOKUP($A104,$A$2:AA$51,AA$83)</f>
        <v>0</v>
      </c>
      <c r="AB104" s="7">
        <f>VLOOKUP($A104,$A$2:AB$51,AB$83)</f>
        <v>0</v>
      </c>
      <c r="AC104" s="7">
        <f>VLOOKUP($A104,$A$2:AC$51,AC$83)</f>
        <v>0</v>
      </c>
      <c r="AD104" s="7">
        <f>VLOOKUP($A104,$A$2:AD$51,AD$83)</f>
        <v>0</v>
      </c>
      <c r="AE104" s="7">
        <f>VLOOKUP($A104,$A$2:AE$51,AE$83)</f>
        <v>0</v>
      </c>
      <c r="AF104" s="7">
        <f>VLOOKUP($A104,$A$2:AF$51,AF$83)</f>
        <v>0</v>
      </c>
      <c r="AG104" s="7">
        <f>VLOOKUP($A104,$A$2:AG$51,AG$83)</f>
        <v>0</v>
      </c>
    </row>
    <row r="105" spans="1:33" s="7" customFormat="1">
      <c r="A105" s="7">
        <f t="shared" si="18"/>
        <v>43</v>
      </c>
      <c r="B105" s="7">
        <f>VLOOKUP($A105,$A$2:B$51,B$83)</f>
        <v>0.61036086082458496</v>
      </c>
      <c r="C105" s="7">
        <f>VLOOKUP($A105,$A$2:C$51,C$83)</f>
        <v>0.55836719274520874</v>
      </c>
      <c r="D105" s="7">
        <f>VLOOKUP($A105,$A$2:D$51,D$83)</f>
        <v>0.62779974937438965</v>
      </c>
      <c r="E105" s="7">
        <f>VLOOKUP($A105,$A$2:E$51,E$83)</f>
        <v>0.49054929614067078</v>
      </c>
      <c r="F105" s="7">
        <f>VLOOKUP($A105,$A$2:F$51,F$83)</f>
        <v>0.45437976717948914</v>
      </c>
      <c r="G105" s="7">
        <f>VLOOKUP($A105,$A$2:G$51,G$83)</f>
        <v>0.44533738493919373</v>
      </c>
      <c r="H105" s="7">
        <f>VLOOKUP($A105,$A$2:H$51,H$83)</f>
        <v>0</v>
      </c>
      <c r="I105" s="7">
        <f>VLOOKUP($A105,$A$2:I$51,I$83)</f>
        <v>0</v>
      </c>
      <c r="J105" s="7">
        <f>VLOOKUP($A105,$A$2:J$51,J$83)</f>
        <v>0</v>
      </c>
      <c r="K105" s="7">
        <f>VLOOKUP($A105,$A$2:K$51,K$83)</f>
        <v>0</v>
      </c>
      <c r="L105" s="7">
        <f>VLOOKUP($A105,$A$2:L$51,L$83)</f>
        <v>0</v>
      </c>
      <c r="M105" s="7">
        <f>VLOOKUP($A105,$A$2:M$51,M$83)</f>
        <v>0</v>
      </c>
      <c r="N105" s="7">
        <f>VLOOKUP($A105,$A$2:N$51,N$83)</f>
        <v>0</v>
      </c>
      <c r="O105" s="7">
        <f>VLOOKUP($A105,$A$2:O$51,O$83)</f>
        <v>0</v>
      </c>
      <c r="P105" s="7">
        <f>VLOOKUP($A105,$A$2:P$51,P$83)</f>
        <v>0</v>
      </c>
      <c r="Q105" s="7">
        <f>VLOOKUP($A105,$A$2:Q$51,Q$83)</f>
        <v>0</v>
      </c>
      <c r="R105" s="7">
        <f>VLOOKUP($A105,$A$2:R$51,R$83)</f>
        <v>0</v>
      </c>
      <c r="S105" s="7">
        <f>VLOOKUP($A105,$A$2:S$51,S$83)</f>
        <v>0</v>
      </c>
      <c r="T105" s="7">
        <f>VLOOKUP($A105,$A$2:T$51,T$83)</f>
        <v>0</v>
      </c>
      <c r="U105" s="7">
        <f>VLOOKUP($A105,$A$2:U$51,U$83)</f>
        <v>0</v>
      </c>
      <c r="V105" s="7">
        <f>VLOOKUP($A105,$A$2:V$51,V$83)</f>
        <v>0</v>
      </c>
      <c r="W105" s="7">
        <f>VLOOKUP($A105,$A$2:W$51,W$83)</f>
        <v>0</v>
      </c>
      <c r="X105" s="7">
        <f>VLOOKUP($A105,$A$2:X$51,X$83)</f>
        <v>0</v>
      </c>
      <c r="Y105" s="7">
        <f>VLOOKUP($A105,$A$2:Y$51,Y$83)</f>
        <v>0</v>
      </c>
      <c r="Z105" s="7">
        <f>VLOOKUP($A105,$A$2:Z$51,Z$83)</f>
        <v>0</v>
      </c>
      <c r="AA105" s="7">
        <f>VLOOKUP($A105,$A$2:AA$51,AA$83)</f>
        <v>0</v>
      </c>
      <c r="AB105" s="7">
        <f>VLOOKUP($A105,$A$2:AB$51,AB$83)</f>
        <v>0</v>
      </c>
      <c r="AC105" s="7">
        <f>VLOOKUP($A105,$A$2:AC$51,AC$83)</f>
        <v>0</v>
      </c>
      <c r="AD105" s="7">
        <f>VLOOKUP($A105,$A$2:AD$51,AD$83)</f>
        <v>0</v>
      </c>
      <c r="AE105" s="7">
        <f>VLOOKUP($A105,$A$2:AE$51,AE$83)</f>
        <v>0</v>
      </c>
      <c r="AF105" s="7">
        <f>VLOOKUP($A105,$A$2:AF$51,AF$83)</f>
        <v>0</v>
      </c>
      <c r="AG105" s="7">
        <f>VLOOKUP($A105,$A$2:AG$51,AG$83)</f>
        <v>0</v>
      </c>
    </row>
    <row r="106" spans="1:33" s="7" customFormat="1">
      <c r="A106" s="7">
        <f t="shared" si="18"/>
        <v>45</v>
      </c>
      <c r="B106" s="7">
        <f>VLOOKUP($A106,$A$2:B$51,B$83)</f>
        <v>0.47924631834030151</v>
      </c>
      <c r="C106" s="7">
        <f>VLOOKUP($A106,$A$2:C$51,C$83)</f>
        <v>0.42943248152732849</v>
      </c>
      <c r="D106" s="7">
        <f>VLOOKUP($A106,$A$2:D$51,D$83)</f>
        <v>0.50411289930343628</v>
      </c>
      <c r="E106" s="7">
        <f>VLOOKUP($A106,$A$2:E$51,E$83)</f>
        <v>0.36847713589668274</v>
      </c>
      <c r="F106" s="7">
        <f>VLOOKUP($A106,$A$2:F$51,F$83)</f>
        <v>0.34587115049362183</v>
      </c>
      <c r="G106" s="7">
        <f>VLOOKUP($A106,$A$2:G$51,G$83)</f>
        <v>0.3187440037727356</v>
      </c>
      <c r="H106" s="7">
        <f>VLOOKUP($A106,$A$2:H$51,H$83)</f>
        <v>0</v>
      </c>
      <c r="I106" s="7">
        <f>VLOOKUP($A106,$A$2:I$51,I$83)</f>
        <v>0</v>
      </c>
      <c r="J106" s="7">
        <f>VLOOKUP($A106,$A$2:J$51,J$83)</f>
        <v>0</v>
      </c>
      <c r="K106" s="7">
        <f>VLOOKUP($A106,$A$2:K$51,K$83)</f>
        <v>0</v>
      </c>
      <c r="L106" s="7">
        <f>VLOOKUP($A106,$A$2:L$51,L$83)</f>
        <v>0</v>
      </c>
      <c r="M106" s="7">
        <f>VLOOKUP($A106,$A$2:M$51,M$83)</f>
        <v>0</v>
      </c>
      <c r="N106" s="7">
        <f>VLOOKUP($A106,$A$2:N$51,N$83)</f>
        <v>0</v>
      </c>
      <c r="O106" s="7">
        <f>VLOOKUP($A106,$A$2:O$51,O$83)</f>
        <v>0</v>
      </c>
      <c r="P106" s="7">
        <f>VLOOKUP($A106,$A$2:P$51,P$83)</f>
        <v>0</v>
      </c>
      <c r="Q106" s="7">
        <f>VLOOKUP($A106,$A$2:Q$51,Q$83)</f>
        <v>0</v>
      </c>
      <c r="R106" s="7">
        <f>VLOOKUP($A106,$A$2:R$51,R$83)</f>
        <v>0</v>
      </c>
      <c r="S106" s="7">
        <f>VLOOKUP($A106,$A$2:S$51,S$83)</f>
        <v>0</v>
      </c>
      <c r="T106" s="7">
        <f>VLOOKUP($A106,$A$2:T$51,T$83)</f>
        <v>0</v>
      </c>
      <c r="U106" s="7">
        <f>VLOOKUP($A106,$A$2:U$51,U$83)</f>
        <v>0</v>
      </c>
      <c r="V106" s="7">
        <f>VLOOKUP($A106,$A$2:V$51,V$83)</f>
        <v>0</v>
      </c>
      <c r="W106" s="7">
        <f>VLOOKUP($A106,$A$2:W$51,W$83)</f>
        <v>0</v>
      </c>
      <c r="X106" s="7">
        <f>VLOOKUP($A106,$A$2:X$51,X$83)</f>
        <v>0</v>
      </c>
      <c r="Y106" s="7">
        <f>VLOOKUP($A106,$A$2:Y$51,Y$83)</f>
        <v>0</v>
      </c>
      <c r="Z106" s="7">
        <f>VLOOKUP($A106,$A$2:Z$51,Z$83)</f>
        <v>0</v>
      </c>
      <c r="AA106" s="7">
        <f>VLOOKUP($A106,$A$2:AA$51,AA$83)</f>
        <v>0</v>
      </c>
      <c r="AB106" s="7">
        <f>VLOOKUP($A106,$A$2:AB$51,AB$83)</f>
        <v>0</v>
      </c>
      <c r="AC106" s="7">
        <f>VLOOKUP($A106,$A$2:AC$51,AC$83)</f>
        <v>0</v>
      </c>
      <c r="AD106" s="7">
        <f>VLOOKUP($A106,$A$2:AD$51,AD$83)</f>
        <v>0</v>
      </c>
      <c r="AE106" s="7">
        <f>VLOOKUP($A106,$A$2:AE$51,AE$83)</f>
        <v>0</v>
      </c>
      <c r="AF106" s="7">
        <f>VLOOKUP($A106,$A$2:AF$51,AF$83)</f>
        <v>0</v>
      </c>
      <c r="AG106" s="7">
        <f>VLOOKUP($A106,$A$2:AG$51,AG$83)</f>
        <v>0</v>
      </c>
    </row>
    <row r="107" spans="1:33" s="7" customFormat="1">
      <c r="A107" s="7">
        <f t="shared" si="18"/>
        <v>47</v>
      </c>
      <c r="B107" s="7">
        <f>VLOOKUP($A107,$A$2:B$51,B$83)</f>
        <v>0.22153839468955994</v>
      </c>
      <c r="C107" s="7">
        <f>VLOOKUP($A107,$A$2:C$51,C$83)</f>
        <v>0.19667184352874756</v>
      </c>
      <c r="D107" s="7">
        <f>VLOOKUP($A107,$A$2:D$51,D$83)</f>
        <v>0.25770792365074158</v>
      </c>
      <c r="E107" s="7">
        <f>VLOOKUP($A107,$A$2:E$51,E$83)</f>
        <v>0.13297148048877716</v>
      </c>
      <c r="F107" s="7">
        <f>VLOOKUP($A107,$A$2:F$51,F$83)</f>
        <v>0.14015693962574005</v>
      </c>
      <c r="G107" s="7">
        <f>VLOOKUP($A107,$A$2:G$51,G$83)</f>
        <v>0.13111455738544464</v>
      </c>
      <c r="H107" s="7">
        <f>VLOOKUP($A107,$A$2:H$51,H$83)</f>
        <v>0</v>
      </c>
      <c r="I107" s="7">
        <f>VLOOKUP($A107,$A$2:I$51,I$83)</f>
        <v>0</v>
      </c>
      <c r="J107" s="7">
        <f>VLOOKUP($A107,$A$2:J$51,J$83)</f>
        <v>0</v>
      </c>
      <c r="K107" s="7">
        <f>VLOOKUP($A107,$A$2:K$51,K$83)</f>
        <v>0</v>
      </c>
      <c r="L107" s="7">
        <f>VLOOKUP($A107,$A$2:L$51,L$83)</f>
        <v>0</v>
      </c>
      <c r="M107" s="7">
        <f>VLOOKUP($A107,$A$2:M$51,M$83)</f>
        <v>0</v>
      </c>
      <c r="N107" s="7">
        <f>VLOOKUP($A107,$A$2:N$51,N$83)</f>
        <v>0</v>
      </c>
      <c r="O107" s="7">
        <f>VLOOKUP($A107,$A$2:O$51,O$83)</f>
        <v>0</v>
      </c>
      <c r="P107" s="7">
        <f>VLOOKUP($A107,$A$2:P$51,P$83)</f>
        <v>0</v>
      </c>
      <c r="Q107" s="7">
        <f>VLOOKUP($A107,$A$2:Q$51,Q$83)</f>
        <v>0</v>
      </c>
      <c r="R107" s="7">
        <f>VLOOKUP($A107,$A$2:R$51,R$83)</f>
        <v>0</v>
      </c>
      <c r="S107" s="7">
        <f>VLOOKUP($A107,$A$2:S$51,S$83)</f>
        <v>0</v>
      </c>
      <c r="T107" s="7">
        <f>VLOOKUP($A107,$A$2:T$51,T$83)</f>
        <v>0</v>
      </c>
      <c r="U107" s="7">
        <f>VLOOKUP($A107,$A$2:U$51,U$83)</f>
        <v>0</v>
      </c>
      <c r="V107" s="7">
        <f>VLOOKUP($A107,$A$2:V$51,V$83)</f>
        <v>0</v>
      </c>
      <c r="W107" s="7">
        <f>VLOOKUP($A107,$A$2:W$51,W$83)</f>
        <v>0</v>
      </c>
      <c r="X107" s="7">
        <f>VLOOKUP($A107,$A$2:X$51,X$83)</f>
        <v>0</v>
      </c>
      <c r="Y107" s="7">
        <f>VLOOKUP($A107,$A$2:Y$51,Y$83)</f>
        <v>0</v>
      </c>
      <c r="Z107" s="7">
        <f>VLOOKUP($A107,$A$2:Z$51,Z$83)</f>
        <v>0</v>
      </c>
      <c r="AA107" s="7">
        <f>VLOOKUP($A107,$A$2:AA$51,AA$83)</f>
        <v>0</v>
      </c>
      <c r="AB107" s="7">
        <f>VLOOKUP($A107,$A$2:AB$51,AB$83)</f>
        <v>0</v>
      </c>
      <c r="AC107" s="7">
        <f>VLOOKUP($A107,$A$2:AC$51,AC$83)</f>
        <v>0</v>
      </c>
      <c r="AD107" s="7">
        <f>VLOOKUP($A107,$A$2:AD$51,AD$83)</f>
        <v>0</v>
      </c>
      <c r="AE107" s="7">
        <f>VLOOKUP($A107,$A$2:AE$51,AE$83)</f>
        <v>0</v>
      </c>
      <c r="AF107" s="7">
        <f>VLOOKUP($A107,$A$2:AF$51,AF$83)</f>
        <v>0</v>
      </c>
      <c r="AG107" s="7">
        <f>VLOOKUP($A107,$A$2:AG$51,AG$83)</f>
        <v>0</v>
      </c>
    </row>
    <row r="108" spans="1:33" s="7" customFormat="1">
      <c r="A108" s="7">
        <f t="shared" si="18"/>
        <v>49</v>
      </c>
      <c r="B108" s="7">
        <f>VLOOKUP($A108,$A$2:B$51,B$83)</f>
        <v>0.17858706414699554</v>
      </c>
      <c r="C108" s="7">
        <f>VLOOKUP($A108,$A$2:C$51,C$83)</f>
        <v>0.18310827016830444</v>
      </c>
      <c r="D108" s="7">
        <f>VLOOKUP($A108,$A$2:D$51,D$83)</f>
        <v>0.18762946128845215</v>
      </c>
      <c r="E108" s="7">
        <f>VLOOKUP($A108,$A$2:E$51,E$83)</f>
        <v>0.12207217514514923</v>
      </c>
      <c r="F108" s="7">
        <f>VLOOKUP($A108,$A$2:F$51,F$83)</f>
        <v>0.12207217514514923</v>
      </c>
      <c r="G108" s="7">
        <f>VLOOKUP($A108,$A$2:G$51,G$83)</f>
        <v>7.0078469812870026E-2</v>
      </c>
      <c r="H108" s="7">
        <f>VLOOKUP($A108,$A$2:H$51,H$83)</f>
        <v>0</v>
      </c>
      <c r="I108" s="7">
        <f>VLOOKUP($A108,$A$2:I$51,I$83)</f>
        <v>0</v>
      </c>
      <c r="J108" s="7">
        <f>VLOOKUP($A108,$A$2:J$51,J$83)</f>
        <v>0</v>
      </c>
      <c r="K108" s="7">
        <f>VLOOKUP($A108,$A$2:K$51,K$83)</f>
        <v>0</v>
      </c>
      <c r="L108" s="7">
        <f>VLOOKUP($A108,$A$2:L$51,L$83)</f>
        <v>0</v>
      </c>
      <c r="M108" s="7">
        <f>VLOOKUP($A108,$A$2:M$51,M$83)</f>
        <v>0</v>
      </c>
      <c r="N108" s="7">
        <f>VLOOKUP($A108,$A$2:N$51,N$83)</f>
        <v>0</v>
      </c>
      <c r="O108" s="7">
        <f>VLOOKUP($A108,$A$2:O$51,O$83)</f>
        <v>0</v>
      </c>
      <c r="P108" s="7">
        <f>VLOOKUP($A108,$A$2:P$51,P$83)</f>
        <v>0</v>
      </c>
      <c r="Q108" s="7">
        <f>VLOOKUP($A108,$A$2:Q$51,Q$83)</f>
        <v>0</v>
      </c>
      <c r="R108" s="7">
        <f>VLOOKUP($A108,$A$2:R$51,R$83)</f>
        <v>0</v>
      </c>
      <c r="S108" s="7">
        <f>VLOOKUP($A108,$A$2:S$51,S$83)</f>
        <v>0</v>
      </c>
      <c r="T108" s="7">
        <f>VLOOKUP($A108,$A$2:T$51,T$83)</f>
        <v>0</v>
      </c>
      <c r="U108" s="7">
        <f>VLOOKUP($A108,$A$2:U$51,U$83)</f>
        <v>0</v>
      </c>
      <c r="V108" s="7">
        <f>VLOOKUP($A108,$A$2:V$51,V$83)</f>
        <v>0</v>
      </c>
      <c r="W108" s="7">
        <f>VLOOKUP($A108,$A$2:W$51,W$83)</f>
        <v>0</v>
      </c>
      <c r="X108" s="7">
        <f>VLOOKUP($A108,$A$2:X$51,X$83)</f>
        <v>0</v>
      </c>
      <c r="Y108" s="7">
        <f>VLOOKUP($A108,$A$2:Y$51,Y$83)</f>
        <v>0</v>
      </c>
      <c r="Z108" s="7">
        <f>VLOOKUP($A108,$A$2:Z$51,Z$83)</f>
        <v>0</v>
      </c>
      <c r="AA108" s="7">
        <f>VLOOKUP($A108,$A$2:AA$51,AA$83)</f>
        <v>0</v>
      </c>
      <c r="AB108" s="7">
        <f>VLOOKUP($A108,$A$2:AB$51,AB$83)</f>
        <v>0</v>
      </c>
      <c r="AC108" s="7">
        <f>VLOOKUP($A108,$A$2:AC$51,AC$83)</f>
        <v>0</v>
      </c>
      <c r="AD108" s="7">
        <f>VLOOKUP($A108,$A$2:AD$51,AD$83)</f>
        <v>0</v>
      </c>
      <c r="AE108" s="7">
        <f>VLOOKUP($A108,$A$2:AE$51,AE$83)</f>
        <v>0</v>
      </c>
      <c r="AF108" s="7">
        <f>VLOOKUP($A108,$A$2:AF$51,AF$83)</f>
        <v>0</v>
      </c>
      <c r="AG108" s="7">
        <f>VLOOKUP($A108,$A$2:AG$51,AG$83)</f>
        <v>0</v>
      </c>
    </row>
    <row r="109" spans="1:33" s="7" customFormat="1"/>
    <row r="110" spans="1:33" s="7" customFormat="1"/>
    <row r="111" spans="1:33" s="7" customFormat="1"/>
    <row r="112" spans="1:33" s="7" customFormat="1"/>
    <row r="113" spans="1:44" s="7" customFormat="1"/>
    <row r="114" spans="1:44">
      <c r="A114" s="3"/>
    </row>
    <row r="115" spans="1:44">
      <c r="A115" s="3"/>
      <c r="AI115" s="7"/>
      <c r="AJ115" s="7" t="s">
        <v>5</v>
      </c>
      <c r="AK115" s="28" t="s">
        <v>20</v>
      </c>
      <c r="AL115" s="29">
        <f>data0!AP1</f>
        <v>0</v>
      </c>
      <c r="AM115" t="e">
        <f>mult</f>
        <v>#NAME?</v>
      </c>
      <c r="AN115" s="29">
        <f>data0!AP2</f>
        <v>0</v>
      </c>
      <c r="AO115" s="7">
        <v>2</v>
      </c>
      <c r="AP115" s="18">
        <v>125</v>
      </c>
    </row>
    <row r="116" spans="1:44">
      <c r="A116" s="3"/>
      <c r="AI116" s="7" t="s">
        <v>25</v>
      </c>
      <c r="AJ116" s="2" t="e">
        <f>AN17/A17-1</f>
        <v>#NAME?</v>
      </c>
      <c r="AK116" s="2">
        <f>1.5*AH17/A17</f>
        <v>0.15170184840507731</v>
      </c>
      <c r="AL116" s="115" t="e">
        <f>"Range " &amp; AO115 &amp;" Gain Error=" &amp;INT(AJ116*1000)/10 &amp; "% +/- " &amp;INT(AK116*1000)/10 &amp; "%"</f>
        <v>#NAME?</v>
      </c>
      <c r="AM116" s="115"/>
      <c r="AN116" s="115"/>
      <c r="AO116" s="115"/>
      <c r="AP116" s="115"/>
      <c r="AQ116" s="32"/>
      <c r="AR116" s="32"/>
    </row>
    <row r="117" spans="1:44">
      <c r="AI117" s="7" t="s">
        <v>26</v>
      </c>
      <c r="AJ117" s="30" t="e">
        <f>AJ161</f>
        <v>#NAME?</v>
      </c>
      <c r="AK117" s="30" t="e">
        <f>AH161</f>
        <v>#NAME?</v>
      </c>
      <c r="AL117" s="101" t="e">
        <f>"Range" &amp;AO115 &amp; " Offset Histogram: " &amp; INT(AJ161*100)/100 &amp; " +/- " &amp; INT(AH161*100)/100 &amp; " Lux"</f>
        <v>#NAME?</v>
      </c>
      <c r="AM117" s="101"/>
      <c r="AN117" s="101"/>
      <c r="AO117" s="101"/>
      <c r="AP117" s="101"/>
    </row>
    <row r="118" spans="1:44">
      <c r="AI118" s="7" t="s">
        <v>27</v>
      </c>
      <c r="AJ118" s="31" t="e">
        <f>MAX(AL203:AL216)/AP115</f>
        <v>#NAME?</v>
      </c>
      <c r="AK118" s="31" t="e">
        <f>MAX(AH203:AH216)/AP115</f>
        <v>#NAME?</v>
      </c>
      <c r="AL118" s="101" t="e">
        <f>"Range "&amp; AO115 &amp; " `Linearity` Error: " &amp;INT(AJ118*10000)/100 &amp; " +/-"&amp;INT(AK118*10000)/100 &amp; "%"</f>
        <v>#NAME?</v>
      </c>
      <c r="AM118" s="101"/>
      <c r="AN118" s="101"/>
      <c r="AO118" s="101"/>
      <c r="AP118" s="101"/>
    </row>
    <row r="120" spans="1:44">
      <c r="AI120" s="7" t="e">
        <f>(AK161-AI161)/5</f>
        <v>#NAME?</v>
      </c>
      <c r="AJ120" s="7"/>
    </row>
    <row r="121" spans="1:44">
      <c r="AI121" s="9" t="e">
        <f>AI161</f>
        <v>#NAME?</v>
      </c>
      <c r="AJ121" s="7" t="e">
        <f ca="1">_xll.HISTOGRAM(B$161:AG$161,AI$121:AI$126,AI121)</f>
        <v>#NAME?</v>
      </c>
    </row>
    <row r="122" spans="1:44">
      <c r="AI122" s="9" t="e">
        <f>AI121+AI$120</f>
        <v>#NAME?</v>
      </c>
      <c r="AJ122" s="7" t="e">
        <f t="shared" ref="AJ122:AJ126" ca="1" si="19">_xll.HISTOGRAM(B$161:AG$161,AI$121:AI$126,AI122)</f>
        <v>#NAME?</v>
      </c>
    </row>
    <row r="123" spans="1:44">
      <c r="AI123" s="9" t="e">
        <f>AI122+AI$120</f>
        <v>#NAME?</v>
      </c>
      <c r="AJ123" s="7" t="e">
        <f t="shared" ca="1" si="19"/>
        <v>#NAME?</v>
      </c>
    </row>
    <row r="124" spans="1:44">
      <c r="AI124" s="9" t="e">
        <f>AI123+AI$120</f>
        <v>#NAME?</v>
      </c>
      <c r="AJ124" s="7" t="e">
        <f t="shared" ca="1" si="19"/>
        <v>#NAME?</v>
      </c>
    </row>
    <row r="125" spans="1:44">
      <c r="AI125" s="9" t="e">
        <f>AI124+AI$120</f>
        <v>#NAME?</v>
      </c>
      <c r="AJ125" s="7" t="e">
        <f t="shared" ca="1" si="19"/>
        <v>#NAME?</v>
      </c>
    </row>
    <row r="126" spans="1:44">
      <c r="AI126" s="9" t="e">
        <f>AI125+AI$120</f>
        <v>#NAME?</v>
      </c>
      <c r="AJ126" s="7" t="e">
        <f t="shared" ca="1" si="19"/>
        <v>#NAME?</v>
      </c>
    </row>
    <row r="130" spans="1:33" s="7" customFormat="1"/>
    <row r="131" spans="1:33" s="7" customFormat="1">
      <c r="A131" s="7">
        <f t="shared" ref="A131:A148" si="20">A2</f>
        <v>0</v>
      </c>
      <c r="B131" s="7" t="e">
        <f t="shared" ref="B131:AG131" si="21">B2*mult</f>
        <v>#NAME?</v>
      </c>
      <c r="C131" s="7" t="e">
        <f t="shared" si="21"/>
        <v>#NAME?</v>
      </c>
      <c r="D131" s="7" t="e">
        <f t="shared" si="21"/>
        <v>#NAME?</v>
      </c>
      <c r="E131" s="7" t="e">
        <f t="shared" si="21"/>
        <v>#NAME?</v>
      </c>
      <c r="F131" s="7" t="e">
        <f t="shared" si="21"/>
        <v>#NAME?</v>
      </c>
      <c r="G131" s="7" t="e">
        <f t="shared" si="21"/>
        <v>#NAME?</v>
      </c>
      <c r="H131" s="7" t="e">
        <f t="shared" si="21"/>
        <v>#NAME?</v>
      </c>
      <c r="I131" s="7" t="e">
        <f t="shared" si="21"/>
        <v>#NAME?</v>
      </c>
      <c r="J131" s="7" t="e">
        <f t="shared" si="21"/>
        <v>#NAME?</v>
      </c>
      <c r="K131" s="7" t="e">
        <f t="shared" si="21"/>
        <v>#NAME?</v>
      </c>
      <c r="L131" s="7" t="e">
        <f t="shared" si="21"/>
        <v>#NAME?</v>
      </c>
      <c r="M131" s="7" t="e">
        <f t="shared" si="21"/>
        <v>#NAME?</v>
      </c>
      <c r="N131" s="7" t="e">
        <f t="shared" si="21"/>
        <v>#NAME?</v>
      </c>
      <c r="O131" s="7" t="e">
        <f t="shared" si="21"/>
        <v>#NAME?</v>
      </c>
      <c r="P131" s="7" t="e">
        <f t="shared" si="21"/>
        <v>#NAME?</v>
      </c>
      <c r="Q131" s="7" t="e">
        <f t="shared" si="21"/>
        <v>#NAME?</v>
      </c>
      <c r="R131" s="7" t="e">
        <f t="shared" si="21"/>
        <v>#NAME?</v>
      </c>
      <c r="S131" s="7" t="e">
        <f t="shared" si="21"/>
        <v>#NAME?</v>
      </c>
      <c r="U131" s="7" t="e">
        <f t="shared" si="21"/>
        <v>#NAME?</v>
      </c>
      <c r="V131" s="7" t="e">
        <f t="shared" si="21"/>
        <v>#NAME?</v>
      </c>
      <c r="W131" s="7" t="e">
        <f t="shared" si="21"/>
        <v>#NAME?</v>
      </c>
      <c r="X131" s="7" t="e">
        <f t="shared" si="21"/>
        <v>#NAME?</v>
      </c>
      <c r="Y131" s="7" t="e">
        <f t="shared" si="21"/>
        <v>#NAME?</v>
      </c>
      <c r="Z131" s="7" t="e">
        <f t="shared" si="21"/>
        <v>#NAME?</v>
      </c>
      <c r="AA131" s="7" t="e">
        <f t="shared" si="21"/>
        <v>#NAME?</v>
      </c>
      <c r="AB131" s="7" t="e">
        <f t="shared" si="21"/>
        <v>#NAME?</v>
      </c>
      <c r="AC131" s="7" t="e">
        <f t="shared" si="21"/>
        <v>#NAME?</v>
      </c>
      <c r="AD131" s="7" t="e">
        <f t="shared" si="21"/>
        <v>#NAME?</v>
      </c>
      <c r="AE131" s="7" t="e">
        <f t="shared" si="21"/>
        <v>#NAME?</v>
      </c>
      <c r="AF131" s="7" t="e">
        <f t="shared" si="21"/>
        <v>#NAME?</v>
      </c>
      <c r="AG131" s="7" t="e">
        <f t="shared" si="21"/>
        <v>#NAME?</v>
      </c>
    </row>
    <row r="132" spans="1:33" s="7" customFormat="1">
      <c r="A132" s="7">
        <f t="shared" si="20"/>
        <v>1</v>
      </c>
      <c r="B132" s="7" t="e">
        <f t="shared" ref="B132:AG132" si="22">B3*mult</f>
        <v>#NAME?</v>
      </c>
      <c r="C132" s="7" t="e">
        <f t="shared" si="22"/>
        <v>#NAME?</v>
      </c>
      <c r="D132" s="7" t="e">
        <f t="shared" si="22"/>
        <v>#NAME?</v>
      </c>
      <c r="E132" s="7" t="e">
        <f t="shared" si="22"/>
        <v>#NAME?</v>
      </c>
      <c r="F132" s="7" t="e">
        <f t="shared" si="22"/>
        <v>#NAME?</v>
      </c>
      <c r="G132" s="7" t="e">
        <f t="shared" si="22"/>
        <v>#NAME?</v>
      </c>
      <c r="H132" s="7" t="e">
        <f t="shared" si="22"/>
        <v>#NAME?</v>
      </c>
      <c r="I132" s="7" t="e">
        <f t="shared" si="22"/>
        <v>#NAME?</v>
      </c>
      <c r="J132" s="7" t="e">
        <f t="shared" si="22"/>
        <v>#NAME?</v>
      </c>
      <c r="K132" s="7" t="e">
        <f t="shared" si="22"/>
        <v>#NAME?</v>
      </c>
      <c r="L132" s="7" t="e">
        <f t="shared" si="22"/>
        <v>#NAME?</v>
      </c>
      <c r="M132" s="7" t="e">
        <f t="shared" si="22"/>
        <v>#NAME?</v>
      </c>
      <c r="N132" s="7" t="e">
        <f t="shared" si="22"/>
        <v>#NAME?</v>
      </c>
      <c r="O132" s="7" t="e">
        <f t="shared" si="22"/>
        <v>#NAME?</v>
      </c>
      <c r="P132" s="7" t="e">
        <f t="shared" si="22"/>
        <v>#NAME?</v>
      </c>
      <c r="Q132" s="7" t="e">
        <f t="shared" si="22"/>
        <v>#NAME?</v>
      </c>
      <c r="R132" s="7" t="e">
        <f t="shared" si="22"/>
        <v>#NAME?</v>
      </c>
      <c r="S132" s="7" t="e">
        <f t="shared" si="22"/>
        <v>#NAME?</v>
      </c>
      <c r="U132" s="7" t="e">
        <f t="shared" si="22"/>
        <v>#NAME?</v>
      </c>
      <c r="V132" s="7" t="e">
        <f t="shared" si="22"/>
        <v>#NAME?</v>
      </c>
      <c r="W132" s="7" t="e">
        <f t="shared" si="22"/>
        <v>#NAME?</v>
      </c>
      <c r="X132" s="7" t="e">
        <f t="shared" si="22"/>
        <v>#NAME?</v>
      </c>
      <c r="Y132" s="7" t="e">
        <f t="shared" si="22"/>
        <v>#NAME?</v>
      </c>
      <c r="Z132" s="7" t="e">
        <f t="shared" si="22"/>
        <v>#NAME?</v>
      </c>
      <c r="AA132" s="7" t="e">
        <f t="shared" si="22"/>
        <v>#NAME?</v>
      </c>
      <c r="AB132" s="7" t="e">
        <f t="shared" si="22"/>
        <v>#NAME?</v>
      </c>
      <c r="AC132" s="7" t="e">
        <f t="shared" si="22"/>
        <v>#NAME?</v>
      </c>
      <c r="AD132" s="7" t="e">
        <f t="shared" si="22"/>
        <v>#NAME?</v>
      </c>
      <c r="AE132" s="7" t="e">
        <f t="shared" si="22"/>
        <v>#NAME?</v>
      </c>
      <c r="AF132" s="7" t="e">
        <f t="shared" si="22"/>
        <v>#NAME?</v>
      </c>
      <c r="AG132" s="7" t="e">
        <f t="shared" si="22"/>
        <v>#NAME?</v>
      </c>
    </row>
    <row r="133" spans="1:33" s="7" customFormat="1">
      <c r="A133" s="7">
        <f t="shared" si="20"/>
        <v>2</v>
      </c>
      <c r="B133" s="7" t="e">
        <f t="shared" ref="B133:AG133" si="23">B4*mult</f>
        <v>#NAME?</v>
      </c>
      <c r="C133" s="7" t="e">
        <f t="shared" si="23"/>
        <v>#NAME?</v>
      </c>
      <c r="D133" s="7" t="e">
        <f t="shared" si="23"/>
        <v>#NAME?</v>
      </c>
      <c r="E133" s="7" t="e">
        <f t="shared" si="23"/>
        <v>#NAME?</v>
      </c>
      <c r="F133" s="7" t="e">
        <f t="shared" si="23"/>
        <v>#NAME?</v>
      </c>
      <c r="G133" s="7" t="e">
        <f t="shared" si="23"/>
        <v>#NAME?</v>
      </c>
      <c r="H133" s="7" t="e">
        <f t="shared" si="23"/>
        <v>#NAME?</v>
      </c>
      <c r="I133" s="7" t="e">
        <f t="shared" si="23"/>
        <v>#NAME?</v>
      </c>
      <c r="J133" s="7" t="e">
        <f t="shared" si="23"/>
        <v>#NAME?</v>
      </c>
      <c r="K133" s="7" t="e">
        <f t="shared" si="23"/>
        <v>#NAME?</v>
      </c>
      <c r="L133" s="7" t="e">
        <f t="shared" si="23"/>
        <v>#NAME?</v>
      </c>
      <c r="M133" s="7" t="e">
        <f t="shared" si="23"/>
        <v>#NAME?</v>
      </c>
      <c r="N133" s="7" t="e">
        <f t="shared" si="23"/>
        <v>#NAME?</v>
      </c>
      <c r="O133" s="7" t="e">
        <f t="shared" si="23"/>
        <v>#NAME?</v>
      </c>
      <c r="P133" s="7" t="e">
        <f t="shared" si="23"/>
        <v>#NAME?</v>
      </c>
      <c r="Q133" s="7" t="e">
        <f t="shared" si="23"/>
        <v>#NAME?</v>
      </c>
      <c r="R133" s="7" t="e">
        <f t="shared" si="23"/>
        <v>#NAME?</v>
      </c>
      <c r="S133" s="7" t="e">
        <f t="shared" si="23"/>
        <v>#NAME?</v>
      </c>
      <c r="U133" s="7" t="e">
        <f t="shared" si="23"/>
        <v>#NAME?</v>
      </c>
      <c r="V133" s="7" t="e">
        <f t="shared" si="23"/>
        <v>#NAME?</v>
      </c>
      <c r="W133" s="7" t="e">
        <f t="shared" si="23"/>
        <v>#NAME?</v>
      </c>
      <c r="X133" s="7" t="e">
        <f t="shared" si="23"/>
        <v>#NAME?</v>
      </c>
      <c r="Y133" s="7" t="e">
        <f t="shared" si="23"/>
        <v>#NAME?</v>
      </c>
      <c r="Z133" s="7" t="e">
        <f t="shared" si="23"/>
        <v>#NAME?</v>
      </c>
      <c r="AA133" s="7" t="e">
        <f t="shared" si="23"/>
        <v>#NAME?</v>
      </c>
      <c r="AB133" s="7" t="e">
        <f t="shared" si="23"/>
        <v>#NAME?</v>
      </c>
      <c r="AC133" s="7" t="e">
        <f t="shared" si="23"/>
        <v>#NAME?</v>
      </c>
      <c r="AD133" s="7" t="e">
        <f t="shared" si="23"/>
        <v>#NAME?</v>
      </c>
      <c r="AE133" s="7" t="e">
        <f t="shared" si="23"/>
        <v>#NAME?</v>
      </c>
      <c r="AF133" s="7" t="e">
        <f t="shared" si="23"/>
        <v>#NAME?</v>
      </c>
      <c r="AG133" s="7" t="e">
        <f t="shared" si="23"/>
        <v>#NAME?</v>
      </c>
    </row>
    <row r="134" spans="1:33" s="7" customFormat="1">
      <c r="A134" s="7">
        <f t="shared" si="20"/>
        <v>3</v>
      </c>
      <c r="B134" s="7" t="e">
        <f t="shared" ref="B134:AG134" si="24">B5*mult</f>
        <v>#NAME?</v>
      </c>
      <c r="C134" s="7" t="e">
        <f t="shared" si="24"/>
        <v>#NAME?</v>
      </c>
      <c r="D134" s="7" t="e">
        <f t="shared" si="24"/>
        <v>#NAME?</v>
      </c>
      <c r="E134" s="7" t="e">
        <f t="shared" si="24"/>
        <v>#NAME?</v>
      </c>
      <c r="F134" s="7" t="e">
        <f t="shared" si="24"/>
        <v>#NAME?</v>
      </c>
      <c r="G134" s="7" t="e">
        <f t="shared" si="24"/>
        <v>#NAME?</v>
      </c>
      <c r="H134" s="7" t="e">
        <f t="shared" si="24"/>
        <v>#NAME?</v>
      </c>
      <c r="I134" s="7" t="e">
        <f t="shared" si="24"/>
        <v>#NAME?</v>
      </c>
      <c r="J134" s="7" t="e">
        <f t="shared" si="24"/>
        <v>#NAME?</v>
      </c>
      <c r="K134" s="7" t="e">
        <f t="shared" si="24"/>
        <v>#NAME?</v>
      </c>
      <c r="L134" s="7" t="e">
        <f t="shared" si="24"/>
        <v>#NAME?</v>
      </c>
      <c r="M134" s="7" t="e">
        <f t="shared" si="24"/>
        <v>#NAME?</v>
      </c>
      <c r="N134" s="7" t="e">
        <f t="shared" si="24"/>
        <v>#NAME?</v>
      </c>
      <c r="O134" s="7" t="e">
        <f t="shared" si="24"/>
        <v>#NAME?</v>
      </c>
      <c r="P134" s="7" t="e">
        <f t="shared" si="24"/>
        <v>#NAME?</v>
      </c>
      <c r="Q134" s="7" t="e">
        <f t="shared" si="24"/>
        <v>#NAME?</v>
      </c>
      <c r="R134" s="7" t="e">
        <f t="shared" si="24"/>
        <v>#NAME?</v>
      </c>
      <c r="S134" s="7" t="e">
        <f t="shared" si="24"/>
        <v>#NAME?</v>
      </c>
      <c r="U134" s="7" t="e">
        <f t="shared" si="24"/>
        <v>#NAME?</v>
      </c>
      <c r="V134" s="7" t="e">
        <f t="shared" si="24"/>
        <v>#NAME?</v>
      </c>
      <c r="W134" s="7" t="e">
        <f t="shared" si="24"/>
        <v>#NAME?</v>
      </c>
      <c r="X134" s="7" t="e">
        <f t="shared" si="24"/>
        <v>#NAME?</v>
      </c>
      <c r="Y134" s="7" t="e">
        <f t="shared" si="24"/>
        <v>#NAME?</v>
      </c>
      <c r="Z134" s="7" t="e">
        <f t="shared" si="24"/>
        <v>#NAME?</v>
      </c>
      <c r="AA134" s="7" t="e">
        <f t="shared" si="24"/>
        <v>#NAME?</v>
      </c>
      <c r="AB134" s="7" t="e">
        <f t="shared" si="24"/>
        <v>#NAME?</v>
      </c>
      <c r="AC134" s="7" t="e">
        <f t="shared" si="24"/>
        <v>#NAME?</v>
      </c>
      <c r="AD134" s="7" t="e">
        <f t="shared" si="24"/>
        <v>#NAME?</v>
      </c>
      <c r="AE134" s="7" t="e">
        <f t="shared" si="24"/>
        <v>#NAME?</v>
      </c>
      <c r="AF134" s="7" t="e">
        <f t="shared" si="24"/>
        <v>#NAME?</v>
      </c>
      <c r="AG134" s="7" t="e">
        <f t="shared" si="24"/>
        <v>#NAME?</v>
      </c>
    </row>
    <row r="135" spans="1:33" s="7" customFormat="1">
      <c r="A135" s="7">
        <f t="shared" si="20"/>
        <v>4</v>
      </c>
      <c r="B135" s="7" t="e">
        <f t="shared" ref="B135:AG142" si="25">B6*mult</f>
        <v>#NAME?</v>
      </c>
      <c r="C135" s="7" t="e">
        <f t="shared" si="25"/>
        <v>#NAME?</v>
      </c>
      <c r="D135" s="7" t="e">
        <f t="shared" si="25"/>
        <v>#NAME?</v>
      </c>
      <c r="E135" s="7" t="e">
        <f t="shared" si="25"/>
        <v>#NAME?</v>
      </c>
      <c r="F135" s="7" t="e">
        <f t="shared" si="25"/>
        <v>#NAME?</v>
      </c>
      <c r="G135" s="7" t="e">
        <f t="shared" si="25"/>
        <v>#NAME?</v>
      </c>
      <c r="H135" s="7" t="e">
        <f t="shared" si="25"/>
        <v>#NAME?</v>
      </c>
      <c r="I135" s="7" t="e">
        <f t="shared" si="25"/>
        <v>#NAME?</v>
      </c>
      <c r="J135" s="7" t="e">
        <f t="shared" si="25"/>
        <v>#NAME?</v>
      </c>
      <c r="K135" s="7" t="e">
        <f t="shared" si="25"/>
        <v>#NAME?</v>
      </c>
      <c r="L135" s="7" t="e">
        <f t="shared" si="25"/>
        <v>#NAME?</v>
      </c>
      <c r="M135" s="7" t="e">
        <f t="shared" si="25"/>
        <v>#NAME?</v>
      </c>
      <c r="N135" s="7" t="e">
        <f t="shared" si="25"/>
        <v>#NAME?</v>
      </c>
      <c r="O135" s="7" t="e">
        <f t="shared" si="25"/>
        <v>#NAME?</v>
      </c>
      <c r="P135" s="7" t="e">
        <f t="shared" si="25"/>
        <v>#NAME?</v>
      </c>
      <c r="Q135" s="7" t="e">
        <f t="shared" si="25"/>
        <v>#NAME?</v>
      </c>
      <c r="R135" s="7" t="e">
        <f t="shared" si="25"/>
        <v>#NAME?</v>
      </c>
      <c r="S135" s="7" t="e">
        <f t="shared" si="25"/>
        <v>#NAME?</v>
      </c>
      <c r="U135" s="7" t="e">
        <f t="shared" si="25"/>
        <v>#NAME?</v>
      </c>
      <c r="V135" s="7" t="e">
        <f t="shared" si="25"/>
        <v>#NAME?</v>
      </c>
      <c r="W135" s="7" t="e">
        <f t="shared" si="25"/>
        <v>#NAME?</v>
      </c>
      <c r="X135" s="7" t="e">
        <f t="shared" si="25"/>
        <v>#NAME?</v>
      </c>
      <c r="Y135" s="7" t="e">
        <f t="shared" si="25"/>
        <v>#NAME?</v>
      </c>
      <c r="Z135" s="7" t="e">
        <f t="shared" si="25"/>
        <v>#NAME?</v>
      </c>
      <c r="AA135" s="7" t="e">
        <f t="shared" si="25"/>
        <v>#NAME?</v>
      </c>
      <c r="AB135" s="7" t="e">
        <f t="shared" si="25"/>
        <v>#NAME?</v>
      </c>
      <c r="AC135" s="7" t="e">
        <f t="shared" si="25"/>
        <v>#NAME?</v>
      </c>
      <c r="AD135" s="7" t="e">
        <f t="shared" si="25"/>
        <v>#NAME?</v>
      </c>
      <c r="AE135" s="7" t="e">
        <f t="shared" si="25"/>
        <v>#NAME?</v>
      </c>
      <c r="AF135" s="7" t="e">
        <f t="shared" si="25"/>
        <v>#NAME?</v>
      </c>
      <c r="AG135" s="7" t="e">
        <f t="shared" ref="AG135" si="26">AG6*mult</f>
        <v>#NAME?</v>
      </c>
    </row>
    <row r="136" spans="1:33" s="7" customFormat="1">
      <c r="A136" s="7">
        <f t="shared" si="20"/>
        <v>5</v>
      </c>
      <c r="B136" s="7" t="e">
        <f t="shared" si="25"/>
        <v>#NAME?</v>
      </c>
      <c r="C136" s="7" t="e">
        <f t="shared" si="25"/>
        <v>#NAME?</v>
      </c>
      <c r="D136" s="7" t="e">
        <f t="shared" si="25"/>
        <v>#NAME?</v>
      </c>
      <c r="E136" s="7" t="e">
        <f t="shared" si="25"/>
        <v>#NAME?</v>
      </c>
      <c r="F136" s="7" t="e">
        <f t="shared" si="25"/>
        <v>#NAME?</v>
      </c>
      <c r="G136" s="7" t="e">
        <f t="shared" si="25"/>
        <v>#NAME?</v>
      </c>
      <c r="H136" s="7" t="e">
        <f t="shared" si="25"/>
        <v>#NAME?</v>
      </c>
      <c r="I136" s="7" t="e">
        <f t="shared" si="25"/>
        <v>#NAME?</v>
      </c>
      <c r="J136" s="7" t="e">
        <f t="shared" si="25"/>
        <v>#NAME?</v>
      </c>
      <c r="K136" s="7" t="e">
        <f t="shared" si="25"/>
        <v>#NAME?</v>
      </c>
      <c r="L136" s="7" t="e">
        <f t="shared" si="25"/>
        <v>#NAME?</v>
      </c>
      <c r="M136" s="7" t="e">
        <f t="shared" si="25"/>
        <v>#NAME?</v>
      </c>
      <c r="N136" s="7" t="e">
        <f t="shared" si="25"/>
        <v>#NAME?</v>
      </c>
      <c r="O136" s="7" t="e">
        <f t="shared" si="25"/>
        <v>#NAME?</v>
      </c>
      <c r="P136" s="7" t="e">
        <f t="shared" si="25"/>
        <v>#NAME?</v>
      </c>
      <c r="Q136" s="7" t="e">
        <f t="shared" si="25"/>
        <v>#NAME?</v>
      </c>
      <c r="R136" s="7" t="e">
        <f t="shared" si="25"/>
        <v>#NAME?</v>
      </c>
      <c r="S136" s="7" t="e">
        <f t="shared" si="25"/>
        <v>#NAME?</v>
      </c>
      <c r="U136" s="7" t="e">
        <f t="shared" si="25"/>
        <v>#NAME?</v>
      </c>
      <c r="V136" s="7" t="e">
        <f t="shared" si="25"/>
        <v>#NAME?</v>
      </c>
      <c r="W136" s="7" t="e">
        <f t="shared" si="25"/>
        <v>#NAME?</v>
      </c>
      <c r="X136" s="7" t="e">
        <f t="shared" si="25"/>
        <v>#NAME?</v>
      </c>
      <c r="Y136" s="7" t="e">
        <f t="shared" si="25"/>
        <v>#NAME?</v>
      </c>
      <c r="Z136" s="7" t="e">
        <f t="shared" si="25"/>
        <v>#NAME?</v>
      </c>
      <c r="AA136" s="7" t="e">
        <f t="shared" si="25"/>
        <v>#NAME?</v>
      </c>
      <c r="AB136" s="7" t="e">
        <f t="shared" si="25"/>
        <v>#NAME?</v>
      </c>
      <c r="AC136" s="7" t="e">
        <f t="shared" si="25"/>
        <v>#NAME?</v>
      </c>
      <c r="AD136" s="7" t="e">
        <f t="shared" si="25"/>
        <v>#NAME?</v>
      </c>
      <c r="AE136" s="7" t="e">
        <f t="shared" si="25"/>
        <v>#NAME?</v>
      </c>
      <c r="AF136" s="7" t="e">
        <f t="shared" si="25"/>
        <v>#NAME?</v>
      </c>
      <c r="AG136" s="7" t="e">
        <f t="shared" si="25"/>
        <v>#NAME?</v>
      </c>
    </row>
    <row r="137" spans="1:33" s="7" customFormat="1">
      <c r="A137" s="7">
        <f t="shared" si="20"/>
        <v>6</v>
      </c>
      <c r="B137" s="7" t="e">
        <f t="shared" si="25"/>
        <v>#NAME?</v>
      </c>
      <c r="C137" s="7" t="e">
        <f t="shared" si="25"/>
        <v>#NAME?</v>
      </c>
      <c r="D137" s="7" t="e">
        <f t="shared" si="25"/>
        <v>#NAME?</v>
      </c>
      <c r="E137" s="7" t="e">
        <f t="shared" si="25"/>
        <v>#NAME?</v>
      </c>
      <c r="F137" s="7" t="e">
        <f t="shared" si="25"/>
        <v>#NAME?</v>
      </c>
      <c r="G137" s="7" t="e">
        <f t="shared" si="25"/>
        <v>#NAME?</v>
      </c>
      <c r="H137" s="7" t="e">
        <f t="shared" si="25"/>
        <v>#NAME?</v>
      </c>
      <c r="I137" s="7" t="e">
        <f t="shared" si="25"/>
        <v>#NAME?</v>
      </c>
      <c r="J137" s="7" t="e">
        <f t="shared" si="25"/>
        <v>#NAME?</v>
      </c>
      <c r="K137" s="7" t="e">
        <f t="shared" si="25"/>
        <v>#NAME?</v>
      </c>
      <c r="L137" s="7" t="e">
        <f t="shared" si="25"/>
        <v>#NAME?</v>
      </c>
      <c r="M137" s="7" t="e">
        <f t="shared" si="25"/>
        <v>#NAME?</v>
      </c>
      <c r="N137" s="7" t="e">
        <f t="shared" si="25"/>
        <v>#NAME?</v>
      </c>
      <c r="O137" s="7" t="e">
        <f t="shared" si="25"/>
        <v>#NAME?</v>
      </c>
      <c r="P137" s="7" t="e">
        <f t="shared" si="25"/>
        <v>#NAME?</v>
      </c>
      <c r="Q137" s="7" t="e">
        <f t="shared" si="25"/>
        <v>#NAME?</v>
      </c>
      <c r="R137" s="7" t="e">
        <f t="shared" si="25"/>
        <v>#NAME?</v>
      </c>
      <c r="S137" s="7" t="e">
        <f t="shared" si="25"/>
        <v>#NAME?</v>
      </c>
      <c r="U137" s="7" t="e">
        <f t="shared" si="25"/>
        <v>#NAME?</v>
      </c>
      <c r="V137" s="7" t="e">
        <f t="shared" si="25"/>
        <v>#NAME?</v>
      </c>
      <c r="W137" s="7" t="e">
        <f t="shared" si="25"/>
        <v>#NAME?</v>
      </c>
      <c r="X137" s="7" t="e">
        <f t="shared" si="25"/>
        <v>#NAME?</v>
      </c>
      <c r="Y137" s="7" t="e">
        <f t="shared" si="25"/>
        <v>#NAME?</v>
      </c>
      <c r="Z137" s="7" t="e">
        <f t="shared" si="25"/>
        <v>#NAME?</v>
      </c>
      <c r="AA137" s="7" t="e">
        <f t="shared" si="25"/>
        <v>#NAME?</v>
      </c>
      <c r="AB137" s="7" t="e">
        <f t="shared" si="25"/>
        <v>#NAME?</v>
      </c>
      <c r="AC137" s="7" t="e">
        <f t="shared" si="25"/>
        <v>#NAME?</v>
      </c>
      <c r="AD137" s="7" t="e">
        <f t="shared" si="25"/>
        <v>#NAME?</v>
      </c>
      <c r="AE137" s="7" t="e">
        <f t="shared" si="25"/>
        <v>#NAME?</v>
      </c>
      <c r="AF137" s="7" t="e">
        <f t="shared" si="25"/>
        <v>#NAME?</v>
      </c>
      <c r="AG137" s="7" t="e">
        <f t="shared" si="25"/>
        <v>#NAME?</v>
      </c>
    </row>
    <row r="138" spans="1:33" s="7" customFormat="1">
      <c r="A138" s="7">
        <f t="shared" si="20"/>
        <v>7</v>
      </c>
      <c r="B138" s="7" t="e">
        <f t="shared" si="25"/>
        <v>#NAME?</v>
      </c>
      <c r="C138" s="7" t="e">
        <f t="shared" si="25"/>
        <v>#NAME?</v>
      </c>
      <c r="D138" s="7" t="e">
        <f t="shared" si="25"/>
        <v>#NAME?</v>
      </c>
      <c r="E138" s="7" t="e">
        <f t="shared" si="25"/>
        <v>#NAME?</v>
      </c>
      <c r="F138" s="7" t="e">
        <f t="shared" si="25"/>
        <v>#NAME?</v>
      </c>
      <c r="G138" s="7" t="e">
        <f t="shared" si="25"/>
        <v>#NAME?</v>
      </c>
      <c r="H138" s="7" t="e">
        <f t="shared" si="25"/>
        <v>#NAME?</v>
      </c>
      <c r="I138" s="7" t="e">
        <f t="shared" si="25"/>
        <v>#NAME?</v>
      </c>
      <c r="J138" s="7" t="e">
        <f t="shared" si="25"/>
        <v>#NAME?</v>
      </c>
      <c r="K138" s="7" t="e">
        <f t="shared" si="25"/>
        <v>#NAME?</v>
      </c>
      <c r="L138" s="7" t="e">
        <f t="shared" si="25"/>
        <v>#NAME?</v>
      </c>
      <c r="M138" s="7" t="e">
        <f t="shared" si="25"/>
        <v>#NAME?</v>
      </c>
      <c r="N138" s="7" t="e">
        <f t="shared" si="25"/>
        <v>#NAME?</v>
      </c>
      <c r="O138" s="7" t="e">
        <f t="shared" si="25"/>
        <v>#NAME?</v>
      </c>
      <c r="P138" s="7" t="e">
        <f t="shared" si="25"/>
        <v>#NAME?</v>
      </c>
      <c r="Q138" s="7" t="e">
        <f t="shared" si="25"/>
        <v>#NAME?</v>
      </c>
      <c r="R138" s="7" t="e">
        <f t="shared" si="25"/>
        <v>#NAME?</v>
      </c>
      <c r="S138" s="7" t="e">
        <f t="shared" si="25"/>
        <v>#NAME?</v>
      </c>
      <c r="U138" s="7" t="e">
        <f t="shared" si="25"/>
        <v>#NAME?</v>
      </c>
      <c r="V138" s="7" t="e">
        <f t="shared" si="25"/>
        <v>#NAME?</v>
      </c>
      <c r="W138" s="7" t="e">
        <f t="shared" si="25"/>
        <v>#NAME?</v>
      </c>
      <c r="X138" s="7" t="e">
        <f t="shared" si="25"/>
        <v>#NAME?</v>
      </c>
      <c r="Y138" s="7" t="e">
        <f t="shared" si="25"/>
        <v>#NAME?</v>
      </c>
      <c r="Z138" s="7" t="e">
        <f t="shared" si="25"/>
        <v>#NAME?</v>
      </c>
      <c r="AA138" s="7" t="e">
        <f t="shared" si="25"/>
        <v>#NAME?</v>
      </c>
      <c r="AB138" s="7" t="e">
        <f t="shared" si="25"/>
        <v>#NAME?</v>
      </c>
      <c r="AC138" s="7" t="e">
        <f t="shared" si="25"/>
        <v>#NAME?</v>
      </c>
      <c r="AD138" s="7" t="e">
        <f t="shared" si="25"/>
        <v>#NAME?</v>
      </c>
      <c r="AE138" s="7" t="e">
        <f t="shared" si="25"/>
        <v>#NAME?</v>
      </c>
      <c r="AF138" s="7" t="e">
        <f t="shared" si="25"/>
        <v>#NAME?</v>
      </c>
      <c r="AG138" s="7" t="e">
        <f t="shared" si="25"/>
        <v>#NAME?</v>
      </c>
    </row>
    <row r="139" spans="1:33" s="7" customFormat="1">
      <c r="A139" s="7">
        <f t="shared" si="20"/>
        <v>8</v>
      </c>
      <c r="B139" s="7" t="e">
        <f t="shared" si="25"/>
        <v>#NAME?</v>
      </c>
      <c r="C139" s="7" t="e">
        <f t="shared" si="25"/>
        <v>#NAME?</v>
      </c>
      <c r="D139" s="7" t="e">
        <f t="shared" si="25"/>
        <v>#NAME?</v>
      </c>
      <c r="E139" s="7" t="e">
        <f t="shared" si="25"/>
        <v>#NAME?</v>
      </c>
      <c r="F139" s="7" t="e">
        <f t="shared" si="25"/>
        <v>#NAME?</v>
      </c>
      <c r="G139" s="7" t="e">
        <f t="shared" si="25"/>
        <v>#NAME?</v>
      </c>
      <c r="H139" s="7" t="e">
        <f t="shared" si="25"/>
        <v>#NAME?</v>
      </c>
      <c r="I139" s="7" t="e">
        <f t="shared" si="25"/>
        <v>#NAME?</v>
      </c>
      <c r="J139" s="7" t="e">
        <f t="shared" si="25"/>
        <v>#NAME?</v>
      </c>
      <c r="K139" s="7" t="e">
        <f t="shared" si="25"/>
        <v>#NAME?</v>
      </c>
      <c r="L139" s="7" t="e">
        <f t="shared" si="25"/>
        <v>#NAME?</v>
      </c>
      <c r="M139" s="7" t="e">
        <f t="shared" si="25"/>
        <v>#NAME?</v>
      </c>
      <c r="N139" s="7" t="e">
        <f t="shared" si="25"/>
        <v>#NAME?</v>
      </c>
      <c r="O139" s="7" t="e">
        <f t="shared" si="25"/>
        <v>#NAME?</v>
      </c>
      <c r="P139" s="7" t="e">
        <f t="shared" si="25"/>
        <v>#NAME?</v>
      </c>
      <c r="Q139" s="7" t="e">
        <f t="shared" si="25"/>
        <v>#NAME?</v>
      </c>
      <c r="R139" s="7" t="e">
        <f t="shared" si="25"/>
        <v>#NAME?</v>
      </c>
      <c r="S139" s="7" t="e">
        <f t="shared" si="25"/>
        <v>#NAME?</v>
      </c>
      <c r="U139" s="7" t="e">
        <f t="shared" si="25"/>
        <v>#NAME?</v>
      </c>
      <c r="V139" s="7" t="e">
        <f t="shared" si="25"/>
        <v>#NAME?</v>
      </c>
      <c r="W139" s="7" t="e">
        <f t="shared" si="25"/>
        <v>#NAME?</v>
      </c>
      <c r="X139" s="7" t="e">
        <f t="shared" si="25"/>
        <v>#NAME?</v>
      </c>
      <c r="Y139" s="7" t="e">
        <f t="shared" si="25"/>
        <v>#NAME?</v>
      </c>
      <c r="Z139" s="7" t="e">
        <f t="shared" si="25"/>
        <v>#NAME?</v>
      </c>
      <c r="AA139" s="7" t="e">
        <f t="shared" si="25"/>
        <v>#NAME?</v>
      </c>
      <c r="AB139" s="7" t="e">
        <f t="shared" si="25"/>
        <v>#NAME?</v>
      </c>
      <c r="AC139" s="7" t="e">
        <f t="shared" si="25"/>
        <v>#NAME?</v>
      </c>
      <c r="AD139" s="7" t="e">
        <f t="shared" si="25"/>
        <v>#NAME?</v>
      </c>
      <c r="AE139" s="7" t="e">
        <f t="shared" si="25"/>
        <v>#NAME?</v>
      </c>
      <c r="AF139" s="7" t="e">
        <f t="shared" si="25"/>
        <v>#NAME?</v>
      </c>
      <c r="AG139" s="7" t="e">
        <f t="shared" si="25"/>
        <v>#NAME?</v>
      </c>
    </row>
    <row r="140" spans="1:33" s="7" customFormat="1">
      <c r="A140" s="7">
        <f t="shared" si="20"/>
        <v>9</v>
      </c>
      <c r="B140" s="7" t="e">
        <f t="shared" si="25"/>
        <v>#NAME?</v>
      </c>
      <c r="C140" s="7" t="e">
        <f t="shared" si="25"/>
        <v>#NAME?</v>
      </c>
      <c r="D140" s="7" t="e">
        <f t="shared" si="25"/>
        <v>#NAME?</v>
      </c>
      <c r="E140" s="7" t="e">
        <f t="shared" si="25"/>
        <v>#NAME?</v>
      </c>
      <c r="F140" s="7" t="e">
        <f t="shared" si="25"/>
        <v>#NAME?</v>
      </c>
      <c r="G140" s="7" t="e">
        <f t="shared" si="25"/>
        <v>#NAME?</v>
      </c>
      <c r="H140" s="7" t="e">
        <f t="shared" si="25"/>
        <v>#NAME?</v>
      </c>
      <c r="I140" s="7" t="e">
        <f t="shared" si="25"/>
        <v>#NAME?</v>
      </c>
      <c r="J140" s="7" t="e">
        <f t="shared" si="25"/>
        <v>#NAME?</v>
      </c>
      <c r="K140" s="7" t="e">
        <f t="shared" si="25"/>
        <v>#NAME?</v>
      </c>
      <c r="L140" s="7" t="e">
        <f t="shared" si="25"/>
        <v>#NAME?</v>
      </c>
      <c r="M140" s="7" t="e">
        <f t="shared" si="25"/>
        <v>#NAME?</v>
      </c>
      <c r="N140" s="7" t="e">
        <f t="shared" si="25"/>
        <v>#NAME?</v>
      </c>
      <c r="O140" s="7" t="e">
        <f t="shared" si="25"/>
        <v>#NAME?</v>
      </c>
      <c r="P140" s="7" t="e">
        <f t="shared" si="25"/>
        <v>#NAME?</v>
      </c>
      <c r="Q140" s="7" t="e">
        <f t="shared" si="25"/>
        <v>#NAME?</v>
      </c>
      <c r="R140" s="7" t="e">
        <f t="shared" si="25"/>
        <v>#NAME?</v>
      </c>
      <c r="S140" s="7" t="e">
        <f t="shared" si="25"/>
        <v>#NAME?</v>
      </c>
      <c r="U140" s="7" t="e">
        <f t="shared" si="25"/>
        <v>#NAME?</v>
      </c>
      <c r="V140" s="7" t="e">
        <f t="shared" si="25"/>
        <v>#NAME?</v>
      </c>
      <c r="W140" s="7" t="e">
        <f t="shared" si="25"/>
        <v>#NAME?</v>
      </c>
      <c r="X140" s="7" t="e">
        <f t="shared" si="25"/>
        <v>#NAME?</v>
      </c>
      <c r="Y140" s="7" t="e">
        <f t="shared" si="25"/>
        <v>#NAME?</v>
      </c>
      <c r="Z140" s="7" t="e">
        <f t="shared" si="25"/>
        <v>#NAME?</v>
      </c>
      <c r="AA140" s="7" t="e">
        <f t="shared" si="25"/>
        <v>#NAME?</v>
      </c>
      <c r="AB140" s="7" t="e">
        <f t="shared" si="25"/>
        <v>#NAME?</v>
      </c>
      <c r="AC140" s="7" t="e">
        <f t="shared" si="25"/>
        <v>#NAME?</v>
      </c>
      <c r="AD140" s="7" t="e">
        <f t="shared" si="25"/>
        <v>#NAME?</v>
      </c>
      <c r="AE140" s="7" t="e">
        <f t="shared" si="25"/>
        <v>#NAME?</v>
      </c>
      <c r="AF140" s="7" t="e">
        <f t="shared" si="25"/>
        <v>#NAME?</v>
      </c>
      <c r="AG140" s="7" t="e">
        <f t="shared" si="25"/>
        <v>#NAME?</v>
      </c>
    </row>
    <row r="141" spans="1:33" s="7" customFormat="1">
      <c r="A141" s="7">
        <f t="shared" si="20"/>
        <v>10</v>
      </c>
      <c r="B141" s="7" t="e">
        <f t="shared" si="25"/>
        <v>#NAME?</v>
      </c>
      <c r="C141" s="7" t="e">
        <f t="shared" si="25"/>
        <v>#NAME?</v>
      </c>
      <c r="D141" s="7" t="e">
        <f t="shared" si="25"/>
        <v>#NAME?</v>
      </c>
      <c r="E141" s="7" t="e">
        <f t="shared" si="25"/>
        <v>#NAME?</v>
      </c>
      <c r="F141" s="7" t="e">
        <f t="shared" si="25"/>
        <v>#NAME?</v>
      </c>
      <c r="G141" s="7" t="e">
        <f t="shared" si="25"/>
        <v>#NAME?</v>
      </c>
      <c r="H141" s="7" t="e">
        <f t="shared" si="25"/>
        <v>#NAME?</v>
      </c>
      <c r="I141" s="7" t="e">
        <f t="shared" si="25"/>
        <v>#NAME?</v>
      </c>
      <c r="J141" s="7" t="e">
        <f t="shared" si="25"/>
        <v>#NAME?</v>
      </c>
      <c r="K141" s="7" t="e">
        <f t="shared" si="25"/>
        <v>#NAME?</v>
      </c>
      <c r="L141" s="7" t="e">
        <f t="shared" si="25"/>
        <v>#NAME?</v>
      </c>
      <c r="M141" s="7" t="e">
        <f t="shared" si="25"/>
        <v>#NAME?</v>
      </c>
      <c r="N141" s="7" t="e">
        <f t="shared" si="25"/>
        <v>#NAME?</v>
      </c>
      <c r="O141" s="7" t="e">
        <f t="shared" si="25"/>
        <v>#NAME?</v>
      </c>
      <c r="P141" s="7" t="e">
        <f t="shared" si="25"/>
        <v>#NAME?</v>
      </c>
      <c r="Q141" s="7" t="e">
        <f t="shared" si="25"/>
        <v>#NAME?</v>
      </c>
      <c r="R141" s="7" t="e">
        <f t="shared" si="25"/>
        <v>#NAME?</v>
      </c>
      <c r="S141" s="7" t="e">
        <f t="shared" si="25"/>
        <v>#NAME?</v>
      </c>
      <c r="U141" s="7" t="e">
        <f t="shared" si="25"/>
        <v>#NAME?</v>
      </c>
      <c r="V141" s="7" t="e">
        <f t="shared" si="25"/>
        <v>#NAME?</v>
      </c>
      <c r="W141" s="7" t="e">
        <f t="shared" si="25"/>
        <v>#NAME?</v>
      </c>
      <c r="X141" s="7" t="e">
        <f t="shared" si="25"/>
        <v>#NAME?</v>
      </c>
      <c r="Y141" s="7" t="e">
        <f t="shared" si="25"/>
        <v>#NAME?</v>
      </c>
      <c r="Z141" s="7" t="e">
        <f t="shared" si="25"/>
        <v>#NAME?</v>
      </c>
      <c r="AA141" s="7" t="e">
        <f t="shared" si="25"/>
        <v>#NAME?</v>
      </c>
      <c r="AB141" s="7" t="e">
        <f t="shared" si="25"/>
        <v>#NAME?</v>
      </c>
      <c r="AC141" s="7" t="e">
        <f t="shared" si="25"/>
        <v>#NAME?</v>
      </c>
      <c r="AD141" s="7" t="e">
        <f t="shared" si="25"/>
        <v>#NAME?</v>
      </c>
      <c r="AE141" s="7" t="e">
        <f t="shared" si="25"/>
        <v>#NAME?</v>
      </c>
      <c r="AF141" s="7" t="e">
        <f t="shared" si="25"/>
        <v>#NAME?</v>
      </c>
      <c r="AG141" s="7" t="e">
        <f t="shared" si="25"/>
        <v>#NAME?</v>
      </c>
    </row>
    <row r="142" spans="1:33" s="7" customFormat="1">
      <c r="A142" s="7">
        <f t="shared" si="20"/>
        <v>11</v>
      </c>
      <c r="B142" s="7" t="e">
        <f t="shared" si="25"/>
        <v>#NAME?</v>
      </c>
      <c r="C142" s="7" t="e">
        <f t="shared" si="25"/>
        <v>#NAME?</v>
      </c>
      <c r="D142" s="7" t="e">
        <f t="shared" si="25"/>
        <v>#NAME?</v>
      </c>
      <c r="E142" s="7" t="e">
        <f t="shared" si="25"/>
        <v>#NAME?</v>
      </c>
      <c r="F142" s="7" t="e">
        <f t="shared" si="25"/>
        <v>#NAME?</v>
      </c>
      <c r="G142" s="7" t="e">
        <f t="shared" si="25"/>
        <v>#NAME?</v>
      </c>
      <c r="H142" s="7" t="e">
        <f t="shared" si="25"/>
        <v>#NAME?</v>
      </c>
      <c r="I142" s="7" t="e">
        <f t="shared" si="25"/>
        <v>#NAME?</v>
      </c>
      <c r="J142" s="7" t="e">
        <f t="shared" si="25"/>
        <v>#NAME?</v>
      </c>
      <c r="K142" s="7" t="e">
        <f t="shared" si="25"/>
        <v>#NAME?</v>
      </c>
      <c r="L142" s="7" t="e">
        <f t="shared" si="25"/>
        <v>#NAME?</v>
      </c>
      <c r="M142" s="7" t="e">
        <f t="shared" si="25"/>
        <v>#NAME?</v>
      </c>
      <c r="N142" s="7" t="e">
        <f t="shared" si="25"/>
        <v>#NAME?</v>
      </c>
      <c r="O142" s="7" t="e">
        <f t="shared" si="25"/>
        <v>#NAME?</v>
      </c>
      <c r="P142" s="7" t="e">
        <f t="shared" si="25"/>
        <v>#NAME?</v>
      </c>
      <c r="Q142" s="7" t="e">
        <f t="shared" si="25"/>
        <v>#NAME?</v>
      </c>
      <c r="R142" s="7" t="e">
        <f t="shared" si="25"/>
        <v>#NAME?</v>
      </c>
      <c r="S142" s="7" t="e">
        <f t="shared" si="25"/>
        <v>#NAME?</v>
      </c>
      <c r="U142" s="7" t="e">
        <f t="shared" si="25"/>
        <v>#NAME?</v>
      </c>
      <c r="V142" s="7" t="e">
        <f t="shared" si="25"/>
        <v>#NAME?</v>
      </c>
      <c r="W142" s="7" t="e">
        <f t="shared" si="25"/>
        <v>#NAME?</v>
      </c>
      <c r="X142" s="7" t="e">
        <f t="shared" si="25"/>
        <v>#NAME?</v>
      </c>
      <c r="Y142" s="7" t="e">
        <f t="shared" si="25"/>
        <v>#NAME?</v>
      </c>
      <c r="Z142" s="7" t="e">
        <f t="shared" si="25"/>
        <v>#NAME?</v>
      </c>
      <c r="AA142" s="7" t="e">
        <f t="shared" si="25"/>
        <v>#NAME?</v>
      </c>
      <c r="AB142" s="7" t="e">
        <f t="shared" si="25"/>
        <v>#NAME?</v>
      </c>
      <c r="AC142" s="7" t="e">
        <f t="shared" si="25"/>
        <v>#NAME?</v>
      </c>
      <c r="AD142" s="7" t="e">
        <f t="shared" si="25"/>
        <v>#NAME?</v>
      </c>
      <c r="AE142" s="7" t="e">
        <f t="shared" si="25"/>
        <v>#NAME?</v>
      </c>
      <c r="AF142" s="7" t="e">
        <f t="shared" si="25"/>
        <v>#NAME?</v>
      </c>
      <c r="AG142" s="7" t="e">
        <f t="shared" si="25"/>
        <v>#NAME?</v>
      </c>
    </row>
    <row r="143" spans="1:33" s="7" customFormat="1">
      <c r="A143" s="7">
        <f t="shared" si="20"/>
        <v>12</v>
      </c>
      <c r="B143" s="7" t="e">
        <f t="shared" ref="B143:AG143" si="27">B14*mult</f>
        <v>#NAME?</v>
      </c>
      <c r="C143" s="7" t="e">
        <f t="shared" si="27"/>
        <v>#NAME?</v>
      </c>
      <c r="D143" s="7" t="e">
        <f t="shared" si="27"/>
        <v>#NAME?</v>
      </c>
      <c r="E143" s="7" t="e">
        <f t="shared" si="27"/>
        <v>#NAME?</v>
      </c>
      <c r="F143" s="7" t="e">
        <f t="shared" si="27"/>
        <v>#NAME?</v>
      </c>
      <c r="G143" s="7" t="e">
        <f t="shared" si="27"/>
        <v>#NAME?</v>
      </c>
      <c r="H143" s="7" t="e">
        <f t="shared" si="27"/>
        <v>#NAME?</v>
      </c>
      <c r="I143" s="7" t="e">
        <f t="shared" si="27"/>
        <v>#NAME?</v>
      </c>
      <c r="J143" s="7" t="e">
        <f t="shared" si="27"/>
        <v>#NAME?</v>
      </c>
      <c r="K143" s="7" t="e">
        <f t="shared" si="27"/>
        <v>#NAME?</v>
      </c>
      <c r="L143" s="7" t="e">
        <f t="shared" si="27"/>
        <v>#NAME?</v>
      </c>
      <c r="M143" s="7" t="e">
        <f t="shared" si="27"/>
        <v>#NAME?</v>
      </c>
      <c r="N143" s="7" t="e">
        <f t="shared" si="27"/>
        <v>#NAME?</v>
      </c>
      <c r="O143" s="7" t="e">
        <f t="shared" si="27"/>
        <v>#NAME?</v>
      </c>
      <c r="P143" s="7" t="e">
        <f t="shared" si="27"/>
        <v>#NAME?</v>
      </c>
      <c r="Q143" s="7" t="e">
        <f t="shared" si="27"/>
        <v>#NAME?</v>
      </c>
      <c r="R143" s="7" t="e">
        <f t="shared" si="27"/>
        <v>#NAME?</v>
      </c>
      <c r="S143" s="7" t="e">
        <f t="shared" si="27"/>
        <v>#NAME?</v>
      </c>
      <c r="U143" s="7" t="e">
        <f t="shared" si="27"/>
        <v>#NAME?</v>
      </c>
      <c r="V143" s="7" t="e">
        <f t="shared" si="27"/>
        <v>#NAME?</v>
      </c>
      <c r="W143" s="7" t="e">
        <f t="shared" si="27"/>
        <v>#NAME?</v>
      </c>
      <c r="X143" s="7" t="e">
        <f t="shared" si="27"/>
        <v>#NAME?</v>
      </c>
      <c r="Y143" s="7" t="e">
        <f t="shared" si="27"/>
        <v>#NAME?</v>
      </c>
      <c r="Z143" s="7" t="e">
        <f t="shared" si="27"/>
        <v>#NAME?</v>
      </c>
      <c r="AA143" s="7" t="e">
        <f t="shared" si="27"/>
        <v>#NAME?</v>
      </c>
      <c r="AB143" s="7" t="e">
        <f t="shared" si="27"/>
        <v>#NAME?</v>
      </c>
      <c r="AC143" s="7" t="e">
        <f t="shared" si="27"/>
        <v>#NAME?</v>
      </c>
      <c r="AD143" s="7" t="e">
        <f t="shared" si="27"/>
        <v>#NAME?</v>
      </c>
      <c r="AE143" s="7" t="e">
        <f t="shared" si="27"/>
        <v>#NAME?</v>
      </c>
      <c r="AF143" s="7" t="e">
        <f t="shared" si="27"/>
        <v>#NAME?</v>
      </c>
      <c r="AG143" s="7" t="e">
        <f t="shared" si="27"/>
        <v>#NAME?</v>
      </c>
    </row>
    <row r="144" spans="1:33" s="7" customFormat="1">
      <c r="A144" s="7">
        <f t="shared" si="20"/>
        <v>13</v>
      </c>
      <c r="B144" s="7" t="e">
        <f t="shared" ref="B144:AG144" si="28">B15*mult</f>
        <v>#NAME?</v>
      </c>
      <c r="C144" s="7" t="e">
        <f t="shared" si="28"/>
        <v>#NAME?</v>
      </c>
      <c r="D144" s="7" t="e">
        <f t="shared" si="28"/>
        <v>#NAME?</v>
      </c>
      <c r="E144" s="7" t="e">
        <f t="shared" si="28"/>
        <v>#NAME?</v>
      </c>
      <c r="F144" s="7" t="e">
        <f t="shared" si="28"/>
        <v>#NAME?</v>
      </c>
      <c r="G144" s="7" t="e">
        <f t="shared" si="28"/>
        <v>#NAME?</v>
      </c>
      <c r="H144" s="7" t="e">
        <f t="shared" si="28"/>
        <v>#NAME?</v>
      </c>
      <c r="I144" s="7" t="e">
        <f t="shared" si="28"/>
        <v>#NAME?</v>
      </c>
      <c r="J144" s="7" t="e">
        <f t="shared" si="28"/>
        <v>#NAME?</v>
      </c>
      <c r="K144" s="7" t="e">
        <f t="shared" si="28"/>
        <v>#NAME?</v>
      </c>
      <c r="L144" s="7" t="e">
        <f t="shared" si="28"/>
        <v>#NAME?</v>
      </c>
      <c r="M144" s="7" t="e">
        <f t="shared" si="28"/>
        <v>#NAME?</v>
      </c>
      <c r="N144" s="7" t="e">
        <f t="shared" si="28"/>
        <v>#NAME?</v>
      </c>
      <c r="O144" s="7" t="e">
        <f t="shared" si="28"/>
        <v>#NAME?</v>
      </c>
      <c r="P144" s="7" t="e">
        <f t="shared" si="28"/>
        <v>#NAME?</v>
      </c>
      <c r="Q144" s="7" t="e">
        <f t="shared" si="28"/>
        <v>#NAME?</v>
      </c>
      <c r="R144" s="7" t="e">
        <f t="shared" si="28"/>
        <v>#NAME?</v>
      </c>
      <c r="S144" s="7" t="e">
        <f t="shared" si="28"/>
        <v>#NAME?</v>
      </c>
      <c r="U144" s="7" t="e">
        <f t="shared" si="28"/>
        <v>#NAME?</v>
      </c>
      <c r="V144" s="7" t="e">
        <f t="shared" si="28"/>
        <v>#NAME?</v>
      </c>
      <c r="W144" s="7" t="e">
        <f t="shared" si="28"/>
        <v>#NAME?</v>
      </c>
      <c r="X144" s="7" t="e">
        <f t="shared" si="28"/>
        <v>#NAME?</v>
      </c>
      <c r="Y144" s="7" t="e">
        <f t="shared" si="28"/>
        <v>#NAME?</v>
      </c>
      <c r="Z144" s="7" t="e">
        <f t="shared" si="28"/>
        <v>#NAME?</v>
      </c>
      <c r="AA144" s="7" t="e">
        <f t="shared" si="28"/>
        <v>#NAME?</v>
      </c>
      <c r="AB144" s="7" t="e">
        <f t="shared" si="28"/>
        <v>#NAME?</v>
      </c>
      <c r="AC144" s="7" t="e">
        <f t="shared" si="28"/>
        <v>#NAME?</v>
      </c>
      <c r="AD144" s="7" t="e">
        <f t="shared" si="28"/>
        <v>#NAME?</v>
      </c>
      <c r="AE144" s="7" t="e">
        <f t="shared" si="28"/>
        <v>#NAME?</v>
      </c>
      <c r="AF144" s="7" t="e">
        <f t="shared" si="28"/>
        <v>#NAME?</v>
      </c>
      <c r="AG144" s="7" t="e">
        <f t="shared" si="28"/>
        <v>#NAME?</v>
      </c>
    </row>
    <row r="145" spans="1:48" s="7" customFormat="1">
      <c r="A145" s="7">
        <f t="shared" si="20"/>
        <v>14</v>
      </c>
      <c r="B145" s="7" t="e">
        <f t="shared" ref="B145:AG145" si="29">B16*mult</f>
        <v>#NAME?</v>
      </c>
      <c r="C145" s="7" t="e">
        <f t="shared" si="29"/>
        <v>#NAME?</v>
      </c>
      <c r="D145" s="7" t="e">
        <f t="shared" si="29"/>
        <v>#NAME?</v>
      </c>
      <c r="E145" s="7" t="e">
        <f t="shared" si="29"/>
        <v>#NAME?</v>
      </c>
      <c r="F145" s="7" t="e">
        <f t="shared" si="29"/>
        <v>#NAME?</v>
      </c>
      <c r="G145" s="7" t="e">
        <f t="shared" si="29"/>
        <v>#NAME?</v>
      </c>
      <c r="H145" s="7" t="e">
        <f t="shared" si="29"/>
        <v>#NAME?</v>
      </c>
      <c r="I145" s="7" t="e">
        <f t="shared" si="29"/>
        <v>#NAME?</v>
      </c>
      <c r="J145" s="7" t="e">
        <f t="shared" si="29"/>
        <v>#NAME?</v>
      </c>
      <c r="K145" s="7" t="e">
        <f t="shared" si="29"/>
        <v>#NAME?</v>
      </c>
      <c r="L145" s="7" t="e">
        <f t="shared" si="29"/>
        <v>#NAME?</v>
      </c>
      <c r="M145" s="7" t="e">
        <f t="shared" si="29"/>
        <v>#NAME?</v>
      </c>
      <c r="N145" s="7" t="e">
        <f t="shared" si="29"/>
        <v>#NAME?</v>
      </c>
      <c r="O145" s="7" t="e">
        <f t="shared" si="29"/>
        <v>#NAME?</v>
      </c>
      <c r="P145" s="7" t="e">
        <f t="shared" si="29"/>
        <v>#NAME?</v>
      </c>
      <c r="Q145" s="7" t="e">
        <f t="shared" si="29"/>
        <v>#NAME?</v>
      </c>
      <c r="R145" s="7" t="e">
        <f t="shared" si="29"/>
        <v>#NAME?</v>
      </c>
      <c r="S145" s="7" t="e">
        <f t="shared" si="29"/>
        <v>#NAME?</v>
      </c>
      <c r="U145" s="7" t="e">
        <f t="shared" si="29"/>
        <v>#NAME?</v>
      </c>
      <c r="V145" s="7" t="e">
        <f t="shared" si="29"/>
        <v>#NAME?</v>
      </c>
      <c r="W145" s="7" t="e">
        <f t="shared" si="29"/>
        <v>#NAME?</v>
      </c>
      <c r="X145" s="7" t="e">
        <f t="shared" si="29"/>
        <v>#NAME?</v>
      </c>
      <c r="Y145" s="7" t="e">
        <f t="shared" si="29"/>
        <v>#NAME?</v>
      </c>
      <c r="Z145" s="7" t="e">
        <f t="shared" si="29"/>
        <v>#NAME?</v>
      </c>
      <c r="AA145" s="7" t="e">
        <f t="shared" si="29"/>
        <v>#NAME?</v>
      </c>
      <c r="AB145" s="7" t="e">
        <f t="shared" si="29"/>
        <v>#NAME?</v>
      </c>
      <c r="AC145" s="7" t="e">
        <f t="shared" si="29"/>
        <v>#NAME?</v>
      </c>
      <c r="AD145" s="7" t="e">
        <f t="shared" si="29"/>
        <v>#NAME?</v>
      </c>
      <c r="AE145" s="7" t="e">
        <f t="shared" si="29"/>
        <v>#NAME?</v>
      </c>
      <c r="AF145" s="7" t="e">
        <f t="shared" si="29"/>
        <v>#NAME?</v>
      </c>
      <c r="AG145" s="7" t="e">
        <f t="shared" si="29"/>
        <v>#NAME?</v>
      </c>
    </row>
    <row r="146" spans="1:48" s="7" customFormat="1">
      <c r="A146" s="7">
        <f t="shared" si="20"/>
        <v>15</v>
      </c>
      <c r="B146" s="7" t="e">
        <f t="shared" ref="B146:AG146" si="30">B17*mult</f>
        <v>#NAME?</v>
      </c>
      <c r="C146" s="7" t="e">
        <f t="shared" si="30"/>
        <v>#NAME?</v>
      </c>
      <c r="D146" s="7" t="e">
        <f t="shared" si="30"/>
        <v>#NAME?</v>
      </c>
      <c r="E146" s="7" t="e">
        <f t="shared" si="30"/>
        <v>#NAME?</v>
      </c>
      <c r="F146" s="7" t="e">
        <f t="shared" si="30"/>
        <v>#NAME?</v>
      </c>
      <c r="G146" s="7" t="e">
        <f t="shared" si="30"/>
        <v>#NAME?</v>
      </c>
      <c r="H146" s="7" t="e">
        <f t="shared" si="30"/>
        <v>#NAME?</v>
      </c>
      <c r="I146" s="7" t="e">
        <f t="shared" si="30"/>
        <v>#NAME?</v>
      </c>
      <c r="J146" s="7" t="e">
        <f t="shared" si="30"/>
        <v>#NAME?</v>
      </c>
      <c r="K146" s="7" t="e">
        <f t="shared" si="30"/>
        <v>#NAME?</v>
      </c>
      <c r="L146" s="7" t="e">
        <f t="shared" si="30"/>
        <v>#NAME?</v>
      </c>
      <c r="M146" s="7" t="e">
        <f t="shared" si="30"/>
        <v>#NAME?</v>
      </c>
      <c r="N146" s="7" t="e">
        <f t="shared" si="30"/>
        <v>#NAME?</v>
      </c>
      <c r="O146" s="7" t="e">
        <f t="shared" si="30"/>
        <v>#NAME?</v>
      </c>
      <c r="P146" s="7" t="e">
        <f t="shared" si="30"/>
        <v>#NAME?</v>
      </c>
      <c r="Q146" s="7" t="e">
        <f t="shared" si="30"/>
        <v>#NAME?</v>
      </c>
      <c r="R146" s="7" t="e">
        <f t="shared" si="30"/>
        <v>#NAME?</v>
      </c>
      <c r="S146" s="7" t="e">
        <f t="shared" si="30"/>
        <v>#NAME?</v>
      </c>
      <c r="U146" s="7" t="e">
        <f t="shared" si="30"/>
        <v>#NAME?</v>
      </c>
      <c r="V146" s="7" t="e">
        <f t="shared" si="30"/>
        <v>#NAME?</v>
      </c>
      <c r="W146" s="7" t="e">
        <f t="shared" si="30"/>
        <v>#NAME?</v>
      </c>
      <c r="X146" s="7" t="e">
        <f t="shared" si="30"/>
        <v>#NAME?</v>
      </c>
      <c r="Y146" s="7" t="e">
        <f t="shared" si="30"/>
        <v>#NAME?</v>
      </c>
      <c r="Z146" s="7" t="e">
        <f t="shared" si="30"/>
        <v>#NAME?</v>
      </c>
      <c r="AA146" s="7" t="e">
        <f t="shared" si="30"/>
        <v>#NAME?</v>
      </c>
      <c r="AB146" s="7" t="e">
        <f t="shared" si="30"/>
        <v>#NAME?</v>
      </c>
      <c r="AC146" s="7" t="e">
        <f t="shared" si="30"/>
        <v>#NAME?</v>
      </c>
      <c r="AD146" s="7" t="e">
        <f t="shared" si="30"/>
        <v>#NAME?</v>
      </c>
      <c r="AE146" s="7" t="e">
        <f t="shared" si="30"/>
        <v>#NAME?</v>
      </c>
      <c r="AF146" s="7" t="e">
        <f t="shared" si="30"/>
        <v>#NAME?</v>
      </c>
      <c r="AG146" s="7" t="e">
        <f t="shared" si="30"/>
        <v>#NAME?</v>
      </c>
    </row>
    <row r="147" spans="1:48" s="7" customFormat="1">
      <c r="A147" s="7">
        <f t="shared" si="20"/>
        <v>16</v>
      </c>
      <c r="B147" s="7" t="e">
        <f t="shared" ref="B147:AG147" si="31">B18*mult</f>
        <v>#NAME?</v>
      </c>
      <c r="C147" s="7" t="e">
        <f t="shared" si="31"/>
        <v>#NAME?</v>
      </c>
      <c r="D147" s="7" t="e">
        <f t="shared" si="31"/>
        <v>#NAME?</v>
      </c>
      <c r="E147" s="7" t="e">
        <f t="shared" si="31"/>
        <v>#NAME?</v>
      </c>
      <c r="F147" s="7" t="e">
        <f t="shared" si="31"/>
        <v>#NAME?</v>
      </c>
      <c r="G147" s="7" t="e">
        <f t="shared" si="31"/>
        <v>#NAME?</v>
      </c>
      <c r="H147" s="7" t="e">
        <f t="shared" si="31"/>
        <v>#NAME?</v>
      </c>
      <c r="I147" s="7" t="e">
        <f t="shared" si="31"/>
        <v>#NAME?</v>
      </c>
      <c r="J147" s="7" t="e">
        <f t="shared" si="31"/>
        <v>#NAME?</v>
      </c>
      <c r="K147" s="7" t="e">
        <f t="shared" si="31"/>
        <v>#NAME?</v>
      </c>
      <c r="L147" s="7" t="e">
        <f t="shared" si="31"/>
        <v>#NAME?</v>
      </c>
      <c r="M147" s="7" t="e">
        <f t="shared" si="31"/>
        <v>#NAME?</v>
      </c>
      <c r="N147" s="7" t="e">
        <f t="shared" si="31"/>
        <v>#NAME?</v>
      </c>
      <c r="O147" s="7" t="e">
        <f t="shared" si="31"/>
        <v>#NAME?</v>
      </c>
      <c r="P147" s="7" t="e">
        <f t="shared" si="31"/>
        <v>#NAME?</v>
      </c>
      <c r="Q147" s="7" t="e">
        <f t="shared" si="31"/>
        <v>#NAME?</v>
      </c>
      <c r="R147" s="7" t="e">
        <f t="shared" si="31"/>
        <v>#NAME?</v>
      </c>
      <c r="S147" s="7" t="e">
        <f t="shared" si="31"/>
        <v>#NAME?</v>
      </c>
      <c r="U147" s="7" t="e">
        <f t="shared" si="31"/>
        <v>#NAME?</v>
      </c>
      <c r="V147" s="7" t="e">
        <f t="shared" si="31"/>
        <v>#NAME?</v>
      </c>
      <c r="W147" s="7" t="e">
        <f t="shared" si="31"/>
        <v>#NAME?</v>
      </c>
      <c r="X147" s="7" t="e">
        <f t="shared" si="31"/>
        <v>#NAME?</v>
      </c>
      <c r="Y147" s="7" t="e">
        <f t="shared" si="31"/>
        <v>#NAME?</v>
      </c>
      <c r="Z147" s="7" t="e">
        <f t="shared" si="31"/>
        <v>#NAME?</v>
      </c>
      <c r="AA147" s="7" t="e">
        <f t="shared" si="31"/>
        <v>#NAME?</v>
      </c>
      <c r="AB147" s="7" t="e">
        <f t="shared" si="31"/>
        <v>#NAME?</v>
      </c>
      <c r="AC147" s="7" t="e">
        <f t="shared" si="31"/>
        <v>#NAME?</v>
      </c>
      <c r="AD147" s="7" t="e">
        <f t="shared" si="31"/>
        <v>#NAME?</v>
      </c>
      <c r="AE147" s="7" t="e">
        <f t="shared" si="31"/>
        <v>#NAME?</v>
      </c>
      <c r="AF147" s="7" t="e">
        <f t="shared" si="31"/>
        <v>#NAME?</v>
      </c>
      <c r="AG147" s="7" t="e">
        <f t="shared" si="31"/>
        <v>#NAME?</v>
      </c>
    </row>
    <row r="148" spans="1:48">
      <c r="A148" s="7">
        <f t="shared" si="20"/>
        <v>17</v>
      </c>
      <c r="B148" s="7" t="e">
        <f t="shared" ref="B148:AG148" si="32">B19*mult</f>
        <v>#NAME?</v>
      </c>
      <c r="C148" s="7" t="e">
        <f t="shared" si="32"/>
        <v>#NAME?</v>
      </c>
      <c r="D148" s="7" t="e">
        <f t="shared" si="32"/>
        <v>#NAME?</v>
      </c>
      <c r="E148" s="7" t="e">
        <f t="shared" si="32"/>
        <v>#NAME?</v>
      </c>
      <c r="F148" s="7" t="e">
        <f t="shared" si="32"/>
        <v>#NAME?</v>
      </c>
      <c r="G148" s="7" t="e">
        <f t="shared" si="32"/>
        <v>#NAME?</v>
      </c>
      <c r="H148" s="7" t="e">
        <f t="shared" si="32"/>
        <v>#NAME?</v>
      </c>
      <c r="I148" s="7" t="e">
        <f t="shared" si="32"/>
        <v>#NAME?</v>
      </c>
      <c r="J148" s="7" t="e">
        <f t="shared" si="32"/>
        <v>#NAME?</v>
      </c>
      <c r="K148" s="7" t="e">
        <f t="shared" si="32"/>
        <v>#NAME?</v>
      </c>
      <c r="L148" s="7" t="e">
        <f t="shared" si="32"/>
        <v>#NAME?</v>
      </c>
      <c r="M148" s="7" t="e">
        <f t="shared" si="32"/>
        <v>#NAME?</v>
      </c>
      <c r="N148" s="7" t="e">
        <f t="shared" si="32"/>
        <v>#NAME?</v>
      </c>
      <c r="O148" s="7" t="e">
        <f t="shared" si="32"/>
        <v>#NAME?</v>
      </c>
      <c r="P148" s="7" t="e">
        <f t="shared" si="32"/>
        <v>#NAME?</v>
      </c>
      <c r="Q148" s="7" t="e">
        <f t="shared" si="32"/>
        <v>#NAME?</v>
      </c>
      <c r="R148" s="7" t="e">
        <f t="shared" si="32"/>
        <v>#NAME?</v>
      </c>
      <c r="S148" s="7" t="e">
        <f t="shared" si="32"/>
        <v>#NAME?</v>
      </c>
      <c r="T148" s="7"/>
      <c r="U148" s="7" t="e">
        <f t="shared" si="32"/>
        <v>#NAME?</v>
      </c>
      <c r="V148" s="7" t="e">
        <f t="shared" si="32"/>
        <v>#NAME?</v>
      </c>
      <c r="W148" s="7" t="e">
        <f t="shared" si="32"/>
        <v>#NAME?</v>
      </c>
      <c r="X148" s="7" t="e">
        <f t="shared" si="32"/>
        <v>#NAME?</v>
      </c>
      <c r="Y148" s="7" t="e">
        <f t="shared" si="32"/>
        <v>#NAME?</v>
      </c>
      <c r="Z148" s="7" t="e">
        <f t="shared" si="32"/>
        <v>#NAME?</v>
      </c>
      <c r="AA148" s="7" t="e">
        <f t="shared" si="32"/>
        <v>#NAME?</v>
      </c>
      <c r="AB148" s="7" t="e">
        <f t="shared" si="32"/>
        <v>#NAME?</v>
      </c>
      <c r="AC148" s="7" t="e">
        <f t="shared" si="32"/>
        <v>#NAME?</v>
      </c>
      <c r="AD148" s="7" t="e">
        <f t="shared" si="32"/>
        <v>#NAME?</v>
      </c>
      <c r="AE148" s="7" t="e">
        <f t="shared" si="32"/>
        <v>#NAME?</v>
      </c>
      <c r="AF148" s="7" t="e">
        <f t="shared" si="32"/>
        <v>#NAME?</v>
      </c>
      <c r="AG148" s="7" t="e">
        <f t="shared" si="32"/>
        <v>#NAME?</v>
      </c>
      <c r="AH148" s="7"/>
      <c r="AI148" s="7"/>
      <c r="AJ148" s="7"/>
      <c r="AK148" s="7"/>
      <c r="AM148" s="7"/>
      <c r="AN148" s="7"/>
      <c r="AO148" s="7"/>
    </row>
    <row r="149" spans="1:48">
      <c r="A149" s="7">
        <f t="shared" ref="A149:A155" si="33">A20</f>
        <v>18</v>
      </c>
      <c r="B149" s="7" t="e">
        <f t="shared" ref="B149:AG149" si="34">B20*mult</f>
        <v>#NAME?</v>
      </c>
      <c r="C149" s="7" t="e">
        <f t="shared" si="34"/>
        <v>#NAME?</v>
      </c>
      <c r="D149" s="7" t="e">
        <f t="shared" si="34"/>
        <v>#NAME?</v>
      </c>
      <c r="E149" s="7" t="e">
        <f t="shared" si="34"/>
        <v>#NAME?</v>
      </c>
      <c r="F149" s="7" t="e">
        <f t="shared" si="34"/>
        <v>#NAME?</v>
      </c>
      <c r="G149" s="7" t="e">
        <f t="shared" si="34"/>
        <v>#NAME?</v>
      </c>
      <c r="H149" s="7" t="e">
        <f t="shared" si="34"/>
        <v>#NAME?</v>
      </c>
      <c r="I149" s="7" t="e">
        <f t="shared" si="34"/>
        <v>#NAME?</v>
      </c>
      <c r="J149" s="7" t="e">
        <f t="shared" si="34"/>
        <v>#NAME?</v>
      </c>
      <c r="K149" s="7" t="e">
        <f t="shared" si="34"/>
        <v>#NAME?</v>
      </c>
      <c r="L149" s="7" t="e">
        <f t="shared" si="34"/>
        <v>#NAME?</v>
      </c>
      <c r="M149" s="7" t="e">
        <f t="shared" si="34"/>
        <v>#NAME?</v>
      </c>
      <c r="N149" s="7" t="e">
        <f t="shared" si="34"/>
        <v>#NAME?</v>
      </c>
      <c r="O149" s="7" t="e">
        <f t="shared" si="34"/>
        <v>#NAME?</v>
      </c>
      <c r="P149" s="7" t="e">
        <f t="shared" si="34"/>
        <v>#NAME?</v>
      </c>
      <c r="Q149" s="7" t="e">
        <f t="shared" si="34"/>
        <v>#NAME?</v>
      </c>
      <c r="R149" s="7" t="e">
        <f t="shared" si="34"/>
        <v>#NAME?</v>
      </c>
      <c r="S149" s="7" t="e">
        <f t="shared" si="34"/>
        <v>#NAME?</v>
      </c>
      <c r="T149" s="7"/>
      <c r="U149" s="7" t="e">
        <f t="shared" si="34"/>
        <v>#NAME?</v>
      </c>
      <c r="V149" s="7" t="e">
        <f t="shared" si="34"/>
        <v>#NAME?</v>
      </c>
      <c r="W149" s="7" t="e">
        <f t="shared" si="34"/>
        <v>#NAME?</v>
      </c>
      <c r="X149" s="7" t="e">
        <f t="shared" si="34"/>
        <v>#NAME?</v>
      </c>
      <c r="Y149" s="7" t="e">
        <f t="shared" si="34"/>
        <v>#NAME?</v>
      </c>
      <c r="Z149" s="7" t="e">
        <f t="shared" si="34"/>
        <v>#NAME?</v>
      </c>
      <c r="AA149" s="7" t="e">
        <f t="shared" si="34"/>
        <v>#NAME?</v>
      </c>
      <c r="AB149" s="7" t="e">
        <f t="shared" si="34"/>
        <v>#NAME?</v>
      </c>
      <c r="AC149" s="7" t="e">
        <f t="shared" si="34"/>
        <v>#NAME?</v>
      </c>
      <c r="AD149" s="7" t="e">
        <f t="shared" si="34"/>
        <v>#NAME?</v>
      </c>
      <c r="AE149" s="7" t="e">
        <f t="shared" si="34"/>
        <v>#NAME?</v>
      </c>
      <c r="AF149" s="7" t="e">
        <f t="shared" si="34"/>
        <v>#NAME?</v>
      </c>
      <c r="AG149" s="7" t="e">
        <f t="shared" si="34"/>
        <v>#NAME?</v>
      </c>
      <c r="AH149" s="7"/>
      <c r="AI149" s="7"/>
      <c r="AJ149" s="7"/>
      <c r="AK149" s="7"/>
      <c r="AM149" s="7"/>
      <c r="AN149" s="7"/>
      <c r="AO149" s="7"/>
    </row>
    <row r="150" spans="1:48">
      <c r="A150" s="7">
        <f t="shared" si="33"/>
        <v>19</v>
      </c>
      <c r="B150" s="7" t="e">
        <f t="shared" ref="B150:AG150" si="35">B21*mult</f>
        <v>#NAME?</v>
      </c>
      <c r="C150" s="7" t="e">
        <f t="shared" si="35"/>
        <v>#NAME?</v>
      </c>
      <c r="D150" s="7" t="e">
        <f t="shared" si="35"/>
        <v>#NAME?</v>
      </c>
      <c r="E150" s="7" t="e">
        <f t="shared" si="35"/>
        <v>#NAME?</v>
      </c>
      <c r="F150" s="7" t="e">
        <f t="shared" si="35"/>
        <v>#NAME?</v>
      </c>
      <c r="G150" s="7" t="e">
        <f t="shared" si="35"/>
        <v>#NAME?</v>
      </c>
      <c r="H150" s="7" t="e">
        <f t="shared" si="35"/>
        <v>#NAME?</v>
      </c>
      <c r="I150" s="7" t="e">
        <f t="shared" si="35"/>
        <v>#NAME?</v>
      </c>
      <c r="J150" s="7" t="e">
        <f t="shared" si="35"/>
        <v>#NAME?</v>
      </c>
      <c r="K150" s="7" t="e">
        <f t="shared" si="35"/>
        <v>#NAME?</v>
      </c>
      <c r="L150" s="7" t="e">
        <f t="shared" si="35"/>
        <v>#NAME?</v>
      </c>
      <c r="M150" s="7" t="e">
        <f t="shared" si="35"/>
        <v>#NAME?</v>
      </c>
      <c r="N150" s="7" t="e">
        <f t="shared" si="35"/>
        <v>#NAME?</v>
      </c>
      <c r="O150" s="7" t="e">
        <f t="shared" si="35"/>
        <v>#NAME?</v>
      </c>
      <c r="P150" s="7" t="e">
        <f t="shared" si="35"/>
        <v>#NAME?</v>
      </c>
      <c r="Q150" s="7" t="e">
        <f t="shared" si="35"/>
        <v>#NAME?</v>
      </c>
      <c r="R150" s="7" t="e">
        <f t="shared" si="35"/>
        <v>#NAME?</v>
      </c>
      <c r="S150" s="7" t="e">
        <f t="shared" si="35"/>
        <v>#NAME?</v>
      </c>
      <c r="T150" s="7"/>
      <c r="U150" s="7" t="e">
        <f t="shared" si="35"/>
        <v>#NAME?</v>
      </c>
      <c r="V150" s="7" t="e">
        <f t="shared" si="35"/>
        <v>#NAME?</v>
      </c>
      <c r="W150" s="7" t="e">
        <f t="shared" si="35"/>
        <v>#NAME?</v>
      </c>
      <c r="X150" s="7" t="e">
        <f t="shared" si="35"/>
        <v>#NAME?</v>
      </c>
      <c r="Y150" s="7" t="e">
        <f t="shared" si="35"/>
        <v>#NAME?</v>
      </c>
      <c r="Z150" s="7" t="e">
        <f t="shared" si="35"/>
        <v>#NAME?</v>
      </c>
      <c r="AA150" s="7" t="e">
        <f t="shared" si="35"/>
        <v>#NAME?</v>
      </c>
      <c r="AB150" s="7" t="e">
        <f t="shared" si="35"/>
        <v>#NAME?</v>
      </c>
      <c r="AC150" s="7" t="e">
        <f t="shared" si="35"/>
        <v>#NAME?</v>
      </c>
      <c r="AD150" s="7" t="e">
        <f t="shared" si="35"/>
        <v>#NAME?</v>
      </c>
      <c r="AE150" s="7" t="e">
        <f t="shared" si="35"/>
        <v>#NAME?</v>
      </c>
      <c r="AF150" s="7" t="e">
        <f t="shared" si="35"/>
        <v>#NAME?</v>
      </c>
      <c r="AG150" s="7" t="e">
        <f t="shared" si="35"/>
        <v>#NAME?</v>
      </c>
      <c r="AH150" s="7"/>
      <c r="AI150" s="7"/>
      <c r="AJ150" s="7"/>
      <c r="AK150" s="7"/>
      <c r="AM150" s="7"/>
      <c r="AN150" s="7"/>
      <c r="AO150" s="7"/>
    </row>
    <row r="151" spans="1:48">
      <c r="A151" s="7">
        <f t="shared" si="33"/>
        <v>20</v>
      </c>
      <c r="B151" s="7" t="e">
        <f t="shared" ref="B151:AG151" si="36">B22*mult</f>
        <v>#NAME?</v>
      </c>
      <c r="C151" s="7" t="e">
        <f t="shared" si="36"/>
        <v>#NAME?</v>
      </c>
      <c r="D151" s="7" t="e">
        <f t="shared" si="36"/>
        <v>#NAME?</v>
      </c>
      <c r="E151" s="7" t="e">
        <f t="shared" si="36"/>
        <v>#NAME?</v>
      </c>
      <c r="F151" s="7" t="e">
        <f t="shared" si="36"/>
        <v>#NAME?</v>
      </c>
      <c r="G151" s="7" t="e">
        <f t="shared" si="36"/>
        <v>#NAME?</v>
      </c>
      <c r="H151" s="7" t="e">
        <f t="shared" si="36"/>
        <v>#NAME?</v>
      </c>
      <c r="I151" s="7" t="e">
        <f t="shared" si="36"/>
        <v>#NAME?</v>
      </c>
      <c r="J151" s="7" t="e">
        <f t="shared" si="36"/>
        <v>#NAME?</v>
      </c>
      <c r="K151" s="7" t="e">
        <f t="shared" si="36"/>
        <v>#NAME?</v>
      </c>
      <c r="L151" s="7" t="e">
        <f t="shared" si="36"/>
        <v>#NAME?</v>
      </c>
      <c r="M151" s="7" t="e">
        <f t="shared" si="36"/>
        <v>#NAME?</v>
      </c>
      <c r="N151" s="7" t="e">
        <f t="shared" si="36"/>
        <v>#NAME?</v>
      </c>
      <c r="O151" s="7" t="e">
        <f t="shared" si="36"/>
        <v>#NAME?</v>
      </c>
      <c r="P151" s="7" t="e">
        <f t="shared" si="36"/>
        <v>#NAME?</v>
      </c>
      <c r="Q151" s="7" t="e">
        <f t="shared" si="36"/>
        <v>#NAME?</v>
      </c>
      <c r="R151" s="7" t="e">
        <f t="shared" si="36"/>
        <v>#NAME?</v>
      </c>
      <c r="S151" s="7" t="e">
        <f t="shared" si="36"/>
        <v>#NAME?</v>
      </c>
      <c r="T151" s="7"/>
      <c r="U151" s="7" t="e">
        <f t="shared" si="36"/>
        <v>#NAME?</v>
      </c>
      <c r="V151" s="7" t="e">
        <f t="shared" si="36"/>
        <v>#NAME?</v>
      </c>
      <c r="W151" s="7" t="e">
        <f t="shared" si="36"/>
        <v>#NAME?</v>
      </c>
      <c r="X151" s="7" t="e">
        <f t="shared" si="36"/>
        <v>#NAME?</v>
      </c>
      <c r="Y151" s="7" t="e">
        <f t="shared" si="36"/>
        <v>#NAME?</v>
      </c>
      <c r="Z151" s="7" t="e">
        <f t="shared" si="36"/>
        <v>#NAME?</v>
      </c>
      <c r="AA151" s="7" t="e">
        <f t="shared" si="36"/>
        <v>#NAME?</v>
      </c>
      <c r="AB151" s="7" t="e">
        <f t="shared" si="36"/>
        <v>#NAME?</v>
      </c>
      <c r="AC151" s="7" t="e">
        <f t="shared" si="36"/>
        <v>#NAME?</v>
      </c>
      <c r="AD151" s="7" t="e">
        <f t="shared" si="36"/>
        <v>#NAME?</v>
      </c>
      <c r="AE151" s="7" t="e">
        <f t="shared" si="36"/>
        <v>#NAME?</v>
      </c>
      <c r="AF151" s="7" t="e">
        <f t="shared" si="36"/>
        <v>#NAME?</v>
      </c>
      <c r="AG151" s="7" t="e">
        <f t="shared" si="36"/>
        <v>#NAME?</v>
      </c>
      <c r="AH151" s="7"/>
      <c r="AI151" s="7"/>
      <c r="AJ151" s="7"/>
      <c r="AK151" s="7"/>
      <c r="AM151" s="7"/>
      <c r="AN151" s="7"/>
      <c r="AO151" s="7"/>
    </row>
    <row r="152" spans="1:48">
      <c r="A152" s="7">
        <f t="shared" si="33"/>
        <v>21</v>
      </c>
      <c r="B152" s="7" t="e">
        <f t="shared" ref="B152:AG152" si="37">B23*mult</f>
        <v>#NAME?</v>
      </c>
      <c r="C152" s="7" t="e">
        <f t="shared" si="37"/>
        <v>#NAME?</v>
      </c>
      <c r="D152" s="7" t="e">
        <f t="shared" si="37"/>
        <v>#NAME?</v>
      </c>
      <c r="E152" s="7" t="e">
        <f t="shared" si="37"/>
        <v>#NAME?</v>
      </c>
      <c r="F152" s="7" t="e">
        <f t="shared" si="37"/>
        <v>#NAME?</v>
      </c>
      <c r="G152" s="7" t="e">
        <f t="shared" si="37"/>
        <v>#NAME?</v>
      </c>
      <c r="H152" s="7" t="e">
        <f t="shared" si="37"/>
        <v>#NAME?</v>
      </c>
      <c r="I152" s="7" t="e">
        <f t="shared" si="37"/>
        <v>#NAME?</v>
      </c>
      <c r="J152" s="7" t="e">
        <f t="shared" si="37"/>
        <v>#NAME?</v>
      </c>
      <c r="K152" s="7" t="e">
        <f t="shared" si="37"/>
        <v>#NAME?</v>
      </c>
      <c r="L152" s="7" t="e">
        <f t="shared" si="37"/>
        <v>#NAME?</v>
      </c>
      <c r="M152" s="7" t="e">
        <f t="shared" si="37"/>
        <v>#NAME?</v>
      </c>
      <c r="N152" s="7" t="e">
        <f t="shared" si="37"/>
        <v>#NAME?</v>
      </c>
      <c r="O152" s="7" t="e">
        <f t="shared" si="37"/>
        <v>#NAME?</v>
      </c>
      <c r="P152" s="7" t="e">
        <f t="shared" si="37"/>
        <v>#NAME?</v>
      </c>
      <c r="Q152" s="7" t="e">
        <f t="shared" si="37"/>
        <v>#NAME?</v>
      </c>
      <c r="R152" s="7" t="e">
        <f t="shared" si="37"/>
        <v>#NAME?</v>
      </c>
      <c r="S152" s="7" t="e">
        <f t="shared" si="37"/>
        <v>#NAME?</v>
      </c>
      <c r="T152" s="7"/>
      <c r="U152" s="7" t="e">
        <f t="shared" si="37"/>
        <v>#NAME?</v>
      </c>
      <c r="V152" s="7" t="e">
        <f t="shared" si="37"/>
        <v>#NAME?</v>
      </c>
      <c r="W152" s="7" t="e">
        <f t="shared" si="37"/>
        <v>#NAME?</v>
      </c>
      <c r="X152" s="7" t="e">
        <f t="shared" si="37"/>
        <v>#NAME?</v>
      </c>
      <c r="Y152" s="7" t="e">
        <f t="shared" si="37"/>
        <v>#NAME?</v>
      </c>
      <c r="Z152" s="7" t="e">
        <f t="shared" si="37"/>
        <v>#NAME?</v>
      </c>
      <c r="AA152" s="7" t="e">
        <f t="shared" si="37"/>
        <v>#NAME?</v>
      </c>
      <c r="AB152" s="7" t="e">
        <f t="shared" si="37"/>
        <v>#NAME?</v>
      </c>
      <c r="AC152" s="7" t="e">
        <f t="shared" si="37"/>
        <v>#NAME?</v>
      </c>
      <c r="AD152" s="7" t="e">
        <f t="shared" si="37"/>
        <v>#NAME?</v>
      </c>
      <c r="AE152" s="7" t="e">
        <f t="shared" si="37"/>
        <v>#NAME?</v>
      </c>
      <c r="AF152" s="7" t="e">
        <f t="shared" si="37"/>
        <v>#NAME?</v>
      </c>
      <c r="AG152" s="7" t="e">
        <f t="shared" si="37"/>
        <v>#NAME?</v>
      </c>
      <c r="AH152" s="7"/>
      <c r="AI152" s="7"/>
      <c r="AJ152" s="7"/>
      <c r="AK152" s="7"/>
      <c r="AM152" s="7"/>
      <c r="AN152" s="7"/>
      <c r="AO152" s="7"/>
    </row>
    <row r="153" spans="1:48">
      <c r="A153" s="7">
        <f t="shared" si="33"/>
        <v>22</v>
      </c>
      <c r="B153" s="7" t="e">
        <f t="shared" ref="B153:AG153" si="38">B24*mult</f>
        <v>#NAME?</v>
      </c>
      <c r="C153" s="7" t="e">
        <f t="shared" si="38"/>
        <v>#NAME?</v>
      </c>
      <c r="D153" s="7" t="e">
        <f t="shared" si="38"/>
        <v>#NAME?</v>
      </c>
      <c r="E153" s="7" t="e">
        <f t="shared" si="38"/>
        <v>#NAME?</v>
      </c>
      <c r="F153" s="7" t="e">
        <f t="shared" si="38"/>
        <v>#NAME?</v>
      </c>
      <c r="G153" s="7" t="e">
        <f t="shared" si="38"/>
        <v>#NAME?</v>
      </c>
      <c r="H153" s="7" t="e">
        <f t="shared" si="38"/>
        <v>#NAME?</v>
      </c>
      <c r="I153" s="7" t="e">
        <f t="shared" si="38"/>
        <v>#NAME?</v>
      </c>
      <c r="J153" s="7" t="e">
        <f t="shared" si="38"/>
        <v>#NAME?</v>
      </c>
      <c r="K153" s="7" t="e">
        <f t="shared" si="38"/>
        <v>#NAME?</v>
      </c>
      <c r="L153" s="7" t="e">
        <f t="shared" si="38"/>
        <v>#NAME?</v>
      </c>
      <c r="M153" s="7" t="e">
        <f t="shared" si="38"/>
        <v>#NAME?</v>
      </c>
      <c r="N153" s="7" t="e">
        <f t="shared" si="38"/>
        <v>#NAME?</v>
      </c>
      <c r="O153" s="7" t="e">
        <f t="shared" si="38"/>
        <v>#NAME?</v>
      </c>
      <c r="P153" s="7" t="e">
        <f t="shared" si="38"/>
        <v>#NAME?</v>
      </c>
      <c r="Q153" s="7" t="e">
        <f t="shared" si="38"/>
        <v>#NAME?</v>
      </c>
      <c r="R153" s="7" t="e">
        <f t="shared" si="38"/>
        <v>#NAME?</v>
      </c>
      <c r="S153" s="7" t="e">
        <f t="shared" si="38"/>
        <v>#NAME?</v>
      </c>
      <c r="T153" s="7"/>
      <c r="U153" s="7" t="e">
        <f t="shared" si="38"/>
        <v>#NAME?</v>
      </c>
      <c r="V153" s="7" t="e">
        <f t="shared" si="38"/>
        <v>#NAME?</v>
      </c>
      <c r="W153" s="7" t="e">
        <f t="shared" si="38"/>
        <v>#NAME?</v>
      </c>
      <c r="X153" s="7" t="e">
        <f t="shared" si="38"/>
        <v>#NAME?</v>
      </c>
      <c r="Y153" s="7" t="e">
        <f t="shared" si="38"/>
        <v>#NAME?</v>
      </c>
      <c r="Z153" s="7" t="e">
        <f t="shared" si="38"/>
        <v>#NAME?</v>
      </c>
      <c r="AA153" s="7" t="e">
        <f t="shared" si="38"/>
        <v>#NAME?</v>
      </c>
      <c r="AB153" s="7" t="e">
        <f t="shared" si="38"/>
        <v>#NAME?</v>
      </c>
      <c r="AC153" s="7" t="e">
        <f t="shared" si="38"/>
        <v>#NAME?</v>
      </c>
      <c r="AD153" s="7" t="e">
        <f t="shared" si="38"/>
        <v>#NAME?</v>
      </c>
      <c r="AE153" s="7" t="e">
        <f t="shared" si="38"/>
        <v>#NAME?</v>
      </c>
      <c r="AF153" s="7" t="e">
        <f t="shared" si="38"/>
        <v>#NAME?</v>
      </c>
      <c r="AG153" s="7" t="e">
        <f t="shared" si="38"/>
        <v>#NAME?</v>
      </c>
      <c r="AH153" s="7"/>
      <c r="AI153" s="7"/>
      <c r="AJ153" s="7"/>
      <c r="AK153" s="7"/>
      <c r="AM153" s="7"/>
      <c r="AN153" s="7"/>
      <c r="AO153" s="7"/>
    </row>
    <row r="154" spans="1:48">
      <c r="A154" s="7">
        <f t="shared" si="33"/>
        <v>23</v>
      </c>
      <c r="B154" s="7" t="e">
        <f t="shared" ref="B154:AG154" si="39">B25*mult</f>
        <v>#NAME?</v>
      </c>
      <c r="C154" s="7" t="e">
        <f t="shared" si="39"/>
        <v>#NAME?</v>
      </c>
      <c r="D154" s="7" t="e">
        <f t="shared" si="39"/>
        <v>#NAME?</v>
      </c>
      <c r="E154" s="7" t="e">
        <f t="shared" si="39"/>
        <v>#NAME?</v>
      </c>
      <c r="F154" s="7" t="e">
        <f t="shared" si="39"/>
        <v>#NAME?</v>
      </c>
      <c r="G154" s="7" t="e">
        <f t="shared" si="39"/>
        <v>#NAME?</v>
      </c>
      <c r="H154" s="7" t="e">
        <f t="shared" si="39"/>
        <v>#NAME?</v>
      </c>
      <c r="I154" s="7" t="e">
        <f t="shared" si="39"/>
        <v>#NAME?</v>
      </c>
      <c r="J154" s="7" t="e">
        <f t="shared" si="39"/>
        <v>#NAME?</v>
      </c>
      <c r="K154" s="7" t="e">
        <f t="shared" si="39"/>
        <v>#NAME?</v>
      </c>
      <c r="L154" s="7" t="e">
        <f t="shared" si="39"/>
        <v>#NAME?</v>
      </c>
      <c r="M154" s="7" t="e">
        <f t="shared" si="39"/>
        <v>#NAME?</v>
      </c>
      <c r="N154" s="7" t="e">
        <f t="shared" si="39"/>
        <v>#NAME?</v>
      </c>
      <c r="O154" s="7" t="e">
        <f t="shared" si="39"/>
        <v>#NAME?</v>
      </c>
      <c r="P154" s="7" t="e">
        <f t="shared" si="39"/>
        <v>#NAME?</v>
      </c>
      <c r="Q154" s="7" t="e">
        <f t="shared" si="39"/>
        <v>#NAME?</v>
      </c>
      <c r="R154" s="7" t="e">
        <f t="shared" si="39"/>
        <v>#NAME?</v>
      </c>
      <c r="S154" s="7" t="e">
        <f t="shared" si="39"/>
        <v>#NAME?</v>
      </c>
      <c r="T154" s="7"/>
      <c r="U154" s="7" t="e">
        <f t="shared" si="39"/>
        <v>#NAME?</v>
      </c>
      <c r="V154" s="7" t="e">
        <f t="shared" si="39"/>
        <v>#NAME?</v>
      </c>
      <c r="W154" s="7" t="e">
        <f t="shared" si="39"/>
        <v>#NAME?</v>
      </c>
      <c r="X154" s="7" t="e">
        <f t="shared" si="39"/>
        <v>#NAME?</v>
      </c>
      <c r="Y154" s="7" t="e">
        <f t="shared" si="39"/>
        <v>#NAME?</v>
      </c>
      <c r="Z154" s="7" t="e">
        <f t="shared" si="39"/>
        <v>#NAME?</v>
      </c>
      <c r="AA154" s="7" t="e">
        <f t="shared" si="39"/>
        <v>#NAME?</v>
      </c>
      <c r="AB154" s="7" t="e">
        <f t="shared" si="39"/>
        <v>#NAME?</v>
      </c>
      <c r="AC154" s="7" t="e">
        <f t="shared" si="39"/>
        <v>#NAME?</v>
      </c>
      <c r="AD154" s="7" t="e">
        <f t="shared" si="39"/>
        <v>#NAME?</v>
      </c>
      <c r="AE154" s="7" t="e">
        <f t="shared" si="39"/>
        <v>#NAME?</v>
      </c>
      <c r="AF154" s="7" t="e">
        <f t="shared" si="39"/>
        <v>#NAME?</v>
      </c>
      <c r="AG154" s="7" t="e">
        <f t="shared" si="39"/>
        <v>#NAME?</v>
      </c>
      <c r="AH154" s="7"/>
      <c r="AI154" s="7"/>
      <c r="AJ154" s="7"/>
      <c r="AK154" s="7"/>
      <c r="AM154" s="7"/>
      <c r="AN154" s="7"/>
      <c r="AO154" s="7"/>
    </row>
    <row r="155" spans="1:48">
      <c r="A155" s="7">
        <f t="shared" si="33"/>
        <v>24</v>
      </c>
      <c r="B155" s="7" t="e">
        <f t="shared" ref="B155:AG155" si="40">B26*mult</f>
        <v>#NAME?</v>
      </c>
      <c r="C155" s="7" t="e">
        <f t="shared" si="40"/>
        <v>#NAME?</v>
      </c>
      <c r="D155" s="7" t="e">
        <f t="shared" si="40"/>
        <v>#NAME?</v>
      </c>
      <c r="E155" s="7" t="e">
        <f t="shared" si="40"/>
        <v>#NAME?</v>
      </c>
      <c r="F155" s="7" t="e">
        <f t="shared" si="40"/>
        <v>#NAME?</v>
      </c>
      <c r="G155" s="7" t="e">
        <f t="shared" si="40"/>
        <v>#NAME?</v>
      </c>
      <c r="H155" s="7" t="e">
        <f t="shared" si="40"/>
        <v>#NAME?</v>
      </c>
      <c r="I155" s="7" t="e">
        <f t="shared" si="40"/>
        <v>#NAME?</v>
      </c>
      <c r="J155" s="7" t="e">
        <f t="shared" si="40"/>
        <v>#NAME?</v>
      </c>
      <c r="K155" s="7" t="e">
        <f t="shared" si="40"/>
        <v>#NAME?</v>
      </c>
      <c r="L155" s="7" t="e">
        <f t="shared" si="40"/>
        <v>#NAME?</v>
      </c>
      <c r="M155" s="7" t="e">
        <f t="shared" si="40"/>
        <v>#NAME?</v>
      </c>
      <c r="N155" s="7" t="e">
        <f t="shared" si="40"/>
        <v>#NAME?</v>
      </c>
      <c r="O155" s="7" t="e">
        <f t="shared" si="40"/>
        <v>#NAME?</v>
      </c>
      <c r="P155" s="7" t="e">
        <f t="shared" si="40"/>
        <v>#NAME?</v>
      </c>
      <c r="Q155" s="7" t="e">
        <f t="shared" si="40"/>
        <v>#NAME?</v>
      </c>
      <c r="R155" s="7" t="e">
        <f t="shared" si="40"/>
        <v>#NAME?</v>
      </c>
      <c r="S155" s="7" t="e">
        <f t="shared" si="40"/>
        <v>#NAME?</v>
      </c>
      <c r="T155" s="7"/>
      <c r="U155" s="7" t="e">
        <f t="shared" si="40"/>
        <v>#NAME?</v>
      </c>
      <c r="V155" s="7" t="e">
        <f t="shared" si="40"/>
        <v>#NAME?</v>
      </c>
      <c r="W155" s="7" t="e">
        <f t="shared" si="40"/>
        <v>#NAME?</v>
      </c>
      <c r="X155" s="7" t="e">
        <f t="shared" si="40"/>
        <v>#NAME?</v>
      </c>
      <c r="Y155" s="7" t="e">
        <f t="shared" si="40"/>
        <v>#NAME?</v>
      </c>
      <c r="Z155" s="7" t="e">
        <f t="shared" si="40"/>
        <v>#NAME?</v>
      </c>
      <c r="AA155" s="7" t="e">
        <f t="shared" si="40"/>
        <v>#NAME?</v>
      </c>
      <c r="AB155" s="7" t="e">
        <f t="shared" si="40"/>
        <v>#NAME?</v>
      </c>
      <c r="AC155" s="7" t="e">
        <f t="shared" si="40"/>
        <v>#NAME?</v>
      </c>
      <c r="AD155" s="7" t="e">
        <f t="shared" si="40"/>
        <v>#NAME?</v>
      </c>
      <c r="AE155" s="7" t="e">
        <f t="shared" si="40"/>
        <v>#NAME?</v>
      </c>
      <c r="AF155" s="7" t="e">
        <f t="shared" si="40"/>
        <v>#NAME?</v>
      </c>
      <c r="AG155" s="7" t="e">
        <f t="shared" si="40"/>
        <v>#NAME?</v>
      </c>
      <c r="AH155" s="7"/>
      <c r="AI155" s="7"/>
      <c r="AJ155" s="7"/>
      <c r="AK155" s="7"/>
      <c r="AM155" s="7"/>
      <c r="AN155" s="7"/>
      <c r="AO155" s="7"/>
    </row>
    <row r="156" spans="1:48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 t="str">
        <f>AH1</f>
        <v>STDEV</v>
      </c>
      <c r="AI156" s="7" t="str">
        <f t="shared" ref="AI156:AK156" si="41">AI1</f>
        <v>-1.5σ</v>
      </c>
      <c r="AJ156" s="7" t="str">
        <f t="shared" si="41"/>
        <v>MEAN</v>
      </c>
      <c r="AK156" s="7" t="str">
        <f t="shared" si="41"/>
        <v>+1.5σ</v>
      </c>
      <c r="AM156" s="7"/>
      <c r="AN156" s="7"/>
      <c r="AO156" s="7"/>
    </row>
    <row r="157" spans="1:48">
      <c r="A157" s="7">
        <f>MAX(A131:A155)-A158</f>
        <v>24</v>
      </c>
      <c r="B157" s="7" t="e">
        <f t="shared" ref="B157:AG157" si="42">MAX(B131:B155)-B158</f>
        <v>#NAME?</v>
      </c>
      <c r="C157" s="7" t="e">
        <f t="shared" si="42"/>
        <v>#NAME?</v>
      </c>
      <c r="D157" s="7" t="e">
        <f t="shared" si="42"/>
        <v>#NAME?</v>
      </c>
      <c r="E157" s="7" t="e">
        <f t="shared" si="42"/>
        <v>#NAME?</v>
      </c>
      <c r="F157" s="7" t="e">
        <f t="shared" si="42"/>
        <v>#NAME?</v>
      </c>
      <c r="G157" s="7" t="e">
        <f t="shared" si="42"/>
        <v>#NAME?</v>
      </c>
      <c r="H157" s="7" t="e">
        <f t="shared" si="42"/>
        <v>#NAME?</v>
      </c>
      <c r="I157" s="7" t="e">
        <f t="shared" si="42"/>
        <v>#NAME?</v>
      </c>
      <c r="J157" s="7" t="e">
        <f t="shared" si="42"/>
        <v>#NAME?</v>
      </c>
      <c r="K157" s="7" t="e">
        <f t="shared" si="42"/>
        <v>#NAME?</v>
      </c>
      <c r="L157" s="7" t="e">
        <f t="shared" si="42"/>
        <v>#NAME?</v>
      </c>
      <c r="M157" s="7" t="e">
        <f t="shared" si="42"/>
        <v>#NAME?</v>
      </c>
      <c r="N157" s="7" t="e">
        <f t="shared" si="42"/>
        <v>#NAME?</v>
      </c>
      <c r="O157" s="7" t="e">
        <f t="shared" si="42"/>
        <v>#NAME?</v>
      </c>
      <c r="P157" s="7" t="e">
        <f t="shared" si="42"/>
        <v>#NAME?</v>
      </c>
      <c r="Q157" s="7" t="e">
        <f t="shared" si="42"/>
        <v>#NAME?</v>
      </c>
      <c r="R157" s="7" t="e">
        <f t="shared" si="42"/>
        <v>#NAME?</v>
      </c>
      <c r="S157" s="7" t="e">
        <f t="shared" si="42"/>
        <v>#NAME?</v>
      </c>
      <c r="T157" s="7"/>
      <c r="U157" s="7" t="e">
        <f t="shared" si="42"/>
        <v>#NAME?</v>
      </c>
      <c r="V157" s="7" t="e">
        <f t="shared" si="42"/>
        <v>#NAME?</v>
      </c>
      <c r="W157" s="7" t="e">
        <f t="shared" si="42"/>
        <v>#NAME?</v>
      </c>
      <c r="X157" s="7" t="e">
        <f t="shared" si="42"/>
        <v>#NAME?</v>
      </c>
      <c r="Y157" s="7" t="e">
        <f t="shared" si="42"/>
        <v>#NAME?</v>
      </c>
      <c r="Z157" s="7" t="e">
        <f t="shared" si="42"/>
        <v>#NAME?</v>
      </c>
      <c r="AA157" s="7" t="e">
        <f t="shared" si="42"/>
        <v>#NAME?</v>
      </c>
      <c r="AB157" s="7" t="e">
        <f t="shared" si="42"/>
        <v>#NAME?</v>
      </c>
      <c r="AC157" s="7" t="e">
        <f t="shared" si="42"/>
        <v>#NAME?</v>
      </c>
      <c r="AD157" s="7" t="e">
        <f t="shared" si="42"/>
        <v>#NAME?</v>
      </c>
      <c r="AE157" s="7" t="e">
        <f t="shared" si="42"/>
        <v>#NAME?</v>
      </c>
      <c r="AF157" s="7" t="e">
        <f t="shared" si="42"/>
        <v>#NAME?</v>
      </c>
      <c r="AG157" s="7" t="e">
        <f t="shared" si="42"/>
        <v>#NAME?</v>
      </c>
      <c r="AH157" s="7" t="e">
        <f t="shared" ref="AH157:AH215" si="43">STDEV(B157:AG157)</f>
        <v>#NAME?</v>
      </c>
      <c r="AI157" s="7" t="e">
        <f t="shared" ref="AI157:AI216" si="44">AJ157-1.5*AH157</f>
        <v>#NAME?</v>
      </c>
      <c r="AJ157" s="8" t="e">
        <f t="shared" ref="AJ157:AJ216" si="45">AVERAGE(B157:AG157)</f>
        <v>#NAME?</v>
      </c>
      <c r="AK157" s="7" t="e">
        <f t="shared" ref="AK157:AK216" si="46">AJ157+1.5*AH157</f>
        <v>#NAME?</v>
      </c>
      <c r="AM157" s="7"/>
      <c r="AN157" s="7"/>
      <c r="AO157" s="7"/>
    </row>
    <row r="158" spans="1:48">
      <c r="A158" s="7">
        <f>MIN(A131:A155)</f>
        <v>0</v>
      </c>
      <c r="B158" s="7" t="e">
        <f t="shared" ref="B158:AG158" si="47">MIN(B131:B155)</f>
        <v>#NAME?</v>
      </c>
      <c r="C158" s="7" t="e">
        <f t="shared" si="47"/>
        <v>#NAME?</v>
      </c>
      <c r="D158" s="7" t="e">
        <f t="shared" si="47"/>
        <v>#NAME?</v>
      </c>
      <c r="E158" s="7" t="e">
        <f t="shared" si="47"/>
        <v>#NAME?</v>
      </c>
      <c r="F158" s="7" t="e">
        <f t="shared" si="47"/>
        <v>#NAME?</v>
      </c>
      <c r="G158" s="7" t="e">
        <f t="shared" si="47"/>
        <v>#NAME?</v>
      </c>
      <c r="H158" s="7" t="e">
        <f t="shared" si="47"/>
        <v>#NAME?</v>
      </c>
      <c r="I158" s="7" t="e">
        <f t="shared" si="47"/>
        <v>#NAME?</v>
      </c>
      <c r="J158" s="7" t="e">
        <f t="shared" si="47"/>
        <v>#NAME?</v>
      </c>
      <c r="K158" s="7" t="e">
        <f t="shared" si="47"/>
        <v>#NAME?</v>
      </c>
      <c r="L158" s="7" t="e">
        <f t="shared" si="47"/>
        <v>#NAME?</v>
      </c>
      <c r="M158" s="7" t="e">
        <f t="shared" si="47"/>
        <v>#NAME?</v>
      </c>
      <c r="N158" s="7" t="e">
        <f t="shared" si="47"/>
        <v>#NAME?</v>
      </c>
      <c r="O158" s="7" t="e">
        <f t="shared" si="47"/>
        <v>#NAME?</v>
      </c>
      <c r="P158" s="7" t="e">
        <f t="shared" si="47"/>
        <v>#NAME?</v>
      </c>
      <c r="Q158" s="7" t="e">
        <f t="shared" si="47"/>
        <v>#NAME?</v>
      </c>
      <c r="R158" s="7" t="e">
        <f t="shared" si="47"/>
        <v>#NAME?</v>
      </c>
      <c r="S158" s="7" t="e">
        <f t="shared" si="47"/>
        <v>#NAME?</v>
      </c>
      <c r="T158" s="7"/>
      <c r="U158" s="7" t="e">
        <f t="shared" si="47"/>
        <v>#NAME?</v>
      </c>
      <c r="V158" s="7" t="e">
        <f t="shared" si="47"/>
        <v>#NAME?</v>
      </c>
      <c r="W158" s="7" t="e">
        <f t="shared" si="47"/>
        <v>#NAME?</v>
      </c>
      <c r="X158" s="7" t="e">
        <f t="shared" si="47"/>
        <v>#NAME?</v>
      </c>
      <c r="Y158" s="7" t="e">
        <f t="shared" si="47"/>
        <v>#NAME?</v>
      </c>
      <c r="Z158" s="7" t="e">
        <f t="shared" si="47"/>
        <v>#NAME?</v>
      </c>
      <c r="AA158" s="7" t="e">
        <f t="shared" si="47"/>
        <v>#NAME?</v>
      </c>
      <c r="AB158" s="7" t="e">
        <f t="shared" si="47"/>
        <v>#NAME?</v>
      </c>
      <c r="AC158" s="7" t="e">
        <f t="shared" si="47"/>
        <v>#NAME?</v>
      </c>
      <c r="AD158" s="7" t="e">
        <f t="shared" si="47"/>
        <v>#NAME?</v>
      </c>
      <c r="AE158" s="7" t="e">
        <f t="shared" si="47"/>
        <v>#NAME?</v>
      </c>
      <c r="AF158" s="7" t="e">
        <f t="shared" si="47"/>
        <v>#NAME?</v>
      </c>
      <c r="AG158" s="7" t="e">
        <f t="shared" si="47"/>
        <v>#NAME?</v>
      </c>
      <c r="AH158" s="7" t="e">
        <f t="shared" si="43"/>
        <v>#NAME?</v>
      </c>
      <c r="AI158" s="7" t="e">
        <f t="shared" si="44"/>
        <v>#NAME?</v>
      </c>
      <c r="AJ158" s="8" t="e">
        <f t="shared" si="45"/>
        <v>#NAME?</v>
      </c>
      <c r="AK158" s="7" t="e">
        <f t="shared" si="46"/>
        <v>#NAME?</v>
      </c>
      <c r="AM158" s="7"/>
      <c r="AN158" s="7"/>
      <c r="AO158" s="7"/>
    </row>
    <row r="159" spans="1:48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8"/>
      <c r="AK159" s="7"/>
      <c r="AM159" s="7"/>
      <c r="AN159" s="7"/>
      <c r="AO159" s="7"/>
      <c r="AP159" s="7"/>
      <c r="AU159" s="7"/>
      <c r="AV159" s="7"/>
    </row>
    <row r="160" spans="1:48">
      <c r="A160" s="7" t="s">
        <v>0</v>
      </c>
      <c r="B160" s="7" t="e">
        <f>B157/$A157</f>
        <v>#NAME?</v>
      </c>
      <c r="C160" s="7" t="e">
        <f t="shared" ref="C160:AG160" si="48">C157/$A157</f>
        <v>#NAME?</v>
      </c>
      <c r="D160" s="7" t="e">
        <f t="shared" si="48"/>
        <v>#NAME?</v>
      </c>
      <c r="E160" s="7" t="e">
        <f t="shared" si="48"/>
        <v>#NAME?</v>
      </c>
      <c r="F160" s="7" t="e">
        <f t="shared" si="48"/>
        <v>#NAME?</v>
      </c>
      <c r="G160" s="7" t="e">
        <f t="shared" si="48"/>
        <v>#NAME?</v>
      </c>
      <c r="H160" s="7" t="e">
        <f t="shared" si="48"/>
        <v>#NAME?</v>
      </c>
      <c r="I160" s="7" t="e">
        <f t="shared" si="48"/>
        <v>#NAME?</v>
      </c>
      <c r="J160" s="7" t="e">
        <f t="shared" si="48"/>
        <v>#NAME?</v>
      </c>
      <c r="K160" s="7" t="e">
        <f t="shared" si="48"/>
        <v>#NAME?</v>
      </c>
      <c r="L160" s="7" t="e">
        <f t="shared" si="48"/>
        <v>#NAME?</v>
      </c>
      <c r="M160" s="7" t="e">
        <f t="shared" si="48"/>
        <v>#NAME?</v>
      </c>
      <c r="N160" s="7" t="e">
        <f t="shared" si="48"/>
        <v>#NAME?</v>
      </c>
      <c r="O160" s="7" t="e">
        <f t="shared" si="48"/>
        <v>#NAME?</v>
      </c>
      <c r="P160" s="7" t="e">
        <f t="shared" si="48"/>
        <v>#NAME?</v>
      </c>
      <c r="Q160" s="7" t="e">
        <f t="shared" si="48"/>
        <v>#NAME?</v>
      </c>
      <c r="R160" s="7" t="e">
        <f t="shared" si="48"/>
        <v>#NAME?</v>
      </c>
      <c r="S160" s="7" t="e">
        <f t="shared" si="48"/>
        <v>#NAME?</v>
      </c>
      <c r="T160" s="7"/>
      <c r="U160" s="7" t="e">
        <f t="shared" si="48"/>
        <v>#NAME?</v>
      </c>
      <c r="V160" s="7" t="e">
        <f t="shared" si="48"/>
        <v>#NAME?</v>
      </c>
      <c r="W160" s="7" t="e">
        <f t="shared" si="48"/>
        <v>#NAME?</v>
      </c>
      <c r="X160" s="7" t="e">
        <f t="shared" si="48"/>
        <v>#NAME?</v>
      </c>
      <c r="Y160" s="7" t="e">
        <f t="shared" si="48"/>
        <v>#NAME?</v>
      </c>
      <c r="Z160" s="7" t="e">
        <f t="shared" si="48"/>
        <v>#NAME?</v>
      </c>
      <c r="AA160" s="7" t="e">
        <f t="shared" si="48"/>
        <v>#NAME?</v>
      </c>
      <c r="AB160" s="7" t="e">
        <f t="shared" si="48"/>
        <v>#NAME?</v>
      </c>
      <c r="AC160" s="7" t="e">
        <f t="shared" si="48"/>
        <v>#NAME?</v>
      </c>
      <c r="AD160" s="7" t="e">
        <f t="shared" si="48"/>
        <v>#NAME?</v>
      </c>
      <c r="AE160" s="7" t="e">
        <f t="shared" si="48"/>
        <v>#NAME?</v>
      </c>
      <c r="AF160" s="7" t="e">
        <f t="shared" si="48"/>
        <v>#NAME?</v>
      </c>
      <c r="AG160" s="7" t="e">
        <f t="shared" si="48"/>
        <v>#NAME?</v>
      </c>
      <c r="AH160" s="7" t="e">
        <f t="shared" si="43"/>
        <v>#NAME?</v>
      </c>
      <c r="AI160" s="7" t="e">
        <f t="shared" si="44"/>
        <v>#NAME?</v>
      </c>
      <c r="AJ160" s="8" t="e">
        <f t="shared" si="45"/>
        <v>#NAME?</v>
      </c>
      <c r="AK160" s="7" t="e">
        <f t="shared" si="46"/>
        <v>#NAME?</v>
      </c>
      <c r="AO160" s="7"/>
      <c r="AP160" s="7"/>
      <c r="AQ160" s="7"/>
      <c r="AR160" s="7"/>
      <c r="AS160" s="7"/>
      <c r="AT160" s="7"/>
      <c r="AU160" s="7"/>
      <c r="AV160" s="7"/>
    </row>
    <row r="161" spans="1:48">
      <c r="A161" s="7" t="s">
        <v>1</v>
      </c>
      <c r="B161" s="7" t="e">
        <f>B131-B160*$A131</f>
        <v>#NAME?</v>
      </c>
      <c r="C161" s="7" t="e">
        <f t="shared" ref="C161:AG161" si="49">C131-C160*$A131</f>
        <v>#NAME?</v>
      </c>
      <c r="D161" s="7" t="e">
        <f t="shared" si="49"/>
        <v>#NAME?</v>
      </c>
      <c r="E161" s="7" t="e">
        <f t="shared" si="49"/>
        <v>#NAME?</v>
      </c>
      <c r="F161" s="7" t="e">
        <f t="shared" si="49"/>
        <v>#NAME?</v>
      </c>
      <c r="G161" s="7" t="e">
        <f t="shared" si="49"/>
        <v>#NAME?</v>
      </c>
      <c r="H161" s="7" t="e">
        <f t="shared" si="49"/>
        <v>#NAME?</v>
      </c>
      <c r="I161" s="7" t="e">
        <f t="shared" si="49"/>
        <v>#NAME?</v>
      </c>
      <c r="J161" s="7" t="e">
        <f t="shared" si="49"/>
        <v>#NAME?</v>
      </c>
      <c r="K161" s="7" t="e">
        <f t="shared" si="49"/>
        <v>#NAME?</v>
      </c>
      <c r="L161" s="7" t="e">
        <f t="shared" si="49"/>
        <v>#NAME?</v>
      </c>
      <c r="M161" s="7" t="e">
        <f t="shared" si="49"/>
        <v>#NAME?</v>
      </c>
      <c r="N161" s="7" t="e">
        <f t="shared" si="49"/>
        <v>#NAME?</v>
      </c>
      <c r="O161" s="7" t="e">
        <f t="shared" si="49"/>
        <v>#NAME?</v>
      </c>
      <c r="P161" s="7" t="e">
        <f t="shared" si="49"/>
        <v>#NAME?</v>
      </c>
      <c r="Q161" s="7" t="e">
        <f t="shared" si="49"/>
        <v>#NAME?</v>
      </c>
      <c r="R161" s="7" t="e">
        <f t="shared" si="49"/>
        <v>#NAME?</v>
      </c>
      <c r="S161" s="7" t="e">
        <f t="shared" si="49"/>
        <v>#NAME?</v>
      </c>
      <c r="T161" s="7"/>
      <c r="U161" s="7" t="e">
        <f t="shared" si="49"/>
        <v>#NAME?</v>
      </c>
      <c r="V161" s="7" t="e">
        <f t="shared" si="49"/>
        <v>#NAME?</v>
      </c>
      <c r="W161" s="7" t="e">
        <f t="shared" si="49"/>
        <v>#NAME?</v>
      </c>
      <c r="X161" s="7" t="e">
        <f t="shared" si="49"/>
        <v>#NAME?</v>
      </c>
      <c r="Y161" s="7" t="e">
        <f t="shared" si="49"/>
        <v>#NAME?</v>
      </c>
      <c r="Z161" s="7" t="e">
        <f t="shared" si="49"/>
        <v>#NAME?</v>
      </c>
      <c r="AA161" s="7" t="e">
        <f t="shared" si="49"/>
        <v>#NAME?</v>
      </c>
      <c r="AB161" s="7" t="e">
        <f t="shared" si="49"/>
        <v>#NAME?</v>
      </c>
      <c r="AC161" s="7" t="e">
        <f t="shared" si="49"/>
        <v>#NAME?</v>
      </c>
      <c r="AD161" s="7" t="e">
        <f t="shared" si="49"/>
        <v>#NAME?</v>
      </c>
      <c r="AE161" s="7" t="e">
        <f t="shared" si="49"/>
        <v>#NAME?</v>
      </c>
      <c r="AF161" s="7" t="e">
        <f t="shared" si="49"/>
        <v>#NAME?</v>
      </c>
      <c r="AG161" s="7" t="e">
        <f t="shared" si="49"/>
        <v>#NAME?</v>
      </c>
      <c r="AH161" s="7" t="e">
        <f t="shared" si="43"/>
        <v>#NAME?</v>
      </c>
      <c r="AI161" s="7" t="e">
        <f t="shared" si="44"/>
        <v>#NAME?</v>
      </c>
      <c r="AJ161" s="8" t="e">
        <f t="shared" si="45"/>
        <v>#NAME?</v>
      </c>
      <c r="AK161" s="7" t="e">
        <f t="shared" si="46"/>
        <v>#NAME?</v>
      </c>
      <c r="AO161" s="7"/>
      <c r="AP161" s="7"/>
      <c r="AQ161" s="7"/>
      <c r="AR161" s="7"/>
      <c r="AS161" s="7"/>
      <c r="AT161" s="7"/>
      <c r="AU161" s="7"/>
      <c r="AV161" s="7"/>
    </row>
    <row r="162" spans="1:48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8"/>
      <c r="AK162" s="7"/>
      <c r="AO162" s="7"/>
      <c r="AP162" s="7"/>
      <c r="AQ162" s="7"/>
      <c r="AR162" s="7"/>
      <c r="AS162" s="7"/>
      <c r="AT162" s="7"/>
      <c r="AU162" s="7"/>
      <c r="AV162" s="7"/>
    </row>
    <row r="163" spans="1:48">
      <c r="A163" s="7" t="s">
        <v>17</v>
      </c>
      <c r="B163" s="7">
        <f>B1</f>
        <v>0</v>
      </c>
      <c r="C163" s="7">
        <f t="shared" ref="C163:AK163" si="50">C1</f>
        <v>1</v>
      </c>
      <c r="D163" s="7">
        <f t="shared" si="50"/>
        <v>2</v>
      </c>
      <c r="E163" s="7">
        <f t="shared" si="50"/>
        <v>3</v>
      </c>
      <c r="F163" s="7">
        <f t="shared" si="50"/>
        <v>4</v>
      </c>
      <c r="G163" s="7">
        <f t="shared" si="50"/>
        <v>5</v>
      </c>
      <c r="H163" s="7">
        <f t="shared" si="50"/>
        <v>6</v>
      </c>
      <c r="I163" s="7">
        <f t="shared" si="50"/>
        <v>7</v>
      </c>
      <c r="J163" s="7">
        <f t="shared" si="50"/>
        <v>8</v>
      </c>
      <c r="K163" s="7">
        <f t="shared" si="50"/>
        <v>9</v>
      </c>
      <c r="L163" s="7">
        <f t="shared" si="50"/>
        <v>10</v>
      </c>
      <c r="M163" s="7">
        <f t="shared" si="50"/>
        <v>11</v>
      </c>
      <c r="N163" s="7">
        <f t="shared" si="50"/>
        <v>12</v>
      </c>
      <c r="O163" s="7">
        <f t="shared" si="50"/>
        <v>13</v>
      </c>
      <c r="P163" s="7">
        <f t="shared" si="50"/>
        <v>14</v>
      </c>
      <c r="Q163" s="7">
        <f t="shared" si="50"/>
        <v>15</v>
      </c>
      <c r="R163" s="7">
        <f t="shared" si="50"/>
        <v>16</v>
      </c>
      <c r="S163" s="7">
        <f t="shared" si="50"/>
        <v>17</v>
      </c>
      <c r="T163" s="7">
        <f t="shared" si="50"/>
        <v>18</v>
      </c>
      <c r="U163" s="7">
        <f t="shared" si="50"/>
        <v>19</v>
      </c>
      <c r="V163" s="7">
        <f t="shared" si="50"/>
        <v>20</v>
      </c>
      <c r="W163" s="7">
        <f t="shared" si="50"/>
        <v>21</v>
      </c>
      <c r="X163" s="7">
        <f t="shared" si="50"/>
        <v>22</v>
      </c>
      <c r="Y163" s="7">
        <f t="shared" si="50"/>
        <v>23</v>
      </c>
      <c r="Z163" s="7">
        <f t="shared" si="50"/>
        <v>24</v>
      </c>
      <c r="AA163" s="7">
        <f t="shared" si="50"/>
        <v>25</v>
      </c>
      <c r="AB163" s="7">
        <f t="shared" si="50"/>
        <v>26</v>
      </c>
      <c r="AC163" s="7">
        <f t="shared" si="50"/>
        <v>27</v>
      </c>
      <c r="AD163" s="7">
        <f t="shared" si="50"/>
        <v>28</v>
      </c>
      <c r="AE163" s="7">
        <f t="shared" si="50"/>
        <v>29</v>
      </c>
      <c r="AF163" s="7">
        <f t="shared" si="50"/>
        <v>30</v>
      </c>
      <c r="AG163" s="7">
        <f t="shared" si="50"/>
        <v>31</v>
      </c>
      <c r="AH163" s="7" t="str">
        <f t="shared" si="50"/>
        <v>STDEV</v>
      </c>
      <c r="AI163" s="7" t="str">
        <f t="shared" si="50"/>
        <v>-1.5σ</v>
      </c>
      <c r="AJ163" s="7" t="str">
        <f t="shared" si="50"/>
        <v>MEAN</v>
      </c>
      <c r="AK163" s="7" t="str">
        <f t="shared" si="50"/>
        <v>+1.5σ</v>
      </c>
      <c r="AO163" s="7"/>
      <c r="AP163" s="7"/>
      <c r="AQ163" s="7"/>
      <c r="AR163" s="7"/>
      <c r="AS163" s="7"/>
      <c r="AT163" s="7"/>
      <c r="AU163" s="7"/>
      <c r="AV163" s="7"/>
    </row>
    <row r="164" spans="1:48" s="7" customFormat="1">
      <c r="A164" s="7">
        <f t="shared" ref="A164:A178" si="51">A131</f>
        <v>0</v>
      </c>
      <c r="B164" s="7" t="e">
        <f t="shared" ref="B164:AG164" si="52">B$160*$A131+B$161</f>
        <v>#NAME?</v>
      </c>
      <c r="C164" s="7" t="e">
        <f t="shared" si="52"/>
        <v>#NAME?</v>
      </c>
      <c r="D164" s="7" t="e">
        <f t="shared" si="52"/>
        <v>#NAME?</v>
      </c>
      <c r="E164" s="7" t="e">
        <f t="shared" si="52"/>
        <v>#NAME?</v>
      </c>
      <c r="F164" s="7" t="e">
        <f t="shared" si="52"/>
        <v>#NAME?</v>
      </c>
      <c r="G164" s="7" t="e">
        <f t="shared" si="52"/>
        <v>#NAME?</v>
      </c>
      <c r="H164" s="7" t="e">
        <f t="shared" si="52"/>
        <v>#NAME?</v>
      </c>
      <c r="I164" s="7" t="e">
        <f t="shared" si="52"/>
        <v>#NAME?</v>
      </c>
      <c r="J164" s="7" t="e">
        <f t="shared" si="52"/>
        <v>#NAME?</v>
      </c>
      <c r="K164" s="7" t="e">
        <f t="shared" si="52"/>
        <v>#NAME?</v>
      </c>
      <c r="L164" s="7" t="e">
        <f t="shared" si="52"/>
        <v>#NAME?</v>
      </c>
      <c r="M164" s="7" t="e">
        <f t="shared" si="52"/>
        <v>#NAME?</v>
      </c>
      <c r="N164" s="7" t="e">
        <f t="shared" si="52"/>
        <v>#NAME?</v>
      </c>
      <c r="O164" s="7" t="e">
        <f t="shared" si="52"/>
        <v>#NAME?</v>
      </c>
      <c r="P164" s="7" t="e">
        <f t="shared" si="52"/>
        <v>#NAME?</v>
      </c>
      <c r="Q164" s="7" t="e">
        <f t="shared" si="52"/>
        <v>#NAME?</v>
      </c>
      <c r="R164" s="7" t="e">
        <f t="shared" si="52"/>
        <v>#NAME?</v>
      </c>
      <c r="S164" s="7" t="e">
        <f t="shared" si="52"/>
        <v>#NAME?</v>
      </c>
      <c r="U164" s="7" t="e">
        <f t="shared" si="52"/>
        <v>#NAME?</v>
      </c>
      <c r="V164" s="7" t="e">
        <f t="shared" si="52"/>
        <v>#NAME?</v>
      </c>
      <c r="W164" s="7" t="e">
        <f t="shared" si="52"/>
        <v>#NAME?</v>
      </c>
      <c r="X164" s="7" t="e">
        <f t="shared" si="52"/>
        <v>#NAME?</v>
      </c>
      <c r="Y164" s="7" t="e">
        <f t="shared" si="52"/>
        <v>#NAME?</v>
      </c>
      <c r="Z164" s="7" t="e">
        <f t="shared" si="52"/>
        <v>#NAME?</v>
      </c>
      <c r="AA164" s="7" t="e">
        <f t="shared" si="52"/>
        <v>#NAME?</v>
      </c>
      <c r="AB164" s="7" t="e">
        <f t="shared" si="52"/>
        <v>#NAME?</v>
      </c>
      <c r="AC164" s="7" t="e">
        <f t="shared" si="52"/>
        <v>#NAME?</v>
      </c>
      <c r="AD164" s="7" t="e">
        <f t="shared" si="52"/>
        <v>#NAME?</v>
      </c>
      <c r="AE164" s="7" t="e">
        <f t="shared" si="52"/>
        <v>#NAME?</v>
      </c>
      <c r="AF164" s="7" t="e">
        <f t="shared" si="52"/>
        <v>#NAME?</v>
      </c>
      <c r="AG164" s="7" t="e">
        <f t="shared" si="52"/>
        <v>#NAME?</v>
      </c>
      <c r="AH164" s="7" t="e">
        <f t="shared" ref="AH164" si="53">STDEV(B164:AG164)</f>
        <v>#NAME?</v>
      </c>
      <c r="AI164" s="7" t="e">
        <f t="shared" ref="AI164" si="54">AJ164-1.5*AH164</f>
        <v>#NAME?</v>
      </c>
      <c r="AJ164" s="8" t="e">
        <f t="shared" ref="AJ164" si="55">AVERAGE(B164:AG164)</f>
        <v>#NAME?</v>
      </c>
      <c r="AK164" s="7" t="e">
        <f t="shared" ref="AK164" si="56">AJ164+1.5*AH164</f>
        <v>#NAME?</v>
      </c>
    </row>
    <row r="165" spans="1:48" s="7" customFormat="1">
      <c r="A165" s="7">
        <f t="shared" si="51"/>
        <v>1</v>
      </c>
      <c r="B165" s="7" t="e">
        <f t="shared" ref="B165:AG165" si="57">B$160*$A132+B$161</f>
        <v>#NAME?</v>
      </c>
      <c r="C165" s="7" t="e">
        <f t="shared" si="57"/>
        <v>#NAME?</v>
      </c>
      <c r="D165" s="7" t="e">
        <f t="shared" si="57"/>
        <v>#NAME?</v>
      </c>
      <c r="E165" s="7" t="e">
        <f t="shared" si="57"/>
        <v>#NAME?</v>
      </c>
      <c r="F165" s="7" t="e">
        <f t="shared" si="57"/>
        <v>#NAME?</v>
      </c>
      <c r="G165" s="7" t="e">
        <f t="shared" si="57"/>
        <v>#NAME?</v>
      </c>
      <c r="H165" s="7" t="e">
        <f t="shared" si="57"/>
        <v>#NAME?</v>
      </c>
      <c r="I165" s="7" t="e">
        <f t="shared" si="57"/>
        <v>#NAME?</v>
      </c>
      <c r="J165" s="7" t="e">
        <f t="shared" si="57"/>
        <v>#NAME?</v>
      </c>
      <c r="K165" s="7" t="e">
        <f t="shared" si="57"/>
        <v>#NAME?</v>
      </c>
      <c r="L165" s="7" t="e">
        <f t="shared" si="57"/>
        <v>#NAME?</v>
      </c>
      <c r="M165" s="7" t="e">
        <f t="shared" si="57"/>
        <v>#NAME?</v>
      </c>
      <c r="N165" s="7" t="e">
        <f t="shared" si="57"/>
        <v>#NAME?</v>
      </c>
      <c r="O165" s="7" t="e">
        <f t="shared" si="57"/>
        <v>#NAME?</v>
      </c>
      <c r="P165" s="7" t="e">
        <f t="shared" si="57"/>
        <v>#NAME?</v>
      </c>
      <c r="Q165" s="7" t="e">
        <f t="shared" si="57"/>
        <v>#NAME?</v>
      </c>
      <c r="R165" s="7" t="e">
        <f t="shared" si="57"/>
        <v>#NAME?</v>
      </c>
      <c r="S165" s="7" t="e">
        <f t="shared" si="57"/>
        <v>#NAME?</v>
      </c>
      <c r="U165" s="7" t="e">
        <f t="shared" si="57"/>
        <v>#NAME?</v>
      </c>
      <c r="V165" s="7" t="e">
        <f t="shared" si="57"/>
        <v>#NAME?</v>
      </c>
      <c r="W165" s="7" t="e">
        <f t="shared" si="57"/>
        <v>#NAME?</v>
      </c>
      <c r="X165" s="7" t="e">
        <f t="shared" si="57"/>
        <v>#NAME?</v>
      </c>
      <c r="Y165" s="7" t="e">
        <f t="shared" si="57"/>
        <v>#NAME?</v>
      </c>
      <c r="Z165" s="7" t="e">
        <f t="shared" si="57"/>
        <v>#NAME?</v>
      </c>
      <c r="AA165" s="7" t="e">
        <f t="shared" si="57"/>
        <v>#NAME?</v>
      </c>
      <c r="AB165" s="7" t="e">
        <f t="shared" si="57"/>
        <v>#NAME?</v>
      </c>
      <c r="AC165" s="7" t="e">
        <f t="shared" si="57"/>
        <v>#NAME?</v>
      </c>
      <c r="AD165" s="7" t="e">
        <f t="shared" si="57"/>
        <v>#NAME?</v>
      </c>
      <c r="AE165" s="7" t="e">
        <f t="shared" si="57"/>
        <v>#NAME?</v>
      </c>
      <c r="AF165" s="7" t="e">
        <f t="shared" si="57"/>
        <v>#NAME?</v>
      </c>
      <c r="AG165" s="7" t="e">
        <f t="shared" si="57"/>
        <v>#NAME?</v>
      </c>
      <c r="AH165" s="7" t="e">
        <f t="shared" ref="AH165" si="58">STDEV(B165:AG165)</f>
        <v>#NAME?</v>
      </c>
      <c r="AI165" s="7" t="e">
        <f t="shared" ref="AI165" si="59">AJ165-1.5*AH165</f>
        <v>#NAME?</v>
      </c>
      <c r="AJ165" s="8" t="e">
        <f t="shared" ref="AJ165" si="60">AVERAGE(B165:AG165)</f>
        <v>#NAME?</v>
      </c>
      <c r="AK165" s="7" t="e">
        <f t="shared" ref="AK165" si="61">AJ165+1.5*AH165</f>
        <v>#NAME?</v>
      </c>
      <c r="AM165" s="9"/>
    </row>
    <row r="166" spans="1:48" s="7" customFormat="1">
      <c r="A166" s="7">
        <f t="shared" si="51"/>
        <v>2</v>
      </c>
      <c r="B166" s="7" t="e">
        <f t="shared" ref="B166:AG166" si="62">B$160*$A133+B$161</f>
        <v>#NAME?</v>
      </c>
      <c r="C166" s="7" t="e">
        <f t="shared" si="62"/>
        <v>#NAME?</v>
      </c>
      <c r="D166" s="7" t="e">
        <f t="shared" si="62"/>
        <v>#NAME?</v>
      </c>
      <c r="E166" s="7" t="e">
        <f t="shared" si="62"/>
        <v>#NAME?</v>
      </c>
      <c r="F166" s="7" t="e">
        <f t="shared" si="62"/>
        <v>#NAME?</v>
      </c>
      <c r="G166" s="7" t="e">
        <f t="shared" si="62"/>
        <v>#NAME?</v>
      </c>
      <c r="H166" s="7" t="e">
        <f t="shared" si="62"/>
        <v>#NAME?</v>
      </c>
      <c r="I166" s="7" t="e">
        <f t="shared" si="62"/>
        <v>#NAME?</v>
      </c>
      <c r="J166" s="7" t="e">
        <f t="shared" si="62"/>
        <v>#NAME?</v>
      </c>
      <c r="K166" s="7" t="e">
        <f t="shared" si="62"/>
        <v>#NAME?</v>
      </c>
      <c r="L166" s="7" t="e">
        <f t="shared" si="62"/>
        <v>#NAME?</v>
      </c>
      <c r="M166" s="7" t="e">
        <f t="shared" si="62"/>
        <v>#NAME?</v>
      </c>
      <c r="N166" s="7" t="e">
        <f t="shared" si="62"/>
        <v>#NAME?</v>
      </c>
      <c r="O166" s="7" t="e">
        <f t="shared" si="62"/>
        <v>#NAME?</v>
      </c>
      <c r="P166" s="7" t="e">
        <f t="shared" si="62"/>
        <v>#NAME?</v>
      </c>
      <c r="Q166" s="7" t="e">
        <f t="shared" si="62"/>
        <v>#NAME?</v>
      </c>
      <c r="R166" s="7" t="e">
        <f t="shared" si="62"/>
        <v>#NAME?</v>
      </c>
      <c r="S166" s="7" t="e">
        <f t="shared" si="62"/>
        <v>#NAME?</v>
      </c>
      <c r="U166" s="7" t="e">
        <f t="shared" si="62"/>
        <v>#NAME?</v>
      </c>
      <c r="V166" s="7" t="e">
        <f t="shared" si="62"/>
        <v>#NAME?</v>
      </c>
      <c r="W166" s="7" t="e">
        <f t="shared" si="62"/>
        <v>#NAME?</v>
      </c>
      <c r="X166" s="7" t="e">
        <f t="shared" si="62"/>
        <v>#NAME?</v>
      </c>
      <c r="Y166" s="7" t="e">
        <f t="shared" si="62"/>
        <v>#NAME?</v>
      </c>
      <c r="Z166" s="7" t="e">
        <f t="shared" si="62"/>
        <v>#NAME?</v>
      </c>
      <c r="AA166" s="7" t="e">
        <f t="shared" si="62"/>
        <v>#NAME?</v>
      </c>
      <c r="AB166" s="7" t="e">
        <f t="shared" si="62"/>
        <v>#NAME?</v>
      </c>
      <c r="AC166" s="7" t="e">
        <f t="shared" si="62"/>
        <v>#NAME?</v>
      </c>
      <c r="AD166" s="7" t="e">
        <f t="shared" si="62"/>
        <v>#NAME?</v>
      </c>
      <c r="AE166" s="7" t="e">
        <f t="shared" si="62"/>
        <v>#NAME?</v>
      </c>
      <c r="AF166" s="7" t="e">
        <f t="shared" si="62"/>
        <v>#NAME?</v>
      </c>
      <c r="AG166" s="7" t="e">
        <f t="shared" si="62"/>
        <v>#NAME?</v>
      </c>
      <c r="AH166" s="7" t="e">
        <f t="shared" ref="AH166" si="63">STDEV(B166:AG166)</f>
        <v>#NAME?</v>
      </c>
      <c r="AI166" s="7" t="e">
        <f t="shared" ref="AI166" si="64">AJ166-1.5*AH166</f>
        <v>#NAME?</v>
      </c>
      <c r="AJ166" s="8" t="e">
        <f t="shared" ref="AJ166" si="65">AVERAGE(B166:AG166)</f>
        <v>#NAME?</v>
      </c>
      <c r="AK166" s="7" t="e">
        <f t="shared" ref="AK166" si="66">AJ166+1.5*AH166</f>
        <v>#NAME?</v>
      </c>
      <c r="AM166" s="9"/>
    </row>
    <row r="167" spans="1:48" s="7" customFormat="1">
      <c r="A167" s="7">
        <f t="shared" si="51"/>
        <v>3</v>
      </c>
      <c r="B167" s="7" t="e">
        <f t="shared" ref="B167:AG167" si="67">B$160*$A134+B$161</f>
        <v>#NAME?</v>
      </c>
      <c r="C167" s="7" t="e">
        <f t="shared" si="67"/>
        <v>#NAME?</v>
      </c>
      <c r="D167" s="7" t="e">
        <f t="shared" si="67"/>
        <v>#NAME?</v>
      </c>
      <c r="E167" s="7" t="e">
        <f t="shared" si="67"/>
        <v>#NAME?</v>
      </c>
      <c r="F167" s="7" t="e">
        <f t="shared" si="67"/>
        <v>#NAME?</v>
      </c>
      <c r="G167" s="7" t="e">
        <f t="shared" si="67"/>
        <v>#NAME?</v>
      </c>
      <c r="H167" s="7" t="e">
        <f t="shared" si="67"/>
        <v>#NAME?</v>
      </c>
      <c r="I167" s="7" t="e">
        <f t="shared" si="67"/>
        <v>#NAME?</v>
      </c>
      <c r="J167" s="7" t="e">
        <f t="shared" si="67"/>
        <v>#NAME?</v>
      </c>
      <c r="K167" s="7" t="e">
        <f t="shared" si="67"/>
        <v>#NAME?</v>
      </c>
      <c r="L167" s="7" t="e">
        <f t="shared" si="67"/>
        <v>#NAME?</v>
      </c>
      <c r="M167" s="7" t="e">
        <f t="shared" si="67"/>
        <v>#NAME?</v>
      </c>
      <c r="N167" s="7" t="e">
        <f t="shared" si="67"/>
        <v>#NAME?</v>
      </c>
      <c r="O167" s="7" t="e">
        <f t="shared" si="67"/>
        <v>#NAME?</v>
      </c>
      <c r="P167" s="7" t="e">
        <f t="shared" si="67"/>
        <v>#NAME?</v>
      </c>
      <c r="Q167" s="7" t="e">
        <f t="shared" si="67"/>
        <v>#NAME?</v>
      </c>
      <c r="R167" s="7" t="e">
        <f t="shared" si="67"/>
        <v>#NAME?</v>
      </c>
      <c r="S167" s="7" t="e">
        <f t="shared" si="67"/>
        <v>#NAME?</v>
      </c>
      <c r="U167" s="7" t="e">
        <f t="shared" si="67"/>
        <v>#NAME?</v>
      </c>
      <c r="V167" s="7" t="e">
        <f t="shared" si="67"/>
        <v>#NAME?</v>
      </c>
      <c r="W167" s="7" t="e">
        <f t="shared" si="67"/>
        <v>#NAME?</v>
      </c>
      <c r="X167" s="7" t="e">
        <f t="shared" si="67"/>
        <v>#NAME?</v>
      </c>
      <c r="Y167" s="7" t="e">
        <f t="shared" si="67"/>
        <v>#NAME?</v>
      </c>
      <c r="Z167" s="7" t="e">
        <f t="shared" si="67"/>
        <v>#NAME?</v>
      </c>
      <c r="AA167" s="7" t="e">
        <f t="shared" si="67"/>
        <v>#NAME?</v>
      </c>
      <c r="AB167" s="7" t="e">
        <f t="shared" si="67"/>
        <v>#NAME?</v>
      </c>
      <c r="AC167" s="7" t="e">
        <f t="shared" si="67"/>
        <v>#NAME?</v>
      </c>
      <c r="AD167" s="7" t="e">
        <f t="shared" si="67"/>
        <v>#NAME?</v>
      </c>
      <c r="AE167" s="7" t="e">
        <f t="shared" si="67"/>
        <v>#NAME?</v>
      </c>
      <c r="AF167" s="7" t="e">
        <f t="shared" si="67"/>
        <v>#NAME?</v>
      </c>
      <c r="AG167" s="7" t="e">
        <f t="shared" si="67"/>
        <v>#NAME?</v>
      </c>
      <c r="AH167" s="7" t="e">
        <f t="shared" ref="AH167" si="68">STDEV(B167:AG167)</f>
        <v>#NAME?</v>
      </c>
      <c r="AI167" s="7" t="e">
        <f t="shared" ref="AI167" si="69">AJ167-1.5*AH167</f>
        <v>#NAME?</v>
      </c>
      <c r="AJ167" s="8" t="e">
        <f t="shared" ref="AJ167" si="70">AVERAGE(B167:AG167)</f>
        <v>#NAME?</v>
      </c>
      <c r="AK167" s="7" t="e">
        <f t="shared" ref="AK167" si="71">AJ167+1.5*AH167</f>
        <v>#NAME?</v>
      </c>
      <c r="AM167" s="9"/>
    </row>
    <row r="168" spans="1:48" s="7" customFormat="1">
      <c r="A168" s="7">
        <f t="shared" si="51"/>
        <v>4</v>
      </c>
      <c r="B168" s="7" t="e">
        <f t="shared" ref="B168:AG175" si="72">B$160*$A135+B$161</f>
        <v>#NAME?</v>
      </c>
      <c r="C168" s="7" t="e">
        <f t="shared" si="72"/>
        <v>#NAME?</v>
      </c>
      <c r="D168" s="7" t="e">
        <f t="shared" si="72"/>
        <v>#NAME?</v>
      </c>
      <c r="E168" s="7" t="e">
        <f t="shared" si="72"/>
        <v>#NAME?</v>
      </c>
      <c r="F168" s="7" t="e">
        <f t="shared" si="72"/>
        <v>#NAME?</v>
      </c>
      <c r="G168" s="7" t="e">
        <f t="shared" si="72"/>
        <v>#NAME?</v>
      </c>
      <c r="H168" s="7" t="e">
        <f t="shared" si="72"/>
        <v>#NAME?</v>
      </c>
      <c r="I168" s="7" t="e">
        <f t="shared" si="72"/>
        <v>#NAME?</v>
      </c>
      <c r="J168" s="7" t="e">
        <f t="shared" si="72"/>
        <v>#NAME?</v>
      </c>
      <c r="K168" s="7" t="e">
        <f t="shared" si="72"/>
        <v>#NAME?</v>
      </c>
      <c r="L168" s="7" t="e">
        <f t="shared" si="72"/>
        <v>#NAME?</v>
      </c>
      <c r="M168" s="7" t="e">
        <f t="shared" si="72"/>
        <v>#NAME?</v>
      </c>
      <c r="N168" s="7" t="e">
        <f t="shared" si="72"/>
        <v>#NAME?</v>
      </c>
      <c r="O168" s="7" t="e">
        <f t="shared" si="72"/>
        <v>#NAME?</v>
      </c>
      <c r="P168" s="7" t="e">
        <f t="shared" si="72"/>
        <v>#NAME?</v>
      </c>
      <c r="Q168" s="7" t="e">
        <f t="shared" si="72"/>
        <v>#NAME?</v>
      </c>
      <c r="R168" s="7" t="e">
        <f t="shared" si="72"/>
        <v>#NAME?</v>
      </c>
      <c r="S168" s="7" t="e">
        <f t="shared" si="72"/>
        <v>#NAME?</v>
      </c>
      <c r="U168" s="7" t="e">
        <f t="shared" si="72"/>
        <v>#NAME?</v>
      </c>
      <c r="V168" s="7" t="e">
        <f t="shared" si="72"/>
        <v>#NAME?</v>
      </c>
      <c r="W168" s="7" t="e">
        <f t="shared" si="72"/>
        <v>#NAME?</v>
      </c>
      <c r="X168" s="7" t="e">
        <f t="shared" si="72"/>
        <v>#NAME?</v>
      </c>
      <c r="Y168" s="7" t="e">
        <f t="shared" si="72"/>
        <v>#NAME?</v>
      </c>
      <c r="Z168" s="7" t="e">
        <f t="shared" si="72"/>
        <v>#NAME?</v>
      </c>
      <c r="AA168" s="7" t="e">
        <f t="shared" si="72"/>
        <v>#NAME?</v>
      </c>
      <c r="AB168" s="7" t="e">
        <f t="shared" si="72"/>
        <v>#NAME?</v>
      </c>
      <c r="AC168" s="7" t="e">
        <f t="shared" si="72"/>
        <v>#NAME?</v>
      </c>
      <c r="AD168" s="7" t="e">
        <f t="shared" si="72"/>
        <v>#NAME?</v>
      </c>
      <c r="AE168" s="7" t="e">
        <f t="shared" si="72"/>
        <v>#NAME?</v>
      </c>
      <c r="AF168" s="7" t="e">
        <f t="shared" si="72"/>
        <v>#NAME?</v>
      </c>
      <c r="AG168" s="7" t="e">
        <f t="shared" ref="AG168" si="73">AG$160*$A135+AG$161</f>
        <v>#NAME?</v>
      </c>
      <c r="AH168" s="7" t="e">
        <f t="shared" ref="AH168" si="74">STDEV(B168:AG168)</f>
        <v>#NAME?</v>
      </c>
      <c r="AI168" s="7" t="e">
        <f t="shared" ref="AI168" si="75">AJ168-1.5*AH168</f>
        <v>#NAME?</v>
      </c>
      <c r="AJ168" s="8" t="e">
        <f t="shared" ref="AJ168" si="76">AVERAGE(B168:AG168)</f>
        <v>#NAME?</v>
      </c>
      <c r="AK168" s="7" t="e">
        <f t="shared" ref="AK168" si="77">AJ168+1.5*AH168</f>
        <v>#NAME?</v>
      </c>
      <c r="AM168" s="9"/>
    </row>
    <row r="169" spans="1:48" s="7" customFormat="1">
      <c r="A169" s="7">
        <f t="shared" si="51"/>
        <v>5</v>
      </c>
      <c r="B169" s="7" t="e">
        <f t="shared" si="72"/>
        <v>#NAME?</v>
      </c>
      <c r="C169" s="7" t="e">
        <f t="shared" si="72"/>
        <v>#NAME?</v>
      </c>
      <c r="D169" s="7" t="e">
        <f t="shared" si="72"/>
        <v>#NAME?</v>
      </c>
      <c r="E169" s="7" t="e">
        <f t="shared" si="72"/>
        <v>#NAME?</v>
      </c>
      <c r="F169" s="7" t="e">
        <f t="shared" si="72"/>
        <v>#NAME?</v>
      </c>
      <c r="G169" s="7" t="e">
        <f t="shared" si="72"/>
        <v>#NAME?</v>
      </c>
      <c r="H169" s="7" t="e">
        <f t="shared" si="72"/>
        <v>#NAME?</v>
      </c>
      <c r="I169" s="7" t="e">
        <f t="shared" si="72"/>
        <v>#NAME?</v>
      </c>
      <c r="J169" s="7" t="e">
        <f t="shared" si="72"/>
        <v>#NAME?</v>
      </c>
      <c r="K169" s="7" t="e">
        <f t="shared" si="72"/>
        <v>#NAME?</v>
      </c>
      <c r="L169" s="7" t="e">
        <f t="shared" si="72"/>
        <v>#NAME?</v>
      </c>
      <c r="M169" s="7" t="e">
        <f t="shared" si="72"/>
        <v>#NAME?</v>
      </c>
      <c r="N169" s="7" t="e">
        <f t="shared" si="72"/>
        <v>#NAME?</v>
      </c>
      <c r="O169" s="7" t="e">
        <f t="shared" si="72"/>
        <v>#NAME?</v>
      </c>
      <c r="P169" s="7" t="e">
        <f t="shared" si="72"/>
        <v>#NAME?</v>
      </c>
      <c r="Q169" s="7" t="e">
        <f t="shared" si="72"/>
        <v>#NAME?</v>
      </c>
      <c r="R169" s="7" t="e">
        <f t="shared" si="72"/>
        <v>#NAME?</v>
      </c>
      <c r="S169" s="7" t="e">
        <f t="shared" si="72"/>
        <v>#NAME?</v>
      </c>
      <c r="U169" s="7" t="e">
        <f t="shared" si="72"/>
        <v>#NAME?</v>
      </c>
      <c r="V169" s="7" t="e">
        <f t="shared" si="72"/>
        <v>#NAME?</v>
      </c>
      <c r="W169" s="7" t="e">
        <f t="shared" si="72"/>
        <v>#NAME?</v>
      </c>
      <c r="X169" s="7" t="e">
        <f t="shared" si="72"/>
        <v>#NAME?</v>
      </c>
      <c r="Y169" s="7" t="e">
        <f t="shared" si="72"/>
        <v>#NAME?</v>
      </c>
      <c r="Z169" s="7" t="e">
        <f t="shared" si="72"/>
        <v>#NAME?</v>
      </c>
      <c r="AA169" s="7" t="e">
        <f t="shared" si="72"/>
        <v>#NAME?</v>
      </c>
      <c r="AB169" s="7" t="e">
        <f t="shared" si="72"/>
        <v>#NAME?</v>
      </c>
      <c r="AC169" s="7" t="e">
        <f t="shared" si="72"/>
        <v>#NAME?</v>
      </c>
      <c r="AD169" s="7" t="e">
        <f t="shared" si="72"/>
        <v>#NAME?</v>
      </c>
      <c r="AE169" s="7" t="e">
        <f t="shared" si="72"/>
        <v>#NAME?</v>
      </c>
      <c r="AF169" s="7" t="e">
        <f t="shared" si="72"/>
        <v>#NAME?</v>
      </c>
      <c r="AG169" s="7" t="e">
        <f t="shared" si="72"/>
        <v>#NAME?</v>
      </c>
      <c r="AH169" s="7" t="e">
        <f t="shared" ref="AH169" si="78">STDEV(B169:AG169)</f>
        <v>#NAME?</v>
      </c>
      <c r="AI169" s="7" t="e">
        <f t="shared" ref="AI169" si="79">AJ169-1.5*AH169</f>
        <v>#NAME?</v>
      </c>
      <c r="AJ169" s="8" t="e">
        <f t="shared" ref="AJ169" si="80">AVERAGE(B169:AG169)</f>
        <v>#NAME?</v>
      </c>
      <c r="AK169" s="7" t="e">
        <f t="shared" ref="AK169" si="81">AJ169+1.5*AH169</f>
        <v>#NAME?</v>
      </c>
      <c r="AM169" s="9"/>
    </row>
    <row r="170" spans="1:48" s="7" customFormat="1">
      <c r="A170" s="7">
        <f t="shared" si="51"/>
        <v>6</v>
      </c>
      <c r="B170" s="7" t="e">
        <f t="shared" si="72"/>
        <v>#NAME?</v>
      </c>
      <c r="C170" s="7" t="e">
        <f t="shared" si="72"/>
        <v>#NAME?</v>
      </c>
      <c r="D170" s="7" t="e">
        <f t="shared" si="72"/>
        <v>#NAME?</v>
      </c>
      <c r="E170" s="7" t="e">
        <f t="shared" si="72"/>
        <v>#NAME?</v>
      </c>
      <c r="F170" s="7" t="e">
        <f t="shared" si="72"/>
        <v>#NAME?</v>
      </c>
      <c r="G170" s="7" t="e">
        <f t="shared" si="72"/>
        <v>#NAME?</v>
      </c>
      <c r="H170" s="7" t="e">
        <f t="shared" si="72"/>
        <v>#NAME?</v>
      </c>
      <c r="I170" s="7" t="e">
        <f t="shared" si="72"/>
        <v>#NAME?</v>
      </c>
      <c r="J170" s="7" t="e">
        <f t="shared" si="72"/>
        <v>#NAME?</v>
      </c>
      <c r="K170" s="7" t="e">
        <f t="shared" si="72"/>
        <v>#NAME?</v>
      </c>
      <c r="L170" s="7" t="e">
        <f t="shared" si="72"/>
        <v>#NAME?</v>
      </c>
      <c r="M170" s="7" t="e">
        <f t="shared" si="72"/>
        <v>#NAME?</v>
      </c>
      <c r="N170" s="7" t="e">
        <f t="shared" si="72"/>
        <v>#NAME?</v>
      </c>
      <c r="O170" s="7" t="e">
        <f t="shared" si="72"/>
        <v>#NAME?</v>
      </c>
      <c r="P170" s="7" t="e">
        <f t="shared" si="72"/>
        <v>#NAME?</v>
      </c>
      <c r="Q170" s="7" t="e">
        <f t="shared" si="72"/>
        <v>#NAME?</v>
      </c>
      <c r="R170" s="7" t="e">
        <f t="shared" si="72"/>
        <v>#NAME?</v>
      </c>
      <c r="S170" s="7" t="e">
        <f t="shared" si="72"/>
        <v>#NAME?</v>
      </c>
      <c r="U170" s="7" t="e">
        <f t="shared" si="72"/>
        <v>#NAME?</v>
      </c>
      <c r="V170" s="7" t="e">
        <f t="shared" si="72"/>
        <v>#NAME?</v>
      </c>
      <c r="W170" s="7" t="e">
        <f t="shared" si="72"/>
        <v>#NAME?</v>
      </c>
      <c r="X170" s="7" t="e">
        <f t="shared" si="72"/>
        <v>#NAME?</v>
      </c>
      <c r="Y170" s="7" t="e">
        <f t="shared" si="72"/>
        <v>#NAME?</v>
      </c>
      <c r="Z170" s="7" t="e">
        <f t="shared" si="72"/>
        <v>#NAME?</v>
      </c>
      <c r="AA170" s="7" t="e">
        <f t="shared" si="72"/>
        <v>#NAME?</v>
      </c>
      <c r="AB170" s="7" t="e">
        <f t="shared" si="72"/>
        <v>#NAME?</v>
      </c>
      <c r="AC170" s="7" t="e">
        <f t="shared" si="72"/>
        <v>#NAME?</v>
      </c>
      <c r="AD170" s="7" t="e">
        <f t="shared" si="72"/>
        <v>#NAME?</v>
      </c>
      <c r="AE170" s="7" t="e">
        <f t="shared" si="72"/>
        <v>#NAME?</v>
      </c>
      <c r="AF170" s="7" t="e">
        <f t="shared" si="72"/>
        <v>#NAME?</v>
      </c>
      <c r="AG170" s="7" t="e">
        <f t="shared" si="72"/>
        <v>#NAME?</v>
      </c>
      <c r="AH170" s="7" t="e">
        <f t="shared" ref="AH170" si="82">STDEV(B170:AG170)</f>
        <v>#NAME?</v>
      </c>
      <c r="AI170" s="7" t="e">
        <f t="shared" ref="AI170" si="83">AJ170-1.5*AH170</f>
        <v>#NAME?</v>
      </c>
      <c r="AJ170" s="8" t="e">
        <f t="shared" ref="AJ170" si="84">AVERAGE(B170:AG170)</f>
        <v>#NAME?</v>
      </c>
      <c r="AK170" s="7" t="e">
        <f t="shared" ref="AK170" si="85">AJ170+1.5*AH170</f>
        <v>#NAME?</v>
      </c>
      <c r="AM170" s="9"/>
    </row>
    <row r="171" spans="1:48" s="7" customFormat="1">
      <c r="A171" s="7">
        <f t="shared" si="51"/>
        <v>7</v>
      </c>
      <c r="B171" s="7" t="e">
        <f t="shared" si="72"/>
        <v>#NAME?</v>
      </c>
      <c r="C171" s="7" t="e">
        <f t="shared" si="72"/>
        <v>#NAME?</v>
      </c>
      <c r="D171" s="7" t="e">
        <f t="shared" si="72"/>
        <v>#NAME?</v>
      </c>
      <c r="E171" s="7" t="e">
        <f t="shared" si="72"/>
        <v>#NAME?</v>
      </c>
      <c r="F171" s="7" t="e">
        <f t="shared" si="72"/>
        <v>#NAME?</v>
      </c>
      <c r="G171" s="7" t="e">
        <f t="shared" si="72"/>
        <v>#NAME?</v>
      </c>
      <c r="H171" s="7" t="e">
        <f t="shared" si="72"/>
        <v>#NAME?</v>
      </c>
      <c r="I171" s="7" t="e">
        <f t="shared" si="72"/>
        <v>#NAME?</v>
      </c>
      <c r="J171" s="7" t="e">
        <f t="shared" si="72"/>
        <v>#NAME?</v>
      </c>
      <c r="K171" s="7" t="e">
        <f t="shared" si="72"/>
        <v>#NAME?</v>
      </c>
      <c r="L171" s="7" t="e">
        <f t="shared" si="72"/>
        <v>#NAME?</v>
      </c>
      <c r="M171" s="7" t="e">
        <f t="shared" si="72"/>
        <v>#NAME?</v>
      </c>
      <c r="N171" s="7" t="e">
        <f t="shared" si="72"/>
        <v>#NAME?</v>
      </c>
      <c r="O171" s="7" t="e">
        <f t="shared" si="72"/>
        <v>#NAME?</v>
      </c>
      <c r="P171" s="7" t="e">
        <f t="shared" si="72"/>
        <v>#NAME?</v>
      </c>
      <c r="Q171" s="7" t="e">
        <f t="shared" si="72"/>
        <v>#NAME?</v>
      </c>
      <c r="R171" s="7" t="e">
        <f t="shared" si="72"/>
        <v>#NAME?</v>
      </c>
      <c r="S171" s="7" t="e">
        <f t="shared" si="72"/>
        <v>#NAME?</v>
      </c>
      <c r="U171" s="7" t="e">
        <f t="shared" si="72"/>
        <v>#NAME?</v>
      </c>
      <c r="V171" s="7" t="e">
        <f t="shared" si="72"/>
        <v>#NAME?</v>
      </c>
      <c r="W171" s="7" t="e">
        <f t="shared" si="72"/>
        <v>#NAME?</v>
      </c>
      <c r="X171" s="7" t="e">
        <f t="shared" si="72"/>
        <v>#NAME?</v>
      </c>
      <c r="Y171" s="7" t="e">
        <f t="shared" si="72"/>
        <v>#NAME?</v>
      </c>
      <c r="Z171" s="7" t="e">
        <f t="shared" si="72"/>
        <v>#NAME?</v>
      </c>
      <c r="AA171" s="7" t="e">
        <f t="shared" si="72"/>
        <v>#NAME?</v>
      </c>
      <c r="AB171" s="7" t="e">
        <f t="shared" si="72"/>
        <v>#NAME?</v>
      </c>
      <c r="AC171" s="7" t="e">
        <f t="shared" si="72"/>
        <v>#NAME?</v>
      </c>
      <c r="AD171" s="7" t="e">
        <f t="shared" si="72"/>
        <v>#NAME?</v>
      </c>
      <c r="AE171" s="7" t="e">
        <f t="shared" si="72"/>
        <v>#NAME?</v>
      </c>
      <c r="AF171" s="7" t="e">
        <f t="shared" si="72"/>
        <v>#NAME?</v>
      </c>
      <c r="AG171" s="7" t="e">
        <f t="shared" si="72"/>
        <v>#NAME?</v>
      </c>
      <c r="AH171" s="7" t="e">
        <f t="shared" ref="AH171" si="86">STDEV(B171:AG171)</f>
        <v>#NAME?</v>
      </c>
      <c r="AI171" s="7" t="e">
        <f t="shared" ref="AI171" si="87">AJ171-1.5*AH171</f>
        <v>#NAME?</v>
      </c>
      <c r="AJ171" s="8" t="e">
        <f t="shared" ref="AJ171" si="88">AVERAGE(B171:AG171)</f>
        <v>#NAME?</v>
      </c>
      <c r="AK171" s="7" t="e">
        <f t="shared" ref="AK171" si="89">AJ171+1.5*AH171</f>
        <v>#NAME?</v>
      </c>
      <c r="AM171" s="9"/>
    </row>
    <row r="172" spans="1:48" s="7" customFormat="1">
      <c r="A172" s="7">
        <f t="shared" si="51"/>
        <v>8</v>
      </c>
      <c r="B172" s="7" t="e">
        <f t="shared" si="72"/>
        <v>#NAME?</v>
      </c>
      <c r="C172" s="7" t="e">
        <f t="shared" si="72"/>
        <v>#NAME?</v>
      </c>
      <c r="D172" s="7" t="e">
        <f t="shared" si="72"/>
        <v>#NAME?</v>
      </c>
      <c r="E172" s="7" t="e">
        <f t="shared" si="72"/>
        <v>#NAME?</v>
      </c>
      <c r="F172" s="7" t="e">
        <f t="shared" si="72"/>
        <v>#NAME?</v>
      </c>
      <c r="G172" s="7" t="e">
        <f t="shared" si="72"/>
        <v>#NAME?</v>
      </c>
      <c r="H172" s="7" t="e">
        <f t="shared" si="72"/>
        <v>#NAME?</v>
      </c>
      <c r="I172" s="7" t="e">
        <f t="shared" si="72"/>
        <v>#NAME?</v>
      </c>
      <c r="J172" s="7" t="e">
        <f t="shared" si="72"/>
        <v>#NAME?</v>
      </c>
      <c r="K172" s="7" t="e">
        <f t="shared" si="72"/>
        <v>#NAME?</v>
      </c>
      <c r="L172" s="7" t="e">
        <f t="shared" si="72"/>
        <v>#NAME?</v>
      </c>
      <c r="M172" s="7" t="e">
        <f t="shared" si="72"/>
        <v>#NAME?</v>
      </c>
      <c r="N172" s="7" t="e">
        <f t="shared" si="72"/>
        <v>#NAME?</v>
      </c>
      <c r="O172" s="7" t="e">
        <f t="shared" si="72"/>
        <v>#NAME?</v>
      </c>
      <c r="P172" s="7" t="e">
        <f t="shared" si="72"/>
        <v>#NAME?</v>
      </c>
      <c r="Q172" s="7" t="e">
        <f t="shared" si="72"/>
        <v>#NAME?</v>
      </c>
      <c r="R172" s="7" t="e">
        <f t="shared" si="72"/>
        <v>#NAME?</v>
      </c>
      <c r="S172" s="7" t="e">
        <f t="shared" si="72"/>
        <v>#NAME?</v>
      </c>
      <c r="U172" s="7" t="e">
        <f t="shared" si="72"/>
        <v>#NAME?</v>
      </c>
      <c r="V172" s="7" t="e">
        <f t="shared" si="72"/>
        <v>#NAME?</v>
      </c>
      <c r="W172" s="7" t="e">
        <f t="shared" si="72"/>
        <v>#NAME?</v>
      </c>
      <c r="X172" s="7" t="e">
        <f t="shared" si="72"/>
        <v>#NAME?</v>
      </c>
      <c r="Y172" s="7" t="e">
        <f t="shared" si="72"/>
        <v>#NAME?</v>
      </c>
      <c r="Z172" s="7" t="e">
        <f t="shared" si="72"/>
        <v>#NAME?</v>
      </c>
      <c r="AA172" s="7" t="e">
        <f t="shared" si="72"/>
        <v>#NAME?</v>
      </c>
      <c r="AB172" s="7" t="e">
        <f t="shared" si="72"/>
        <v>#NAME?</v>
      </c>
      <c r="AC172" s="7" t="e">
        <f t="shared" si="72"/>
        <v>#NAME?</v>
      </c>
      <c r="AD172" s="7" t="e">
        <f t="shared" si="72"/>
        <v>#NAME?</v>
      </c>
      <c r="AE172" s="7" t="e">
        <f t="shared" si="72"/>
        <v>#NAME?</v>
      </c>
      <c r="AF172" s="7" t="e">
        <f t="shared" si="72"/>
        <v>#NAME?</v>
      </c>
      <c r="AG172" s="7" t="e">
        <f t="shared" si="72"/>
        <v>#NAME?</v>
      </c>
      <c r="AH172" s="7" t="e">
        <f t="shared" ref="AH172" si="90">STDEV(B172:AG172)</f>
        <v>#NAME?</v>
      </c>
      <c r="AI172" s="7" t="e">
        <f t="shared" ref="AI172" si="91">AJ172-1.5*AH172</f>
        <v>#NAME?</v>
      </c>
      <c r="AJ172" s="8" t="e">
        <f t="shared" ref="AJ172" si="92">AVERAGE(B172:AG172)</f>
        <v>#NAME?</v>
      </c>
      <c r="AK172" s="7" t="e">
        <f t="shared" ref="AK172" si="93">AJ172+1.5*AH172</f>
        <v>#NAME?</v>
      </c>
      <c r="AM172" s="9"/>
    </row>
    <row r="173" spans="1:48" s="7" customFormat="1">
      <c r="A173" s="7">
        <f t="shared" si="51"/>
        <v>9</v>
      </c>
      <c r="B173" s="7" t="e">
        <f t="shared" si="72"/>
        <v>#NAME?</v>
      </c>
      <c r="C173" s="7" t="e">
        <f t="shared" si="72"/>
        <v>#NAME?</v>
      </c>
      <c r="D173" s="7" t="e">
        <f t="shared" si="72"/>
        <v>#NAME?</v>
      </c>
      <c r="E173" s="7" t="e">
        <f t="shared" si="72"/>
        <v>#NAME?</v>
      </c>
      <c r="F173" s="7" t="e">
        <f t="shared" si="72"/>
        <v>#NAME?</v>
      </c>
      <c r="G173" s="7" t="e">
        <f t="shared" si="72"/>
        <v>#NAME?</v>
      </c>
      <c r="H173" s="7" t="e">
        <f t="shared" si="72"/>
        <v>#NAME?</v>
      </c>
      <c r="I173" s="7" t="e">
        <f t="shared" si="72"/>
        <v>#NAME?</v>
      </c>
      <c r="J173" s="7" t="e">
        <f t="shared" si="72"/>
        <v>#NAME?</v>
      </c>
      <c r="K173" s="7" t="e">
        <f t="shared" si="72"/>
        <v>#NAME?</v>
      </c>
      <c r="L173" s="7" t="e">
        <f t="shared" si="72"/>
        <v>#NAME?</v>
      </c>
      <c r="M173" s="7" t="e">
        <f t="shared" si="72"/>
        <v>#NAME?</v>
      </c>
      <c r="N173" s="7" t="e">
        <f t="shared" si="72"/>
        <v>#NAME?</v>
      </c>
      <c r="O173" s="7" t="e">
        <f t="shared" si="72"/>
        <v>#NAME?</v>
      </c>
      <c r="P173" s="7" t="e">
        <f t="shared" si="72"/>
        <v>#NAME?</v>
      </c>
      <c r="Q173" s="7" t="e">
        <f t="shared" si="72"/>
        <v>#NAME?</v>
      </c>
      <c r="R173" s="7" t="e">
        <f t="shared" si="72"/>
        <v>#NAME?</v>
      </c>
      <c r="S173" s="7" t="e">
        <f t="shared" si="72"/>
        <v>#NAME?</v>
      </c>
      <c r="U173" s="7" t="e">
        <f t="shared" si="72"/>
        <v>#NAME?</v>
      </c>
      <c r="V173" s="7" t="e">
        <f t="shared" si="72"/>
        <v>#NAME?</v>
      </c>
      <c r="W173" s="7" t="e">
        <f t="shared" si="72"/>
        <v>#NAME?</v>
      </c>
      <c r="X173" s="7" t="e">
        <f t="shared" si="72"/>
        <v>#NAME?</v>
      </c>
      <c r="Y173" s="7" t="e">
        <f t="shared" si="72"/>
        <v>#NAME?</v>
      </c>
      <c r="Z173" s="7" t="e">
        <f t="shared" si="72"/>
        <v>#NAME?</v>
      </c>
      <c r="AA173" s="7" t="e">
        <f t="shared" si="72"/>
        <v>#NAME?</v>
      </c>
      <c r="AB173" s="7" t="e">
        <f t="shared" si="72"/>
        <v>#NAME?</v>
      </c>
      <c r="AC173" s="7" t="e">
        <f t="shared" si="72"/>
        <v>#NAME?</v>
      </c>
      <c r="AD173" s="7" t="e">
        <f t="shared" si="72"/>
        <v>#NAME?</v>
      </c>
      <c r="AE173" s="7" t="e">
        <f t="shared" si="72"/>
        <v>#NAME?</v>
      </c>
      <c r="AF173" s="7" t="e">
        <f t="shared" si="72"/>
        <v>#NAME?</v>
      </c>
      <c r="AG173" s="7" t="e">
        <f t="shared" si="72"/>
        <v>#NAME?</v>
      </c>
      <c r="AH173" s="7" t="e">
        <f t="shared" ref="AH173" si="94">STDEV(B173:AG173)</f>
        <v>#NAME?</v>
      </c>
      <c r="AI173" s="7" t="e">
        <f t="shared" ref="AI173" si="95">AJ173-1.5*AH173</f>
        <v>#NAME?</v>
      </c>
      <c r="AJ173" s="8" t="e">
        <f t="shared" ref="AJ173" si="96">AVERAGE(B173:AG173)</f>
        <v>#NAME?</v>
      </c>
      <c r="AK173" s="7" t="e">
        <f t="shared" ref="AK173" si="97">AJ173+1.5*AH173</f>
        <v>#NAME?</v>
      </c>
      <c r="AM173" s="9"/>
    </row>
    <row r="174" spans="1:48" s="7" customFormat="1">
      <c r="A174" s="7">
        <f t="shared" si="51"/>
        <v>10</v>
      </c>
      <c r="B174" s="7" t="e">
        <f t="shared" si="72"/>
        <v>#NAME?</v>
      </c>
      <c r="C174" s="7" t="e">
        <f t="shared" si="72"/>
        <v>#NAME?</v>
      </c>
      <c r="D174" s="7" t="e">
        <f t="shared" si="72"/>
        <v>#NAME?</v>
      </c>
      <c r="E174" s="7" t="e">
        <f t="shared" si="72"/>
        <v>#NAME?</v>
      </c>
      <c r="F174" s="7" t="e">
        <f t="shared" si="72"/>
        <v>#NAME?</v>
      </c>
      <c r="G174" s="7" t="e">
        <f t="shared" si="72"/>
        <v>#NAME?</v>
      </c>
      <c r="H174" s="7" t="e">
        <f t="shared" si="72"/>
        <v>#NAME?</v>
      </c>
      <c r="I174" s="7" t="e">
        <f t="shared" si="72"/>
        <v>#NAME?</v>
      </c>
      <c r="J174" s="7" t="e">
        <f t="shared" si="72"/>
        <v>#NAME?</v>
      </c>
      <c r="K174" s="7" t="e">
        <f t="shared" si="72"/>
        <v>#NAME?</v>
      </c>
      <c r="L174" s="7" t="e">
        <f t="shared" si="72"/>
        <v>#NAME?</v>
      </c>
      <c r="M174" s="7" t="e">
        <f t="shared" si="72"/>
        <v>#NAME?</v>
      </c>
      <c r="N174" s="7" t="e">
        <f t="shared" si="72"/>
        <v>#NAME?</v>
      </c>
      <c r="O174" s="7" t="e">
        <f t="shared" si="72"/>
        <v>#NAME?</v>
      </c>
      <c r="P174" s="7" t="e">
        <f t="shared" si="72"/>
        <v>#NAME?</v>
      </c>
      <c r="Q174" s="7" t="e">
        <f t="shared" si="72"/>
        <v>#NAME?</v>
      </c>
      <c r="R174" s="7" t="e">
        <f t="shared" si="72"/>
        <v>#NAME?</v>
      </c>
      <c r="S174" s="7" t="e">
        <f t="shared" si="72"/>
        <v>#NAME?</v>
      </c>
      <c r="U174" s="7" t="e">
        <f t="shared" si="72"/>
        <v>#NAME?</v>
      </c>
      <c r="V174" s="7" t="e">
        <f t="shared" si="72"/>
        <v>#NAME?</v>
      </c>
      <c r="W174" s="7" t="e">
        <f t="shared" si="72"/>
        <v>#NAME?</v>
      </c>
      <c r="X174" s="7" t="e">
        <f t="shared" si="72"/>
        <v>#NAME?</v>
      </c>
      <c r="Y174" s="7" t="e">
        <f t="shared" si="72"/>
        <v>#NAME?</v>
      </c>
      <c r="Z174" s="7" t="e">
        <f t="shared" si="72"/>
        <v>#NAME?</v>
      </c>
      <c r="AA174" s="7" t="e">
        <f t="shared" si="72"/>
        <v>#NAME?</v>
      </c>
      <c r="AB174" s="7" t="e">
        <f t="shared" si="72"/>
        <v>#NAME?</v>
      </c>
      <c r="AC174" s="7" t="e">
        <f t="shared" si="72"/>
        <v>#NAME?</v>
      </c>
      <c r="AD174" s="7" t="e">
        <f t="shared" si="72"/>
        <v>#NAME?</v>
      </c>
      <c r="AE174" s="7" t="e">
        <f t="shared" si="72"/>
        <v>#NAME?</v>
      </c>
      <c r="AF174" s="7" t="e">
        <f t="shared" si="72"/>
        <v>#NAME?</v>
      </c>
      <c r="AG174" s="7" t="e">
        <f t="shared" si="72"/>
        <v>#NAME?</v>
      </c>
      <c r="AH174" s="7" t="e">
        <f t="shared" ref="AH174" si="98">STDEV(B174:AG174)</f>
        <v>#NAME?</v>
      </c>
      <c r="AI174" s="7" t="e">
        <f t="shared" ref="AI174" si="99">AJ174-1.5*AH174</f>
        <v>#NAME?</v>
      </c>
      <c r="AJ174" s="8" t="e">
        <f t="shared" ref="AJ174" si="100">AVERAGE(B174:AG174)</f>
        <v>#NAME?</v>
      </c>
      <c r="AK174" s="7" t="e">
        <f t="shared" ref="AK174" si="101">AJ174+1.5*AH174</f>
        <v>#NAME?</v>
      </c>
      <c r="AM174" s="9"/>
    </row>
    <row r="175" spans="1:48" s="7" customFormat="1">
      <c r="A175" s="7">
        <f t="shared" si="51"/>
        <v>11</v>
      </c>
      <c r="B175" s="7" t="e">
        <f t="shared" si="72"/>
        <v>#NAME?</v>
      </c>
      <c r="C175" s="7" t="e">
        <f t="shared" si="72"/>
        <v>#NAME?</v>
      </c>
      <c r="D175" s="7" t="e">
        <f t="shared" si="72"/>
        <v>#NAME?</v>
      </c>
      <c r="E175" s="7" t="e">
        <f t="shared" si="72"/>
        <v>#NAME?</v>
      </c>
      <c r="F175" s="7" t="e">
        <f t="shared" si="72"/>
        <v>#NAME?</v>
      </c>
      <c r="G175" s="7" t="e">
        <f t="shared" si="72"/>
        <v>#NAME?</v>
      </c>
      <c r="H175" s="7" t="e">
        <f t="shared" si="72"/>
        <v>#NAME?</v>
      </c>
      <c r="I175" s="7" t="e">
        <f t="shared" si="72"/>
        <v>#NAME?</v>
      </c>
      <c r="J175" s="7" t="e">
        <f t="shared" si="72"/>
        <v>#NAME?</v>
      </c>
      <c r="K175" s="7" t="e">
        <f t="shared" si="72"/>
        <v>#NAME?</v>
      </c>
      <c r="L175" s="7" t="e">
        <f t="shared" si="72"/>
        <v>#NAME?</v>
      </c>
      <c r="M175" s="7" t="e">
        <f t="shared" si="72"/>
        <v>#NAME?</v>
      </c>
      <c r="N175" s="7" t="e">
        <f t="shared" si="72"/>
        <v>#NAME?</v>
      </c>
      <c r="O175" s="7" t="e">
        <f t="shared" si="72"/>
        <v>#NAME?</v>
      </c>
      <c r="P175" s="7" t="e">
        <f t="shared" si="72"/>
        <v>#NAME?</v>
      </c>
      <c r="Q175" s="7" t="e">
        <f t="shared" si="72"/>
        <v>#NAME?</v>
      </c>
      <c r="R175" s="7" t="e">
        <f t="shared" si="72"/>
        <v>#NAME?</v>
      </c>
      <c r="S175" s="7" t="e">
        <f t="shared" si="72"/>
        <v>#NAME?</v>
      </c>
      <c r="U175" s="7" t="e">
        <f t="shared" si="72"/>
        <v>#NAME?</v>
      </c>
      <c r="V175" s="7" t="e">
        <f t="shared" si="72"/>
        <v>#NAME?</v>
      </c>
      <c r="W175" s="7" t="e">
        <f t="shared" si="72"/>
        <v>#NAME?</v>
      </c>
      <c r="X175" s="7" t="e">
        <f t="shared" si="72"/>
        <v>#NAME?</v>
      </c>
      <c r="Y175" s="7" t="e">
        <f t="shared" si="72"/>
        <v>#NAME?</v>
      </c>
      <c r="Z175" s="7" t="e">
        <f t="shared" si="72"/>
        <v>#NAME?</v>
      </c>
      <c r="AA175" s="7" t="e">
        <f t="shared" si="72"/>
        <v>#NAME?</v>
      </c>
      <c r="AB175" s="7" t="e">
        <f t="shared" si="72"/>
        <v>#NAME?</v>
      </c>
      <c r="AC175" s="7" t="e">
        <f t="shared" si="72"/>
        <v>#NAME?</v>
      </c>
      <c r="AD175" s="7" t="e">
        <f t="shared" si="72"/>
        <v>#NAME?</v>
      </c>
      <c r="AE175" s="7" t="e">
        <f t="shared" si="72"/>
        <v>#NAME?</v>
      </c>
      <c r="AF175" s="7" t="e">
        <f t="shared" si="72"/>
        <v>#NAME?</v>
      </c>
      <c r="AG175" s="7" t="e">
        <f t="shared" si="72"/>
        <v>#NAME?</v>
      </c>
      <c r="AH175" s="7" t="e">
        <f t="shared" ref="AH175:AH178" si="102">STDEV(B175:AG175)</f>
        <v>#NAME?</v>
      </c>
      <c r="AI175" s="7" t="e">
        <f t="shared" ref="AI175:AI178" si="103">AJ175-1.5*AH175</f>
        <v>#NAME?</v>
      </c>
      <c r="AJ175" s="8" t="e">
        <f t="shared" ref="AJ175:AJ178" si="104">AVERAGE(B175:AG175)</f>
        <v>#NAME?</v>
      </c>
      <c r="AK175" s="7" t="e">
        <f t="shared" ref="AK175:AK178" si="105">AJ175+1.5*AH175</f>
        <v>#NAME?</v>
      </c>
    </row>
    <row r="176" spans="1:48" s="7" customFormat="1">
      <c r="A176" s="7">
        <f t="shared" si="51"/>
        <v>12</v>
      </c>
      <c r="B176" s="7" t="e">
        <f t="shared" ref="B176:AG176" si="106">B$160*$A143+B$161</f>
        <v>#NAME?</v>
      </c>
      <c r="C176" s="7" t="e">
        <f t="shared" si="106"/>
        <v>#NAME?</v>
      </c>
      <c r="D176" s="7" t="e">
        <f t="shared" si="106"/>
        <v>#NAME?</v>
      </c>
      <c r="E176" s="7" t="e">
        <f t="shared" si="106"/>
        <v>#NAME?</v>
      </c>
      <c r="F176" s="7" t="e">
        <f t="shared" si="106"/>
        <v>#NAME?</v>
      </c>
      <c r="G176" s="7" t="e">
        <f t="shared" si="106"/>
        <v>#NAME?</v>
      </c>
      <c r="H176" s="7" t="e">
        <f t="shared" si="106"/>
        <v>#NAME?</v>
      </c>
      <c r="I176" s="7" t="e">
        <f t="shared" si="106"/>
        <v>#NAME?</v>
      </c>
      <c r="J176" s="7" t="e">
        <f t="shared" si="106"/>
        <v>#NAME?</v>
      </c>
      <c r="K176" s="7" t="e">
        <f t="shared" si="106"/>
        <v>#NAME?</v>
      </c>
      <c r="L176" s="7" t="e">
        <f t="shared" si="106"/>
        <v>#NAME?</v>
      </c>
      <c r="M176" s="7" t="e">
        <f t="shared" si="106"/>
        <v>#NAME?</v>
      </c>
      <c r="N176" s="7" t="e">
        <f t="shared" si="106"/>
        <v>#NAME?</v>
      </c>
      <c r="O176" s="7" t="e">
        <f t="shared" si="106"/>
        <v>#NAME?</v>
      </c>
      <c r="P176" s="7" t="e">
        <f t="shared" si="106"/>
        <v>#NAME?</v>
      </c>
      <c r="Q176" s="7" t="e">
        <f t="shared" si="106"/>
        <v>#NAME?</v>
      </c>
      <c r="R176" s="7" t="e">
        <f t="shared" si="106"/>
        <v>#NAME?</v>
      </c>
      <c r="S176" s="7" t="e">
        <f t="shared" si="106"/>
        <v>#NAME?</v>
      </c>
      <c r="U176" s="7" t="e">
        <f t="shared" si="106"/>
        <v>#NAME?</v>
      </c>
      <c r="V176" s="7" t="e">
        <f t="shared" si="106"/>
        <v>#NAME?</v>
      </c>
      <c r="W176" s="7" t="e">
        <f t="shared" si="106"/>
        <v>#NAME?</v>
      </c>
      <c r="X176" s="7" t="e">
        <f t="shared" si="106"/>
        <v>#NAME?</v>
      </c>
      <c r="Y176" s="7" t="e">
        <f t="shared" si="106"/>
        <v>#NAME?</v>
      </c>
      <c r="Z176" s="7" t="e">
        <f t="shared" si="106"/>
        <v>#NAME?</v>
      </c>
      <c r="AA176" s="7" t="e">
        <f t="shared" si="106"/>
        <v>#NAME?</v>
      </c>
      <c r="AB176" s="7" t="e">
        <f t="shared" si="106"/>
        <v>#NAME?</v>
      </c>
      <c r="AC176" s="7" t="e">
        <f t="shared" si="106"/>
        <v>#NAME?</v>
      </c>
      <c r="AD176" s="7" t="e">
        <f t="shared" si="106"/>
        <v>#NAME?</v>
      </c>
      <c r="AE176" s="7" t="e">
        <f t="shared" si="106"/>
        <v>#NAME?</v>
      </c>
      <c r="AF176" s="7" t="e">
        <f t="shared" si="106"/>
        <v>#NAME?</v>
      </c>
      <c r="AG176" s="7" t="e">
        <f t="shared" si="106"/>
        <v>#NAME?</v>
      </c>
      <c r="AH176" s="7" t="e">
        <f t="shared" si="102"/>
        <v>#NAME?</v>
      </c>
      <c r="AI176" s="7" t="e">
        <f t="shared" si="103"/>
        <v>#NAME?</v>
      </c>
      <c r="AJ176" s="8" t="e">
        <f t="shared" si="104"/>
        <v>#NAME?</v>
      </c>
      <c r="AK176" s="7" t="e">
        <f t="shared" si="105"/>
        <v>#NAME?</v>
      </c>
    </row>
    <row r="177" spans="1:48" s="7" customFormat="1">
      <c r="A177" s="7">
        <f t="shared" si="51"/>
        <v>13</v>
      </c>
      <c r="B177" s="7" t="e">
        <f t="shared" ref="B177:AG177" si="107">B$160*$A144+B$161</f>
        <v>#NAME?</v>
      </c>
      <c r="C177" s="7" t="e">
        <f t="shared" si="107"/>
        <v>#NAME?</v>
      </c>
      <c r="D177" s="7" t="e">
        <f t="shared" si="107"/>
        <v>#NAME?</v>
      </c>
      <c r="E177" s="7" t="e">
        <f t="shared" si="107"/>
        <v>#NAME?</v>
      </c>
      <c r="F177" s="7" t="e">
        <f t="shared" si="107"/>
        <v>#NAME?</v>
      </c>
      <c r="G177" s="7" t="e">
        <f t="shared" si="107"/>
        <v>#NAME?</v>
      </c>
      <c r="H177" s="7" t="e">
        <f t="shared" si="107"/>
        <v>#NAME?</v>
      </c>
      <c r="I177" s="7" t="e">
        <f t="shared" si="107"/>
        <v>#NAME?</v>
      </c>
      <c r="J177" s="7" t="e">
        <f t="shared" si="107"/>
        <v>#NAME?</v>
      </c>
      <c r="K177" s="7" t="e">
        <f t="shared" si="107"/>
        <v>#NAME?</v>
      </c>
      <c r="L177" s="7" t="e">
        <f t="shared" si="107"/>
        <v>#NAME?</v>
      </c>
      <c r="M177" s="7" t="e">
        <f t="shared" si="107"/>
        <v>#NAME?</v>
      </c>
      <c r="N177" s="7" t="e">
        <f t="shared" si="107"/>
        <v>#NAME?</v>
      </c>
      <c r="O177" s="7" t="e">
        <f t="shared" si="107"/>
        <v>#NAME?</v>
      </c>
      <c r="P177" s="7" t="e">
        <f t="shared" si="107"/>
        <v>#NAME?</v>
      </c>
      <c r="Q177" s="7" t="e">
        <f t="shared" si="107"/>
        <v>#NAME?</v>
      </c>
      <c r="R177" s="7" t="e">
        <f t="shared" si="107"/>
        <v>#NAME?</v>
      </c>
      <c r="S177" s="7" t="e">
        <f t="shared" si="107"/>
        <v>#NAME?</v>
      </c>
      <c r="U177" s="7" t="e">
        <f t="shared" si="107"/>
        <v>#NAME?</v>
      </c>
      <c r="V177" s="7" t="e">
        <f t="shared" si="107"/>
        <v>#NAME?</v>
      </c>
      <c r="W177" s="7" t="e">
        <f t="shared" si="107"/>
        <v>#NAME?</v>
      </c>
      <c r="X177" s="7" t="e">
        <f t="shared" si="107"/>
        <v>#NAME?</v>
      </c>
      <c r="Y177" s="7" t="e">
        <f t="shared" si="107"/>
        <v>#NAME?</v>
      </c>
      <c r="Z177" s="7" t="e">
        <f t="shared" si="107"/>
        <v>#NAME?</v>
      </c>
      <c r="AA177" s="7" t="e">
        <f t="shared" si="107"/>
        <v>#NAME?</v>
      </c>
      <c r="AB177" s="7" t="e">
        <f t="shared" si="107"/>
        <v>#NAME?</v>
      </c>
      <c r="AC177" s="7" t="e">
        <f t="shared" si="107"/>
        <v>#NAME?</v>
      </c>
      <c r="AD177" s="7" t="e">
        <f t="shared" si="107"/>
        <v>#NAME?</v>
      </c>
      <c r="AE177" s="7" t="e">
        <f t="shared" si="107"/>
        <v>#NAME?</v>
      </c>
      <c r="AF177" s="7" t="e">
        <f t="shared" si="107"/>
        <v>#NAME?</v>
      </c>
      <c r="AG177" s="7" t="e">
        <f t="shared" si="107"/>
        <v>#NAME?</v>
      </c>
      <c r="AH177" s="7" t="e">
        <f t="shared" si="102"/>
        <v>#NAME?</v>
      </c>
      <c r="AI177" s="7" t="e">
        <f t="shared" si="103"/>
        <v>#NAME?</v>
      </c>
      <c r="AJ177" s="8" t="e">
        <f t="shared" si="104"/>
        <v>#NAME?</v>
      </c>
      <c r="AK177" s="7" t="e">
        <f t="shared" si="105"/>
        <v>#NAME?</v>
      </c>
    </row>
    <row r="178" spans="1:48" s="7" customFormat="1">
      <c r="A178" s="7">
        <f t="shared" si="51"/>
        <v>14</v>
      </c>
      <c r="B178" s="7" t="e">
        <f t="shared" ref="B178:AG178" si="108">B$160*$A145+B$161</f>
        <v>#NAME?</v>
      </c>
      <c r="C178" s="7" t="e">
        <f t="shared" si="108"/>
        <v>#NAME?</v>
      </c>
      <c r="D178" s="7" t="e">
        <f t="shared" si="108"/>
        <v>#NAME?</v>
      </c>
      <c r="E178" s="7" t="e">
        <f t="shared" si="108"/>
        <v>#NAME?</v>
      </c>
      <c r="F178" s="7" t="e">
        <f t="shared" si="108"/>
        <v>#NAME?</v>
      </c>
      <c r="G178" s="7" t="e">
        <f t="shared" si="108"/>
        <v>#NAME?</v>
      </c>
      <c r="H178" s="7" t="e">
        <f t="shared" si="108"/>
        <v>#NAME?</v>
      </c>
      <c r="I178" s="7" t="e">
        <f t="shared" si="108"/>
        <v>#NAME?</v>
      </c>
      <c r="J178" s="7" t="e">
        <f t="shared" si="108"/>
        <v>#NAME?</v>
      </c>
      <c r="K178" s="7" t="e">
        <f t="shared" si="108"/>
        <v>#NAME?</v>
      </c>
      <c r="L178" s="7" t="e">
        <f t="shared" si="108"/>
        <v>#NAME?</v>
      </c>
      <c r="M178" s="7" t="e">
        <f t="shared" si="108"/>
        <v>#NAME?</v>
      </c>
      <c r="N178" s="7" t="e">
        <f t="shared" si="108"/>
        <v>#NAME?</v>
      </c>
      <c r="O178" s="7" t="e">
        <f t="shared" si="108"/>
        <v>#NAME?</v>
      </c>
      <c r="P178" s="7" t="e">
        <f t="shared" si="108"/>
        <v>#NAME?</v>
      </c>
      <c r="Q178" s="7" t="e">
        <f t="shared" si="108"/>
        <v>#NAME?</v>
      </c>
      <c r="R178" s="7" t="e">
        <f t="shared" si="108"/>
        <v>#NAME?</v>
      </c>
      <c r="S178" s="7" t="e">
        <f t="shared" si="108"/>
        <v>#NAME?</v>
      </c>
      <c r="U178" s="7" t="e">
        <f t="shared" si="108"/>
        <v>#NAME?</v>
      </c>
      <c r="V178" s="7" t="e">
        <f t="shared" si="108"/>
        <v>#NAME?</v>
      </c>
      <c r="W178" s="7" t="e">
        <f t="shared" si="108"/>
        <v>#NAME?</v>
      </c>
      <c r="X178" s="7" t="e">
        <f t="shared" si="108"/>
        <v>#NAME?</v>
      </c>
      <c r="Y178" s="7" t="e">
        <f t="shared" si="108"/>
        <v>#NAME?</v>
      </c>
      <c r="Z178" s="7" t="e">
        <f t="shared" si="108"/>
        <v>#NAME?</v>
      </c>
      <c r="AA178" s="7" t="e">
        <f t="shared" si="108"/>
        <v>#NAME?</v>
      </c>
      <c r="AB178" s="7" t="e">
        <f t="shared" si="108"/>
        <v>#NAME?</v>
      </c>
      <c r="AC178" s="7" t="e">
        <f t="shared" si="108"/>
        <v>#NAME?</v>
      </c>
      <c r="AD178" s="7" t="e">
        <f t="shared" si="108"/>
        <v>#NAME?</v>
      </c>
      <c r="AE178" s="7" t="e">
        <f t="shared" si="108"/>
        <v>#NAME?</v>
      </c>
      <c r="AF178" s="7" t="e">
        <f t="shared" si="108"/>
        <v>#NAME?</v>
      </c>
      <c r="AG178" s="7" t="e">
        <f t="shared" si="108"/>
        <v>#NAME?</v>
      </c>
      <c r="AH178" s="7" t="e">
        <f t="shared" si="102"/>
        <v>#NAME?</v>
      </c>
      <c r="AI178" s="7" t="e">
        <f t="shared" si="103"/>
        <v>#NAME?</v>
      </c>
      <c r="AJ178" s="8" t="e">
        <f t="shared" si="104"/>
        <v>#NAME?</v>
      </c>
      <c r="AK178" s="7" t="e">
        <f t="shared" si="105"/>
        <v>#NAME?</v>
      </c>
      <c r="AM178" s="9"/>
    </row>
    <row r="179" spans="1:48" s="7" customFormat="1">
      <c r="A179" s="7">
        <f t="shared" ref="A179:A180" si="109">A146</f>
        <v>15</v>
      </c>
      <c r="B179" s="7" t="e">
        <f>B$160*$A146+B$161</f>
        <v>#NAME?</v>
      </c>
      <c r="C179" s="7" t="e">
        <f t="shared" ref="C179:AG179" si="110">C$160*$A146+C$161</f>
        <v>#NAME?</v>
      </c>
      <c r="D179" s="7" t="e">
        <f t="shared" si="110"/>
        <v>#NAME?</v>
      </c>
      <c r="E179" s="7" t="e">
        <f t="shared" si="110"/>
        <v>#NAME?</v>
      </c>
      <c r="F179" s="7" t="e">
        <f t="shared" si="110"/>
        <v>#NAME?</v>
      </c>
      <c r="G179" s="7" t="e">
        <f t="shared" si="110"/>
        <v>#NAME?</v>
      </c>
      <c r="H179" s="7" t="e">
        <f t="shared" si="110"/>
        <v>#NAME?</v>
      </c>
      <c r="I179" s="7" t="e">
        <f t="shared" si="110"/>
        <v>#NAME?</v>
      </c>
      <c r="J179" s="7" t="e">
        <f t="shared" si="110"/>
        <v>#NAME?</v>
      </c>
      <c r="K179" s="7" t="e">
        <f t="shared" si="110"/>
        <v>#NAME?</v>
      </c>
      <c r="L179" s="7" t="e">
        <f t="shared" si="110"/>
        <v>#NAME?</v>
      </c>
      <c r="M179" s="7" t="e">
        <f t="shared" si="110"/>
        <v>#NAME?</v>
      </c>
      <c r="N179" s="7" t="e">
        <f t="shared" si="110"/>
        <v>#NAME?</v>
      </c>
      <c r="O179" s="7" t="e">
        <f t="shared" si="110"/>
        <v>#NAME?</v>
      </c>
      <c r="P179" s="7" t="e">
        <f t="shared" si="110"/>
        <v>#NAME?</v>
      </c>
      <c r="Q179" s="7" t="e">
        <f t="shared" si="110"/>
        <v>#NAME?</v>
      </c>
      <c r="R179" s="7" t="e">
        <f t="shared" si="110"/>
        <v>#NAME?</v>
      </c>
      <c r="S179" s="7" t="e">
        <f t="shared" si="110"/>
        <v>#NAME?</v>
      </c>
      <c r="U179" s="7" t="e">
        <f t="shared" si="110"/>
        <v>#NAME?</v>
      </c>
      <c r="V179" s="7" t="e">
        <f t="shared" si="110"/>
        <v>#NAME?</v>
      </c>
      <c r="W179" s="7" t="e">
        <f t="shared" si="110"/>
        <v>#NAME?</v>
      </c>
      <c r="X179" s="7" t="e">
        <f t="shared" si="110"/>
        <v>#NAME?</v>
      </c>
      <c r="Y179" s="7" t="e">
        <f t="shared" si="110"/>
        <v>#NAME?</v>
      </c>
      <c r="Z179" s="7" t="e">
        <f t="shared" si="110"/>
        <v>#NAME?</v>
      </c>
      <c r="AA179" s="7" t="e">
        <f t="shared" si="110"/>
        <v>#NAME?</v>
      </c>
      <c r="AB179" s="7" t="e">
        <f t="shared" si="110"/>
        <v>#NAME?</v>
      </c>
      <c r="AC179" s="7" t="e">
        <f t="shared" si="110"/>
        <v>#NAME?</v>
      </c>
      <c r="AD179" s="7" t="e">
        <f t="shared" si="110"/>
        <v>#NAME?</v>
      </c>
      <c r="AE179" s="7" t="e">
        <f t="shared" si="110"/>
        <v>#NAME?</v>
      </c>
      <c r="AF179" s="7" t="e">
        <f t="shared" si="110"/>
        <v>#NAME?</v>
      </c>
      <c r="AG179" s="7" t="e">
        <f t="shared" si="110"/>
        <v>#NAME?</v>
      </c>
      <c r="AH179" s="7" t="e">
        <f t="shared" ref="AH179:AH180" si="111">STDEV(B179:AG179)</f>
        <v>#NAME?</v>
      </c>
      <c r="AI179" s="7" t="e">
        <f t="shared" si="44"/>
        <v>#NAME?</v>
      </c>
      <c r="AJ179" s="8" t="e">
        <f t="shared" ref="AJ179:AJ180" si="112">AVERAGE(B179:AG179)</f>
        <v>#NAME?</v>
      </c>
      <c r="AK179" s="7" t="e">
        <f t="shared" ref="AK179:AK180" si="113">AJ179+1.5*AH179</f>
        <v>#NAME?</v>
      </c>
    </row>
    <row r="180" spans="1:48" s="7" customFormat="1">
      <c r="A180" s="7">
        <f t="shared" si="109"/>
        <v>16</v>
      </c>
      <c r="B180" s="7" t="e">
        <f t="shared" ref="B180:AG180" si="114">B$160*$A147+B$161</f>
        <v>#NAME?</v>
      </c>
      <c r="C180" s="7" t="e">
        <f t="shared" si="114"/>
        <v>#NAME?</v>
      </c>
      <c r="D180" s="7" t="e">
        <f t="shared" si="114"/>
        <v>#NAME?</v>
      </c>
      <c r="E180" s="7" t="e">
        <f t="shared" si="114"/>
        <v>#NAME?</v>
      </c>
      <c r="F180" s="7" t="e">
        <f t="shared" si="114"/>
        <v>#NAME?</v>
      </c>
      <c r="G180" s="7" t="e">
        <f t="shared" si="114"/>
        <v>#NAME?</v>
      </c>
      <c r="H180" s="7" t="e">
        <f t="shared" si="114"/>
        <v>#NAME?</v>
      </c>
      <c r="I180" s="7" t="e">
        <f t="shared" si="114"/>
        <v>#NAME?</v>
      </c>
      <c r="J180" s="7" t="e">
        <f t="shared" si="114"/>
        <v>#NAME?</v>
      </c>
      <c r="K180" s="7" t="e">
        <f t="shared" si="114"/>
        <v>#NAME?</v>
      </c>
      <c r="L180" s="7" t="e">
        <f t="shared" si="114"/>
        <v>#NAME?</v>
      </c>
      <c r="M180" s="7" t="e">
        <f t="shared" si="114"/>
        <v>#NAME?</v>
      </c>
      <c r="N180" s="7" t="e">
        <f t="shared" si="114"/>
        <v>#NAME?</v>
      </c>
      <c r="O180" s="7" t="e">
        <f t="shared" si="114"/>
        <v>#NAME?</v>
      </c>
      <c r="P180" s="7" t="e">
        <f t="shared" si="114"/>
        <v>#NAME?</v>
      </c>
      <c r="Q180" s="7" t="e">
        <f t="shared" si="114"/>
        <v>#NAME?</v>
      </c>
      <c r="R180" s="7" t="e">
        <f t="shared" si="114"/>
        <v>#NAME?</v>
      </c>
      <c r="S180" s="7" t="e">
        <f t="shared" si="114"/>
        <v>#NAME?</v>
      </c>
      <c r="U180" s="7" t="e">
        <f t="shared" si="114"/>
        <v>#NAME?</v>
      </c>
      <c r="V180" s="7" t="e">
        <f t="shared" si="114"/>
        <v>#NAME?</v>
      </c>
      <c r="W180" s="7" t="e">
        <f t="shared" si="114"/>
        <v>#NAME?</v>
      </c>
      <c r="X180" s="7" t="e">
        <f t="shared" si="114"/>
        <v>#NAME?</v>
      </c>
      <c r="Y180" s="7" t="e">
        <f t="shared" si="114"/>
        <v>#NAME?</v>
      </c>
      <c r="Z180" s="7" t="e">
        <f t="shared" si="114"/>
        <v>#NAME?</v>
      </c>
      <c r="AA180" s="7" t="e">
        <f t="shared" si="114"/>
        <v>#NAME?</v>
      </c>
      <c r="AB180" s="7" t="e">
        <f t="shared" si="114"/>
        <v>#NAME?</v>
      </c>
      <c r="AC180" s="7" t="e">
        <f t="shared" si="114"/>
        <v>#NAME?</v>
      </c>
      <c r="AD180" s="7" t="e">
        <f t="shared" si="114"/>
        <v>#NAME?</v>
      </c>
      <c r="AE180" s="7" t="e">
        <f t="shared" si="114"/>
        <v>#NAME?</v>
      </c>
      <c r="AF180" s="7" t="e">
        <f t="shared" si="114"/>
        <v>#NAME?</v>
      </c>
      <c r="AG180" s="7" t="e">
        <f t="shared" si="114"/>
        <v>#NAME?</v>
      </c>
      <c r="AH180" s="7" t="e">
        <f t="shared" si="111"/>
        <v>#NAME?</v>
      </c>
      <c r="AI180" s="7" t="e">
        <f t="shared" si="44"/>
        <v>#NAME?</v>
      </c>
      <c r="AJ180" s="8" t="e">
        <f t="shared" si="112"/>
        <v>#NAME?</v>
      </c>
      <c r="AK180" s="7" t="e">
        <f t="shared" si="113"/>
        <v>#NAME?</v>
      </c>
    </row>
    <row r="181" spans="1:48">
      <c r="A181" s="7">
        <f>A148</f>
        <v>17</v>
      </c>
      <c r="B181" s="7" t="e">
        <f t="shared" ref="B181:B188" si="115">B$160*$A148+B$161</f>
        <v>#NAME?</v>
      </c>
      <c r="C181" s="7" t="e">
        <f t="shared" ref="C181:AG188" si="116">C$160*$A148+C$161</f>
        <v>#NAME?</v>
      </c>
      <c r="D181" s="7" t="e">
        <f t="shared" si="116"/>
        <v>#NAME?</v>
      </c>
      <c r="E181" s="7" t="e">
        <f t="shared" si="116"/>
        <v>#NAME?</v>
      </c>
      <c r="F181" s="7" t="e">
        <f t="shared" si="116"/>
        <v>#NAME?</v>
      </c>
      <c r="G181" s="7" t="e">
        <f t="shared" si="116"/>
        <v>#NAME?</v>
      </c>
      <c r="H181" s="7" t="e">
        <f t="shared" si="116"/>
        <v>#NAME?</v>
      </c>
      <c r="I181" s="7" t="e">
        <f t="shared" si="116"/>
        <v>#NAME?</v>
      </c>
      <c r="J181" s="7" t="e">
        <f t="shared" si="116"/>
        <v>#NAME?</v>
      </c>
      <c r="K181" s="7" t="e">
        <f t="shared" si="116"/>
        <v>#NAME?</v>
      </c>
      <c r="L181" s="7" t="e">
        <f t="shared" si="116"/>
        <v>#NAME?</v>
      </c>
      <c r="M181" s="7" t="e">
        <f t="shared" si="116"/>
        <v>#NAME?</v>
      </c>
      <c r="N181" s="7" t="e">
        <f t="shared" si="116"/>
        <v>#NAME?</v>
      </c>
      <c r="O181" s="7" t="e">
        <f t="shared" si="116"/>
        <v>#NAME?</v>
      </c>
      <c r="P181" s="7" t="e">
        <f t="shared" si="116"/>
        <v>#NAME?</v>
      </c>
      <c r="Q181" s="7" t="e">
        <f t="shared" si="116"/>
        <v>#NAME?</v>
      </c>
      <c r="R181" s="7" t="e">
        <f t="shared" si="116"/>
        <v>#NAME?</v>
      </c>
      <c r="S181" s="7" t="e">
        <f t="shared" si="116"/>
        <v>#NAME?</v>
      </c>
      <c r="T181" s="7"/>
      <c r="U181" s="7" t="e">
        <f t="shared" si="116"/>
        <v>#NAME?</v>
      </c>
      <c r="V181" s="7" t="e">
        <f t="shared" si="116"/>
        <v>#NAME?</v>
      </c>
      <c r="W181" s="7" t="e">
        <f t="shared" si="116"/>
        <v>#NAME?</v>
      </c>
      <c r="X181" s="7" t="e">
        <f t="shared" si="116"/>
        <v>#NAME?</v>
      </c>
      <c r="Y181" s="7" t="e">
        <f t="shared" si="116"/>
        <v>#NAME?</v>
      </c>
      <c r="Z181" s="7" t="e">
        <f t="shared" si="116"/>
        <v>#NAME?</v>
      </c>
      <c r="AA181" s="7" t="e">
        <f t="shared" si="116"/>
        <v>#NAME?</v>
      </c>
      <c r="AB181" s="7" t="e">
        <f t="shared" si="116"/>
        <v>#NAME?</v>
      </c>
      <c r="AC181" s="7" t="e">
        <f t="shared" si="116"/>
        <v>#NAME?</v>
      </c>
      <c r="AD181" s="7" t="e">
        <f t="shared" si="116"/>
        <v>#NAME?</v>
      </c>
      <c r="AE181" s="7" t="e">
        <f t="shared" si="116"/>
        <v>#NAME?</v>
      </c>
      <c r="AF181" s="7" t="e">
        <f t="shared" si="116"/>
        <v>#NAME?</v>
      </c>
      <c r="AG181" s="7" t="e">
        <f t="shared" si="116"/>
        <v>#NAME?</v>
      </c>
      <c r="AH181" s="7" t="e">
        <f t="shared" si="43"/>
        <v>#NAME?</v>
      </c>
      <c r="AI181" s="7" t="e">
        <f t="shared" si="44"/>
        <v>#NAME?</v>
      </c>
      <c r="AJ181" s="8" t="e">
        <f t="shared" si="45"/>
        <v>#NAME?</v>
      </c>
      <c r="AK181" s="7" t="e">
        <f t="shared" si="46"/>
        <v>#NAME?</v>
      </c>
      <c r="AO181" s="7"/>
      <c r="AP181" s="7"/>
      <c r="AQ181" s="7"/>
      <c r="AR181" s="7"/>
      <c r="AS181" s="7"/>
      <c r="AT181" s="7"/>
      <c r="AU181" s="7"/>
      <c r="AV181" s="7"/>
    </row>
    <row r="182" spans="1:48">
      <c r="A182" s="7">
        <f t="shared" ref="A182:A187" si="117">A149</f>
        <v>18</v>
      </c>
      <c r="B182" s="7" t="e">
        <f t="shared" si="115"/>
        <v>#NAME?</v>
      </c>
      <c r="C182" s="7" t="e">
        <f t="shared" si="116"/>
        <v>#NAME?</v>
      </c>
      <c r="D182" s="7" t="e">
        <f t="shared" si="116"/>
        <v>#NAME?</v>
      </c>
      <c r="E182" s="7" t="e">
        <f t="shared" si="116"/>
        <v>#NAME?</v>
      </c>
      <c r="F182" s="7" t="e">
        <f t="shared" si="116"/>
        <v>#NAME?</v>
      </c>
      <c r="G182" s="7" t="e">
        <f t="shared" si="116"/>
        <v>#NAME?</v>
      </c>
      <c r="H182" s="7" t="e">
        <f t="shared" si="116"/>
        <v>#NAME?</v>
      </c>
      <c r="I182" s="7" t="e">
        <f t="shared" si="116"/>
        <v>#NAME?</v>
      </c>
      <c r="J182" s="7" t="e">
        <f t="shared" si="116"/>
        <v>#NAME?</v>
      </c>
      <c r="K182" s="7" t="e">
        <f t="shared" si="116"/>
        <v>#NAME?</v>
      </c>
      <c r="L182" s="7" t="e">
        <f t="shared" si="116"/>
        <v>#NAME?</v>
      </c>
      <c r="M182" s="7" t="e">
        <f t="shared" si="116"/>
        <v>#NAME?</v>
      </c>
      <c r="N182" s="7" t="e">
        <f t="shared" si="116"/>
        <v>#NAME?</v>
      </c>
      <c r="O182" s="7" t="e">
        <f t="shared" si="116"/>
        <v>#NAME?</v>
      </c>
      <c r="P182" s="7" t="e">
        <f t="shared" si="116"/>
        <v>#NAME?</v>
      </c>
      <c r="Q182" s="7" t="e">
        <f t="shared" si="116"/>
        <v>#NAME?</v>
      </c>
      <c r="R182" s="7" t="e">
        <f t="shared" si="116"/>
        <v>#NAME?</v>
      </c>
      <c r="S182" s="7" t="e">
        <f t="shared" si="116"/>
        <v>#NAME?</v>
      </c>
      <c r="T182" s="7"/>
      <c r="U182" s="7" t="e">
        <f t="shared" si="116"/>
        <v>#NAME?</v>
      </c>
      <c r="V182" s="7" t="e">
        <f t="shared" si="116"/>
        <v>#NAME?</v>
      </c>
      <c r="W182" s="7" t="e">
        <f t="shared" si="116"/>
        <v>#NAME?</v>
      </c>
      <c r="X182" s="7" t="e">
        <f t="shared" si="116"/>
        <v>#NAME?</v>
      </c>
      <c r="Y182" s="7" t="e">
        <f t="shared" si="116"/>
        <v>#NAME?</v>
      </c>
      <c r="Z182" s="7" t="e">
        <f t="shared" si="116"/>
        <v>#NAME?</v>
      </c>
      <c r="AA182" s="7" t="e">
        <f t="shared" si="116"/>
        <v>#NAME?</v>
      </c>
      <c r="AB182" s="7" t="e">
        <f t="shared" si="116"/>
        <v>#NAME?</v>
      </c>
      <c r="AC182" s="7" t="e">
        <f t="shared" si="116"/>
        <v>#NAME?</v>
      </c>
      <c r="AD182" s="7" t="e">
        <f t="shared" si="116"/>
        <v>#NAME?</v>
      </c>
      <c r="AE182" s="7" t="e">
        <f t="shared" si="116"/>
        <v>#NAME?</v>
      </c>
      <c r="AF182" s="7" t="e">
        <f t="shared" si="116"/>
        <v>#NAME?</v>
      </c>
      <c r="AG182" s="7" t="e">
        <f t="shared" si="116"/>
        <v>#NAME?</v>
      </c>
      <c r="AH182" s="7" t="e">
        <f t="shared" si="43"/>
        <v>#NAME?</v>
      </c>
      <c r="AI182" s="7" t="e">
        <f t="shared" si="44"/>
        <v>#NAME?</v>
      </c>
      <c r="AJ182" s="8" t="e">
        <f t="shared" si="45"/>
        <v>#NAME?</v>
      </c>
      <c r="AK182" s="7" t="e">
        <f t="shared" si="46"/>
        <v>#NAME?</v>
      </c>
      <c r="AM182" s="7"/>
      <c r="AN182" s="7"/>
      <c r="AO182" s="7"/>
      <c r="AP182" s="7"/>
      <c r="AQ182" s="7"/>
      <c r="AR182" s="7"/>
      <c r="AS182" s="7"/>
      <c r="AT182" s="7"/>
      <c r="AU182" s="7"/>
      <c r="AV182" s="7"/>
    </row>
    <row r="183" spans="1:48">
      <c r="A183" s="7">
        <f t="shared" si="117"/>
        <v>19</v>
      </c>
      <c r="B183" s="7" t="e">
        <f t="shared" si="115"/>
        <v>#NAME?</v>
      </c>
      <c r="C183" s="7" t="e">
        <f t="shared" si="116"/>
        <v>#NAME?</v>
      </c>
      <c r="D183" s="7" t="e">
        <f t="shared" si="116"/>
        <v>#NAME?</v>
      </c>
      <c r="E183" s="7" t="e">
        <f t="shared" si="116"/>
        <v>#NAME?</v>
      </c>
      <c r="F183" s="7" t="e">
        <f t="shared" si="116"/>
        <v>#NAME?</v>
      </c>
      <c r="G183" s="7" t="e">
        <f t="shared" si="116"/>
        <v>#NAME?</v>
      </c>
      <c r="H183" s="7" t="e">
        <f t="shared" si="116"/>
        <v>#NAME?</v>
      </c>
      <c r="I183" s="7" t="e">
        <f t="shared" si="116"/>
        <v>#NAME?</v>
      </c>
      <c r="J183" s="7" t="e">
        <f t="shared" si="116"/>
        <v>#NAME?</v>
      </c>
      <c r="K183" s="7" t="e">
        <f t="shared" si="116"/>
        <v>#NAME?</v>
      </c>
      <c r="L183" s="7" t="e">
        <f t="shared" si="116"/>
        <v>#NAME?</v>
      </c>
      <c r="M183" s="7" t="e">
        <f t="shared" si="116"/>
        <v>#NAME?</v>
      </c>
      <c r="N183" s="7" t="e">
        <f t="shared" si="116"/>
        <v>#NAME?</v>
      </c>
      <c r="O183" s="7" t="e">
        <f t="shared" si="116"/>
        <v>#NAME?</v>
      </c>
      <c r="P183" s="7" t="e">
        <f t="shared" si="116"/>
        <v>#NAME?</v>
      </c>
      <c r="Q183" s="7" t="e">
        <f t="shared" si="116"/>
        <v>#NAME?</v>
      </c>
      <c r="R183" s="7" t="e">
        <f t="shared" si="116"/>
        <v>#NAME?</v>
      </c>
      <c r="S183" s="7" t="e">
        <f t="shared" si="116"/>
        <v>#NAME?</v>
      </c>
      <c r="T183" s="7"/>
      <c r="U183" s="7" t="e">
        <f t="shared" si="116"/>
        <v>#NAME?</v>
      </c>
      <c r="V183" s="7" t="e">
        <f t="shared" si="116"/>
        <v>#NAME?</v>
      </c>
      <c r="W183" s="7" t="e">
        <f t="shared" si="116"/>
        <v>#NAME?</v>
      </c>
      <c r="X183" s="7" t="e">
        <f t="shared" si="116"/>
        <v>#NAME?</v>
      </c>
      <c r="Y183" s="7" t="e">
        <f t="shared" si="116"/>
        <v>#NAME?</v>
      </c>
      <c r="Z183" s="7" t="e">
        <f t="shared" si="116"/>
        <v>#NAME?</v>
      </c>
      <c r="AA183" s="7" t="e">
        <f t="shared" si="116"/>
        <v>#NAME?</v>
      </c>
      <c r="AB183" s="7" t="e">
        <f t="shared" si="116"/>
        <v>#NAME?</v>
      </c>
      <c r="AC183" s="7" t="e">
        <f t="shared" si="116"/>
        <v>#NAME?</v>
      </c>
      <c r="AD183" s="7" t="e">
        <f t="shared" si="116"/>
        <v>#NAME?</v>
      </c>
      <c r="AE183" s="7" t="e">
        <f t="shared" si="116"/>
        <v>#NAME?</v>
      </c>
      <c r="AF183" s="7" t="e">
        <f t="shared" si="116"/>
        <v>#NAME?</v>
      </c>
      <c r="AG183" s="7" t="e">
        <f t="shared" si="116"/>
        <v>#NAME?</v>
      </c>
      <c r="AH183" s="7" t="e">
        <f t="shared" si="43"/>
        <v>#NAME?</v>
      </c>
      <c r="AI183" s="7" t="e">
        <f t="shared" si="44"/>
        <v>#NAME?</v>
      </c>
      <c r="AJ183" s="8" t="e">
        <f t="shared" si="45"/>
        <v>#NAME?</v>
      </c>
      <c r="AK183" s="7" t="e">
        <f t="shared" si="46"/>
        <v>#NAME?</v>
      </c>
      <c r="AM183" s="7"/>
      <c r="AN183" s="7"/>
      <c r="AO183" s="7"/>
      <c r="AP183" s="7"/>
      <c r="AQ183" s="7"/>
      <c r="AR183" s="7"/>
      <c r="AS183" s="7"/>
      <c r="AT183" s="7"/>
      <c r="AU183" s="7"/>
      <c r="AV183" s="7"/>
    </row>
    <row r="184" spans="1:48">
      <c r="A184" s="7">
        <f t="shared" si="117"/>
        <v>20</v>
      </c>
      <c r="B184" s="7" t="e">
        <f t="shared" si="115"/>
        <v>#NAME?</v>
      </c>
      <c r="C184" s="7" t="e">
        <f t="shared" si="116"/>
        <v>#NAME?</v>
      </c>
      <c r="D184" s="7" t="e">
        <f t="shared" si="116"/>
        <v>#NAME?</v>
      </c>
      <c r="E184" s="7" t="e">
        <f t="shared" si="116"/>
        <v>#NAME?</v>
      </c>
      <c r="F184" s="7" t="e">
        <f t="shared" si="116"/>
        <v>#NAME?</v>
      </c>
      <c r="G184" s="7" t="e">
        <f t="shared" si="116"/>
        <v>#NAME?</v>
      </c>
      <c r="H184" s="7" t="e">
        <f t="shared" si="116"/>
        <v>#NAME?</v>
      </c>
      <c r="I184" s="7" t="e">
        <f t="shared" si="116"/>
        <v>#NAME?</v>
      </c>
      <c r="J184" s="7" t="e">
        <f t="shared" si="116"/>
        <v>#NAME?</v>
      </c>
      <c r="K184" s="7" t="e">
        <f t="shared" si="116"/>
        <v>#NAME?</v>
      </c>
      <c r="L184" s="7" t="e">
        <f t="shared" si="116"/>
        <v>#NAME?</v>
      </c>
      <c r="M184" s="7" t="e">
        <f t="shared" si="116"/>
        <v>#NAME?</v>
      </c>
      <c r="N184" s="7" t="e">
        <f t="shared" si="116"/>
        <v>#NAME?</v>
      </c>
      <c r="O184" s="7" t="e">
        <f t="shared" si="116"/>
        <v>#NAME?</v>
      </c>
      <c r="P184" s="7" t="e">
        <f t="shared" si="116"/>
        <v>#NAME?</v>
      </c>
      <c r="Q184" s="7" t="e">
        <f t="shared" si="116"/>
        <v>#NAME?</v>
      </c>
      <c r="R184" s="7" t="e">
        <f t="shared" si="116"/>
        <v>#NAME?</v>
      </c>
      <c r="S184" s="7" t="e">
        <f t="shared" si="116"/>
        <v>#NAME?</v>
      </c>
      <c r="T184" s="7"/>
      <c r="U184" s="7" t="e">
        <f t="shared" si="116"/>
        <v>#NAME?</v>
      </c>
      <c r="V184" s="7" t="e">
        <f t="shared" si="116"/>
        <v>#NAME?</v>
      </c>
      <c r="W184" s="7" t="e">
        <f t="shared" si="116"/>
        <v>#NAME?</v>
      </c>
      <c r="X184" s="7" t="e">
        <f t="shared" si="116"/>
        <v>#NAME?</v>
      </c>
      <c r="Y184" s="7" t="e">
        <f t="shared" si="116"/>
        <v>#NAME?</v>
      </c>
      <c r="Z184" s="7" t="e">
        <f t="shared" si="116"/>
        <v>#NAME?</v>
      </c>
      <c r="AA184" s="7" t="e">
        <f t="shared" si="116"/>
        <v>#NAME?</v>
      </c>
      <c r="AB184" s="7" t="e">
        <f t="shared" si="116"/>
        <v>#NAME?</v>
      </c>
      <c r="AC184" s="7" t="e">
        <f t="shared" si="116"/>
        <v>#NAME?</v>
      </c>
      <c r="AD184" s="7" t="e">
        <f t="shared" si="116"/>
        <v>#NAME?</v>
      </c>
      <c r="AE184" s="7" t="e">
        <f t="shared" si="116"/>
        <v>#NAME?</v>
      </c>
      <c r="AF184" s="7" t="e">
        <f t="shared" si="116"/>
        <v>#NAME?</v>
      </c>
      <c r="AG184" s="7" t="e">
        <f t="shared" si="116"/>
        <v>#NAME?</v>
      </c>
      <c r="AH184" s="7" t="e">
        <f t="shared" si="43"/>
        <v>#NAME?</v>
      </c>
      <c r="AI184" s="7" t="e">
        <f t="shared" si="44"/>
        <v>#NAME?</v>
      </c>
      <c r="AJ184" s="8" t="e">
        <f t="shared" si="45"/>
        <v>#NAME?</v>
      </c>
      <c r="AK184" s="7" t="e">
        <f t="shared" si="46"/>
        <v>#NAME?</v>
      </c>
      <c r="AM184" s="7"/>
      <c r="AN184" s="7"/>
      <c r="AO184" s="7"/>
      <c r="AP184" s="7"/>
      <c r="AQ184" s="7"/>
      <c r="AR184" s="7"/>
      <c r="AS184" s="7"/>
      <c r="AT184" s="7"/>
      <c r="AU184" s="7"/>
      <c r="AV184" s="7"/>
    </row>
    <row r="185" spans="1:48">
      <c r="A185" s="7">
        <f t="shared" si="117"/>
        <v>21</v>
      </c>
      <c r="B185" s="7" t="e">
        <f t="shared" si="115"/>
        <v>#NAME?</v>
      </c>
      <c r="C185" s="7" t="e">
        <f t="shared" si="116"/>
        <v>#NAME?</v>
      </c>
      <c r="D185" s="7" t="e">
        <f t="shared" si="116"/>
        <v>#NAME?</v>
      </c>
      <c r="E185" s="7" t="e">
        <f t="shared" si="116"/>
        <v>#NAME?</v>
      </c>
      <c r="F185" s="7" t="e">
        <f t="shared" si="116"/>
        <v>#NAME?</v>
      </c>
      <c r="G185" s="7" t="e">
        <f t="shared" si="116"/>
        <v>#NAME?</v>
      </c>
      <c r="H185" s="7" t="e">
        <f t="shared" si="116"/>
        <v>#NAME?</v>
      </c>
      <c r="I185" s="7" t="e">
        <f t="shared" si="116"/>
        <v>#NAME?</v>
      </c>
      <c r="J185" s="7" t="e">
        <f t="shared" si="116"/>
        <v>#NAME?</v>
      </c>
      <c r="K185" s="7" t="e">
        <f t="shared" si="116"/>
        <v>#NAME?</v>
      </c>
      <c r="L185" s="7" t="e">
        <f t="shared" si="116"/>
        <v>#NAME?</v>
      </c>
      <c r="M185" s="7" t="e">
        <f t="shared" si="116"/>
        <v>#NAME?</v>
      </c>
      <c r="N185" s="7" t="e">
        <f t="shared" si="116"/>
        <v>#NAME?</v>
      </c>
      <c r="O185" s="7" t="e">
        <f t="shared" si="116"/>
        <v>#NAME?</v>
      </c>
      <c r="P185" s="7" t="e">
        <f t="shared" si="116"/>
        <v>#NAME?</v>
      </c>
      <c r="Q185" s="7" t="e">
        <f t="shared" si="116"/>
        <v>#NAME?</v>
      </c>
      <c r="R185" s="7" t="e">
        <f t="shared" si="116"/>
        <v>#NAME?</v>
      </c>
      <c r="S185" s="7" t="e">
        <f t="shared" si="116"/>
        <v>#NAME?</v>
      </c>
      <c r="T185" s="7"/>
      <c r="U185" s="7" t="e">
        <f t="shared" si="116"/>
        <v>#NAME?</v>
      </c>
      <c r="V185" s="7" t="e">
        <f t="shared" si="116"/>
        <v>#NAME?</v>
      </c>
      <c r="W185" s="7" t="e">
        <f t="shared" si="116"/>
        <v>#NAME?</v>
      </c>
      <c r="X185" s="7" t="e">
        <f t="shared" si="116"/>
        <v>#NAME?</v>
      </c>
      <c r="Y185" s="7" t="e">
        <f t="shared" si="116"/>
        <v>#NAME?</v>
      </c>
      <c r="Z185" s="7" t="e">
        <f t="shared" si="116"/>
        <v>#NAME?</v>
      </c>
      <c r="AA185" s="7" t="e">
        <f t="shared" si="116"/>
        <v>#NAME?</v>
      </c>
      <c r="AB185" s="7" t="e">
        <f t="shared" si="116"/>
        <v>#NAME?</v>
      </c>
      <c r="AC185" s="7" t="e">
        <f t="shared" si="116"/>
        <v>#NAME?</v>
      </c>
      <c r="AD185" s="7" t="e">
        <f t="shared" si="116"/>
        <v>#NAME?</v>
      </c>
      <c r="AE185" s="7" t="e">
        <f t="shared" si="116"/>
        <v>#NAME?</v>
      </c>
      <c r="AF185" s="7" t="e">
        <f t="shared" si="116"/>
        <v>#NAME?</v>
      </c>
      <c r="AG185" s="7" t="e">
        <f t="shared" si="116"/>
        <v>#NAME?</v>
      </c>
      <c r="AH185" s="7" t="e">
        <f t="shared" si="43"/>
        <v>#NAME?</v>
      </c>
      <c r="AI185" s="7" t="e">
        <f t="shared" si="44"/>
        <v>#NAME?</v>
      </c>
      <c r="AJ185" s="8" t="e">
        <f t="shared" si="45"/>
        <v>#NAME?</v>
      </c>
      <c r="AK185" s="7" t="e">
        <f t="shared" si="46"/>
        <v>#NAME?</v>
      </c>
      <c r="AM185" s="7"/>
      <c r="AN185" s="7"/>
      <c r="AO185" s="7"/>
      <c r="AP185" s="7"/>
      <c r="AQ185" s="7"/>
      <c r="AR185" s="7"/>
      <c r="AS185" s="7"/>
      <c r="AT185" s="7"/>
      <c r="AU185" s="7"/>
      <c r="AV185" s="7"/>
    </row>
    <row r="186" spans="1:48">
      <c r="A186" s="7">
        <f t="shared" si="117"/>
        <v>22</v>
      </c>
      <c r="B186" s="7" t="e">
        <f t="shared" si="115"/>
        <v>#NAME?</v>
      </c>
      <c r="C186" s="7" t="e">
        <f t="shared" si="116"/>
        <v>#NAME?</v>
      </c>
      <c r="D186" s="7" t="e">
        <f t="shared" si="116"/>
        <v>#NAME?</v>
      </c>
      <c r="E186" s="7" t="e">
        <f t="shared" si="116"/>
        <v>#NAME?</v>
      </c>
      <c r="F186" s="7" t="e">
        <f t="shared" si="116"/>
        <v>#NAME?</v>
      </c>
      <c r="G186" s="7" t="e">
        <f t="shared" si="116"/>
        <v>#NAME?</v>
      </c>
      <c r="H186" s="7" t="e">
        <f t="shared" si="116"/>
        <v>#NAME?</v>
      </c>
      <c r="I186" s="7" t="e">
        <f t="shared" si="116"/>
        <v>#NAME?</v>
      </c>
      <c r="J186" s="7" t="e">
        <f t="shared" si="116"/>
        <v>#NAME?</v>
      </c>
      <c r="K186" s="7" t="e">
        <f t="shared" si="116"/>
        <v>#NAME?</v>
      </c>
      <c r="L186" s="7" t="e">
        <f t="shared" si="116"/>
        <v>#NAME?</v>
      </c>
      <c r="M186" s="7" t="e">
        <f t="shared" si="116"/>
        <v>#NAME?</v>
      </c>
      <c r="N186" s="7" t="e">
        <f t="shared" si="116"/>
        <v>#NAME?</v>
      </c>
      <c r="O186" s="7" t="e">
        <f t="shared" si="116"/>
        <v>#NAME?</v>
      </c>
      <c r="P186" s="7" t="e">
        <f t="shared" si="116"/>
        <v>#NAME?</v>
      </c>
      <c r="Q186" s="7" t="e">
        <f t="shared" si="116"/>
        <v>#NAME?</v>
      </c>
      <c r="R186" s="7" t="e">
        <f t="shared" si="116"/>
        <v>#NAME?</v>
      </c>
      <c r="S186" s="7" t="e">
        <f t="shared" si="116"/>
        <v>#NAME?</v>
      </c>
      <c r="T186" s="7"/>
      <c r="U186" s="7" t="e">
        <f t="shared" si="116"/>
        <v>#NAME?</v>
      </c>
      <c r="V186" s="7" t="e">
        <f t="shared" si="116"/>
        <v>#NAME?</v>
      </c>
      <c r="W186" s="7" t="e">
        <f t="shared" si="116"/>
        <v>#NAME?</v>
      </c>
      <c r="X186" s="7" t="e">
        <f t="shared" si="116"/>
        <v>#NAME?</v>
      </c>
      <c r="Y186" s="7" t="e">
        <f t="shared" si="116"/>
        <v>#NAME?</v>
      </c>
      <c r="Z186" s="7" t="e">
        <f t="shared" si="116"/>
        <v>#NAME?</v>
      </c>
      <c r="AA186" s="7" t="e">
        <f t="shared" si="116"/>
        <v>#NAME?</v>
      </c>
      <c r="AB186" s="7" t="e">
        <f t="shared" si="116"/>
        <v>#NAME?</v>
      </c>
      <c r="AC186" s="7" t="e">
        <f t="shared" si="116"/>
        <v>#NAME?</v>
      </c>
      <c r="AD186" s="7" t="e">
        <f t="shared" si="116"/>
        <v>#NAME?</v>
      </c>
      <c r="AE186" s="7" t="e">
        <f t="shared" si="116"/>
        <v>#NAME?</v>
      </c>
      <c r="AF186" s="7" t="e">
        <f t="shared" si="116"/>
        <v>#NAME?</v>
      </c>
      <c r="AG186" s="7" t="e">
        <f t="shared" si="116"/>
        <v>#NAME?</v>
      </c>
      <c r="AH186" s="7" t="e">
        <f t="shared" si="43"/>
        <v>#NAME?</v>
      </c>
      <c r="AI186" s="7" t="e">
        <f t="shared" si="44"/>
        <v>#NAME?</v>
      </c>
      <c r="AJ186" s="8" t="e">
        <f t="shared" si="45"/>
        <v>#NAME?</v>
      </c>
      <c r="AK186" s="7" t="e">
        <f t="shared" si="46"/>
        <v>#NAME?</v>
      </c>
      <c r="AM186" s="7"/>
      <c r="AN186" s="7"/>
      <c r="AO186" s="7"/>
      <c r="AP186" s="7"/>
      <c r="AQ186" s="7"/>
      <c r="AR186" s="7"/>
      <c r="AS186" s="7"/>
      <c r="AT186" s="7"/>
      <c r="AU186" s="7"/>
      <c r="AV186" s="7"/>
    </row>
    <row r="187" spans="1:48">
      <c r="A187" s="7">
        <f t="shared" si="117"/>
        <v>23</v>
      </c>
      <c r="B187" s="7" t="e">
        <f t="shared" si="115"/>
        <v>#NAME?</v>
      </c>
      <c r="C187" s="7" t="e">
        <f t="shared" si="116"/>
        <v>#NAME?</v>
      </c>
      <c r="D187" s="7" t="e">
        <f t="shared" si="116"/>
        <v>#NAME?</v>
      </c>
      <c r="E187" s="7" t="e">
        <f t="shared" si="116"/>
        <v>#NAME?</v>
      </c>
      <c r="F187" s="7" t="e">
        <f t="shared" si="116"/>
        <v>#NAME?</v>
      </c>
      <c r="G187" s="7" t="e">
        <f t="shared" si="116"/>
        <v>#NAME?</v>
      </c>
      <c r="H187" s="7" t="e">
        <f t="shared" si="116"/>
        <v>#NAME?</v>
      </c>
      <c r="I187" s="7" t="e">
        <f t="shared" si="116"/>
        <v>#NAME?</v>
      </c>
      <c r="J187" s="7" t="e">
        <f t="shared" si="116"/>
        <v>#NAME?</v>
      </c>
      <c r="K187" s="7" t="e">
        <f t="shared" si="116"/>
        <v>#NAME?</v>
      </c>
      <c r="L187" s="7" t="e">
        <f t="shared" si="116"/>
        <v>#NAME?</v>
      </c>
      <c r="M187" s="7" t="e">
        <f t="shared" si="116"/>
        <v>#NAME?</v>
      </c>
      <c r="N187" s="7" t="e">
        <f t="shared" si="116"/>
        <v>#NAME?</v>
      </c>
      <c r="O187" s="7" t="e">
        <f t="shared" si="116"/>
        <v>#NAME?</v>
      </c>
      <c r="P187" s="7" t="e">
        <f t="shared" si="116"/>
        <v>#NAME?</v>
      </c>
      <c r="Q187" s="7" t="e">
        <f t="shared" si="116"/>
        <v>#NAME?</v>
      </c>
      <c r="R187" s="7" t="e">
        <f t="shared" si="116"/>
        <v>#NAME?</v>
      </c>
      <c r="S187" s="7" t="e">
        <f t="shared" si="116"/>
        <v>#NAME?</v>
      </c>
      <c r="T187" s="7"/>
      <c r="U187" s="7" t="e">
        <f t="shared" si="116"/>
        <v>#NAME?</v>
      </c>
      <c r="V187" s="7" t="e">
        <f t="shared" si="116"/>
        <v>#NAME?</v>
      </c>
      <c r="W187" s="7" t="e">
        <f t="shared" si="116"/>
        <v>#NAME?</v>
      </c>
      <c r="X187" s="7" t="e">
        <f t="shared" si="116"/>
        <v>#NAME?</v>
      </c>
      <c r="Y187" s="7" t="e">
        <f t="shared" si="116"/>
        <v>#NAME?</v>
      </c>
      <c r="Z187" s="7" t="e">
        <f t="shared" si="116"/>
        <v>#NAME?</v>
      </c>
      <c r="AA187" s="7" t="e">
        <f t="shared" si="116"/>
        <v>#NAME?</v>
      </c>
      <c r="AB187" s="7" t="e">
        <f t="shared" si="116"/>
        <v>#NAME?</v>
      </c>
      <c r="AC187" s="7" t="e">
        <f t="shared" si="116"/>
        <v>#NAME?</v>
      </c>
      <c r="AD187" s="7" t="e">
        <f t="shared" si="116"/>
        <v>#NAME?</v>
      </c>
      <c r="AE187" s="7" t="e">
        <f t="shared" si="116"/>
        <v>#NAME?</v>
      </c>
      <c r="AF187" s="7" t="e">
        <f t="shared" si="116"/>
        <v>#NAME?</v>
      </c>
      <c r="AG187" s="7" t="e">
        <f t="shared" si="116"/>
        <v>#NAME?</v>
      </c>
      <c r="AH187" s="7" t="e">
        <f t="shared" si="43"/>
        <v>#NAME?</v>
      </c>
      <c r="AI187" s="7" t="e">
        <f t="shared" si="44"/>
        <v>#NAME?</v>
      </c>
      <c r="AJ187" s="8" t="e">
        <f t="shared" si="45"/>
        <v>#NAME?</v>
      </c>
      <c r="AK187" s="7" t="e">
        <f t="shared" si="46"/>
        <v>#NAME?</v>
      </c>
      <c r="AM187" s="7"/>
      <c r="AN187" s="7"/>
      <c r="AO187" s="7"/>
      <c r="AP187" s="7"/>
      <c r="AQ187" s="7"/>
      <c r="AR187" s="7"/>
      <c r="AS187" s="7"/>
      <c r="AT187" s="7"/>
      <c r="AU187" s="7"/>
      <c r="AV187" s="7"/>
    </row>
    <row r="188" spans="1:48">
      <c r="A188" s="7">
        <f>A155</f>
        <v>24</v>
      </c>
      <c r="B188" s="7" t="e">
        <f t="shared" si="115"/>
        <v>#NAME?</v>
      </c>
      <c r="C188" s="7" t="e">
        <f t="shared" si="116"/>
        <v>#NAME?</v>
      </c>
      <c r="D188" s="7" t="e">
        <f t="shared" si="116"/>
        <v>#NAME?</v>
      </c>
      <c r="E188" s="7" t="e">
        <f t="shared" si="116"/>
        <v>#NAME?</v>
      </c>
      <c r="F188" s="7" t="e">
        <f t="shared" si="116"/>
        <v>#NAME?</v>
      </c>
      <c r="G188" s="7" t="e">
        <f t="shared" si="116"/>
        <v>#NAME?</v>
      </c>
      <c r="H188" s="7" t="e">
        <f t="shared" si="116"/>
        <v>#NAME?</v>
      </c>
      <c r="I188" s="7" t="e">
        <f t="shared" si="116"/>
        <v>#NAME?</v>
      </c>
      <c r="J188" s="7" t="e">
        <f t="shared" si="116"/>
        <v>#NAME?</v>
      </c>
      <c r="K188" s="7" t="e">
        <f t="shared" si="116"/>
        <v>#NAME?</v>
      </c>
      <c r="L188" s="7" t="e">
        <f t="shared" si="116"/>
        <v>#NAME?</v>
      </c>
      <c r="M188" s="7" t="e">
        <f t="shared" si="116"/>
        <v>#NAME?</v>
      </c>
      <c r="N188" s="7" t="e">
        <f t="shared" si="116"/>
        <v>#NAME?</v>
      </c>
      <c r="O188" s="7" t="e">
        <f t="shared" si="116"/>
        <v>#NAME?</v>
      </c>
      <c r="P188" s="7" t="e">
        <f t="shared" si="116"/>
        <v>#NAME?</v>
      </c>
      <c r="Q188" s="7" t="e">
        <f t="shared" si="116"/>
        <v>#NAME?</v>
      </c>
      <c r="R188" s="7" t="e">
        <f t="shared" si="116"/>
        <v>#NAME?</v>
      </c>
      <c r="S188" s="7" t="e">
        <f t="shared" si="116"/>
        <v>#NAME?</v>
      </c>
      <c r="T188" s="7"/>
      <c r="U188" s="7" t="e">
        <f t="shared" si="116"/>
        <v>#NAME?</v>
      </c>
      <c r="V188" s="7" t="e">
        <f t="shared" si="116"/>
        <v>#NAME?</v>
      </c>
      <c r="W188" s="7" t="e">
        <f t="shared" si="116"/>
        <v>#NAME?</v>
      </c>
      <c r="X188" s="7" t="e">
        <f t="shared" si="116"/>
        <v>#NAME?</v>
      </c>
      <c r="Y188" s="7" t="e">
        <f t="shared" si="116"/>
        <v>#NAME?</v>
      </c>
      <c r="Z188" s="7" t="e">
        <f t="shared" si="116"/>
        <v>#NAME?</v>
      </c>
      <c r="AA188" s="7" t="e">
        <f t="shared" si="116"/>
        <v>#NAME?</v>
      </c>
      <c r="AB188" s="7" t="e">
        <f t="shared" si="116"/>
        <v>#NAME?</v>
      </c>
      <c r="AC188" s="7" t="e">
        <f t="shared" si="116"/>
        <v>#NAME?</v>
      </c>
      <c r="AD188" s="7" t="e">
        <f t="shared" si="116"/>
        <v>#NAME?</v>
      </c>
      <c r="AE188" s="7" t="e">
        <f t="shared" si="116"/>
        <v>#NAME?</v>
      </c>
      <c r="AF188" s="7" t="e">
        <f t="shared" si="116"/>
        <v>#NAME?</v>
      </c>
      <c r="AG188" s="7" t="e">
        <f t="shared" si="116"/>
        <v>#NAME?</v>
      </c>
      <c r="AH188" s="7" t="e">
        <f t="shared" si="43"/>
        <v>#NAME?</v>
      </c>
      <c r="AI188" s="7" t="e">
        <f t="shared" si="44"/>
        <v>#NAME?</v>
      </c>
      <c r="AJ188" s="8" t="e">
        <f t="shared" si="45"/>
        <v>#NAME?</v>
      </c>
      <c r="AK188" s="7" t="e">
        <f t="shared" si="46"/>
        <v>#NAME?</v>
      </c>
      <c r="AM188" s="7"/>
      <c r="AN188" s="7"/>
      <c r="AO188" s="7"/>
      <c r="AP188" s="7"/>
      <c r="AQ188" s="7"/>
      <c r="AR188" s="7"/>
      <c r="AS188" s="7"/>
      <c r="AT188" s="7"/>
      <c r="AU188" s="7"/>
      <c r="AV188" s="7"/>
    </row>
    <row r="189" spans="1:48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8"/>
      <c r="AK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</row>
    <row r="190" spans="1:48"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8"/>
      <c r="AK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</row>
    <row r="191" spans="1:48">
      <c r="A191" s="7"/>
      <c r="B191" s="7">
        <f>B163</f>
        <v>0</v>
      </c>
      <c r="C191" s="7">
        <f t="shared" ref="C191:AK191" si="118">C163</f>
        <v>1</v>
      </c>
      <c r="D191" s="7">
        <f t="shared" si="118"/>
        <v>2</v>
      </c>
      <c r="E191" s="7">
        <f t="shared" si="118"/>
        <v>3</v>
      </c>
      <c r="F191" s="7">
        <f t="shared" si="118"/>
        <v>4</v>
      </c>
      <c r="G191" s="7">
        <f t="shared" si="118"/>
        <v>5</v>
      </c>
      <c r="H191" s="7">
        <f t="shared" si="118"/>
        <v>6</v>
      </c>
      <c r="I191" s="7">
        <f t="shared" si="118"/>
        <v>7</v>
      </c>
      <c r="J191" s="7">
        <f t="shared" si="118"/>
        <v>8</v>
      </c>
      <c r="K191" s="7">
        <f t="shared" si="118"/>
        <v>9</v>
      </c>
      <c r="L191" s="7">
        <f t="shared" si="118"/>
        <v>10</v>
      </c>
      <c r="M191" s="7">
        <f t="shared" si="118"/>
        <v>11</v>
      </c>
      <c r="N191" s="7">
        <f t="shared" si="118"/>
        <v>12</v>
      </c>
      <c r="O191" s="7">
        <f t="shared" si="118"/>
        <v>13</v>
      </c>
      <c r="P191" s="7">
        <f t="shared" si="118"/>
        <v>14</v>
      </c>
      <c r="Q191" s="7">
        <f t="shared" si="118"/>
        <v>15</v>
      </c>
      <c r="R191" s="7">
        <f t="shared" si="118"/>
        <v>16</v>
      </c>
      <c r="S191" s="7">
        <f t="shared" si="118"/>
        <v>17</v>
      </c>
      <c r="T191" s="7">
        <f t="shared" si="118"/>
        <v>18</v>
      </c>
      <c r="U191" s="7">
        <f t="shared" si="118"/>
        <v>19</v>
      </c>
      <c r="V191" s="7">
        <f t="shared" si="118"/>
        <v>20</v>
      </c>
      <c r="W191" s="7">
        <f t="shared" si="118"/>
        <v>21</v>
      </c>
      <c r="X191" s="7">
        <f t="shared" si="118"/>
        <v>22</v>
      </c>
      <c r="Y191" s="7">
        <f t="shared" si="118"/>
        <v>23</v>
      </c>
      <c r="Z191" s="7">
        <f t="shared" si="118"/>
        <v>24</v>
      </c>
      <c r="AA191" s="7">
        <f t="shared" si="118"/>
        <v>25</v>
      </c>
      <c r="AB191" s="7">
        <f t="shared" si="118"/>
        <v>26</v>
      </c>
      <c r="AC191" s="7">
        <f t="shared" si="118"/>
        <v>27</v>
      </c>
      <c r="AD191" s="7">
        <f t="shared" si="118"/>
        <v>28</v>
      </c>
      <c r="AE191" s="7">
        <f t="shared" si="118"/>
        <v>29</v>
      </c>
      <c r="AF191" s="7">
        <f t="shared" si="118"/>
        <v>30</v>
      </c>
      <c r="AG191" s="7">
        <f t="shared" si="118"/>
        <v>31</v>
      </c>
      <c r="AH191" s="7" t="str">
        <f t="shared" si="118"/>
        <v>STDEV</v>
      </c>
      <c r="AI191" s="7" t="str">
        <f t="shared" si="118"/>
        <v>-1.5σ</v>
      </c>
      <c r="AJ191" s="7" t="str">
        <f t="shared" si="118"/>
        <v>MEAN</v>
      </c>
      <c r="AK191" s="7" t="str">
        <f t="shared" si="118"/>
        <v>+1.5σ</v>
      </c>
      <c r="AL191" s="7" t="s">
        <v>23</v>
      </c>
      <c r="AM191" s="7"/>
      <c r="AN191" s="7"/>
      <c r="AO191" s="7"/>
    </row>
    <row r="192" spans="1:48" s="7" customFormat="1">
      <c r="A192" s="7">
        <f t="shared" ref="A192:A207" si="119">A164</f>
        <v>0</v>
      </c>
      <c r="B192" s="7" t="e">
        <f t="shared" ref="B192:S192" si="120">B131-B164</f>
        <v>#NAME?</v>
      </c>
      <c r="C192" s="7" t="e">
        <f t="shared" si="120"/>
        <v>#NAME?</v>
      </c>
      <c r="D192" s="7" t="e">
        <f t="shared" si="120"/>
        <v>#NAME?</v>
      </c>
      <c r="E192" s="7" t="e">
        <f t="shared" si="120"/>
        <v>#NAME?</v>
      </c>
      <c r="F192" s="7" t="e">
        <f t="shared" si="120"/>
        <v>#NAME?</v>
      </c>
      <c r="G192" s="7" t="e">
        <f t="shared" si="120"/>
        <v>#NAME?</v>
      </c>
      <c r="H192" s="7" t="e">
        <f t="shared" si="120"/>
        <v>#NAME?</v>
      </c>
      <c r="I192" s="7" t="e">
        <f t="shared" si="120"/>
        <v>#NAME?</v>
      </c>
      <c r="J192" s="7" t="e">
        <f t="shared" si="120"/>
        <v>#NAME?</v>
      </c>
      <c r="K192" s="7" t="e">
        <f t="shared" si="120"/>
        <v>#NAME?</v>
      </c>
      <c r="L192" s="7" t="e">
        <f t="shared" si="120"/>
        <v>#NAME?</v>
      </c>
      <c r="M192" s="7" t="e">
        <f t="shared" si="120"/>
        <v>#NAME?</v>
      </c>
      <c r="N192" s="7" t="e">
        <f t="shared" si="120"/>
        <v>#NAME?</v>
      </c>
      <c r="O192" s="7" t="e">
        <f t="shared" si="120"/>
        <v>#NAME?</v>
      </c>
      <c r="P192" s="7" t="e">
        <f t="shared" si="120"/>
        <v>#NAME?</v>
      </c>
      <c r="Q192" s="7" t="e">
        <f t="shared" si="120"/>
        <v>#NAME?</v>
      </c>
      <c r="R192" s="7" t="e">
        <f t="shared" si="120"/>
        <v>#NAME?</v>
      </c>
      <c r="S192" s="7" t="e">
        <f t="shared" si="120"/>
        <v>#NAME?</v>
      </c>
      <c r="U192" s="7" t="e">
        <f t="shared" ref="U192:AG192" si="121">U131-U164</f>
        <v>#NAME?</v>
      </c>
      <c r="V192" s="7" t="e">
        <f t="shared" si="121"/>
        <v>#NAME?</v>
      </c>
      <c r="W192" s="7" t="e">
        <f t="shared" si="121"/>
        <v>#NAME?</v>
      </c>
      <c r="X192" s="7" t="e">
        <f t="shared" si="121"/>
        <v>#NAME?</v>
      </c>
      <c r="Y192" s="7" t="e">
        <f t="shared" si="121"/>
        <v>#NAME?</v>
      </c>
      <c r="Z192" s="7" t="e">
        <f t="shared" si="121"/>
        <v>#NAME?</v>
      </c>
      <c r="AA192" s="7" t="e">
        <f t="shared" si="121"/>
        <v>#NAME?</v>
      </c>
      <c r="AB192" s="7" t="e">
        <f t="shared" si="121"/>
        <v>#NAME?</v>
      </c>
      <c r="AC192" s="7" t="e">
        <f t="shared" si="121"/>
        <v>#NAME?</v>
      </c>
      <c r="AD192" s="7" t="e">
        <f t="shared" si="121"/>
        <v>#NAME?</v>
      </c>
      <c r="AE192" s="7" t="e">
        <f t="shared" si="121"/>
        <v>#NAME?</v>
      </c>
      <c r="AF192" s="7" t="e">
        <f t="shared" si="121"/>
        <v>#NAME?</v>
      </c>
      <c r="AG192" s="7" t="e">
        <f t="shared" si="121"/>
        <v>#NAME?</v>
      </c>
      <c r="AH192" s="7" t="e">
        <f t="shared" ref="AH192" si="122">STDEV(B192:AG192)</f>
        <v>#NAME?</v>
      </c>
      <c r="AI192" s="7" t="e">
        <f t="shared" ref="AI192" si="123">AJ192-1.5*AH192</f>
        <v>#NAME?</v>
      </c>
      <c r="AJ192" s="8" t="e">
        <f t="shared" ref="AJ192" si="124">AVERAGE(B192:AG192)</f>
        <v>#NAME?</v>
      </c>
      <c r="AK192" s="7" t="e">
        <f t="shared" ref="AK192" si="125">AJ192+1.5*AH192</f>
        <v>#NAME?</v>
      </c>
      <c r="AL192" s="7" t="e">
        <f t="shared" ref="AL192" si="126">ABS(AJ192)</f>
        <v>#NAME?</v>
      </c>
    </row>
    <row r="193" spans="1:38" s="7" customFormat="1">
      <c r="A193" s="7">
        <f t="shared" si="119"/>
        <v>1</v>
      </c>
      <c r="B193" s="7" t="e">
        <f t="shared" ref="B193:S193" si="127">B132-B165</f>
        <v>#NAME?</v>
      </c>
      <c r="C193" s="7" t="e">
        <f t="shared" si="127"/>
        <v>#NAME?</v>
      </c>
      <c r="D193" s="7" t="e">
        <f t="shared" si="127"/>
        <v>#NAME?</v>
      </c>
      <c r="E193" s="7" t="e">
        <f t="shared" si="127"/>
        <v>#NAME?</v>
      </c>
      <c r="F193" s="7" t="e">
        <f t="shared" si="127"/>
        <v>#NAME?</v>
      </c>
      <c r="G193" s="7" t="e">
        <f t="shared" si="127"/>
        <v>#NAME?</v>
      </c>
      <c r="H193" s="7" t="e">
        <f t="shared" si="127"/>
        <v>#NAME?</v>
      </c>
      <c r="I193" s="7" t="e">
        <f t="shared" si="127"/>
        <v>#NAME?</v>
      </c>
      <c r="J193" s="7" t="e">
        <f t="shared" si="127"/>
        <v>#NAME?</v>
      </c>
      <c r="K193" s="7" t="e">
        <f t="shared" si="127"/>
        <v>#NAME?</v>
      </c>
      <c r="L193" s="7" t="e">
        <f t="shared" si="127"/>
        <v>#NAME?</v>
      </c>
      <c r="M193" s="7" t="e">
        <f t="shared" si="127"/>
        <v>#NAME?</v>
      </c>
      <c r="N193" s="7" t="e">
        <f t="shared" si="127"/>
        <v>#NAME?</v>
      </c>
      <c r="O193" s="7" t="e">
        <f t="shared" si="127"/>
        <v>#NAME?</v>
      </c>
      <c r="P193" s="7" t="e">
        <f t="shared" si="127"/>
        <v>#NAME?</v>
      </c>
      <c r="Q193" s="7" t="e">
        <f t="shared" si="127"/>
        <v>#NAME?</v>
      </c>
      <c r="R193" s="7" t="e">
        <f t="shared" si="127"/>
        <v>#NAME?</v>
      </c>
      <c r="S193" s="7" t="e">
        <f t="shared" si="127"/>
        <v>#NAME?</v>
      </c>
      <c r="U193" s="7" t="e">
        <f t="shared" ref="U193:AG193" si="128">U132-U165</f>
        <v>#NAME?</v>
      </c>
      <c r="V193" s="7" t="e">
        <f t="shared" si="128"/>
        <v>#NAME?</v>
      </c>
      <c r="W193" s="7" t="e">
        <f t="shared" si="128"/>
        <v>#NAME?</v>
      </c>
      <c r="X193" s="7" t="e">
        <f t="shared" si="128"/>
        <v>#NAME?</v>
      </c>
      <c r="Y193" s="7" t="e">
        <f t="shared" si="128"/>
        <v>#NAME?</v>
      </c>
      <c r="Z193" s="7" t="e">
        <f t="shared" si="128"/>
        <v>#NAME?</v>
      </c>
      <c r="AA193" s="7" t="e">
        <f t="shared" si="128"/>
        <v>#NAME?</v>
      </c>
      <c r="AB193" s="7" t="e">
        <f t="shared" si="128"/>
        <v>#NAME?</v>
      </c>
      <c r="AC193" s="7" t="e">
        <f t="shared" si="128"/>
        <v>#NAME?</v>
      </c>
      <c r="AD193" s="7" t="e">
        <f t="shared" si="128"/>
        <v>#NAME?</v>
      </c>
      <c r="AE193" s="7" t="e">
        <f t="shared" si="128"/>
        <v>#NAME?</v>
      </c>
      <c r="AF193" s="7" t="e">
        <f t="shared" si="128"/>
        <v>#NAME?</v>
      </c>
      <c r="AG193" s="7" t="e">
        <f t="shared" si="128"/>
        <v>#NAME?</v>
      </c>
      <c r="AH193" s="7" t="e">
        <f t="shared" ref="AH193" si="129">STDEV(B193:AG193)</f>
        <v>#NAME?</v>
      </c>
      <c r="AI193" s="7" t="e">
        <f t="shared" ref="AI193" si="130">AJ193-1.5*AH193</f>
        <v>#NAME?</v>
      </c>
      <c r="AJ193" s="8" t="e">
        <f t="shared" ref="AJ193" si="131">AVERAGE(B193:AG193)</f>
        <v>#NAME?</v>
      </c>
      <c r="AK193" s="7" t="e">
        <f t="shared" ref="AK193" si="132">AJ193+1.5*AH193</f>
        <v>#NAME?</v>
      </c>
      <c r="AL193" s="7" t="e">
        <f t="shared" ref="AL193" si="133">ABS(AJ193)</f>
        <v>#NAME?</v>
      </c>
    </row>
    <row r="194" spans="1:38" s="7" customFormat="1">
      <c r="A194" s="7">
        <f t="shared" si="119"/>
        <v>2</v>
      </c>
      <c r="B194" s="7" t="e">
        <f t="shared" ref="B194:S194" si="134">B133-B166</f>
        <v>#NAME?</v>
      </c>
      <c r="C194" s="7" t="e">
        <f t="shared" si="134"/>
        <v>#NAME?</v>
      </c>
      <c r="D194" s="7" t="e">
        <f t="shared" si="134"/>
        <v>#NAME?</v>
      </c>
      <c r="E194" s="7" t="e">
        <f t="shared" si="134"/>
        <v>#NAME?</v>
      </c>
      <c r="F194" s="7" t="e">
        <f t="shared" si="134"/>
        <v>#NAME?</v>
      </c>
      <c r="G194" s="7" t="e">
        <f t="shared" si="134"/>
        <v>#NAME?</v>
      </c>
      <c r="H194" s="7" t="e">
        <f t="shared" si="134"/>
        <v>#NAME?</v>
      </c>
      <c r="I194" s="7" t="e">
        <f t="shared" si="134"/>
        <v>#NAME?</v>
      </c>
      <c r="J194" s="7" t="e">
        <f t="shared" si="134"/>
        <v>#NAME?</v>
      </c>
      <c r="K194" s="7" t="e">
        <f t="shared" si="134"/>
        <v>#NAME?</v>
      </c>
      <c r="L194" s="7" t="e">
        <f t="shared" si="134"/>
        <v>#NAME?</v>
      </c>
      <c r="M194" s="7" t="e">
        <f t="shared" si="134"/>
        <v>#NAME?</v>
      </c>
      <c r="N194" s="7" t="e">
        <f t="shared" si="134"/>
        <v>#NAME?</v>
      </c>
      <c r="O194" s="7" t="e">
        <f t="shared" si="134"/>
        <v>#NAME?</v>
      </c>
      <c r="P194" s="7" t="e">
        <f t="shared" si="134"/>
        <v>#NAME?</v>
      </c>
      <c r="Q194" s="7" t="e">
        <f t="shared" si="134"/>
        <v>#NAME?</v>
      </c>
      <c r="R194" s="7" t="e">
        <f t="shared" si="134"/>
        <v>#NAME?</v>
      </c>
      <c r="S194" s="7" t="e">
        <f t="shared" si="134"/>
        <v>#NAME?</v>
      </c>
      <c r="U194" s="7" t="e">
        <f t="shared" ref="U194:AG194" si="135">U133-U166</f>
        <v>#NAME?</v>
      </c>
      <c r="V194" s="7" t="e">
        <f t="shared" si="135"/>
        <v>#NAME?</v>
      </c>
      <c r="W194" s="7" t="e">
        <f t="shared" si="135"/>
        <v>#NAME?</v>
      </c>
      <c r="X194" s="7" t="e">
        <f t="shared" si="135"/>
        <v>#NAME?</v>
      </c>
      <c r="Y194" s="7" t="e">
        <f t="shared" si="135"/>
        <v>#NAME?</v>
      </c>
      <c r="Z194" s="7" t="e">
        <f t="shared" si="135"/>
        <v>#NAME?</v>
      </c>
      <c r="AA194" s="7" t="e">
        <f t="shared" si="135"/>
        <v>#NAME?</v>
      </c>
      <c r="AB194" s="7" t="e">
        <f t="shared" si="135"/>
        <v>#NAME?</v>
      </c>
      <c r="AC194" s="7" t="e">
        <f t="shared" si="135"/>
        <v>#NAME?</v>
      </c>
      <c r="AD194" s="7" t="e">
        <f t="shared" si="135"/>
        <v>#NAME?</v>
      </c>
      <c r="AE194" s="7" t="e">
        <f t="shared" si="135"/>
        <v>#NAME?</v>
      </c>
      <c r="AF194" s="7" t="e">
        <f t="shared" si="135"/>
        <v>#NAME?</v>
      </c>
      <c r="AG194" s="7" t="e">
        <f t="shared" si="135"/>
        <v>#NAME?</v>
      </c>
      <c r="AH194" s="7" t="e">
        <f t="shared" ref="AH194" si="136">STDEV(B194:AG194)</f>
        <v>#NAME?</v>
      </c>
      <c r="AI194" s="7" t="e">
        <f t="shared" ref="AI194" si="137">AJ194-1.5*AH194</f>
        <v>#NAME?</v>
      </c>
      <c r="AJ194" s="8" t="e">
        <f t="shared" ref="AJ194" si="138">AVERAGE(B194:AG194)</f>
        <v>#NAME?</v>
      </c>
      <c r="AK194" s="7" t="e">
        <f t="shared" ref="AK194" si="139">AJ194+1.5*AH194</f>
        <v>#NAME?</v>
      </c>
      <c r="AL194" s="7" t="e">
        <f t="shared" ref="AL194" si="140">ABS(AJ194)</f>
        <v>#NAME?</v>
      </c>
    </row>
    <row r="195" spans="1:38" s="7" customFormat="1">
      <c r="A195" s="7">
        <f t="shared" si="119"/>
        <v>3</v>
      </c>
      <c r="B195" s="7" t="e">
        <f t="shared" ref="B195:S195" si="141">B134-B167</f>
        <v>#NAME?</v>
      </c>
      <c r="C195" s="7" t="e">
        <f t="shared" si="141"/>
        <v>#NAME?</v>
      </c>
      <c r="D195" s="7" t="e">
        <f t="shared" si="141"/>
        <v>#NAME?</v>
      </c>
      <c r="E195" s="7" t="e">
        <f t="shared" si="141"/>
        <v>#NAME?</v>
      </c>
      <c r="F195" s="7" t="e">
        <f t="shared" si="141"/>
        <v>#NAME?</v>
      </c>
      <c r="G195" s="7" t="e">
        <f t="shared" si="141"/>
        <v>#NAME?</v>
      </c>
      <c r="H195" s="7" t="e">
        <f t="shared" si="141"/>
        <v>#NAME?</v>
      </c>
      <c r="I195" s="7" t="e">
        <f t="shared" si="141"/>
        <v>#NAME?</v>
      </c>
      <c r="J195" s="7" t="e">
        <f t="shared" si="141"/>
        <v>#NAME?</v>
      </c>
      <c r="K195" s="7" t="e">
        <f t="shared" si="141"/>
        <v>#NAME?</v>
      </c>
      <c r="L195" s="7" t="e">
        <f t="shared" si="141"/>
        <v>#NAME?</v>
      </c>
      <c r="M195" s="7" t="e">
        <f t="shared" si="141"/>
        <v>#NAME?</v>
      </c>
      <c r="N195" s="7" t="e">
        <f t="shared" si="141"/>
        <v>#NAME?</v>
      </c>
      <c r="O195" s="7" t="e">
        <f t="shared" si="141"/>
        <v>#NAME?</v>
      </c>
      <c r="P195" s="7" t="e">
        <f t="shared" si="141"/>
        <v>#NAME?</v>
      </c>
      <c r="Q195" s="7" t="e">
        <f t="shared" si="141"/>
        <v>#NAME?</v>
      </c>
      <c r="R195" s="7" t="e">
        <f t="shared" si="141"/>
        <v>#NAME?</v>
      </c>
      <c r="S195" s="7" t="e">
        <f t="shared" si="141"/>
        <v>#NAME?</v>
      </c>
      <c r="U195" s="7" t="e">
        <f t="shared" ref="U195:AG195" si="142">U134-U167</f>
        <v>#NAME?</v>
      </c>
      <c r="V195" s="7" t="e">
        <f t="shared" si="142"/>
        <v>#NAME?</v>
      </c>
      <c r="W195" s="7" t="e">
        <f t="shared" si="142"/>
        <v>#NAME?</v>
      </c>
      <c r="X195" s="7" t="e">
        <f t="shared" si="142"/>
        <v>#NAME?</v>
      </c>
      <c r="Y195" s="7" t="e">
        <f t="shared" si="142"/>
        <v>#NAME?</v>
      </c>
      <c r="Z195" s="7" t="e">
        <f t="shared" si="142"/>
        <v>#NAME?</v>
      </c>
      <c r="AA195" s="7" t="e">
        <f t="shared" si="142"/>
        <v>#NAME?</v>
      </c>
      <c r="AB195" s="7" t="e">
        <f t="shared" si="142"/>
        <v>#NAME?</v>
      </c>
      <c r="AC195" s="7" t="e">
        <f t="shared" si="142"/>
        <v>#NAME?</v>
      </c>
      <c r="AD195" s="7" t="e">
        <f t="shared" si="142"/>
        <v>#NAME?</v>
      </c>
      <c r="AE195" s="7" t="e">
        <f t="shared" si="142"/>
        <v>#NAME?</v>
      </c>
      <c r="AF195" s="7" t="e">
        <f t="shared" si="142"/>
        <v>#NAME?</v>
      </c>
      <c r="AG195" s="7" t="e">
        <f t="shared" si="142"/>
        <v>#NAME?</v>
      </c>
      <c r="AH195" s="7" t="e">
        <f t="shared" ref="AH195" si="143">STDEV(B195:AG195)</f>
        <v>#NAME?</v>
      </c>
      <c r="AI195" s="7" t="e">
        <f t="shared" ref="AI195" si="144">AJ195-1.5*AH195</f>
        <v>#NAME?</v>
      </c>
      <c r="AJ195" s="8" t="e">
        <f t="shared" ref="AJ195" si="145">AVERAGE(B195:AG195)</f>
        <v>#NAME?</v>
      </c>
      <c r="AK195" s="7" t="e">
        <f t="shared" ref="AK195" si="146">AJ195+1.5*AH195</f>
        <v>#NAME?</v>
      </c>
      <c r="AL195" s="7" t="e">
        <f t="shared" ref="AL195" si="147">ABS(AJ195)</f>
        <v>#NAME?</v>
      </c>
    </row>
    <row r="196" spans="1:38" s="7" customFormat="1">
      <c r="A196" s="7">
        <f t="shared" si="119"/>
        <v>4</v>
      </c>
      <c r="B196" s="7" t="e">
        <f t="shared" ref="B196:S196" si="148">B135-B168</f>
        <v>#NAME?</v>
      </c>
      <c r="C196" s="7" t="e">
        <f t="shared" si="148"/>
        <v>#NAME?</v>
      </c>
      <c r="D196" s="7" t="e">
        <f t="shared" si="148"/>
        <v>#NAME?</v>
      </c>
      <c r="E196" s="7" t="e">
        <f t="shared" si="148"/>
        <v>#NAME?</v>
      </c>
      <c r="F196" s="7" t="e">
        <f t="shared" si="148"/>
        <v>#NAME?</v>
      </c>
      <c r="G196" s="7" t="e">
        <f t="shared" si="148"/>
        <v>#NAME?</v>
      </c>
      <c r="H196" s="7" t="e">
        <f t="shared" si="148"/>
        <v>#NAME?</v>
      </c>
      <c r="I196" s="7" t="e">
        <f t="shared" si="148"/>
        <v>#NAME?</v>
      </c>
      <c r="J196" s="7" t="e">
        <f t="shared" si="148"/>
        <v>#NAME?</v>
      </c>
      <c r="K196" s="7" t="e">
        <f t="shared" si="148"/>
        <v>#NAME?</v>
      </c>
      <c r="L196" s="7" t="e">
        <f t="shared" si="148"/>
        <v>#NAME?</v>
      </c>
      <c r="M196" s="7" t="e">
        <f t="shared" si="148"/>
        <v>#NAME?</v>
      </c>
      <c r="N196" s="7" t="e">
        <f t="shared" si="148"/>
        <v>#NAME?</v>
      </c>
      <c r="O196" s="7" t="e">
        <f t="shared" si="148"/>
        <v>#NAME?</v>
      </c>
      <c r="P196" s="7" t="e">
        <f t="shared" si="148"/>
        <v>#NAME?</v>
      </c>
      <c r="Q196" s="7" t="e">
        <f t="shared" si="148"/>
        <v>#NAME?</v>
      </c>
      <c r="R196" s="7" t="e">
        <f t="shared" si="148"/>
        <v>#NAME?</v>
      </c>
      <c r="S196" s="7" t="e">
        <f t="shared" si="148"/>
        <v>#NAME?</v>
      </c>
      <c r="U196" s="7" t="e">
        <f t="shared" ref="U196:AG196" si="149">U135-U168</f>
        <v>#NAME?</v>
      </c>
      <c r="V196" s="7" t="e">
        <f t="shared" si="149"/>
        <v>#NAME?</v>
      </c>
      <c r="W196" s="7" t="e">
        <f t="shared" si="149"/>
        <v>#NAME?</v>
      </c>
      <c r="X196" s="7" t="e">
        <f t="shared" si="149"/>
        <v>#NAME?</v>
      </c>
      <c r="Y196" s="7" t="e">
        <f t="shared" si="149"/>
        <v>#NAME?</v>
      </c>
      <c r="Z196" s="7" t="e">
        <f t="shared" si="149"/>
        <v>#NAME?</v>
      </c>
      <c r="AA196" s="7" t="e">
        <f t="shared" si="149"/>
        <v>#NAME?</v>
      </c>
      <c r="AB196" s="7" t="e">
        <f t="shared" si="149"/>
        <v>#NAME?</v>
      </c>
      <c r="AC196" s="7" t="e">
        <f t="shared" si="149"/>
        <v>#NAME?</v>
      </c>
      <c r="AD196" s="7" t="e">
        <f t="shared" si="149"/>
        <v>#NAME?</v>
      </c>
      <c r="AE196" s="7" t="e">
        <f t="shared" si="149"/>
        <v>#NAME?</v>
      </c>
      <c r="AF196" s="7" t="e">
        <f t="shared" si="149"/>
        <v>#NAME?</v>
      </c>
      <c r="AG196" s="7" t="e">
        <f t="shared" si="149"/>
        <v>#NAME?</v>
      </c>
      <c r="AH196" s="7" t="e">
        <f t="shared" ref="AH196" si="150">STDEV(B196:AG196)</f>
        <v>#NAME?</v>
      </c>
      <c r="AI196" s="7" t="e">
        <f t="shared" ref="AI196" si="151">AJ196-1.5*AH196</f>
        <v>#NAME?</v>
      </c>
      <c r="AJ196" s="8" t="e">
        <f t="shared" ref="AJ196" si="152">AVERAGE(B196:AG196)</f>
        <v>#NAME?</v>
      </c>
      <c r="AK196" s="7" t="e">
        <f t="shared" ref="AK196" si="153">AJ196+1.5*AH196</f>
        <v>#NAME?</v>
      </c>
      <c r="AL196" s="7" t="e">
        <f t="shared" ref="AL196" si="154">ABS(AJ196)</f>
        <v>#NAME?</v>
      </c>
    </row>
    <row r="197" spans="1:38" s="7" customFormat="1">
      <c r="A197" s="7">
        <f t="shared" si="119"/>
        <v>5</v>
      </c>
      <c r="B197" s="7" t="e">
        <f t="shared" ref="B197:S197" si="155">B136-B169</f>
        <v>#NAME?</v>
      </c>
      <c r="C197" s="7" t="e">
        <f t="shared" si="155"/>
        <v>#NAME?</v>
      </c>
      <c r="D197" s="7" t="e">
        <f t="shared" si="155"/>
        <v>#NAME?</v>
      </c>
      <c r="E197" s="7" t="e">
        <f t="shared" si="155"/>
        <v>#NAME?</v>
      </c>
      <c r="F197" s="7" t="e">
        <f t="shared" si="155"/>
        <v>#NAME?</v>
      </c>
      <c r="G197" s="7" t="e">
        <f t="shared" si="155"/>
        <v>#NAME?</v>
      </c>
      <c r="H197" s="7" t="e">
        <f t="shared" si="155"/>
        <v>#NAME?</v>
      </c>
      <c r="I197" s="7" t="e">
        <f t="shared" si="155"/>
        <v>#NAME?</v>
      </c>
      <c r="J197" s="7" t="e">
        <f t="shared" si="155"/>
        <v>#NAME?</v>
      </c>
      <c r="K197" s="7" t="e">
        <f t="shared" si="155"/>
        <v>#NAME?</v>
      </c>
      <c r="L197" s="7" t="e">
        <f t="shared" si="155"/>
        <v>#NAME?</v>
      </c>
      <c r="M197" s="7" t="e">
        <f t="shared" si="155"/>
        <v>#NAME?</v>
      </c>
      <c r="N197" s="7" t="e">
        <f t="shared" si="155"/>
        <v>#NAME?</v>
      </c>
      <c r="O197" s="7" t="e">
        <f t="shared" si="155"/>
        <v>#NAME?</v>
      </c>
      <c r="P197" s="7" t="e">
        <f t="shared" si="155"/>
        <v>#NAME?</v>
      </c>
      <c r="Q197" s="7" t="e">
        <f t="shared" si="155"/>
        <v>#NAME?</v>
      </c>
      <c r="R197" s="7" t="e">
        <f t="shared" si="155"/>
        <v>#NAME?</v>
      </c>
      <c r="S197" s="7" t="e">
        <f t="shared" si="155"/>
        <v>#NAME?</v>
      </c>
      <c r="U197" s="7" t="e">
        <f t="shared" ref="U197:AG197" si="156">U136-U169</f>
        <v>#NAME?</v>
      </c>
      <c r="V197" s="7" t="e">
        <f t="shared" si="156"/>
        <v>#NAME?</v>
      </c>
      <c r="W197" s="7" t="e">
        <f t="shared" si="156"/>
        <v>#NAME?</v>
      </c>
      <c r="X197" s="7" t="e">
        <f t="shared" si="156"/>
        <v>#NAME?</v>
      </c>
      <c r="Y197" s="7" t="e">
        <f t="shared" si="156"/>
        <v>#NAME?</v>
      </c>
      <c r="Z197" s="7" t="e">
        <f t="shared" si="156"/>
        <v>#NAME?</v>
      </c>
      <c r="AA197" s="7" t="e">
        <f t="shared" si="156"/>
        <v>#NAME?</v>
      </c>
      <c r="AB197" s="7" t="e">
        <f t="shared" si="156"/>
        <v>#NAME?</v>
      </c>
      <c r="AC197" s="7" t="e">
        <f t="shared" si="156"/>
        <v>#NAME?</v>
      </c>
      <c r="AD197" s="7" t="e">
        <f t="shared" si="156"/>
        <v>#NAME?</v>
      </c>
      <c r="AE197" s="7" t="e">
        <f t="shared" si="156"/>
        <v>#NAME?</v>
      </c>
      <c r="AF197" s="7" t="e">
        <f t="shared" si="156"/>
        <v>#NAME?</v>
      </c>
      <c r="AG197" s="7" t="e">
        <f t="shared" si="156"/>
        <v>#NAME?</v>
      </c>
      <c r="AH197" s="7" t="e">
        <f t="shared" ref="AH197" si="157">STDEV(B197:AG197)</f>
        <v>#NAME?</v>
      </c>
      <c r="AI197" s="7" t="e">
        <f t="shared" ref="AI197" si="158">AJ197-1.5*AH197</f>
        <v>#NAME?</v>
      </c>
      <c r="AJ197" s="8" t="e">
        <f t="shared" ref="AJ197" si="159">AVERAGE(B197:AG197)</f>
        <v>#NAME?</v>
      </c>
      <c r="AK197" s="7" t="e">
        <f t="shared" ref="AK197" si="160">AJ197+1.5*AH197</f>
        <v>#NAME?</v>
      </c>
      <c r="AL197" s="7" t="e">
        <f t="shared" ref="AL197" si="161">ABS(AJ197)</f>
        <v>#NAME?</v>
      </c>
    </row>
    <row r="198" spans="1:38" s="7" customFormat="1">
      <c r="A198" s="7">
        <f t="shared" si="119"/>
        <v>6</v>
      </c>
      <c r="B198" s="7" t="e">
        <f t="shared" ref="B198:S198" si="162">B137-B170</f>
        <v>#NAME?</v>
      </c>
      <c r="C198" s="7" t="e">
        <f t="shared" si="162"/>
        <v>#NAME?</v>
      </c>
      <c r="D198" s="7" t="e">
        <f t="shared" si="162"/>
        <v>#NAME?</v>
      </c>
      <c r="E198" s="7" t="e">
        <f t="shared" si="162"/>
        <v>#NAME?</v>
      </c>
      <c r="F198" s="7" t="e">
        <f t="shared" si="162"/>
        <v>#NAME?</v>
      </c>
      <c r="G198" s="7" t="e">
        <f t="shared" si="162"/>
        <v>#NAME?</v>
      </c>
      <c r="H198" s="7" t="e">
        <f t="shared" si="162"/>
        <v>#NAME?</v>
      </c>
      <c r="I198" s="7" t="e">
        <f t="shared" si="162"/>
        <v>#NAME?</v>
      </c>
      <c r="J198" s="7" t="e">
        <f t="shared" si="162"/>
        <v>#NAME?</v>
      </c>
      <c r="K198" s="7" t="e">
        <f t="shared" si="162"/>
        <v>#NAME?</v>
      </c>
      <c r="L198" s="7" t="e">
        <f t="shared" si="162"/>
        <v>#NAME?</v>
      </c>
      <c r="M198" s="7" t="e">
        <f t="shared" si="162"/>
        <v>#NAME?</v>
      </c>
      <c r="N198" s="7" t="e">
        <f t="shared" si="162"/>
        <v>#NAME?</v>
      </c>
      <c r="O198" s="7" t="e">
        <f t="shared" si="162"/>
        <v>#NAME?</v>
      </c>
      <c r="P198" s="7" t="e">
        <f t="shared" si="162"/>
        <v>#NAME?</v>
      </c>
      <c r="Q198" s="7" t="e">
        <f t="shared" si="162"/>
        <v>#NAME?</v>
      </c>
      <c r="R198" s="7" t="e">
        <f t="shared" si="162"/>
        <v>#NAME?</v>
      </c>
      <c r="S198" s="7" t="e">
        <f t="shared" si="162"/>
        <v>#NAME?</v>
      </c>
      <c r="U198" s="7" t="e">
        <f t="shared" ref="U198:AG198" si="163">U137-U170</f>
        <v>#NAME?</v>
      </c>
      <c r="V198" s="7" t="e">
        <f t="shared" si="163"/>
        <v>#NAME?</v>
      </c>
      <c r="W198" s="7" t="e">
        <f t="shared" si="163"/>
        <v>#NAME?</v>
      </c>
      <c r="X198" s="7" t="e">
        <f t="shared" si="163"/>
        <v>#NAME?</v>
      </c>
      <c r="Y198" s="7" t="e">
        <f t="shared" si="163"/>
        <v>#NAME?</v>
      </c>
      <c r="Z198" s="7" t="e">
        <f t="shared" si="163"/>
        <v>#NAME?</v>
      </c>
      <c r="AA198" s="7" t="e">
        <f t="shared" si="163"/>
        <v>#NAME?</v>
      </c>
      <c r="AB198" s="7" t="e">
        <f t="shared" si="163"/>
        <v>#NAME?</v>
      </c>
      <c r="AC198" s="7" t="e">
        <f t="shared" si="163"/>
        <v>#NAME?</v>
      </c>
      <c r="AD198" s="7" t="e">
        <f t="shared" si="163"/>
        <v>#NAME?</v>
      </c>
      <c r="AE198" s="7" t="e">
        <f t="shared" si="163"/>
        <v>#NAME?</v>
      </c>
      <c r="AF198" s="7" t="e">
        <f t="shared" si="163"/>
        <v>#NAME?</v>
      </c>
      <c r="AG198" s="7" t="e">
        <f t="shared" si="163"/>
        <v>#NAME?</v>
      </c>
      <c r="AH198" s="7" t="e">
        <f t="shared" ref="AH198" si="164">STDEV(B198:AG198)</f>
        <v>#NAME?</v>
      </c>
      <c r="AI198" s="7" t="e">
        <f t="shared" ref="AI198" si="165">AJ198-1.5*AH198</f>
        <v>#NAME?</v>
      </c>
      <c r="AJ198" s="8" t="e">
        <f t="shared" ref="AJ198" si="166">AVERAGE(B198:AG198)</f>
        <v>#NAME?</v>
      </c>
      <c r="AK198" s="7" t="e">
        <f t="shared" ref="AK198" si="167">AJ198+1.5*AH198</f>
        <v>#NAME?</v>
      </c>
      <c r="AL198" s="7" t="e">
        <f t="shared" ref="AL198" si="168">ABS(AJ198)</f>
        <v>#NAME?</v>
      </c>
    </row>
    <row r="199" spans="1:38" s="7" customFormat="1">
      <c r="A199" s="7">
        <f t="shared" si="119"/>
        <v>7</v>
      </c>
      <c r="B199" s="7" t="e">
        <f t="shared" ref="B199:S199" si="169">B138-B171</f>
        <v>#NAME?</v>
      </c>
      <c r="C199" s="7" t="e">
        <f t="shared" si="169"/>
        <v>#NAME?</v>
      </c>
      <c r="D199" s="7" t="e">
        <f t="shared" si="169"/>
        <v>#NAME?</v>
      </c>
      <c r="E199" s="7" t="e">
        <f t="shared" si="169"/>
        <v>#NAME?</v>
      </c>
      <c r="F199" s="7" t="e">
        <f t="shared" si="169"/>
        <v>#NAME?</v>
      </c>
      <c r="G199" s="7" t="e">
        <f t="shared" si="169"/>
        <v>#NAME?</v>
      </c>
      <c r="H199" s="7" t="e">
        <f t="shared" si="169"/>
        <v>#NAME?</v>
      </c>
      <c r="I199" s="7" t="e">
        <f t="shared" si="169"/>
        <v>#NAME?</v>
      </c>
      <c r="J199" s="7" t="e">
        <f t="shared" si="169"/>
        <v>#NAME?</v>
      </c>
      <c r="K199" s="7" t="e">
        <f t="shared" si="169"/>
        <v>#NAME?</v>
      </c>
      <c r="L199" s="7" t="e">
        <f t="shared" si="169"/>
        <v>#NAME?</v>
      </c>
      <c r="M199" s="7" t="e">
        <f t="shared" si="169"/>
        <v>#NAME?</v>
      </c>
      <c r="N199" s="7" t="e">
        <f t="shared" si="169"/>
        <v>#NAME?</v>
      </c>
      <c r="O199" s="7" t="e">
        <f t="shared" si="169"/>
        <v>#NAME?</v>
      </c>
      <c r="P199" s="7" t="e">
        <f t="shared" si="169"/>
        <v>#NAME?</v>
      </c>
      <c r="Q199" s="7" t="e">
        <f t="shared" si="169"/>
        <v>#NAME?</v>
      </c>
      <c r="R199" s="7" t="e">
        <f t="shared" si="169"/>
        <v>#NAME?</v>
      </c>
      <c r="S199" s="7" t="e">
        <f t="shared" si="169"/>
        <v>#NAME?</v>
      </c>
      <c r="U199" s="7" t="e">
        <f t="shared" ref="U199:AG199" si="170">U138-U171</f>
        <v>#NAME?</v>
      </c>
      <c r="V199" s="7" t="e">
        <f t="shared" si="170"/>
        <v>#NAME?</v>
      </c>
      <c r="W199" s="7" t="e">
        <f t="shared" si="170"/>
        <v>#NAME?</v>
      </c>
      <c r="X199" s="7" t="e">
        <f t="shared" si="170"/>
        <v>#NAME?</v>
      </c>
      <c r="Y199" s="7" t="e">
        <f t="shared" si="170"/>
        <v>#NAME?</v>
      </c>
      <c r="Z199" s="7" t="e">
        <f t="shared" si="170"/>
        <v>#NAME?</v>
      </c>
      <c r="AA199" s="7" t="e">
        <f t="shared" si="170"/>
        <v>#NAME?</v>
      </c>
      <c r="AB199" s="7" t="e">
        <f t="shared" si="170"/>
        <v>#NAME?</v>
      </c>
      <c r="AC199" s="7" t="e">
        <f t="shared" si="170"/>
        <v>#NAME?</v>
      </c>
      <c r="AD199" s="7" t="e">
        <f t="shared" si="170"/>
        <v>#NAME?</v>
      </c>
      <c r="AE199" s="7" t="e">
        <f t="shared" si="170"/>
        <v>#NAME?</v>
      </c>
      <c r="AF199" s="7" t="e">
        <f t="shared" si="170"/>
        <v>#NAME?</v>
      </c>
      <c r="AG199" s="7" t="e">
        <f t="shared" si="170"/>
        <v>#NAME?</v>
      </c>
      <c r="AH199" s="7" t="e">
        <f t="shared" ref="AH199" si="171">STDEV(B199:AG199)</f>
        <v>#NAME?</v>
      </c>
      <c r="AI199" s="7" t="e">
        <f t="shared" ref="AI199" si="172">AJ199-1.5*AH199</f>
        <v>#NAME?</v>
      </c>
      <c r="AJ199" s="8" t="e">
        <f t="shared" ref="AJ199" si="173">AVERAGE(B199:AG199)</f>
        <v>#NAME?</v>
      </c>
      <c r="AK199" s="7" t="e">
        <f t="shared" ref="AK199" si="174">AJ199+1.5*AH199</f>
        <v>#NAME?</v>
      </c>
      <c r="AL199" s="7" t="e">
        <f t="shared" ref="AL199" si="175">ABS(AJ199)</f>
        <v>#NAME?</v>
      </c>
    </row>
    <row r="200" spans="1:38" s="7" customFormat="1">
      <c r="A200" s="7">
        <f t="shared" si="119"/>
        <v>8</v>
      </c>
      <c r="B200" s="7" t="e">
        <f t="shared" ref="B200:S200" si="176">B139-B172</f>
        <v>#NAME?</v>
      </c>
      <c r="C200" s="7" t="e">
        <f t="shared" si="176"/>
        <v>#NAME?</v>
      </c>
      <c r="D200" s="7" t="e">
        <f t="shared" si="176"/>
        <v>#NAME?</v>
      </c>
      <c r="E200" s="7" t="e">
        <f t="shared" si="176"/>
        <v>#NAME?</v>
      </c>
      <c r="F200" s="7" t="e">
        <f t="shared" si="176"/>
        <v>#NAME?</v>
      </c>
      <c r="G200" s="7" t="e">
        <f t="shared" si="176"/>
        <v>#NAME?</v>
      </c>
      <c r="H200" s="7" t="e">
        <f t="shared" si="176"/>
        <v>#NAME?</v>
      </c>
      <c r="I200" s="7" t="e">
        <f t="shared" si="176"/>
        <v>#NAME?</v>
      </c>
      <c r="J200" s="7" t="e">
        <f t="shared" si="176"/>
        <v>#NAME?</v>
      </c>
      <c r="K200" s="7" t="e">
        <f t="shared" si="176"/>
        <v>#NAME?</v>
      </c>
      <c r="L200" s="7" t="e">
        <f t="shared" si="176"/>
        <v>#NAME?</v>
      </c>
      <c r="M200" s="7" t="e">
        <f t="shared" si="176"/>
        <v>#NAME?</v>
      </c>
      <c r="N200" s="7" t="e">
        <f t="shared" si="176"/>
        <v>#NAME?</v>
      </c>
      <c r="O200" s="7" t="e">
        <f t="shared" si="176"/>
        <v>#NAME?</v>
      </c>
      <c r="P200" s="7" t="e">
        <f t="shared" si="176"/>
        <v>#NAME?</v>
      </c>
      <c r="Q200" s="7" t="e">
        <f t="shared" si="176"/>
        <v>#NAME?</v>
      </c>
      <c r="R200" s="7" t="e">
        <f t="shared" si="176"/>
        <v>#NAME?</v>
      </c>
      <c r="S200" s="7" t="e">
        <f t="shared" si="176"/>
        <v>#NAME?</v>
      </c>
      <c r="U200" s="7" t="e">
        <f t="shared" ref="U200:AG200" si="177">U139-U172</f>
        <v>#NAME?</v>
      </c>
      <c r="V200" s="7" t="e">
        <f t="shared" si="177"/>
        <v>#NAME?</v>
      </c>
      <c r="W200" s="7" t="e">
        <f t="shared" si="177"/>
        <v>#NAME?</v>
      </c>
      <c r="X200" s="7" t="e">
        <f t="shared" si="177"/>
        <v>#NAME?</v>
      </c>
      <c r="Y200" s="7" t="e">
        <f t="shared" si="177"/>
        <v>#NAME?</v>
      </c>
      <c r="Z200" s="7" t="e">
        <f t="shared" si="177"/>
        <v>#NAME?</v>
      </c>
      <c r="AA200" s="7" t="e">
        <f t="shared" si="177"/>
        <v>#NAME?</v>
      </c>
      <c r="AB200" s="7" t="e">
        <f t="shared" si="177"/>
        <v>#NAME?</v>
      </c>
      <c r="AC200" s="7" t="e">
        <f t="shared" si="177"/>
        <v>#NAME?</v>
      </c>
      <c r="AD200" s="7" t="e">
        <f t="shared" si="177"/>
        <v>#NAME?</v>
      </c>
      <c r="AE200" s="7" t="e">
        <f t="shared" si="177"/>
        <v>#NAME?</v>
      </c>
      <c r="AF200" s="7" t="e">
        <f t="shared" si="177"/>
        <v>#NAME?</v>
      </c>
      <c r="AG200" s="7" t="e">
        <f t="shared" si="177"/>
        <v>#NAME?</v>
      </c>
      <c r="AH200" s="7" t="e">
        <f t="shared" ref="AH200" si="178">STDEV(B200:AG200)</f>
        <v>#NAME?</v>
      </c>
      <c r="AI200" s="7" t="e">
        <f t="shared" ref="AI200" si="179">AJ200-1.5*AH200</f>
        <v>#NAME?</v>
      </c>
      <c r="AJ200" s="8" t="e">
        <f t="shared" ref="AJ200" si="180">AVERAGE(B200:AG200)</f>
        <v>#NAME?</v>
      </c>
      <c r="AK200" s="7" t="e">
        <f t="shared" ref="AK200" si="181">AJ200+1.5*AH200</f>
        <v>#NAME?</v>
      </c>
      <c r="AL200" s="7" t="e">
        <f t="shared" ref="AL200" si="182">ABS(AJ200)</f>
        <v>#NAME?</v>
      </c>
    </row>
    <row r="201" spans="1:38" s="7" customFormat="1">
      <c r="A201" s="7">
        <f t="shared" si="119"/>
        <v>9</v>
      </c>
      <c r="B201" s="7" t="e">
        <f t="shared" ref="B201:S201" si="183">B140-B173</f>
        <v>#NAME?</v>
      </c>
      <c r="C201" s="7" t="e">
        <f t="shared" si="183"/>
        <v>#NAME?</v>
      </c>
      <c r="D201" s="7" t="e">
        <f t="shared" si="183"/>
        <v>#NAME?</v>
      </c>
      <c r="E201" s="7" t="e">
        <f t="shared" si="183"/>
        <v>#NAME?</v>
      </c>
      <c r="F201" s="7" t="e">
        <f t="shared" si="183"/>
        <v>#NAME?</v>
      </c>
      <c r="G201" s="7" t="e">
        <f t="shared" si="183"/>
        <v>#NAME?</v>
      </c>
      <c r="H201" s="7" t="e">
        <f t="shared" si="183"/>
        <v>#NAME?</v>
      </c>
      <c r="I201" s="7" t="e">
        <f t="shared" si="183"/>
        <v>#NAME?</v>
      </c>
      <c r="J201" s="7" t="e">
        <f t="shared" si="183"/>
        <v>#NAME?</v>
      </c>
      <c r="K201" s="7" t="e">
        <f t="shared" si="183"/>
        <v>#NAME?</v>
      </c>
      <c r="L201" s="7" t="e">
        <f t="shared" si="183"/>
        <v>#NAME?</v>
      </c>
      <c r="M201" s="7" t="e">
        <f t="shared" si="183"/>
        <v>#NAME?</v>
      </c>
      <c r="N201" s="7" t="e">
        <f t="shared" si="183"/>
        <v>#NAME?</v>
      </c>
      <c r="O201" s="7" t="e">
        <f t="shared" si="183"/>
        <v>#NAME?</v>
      </c>
      <c r="P201" s="7" t="e">
        <f t="shared" si="183"/>
        <v>#NAME?</v>
      </c>
      <c r="Q201" s="7" t="e">
        <f t="shared" si="183"/>
        <v>#NAME?</v>
      </c>
      <c r="R201" s="7" t="e">
        <f t="shared" si="183"/>
        <v>#NAME?</v>
      </c>
      <c r="S201" s="7" t="e">
        <f t="shared" si="183"/>
        <v>#NAME?</v>
      </c>
      <c r="U201" s="7" t="e">
        <f t="shared" ref="U201:AG201" si="184">U140-U173</f>
        <v>#NAME?</v>
      </c>
      <c r="V201" s="7" t="e">
        <f t="shared" si="184"/>
        <v>#NAME?</v>
      </c>
      <c r="W201" s="7" t="e">
        <f t="shared" si="184"/>
        <v>#NAME?</v>
      </c>
      <c r="X201" s="7" t="e">
        <f t="shared" si="184"/>
        <v>#NAME?</v>
      </c>
      <c r="Y201" s="7" t="e">
        <f t="shared" si="184"/>
        <v>#NAME?</v>
      </c>
      <c r="Z201" s="7" t="e">
        <f t="shared" si="184"/>
        <v>#NAME?</v>
      </c>
      <c r="AA201" s="7" t="e">
        <f t="shared" si="184"/>
        <v>#NAME?</v>
      </c>
      <c r="AB201" s="7" t="e">
        <f t="shared" si="184"/>
        <v>#NAME?</v>
      </c>
      <c r="AC201" s="7" t="e">
        <f t="shared" si="184"/>
        <v>#NAME?</v>
      </c>
      <c r="AD201" s="7" t="e">
        <f t="shared" si="184"/>
        <v>#NAME?</v>
      </c>
      <c r="AE201" s="7" t="e">
        <f t="shared" si="184"/>
        <v>#NAME?</v>
      </c>
      <c r="AF201" s="7" t="e">
        <f t="shared" si="184"/>
        <v>#NAME?</v>
      </c>
      <c r="AG201" s="7" t="e">
        <f t="shared" si="184"/>
        <v>#NAME?</v>
      </c>
      <c r="AH201" s="7" t="e">
        <f t="shared" ref="AH201" si="185">STDEV(B201:AG201)</f>
        <v>#NAME?</v>
      </c>
      <c r="AI201" s="7" t="e">
        <f t="shared" ref="AI201" si="186">AJ201-1.5*AH201</f>
        <v>#NAME?</v>
      </c>
      <c r="AJ201" s="8" t="e">
        <f t="shared" ref="AJ201" si="187">AVERAGE(B201:AG201)</f>
        <v>#NAME?</v>
      </c>
      <c r="AK201" s="7" t="e">
        <f t="shared" ref="AK201" si="188">AJ201+1.5*AH201</f>
        <v>#NAME?</v>
      </c>
      <c r="AL201" s="7" t="e">
        <f t="shared" ref="AL201" si="189">ABS(AJ201)</f>
        <v>#NAME?</v>
      </c>
    </row>
    <row r="202" spans="1:38" s="7" customFormat="1">
      <c r="A202" s="7">
        <f t="shared" si="119"/>
        <v>10</v>
      </c>
      <c r="B202" s="7" t="e">
        <f t="shared" ref="B202:S202" si="190">B141-B174</f>
        <v>#NAME?</v>
      </c>
      <c r="C202" s="7" t="e">
        <f t="shared" si="190"/>
        <v>#NAME?</v>
      </c>
      <c r="D202" s="7" t="e">
        <f t="shared" si="190"/>
        <v>#NAME?</v>
      </c>
      <c r="E202" s="7" t="e">
        <f t="shared" si="190"/>
        <v>#NAME?</v>
      </c>
      <c r="F202" s="7" t="e">
        <f t="shared" si="190"/>
        <v>#NAME?</v>
      </c>
      <c r="G202" s="7" t="e">
        <f t="shared" si="190"/>
        <v>#NAME?</v>
      </c>
      <c r="H202" s="7" t="e">
        <f t="shared" si="190"/>
        <v>#NAME?</v>
      </c>
      <c r="I202" s="7" t="e">
        <f t="shared" si="190"/>
        <v>#NAME?</v>
      </c>
      <c r="J202" s="7" t="e">
        <f t="shared" si="190"/>
        <v>#NAME?</v>
      </c>
      <c r="K202" s="7" t="e">
        <f t="shared" si="190"/>
        <v>#NAME?</v>
      </c>
      <c r="L202" s="7" t="e">
        <f t="shared" si="190"/>
        <v>#NAME?</v>
      </c>
      <c r="M202" s="7" t="e">
        <f t="shared" si="190"/>
        <v>#NAME?</v>
      </c>
      <c r="N202" s="7" t="e">
        <f t="shared" si="190"/>
        <v>#NAME?</v>
      </c>
      <c r="O202" s="7" t="e">
        <f t="shared" si="190"/>
        <v>#NAME?</v>
      </c>
      <c r="P202" s="7" t="e">
        <f t="shared" si="190"/>
        <v>#NAME?</v>
      </c>
      <c r="Q202" s="7" t="e">
        <f t="shared" si="190"/>
        <v>#NAME?</v>
      </c>
      <c r="R202" s="7" t="e">
        <f t="shared" si="190"/>
        <v>#NAME?</v>
      </c>
      <c r="S202" s="7" t="e">
        <f t="shared" si="190"/>
        <v>#NAME?</v>
      </c>
      <c r="U202" s="7" t="e">
        <f t="shared" ref="U202:AG202" si="191">U141-U174</f>
        <v>#NAME?</v>
      </c>
      <c r="V202" s="7" t="e">
        <f t="shared" si="191"/>
        <v>#NAME?</v>
      </c>
      <c r="W202" s="7" t="e">
        <f t="shared" si="191"/>
        <v>#NAME?</v>
      </c>
      <c r="X202" s="7" t="e">
        <f t="shared" si="191"/>
        <v>#NAME?</v>
      </c>
      <c r="Y202" s="7" t="e">
        <f t="shared" si="191"/>
        <v>#NAME?</v>
      </c>
      <c r="Z202" s="7" t="e">
        <f t="shared" si="191"/>
        <v>#NAME?</v>
      </c>
      <c r="AA202" s="7" t="e">
        <f t="shared" si="191"/>
        <v>#NAME?</v>
      </c>
      <c r="AB202" s="7" t="e">
        <f t="shared" si="191"/>
        <v>#NAME?</v>
      </c>
      <c r="AC202" s="7" t="e">
        <f t="shared" si="191"/>
        <v>#NAME?</v>
      </c>
      <c r="AD202" s="7" t="e">
        <f t="shared" si="191"/>
        <v>#NAME?</v>
      </c>
      <c r="AE202" s="7" t="e">
        <f t="shared" si="191"/>
        <v>#NAME?</v>
      </c>
      <c r="AF202" s="7" t="e">
        <f t="shared" si="191"/>
        <v>#NAME?</v>
      </c>
      <c r="AG202" s="7" t="e">
        <f t="shared" si="191"/>
        <v>#NAME?</v>
      </c>
      <c r="AH202" s="7" t="e">
        <f t="shared" ref="AH202" si="192">STDEV(B202:AG202)</f>
        <v>#NAME?</v>
      </c>
      <c r="AI202" s="7" t="e">
        <f t="shared" ref="AI202" si="193">AJ202-1.5*AH202</f>
        <v>#NAME?</v>
      </c>
      <c r="AJ202" s="8" t="e">
        <f t="shared" ref="AJ202" si="194">AVERAGE(B202:AG202)</f>
        <v>#NAME?</v>
      </c>
      <c r="AK202" s="7" t="e">
        <f t="shared" ref="AK202" si="195">AJ202+1.5*AH202</f>
        <v>#NAME?</v>
      </c>
      <c r="AL202" s="7" t="e">
        <f t="shared" ref="AL202" si="196">ABS(AJ202)</f>
        <v>#NAME?</v>
      </c>
    </row>
    <row r="203" spans="1:38" s="7" customFormat="1">
      <c r="A203" s="7">
        <f t="shared" si="119"/>
        <v>11</v>
      </c>
      <c r="B203" s="7" t="e">
        <f t="shared" ref="B203:S203" si="197">B142-B175</f>
        <v>#NAME?</v>
      </c>
      <c r="C203" s="7" t="e">
        <f t="shared" si="197"/>
        <v>#NAME?</v>
      </c>
      <c r="D203" s="7" t="e">
        <f t="shared" si="197"/>
        <v>#NAME?</v>
      </c>
      <c r="E203" s="7" t="e">
        <f t="shared" si="197"/>
        <v>#NAME?</v>
      </c>
      <c r="F203" s="7" t="e">
        <f t="shared" si="197"/>
        <v>#NAME?</v>
      </c>
      <c r="G203" s="7" t="e">
        <f t="shared" si="197"/>
        <v>#NAME?</v>
      </c>
      <c r="H203" s="7" t="e">
        <f t="shared" si="197"/>
        <v>#NAME?</v>
      </c>
      <c r="I203" s="7" t="e">
        <f t="shared" si="197"/>
        <v>#NAME?</v>
      </c>
      <c r="J203" s="7" t="e">
        <f t="shared" si="197"/>
        <v>#NAME?</v>
      </c>
      <c r="K203" s="7" t="e">
        <f t="shared" si="197"/>
        <v>#NAME?</v>
      </c>
      <c r="L203" s="7" t="e">
        <f t="shared" si="197"/>
        <v>#NAME?</v>
      </c>
      <c r="M203" s="7" t="e">
        <f t="shared" si="197"/>
        <v>#NAME?</v>
      </c>
      <c r="N203" s="7" t="e">
        <f t="shared" si="197"/>
        <v>#NAME?</v>
      </c>
      <c r="O203" s="7" t="e">
        <f t="shared" si="197"/>
        <v>#NAME?</v>
      </c>
      <c r="P203" s="7" t="e">
        <f t="shared" si="197"/>
        <v>#NAME?</v>
      </c>
      <c r="Q203" s="7" t="e">
        <f t="shared" si="197"/>
        <v>#NAME?</v>
      </c>
      <c r="R203" s="7" t="e">
        <f t="shared" si="197"/>
        <v>#NAME?</v>
      </c>
      <c r="S203" s="7" t="e">
        <f t="shared" si="197"/>
        <v>#NAME?</v>
      </c>
      <c r="U203" s="7" t="e">
        <f t="shared" ref="U203:AG203" si="198">U142-U175</f>
        <v>#NAME?</v>
      </c>
      <c r="V203" s="7" t="e">
        <f t="shared" si="198"/>
        <v>#NAME?</v>
      </c>
      <c r="W203" s="7" t="e">
        <f t="shared" si="198"/>
        <v>#NAME?</v>
      </c>
      <c r="X203" s="7" t="e">
        <f t="shared" si="198"/>
        <v>#NAME?</v>
      </c>
      <c r="Y203" s="7" t="e">
        <f t="shared" si="198"/>
        <v>#NAME?</v>
      </c>
      <c r="Z203" s="7" t="e">
        <f t="shared" si="198"/>
        <v>#NAME?</v>
      </c>
      <c r="AA203" s="7" t="e">
        <f t="shared" si="198"/>
        <v>#NAME?</v>
      </c>
      <c r="AB203" s="7" t="e">
        <f t="shared" si="198"/>
        <v>#NAME?</v>
      </c>
      <c r="AC203" s="7" t="e">
        <f t="shared" si="198"/>
        <v>#NAME?</v>
      </c>
      <c r="AD203" s="7" t="e">
        <f t="shared" si="198"/>
        <v>#NAME?</v>
      </c>
      <c r="AE203" s="7" t="e">
        <f t="shared" si="198"/>
        <v>#NAME?</v>
      </c>
      <c r="AF203" s="7" t="e">
        <f t="shared" si="198"/>
        <v>#NAME?</v>
      </c>
      <c r="AG203" s="7" t="e">
        <f t="shared" si="198"/>
        <v>#NAME?</v>
      </c>
      <c r="AH203" s="7" t="e">
        <f t="shared" ref="AH203:AH207" si="199">STDEV(B203:AG203)</f>
        <v>#NAME?</v>
      </c>
      <c r="AI203" s="7" t="e">
        <f t="shared" ref="AI203:AI207" si="200">AJ203-1.5*AH203</f>
        <v>#NAME?</v>
      </c>
      <c r="AJ203" s="8" t="e">
        <f t="shared" ref="AJ203:AJ207" si="201">AVERAGE(B203:AG203)</f>
        <v>#NAME?</v>
      </c>
      <c r="AK203" s="7" t="e">
        <f t="shared" ref="AK203:AK207" si="202">AJ203+1.5*AH203</f>
        <v>#NAME?</v>
      </c>
      <c r="AL203" s="7" t="e">
        <f t="shared" ref="AL203:AL207" si="203">ABS(AJ203)</f>
        <v>#NAME?</v>
      </c>
    </row>
    <row r="204" spans="1:38" s="7" customFormat="1">
      <c r="A204" s="7">
        <f t="shared" si="119"/>
        <v>12</v>
      </c>
      <c r="B204" s="7" t="e">
        <f t="shared" ref="B204:S204" si="204">B143-B176</f>
        <v>#NAME?</v>
      </c>
      <c r="C204" s="7" t="e">
        <f t="shared" si="204"/>
        <v>#NAME?</v>
      </c>
      <c r="D204" s="7" t="e">
        <f t="shared" si="204"/>
        <v>#NAME?</v>
      </c>
      <c r="E204" s="7" t="e">
        <f t="shared" si="204"/>
        <v>#NAME?</v>
      </c>
      <c r="F204" s="7" t="e">
        <f t="shared" si="204"/>
        <v>#NAME?</v>
      </c>
      <c r="G204" s="7" t="e">
        <f t="shared" si="204"/>
        <v>#NAME?</v>
      </c>
      <c r="H204" s="7" t="e">
        <f t="shared" si="204"/>
        <v>#NAME?</v>
      </c>
      <c r="I204" s="7" t="e">
        <f t="shared" si="204"/>
        <v>#NAME?</v>
      </c>
      <c r="J204" s="7" t="e">
        <f t="shared" si="204"/>
        <v>#NAME?</v>
      </c>
      <c r="K204" s="7" t="e">
        <f t="shared" si="204"/>
        <v>#NAME?</v>
      </c>
      <c r="L204" s="7" t="e">
        <f t="shared" si="204"/>
        <v>#NAME?</v>
      </c>
      <c r="M204" s="7" t="e">
        <f t="shared" si="204"/>
        <v>#NAME?</v>
      </c>
      <c r="N204" s="7" t="e">
        <f t="shared" si="204"/>
        <v>#NAME?</v>
      </c>
      <c r="O204" s="7" t="e">
        <f t="shared" si="204"/>
        <v>#NAME?</v>
      </c>
      <c r="P204" s="7" t="e">
        <f t="shared" si="204"/>
        <v>#NAME?</v>
      </c>
      <c r="Q204" s="7" t="e">
        <f t="shared" si="204"/>
        <v>#NAME?</v>
      </c>
      <c r="R204" s="7" t="e">
        <f t="shared" si="204"/>
        <v>#NAME?</v>
      </c>
      <c r="S204" s="7" t="e">
        <f t="shared" si="204"/>
        <v>#NAME?</v>
      </c>
      <c r="U204" s="7" t="e">
        <f t="shared" ref="U204:AG204" si="205">U143-U176</f>
        <v>#NAME?</v>
      </c>
      <c r="V204" s="7" t="e">
        <f t="shared" si="205"/>
        <v>#NAME?</v>
      </c>
      <c r="W204" s="7" t="e">
        <f t="shared" si="205"/>
        <v>#NAME?</v>
      </c>
      <c r="X204" s="7" t="e">
        <f t="shared" si="205"/>
        <v>#NAME?</v>
      </c>
      <c r="Y204" s="7" t="e">
        <f t="shared" si="205"/>
        <v>#NAME?</v>
      </c>
      <c r="Z204" s="7" t="e">
        <f t="shared" si="205"/>
        <v>#NAME?</v>
      </c>
      <c r="AA204" s="7" t="e">
        <f t="shared" si="205"/>
        <v>#NAME?</v>
      </c>
      <c r="AB204" s="7" t="e">
        <f t="shared" si="205"/>
        <v>#NAME?</v>
      </c>
      <c r="AC204" s="7" t="e">
        <f t="shared" si="205"/>
        <v>#NAME?</v>
      </c>
      <c r="AD204" s="7" t="e">
        <f t="shared" si="205"/>
        <v>#NAME?</v>
      </c>
      <c r="AE204" s="7" t="e">
        <f t="shared" si="205"/>
        <v>#NAME?</v>
      </c>
      <c r="AF204" s="7" t="e">
        <f t="shared" si="205"/>
        <v>#NAME?</v>
      </c>
      <c r="AG204" s="7" t="e">
        <f t="shared" si="205"/>
        <v>#NAME?</v>
      </c>
      <c r="AH204" s="7" t="e">
        <f t="shared" si="199"/>
        <v>#NAME?</v>
      </c>
      <c r="AI204" s="7" t="e">
        <f t="shared" si="200"/>
        <v>#NAME?</v>
      </c>
      <c r="AJ204" s="8" t="e">
        <f t="shared" si="201"/>
        <v>#NAME?</v>
      </c>
      <c r="AK204" s="7" t="e">
        <f t="shared" si="202"/>
        <v>#NAME?</v>
      </c>
      <c r="AL204" s="7" t="e">
        <f t="shared" si="203"/>
        <v>#NAME?</v>
      </c>
    </row>
    <row r="205" spans="1:38" s="7" customFormat="1">
      <c r="A205" s="7">
        <f t="shared" si="119"/>
        <v>13</v>
      </c>
      <c r="B205" s="7" t="e">
        <f t="shared" ref="B205:S205" si="206">B144-B177</f>
        <v>#NAME?</v>
      </c>
      <c r="C205" s="7" t="e">
        <f t="shared" si="206"/>
        <v>#NAME?</v>
      </c>
      <c r="D205" s="7" t="e">
        <f t="shared" si="206"/>
        <v>#NAME?</v>
      </c>
      <c r="E205" s="7" t="e">
        <f t="shared" si="206"/>
        <v>#NAME?</v>
      </c>
      <c r="F205" s="7" t="e">
        <f t="shared" si="206"/>
        <v>#NAME?</v>
      </c>
      <c r="G205" s="7" t="e">
        <f t="shared" si="206"/>
        <v>#NAME?</v>
      </c>
      <c r="H205" s="7" t="e">
        <f t="shared" si="206"/>
        <v>#NAME?</v>
      </c>
      <c r="I205" s="7" t="e">
        <f t="shared" si="206"/>
        <v>#NAME?</v>
      </c>
      <c r="J205" s="7" t="e">
        <f t="shared" si="206"/>
        <v>#NAME?</v>
      </c>
      <c r="K205" s="7" t="e">
        <f t="shared" si="206"/>
        <v>#NAME?</v>
      </c>
      <c r="L205" s="7" t="e">
        <f t="shared" si="206"/>
        <v>#NAME?</v>
      </c>
      <c r="M205" s="7" t="e">
        <f t="shared" si="206"/>
        <v>#NAME?</v>
      </c>
      <c r="N205" s="7" t="e">
        <f t="shared" si="206"/>
        <v>#NAME?</v>
      </c>
      <c r="O205" s="7" t="e">
        <f t="shared" si="206"/>
        <v>#NAME?</v>
      </c>
      <c r="P205" s="7" t="e">
        <f t="shared" si="206"/>
        <v>#NAME?</v>
      </c>
      <c r="Q205" s="7" t="e">
        <f t="shared" si="206"/>
        <v>#NAME?</v>
      </c>
      <c r="R205" s="7" t="e">
        <f t="shared" si="206"/>
        <v>#NAME?</v>
      </c>
      <c r="S205" s="7" t="e">
        <f t="shared" si="206"/>
        <v>#NAME?</v>
      </c>
      <c r="U205" s="7" t="e">
        <f t="shared" ref="U205:AG205" si="207">U144-U177</f>
        <v>#NAME?</v>
      </c>
      <c r="V205" s="7" t="e">
        <f t="shared" si="207"/>
        <v>#NAME?</v>
      </c>
      <c r="W205" s="7" t="e">
        <f t="shared" si="207"/>
        <v>#NAME?</v>
      </c>
      <c r="X205" s="7" t="e">
        <f t="shared" si="207"/>
        <v>#NAME?</v>
      </c>
      <c r="Y205" s="7" t="e">
        <f t="shared" si="207"/>
        <v>#NAME?</v>
      </c>
      <c r="Z205" s="7" t="e">
        <f t="shared" si="207"/>
        <v>#NAME?</v>
      </c>
      <c r="AA205" s="7" t="e">
        <f t="shared" si="207"/>
        <v>#NAME?</v>
      </c>
      <c r="AB205" s="7" t="e">
        <f t="shared" si="207"/>
        <v>#NAME?</v>
      </c>
      <c r="AC205" s="7" t="e">
        <f t="shared" si="207"/>
        <v>#NAME?</v>
      </c>
      <c r="AD205" s="7" t="e">
        <f t="shared" si="207"/>
        <v>#NAME?</v>
      </c>
      <c r="AE205" s="7" t="e">
        <f t="shared" si="207"/>
        <v>#NAME?</v>
      </c>
      <c r="AF205" s="7" t="e">
        <f t="shared" si="207"/>
        <v>#NAME?</v>
      </c>
      <c r="AG205" s="7" t="e">
        <f t="shared" si="207"/>
        <v>#NAME?</v>
      </c>
      <c r="AH205" s="7" t="e">
        <f t="shared" si="199"/>
        <v>#NAME?</v>
      </c>
      <c r="AI205" s="7" t="e">
        <f t="shared" si="200"/>
        <v>#NAME?</v>
      </c>
      <c r="AJ205" s="8" t="e">
        <f t="shared" si="201"/>
        <v>#NAME?</v>
      </c>
      <c r="AK205" s="7" t="e">
        <f t="shared" si="202"/>
        <v>#NAME?</v>
      </c>
      <c r="AL205" s="7" t="e">
        <f t="shared" si="203"/>
        <v>#NAME?</v>
      </c>
    </row>
    <row r="206" spans="1:38" s="7" customFormat="1">
      <c r="A206" s="7">
        <f t="shared" si="119"/>
        <v>14</v>
      </c>
      <c r="B206" s="7" t="e">
        <f t="shared" ref="B206:S206" si="208">B145-B178</f>
        <v>#NAME?</v>
      </c>
      <c r="C206" s="7" t="e">
        <f t="shared" si="208"/>
        <v>#NAME?</v>
      </c>
      <c r="D206" s="7" t="e">
        <f t="shared" si="208"/>
        <v>#NAME?</v>
      </c>
      <c r="E206" s="7" t="e">
        <f t="shared" si="208"/>
        <v>#NAME?</v>
      </c>
      <c r="F206" s="7" t="e">
        <f t="shared" si="208"/>
        <v>#NAME?</v>
      </c>
      <c r="G206" s="7" t="e">
        <f t="shared" si="208"/>
        <v>#NAME?</v>
      </c>
      <c r="H206" s="7" t="e">
        <f t="shared" si="208"/>
        <v>#NAME?</v>
      </c>
      <c r="I206" s="7" t="e">
        <f t="shared" si="208"/>
        <v>#NAME?</v>
      </c>
      <c r="J206" s="7" t="e">
        <f t="shared" si="208"/>
        <v>#NAME?</v>
      </c>
      <c r="K206" s="7" t="e">
        <f t="shared" si="208"/>
        <v>#NAME?</v>
      </c>
      <c r="L206" s="7" t="e">
        <f t="shared" si="208"/>
        <v>#NAME?</v>
      </c>
      <c r="M206" s="7" t="e">
        <f t="shared" si="208"/>
        <v>#NAME?</v>
      </c>
      <c r="N206" s="7" t="e">
        <f t="shared" si="208"/>
        <v>#NAME?</v>
      </c>
      <c r="O206" s="7" t="e">
        <f t="shared" si="208"/>
        <v>#NAME?</v>
      </c>
      <c r="P206" s="7" t="e">
        <f t="shared" si="208"/>
        <v>#NAME?</v>
      </c>
      <c r="Q206" s="7" t="e">
        <f t="shared" si="208"/>
        <v>#NAME?</v>
      </c>
      <c r="R206" s="7" t="e">
        <f t="shared" si="208"/>
        <v>#NAME?</v>
      </c>
      <c r="S206" s="7" t="e">
        <f t="shared" si="208"/>
        <v>#NAME?</v>
      </c>
      <c r="U206" s="7" t="e">
        <f t="shared" ref="U206:AG206" si="209">U145-U178</f>
        <v>#NAME?</v>
      </c>
      <c r="V206" s="7" t="e">
        <f t="shared" si="209"/>
        <v>#NAME?</v>
      </c>
      <c r="W206" s="7" t="e">
        <f t="shared" si="209"/>
        <v>#NAME?</v>
      </c>
      <c r="X206" s="7" t="e">
        <f t="shared" si="209"/>
        <v>#NAME?</v>
      </c>
      <c r="Y206" s="7" t="e">
        <f t="shared" si="209"/>
        <v>#NAME?</v>
      </c>
      <c r="Z206" s="7" t="e">
        <f t="shared" si="209"/>
        <v>#NAME?</v>
      </c>
      <c r="AA206" s="7" t="e">
        <f t="shared" si="209"/>
        <v>#NAME?</v>
      </c>
      <c r="AB206" s="7" t="e">
        <f t="shared" si="209"/>
        <v>#NAME?</v>
      </c>
      <c r="AC206" s="7" t="e">
        <f t="shared" si="209"/>
        <v>#NAME?</v>
      </c>
      <c r="AD206" s="7" t="e">
        <f t="shared" si="209"/>
        <v>#NAME?</v>
      </c>
      <c r="AE206" s="7" t="e">
        <f t="shared" si="209"/>
        <v>#NAME?</v>
      </c>
      <c r="AF206" s="7" t="e">
        <f t="shared" si="209"/>
        <v>#NAME?</v>
      </c>
      <c r="AG206" s="7" t="e">
        <f t="shared" si="209"/>
        <v>#NAME?</v>
      </c>
      <c r="AH206" s="7" t="e">
        <f t="shared" si="199"/>
        <v>#NAME?</v>
      </c>
      <c r="AI206" s="7" t="e">
        <f t="shared" si="200"/>
        <v>#NAME?</v>
      </c>
      <c r="AJ206" s="8" t="e">
        <f t="shared" si="201"/>
        <v>#NAME?</v>
      </c>
      <c r="AK206" s="7" t="e">
        <f t="shared" si="202"/>
        <v>#NAME?</v>
      </c>
      <c r="AL206" s="7" t="e">
        <f t="shared" si="203"/>
        <v>#NAME?</v>
      </c>
    </row>
    <row r="207" spans="1:38" s="7" customFormat="1">
      <c r="A207" s="7">
        <f t="shared" si="119"/>
        <v>15</v>
      </c>
      <c r="B207" s="7" t="e">
        <f t="shared" ref="B207:S207" si="210">B146-B179</f>
        <v>#NAME?</v>
      </c>
      <c r="C207" s="7" t="e">
        <f t="shared" si="210"/>
        <v>#NAME?</v>
      </c>
      <c r="D207" s="7" t="e">
        <f t="shared" si="210"/>
        <v>#NAME?</v>
      </c>
      <c r="E207" s="7" t="e">
        <f t="shared" si="210"/>
        <v>#NAME?</v>
      </c>
      <c r="F207" s="7" t="e">
        <f t="shared" si="210"/>
        <v>#NAME?</v>
      </c>
      <c r="G207" s="7" t="e">
        <f t="shared" si="210"/>
        <v>#NAME?</v>
      </c>
      <c r="H207" s="7" t="e">
        <f t="shared" si="210"/>
        <v>#NAME?</v>
      </c>
      <c r="I207" s="7" t="e">
        <f t="shared" si="210"/>
        <v>#NAME?</v>
      </c>
      <c r="J207" s="7" t="e">
        <f t="shared" si="210"/>
        <v>#NAME?</v>
      </c>
      <c r="K207" s="7" t="e">
        <f t="shared" si="210"/>
        <v>#NAME?</v>
      </c>
      <c r="L207" s="7" t="e">
        <f t="shared" si="210"/>
        <v>#NAME?</v>
      </c>
      <c r="M207" s="7" t="e">
        <f t="shared" si="210"/>
        <v>#NAME?</v>
      </c>
      <c r="N207" s="7" t="e">
        <f t="shared" si="210"/>
        <v>#NAME?</v>
      </c>
      <c r="O207" s="7" t="e">
        <f t="shared" si="210"/>
        <v>#NAME?</v>
      </c>
      <c r="P207" s="7" t="e">
        <f t="shared" si="210"/>
        <v>#NAME?</v>
      </c>
      <c r="Q207" s="7" t="e">
        <f t="shared" si="210"/>
        <v>#NAME?</v>
      </c>
      <c r="R207" s="7" t="e">
        <f t="shared" si="210"/>
        <v>#NAME?</v>
      </c>
      <c r="S207" s="7" t="e">
        <f t="shared" si="210"/>
        <v>#NAME?</v>
      </c>
      <c r="U207" s="7" t="e">
        <f t="shared" ref="U207:AG207" si="211">U146-U179</f>
        <v>#NAME?</v>
      </c>
      <c r="V207" s="7" t="e">
        <f t="shared" si="211"/>
        <v>#NAME?</v>
      </c>
      <c r="W207" s="7" t="e">
        <f t="shared" si="211"/>
        <v>#NAME?</v>
      </c>
      <c r="X207" s="7" t="e">
        <f t="shared" si="211"/>
        <v>#NAME?</v>
      </c>
      <c r="Y207" s="7" t="e">
        <f t="shared" si="211"/>
        <v>#NAME?</v>
      </c>
      <c r="Z207" s="7" t="e">
        <f t="shared" si="211"/>
        <v>#NAME?</v>
      </c>
      <c r="AA207" s="7" t="e">
        <f t="shared" si="211"/>
        <v>#NAME?</v>
      </c>
      <c r="AB207" s="7" t="e">
        <f t="shared" si="211"/>
        <v>#NAME?</v>
      </c>
      <c r="AC207" s="7" t="e">
        <f t="shared" si="211"/>
        <v>#NAME?</v>
      </c>
      <c r="AD207" s="7" t="e">
        <f t="shared" si="211"/>
        <v>#NAME?</v>
      </c>
      <c r="AE207" s="7" t="e">
        <f t="shared" si="211"/>
        <v>#NAME?</v>
      </c>
      <c r="AF207" s="7" t="e">
        <f t="shared" si="211"/>
        <v>#NAME?</v>
      </c>
      <c r="AG207" s="7" t="e">
        <f t="shared" si="211"/>
        <v>#NAME?</v>
      </c>
      <c r="AH207" s="7" t="e">
        <f t="shared" si="199"/>
        <v>#NAME?</v>
      </c>
      <c r="AI207" s="7" t="e">
        <f t="shared" si="200"/>
        <v>#NAME?</v>
      </c>
      <c r="AJ207" s="8" t="e">
        <f t="shared" si="201"/>
        <v>#NAME?</v>
      </c>
      <c r="AK207" s="7" t="e">
        <f t="shared" si="202"/>
        <v>#NAME?</v>
      </c>
      <c r="AL207" s="7" t="e">
        <f t="shared" si="203"/>
        <v>#NAME?</v>
      </c>
    </row>
    <row r="208" spans="1:38" s="7" customFormat="1">
      <c r="A208" s="7">
        <f t="shared" ref="A208" si="212">A180</f>
        <v>16</v>
      </c>
      <c r="B208" s="7" t="e">
        <f t="shared" ref="B208:S208" si="213">B147-B180</f>
        <v>#NAME?</v>
      </c>
      <c r="C208" s="7" t="e">
        <f t="shared" si="213"/>
        <v>#NAME?</v>
      </c>
      <c r="D208" s="7" t="e">
        <f t="shared" si="213"/>
        <v>#NAME?</v>
      </c>
      <c r="E208" s="7" t="e">
        <f t="shared" si="213"/>
        <v>#NAME?</v>
      </c>
      <c r="F208" s="7" t="e">
        <f t="shared" si="213"/>
        <v>#NAME?</v>
      </c>
      <c r="G208" s="7" t="e">
        <f t="shared" si="213"/>
        <v>#NAME?</v>
      </c>
      <c r="H208" s="7" t="e">
        <f t="shared" si="213"/>
        <v>#NAME?</v>
      </c>
      <c r="I208" s="7" t="e">
        <f t="shared" si="213"/>
        <v>#NAME?</v>
      </c>
      <c r="J208" s="7" t="e">
        <f t="shared" si="213"/>
        <v>#NAME?</v>
      </c>
      <c r="K208" s="7" t="e">
        <f t="shared" si="213"/>
        <v>#NAME?</v>
      </c>
      <c r="L208" s="7" t="e">
        <f t="shared" si="213"/>
        <v>#NAME?</v>
      </c>
      <c r="M208" s="7" t="e">
        <f t="shared" si="213"/>
        <v>#NAME?</v>
      </c>
      <c r="N208" s="7" t="e">
        <f t="shared" si="213"/>
        <v>#NAME?</v>
      </c>
      <c r="O208" s="7" t="e">
        <f t="shared" si="213"/>
        <v>#NAME?</v>
      </c>
      <c r="P208" s="7" t="e">
        <f t="shared" si="213"/>
        <v>#NAME?</v>
      </c>
      <c r="Q208" s="7" t="e">
        <f t="shared" si="213"/>
        <v>#NAME?</v>
      </c>
      <c r="R208" s="7" t="e">
        <f t="shared" si="213"/>
        <v>#NAME?</v>
      </c>
      <c r="S208" s="7" t="e">
        <f t="shared" si="213"/>
        <v>#NAME?</v>
      </c>
      <c r="U208" s="7" t="e">
        <f t="shared" ref="U208:AG208" si="214">U147-U180</f>
        <v>#NAME?</v>
      </c>
      <c r="V208" s="7" t="e">
        <f t="shared" si="214"/>
        <v>#NAME?</v>
      </c>
      <c r="W208" s="7" t="e">
        <f t="shared" si="214"/>
        <v>#NAME?</v>
      </c>
      <c r="X208" s="7" t="e">
        <f t="shared" si="214"/>
        <v>#NAME?</v>
      </c>
      <c r="Y208" s="7" t="e">
        <f t="shared" si="214"/>
        <v>#NAME?</v>
      </c>
      <c r="Z208" s="7" t="e">
        <f t="shared" si="214"/>
        <v>#NAME?</v>
      </c>
      <c r="AA208" s="7" t="e">
        <f t="shared" si="214"/>
        <v>#NAME?</v>
      </c>
      <c r="AB208" s="7" t="e">
        <f t="shared" si="214"/>
        <v>#NAME?</v>
      </c>
      <c r="AC208" s="7" t="e">
        <f t="shared" si="214"/>
        <v>#NAME?</v>
      </c>
      <c r="AD208" s="7" t="e">
        <f t="shared" si="214"/>
        <v>#NAME?</v>
      </c>
      <c r="AE208" s="7" t="e">
        <f t="shared" si="214"/>
        <v>#NAME?</v>
      </c>
      <c r="AF208" s="7" t="e">
        <f t="shared" si="214"/>
        <v>#NAME?</v>
      </c>
      <c r="AG208" s="7" t="e">
        <f t="shared" si="214"/>
        <v>#NAME?</v>
      </c>
      <c r="AH208" s="7" t="e">
        <f t="shared" ref="AH208" si="215">STDEV(B208:AG208)</f>
        <v>#NAME?</v>
      </c>
      <c r="AI208" s="7" t="e">
        <f t="shared" si="44"/>
        <v>#NAME?</v>
      </c>
      <c r="AJ208" s="8" t="e">
        <f t="shared" ref="AJ208" si="216">AVERAGE(B208:AG208)</f>
        <v>#NAME?</v>
      </c>
      <c r="AK208" s="7" t="e">
        <f t="shared" ref="AK208" si="217">AJ208+1.5*AH208</f>
        <v>#NAME?</v>
      </c>
      <c r="AL208" s="7" t="e">
        <f t="shared" ref="AL208:AL215" si="218">ABS(AJ208)</f>
        <v>#NAME?</v>
      </c>
    </row>
    <row r="209" spans="1:41">
      <c r="A209" s="7">
        <f t="shared" ref="A209:A215" si="219">A181</f>
        <v>17</v>
      </c>
      <c r="B209" s="7" t="e">
        <f t="shared" ref="B209:S209" si="220">B148-B181</f>
        <v>#NAME?</v>
      </c>
      <c r="C209" s="7" t="e">
        <f t="shared" si="220"/>
        <v>#NAME?</v>
      </c>
      <c r="D209" s="7" t="e">
        <f t="shared" si="220"/>
        <v>#NAME?</v>
      </c>
      <c r="E209" s="7" t="e">
        <f t="shared" si="220"/>
        <v>#NAME?</v>
      </c>
      <c r="F209" s="7" t="e">
        <f t="shared" si="220"/>
        <v>#NAME?</v>
      </c>
      <c r="G209" s="7" t="e">
        <f t="shared" si="220"/>
        <v>#NAME?</v>
      </c>
      <c r="H209" s="7" t="e">
        <f t="shared" si="220"/>
        <v>#NAME?</v>
      </c>
      <c r="I209" s="7" t="e">
        <f t="shared" si="220"/>
        <v>#NAME?</v>
      </c>
      <c r="J209" s="7" t="e">
        <f t="shared" si="220"/>
        <v>#NAME?</v>
      </c>
      <c r="K209" s="7" t="e">
        <f t="shared" si="220"/>
        <v>#NAME?</v>
      </c>
      <c r="L209" s="7" t="e">
        <f t="shared" si="220"/>
        <v>#NAME?</v>
      </c>
      <c r="M209" s="7" t="e">
        <f t="shared" si="220"/>
        <v>#NAME?</v>
      </c>
      <c r="N209" s="7" t="e">
        <f t="shared" si="220"/>
        <v>#NAME?</v>
      </c>
      <c r="O209" s="7" t="e">
        <f t="shared" si="220"/>
        <v>#NAME?</v>
      </c>
      <c r="P209" s="7" t="e">
        <f t="shared" si="220"/>
        <v>#NAME?</v>
      </c>
      <c r="Q209" s="7" t="e">
        <f t="shared" si="220"/>
        <v>#NAME?</v>
      </c>
      <c r="R209" s="7" t="e">
        <f t="shared" si="220"/>
        <v>#NAME?</v>
      </c>
      <c r="S209" s="7" t="e">
        <f t="shared" si="220"/>
        <v>#NAME?</v>
      </c>
      <c r="T209" s="7"/>
      <c r="U209" s="7" t="e">
        <f t="shared" ref="U209:AG209" si="221">U148-U181</f>
        <v>#NAME?</v>
      </c>
      <c r="V209" s="7" t="e">
        <f t="shared" si="221"/>
        <v>#NAME?</v>
      </c>
      <c r="W209" s="7" t="e">
        <f t="shared" si="221"/>
        <v>#NAME?</v>
      </c>
      <c r="X209" s="7" t="e">
        <f t="shared" si="221"/>
        <v>#NAME?</v>
      </c>
      <c r="Y209" s="7" t="e">
        <f t="shared" si="221"/>
        <v>#NAME?</v>
      </c>
      <c r="Z209" s="7" t="e">
        <f t="shared" si="221"/>
        <v>#NAME?</v>
      </c>
      <c r="AA209" s="7" t="e">
        <f t="shared" si="221"/>
        <v>#NAME?</v>
      </c>
      <c r="AB209" s="7" t="e">
        <f t="shared" si="221"/>
        <v>#NAME?</v>
      </c>
      <c r="AC209" s="7" t="e">
        <f t="shared" si="221"/>
        <v>#NAME?</v>
      </c>
      <c r="AD209" s="7" t="e">
        <f t="shared" si="221"/>
        <v>#NAME?</v>
      </c>
      <c r="AE209" s="7" t="e">
        <f t="shared" si="221"/>
        <v>#NAME?</v>
      </c>
      <c r="AF209" s="7" t="e">
        <f t="shared" si="221"/>
        <v>#NAME?</v>
      </c>
      <c r="AG209" s="7" t="e">
        <f t="shared" si="221"/>
        <v>#NAME?</v>
      </c>
      <c r="AH209" s="7" t="e">
        <f t="shared" si="43"/>
        <v>#NAME?</v>
      </c>
      <c r="AI209" s="7" t="e">
        <f t="shared" si="44"/>
        <v>#NAME?</v>
      </c>
      <c r="AJ209" s="8" t="e">
        <f t="shared" si="45"/>
        <v>#NAME?</v>
      </c>
      <c r="AK209" s="7" t="e">
        <f t="shared" si="46"/>
        <v>#NAME?</v>
      </c>
      <c r="AL209" s="7" t="e">
        <f t="shared" si="218"/>
        <v>#NAME?</v>
      </c>
      <c r="AM209" s="7"/>
      <c r="AN209" s="7"/>
      <c r="AO209" s="7"/>
    </row>
    <row r="210" spans="1:41">
      <c r="A210" s="7">
        <f t="shared" si="219"/>
        <v>18</v>
      </c>
      <c r="B210" s="7" t="e">
        <f t="shared" ref="B210:S210" si="222">B149-B182</f>
        <v>#NAME?</v>
      </c>
      <c r="C210" s="7" t="e">
        <f t="shared" si="222"/>
        <v>#NAME?</v>
      </c>
      <c r="D210" s="7" t="e">
        <f t="shared" si="222"/>
        <v>#NAME?</v>
      </c>
      <c r="E210" s="7" t="e">
        <f t="shared" si="222"/>
        <v>#NAME?</v>
      </c>
      <c r="F210" s="7" t="e">
        <f t="shared" si="222"/>
        <v>#NAME?</v>
      </c>
      <c r="G210" s="7" t="e">
        <f t="shared" si="222"/>
        <v>#NAME?</v>
      </c>
      <c r="H210" s="7" t="e">
        <f t="shared" si="222"/>
        <v>#NAME?</v>
      </c>
      <c r="I210" s="7" t="e">
        <f t="shared" si="222"/>
        <v>#NAME?</v>
      </c>
      <c r="J210" s="7" t="e">
        <f t="shared" si="222"/>
        <v>#NAME?</v>
      </c>
      <c r="K210" s="7" t="e">
        <f t="shared" si="222"/>
        <v>#NAME?</v>
      </c>
      <c r="L210" s="7" t="e">
        <f t="shared" si="222"/>
        <v>#NAME?</v>
      </c>
      <c r="M210" s="7" t="e">
        <f t="shared" si="222"/>
        <v>#NAME?</v>
      </c>
      <c r="N210" s="7" t="e">
        <f t="shared" si="222"/>
        <v>#NAME?</v>
      </c>
      <c r="O210" s="7" t="e">
        <f t="shared" si="222"/>
        <v>#NAME?</v>
      </c>
      <c r="P210" s="7" t="e">
        <f t="shared" si="222"/>
        <v>#NAME?</v>
      </c>
      <c r="Q210" s="7" t="e">
        <f t="shared" si="222"/>
        <v>#NAME?</v>
      </c>
      <c r="R210" s="7" t="e">
        <f t="shared" si="222"/>
        <v>#NAME?</v>
      </c>
      <c r="S210" s="7" t="e">
        <f t="shared" si="222"/>
        <v>#NAME?</v>
      </c>
      <c r="T210" s="7"/>
      <c r="U210" s="7" t="e">
        <f t="shared" ref="U210:AG210" si="223">U149-U182</f>
        <v>#NAME?</v>
      </c>
      <c r="V210" s="7" t="e">
        <f t="shared" si="223"/>
        <v>#NAME?</v>
      </c>
      <c r="W210" s="7" t="e">
        <f t="shared" si="223"/>
        <v>#NAME?</v>
      </c>
      <c r="X210" s="7" t="e">
        <f t="shared" si="223"/>
        <v>#NAME?</v>
      </c>
      <c r="Y210" s="7" t="e">
        <f t="shared" si="223"/>
        <v>#NAME?</v>
      </c>
      <c r="Z210" s="7" t="e">
        <f t="shared" si="223"/>
        <v>#NAME?</v>
      </c>
      <c r="AA210" s="7" t="e">
        <f t="shared" si="223"/>
        <v>#NAME?</v>
      </c>
      <c r="AB210" s="7" t="e">
        <f t="shared" si="223"/>
        <v>#NAME?</v>
      </c>
      <c r="AC210" s="7" t="e">
        <f t="shared" si="223"/>
        <v>#NAME?</v>
      </c>
      <c r="AD210" s="7" t="e">
        <f t="shared" si="223"/>
        <v>#NAME?</v>
      </c>
      <c r="AE210" s="7" t="e">
        <f t="shared" si="223"/>
        <v>#NAME?</v>
      </c>
      <c r="AF210" s="7" t="e">
        <f t="shared" si="223"/>
        <v>#NAME?</v>
      </c>
      <c r="AG210" s="7" t="e">
        <f t="shared" si="223"/>
        <v>#NAME?</v>
      </c>
      <c r="AH210" s="7" t="e">
        <f t="shared" si="43"/>
        <v>#NAME?</v>
      </c>
      <c r="AI210" s="7" t="e">
        <f t="shared" si="44"/>
        <v>#NAME?</v>
      </c>
      <c r="AJ210" s="8" t="e">
        <f t="shared" si="45"/>
        <v>#NAME?</v>
      </c>
      <c r="AK210" s="7" t="e">
        <f t="shared" si="46"/>
        <v>#NAME?</v>
      </c>
      <c r="AL210" s="7" t="e">
        <f t="shared" si="218"/>
        <v>#NAME?</v>
      </c>
      <c r="AM210" s="7"/>
      <c r="AN210" s="7"/>
      <c r="AO210" s="7"/>
    </row>
    <row r="211" spans="1:41">
      <c r="A211" s="7">
        <f t="shared" si="219"/>
        <v>19</v>
      </c>
      <c r="B211" s="7" t="e">
        <f t="shared" ref="B211:S211" si="224">B150-B183</f>
        <v>#NAME?</v>
      </c>
      <c r="C211" s="7" t="e">
        <f t="shared" si="224"/>
        <v>#NAME?</v>
      </c>
      <c r="D211" s="7" t="e">
        <f t="shared" si="224"/>
        <v>#NAME?</v>
      </c>
      <c r="E211" s="7" t="e">
        <f t="shared" si="224"/>
        <v>#NAME?</v>
      </c>
      <c r="F211" s="7" t="e">
        <f t="shared" si="224"/>
        <v>#NAME?</v>
      </c>
      <c r="G211" s="7" t="e">
        <f t="shared" si="224"/>
        <v>#NAME?</v>
      </c>
      <c r="H211" s="7" t="e">
        <f t="shared" si="224"/>
        <v>#NAME?</v>
      </c>
      <c r="I211" s="7" t="e">
        <f t="shared" si="224"/>
        <v>#NAME?</v>
      </c>
      <c r="J211" s="7" t="e">
        <f t="shared" si="224"/>
        <v>#NAME?</v>
      </c>
      <c r="K211" s="7" t="e">
        <f t="shared" si="224"/>
        <v>#NAME?</v>
      </c>
      <c r="L211" s="7" t="e">
        <f t="shared" si="224"/>
        <v>#NAME?</v>
      </c>
      <c r="M211" s="7" t="e">
        <f t="shared" si="224"/>
        <v>#NAME?</v>
      </c>
      <c r="N211" s="7" t="e">
        <f t="shared" si="224"/>
        <v>#NAME?</v>
      </c>
      <c r="O211" s="7" t="e">
        <f t="shared" si="224"/>
        <v>#NAME?</v>
      </c>
      <c r="P211" s="7" t="e">
        <f t="shared" si="224"/>
        <v>#NAME?</v>
      </c>
      <c r="Q211" s="7" t="e">
        <f t="shared" si="224"/>
        <v>#NAME?</v>
      </c>
      <c r="R211" s="7" t="e">
        <f t="shared" si="224"/>
        <v>#NAME?</v>
      </c>
      <c r="S211" s="7" t="e">
        <f t="shared" si="224"/>
        <v>#NAME?</v>
      </c>
      <c r="T211" s="7"/>
      <c r="U211" s="7" t="e">
        <f t="shared" ref="U211:AG211" si="225">U150-U183</f>
        <v>#NAME?</v>
      </c>
      <c r="V211" s="7" t="e">
        <f t="shared" si="225"/>
        <v>#NAME?</v>
      </c>
      <c r="W211" s="7" t="e">
        <f t="shared" si="225"/>
        <v>#NAME?</v>
      </c>
      <c r="X211" s="7" t="e">
        <f t="shared" si="225"/>
        <v>#NAME?</v>
      </c>
      <c r="Y211" s="7" t="e">
        <f t="shared" si="225"/>
        <v>#NAME?</v>
      </c>
      <c r="Z211" s="7" t="e">
        <f t="shared" si="225"/>
        <v>#NAME?</v>
      </c>
      <c r="AA211" s="7" t="e">
        <f t="shared" si="225"/>
        <v>#NAME?</v>
      </c>
      <c r="AB211" s="7" t="e">
        <f t="shared" si="225"/>
        <v>#NAME?</v>
      </c>
      <c r="AC211" s="7" t="e">
        <f t="shared" si="225"/>
        <v>#NAME?</v>
      </c>
      <c r="AD211" s="7" t="e">
        <f t="shared" si="225"/>
        <v>#NAME?</v>
      </c>
      <c r="AE211" s="7" t="e">
        <f t="shared" si="225"/>
        <v>#NAME?</v>
      </c>
      <c r="AF211" s="7" t="e">
        <f t="shared" si="225"/>
        <v>#NAME?</v>
      </c>
      <c r="AG211" s="7" t="e">
        <f t="shared" si="225"/>
        <v>#NAME?</v>
      </c>
      <c r="AH211" s="7" t="e">
        <f t="shared" si="43"/>
        <v>#NAME?</v>
      </c>
      <c r="AI211" s="7" t="e">
        <f t="shared" si="44"/>
        <v>#NAME?</v>
      </c>
      <c r="AJ211" s="8" t="e">
        <f t="shared" si="45"/>
        <v>#NAME?</v>
      </c>
      <c r="AK211" s="7" t="e">
        <f t="shared" si="46"/>
        <v>#NAME?</v>
      </c>
      <c r="AL211" s="7" t="e">
        <f t="shared" si="218"/>
        <v>#NAME?</v>
      </c>
      <c r="AM211" s="7"/>
      <c r="AN211" s="7"/>
      <c r="AO211" s="7"/>
    </row>
    <row r="212" spans="1:41">
      <c r="A212" s="7">
        <f t="shared" si="219"/>
        <v>20</v>
      </c>
      <c r="B212" s="7" t="e">
        <f t="shared" ref="B212:S212" si="226">B151-B184</f>
        <v>#NAME?</v>
      </c>
      <c r="C212" s="7" t="e">
        <f t="shared" si="226"/>
        <v>#NAME?</v>
      </c>
      <c r="D212" s="7" t="e">
        <f t="shared" si="226"/>
        <v>#NAME?</v>
      </c>
      <c r="E212" s="7" t="e">
        <f t="shared" si="226"/>
        <v>#NAME?</v>
      </c>
      <c r="F212" s="7" t="e">
        <f t="shared" si="226"/>
        <v>#NAME?</v>
      </c>
      <c r="G212" s="7" t="e">
        <f t="shared" si="226"/>
        <v>#NAME?</v>
      </c>
      <c r="H212" s="7" t="e">
        <f t="shared" si="226"/>
        <v>#NAME?</v>
      </c>
      <c r="I212" s="7" t="e">
        <f t="shared" si="226"/>
        <v>#NAME?</v>
      </c>
      <c r="J212" s="7" t="e">
        <f t="shared" si="226"/>
        <v>#NAME?</v>
      </c>
      <c r="K212" s="7" t="e">
        <f t="shared" si="226"/>
        <v>#NAME?</v>
      </c>
      <c r="L212" s="7" t="e">
        <f t="shared" si="226"/>
        <v>#NAME?</v>
      </c>
      <c r="M212" s="7" t="e">
        <f t="shared" si="226"/>
        <v>#NAME?</v>
      </c>
      <c r="N212" s="7" t="e">
        <f t="shared" si="226"/>
        <v>#NAME?</v>
      </c>
      <c r="O212" s="7" t="e">
        <f t="shared" si="226"/>
        <v>#NAME?</v>
      </c>
      <c r="P212" s="7" t="e">
        <f t="shared" si="226"/>
        <v>#NAME?</v>
      </c>
      <c r="Q212" s="7" t="e">
        <f t="shared" si="226"/>
        <v>#NAME?</v>
      </c>
      <c r="R212" s="7" t="e">
        <f t="shared" si="226"/>
        <v>#NAME?</v>
      </c>
      <c r="S212" s="7" t="e">
        <f t="shared" si="226"/>
        <v>#NAME?</v>
      </c>
      <c r="T212" s="7"/>
      <c r="U212" s="7" t="e">
        <f t="shared" ref="U212:AG212" si="227">U151-U184</f>
        <v>#NAME?</v>
      </c>
      <c r="V212" s="7" t="e">
        <f t="shared" si="227"/>
        <v>#NAME?</v>
      </c>
      <c r="W212" s="7" t="e">
        <f t="shared" si="227"/>
        <v>#NAME?</v>
      </c>
      <c r="X212" s="7" t="e">
        <f t="shared" si="227"/>
        <v>#NAME?</v>
      </c>
      <c r="Y212" s="7" t="e">
        <f t="shared" si="227"/>
        <v>#NAME?</v>
      </c>
      <c r="Z212" s="7" t="e">
        <f t="shared" si="227"/>
        <v>#NAME?</v>
      </c>
      <c r="AA212" s="7" t="e">
        <f t="shared" si="227"/>
        <v>#NAME?</v>
      </c>
      <c r="AB212" s="7" t="e">
        <f t="shared" si="227"/>
        <v>#NAME?</v>
      </c>
      <c r="AC212" s="7" t="e">
        <f t="shared" si="227"/>
        <v>#NAME?</v>
      </c>
      <c r="AD212" s="7" t="e">
        <f t="shared" si="227"/>
        <v>#NAME?</v>
      </c>
      <c r="AE212" s="7" t="e">
        <f t="shared" si="227"/>
        <v>#NAME?</v>
      </c>
      <c r="AF212" s="7" t="e">
        <f t="shared" si="227"/>
        <v>#NAME?</v>
      </c>
      <c r="AG212" s="7" t="e">
        <f t="shared" si="227"/>
        <v>#NAME?</v>
      </c>
      <c r="AH212" s="7" t="e">
        <f t="shared" si="43"/>
        <v>#NAME?</v>
      </c>
      <c r="AI212" s="7" t="e">
        <f t="shared" si="44"/>
        <v>#NAME?</v>
      </c>
      <c r="AJ212" s="8" t="e">
        <f t="shared" si="45"/>
        <v>#NAME?</v>
      </c>
      <c r="AK212" s="7" t="e">
        <f t="shared" si="46"/>
        <v>#NAME?</v>
      </c>
      <c r="AL212" s="7" t="e">
        <f t="shared" si="218"/>
        <v>#NAME?</v>
      </c>
      <c r="AM212" s="7"/>
      <c r="AN212" s="7"/>
      <c r="AO212" s="7"/>
    </row>
    <row r="213" spans="1:41">
      <c r="A213" s="7">
        <f t="shared" si="219"/>
        <v>21</v>
      </c>
      <c r="B213" s="7" t="e">
        <f t="shared" ref="B213:S213" si="228">B152-B185</f>
        <v>#NAME?</v>
      </c>
      <c r="C213" s="7" t="e">
        <f t="shared" si="228"/>
        <v>#NAME?</v>
      </c>
      <c r="D213" s="7" t="e">
        <f t="shared" si="228"/>
        <v>#NAME?</v>
      </c>
      <c r="E213" s="7" t="e">
        <f t="shared" si="228"/>
        <v>#NAME?</v>
      </c>
      <c r="F213" s="7" t="e">
        <f t="shared" si="228"/>
        <v>#NAME?</v>
      </c>
      <c r="G213" s="7" t="e">
        <f t="shared" si="228"/>
        <v>#NAME?</v>
      </c>
      <c r="H213" s="7" t="e">
        <f t="shared" si="228"/>
        <v>#NAME?</v>
      </c>
      <c r="I213" s="7" t="e">
        <f t="shared" si="228"/>
        <v>#NAME?</v>
      </c>
      <c r="J213" s="7" t="e">
        <f t="shared" si="228"/>
        <v>#NAME?</v>
      </c>
      <c r="K213" s="7" t="e">
        <f t="shared" si="228"/>
        <v>#NAME?</v>
      </c>
      <c r="L213" s="7" t="e">
        <f t="shared" si="228"/>
        <v>#NAME?</v>
      </c>
      <c r="M213" s="7" t="e">
        <f t="shared" si="228"/>
        <v>#NAME?</v>
      </c>
      <c r="N213" s="7" t="e">
        <f t="shared" si="228"/>
        <v>#NAME?</v>
      </c>
      <c r="O213" s="7" t="e">
        <f t="shared" si="228"/>
        <v>#NAME?</v>
      </c>
      <c r="P213" s="7" t="e">
        <f t="shared" si="228"/>
        <v>#NAME?</v>
      </c>
      <c r="Q213" s="7" t="e">
        <f t="shared" si="228"/>
        <v>#NAME?</v>
      </c>
      <c r="R213" s="7" t="e">
        <f t="shared" si="228"/>
        <v>#NAME?</v>
      </c>
      <c r="S213" s="7" t="e">
        <f t="shared" si="228"/>
        <v>#NAME?</v>
      </c>
      <c r="T213" s="7"/>
      <c r="U213" s="7" t="e">
        <f t="shared" ref="U213:AG213" si="229">U152-U185</f>
        <v>#NAME?</v>
      </c>
      <c r="V213" s="7" t="e">
        <f t="shared" si="229"/>
        <v>#NAME?</v>
      </c>
      <c r="W213" s="7" t="e">
        <f t="shared" si="229"/>
        <v>#NAME?</v>
      </c>
      <c r="X213" s="7" t="e">
        <f t="shared" si="229"/>
        <v>#NAME?</v>
      </c>
      <c r="Y213" s="7" t="e">
        <f t="shared" si="229"/>
        <v>#NAME?</v>
      </c>
      <c r="Z213" s="7" t="e">
        <f t="shared" si="229"/>
        <v>#NAME?</v>
      </c>
      <c r="AA213" s="7" t="e">
        <f t="shared" si="229"/>
        <v>#NAME?</v>
      </c>
      <c r="AB213" s="7" t="e">
        <f t="shared" si="229"/>
        <v>#NAME?</v>
      </c>
      <c r="AC213" s="7" t="e">
        <f t="shared" si="229"/>
        <v>#NAME?</v>
      </c>
      <c r="AD213" s="7" t="e">
        <f t="shared" si="229"/>
        <v>#NAME?</v>
      </c>
      <c r="AE213" s="7" t="e">
        <f t="shared" si="229"/>
        <v>#NAME?</v>
      </c>
      <c r="AF213" s="7" t="e">
        <f t="shared" si="229"/>
        <v>#NAME?</v>
      </c>
      <c r="AG213" s="7" t="e">
        <f t="shared" si="229"/>
        <v>#NAME?</v>
      </c>
      <c r="AH213" s="7" t="e">
        <f t="shared" si="43"/>
        <v>#NAME?</v>
      </c>
      <c r="AI213" s="7" t="e">
        <f t="shared" si="44"/>
        <v>#NAME?</v>
      </c>
      <c r="AJ213" s="8" t="e">
        <f t="shared" si="45"/>
        <v>#NAME?</v>
      </c>
      <c r="AK213" s="7" t="e">
        <f t="shared" si="46"/>
        <v>#NAME?</v>
      </c>
      <c r="AL213" s="7" t="e">
        <f t="shared" si="218"/>
        <v>#NAME?</v>
      </c>
      <c r="AM213" s="7"/>
      <c r="AN213" s="7"/>
      <c r="AO213" s="7"/>
    </row>
    <row r="214" spans="1:41">
      <c r="A214" s="7">
        <f t="shared" si="219"/>
        <v>22</v>
      </c>
      <c r="B214" s="7" t="e">
        <f t="shared" ref="B214:S214" si="230">B153-B186</f>
        <v>#NAME?</v>
      </c>
      <c r="C214" s="7" t="e">
        <f t="shared" si="230"/>
        <v>#NAME?</v>
      </c>
      <c r="D214" s="7" t="e">
        <f t="shared" si="230"/>
        <v>#NAME?</v>
      </c>
      <c r="E214" s="7" t="e">
        <f t="shared" si="230"/>
        <v>#NAME?</v>
      </c>
      <c r="F214" s="7" t="e">
        <f t="shared" si="230"/>
        <v>#NAME?</v>
      </c>
      <c r="G214" s="7" t="e">
        <f t="shared" si="230"/>
        <v>#NAME?</v>
      </c>
      <c r="H214" s="7" t="e">
        <f t="shared" si="230"/>
        <v>#NAME?</v>
      </c>
      <c r="I214" s="7" t="e">
        <f t="shared" si="230"/>
        <v>#NAME?</v>
      </c>
      <c r="J214" s="7" t="e">
        <f t="shared" si="230"/>
        <v>#NAME?</v>
      </c>
      <c r="K214" s="7" t="e">
        <f t="shared" si="230"/>
        <v>#NAME?</v>
      </c>
      <c r="L214" s="7" t="e">
        <f t="shared" si="230"/>
        <v>#NAME?</v>
      </c>
      <c r="M214" s="7" t="e">
        <f t="shared" si="230"/>
        <v>#NAME?</v>
      </c>
      <c r="N214" s="7" t="e">
        <f t="shared" si="230"/>
        <v>#NAME?</v>
      </c>
      <c r="O214" s="7" t="e">
        <f t="shared" si="230"/>
        <v>#NAME?</v>
      </c>
      <c r="P214" s="7" t="e">
        <f t="shared" si="230"/>
        <v>#NAME?</v>
      </c>
      <c r="Q214" s="7" t="e">
        <f t="shared" si="230"/>
        <v>#NAME?</v>
      </c>
      <c r="R214" s="7" t="e">
        <f t="shared" si="230"/>
        <v>#NAME?</v>
      </c>
      <c r="S214" s="7" t="e">
        <f t="shared" si="230"/>
        <v>#NAME?</v>
      </c>
      <c r="T214" s="7"/>
      <c r="U214" s="7" t="e">
        <f t="shared" ref="U214:AG214" si="231">U153-U186</f>
        <v>#NAME?</v>
      </c>
      <c r="V214" s="7" t="e">
        <f t="shared" si="231"/>
        <v>#NAME?</v>
      </c>
      <c r="W214" s="7" t="e">
        <f t="shared" si="231"/>
        <v>#NAME?</v>
      </c>
      <c r="X214" s="7" t="e">
        <f t="shared" si="231"/>
        <v>#NAME?</v>
      </c>
      <c r="Y214" s="7" t="e">
        <f t="shared" si="231"/>
        <v>#NAME?</v>
      </c>
      <c r="Z214" s="7" t="e">
        <f t="shared" si="231"/>
        <v>#NAME?</v>
      </c>
      <c r="AA214" s="7" t="e">
        <f t="shared" si="231"/>
        <v>#NAME?</v>
      </c>
      <c r="AB214" s="7" t="e">
        <f t="shared" si="231"/>
        <v>#NAME?</v>
      </c>
      <c r="AC214" s="7" t="e">
        <f t="shared" si="231"/>
        <v>#NAME?</v>
      </c>
      <c r="AD214" s="7" t="e">
        <f t="shared" si="231"/>
        <v>#NAME?</v>
      </c>
      <c r="AE214" s="7" t="e">
        <f t="shared" si="231"/>
        <v>#NAME?</v>
      </c>
      <c r="AF214" s="7" t="e">
        <f t="shared" si="231"/>
        <v>#NAME?</v>
      </c>
      <c r="AG214" s="7" t="e">
        <f t="shared" si="231"/>
        <v>#NAME?</v>
      </c>
      <c r="AH214" s="7" t="e">
        <f t="shared" si="43"/>
        <v>#NAME?</v>
      </c>
      <c r="AI214" s="7" t="e">
        <f t="shared" si="44"/>
        <v>#NAME?</v>
      </c>
      <c r="AJ214" s="8" t="e">
        <f t="shared" si="45"/>
        <v>#NAME?</v>
      </c>
      <c r="AK214" s="7" t="e">
        <f t="shared" si="46"/>
        <v>#NAME?</v>
      </c>
      <c r="AL214" s="7" t="e">
        <f t="shared" si="218"/>
        <v>#NAME?</v>
      </c>
      <c r="AM214" s="7"/>
      <c r="AN214" s="7"/>
      <c r="AO214" s="7"/>
    </row>
    <row r="215" spans="1:41">
      <c r="A215" s="7">
        <f t="shared" si="219"/>
        <v>23</v>
      </c>
      <c r="B215" s="7" t="e">
        <f t="shared" ref="B215:S215" si="232">B154-B187</f>
        <v>#NAME?</v>
      </c>
      <c r="C215" s="7" t="e">
        <f t="shared" si="232"/>
        <v>#NAME?</v>
      </c>
      <c r="D215" s="7" t="e">
        <f t="shared" si="232"/>
        <v>#NAME?</v>
      </c>
      <c r="E215" s="7" t="e">
        <f t="shared" si="232"/>
        <v>#NAME?</v>
      </c>
      <c r="F215" s="7" t="e">
        <f t="shared" si="232"/>
        <v>#NAME?</v>
      </c>
      <c r="G215" s="7" t="e">
        <f t="shared" si="232"/>
        <v>#NAME?</v>
      </c>
      <c r="H215" s="7" t="e">
        <f t="shared" si="232"/>
        <v>#NAME?</v>
      </c>
      <c r="I215" s="7" t="e">
        <f t="shared" si="232"/>
        <v>#NAME?</v>
      </c>
      <c r="J215" s="7" t="e">
        <f t="shared" si="232"/>
        <v>#NAME?</v>
      </c>
      <c r="K215" s="7" t="e">
        <f t="shared" si="232"/>
        <v>#NAME?</v>
      </c>
      <c r="L215" s="7" t="e">
        <f t="shared" si="232"/>
        <v>#NAME?</v>
      </c>
      <c r="M215" s="7" t="e">
        <f t="shared" si="232"/>
        <v>#NAME?</v>
      </c>
      <c r="N215" s="7" t="e">
        <f t="shared" si="232"/>
        <v>#NAME?</v>
      </c>
      <c r="O215" s="7" t="e">
        <f t="shared" si="232"/>
        <v>#NAME?</v>
      </c>
      <c r="P215" s="7" t="e">
        <f t="shared" si="232"/>
        <v>#NAME?</v>
      </c>
      <c r="Q215" s="7" t="e">
        <f t="shared" si="232"/>
        <v>#NAME?</v>
      </c>
      <c r="R215" s="7" t="e">
        <f t="shared" si="232"/>
        <v>#NAME?</v>
      </c>
      <c r="S215" s="7" t="e">
        <f t="shared" si="232"/>
        <v>#NAME?</v>
      </c>
      <c r="T215" s="7"/>
      <c r="U215" s="7" t="e">
        <f t="shared" ref="U215:AG215" si="233">U154-U187</f>
        <v>#NAME?</v>
      </c>
      <c r="V215" s="7" t="e">
        <f t="shared" si="233"/>
        <v>#NAME?</v>
      </c>
      <c r="W215" s="7" t="e">
        <f t="shared" si="233"/>
        <v>#NAME?</v>
      </c>
      <c r="X215" s="7" t="e">
        <f t="shared" si="233"/>
        <v>#NAME?</v>
      </c>
      <c r="Y215" s="7" t="e">
        <f t="shared" si="233"/>
        <v>#NAME?</v>
      </c>
      <c r="Z215" s="7" t="e">
        <f t="shared" si="233"/>
        <v>#NAME?</v>
      </c>
      <c r="AA215" s="7" t="e">
        <f t="shared" si="233"/>
        <v>#NAME?</v>
      </c>
      <c r="AB215" s="7" t="e">
        <f t="shared" si="233"/>
        <v>#NAME?</v>
      </c>
      <c r="AC215" s="7" t="e">
        <f t="shared" si="233"/>
        <v>#NAME?</v>
      </c>
      <c r="AD215" s="7" t="e">
        <f t="shared" si="233"/>
        <v>#NAME?</v>
      </c>
      <c r="AE215" s="7" t="e">
        <f t="shared" si="233"/>
        <v>#NAME?</v>
      </c>
      <c r="AF215" s="7" t="e">
        <f t="shared" si="233"/>
        <v>#NAME?</v>
      </c>
      <c r="AG215" s="7" t="e">
        <f t="shared" si="233"/>
        <v>#NAME?</v>
      </c>
      <c r="AH215" s="7" t="e">
        <f t="shared" si="43"/>
        <v>#NAME?</v>
      </c>
      <c r="AI215" s="7" t="e">
        <f t="shared" si="44"/>
        <v>#NAME?</v>
      </c>
      <c r="AJ215" s="8" t="e">
        <f t="shared" si="45"/>
        <v>#NAME?</v>
      </c>
      <c r="AK215" s="7" t="e">
        <f t="shared" si="46"/>
        <v>#NAME?</v>
      </c>
      <c r="AL215" s="7" t="e">
        <f t="shared" si="218"/>
        <v>#NAME?</v>
      </c>
      <c r="AM215" s="7"/>
      <c r="AN215" s="7"/>
      <c r="AO215" s="7"/>
    </row>
    <row r="216" spans="1:41">
      <c r="A216" s="7">
        <f t="shared" ref="A216" si="234">A188</f>
        <v>24</v>
      </c>
      <c r="B216" s="7" t="e">
        <f t="shared" ref="B216:S216" si="235">B155-B188</f>
        <v>#NAME?</v>
      </c>
      <c r="C216" s="7" t="e">
        <f t="shared" si="235"/>
        <v>#NAME?</v>
      </c>
      <c r="D216" s="7" t="e">
        <f t="shared" si="235"/>
        <v>#NAME?</v>
      </c>
      <c r="E216" s="7" t="e">
        <f t="shared" si="235"/>
        <v>#NAME?</v>
      </c>
      <c r="F216" s="7" t="e">
        <f t="shared" si="235"/>
        <v>#NAME?</v>
      </c>
      <c r="G216" s="7" t="e">
        <f t="shared" si="235"/>
        <v>#NAME?</v>
      </c>
      <c r="H216" s="7" t="e">
        <f t="shared" si="235"/>
        <v>#NAME?</v>
      </c>
      <c r="I216" s="7" t="e">
        <f t="shared" si="235"/>
        <v>#NAME?</v>
      </c>
      <c r="J216" s="7" t="e">
        <f t="shared" si="235"/>
        <v>#NAME?</v>
      </c>
      <c r="K216" s="7" t="e">
        <f t="shared" si="235"/>
        <v>#NAME?</v>
      </c>
      <c r="L216" s="7" t="e">
        <f t="shared" si="235"/>
        <v>#NAME?</v>
      </c>
      <c r="M216" s="7" t="e">
        <f t="shared" si="235"/>
        <v>#NAME?</v>
      </c>
      <c r="N216" s="7" t="e">
        <f t="shared" si="235"/>
        <v>#NAME?</v>
      </c>
      <c r="O216" s="7" t="e">
        <f t="shared" si="235"/>
        <v>#NAME?</v>
      </c>
      <c r="P216" s="7" t="e">
        <f t="shared" si="235"/>
        <v>#NAME?</v>
      </c>
      <c r="Q216" s="7" t="e">
        <f t="shared" si="235"/>
        <v>#NAME?</v>
      </c>
      <c r="R216" s="7" t="e">
        <f t="shared" si="235"/>
        <v>#NAME?</v>
      </c>
      <c r="S216" s="7" t="e">
        <f t="shared" si="235"/>
        <v>#NAME?</v>
      </c>
      <c r="T216" s="7"/>
      <c r="U216" s="7" t="e">
        <f t="shared" ref="U216:AG216" si="236">U155-U188</f>
        <v>#NAME?</v>
      </c>
      <c r="V216" s="7" t="e">
        <f t="shared" si="236"/>
        <v>#NAME?</v>
      </c>
      <c r="W216" s="7" t="e">
        <f t="shared" si="236"/>
        <v>#NAME?</v>
      </c>
      <c r="X216" s="7" t="e">
        <f t="shared" si="236"/>
        <v>#NAME?</v>
      </c>
      <c r="Y216" s="7" t="e">
        <f t="shared" si="236"/>
        <v>#NAME?</v>
      </c>
      <c r="Z216" s="7" t="e">
        <f t="shared" si="236"/>
        <v>#NAME?</v>
      </c>
      <c r="AA216" s="7" t="e">
        <f t="shared" si="236"/>
        <v>#NAME?</v>
      </c>
      <c r="AB216" s="7" t="e">
        <f t="shared" si="236"/>
        <v>#NAME?</v>
      </c>
      <c r="AC216" s="7" t="e">
        <f t="shared" si="236"/>
        <v>#NAME?</v>
      </c>
      <c r="AD216" s="7" t="e">
        <f t="shared" si="236"/>
        <v>#NAME?</v>
      </c>
      <c r="AE216" s="7" t="e">
        <f t="shared" si="236"/>
        <v>#NAME?</v>
      </c>
      <c r="AF216" s="7" t="e">
        <f t="shared" si="236"/>
        <v>#NAME?</v>
      </c>
      <c r="AG216" s="7" t="e">
        <f t="shared" si="236"/>
        <v>#NAME?</v>
      </c>
      <c r="AH216" s="7"/>
      <c r="AI216" s="7" t="e">
        <f t="shared" si="44"/>
        <v>#NAME?</v>
      </c>
      <c r="AJ216" s="8" t="e">
        <f t="shared" si="45"/>
        <v>#NAME?</v>
      </c>
      <c r="AK216" s="7" t="e">
        <f t="shared" si="46"/>
        <v>#NAME?</v>
      </c>
      <c r="AM216" s="7"/>
      <c r="AN216" s="7"/>
      <c r="AO216" s="7"/>
    </row>
    <row r="217" spans="1:4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M217" s="7"/>
      <c r="AN217" s="7"/>
      <c r="AO217" s="7"/>
    </row>
    <row r="218" spans="1:4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M218" s="7"/>
      <c r="AN218" s="7"/>
      <c r="AO218" s="7"/>
    </row>
    <row r="219" spans="1:4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M219" s="7"/>
      <c r="AN219" s="7"/>
      <c r="AO219" s="7"/>
    </row>
    <row r="220" spans="1:4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M220" s="7"/>
      <c r="AN220" s="7"/>
      <c r="AO220" s="7"/>
    </row>
    <row r="221" spans="1:4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M221" s="7"/>
      <c r="AN221" s="7"/>
      <c r="AO221" s="7"/>
    </row>
    <row r="222" spans="1:4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M222" s="7"/>
      <c r="AN222" s="7"/>
      <c r="AO222" s="7"/>
    </row>
    <row r="223" spans="1:4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M223" s="7"/>
      <c r="AN223" s="7"/>
      <c r="AO223" s="7"/>
    </row>
    <row r="224" spans="1:4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M224" s="7"/>
      <c r="AN224" s="7"/>
      <c r="AO224" s="7"/>
    </row>
    <row r="225" spans="1:4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M225" s="7"/>
      <c r="AN225" s="7"/>
      <c r="AO225" s="7"/>
    </row>
    <row r="226" spans="1:4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M226" s="7"/>
      <c r="AN226" s="7"/>
      <c r="AO226" s="7"/>
    </row>
    <row r="227" spans="1:4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M227" s="7"/>
      <c r="AN227" s="7"/>
      <c r="AO227" s="7"/>
    </row>
    <row r="228" spans="1:4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M228" s="7"/>
      <c r="AN228" s="7"/>
      <c r="AO228" s="7"/>
    </row>
    <row r="229" spans="1:4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M229" s="7"/>
      <c r="AN229" s="7"/>
      <c r="AO229" s="7"/>
    </row>
  </sheetData>
  <mergeCells count="3">
    <mergeCell ref="AL116:AP116"/>
    <mergeCell ref="AL117:AP117"/>
    <mergeCell ref="AL118:AP11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AV276"/>
  <sheetViews>
    <sheetView zoomScale="70" zoomScaleNormal="70" workbookViewId="0">
      <selection activeCell="B2" sqref="B2:AG51"/>
    </sheetView>
  </sheetViews>
  <sheetFormatPr defaultRowHeight="15"/>
  <cols>
    <col min="2" max="34" width="6.5703125" customWidth="1"/>
    <col min="35" max="35" width="8.7109375" customWidth="1"/>
    <col min="36" max="37" width="6.5703125" customWidth="1"/>
    <col min="38" max="38" width="6.5703125" style="7" customWidth="1"/>
  </cols>
  <sheetData>
    <row r="1" spans="1:42">
      <c r="B1" s="3">
        <f>data0!B1</f>
        <v>0</v>
      </c>
      <c r="C1" s="3">
        <f>data0!C1</f>
        <v>1</v>
      </c>
      <c r="D1" s="3">
        <f>data0!D1</f>
        <v>2</v>
      </c>
      <c r="E1" s="3">
        <f>data0!E1</f>
        <v>3</v>
      </c>
      <c r="F1" s="3">
        <f>data0!F1</f>
        <v>4</v>
      </c>
      <c r="G1" s="3">
        <f>data0!G1</f>
        <v>5</v>
      </c>
      <c r="H1" s="3">
        <f>data0!H1</f>
        <v>6</v>
      </c>
      <c r="I1" s="3">
        <f>data0!I1</f>
        <v>7</v>
      </c>
      <c r="J1" s="3">
        <f>data0!J1</f>
        <v>8</v>
      </c>
      <c r="K1" s="3">
        <f>data0!K1</f>
        <v>9</v>
      </c>
      <c r="L1" s="3">
        <f>data0!L1</f>
        <v>10</v>
      </c>
      <c r="M1" s="3">
        <f>data0!M1</f>
        <v>11</v>
      </c>
      <c r="N1" s="3">
        <f>data0!N1</f>
        <v>12</v>
      </c>
      <c r="O1" s="3">
        <f>data0!O1</f>
        <v>13</v>
      </c>
      <c r="P1" s="3">
        <f>data0!P1</f>
        <v>14</v>
      </c>
      <c r="Q1" s="3">
        <f>data0!Q1</f>
        <v>15</v>
      </c>
      <c r="R1" s="3">
        <f>data0!R1</f>
        <v>16</v>
      </c>
      <c r="S1" s="3">
        <f>data0!S1</f>
        <v>17</v>
      </c>
      <c r="T1" s="3">
        <f>data0!T1</f>
        <v>18</v>
      </c>
      <c r="U1" s="3">
        <f>data0!U1</f>
        <v>19</v>
      </c>
      <c r="V1" s="3">
        <f>data0!V1</f>
        <v>20</v>
      </c>
      <c r="W1" s="3">
        <f>data0!W1</f>
        <v>21</v>
      </c>
      <c r="X1" s="3">
        <f>data0!X1</f>
        <v>22</v>
      </c>
      <c r="Y1" s="3">
        <f>data0!Y1</f>
        <v>23</v>
      </c>
      <c r="Z1" s="3">
        <f>data0!Z1</f>
        <v>24</v>
      </c>
      <c r="AA1" s="3">
        <f>data0!AA1</f>
        <v>25</v>
      </c>
      <c r="AB1" s="3">
        <f>data0!AB1</f>
        <v>26</v>
      </c>
      <c r="AC1" s="3">
        <f>data0!AC1</f>
        <v>27</v>
      </c>
      <c r="AD1" s="3">
        <f>data0!AD1</f>
        <v>28</v>
      </c>
      <c r="AE1" s="3">
        <f>data0!AE1</f>
        <v>29</v>
      </c>
      <c r="AF1" s="3">
        <f>data0!AF1</f>
        <v>30</v>
      </c>
      <c r="AG1" s="3">
        <f>data0!AG1</f>
        <v>31</v>
      </c>
      <c r="AH1" s="4" t="s">
        <v>12</v>
      </c>
      <c r="AI1" s="13" t="s">
        <v>18</v>
      </c>
      <c r="AJ1" s="4" t="s">
        <v>13</v>
      </c>
      <c r="AK1" s="13" t="s">
        <v>19</v>
      </c>
      <c r="AL1" s="16" t="s">
        <v>16</v>
      </c>
      <c r="AM1" s="16" t="str">
        <f>AI1</f>
        <v>-1.5σ</v>
      </c>
      <c r="AN1" s="16" t="str">
        <f t="shared" ref="AN1:AO1" si="0">AJ1</f>
        <v>MEAN</v>
      </c>
      <c r="AO1" s="16" t="str">
        <f t="shared" si="0"/>
        <v>+1.5σ</v>
      </c>
      <c r="AP1" s="16"/>
    </row>
    <row r="2" spans="1:42">
      <c r="A2" s="3">
        <f>data0!A2</f>
        <v>0</v>
      </c>
      <c r="B2" s="7">
        <v>53.166141510009766</v>
      </c>
      <c r="C2" s="7">
        <v>52.350330352783203</v>
      </c>
      <c r="D2" s="7">
        <v>52.975067138671875</v>
      </c>
      <c r="E2" s="7">
        <v>50.792858123779297</v>
      </c>
      <c r="F2" s="7">
        <v>49.046890258789063</v>
      </c>
      <c r="G2" s="7">
        <v>53.868022918701172</v>
      </c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>
        <f>STDEV(B2:AG2)</f>
        <v>1.7941187705383881</v>
      </c>
      <c r="AI2">
        <f>AJ2-1.5*AH2</f>
        <v>49.342040227981478</v>
      </c>
      <c r="AJ2">
        <f>AVERAGE(B2:AG2)</f>
        <v>52.033218383789063</v>
      </c>
      <c r="AK2">
        <f>AJ2+1.5*AH2</f>
        <v>54.724396539596647</v>
      </c>
      <c r="AL2" s="7">
        <f>MAX(B2:AG2)</f>
        <v>53.868022918701172</v>
      </c>
      <c r="AM2" s="7" t="e">
        <f t="shared" ref="AM2:AM3" si="1">AI2*mult</f>
        <v>#NAME?</v>
      </c>
      <c r="AN2" s="7" t="e">
        <f t="shared" ref="AN2:AN3" si="2">AJ2*mult</f>
        <v>#NAME?</v>
      </c>
      <c r="AO2" s="7" t="e">
        <f t="shared" ref="AO2:AO3" si="3">AK2*mult</f>
        <v>#NAME?</v>
      </c>
      <c r="AP2" s="16"/>
    </row>
    <row r="3" spans="1:42">
      <c r="A3" s="3">
        <f>data0!A3</f>
        <v>1</v>
      </c>
      <c r="B3" s="7">
        <v>95.713302612304688</v>
      </c>
      <c r="C3" s="7">
        <v>92.700736999511719</v>
      </c>
      <c r="D3" s="7">
        <v>94.547157287597656</v>
      </c>
      <c r="E3" s="7">
        <v>92.964744567871094</v>
      </c>
      <c r="F3" s="7">
        <v>87.577743530273437</v>
      </c>
      <c r="G3" s="7">
        <v>97.465591430664063</v>
      </c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3">
        <f t="shared" ref="AH3:AH26" si="4">STDEV(B3:AG3)</f>
        <v>3.3976299482249783</v>
      </c>
      <c r="AI3" s="3">
        <f t="shared" ref="AI3:AI26" si="5">AJ3-1.5*AH3</f>
        <v>88.398434482366312</v>
      </c>
      <c r="AJ3" s="3">
        <f t="shared" ref="AJ3:AJ26" si="6">AVERAGE(B3:AG3)</f>
        <v>93.494879404703781</v>
      </c>
      <c r="AK3" s="3">
        <f t="shared" ref="AK3:AK26" si="7">AJ3+1.5*AH3</f>
        <v>98.591324327041249</v>
      </c>
      <c r="AL3" s="7">
        <f t="shared" ref="AL3:AL26" si="8">MAX(B3:AG3)</f>
        <v>97.465591430664063</v>
      </c>
      <c r="AM3" s="7" t="e">
        <f t="shared" si="1"/>
        <v>#NAME?</v>
      </c>
      <c r="AN3" s="7" t="e">
        <f t="shared" si="2"/>
        <v>#NAME?</v>
      </c>
      <c r="AO3" s="7" t="e">
        <f t="shared" si="3"/>
        <v>#NAME?</v>
      </c>
      <c r="AP3" s="16"/>
    </row>
    <row r="4" spans="1:42">
      <c r="A4" s="3">
        <f>data0!A4</f>
        <v>2</v>
      </c>
      <c r="B4" s="7">
        <v>41.039497375488281</v>
      </c>
      <c r="C4" s="7">
        <v>40.525520324707031</v>
      </c>
      <c r="D4" s="7">
        <v>40.608604431152344</v>
      </c>
      <c r="E4" s="7">
        <v>39.147956848144531</v>
      </c>
      <c r="F4" s="7">
        <v>37.610340118408203</v>
      </c>
      <c r="G4" s="7">
        <v>41.369682312011719</v>
      </c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3">
        <f t="shared" si="4"/>
        <v>1.4159411505205157</v>
      </c>
      <c r="AI4" s="3">
        <f t="shared" si="5"/>
        <v>37.926355175871244</v>
      </c>
      <c r="AJ4" s="3">
        <f t="shared" si="6"/>
        <v>40.050266901652016</v>
      </c>
      <c r="AK4" s="3">
        <f t="shared" si="7"/>
        <v>42.174178627432788</v>
      </c>
      <c r="AL4" s="7">
        <f t="shared" si="8"/>
        <v>41.369682312011719</v>
      </c>
      <c r="AM4" s="7" t="e">
        <f t="shared" ref="AM4:AM6" si="9">AI4*mult</f>
        <v>#NAME?</v>
      </c>
      <c r="AN4" s="7" t="e">
        <f t="shared" ref="AN4:AN6" si="10">AJ4*mult</f>
        <v>#NAME?</v>
      </c>
      <c r="AO4" s="7" t="e">
        <f t="shared" ref="AO4:AO6" si="11">AK4*mult</f>
        <v>#NAME?</v>
      </c>
      <c r="AP4" s="16"/>
    </row>
    <row r="5" spans="1:42">
      <c r="A5" s="3">
        <f>data0!A5</f>
        <v>3</v>
      </c>
      <c r="B5" s="7">
        <v>73.958297729492188</v>
      </c>
      <c r="C5" s="7">
        <v>71.490699768066406</v>
      </c>
      <c r="D5" s="7">
        <v>72.761795043945313</v>
      </c>
      <c r="E5" s="7">
        <v>71.398658752441406</v>
      </c>
      <c r="F5" s="7">
        <v>67.202995300292969</v>
      </c>
      <c r="G5" s="7">
        <v>74.990745544433594</v>
      </c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3">
        <f t="shared" si="4"/>
        <v>2.7197653263994281</v>
      </c>
      <c r="AI5" s="3">
        <f t="shared" si="5"/>
        <v>67.887550700179503</v>
      </c>
      <c r="AJ5" s="3">
        <f t="shared" si="6"/>
        <v>71.967198689778641</v>
      </c>
      <c r="AK5" s="3">
        <f t="shared" si="7"/>
        <v>76.046846679377779</v>
      </c>
      <c r="AL5" s="7">
        <f t="shared" si="8"/>
        <v>74.990745544433594</v>
      </c>
      <c r="AM5" s="7" t="e">
        <f t="shared" si="9"/>
        <v>#NAME?</v>
      </c>
      <c r="AN5" s="7" t="e">
        <f t="shared" si="10"/>
        <v>#NAME?</v>
      </c>
      <c r="AO5" s="7" t="e">
        <f t="shared" si="11"/>
        <v>#NAME?</v>
      </c>
    </row>
    <row r="6" spans="1:42">
      <c r="A6" s="3">
        <f>data0!A6</f>
        <v>4</v>
      </c>
      <c r="B6" s="7">
        <v>31.121767044067383</v>
      </c>
      <c r="C6" s="7">
        <v>30.719827651977539</v>
      </c>
      <c r="D6" s="7">
        <v>30.692132949829102</v>
      </c>
      <c r="E6" s="7">
        <v>29.396217346191406</v>
      </c>
      <c r="F6" s="7">
        <v>28.359268188476563</v>
      </c>
      <c r="G6" s="7">
        <v>31.241180419921875</v>
      </c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3">
        <f t="shared" si="4"/>
        <v>1.1368635461718954</v>
      </c>
      <c r="AI6" s="3">
        <f t="shared" si="5"/>
        <v>28.54977028081947</v>
      </c>
      <c r="AJ6" s="3">
        <f t="shared" si="6"/>
        <v>30.255065600077312</v>
      </c>
      <c r="AK6" s="3">
        <f t="shared" si="7"/>
        <v>31.960360919335155</v>
      </c>
      <c r="AL6" s="7">
        <f t="shared" si="8"/>
        <v>31.241180419921875</v>
      </c>
      <c r="AM6" s="7" t="e">
        <f t="shared" si="9"/>
        <v>#NAME?</v>
      </c>
      <c r="AN6" s="7" t="e">
        <f t="shared" si="10"/>
        <v>#NAME?</v>
      </c>
      <c r="AO6" s="7" t="e">
        <f t="shared" si="11"/>
        <v>#NAME?</v>
      </c>
    </row>
    <row r="7" spans="1:42">
      <c r="A7" s="3">
        <f>data0!A7</f>
        <v>5</v>
      </c>
      <c r="B7" s="7">
        <v>56.478725433349609</v>
      </c>
      <c r="C7" s="7">
        <v>54.487140655517578</v>
      </c>
      <c r="D7" s="7">
        <v>54.535743713378906</v>
      </c>
      <c r="E7" s="7">
        <v>53.560298919677734</v>
      </c>
      <c r="F7" s="7">
        <v>50.743595123291016</v>
      </c>
      <c r="G7" s="7">
        <v>56.273094177246094</v>
      </c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3">
        <f t="shared" si="4"/>
        <v>2.0934554717901412</v>
      </c>
      <c r="AI7" s="3">
        <f t="shared" si="5"/>
        <v>51.20624979605828</v>
      </c>
      <c r="AJ7" s="3">
        <f t="shared" si="6"/>
        <v>54.346433003743492</v>
      </c>
      <c r="AK7" s="3">
        <f t="shared" si="7"/>
        <v>57.486616211428704</v>
      </c>
      <c r="AL7" s="7">
        <f t="shared" si="8"/>
        <v>56.478725433349609</v>
      </c>
      <c r="AM7" s="7" t="e">
        <f t="shared" ref="AM7:AM26" si="12">AI7*mult</f>
        <v>#NAME?</v>
      </c>
      <c r="AN7" s="7" t="e">
        <f t="shared" ref="AN7:AN26" si="13">AJ7*mult</f>
        <v>#NAME?</v>
      </c>
      <c r="AO7" s="7" t="e">
        <f t="shared" ref="AO7:AO26" si="14">AK7*mult</f>
        <v>#NAME?</v>
      </c>
    </row>
    <row r="8" spans="1:42">
      <c r="A8" s="3">
        <f>data0!A8</f>
        <v>6</v>
      </c>
      <c r="B8" s="7">
        <v>23.340335845947266</v>
      </c>
      <c r="C8" s="7">
        <v>23.080650329589844</v>
      </c>
      <c r="D8" s="7">
        <v>22.733560562133789</v>
      </c>
      <c r="E8" s="7">
        <v>22.022838592529297</v>
      </c>
      <c r="F8" s="7">
        <v>21.032110214233398</v>
      </c>
      <c r="G8" s="7">
        <v>23.346271514892578</v>
      </c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3">
        <f t="shared" si="4"/>
        <v>0.9104887786500554</v>
      </c>
      <c r="AI8" s="3">
        <f t="shared" si="5"/>
        <v>21.226894675245944</v>
      </c>
      <c r="AJ8" s="3">
        <f t="shared" si="6"/>
        <v>22.592627843221027</v>
      </c>
      <c r="AK8" s="3">
        <f t="shared" si="7"/>
        <v>23.958361011196111</v>
      </c>
      <c r="AL8" s="7">
        <f t="shared" si="8"/>
        <v>23.346271514892578</v>
      </c>
      <c r="AM8" s="7" t="e">
        <f t="shared" si="12"/>
        <v>#NAME?</v>
      </c>
      <c r="AN8" s="7" t="e">
        <f t="shared" si="13"/>
        <v>#NAME?</v>
      </c>
      <c r="AO8" s="7" t="e">
        <f t="shared" si="14"/>
        <v>#NAME?</v>
      </c>
    </row>
    <row r="9" spans="1:42">
      <c r="A9" s="3">
        <f>data0!A9</f>
        <v>7</v>
      </c>
      <c r="B9" s="7">
        <v>42.051685333251953</v>
      </c>
      <c r="C9" s="7">
        <v>40.545402526855469</v>
      </c>
      <c r="D9" s="7">
        <v>40.6409912109375</v>
      </c>
      <c r="E9" s="7">
        <v>40.177570343017578</v>
      </c>
      <c r="F9" s="7">
        <v>37.711257934570313</v>
      </c>
      <c r="G9" s="7">
        <v>42.399734497070313</v>
      </c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3">
        <f t="shared" si="4"/>
        <v>1.6657416584044409</v>
      </c>
      <c r="AI9" s="3">
        <f t="shared" si="5"/>
        <v>38.089161153343859</v>
      </c>
      <c r="AJ9" s="3">
        <f t="shared" si="6"/>
        <v>40.587773640950523</v>
      </c>
      <c r="AK9" s="3">
        <f t="shared" si="7"/>
        <v>43.086386128557187</v>
      </c>
      <c r="AL9" s="7">
        <f t="shared" si="8"/>
        <v>42.399734497070313</v>
      </c>
      <c r="AM9" s="7" t="e">
        <f t="shared" si="12"/>
        <v>#NAME?</v>
      </c>
      <c r="AN9" s="7" t="e">
        <f t="shared" si="13"/>
        <v>#NAME?</v>
      </c>
      <c r="AO9" s="7" t="e">
        <f t="shared" si="14"/>
        <v>#NAME?</v>
      </c>
    </row>
    <row r="10" spans="1:42">
      <c r="A10" s="3">
        <f>data0!A10</f>
        <v>8</v>
      </c>
      <c r="B10" s="7">
        <v>21.292695999145508</v>
      </c>
      <c r="C10" s="7">
        <v>21.003335952758789</v>
      </c>
      <c r="D10" s="7">
        <v>21.318052291870117</v>
      </c>
      <c r="E10" s="7">
        <v>20.158273696899414</v>
      </c>
      <c r="F10" s="7">
        <v>19.435144424438477</v>
      </c>
      <c r="G10" s="7">
        <v>21.38441276550293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3">
        <f t="shared" si="4"/>
        <v>0.79516515931486498</v>
      </c>
      <c r="AI10" s="3">
        <f t="shared" si="5"/>
        <v>19.572571449463574</v>
      </c>
      <c r="AJ10" s="3">
        <f t="shared" si="6"/>
        <v>20.765319188435871</v>
      </c>
      <c r="AK10" s="3">
        <f t="shared" si="7"/>
        <v>21.958066927408169</v>
      </c>
      <c r="AL10" s="7">
        <f t="shared" si="8"/>
        <v>21.38441276550293</v>
      </c>
      <c r="AM10" s="7" t="e">
        <f t="shared" si="12"/>
        <v>#NAME?</v>
      </c>
      <c r="AN10" s="7" t="e">
        <f t="shared" si="13"/>
        <v>#NAME?</v>
      </c>
      <c r="AO10" s="7" t="e">
        <f t="shared" si="14"/>
        <v>#NAME?</v>
      </c>
    </row>
    <row r="11" spans="1:42">
      <c r="A11" s="3">
        <f>data0!A11</f>
        <v>9</v>
      </c>
      <c r="B11" s="7">
        <v>38.703662872314453</v>
      </c>
      <c r="C11" s="7">
        <v>37.212394714355469</v>
      </c>
      <c r="D11" s="7">
        <v>38.161117553710938</v>
      </c>
      <c r="E11" s="7">
        <v>36.804759979248047</v>
      </c>
      <c r="F11" s="7">
        <v>34.620540618896484</v>
      </c>
      <c r="G11" s="7">
        <v>38.911636352539062</v>
      </c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3">
        <f t="shared" si="4"/>
        <v>1.5924037780911486</v>
      </c>
      <c r="AI11" s="3">
        <f t="shared" si="5"/>
        <v>35.013746348040684</v>
      </c>
      <c r="AJ11" s="3">
        <f t="shared" si="6"/>
        <v>37.402352015177406</v>
      </c>
      <c r="AK11" s="3">
        <f t="shared" si="7"/>
        <v>39.790957682314129</v>
      </c>
      <c r="AL11" s="7">
        <f t="shared" si="8"/>
        <v>38.911636352539062</v>
      </c>
      <c r="AM11" s="7" t="e">
        <f t="shared" si="12"/>
        <v>#NAME?</v>
      </c>
      <c r="AN11" s="7" t="e">
        <f t="shared" si="13"/>
        <v>#NAME?</v>
      </c>
      <c r="AO11" s="7" t="e">
        <f t="shared" si="14"/>
        <v>#NAME?</v>
      </c>
    </row>
    <row r="12" spans="1:42">
      <c r="A12" s="3">
        <f>data0!A12</f>
        <v>10</v>
      </c>
      <c r="B12" s="7">
        <v>15.698459625244141</v>
      </c>
      <c r="C12" s="7">
        <v>15.584262847900391</v>
      </c>
      <c r="D12" s="7">
        <v>15.660334587097168</v>
      </c>
      <c r="E12" s="7">
        <v>14.884870529174805</v>
      </c>
      <c r="F12" s="7">
        <v>14.260830879211426</v>
      </c>
      <c r="G12" s="7">
        <v>15.734786987304688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3">
        <f t="shared" si="4"/>
        <v>0.60175887524815641</v>
      </c>
      <c r="AI12" s="3">
        <f t="shared" si="5"/>
        <v>14.401285929783201</v>
      </c>
      <c r="AJ12" s="3">
        <f t="shared" si="6"/>
        <v>15.303924242655436</v>
      </c>
      <c r="AK12" s="3">
        <f t="shared" si="7"/>
        <v>16.206562555527672</v>
      </c>
      <c r="AL12" s="7">
        <f t="shared" si="8"/>
        <v>15.734786987304688</v>
      </c>
      <c r="AM12" s="7" t="e">
        <f t="shared" si="12"/>
        <v>#NAME?</v>
      </c>
      <c r="AN12" s="7" t="e">
        <f t="shared" si="13"/>
        <v>#NAME?</v>
      </c>
      <c r="AO12" s="7" t="e">
        <f t="shared" si="14"/>
        <v>#NAME?</v>
      </c>
    </row>
    <row r="13" spans="1:42">
      <c r="A13" s="3">
        <f>data0!A13</f>
        <v>11</v>
      </c>
      <c r="B13" s="7">
        <v>28.35780143737793</v>
      </c>
      <c r="C13" s="7">
        <v>27.627548217773438</v>
      </c>
      <c r="D13" s="7">
        <v>28.250665664672852</v>
      </c>
      <c r="E13" s="7">
        <v>27.323822021484375</v>
      </c>
      <c r="F13" s="7">
        <v>25.678108215332031</v>
      </c>
      <c r="G13" s="7">
        <v>28.72313117980957</v>
      </c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3">
        <f t="shared" si="4"/>
        <v>1.0961773837503794</v>
      </c>
      <c r="AI13" s="3">
        <f t="shared" si="5"/>
        <v>26.015913380449462</v>
      </c>
      <c r="AJ13" s="3">
        <f t="shared" si="6"/>
        <v>27.660179456075031</v>
      </c>
      <c r="AK13" s="3">
        <f t="shared" si="7"/>
        <v>29.304445531700601</v>
      </c>
      <c r="AL13" s="7">
        <f t="shared" si="8"/>
        <v>28.72313117980957</v>
      </c>
      <c r="AM13" s="7" t="e">
        <f t="shared" si="12"/>
        <v>#NAME?</v>
      </c>
      <c r="AN13" s="7" t="e">
        <f t="shared" si="13"/>
        <v>#NAME?</v>
      </c>
      <c r="AO13" s="7" t="e">
        <f t="shared" si="14"/>
        <v>#NAME?</v>
      </c>
    </row>
    <row r="14" spans="1:42">
      <c r="A14" s="3">
        <f>data0!A14</f>
        <v>12</v>
      </c>
      <c r="B14" s="7">
        <v>12.750008583068848</v>
      </c>
      <c r="C14" s="7">
        <v>12.724471092224121</v>
      </c>
      <c r="D14" s="7">
        <v>12.80288028717041</v>
      </c>
      <c r="E14" s="7">
        <v>12.190890312194824</v>
      </c>
      <c r="F14" s="7">
        <v>11.613609313964844</v>
      </c>
      <c r="G14" s="7">
        <v>12.819785118103027</v>
      </c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3">
        <f t="shared" si="4"/>
        <v>0.48713766152934762</v>
      </c>
      <c r="AI14" s="3">
        <f t="shared" si="5"/>
        <v>11.75290095882699</v>
      </c>
      <c r="AJ14" s="3">
        <f t="shared" si="6"/>
        <v>12.483607451121012</v>
      </c>
      <c r="AK14" s="3">
        <f t="shared" si="7"/>
        <v>13.214313943415034</v>
      </c>
      <c r="AL14" s="7">
        <f t="shared" si="8"/>
        <v>12.819785118103027</v>
      </c>
      <c r="AM14" s="7" t="e">
        <f t="shared" si="12"/>
        <v>#NAME?</v>
      </c>
      <c r="AN14" s="7" t="e">
        <f t="shared" si="13"/>
        <v>#NAME?</v>
      </c>
      <c r="AO14" s="7" t="e">
        <f t="shared" si="14"/>
        <v>#NAME?</v>
      </c>
    </row>
    <row r="15" spans="1:42">
      <c r="A15" s="3">
        <f>data0!A15</f>
        <v>13</v>
      </c>
      <c r="B15" s="7">
        <v>23.052022933959961</v>
      </c>
      <c r="C15" s="7">
        <v>22.802629470825195</v>
      </c>
      <c r="D15" s="7">
        <v>22.910331726074219</v>
      </c>
      <c r="E15" s="7">
        <v>22.397983551025391</v>
      </c>
      <c r="F15" s="7">
        <v>20.784967422485352</v>
      </c>
      <c r="G15" s="7">
        <v>23.265647888183594</v>
      </c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3">
        <f t="shared" si="4"/>
        <v>0.90499103631061362</v>
      </c>
      <c r="AI15" s="3">
        <f t="shared" si="5"/>
        <v>21.178110610959695</v>
      </c>
      <c r="AJ15" s="3">
        <f t="shared" si="6"/>
        <v>22.535597165425617</v>
      </c>
      <c r="AK15" s="3">
        <f t="shared" si="7"/>
        <v>23.893083719891539</v>
      </c>
      <c r="AL15" s="7">
        <f t="shared" si="8"/>
        <v>23.265647888183594</v>
      </c>
      <c r="AM15" s="7" t="e">
        <f t="shared" si="12"/>
        <v>#NAME?</v>
      </c>
      <c r="AN15" s="7" t="e">
        <f t="shared" si="13"/>
        <v>#NAME?</v>
      </c>
      <c r="AO15" s="7" t="e">
        <f t="shared" si="14"/>
        <v>#NAME?</v>
      </c>
    </row>
    <row r="16" spans="1:42">
      <c r="A16" s="3">
        <f>data0!A16</f>
        <v>14</v>
      </c>
      <c r="B16" s="7">
        <v>9.771702766418457</v>
      </c>
      <c r="C16" s="7">
        <v>9.7983188629150391</v>
      </c>
      <c r="D16" s="7">
        <v>9.7945423126220703</v>
      </c>
      <c r="E16" s="7">
        <v>9.3697643280029297</v>
      </c>
      <c r="F16" s="7">
        <v>8.8577642440795898</v>
      </c>
      <c r="G16" s="7">
        <v>9.8396825790405273</v>
      </c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3">
        <f t="shared" si="4"/>
        <v>0.39072047304643054</v>
      </c>
      <c r="AI16" s="3">
        <f t="shared" si="5"/>
        <v>8.9858818059434551</v>
      </c>
      <c r="AJ16" s="3">
        <f t="shared" si="6"/>
        <v>9.5719625155131016</v>
      </c>
      <c r="AK16" s="3">
        <f t="shared" si="7"/>
        <v>10.158043225082748</v>
      </c>
      <c r="AL16" s="7">
        <f t="shared" si="8"/>
        <v>9.8396825790405273</v>
      </c>
      <c r="AM16" s="7" t="e">
        <f t="shared" si="12"/>
        <v>#NAME?</v>
      </c>
      <c r="AN16" s="7" t="e">
        <f t="shared" si="13"/>
        <v>#NAME?</v>
      </c>
      <c r="AO16" s="7" t="e">
        <f t="shared" si="14"/>
        <v>#NAME?</v>
      </c>
    </row>
    <row r="17" spans="1:41">
      <c r="A17" s="3">
        <f>data0!A17</f>
        <v>15</v>
      </c>
      <c r="B17" s="7">
        <v>17.709184646606445</v>
      </c>
      <c r="C17" s="7">
        <v>17.44727897644043</v>
      </c>
      <c r="D17" s="7">
        <v>17.682380676269531</v>
      </c>
      <c r="E17" s="7">
        <v>17.157922744750977</v>
      </c>
      <c r="F17" s="7">
        <v>15.973370552062988</v>
      </c>
      <c r="G17" s="7">
        <v>17.996603012084961</v>
      </c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3">
        <f t="shared" si="4"/>
        <v>0.7205680828538279</v>
      </c>
      <c r="AI17" s="3">
        <f t="shared" si="5"/>
        <v>16.246937977088479</v>
      </c>
      <c r="AJ17" s="3">
        <f t="shared" si="6"/>
        <v>17.327790101369221</v>
      </c>
      <c r="AK17" s="3">
        <f t="shared" si="7"/>
        <v>18.408642225649963</v>
      </c>
      <c r="AL17" s="7">
        <f t="shared" si="8"/>
        <v>17.996603012084961</v>
      </c>
      <c r="AM17" s="7" t="e">
        <f t="shared" si="12"/>
        <v>#NAME?</v>
      </c>
      <c r="AN17" s="7" t="e">
        <f t="shared" si="13"/>
        <v>#NAME?</v>
      </c>
      <c r="AO17" s="7" t="e">
        <f t="shared" si="14"/>
        <v>#NAME?</v>
      </c>
    </row>
    <row r="18" spans="1:41">
      <c r="A18" s="3">
        <f>data0!A18</f>
        <v>16</v>
      </c>
      <c r="B18" s="7">
        <v>7.3205046653747559</v>
      </c>
      <c r="C18" s="7">
        <v>7.3744564056396484</v>
      </c>
      <c r="D18" s="7">
        <v>7.3219437599182129</v>
      </c>
      <c r="E18" s="7">
        <v>7.0048885345458984</v>
      </c>
      <c r="F18" s="7">
        <v>6.5979137420654297</v>
      </c>
      <c r="G18" s="7">
        <v>7.3697805404663086</v>
      </c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3">
        <f t="shared" si="4"/>
        <v>0.31043278238777183</v>
      </c>
      <c r="AI18" s="3">
        <f t="shared" si="5"/>
        <v>6.6992654344200515</v>
      </c>
      <c r="AJ18" s="3">
        <f t="shared" si="6"/>
        <v>7.164914608001709</v>
      </c>
      <c r="AK18" s="3">
        <f t="shared" si="7"/>
        <v>7.6305637815833665</v>
      </c>
      <c r="AL18" s="7">
        <f t="shared" si="8"/>
        <v>7.3744564056396484</v>
      </c>
      <c r="AM18" s="7" t="e">
        <f t="shared" si="12"/>
        <v>#NAME?</v>
      </c>
      <c r="AN18" s="7" t="e">
        <f t="shared" si="13"/>
        <v>#NAME?</v>
      </c>
      <c r="AO18" s="7" t="e">
        <f t="shared" si="14"/>
        <v>#NAME?</v>
      </c>
    </row>
    <row r="19" spans="1:41">
      <c r="A19" s="3">
        <f>data0!A19</f>
        <v>17</v>
      </c>
      <c r="B19" s="7">
        <v>13.308047294616699</v>
      </c>
      <c r="C19" s="7">
        <v>13.156667709350586</v>
      </c>
      <c r="D19" s="7">
        <v>13.283261299133301</v>
      </c>
      <c r="E19" s="7">
        <v>12.923826217651367</v>
      </c>
      <c r="F19" s="7">
        <v>11.954030990600586</v>
      </c>
      <c r="G19" s="7">
        <v>13.495757102966309</v>
      </c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3">
        <f t="shared" si="4"/>
        <v>0.55548889153518488</v>
      </c>
      <c r="AI19" s="3">
        <f t="shared" si="5"/>
        <v>12.187031765083697</v>
      </c>
      <c r="AJ19" s="3">
        <f t="shared" si="6"/>
        <v>13.020265102386475</v>
      </c>
      <c r="AK19" s="3">
        <f t="shared" si="7"/>
        <v>13.853498439689252</v>
      </c>
      <c r="AL19" s="7">
        <f t="shared" si="8"/>
        <v>13.495757102966309</v>
      </c>
      <c r="AM19" s="7" t="e">
        <f t="shared" si="12"/>
        <v>#NAME?</v>
      </c>
      <c r="AN19" s="7" t="e">
        <f t="shared" si="13"/>
        <v>#NAME?</v>
      </c>
      <c r="AO19" s="7" t="e">
        <f t="shared" si="14"/>
        <v>#NAME?</v>
      </c>
    </row>
    <row r="20" spans="1:41">
      <c r="A20" s="3">
        <f>data0!A20</f>
        <v>18</v>
      </c>
      <c r="B20" s="7">
        <v>5.4408330917358398</v>
      </c>
      <c r="C20" s="7">
        <v>5.4079227447509766</v>
      </c>
      <c r="D20" s="7">
        <v>5.3638625144958496</v>
      </c>
      <c r="E20" s="7">
        <v>5.1985907554626465</v>
      </c>
      <c r="F20" s="7">
        <v>4.8399930000305176</v>
      </c>
      <c r="G20" s="7">
        <v>5.4530620574951172</v>
      </c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3">
        <f t="shared" si="4"/>
        <v>0.23636852974963804</v>
      </c>
      <c r="AI20" s="3">
        <f t="shared" si="5"/>
        <v>4.9294912327040343</v>
      </c>
      <c r="AJ20" s="3">
        <f t="shared" si="6"/>
        <v>5.2840440273284912</v>
      </c>
      <c r="AK20" s="3">
        <f t="shared" si="7"/>
        <v>5.6385968219529481</v>
      </c>
      <c r="AL20" s="7">
        <f t="shared" si="8"/>
        <v>5.4530620574951172</v>
      </c>
      <c r="AM20" s="7" t="e">
        <f t="shared" si="12"/>
        <v>#NAME?</v>
      </c>
      <c r="AN20" s="7" t="e">
        <f t="shared" si="13"/>
        <v>#NAME?</v>
      </c>
      <c r="AO20" s="7" t="e">
        <f t="shared" si="14"/>
        <v>#NAME?</v>
      </c>
    </row>
    <row r="21" spans="1:41">
      <c r="A21" s="3">
        <f>data0!A21</f>
        <v>19</v>
      </c>
      <c r="B21" s="7">
        <v>10.000876426696777</v>
      </c>
      <c r="C21" s="7">
        <v>9.6807594299316406</v>
      </c>
      <c r="D21" s="7">
        <v>9.7544708251953125</v>
      </c>
      <c r="E21" s="7">
        <v>9.4605932235717773</v>
      </c>
      <c r="F21" s="7">
        <v>8.6889228820800781</v>
      </c>
      <c r="G21" s="7">
        <v>10.030263900756836</v>
      </c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3">
        <f t="shared" si="4"/>
        <v>0.49510927173085406</v>
      </c>
      <c r="AI21" s="3">
        <f t="shared" si="5"/>
        <v>8.8599838737757892</v>
      </c>
      <c r="AJ21" s="3">
        <f t="shared" si="6"/>
        <v>9.6026477813720703</v>
      </c>
      <c r="AK21" s="3">
        <f t="shared" si="7"/>
        <v>10.345311688968351</v>
      </c>
      <c r="AL21" s="7">
        <f t="shared" si="8"/>
        <v>10.030263900756836</v>
      </c>
      <c r="AM21" s="7" t="e">
        <f t="shared" si="12"/>
        <v>#NAME?</v>
      </c>
      <c r="AN21" s="7" t="e">
        <f t="shared" si="13"/>
        <v>#NAME?</v>
      </c>
      <c r="AO21" s="7" t="e">
        <f t="shared" si="14"/>
        <v>#NAME?</v>
      </c>
    </row>
    <row r="22" spans="1:41">
      <c r="A22" s="3">
        <f>data0!A22</f>
        <v>20</v>
      </c>
      <c r="B22" s="7">
        <v>4.9885392189025879</v>
      </c>
      <c r="C22" s="7">
        <v>4.979367733001709</v>
      </c>
      <c r="D22" s="7">
        <v>5.0935649871826172</v>
      </c>
      <c r="E22" s="7">
        <v>4.7335286140441895</v>
      </c>
      <c r="F22" s="7">
        <v>4.5094494819641113</v>
      </c>
      <c r="G22" s="7">
        <v>5.0277442932128906</v>
      </c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3">
        <f t="shared" si="4"/>
        <v>0.22244127329779873</v>
      </c>
      <c r="AI22" s="3">
        <f t="shared" si="5"/>
        <v>4.5550371447713198</v>
      </c>
      <c r="AJ22" s="3">
        <f t="shared" si="6"/>
        <v>4.8886990547180176</v>
      </c>
      <c r="AK22" s="3">
        <f t="shared" si="7"/>
        <v>5.2223609646647153</v>
      </c>
      <c r="AL22" s="7">
        <f t="shared" si="8"/>
        <v>5.0935649871826172</v>
      </c>
      <c r="AM22" s="7" t="e">
        <f t="shared" si="12"/>
        <v>#NAME?</v>
      </c>
      <c r="AN22" s="7" t="e">
        <f t="shared" si="13"/>
        <v>#NAME?</v>
      </c>
      <c r="AO22" s="7" t="e">
        <f t="shared" si="14"/>
        <v>#NAME?</v>
      </c>
    </row>
    <row r="23" spans="1:41">
      <c r="A23" s="3">
        <f>data0!A23</f>
        <v>21</v>
      </c>
      <c r="B23" s="7">
        <v>9.1757583618164062</v>
      </c>
      <c r="C23" s="7">
        <v>8.9949111938476563</v>
      </c>
      <c r="D23" s="7">
        <v>9.2639217376708984</v>
      </c>
      <c r="E23" s="7">
        <v>8.7304210662841797</v>
      </c>
      <c r="F23" s="7">
        <v>8.1286993026733398</v>
      </c>
      <c r="G23" s="7">
        <v>9.2526187896728516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3">
        <f t="shared" si="4"/>
        <v>0.43861665823443874</v>
      </c>
      <c r="AI23" s="3">
        <f t="shared" si="5"/>
        <v>8.266463421309231</v>
      </c>
      <c r="AJ23" s="3">
        <f t="shared" si="6"/>
        <v>8.9243884086608887</v>
      </c>
      <c r="AK23" s="3">
        <f t="shared" si="7"/>
        <v>9.5823133960125464</v>
      </c>
      <c r="AL23" s="7">
        <f t="shared" si="8"/>
        <v>9.2639217376708984</v>
      </c>
      <c r="AM23" s="7" t="e">
        <f t="shared" si="12"/>
        <v>#NAME?</v>
      </c>
      <c r="AN23" s="7" t="e">
        <f t="shared" si="13"/>
        <v>#NAME?</v>
      </c>
      <c r="AO23" s="7" t="e">
        <f t="shared" si="14"/>
        <v>#NAME?</v>
      </c>
    </row>
    <row r="24" spans="1:41">
      <c r="A24" s="3">
        <f>data0!A24</f>
        <v>22</v>
      </c>
      <c r="B24" s="7">
        <v>4.645047664642334</v>
      </c>
      <c r="C24" s="7">
        <v>4.6517019271850586</v>
      </c>
      <c r="D24" s="7">
        <v>4.7847824096679687</v>
      </c>
      <c r="E24" s="7">
        <v>4.4220480918884277</v>
      </c>
      <c r="F24" s="7">
        <v>4.2096590995788574</v>
      </c>
      <c r="G24" s="7">
        <v>4.688748836517334</v>
      </c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3">
        <f t="shared" si="4"/>
        <v>0.21176467426565418</v>
      </c>
      <c r="AI24" s="3">
        <f t="shared" si="5"/>
        <v>4.2493509935148488</v>
      </c>
      <c r="AJ24" s="3">
        <f t="shared" si="6"/>
        <v>4.5669980049133301</v>
      </c>
      <c r="AK24" s="3">
        <f t="shared" si="7"/>
        <v>4.8846450163118114</v>
      </c>
      <c r="AL24" s="7">
        <f t="shared" si="8"/>
        <v>4.7847824096679687</v>
      </c>
      <c r="AM24" s="7" t="e">
        <f t="shared" si="12"/>
        <v>#NAME?</v>
      </c>
      <c r="AN24" s="7" t="e">
        <f t="shared" si="13"/>
        <v>#NAME?</v>
      </c>
      <c r="AO24" s="7" t="e">
        <f t="shared" si="14"/>
        <v>#NAME?</v>
      </c>
    </row>
    <row r="25" spans="1:41">
      <c r="A25" s="3">
        <f>data0!A25</f>
        <v>23</v>
      </c>
      <c r="B25" s="7">
        <v>8.4861955642700195</v>
      </c>
      <c r="C25" s="7">
        <v>8.391331672668457</v>
      </c>
      <c r="D25" s="7">
        <v>8.6148080825805664</v>
      </c>
      <c r="E25" s="7">
        <v>8.0938215255737305</v>
      </c>
      <c r="F25" s="7">
        <v>7.6498560905456543</v>
      </c>
      <c r="G25" s="7">
        <v>8.6286945343017578</v>
      </c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3">
        <f t="shared" si="4"/>
        <v>0.37806171767685121</v>
      </c>
      <c r="AI25" s="3">
        <f t="shared" si="5"/>
        <v>7.7436920018080873</v>
      </c>
      <c r="AJ25" s="3">
        <f t="shared" si="6"/>
        <v>8.3107845783233643</v>
      </c>
      <c r="AK25" s="3">
        <f t="shared" si="7"/>
        <v>8.8778771548386413</v>
      </c>
      <c r="AL25" s="7">
        <f t="shared" si="8"/>
        <v>8.6286945343017578</v>
      </c>
      <c r="AM25" s="7" t="e">
        <f t="shared" si="12"/>
        <v>#NAME?</v>
      </c>
      <c r="AN25" s="7" t="e">
        <f t="shared" si="13"/>
        <v>#NAME?</v>
      </c>
      <c r="AO25" s="7" t="e">
        <f t="shared" si="14"/>
        <v>#NAME?</v>
      </c>
    </row>
    <row r="26" spans="1:41">
      <c r="A26" s="3">
        <f>data0!A26</f>
        <v>24</v>
      </c>
      <c r="B26" s="7">
        <v>3.6751790046691895</v>
      </c>
      <c r="C26" s="7">
        <v>3.6841709613800049</v>
      </c>
      <c r="D26" s="7">
        <v>3.7733707427978516</v>
      </c>
      <c r="E26" s="7">
        <v>3.4836511611938477</v>
      </c>
      <c r="F26" s="7">
        <v>3.3011150360107422</v>
      </c>
      <c r="G26" s="7">
        <v>3.7005362510681152</v>
      </c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3">
        <f t="shared" si="4"/>
        <v>0.17647476911904447</v>
      </c>
      <c r="AI26" s="3">
        <f t="shared" si="5"/>
        <v>3.3382917058413919</v>
      </c>
      <c r="AJ26" s="3">
        <f t="shared" si="6"/>
        <v>3.6030038595199585</v>
      </c>
      <c r="AK26" s="3">
        <f t="shared" si="7"/>
        <v>3.8677160131985251</v>
      </c>
      <c r="AL26" s="7">
        <f t="shared" si="8"/>
        <v>3.7733707427978516</v>
      </c>
      <c r="AM26" s="7" t="e">
        <f t="shared" si="12"/>
        <v>#NAME?</v>
      </c>
      <c r="AN26" s="7" t="e">
        <f t="shared" si="13"/>
        <v>#NAME?</v>
      </c>
      <c r="AO26" s="7" t="e">
        <f t="shared" si="14"/>
        <v>#NAME?</v>
      </c>
    </row>
    <row r="27" spans="1:41" s="7" customFormat="1">
      <c r="A27" s="7">
        <f>data0!A27</f>
        <v>25</v>
      </c>
      <c r="B27" s="7">
        <v>6.711789608001709</v>
      </c>
      <c r="C27" s="7">
        <v>6.6461515426635742</v>
      </c>
      <c r="D27" s="7">
        <v>6.8699507713317871</v>
      </c>
      <c r="E27" s="7">
        <v>6.391350269317627</v>
      </c>
      <c r="F27" s="7">
        <v>6.0064029693603516</v>
      </c>
      <c r="G27" s="7">
        <v>6.8269996643066406</v>
      </c>
    </row>
    <row r="28" spans="1:41" s="7" customFormat="1">
      <c r="A28" s="7">
        <f>data0!A28</f>
        <v>26</v>
      </c>
      <c r="B28" s="7">
        <v>2.6233038902282715</v>
      </c>
      <c r="C28" s="7">
        <v>2.6353530883789062</v>
      </c>
      <c r="D28" s="7">
        <v>2.7013537883758545</v>
      </c>
      <c r="E28" s="7">
        <v>2.4887845516204834</v>
      </c>
      <c r="F28" s="7">
        <v>2.3393387794494629</v>
      </c>
      <c r="G28" s="7">
        <v>2.6313965320587158</v>
      </c>
    </row>
    <row r="29" spans="1:41" s="7" customFormat="1">
      <c r="A29" s="7">
        <f>data0!A29</f>
        <v>27</v>
      </c>
      <c r="B29" s="7">
        <v>4.8218507766723633</v>
      </c>
      <c r="C29" s="7">
        <v>4.7698574066162109</v>
      </c>
      <c r="D29" s="7">
        <v>4.9167957305908203</v>
      </c>
      <c r="E29" s="7">
        <v>4.6455245018005371</v>
      </c>
      <c r="F29" s="7">
        <v>4.2702655792236328</v>
      </c>
      <c r="G29" s="7">
        <v>4.8828868865966797</v>
      </c>
    </row>
    <row r="30" spans="1:41" s="7" customFormat="1">
      <c r="A30" s="7">
        <f>data0!A30</f>
        <v>28</v>
      </c>
      <c r="B30" s="7">
        <v>1.9183369874954224</v>
      </c>
      <c r="C30" s="7">
        <v>1.9339829683303833</v>
      </c>
      <c r="D30" s="7">
        <v>1.9559231996536255</v>
      </c>
      <c r="E30" s="7">
        <v>1.8214040994644165</v>
      </c>
      <c r="F30" s="7">
        <v>1.6890429258346558</v>
      </c>
      <c r="G30" s="7">
        <v>1.9185168743133545</v>
      </c>
    </row>
    <row r="31" spans="1:41" s="7" customFormat="1">
      <c r="A31" s="7">
        <f>data0!A31</f>
        <v>29</v>
      </c>
      <c r="B31" s="7">
        <v>3.5649595260620117</v>
      </c>
      <c r="C31" s="7">
        <v>3.5129659175872803</v>
      </c>
      <c r="D31" s="7">
        <v>3.5830442905426025</v>
      </c>
      <c r="E31" s="7">
        <v>3.4044573307037354</v>
      </c>
      <c r="F31" s="7">
        <v>3.0811920166015625</v>
      </c>
      <c r="G31" s="7">
        <v>3.5649595260620117</v>
      </c>
    </row>
    <row r="32" spans="1:41" s="7" customFormat="1">
      <c r="A32" s="7">
        <f>data0!A32</f>
        <v>30</v>
      </c>
      <c r="B32" s="7">
        <v>1.7832783460617065</v>
      </c>
      <c r="C32" s="7">
        <v>1.8138508796691895</v>
      </c>
      <c r="D32" s="7">
        <v>1.9016120433807373</v>
      </c>
      <c r="E32" s="7">
        <v>1.6989340782165527</v>
      </c>
      <c r="F32" s="7">
        <v>1.5957068204879761</v>
      </c>
      <c r="G32" s="7">
        <v>1.7965863943099976</v>
      </c>
    </row>
    <row r="33" spans="1:7" s="7" customFormat="1">
      <c r="A33" s="7">
        <f>data0!A33</f>
        <v>31</v>
      </c>
      <c r="B33" s="7">
        <v>3.3230757713317871</v>
      </c>
      <c r="C33" s="7">
        <v>3.271970272064209</v>
      </c>
      <c r="D33" s="7">
        <v>3.4725174903869629</v>
      </c>
      <c r="E33" s="7">
        <v>3.1716160774230957</v>
      </c>
      <c r="F33" s="7">
        <v>2.8913021087646484</v>
      </c>
      <c r="G33" s="7">
        <v>3.3343789577484131</v>
      </c>
    </row>
    <row r="34" spans="1:7" s="7" customFormat="1">
      <c r="A34" s="7">
        <f>data0!A34</f>
        <v>32</v>
      </c>
      <c r="B34" s="7">
        <v>1.2919596433639526</v>
      </c>
      <c r="C34" s="7">
        <v>1.3194748163223267</v>
      </c>
      <c r="D34" s="7">
        <v>1.3836772441864014</v>
      </c>
      <c r="E34" s="7">
        <v>1.2311742305755615</v>
      </c>
      <c r="F34" s="7">
        <v>1.1491678953170776</v>
      </c>
      <c r="G34" s="7">
        <v>1.2968152761459351</v>
      </c>
    </row>
    <row r="35" spans="1:7" s="7" customFormat="1">
      <c r="A35" s="7">
        <f>data0!A35</f>
        <v>33</v>
      </c>
      <c r="B35" s="7">
        <v>2.4007527828216553</v>
      </c>
      <c r="C35" s="7">
        <v>2.3956663608551025</v>
      </c>
      <c r="D35" s="7">
        <v>2.5417170524597168</v>
      </c>
      <c r="E35" s="7">
        <v>2.2975726127624512</v>
      </c>
      <c r="F35" s="7">
        <v>2.1023540496826172</v>
      </c>
      <c r="G35" s="7">
        <v>2.4052739143371582</v>
      </c>
    </row>
    <row r="36" spans="1:7" s="7" customFormat="1">
      <c r="A36" s="7">
        <f>data0!A36</f>
        <v>34</v>
      </c>
      <c r="B36" s="7">
        <v>0.68536442518234253</v>
      </c>
      <c r="C36" s="7">
        <v>0.71162080764770508</v>
      </c>
      <c r="D36" s="7">
        <v>0.78373605012893677</v>
      </c>
      <c r="E36" s="7">
        <v>0.65946769714355469</v>
      </c>
      <c r="F36" s="7">
        <v>0.63231205940246582</v>
      </c>
      <c r="G36" s="7">
        <v>0.68914103507995605</v>
      </c>
    </row>
    <row r="37" spans="1:7" s="7" customFormat="1">
      <c r="A37" s="7">
        <f>data0!A37</f>
        <v>35</v>
      </c>
      <c r="B37" s="7">
        <v>1.2970168590545654</v>
      </c>
      <c r="C37" s="7">
        <v>1.3100960254669189</v>
      </c>
      <c r="D37" s="7">
        <v>1.4693872928619385</v>
      </c>
      <c r="E37" s="7">
        <v>1.2365459203720093</v>
      </c>
      <c r="F37" s="7">
        <v>1.1664674282073975</v>
      </c>
      <c r="G37" s="7">
        <v>1.299196720123291</v>
      </c>
    </row>
    <row r="38" spans="1:7" s="7" customFormat="1">
      <c r="A38" s="7">
        <f>data0!A38</f>
        <v>36</v>
      </c>
      <c r="B38" s="7">
        <v>0.49347677826881409</v>
      </c>
      <c r="C38" s="7">
        <v>0.51829445362091064</v>
      </c>
      <c r="D38" s="7">
        <v>0.56882905960083008</v>
      </c>
      <c r="E38" s="7">
        <v>0.47675180435180664</v>
      </c>
      <c r="F38" s="7">
        <v>0.44869700074195862</v>
      </c>
      <c r="G38" s="7">
        <v>0.49347677826881409</v>
      </c>
    </row>
    <row r="39" spans="1:7" s="7" customFormat="1">
      <c r="A39" s="7">
        <f>data0!A39</f>
        <v>37</v>
      </c>
      <c r="B39" s="7">
        <v>0.92684429883956909</v>
      </c>
      <c r="C39" s="7">
        <v>0.93080031871795654</v>
      </c>
      <c r="D39" s="7">
        <v>1.070311427116394</v>
      </c>
      <c r="E39" s="7">
        <v>0.91118156909942627</v>
      </c>
      <c r="F39" s="7">
        <v>0.84772342443466187</v>
      </c>
      <c r="G39" s="7">
        <v>0.92684429883956909</v>
      </c>
    </row>
    <row r="40" spans="1:7" s="7" customFormat="1">
      <c r="A40" s="7">
        <f>data0!A40</f>
        <v>38</v>
      </c>
      <c r="B40" s="7">
        <v>0.33683747053146362</v>
      </c>
      <c r="C40" s="7">
        <v>0.35931727290153503</v>
      </c>
      <c r="D40" s="7">
        <v>0.39690351486206055</v>
      </c>
      <c r="E40" s="7">
        <v>0.32640683650970459</v>
      </c>
      <c r="F40" s="7">
        <v>0.30194878578186035</v>
      </c>
      <c r="G40" s="7">
        <v>0.33180198073387146</v>
      </c>
    </row>
    <row r="41" spans="1:7" s="7" customFormat="1">
      <c r="A41" s="7">
        <f>data0!A41</f>
        <v>39</v>
      </c>
      <c r="B41" s="7">
        <v>0.61690044403076172</v>
      </c>
      <c r="C41" s="7">
        <v>0.68948173522949219</v>
      </c>
      <c r="D41" s="7">
        <v>0.76077121496200562</v>
      </c>
      <c r="E41" s="7">
        <v>0.61714267730712891</v>
      </c>
      <c r="F41" s="7">
        <v>0.54278522729873657</v>
      </c>
      <c r="G41" s="7">
        <v>0.61940324306488037</v>
      </c>
    </row>
    <row r="42" spans="1:7" s="7" customFormat="1">
      <c r="A42" s="7">
        <f>data0!A42</f>
        <v>40</v>
      </c>
      <c r="B42" s="7">
        <v>0.21149004995822906</v>
      </c>
      <c r="C42" s="7">
        <v>0.23612791299819946</v>
      </c>
      <c r="D42" s="7">
        <v>0.25680932402610779</v>
      </c>
      <c r="E42" s="7">
        <v>0.206814244389534</v>
      </c>
      <c r="F42" s="7">
        <v>0.18559330701828003</v>
      </c>
      <c r="G42" s="7">
        <v>0.20303763449192047</v>
      </c>
    </row>
    <row r="43" spans="1:7" s="7" customFormat="1">
      <c r="A43" s="7">
        <f>data0!A43</f>
        <v>41</v>
      </c>
      <c r="B43" s="7">
        <v>0.38583526015281677</v>
      </c>
      <c r="C43" s="7">
        <v>0.45890095829963684</v>
      </c>
      <c r="D43" s="7">
        <v>0.5267188549041748</v>
      </c>
      <c r="E43" s="7">
        <v>0.38882249593734741</v>
      </c>
      <c r="F43" s="7">
        <v>0.37493595480918884</v>
      </c>
      <c r="G43" s="7">
        <v>0.38430130481719971</v>
      </c>
    </row>
    <row r="44" spans="1:7" s="7" customFormat="1">
      <c r="A44" s="7">
        <f>data0!A44</f>
        <v>42</v>
      </c>
      <c r="B44" s="7">
        <v>0.24170291423797607</v>
      </c>
      <c r="C44" s="7">
        <v>0.26688030362129211</v>
      </c>
      <c r="D44" s="7">
        <v>0.29223752021789551</v>
      </c>
      <c r="E44" s="7">
        <v>0.23666742444038391</v>
      </c>
      <c r="F44" s="7">
        <v>0.21652552485466003</v>
      </c>
      <c r="G44" s="7">
        <v>0.23522871732711792</v>
      </c>
    </row>
    <row r="45" spans="1:7" s="7" customFormat="1">
      <c r="A45" s="7">
        <f>data0!A45</f>
        <v>43</v>
      </c>
      <c r="B45" s="7">
        <v>0.46116155385971069</v>
      </c>
      <c r="C45" s="7">
        <v>0.53124004602432251</v>
      </c>
      <c r="D45" s="7">
        <v>0.5384255051612854</v>
      </c>
      <c r="E45" s="7">
        <v>0.45890095829963684</v>
      </c>
      <c r="F45" s="7">
        <v>0.39108309149742126</v>
      </c>
      <c r="G45" s="7">
        <v>0.45890095829963684</v>
      </c>
    </row>
    <row r="46" spans="1:7" s="7" customFormat="1">
      <c r="A46" s="7">
        <f>data0!A46</f>
        <v>44</v>
      </c>
      <c r="B46" s="7">
        <v>0.16617074608802795</v>
      </c>
      <c r="C46" s="7">
        <v>0.18721185624599457</v>
      </c>
      <c r="D46" s="7">
        <v>0.20951181650161743</v>
      </c>
      <c r="E46" s="7">
        <v>0.16617074608802795</v>
      </c>
      <c r="F46" s="7">
        <v>0.14602884650230408</v>
      </c>
      <c r="G46" s="7">
        <v>0.15735866129398346</v>
      </c>
    </row>
    <row r="47" spans="1:7" s="7" customFormat="1">
      <c r="A47" s="7">
        <f>data0!A47</f>
        <v>45</v>
      </c>
      <c r="B47" s="7">
        <v>0.30970162153244019</v>
      </c>
      <c r="C47" s="7">
        <v>0.37493595480918884</v>
      </c>
      <c r="D47" s="7">
        <v>0.42725262045860291</v>
      </c>
      <c r="E47" s="7">
        <v>0.30970162153244019</v>
      </c>
      <c r="F47" s="7">
        <v>0.30065923929214478</v>
      </c>
      <c r="G47" s="7">
        <v>0.30518043041229248</v>
      </c>
    </row>
    <row r="48" spans="1:7" s="7" customFormat="1">
      <c r="A48" s="7">
        <f>data0!A48</f>
        <v>46</v>
      </c>
      <c r="B48" s="7">
        <v>8.5603110492229462E-2</v>
      </c>
      <c r="C48" s="7">
        <v>0.10574502497911453</v>
      </c>
      <c r="D48" s="7">
        <v>0.12085145711898804</v>
      </c>
      <c r="E48" s="7">
        <v>8.8660366833209991E-2</v>
      </c>
      <c r="F48" s="7">
        <v>7.5532160699367523E-2</v>
      </c>
      <c r="G48" s="7">
        <v>7.5711995363235474E-2</v>
      </c>
    </row>
    <row r="49" spans="1:33" s="7" customFormat="1">
      <c r="A49" s="7">
        <f>data0!A49</f>
        <v>47</v>
      </c>
      <c r="B49" s="7">
        <v>0.15598110854625702</v>
      </c>
      <c r="C49" s="7">
        <v>0.22379899024963379</v>
      </c>
      <c r="D49" s="7">
        <v>0.23058077692985535</v>
      </c>
      <c r="E49" s="7">
        <v>0.15477007627487183</v>
      </c>
      <c r="F49" s="7">
        <v>0.15145991742610931</v>
      </c>
      <c r="G49" s="7">
        <v>0.15145991742610931</v>
      </c>
    </row>
    <row r="50" spans="1:33" s="7" customFormat="1">
      <c r="A50" s="7">
        <f>data0!A50</f>
        <v>48</v>
      </c>
      <c r="B50" s="7">
        <v>5.0354771316051483E-2</v>
      </c>
      <c r="C50" s="7">
        <v>7.0496678352355957E-2</v>
      </c>
      <c r="D50" s="7">
        <v>8.0567635595798492E-2</v>
      </c>
      <c r="E50" s="7">
        <v>5.5390249937772751E-2</v>
      </c>
      <c r="F50" s="7">
        <v>4.0283817797899246E-2</v>
      </c>
      <c r="G50" s="7">
        <v>4.0463656187057495E-2</v>
      </c>
    </row>
    <row r="51" spans="1:33" s="7" customFormat="1">
      <c r="A51" s="7">
        <f>data0!A51</f>
        <v>49</v>
      </c>
      <c r="B51" s="7">
        <v>0.14015693962574005</v>
      </c>
      <c r="C51" s="7">
        <v>0.14919932186603546</v>
      </c>
      <c r="D51" s="7">
        <v>0.1808476597070694</v>
      </c>
      <c r="E51" s="7">
        <v>0.1416909247636795</v>
      </c>
      <c r="F51" s="7">
        <v>7.6860256493091583E-2</v>
      </c>
      <c r="G51" s="7">
        <v>7.6860256493091583E-2</v>
      </c>
    </row>
    <row r="52" spans="1:33" s="7" customFormat="1"/>
    <row r="53" spans="1:33" s="7" customFormat="1">
      <c r="A53" s="29" t="s">
        <v>38</v>
      </c>
    </row>
    <row r="54" spans="1:33" s="7" customFormat="1">
      <c r="A54" s="29"/>
    </row>
    <row r="55" spans="1:33" s="7" customFormat="1">
      <c r="A55" s="7">
        <v>1</v>
      </c>
      <c r="B55" s="7">
        <f>A55+1</f>
        <v>2</v>
      </c>
      <c r="C55" s="7">
        <f t="shared" ref="C55:AG55" si="15">B55+1</f>
        <v>3</v>
      </c>
      <c r="D55" s="7">
        <f t="shared" si="15"/>
        <v>4</v>
      </c>
      <c r="E55" s="7">
        <f t="shared" si="15"/>
        <v>5</v>
      </c>
      <c r="F55" s="7">
        <f t="shared" si="15"/>
        <v>6</v>
      </c>
      <c r="G55" s="7">
        <f t="shared" si="15"/>
        <v>7</v>
      </c>
      <c r="H55" s="7">
        <f t="shared" si="15"/>
        <v>8</v>
      </c>
      <c r="I55" s="7">
        <f t="shared" si="15"/>
        <v>9</v>
      </c>
      <c r="J55" s="7">
        <f t="shared" si="15"/>
        <v>10</v>
      </c>
      <c r="K55" s="7">
        <f t="shared" si="15"/>
        <v>11</v>
      </c>
      <c r="L55" s="7">
        <f t="shared" si="15"/>
        <v>12</v>
      </c>
      <c r="M55" s="7">
        <f t="shared" si="15"/>
        <v>13</v>
      </c>
      <c r="N55" s="7">
        <f t="shared" si="15"/>
        <v>14</v>
      </c>
      <c r="O55" s="7">
        <f t="shared" si="15"/>
        <v>15</v>
      </c>
      <c r="P55" s="7">
        <f t="shared" si="15"/>
        <v>16</v>
      </c>
      <c r="Q55" s="7">
        <f t="shared" si="15"/>
        <v>17</v>
      </c>
      <c r="R55" s="7">
        <f t="shared" si="15"/>
        <v>18</v>
      </c>
      <c r="S55" s="7">
        <f t="shared" si="15"/>
        <v>19</v>
      </c>
      <c r="T55" s="7">
        <f t="shared" si="15"/>
        <v>20</v>
      </c>
      <c r="U55" s="7">
        <f t="shared" si="15"/>
        <v>21</v>
      </c>
      <c r="V55" s="7">
        <f t="shared" si="15"/>
        <v>22</v>
      </c>
      <c r="W55" s="7">
        <f t="shared" si="15"/>
        <v>23</v>
      </c>
      <c r="X55" s="7">
        <f t="shared" si="15"/>
        <v>24</v>
      </c>
      <c r="Y55" s="7">
        <f t="shared" si="15"/>
        <v>25</v>
      </c>
      <c r="Z55" s="7">
        <f t="shared" si="15"/>
        <v>26</v>
      </c>
      <c r="AA55" s="7">
        <f t="shared" si="15"/>
        <v>27</v>
      </c>
      <c r="AB55" s="7">
        <f t="shared" si="15"/>
        <v>28</v>
      </c>
      <c r="AC55" s="7">
        <f t="shared" si="15"/>
        <v>29</v>
      </c>
      <c r="AD55" s="7">
        <f t="shared" si="15"/>
        <v>30</v>
      </c>
      <c r="AE55" s="7">
        <f t="shared" si="15"/>
        <v>31</v>
      </c>
      <c r="AF55" s="7">
        <f t="shared" si="15"/>
        <v>32</v>
      </c>
      <c r="AG55" s="7">
        <f t="shared" si="15"/>
        <v>33</v>
      </c>
    </row>
    <row r="56" spans="1:33" s="7" customFormat="1">
      <c r="A56" s="7">
        <v>0</v>
      </c>
      <c r="B56" s="7">
        <f>VLOOKUP($A56,$A$2:B$51,B$55)</f>
        <v>53.166141510009766</v>
      </c>
      <c r="C56" s="7">
        <f>VLOOKUP($A56,$A$2:C$51,C$55)</f>
        <v>52.350330352783203</v>
      </c>
      <c r="D56" s="7">
        <f>VLOOKUP($A56,$A$2:D$51,D$55)</f>
        <v>52.975067138671875</v>
      </c>
      <c r="E56" s="7">
        <f>VLOOKUP($A56,$A$2:E$51,E$55)</f>
        <v>50.792858123779297</v>
      </c>
      <c r="F56" s="7">
        <f>VLOOKUP($A56,$A$2:F$51,F$55)</f>
        <v>49.046890258789063</v>
      </c>
      <c r="G56" s="7">
        <f>VLOOKUP($A56,$A$2:G$51,G$55)</f>
        <v>53.868022918701172</v>
      </c>
      <c r="H56" s="7">
        <f>VLOOKUP($A56,$A$2:H$51,H$55)</f>
        <v>0</v>
      </c>
      <c r="I56" s="7">
        <f>VLOOKUP($A56,$A$2:I$51,I$55)</f>
        <v>0</v>
      </c>
      <c r="J56" s="7">
        <f>VLOOKUP($A56,$A$2:J$51,J$55)</f>
        <v>0</v>
      </c>
      <c r="K56" s="7">
        <f>VLOOKUP($A56,$A$2:K$51,K$55)</f>
        <v>0</v>
      </c>
      <c r="L56" s="7">
        <f>VLOOKUP($A56,$A$2:L$51,L$55)</f>
        <v>0</v>
      </c>
      <c r="M56" s="7">
        <f>VLOOKUP($A56,$A$2:M$51,M$55)</f>
        <v>0</v>
      </c>
      <c r="N56" s="7">
        <f>VLOOKUP($A56,$A$2:N$51,N$55)</f>
        <v>0</v>
      </c>
      <c r="O56" s="7">
        <f>VLOOKUP($A56,$A$2:O$51,O$55)</f>
        <v>0</v>
      </c>
      <c r="P56" s="7">
        <f>VLOOKUP($A56,$A$2:P$51,P$55)</f>
        <v>0</v>
      </c>
      <c r="Q56" s="7">
        <f>VLOOKUP($A56,$A$2:Q$51,Q$55)</f>
        <v>0</v>
      </c>
      <c r="R56" s="7">
        <f>VLOOKUP($A56,$A$2:R$51,R$55)</f>
        <v>0</v>
      </c>
      <c r="S56" s="7">
        <f>VLOOKUP($A56,$A$2:S$51,S$55)</f>
        <v>0</v>
      </c>
      <c r="T56" s="7">
        <f>VLOOKUP($A56,$A$2:T$51,T$55)</f>
        <v>0</v>
      </c>
      <c r="U56" s="7">
        <f>VLOOKUP($A56,$A$2:U$51,U$55)</f>
        <v>0</v>
      </c>
      <c r="V56" s="7">
        <f>VLOOKUP($A56,$A$2:V$51,V$55)</f>
        <v>0</v>
      </c>
      <c r="W56" s="7">
        <f>VLOOKUP($A56,$A$2:W$51,W$55)</f>
        <v>0</v>
      </c>
      <c r="X56" s="7">
        <f>VLOOKUP($A56,$A$2:X$51,X$55)</f>
        <v>0</v>
      </c>
      <c r="Y56" s="7">
        <f>VLOOKUP($A56,$A$2:Y$51,Y$55)</f>
        <v>0</v>
      </c>
      <c r="Z56" s="7">
        <f>VLOOKUP($A56,$A$2:Z$51,Z$55)</f>
        <v>0</v>
      </c>
      <c r="AA56" s="7">
        <f>VLOOKUP($A56,$A$2:AA$51,AA$55)</f>
        <v>0</v>
      </c>
      <c r="AB56" s="7">
        <f>VLOOKUP($A56,$A$2:AB$51,AB$55)</f>
        <v>0</v>
      </c>
      <c r="AC56" s="7">
        <f>VLOOKUP($A56,$A$2:AC$51,AC$55)</f>
        <v>0</v>
      </c>
      <c r="AD56" s="7">
        <f>VLOOKUP($A56,$A$2:AD$51,AD$55)</f>
        <v>0</v>
      </c>
      <c r="AE56" s="7">
        <f>VLOOKUP($A56,$A$2:AE$51,AE$55)</f>
        <v>0</v>
      </c>
      <c r="AF56" s="7">
        <f>VLOOKUP($A56,$A$2:AF$51,AF$55)</f>
        <v>0</v>
      </c>
      <c r="AG56" s="7">
        <f>VLOOKUP($A56,$A$2:AG$51,AG$55)</f>
        <v>0</v>
      </c>
    </row>
    <row r="57" spans="1:33" s="7" customFormat="1">
      <c r="A57" s="7">
        <f>A56+2</f>
        <v>2</v>
      </c>
      <c r="B57" s="7">
        <f>VLOOKUP($A57,$A$2:B$51,B$55)</f>
        <v>41.039497375488281</v>
      </c>
      <c r="C57" s="7">
        <f>VLOOKUP($A57,$A$2:C$51,C$55)</f>
        <v>40.525520324707031</v>
      </c>
      <c r="D57" s="7">
        <f>VLOOKUP($A57,$A$2:D$51,D$55)</f>
        <v>40.608604431152344</v>
      </c>
      <c r="E57" s="7">
        <f>VLOOKUP($A57,$A$2:E$51,E$55)</f>
        <v>39.147956848144531</v>
      </c>
      <c r="F57" s="7">
        <f>VLOOKUP($A57,$A$2:F$51,F$55)</f>
        <v>37.610340118408203</v>
      </c>
      <c r="G57" s="7">
        <f>VLOOKUP($A57,$A$2:G$51,G$55)</f>
        <v>41.369682312011719</v>
      </c>
      <c r="H57" s="7">
        <f>VLOOKUP($A57,$A$2:H$51,H$55)</f>
        <v>0</v>
      </c>
      <c r="I57" s="7">
        <f>VLOOKUP($A57,$A$2:I$51,I$55)</f>
        <v>0</v>
      </c>
      <c r="J57" s="7">
        <f>VLOOKUP($A57,$A$2:J$51,J$55)</f>
        <v>0</v>
      </c>
      <c r="K57" s="7">
        <f>VLOOKUP($A57,$A$2:K$51,K$55)</f>
        <v>0</v>
      </c>
      <c r="L57" s="7">
        <f>VLOOKUP($A57,$A$2:L$51,L$55)</f>
        <v>0</v>
      </c>
      <c r="M57" s="7">
        <f>VLOOKUP($A57,$A$2:M$51,M$55)</f>
        <v>0</v>
      </c>
      <c r="N57" s="7">
        <f>VLOOKUP($A57,$A$2:N$51,N$55)</f>
        <v>0</v>
      </c>
      <c r="O57" s="7">
        <f>VLOOKUP($A57,$A$2:O$51,O$55)</f>
        <v>0</v>
      </c>
      <c r="P57" s="7">
        <f>VLOOKUP($A57,$A$2:P$51,P$55)</f>
        <v>0</v>
      </c>
      <c r="Q57" s="7">
        <f>VLOOKUP($A57,$A$2:Q$51,Q$55)</f>
        <v>0</v>
      </c>
      <c r="R57" s="7">
        <f>VLOOKUP($A57,$A$2:R$51,R$55)</f>
        <v>0</v>
      </c>
      <c r="S57" s="7">
        <f>VLOOKUP($A57,$A$2:S$51,S$55)</f>
        <v>0</v>
      </c>
      <c r="T57" s="7">
        <f>VLOOKUP($A57,$A$2:T$51,T$55)</f>
        <v>0</v>
      </c>
      <c r="U57" s="7">
        <f>VLOOKUP($A57,$A$2:U$51,U$55)</f>
        <v>0</v>
      </c>
      <c r="V57" s="7">
        <f>VLOOKUP($A57,$A$2:V$51,V$55)</f>
        <v>0</v>
      </c>
      <c r="W57" s="7">
        <f>VLOOKUP($A57,$A$2:W$51,W$55)</f>
        <v>0</v>
      </c>
      <c r="X57" s="7">
        <f>VLOOKUP($A57,$A$2:X$51,X$55)</f>
        <v>0</v>
      </c>
      <c r="Y57" s="7">
        <f>VLOOKUP($A57,$A$2:Y$51,Y$55)</f>
        <v>0</v>
      </c>
      <c r="Z57" s="7">
        <f>VLOOKUP($A57,$A$2:Z$51,Z$55)</f>
        <v>0</v>
      </c>
      <c r="AA57" s="7">
        <f>VLOOKUP($A57,$A$2:AA$51,AA$55)</f>
        <v>0</v>
      </c>
      <c r="AB57" s="7">
        <f>VLOOKUP($A57,$A$2:AB$51,AB$55)</f>
        <v>0</v>
      </c>
      <c r="AC57" s="7">
        <f>VLOOKUP($A57,$A$2:AC$51,AC$55)</f>
        <v>0</v>
      </c>
      <c r="AD57" s="7">
        <f>VLOOKUP($A57,$A$2:AD$51,AD$55)</f>
        <v>0</v>
      </c>
      <c r="AE57" s="7">
        <f>VLOOKUP($A57,$A$2:AE$51,AE$55)</f>
        <v>0</v>
      </c>
      <c r="AF57" s="7">
        <f>VLOOKUP($A57,$A$2:AF$51,AF$55)</f>
        <v>0</v>
      </c>
      <c r="AG57" s="7">
        <f>VLOOKUP($A57,$A$2:AG$51,AG$55)</f>
        <v>0</v>
      </c>
    </row>
    <row r="58" spans="1:33" s="7" customFormat="1">
      <c r="A58" s="7">
        <f t="shared" ref="A58:A80" si="16">A57+2</f>
        <v>4</v>
      </c>
      <c r="B58" s="7">
        <f>VLOOKUP($A58,$A$2:B$51,B$55)</f>
        <v>31.121767044067383</v>
      </c>
      <c r="C58" s="7">
        <f>VLOOKUP($A58,$A$2:C$51,C$55)</f>
        <v>30.719827651977539</v>
      </c>
      <c r="D58" s="7">
        <f>VLOOKUP($A58,$A$2:D$51,D$55)</f>
        <v>30.692132949829102</v>
      </c>
      <c r="E58" s="7">
        <f>VLOOKUP($A58,$A$2:E$51,E$55)</f>
        <v>29.396217346191406</v>
      </c>
      <c r="F58" s="7">
        <f>VLOOKUP($A58,$A$2:F$51,F$55)</f>
        <v>28.359268188476563</v>
      </c>
      <c r="G58" s="7">
        <f>VLOOKUP($A58,$A$2:G$51,G$55)</f>
        <v>31.241180419921875</v>
      </c>
      <c r="H58" s="7">
        <f>VLOOKUP($A58,$A$2:H$51,H$55)</f>
        <v>0</v>
      </c>
      <c r="I58" s="7">
        <f>VLOOKUP($A58,$A$2:I$51,I$55)</f>
        <v>0</v>
      </c>
      <c r="J58" s="7">
        <f>VLOOKUP($A58,$A$2:J$51,J$55)</f>
        <v>0</v>
      </c>
      <c r="K58" s="7">
        <f>VLOOKUP($A58,$A$2:K$51,K$55)</f>
        <v>0</v>
      </c>
      <c r="L58" s="7">
        <f>VLOOKUP($A58,$A$2:L$51,L$55)</f>
        <v>0</v>
      </c>
      <c r="M58" s="7">
        <f>VLOOKUP($A58,$A$2:M$51,M$55)</f>
        <v>0</v>
      </c>
      <c r="N58" s="7">
        <f>VLOOKUP($A58,$A$2:N$51,N$55)</f>
        <v>0</v>
      </c>
      <c r="O58" s="7">
        <f>VLOOKUP($A58,$A$2:O$51,O$55)</f>
        <v>0</v>
      </c>
      <c r="P58" s="7">
        <f>VLOOKUP($A58,$A$2:P$51,P$55)</f>
        <v>0</v>
      </c>
      <c r="Q58" s="7">
        <f>VLOOKUP($A58,$A$2:Q$51,Q$55)</f>
        <v>0</v>
      </c>
      <c r="R58" s="7">
        <f>VLOOKUP($A58,$A$2:R$51,R$55)</f>
        <v>0</v>
      </c>
      <c r="S58" s="7">
        <f>VLOOKUP($A58,$A$2:S$51,S$55)</f>
        <v>0</v>
      </c>
      <c r="T58" s="7">
        <f>VLOOKUP($A58,$A$2:T$51,T$55)</f>
        <v>0</v>
      </c>
      <c r="U58" s="7">
        <f>VLOOKUP($A58,$A$2:U$51,U$55)</f>
        <v>0</v>
      </c>
      <c r="V58" s="7">
        <f>VLOOKUP($A58,$A$2:V$51,V$55)</f>
        <v>0</v>
      </c>
      <c r="W58" s="7">
        <f>VLOOKUP($A58,$A$2:W$51,W$55)</f>
        <v>0</v>
      </c>
      <c r="X58" s="7">
        <f>VLOOKUP($A58,$A$2:X$51,X$55)</f>
        <v>0</v>
      </c>
      <c r="Y58" s="7">
        <f>VLOOKUP($A58,$A$2:Y$51,Y$55)</f>
        <v>0</v>
      </c>
      <c r="Z58" s="7">
        <f>VLOOKUP($A58,$A$2:Z$51,Z$55)</f>
        <v>0</v>
      </c>
      <c r="AA58" s="7">
        <f>VLOOKUP($A58,$A$2:AA$51,AA$55)</f>
        <v>0</v>
      </c>
      <c r="AB58" s="7">
        <f>VLOOKUP($A58,$A$2:AB$51,AB$55)</f>
        <v>0</v>
      </c>
      <c r="AC58" s="7">
        <f>VLOOKUP($A58,$A$2:AC$51,AC$55)</f>
        <v>0</v>
      </c>
      <c r="AD58" s="7">
        <f>VLOOKUP($A58,$A$2:AD$51,AD$55)</f>
        <v>0</v>
      </c>
      <c r="AE58" s="7">
        <f>VLOOKUP($A58,$A$2:AE$51,AE$55)</f>
        <v>0</v>
      </c>
      <c r="AF58" s="7">
        <f>VLOOKUP($A58,$A$2:AF$51,AF$55)</f>
        <v>0</v>
      </c>
      <c r="AG58" s="7">
        <f>VLOOKUP($A58,$A$2:AG$51,AG$55)</f>
        <v>0</v>
      </c>
    </row>
    <row r="59" spans="1:33" s="7" customFormat="1">
      <c r="A59" s="7">
        <f t="shared" si="16"/>
        <v>6</v>
      </c>
      <c r="B59" s="7">
        <f>VLOOKUP($A59,$A$2:B$51,B$55)</f>
        <v>23.340335845947266</v>
      </c>
      <c r="C59" s="7">
        <f>VLOOKUP($A59,$A$2:C$51,C$55)</f>
        <v>23.080650329589844</v>
      </c>
      <c r="D59" s="7">
        <f>VLOOKUP($A59,$A$2:D$51,D$55)</f>
        <v>22.733560562133789</v>
      </c>
      <c r="E59" s="7">
        <f>VLOOKUP($A59,$A$2:E$51,E$55)</f>
        <v>22.022838592529297</v>
      </c>
      <c r="F59" s="7">
        <f>VLOOKUP($A59,$A$2:F$51,F$55)</f>
        <v>21.032110214233398</v>
      </c>
      <c r="G59" s="7">
        <f>VLOOKUP($A59,$A$2:G$51,G$55)</f>
        <v>23.346271514892578</v>
      </c>
      <c r="H59" s="7">
        <f>VLOOKUP($A59,$A$2:H$51,H$55)</f>
        <v>0</v>
      </c>
      <c r="I59" s="7">
        <f>VLOOKUP($A59,$A$2:I$51,I$55)</f>
        <v>0</v>
      </c>
      <c r="J59" s="7">
        <f>VLOOKUP($A59,$A$2:J$51,J$55)</f>
        <v>0</v>
      </c>
      <c r="K59" s="7">
        <f>VLOOKUP($A59,$A$2:K$51,K$55)</f>
        <v>0</v>
      </c>
      <c r="L59" s="7">
        <f>VLOOKUP($A59,$A$2:L$51,L$55)</f>
        <v>0</v>
      </c>
      <c r="M59" s="7">
        <f>VLOOKUP($A59,$A$2:M$51,M$55)</f>
        <v>0</v>
      </c>
      <c r="N59" s="7">
        <f>VLOOKUP($A59,$A$2:N$51,N$55)</f>
        <v>0</v>
      </c>
      <c r="O59" s="7">
        <f>VLOOKUP($A59,$A$2:O$51,O$55)</f>
        <v>0</v>
      </c>
      <c r="P59" s="7">
        <f>VLOOKUP($A59,$A$2:P$51,P$55)</f>
        <v>0</v>
      </c>
      <c r="Q59" s="7">
        <f>VLOOKUP($A59,$A$2:Q$51,Q$55)</f>
        <v>0</v>
      </c>
      <c r="R59" s="7">
        <f>VLOOKUP($A59,$A$2:R$51,R$55)</f>
        <v>0</v>
      </c>
      <c r="S59" s="7">
        <f>VLOOKUP($A59,$A$2:S$51,S$55)</f>
        <v>0</v>
      </c>
      <c r="T59" s="7">
        <f>VLOOKUP($A59,$A$2:T$51,T$55)</f>
        <v>0</v>
      </c>
      <c r="U59" s="7">
        <f>VLOOKUP($A59,$A$2:U$51,U$55)</f>
        <v>0</v>
      </c>
      <c r="V59" s="7">
        <f>VLOOKUP($A59,$A$2:V$51,V$55)</f>
        <v>0</v>
      </c>
      <c r="W59" s="7">
        <f>VLOOKUP($A59,$A$2:W$51,W$55)</f>
        <v>0</v>
      </c>
      <c r="X59" s="7">
        <f>VLOOKUP($A59,$A$2:X$51,X$55)</f>
        <v>0</v>
      </c>
      <c r="Y59" s="7">
        <f>VLOOKUP($A59,$A$2:Y$51,Y$55)</f>
        <v>0</v>
      </c>
      <c r="Z59" s="7">
        <f>VLOOKUP($A59,$A$2:Z$51,Z$55)</f>
        <v>0</v>
      </c>
      <c r="AA59" s="7">
        <f>VLOOKUP($A59,$A$2:AA$51,AA$55)</f>
        <v>0</v>
      </c>
      <c r="AB59" s="7">
        <f>VLOOKUP($A59,$A$2:AB$51,AB$55)</f>
        <v>0</v>
      </c>
      <c r="AC59" s="7">
        <f>VLOOKUP($A59,$A$2:AC$51,AC$55)</f>
        <v>0</v>
      </c>
      <c r="AD59" s="7">
        <f>VLOOKUP($A59,$A$2:AD$51,AD$55)</f>
        <v>0</v>
      </c>
      <c r="AE59" s="7">
        <f>VLOOKUP($A59,$A$2:AE$51,AE$55)</f>
        <v>0</v>
      </c>
      <c r="AF59" s="7">
        <f>VLOOKUP($A59,$A$2:AF$51,AF$55)</f>
        <v>0</v>
      </c>
      <c r="AG59" s="7">
        <f>VLOOKUP($A59,$A$2:AG$51,AG$55)</f>
        <v>0</v>
      </c>
    </row>
    <row r="60" spans="1:33" s="7" customFormat="1">
      <c r="A60" s="7">
        <f t="shared" si="16"/>
        <v>8</v>
      </c>
      <c r="B60" s="7">
        <f>VLOOKUP($A60,$A$2:B$51,B$55)</f>
        <v>21.292695999145508</v>
      </c>
      <c r="C60" s="7">
        <f>VLOOKUP($A60,$A$2:C$51,C$55)</f>
        <v>21.003335952758789</v>
      </c>
      <c r="D60" s="7">
        <f>VLOOKUP($A60,$A$2:D$51,D$55)</f>
        <v>21.318052291870117</v>
      </c>
      <c r="E60" s="7">
        <f>VLOOKUP($A60,$A$2:E$51,E$55)</f>
        <v>20.158273696899414</v>
      </c>
      <c r="F60" s="7">
        <f>VLOOKUP($A60,$A$2:F$51,F$55)</f>
        <v>19.435144424438477</v>
      </c>
      <c r="G60" s="7">
        <f>VLOOKUP($A60,$A$2:G$51,G$55)</f>
        <v>21.38441276550293</v>
      </c>
      <c r="H60" s="7">
        <f>VLOOKUP($A60,$A$2:H$51,H$55)</f>
        <v>0</v>
      </c>
      <c r="I60" s="7">
        <f>VLOOKUP($A60,$A$2:I$51,I$55)</f>
        <v>0</v>
      </c>
      <c r="J60" s="7">
        <f>VLOOKUP($A60,$A$2:J$51,J$55)</f>
        <v>0</v>
      </c>
      <c r="K60" s="7">
        <f>VLOOKUP($A60,$A$2:K$51,K$55)</f>
        <v>0</v>
      </c>
      <c r="L60" s="7">
        <f>VLOOKUP($A60,$A$2:L$51,L$55)</f>
        <v>0</v>
      </c>
      <c r="M60" s="7">
        <f>VLOOKUP($A60,$A$2:M$51,M$55)</f>
        <v>0</v>
      </c>
      <c r="N60" s="7">
        <f>VLOOKUP($A60,$A$2:N$51,N$55)</f>
        <v>0</v>
      </c>
      <c r="O60" s="7">
        <f>VLOOKUP($A60,$A$2:O$51,O$55)</f>
        <v>0</v>
      </c>
      <c r="P60" s="7">
        <f>VLOOKUP($A60,$A$2:P$51,P$55)</f>
        <v>0</v>
      </c>
      <c r="Q60" s="7">
        <f>VLOOKUP($A60,$A$2:Q$51,Q$55)</f>
        <v>0</v>
      </c>
      <c r="R60" s="7">
        <f>VLOOKUP($A60,$A$2:R$51,R$55)</f>
        <v>0</v>
      </c>
      <c r="S60" s="7">
        <f>VLOOKUP($A60,$A$2:S$51,S$55)</f>
        <v>0</v>
      </c>
      <c r="T60" s="7">
        <f>VLOOKUP($A60,$A$2:T$51,T$55)</f>
        <v>0</v>
      </c>
      <c r="U60" s="7">
        <f>VLOOKUP($A60,$A$2:U$51,U$55)</f>
        <v>0</v>
      </c>
      <c r="V60" s="7">
        <f>VLOOKUP($A60,$A$2:V$51,V$55)</f>
        <v>0</v>
      </c>
      <c r="W60" s="7">
        <f>VLOOKUP($A60,$A$2:W$51,W$55)</f>
        <v>0</v>
      </c>
      <c r="X60" s="7">
        <f>VLOOKUP($A60,$A$2:X$51,X$55)</f>
        <v>0</v>
      </c>
      <c r="Y60" s="7">
        <f>VLOOKUP($A60,$A$2:Y$51,Y$55)</f>
        <v>0</v>
      </c>
      <c r="Z60" s="7">
        <f>VLOOKUP($A60,$A$2:Z$51,Z$55)</f>
        <v>0</v>
      </c>
      <c r="AA60" s="7">
        <f>VLOOKUP($A60,$A$2:AA$51,AA$55)</f>
        <v>0</v>
      </c>
      <c r="AB60" s="7">
        <f>VLOOKUP($A60,$A$2:AB$51,AB$55)</f>
        <v>0</v>
      </c>
      <c r="AC60" s="7">
        <f>VLOOKUP($A60,$A$2:AC$51,AC$55)</f>
        <v>0</v>
      </c>
      <c r="AD60" s="7">
        <f>VLOOKUP($A60,$A$2:AD$51,AD$55)</f>
        <v>0</v>
      </c>
      <c r="AE60" s="7">
        <f>VLOOKUP($A60,$A$2:AE$51,AE$55)</f>
        <v>0</v>
      </c>
      <c r="AF60" s="7">
        <f>VLOOKUP($A60,$A$2:AF$51,AF$55)</f>
        <v>0</v>
      </c>
      <c r="AG60" s="7">
        <f>VLOOKUP($A60,$A$2:AG$51,AG$55)</f>
        <v>0</v>
      </c>
    </row>
    <row r="61" spans="1:33" s="7" customFormat="1">
      <c r="A61" s="7">
        <f t="shared" si="16"/>
        <v>10</v>
      </c>
      <c r="B61" s="7">
        <f>VLOOKUP($A61,$A$2:B$51,B$55)</f>
        <v>15.698459625244141</v>
      </c>
      <c r="C61" s="7">
        <f>VLOOKUP($A61,$A$2:C$51,C$55)</f>
        <v>15.584262847900391</v>
      </c>
      <c r="D61" s="7">
        <f>VLOOKUP($A61,$A$2:D$51,D$55)</f>
        <v>15.660334587097168</v>
      </c>
      <c r="E61" s="7">
        <f>VLOOKUP($A61,$A$2:E$51,E$55)</f>
        <v>14.884870529174805</v>
      </c>
      <c r="F61" s="7">
        <f>VLOOKUP($A61,$A$2:F$51,F$55)</f>
        <v>14.260830879211426</v>
      </c>
      <c r="G61" s="7">
        <f>VLOOKUP($A61,$A$2:G$51,G$55)</f>
        <v>15.734786987304688</v>
      </c>
      <c r="H61" s="7">
        <f>VLOOKUP($A61,$A$2:H$51,H$55)</f>
        <v>0</v>
      </c>
      <c r="I61" s="7">
        <f>VLOOKUP($A61,$A$2:I$51,I$55)</f>
        <v>0</v>
      </c>
      <c r="J61" s="7">
        <f>VLOOKUP($A61,$A$2:J$51,J$55)</f>
        <v>0</v>
      </c>
      <c r="K61" s="7">
        <f>VLOOKUP($A61,$A$2:K$51,K$55)</f>
        <v>0</v>
      </c>
      <c r="L61" s="7">
        <f>VLOOKUP($A61,$A$2:L$51,L$55)</f>
        <v>0</v>
      </c>
      <c r="M61" s="7">
        <f>VLOOKUP($A61,$A$2:M$51,M$55)</f>
        <v>0</v>
      </c>
      <c r="N61" s="7">
        <f>VLOOKUP($A61,$A$2:N$51,N$55)</f>
        <v>0</v>
      </c>
      <c r="O61" s="7">
        <f>VLOOKUP($A61,$A$2:O$51,O$55)</f>
        <v>0</v>
      </c>
      <c r="P61" s="7">
        <f>VLOOKUP($A61,$A$2:P$51,P$55)</f>
        <v>0</v>
      </c>
      <c r="Q61" s="7">
        <f>VLOOKUP($A61,$A$2:Q$51,Q$55)</f>
        <v>0</v>
      </c>
      <c r="R61" s="7">
        <f>VLOOKUP($A61,$A$2:R$51,R$55)</f>
        <v>0</v>
      </c>
      <c r="S61" s="7">
        <f>VLOOKUP($A61,$A$2:S$51,S$55)</f>
        <v>0</v>
      </c>
      <c r="T61" s="7">
        <f>VLOOKUP($A61,$A$2:T$51,T$55)</f>
        <v>0</v>
      </c>
      <c r="U61" s="7">
        <f>VLOOKUP($A61,$A$2:U$51,U$55)</f>
        <v>0</v>
      </c>
      <c r="V61" s="7">
        <f>VLOOKUP($A61,$A$2:V$51,V$55)</f>
        <v>0</v>
      </c>
      <c r="W61" s="7">
        <f>VLOOKUP($A61,$A$2:W$51,W$55)</f>
        <v>0</v>
      </c>
      <c r="X61" s="7">
        <f>VLOOKUP($A61,$A$2:X$51,X$55)</f>
        <v>0</v>
      </c>
      <c r="Y61" s="7">
        <f>VLOOKUP($A61,$A$2:Y$51,Y$55)</f>
        <v>0</v>
      </c>
      <c r="Z61" s="7">
        <f>VLOOKUP($A61,$A$2:Z$51,Z$55)</f>
        <v>0</v>
      </c>
      <c r="AA61" s="7">
        <f>VLOOKUP($A61,$A$2:AA$51,AA$55)</f>
        <v>0</v>
      </c>
      <c r="AB61" s="7">
        <f>VLOOKUP($A61,$A$2:AB$51,AB$55)</f>
        <v>0</v>
      </c>
      <c r="AC61" s="7">
        <f>VLOOKUP($A61,$A$2:AC$51,AC$55)</f>
        <v>0</v>
      </c>
      <c r="AD61" s="7">
        <f>VLOOKUP($A61,$A$2:AD$51,AD$55)</f>
        <v>0</v>
      </c>
      <c r="AE61" s="7">
        <f>VLOOKUP($A61,$A$2:AE$51,AE$55)</f>
        <v>0</v>
      </c>
      <c r="AF61" s="7">
        <f>VLOOKUP($A61,$A$2:AF$51,AF$55)</f>
        <v>0</v>
      </c>
      <c r="AG61" s="7">
        <f>VLOOKUP($A61,$A$2:AG$51,AG$55)</f>
        <v>0</v>
      </c>
    </row>
    <row r="62" spans="1:33" s="7" customFormat="1">
      <c r="A62" s="7">
        <f t="shared" si="16"/>
        <v>12</v>
      </c>
      <c r="B62" s="7">
        <f>VLOOKUP($A62,$A$2:B$51,B$55)</f>
        <v>12.750008583068848</v>
      </c>
      <c r="C62" s="7">
        <f>VLOOKUP($A62,$A$2:C$51,C$55)</f>
        <v>12.724471092224121</v>
      </c>
      <c r="D62" s="7">
        <f>VLOOKUP($A62,$A$2:D$51,D$55)</f>
        <v>12.80288028717041</v>
      </c>
      <c r="E62" s="7">
        <f>VLOOKUP($A62,$A$2:E$51,E$55)</f>
        <v>12.190890312194824</v>
      </c>
      <c r="F62" s="7">
        <f>VLOOKUP($A62,$A$2:F$51,F$55)</f>
        <v>11.613609313964844</v>
      </c>
      <c r="G62" s="7">
        <f>VLOOKUP($A62,$A$2:G$51,G$55)</f>
        <v>12.819785118103027</v>
      </c>
      <c r="H62" s="7">
        <f>VLOOKUP($A62,$A$2:H$51,H$55)</f>
        <v>0</v>
      </c>
      <c r="I62" s="7">
        <f>VLOOKUP($A62,$A$2:I$51,I$55)</f>
        <v>0</v>
      </c>
      <c r="J62" s="7">
        <f>VLOOKUP($A62,$A$2:J$51,J$55)</f>
        <v>0</v>
      </c>
      <c r="K62" s="7">
        <f>VLOOKUP($A62,$A$2:K$51,K$55)</f>
        <v>0</v>
      </c>
      <c r="L62" s="7">
        <f>VLOOKUP($A62,$A$2:L$51,L$55)</f>
        <v>0</v>
      </c>
      <c r="M62" s="7">
        <f>VLOOKUP($A62,$A$2:M$51,M$55)</f>
        <v>0</v>
      </c>
      <c r="N62" s="7">
        <f>VLOOKUP($A62,$A$2:N$51,N$55)</f>
        <v>0</v>
      </c>
      <c r="O62" s="7">
        <f>VLOOKUP($A62,$A$2:O$51,O$55)</f>
        <v>0</v>
      </c>
      <c r="P62" s="7">
        <f>VLOOKUP($A62,$A$2:P$51,P$55)</f>
        <v>0</v>
      </c>
      <c r="Q62" s="7">
        <f>VLOOKUP($A62,$A$2:Q$51,Q$55)</f>
        <v>0</v>
      </c>
      <c r="R62" s="7">
        <f>VLOOKUP($A62,$A$2:R$51,R$55)</f>
        <v>0</v>
      </c>
      <c r="S62" s="7">
        <f>VLOOKUP($A62,$A$2:S$51,S$55)</f>
        <v>0</v>
      </c>
      <c r="T62" s="7">
        <f>VLOOKUP($A62,$A$2:T$51,T$55)</f>
        <v>0</v>
      </c>
      <c r="U62" s="7">
        <f>VLOOKUP($A62,$A$2:U$51,U$55)</f>
        <v>0</v>
      </c>
      <c r="V62" s="7">
        <f>VLOOKUP($A62,$A$2:V$51,V$55)</f>
        <v>0</v>
      </c>
      <c r="W62" s="7">
        <f>VLOOKUP($A62,$A$2:W$51,W$55)</f>
        <v>0</v>
      </c>
      <c r="X62" s="7">
        <f>VLOOKUP($A62,$A$2:X$51,X$55)</f>
        <v>0</v>
      </c>
      <c r="Y62" s="7">
        <f>VLOOKUP($A62,$A$2:Y$51,Y$55)</f>
        <v>0</v>
      </c>
      <c r="Z62" s="7">
        <f>VLOOKUP($A62,$A$2:Z$51,Z$55)</f>
        <v>0</v>
      </c>
      <c r="AA62" s="7">
        <f>VLOOKUP($A62,$A$2:AA$51,AA$55)</f>
        <v>0</v>
      </c>
      <c r="AB62" s="7">
        <f>VLOOKUP($A62,$A$2:AB$51,AB$55)</f>
        <v>0</v>
      </c>
      <c r="AC62" s="7">
        <f>VLOOKUP($A62,$A$2:AC$51,AC$55)</f>
        <v>0</v>
      </c>
      <c r="AD62" s="7">
        <f>VLOOKUP($A62,$A$2:AD$51,AD$55)</f>
        <v>0</v>
      </c>
      <c r="AE62" s="7">
        <f>VLOOKUP($A62,$A$2:AE$51,AE$55)</f>
        <v>0</v>
      </c>
      <c r="AF62" s="7">
        <f>VLOOKUP($A62,$A$2:AF$51,AF$55)</f>
        <v>0</v>
      </c>
      <c r="AG62" s="7">
        <f>VLOOKUP($A62,$A$2:AG$51,AG$55)</f>
        <v>0</v>
      </c>
    </row>
    <row r="63" spans="1:33" s="7" customFormat="1">
      <c r="A63" s="7">
        <f t="shared" si="16"/>
        <v>14</v>
      </c>
      <c r="B63" s="7">
        <f>VLOOKUP($A63,$A$2:B$51,B$55)</f>
        <v>9.771702766418457</v>
      </c>
      <c r="C63" s="7">
        <f>VLOOKUP($A63,$A$2:C$51,C$55)</f>
        <v>9.7983188629150391</v>
      </c>
      <c r="D63" s="7">
        <f>VLOOKUP($A63,$A$2:D$51,D$55)</f>
        <v>9.7945423126220703</v>
      </c>
      <c r="E63" s="7">
        <f>VLOOKUP($A63,$A$2:E$51,E$55)</f>
        <v>9.3697643280029297</v>
      </c>
      <c r="F63" s="7">
        <f>VLOOKUP($A63,$A$2:F$51,F$55)</f>
        <v>8.8577642440795898</v>
      </c>
      <c r="G63" s="7">
        <f>VLOOKUP($A63,$A$2:G$51,G$55)</f>
        <v>9.8396825790405273</v>
      </c>
      <c r="H63" s="7">
        <f>VLOOKUP($A63,$A$2:H$51,H$55)</f>
        <v>0</v>
      </c>
      <c r="I63" s="7">
        <f>VLOOKUP($A63,$A$2:I$51,I$55)</f>
        <v>0</v>
      </c>
      <c r="J63" s="7">
        <f>VLOOKUP($A63,$A$2:J$51,J$55)</f>
        <v>0</v>
      </c>
      <c r="K63" s="7">
        <f>VLOOKUP($A63,$A$2:K$51,K$55)</f>
        <v>0</v>
      </c>
      <c r="L63" s="7">
        <f>VLOOKUP($A63,$A$2:L$51,L$55)</f>
        <v>0</v>
      </c>
      <c r="M63" s="7">
        <f>VLOOKUP($A63,$A$2:M$51,M$55)</f>
        <v>0</v>
      </c>
      <c r="N63" s="7">
        <f>VLOOKUP($A63,$A$2:N$51,N$55)</f>
        <v>0</v>
      </c>
      <c r="O63" s="7">
        <f>VLOOKUP($A63,$A$2:O$51,O$55)</f>
        <v>0</v>
      </c>
      <c r="P63" s="7">
        <f>VLOOKUP($A63,$A$2:P$51,P$55)</f>
        <v>0</v>
      </c>
      <c r="Q63" s="7">
        <f>VLOOKUP($A63,$A$2:Q$51,Q$55)</f>
        <v>0</v>
      </c>
      <c r="R63" s="7">
        <f>VLOOKUP($A63,$A$2:R$51,R$55)</f>
        <v>0</v>
      </c>
      <c r="S63" s="7">
        <f>VLOOKUP($A63,$A$2:S$51,S$55)</f>
        <v>0</v>
      </c>
      <c r="T63" s="7">
        <f>VLOOKUP($A63,$A$2:T$51,T$55)</f>
        <v>0</v>
      </c>
      <c r="U63" s="7">
        <f>VLOOKUP($A63,$A$2:U$51,U$55)</f>
        <v>0</v>
      </c>
      <c r="V63" s="7">
        <f>VLOOKUP($A63,$A$2:V$51,V$55)</f>
        <v>0</v>
      </c>
      <c r="W63" s="7">
        <f>VLOOKUP($A63,$A$2:W$51,W$55)</f>
        <v>0</v>
      </c>
      <c r="X63" s="7">
        <f>VLOOKUP($A63,$A$2:X$51,X$55)</f>
        <v>0</v>
      </c>
      <c r="Y63" s="7">
        <f>VLOOKUP($A63,$A$2:Y$51,Y$55)</f>
        <v>0</v>
      </c>
      <c r="Z63" s="7">
        <f>VLOOKUP($A63,$A$2:Z$51,Z$55)</f>
        <v>0</v>
      </c>
      <c r="AA63" s="7">
        <f>VLOOKUP($A63,$A$2:AA$51,AA$55)</f>
        <v>0</v>
      </c>
      <c r="AB63" s="7">
        <f>VLOOKUP($A63,$A$2:AB$51,AB$55)</f>
        <v>0</v>
      </c>
      <c r="AC63" s="7">
        <f>VLOOKUP($A63,$A$2:AC$51,AC$55)</f>
        <v>0</v>
      </c>
      <c r="AD63" s="7">
        <f>VLOOKUP($A63,$A$2:AD$51,AD$55)</f>
        <v>0</v>
      </c>
      <c r="AE63" s="7">
        <f>VLOOKUP($A63,$A$2:AE$51,AE$55)</f>
        <v>0</v>
      </c>
      <c r="AF63" s="7">
        <f>VLOOKUP($A63,$A$2:AF$51,AF$55)</f>
        <v>0</v>
      </c>
      <c r="AG63" s="7">
        <f>VLOOKUP($A63,$A$2:AG$51,AG$55)</f>
        <v>0</v>
      </c>
    </row>
    <row r="64" spans="1:33" s="7" customFormat="1">
      <c r="A64" s="7">
        <f t="shared" si="16"/>
        <v>16</v>
      </c>
      <c r="B64" s="7">
        <f>VLOOKUP($A64,$A$2:B$51,B$55)</f>
        <v>7.3205046653747559</v>
      </c>
      <c r="C64" s="7">
        <f>VLOOKUP($A64,$A$2:C$51,C$55)</f>
        <v>7.3744564056396484</v>
      </c>
      <c r="D64" s="7">
        <f>VLOOKUP($A64,$A$2:D$51,D$55)</f>
        <v>7.3219437599182129</v>
      </c>
      <c r="E64" s="7">
        <f>VLOOKUP($A64,$A$2:E$51,E$55)</f>
        <v>7.0048885345458984</v>
      </c>
      <c r="F64" s="7">
        <f>VLOOKUP($A64,$A$2:F$51,F$55)</f>
        <v>6.5979137420654297</v>
      </c>
      <c r="G64" s="7">
        <f>VLOOKUP($A64,$A$2:G$51,G$55)</f>
        <v>7.3697805404663086</v>
      </c>
      <c r="H64" s="7">
        <f>VLOOKUP($A64,$A$2:H$51,H$55)</f>
        <v>0</v>
      </c>
      <c r="I64" s="7">
        <f>VLOOKUP($A64,$A$2:I$51,I$55)</f>
        <v>0</v>
      </c>
      <c r="J64" s="7">
        <f>VLOOKUP($A64,$A$2:J$51,J$55)</f>
        <v>0</v>
      </c>
      <c r="K64" s="7">
        <f>VLOOKUP($A64,$A$2:K$51,K$55)</f>
        <v>0</v>
      </c>
      <c r="L64" s="7">
        <f>VLOOKUP($A64,$A$2:L$51,L$55)</f>
        <v>0</v>
      </c>
      <c r="M64" s="7">
        <f>VLOOKUP($A64,$A$2:M$51,M$55)</f>
        <v>0</v>
      </c>
      <c r="N64" s="7">
        <f>VLOOKUP($A64,$A$2:N$51,N$55)</f>
        <v>0</v>
      </c>
      <c r="O64" s="7">
        <f>VLOOKUP($A64,$A$2:O$51,O$55)</f>
        <v>0</v>
      </c>
      <c r="P64" s="7">
        <f>VLOOKUP($A64,$A$2:P$51,P$55)</f>
        <v>0</v>
      </c>
      <c r="Q64" s="7">
        <f>VLOOKUP($A64,$A$2:Q$51,Q$55)</f>
        <v>0</v>
      </c>
      <c r="R64" s="7">
        <f>VLOOKUP($A64,$A$2:R$51,R$55)</f>
        <v>0</v>
      </c>
      <c r="S64" s="7">
        <f>VLOOKUP($A64,$A$2:S$51,S$55)</f>
        <v>0</v>
      </c>
      <c r="T64" s="7">
        <f>VLOOKUP($A64,$A$2:T$51,T$55)</f>
        <v>0</v>
      </c>
      <c r="U64" s="7">
        <f>VLOOKUP($A64,$A$2:U$51,U$55)</f>
        <v>0</v>
      </c>
      <c r="V64" s="7">
        <f>VLOOKUP($A64,$A$2:V$51,V$55)</f>
        <v>0</v>
      </c>
      <c r="W64" s="7">
        <f>VLOOKUP($A64,$A$2:W$51,W$55)</f>
        <v>0</v>
      </c>
      <c r="X64" s="7">
        <f>VLOOKUP($A64,$A$2:X$51,X$55)</f>
        <v>0</v>
      </c>
      <c r="Y64" s="7">
        <f>VLOOKUP($A64,$A$2:Y$51,Y$55)</f>
        <v>0</v>
      </c>
      <c r="Z64" s="7">
        <f>VLOOKUP($A64,$A$2:Z$51,Z$55)</f>
        <v>0</v>
      </c>
      <c r="AA64" s="7">
        <f>VLOOKUP($A64,$A$2:AA$51,AA$55)</f>
        <v>0</v>
      </c>
      <c r="AB64" s="7">
        <f>VLOOKUP($A64,$A$2:AB$51,AB$55)</f>
        <v>0</v>
      </c>
      <c r="AC64" s="7">
        <f>VLOOKUP($A64,$A$2:AC$51,AC$55)</f>
        <v>0</v>
      </c>
      <c r="AD64" s="7">
        <f>VLOOKUP($A64,$A$2:AD$51,AD$55)</f>
        <v>0</v>
      </c>
      <c r="AE64" s="7">
        <f>VLOOKUP($A64,$A$2:AE$51,AE$55)</f>
        <v>0</v>
      </c>
      <c r="AF64" s="7">
        <f>VLOOKUP($A64,$A$2:AF$51,AF$55)</f>
        <v>0</v>
      </c>
      <c r="AG64" s="7">
        <f>VLOOKUP($A64,$A$2:AG$51,AG$55)</f>
        <v>0</v>
      </c>
    </row>
    <row r="65" spans="1:33" s="7" customFormat="1">
      <c r="A65" s="7">
        <f t="shared" si="16"/>
        <v>18</v>
      </c>
      <c r="B65" s="7">
        <f>VLOOKUP($A65,$A$2:B$51,B$55)</f>
        <v>5.4408330917358398</v>
      </c>
      <c r="C65" s="7">
        <f>VLOOKUP($A65,$A$2:C$51,C$55)</f>
        <v>5.4079227447509766</v>
      </c>
      <c r="D65" s="7">
        <f>VLOOKUP($A65,$A$2:D$51,D$55)</f>
        <v>5.3638625144958496</v>
      </c>
      <c r="E65" s="7">
        <f>VLOOKUP($A65,$A$2:E$51,E$55)</f>
        <v>5.1985907554626465</v>
      </c>
      <c r="F65" s="7">
        <f>VLOOKUP($A65,$A$2:F$51,F$55)</f>
        <v>4.8399930000305176</v>
      </c>
      <c r="G65" s="7">
        <f>VLOOKUP($A65,$A$2:G$51,G$55)</f>
        <v>5.4530620574951172</v>
      </c>
      <c r="H65" s="7">
        <f>VLOOKUP($A65,$A$2:H$51,H$55)</f>
        <v>0</v>
      </c>
      <c r="I65" s="7">
        <f>VLOOKUP($A65,$A$2:I$51,I$55)</f>
        <v>0</v>
      </c>
      <c r="J65" s="7">
        <f>VLOOKUP($A65,$A$2:J$51,J$55)</f>
        <v>0</v>
      </c>
      <c r="K65" s="7">
        <f>VLOOKUP($A65,$A$2:K$51,K$55)</f>
        <v>0</v>
      </c>
      <c r="L65" s="7">
        <f>VLOOKUP($A65,$A$2:L$51,L$55)</f>
        <v>0</v>
      </c>
      <c r="M65" s="7">
        <f>VLOOKUP($A65,$A$2:M$51,M$55)</f>
        <v>0</v>
      </c>
      <c r="N65" s="7">
        <f>VLOOKUP($A65,$A$2:N$51,N$55)</f>
        <v>0</v>
      </c>
      <c r="O65" s="7">
        <f>VLOOKUP($A65,$A$2:O$51,O$55)</f>
        <v>0</v>
      </c>
      <c r="P65" s="7">
        <f>VLOOKUP($A65,$A$2:P$51,P$55)</f>
        <v>0</v>
      </c>
      <c r="Q65" s="7">
        <f>VLOOKUP($A65,$A$2:Q$51,Q$55)</f>
        <v>0</v>
      </c>
      <c r="R65" s="7">
        <f>VLOOKUP($A65,$A$2:R$51,R$55)</f>
        <v>0</v>
      </c>
      <c r="S65" s="7">
        <f>VLOOKUP($A65,$A$2:S$51,S$55)</f>
        <v>0</v>
      </c>
      <c r="T65" s="7">
        <f>VLOOKUP($A65,$A$2:T$51,T$55)</f>
        <v>0</v>
      </c>
      <c r="U65" s="7">
        <f>VLOOKUP($A65,$A$2:U$51,U$55)</f>
        <v>0</v>
      </c>
      <c r="V65" s="7">
        <f>VLOOKUP($A65,$A$2:V$51,V$55)</f>
        <v>0</v>
      </c>
      <c r="W65" s="7">
        <f>VLOOKUP($A65,$A$2:W$51,W$55)</f>
        <v>0</v>
      </c>
      <c r="X65" s="7">
        <f>VLOOKUP($A65,$A$2:X$51,X$55)</f>
        <v>0</v>
      </c>
      <c r="Y65" s="7">
        <f>VLOOKUP($A65,$A$2:Y$51,Y$55)</f>
        <v>0</v>
      </c>
      <c r="Z65" s="7">
        <f>VLOOKUP($A65,$A$2:Z$51,Z$55)</f>
        <v>0</v>
      </c>
      <c r="AA65" s="7">
        <f>VLOOKUP($A65,$A$2:AA$51,AA$55)</f>
        <v>0</v>
      </c>
      <c r="AB65" s="7">
        <f>VLOOKUP($A65,$A$2:AB$51,AB$55)</f>
        <v>0</v>
      </c>
      <c r="AC65" s="7">
        <f>VLOOKUP($A65,$A$2:AC$51,AC$55)</f>
        <v>0</v>
      </c>
      <c r="AD65" s="7">
        <f>VLOOKUP($A65,$A$2:AD$51,AD$55)</f>
        <v>0</v>
      </c>
      <c r="AE65" s="7">
        <f>VLOOKUP($A65,$A$2:AE$51,AE$55)</f>
        <v>0</v>
      </c>
      <c r="AF65" s="7">
        <f>VLOOKUP($A65,$A$2:AF$51,AF$55)</f>
        <v>0</v>
      </c>
      <c r="AG65" s="7">
        <f>VLOOKUP($A65,$A$2:AG$51,AG$55)</f>
        <v>0</v>
      </c>
    </row>
    <row r="66" spans="1:33" s="7" customFormat="1">
      <c r="A66" s="7">
        <f t="shared" si="16"/>
        <v>20</v>
      </c>
      <c r="B66" s="7">
        <f>VLOOKUP($A66,$A$2:B$51,B$55)</f>
        <v>4.9885392189025879</v>
      </c>
      <c r="C66" s="7">
        <f>VLOOKUP($A66,$A$2:C$51,C$55)</f>
        <v>4.979367733001709</v>
      </c>
      <c r="D66" s="7">
        <f>VLOOKUP($A66,$A$2:D$51,D$55)</f>
        <v>5.0935649871826172</v>
      </c>
      <c r="E66" s="7">
        <f>VLOOKUP($A66,$A$2:E$51,E$55)</f>
        <v>4.7335286140441895</v>
      </c>
      <c r="F66" s="7">
        <f>VLOOKUP($A66,$A$2:F$51,F$55)</f>
        <v>4.5094494819641113</v>
      </c>
      <c r="G66" s="7">
        <f>VLOOKUP($A66,$A$2:G$51,G$55)</f>
        <v>5.0277442932128906</v>
      </c>
      <c r="H66" s="7">
        <f>VLOOKUP($A66,$A$2:H$51,H$55)</f>
        <v>0</v>
      </c>
      <c r="I66" s="7">
        <f>VLOOKUP($A66,$A$2:I$51,I$55)</f>
        <v>0</v>
      </c>
      <c r="J66" s="7">
        <f>VLOOKUP($A66,$A$2:J$51,J$55)</f>
        <v>0</v>
      </c>
      <c r="K66" s="7">
        <f>VLOOKUP($A66,$A$2:K$51,K$55)</f>
        <v>0</v>
      </c>
      <c r="L66" s="7">
        <f>VLOOKUP($A66,$A$2:L$51,L$55)</f>
        <v>0</v>
      </c>
      <c r="M66" s="7">
        <f>VLOOKUP($A66,$A$2:M$51,M$55)</f>
        <v>0</v>
      </c>
      <c r="N66" s="7">
        <f>VLOOKUP($A66,$A$2:N$51,N$55)</f>
        <v>0</v>
      </c>
      <c r="O66" s="7">
        <f>VLOOKUP($A66,$A$2:O$51,O$55)</f>
        <v>0</v>
      </c>
      <c r="P66" s="7">
        <f>VLOOKUP($A66,$A$2:P$51,P$55)</f>
        <v>0</v>
      </c>
      <c r="Q66" s="7">
        <f>VLOOKUP($A66,$A$2:Q$51,Q$55)</f>
        <v>0</v>
      </c>
      <c r="R66" s="7">
        <f>VLOOKUP($A66,$A$2:R$51,R$55)</f>
        <v>0</v>
      </c>
      <c r="S66" s="7">
        <f>VLOOKUP($A66,$A$2:S$51,S$55)</f>
        <v>0</v>
      </c>
      <c r="T66" s="7">
        <f>VLOOKUP($A66,$A$2:T$51,T$55)</f>
        <v>0</v>
      </c>
      <c r="U66" s="7">
        <f>VLOOKUP($A66,$A$2:U$51,U$55)</f>
        <v>0</v>
      </c>
      <c r="V66" s="7">
        <f>VLOOKUP($A66,$A$2:V$51,V$55)</f>
        <v>0</v>
      </c>
      <c r="W66" s="7">
        <f>VLOOKUP($A66,$A$2:W$51,W$55)</f>
        <v>0</v>
      </c>
      <c r="X66" s="7">
        <f>VLOOKUP($A66,$A$2:X$51,X$55)</f>
        <v>0</v>
      </c>
      <c r="Y66" s="7">
        <f>VLOOKUP($A66,$A$2:Y$51,Y$55)</f>
        <v>0</v>
      </c>
      <c r="Z66" s="7">
        <f>VLOOKUP($A66,$A$2:Z$51,Z$55)</f>
        <v>0</v>
      </c>
      <c r="AA66" s="7">
        <f>VLOOKUP($A66,$A$2:AA$51,AA$55)</f>
        <v>0</v>
      </c>
      <c r="AB66" s="7">
        <f>VLOOKUP($A66,$A$2:AB$51,AB$55)</f>
        <v>0</v>
      </c>
      <c r="AC66" s="7">
        <f>VLOOKUP($A66,$A$2:AC$51,AC$55)</f>
        <v>0</v>
      </c>
      <c r="AD66" s="7">
        <f>VLOOKUP($A66,$A$2:AD$51,AD$55)</f>
        <v>0</v>
      </c>
      <c r="AE66" s="7">
        <f>VLOOKUP($A66,$A$2:AE$51,AE$55)</f>
        <v>0</v>
      </c>
      <c r="AF66" s="7">
        <f>VLOOKUP($A66,$A$2:AF$51,AF$55)</f>
        <v>0</v>
      </c>
      <c r="AG66" s="7">
        <f>VLOOKUP($A66,$A$2:AG$51,AG$55)</f>
        <v>0</v>
      </c>
    </row>
    <row r="67" spans="1:33" s="7" customFormat="1">
      <c r="A67" s="7">
        <f t="shared" si="16"/>
        <v>22</v>
      </c>
      <c r="B67" s="7">
        <f>VLOOKUP($A67,$A$2:B$51,B$55)</f>
        <v>4.645047664642334</v>
      </c>
      <c r="C67" s="7">
        <f>VLOOKUP($A67,$A$2:C$51,C$55)</f>
        <v>4.6517019271850586</v>
      </c>
      <c r="D67" s="7">
        <f>VLOOKUP($A67,$A$2:D$51,D$55)</f>
        <v>4.7847824096679687</v>
      </c>
      <c r="E67" s="7">
        <f>VLOOKUP($A67,$A$2:E$51,E$55)</f>
        <v>4.4220480918884277</v>
      </c>
      <c r="F67" s="7">
        <f>VLOOKUP($A67,$A$2:F$51,F$55)</f>
        <v>4.2096590995788574</v>
      </c>
      <c r="G67" s="7">
        <f>VLOOKUP($A67,$A$2:G$51,G$55)</f>
        <v>4.688748836517334</v>
      </c>
      <c r="H67" s="7">
        <f>VLOOKUP($A67,$A$2:H$51,H$55)</f>
        <v>0</v>
      </c>
      <c r="I67" s="7">
        <f>VLOOKUP($A67,$A$2:I$51,I$55)</f>
        <v>0</v>
      </c>
      <c r="J67" s="7">
        <f>VLOOKUP($A67,$A$2:J$51,J$55)</f>
        <v>0</v>
      </c>
      <c r="K67" s="7">
        <f>VLOOKUP($A67,$A$2:K$51,K$55)</f>
        <v>0</v>
      </c>
      <c r="L67" s="7">
        <f>VLOOKUP($A67,$A$2:L$51,L$55)</f>
        <v>0</v>
      </c>
      <c r="M67" s="7">
        <f>VLOOKUP($A67,$A$2:M$51,M$55)</f>
        <v>0</v>
      </c>
      <c r="N67" s="7">
        <f>VLOOKUP($A67,$A$2:N$51,N$55)</f>
        <v>0</v>
      </c>
      <c r="O67" s="7">
        <f>VLOOKUP($A67,$A$2:O$51,O$55)</f>
        <v>0</v>
      </c>
      <c r="P67" s="7">
        <f>VLOOKUP($A67,$A$2:P$51,P$55)</f>
        <v>0</v>
      </c>
      <c r="Q67" s="7">
        <f>VLOOKUP($A67,$A$2:Q$51,Q$55)</f>
        <v>0</v>
      </c>
      <c r="R67" s="7">
        <f>VLOOKUP($A67,$A$2:R$51,R$55)</f>
        <v>0</v>
      </c>
      <c r="S67" s="7">
        <f>VLOOKUP($A67,$A$2:S$51,S$55)</f>
        <v>0</v>
      </c>
      <c r="T67" s="7">
        <f>VLOOKUP($A67,$A$2:T$51,T$55)</f>
        <v>0</v>
      </c>
      <c r="U67" s="7">
        <f>VLOOKUP($A67,$A$2:U$51,U$55)</f>
        <v>0</v>
      </c>
      <c r="V67" s="7">
        <f>VLOOKUP($A67,$A$2:V$51,V$55)</f>
        <v>0</v>
      </c>
      <c r="W67" s="7">
        <f>VLOOKUP($A67,$A$2:W$51,W$55)</f>
        <v>0</v>
      </c>
      <c r="X67" s="7">
        <f>VLOOKUP($A67,$A$2:X$51,X$55)</f>
        <v>0</v>
      </c>
      <c r="Y67" s="7">
        <f>VLOOKUP($A67,$A$2:Y$51,Y$55)</f>
        <v>0</v>
      </c>
      <c r="Z67" s="7">
        <f>VLOOKUP($A67,$A$2:Z$51,Z$55)</f>
        <v>0</v>
      </c>
      <c r="AA67" s="7">
        <f>VLOOKUP($A67,$A$2:AA$51,AA$55)</f>
        <v>0</v>
      </c>
      <c r="AB67" s="7">
        <f>VLOOKUP($A67,$A$2:AB$51,AB$55)</f>
        <v>0</v>
      </c>
      <c r="AC67" s="7">
        <f>VLOOKUP($A67,$A$2:AC$51,AC$55)</f>
        <v>0</v>
      </c>
      <c r="AD67" s="7">
        <f>VLOOKUP($A67,$A$2:AD$51,AD$55)</f>
        <v>0</v>
      </c>
      <c r="AE67" s="7">
        <f>VLOOKUP($A67,$A$2:AE$51,AE$55)</f>
        <v>0</v>
      </c>
      <c r="AF67" s="7">
        <f>VLOOKUP($A67,$A$2:AF$51,AF$55)</f>
        <v>0</v>
      </c>
      <c r="AG67" s="7">
        <f>VLOOKUP($A67,$A$2:AG$51,AG$55)</f>
        <v>0</v>
      </c>
    </row>
    <row r="68" spans="1:33" s="7" customFormat="1">
      <c r="A68" s="7">
        <f t="shared" si="16"/>
        <v>24</v>
      </c>
      <c r="B68" s="7">
        <f>VLOOKUP($A68,$A$2:B$51,B$55)</f>
        <v>3.6751790046691895</v>
      </c>
      <c r="C68" s="7">
        <f>VLOOKUP($A68,$A$2:C$51,C$55)</f>
        <v>3.6841709613800049</v>
      </c>
      <c r="D68" s="7">
        <f>VLOOKUP($A68,$A$2:D$51,D$55)</f>
        <v>3.7733707427978516</v>
      </c>
      <c r="E68" s="7">
        <f>VLOOKUP($A68,$A$2:E$51,E$55)</f>
        <v>3.4836511611938477</v>
      </c>
      <c r="F68" s="7">
        <f>VLOOKUP($A68,$A$2:F$51,F$55)</f>
        <v>3.3011150360107422</v>
      </c>
      <c r="G68" s="7">
        <f>VLOOKUP($A68,$A$2:G$51,G$55)</f>
        <v>3.7005362510681152</v>
      </c>
      <c r="H68" s="7">
        <f>VLOOKUP($A68,$A$2:H$51,H$55)</f>
        <v>0</v>
      </c>
      <c r="I68" s="7">
        <f>VLOOKUP($A68,$A$2:I$51,I$55)</f>
        <v>0</v>
      </c>
      <c r="J68" s="7">
        <f>VLOOKUP($A68,$A$2:J$51,J$55)</f>
        <v>0</v>
      </c>
      <c r="K68" s="7">
        <f>VLOOKUP($A68,$A$2:K$51,K$55)</f>
        <v>0</v>
      </c>
      <c r="L68" s="7">
        <f>VLOOKUP($A68,$A$2:L$51,L$55)</f>
        <v>0</v>
      </c>
      <c r="M68" s="7">
        <f>VLOOKUP($A68,$A$2:M$51,M$55)</f>
        <v>0</v>
      </c>
      <c r="N68" s="7">
        <f>VLOOKUP($A68,$A$2:N$51,N$55)</f>
        <v>0</v>
      </c>
      <c r="O68" s="7">
        <f>VLOOKUP($A68,$A$2:O$51,O$55)</f>
        <v>0</v>
      </c>
      <c r="P68" s="7">
        <f>VLOOKUP($A68,$A$2:P$51,P$55)</f>
        <v>0</v>
      </c>
      <c r="Q68" s="7">
        <f>VLOOKUP($A68,$A$2:Q$51,Q$55)</f>
        <v>0</v>
      </c>
      <c r="R68" s="7">
        <f>VLOOKUP($A68,$A$2:R$51,R$55)</f>
        <v>0</v>
      </c>
      <c r="S68" s="7">
        <f>VLOOKUP($A68,$A$2:S$51,S$55)</f>
        <v>0</v>
      </c>
      <c r="T68" s="7">
        <f>VLOOKUP($A68,$A$2:T$51,T$55)</f>
        <v>0</v>
      </c>
      <c r="U68" s="7">
        <f>VLOOKUP($A68,$A$2:U$51,U$55)</f>
        <v>0</v>
      </c>
      <c r="V68" s="7">
        <f>VLOOKUP($A68,$A$2:V$51,V$55)</f>
        <v>0</v>
      </c>
      <c r="W68" s="7">
        <f>VLOOKUP($A68,$A$2:W$51,W$55)</f>
        <v>0</v>
      </c>
      <c r="X68" s="7">
        <f>VLOOKUP($A68,$A$2:X$51,X$55)</f>
        <v>0</v>
      </c>
      <c r="Y68" s="7">
        <f>VLOOKUP($A68,$A$2:Y$51,Y$55)</f>
        <v>0</v>
      </c>
      <c r="Z68" s="7">
        <f>VLOOKUP($A68,$A$2:Z$51,Z$55)</f>
        <v>0</v>
      </c>
      <c r="AA68" s="7">
        <f>VLOOKUP($A68,$A$2:AA$51,AA$55)</f>
        <v>0</v>
      </c>
      <c r="AB68" s="7">
        <f>VLOOKUP($A68,$A$2:AB$51,AB$55)</f>
        <v>0</v>
      </c>
      <c r="AC68" s="7">
        <f>VLOOKUP($A68,$A$2:AC$51,AC$55)</f>
        <v>0</v>
      </c>
      <c r="AD68" s="7">
        <f>VLOOKUP($A68,$A$2:AD$51,AD$55)</f>
        <v>0</v>
      </c>
      <c r="AE68" s="7">
        <f>VLOOKUP($A68,$A$2:AE$51,AE$55)</f>
        <v>0</v>
      </c>
      <c r="AF68" s="7">
        <f>VLOOKUP($A68,$A$2:AF$51,AF$55)</f>
        <v>0</v>
      </c>
      <c r="AG68" s="7">
        <f>VLOOKUP($A68,$A$2:AG$51,AG$55)</f>
        <v>0</v>
      </c>
    </row>
    <row r="69" spans="1:33" s="7" customFormat="1">
      <c r="A69" s="7">
        <f t="shared" si="16"/>
        <v>26</v>
      </c>
      <c r="B69" s="7">
        <f>VLOOKUP($A69,$A$2:B$51,B$55)</f>
        <v>2.6233038902282715</v>
      </c>
      <c r="C69" s="7">
        <f>VLOOKUP($A69,$A$2:C$51,C$55)</f>
        <v>2.6353530883789062</v>
      </c>
      <c r="D69" s="7">
        <f>VLOOKUP($A69,$A$2:D$51,D$55)</f>
        <v>2.7013537883758545</v>
      </c>
      <c r="E69" s="7">
        <f>VLOOKUP($A69,$A$2:E$51,E$55)</f>
        <v>2.4887845516204834</v>
      </c>
      <c r="F69" s="7">
        <f>VLOOKUP($A69,$A$2:F$51,F$55)</f>
        <v>2.3393387794494629</v>
      </c>
      <c r="G69" s="7">
        <f>VLOOKUP($A69,$A$2:G$51,G$55)</f>
        <v>2.6313965320587158</v>
      </c>
      <c r="H69" s="7">
        <f>VLOOKUP($A69,$A$2:H$51,H$55)</f>
        <v>0</v>
      </c>
      <c r="I69" s="7">
        <f>VLOOKUP($A69,$A$2:I$51,I$55)</f>
        <v>0</v>
      </c>
      <c r="J69" s="7">
        <f>VLOOKUP($A69,$A$2:J$51,J$55)</f>
        <v>0</v>
      </c>
      <c r="K69" s="7">
        <f>VLOOKUP($A69,$A$2:K$51,K$55)</f>
        <v>0</v>
      </c>
      <c r="L69" s="7">
        <f>VLOOKUP($A69,$A$2:L$51,L$55)</f>
        <v>0</v>
      </c>
      <c r="M69" s="7">
        <f>VLOOKUP($A69,$A$2:M$51,M$55)</f>
        <v>0</v>
      </c>
      <c r="N69" s="7">
        <f>VLOOKUP($A69,$A$2:N$51,N$55)</f>
        <v>0</v>
      </c>
      <c r="O69" s="7">
        <f>VLOOKUP($A69,$A$2:O$51,O$55)</f>
        <v>0</v>
      </c>
      <c r="P69" s="7">
        <f>VLOOKUP($A69,$A$2:P$51,P$55)</f>
        <v>0</v>
      </c>
      <c r="Q69" s="7">
        <f>VLOOKUP($A69,$A$2:Q$51,Q$55)</f>
        <v>0</v>
      </c>
      <c r="R69" s="7">
        <f>VLOOKUP($A69,$A$2:R$51,R$55)</f>
        <v>0</v>
      </c>
      <c r="S69" s="7">
        <f>VLOOKUP($A69,$A$2:S$51,S$55)</f>
        <v>0</v>
      </c>
      <c r="T69" s="7">
        <f>VLOOKUP($A69,$A$2:T$51,T$55)</f>
        <v>0</v>
      </c>
      <c r="U69" s="7">
        <f>VLOOKUP($A69,$A$2:U$51,U$55)</f>
        <v>0</v>
      </c>
      <c r="V69" s="7">
        <f>VLOOKUP($A69,$A$2:V$51,V$55)</f>
        <v>0</v>
      </c>
      <c r="W69" s="7">
        <f>VLOOKUP($A69,$A$2:W$51,W$55)</f>
        <v>0</v>
      </c>
      <c r="X69" s="7">
        <f>VLOOKUP($A69,$A$2:X$51,X$55)</f>
        <v>0</v>
      </c>
      <c r="Y69" s="7">
        <f>VLOOKUP($A69,$A$2:Y$51,Y$55)</f>
        <v>0</v>
      </c>
      <c r="Z69" s="7">
        <f>VLOOKUP($A69,$A$2:Z$51,Z$55)</f>
        <v>0</v>
      </c>
      <c r="AA69" s="7">
        <f>VLOOKUP($A69,$A$2:AA$51,AA$55)</f>
        <v>0</v>
      </c>
      <c r="AB69" s="7">
        <f>VLOOKUP($A69,$A$2:AB$51,AB$55)</f>
        <v>0</v>
      </c>
      <c r="AC69" s="7">
        <f>VLOOKUP($A69,$A$2:AC$51,AC$55)</f>
        <v>0</v>
      </c>
      <c r="AD69" s="7">
        <f>VLOOKUP($A69,$A$2:AD$51,AD$55)</f>
        <v>0</v>
      </c>
      <c r="AE69" s="7">
        <f>VLOOKUP($A69,$A$2:AE$51,AE$55)</f>
        <v>0</v>
      </c>
      <c r="AF69" s="7">
        <f>VLOOKUP($A69,$A$2:AF$51,AF$55)</f>
        <v>0</v>
      </c>
      <c r="AG69" s="7">
        <f>VLOOKUP($A69,$A$2:AG$51,AG$55)</f>
        <v>0</v>
      </c>
    </row>
    <row r="70" spans="1:33" s="7" customFormat="1">
      <c r="A70" s="7">
        <f t="shared" si="16"/>
        <v>28</v>
      </c>
      <c r="B70" s="7">
        <f>VLOOKUP($A70,$A$2:B$51,B$55)</f>
        <v>1.9183369874954224</v>
      </c>
      <c r="C70" s="7">
        <f>VLOOKUP($A70,$A$2:C$51,C$55)</f>
        <v>1.9339829683303833</v>
      </c>
      <c r="D70" s="7">
        <f>VLOOKUP($A70,$A$2:D$51,D$55)</f>
        <v>1.9559231996536255</v>
      </c>
      <c r="E70" s="7">
        <f>VLOOKUP($A70,$A$2:E$51,E$55)</f>
        <v>1.8214040994644165</v>
      </c>
      <c r="F70" s="7">
        <f>VLOOKUP($A70,$A$2:F$51,F$55)</f>
        <v>1.6890429258346558</v>
      </c>
      <c r="G70" s="7">
        <f>VLOOKUP($A70,$A$2:G$51,G$55)</f>
        <v>1.9185168743133545</v>
      </c>
      <c r="H70" s="7">
        <f>VLOOKUP($A70,$A$2:H$51,H$55)</f>
        <v>0</v>
      </c>
      <c r="I70" s="7">
        <f>VLOOKUP($A70,$A$2:I$51,I$55)</f>
        <v>0</v>
      </c>
      <c r="J70" s="7">
        <f>VLOOKUP($A70,$A$2:J$51,J$55)</f>
        <v>0</v>
      </c>
      <c r="K70" s="7">
        <f>VLOOKUP($A70,$A$2:K$51,K$55)</f>
        <v>0</v>
      </c>
      <c r="L70" s="7">
        <f>VLOOKUP($A70,$A$2:L$51,L$55)</f>
        <v>0</v>
      </c>
      <c r="M70" s="7">
        <f>VLOOKUP($A70,$A$2:M$51,M$55)</f>
        <v>0</v>
      </c>
      <c r="N70" s="7">
        <f>VLOOKUP($A70,$A$2:N$51,N$55)</f>
        <v>0</v>
      </c>
      <c r="O70" s="7">
        <f>VLOOKUP($A70,$A$2:O$51,O$55)</f>
        <v>0</v>
      </c>
      <c r="P70" s="7">
        <f>VLOOKUP($A70,$A$2:P$51,P$55)</f>
        <v>0</v>
      </c>
      <c r="Q70" s="7">
        <f>VLOOKUP($A70,$A$2:Q$51,Q$55)</f>
        <v>0</v>
      </c>
      <c r="R70" s="7">
        <f>VLOOKUP($A70,$A$2:R$51,R$55)</f>
        <v>0</v>
      </c>
      <c r="S70" s="7">
        <f>VLOOKUP($A70,$A$2:S$51,S$55)</f>
        <v>0</v>
      </c>
      <c r="T70" s="7">
        <f>VLOOKUP($A70,$A$2:T$51,T$55)</f>
        <v>0</v>
      </c>
      <c r="U70" s="7">
        <f>VLOOKUP($A70,$A$2:U$51,U$55)</f>
        <v>0</v>
      </c>
      <c r="V70" s="7">
        <f>VLOOKUP($A70,$A$2:V$51,V$55)</f>
        <v>0</v>
      </c>
      <c r="W70" s="7">
        <f>VLOOKUP($A70,$A$2:W$51,W$55)</f>
        <v>0</v>
      </c>
      <c r="X70" s="7">
        <f>VLOOKUP($A70,$A$2:X$51,X$55)</f>
        <v>0</v>
      </c>
      <c r="Y70" s="7">
        <f>VLOOKUP($A70,$A$2:Y$51,Y$55)</f>
        <v>0</v>
      </c>
      <c r="Z70" s="7">
        <f>VLOOKUP($A70,$A$2:Z$51,Z$55)</f>
        <v>0</v>
      </c>
      <c r="AA70" s="7">
        <f>VLOOKUP($A70,$A$2:AA$51,AA$55)</f>
        <v>0</v>
      </c>
      <c r="AB70" s="7">
        <f>VLOOKUP($A70,$A$2:AB$51,AB$55)</f>
        <v>0</v>
      </c>
      <c r="AC70" s="7">
        <f>VLOOKUP($A70,$A$2:AC$51,AC$55)</f>
        <v>0</v>
      </c>
      <c r="AD70" s="7">
        <f>VLOOKUP($A70,$A$2:AD$51,AD$55)</f>
        <v>0</v>
      </c>
      <c r="AE70" s="7">
        <f>VLOOKUP($A70,$A$2:AE$51,AE$55)</f>
        <v>0</v>
      </c>
      <c r="AF70" s="7">
        <f>VLOOKUP($A70,$A$2:AF$51,AF$55)</f>
        <v>0</v>
      </c>
      <c r="AG70" s="7">
        <f>VLOOKUP($A70,$A$2:AG$51,AG$55)</f>
        <v>0</v>
      </c>
    </row>
    <row r="71" spans="1:33" s="7" customFormat="1">
      <c r="A71" s="7">
        <f t="shared" si="16"/>
        <v>30</v>
      </c>
      <c r="B71" s="7">
        <f>VLOOKUP($A71,$A$2:B$51,B$55)</f>
        <v>1.7832783460617065</v>
      </c>
      <c r="C71" s="7">
        <f>VLOOKUP($A71,$A$2:C$51,C$55)</f>
        <v>1.8138508796691895</v>
      </c>
      <c r="D71" s="7">
        <f>VLOOKUP($A71,$A$2:D$51,D$55)</f>
        <v>1.9016120433807373</v>
      </c>
      <c r="E71" s="7">
        <f>VLOOKUP($A71,$A$2:E$51,E$55)</f>
        <v>1.6989340782165527</v>
      </c>
      <c r="F71" s="7">
        <f>VLOOKUP($A71,$A$2:F$51,F$55)</f>
        <v>1.5957068204879761</v>
      </c>
      <c r="G71" s="7">
        <f>VLOOKUP($A71,$A$2:G$51,G$55)</f>
        <v>1.7965863943099976</v>
      </c>
      <c r="H71" s="7">
        <f>VLOOKUP($A71,$A$2:H$51,H$55)</f>
        <v>0</v>
      </c>
      <c r="I71" s="7">
        <f>VLOOKUP($A71,$A$2:I$51,I$55)</f>
        <v>0</v>
      </c>
      <c r="J71" s="7">
        <f>VLOOKUP($A71,$A$2:J$51,J$55)</f>
        <v>0</v>
      </c>
      <c r="K71" s="7">
        <f>VLOOKUP($A71,$A$2:K$51,K$55)</f>
        <v>0</v>
      </c>
      <c r="L71" s="7">
        <f>VLOOKUP($A71,$A$2:L$51,L$55)</f>
        <v>0</v>
      </c>
      <c r="M71" s="7">
        <f>VLOOKUP($A71,$A$2:M$51,M$55)</f>
        <v>0</v>
      </c>
      <c r="N71" s="7">
        <f>VLOOKUP($A71,$A$2:N$51,N$55)</f>
        <v>0</v>
      </c>
      <c r="O71" s="7">
        <f>VLOOKUP($A71,$A$2:O$51,O$55)</f>
        <v>0</v>
      </c>
      <c r="P71" s="7">
        <f>VLOOKUP($A71,$A$2:P$51,P$55)</f>
        <v>0</v>
      </c>
      <c r="Q71" s="7">
        <f>VLOOKUP($A71,$A$2:Q$51,Q$55)</f>
        <v>0</v>
      </c>
      <c r="R71" s="7">
        <f>VLOOKUP($A71,$A$2:R$51,R$55)</f>
        <v>0</v>
      </c>
      <c r="S71" s="7">
        <f>VLOOKUP($A71,$A$2:S$51,S$55)</f>
        <v>0</v>
      </c>
      <c r="T71" s="7">
        <f>VLOOKUP($A71,$A$2:T$51,T$55)</f>
        <v>0</v>
      </c>
      <c r="U71" s="7">
        <f>VLOOKUP($A71,$A$2:U$51,U$55)</f>
        <v>0</v>
      </c>
      <c r="V71" s="7">
        <f>VLOOKUP($A71,$A$2:V$51,V$55)</f>
        <v>0</v>
      </c>
      <c r="W71" s="7">
        <f>VLOOKUP($A71,$A$2:W$51,W$55)</f>
        <v>0</v>
      </c>
      <c r="X71" s="7">
        <f>VLOOKUP($A71,$A$2:X$51,X$55)</f>
        <v>0</v>
      </c>
      <c r="Y71" s="7">
        <f>VLOOKUP($A71,$A$2:Y$51,Y$55)</f>
        <v>0</v>
      </c>
      <c r="Z71" s="7">
        <f>VLOOKUP($A71,$A$2:Z$51,Z$55)</f>
        <v>0</v>
      </c>
      <c r="AA71" s="7">
        <f>VLOOKUP($A71,$A$2:AA$51,AA$55)</f>
        <v>0</v>
      </c>
      <c r="AB71" s="7">
        <f>VLOOKUP($A71,$A$2:AB$51,AB$55)</f>
        <v>0</v>
      </c>
      <c r="AC71" s="7">
        <f>VLOOKUP($A71,$A$2:AC$51,AC$55)</f>
        <v>0</v>
      </c>
      <c r="AD71" s="7">
        <f>VLOOKUP($A71,$A$2:AD$51,AD$55)</f>
        <v>0</v>
      </c>
      <c r="AE71" s="7">
        <f>VLOOKUP($A71,$A$2:AE$51,AE$55)</f>
        <v>0</v>
      </c>
      <c r="AF71" s="7">
        <f>VLOOKUP($A71,$A$2:AF$51,AF$55)</f>
        <v>0</v>
      </c>
      <c r="AG71" s="7">
        <f>VLOOKUP($A71,$A$2:AG$51,AG$55)</f>
        <v>0</v>
      </c>
    </row>
    <row r="72" spans="1:33" s="7" customFormat="1">
      <c r="A72" s="7">
        <f t="shared" si="16"/>
        <v>32</v>
      </c>
      <c r="B72" s="7">
        <f>VLOOKUP($A72,$A$2:B$51,B$55)</f>
        <v>1.2919596433639526</v>
      </c>
      <c r="C72" s="7">
        <f>VLOOKUP($A72,$A$2:C$51,C$55)</f>
        <v>1.3194748163223267</v>
      </c>
      <c r="D72" s="7">
        <f>VLOOKUP($A72,$A$2:D$51,D$55)</f>
        <v>1.3836772441864014</v>
      </c>
      <c r="E72" s="7">
        <f>VLOOKUP($A72,$A$2:E$51,E$55)</f>
        <v>1.2311742305755615</v>
      </c>
      <c r="F72" s="7">
        <f>VLOOKUP($A72,$A$2:F$51,F$55)</f>
        <v>1.1491678953170776</v>
      </c>
      <c r="G72" s="7">
        <f>VLOOKUP($A72,$A$2:G$51,G$55)</f>
        <v>1.2968152761459351</v>
      </c>
      <c r="H72" s="7">
        <f>VLOOKUP($A72,$A$2:H$51,H$55)</f>
        <v>0</v>
      </c>
      <c r="I72" s="7">
        <f>VLOOKUP($A72,$A$2:I$51,I$55)</f>
        <v>0</v>
      </c>
      <c r="J72" s="7">
        <f>VLOOKUP($A72,$A$2:J$51,J$55)</f>
        <v>0</v>
      </c>
      <c r="K72" s="7">
        <f>VLOOKUP($A72,$A$2:K$51,K$55)</f>
        <v>0</v>
      </c>
      <c r="L72" s="7">
        <f>VLOOKUP($A72,$A$2:L$51,L$55)</f>
        <v>0</v>
      </c>
      <c r="M72" s="7">
        <f>VLOOKUP($A72,$A$2:M$51,M$55)</f>
        <v>0</v>
      </c>
      <c r="N72" s="7">
        <f>VLOOKUP($A72,$A$2:N$51,N$55)</f>
        <v>0</v>
      </c>
      <c r="O72" s="7">
        <f>VLOOKUP($A72,$A$2:O$51,O$55)</f>
        <v>0</v>
      </c>
      <c r="P72" s="7">
        <f>VLOOKUP($A72,$A$2:P$51,P$55)</f>
        <v>0</v>
      </c>
      <c r="Q72" s="7">
        <f>VLOOKUP($A72,$A$2:Q$51,Q$55)</f>
        <v>0</v>
      </c>
      <c r="R72" s="7">
        <f>VLOOKUP($A72,$A$2:R$51,R$55)</f>
        <v>0</v>
      </c>
      <c r="S72" s="7">
        <f>VLOOKUP($A72,$A$2:S$51,S$55)</f>
        <v>0</v>
      </c>
      <c r="T72" s="7">
        <f>VLOOKUP($A72,$A$2:T$51,T$55)</f>
        <v>0</v>
      </c>
      <c r="U72" s="7">
        <f>VLOOKUP($A72,$A$2:U$51,U$55)</f>
        <v>0</v>
      </c>
      <c r="V72" s="7">
        <f>VLOOKUP($A72,$A$2:V$51,V$55)</f>
        <v>0</v>
      </c>
      <c r="W72" s="7">
        <f>VLOOKUP($A72,$A$2:W$51,W$55)</f>
        <v>0</v>
      </c>
      <c r="X72" s="7">
        <f>VLOOKUP($A72,$A$2:X$51,X$55)</f>
        <v>0</v>
      </c>
      <c r="Y72" s="7">
        <f>VLOOKUP($A72,$A$2:Y$51,Y$55)</f>
        <v>0</v>
      </c>
      <c r="Z72" s="7">
        <f>VLOOKUP($A72,$A$2:Z$51,Z$55)</f>
        <v>0</v>
      </c>
      <c r="AA72" s="7">
        <f>VLOOKUP($A72,$A$2:AA$51,AA$55)</f>
        <v>0</v>
      </c>
      <c r="AB72" s="7">
        <f>VLOOKUP($A72,$A$2:AB$51,AB$55)</f>
        <v>0</v>
      </c>
      <c r="AC72" s="7">
        <f>VLOOKUP($A72,$A$2:AC$51,AC$55)</f>
        <v>0</v>
      </c>
      <c r="AD72" s="7">
        <f>VLOOKUP($A72,$A$2:AD$51,AD$55)</f>
        <v>0</v>
      </c>
      <c r="AE72" s="7">
        <f>VLOOKUP($A72,$A$2:AE$51,AE$55)</f>
        <v>0</v>
      </c>
      <c r="AF72" s="7">
        <f>VLOOKUP($A72,$A$2:AF$51,AF$55)</f>
        <v>0</v>
      </c>
      <c r="AG72" s="7">
        <f>VLOOKUP($A72,$A$2:AG$51,AG$55)</f>
        <v>0</v>
      </c>
    </row>
    <row r="73" spans="1:33" s="7" customFormat="1">
      <c r="A73" s="7">
        <f t="shared" si="16"/>
        <v>34</v>
      </c>
      <c r="B73" s="7">
        <f>VLOOKUP($A73,$A$2:B$51,B$55)</f>
        <v>0.68536442518234253</v>
      </c>
      <c r="C73" s="7">
        <f>VLOOKUP($A73,$A$2:C$51,C$55)</f>
        <v>0.71162080764770508</v>
      </c>
      <c r="D73" s="7">
        <f>VLOOKUP($A73,$A$2:D$51,D$55)</f>
        <v>0.78373605012893677</v>
      </c>
      <c r="E73" s="7">
        <f>VLOOKUP($A73,$A$2:E$51,E$55)</f>
        <v>0.65946769714355469</v>
      </c>
      <c r="F73" s="7">
        <f>VLOOKUP($A73,$A$2:F$51,F$55)</f>
        <v>0.63231205940246582</v>
      </c>
      <c r="G73" s="7">
        <f>VLOOKUP($A73,$A$2:G$51,G$55)</f>
        <v>0.68914103507995605</v>
      </c>
      <c r="H73" s="7">
        <f>VLOOKUP($A73,$A$2:H$51,H$55)</f>
        <v>0</v>
      </c>
      <c r="I73" s="7">
        <f>VLOOKUP($A73,$A$2:I$51,I$55)</f>
        <v>0</v>
      </c>
      <c r="J73" s="7">
        <f>VLOOKUP($A73,$A$2:J$51,J$55)</f>
        <v>0</v>
      </c>
      <c r="K73" s="7">
        <f>VLOOKUP($A73,$A$2:K$51,K$55)</f>
        <v>0</v>
      </c>
      <c r="L73" s="7">
        <f>VLOOKUP($A73,$A$2:L$51,L$55)</f>
        <v>0</v>
      </c>
      <c r="M73" s="7">
        <f>VLOOKUP($A73,$A$2:M$51,M$55)</f>
        <v>0</v>
      </c>
      <c r="N73" s="7">
        <f>VLOOKUP($A73,$A$2:N$51,N$55)</f>
        <v>0</v>
      </c>
      <c r="O73" s="7">
        <f>VLOOKUP($A73,$A$2:O$51,O$55)</f>
        <v>0</v>
      </c>
      <c r="P73" s="7">
        <f>VLOOKUP($A73,$A$2:P$51,P$55)</f>
        <v>0</v>
      </c>
      <c r="Q73" s="7">
        <f>VLOOKUP($A73,$A$2:Q$51,Q$55)</f>
        <v>0</v>
      </c>
      <c r="R73" s="7">
        <f>VLOOKUP($A73,$A$2:R$51,R$55)</f>
        <v>0</v>
      </c>
      <c r="S73" s="7">
        <f>VLOOKUP($A73,$A$2:S$51,S$55)</f>
        <v>0</v>
      </c>
      <c r="T73" s="7">
        <f>VLOOKUP($A73,$A$2:T$51,T$55)</f>
        <v>0</v>
      </c>
      <c r="U73" s="7">
        <f>VLOOKUP($A73,$A$2:U$51,U$55)</f>
        <v>0</v>
      </c>
      <c r="V73" s="7">
        <f>VLOOKUP($A73,$A$2:V$51,V$55)</f>
        <v>0</v>
      </c>
      <c r="W73" s="7">
        <f>VLOOKUP($A73,$A$2:W$51,W$55)</f>
        <v>0</v>
      </c>
      <c r="X73" s="7">
        <f>VLOOKUP($A73,$A$2:X$51,X$55)</f>
        <v>0</v>
      </c>
      <c r="Y73" s="7">
        <f>VLOOKUP($A73,$A$2:Y$51,Y$55)</f>
        <v>0</v>
      </c>
      <c r="Z73" s="7">
        <f>VLOOKUP($A73,$A$2:Z$51,Z$55)</f>
        <v>0</v>
      </c>
      <c r="AA73" s="7">
        <f>VLOOKUP($A73,$A$2:AA$51,AA$55)</f>
        <v>0</v>
      </c>
      <c r="AB73" s="7">
        <f>VLOOKUP($A73,$A$2:AB$51,AB$55)</f>
        <v>0</v>
      </c>
      <c r="AC73" s="7">
        <f>VLOOKUP($A73,$A$2:AC$51,AC$55)</f>
        <v>0</v>
      </c>
      <c r="AD73" s="7">
        <f>VLOOKUP($A73,$A$2:AD$51,AD$55)</f>
        <v>0</v>
      </c>
      <c r="AE73" s="7">
        <f>VLOOKUP($A73,$A$2:AE$51,AE$55)</f>
        <v>0</v>
      </c>
      <c r="AF73" s="7">
        <f>VLOOKUP($A73,$A$2:AF$51,AF$55)</f>
        <v>0</v>
      </c>
      <c r="AG73" s="7">
        <f>VLOOKUP($A73,$A$2:AG$51,AG$55)</f>
        <v>0</v>
      </c>
    </row>
    <row r="74" spans="1:33" s="7" customFormat="1">
      <c r="A74" s="7">
        <f t="shared" si="16"/>
        <v>36</v>
      </c>
      <c r="B74" s="7">
        <f>VLOOKUP($A74,$A$2:B$51,B$55)</f>
        <v>0.49347677826881409</v>
      </c>
      <c r="C74" s="7">
        <f>VLOOKUP($A74,$A$2:C$51,C$55)</f>
        <v>0.51829445362091064</v>
      </c>
      <c r="D74" s="7">
        <f>VLOOKUP($A74,$A$2:D$51,D$55)</f>
        <v>0.56882905960083008</v>
      </c>
      <c r="E74" s="7">
        <f>VLOOKUP($A74,$A$2:E$51,E$55)</f>
        <v>0.47675180435180664</v>
      </c>
      <c r="F74" s="7">
        <f>VLOOKUP($A74,$A$2:F$51,F$55)</f>
        <v>0.44869700074195862</v>
      </c>
      <c r="G74" s="7">
        <f>VLOOKUP($A74,$A$2:G$51,G$55)</f>
        <v>0.49347677826881409</v>
      </c>
      <c r="H74" s="7">
        <f>VLOOKUP($A74,$A$2:H$51,H$55)</f>
        <v>0</v>
      </c>
      <c r="I74" s="7">
        <f>VLOOKUP($A74,$A$2:I$51,I$55)</f>
        <v>0</v>
      </c>
      <c r="J74" s="7">
        <f>VLOOKUP($A74,$A$2:J$51,J$55)</f>
        <v>0</v>
      </c>
      <c r="K74" s="7">
        <f>VLOOKUP($A74,$A$2:K$51,K$55)</f>
        <v>0</v>
      </c>
      <c r="L74" s="7">
        <f>VLOOKUP($A74,$A$2:L$51,L$55)</f>
        <v>0</v>
      </c>
      <c r="M74" s="7">
        <f>VLOOKUP($A74,$A$2:M$51,M$55)</f>
        <v>0</v>
      </c>
      <c r="N74" s="7">
        <f>VLOOKUP($A74,$A$2:N$51,N$55)</f>
        <v>0</v>
      </c>
      <c r="O74" s="7">
        <f>VLOOKUP($A74,$A$2:O$51,O$55)</f>
        <v>0</v>
      </c>
      <c r="P74" s="7">
        <f>VLOOKUP($A74,$A$2:P$51,P$55)</f>
        <v>0</v>
      </c>
      <c r="Q74" s="7">
        <f>VLOOKUP($A74,$A$2:Q$51,Q$55)</f>
        <v>0</v>
      </c>
      <c r="R74" s="7">
        <f>VLOOKUP($A74,$A$2:R$51,R$55)</f>
        <v>0</v>
      </c>
      <c r="S74" s="7">
        <f>VLOOKUP($A74,$A$2:S$51,S$55)</f>
        <v>0</v>
      </c>
      <c r="T74" s="7">
        <f>VLOOKUP($A74,$A$2:T$51,T$55)</f>
        <v>0</v>
      </c>
      <c r="U74" s="7">
        <f>VLOOKUP($A74,$A$2:U$51,U$55)</f>
        <v>0</v>
      </c>
      <c r="V74" s="7">
        <f>VLOOKUP($A74,$A$2:V$51,V$55)</f>
        <v>0</v>
      </c>
      <c r="W74" s="7">
        <f>VLOOKUP($A74,$A$2:W$51,W$55)</f>
        <v>0</v>
      </c>
      <c r="X74" s="7">
        <f>VLOOKUP($A74,$A$2:X$51,X$55)</f>
        <v>0</v>
      </c>
      <c r="Y74" s="7">
        <f>VLOOKUP($A74,$A$2:Y$51,Y$55)</f>
        <v>0</v>
      </c>
      <c r="Z74" s="7">
        <f>VLOOKUP($A74,$A$2:Z$51,Z$55)</f>
        <v>0</v>
      </c>
      <c r="AA74" s="7">
        <f>VLOOKUP($A74,$A$2:AA$51,AA$55)</f>
        <v>0</v>
      </c>
      <c r="AB74" s="7">
        <f>VLOOKUP($A74,$A$2:AB$51,AB$55)</f>
        <v>0</v>
      </c>
      <c r="AC74" s="7">
        <f>VLOOKUP($A74,$A$2:AC$51,AC$55)</f>
        <v>0</v>
      </c>
      <c r="AD74" s="7">
        <f>VLOOKUP($A74,$A$2:AD$51,AD$55)</f>
        <v>0</v>
      </c>
      <c r="AE74" s="7">
        <f>VLOOKUP($A74,$A$2:AE$51,AE$55)</f>
        <v>0</v>
      </c>
      <c r="AF74" s="7">
        <f>VLOOKUP($A74,$A$2:AF$51,AF$55)</f>
        <v>0</v>
      </c>
      <c r="AG74" s="7">
        <f>VLOOKUP($A74,$A$2:AG$51,AG$55)</f>
        <v>0</v>
      </c>
    </row>
    <row r="75" spans="1:33" s="7" customFormat="1">
      <c r="A75" s="7">
        <f t="shared" si="16"/>
        <v>38</v>
      </c>
      <c r="B75" s="7">
        <f>VLOOKUP($A75,$A$2:B$51,B$55)</f>
        <v>0.33683747053146362</v>
      </c>
      <c r="C75" s="7">
        <f>VLOOKUP($A75,$A$2:C$51,C$55)</f>
        <v>0.35931727290153503</v>
      </c>
      <c r="D75" s="7">
        <f>VLOOKUP($A75,$A$2:D$51,D$55)</f>
        <v>0.39690351486206055</v>
      </c>
      <c r="E75" s="7">
        <f>VLOOKUP($A75,$A$2:E$51,E$55)</f>
        <v>0.32640683650970459</v>
      </c>
      <c r="F75" s="7">
        <f>VLOOKUP($A75,$A$2:F$51,F$55)</f>
        <v>0.30194878578186035</v>
      </c>
      <c r="G75" s="7">
        <f>VLOOKUP($A75,$A$2:G$51,G$55)</f>
        <v>0.33180198073387146</v>
      </c>
      <c r="H75" s="7">
        <f>VLOOKUP($A75,$A$2:H$51,H$55)</f>
        <v>0</v>
      </c>
      <c r="I75" s="7">
        <f>VLOOKUP($A75,$A$2:I$51,I$55)</f>
        <v>0</v>
      </c>
      <c r="J75" s="7">
        <f>VLOOKUP($A75,$A$2:J$51,J$55)</f>
        <v>0</v>
      </c>
      <c r="K75" s="7">
        <f>VLOOKUP($A75,$A$2:K$51,K$55)</f>
        <v>0</v>
      </c>
      <c r="L75" s="7">
        <f>VLOOKUP($A75,$A$2:L$51,L$55)</f>
        <v>0</v>
      </c>
      <c r="M75" s="7">
        <f>VLOOKUP($A75,$A$2:M$51,M$55)</f>
        <v>0</v>
      </c>
      <c r="N75" s="7">
        <f>VLOOKUP($A75,$A$2:N$51,N$55)</f>
        <v>0</v>
      </c>
      <c r="O75" s="7">
        <f>VLOOKUP($A75,$A$2:O$51,O$55)</f>
        <v>0</v>
      </c>
      <c r="P75" s="7">
        <f>VLOOKUP($A75,$A$2:P$51,P$55)</f>
        <v>0</v>
      </c>
      <c r="Q75" s="7">
        <f>VLOOKUP($A75,$A$2:Q$51,Q$55)</f>
        <v>0</v>
      </c>
      <c r="R75" s="7">
        <f>VLOOKUP($A75,$A$2:R$51,R$55)</f>
        <v>0</v>
      </c>
      <c r="S75" s="7">
        <f>VLOOKUP($A75,$A$2:S$51,S$55)</f>
        <v>0</v>
      </c>
      <c r="T75" s="7">
        <f>VLOOKUP($A75,$A$2:T$51,T$55)</f>
        <v>0</v>
      </c>
      <c r="U75" s="7">
        <f>VLOOKUP($A75,$A$2:U$51,U$55)</f>
        <v>0</v>
      </c>
      <c r="V75" s="7">
        <f>VLOOKUP($A75,$A$2:V$51,V$55)</f>
        <v>0</v>
      </c>
      <c r="W75" s="7">
        <f>VLOOKUP($A75,$A$2:W$51,W$55)</f>
        <v>0</v>
      </c>
      <c r="X75" s="7">
        <f>VLOOKUP($A75,$A$2:X$51,X$55)</f>
        <v>0</v>
      </c>
      <c r="Y75" s="7">
        <f>VLOOKUP($A75,$A$2:Y$51,Y$55)</f>
        <v>0</v>
      </c>
      <c r="Z75" s="7">
        <f>VLOOKUP($A75,$A$2:Z$51,Z$55)</f>
        <v>0</v>
      </c>
      <c r="AA75" s="7">
        <f>VLOOKUP($A75,$A$2:AA$51,AA$55)</f>
        <v>0</v>
      </c>
      <c r="AB75" s="7">
        <f>VLOOKUP($A75,$A$2:AB$51,AB$55)</f>
        <v>0</v>
      </c>
      <c r="AC75" s="7">
        <f>VLOOKUP($A75,$A$2:AC$51,AC$55)</f>
        <v>0</v>
      </c>
      <c r="AD75" s="7">
        <f>VLOOKUP($A75,$A$2:AD$51,AD$55)</f>
        <v>0</v>
      </c>
      <c r="AE75" s="7">
        <f>VLOOKUP($A75,$A$2:AE$51,AE$55)</f>
        <v>0</v>
      </c>
      <c r="AF75" s="7">
        <f>VLOOKUP($A75,$A$2:AF$51,AF$55)</f>
        <v>0</v>
      </c>
      <c r="AG75" s="7">
        <f>VLOOKUP($A75,$A$2:AG$51,AG$55)</f>
        <v>0</v>
      </c>
    </row>
    <row r="76" spans="1:33" s="7" customFormat="1">
      <c r="A76" s="7">
        <f t="shared" si="16"/>
        <v>40</v>
      </c>
      <c r="B76" s="7">
        <f>VLOOKUP($A76,$A$2:B$51,B$55)</f>
        <v>0.21149004995822906</v>
      </c>
      <c r="C76" s="7">
        <f>VLOOKUP($A76,$A$2:C$51,C$55)</f>
        <v>0.23612791299819946</v>
      </c>
      <c r="D76" s="7">
        <f>VLOOKUP($A76,$A$2:D$51,D$55)</f>
        <v>0.25680932402610779</v>
      </c>
      <c r="E76" s="7">
        <f>VLOOKUP($A76,$A$2:E$51,E$55)</f>
        <v>0.206814244389534</v>
      </c>
      <c r="F76" s="7">
        <f>VLOOKUP($A76,$A$2:F$51,F$55)</f>
        <v>0.18559330701828003</v>
      </c>
      <c r="G76" s="7">
        <f>VLOOKUP($A76,$A$2:G$51,G$55)</f>
        <v>0.20303763449192047</v>
      </c>
      <c r="H76" s="7">
        <f>VLOOKUP($A76,$A$2:H$51,H$55)</f>
        <v>0</v>
      </c>
      <c r="I76" s="7">
        <f>VLOOKUP($A76,$A$2:I$51,I$55)</f>
        <v>0</v>
      </c>
      <c r="J76" s="7">
        <f>VLOOKUP($A76,$A$2:J$51,J$55)</f>
        <v>0</v>
      </c>
      <c r="K76" s="7">
        <f>VLOOKUP($A76,$A$2:K$51,K$55)</f>
        <v>0</v>
      </c>
      <c r="L76" s="7">
        <f>VLOOKUP($A76,$A$2:L$51,L$55)</f>
        <v>0</v>
      </c>
      <c r="M76" s="7">
        <f>VLOOKUP($A76,$A$2:M$51,M$55)</f>
        <v>0</v>
      </c>
      <c r="N76" s="7">
        <f>VLOOKUP($A76,$A$2:N$51,N$55)</f>
        <v>0</v>
      </c>
      <c r="O76" s="7">
        <f>VLOOKUP($A76,$A$2:O$51,O$55)</f>
        <v>0</v>
      </c>
      <c r="P76" s="7">
        <f>VLOOKUP($A76,$A$2:P$51,P$55)</f>
        <v>0</v>
      </c>
      <c r="Q76" s="7">
        <f>VLOOKUP($A76,$A$2:Q$51,Q$55)</f>
        <v>0</v>
      </c>
      <c r="R76" s="7">
        <f>VLOOKUP($A76,$A$2:R$51,R$55)</f>
        <v>0</v>
      </c>
      <c r="S76" s="7">
        <f>VLOOKUP($A76,$A$2:S$51,S$55)</f>
        <v>0</v>
      </c>
      <c r="T76" s="7">
        <f>VLOOKUP($A76,$A$2:T$51,T$55)</f>
        <v>0</v>
      </c>
      <c r="U76" s="7">
        <f>VLOOKUP($A76,$A$2:U$51,U$55)</f>
        <v>0</v>
      </c>
      <c r="V76" s="7">
        <f>VLOOKUP($A76,$A$2:V$51,V$55)</f>
        <v>0</v>
      </c>
      <c r="W76" s="7">
        <f>VLOOKUP($A76,$A$2:W$51,W$55)</f>
        <v>0</v>
      </c>
      <c r="X76" s="7">
        <f>VLOOKUP($A76,$A$2:X$51,X$55)</f>
        <v>0</v>
      </c>
      <c r="Y76" s="7">
        <f>VLOOKUP($A76,$A$2:Y$51,Y$55)</f>
        <v>0</v>
      </c>
      <c r="Z76" s="7">
        <f>VLOOKUP($A76,$A$2:Z$51,Z$55)</f>
        <v>0</v>
      </c>
      <c r="AA76" s="7">
        <f>VLOOKUP($A76,$A$2:AA$51,AA$55)</f>
        <v>0</v>
      </c>
      <c r="AB76" s="7">
        <f>VLOOKUP($A76,$A$2:AB$51,AB$55)</f>
        <v>0</v>
      </c>
      <c r="AC76" s="7">
        <f>VLOOKUP($A76,$A$2:AC$51,AC$55)</f>
        <v>0</v>
      </c>
      <c r="AD76" s="7">
        <f>VLOOKUP($A76,$A$2:AD$51,AD$55)</f>
        <v>0</v>
      </c>
      <c r="AE76" s="7">
        <f>VLOOKUP($A76,$A$2:AE$51,AE$55)</f>
        <v>0</v>
      </c>
      <c r="AF76" s="7">
        <f>VLOOKUP($A76,$A$2:AF$51,AF$55)</f>
        <v>0</v>
      </c>
      <c r="AG76" s="7">
        <f>VLOOKUP($A76,$A$2:AG$51,AG$55)</f>
        <v>0</v>
      </c>
    </row>
    <row r="77" spans="1:33" s="7" customFormat="1">
      <c r="A77" s="7">
        <f t="shared" si="16"/>
        <v>42</v>
      </c>
      <c r="B77" s="7">
        <f>VLOOKUP($A77,$A$2:B$51,B$55)</f>
        <v>0.24170291423797607</v>
      </c>
      <c r="C77" s="7">
        <f>VLOOKUP($A77,$A$2:C$51,C$55)</f>
        <v>0.26688030362129211</v>
      </c>
      <c r="D77" s="7">
        <f>VLOOKUP($A77,$A$2:D$51,D$55)</f>
        <v>0.29223752021789551</v>
      </c>
      <c r="E77" s="7">
        <f>VLOOKUP($A77,$A$2:E$51,E$55)</f>
        <v>0.23666742444038391</v>
      </c>
      <c r="F77" s="7">
        <f>VLOOKUP($A77,$A$2:F$51,F$55)</f>
        <v>0.21652552485466003</v>
      </c>
      <c r="G77" s="7">
        <f>VLOOKUP($A77,$A$2:G$51,G$55)</f>
        <v>0.23522871732711792</v>
      </c>
      <c r="H77" s="7">
        <f>VLOOKUP($A77,$A$2:H$51,H$55)</f>
        <v>0</v>
      </c>
      <c r="I77" s="7">
        <f>VLOOKUP($A77,$A$2:I$51,I$55)</f>
        <v>0</v>
      </c>
      <c r="J77" s="7">
        <f>VLOOKUP($A77,$A$2:J$51,J$55)</f>
        <v>0</v>
      </c>
      <c r="K77" s="7">
        <f>VLOOKUP($A77,$A$2:K$51,K$55)</f>
        <v>0</v>
      </c>
      <c r="L77" s="7">
        <f>VLOOKUP($A77,$A$2:L$51,L$55)</f>
        <v>0</v>
      </c>
      <c r="M77" s="7">
        <f>VLOOKUP($A77,$A$2:M$51,M$55)</f>
        <v>0</v>
      </c>
      <c r="N77" s="7">
        <f>VLOOKUP($A77,$A$2:N$51,N$55)</f>
        <v>0</v>
      </c>
      <c r="O77" s="7">
        <f>VLOOKUP($A77,$A$2:O$51,O$55)</f>
        <v>0</v>
      </c>
      <c r="P77" s="7">
        <f>VLOOKUP($A77,$A$2:P$51,P$55)</f>
        <v>0</v>
      </c>
      <c r="Q77" s="7">
        <f>VLOOKUP($A77,$A$2:Q$51,Q$55)</f>
        <v>0</v>
      </c>
      <c r="R77" s="7">
        <f>VLOOKUP($A77,$A$2:R$51,R$55)</f>
        <v>0</v>
      </c>
      <c r="S77" s="7">
        <f>VLOOKUP($A77,$A$2:S$51,S$55)</f>
        <v>0</v>
      </c>
      <c r="T77" s="7">
        <f>VLOOKUP($A77,$A$2:T$51,T$55)</f>
        <v>0</v>
      </c>
      <c r="U77" s="7">
        <f>VLOOKUP($A77,$A$2:U$51,U$55)</f>
        <v>0</v>
      </c>
      <c r="V77" s="7">
        <f>VLOOKUP($A77,$A$2:V$51,V$55)</f>
        <v>0</v>
      </c>
      <c r="W77" s="7">
        <f>VLOOKUP($A77,$A$2:W$51,W$55)</f>
        <v>0</v>
      </c>
      <c r="X77" s="7">
        <f>VLOOKUP($A77,$A$2:X$51,X$55)</f>
        <v>0</v>
      </c>
      <c r="Y77" s="7">
        <f>VLOOKUP($A77,$A$2:Y$51,Y$55)</f>
        <v>0</v>
      </c>
      <c r="Z77" s="7">
        <f>VLOOKUP($A77,$A$2:Z$51,Z$55)</f>
        <v>0</v>
      </c>
      <c r="AA77" s="7">
        <f>VLOOKUP($A77,$A$2:AA$51,AA$55)</f>
        <v>0</v>
      </c>
      <c r="AB77" s="7">
        <f>VLOOKUP($A77,$A$2:AB$51,AB$55)</f>
        <v>0</v>
      </c>
      <c r="AC77" s="7">
        <f>VLOOKUP($A77,$A$2:AC$51,AC$55)</f>
        <v>0</v>
      </c>
      <c r="AD77" s="7">
        <f>VLOOKUP($A77,$A$2:AD$51,AD$55)</f>
        <v>0</v>
      </c>
      <c r="AE77" s="7">
        <f>VLOOKUP($A77,$A$2:AE$51,AE$55)</f>
        <v>0</v>
      </c>
      <c r="AF77" s="7">
        <f>VLOOKUP($A77,$A$2:AF$51,AF$55)</f>
        <v>0</v>
      </c>
      <c r="AG77" s="7">
        <f>VLOOKUP($A77,$A$2:AG$51,AG$55)</f>
        <v>0</v>
      </c>
    </row>
    <row r="78" spans="1:33" s="7" customFormat="1">
      <c r="A78" s="7">
        <f t="shared" si="16"/>
        <v>44</v>
      </c>
      <c r="B78" s="7">
        <f>VLOOKUP($A78,$A$2:B$51,B$55)</f>
        <v>0.16617074608802795</v>
      </c>
      <c r="C78" s="7">
        <f>VLOOKUP($A78,$A$2:C$51,C$55)</f>
        <v>0.18721185624599457</v>
      </c>
      <c r="D78" s="7">
        <f>VLOOKUP($A78,$A$2:D$51,D$55)</f>
        <v>0.20951181650161743</v>
      </c>
      <c r="E78" s="7">
        <f>VLOOKUP($A78,$A$2:E$51,E$55)</f>
        <v>0.16617074608802795</v>
      </c>
      <c r="F78" s="7">
        <f>VLOOKUP($A78,$A$2:F$51,F$55)</f>
        <v>0.14602884650230408</v>
      </c>
      <c r="G78" s="7">
        <f>VLOOKUP($A78,$A$2:G$51,G$55)</f>
        <v>0.15735866129398346</v>
      </c>
      <c r="H78" s="7">
        <f>VLOOKUP($A78,$A$2:H$51,H$55)</f>
        <v>0</v>
      </c>
      <c r="I78" s="7">
        <f>VLOOKUP($A78,$A$2:I$51,I$55)</f>
        <v>0</v>
      </c>
      <c r="J78" s="7">
        <f>VLOOKUP($A78,$A$2:J$51,J$55)</f>
        <v>0</v>
      </c>
      <c r="K78" s="7">
        <f>VLOOKUP($A78,$A$2:K$51,K$55)</f>
        <v>0</v>
      </c>
      <c r="L78" s="7">
        <f>VLOOKUP($A78,$A$2:L$51,L$55)</f>
        <v>0</v>
      </c>
      <c r="M78" s="7">
        <f>VLOOKUP($A78,$A$2:M$51,M$55)</f>
        <v>0</v>
      </c>
      <c r="N78" s="7">
        <f>VLOOKUP($A78,$A$2:N$51,N$55)</f>
        <v>0</v>
      </c>
      <c r="O78" s="7">
        <f>VLOOKUP($A78,$A$2:O$51,O$55)</f>
        <v>0</v>
      </c>
      <c r="P78" s="7">
        <f>VLOOKUP($A78,$A$2:P$51,P$55)</f>
        <v>0</v>
      </c>
      <c r="Q78" s="7">
        <f>VLOOKUP($A78,$A$2:Q$51,Q$55)</f>
        <v>0</v>
      </c>
      <c r="R78" s="7">
        <f>VLOOKUP($A78,$A$2:R$51,R$55)</f>
        <v>0</v>
      </c>
      <c r="S78" s="7">
        <f>VLOOKUP($A78,$A$2:S$51,S$55)</f>
        <v>0</v>
      </c>
      <c r="T78" s="7">
        <f>VLOOKUP($A78,$A$2:T$51,T$55)</f>
        <v>0</v>
      </c>
      <c r="U78" s="7">
        <f>VLOOKUP($A78,$A$2:U$51,U$55)</f>
        <v>0</v>
      </c>
      <c r="V78" s="7">
        <f>VLOOKUP($A78,$A$2:V$51,V$55)</f>
        <v>0</v>
      </c>
      <c r="W78" s="7">
        <f>VLOOKUP($A78,$A$2:W$51,W$55)</f>
        <v>0</v>
      </c>
      <c r="X78" s="7">
        <f>VLOOKUP($A78,$A$2:X$51,X$55)</f>
        <v>0</v>
      </c>
      <c r="Y78" s="7">
        <f>VLOOKUP($A78,$A$2:Y$51,Y$55)</f>
        <v>0</v>
      </c>
      <c r="Z78" s="7">
        <f>VLOOKUP($A78,$A$2:Z$51,Z$55)</f>
        <v>0</v>
      </c>
      <c r="AA78" s="7">
        <f>VLOOKUP($A78,$A$2:AA$51,AA$55)</f>
        <v>0</v>
      </c>
      <c r="AB78" s="7">
        <f>VLOOKUP($A78,$A$2:AB$51,AB$55)</f>
        <v>0</v>
      </c>
      <c r="AC78" s="7">
        <f>VLOOKUP($A78,$A$2:AC$51,AC$55)</f>
        <v>0</v>
      </c>
      <c r="AD78" s="7">
        <f>VLOOKUP($A78,$A$2:AD$51,AD$55)</f>
        <v>0</v>
      </c>
      <c r="AE78" s="7">
        <f>VLOOKUP($A78,$A$2:AE$51,AE$55)</f>
        <v>0</v>
      </c>
      <c r="AF78" s="7">
        <f>VLOOKUP($A78,$A$2:AF$51,AF$55)</f>
        <v>0</v>
      </c>
      <c r="AG78" s="7">
        <f>VLOOKUP($A78,$A$2:AG$51,AG$55)</f>
        <v>0</v>
      </c>
    </row>
    <row r="79" spans="1:33" s="7" customFormat="1">
      <c r="A79" s="7">
        <f t="shared" si="16"/>
        <v>46</v>
      </c>
      <c r="B79" s="7">
        <f>VLOOKUP($A79,$A$2:B$51,B$55)</f>
        <v>8.5603110492229462E-2</v>
      </c>
      <c r="C79" s="7">
        <f>VLOOKUP($A79,$A$2:C$51,C$55)</f>
        <v>0.10574502497911453</v>
      </c>
      <c r="D79" s="7">
        <f>VLOOKUP($A79,$A$2:D$51,D$55)</f>
        <v>0.12085145711898804</v>
      </c>
      <c r="E79" s="7">
        <f>VLOOKUP($A79,$A$2:E$51,E$55)</f>
        <v>8.8660366833209991E-2</v>
      </c>
      <c r="F79" s="7">
        <f>VLOOKUP($A79,$A$2:F$51,F$55)</f>
        <v>7.5532160699367523E-2</v>
      </c>
      <c r="G79" s="7">
        <f>VLOOKUP($A79,$A$2:G$51,G$55)</f>
        <v>7.5711995363235474E-2</v>
      </c>
      <c r="H79" s="7">
        <f>VLOOKUP($A79,$A$2:H$51,H$55)</f>
        <v>0</v>
      </c>
      <c r="I79" s="7">
        <f>VLOOKUP($A79,$A$2:I$51,I$55)</f>
        <v>0</v>
      </c>
      <c r="J79" s="7">
        <f>VLOOKUP($A79,$A$2:J$51,J$55)</f>
        <v>0</v>
      </c>
      <c r="K79" s="7">
        <f>VLOOKUP($A79,$A$2:K$51,K$55)</f>
        <v>0</v>
      </c>
      <c r="L79" s="7">
        <f>VLOOKUP($A79,$A$2:L$51,L$55)</f>
        <v>0</v>
      </c>
      <c r="M79" s="7">
        <f>VLOOKUP($A79,$A$2:M$51,M$55)</f>
        <v>0</v>
      </c>
      <c r="N79" s="7">
        <f>VLOOKUP($A79,$A$2:N$51,N$55)</f>
        <v>0</v>
      </c>
      <c r="O79" s="7">
        <f>VLOOKUP($A79,$A$2:O$51,O$55)</f>
        <v>0</v>
      </c>
      <c r="P79" s="7">
        <f>VLOOKUP($A79,$A$2:P$51,P$55)</f>
        <v>0</v>
      </c>
      <c r="Q79" s="7">
        <f>VLOOKUP($A79,$A$2:Q$51,Q$55)</f>
        <v>0</v>
      </c>
      <c r="R79" s="7">
        <f>VLOOKUP($A79,$A$2:R$51,R$55)</f>
        <v>0</v>
      </c>
      <c r="S79" s="7">
        <f>VLOOKUP($A79,$A$2:S$51,S$55)</f>
        <v>0</v>
      </c>
      <c r="T79" s="7">
        <f>VLOOKUP($A79,$A$2:T$51,T$55)</f>
        <v>0</v>
      </c>
      <c r="U79" s="7">
        <f>VLOOKUP($A79,$A$2:U$51,U$55)</f>
        <v>0</v>
      </c>
      <c r="V79" s="7">
        <f>VLOOKUP($A79,$A$2:V$51,V$55)</f>
        <v>0</v>
      </c>
      <c r="W79" s="7">
        <f>VLOOKUP($A79,$A$2:W$51,W$55)</f>
        <v>0</v>
      </c>
      <c r="X79" s="7">
        <f>VLOOKUP($A79,$A$2:X$51,X$55)</f>
        <v>0</v>
      </c>
      <c r="Y79" s="7">
        <f>VLOOKUP($A79,$A$2:Y$51,Y$55)</f>
        <v>0</v>
      </c>
      <c r="Z79" s="7">
        <f>VLOOKUP($A79,$A$2:Z$51,Z$55)</f>
        <v>0</v>
      </c>
      <c r="AA79" s="7">
        <f>VLOOKUP($A79,$A$2:AA$51,AA$55)</f>
        <v>0</v>
      </c>
      <c r="AB79" s="7">
        <f>VLOOKUP($A79,$A$2:AB$51,AB$55)</f>
        <v>0</v>
      </c>
      <c r="AC79" s="7">
        <f>VLOOKUP($A79,$A$2:AC$51,AC$55)</f>
        <v>0</v>
      </c>
      <c r="AD79" s="7">
        <f>VLOOKUP($A79,$A$2:AD$51,AD$55)</f>
        <v>0</v>
      </c>
      <c r="AE79" s="7">
        <f>VLOOKUP($A79,$A$2:AE$51,AE$55)</f>
        <v>0</v>
      </c>
      <c r="AF79" s="7">
        <f>VLOOKUP($A79,$A$2:AF$51,AF$55)</f>
        <v>0</v>
      </c>
      <c r="AG79" s="7">
        <f>VLOOKUP($A79,$A$2:AG$51,AG$55)</f>
        <v>0</v>
      </c>
    </row>
    <row r="80" spans="1:33" s="7" customFormat="1">
      <c r="A80" s="7">
        <f t="shared" si="16"/>
        <v>48</v>
      </c>
      <c r="B80" s="7">
        <f>VLOOKUP($A80,$A$2:B$51,B$55)</f>
        <v>5.0354771316051483E-2</v>
      </c>
      <c r="C80" s="7">
        <f>VLOOKUP($A80,$A$2:C$51,C$55)</f>
        <v>7.0496678352355957E-2</v>
      </c>
      <c r="D80" s="7">
        <f>VLOOKUP($A80,$A$2:D$51,D$55)</f>
        <v>8.0567635595798492E-2</v>
      </c>
      <c r="E80" s="7">
        <f>VLOOKUP($A80,$A$2:E$51,E$55)</f>
        <v>5.5390249937772751E-2</v>
      </c>
      <c r="F80" s="7">
        <f>VLOOKUP($A80,$A$2:F$51,F$55)</f>
        <v>4.0283817797899246E-2</v>
      </c>
      <c r="G80" s="7">
        <f>VLOOKUP($A80,$A$2:G$51,G$55)</f>
        <v>4.0463656187057495E-2</v>
      </c>
      <c r="H80" s="7">
        <f>VLOOKUP($A80,$A$2:H$51,H$55)</f>
        <v>0</v>
      </c>
      <c r="I80" s="7">
        <f>VLOOKUP($A80,$A$2:I$51,I$55)</f>
        <v>0</v>
      </c>
      <c r="J80" s="7">
        <f>VLOOKUP($A80,$A$2:J$51,J$55)</f>
        <v>0</v>
      </c>
      <c r="K80" s="7">
        <f>VLOOKUP($A80,$A$2:K$51,K$55)</f>
        <v>0</v>
      </c>
      <c r="L80" s="7">
        <f>VLOOKUP($A80,$A$2:L$51,L$55)</f>
        <v>0</v>
      </c>
      <c r="M80" s="7">
        <f>VLOOKUP($A80,$A$2:M$51,M$55)</f>
        <v>0</v>
      </c>
      <c r="N80" s="7">
        <f>VLOOKUP($A80,$A$2:N$51,N$55)</f>
        <v>0</v>
      </c>
      <c r="O80" s="7">
        <f>VLOOKUP($A80,$A$2:O$51,O$55)</f>
        <v>0</v>
      </c>
      <c r="P80" s="7">
        <f>VLOOKUP($A80,$A$2:P$51,P$55)</f>
        <v>0</v>
      </c>
      <c r="Q80" s="7">
        <f>VLOOKUP($A80,$A$2:Q$51,Q$55)</f>
        <v>0</v>
      </c>
      <c r="R80" s="7">
        <f>VLOOKUP($A80,$A$2:R$51,R$55)</f>
        <v>0</v>
      </c>
      <c r="S80" s="7">
        <f>VLOOKUP($A80,$A$2:S$51,S$55)</f>
        <v>0</v>
      </c>
      <c r="T80" s="7">
        <f>VLOOKUP($A80,$A$2:T$51,T$55)</f>
        <v>0</v>
      </c>
      <c r="U80" s="7">
        <f>VLOOKUP($A80,$A$2:U$51,U$55)</f>
        <v>0</v>
      </c>
      <c r="V80" s="7">
        <f>VLOOKUP($A80,$A$2:V$51,V$55)</f>
        <v>0</v>
      </c>
      <c r="W80" s="7">
        <f>VLOOKUP($A80,$A$2:W$51,W$55)</f>
        <v>0</v>
      </c>
      <c r="X80" s="7">
        <f>VLOOKUP($A80,$A$2:X$51,X$55)</f>
        <v>0</v>
      </c>
      <c r="Y80" s="7">
        <f>VLOOKUP($A80,$A$2:Y$51,Y$55)</f>
        <v>0</v>
      </c>
      <c r="Z80" s="7">
        <f>VLOOKUP($A80,$A$2:Z$51,Z$55)</f>
        <v>0</v>
      </c>
      <c r="AA80" s="7">
        <f>VLOOKUP($A80,$A$2:AA$51,AA$55)</f>
        <v>0</v>
      </c>
      <c r="AB80" s="7">
        <f>VLOOKUP($A80,$A$2:AB$51,AB$55)</f>
        <v>0</v>
      </c>
      <c r="AC80" s="7">
        <f>VLOOKUP($A80,$A$2:AC$51,AC$55)</f>
        <v>0</v>
      </c>
      <c r="AD80" s="7">
        <f>VLOOKUP($A80,$A$2:AD$51,AD$55)</f>
        <v>0</v>
      </c>
      <c r="AE80" s="7">
        <f>VLOOKUP($A80,$A$2:AE$51,AE$55)</f>
        <v>0</v>
      </c>
      <c r="AF80" s="7">
        <f>VLOOKUP($A80,$A$2:AF$51,AF$55)</f>
        <v>0</v>
      </c>
      <c r="AG80" s="7">
        <f>VLOOKUP($A80,$A$2:AG$51,AG$55)</f>
        <v>0</v>
      </c>
    </row>
    <row r="81" spans="1:33" s="7" customFormat="1"/>
    <row r="82" spans="1:33" s="7" customFormat="1">
      <c r="A82" s="7" t="s">
        <v>39</v>
      </c>
    </row>
    <row r="83" spans="1:33" s="7" customFormat="1">
      <c r="A83" s="7">
        <f>A55</f>
        <v>1</v>
      </c>
      <c r="B83" s="7">
        <f t="shared" ref="B83:AG83" si="17">B55</f>
        <v>2</v>
      </c>
      <c r="C83" s="7">
        <f t="shared" si="17"/>
        <v>3</v>
      </c>
      <c r="D83" s="7">
        <f t="shared" si="17"/>
        <v>4</v>
      </c>
      <c r="E83" s="7">
        <f t="shared" si="17"/>
        <v>5</v>
      </c>
      <c r="F83" s="7">
        <f t="shared" si="17"/>
        <v>6</v>
      </c>
      <c r="G83" s="7">
        <f t="shared" si="17"/>
        <v>7</v>
      </c>
      <c r="H83" s="7">
        <f t="shared" si="17"/>
        <v>8</v>
      </c>
      <c r="I83" s="7">
        <f t="shared" si="17"/>
        <v>9</v>
      </c>
      <c r="J83" s="7">
        <f t="shared" si="17"/>
        <v>10</v>
      </c>
      <c r="K83" s="7">
        <f t="shared" si="17"/>
        <v>11</v>
      </c>
      <c r="L83" s="7">
        <f t="shared" si="17"/>
        <v>12</v>
      </c>
      <c r="M83" s="7">
        <f t="shared" si="17"/>
        <v>13</v>
      </c>
      <c r="N83" s="7">
        <f t="shared" si="17"/>
        <v>14</v>
      </c>
      <c r="O83" s="7">
        <f t="shared" si="17"/>
        <v>15</v>
      </c>
      <c r="P83" s="7">
        <f t="shared" si="17"/>
        <v>16</v>
      </c>
      <c r="Q83" s="7">
        <f t="shared" si="17"/>
        <v>17</v>
      </c>
      <c r="R83" s="7">
        <f t="shared" si="17"/>
        <v>18</v>
      </c>
      <c r="S83" s="7">
        <f t="shared" si="17"/>
        <v>19</v>
      </c>
      <c r="T83" s="7">
        <f t="shared" si="17"/>
        <v>20</v>
      </c>
      <c r="U83" s="7">
        <f t="shared" si="17"/>
        <v>21</v>
      </c>
      <c r="V83" s="7">
        <f t="shared" si="17"/>
        <v>22</v>
      </c>
      <c r="W83" s="7">
        <f t="shared" si="17"/>
        <v>23</v>
      </c>
      <c r="X83" s="7">
        <f t="shared" si="17"/>
        <v>24</v>
      </c>
      <c r="Y83" s="7">
        <f t="shared" si="17"/>
        <v>25</v>
      </c>
      <c r="Z83" s="7">
        <f t="shared" si="17"/>
        <v>26</v>
      </c>
      <c r="AA83" s="7">
        <f t="shared" si="17"/>
        <v>27</v>
      </c>
      <c r="AB83" s="7">
        <f t="shared" si="17"/>
        <v>28</v>
      </c>
      <c r="AC83" s="7">
        <f t="shared" si="17"/>
        <v>29</v>
      </c>
      <c r="AD83" s="7">
        <f t="shared" si="17"/>
        <v>30</v>
      </c>
      <c r="AE83" s="7">
        <f t="shared" si="17"/>
        <v>31</v>
      </c>
      <c r="AF83" s="7">
        <f t="shared" si="17"/>
        <v>32</v>
      </c>
      <c r="AG83" s="7">
        <f t="shared" si="17"/>
        <v>33</v>
      </c>
    </row>
    <row r="84" spans="1:33" s="7" customFormat="1">
      <c r="A84" s="7">
        <f>A56+1</f>
        <v>1</v>
      </c>
      <c r="B84" s="7">
        <f>VLOOKUP($A84,$A$2:B$51,B$83)</f>
        <v>95.713302612304688</v>
      </c>
      <c r="C84" s="7">
        <f>VLOOKUP($A84,$A$2:C$51,C$83)</f>
        <v>92.700736999511719</v>
      </c>
      <c r="D84" s="7">
        <f>VLOOKUP($A84,$A$2:D$51,D$83)</f>
        <v>94.547157287597656</v>
      </c>
      <c r="E84" s="7">
        <f>VLOOKUP($A84,$A$2:E$51,E$83)</f>
        <v>92.964744567871094</v>
      </c>
      <c r="F84" s="7">
        <f>VLOOKUP($A84,$A$2:F$51,F$83)</f>
        <v>87.577743530273437</v>
      </c>
      <c r="G84" s="7">
        <f>VLOOKUP($A84,$A$2:G$51,G$83)</f>
        <v>97.465591430664063</v>
      </c>
      <c r="H84" s="7">
        <f>VLOOKUP($A84,$A$2:H$51,H$83)</f>
        <v>0</v>
      </c>
      <c r="I84" s="7">
        <f>VLOOKUP($A84,$A$2:I$51,I$83)</f>
        <v>0</v>
      </c>
      <c r="J84" s="7">
        <f>VLOOKUP($A84,$A$2:J$51,J$83)</f>
        <v>0</v>
      </c>
      <c r="K84" s="7">
        <f>VLOOKUP($A84,$A$2:K$51,K$83)</f>
        <v>0</v>
      </c>
      <c r="L84" s="7">
        <f>VLOOKUP($A84,$A$2:L$51,L$83)</f>
        <v>0</v>
      </c>
      <c r="M84" s="7">
        <f>VLOOKUP($A84,$A$2:M$51,M$83)</f>
        <v>0</v>
      </c>
      <c r="N84" s="7">
        <f>VLOOKUP($A84,$A$2:N$51,N$83)</f>
        <v>0</v>
      </c>
      <c r="O84" s="7">
        <f>VLOOKUP($A84,$A$2:O$51,O$83)</f>
        <v>0</v>
      </c>
      <c r="P84" s="7">
        <f>VLOOKUP($A84,$A$2:P$51,P$83)</f>
        <v>0</v>
      </c>
      <c r="Q84" s="7">
        <f>VLOOKUP($A84,$A$2:Q$51,Q$83)</f>
        <v>0</v>
      </c>
      <c r="R84" s="7">
        <f>VLOOKUP($A84,$A$2:R$51,R$83)</f>
        <v>0</v>
      </c>
      <c r="S84" s="7">
        <f>VLOOKUP($A84,$A$2:S$51,S$83)</f>
        <v>0</v>
      </c>
      <c r="T84" s="7">
        <f>VLOOKUP($A84,$A$2:T$51,T$83)</f>
        <v>0</v>
      </c>
      <c r="U84" s="7">
        <f>VLOOKUP($A84,$A$2:U$51,U$83)</f>
        <v>0</v>
      </c>
      <c r="V84" s="7">
        <f>VLOOKUP($A84,$A$2:V$51,V$83)</f>
        <v>0</v>
      </c>
      <c r="W84" s="7">
        <f>VLOOKUP($A84,$A$2:W$51,W$83)</f>
        <v>0</v>
      </c>
      <c r="X84" s="7">
        <f>VLOOKUP($A84,$A$2:X$51,X$83)</f>
        <v>0</v>
      </c>
      <c r="Y84" s="7">
        <f>VLOOKUP($A84,$A$2:Y$51,Y$83)</f>
        <v>0</v>
      </c>
      <c r="Z84" s="7">
        <f>VLOOKUP($A84,$A$2:Z$51,Z$83)</f>
        <v>0</v>
      </c>
      <c r="AA84" s="7">
        <f>VLOOKUP($A84,$A$2:AA$51,AA$83)</f>
        <v>0</v>
      </c>
      <c r="AB84" s="7">
        <f>VLOOKUP($A84,$A$2:AB$51,AB$83)</f>
        <v>0</v>
      </c>
      <c r="AC84" s="7">
        <f>VLOOKUP($A84,$A$2:AC$51,AC$83)</f>
        <v>0</v>
      </c>
      <c r="AD84" s="7">
        <f>VLOOKUP($A84,$A$2:AD$51,AD$83)</f>
        <v>0</v>
      </c>
      <c r="AE84" s="7">
        <f>VLOOKUP($A84,$A$2:AE$51,AE$83)</f>
        <v>0</v>
      </c>
      <c r="AF84" s="7">
        <f>VLOOKUP($A84,$A$2:AF$51,AF$83)</f>
        <v>0</v>
      </c>
      <c r="AG84" s="7">
        <f>VLOOKUP($A84,$A$2:AG$51,AG$83)</f>
        <v>0</v>
      </c>
    </row>
    <row r="85" spans="1:33" s="7" customFormat="1">
      <c r="A85" s="7">
        <f t="shared" ref="A85:A108" si="18">A57+1</f>
        <v>3</v>
      </c>
      <c r="B85" s="7">
        <f>VLOOKUP($A85,$A$2:B$51,B$83)</f>
        <v>73.958297729492188</v>
      </c>
      <c r="C85" s="7">
        <f>VLOOKUP($A85,$A$2:C$51,C$83)</f>
        <v>71.490699768066406</v>
      </c>
      <c r="D85" s="7">
        <f>VLOOKUP($A85,$A$2:D$51,D$83)</f>
        <v>72.761795043945313</v>
      </c>
      <c r="E85" s="7">
        <f>VLOOKUP($A85,$A$2:E$51,E$83)</f>
        <v>71.398658752441406</v>
      </c>
      <c r="F85" s="7">
        <f>VLOOKUP($A85,$A$2:F$51,F$83)</f>
        <v>67.202995300292969</v>
      </c>
      <c r="G85" s="7">
        <f>VLOOKUP($A85,$A$2:G$51,G$83)</f>
        <v>74.990745544433594</v>
      </c>
      <c r="H85" s="7">
        <f>VLOOKUP($A85,$A$2:H$51,H$83)</f>
        <v>0</v>
      </c>
      <c r="I85" s="7">
        <f>VLOOKUP($A85,$A$2:I$51,I$83)</f>
        <v>0</v>
      </c>
      <c r="J85" s="7">
        <f>VLOOKUP($A85,$A$2:J$51,J$83)</f>
        <v>0</v>
      </c>
      <c r="K85" s="7">
        <f>VLOOKUP($A85,$A$2:K$51,K$83)</f>
        <v>0</v>
      </c>
      <c r="L85" s="7">
        <f>VLOOKUP($A85,$A$2:L$51,L$83)</f>
        <v>0</v>
      </c>
      <c r="M85" s="7">
        <f>VLOOKUP($A85,$A$2:M$51,M$83)</f>
        <v>0</v>
      </c>
      <c r="N85" s="7">
        <f>VLOOKUP($A85,$A$2:N$51,N$83)</f>
        <v>0</v>
      </c>
      <c r="O85" s="7">
        <f>VLOOKUP($A85,$A$2:O$51,O$83)</f>
        <v>0</v>
      </c>
      <c r="P85" s="7">
        <f>VLOOKUP($A85,$A$2:P$51,P$83)</f>
        <v>0</v>
      </c>
      <c r="Q85" s="7">
        <f>VLOOKUP($A85,$A$2:Q$51,Q$83)</f>
        <v>0</v>
      </c>
      <c r="R85" s="7">
        <f>VLOOKUP($A85,$A$2:R$51,R$83)</f>
        <v>0</v>
      </c>
      <c r="S85" s="7">
        <f>VLOOKUP($A85,$A$2:S$51,S$83)</f>
        <v>0</v>
      </c>
      <c r="T85" s="7">
        <f>VLOOKUP($A85,$A$2:T$51,T$83)</f>
        <v>0</v>
      </c>
      <c r="U85" s="7">
        <f>VLOOKUP($A85,$A$2:U$51,U$83)</f>
        <v>0</v>
      </c>
      <c r="V85" s="7">
        <f>VLOOKUP($A85,$A$2:V$51,V$83)</f>
        <v>0</v>
      </c>
      <c r="W85" s="7">
        <f>VLOOKUP($A85,$A$2:W$51,W$83)</f>
        <v>0</v>
      </c>
      <c r="X85" s="7">
        <f>VLOOKUP($A85,$A$2:X$51,X$83)</f>
        <v>0</v>
      </c>
      <c r="Y85" s="7">
        <f>VLOOKUP($A85,$A$2:Y$51,Y$83)</f>
        <v>0</v>
      </c>
      <c r="Z85" s="7">
        <f>VLOOKUP($A85,$A$2:Z$51,Z$83)</f>
        <v>0</v>
      </c>
      <c r="AA85" s="7">
        <f>VLOOKUP($A85,$A$2:AA$51,AA$83)</f>
        <v>0</v>
      </c>
      <c r="AB85" s="7">
        <f>VLOOKUP($A85,$A$2:AB$51,AB$83)</f>
        <v>0</v>
      </c>
      <c r="AC85" s="7">
        <f>VLOOKUP($A85,$A$2:AC$51,AC$83)</f>
        <v>0</v>
      </c>
      <c r="AD85" s="7">
        <f>VLOOKUP($A85,$A$2:AD$51,AD$83)</f>
        <v>0</v>
      </c>
      <c r="AE85" s="7">
        <f>VLOOKUP($A85,$A$2:AE$51,AE$83)</f>
        <v>0</v>
      </c>
      <c r="AF85" s="7">
        <f>VLOOKUP($A85,$A$2:AF$51,AF$83)</f>
        <v>0</v>
      </c>
      <c r="AG85" s="7">
        <f>VLOOKUP($A85,$A$2:AG$51,AG$83)</f>
        <v>0</v>
      </c>
    </row>
    <row r="86" spans="1:33" s="7" customFormat="1">
      <c r="A86" s="7">
        <f t="shared" si="18"/>
        <v>5</v>
      </c>
      <c r="B86" s="7">
        <f>VLOOKUP($A86,$A$2:B$51,B$83)</f>
        <v>56.478725433349609</v>
      </c>
      <c r="C86" s="7">
        <f>VLOOKUP($A86,$A$2:C$51,C$83)</f>
        <v>54.487140655517578</v>
      </c>
      <c r="D86" s="7">
        <f>VLOOKUP($A86,$A$2:D$51,D$83)</f>
        <v>54.535743713378906</v>
      </c>
      <c r="E86" s="7">
        <f>VLOOKUP($A86,$A$2:E$51,E$83)</f>
        <v>53.560298919677734</v>
      </c>
      <c r="F86" s="7">
        <f>VLOOKUP($A86,$A$2:F$51,F$83)</f>
        <v>50.743595123291016</v>
      </c>
      <c r="G86" s="7">
        <f>VLOOKUP($A86,$A$2:G$51,G$83)</f>
        <v>56.273094177246094</v>
      </c>
      <c r="H86" s="7">
        <f>VLOOKUP($A86,$A$2:H$51,H$83)</f>
        <v>0</v>
      </c>
      <c r="I86" s="7">
        <f>VLOOKUP($A86,$A$2:I$51,I$83)</f>
        <v>0</v>
      </c>
      <c r="J86" s="7">
        <f>VLOOKUP($A86,$A$2:J$51,J$83)</f>
        <v>0</v>
      </c>
      <c r="K86" s="7">
        <f>VLOOKUP($A86,$A$2:K$51,K$83)</f>
        <v>0</v>
      </c>
      <c r="L86" s="7">
        <f>VLOOKUP($A86,$A$2:L$51,L$83)</f>
        <v>0</v>
      </c>
      <c r="M86" s="7">
        <f>VLOOKUP($A86,$A$2:M$51,M$83)</f>
        <v>0</v>
      </c>
      <c r="N86" s="7">
        <f>VLOOKUP($A86,$A$2:N$51,N$83)</f>
        <v>0</v>
      </c>
      <c r="O86" s="7">
        <f>VLOOKUP($A86,$A$2:O$51,O$83)</f>
        <v>0</v>
      </c>
      <c r="P86" s="7">
        <f>VLOOKUP($A86,$A$2:P$51,P$83)</f>
        <v>0</v>
      </c>
      <c r="Q86" s="7">
        <f>VLOOKUP($A86,$A$2:Q$51,Q$83)</f>
        <v>0</v>
      </c>
      <c r="R86" s="7">
        <f>VLOOKUP($A86,$A$2:R$51,R$83)</f>
        <v>0</v>
      </c>
      <c r="S86" s="7">
        <f>VLOOKUP($A86,$A$2:S$51,S$83)</f>
        <v>0</v>
      </c>
      <c r="T86" s="7">
        <f>VLOOKUP($A86,$A$2:T$51,T$83)</f>
        <v>0</v>
      </c>
      <c r="U86" s="7">
        <f>VLOOKUP($A86,$A$2:U$51,U$83)</f>
        <v>0</v>
      </c>
      <c r="V86" s="7">
        <f>VLOOKUP($A86,$A$2:V$51,V$83)</f>
        <v>0</v>
      </c>
      <c r="W86" s="7">
        <f>VLOOKUP($A86,$A$2:W$51,W$83)</f>
        <v>0</v>
      </c>
      <c r="X86" s="7">
        <f>VLOOKUP($A86,$A$2:X$51,X$83)</f>
        <v>0</v>
      </c>
      <c r="Y86" s="7">
        <f>VLOOKUP($A86,$A$2:Y$51,Y$83)</f>
        <v>0</v>
      </c>
      <c r="Z86" s="7">
        <f>VLOOKUP($A86,$A$2:Z$51,Z$83)</f>
        <v>0</v>
      </c>
      <c r="AA86" s="7">
        <f>VLOOKUP($A86,$A$2:AA$51,AA$83)</f>
        <v>0</v>
      </c>
      <c r="AB86" s="7">
        <f>VLOOKUP($A86,$A$2:AB$51,AB$83)</f>
        <v>0</v>
      </c>
      <c r="AC86" s="7">
        <f>VLOOKUP($A86,$A$2:AC$51,AC$83)</f>
        <v>0</v>
      </c>
      <c r="AD86" s="7">
        <f>VLOOKUP($A86,$A$2:AD$51,AD$83)</f>
        <v>0</v>
      </c>
      <c r="AE86" s="7">
        <f>VLOOKUP($A86,$A$2:AE$51,AE$83)</f>
        <v>0</v>
      </c>
      <c r="AF86" s="7">
        <f>VLOOKUP($A86,$A$2:AF$51,AF$83)</f>
        <v>0</v>
      </c>
      <c r="AG86" s="7">
        <f>VLOOKUP($A86,$A$2:AG$51,AG$83)</f>
        <v>0</v>
      </c>
    </row>
    <row r="87" spans="1:33" s="7" customFormat="1">
      <c r="A87" s="7">
        <f t="shared" si="18"/>
        <v>7</v>
      </c>
      <c r="B87" s="7">
        <f>VLOOKUP($A87,$A$2:B$51,B$83)</f>
        <v>42.051685333251953</v>
      </c>
      <c r="C87" s="7">
        <f>VLOOKUP($A87,$A$2:C$51,C$83)</f>
        <v>40.545402526855469</v>
      </c>
      <c r="D87" s="7">
        <f>VLOOKUP($A87,$A$2:D$51,D$83)</f>
        <v>40.6409912109375</v>
      </c>
      <c r="E87" s="7">
        <f>VLOOKUP($A87,$A$2:E$51,E$83)</f>
        <v>40.177570343017578</v>
      </c>
      <c r="F87" s="7">
        <f>VLOOKUP($A87,$A$2:F$51,F$83)</f>
        <v>37.711257934570313</v>
      </c>
      <c r="G87" s="7">
        <f>VLOOKUP($A87,$A$2:G$51,G$83)</f>
        <v>42.399734497070313</v>
      </c>
      <c r="H87" s="7">
        <f>VLOOKUP($A87,$A$2:H$51,H$83)</f>
        <v>0</v>
      </c>
      <c r="I87" s="7">
        <f>VLOOKUP($A87,$A$2:I$51,I$83)</f>
        <v>0</v>
      </c>
      <c r="J87" s="7">
        <f>VLOOKUP($A87,$A$2:J$51,J$83)</f>
        <v>0</v>
      </c>
      <c r="K87" s="7">
        <f>VLOOKUP($A87,$A$2:K$51,K$83)</f>
        <v>0</v>
      </c>
      <c r="L87" s="7">
        <f>VLOOKUP($A87,$A$2:L$51,L$83)</f>
        <v>0</v>
      </c>
      <c r="M87" s="7">
        <f>VLOOKUP($A87,$A$2:M$51,M$83)</f>
        <v>0</v>
      </c>
      <c r="N87" s="7">
        <f>VLOOKUP($A87,$A$2:N$51,N$83)</f>
        <v>0</v>
      </c>
      <c r="O87" s="7">
        <f>VLOOKUP($A87,$A$2:O$51,O$83)</f>
        <v>0</v>
      </c>
      <c r="P87" s="7">
        <f>VLOOKUP($A87,$A$2:P$51,P$83)</f>
        <v>0</v>
      </c>
      <c r="Q87" s="7">
        <f>VLOOKUP($A87,$A$2:Q$51,Q$83)</f>
        <v>0</v>
      </c>
      <c r="R87" s="7">
        <f>VLOOKUP($A87,$A$2:R$51,R$83)</f>
        <v>0</v>
      </c>
      <c r="S87" s="7">
        <f>VLOOKUP($A87,$A$2:S$51,S$83)</f>
        <v>0</v>
      </c>
      <c r="T87" s="7">
        <f>VLOOKUP($A87,$A$2:T$51,T$83)</f>
        <v>0</v>
      </c>
      <c r="U87" s="7">
        <f>VLOOKUP($A87,$A$2:U$51,U$83)</f>
        <v>0</v>
      </c>
      <c r="V87" s="7">
        <f>VLOOKUP($A87,$A$2:V$51,V$83)</f>
        <v>0</v>
      </c>
      <c r="W87" s="7">
        <f>VLOOKUP($A87,$A$2:W$51,W$83)</f>
        <v>0</v>
      </c>
      <c r="X87" s="7">
        <f>VLOOKUP($A87,$A$2:X$51,X$83)</f>
        <v>0</v>
      </c>
      <c r="Y87" s="7">
        <f>VLOOKUP($A87,$A$2:Y$51,Y$83)</f>
        <v>0</v>
      </c>
      <c r="Z87" s="7">
        <f>VLOOKUP($A87,$A$2:Z$51,Z$83)</f>
        <v>0</v>
      </c>
      <c r="AA87" s="7">
        <f>VLOOKUP($A87,$A$2:AA$51,AA$83)</f>
        <v>0</v>
      </c>
      <c r="AB87" s="7">
        <f>VLOOKUP($A87,$A$2:AB$51,AB$83)</f>
        <v>0</v>
      </c>
      <c r="AC87" s="7">
        <f>VLOOKUP($A87,$A$2:AC$51,AC$83)</f>
        <v>0</v>
      </c>
      <c r="AD87" s="7">
        <f>VLOOKUP($A87,$A$2:AD$51,AD$83)</f>
        <v>0</v>
      </c>
      <c r="AE87" s="7">
        <f>VLOOKUP($A87,$A$2:AE$51,AE$83)</f>
        <v>0</v>
      </c>
      <c r="AF87" s="7">
        <f>VLOOKUP($A87,$A$2:AF$51,AF$83)</f>
        <v>0</v>
      </c>
      <c r="AG87" s="7">
        <f>VLOOKUP($A87,$A$2:AG$51,AG$83)</f>
        <v>0</v>
      </c>
    </row>
    <row r="88" spans="1:33" s="7" customFormat="1">
      <c r="A88" s="7">
        <f t="shared" si="18"/>
        <v>9</v>
      </c>
      <c r="B88" s="7">
        <f>VLOOKUP($A88,$A$2:B$51,B$83)</f>
        <v>38.703662872314453</v>
      </c>
      <c r="C88" s="7">
        <f>VLOOKUP($A88,$A$2:C$51,C$83)</f>
        <v>37.212394714355469</v>
      </c>
      <c r="D88" s="7">
        <f>VLOOKUP($A88,$A$2:D$51,D$83)</f>
        <v>38.161117553710938</v>
      </c>
      <c r="E88" s="7">
        <f>VLOOKUP($A88,$A$2:E$51,E$83)</f>
        <v>36.804759979248047</v>
      </c>
      <c r="F88" s="7">
        <f>VLOOKUP($A88,$A$2:F$51,F$83)</f>
        <v>34.620540618896484</v>
      </c>
      <c r="G88" s="7">
        <f>VLOOKUP($A88,$A$2:G$51,G$83)</f>
        <v>38.911636352539062</v>
      </c>
      <c r="H88" s="7">
        <f>VLOOKUP($A88,$A$2:H$51,H$83)</f>
        <v>0</v>
      </c>
      <c r="I88" s="7">
        <f>VLOOKUP($A88,$A$2:I$51,I$83)</f>
        <v>0</v>
      </c>
      <c r="J88" s="7">
        <f>VLOOKUP($A88,$A$2:J$51,J$83)</f>
        <v>0</v>
      </c>
      <c r="K88" s="7">
        <f>VLOOKUP($A88,$A$2:K$51,K$83)</f>
        <v>0</v>
      </c>
      <c r="L88" s="7">
        <f>VLOOKUP($A88,$A$2:L$51,L$83)</f>
        <v>0</v>
      </c>
      <c r="M88" s="7">
        <f>VLOOKUP($A88,$A$2:M$51,M$83)</f>
        <v>0</v>
      </c>
      <c r="N88" s="7">
        <f>VLOOKUP($A88,$A$2:N$51,N$83)</f>
        <v>0</v>
      </c>
      <c r="O88" s="7">
        <f>VLOOKUP($A88,$A$2:O$51,O$83)</f>
        <v>0</v>
      </c>
      <c r="P88" s="7">
        <f>VLOOKUP($A88,$A$2:P$51,P$83)</f>
        <v>0</v>
      </c>
      <c r="Q88" s="7">
        <f>VLOOKUP($A88,$A$2:Q$51,Q$83)</f>
        <v>0</v>
      </c>
      <c r="R88" s="7">
        <f>VLOOKUP($A88,$A$2:R$51,R$83)</f>
        <v>0</v>
      </c>
      <c r="S88" s="7">
        <f>VLOOKUP($A88,$A$2:S$51,S$83)</f>
        <v>0</v>
      </c>
      <c r="T88" s="7">
        <f>VLOOKUP($A88,$A$2:T$51,T$83)</f>
        <v>0</v>
      </c>
      <c r="U88" s="7">
        <f>VLOOKUP($A88,$A$2:U$51,U$83)</f>
        <v>0</v>
      </c>
      <c r="V88" s="7">
        <f>VLOOKUP($A88,$A$2:V$51,V$83)</f>
        <v>0</v>
      </c>
      <c r="W88" s="7">
        <f>VLOOKUP($A88,$A$2:W$51,W$83)</f>
        <v>0</v>
      </c>
      <c r="X88" s="7">
        <f>VLOOKUP($A88,$A$2:X$51,X$83)</f>
        <v>0</v>
      </c>
      <c r="Y88" s="7">
        <f>VLOOKUP($A88,$A$2:Y$51,Y$83)</f>
        <v>0</v>
      </c>
      <c r="Z88" s="7">
        <f>VLOOKUP($A88,$A$2:Z$51,Z$83)</f>
        <v>0</v>
      </c>
      <c r="AA88" s="7">
        <f>VLOOKUP($A88,$A$2:AA$51,AA$83)</f>
        <v>0</v>
      </c>
      <c r="AB88" s="7">
        <f>VLOOKUP($A88,$A$2:AB$51,AB$83)</f>
        <v>0</v>
      </c>
      <c r="AC88" s="7">
        <f>VLOOKUP($A88,$A$2:AC$51,AC$83)</f>
        <v>0</v>
      </c>
      <c r="AD88" s="7">
        <f>VLOOKUP($A88,$A$2:AD$51,AD$83)</f>
        <v>0</v>
      </c>
      <c r="AE88" s="7">
        <f>VLOOKUP($A88,$A$2:AE$51,AE$83)</f>
        <v>0</v>
      </c>
      <c r="AF88" s="7">
        <f>VLOOKUP($A88,$A$2:AF$51,AF$83)</f>
        <v>0</v>
      </c>
      <c r="AG88" s="7">
        <f>VLOOKUP($A88,$A$2:AG$51,AG$83)</f>
        <v>0</v>
      </c>
    </row>
    <row r="89" spans="1:33" s="7" customFormat="1">
      <c r="A89" s="7">
        <f t="shared" si="18"/>
        <v>11</v>
      </c>
      <c r="B89" s="7">
        <f>VLOOKUP($A89,$A$2:B$51,B$83)</f>
        <v>28.35780143737793</v>
      </c>
      <c r="C89" s="7">
        <f>VLOOKUP($A89,$A$2:C$51,C$83)</f>
        <v>27.627548217773438</v>
      </c>
      <c r="D89" s="7">
        <f>VLOOKUP($A89,$A$2:D$51,D$83)</f>
        <v>28.250665664672852</v>
      </c>
      <c r="E89" s="7">
        <f>VLOOKUP($A89,$A$2:E$51,E$83)</f>
        <v>27.323822021484375</v>
      </c>
      <c r="F89" s="7">
        <f>VLOOKUP($A89,$A$2:F$51,F$83)</f>
        <v>25.678108215332031</v>
      </c>
      <c r="G89" s="7">
        <f>VLOOKUP($A89,$A$2:G$51,G$83)</f>
        <v>28.72313117980957</v>
      </c>
      <c r="H89" s="7">
        <f>VLOOKUP($A89,$A$2:H$51,H$83)</f>
        <v>0</v>
      </c>
      <c r="I89" s="7">
        <f>VLOOKUP($A89,$A$2:I$51,I$83)</f>
        <v>0</v>
      </c>
      <c r="J89" s="7">
        <f>VLOOKUP($A89,$A$2:J$51,J$83)</f>
        <v>0</v>
      </c>
      <c r="K89" s="7">
        <f>VLOOKUP($A89,$A$2:K$51,K$83)</f>
        <v>0</v>
      </c>
      <c r="L89" s="7">
        <f>VLOOKUP($A89,$A$2:L$51,L$83)</f>
        <v>0</v>
      </c>
      <c r="M89" s="7">
        <f>VLOOKUP($A89,$A$2:M$51,M$83)</f>
        <v>0</v>
      </c>
      <c r="N89" s="7">
        <f>VLOOKUP($A89,$A$2:N$51,N$83)</f>
        <v>0</v>
      </c>
      <c r="O89" s="7">
        <f>VLOOKUP($A89,$A$2:O$51,O$83)</f>
        <v>0</v>
      </c>
      <c r="P89" s="7">
        <f>VLOOKUP($A89,$A$2:P$51,P$83)</f>
        <v>0</v>
      </c>
      <c r="Q89" s="7">
        <f>VLOOKUP($A89,$A$2:Q$51,Q$83)</f>
        <v>0</v>
      </c>
      <c r="R89" s="7">
        <f>VLOOKUP($A89,$A$2:R$51,R$83)</f>
        <v>0</v>
      </c>
      <c r="S89" s="7">
        <f>VLOOKUP($A89,$A$2:S$51,S$83)</f>
        <v>0</v>
      </c>
      <c r="T89" s="7">
        <f>VLOOKUP($A89,$A$2:T$51,T$83)</f>
        <v>0</v>
      </c>
      <c r="U89" s="7">
        <f>VLOOKUP($A89,$A$2:U$51,U$83)</f>
        <v>0</v>
      </c>
      <c r="V89" s="7">
        <f>VLOOKUP($A89,$A$2:V$51,V$83)</f>
        <v>0</v>
      </c>
      <c r="W89" s="7">
        <f>VLOOKUP($A89,$A$2:W$51,W$83)</f>
        <v>0</v>
      </c>
      <c r="X89" s="7">
        <f>VLOOKUP($A89,$A$2:X$51,X$83)</f>
        <v>0</v>
      </c>
      <c r="Y89" s="7">
        <f>VLOOKUP($A89,$A$2:Y$51,Y$83)</f>
        <v>0</v>
      </c>
      <c r="Z89" s="7">
        <f>VLOOKUP($A89,$A$2:Z$51,Z$83)</f>
        <v>0</v>
      </c>
      <c r="AA89" s="7">
        <f>VLOOKUP($A89,$A$2:AA$51,AA$83)</f>
        <v>0</v>
      </c>
      <c r="AB89" s="7">
        <f>VLOOKUP($A89,$A$2:AB$51,AB$83)</f>
        <v>0</v>
      </c>
      <c r="AC89" s="7">
        <f>VLOOKUP($A89,$A$2:AC$51,AC$83)</f>
        <v>0</v>
      </c>
      <c r="AD89" s="7">
        <f>VLOOKUP($A89,$A$2:AD$51,AD$83)</f>
        <v>0</v>
      </c>
      <c r="AE89" s="7">
        <f>VLOOKUP($A89,$A$2:AE$51,AE$83)</f>
        <v>0</v>
      </c>
      <c r="AF89" s="7">
        <f>VLOOKUP($A89,$A$2:AF$51,AF$83)</f>
        <v>0</v>
      </c>
      <c r="AG89" s="7">
        <f>VLOOKUP($A89,$A$2:AG$51,AG$83)</f>
        <v>0</v>
      </c>
    </row>
    <row r="90" spans="1:33" s="7" customFormat="1">
      <c r="A90" s="7">
        <f t="shared" si="18"/>
        <v>13</v>
      </c>
      <c r="B90" s="7">
        <f>VLOOKUP($A90,$A$2:B$51,B$83)</f>
        <v>23.052022933959961</v>
      </c>
      <c r="C90" s="7">
        <f>VLOOKUP($A90,$A$2:C$51,C$83)</f>
        <v>22.802629470825195</v>
      </c>
      <c r="D90" s="7">
        <f>VLOOKUP($A90,$A$2:D$51,D$83)</f>
        <v>22.910331726074219</v>
      </c>
      <c r="E90" s="7">
        <f>VLOOKUP($A90,$A$2:E$51,E$83)</f>
        <v>22.397983551025391</v>
      </c>
      <c r="F90" s="7">
        <f>VLOOKUP($A90,$A$2:F$51,F$83)</f>
        <v>20.784967422485352</v>
      </c>
      <c r="G90" s="7">
        <f>VLOOKUP($A90,$A$2:G$51,G$83)</f>
        <v>23.265647888183594</v>
      </c>
      <c r="H90" s="7">
        <f>VLOOKUP($A90,$A$2:H$51,H$83)</f>
        <v>0</v>
      </c>
      <c r="I90" s="7">
        <f>VLOOKUP($A90,$A$2:I$51,I$83)</f>
        <v>0</v>
      </c>
      <c r="J90" s="7">
        <f>VLOOKUP($A90,$A$2:J$51,J$83)</f>
        <v>0</v>
      </c>
      <c r="K90" s="7">
        <f>VLOOKUP($A90,$A$2:K$51,K$83)</f>
        <v>0</v>
      </c>
      <c r="L90" s="7">
        <f>VLOOKUP($A90,$A$2:L$51,L$83)</f>
        <v>0</v>
      </c>
      <c r="M90" s="7">
        <f>VLOOKUP($A90,$A$2:M$51,M$83)</f>
        <v>0</v>
      </c>
      <c r="N90" s="7">
        <f>VLOOKUP($A90,$A$2:N$51,N$83)</f>
        <v>0</v>
      </c>
      <c r="O90" s="7">
        <f>VLOOKUP($A90,$A$2:O$51,O$83)</f>
        <v>0</v>
      </c>
      <c r="P90" s="7">
        <f>VLOOKUP($A90,$A$2:P$51,P$83)</f>
        <v>0</v>
      </c>
      <c r="Q90" s="7">
        <f>VLOOKUP($A90,$A$2:Q$51,Q$83)</f>
        <v>0</v>
      </c>
      <c r="R90" s="7">
        <f>VLOOKUP($A90,$A$2:R$51,R$83)</f>
        <v>0</v>
      </c>
      <c r="S90" s="7">
        <f>VLOOKUP($A90,$A$2:S$51,S$83)</f>
        <v>0</v>
      </c>
      <c r="T90" s="7">
        <f>VLOOKUP($A90,$A$2:T$51,T$83)</f>
        <v>0</v>
      </c>
      <c r="U90" s="7">
        <f>VLOOKUP($A90,$A$2:U$51,U$83)</f>
        <v>0</v>
      </c>
      <c r="V90" s="7">
        <f>VLOOKUP($A90,$A$2:V$51,V$83)</f>
        <v>0</v>
      </c>
      <c r="W90" s="7">
        <f>VLOOKUP($A90,$A$2:W$51,W$83)</f>
        <v>0</v>
      </c>
      <c r="X90" s="7">
        <f>VLOOKUP($A90,$A$2:X$51,X$83)</f>
        <v>0</v>
      </c>
      <c r="Y90" s="7">
        <f>VLOOKUP($A90,$A$2:Y$51,Y$83)</f>
        <v>0</v>
      </c>
      <c r="Z90" s="7">
        <f>VLOOKUP($A90,$A$2:Z$51,Z$83)</f>
        <v>0</v>
      </c>
      <c r="AA90" s="7">
        <f>VLOOKUP($A90,$A$2:AA$51,AA$83)</f>
        <v>0</v>
      </c>
      <c r="AB90" s="7">
        <f>VLOOKUP($A90,$A$2:AB$51,AB$83)</f>
        <v>0</v>
      </c>
      <c r="AC90" s="7">
        <f>VLOOKUP($A90,$A$2:AC$51,AC$83)</f>
        <v>0</v>
      </c>
      <c r="AD90" s="7">
        <f>VLOOKUP($A90,$A$2:AD$51,AD$83)</f>
        <v>0</v>
      </c>
      <c r="AE90" s="7">
        <f>VLOOKUP($A90,$A$2:AE$51,AE$83)</f>
        <v>0</v>
      </c>
      <c r="AF90" s="7">
        <f>VLOOKUP($A90,$A$2:AF$51,AF$83)</f>
        <v>0</v>
      </c>
      <c r="AG90" s="7">
        <f>VLOOKUP($A90,$A$2:AG$51,AG$83)</f>
        <v>0</v>
      </c>
    </row>
    <row r="91" spans="1:33" s="7" customFormat="1">
      <c r="A91" s="7">
        <f t="shared" si="18"/>
        <v>15</v>
      </c>
      <c r="B91" s="7">
        <f>VLOOKUP($A91,$A$2:B$51,B$83)</f>
        <v>17.709184646606445</v>
      </c>
      <c r="C91" s="7">
        <f>VLOOKUP($A91,$A$2:C$51,C$83)</f>
        <v>17.44727897644043</v>
      </c>
      <c r="D91" s="7">
        <f>VLOOKUP($A91,$A$2:D$51,D$83)</f>
        <v>17.682380676269531</v>
      </c>
      <c r="E91" s="7">
        <f>VLOOKUP($A91,$A$2:E$51,E$83)</f>
        <v>17.157922744750977</v>
      </c>
      <c r="F91" s="7">
        <f>VLOOKUP($A91,$A$2:F$51,F$83)</f>
        <v>15.973370552062988</v>
      </c>
      <c r="G91" s="7">
        <f>VLOOKUP($A91,$A$2:G$51,G$83)</f>
        <v>17.996603012084961</v>
      </c>
      <c r="H91" s="7">
        <f>VLOOKUP($A91,$A$2:H$51,H$83)</f>
        <v>0</v>
      </c>
      <c r="I91" s="7">
        <f>VLOOKUP($A91,$A$2:I$51,I$83)</f>
        <v>0</v>
      </c>
      <c r="J91" s="7">
        <f>VLOOKUP($A91,$A$2:J$51,J$83)</f>
        <v>0</v>
      </c>
      <c r="K91" s="7">
        <f>VLOOKUP($A91,$A$2:K$51,K$83)</f>
        <v>0</v>
      </c>
      <c r="L91" s="7">
        <f>VLOOKUP($A91,$A$2:L$51,L$83)</f>
        <v>0</v>
      </c>
      <c r="M91" s="7">
        <f>VLOOKUP($A91,$A$2:M$51,M$83)</f>
        <v>0</v>
      </c>
      <c r="N91" s="7">
        <f>VLOOKUP($A91,$A$2:N$51,N$83)</f>
        <v>0</v>
      </c>
      <c r="O91" s="7">
        <f>VLOOKUP($A91,$A$2:O$51,O$83)</f>
        <v>0</v>
      </c>
      <c r="P91" s="7">
        <f>VLOOKUP($A91,$A$2:P$51,P$83)</f>
        <v>0</v>
      </c>
      <c r="Q91" s="7">
        <f>VLOOKUP($A91,$A$2:Q$51,Q$83)</f>
        <v>0</v>
      </c>
      <c r="R91" s="7">
        <f>VLOOKUP($A91,$A$2:R$51,R$83)</f>
        <v>0</v>
      </c>
      <c r="S91" s="7">
        <f>VLOOKUP($A91,$A$2:S$51,S$83)</f>
        <v>0</v>
      </c>
      <c r="T91" s="7">
        <f>VLOOKUP($A91,$A$2:T$51,T$83)</f>
        <v>0</v>
      </c>
      <c r="U91" s="7">
        <f>VLOOKUP($A91,$A$2:U$51,U$83)</f>
        <v>0</v>
      </c>
      <c r="V91" s="7">
        <f>VLOOKUP($A91,$A$2:V$51,V$83)</f>
        <v>0</v>
      </c>
      <c r="W91" s="7">
        <f>VLOOKUP($A91,$A$2:W$51,W$83)</f>
        <v>0</v>
      </c>
      <c r="X91" s="7">
        <f>VLOOKUP($A91,$A$2:X$51,X$83)</f>
        <v>0</v>
      </c>
      <c r="Y91" s="7">
        <f>VLOOKUP($A91,$A$2:Y$51,Y$83)</f>
        <v>0</v>
      </c>
      <c r="Z91" s="7">
        <f>VLOOKUP($A91,$A$2:Z$51,Z$83)</f>
        <v>0</v>
      </c>
      <c r="AA91" s="7">
        <f>VLOOKUP($A91,$A$2:AA$51,AA$83)</f>
        <v>0</v>
      </c>
      <c r="AB91" s="7">
        <f>VLOOKUP($A91,$A$2:AB$51,AB$83)</f>
        <v>0</v>
      </c>
      <c r="AC91" s="7">
        <f>VLOOKUP($A91,$A$2:AC$51,AC$83)</f>
        <v>0</v>
      </c>
      <c r="AD91" s="7">
        <f>VLOOKUP($A91,$A$2:AD$51,AD$83)</f>
        <v>0</v>
      </c>
      <c r="AE91" s="7">
        <f>VLOOKUP($A91,$A$2:AE$51,AE$83)</f>
        <v>0</v>
      </c>
      <c r="AF91" s="7">
        <f>VLOOKUP($A91,$A$2:AF$51,AF$83)</f>
        <v>0</v>
      </c>
      <c r="AG91" s="7">
        <f>VLOOKUP($A91,$A$2:AG$51,AG$83)</f>
        <v>0</v>
      </c>
    </row>
    <row r="92" spans="1:33" s="7" customFormat="1">
      <c r="A92" s="7">
        <f t="shared" si="18"/>
        <v>17</v>
      </c>
      <c r="B92" s="7">
        <f>VLOOKUP($A92,$A$2:B$51,B$83)</f>
        <v>13.308047294616699</v>
      </c>
      <c r="C92" s="7">
        <f>VLOOKUP($A92,$A$2:C$51,C$83)</f>
        <v>13.156667709350586</v>
      </c>
      <c r="D92" s="7">
        <f>VLOOKUP($A92,$A$2:D$51,D$83)</f>
        <v>13.283261299133301</v>
      </c>
      <c r="E92" s="7">
        <f>VLOOKUP($A92,$A$2:E$51,E$83)</f>
        <v>12.923826217651367</v>
      </c>
      <c r="F92" s="7">
        <f>VLOOKUP($A92,$A$2:F$51,F$83)</f>
        <v>11.954030990600586</v>
      </c>
      <c r="G92" s="7">
        <f>VLOOKUP($A92,$A$2:G$51,G$83)</f>
        <v>13.495757102966309</v>
      </c>
      <c r="H92" s="7">
        <f>VLOOKUP($A92,$A$2:H$51,H$83)</f>
        <v>0</v>
      </c>
      <c r="I92" s="7">
        <f>VLOOKUP($A92,$A$2:I$51,I$83)</f>
        <v>0</v>
      </c>
      <c r="J92" s="7">
        <f>VLOOKUP($A92,$A$2:J$51,J$83)</f>
        <v>0</v>
      </c>
      <c r="K92" s="7">
        <f>VLOOKUP($A92,$A$2:K$51,K$83)</f>
        <v>0</v>
      </c>
      <c r="L92" s="7">
        <f>VLOOKUP($A92,$A$2:L$51,L$83)</f>
        <v>0</v>
      </c>
      <c r="M92" s="7">
        <f>VLOOKUP($A92,$A$2:M$51,M$83)</f>
        <v>0</v>
      </c>
      <c r="N92" s="7">
        <f>VLOOKUP($A92,$A$2:N$51,N$83)</f>
        <v>0</v>
      </c>
      <c r="O92" s="7">
        <f>VLOOKUP($A92,$A$2:O$51,O$83)</f>
        <v>0</v>
      </c>
      <c r="P92" s="7">
        <f>VLOOKUP($A92,$A$2:P$51,P$83)</f>
        <v>0</v>
      </c>
      <c r="Q92" s="7">
        <f>VLOOKUP($A92,$A$2:Q$51,Q$83)</f>
        <v>0</v>
      </c>
      <c r="R92" s="7">
        <f>VLOOKUP($A92,$A$2:R$51,R$83)</f>
        <v>0</v>
      </c>
      <c r="S92" s="7">
        <f>VLOOKUP($A92,$A$2:S$51,S$83)</f>
        <v>0</v>
      </c>
      <c r="T92" s="7">
        <f>VLOOKUP($A92,$A$2:T$51,T$83)</f>
        <v>0</v>
      </c>
      <c r="U92" s="7">
        <f>VLOOKUP($A92,$A$2:U$51,U$83)</f>
        <v>0</v>
      </c>
      <c r="V92" s="7">
        <f>VLOOKUP($A92,$A$2:V$51,V$83)</f>
        <v>0</v>
      </c>
      <c r="W92" s="7">
        <f>VLOOKUP($A92,$A$2:W$51,W$83)</f>
        <v>0</v>
      </c>
      <c r="X92" s="7">
        <f>VLOOKUP($A92,$A$2:X$51,X$83)</f>
        <v>0</v>
      </c>
      <c r="Y92" s="7">
        <f>VLOOKUP($A92,$A$2:Y$51,Y$83)</f>
        <v>0</v>
      </c>
      <c r="Z92" s="7">
        <f>VLOOKUP($A92,$A$2:Z$51,Z$83)</f>
        <v>0</v>
      </c>
      <c r="AA92" s="7">
        <f>VLOOKUP($A92,$A$2:AA$51,AA$83)</f>
        <v>0</v>
      </c>
      <c r="AB92" s="7">
        <f>VLOOKUP($A92,$A$2:AB$51,AB$83)</f>
        <v>0</v>
      </c>
      <c r="AC92" s="7">
        <f>VLOOKUP($A92,$A$2:AC$51,AC$83)</f>
        <v>0</v>
      </c>
      <c r="AD92" s="7">
        <f>VLOOKUP($A92,$A$2:AD$51,AD$83)</f>
        <v>0</v>
      </c>
      <c r="AE92" s="7">
        <f>VLOOKUP($A92,$A$2:AE$51,AE$83)</f>
        <v>0</v>
      </c>
      <c r="AF92" s="7">
        <f>VLOOKUP($A92,$A$2:AF$51,AF$83)</f>
        <v>0</v>
      </c>
      <c r="AG92" s="7">
        <f>VLOOKUP($A92,$A$2:AG$51,AG$83)</f>
        <v>0</v>
      </c>
    </row>
    <row r="93" spans="1:33" s="7" customFormat="1">
      <c r="A93" s="7">
        <f t="shared" si="18"/>
        <v>19</v>
      </c>
      <c r="B93" s="7">
        <f>VLOOKUP($A93,$A$2:B$51,B$83)</f>
        <v>10.000876426696777</v>
      </c>
      <c r="C93" s="7">
        <f>VLOOKUP($A93,$A$2:C$51,C$83)</f>
        <v>9.6807594299316406</v>
      </c>
      <c r="D93" s="7">
        <f>VLOOKUP($A93,$A$2:D$51,D$83)</f>
        <v>9.7544708251953125</v>
      </c>
      <c r="E93" s="7">
        <f>VLOOKUP($A93,$A$2:E$51,E$83)</f>
        <v>9.4605932235717773</v>
      </c>
      <c r="F93" s="7">
        <f>VLOOKUP($A93,$A$2:F$51,F$83)</f>
        <v>8.6889228820800781</v>
      </c>
      <c r="G93" s="7">
        <f>VLOOKUP($A93,$A$2:G$51,G$83)</f>
        <v>10.030263900756836</v>
      </c>
      <c r="H93" s="7">
        <f>VLOOKUP($A93,$A$2:H$51,H$83)</f>
        <v>0</v>
      </c>
      <c r="I93" s="7">
        <f>VLOOKUP($A93,$A$2:I$51,I$83)</f>
        <v>0</v>
      </c>
      <c r="J93" s="7">
        <f>VLOOKUP($A93,$A$2:J$51,J$83)</f>
        <v>0</v>
      </c>
      <c r="K93" s="7">
        <f>VLOOKUP($A93,$A$2:K$51,K$83)</f>
        <v>0</v>
      </c>
      <c r="L93" s="7">
        <f>VLOOKUP($A93,$A$2:L$51,L$83)</f>
        <v>0</v>
      </c>
      <c r="M93" s="7">
        <f>VLOOKUP($A93,$A$2:M$51,M$83)</f>
        <v>0</v>
      </c>
      <c r="N93" s="7">
        <f>VLOOKUP($A93,$A$2:N$51,N$83)</f>
        <v>0</v>
      </c>
      <c r="O93" s="7">
        <f>VLOOKUP($A93,$A$2:O$51,O$83)</f>
        <v>0</v>
      </c>
      <c r="P93" s="7">
        <f>VLOOKUP($A93,$A$2:P$51,P$83)</f>
        <v>0</v>
      </c>
      <c r="Q93" s="7">
        <f>VLOOKUP($A93,$A$2:Q$51,Q$83)</f>
        <v>0</v>
      </c>
      <c r="R93" s="7">
        <f>VLOOKUP($A93,$A$2:R$51,R$83)</f>
        <v>0</v>
      </c>
      <c r="S93" s="7">
        <f>VLOOKUP($A93,$A$2:S$51,S$83)</f>
        <v>0</v>
      </c>
      <c r="T93" s="7">
        <f>VLOOKUP($A93,$A$2:T$51,T$83)</f>
        <v>0</v>
      </c>
      <c r="U93" s="7">
        <f>VLOOKUP($A93,$A$2:U$51,U$83)</f>
        <v>0</v>
      </c>
      <c r="V93" s="7">
        <f>VLOOKUP($A93,$A$2:V$51,V$83)</f>
        <v>0</v>
      </c>
      <c r="W93" s="7">
        <f>VLOOKUP($A93,$A$2:W$51,W$83)</f>
        <v>0</v>
      </c>
      <c r="X93" s="7">
        <f>VLOOKUP($A93,$A$2:X$51,X$83)</f>
        <v>0</v>
      </c>
      <c r="Y93" s="7">
        <f>VLOOKUP($A93,$A$2:Y$51,Y$83)</f>
        <v>0</v>
      </c>
      <c r="Z93" s="7">
        <f>VLOOKUP($A93,$A$2:Z$51,Z$83)</f>
        <v>0</v>
      </c>
      <c r="AA93" s="7">
        <f>VLOOKUP($A93,$A$2:AA$51,AA$83)</f>
        <v>0</v>
      </c>
      <c r="AB93" s="7">
        <f>VLOOKUP($A93,$A$2:AB$51,AB$83)</f>
        <v>0</v>
      </c>
      <c r="AC93" s="7">
        <f>VLOOKUP($A93,$A$2:AC$51,AC$83)</f>
        <v>0</v>
      </c>
      <c r="AD93" s="7">
        <f>VLOOKUP($A93,$A$2:AD$51,AD$83)</f>
        <v>0</v>
      </c>
      <c r="AE93" s="7">
        <f>VLOOKUP($A93,$A$2:AE$51,AE$83)</f>
        <v>0</v>
      </c>
      <c r="AF93" s="7">
        <f>VLOOKUP($A93,$A$2:AF$51,AF$83)</f>
        <v>0</v>
      </c>
      <c r="AG93" s="7">
        <f>VLOOKUP($A93,$A$2:AG$51,AG$83)</f>
        <v>0</v>
      </c>
    </row>
    <row r="94" spans="1:33" s="7" customFormat="1">
      <c r="A94" s="7">
        <f t="shared" si="18"/>
        <v>21</v>
      </c>
      <c r="B94" s="7">
        <f>VLOOKUP($A94,$A$2:B$51,B$83)</f>
        <v>9.1757583618164062</v>
      </c>
      <c r="C94" s="7">
        <f>VLOOKUP($A94,$A$2:C$51,C$83)</f>
        <v>8.9949111938476563</v>
      </c>
      <c r="D94" s="7">
        <f>VLOOKUP($A94,$A$2:D$51,D$83)</f>
        <v>9.2639217376708984</v>
      </c>
      <c r="E94" s="7">
        <f>VLOOKUP($A94,$A$2:E$51,E$83)</f>
        <v>8.7304210662841797</v>
      </c>
      <c r="F94" s="7">
        <f>VLOOKUP($A94,$A$2:F$51,F$83)</f>
        <v>8.1286993026733398</v>
      </c>
      <c r="G94" s="7">
        <f>VLOOKUP($A94,$A$2:G$51,G$83)</f>
        <v>9.2526187896728516</v>
      </c>
      <c r="H94" s="7">
        <f>VLOOKUP($A94,$A$2:H$51,H$83)</f>
        <v>0</v>
      </c>
      <c r="I94" s="7">
        <f>VLOOKUP($A94,$A$2:I$51,I$83)</f>
        <v>0</v>
      </c>
      <c r="J94" s="7">
        <f>VLOOKUP($A94,$A$2:J$51,J$83)</f>
        <v>0</v>
      </c>
      <c r="K94" s="7">
        <f>VLOOKUP($A94,$A$2:K$51,K$83)</f>
        <v>0</v>
      </c>
      <c r="L94" s="7">
        <f>VLOOKUP($A94,$A$2:L$51,L$83)</f>
        <v>0</v>
      </c>
      <c r="M94" s="7">
        <f>VLOOKUP($A94,$A$2:M$51,M$83)</f>
        <v>0</v>
      </c>
      <c r="N94" s="7">
        <f>VLOOKUP($A94,$A$2:N$51,N$83)</f>
        <v>0</v>
      </c>
      <c r="O94" s="7">
        <f>VLOOKUP($A94,$A$2:O$51,O$83)</f>
        <v>0</v>
      </c>
      <c r="P94" s="7">
        <f>VLOOKUP($A94,$A$2:P$51,P$83)</f>
        <v>0</v>
      </c>
      <c r="Q94" s="7">
        <f>VLOOKUP($A94,$A$2:Q$51,Q$83)</f>
        <v>0</v>
      </c>
      <c r="R94" s="7">
        <f>VLOOKUP($A94,$A$2:R$51,R$83)</f>
        <v>0</v>
      </c>
      <c r="S94" s="7">
        <f>VLOOKUP($A94,$A$2:S$51,S$83)</f>
        <v>0</v>
      </c>
      <c r="T94" s="7">
        <f>VLOOKUP($A94,$A$2:T$51,T$83)</f>
        <v>0</v>
      </c>
      <c r="U94" s="7">
        <f>VLOOKUP($A94,$A$2:U$51,U$83)</f>
        <v>0</v>
      </c>
      <c r="V94" s="7">
        <f>VLOOKUP($A94,$A$2:V$51,V$83)</f>
        <v>0</v>
      </c>
      <c r="W94" s="7">
        <f>VLOOKUP($A94,$A$2:W$51,W$83)</f>
        <v>0</v>
      </c>
      <c r="X94" s="7">
        <f>VLOOKUP($A94,$A$2:X$51,X$83)</f>
        <v>0</v>
      </c>
      <c r="Y94" s="7">
        <f>VLOOKUP($A94,$A$2:Y$51,Y$83)</f>
        <v>0</v>
      </c>
      <c r="Z94" s="7">
        <f>VLOOKUP($A94,$A$2:Z$51,Z$83)</f>
        <v>0</v>
      </c>
      <c r="AA94" s="7">
        <f>VLOOKUP($A94,$A$2:AA$51,AA$83)</f>
        <v>0</v>
      </c>
      <c r="AB94" s="7">
        <f>VLOOKUP($A94,$A$2:AB$51,AB$83)</f>
        <v>0</v>
      </c>
      <c r="AC94" s="7">
        <f>VLOOKUP($A94,$A$2:AC$51,AC$83)</f>
        <v>0</v>
      </c>
      <c r="AD94" s="7">
        <f>VLOOKUP($A94,$A$2:AD$51,AD$83)</f>
        <v>0</v>
      </c>
      <c r="AE94" s="7">
        <f>VLOOKUP($A94,$A$2:AE$51,AE$83)</f>
        <v>0</v>
      </c>
      <c r="AF94" s="7">
        <f>VLOOKUP($A94,$A$2:AF$51,AF$83)</f>
        <v>0</v>
      </c>
      <c r="AG94" s="7">
        <f>VLOOKUP($A94,$A$2:AG$51,AG$83)</f>
        <v>0</v>
      </c>
    </row>
    <row r="95" spans="1:33" s="7" customFormat="1">
      <c r="A95" s="7">
        <f t="shared" si="18"/>
        <v>23</v>
      </c>
      <c r="B95" s="7">
        <f>VLOOKUP($A95,$A$2:B$51,B$83)</f>
        <v>8.4861955642700195</v>
      </c>
      <c r="C95" s="7">
        <f>VLOOKUP($A95,$A$2:C$51,C$83)</f>
        <v>8.391331672668457</v>
      </c>
      <c r="D95" s="7">
        <f>VLOOKUP($A95,$A$2:D$51,D$83)</f>
        <v>8.6148080825805664</v>
      </c>
      <c r="E95" s="7">
        <f>VLOOKUP($A95,$A$2:E$51,E$83)</f>
        <v>8.0938215255737305</v>
      </c>
      <c r="F95" s="7">
        <f>VLOOKUP($A95,$A$2:F$51,F$83)</f>
        <v>7.6498560905456543</v>
      </c>
      <c r="G95" s="7">
        <f>VLOOKUP($A95,$A$2:G$51,G$83)</f>
        <v>8.6286945343017578</v>
      </c>
      <c r="H95" s="7">
        <f>VLOOKUP($A95,$A$2:H$51,H$83)</f>
        <v>0</v>
      </c>
      <c r="I95" s="7">
        <f>VLOOKUP($A95,$A$2:I$51,I$83)</f>
        <v>0</v>
      </c>
      <c r="J95" s="7">
        <f>VLOOKUP($A95,$A$2:J$51,J$83)</f>
        <v>0</v>
      </c>
      <c r="K95" s="7">
        <f>VLOOKUP($A95,$A$2:K$51,K$83)</f>
        <v>0</v>
      </c>
      <c r="L95" s="7">
        <f>VLOOKUP($A95,$A$2:L$51,L$83)</f>
        <v>0</v>
      </c>
      <c r="M95" s="7">
        <f>VLOOKUP($A95,$A$2:M$51,M$83)</f>
        <v>0</v>
      </c>
      <c r="N95" s="7">
        <f>VLOOKUP($A95,$A$2:N$51,N$83)</f>
        <v>0</v>
      </c>
      <c r="O95" s="7">
        <f>VLOOKUP($A95,$A$2:O$51,O$83)</f>
        <v>0</v>
      </c>
      <c r="P95" s="7">
        <f>VLOOKUP($A95,$A$2:P$51,P$83)</f>
        <v>0</v>
      </c>
      <c r="Q95" s="7">
        <f>VLOOKUP($A95,$A$2:Q$51,Q$83)</f>
        <v>0</v>
      </c>
      <c r="R95" s="7">
        <f>VLOOKUP($A95,$A$2:R$51,R$83)</f>
        <v>0</v>
      </c>
      <c r="S95" s="7">
        <f>VLOOKUP($A95,$A$2:S$51,S$83)</f>
        <v>0</v>
      </c>
      <c r="T95" s="7">
        <f>VLOOKUP($A95,$A$2:T$51,T$83)</f>
        <v>0</v>
      </c>
      <c r="U95" s="7">
        <f>VLOOKUP($A95,$A$2:U$51,U$83)</f>
        <v>0</v>
      </c>
      <c r="V95" s="7">
        <f>VLOOKUP($A95,$A$2:V$51,V$83)</f>
        <v>0</v>
      </c>
      <c r="W95" s="7">
        <f>VLOOKUP($A95,$A$2:W$51,W$83)</f>
        <v>0</v>
      </c>
      <c r="X95" s="7">
        <f>VLOOKUP($A95,$A$2:X$51,X$83)</f>
        <v>0</v>
      </c>
      <c r="Y95" s="7">
        <f>VLOOKUP($A95,$A$2:Y$51,Y$83)</f>
        <v>0</v>
      </c>
      <c r="Z95" s="7">
        <f>VLOOKUP($A95,$A$2:Z$51,Z$83)</f>
        <v>0</v>
      </c>
      <c r="AA95" s="7">
        <f>VLOOKUP($A95,$A$2:AA$51,AA$83)</f>
        <v>0</v>
      </c>
      <c r="AB95" s="7">
        <f>VLOOKUP($A95,$A$2:AB$51,AB$83)</f>
        <v>0</v>
      </c>
      <c r="AC95" s="7">
        <f>VLOOKUP($A95,$A$2:AC$51,AC$83)</f>
        <v>0</v>
      </c>
      <c r="AD95" s="7">
        <f>VLOOKUP($A95,$A$2:AD$51,AD$83)</f>
        <v>0</v>
      </c>
      <c r="AE95" s="7">
        <f>VLOOKUP($A95,$A$2:AE$51,AE$83)</f>
        <v>0</v>
      </c>
      <c r="AF95" s="7">
        <f>VLOOKUP($A95,$A$2:AF$51,AF$83)</f>
        <v>0</v>
      </c>
      <c r="AG95" s="7">
        <f>VLOOKUP($A95,$A$2:AG$51,AG$83)</f>
        <v>0</v>
      </c>
    </row>
    <row r="96" spans="1:33" s="7" customFormat="1">
      <c r="A96" s="7">
        <f t="shared" si="18"/>
        <v>25</v>
      </c>
      <c r="B96" s="7">
        <f>VLOOKUP($A96,$A$2:B$51,B$83)</f>
        <v>6.711789608001709</v>
      </c>
      <c r="C96" s="7">
        <f>VLOOKUP($A96,$A$2:C$51,C$83)</f>
        <v>6.6461515426635742</v>
      </c>
      <c r="D96" s="7">
        <f>VLOOKUP($A96,$A$2:D$51,D$83)</f>
        <v>6.8699507713317871</v>
      </c>
      <c r="E96" s="7">
        <f>VLOOKUP($A96,$A$2:E$51,E$83)</f>
        <v>6.391350269317627</v>
      </c>
      <c r="F96" s="7">
        <f>VLOOKUP($A96,$A$2:F$51,F$83)</f>
        <v>6.0064029693603516</v>
      </c>
      <c r="G96" s="7">
        <f>VLOOKUP($A96,$A$2:G$51,G$83)</f>
        <v>6.8269996643066406</v>
      </c>
      <c r="H96" s="7">
        <f>VLOOKUP($A96,$A$2:H$51,H$83)</f>
        <v>0</v>
      </c>
      <c r="I96" s="7">
        <f>VLOOKUP($A96,$A$2:I$51,I$83)</f>
        <v>0</v>
      </c>
      <c r="J96" s="7">
        <f>VLOOKUP($A96,$A$2:J$51,J$83)</f>
        <v>0</v>
      </c>
      <c r="K96" s="7">
        <f>VLOOKUP($A96,$A$2:K$51,K$83)</f>
        <v>0</v>
      </c>
      <c r="L96" s="7">
        <f>VLOOKUP($A96,$A$2:L$51,L$83)</f>
        <v>0</v>
      </c>
      <c r="M96" s="7">
        <f>VLOOKUP($A96,$A$2:M$51,M$83)</f>
        <v>0</v>
      </c>
      <c r="N96" s="7">
        <f>VLOOKUP($A96,$A$2:N$51,N$83)</f>
        <v>0</v>
      </c>
      <c r="O96" s="7">
        <f>VLOOKUP($A96,$A$2:O$51,O$83)</f>
        <v>0</v>
      </c>
      <c r="P96" s="7">
        <f>VLOOKUP($A96,$A$2:P$51,P$83)</f>
        <v>0</v>
      </c>
      <c r="Q96" s="7">
        <f>VLOOKUP($A96,$A$2:Q$51,Q$83)</f>
        <v>0</v>
      </c>
      <c r="R96" s="7">
        <f>VLOOKUP($A96,$A$2:R$51,R$83)</f>
        <v>0</v>
      </c>
      <c r="S96" s="7">
        <f>VLOOKUP($A96,$A$2:S$51,S$83)</f>
        <v>0</v>
      </c>
      <c r="T96" s="7">
        <f>VLOOKUP($A96,$A$2:T$51,T$83)</f>
        <v>0</v>
      </c>
      <c r="U96" s="7">
        <f>VLOOKUP($A96,$A$2:U$51,U$83)</f>
        <v>0</v>
      </c>
      <c r="V96" s="7">
        <f>VLOOKUP($A96,$A$2:V$51,V$83)</f>
        <v>0</v>
      </c>
      <c r="W96" s="7">
        <f>VLOOKUP($A96,$A$2:W$51,W$83)</f>
        <v>0</v>
      </c>
      <c r="X96" s="7">
        <f>VLOOKUP($A96,$A$2:X$51,X$83)</f>
        <v>0</v>
      </c>
      <c r="Y96" s="7">
        <f>VLOOKUP($A96,$A$2:Y$51,Y$83)</f>
        <v>0</v>
      </c>
      <c r="Z96" s="7">
        <f>VLOOKUP($A96,$A$2:Z$51,Z$83)</f>
        <v>0</v>
      </c>
      <c r="AA96" s="7">
        <f>VLOOKUP($A96,$A$2:AA$51,AA$83)</f>
        <v>0</v>
      </c>
      <c r="AB96" s="7">
        <f>VLOOKUP($A96,$A$2:AB$51,AB$83)</f>
        <v>0</v>
      </c>
      <c r="AC96" s="7">
        <f>VLOOKUP($A96,$A$2:AC$51,AC$83)</f>
        <v>0</v>
      </c>
      <c r="AD96" s="7">
        <f>VLOOKUP($A96,$A$2:AD$51,AD$83)</f>
        <v>0</v>
      </c>
      <c r="AE96" s="7">
        <f>VLOOKUP($A96,$A$2:AE$51,AE$83)</f>
        <v>0</v>
      </c>
      <c r="AF96" s="7">
        <f>VLOOKUP($A96,$A$2:AF$51,AF$83)</f>
        <v>0</v>
      </c>
      <c r="AG96" s="7">
        <f>VLOOKUP($A96,$A$2:AG$51,AG$83)</f>
        <v>0</v>
      </c>
    </row>
    <row r="97" spans="1:33" s="7" customFormat="1">
      <c r="A97" s="7">
        <f t="shared" si="18"/>
        <v>27</v>
      </c>
      <c r="B97" s="7">
        <f>VLOOKUP($A97,$A$2:B$51,B$83)</f>
        <v>4.8218507766723633</v>
      </c>
      <c r="C97" s="7">
        <f>VLOOKUP($A97,$A$2:C$51,C$83)</f>
        <v>4.7698574066162109</v>
      </c>
      <c r="D97" s="7">
        <f>VLOOKUP($A97,$A$2:D$51,D$83)</f>
        <v>4.9167957305908203</v>
      </c>
      <c r="E97" s="7">
        <f>VLOOKUP($A97,$A$2:E$51,E$83)</f>
        <v>4.6455245018005371</v>
      </c>
      <c r="F97" s="7">
        <f>VLOOKUP($A97,$A$2:F$51,F$83)</f>
        <v>4.2702655792236328</v>
      </c>
      <c r="G97" s="7">
        <f>VLOOKUP($A97,$A$2:G$51,G$83)</f>
        <v>4.8828868865966797</v>
      </c>
      <c r="H97" s="7">
        <f>VLOOKUP($A97,$A$2:H$51,H$83)</f>
        <v>0</v>
      </c>
      <c r="I97" s="7">
        <f>VLOOKUP($A97,$A$2:I$51,I$83)</f>
        <v>0</v>
      </c>
      <c r="J97" s="7">
        <f>VLOOKUP($A97,$A$2:J$51,J$83)</f>
        <v>0</v>
      </c>
      <c r="K97" s="7">
        <f>VLOOKUP($A97,$A$2:K$51,K$83)</f>
        <v>0</v>
      </c>
      <c r="L97" s="7">
        <f>VLOOKUP($A97,$A$2:L$51,L$83)</f>
        <v>0</v>
      </c>
      <c r="M97" s="7">
        <f>VLOOKUP($A97,$A$2:M$51,M$83)</f>
        <v>0</v>
      </c>
      <c r="N97" s="7">
        <f>VLOOKUP($A97,$A$2:N$51,N$83)</f>
        <v>0</v>
      </c>
      <c r="O97" s="7">
        <f>VLOOKUP($A97,$A$2:O$51,O$83)</f>
        <v>0</v>
      </c>
      <c r="P97" s="7">
        <f>VLOOKUP($A97,$A$2:P$51,P$83)</f>
        <v>0</v>
      </c>
      <c r="Q97" s="7">
        <f>VLOOKUP($A97,$A$2:Q$51,Q$83)</f>
        <v>0</v>
      </c>
      <c r="R97" s="7">
        <f>VLOOKUP($A97,$A$2:R$51,R$83)</f>
        <v>0</v>
      </c>
      <c r="S97" s="7">
        <f>VLOOKUP($A97,$A$2:S$51,S$83)</f>
        <v>0</v>
      </c>
      <c r="T97" s="7">
        <f>VLOOKUP($A97,$A$2:T$51,T$83)</f>
        <v>0</v>
      </c>
      <c r="U97" s="7">
        <f>VLOOKUP($A97,$A$2:U$51,U$83)</f>
        <v>0</v>
      </c>
      <c r="V97" s="7">
        <f>VLOOKUP($A97,$A$2:V$51,V$83)</f>
        <v>0</v>
      </c>
      <c r="W97" s="7">
        <f>VLOOKUP($A97,$A$2:W$51,W$83)</f>
        <v>0</v>
      </c>
      <c r="X97" s="7">
        <f>VLOOKUP($A97,$A$2:X$51,X$83)</f>
        <v>0</v>
      </c>
      <c r="Y97" s="7">
        <f>VLOOKUP($A97,$A$2:Y$51,Y$83)</f>
        <v>0</v>
      </c>
      <c r="Z97" s="7">
        <f>VLOOKUP($A97,$A$2:Z$51,Z$83)</f>
        <v>0</v>
      </c>
      <c r="AA97" s="7">
        <f>VLOOKUP($A97,$A$2:AA$51,AA$83)</f>
        <v>0</v>
      </c>
      <c r="AB97" s="7">
        <f>VLOOKUP($A97,$A$2:AB$51,AB$83)</f>
        <v>0</v>
      </c>
      <c r="AC97" s="7">
        <f>VLOOKUP($A97,$A$2:AC$51,AC$83)</f>
        <v>0</v>
      </c>
      <c r="AD97" s="7">
        <f>VLOOKUP($A97,$A$2:AD$51,AD$83)</f>
        <v>0</v>
      </c>
      <c r="AE97" s="7">
        <f>VLOOKUP($A97,$A$2:AE$51,AE$83)</f>
        <v>0</v>
      </c>
      <c r="AF97" s="7">
        <f>VLOOKUP($A97,$A$2:AF$51,AF$83)</f>
        <v>0</v>
      </c>
      <c r="AG97" s="7">
        <f>VLOOKUP($A97,$A$2:AG$51,AG$83)</f>
        <v>0</v>
      </c>
    </row>
    <row r="98" spans="1:33" s="7" customFormat="1">
      <c r="A98" s="7">
        <f t="shared" si="18"/>
        <v>29</v>
      </c>
      <c r="B98" s="7">
        <f>VLOOKUP($A98,$A$2:B$51,B$83)</f>
        <v>3.5649595260620117</v>
      </c>
      <c r="C98" s="7">
        <f>VLOOKUP($A98,$A$2:C$51,C$83)</f>
        <v>3.5129659175872803</v>
      </c>
      <c r="D98" s="7">
        <f>VLOOKUP($A98,$A$2:D$51,D$83)</f>
        <v>3.5830442905426025</v>
      </c>
      <c r="E98" s="7">
        <f>VLOOKUP($A98,$A$2:E$51,E$83)</f>
        <v>3.4044573307037354</v>
      </c>
      <c r="F98" s="7">
        <f>VLOOKUP($A98,$A$2:F$51,F$83)</f>
        <v>3.0811920166015625</v>
      </c>
      <c r="G98" s="7">
        <f>VLOOKUP($A98,$A$2:G$51,G$83)</f>
        <v>3.5649595260620117</v>
      </c>
      <c r="H98" s="7">
        <f>VLOOKUP($A98,$A$2:H$51,H$83)</f>
        <v>0</v>
      </c>
      <c r="I98" s="7">
        <f>VLOOKUP($A98,$A$2:I$51,I$83)</f>
        <v>0</v>
      </c>
      <c r="J98" s="7">
        <f>VLOOKUP($A98,$A$2:J$51,J$83)</f>
        <v>0</v>
      </c>
      <c r="K98" s="7">
        <f>VLOOKUP($A98,$A$2:K$51,K$83)</f>
        <v>0</v>
      </c>
      <c r="L98" s="7">
        <f>VLOOKUP($A98,$A$2:L$51,L$83)</f>
        <v>0</v>
      </c>
      <c r="M98" s="7">
        <f>VLOOKUP($A98,$A$2:M$51,M$83)</f>
        <v>0</v>
      </c>
      <c r="N98" s="7">
        <f>VLOOKUP($A98,$A$2:N$51,N$83)</f>
        <v>0</v>
      </c>
      <c r="O98" s="7">
        <f>VLOOKUP($A98,$A$2:O$51,O$83)</f>
        <v>0</v>
      </c>
      <c r="P98" s="7">
        <f>VLOOKUP($A98,$A$2:P$51,P$83)</f>
        <v>0</v>
      </c>
      <c r="Q98" s="7">
        <f>VLOOKUP($A98,$A$2:Q$51,Q$83)</f>
        <v>0</v>
      </c>
      <c r="R98" s="7">
        <f>VLOOKUP($A98,$A$2:R$51,R$83)</f>
        <v>0</v>
      </c>
      <c r="S98" s="7">
        <f>VLOOKUP($A98,$A$2:S$51,S$83)</f>
        <v>0</v>
      </c>
      <c r="T98" s="7">
        <f>VLOOKUP($A98,$A$2:T$51,T$83)</f>
        <v>0</v>
      </c>
      <c r="U98" s="7">
        <f>VLOOKUP($A98,$A$2:U$51,U$83)</f>
        <v>0</v>
      </c>
      <c r="V98" s="7">
        <f>VLOOKUP($A98,$A$2:V$51,V$83)</f>
        <v>0</v>
      </c>
      <c r="W98" s="7">
        <f>VLOOKUP($A98,$A$2:W$51,W$83)</f>
        <v>0</v>
      </c>
      <c r="X98" s="7">
        <f>VLOOKUP($A98,$A$2:X$51,X$83)</f>
        <v>0</v>
      </c>
      <c r="Y98" s="7">
        <f>VLOOKUP($A98,$A$2:Y$51,Y$83)</f>
        <v>0</v>
      </c>
      <c r="Z98" s="7">
        <f>VLOOKUP($A98,$A$2:Z$51,Z$83)</f>
        <v>0</v>
      </c>
      <c r="AA98" s="7">
        <f>VLOOKUP($A98,$A$2:AA$51,AA$83)</f>
        <v>0</v>
      </c>
      <c r="AB98" s="7">
        <f>VLOOKUP($A98,$A$2:AB$51,AB$83)</f>
        <v>0</v>
      </c>
      <c r="AC98" s="7">
        <f>VLOOKUP($A98,$A$2:AC$51,AC$83)</f>
        <v>0</v>
      </c>
      <c r="AD98" s="7">
        <f>VLOOKUP($A98,$A$2:AD$51,AD$83)</f>
        <v>0</v>
      </c>
      <c r="AE98" s="7">
        <f>VLOOKUP($A98,$A$2:AE$51,AE$83)</f>
        <v>0</v>
      </c>
      <c r="AF98" s="7">
        <f>VLOOKUP($A98,$A$2:AF$51,AF$83)</f>
        <v>0</v>
      </c>
      <c r="AG98" s="7">
        <f>VLOOKUP($A98,$A$2:AG$51,AG$83)</f>
        <v>0</v>
      </c>
    </row>
    <row r="99" spans="1:33" s="7" customFormat="1">
      <c r="A99" s="7">
        <f t="shared" si="18"/>
        <v>31</v>
      </c>
      <c r="B99" s="7">
        <f>VLOOKUP($A99,$A$2:B$51,B$83)</f>
        <v>3.3230757713317871</v>
      </c>
      <c r="C99" s="7">
        <f>VLOOKUP($A99,$A$2:C$51,C$83)</f>
        <v>3.271970272064209</v>
      </c>
      <c r="D99" s="7">
        <f>VLOOKUP($A99,$A$2:D$51,D$83)</f>
        <v>3.4725174903869629</v>
      </c>
      <c r="E99" s="7">
        <f>VLOOKUP($A99,$A$2:E$51,E$83)</f>
        <v>3.1716160774230957</v>
      </c>
      <c r="F99" s="7">
        <f>VLOOKUP($A99,$A$2:F$51,F$83)</f>
        <v>2.8913021087646484</v>
      </c>
      <c r="G99" s="7">
        <f>VLOOKUP($A99,$A$2:G$51,G$83)</f>
        <v>3.3343789577484131</v>
      </c>
      <c r="H99" s="7">
        <f>VLOOKUP($A99,$A$2:H$51,H$83)</f>
        <v>0</v>
      </c>
      <c r="I99" s="7">
        <f>VLOOKUP($A99,$A$2:I$51,I$83)</f>
        <v>0</v>
      </c>
      <c r="J99" s="7">
        <f>VLOOKUP($A99,$A$2:J$51,J$83)</f>
        <v>0</v>
      </c>
      <c r="K99" s="7">
        <f>VLOOKUP($A99,$A$2:K$51,K$83)</f>
        <v>0</v>
      </c>
      <c r="L99" s="7">
        <f>VLOOKUP($A99,$A$2:L$51,L$83)</f>
        <v>0</v>
      </c>
      <c r="M99" s="7">
        <f>VLOOKUP($A99,$A$2:M$51,M$83)</f>
        <v>0</v>
      </c>
      <c r="N99" s="7">
        <f>VLOOKUP($A99,$A$2:N$51,N$83)</f>
        <v>0</v>
      </c>
      <c r="O99" s="7">
        <f>VLOOKUP($A99,$A$2:O$51,O$83)</f>
        <v>0</v>
      </c>
      <c r="P99" s="7">
        <f>VLOOKUP($A99,$A$2:P$51,P$83)</f>
        <v>0</v>
      </c>
      <c r="Q99" s="7">
        <f>VLOOKUP($A99,$A$2:Q$51,Q$83)</f>
        <v>0</v>
      </c>
      <c r="R99" s="7">
        <f>VLOOKUP($A99,$A$2:R$51,R$83)</f>
        <v>0</v>
      </c>
      <c r="S99" s="7">
        <f>VLOOKUP($A99,$A$2:S$51,S$83)</f>
        <v>0</v>
      </c>
      <c r="T99" s="7">
        <f>VLOOKUP($A99,$A$2:T$51,T$83)</f>
        <v>0</v>
      </c>
      <c r="U99" s="7">
        <f>VLOOKUP($A99,$A$2:U$51,U$83)</f>
        <v>0</v>
      </c>
      <c r="V99" s="7">
        <f>VLOOKUP($A99,$A$2:V$51,V$83)</f>
        <v>0</v>
      </c>
      <c r="W99" s="7">
        <f>VLOOKUP($A99,$A$2:W$51,W$83)</f>
        <v>0</v>
      </c>
      <c r="X99" s="7">
        <f>VLOOKUP($A99,$A$2:X$51,X$83)</f>
        <v>0</v>
      </c>
      <c r="Y99" s="7">
        <f>VLOOKUP($A99,$A$2:Y$51,Y$83)</f>
        <v>0</v>
      </c>
      <c r="Z99" s="7">
        <f>VLOOKUP($A99,$A$2:Z$51,Z$83)</f>
        <v>0</v>
      </c>
      <c r="AA99" s="7">
        <f>VLOOKUP($A99,$A$2:AA$51,AA$83)</f>
        <v>0</v>
      </c>
      <c r="AB99" s="7">
        <f>VLOOKUP($A99,$A$2:AB$51,AB$83)</f>
        <v>0</v>
      </c>
      <c r="AC99" s="7">
        <f>VLOOKUP($A99,$A$2:AC$51,AC$83)</f>
        <v>0</v>
      </c>
      <c r="AD99" s="7">
        <f>VLOOKUP($A99,$A$2:AD$51,AD$83)</f>
        <v>0</v>
      </c>
      <c r="AE99" s="7">
        <f>VLOOKUP($A99,$A$2:AE$51,AE$83)</f>
        <v>0</v>
      </c>
      <c r="AF99" s="7">
        <f>VLOOKUP($A99,$A$2:AF$51,AF$83)</f>
        <v>0</v>
      </c>
      <c r="AG99" s="7">
        <f>VLOOKUP($A99,$A$2:AG$51,AG$83)</f>
        <v>0</v>
      </c>
    </row>
    <row r="100" spans="1:33" s="7" customFormat="1">
      <c r="A100" s="7">
        <f t="shared" si="18"/>
        <v>33</v>
      </c>
      <c r="B100" s="7">
        <f>VLOOKUP($A100,$A$2:B$51,B$83)</f>
        <v>2.4007527828216553</v>
      </c>
      <c r="C100" s="7">
        <f>VLOOKUP($A100,$A$2:C$51,C$83)</f>
        <v>2.3956663608551025</v>
      </c>
      <c r="D100" s="7">
        <f>VLOOKUP($A100,$A$2:D$51,D$83)</f>
        <v>2.5417170524597168</v>
      </c>
      <c r="E100" s="7">
        <f>VLOOKUP($A100,$A$2:E$51,E$83)</f>
        <v>2.2975726127624512</v>
      </c>
      <c r="F100" s="7">
        <f>VLOOKUP($A100,$A$2:F$51,F$83)</f>
        <v>2.1023540496826172</v>
      </c>
      <c r="G100" s="7">
        <f>VLOOKUP($A100,$A$2:G$51,G$83)</f>
        <v>2.4052739143371582</v>
      </c>
      <c r="H100" s="7">
        <f>VLOOKUP($A100,$A$2:H$51,H$83)</f>
        <v>0</v>
      </c>
      <c r="I100" s="7">
        <f>VLOOKUP($A100,$A$2:I$51,I$83)</f>
        <v>0</v>
      </c>
      <c r="J100" s="7">
        <f>VLOOKUP($A100,$A$2:J$51,J$83)</f>
        <v>0</v>
      </c>
      <c r="K100" s="7">
        <f>VLOOKUP($A100,$A$2:K$51,K$83)</f>
        <v>0</v>
      </c>
      <c r="L100" s="7">
        <f>VLOOKUP($A100,$A$2:L$51,L$83)</f>
        <v>0</v>
      </c>
      <c r="M100" s="7">
        <f>VLOOKUP($A100,$A$2:M$51,M$83)</f>
        <v>0</v>
      </c>
      <c r="N100" s="7">
        <f>VLOOKUP($A100,$A$2:N$51,N$83)</f>
        <v>0</v>
      </c>
      <c r="O100" s="7">
        <f>VLOOKUP($A100,$A$2:O$51,O$83)</f>
        <v>0</v>
      </c>
      <c r="P100" s="7">
        <f>VLOOKUP($A100,$A$2:P$51,P$83)</f>
        <v>0</v>
      </c>
      <c r="Q100" s="7">
        <f>VLOOKUP($A100,$A$2:Q$51,Q$83)</f>
        <v>0</v>
      </c>
      <c r="R100" s="7">
        <f>VLOOKUP($A100,$A$2:R$51,R$83)</f>
        <v>0</v>
      </c>
      <c r="S100" s="7">
        <f>VLOOKUP($A100,$A$2:S$51,S$83)</f>
        <v>0</v>
      </c>
      <c r="T100" s="7">
        <f>VLOOKUP($A100,$A$2:T$51,T$83)</f>
        <v>0</v>
      </c>
      <c r="U100" s="7">
        <f>VLOOKUP($A100,$A$2:U$51,U$83)</f>
        <v>0</v>
      </c>
      <c r="V100" s="7">
        <f>VLOOKUP($A100,$A$2:V$51,V$83)</f>
        <v>0</v>
      </c>
      <c r="W100" s="7">
        <f>VLOOKUP($A100,$A$2:W$51,W$83)</f>
        <v>0</v>
      </c>
      <c r="X100" s="7">
        <f>VLOOKUP($A100,$A$2:X$51,X$83)</f>
        <v>0</v>
      </c>
      <c r="Y100" s="7">
        <f>VLOOKUP($A100,$A$2:Y$51,Y$83)</f>
        <v>0</v>
      </c>
      <c r="Z100" s="7">
        <f>VLOOKUP($A100,$A$2:Z$51,Z$83)</f>
        <v>0</v>
      </c>
      <c r="AA100" s="7">
        <f>VLOOKUP($A100,$A$2:AA$51,AA$83)</f>
        <v>0</v>
      </c>
      <c r="AB100" s="7">
        <f>VLOOKUP($A100,$A$2:AB$51,AB$83)</f>
        <v>0</v>
      </c>
      <c r="AC100" s="7">
        <f>VLOOKUP($A100,$A$2:AC$51,AC$83)</f>
        <v>0</v>
      </c>
      <c r="AD100" s="7">
        <f>VLOOKUP($A100,$A$2:AD$51,AD$83)</f>
        <v>0</v>
      </c>
      <c r="AE100" s="7">
        <f>VLOOKUP($A100,$A$2:AE$51,AE$83)</f>
        <v>0</v>
      </c>
      <c r="AF100" s="7">
        <f>VLOOKUP($A100,$A$2:AF$51,AF$83)</f>
        <v>0</v>
      </c>
      <c r="AG100" s="7">
        <f>VLOOKUP($A100,$A$2:AG$51,AG$83)</f>
        <v>0</v>
      </c>
    </row>
    <row r="101" spans="1:33" s="7" customFormat="1">
      <c r="A101" s="7">
        <f t="shared" si="18"/>
        <v>35</v>
      </c>
      <c r="B101" s="7">
        <f>VLOOKUP($A101,$A$2:B$51,B$83)</f>
        <v>1.2970168590545654</v>
      </c>
      <c r="C101" s="7">
        <f>VLOOKUP($A101,$A$2:C$51,C$83)</f>
        <v>1.3100960254669189</v>
      </c>
      <c r="D101" s="7">
        <f>VLOOKUP($A101,$A$2:D$51,D$83)</f>
        <v>1.4693872928619385</v>
      </c>
      <c r="E101" s="7">
        <f>VLOOKUP($A101,$A$2:E$51,E$83)</f>
        <v>1.2365459203720093</v>
      </c>
      <c r="F101" s="7">
        <f>VLOOKUP($A101,$A$2:F$51,F$83)</f>
        <v>1.1664674282073975</v>
      </c>
      <c r="G101" s="7">
        <f>VLOOKUP($A101,$A$2:G$51,G$83)</f>
        <v>1.299196720123291</v>
      </c>
      <c r="H101" s="7">
        <f>VLOOKUP($A101,$A$2:H$51,H$83)</f>
        <v>0</v>
      </c>
      <c r="I101" s="7">
        <f>VLOOKUP($A101,$A$2:I$51,I$83)</f>
        <v>0</v>
      </c>
      <c r="J101" s="7">
        <f>VLOOKUP($A101,$A$2:J$51,J$83)</f>
        <v>0</v>
      </c>
      <c r="K101" s="7">
        <f>VLOOKUP($A101,$A$2:K$51,K$83)</f>
        <v>0</v>
      </c>
      <c r="L101" s="7">
        <f>VLOOKUP($A101,$A$2:L$51,L$83)</f>
        <v>0</v>
      </c>
      <c r="M101" s="7">
        <f>VLOOKUP($A101,$A$2:M$51,M$83)</f>
        <v>0</v>
      </c>
      <c r="N101" s="7">
        <f>VLOOKUP($A101,$A$2:N$51,N$83)</f>
        <v>0</v>
      </c>
      <c r="O101" s="7">
        <f>VLOOKUP($A101,$A$2:O$51,O$83)</f>
        <v>0</v>
      </c>
      <c r="P101" s="7">
        <f>VLOOKUP($A101,$A$2:P$51,P$83)</f>
        <v>0</v>
      </c>
      <c r="Q101" s="7">
        <f>VLOOKUP($A101,$A$2:Q$51,Q$83)</f>
        <v>0</v>
      </c>
      <c r="R101" s="7">
        <f>VLOOKUP($A101,$A$2:R$51,R$83)</f>
        <v>0</v>
      </c>
      <c r="S101" s="7">
        <f>VLOOKUP($A101,$A$2:S$51,S$83)</f>
        <v>0</v>
      </c>
      <c r="T101" s="7">
        <f>VLOOKUP($A101,$A$2:T$51,T$83)</f>
        <v>0</v>
      </c>
      <c r="U101" s="7">
        <f>VLOOKUP($A101,$A$2:U$51,U$83)</f>
        <v>0</v>
      </c>
      <c r="V101" s="7">
        <f>VLOOKUP($A101,$A$2:V$51,V$83)</f>
        <v>0</v>
      </c>
      <c r="W101" s="7">
        <f>VLOOKUP($A101,$A$2:W$51,W$83)</f>
        <v>0</v>
      </c>
      <c r="X101" s="7">
        <f>VLOOKUP($A101,$A$2:X$51,X$83)</f>
        <v>0</v>
      </c>
      <c r="Y101" s="7">
        <f>VLOOKUP($A101,$A$2:Y$51,Y$83)</f>
        <v>0</v>
      </c>
      <c r="Z101" s="7">
        <f>VLOOKUP($A101,$A$2:Z$51,Z$83)</f>
        <v>0</v>
      </c>
      <c r="AA101" s="7">
        <f>VLOOKUP($A101,$A$2:AA$51,AA$83)</f>
        <v>0</v>
      </c>
      <c r="AB101" s="7">
        <f>VLOOKUP($A101,$A$2:AB$51,AB$83)</f>
        <v>0</v>
      </c>
      <c r="AC101" s="7">
        <f>VLOOKUP($A101,$A$2:AC$51,AC$83)</f>
        <v>0</v>
      </c>
      <c r="AD101" s="7">
        <f>VLOOKUP($A101,$A$2:AD$51,AD$83)</f>
        <v>0</v>
      </c>
      <c r="AE101" s="7">
        <f>VLOOKUP($A101,$A$2:AE$51,AE$83)</f>
        <v>0</v>
      </c>
      <c r="AF101" s="7">
        <f>VLOOKUP($A101,$A$2:AF$51,AF$83)</f>
        <v>0</v>
      </c>
      <c r="AG101" s="7">
        <f>VLOOKUP($A101,$A$2:AG$51,AG$83)</f>
        <v>0</v>
      </c>
    </row>
    <row r="102" spans="1:33" s="7" customFormat="1">
      <c r="A102" s="7">
        <f t="shared" si="18"/>
        <v>37</v>
      </c>
      <c r="B102" s="7">
        <f>VLOOKUP($A102,$A$2:B$51,B$83)</f>
        <v>0.92684429883956909</v>
      </c>
      <c r="C102" s="7">
        <f>VLOOKUP($A102,$A$2:C$51,C$83)</f>
        <v>0.93080031871795654</v>
      </c>
      <c r="D102" s="7">
        <f>VLOOKUP($A102,$A$2:D$51,D$83)</f>
        <v>1.070311427116394</v>
      </c>
      <c r="E102" s="7">
        <f>VLOOKUP($A102,$A$2:E$51,E$83)</f>
        <v>0.91118156909942627</v>
      </c>
      <c r="F102" s="7">
        <f>VLOOKUP($A102,$A$2:F$51,F$83)</f>
        <v>0.84772342443466187</v>
      </c>
      <c r="G102" s="7">
        <f>VLOOKUP($A102,$A$2:G$51,G$83)</f>
        <v>0.92684429883956909</v>
      </c>
      <c r="H102" s="7">
        <f>VLOOKUP($A102,$A$2:H$51,H$83)</f>
        <v>0</v>
      </c>
      <c r="I102" s="7">
        <f>VLOOKUP($A102,$A$2:I$51,I$83)</f>
        <v>0</v>
      </c>
      <c r="J102" s="7">
        <f>VLOOKUP($A102,$A$2:J$51,J$83)</f>
        <v>0</v>
      </c>
      <c r="K102" s="7">
        <f>VLOOKUP($A102,$A$2:K$51,K$83)</f>
        <v>0</v>
      </c>
      <c r="L102" s="7">
        <f>VLOOKUP($A102,$A$2:L$51,L$83)</f>
        <v>0</v>
      </c>
      <c r="M102" s="7">
        <f>VLOOKUP($A102,$A$2:M$51,M$83)</f>
        <v>0</v>
      </c>
      <c r="N102" s="7">
        <f>VLOOKUP($A102,$A$2:N$51,N$83)</f>
        <v>0</v>
      </c>
      <c r="O102" s="7">
        <f>VLOOKUP($A102,$A$2:O$51,O$83)</f>
        <v>0</v>
      </c>
      <c r="P102" s="7">
        <f>VLOOKUP($A102,$A$2:P$51,P$83)</f>
        <v>0</v>
      </c>
      <c r="Q102" s="7">
        <f>VLOOKUP($A102,$A$2:Q$51,Q$83)</f>
        <v>0</v>
      </c>
      <c r="R102" s="7">
        <f>VLOOKUP($A102,$A$2:R$51,R$83)</f>
        <v>0</v>
      </c>
      <c r="S102" s="7">
        <f>VLOOKUP($A102,$A$2:S$51,S$83)</f>
        <v>0</v>
      </c>
      <c r="T102" s="7">
        <f>VLOOKUP($A102,$A$2:T$51,T$83)</f>
        <v>0</v>
      </c>
      <c r="U102" s="7">
        <f>VLOOKUP($A102,$A$2:U$51,U$83)</f>
        <v>0</v>
      </c>
      <c r="V102" s="7">
        <f>VLOOKUP($A102,$A$2:V$51,V$83)</f>
        <v>0</v>
      </c>
      <c r="W102" s="7">
        <f>VLOOKUP($A102,$A$2:W$51,W$83)</f>
        <v>0</v>
      </c>
      <c r="X102" s="7">
        <f>VLOOKUP($A102,$A$2:X$51,X$83)</f>
        <v>0</v>
      </c>
      <c r="Y102" s="7">
        <f>VLOOKUP($A102,$A$2:Y$51,Y$83)</f>
        <v>0</v>
      </c>
      <c r="Z102" s="7">
        <f>VLOOKUP($A102,$A$2:Z$51,Z$83)</f>
        <v>0</v>
      </c>
      <c r="AA102" s="7">
        <f>VLOOKUP($A102,$A$2:AA$51,AA$83)</f>
        <v>0</v>
      </c>
      <c r="AB102" s="7">
        <f>VLOOKUP($A102,$A$2:AB$51,AB$83)</f>
        <v>0</v>
      </c>
      <c r="AC102" s="7">
        <f>VLOOKUP($A102,$A$2:AC$51,AC$83)</f>
        <v>0</v>
      </c>
      <c r="AD102" s="7">
        <f>VLOOKUP($A102,$A$2:AD$51,AD$83)</f>
        <v>0</v>
      </c>
      <c r="AE102" s="7">
        <f>VLOOKUP($A102,$A$2:AE$51,AE$83)</f>
        <v>0</v>
      </c>
      <c r="AF102" s="7">
        <f>VLOOKUP($A102,$A$2:AF$51,AF$83)</f>
        <v>0</v>
      </c>
      <c r="AG102" s="7">
        <f>VLOOKUP($A102,$A$2:AG$51,AG$83)</f>
        <v>0</v>
      </c>
    </row>
    <row r="103" spans="1:33" s="7" customFormat="1">
      <c r="A103" s="7">
        <f t="shared" si="18"/>
        <v>39</v>
      </c>
      <c r="B103" s="7">
        <f>VLOOKUP($A103,$A$2:B$51,B$83)</f>
        <v>0.61690044403076172</v>
      </c>
      <c r="C103" s="7">
        <f>VLOOKUP($A103,$A$2:C$51,C$83)</f>
        <v>0.68948173522949219</v>
      </c>
      <c r="D103" s="7">
        <f>VLOOKUP($A103,$A$2:D$51,D$83)</f>
        <v>0.76077121496200562</v>
      </c>
      <c r="E103" s="7">
        <f>VLOOKUP($A103,$A$2:E$51,E$83)</f>
        <v>0.61714267730712891</v>
      </c>
      <c r="F103" s="7">
        <f>VLOOKUP($A103,$A$2:F$51,F$83)</f>
        <v>0.54278522729873657</v>
      </c>
      <c r="G103" s="7">
        <f>VLOOKUP($A103,$A$2:G$51,G$83)</f>
        <v>0.61940324306488037</v>
      </c>
      <c r="H103" s="7">
        <f>VLOOKUP($A103,$A$2:H$51,H$83)</f>
        <v>0</v>
      </c>
      <c r="I103" s="7">
        <f>VLOOKUP($A103,$A$2:I$51,I$83)</f>
        <v>0</v>
      </c>
      <c r="J103" s="7">
        <f>VLOOKUP($A103,$A$2:J$51,J$83)</f>
        <v>0</v>
      </c>
      <c r="K103" s="7">
        <f>VLOOKUP($A103,$A$2:K$51,K$83)</f>
        <v>0</v>
      </c>
      <c r="L103" s="7">
        <f>VLOOKUP($A103,$A$2:L$51,L$83)</f>
        <v>0</v>
      </c>
      <c r="M103" s="7">
        <f>VLOOKUP($A103,$A$2:M$51,M$83)</f>
        <v>0</v>
      </c>
      <c r="N103" s="7">
        <f>VLOOKUP($A103,$A$2:N$51,N$83)</f>
        <v>0</v>
      </c>
      <c r="O103" s="7">
        <f>VLOOKUP($A103,$A$2:O$51,O$83)</f>
        <v>0</v>
      </c>
      <c r="P103" s="7">
        <f>VLOOKUP($A103,$A$2:P$51,P$83)</f>
        <v>0</v>
      </c>
      <c r="Q103" s="7">
        <f>VLOOKUP($A103,$A$2:Q$51,Q$83)</f>
        <v>0</v>
      </c>
      <c r="R103" s="7">
        <f>VLOOKUP($A103,$A$2:R$51,R$83)</f>
        <v>0</v>
      </c>
      <c r="S103" s="7">
        <f>VLOOKUP($A103,$A$2:S$51,S$83)</f>
        <v>0</v>
      </c>
      <c r="T103" s="7">
        <f>VLOOKUP($A103,$A$2:T$51,T$83)</f>
        <v>0</v>
      </c>
      <c r="U103" s="7">
        <f>VLOOKUP($A103,$A$2:U$51,U$83)</f>
        <v>0</v>
      </c>
      <c r="V103" s="7">
        <f>VLOOKUP($A103,$A$2:V$51,V$83)</f>
        <v>0</v>
      </c>
      <c r="W103" s="7">
        <f>VLOOKUP($A103,$A$2:W$51,W$83)</f>
        <v>0</v>
      </c>
      <c r="X103" s="7">
        <f>VLOOKUP($A103,$A$2:X$51,X$83)</f>
        <v>0</v>
      </c>
      <c r="Y103" s="7">
        <f>VLOOKUP($A103,$A$2:Y$51,Y$83)</f>
        <v>0</v>
      </c>
      <c r="Z103" s="7">
        <f>VLOOKUP($A103,$A$2:Z$51,Z$83)</f>
        <v>0</v>
      </c>
      <c r="AA103" s="7">
        <f>VLOOKUP($A103,$A$2:AA$51,AA$83)</f>
        <v>0</v>
      </c>
      <c r="AB103" s="7">
        <f>VLOOKUP($A103,$A$2:AB$51,AB$83)</f>
        <v>0</v>
      </c>
      <c r="AC103" s="7">
        <f>VLOOKUP($A103,$A$2:AC$51,AC$83)</f>
        <v>0</v>
      </c>
      <c r="AD103" s="7">
        <f>VLOOKUP($A103,$A$2:AD$51,AD$83)</f>
        <v>0</v>
      </c>
      <c r="AE103" s="7">
        <f>VLOOKUP($A103,$A$2:AE$51,AE$83)</f>
        <v>0</v>
      </c>
      <c r="AF103" s="7">
        <f>VLOOKUP($A103,$A$2:AF$51,AF$83)</f>
        <v>0</v>
      </c>
      <c r="AG103" s="7">
        <f>VLOOKUP($A103,$A$2:AG$51,AG$83)</f>
        <v>0</v>
      </c>
    </row>
    <row r="104" spans="1:33" s="7" customFormat="1">
      <c r="A104" s="7">
        <f t="shared" si="18"/>
        <v>41</v>
      </c>
      <c r="B104" s="7">
        <f>VLOOKUP($A104,$A$2:B$51,B$83)</f>
        <v>0.38583526015281677</v>
      </c>
      <c r="C104" s="7">
        <f>VLOOKUP($A104,$A$2:C$51,C$83)</f>
        <v>0.45890095829963684</v>
      </c>
      <c r="D104" s="7">
        <f>VLOOKUP($A104,$A$2:D$51,D$83)</f>
        <v>0.5267188549041748</v>
      </c>
      <c r="E104" s="7">
        <f>VLOOKUP($A104,$A$2:E$51,E$83)</f>
        <v>0.38882249593734741</v>
      </c>
      <c r="F104" s="7">
        <f>VLOOKUP($A104,$A$2:F$51,F$83)</f>
        <v>0.37493595480918884</v>
      </c>
      <c r="G104" s="7">
        <f>VLOOKUP($A104,$A$2:G$51,G$83)</f>
        <v>0.38430130481719971</v>
      </c>
      <c r="H104" s="7">
        <f>VLOOKUP($A104,$A$2:H$51,H$83)</f>
        <v>0</v>
      </c>
      <c r="I104" s="7">
        <f>VLOOKUP($A104,$A$2:I$51,I$83)</f>
        <v>0</v>
      </c>
      <c r="J104" s="7">
        <f>VLOOKUP($A104,$A$2:J$51,J$83)</f>
        <v>0</v>
      </c>
      <c r="K104" s="7">
        <f>VLOOKUP($A104,$A$2:K$51,K$83)</f>
        <v>0</v>
      </c>
      <c r="L104" s="7">
        <f>VLOOKUP($A104,$A$2:L$51,L$83)</f>
        <v>0</v>
      </c>
      <c r="M104" s="7">
        <f>VLOOKUP($A104,$A$2:M$51,M$83)</f>
        <v>0</v>
      </c>
      <c r="N104" s="7">
        <f>VLOOKUP($A104,$A$2:N$51,N$83)</f>
        <v>0</v>
      </c>
      <c r="O104" s="7">
        <f>VLOOKUP($A104,$A$2:O$51,O$83)</f>
        <v>0</v>
      </c>
      <c r="P104" s="7">
        <f>VLOOKUP($A104,$A$2:P$51,P$83)</f>
        <v>0</v>
      </c>
      <c r="Q104" s="7">
        <f>VLOOKUP($A104,$A$2:Q$51,Q$83)</f>
        <v>0</v>
      </c>
      <c r="R104" s="7">
        <f>VLOOKUP($A104,$A$2:R$51,R$83)</f>
        <v>0</v>
      </c>
      <c r="S104" s="7">
        <f>VLOOKUP($A104,$A$2:S$51,S$83)</f>
        <v>0</v>
      </c>
      <c r="T104" s="7">
        <f>VLOOKUP($A104,$A$2:T$51,T$83)</f>
        <v>0</v>
      </c>
      <c r="U104" s="7">
        <f>VLOOKUP($A104,$A$2:U$51,U$83)</f>
        <v>0</v>
      </c>
      <c r="V104" s="7">
        <f>VLOOKUP($A104,$A$2:V$51,V$83)</f>
        <v>0</v>
      </c>
      <c r="W104" s="7">
        <f>VLOOKUP($A104,$A$2:W$51,W$83)</f>
        <v>0</v>
      </c>
      <c r="X104" s="7">
        <f>VLOOKUP($A104,$A$2:X$51,X$83)</f>
        <v>0</v>
      </c>
      <c r="Y104" s="7">
        <f>VLOOKUP($A104,$A$2:Y$51,Y$83)</f>
        <v>0</v>
      </c>
      <c r="Z104" s="7">
        <f>VLOOKUP($A104,$A$2:Z$51,Z$83)</f>
        <v>0</v>
      </c>
      <c r="AA104" s="7">
        <f>VLOOKUP($A104,$A$2:AA$51,AA$83)</f>
        <v>0</v>
      </c>
      <c r="AB104" s="7">
        <f>VLOOKUP($A104,$A$2:AB$51,AB$83)</f>
        <v>0</v>
      </c>
      <c r="AC104" s="7">
        <f>VLOOKUP($A104,$A$2:AC$51,AC$83)</f>
        <v>0</v>
      </c>
      <c r="AD104" s="7">
        <f>VLOOKUP($A104,$A$2:AD$51,AD$83)</f>
        <v>0</v>
      </c>
      <c r="AE104" s="7">
        <f>VLOOKUP($A104,$A$2:AE$51,AE$83)</f>
        <v>0</v>
      </c>
      <c r="AF104" s="7">
        <f>VLOOKUP($A104,$A$2:AF$51,AF$83)</f>
        <v>0</v>
      </c>
      <c r="AG104" s="7">
        <f>VLOOKUP($A104,$A$2:AG$51,AG$83)</f>
        <v>0</v>
      </c>
    </row>
    <row r="105" spans="1:33" s="7" customFormat="1">
      <c r="A105" s="7">
        <f t="shared" si="18"/>
        <v>43</v>
      </c>
      <c r="B105" s="7">
        <f>VLOOKUP($A105,$A$2:B$51,B$83)</f>
        <v>0.46116155385971069</v>
      </c>
      <c r="C105" s="7">
        <f>VLOOKUP($A105,$A$2:C$51,C$83)</f>
        <v>0.53124004602432251</v>
      </c>
      <c r="D105" s="7">
        <f>VLOOKUP($A105,$A$2:D$51,D$83)</f>
        <v>0.5384255051612854</v>
      </c>
      <c r="E105" s="7">
        <f>VLOOKUP($A105,$A$2:E$51,E$83)</f>
        <v>0.45890095829963684</v>
      </c>
      <c r="F105" s="7">
        <f>VLOOKUP($A105,$A$2:F$51,F$83)</f>
        <v>0.39108309149742126</v>
      </c>
      <c r="G105" s="7">
        <f>VLOOKUP($A105,$A$2:G$51,G$83)</f>
        <v>0.45890095829963684</v>
      </c>
      <c r="H105" s="7">
        <f>VLOOKUP($A105,$A$2:H$51,H$83)</f>
        <v>0</v>
      </c>
      <c r="I105" s="7">
        <f>VLOOKUP($A105,$A$2:I$51,I$83)</f>
        <v>0</v>
      </c>
      <c r="J105" s="7">
        <f>VLOOKUP($A105,$A$2:J$51,J$83)</f>
        <v>0</v>
      </c>
      <c r="K105" s="7">
        <f>VLOOKUP($A105,$A$2:K$51,K$83)</f>
        <v>0</v>
      </c>
      <c r="L105" s="7">
        <f>VLOOKUP($A105,$A$2:L$51,L$83)</f>
        <v>0</v>
      </c>
      <c r="M105" s="7">
        <f>VLOOKUP($A105,$A$2:M$51,M$83)</f>
        <v>0</v>
      </c>
      <c r="N105" s="7">
        <f>VLOOKUP($A105,$A$2:N$51,N$83)</f>
        <v>0</v>
      </c>
      <c r="O105" s="7">
        <f>VLOOKUP($A105,$A$2:O$51,O$83)</f>
        <v>0</v>
      </c>
      <c r="P105" s="7">
        <f>VLOOKUP($A105,$A$2:P$51,P$83)</f>
        <v>0</v>
      </c>
      <c r="Q105" s="7">
        <f>VLOOKUP($A105,$A$2:Q$51,Q$83)</f>
        <v>0</v>
      </c>
      <c r="R105" s="7">
        <f>VLOOKUP($A105,$A$2:R$51,R$83)</f>
        <v>0</v>
      </c>
      <c r="S105" s="7">
        <f>VLOOKUP($A105,$A$2:S$51,S$83)</f>
        <v>0</v>
      </c>
      <c r="T105" s="7">
        <f>VLOOKUP($A105,$A$2:T$51,T$83)</f>
        <v>0</v>
      </c>
      <c r="U105" s="7">
        <f>VLOOKUP($A105,$A$2:U$51,U$83)</f>
        <v>0</v>
      </c>
      <c r="V105" s="7">
        <f>VLOOKUP($A105,$A$2:V$51,V$83)</f>
        <v>0</v>
      </c>
      <c r="W105" s="7">
        <f>VLOOKUP($A105,$A$2:W$51,W$83)</f>
        <v>0</v>
      </c>
      <c r="X105" s="7">
        <f>VLOOKUP($A105,$A$2:X$51,X$83)</f>
        <v>0</v>
      </c>
      <c r="Y105" s="7">
        <f>VLOOKUP($A105,$A$2:Y$51,Y$83)</f>
        <v>0</v>
      </c>
      <c r="Z105" s="7">
        <f>VLOOKUP($A105,$A$2:Z$51,Z$83)</f>
        <v>0</v>
      </c>
      <c r="AA105" s="7">
        <f>VLOOKUP($A105,$A$2:AA$51,AA$83)</f>
        <v>0</v>
      </c>
      <c r="AB105" s="7">
        <f>VLOOKUP($A105,$A$2:AB$51,AB$83)</f>
        <v>0</v>
      </c>
      <c r="AC105" s="7">
        <f>VLOOKUP($A105,$A$2:AC$51,AC$83)</f>
        <v>0</v>
      </c>
      <c r="AD105" s="7">
        <f>VLOOKUP($A105,$A$2:AD$51,AD$83)</f>
        <v>0</v>
      </c>
      <c r="AE105" s="7">
        <f>VLOOKUP($A105,$A$2:AE$51,AE$83)</f>
        <v>0</v>
      </c>
      <c r="AF105" s="7">
        <f>VLOOKUP($A105,$A$2:AF$51,AF$83)</f>
        <v>0</v>
      </c>
      <c r="AG105" s="7">
        <f>VLOOKUP($A105,$A$2:AG$51,AG$83)</f>
        <v>0</v>
      </c>
    </row>
    <row r="106" spans="1:33" s="7" customFormat="1">
      <c r="A106" s="7">
        <f t="shared" si="18"/>
        <v>45</v>
      </c>
      <c r="B106" s="7">
        <f>VLOOKUP($A106,$A$2:B$51,B$83)</f>
        <v>0.30970162153244019</v>
      </c>
      <c r="C106" s="7">
        <f>VLOOKUP($A106,$A$2:C$51,C$83)</f>
        <v>0.37493595480918884</v>
      </c>
      <c r="D106" s="7">
        <f>VLOOKUP($A106,$A$2:D$51,D$83)</f>
        <v>0.42725262045860291</v>
      </c>
      <c r="E106" s="7">
        <f>VLOOKUP($A106,$A$2:E$51,E$83)</f>
        <v>0.30970162153244019</v>
      </c>
      <c r="F106" s="7">
        <f>VLOOKUP($A106,$A$2:F$51,F$83)</f>
        <v>0.30065923929214478</v>
      </c>
      <c r="G106" s="7">
        <f>VLOOKUP($A106,$A$2:G$51,G$83)</f>
        <v>0.30518043041229248</v>
      </c>
      <c r="H106" s="7">
        <f>VLOOKUP($A106,$A$2:H$51,H$83)</f>
        <v>0</v>
      </c>
      <c r="I106" s="7">
        <f>VLOOKUP($A106,$A$2:I$51,I$83)</f>
        <v>0</v>
      </c>
      <c r="J106" s="7">
        <f>VLOOKUP($A106,$A$2:J$51,J$83)</f>
        <v>0</v>
      </c>
      <c r="K106" s="7">
        <f>VLOOKUP($A106,$A$2:K$51,K$83)</f>
        <v>0</v>
      </c>
      <c r="L106" s="7">
        <f>VLOOKUP($A106,$A$2:L$51,L$83)</f>
        <v>0</v>
      </c>
      <c r="M106" s="7">
        <f>VLOOKUP($A106,$A$2:M$51,M$83)</f>
        <v>0</v>
      </c>
      <c r="N106" s="7">
        <f>VLOOKUP($A106,$A$2:N$51,N$83)</f>
        <v>0</v>
      </c>
      <c r="O106" s="7">
        <f>VLOOKUP($A106,$A$2:O$51,O$83)</f>
        <v>0</v>
      </c>
      <c r="P106" s="7">
        <f>VLOOKUP($A106,$A$2:P$51,P$83)</f>
        <v>0</v>
      </c>
      <c r="Q106" s="7">
        <f>VLOOKUP($A106,$A$2:Q$51,Q$83)</f>
        <v>0</v>
      </c>
      <c r="R106" s="7">
        <f>VLOOKUP($A106,$A$2:R$51,R$83)</f>
        <v>0</v>
      </c>
      <c r="S106" s="7">
        <f>VLOOKUP($A106,$A$2:S$51,S$83)</f>
        <v>0</v>
      </c>
      <c r="T106" s="7">
        <f>VLOOKUP($A106,$A$2:T$51,T$83)</f>
        <v>0</v>
      </c>
      <c r="U106" s="7">
        <f>VLOOKUP($A106,$A$2:U$51,U$83)</f>
        <v>0</v>
      </c>
      <c r="V106" s="7">
        <f>VLOOKUP($A106,$A$2:V$51,V$83)</f>
        <v>0</v>
      </c>
      <c r="W106" s="7">
        <f>VLOOKUP($A106,$A$2:W$51,W$83)</f>
        <v>0</v>
      </c>
      <c r="X106" s="7">
        <f>VLOOKUP($A106,$A$2:X$51,X$83)</f>
        <v>0</v>
      </c>
      <c r="Y106" s="7">
        <f>VLOOKUP($A106,$A$2:Y$51,Y$83)</f>
        <v>0</v>
      </c>
      <c r="Z106" s="7">
        <f>VLOOKUP($A106,$A$2:Z$51,Z$83)</f>
        <v>0</v>
      </c>
      <c r="AA106" s="7">
        <f>VLOOKUP($A106,$A$2:AA$51,AA$83)</f>
        <v>0</v>
      </c>
      <c r="AB106" s="7">
        <f>VLOOKUP($A106,$A$2:AB$51,AB$83)</f>
        <v>0</v>
      </c>
      <c r="AC106" s="7">
        <f>VLOOKUP($A106,$A$2:AC$51,AC$83)</f>
        <v>0</v>
      </c>
      <c r="AD106" s="7">
        <f>VLOOKUP($A106,$A$2:AD$51,AD$83)</f>
        <v>0</v>
      </c>
      <c r="AE106" s="7">
        <f>VLOOKUP($A106,$A$2:AE$51,AE$83)</f>
        <v>0</v>
      </c>
      <c r="AF106" s="7">
        <f>VLOOKUP($A106,$A$2:AF$51,AF$83)</f>
        <v>0</v>
      </c>
      <c r="AG106" s="7">
        <f>VLOOKUP($A106,$A$2:AG$51,AG$83)</f>
        <v>0</v>
      </c>
    </row>
    <row r="107" spans="1:33" s="7" customFormat="1">
      <c r="A107" s="7">
        <f t="shared" si="18"/>
        <v>47</v>
      </c>
      <c r="B107" s="7">
        <f>VLOOKUP($A107,$A$2:B$51,B$83)</f>
        <v>0.15598110854625702</v>
      </c>
      <c r="C107" s="7">
        <f>VLOOKUP($A107,$A$2:C$51,C$83)</f>
        <v>0.22379899024963379</v>
      </c>
      <c r="D107" s="7">
        <f>VLOOKUP($A107,$A$2:D$51,D$83)</f>
        <v>0.23058077692985535</v>
      </c>
      <c r="E107" s="7">
        <f>VLOOKUP($A107,$A$2:E$51,E$83)</f>
        <v>0.15477007627487183</v>
      </c>
      <c r="F107" s="7">
        <f>VLOOKUP($A107,$A$2:F$51,F$83)</f>
        <v>0.15145991742610931</v>
      </c>
      <c r="G107" s="7">
        <f>VLOOKUP($A107,$A$2:G$51,G$83)</f>
        <v>0.15145991742610931</v>
      </c>
      <c r="H107" s="7">
        <f>VLOOKUP($A107,$A$2:H$51,H$83)</f>
        <v>0</v>
      </c>
      <c r="I107" s="7">
        <f>VLOOKUP($A107,$A$2:I$51,I$83)</f>
        <v>0</v>
      </c>
      <c r="J107" s="7">
        <f>VLOOKUP($A107,$A$2:J$51,J$83)</f>
        <v>0</v>
      </c>
      <c r="K107" s="7">
        <f>VLOOKUP($A107,$A$2:K$51,K$83)</f>
        <v>0</v>
      </c>
      <c r="L107" s="7">
        <f>VLOOKUP($A107,$A$2:L$51,L$83)</f>
        <v>0</v>
      </c>
      <c r="M107" s="7">
        <f>VLOOKUP($A107,$A$2:M$51,M$83)</f>
        <v>0</v>
      </c>
      <c r="N107" s="7">
        <f>VLOOKUP($A107,$A$2:N$51,N$83)</f>
        <v>0</v>
      </c>
      <c r="O107" s="7">
        <f>VLOOKUP($A107,$A$2:O$51,O$83)</f>
        <v>0</v>
      </c>
      <c r="P107" s="7">
        <f>VLOOKUP($A107,$A$2:P$51,P$83)</f>
        <v>0</v>
      </c>
      <c r="Q107" s="7">
        <f>VLOOKUP($A107,$A$2:Q$51,Q$83)</f>
        <v>0</v>
      </c>
      <c r="R107" s="7">
        <f>VLOOKUP($A107,$A$2:R$51,R$83)</f>
        <v>0</v>
      </c>
      <c r="S107" s="7">
        <f>VLOOKUP($A107,$A$2:S$51,S$83)</f>
        <v>0</v>
      </c>
      <c r="T107" s="7">
        <f>VLOOKUP($A107,$A$2:T$51,T$83)</f>
        <v>0</v>
      </c>
      <c r="U107" s="7">
        <f>VLOOKUP($A107,$A$2:U$51,U$83)</f>
        <v>0</v>
      </c>
      <c r="V107" s="7">
        <f>VLOOKUP($A107,$A$2:V$51,V$83)</f>
        <v>0</v>
      </c>
      <c r="W107" s="7">
        <f>VLOOKUP($A107,$A$2:W$51,W$83)</f>
        <v>0</v>
      </c>
      <c r="X107" s="7">
        <f>VLOOKUP($A107,$A$2:X$51,X$83)</f>
        <v>0</v>
      </c>
      <c r="Y107" s="7">
        <f>VLOOKUP($A107,$A$2:Y$51,Y$83)</f>
        <v>0</v>
      </c>
      <c r="Z107" s="7">
        <f>VLOOKUP($A107,$A$2:Z$51,Z$83)</f>
        <v>0</v>
      </c>
      <c r="AA107" s="7">
        <f>VLOOKUP($A107,$A$2:AA$51,AA$83)</f>
        <v>0</v>
      </c>
      <c r="AB107" s="7">
        <f>VLOOKUP($A107,$A$2:AB$51,AB$83)</f>
        <v>0</v>
      </c>
      <c r="AC107" s="7">
        <f>VLOOKUP($A107,$A$2:AC$51,AC$83)</f>
        <v>0</v>
      </c>
      <c r="AD107" s="7">
        <f>VLOOKUP($A107,$A$2:AD$51,AD$83)</f>
        <v>0</v>
      </c>
      <c r="AE107" s="7">
        <f>VLOOKUP($A107,$A$2:AE$51,AE$83)</f>
        <v>0</v>
      </c>
      <c r="AF107" s="7">
        <f>VLOOKUP($A107,$A$2:AF$51,AF$83)</f>
        <v>0</v>
      </c>
      <c r="AG107" s="7">
        <f>VLOOKUP($A107,$A$2:AG$51,AG$83)</f>
        <v>0</v>
      </c>
    </row>
    <row r="108" spans="1:33" s="7" customFormat="1">
      <c r="A108" s="7">
        <f t="shared" si="18"/>
        <v>49</v>
      </c>
      <c r="B108" s="7">
        <f>VLOOKUP($A108,$A$2:B$51,B$83)</f>
        <v>0.14015693962574005</v>
      </c>
      <c r="C108" s="7">
        <f>VLOOKUP($A108,$A$2:C$51,C$83)</f>
        <v>0.14919932186603546</v>
      </c>
      <c r="D108" s="7">
        <f>VLOOKUP($A108,$A$2:D$51,D$83)</f>
        <v>0.1808476597070694</v>
      </c>
      <c r="E108" s="7">
        <f>VLOOKUP($A108,$A$2:E$51,E$83)</f>
        <v>0.1416909247636795</v>
      </c>
      <c r="F108" s="7">
        <f>VLOOKUP($A108,$A$2:F$51,F$83)</f>
        <v>7.6860256493091583E-2</v>
      </c>
      <c r="G108" s="7">
        <f>VLOOKUP($A108,$A$2:G$51,G$83)</f>
        <v>7.6860256493091583E-2</v>
      </c>
      <c r="H108" s="7">
        <f>VLOOKUP($A108,$A$2:H$51,H$83)</f>
        <v>0</v>
      </c>
      <c r="I108" s="7">
        <f>VLOOKUP($A108,$A$2:I$51,I$83)</f>
        <v>0</v>
      </c>
      <c r="J108" s="7">
        <f>VLOOKUP($A108,$A$2:J$51,J$83)</f>
        <v>0</v>
      </c>
      <c r="K108" s="7">
        <f>VLOOKUP($A108,$A$2:K$51,K$83)</f>
        <v>0</v>
      </c>
      <c r="L108" s="7">
        <f>VLOOKUP($A108,$A$2:L$51,L$83)</f>
        <v>0</v>
      </c>
      <c r="M108" s="7">
        <f>VLOOKUP($A108,$A$2:M$51,M$83)</f>
        <v>0</v>
      </c>
      <c r="N108" s="7">
        <f>VLOOKUP($A108,$A$2:N$51,N$83)</f>
        <v>0</v>
      </c>
      <c r="O108" s="7">
        <f>VLOOKUP($A108,$A$2:O$51,O$83)</f>
        <v>0</v>
      </c>
      <c r="P108" s="7">
        <f>VLOOKUP($A108,$A$2:P$51,P$83)</f>
        <v>0</v>
      </c>
      <c r="Q108" s="7">
        <f>VLOOKUP($A108,$A$2:Q$51,Q$83)</f>
        <v>0</v>
      </c>
      <c r="R108" s="7">
        <f>VLOOKUP($A108,$A$2:R$51,R$83)</f>
        <v>0</v>
      </c>
      <c r="S108" s="7">
        <f>VLOOKUP($A108,$A$2:S$51,S$83)</f>
        <v>0</v>
      </c>
      <c r="T108" s="7">
        <f>VLOOKUP($A108,$A$2:T$51,T$83)</f>
        <v>0</v>
      </c>
      <c r="U108" s="7">
        <f>VLOOKUP($A108,$A$2:U$51,U$83)</f>
        <v>0</v>
      </c>
      <c r="V108" s="7">
        <f>VLOOKUP($A108,$A$2:V$51,V$83)</f>
        <v>0</v>
      </c>
      <c r="W108" s="7">
        <f>VLOOKUP($A108,$A$2:W$51,W$83)</f>
        <v>0</v>
      </c>
      <c r="X108" s="7">
        <f>VLOOKUP($A108,$A$2:X$51,X$83)</f>
        <v>0</v>
      </c>
      <c r="Y108" s="7">
        <f>VLOOKUP($A108,$A$2:Y$51,Y$83)</f>
        <v>0</v>
      </c>
      <c r="Z108" s="7">
        <f>VLOOKUP($A108,$A$2:Z$51,Z$83)</f>
        <v>0</v>
      </c>
      <c r="AA108" s="7">
        <f>VLOOKUP($A108,$A$2:AA$51,AA$83)</f>
        <v>0</v>
      </c>
      <c r="AB108" s="7">
        <f>VLOOKUP($A108,$A$2:AB$51,AB$83)</f>
        <v>0</v>
      </c>
      <c r="AC108" s="7">
        <f>VLOOKUP($A108,$A$2:AC$51,AC$83)</f>
        <v>0</v>
      </c>
      <c r="AD108" s="7">
        <f>VLOOKUP($A108,$A$2:AD$51,AD$83)</f>
        <v>0</v>
      </c>
      <c r="AE108" s="7">
        <f>VLOOKUP($A108,$A$2:AE$51,AE$83)</f>
        <v>0</v>
      </c>
      <c r="AF108" s="7">
        <f>VLOOKUP($A108,$A$2:AF$51,AF$83)</f>
        <v>0</v>
      </c>
      <c r="AG108" s="7">
        <f>VLOOKUP($A108,$A$2:AG$51,AG$83)</f>
        <v>0</v>
      </c>
    </row>
    <row r="109" spans="1:33" s="7" customFormat="1"/>
    <row r="110" spans="1:33" s="7" customFormat="1"/>
    <row r="111" spans="1:33" s="7" customFormat="1"/>
    <row r="112" spans="1:33" s="7" customFormat="1"/>
    <row r="113" s="7" customFormat="1"/>
    <row r="114" s="7" customFormat="1"/>
    <row r="115" s="7" customFormat="1"/>
    <row r="116" s="7" customFormat="1"/>
    <row r="117" s="7" customFormat="1"/>
    <row r="118" s="7" customFormat="1"/>
    <row r="119" s="7" customFormat="1"/>
    <row r="120" s="7" customFormat="1"/>
    <row r="121" s="7" customFormat="1"/>
    <row r="122" s="7" customFormat="1"/>
    <row r="123" s="7" customFormat="1"/>
    <row r="124" s="7" customFormat="1"/>
    <row r="125" s="7" customFormat="1"/>
    <row r="126" s="7" customFormat="1"/>
    <row r="127" s="7" customFormat="1"/>
    <row r="128" s="7" customFormat="1"/>
    <row r="129" s="7" customFormat="1"/>
    <row r="130" s="7" customFormat="1"/>
    <row r="131" s="7" customFormat="1"/>
    <row r="132" s="7" customFormat="1"/>
    <row r="133" s="7" customFormat="1"/>
    <row r="134" s="7" customFormat="1"/>
    <row r="135" s="7" customFormat="1"/>
    <row r="136" s="7" customFormat="1"/>
    <row r="137" s="7" customFormat="1"/>
    <row r="138" s="7" customFormat="1"/>
    <row r="139" s="7" customFormat="1"/>
    <row r="140" s="7" customFormat="1"/>
    <row r="141" s="7" customFormat="1"/>
    <row r="142" s="7" customFormat="1"/>
    <row r="143" s="7" customFormat="1"/>
    <row r="144" s="7" customFormat="1"/>
    <row r="145" s="7" customFormat="1"/>
    <row r="146" s="7" customFormat="1"/>
    <row r="147" s="7" customFormat="1"/>
    <row r="148" s="7" customFormat="1"/>
    <row r="149" s="7" customFormat="1"/>
    <row r="150" s="7" customFormat="1"/>
    <row r="151" s="7" customFormat="1"/>
    <row r="152" s="7" customFormat="1"/>
    <row r="153" s="7" customFormat="1"/>
    <row r="154" s="7" customFormat="1"/>
    <row r="155" s="7" customFormat="1"/>
    <row r="156" s="7" customFormat="1"/>
    <row r="157" s="7" customFormat="1"/>
    <row r="158" s="7" customFormat="1"/>
    <row r="159" s="7" customFormat="1"/>
    <row r="160" s="7" customFormat="1"/>
    <row r="161" spans="35:43" s="7" customFormat="1"/>
    <row r="163" spans="35:43">
      <c r="AI163" s="7"/>
      <c r="AJ163" s="7" t="s">
        <v>5</v>
      </c>
      <c r="AK163" s="28" t="s">
        <v>20</v>
      </c>
      <c r="AL163" s="29">
        <f>data0!AP1</f>
        <v>0</v>
      </c>
      <c r="AM163" t="e">
        <f>mult</f>
        <v>#NAME?</v>
      </c>
      <c r="AN163" s="29">
        <f>data0!AP2</f>
        <v>0</v>
      </c>
      <c r="AO163" s="7">
        <v>3</v>
      </c>
      <c r="AP163" s="18">
        <v>1000</v>
      </c>
    </row>
    <row r="164" spans="35:43">
      <c r="AI164" s="7" t="s">
        <v>25</v>
      </c>
      <c r="AJ164" s="2" t="e">
        <f>AN4/A4-1</f>
        <v>#NAME?</v>
      </c>
      <c r="AK164" s="2">
        <f>1.5*AH4/A4</f>
        <v>1.0619558628903869</v>
      </c>
      <c r="AL164" s="115" t="e">
        <f>"Range " &amp; AO163 &amp;" Gain Error: " &amp;INT(AJ164*1000)/10 &amp; "% +/- " &amp;INT(AK164*1000)/10 &amp; "%"</f>
        <v>#NAME?</v>
      </c>
      <c r="AM164" s="115"/>
      <c r="AN164" s="115"/>
      <c r="AO164" s="115"/>
      <c r="AP164" s="115"/>
      <c r="AQ164" s="32"/>
    </row>
    <row r="165" spans="35:43">
      <c r="AI165" s="7" t="s">
        <v>26</v>
      </c>
      <c r="AJ165" s="30" t="e">
        <f>AJ208</f>
        <v>#NAME?</v>
      </c>
      <c r="AK165" s="30" t="e">
        <f>AH208</f>
        <v>#NAME?</v>
      </c>
      <c r="AL165" s="101" t="e">
        <f>"Range" &amp;AO163 &amp; " Offset Histogram: " &amp; INT(AJ208*100)/100 &amp; " +/- " &amp; INT(AH208*100)/100 &amp; " Lux"</f>
        <v>#NAME?</v>
      </c>
      <c r="AM165" s="101"/>
      <c r="AN165" s="101"/>
      <c r="AO165" s="101"/>
      <c r="AP165" s="101"/>
      <c r="AQ165" s="18"/>
    </row>
    <row r="166" spans="35:43">
      <c r="AI166" s="7" t="s">
        <v>27</v>
      </c>
      <c r="AJ166" s="31" t="e">
        <f>MAX(AL241:AL262)/AP163</f>
        <v>#NAME?</v>
      </c>
      <c r="AK166" s="31" t="e">
        <f>MAX(AH241:AH263)/AP163</f>
        <v>#NAME?</v>
      </c>
      <c r="AL166" s="101" t="e">
        <f>"Range "&amp; AO163 &amp; " `Linearity` Error: " &amp;INT(AJ166*10000)/100 &amp; " +/-"&amp;INT(AK166*10000)/100 &amp; "%"</f>
        <v>#NAME?</v>
      </c>
      <c r="AM166" s="101"/>
      <c r="AN166" s="101"/>
      <c r="AO166" s="101"/>
      <c r="AP166" s="101"/>
      <c r="AQ166" s="18"/>
    </row>
    <row r="168" spans="35:43">
      <c r="AI168" s="7" t="e">
        <f>(AK208-AI208)/5</f>
        <v>#NAME?</v>
      </c>
      <c r="AJ168" s="7"/>
    </row>
    <row r="169" spans="35:43">
      <c r="AI169" s="9" t="e">
        <f>AI208</f>
        <v>#NAME?</v>
      </c>
      <c r="AJ169" s="7" t="e">
        <f ca="1">_xll.HISTOGRAM(B$208:AG$208,AI$169:AI$174,AI169)</f>
        <v>#NAME?</v>
      </c>
    </row>
    <row r="170" spans="35:43">
      <c r="AI170" s="9" t="e">
        <f>AI169+AI$168</f>
        <v>#NAME?</v>
      </c>
      <c r="AJ170" s="7" t="e">
        <f ca="1">_xll.HISTOGRAM(B$208:AG$208,AI$169:AI$174,AI170)</f>
        <v>#NAME?</v>
      </c>
    </row>
    <row r="171" spans="35:43">
      <c r="AI171" s="9" t="e">
        <f>AI170+AI$168</f>
        <v>#NAME?</v>
      </c>
      <c r="AJ171" s="7" t="e">
        <f ca="1">_xll.HISTOGRAM(B$208:AG$208,AI$169:AI$174,AI171)</f>
        <v>#NAME?</v>
      </c>
    </row>
    <row r="172" spans="35:43">
      <c r="AI172" s="9" t="e">
        <f>AI171+AI$168</f>
        <v>#NAME?</v>
      </c>
      <c r="AJ172" s="7" t="e">
        <f ca="1">_xll.HISTOGRAM(B$208:AG$208,AI$169:AI$174,AI172)</f>
        <v>#NAME?</v>
      </c>
    </row>
    <row r="173" spans="35:43">
      <c r="AI173" s="9" t="e">
        <f>AI172+AI$168</f>
        <v>#NAME?</v>
      </c>
      <c r="AJ173" s="7" t="e">
        <f ca="1">_xll.HISTOGRAM(B$208:AG$208,AI$169:AI$174,AI173)</f>
        <v>#NAME?</v>
      </c>
    </row>
    <row r="174" spans="35:43">
      <c r="AI174" s="9" t="e">
        <f>AI173+AI$168</f>
        <v>#NAME?</v>
      </c>
      <c r="AJ174" s="7" t="e">
        <f ca="1">_xll.HISTOGRAM(B$208:AG$208,AI$169:AI$174,AI174)</f>
        <v>#NAME?</v>
      </c>
    </row>
    <row r="178" spans="1:33" s="7" customFormat="1">
      <c r="A178" s="7">
        <f t="shared" ref="A178:A182" si="19">A2</f>
        <v>0</v>
      </c>
      <c r="B178" s="7" t="e">
        <f t="shared" ref="B178:AG178" si="20">B2*mult</f>
        <v>#NAME?</v>
      </c>
      <c r="C178" s="7" t="e">
        <f t="shared" si="20"/>
        <v>#NAME?</v>
      </c>
      <c r="D178" s="7" t="e">
        <f t="shared" si="20"/>
        <v>#NAME?</v>
      </c>
      <c r="E178" s="7" t="e">
        <f t="shared" si="20"/>
        <v>#NAME?</v>
      </c>
      <c r="F178" s="7" t="e">
        <f t="shared" si="20"/>
        <v>#NAME?</v>
      </c>
      <c r="G178" s="7" t="e">
        <f t="shared" si="20"/>
        <v>#NAME?</v>
      </c>
      <c r="H178" s="7" t="e">
        <f t="shared" si="20"/>
        <v>#NAME?</v>
      </c>
      <c r="I178" s="7" t="e">
        <f t="shared" si="20"/>
        <v>#NAME?</v>
      </c>
      <c r="J178" s="7" t="e">
        <f t="shared" si="20"/>
        <v>#NAME?</v>
      </c>
      <c r="K178" s="7" t="e">
        <f t="shared" si="20"/>
        <v>#NAME?</v>
      </c>
      <c r="L178" s="7" t="e">
        <f t="shared" si="20"/>
        <v>#NAME?</v>
      </c>
      <c r="M178" s="7" t="e">
        <f t="shared" si="20"/>
        <v>#NAME?</v>
      </c>
      <c r="N178" s="7" t="e">
        <f t="shared" si="20"/>
        <v>#NAME?</v>
      </c>
      <c r="O178" s="7" t="e">
        <f t="shared" si="20"/>
        <v>#NAME?</v>
      </c>
      <c r="P178" s="7" t="e">
        <f t="shared" si="20"/>
        <v>#NAME?</v>
      </c>
      <c r="Q178" s="7" t="e">
        <f t="shared" si="20"/>
        <v>#NAME?</v>
      </c>
      <c r="R178" s="7" t="e">
        <f t="shared" si="20"/>
        <v>#NAME?</v>
      </c>
      <c r="S178" s="7" t="e">
        <f t="shared" si="20"/>
        <v>#NAME?</v>
      </c>
      <c r="U178" s="7" t="e">
        <f t="shared" si="20"/>
        <v>#NAME?</v>
      </c>
      <c r="V178" s="7" t="e">
        <f t="shared" si="20"/>
        <v>#NAME?</v>
      </c>
      <c r="W178" s="7" t="e">
        <f t="shared" si="20"/>
        <v>#NAME?</v>
      </c>
      <c r="X178" s="7" t="e">
        <f t="shared" si="20"/>
        <v>#NAME?</v>
      </c>
      <c r="Y178" s="7" t="e">
        <f t="shared" si="20"/>
        <v>#NAME?</v>
      </c>
      <c r="Z178" s="7" t="e">
        <f t="shared" si="20"/>
        <v>#NAME?</v>
      </c>
      <c r="AA178" s="7" t="e">
        <f t="shared" si="20"/>
        <v>#NAME?</v>
      </c>
      <c r="AB178" s="7" t="e">
        <f t="shared" si="20"/>
        <v>#NAME?</v>
      </c>
      <c r="AC178" s="7" t="e">
        <f t="shared" si="20"/>
        <v>#NAME?</v>
      </c>
      <c r="AD178" s="7" t="e">
        <f t="shared" si="20"/>
        <v>#NAME?</v>
      </c>
      <c r="AE178" s="7" t="e">
        <f t="shared" si="20"/>
        <v>#NAME?</v>
      </c>
      <c r="AF178" s="7" t="e">
        <f t="shared" si="20"/>
        <v>#NAME?</v>
      </c>
      <c r="AG178" s="7" t="e">
        <f t="shared" si="20"/>
        <v>#NAME?</v>
      </c>
    </row>
    <row r="179" spans="1:33" s="7" customFormat="1">
      <c r="A179" s="7">
        <f t="shared" si="19"/>
        <v>1</v>
      </c>
      <c r="B179" s="7" t="e">
        <f t="shared" ref="B179:AG179" si="21">B3*mult</f>
        <v>#NAME?</v>
      </c>
      <c r="C179" s="7" t="e">
        <f t="shared" si="21"/>
        <v>#NAME?</v>
      </c>
      <c r="D179" s="7" t="e">
        <f t="shared" si="21"/>
        <v>#NAME?</v>
      </c>
      <c r="E179" s="7" t="e">
        <f t="shared" si="21"/>
        <v>#NAME?</v>
      </c>
      <c r="F179" s="7" t="e">
        <f t="shared" si="21"/>
        <v>#NAME?</v>
      </c>
      <c r="G179" s="7" t="e">
        <f t="shared" si="21"/>
        <v>#NAME?</v>
      </c>
      <c r="H179" s="7" t="e">
        <f t="shared" si="21"/>
        <v>#NAME?</v>
      </c>
      <c r="I179" s="7" t="e">
        <f t="shared" si="21"/>
        <v>#NAME?</v>
      </c>
      <c r="J179" s="7" t="e">
        <f t="shared" si="21"/>
        <v>#NAME?</v>
      </c>
      <c r="K179" s="7" t="e">
        <f t="shared" si="21"/>
        <v>#NAME?</v>
      </c>
      <c r="L179" s="7" t="e">
        <f t="shared" si="21"/>
        <v>#NAME?</v>
      </c>
      <c r="M179" s="7" t="e">
        <f t="shared" si="21"/>
        <v>#NAME?</v>
      </c>
      <c r="N179" s="7" t="e">
        <f t="shared" si="21"/>
        <v>#NAME?</v>
      </c>
      <c r="O179" s="7" t="e">
        <f t="shared" si="21"/>
        <v>#NAME?</v>
      </c>
      <c r="P179" s="7" t="e">
        <f t="shared" si="21"/>
        <v>#NAME?</v>
      </c>
      <c r="Q179" s="7" t="e">
        <f t="shared" si="21"/>
        <v>#NAME?</v>
      </c>
      <c r="R179" s="7" t="e">
        <f t="shared" si="21"/>
        <v>#NAME?</v>
      </c>
      <c r="S179" s="7" t="e">
        <f t="shared" si="21"/>
        <v>#NAME?</v>
      </c>
      <c r="U179" s="7" t="e">
        <f t="shared" si="21"/>
        <v>#NAME?</v>
      </c>
      <c r="V179" s="7" t="e">
        <f t="shared" si="21"/>
        <v>#NAME?</v>
      </c>
      <c r="W179" s="7" t="e">
        <f t="shared" si="21"/>
        <v>#NAME?</v>
      </c>
      <c r="X179" s="7" t="e">
        <f t="shared" si="21"/>
        <v>#NAME?</v>
      </c>
      <c r="Y179" s="7" t="e">
        <f t="shared" si="21"/>
        <v>#NAME?</v>
      </c>
      <c r="Z179" s="7" t="e">
        <f t="shared" si="21"/>
        <v>#NAME?</v>
      </c>
      <c r="AA179" s="7" t="e">
        <f t="shared" si="21"/>
        <v>#NAME?</v>
      </c>
      <c r="AB179" s="7" t="e">
        <f t="shared" si="21"/>
        <v>#NAME?</v>
      </c>
      <c r="AC179" s="7" t="e">
        <f t="shared" si="21"/>
        <v>#NAME?</v>
      </c>
      <c r="AD179" s="7" t="e">
        <f t="shared" si="21"/>
        <v>#NAME?</v>
      </c>
      <c r="AE179" s="7" t="e">
        <f t="shared" si="21"/>
        <v>#NAME?</v>
      </c>
      <c r="AF179" s="7" t="e">
        <f t="shared" si="21"/>
        <v>#NAME?</v>
      </c>
      <c r="AG179" s="7" t="e">
        <f t="shared" si="21"/>
        <v>#NAME?</v>
      </c>
    </row>
    <row r="180" spans="1:33" s="7" customFormat="1">
      <c r="A180" s="7">
        <f t="shared" si="19"/>
        <v>2</v>
      </c>
      <c r="B180" s="7" t="e">
        <f t="shared" ref="B180:AG180" si="22">B4*mult</f>
        <v>#NAME?</v>
      </c>
      <c r="C180" s="7" t="e">
        <f t="shared" si="22"/>
        <v>#NAME?</v>
      </c>
      <c r="D180" s="7" t="e">
        <f t="shared" si="22"/>
        <v>#NAME?</v>
      </c>
      <c r="E180" s="7" t="e">
        <f t="shared" si="22"/>
        <v>#NAME?</v>
      </c>
      <c r="F180" s="7" t="e">
        <f t="shared" si="22"/>
        <v>#NAME?</v>
      </c>
      <c r="G180" s="7" t="e">
        <f t="shared" si="22"/>
        <v>#NAME?</v>
      </c>
      <c r="H180" s="7" t="e">
        <f t="shared" si="22"/>
        <v>#NAME?</v>
      </c>
      <c r="I180" s="7" t="e">
        <f t="shared" si="22"/>
        <v>#NAME?</v>
      </c>
      <c r="J180" s="7" t="e">
        <f t="shared" si="22"/>
        <v>#NAME?</v>
      </c>
      <c r="K180" s="7" t="e">
        <f t="shared" si="22"/>
        <v>#NAME?</v>
      </c>
      <c r="L180" s="7" t="e">
        <f t="shared" si="22"/>
        <v>#NAME?</v>
      </c>
      <c r="M180" s="7" t="e">
        <f t="shared" si="22"/>
        <v>#NAME?</v>
      </c>
      <c r="N180" s="7" t="e">
        <f t="shared" si="22"/>
        <v>#NAME?</v>
      </c>
      <c r="O180" s="7" t="e">
        <f t="shared" si="22"/>
        <v>#NAME?</v>
      </c>
      <c r="P180" s="7" t="e">
        <f t="shared" si="22"/>
        <v>#NAME?</v>
      </c>
      <c r="Q180" s="7" t="e">
        <f t="shared" si="22"/>
        <v>#NAME?</v>
      </c>
      <c r="R180" s="7" t="e">
        <f t="shared" si="22"/>
        <v>#NAME?</v>
      </c>
      <c r="S180" s="7" t="e">
        <f t="shared" si="22"/>
        <v>#NAME?</v>
      </c>
      <c r="U180" s="7" t="e">
        <f t="shared" si="22"/>
        <v>#NAME?</v>
      </c>
      <c r="V180" s="7" t="e">
        <f t="shared" si="22"/>
        <v>#NAME?</v>
      </c>
      <c r="W180" s="7" t="e">
        <f t="shared" si="22"/>
        <v>#NAME?</v>
      </c>
      <c r="X180" s="7" t="e">
        <f t="shared" si="22"/>
        <v>#NAME?</v>
      </c>
      <c r="Y180" s="7" t="e">
        <f t="shared" si="22"/>
        <v>#NAME?</v>
      </c>
      <c r="Z180" s="7" t="e">
        <f t="shared" si="22"/>
        <v>#NAME?</v>
      </c>
      <c r="AA180" s="7" t="e">
        <f t="shared" si="22"/>
        <v>#NAME?</v>
      </c>
      <c r="AB180" s="7" t="e">
        <f t="shared" si="22"/>
        <v>#NAME?</v>
      </c>
      <c r="AC180" s="7" t="e">
        <f t="shared" si="22"/>
        <v>#NAME?</v>
      </c>
      <c r="AD180" s="7" t="e">
        <f t="shared" si="22"/>
        <v>#NAME?</v>
      </c>
      <c r="AE180" s="7" t="e">
        <f t="shared" si="22"/>
        <v>#NAME?</v>
      </c>
      <c r="AF180" s="7" t="e">
        <f t="shared" si="22"/>
        <v>#NAME?</v>
      </c>
      <c r="AG180" s="7" t="e">
        <f t="shared" si="22"/>
        <v>#NAME?</v>
      </c>
    </row>
    <row r="181" spans="1:33" s="7" customFormat="1">
      <c r="A181" s="7">
        <f t="shared" si="19"/>
        <v>3</v>
      </c>
      <c r="B181" s="7" t="e">
        <f t="shared" ref="B181:AG181" si="23">B5*mult</f>
        <v>#NAME?</v>
      </c>
      <c r="C181" s="7" t="e">
        <f t="shared" si="23"/>
        <v>#NAME?</v>
      </c>
      <c r="D181" s="7" t="e">
        <f t="shared" si="23"/>
        <v>#NAME?</v>
      </c>
      <c r="E181" s="7" t="e">
        <f t="shared" si="23"/>
        <v>#NAME?</v>
      </c>
      <c r="F181" s="7" t="e">
        <f t="shared" si="23"/>
        <v>#NAME?</v>
      </c>
      <c r="G181" s="7" t="e">
        <f t="shared" si="23"/>
        <v>#NAME?</v>
      </c>
      <c r="H181" s="7" t="e">
        <f t="shared" si="23"/>
        <v>#NAME?</v>
      </c>
      <c r="I181" s="7" t="e">
        <f t="shared" si="23"/>
        <v>#NAME?</v>
      </c>
      <c r="J181" s="7" t="e">
        <f t="shared" si="23"/>
        <v>#NAME?</v>
      </c>
      <c r="K181" s="7" t="e">
        <f t="shared" si="23"/>
        <v>#NAME?</v>
      </c>
      <c r="L181" s="7" t="e">
        <f t="shared" si="23"/>
        <v>#NAME?</v>
      </c>
      <c r="M181" s="7" t="e">
        <f t="shared" si="23"/>
        <v>#NAME?</v>
      </c>
      <c r="N181" s="7" t="e">
        <f t="shared" si="23"/>
        <v>#NAME?</v>
      </c>
      <c r="O181" s="7" t="e">
        <f t="shared" si="23"/>
        <v>#NAME?</v>
      </c>
      <c r="P181" s="7" t="e">
        <f t="shared" si="23"/>
        <v>#NAME?</v>
      </c>
      <c r="Q181" s="7" t="e">
        <f t="shared" si="23"/>
        <v>#NAME?</v>
      </c>
      <c r="R181" s="7" t="e">
        <f t="shared" si="23"/>
        <v>#NAME?</v>
      </c>
      <c r="S181" s="7" t="e">
        <f t="shared" si="23"/>
        <v>#NAME?</v>
      </c>
      <c r="U181" s="7" t="e">
        <f t="shared" si="23"/>
        <v>#NAME?</v>
      </c>
      <c r="V181" s="7" t="e">
        <f t="shared" si="23"/>
        <v>#NAME?</v>
      </c>
      <c r="W181" s="7" t="e">
        <f t="shared" si="23"/>
        <v>#NAME?</v>
      </c>
      <c r="X181" s="7" t="e">
        <f t="shared" si="23"/>
        <v>#NAME?</v>
      </c>
      <c r="Y181" s="7" t="e">
        <f t="shared" si="23"/>
        <v>#NAME?</v>
      </c>
      <c r="Z181" s="7" t="e">
        <f t="shared" si="23"/>
        <v>#NAME?</v>
      </c>
      <c r="AA181" s="7" t="e">
        <f t="shared" si="23"/>
        <v>#NAME?</v>
      </c>
      <c r="AB181" s="7" t="e">
        <f t="shared" si="23"/>
        <v>#NAME?</v>
      </c>
      <c r="AC181" s="7" t="e">
        <f t="shared" si="23"/>
        <v>#NAME?</v>
      </c>
      <c r="AD181" s="7" t="e">
        <f t="shared" si="23"/>
        <v>#NAME?</v>
      </c>
      <c r="AE181" s="7" t="e">
        <f t="shared" si="23"/>
        <v>#NAME?</v>
      </c>
      <c r="AF181" s="7" t="e">
        <f t="shared" si="23"/>
        <v>#NAME?</v>
      </c>
      <c r="AG181" s="7" t="e">
        <f t="shared" si="23"/>
        <v>#NAME?</v>
      </c>
    </row>
    <row r="182" spans="1:33" s="7" customFormat="1">
      <c r="A182" s="7">
        <f t="shared" si="19"/>
        <v>4</v>
      </c>
      <c r="B182" s="7" t="e">
        <f t="shared" ref="B182:AG182" si="24">B6*mult</f>
        <v>#NAME?</v>
      </c>
      <c r="C182" s="7" t="e">
        <f t="shared" si="24"/>
        <v>#NAME?</v>
      </c>
      <c r="D182" s="7" t="e">
        <f t="shared" si="24"/>
        <v>#NAME?</v>
      </c>
      <c r="E182" s="7" t="e">
        <f t="shared" si="24"/>
        <v>#NAME?</v>
      </c>
      <c r="F182" s="7" t="e">
        <f t="shared" si="24"/>
        <v>#NAME?</v>
      </c>
      <c r="G182" s="7" t="e">
        <f t="shared" si="24"/>
        <v>#NAME?</v>
      </c>
      <c r="H182" s="7" t="e">
        <f t="shared" si="24"/>
        <v>#NAME?</v>
      </c>
      <c r="I182" s="7" t="e">
        <f t="shared" si="24"/>
        <v>#NAME?</v>
      </c>
      <c r="J182" s="7" t="e">
        <f t="shared" si="24"/>
        <v>#NAME?</v>
      </c>
      <c r="K182" s="7" t="e">
        <f t="shared" si="24"/>
        <v>#NAME?</v>
      </c>
      <c r="L182" s="7" t="e">
        <f t="shared" si="24"/>
        <v>#NAME?</v>
      </c>
      <c r="M182" s="7" t="e">
        <f t="shared" si="24"/>
        <v>#NAME?</v>
      </c>
      <c r="N182" s="7" t="e">
        <f t="shared" si="24"/>
        <v>#NAME?</v>
      </c>
      <c r="O182" s="7" t="e">
        <f t="shared" si="24"/>
        <v>#NAME?</v>
      </c>
      <c r="P182" s="7" t="e">
        <f t="shared" si="24"/>
        <v>#NAME?</v>
      </c>
      <c r="Q182" s="7" t="e">
        <f t="shared" si="24"/>
        <v>#NAME?</v>
      </c>
      <c r="R182" s="7" t="e">
        <f t="shared" si="24"/>
        <v>#NAME?</v>
      </c>
      <c r="S182" s="7" t="e">
        <f t="shared" si="24"/>
        <v>#NAME?</v>
      </c>
      <c r="U182" s="7" t="e">
        <f t="shared" si="24"/>
        <v>#NAME?</v>
      </c>
      <c r="V182" s="7" t="e">
        <f t="shared" si="24"/>
        <v>#NAME?</v>
      </c>
      <c r="W182" s="7" t="e">
        <f t="shared" si="24"/>
        <v>#NAME?</v>
      </c>
      <c r="X182" s="7" t="e">
        <f t="shared" si="24"/>
        <v>#NAME?</v>
      </c>
      <c r="Y182" s="7" t="e">
        <f t="shared" si="24"/>
        <v>#NAME?</v>
      </c>
      <c r="Z182" s="7" t="e">
        <f t="shared" si="24"/>
        <v>#NAME?</v>
      </c>
      <c r="AA182" s="7" t="e">
        <f t="shared" si="24"/>
        <v>#NAME?</v>
      </c>
      <c r="AB182" s="7" t="e">
        <f t="shared" si="24"/>
        <v>#NAME?</v>
      </c>
      <c r="AC182" s="7" t="e">
        <f t="shared" si="24"/>
        <v>#NAME?</v>
      </c>
      <c r="AD182" s="7" t="e">
        <f t="shared" si="24"/>
        <v>#NAME?</v>
      </c>
      <c r="AE182" s="7" t="e">
        <f t="shared" si="24"/>
        <v>#NAME?</v>
      </c>
      <c r="AF182" s="7" t="e">
        <f t="shared" si="24"/>
        <v>#NAME?</v>
      </c>
      <c r="AG182" s="7" t="e">
        <f t="shared" si="24"/>
        <v>#NAME?</v>
      </c>
    </row>
    <row r="183" spans="1:33" s="7" customFormat="1">
      <c r="A183" s="7">
        <f t="shared" ref="A183:A192" si="25">A7</f>
        <v>5</v>
      </c>
      <c r="B183" s="7" t="e">
        <f t="shared" ref="B183:AG183" si="26">B7*mult</f>
        <v>#NAME?</v>
      </c>
      <c r="C183" s="7" t="e">
        <f t="shared" si="26"/>
        <v>#NAME?</v>
      </c>
      <c r="D183" s="7" t="e">
        <f t="shared" si="26"/>
        <v>#NAME?</v>
      </c>
      <c r="E183" s="7" t="e">
        <f t="shared" si="26"/>
        <v>#NAME?</v>
      </c>
      <c r="F183" s="7" t="e">
        <f t="shared" si="26"/>
        <v>#NAME?</v>
      </c>
      <c r="G183" s="7" t="e">
        <f t="shared" si="26"/>
        <v>#NAME?</v>
      </c>
      <c r="H183" s="7" t="e">
        <f t="shared" si="26"/>
        <v>#NAME?</v>
      </c>
      <c r="I183" s="7" t="e">
        <f t="shared" si="26"/>
        <v>#NAME?</v>
      </c>
      <c r="J183" s="7" t="e">
        <f t="shared" si="26"/>
        <v>#NAME?</v>
      </c>
      <c r="K183" s="7" t="e">
        <f t="shared" si="26"/>
        <v>#NAME?</v>
      </c>
      <c r="L183" s="7" t="e">
        <f t="shared" si="26"/>
        <v>#NAME?</v>
      </c>
      <c r="M183" s="7" t="e">
        <f t="shared" si="26"/>
        <v>#NAME?</v>
      </c>
      <c r="N183" s="7" t="e">
        <f t="shared" si="26"/>
        <v>#NAME?</v>
      </c>
      <c r="O183" s="7" t="e">
        <f t="shared" si="26"/>
        <v>#NAME?</v>
      </c>
      <c r="P183" s="7" t="e">
        <f t="shared" si="26"/>
        <v>#NAME?</v>
      </c>
      <c r="Q183" s="7" t="e">
        <f t="shared" si="26"/>
        <v>#NAME?</v>
      </c>
      <c r="R183" s="7" t="e">
        <f t="shared" si="26"/>
        <v>#NAME?</v>
      </c>
      <c r="S183" s="7" t="e">
        <f t="shared" si="26"/>
        <v>#NAME?</v>
      </c>
      <c r="U183" s="7" t="e">
        <f t="shared" si="26"/>
        <v>#NAME?</v>
      </c>
      <c r="V183" s="7" t="e">
        <f t="shared" si="26"/>
        <v>#NAME?</v>
      </c>
      <c r="W183" s="7" t="e">
        <f t="shared" si="26"/>
        <v>#NAME?</v>
      </c>
      <c r="X183" s="7" t="e">
        <f t="shared" si="26"/>
        <v>#NAME?</v>
      </c>
      <c r="Y183" s="7" t="e">
        <f t="shared" si="26"/>
        <v>#NAME?</v>
      </c>
      <c r="Z183" s="7" t="e">
        <f t="shared" si="26"/>
        <v>#NAME?</v>
      </c>
      <c r="AA183" s="7" t="e">
        <f t="shared" si="26"/>
        <v>#NAME?</v>
      </c>
      <c r="AB183" s="7" t="e">
        <f t="shared" si="26"/>
        <v>#NAME?</v>
      </c>
      <c r="AC183" s="7" t="e">
        <f t="shared" si="26"/>
        <v>#NAME?</v>
      </c>
      <c r="AD183" s="7" t="e">
        <f t="shared" si="26"/>
        <v>#NAME?</v>
      </c>
      <c r="AE183" s="7" t="e">
        <f t="shared" si="26"/>
        <v>#NAME?</v>
      </c>
      <c r="AF183" s="7" t="e">
        <f t="shared" si="26"/>
        <v>#NAME?</v>
      </c>
      <c r="AG183" s="7" t="e">
        <f t="shared" si="26"/>
        <v>#NAME?</v>
      </c>
    </row>
    <row r="184" spans="1:33" s="7" customFormat="1">
      <c r="A184" s="7">
        <f t="shared" si="25"/>
        <v>6</v>
      </c>
      <c r="B184" s="7" t="e">
        <f t="shared" ref="B184:AG184" si="27">B8*mult</f>
        <v>#NAME?</v>
      </c>
      <c r="C184" s="7" t="e">
        <f t="shared" si="27"/>
        <v>#NAME?</v>
      </c>
      <c r="D184" s="7" t="e">
        <f t="shared" si="27"/>
        <v>#NAME?</v>
      </c>
      <c r="E184" s="7" t="e">
        <f t="shared" si="27"/>
        <v>#NAME?</v>
      </c>
      <c r="F184" s="7" t="e">
        <f t="shared" si="27"/>
        <v>#NAME?</v>
      </c>
      <c r="G184" s="7" t="e">
        <f t="shared" si="27"/>
        <v>#NAME?</v>
      </c>
      <c r="H184" s="7" t="e">
        <f t="shared" si="27"/>
        <v>#NAME?</v>
      </c>
      <c r="I184" s="7" t="e">
        <f t="shared" si="27"/>
        <v>#NAME?</v>
      </c>
      <c r="J184" s="7" t="e">
        <f t="shared" si="27"/>
        <v>#NAME?</v>
      </c>
      <c r="K184" s="7" t="e">
        <f t="shared" si="27"/>
        <v>#NAME?</v>
      </c>
      <c r="L184" s="7" t="e">
        <f t="shared" si="27"/>
        <v>#NAME?</v>
      </c>
      <c r="M184" s="7" t="e">
        <f t="shared" si="27"/>
        <v>#NAME?</v>
      </c>
      <c r="N184" s="7" t="e">
        <f t="shared" si="27"/>
        <v>#NAME?</v>
      </c>
      <c r="O184" s="7" t="e">
        <f t="shared" si="27"/>
        <v>#NAME?</v>
      </c>
      <c r="P184" s="7" t="e">
        <f t="shared" si="27"/>
        <v>#NAME?</v>
      </c>
      <c r="Q184" s="7" t="e">
        <f t="shared" si="27"/>
        <v>#NAME?</v>
      </c>
      <c r="R184" s="7" t="e">
        <f t="shared" si="27"/>
        <v>#NAME?</v>
      </c>
      <c r="S184" s="7" t="e">
        <f t="shared" si="27"/>
        <v>#NAME?</v>
      </c>
      <c r="U184" s="7" t="e">
        <f t="shared" si="27"/>
        <v>#NAME?</v>
      </c>
      <c r="V184" s="7" t="e">
        <f t="shared" si="27"/>
        <v>#NAME?</v>
      </c>
      <c r="W184" s="7" t="e">
        <f t="shared" si="27"/>
        <v>#NAME?</v>
      </c>
      <c r="X184" s="7" t="e">
        <f t="shared" si="27"/>
        <v>#NAME?</v>
      </c>
      <c r="Y184" s="7" t="e">
        <f t="shared" si="27"/>
        <v>#NAME?</v>
      </c>
      <c r="Z184" s="7" t="e">
        <f t="shared" si="27"/>
        <v>#NAME?</v>
      </c>
      <c r="AA184" s="7" t="e">
        <f t="shared" si="27"/>
        <v>#NAME?</v>
      </c>
      <c r="AB184" s="7" t="e">
        <f t="shared" si="27"/>
        <v>#NAME?</v>
      </c>
      <c r="AC184" s="7" t="e">
        <f t="shared" si="27"/>
        <v>#NAME?</v>
      </c>
      <c r="AD184" s="7" t="e">
        <f t="shared" si="27"/>
        <v>#NAME?</v>
      </c>
      <c r="AE184" s="7" t="e">
        <f t="shared" si="27"/>
        <v>#NAME?</v>
      </c>
      <c r="AF184" s="7" t="e">
        <f t="shared" si="27"/>
        <v>#NAME?</v>
      </c>
      <c r="AG184" s="7" t="e">
        <f t="shared" si="27"/>
        <v>#NAME?</v>
      </c>
    </row>
    <row r="185" spans="1:33" s="7" customFormat="1">
      <c r="A185" s="7">
        <f t="shared" si="25"/>
        <v>7</v>
      </c>
      <c r="B185" s="7" t="e">
        <f t="shared" ref="B185:AG185" si="28">B9*mult</f>
        <v>#NAME?</v>
      </c>
      <c r="C185" s="7" t="e">
        <f t="shared" si="28"/>
        <v>#NAME?</v>
      </c>
      <c r="D185" s="7" t="e">
        <f t="shared" si="28"/>
        <v>#NAME?</v>
      </c>
      <c r="E185" s="7" t="e">
        <f t="shared" si="28"/>
        <v>#NAME?</v>
      </c>
      <c r="F185" s="7" t="e">
        <f t="shared" si="28"/>
        <v>#NAME?</v>
      </c>
      <c r="G185" s="7" t="e">
        <f t="shared" si="28"/>
        <v>#NAME?</v>
      </c>
      <c r="H185" s="7" t="e">
        <f t="shared" si="28"/>
        <v>#NAME?</v>
      </c>
      <c r="I185" s="7" t="e">
        <f t="shared" si="28"/>
        <v>#NAME?</v>
      </c>
      <c r="J185" s="7" t="e">
        <f t="shared" si="28"/>
        <v>#NAME?</v>
      </c>
      <c r="K185" s="7" t="e">
        <f t="shared" si="28"/>
        <v>#NAME?</v>
      </c>
      <c r="L185" s="7" t="e">
        <f t="shared" si="28"/>
        <v>#NAME?</v>
      </c>
      <c r="M185" s="7" t="e">
        <f t="shared" si="28"/>
        <v>#NAME?</v>
      </c>
      <c r="N185" s="7" t="e">
        <f t="shared" si="28"/>
        <v>#NAME?</v>
      </c>
      <c r="O185" s="7" t="e">
        <f t="shared" si="28"/>
        <v>#NAME?</v>
      </c>
      <c r="P185" s="7" t="e">
        <f t="shared" si="28"/>
        <v>#NAME?</v>
      </c>
      <c r="Q185" s="7" t="e">
        <f t="shared" si="28"/>
        <v>#NAME?</v>
      </c>
      <c r="R185" s="7" t="e">
        <f t="shared" si="28"/>
        <v>#NAME?</v>
      </c>
      <c r="S185" s="7" t="e">
        <f t="shared" si="28"/>
        <v>#NAME?</v>
      </c>
      <c r="U185" s="7" t="e">
        <f t="shared" si="28"/>
        <v>#NAME?</v>
      </c>
      <c r="V185" s="7" t="e">
        <f t="shared" si="28"/>
        <v>#NAME?</v>
      </c>
      <c r="W185" s="7" t="e">
        <f t="shared" si="28"/>
        <v>#NAME?</v>
      </c>
      <c r="X185" s="7" t="e">
        <f t="shared" si="28"/>
        <v>#NAME?</v>
      </c>
      <c r="Y185" s="7" t="e">
        <f t="shared" si="28"/>
        <v>#NAME?</v>
      </c>
      <c r="Z185" s="7" t="e">
        <f t="shared" si="28"/>
        <v>#NAME?</v>
      </c>
      <c r="AA185" s="7" t="e">
        <f t="shared" si="28"/>
        <v>#NAME?</v>
      </c>
      <c r="AB185" s="7" t="e">
        <f t="shared" si="28"/>
        <v>#NAME?</v>
      </c>
      <c r="AC185" s="7" t="e">
        <f t="shared" si="28"/>
        <v>#NAME?</v>
      </c>
      <c r="AD185" s="7" t="e">
        <f t="shared" si="28"/>
        <v>#NAME?</v>
      </c>
      <c r="AE185" s="7" t="e">
        <f t="shared" si="28"/>
        <v>#NAME?</v>
      </c>
      <c r="AF185" s="7" t="e">
        <f t="shared" si="28"/>
        <v>#NAME?</v>
      </c>
      <c r="AG185" s="7" t="e">
        <f t="shared" si="28"/>
        <v>#NAME?</v>
      </c>
    </row>
    <row r="186" spans="1:33" s="7" customFormat="1">
      <c r="A186" s="7">
        <f t="shared" si="25"/>
        <v>8</v>
      </c>
      <c r="B186" s="7" t="e">
        <f t="shared" ref="B186:AG186" si="29">B10*mult</f>
        <v>#NAME?</v>
      </c>
      <c r="C186" s="7" t="e">
        <f t="shared" si="29"/>
        <v>#NAME?</v>
      </c>
      <c r="D186" s="7" t="e">
        <f t="shared" si="29"/>
        <v>#NAME?</v>
      </c>
      <c r="E186" s="7" t="e">
        <f t="shared" si="29"/>
        <v>#NAME?</v>
      </c>
      <c r="F186" s="7" t="e">
        <f t="shared" si="29"/>
        <v>#NAME?</v>
      </c>
      <c r="G186" s="7" t="e">
        <f t="shared" si="29"/>
        <v>#NAME?</v>
      </c>
      <c r="H186" s="7" t="e">
        <f t="shared" si="29"/>
        <v>#NAME?</v>
      </c>
      <c r="I186" s="7" t="e">
        <f t="shared" si="29"/>
        <v>#NAME?</v>
      </c>
      <c r="J186" s="7" t="e">
        <f t="shared" si="29"/>
        <v>#NAME?</v>
      </c>
      <c r="K186" s="7" t="e">
        <f t="shared" si="29"/>
        <v>#NAME?</v>
      </c>
      <c r="L186" s="7" t="e">
        <f t="shared" si="29"/>
        <v>#NAME?</v>
      </c>
      <c r="M186" s="7" t="e">
        <f t="shared" si="29"/>
        <v>#NAME?</v>
      </c>
      <c r="N186" s="7" t="e">
        <f t="shared" si="29"/>
        <v>#NAME?</v>
      </c>
      <c r="O186" s="7" t="e">
        <f t="shared" si="29"/>
        <v>#NAME?</v>
      </c>
      <c r="P186" s="7" t="e">
        <f t="shared" si="29"/>
        <v>#NAME?</v>
      </c>
      <c r="Q186" s="7" t="e">
        <f t="shared" si="29"/>
        <v>#NAME?</v>
      </c>
      <c r="R186" s="7" t="e">
        <f t="shared" si="29"/>
        <v>#NAME?</v>
      </c>
      <c r="S186" s="7" t="e">
        <f t="shared" si="29"/>
        <v>#NAME?</v>
      </c>
      <c r="U186" s="7" t="e">
        <f t="shared" si="29"/>
        <v>#NAME?</v>
      </c>
      <c r="V186" s="7" t="e">
        <f t="shared" si="29"/>
        <v>#NAME?</v>
      </c>
      <c r="W186" s="7" t="e">
        <f t="shared" si="29"/>
        <v>#NAME?</v>
      </c>
      <c r="X186" s="7" t="e">
        <f t="shared" si="29"/>
        <v>#NAME?</v>
      </c>
      <c r="Y186" s="7" t="e">
        <f t="shared" si="29"/>
        <v>#NAME?</v>
      </c>
      <c r="Z186" s="7" t="e">
        <f t="shared" si="29"/>
        <v>#NAME?</v>
      </c>
      <c r="AA186" s="7" t="e">
        <f t="shared" si="29"/>
        <v>#NAME?</v>
      </c>
      <c r="AB186" s="7" t="e">
        <f t="shared" si="29"/>
        <v>#NAME?</v>
      </c>
      <c r="AC186" s="7" t="e">
        <f t="shared" si="29"/>
        <v>#NAME?</v>
      </c>
      <c r="AD186" s="7" t="e">
        <f t="shared" si="29"/>
        <v>#NAME?</v>
      </c>
      <c r="AE186" s="7" t="e">
        <f t="shared" si="29"/>
        <v>#NAME?</v>
      </c>
      <c r="AF186" s="7" t="e">
        <f t="shared" si="29"/>
        <v>#NAME?</v>
      </c>
      <c r="AG186" s="7" t="e">
        <f t="shared" si="29"/>
        <v>#NAME?</v>
      </c>
    </row>
    <row r="187" spans="1:33" s="7" customFormat="1">
      <c r="A187" s="7">
        <f t="shared" si="25"/>
        <v>9</v>
      </c>
      <c r="B187" s="7" t="e">
        <f t="shared" ref="B187:AG187" si="30">B11*mult</f>
        <v>#NAME?</v>
      </c>
      <c r="C187" s="7" t="e">
        <f t="shared" si="30"/>
        <v>#NAME?</v>
      </c>
      <c r="D187" s="7" t="e">
        <f t="shared" si="30"/>
        <v>#NAME?</v>
      </c>
      <c r="E187" s="7" t="e">
        <f t="shared" si="30"/>
        <v>#NAME?</v>
      </c>
      <c r="F187" s="7" t="e">
        <f t="shared" si="30"/>
        <v>#NAME?</v>
      </c>
      <c r="G187" s="7" t="e">
        <f t="shared" si="30"/>
        <v>#NAME?</v>
      </c>
      <c r="H187" s="7" t="e">
        <f t="shared" si="30"/>
        <v>#NAME?</v>
      </c>
      <c r="I187" s="7" t="e">
        <f t="shared" si="30"/>
        <v>#NAME?</v>
      </c>
      <c r="J187" s="7" t="e">
        <f t="shared" si="30"/>
        <v>#NAME?</v>
      </c>
      <c r="K187" s="7" t="e">
        <f t="shared" si="30"/>
        <v>#NAME?</v>
      </c>
      <c r="L187" s="7" t="e">
        <f t="shared" si="30"/>
        <v>#NAME?</v>
      </c>
      <c r="M187" s="7" t="e">
        <f t="shared" si="30"/>
        <v>#NAME?</v>
      </c>
      <c r="N187" s="7" t="e">
        <f t="shared" si="30"/>
        <v>#NAME?</v>
      </c>
      <c r="O187" s="7" t="e">
        <f t="shared" si="30"/>
        <v>#NAME?</v>
      </c>
      <c r="P187" s="7" t="e">
        <f t="shared" si="30"/>
        <v>#NAME?</v>
      </c>
      <c r="Q187" s="7" t="e">
        <f t="shared" si="30"/>
        <v>#NAME?</v>
      </c>
      <c r="R187" s="7" t="e">
        <f t="shared" si="30"/>
        <v>#NAME?</v>
      </c>
      <c r="S187" s="7" t="e">
        <f t="shared" si="30"/>
        <v>#NAME?</v>
      </c>
      <c r="U187" s="7" t="e">
        <f t="shared" si="30"/>
        <v>#NAME?</v>
      </c>
      <c r="V187" s="7" t="e">
        <f t="shared" si="30"/>
        <v>#NAME?</v>
      </c>
      <c r="W187" s="7" t="e">
        <f t="shared" si="30"/>
        <v>#NAME?</v>
      </c>
      <c r="X187" s="7" t="e">
        <f t="shared" si="30"/>
        <v>#NAME?</v>
      </c>
      <c r="Y187" s="7" t="e">
        <f t="shared" si="30"/>
        <v>#NAME?</v>
      </c>
      <c r="Z187" s="7" t="e">
        <f t="shared" si="30"/>
        <v>#NAME?</v>
      </c>
      <c r="AA187" s="7" t="e">
        <f t="shared" si="30"/>
        <v>#NAME?</v>
      </c>
      <c r="AB187" s="7" t="e">
        <f t="shared" si="30"/>
        <v>#NAME?</v>
      </c>
      <c r="AC187" s="7" t="e">
        <f t="shared" si="30"/>
        <v>#NAME?</v>
      </c>
      <c r="AD187" s="7" t="e">
        <f t="shared" si="30"/>
        <v>#NAME?</v>
      </c>
      <c r="AE187" s="7" t="e">
        <f t="shared" si="30"/>
        <v>#NAME?</v>
      </c>
      <c r="AF187" s="7" t="e">
        <f t="shared" si="30"/>
        <v>#NAME?</v>
      </c>
      <c r="AG187" s="7" t="e">
        <f t="shared" si="30"/>
        <v>#NAME?</v>
      </c>
    </row>
    <row r="188" spans="1:33" s="7" customFormat="1">
      <c r="A188" s="7">
        <f t="shared" si="25"/>
        <v>10</v>
      </c>
      <c r="B188" s="7" t="e">
        <f t="shared" ref="B188:AG188" si="31">B12*mult</f>
        <v>#NAME?</v>
      </c>
      <c r="C188" s="7" t="e">
        <f t="shared" si="31"/>
        <v>#NAME?</v>
      </c>
      <c r="D188" s="7" t="e">
        <f t="shared" si="31"/>
        <v>#NAME?</v>
      </c>
      <c r="E188" s="7" t="e">
        <f t="shared" si="31"/>
        <v>#NAME?</v>
      </c>
      <c r="F188" s="7" t="e">
        <f t="shared" si="31"/>
        <v>#NAME?</v>
      </c>
      <c r="G188" s="7" t="e">
        <f t="shared" si="31"/>
        <v>#NAME?</v>
      </c>
      <c r="H188" s="7" t="e">
        <f t="shared" si="31"/>
        <v>#NAME?</v>
      </c>
      <c r="I188" s="7" t="e">
        <f t="shared" si="31"/>
        <v>#NAME?</v>
      </c>
      <c r="J188" s="7" t="e">
        <f t="shared" si="31"/>
        <v>#NAME?</v>
      </c>
      <c r="K188" s="7" t="e">
        <f t="shared" si="31"/>
        <v>#NAME?</v>
      </c>
      <c r="L188" s="7" t="e">
        <f t="shared" si="31"/>
        <v>#NAME?</v>
      </c>
      <c r="M188" s="7" t="e">
        <f t="shared" si="31"/>
        <v>#NAME?</v>
      </c>
      <c r="N188" s="7" t="e">
        <f t="shared" si="31"/>
        <v>#NAME?</v>
      </c>
      <c r="O188" s="7" t="e">
        <f t="shared" si="31"/>
        <v>#NAME?</v>
      </c>
      <c r="P188" s="7" t="e">
        <f t="shared" si="31"/>
        <v>#NAME?</v>
      </c>
      <c r="Q188" s="7" t="e">
        <f t="shared" si="31"/>
        <v>#NAME?</v>
      </c>
      <c r="R188" s="7" t="e">
        <f t="shared" si="31"/>
        <v>#NAME?</v>
      </c>
      <c r="S188" s="7" t="e">
        <f t="shared" si="31"/>
        <v>#NAME?</v>
      </c>
      <c r="U188" s="7" t="e">
        <f t="shared" si="31"/>
        <v>#NAME?</v>
      </c>
      <c r="V188" s="7" t="e">
        <f t="shared" si="31"/>
        <v>#NAME?</v>
      </c>
      <c r="W188" s="7" t="e">
        <f t="shared" si="31"/>
        <v>#NAME?</v>
      </c>
      <c r="X188" s="7" t="e">
        <f t="shared" si="31"/>
        <v>#NAME?</v>
      </c>
      <c r="Y188" s="7" t="e">
        <f t="shared" si="31"/>
        <v>#NAME?</v>
      </c>
      <c r="Z188" s="7" t="e">
        <f t="shared" si="31"/>
        <v>#NAME?</v>
      </c>
      <c r="AA188" s="7" t="e">
        <f t="shared" si="31"/>
        <v>#NAME?</v>
      </c>
      <c r="AB188" s="7" t="e">
        <f t="shared" si="31"/>
        <v>#NAME?</v>
      </c>
      <c r="AC188" s="7" t="e">
        <f t="shared" si="31"/>
        <v>#NAME?</v>
      </c>
      <c r="AD188" s="7" t="e">
        <f t="shared" si="31"/>
        <v>#NAME?</v>
      </c>
      <c r="AE188" s="7" t="e">
        <f t="shared" si="31"/>
        <v>#NAME?</v>
      </c>
      <c r="AF188" s="7" t="e">
        <f t="shared" si="31"/>
        <v>#NAME?</v>
      </c>
      <c r="AG188" s="7" t="e">
        <f t="shared" si="31"/>
        <v>#NAME?</v>
      </c>
    </row>
    <row r="189" spans="1:33" s="7" customFormat="1">
      <c r="A189" s="7">
        <f t="shared" si="25"/>
        <v>11</v>
      </c>
      <c r="B189" s="7" t="e">
        <f t="shared" ref="B189:AG189" si="32">B13*mult</f>
        <v>#NAME?</v>
      </c>
      <c r="C189" s="7" t="e">
        <f t="shared" si="32"/>
        <v>#NAME?</v>
      </c>
      <c r="D189" s="7" t="e">
        <f t="shared" si="32"/>
        <v>#NAME?</v>
      </c>
      <c r="E189" s="7" t="e">
        <f t="shared" si="32"/>
        <v>#NAME?</v>
      </c>
      <c r="F189" s="7" t="e">
        <f t="shared" si="32"/>
        <v>#NAME?</v>
      </c>
      <c r="G189" s="7" t="e">
        <f t="shared" si="32"/>
        <v>#NAME?</v>
      </c>
      <c r="H189" s="7" t="e">
        <f t="shared" si="32"/>
        <v>#NAME?</v>
      </c>
      <c r="I189" s="7" t="e">
        <f t="shared" si="32"/>
        <v>#NAME?</v>
      </c>
      <c r="J189" s="7" t="e">
        <f t="shared" si="32"/>
        <v>#NAME?</v>
      </c>
      <c r="K189" s="7" t="e">
        <f t="shared" si="32"/>
        <v>#NAME?</v>
      </c>
      <c r="L189" s="7" t="e">
        <f t="shared" si="32"/>
        <v>#NAME?</v>
      </c>
      <c r="M189" s="7" t="e">
        <f t="shared" si="32"/>
        <v>#NAME?</v>
      </c>
      <c r="N189" s="7" t="e">
        <f t="shared" si="32"/>
        <v>#NAME?</v>
      </c>
      <c r="O189" s="7" t="e">
        <f t="shared" si="32"/>
        <v>#NAME?</v>
      </c>
      <c r="P189" s="7" t="e">
        <f t="shared" si="32"/>
        <v>#NAME?</v>
      </c>
      <c r="Q189" s="7" t="e">
        <f t="shared" si="32"/>
        <v>#NAME?</v>
      </c>
      <c r="R189" s="7" t="e">
        <f t="shared" si="32"/>
        <v>#NAME?</v>
      </c>
      <c r="S189" s="7" t="e">
        <f t="shared" si="32"/>
        <v>#NAME?</v>
      </c>
      <c r="U189" s="7" t="e">
        <f t="shared" si="32"/>
        <v>#NAME?</v>
      </c>
      <c r="V189" s="7" t="e">
        <f t="shared" si="32"/>
        <v>#NAME?</v>
      </c>
      <c r="W189" s="7" t="e">
        <f t="shared" si="32"/>
        <v>#NAME?</v>
      </c>
      <c r="X189" s="7" t="e">
        <f t="shared" si="32"/>
        <v>#NAME?</v>
      </c>
      <c r="Y189" s="7" t="e">
        <f t="shared" si="32"/>
        <v>#NAME?</v>
      </c>
      <c r="Z189" s="7" t="e">
        <f t="shared" si="32"/>
        <v>#NAME?</v>
      </c>
      <c r="AA189" s="7" t="e">
        <f t="shared" si="32"/>
        <v>#NAME?</v>
      </c>
      <c r="AB189" s="7" t="e">
        <f t="shared" si="32"/>
        <v>#NAME?</v>
      </c>
      <c r="AC189" s="7" t="e">
        <f t="shared" si="32"/>
        <v>#NAME?</v>
      </c>
      <c r="AD189" s="7" t="e">
        <f t="shared" si="32"/>
        <v>#NAME?</v>
      </c>
      <c r="AE189" s="7" t="e">
        <f t="shared" si="32"/>
        <v>#NAME?</v>
      </c>
      <c r="AF189" s="7" t="e">
        <f t="shared" si="32"/>
        <v>#NAME?</v>
      </c>
      <c r="AG189" s="7" t="e">
        <f t="shared" si="32"/>
        <v>#NAME?</v>
      </c>
    </row>
    <row r="190" spans="1:33" s="7" customFormat="1">
      <c r="A190" s="7">
        <f t="shared" si="25"/>
        <v>12</v>
      </c>
      <c r="B190" s="7" t="e">
        <f t="shared" ref="B190:AG190" si="33">B14*mult</f>
        <v>#NAME?</v>
      </c>
      <c r="C190" s="7" t="e">
        <f t="shared" si="33"/>
        <v>#NAME?</v>
      </c>
      <c r="D190" s="7" t="e">
        <f t="shared" si="33"/>
        <v>#NAME?</v>
      </c>
      <c r="E190" s="7" t="e">
        <f t="shared" si="33"/>
        <v>#NAME?</v>
      </c>
      <c r="F190" s="7" t="e">
        <f t="shared" si="33"/>
        <v>#NAME?</v>
      </c>
      <c r="G190" s="7" t="e">
        <f t="shared" si="33"/>
        <v>#NAME?</v>
      </c>
      <c r="H190" s="7" t="e">
        <f t="shared" si="33"/>
        <v>#NAME?</v>
      </c>
      <c r="I190" s="7" t="e">
        <f t="shared" si="33"/>
        <v>#NAME?</v>
      </c>
      <c r="J190" s="7" t="e">
        <f t="shared" si="33"/>
        <v>#NAME?</v>
      </c>
      <c r="K190" s="7" t="e">
        <f t="shared" si="33"/>
        <v>#NAME?</v>
      </c>
      <c r="L190" s="7" t="e">
        <f t="shared" si="33"/>
        <v>#NAME?</v>
      </c>
      <c r="M190" s="7" t="e">
        <f t="shared" si="33"/>
        <v>#NAME?</v>
      </c>
      <c r="N190" s="7" t="e">
        <f t="shared" si="33"/>
        <v>#NAME?</v>
      </c>
      <c r="O190" s="7" t="e">
        <f t="shared" si="33"/>
        <v>#NAME?</v>
      </c>
      <c r="P190" s="7" t="e">
        <f t="shared" si="33"/>
        <v>#NAME?</v>
      </c>
      <c r="Q190" s="7" t="e">
        <f t="shared" si="33"/>
        <v>#NAME?</v>
      </c>
      <c r="R190" s="7" t="e">
        <f t="shared" si="33"/>
        <v>#NAME?</v>
      </c>
      <c r="S190" s="7" t="e">
        <f t="shared" si="33"/>
        <v>#NAME?</v>
      </c>
      <c r="U190" s="7" t="e">
        <f t="shared" si="33"/>
        <v>#NAME?</v>
      </c>
      <c r="V190" s="7" t="e">
        <f t="shared" si="33"/>
        <v>#NAME?</v>
      </c>
      <c r="W190" s="7" t="e">
        <f t="shared" si="33"/>
        <v>#NAME?</v>
      </c>
      <c r="X190" s="7" t="e">
        <f t="shared" si="33"/>
        <v>#NAME?</v>
      </c>
      <c r="Y190" s="7" t="e">
        <f t="shared" si="33"/>
        <v>#NAME?</v>
      </c>
      <c r="Z190" s="7" t="e">
        <f t="shared" si="33"/>
        <v>#NAME?</v>
      </c>
      <c r="AA190" s="7" t="e">
        <f t="shared" si="33"/>
        <v>#NAME?</v>
      </c>
      <c r="AB190" s="7" t="e">
        <f t="shared" si="33"/>
        <v>#NAME?</v>
      </c>
      <c r="AC190" s="7" t="e">
        <f t="shared" si="33"/>
        <v>#NAME?</v>
      </c>
      <c r="AD190" s="7" t="e">
        <f t="shared" si="33"/>
        <v>#NAME?</v>
      </c>
      <c r="AE190" s="7" t="e">
        <f t="shared" si="33"/>
        <v>#NAME?</v>
      </c>
      <c r="AF190" s="7" t="e">
        <f t="shared" si="33"/>
        <v>#NAME?</v>
      </c>
      <c r="AG190" s="7" t="e">
        <f t="shared" si="33"/>
        <v>#NAME?</v>
      </c>
    </row>
    <row r="191" spans="1:33" s="7" customFormat="1">
      <c r="A191" s="7">
        <f t="shared" si="25"/>
        <v>13</v>
      </c>
      <c r="B191" s="7" t="e">
        <f t="shared" ref="B191:AG191" si="34">B15*mult</f>
        <v>#NAME?</v>
      </c>
      <c r="C191" s="7" t="e">
        <f t="shared" si="34"/>
        <v>#NAME?</v>
      </c>
      <c r="D191" s="7" t="e">
        <f t="shared" si="34"/>
        <v>#NAME?</v>
      </c>
      <c r="E191" s="7" t="e">
        <f t="shared" si="34"/>
        <v>#NAME?</v>
      </c>
      <c r="F191" s="7" t="e">
        <f t="shared" si="34"/>
        <v>#NAME?</v>
      </c>
      <c r="G191" s="7" t="e">
        <f t="shared" si="34"/>
        <v>#NAME?</v>
      </c>
      <c r="H191" s="7" t="e">
        <f t="shared" si="34"/>
        <v>#NAME?</v>
      </c>
      <c r="I191" s="7" t="e">
        <f t="shared" si="34"/>
        <v>#NAME?</v>
      </c>
      <c r="J191" s="7" t="e">
        <f t="shared" si="34"/>
        <v>#NAME?</v>
      </c>
      <c r="K191" s="7" t="e">
        <f t="shared" si="34"/>
        <v>#NAME?</v>
      </c>
      <c r="L191" s="7" t="e">
        <f t="shared" si="34"/>
        <v>#NAME?</v>
      </c>
      <c r="M191" s="7" t="e">
        <f t="shared" si="34"/>
        <v>#NAME?</v>
      </c>
      <c r="N191" s="7" t="e">
        <f t="shared" si="34"/>
        <v>#NAME?</v>
      </c>
      <c r="O191" s="7" t="e">
        <f t="shared" si="34"/>
        <v>#NAME?</v>
      </c>
      <c r="P191" s="7" t="e">
        <f t="shared" si="34"/>
        <v>#NAME?</v>
      </c>
      <c r="Q191" s="7" t="e">
        <f t="shared" si="34"/>
        <v>#NAME?</v>
      </c>
      <c r="R191" s="7" t="e">
        <f t="shared" si="34"/>
        <v>#NAME?</v>
      </c>
      <c r="S191" s="7" t="e">
        <f t="shared" si="34"/>
        <v>#NAME?</v>
      </c>
      <c r="U191" s="7" t="e">
        <f t="shared" si="34"/>
        <v>#NAME?</v>
      </c>
      <c r="V191" s="7" t="e">
        <f t="shared" si="34"/>
        <v>#NAME?</v>
      </c>
      <c r="W191" s="7" t="e">
        <f t="shared" si="34"/>
        <v>#NAME?</v>
      </c>
      <c r="X191" s="7" t="e">
        <f t="shared" si="34"/>
        <v>#NAME?</v>
      </c>
      <c r="Y191" s="7" t="e">
        <f t="shared" si="34"/>
        <v>#NAME?</v>
      </c>
      <c r="Z191" s="7" t="e">
        <f t="shared" si="34"/>
        <v>#NAME?</v>
      </c>
      <c r="AA191" s="7" t="e">
        <f t="shared" si="34"/>
        <v>#NAME?</v>
      </c>
      <c r="AB191" s="7" t="e">
        <f t="shared" si="34"/>
        <v>#NAME?</v>
      </c>
      <c r="AC191" s="7" t="e">
        <f t="shared" si="34"/>
        <v>#NAME?</v>
      </c>
      <c r="AD191" s="7" t="e">
        <f t="shared" si="34"/>
        <v>#NAME?</v>
      </c>
      <c r="AE191" s="7" t="e">
        <f t="shared" si="34"/>
        <v>#NAME?</v>
      </c>
      <c r="AF191" s="7" t="e">
        <f t="shared" si="34"/>
        <v>#NAME?</v>
      </c>
      <c r="AG191" s="7" t="e">
        <f t="shared" si="34"/>
        <v>#NAME?</v>
      </c>
    </row>
    <row r="192" spans="1:33" s="7" customFormat="1">
      <c r="A192" s="7">
        <f t="shared" si="25"/>
        <v>14</v>
      </c>
      <c r="B192" s="7" t="e">
        <f t="shared" ref="B192:AG192" si="35">B16*mult</f>
        <v>#NAME?</v>
      </c>
      <c r="C192" s="7" t="e">
        <f t="shared" si="35"/>
        <v>#NAME?</v>
      </c>
      <c r="D192" s="7" t="e">
        <f t="shared" si="35"/>
        <v>#NAME?</v>
      </c>
      <c r="E192" s="7" t="e">
        <f t="shared" si="35"/>
        <v>#NAME?</v>
      </c>
      <c r="F192" s="7" t="e">
        <f t="shared" si="35"/>
        <v>#NAME?</v>
      </c>
      <c r="G192" s="7" t="e">
        <f t="shared" si="35"/>
        <v>#NAME?</v>
      </c>
      <c r="H192" s="7" t="e">
        <f t="shared" si="35"/>
        <v>#NAME?</v>
      </c>
      <c r="I192" s="7" t="e">
        <f t="shared" si="35"/>
        <v>#NAME?</v>
      </c>
      <c r="J192" s="7" t="e">
        <f t="shared" si="35"/>
        <v>#NAME?</v>
      </c>
      <c r="K192" s="7" t="e">
        <f t="shared" si="35"/>
        <v>#NAME?</v>
      </c>
      <c r="L192" s="7" t="e">
        <f t="shared" si="35"/>
        <v>#NAME?</v>
      </c>
      <c r="M192" s="7" t="e">
        <f t="shared" si="35"/>
        <v>#NAME?</v>
      </c>
      <c r="N192" s="7" t="e">
        <f t="shared" si="35"/>
        <v>#NAME?</v>
      </c>
      <c r="O192" s="7" t="e">
        <f t="shared" si="35"/>
        <v>#NAME?</v>
      </c>
      <c r="P192" s="7" t="e">
        <f t="shared" si="35"/>
        <v>#NAME?</v>
      </c>
      <c r="Q192" s="7" t="e">
        <f t="shared" si="35"/>
        <v>#NAME?</v>
      </c>
      <c r="R192" s="7" t="e">
        <f t="shared" si="35"/>
        <v>#NAME?</v>
      </c>
      <c r="S192" s="7" t="e">
        <f t="shared" si="35"/>
        <v>#NAME?</v>
      </c>
      <c r="U192" s="7" t="e">
        <f t="shared" si="35"/>
        <v>#NAME?</v>
      </c>
      <c r="V192" s="7" t="e">
        <f t="shared" si="35"/>
        <v>#NAME?</v>
      </c>
      <c r="W192" s="7" t="e">
        <f t="shared" si="35"/>
        <v>#NAME?</v>
      </c>
      <c r="X192" s="7" t="e">
        <f t="shared" si="35"/>
        <v>#NAME?</v>
      </c>
      <c r="Y192" s="7" t="e">
        <f t="shared" si="35"/>
        <v>#NAME?</v>
      </c>
      <c r="Z192" s="7" t="e">
        <f t="shared" si="35"/>
        <v>#NAME?</v>
      </c>
      <c r="AA192" s="7" t="e">
        <f t="shared" si="35"/>
        <v>#NAME?</v>
      </c>
      <c r="AB192" s="7" t="e">
        <f t="shared" si="35"/>
        <v>#NAME?</v>
      </c>
      <c r="AC192" s="7" t="e">
        <f t="shared" si="35"/>
        <v>#NAME?</v>
      </c>
      <c r="AD192" s="7" t="e">
        <f t="shared" si="35"/>
        <v>#NAME?</v>
      </c>
      <c r="AE192" s="7" t="e">
        <f t="shared" si="35"/>
        <v>#NAME?</v>
      </c>
      <c r="AF192" s="7" t="e">
        <f t="shared" si="35"/>
        <v>#NAME?</v>
      </c>
      <c r="AG192" s="7" t="e">
        <f t="shared" si="35"/>
        <v>#NAME?</v>
      </c>
    </row>
    <row r="193" spans="1:48">
      <c r="A193" s="7">
        <f>A17</f>
        <v>15</v>
      </c>
      <c r="B193" s="7" t="e">
        <f t="shared" ref="B193:AG193" si="36">B17*mult</f>
        <v>#NAME?</v>
      </c>
      <c r="C193" s="7" t="e">
        <f t="shared" si="36"/>
        <v>#NAME?</v>
      </c>
      <c r="D193" s="7" t="e">
        <f t="shared" si="36"/>
        <v>#NAME?</v>
      </c>
      <c r="E193" s="7" t="e">
        <f t="shared" si="36"/>
        <v>#NAME?</v>
      </c>
      <c r="F193" s="7" t="e">
        <f t="shared" si="36"/>
        <v>#NAME?</v>
      </c>
      <c r="G193" s="7" t="e">
        <f t="shared" si="36"/>
        <v>#NAME?</v>
      </c>
      <c r="H193" s="7" t="e">
        <f t="shared" si="36"/>
        <v>#NAME?</v>
      </c>
      <c r="I193" s="7" t="e">
        <f t="shared" si="36"/>
        <v>#NAME?</v>
      </c>
      <c r="J193" s="7" t="e">
        <f t="shared" si="36"/>
        <v>#NAME?</v>
      </c>
      <c r="K193" s="7" t="e">
        <f t="shared" si="36"/>
        <v>#NAME?</v>
      </c>
      <c r="L193" s="7" t="e">
        <f t="shared" si="36"/>
        <v>#NAME?</v>
      </c>
      <c r="M193" s="7" t="e">
        <f t="shared" si="36"/>
        <v>#NAME?</v>
      </c>
      <c r="N193" s="7" t="e">
        <f t="shared" si="36"/>
        <v>#NAME?</v>
      </c>
      <c r="O193" s="7" t="e">
        <f t="shared" si="36"/>
        <v>#NAME?</v>
      </c>
      <c r="P193" s="7" t="e">
        <f t="shared" si="36"/>
        <v>#NAME?</v>
      </c>
      <c r="Q193" s="7" t="e">
        <f t="shared" si="36"/>
        <v>#NAME?</v>
      </c>
      <c r="R193" s="7" t="e">
        <f t="shared" si="36"/>
        <v>#NAME?</v>
      </c>
      <c r="S193" s="7" t="e">
        <f t="shared" si="36"/>
        <v>#NAME?</v>
      </c>
      <c r="T193" s="7"/>
      <c r="U193" s="7" t="e">
        <f t="shared" si="36"/>
        <v>#NAME?</v>
      </c>
      <c r="V193" s="7" t="e">
        <f t="shared" si="36"/>
        <v>#NAME?</v>
      </c>
      <c r="W193" s="7" t="e">
        <f t="shared" si="36"/>
        <v>#NAME?</v>
      </c>
      <c r="X193" s="7" t="e">
        <f t="shared" si="36"/>
        <v>#NAME?</v>
      </c>
      <c r="Y193" s="7" t="e">
        <f t="shared" si="36"/>
        <v>#NAME?</v>
      </c>
      <c r="Z193" s="7" t="e">
        <f t="shared" si="36"/>
        <v>#NAME?</v>
      </c>
      <c r="AA193" s="7" t="e">
        <f t="shared" si="36"/>
        <v>#NAME?</v>
      </c>
      <c r="AB193" s="7" t="e">
        <f t="shared" si="36"/>
        <v>#NAME?</v>
      </c>
      <c r="AC193" s="7" t="e">
        <f t="shared" si="36"/>
        <v>#NAME?</v>
      </c>
      <c r="AD193" s="7" t="e">
        <f t="shared" si="36"/>
        <v>#NAME?</v>
      </c>
      <c r="AE193" s="7" t="e">
        <f t="shared" si="36"/>
        <v>#NAME?</v>
      </c>
      <c r="AF193" s="7" t="e">
        <f t="shared" si="36"/>
        <v>#NAME?</v>
      </c>
      <c r="AG193" s="7" t="e">
        <f t="shared" si="36"/>
        <v>#NAME?</v>
      </c>
      <c r="AH193" s="7"/>
      <c r="AI193" s="7"/>
      <c r="AJ193" s="7"/>
      <c r="AK193" s="7"/>
      <c r="AM193" s="7"/>
      <c r="AN193" s="7"/>
      <c r="AO193" s="7"/>
    </row>
    <row r="194" spans="1:48">
      <c r="A194" s="7">
        <f>A18</f>
        <v>16</v>
      </c>
      <c r="B194" s="7" t="e">
        <f t="shared" ref="B194:AG194" si="37">B18*mult</f>
        <v>#NAME?</v>
      </c>
      <c r="C194" s="7" t="e">
        <f t="shared" si="37"/>
        <v>#NAME?</v>
      </c>
      <c r="D194" s="7" t="e">
        <f t="shared" si="37"/>
        <v>#NAME?</v>
      </c>
      <c r="E194" s="7" t="e">
        <f t="shared" si="37"/>
        <v>#NAME?</v>
      </c>
      <c r="F194" s="7" t="e">
        <f t="shared" si="37"/>
        <v>#NAME?</v>
      </c>
      <c r="G194" s="7" t="e">
        <f t="shared" si="37"/>
        <v>#NAME?</v>
      </c>
      <c r="H194" s="7" t="e">
        <f t="shared" si="37"/>
        <v>#NAME?</v>
      </c>
      <c r="I194" s="7" t="e">
        <f t="shared" si="37"/>
        <v>#NAME?</v>
      </c>
      <c r="J194" s="7" t="e">
        <f t="shared" si="37"/>
        <v>#NAME?</v>
      </c>
      <c r="K194" s="7" t="e">
        <f t="shared" si="37"/>
        <v>#NAME?</v>
      </c>
      <c r="L194" s="7" t="e">
        <f t="shared" si="37"/>
        <v>#NAME?</v>
      </c>
      <c r="M194" s="7" t="e">
        <f t="shared" si="37"/>
        <v>#NAME?</v>
      </c>
      <c r="N194" s="7" t="e">
        <f t="shared" si="37"/>
        <v>#NAME?</v>
      </c>
      <c r="O194" s="7" t="e">
        <f t="shared" si="37"/>
        <v>#NAME?</v>
      </c>
      <c r="P194" s="7" t="e">
        <f t="shared" si="37"/>
        <v>#NAME?</v>
      </c>
      <c r="Q194" s="7" t="e">
        <f t="shared" si="37"/>
        <v>#NAME?</v>
      </c>
      <c r="R194" s="7" t="e">
        <f t="shared" si="37"/>
        <v>#NAME?</v>
      </c>
      <c r="S194" s="7" t="e">
        <f t="shared" si="37"/>
        <v>#NAME?</v>
      </c>
      <c r="T194" s="7"/>
      <c r="U194" s="7" t="e">
        <f t="shared" si="37"/>
        <v>#NAME?</v>
      </c>
      <c r="V194" s="7" t="e">
        <f t="shared" si="37"/>
        <v>#NAME?</v>
      </c>
      <c r="W194" s="7" t="e">
        <f t="shared" si="37"/>
        <v>#NAME?</v>
      </c>
      <c r="X194" s="7" t="e">
        <f t="shared" si="37"/>
        <v>#NAME?</v>
      </c>
      <c r="Y194" s="7" t="e">
        <f t="shared" si="37"/>
        <v>#NAME?</v>
      </c>
      <c r="Z194" s="7" t="e">
        <f t="shared" si="37"/>
        <v>#NAME?</v>
      </c>
      <c r="AA194" s="7" t="e">
        <f t="shared" si="37"/>
        <v>#NAME?</v>
      </c>
      <c r="AB194" s="7" t="e">
        <f t="shared" si="37"/>
        <v>#NAME?</v>
      </c>
      <c r="AC194" s="7" t="e">
        <f t="shared" si="37"/>
        <v>#NAME?</v>
      </c>
      <c r="AD194" s="7" t="e">
        <f t="shared" si="37"/>
        <v>#NAME?</v>
      </c>
      <c r="AE194" s="7" t="e">
        <f t="shared" si="37"/>
        <v>#NAME?</v>
      </c>
      <c r="AF194" s="7" t="e">
        <f t="shared" si="37"/>
        <v>#NAME?</v>
      </c>
      <c r="AG194" s="7" t="e">
        <f t="shared" si="37"/>
        <v>#NAME?</v>
      </c>
      <c r="AH194" s="7"/>
      <c r="AI194" s="7"/>
      <c r="AJ194" s="7"/>
      <c r="AK194" s="7"/>
      <c r="AM194" s="7"/>
      <c r="AN194" s="7"/>
      <c r="AO194" s="7"/>
    </row>
    <row r="195" spans="1:48">
      <c r="A195" s="7">
        <f>A19</f>
        <v>17</v>
      </c>
      <c r="B195" s="7" t="e">
        <f t="shared" ref="B195:AG195" si="38">B19*mult</f>
        <v>#NAME?</v>
      </c>
      <c r="C195" s="7" t="e">
        <f t="shared" si="38"/>
        <v>#NAME?</v>
      </c>
      <c r="D195" s="7" t="e">
        <f t="shared" si="38"/>
        <v>#NAME?</v>
      </c>
      <c r="E195" s="7" t="e">
        <f t="shared" si="38"/>
        <v>#NAME?</v>
      </c>
      <c r="F195" s="7" t="e">
        <f t="shared" si="38"/>
        <v>#NAME?</v>
      </c>
      <c r="G195" s="7" t="e">
        <f t="shared" si="38"/>
        <v>#NAME?</v>
      </c>
      <c r="H195" s="7" t="e">
        <f t="shared" si="38"/>
        <v>#NAME?</v>
      </c>
      <c r="I195" s="7" t="e">
        <f t="shared" si="38"/>
        <v>#NAME?</v>
      </c>
      <c r="J195" s="7" t="e">
        <f t="shared" si="38"/>
        <v>#NAME?</v>
      </c>
      <c r="K195" s="7" t="e">
        <f t="shared" si="38"/>
        <v>#NAME?</v>
      </c>
      <c r="L195" s="7" t="e">
        <f t="shared" si="38"/>
        <v>#NAME?</v>
      </c>
      <c r="M195" s="7" t="e">
        <f t="shared" si="38"/>
        <v>#NAME?</v>
      </c>
      <c r="N195" s="7" t="e">
        <f t="shared" si="38"/>
        <v>#NAME?</v>
      </c>
      <c r="O195" s="7" t="e">
        <f t="shared" si="38"/>
        <v>#NAME?</v>
      </c>
      <c r="P195" s="7" t="e">
        <f t="shared" si="38"/>
        <v>#NAME?</v>
      </c>
      <c r="Q195" s="7" t="e">
        <f t="shared" si="38"/>
        <v>#NAME?</v>
      </c>
      <c r="R195" s="7" t="e">
        <f t="shared" si="38"/>
        <v>#NAME?</v>
      </c>
      <c r="S195" s="7" t="e">
        <f t="shared" si="38"/>
        <v>#NAME?</v>
      </c>
      <c r="T195" s="7"/>
      <c r="U195" s="7" t="e">
        <f t="shared" si="38"/>
        <v>#NAME?</v>
      </c>
      <c r="V195" s="7" t="e">
        <f t="shared" si="38"/>
        <v>#NAME?</v>
      </c>
      <c r="W195" s="7" t="e">
        <f t="shared" si="38"/>
        <v>#NAME?</v>
      </c>
      <c r="X195" s="7" t="e">
        <f t="shared" si="38"/>
        <v>#NAME?</v>
      </c>
      <c r="Y195" s="7" t="e">
        <f t="shared" si="38"/>
        <v>#NAME?</v>
      </c>
      <c r="Z195" s="7" t="e">
        <f t="shared" si="38"/>
        <v>#NAME?</v>
      </c>
      <c r="AA195" s="7" t="e">
        <f t="shared" si="38"/>
        <v>#NAME?</v>
      </c>
      <c r="AB195" s="7" t="e">
        <f t="shared" si="38"/>
        <v>#NAME?</v>
      </c>
      <c r="AC195" s="7" t="e">
        <f t="shared" si="38"/>
        <v>#NAME?</v>
      </c>
      <c r="AD195" s="7" t="e">
        <f t="shared" si="38"/>
        <v>#NAME?</v>
      </c>
      <c r="AE195" s="7" t="e">
        <f t="shared" si="38"/>
        <v>#NAME?</v>
      </c>
      <c r="AF195" s="7" t="e">
        <f t="shared" si="38"/>
        <v>#NAME?</v>
      </c>
      <c r="AG195" s="7" t="e">
        <f t="shared" si="38"/>
        <v>#NAME?</v>
      </c>
      <c r="AH195" s="7"/>
      <c r="AI195" s="7"/>
      <c r="AJ195" s="7"/>
      <c r="AK195" s="7"/>
      <c r="AM195" s="7"/>
      <c r="AN195" s="7"/>
      <c r="AO195" s="7"/>
    </row>
    <row r="196" spans="1:48">
      <c r="A196" s="7">
        <f t="shared" ref="A196:A202" si="39">A20</f>
        <v>18</v>
      </c>
      <c r="B196" s="7" t="e">
        <f t="shared" ref="B196:AG196" si="40">B20*mult</f>
        <v>#NAME?</v>
      </c>
      <c r="C196" s="7" t="e">
        <f t="shared" si="40"/>
        <v>#NAME?</v>
      </c>
      <c r="D196" s="7" t="e">
        <f t="shared" si="40"/>
        <v>#NAME?</v>
      </c>
      <c r="E196" s="7" t="e">
        <f t="shared" si="40"/>
        <v>#NAME?</v>
      </c>
      <c r="F196" s="7" t="e">
        <f t="shared" si="40"/>
        <v>#NAME?</v>
      </c>
      <c r="G196" s="7" t="e">
        <f t="shared" si="40"/>
        <v>#NAME?</v>
      </c>
      <c r="H196" s="7" t="e">
        <f t="shared" si="40"/>
        <v>#NAME?</v>
      </c>
      <c r="I196" s="7" t="e">
        <f t="shared" si="40"/>
        <v>#NAME?</v>
      </c>
      <c r="J196" s="7" t="e">
        <f t="shared" si="40"/>
        <v>#NAME?</v>
      </c>
      <c r="K196" s="7" t="e">
        <f t="shared" si="40"/>
        <v>#NAME?</v>
      </c>
      <c r="L196" s="7" t="e">
        <f t="shared" si="40"/>
        <v>#NAME?</v>
      </c>
      <c r="M196" s="7" t="e">
        <f t="shared" si="40"/>
        <v>#NAME?</v>
      </c>
      <c r="N196" s="7" t="e">
        <f t="shared" si="40"/>
        <v>#NAME?</v>
      </c>
      <c r="O196" s="7" t="e">
        <f t="shared" si="40"/>
        <v>#NAME?</v>
      </c>
      <c r="P196" s="7" t="e">
        <f t="shared" si="40"/>
        <v>#NAME?</v>
      </c>
      <c r="Q196" s="7" t="e">
        <f t="shared" si="40"/>
        <v>#NAME?</v>
      </c>
      <c r="R196" s="7" t="e">
        <f t="shared" si="40"/>
        <v>#NAME?</v>
      </c>
      <c r="S196" s="7" t="e">
        <f t="shared" si="40"/>
        <v>#NAME?</v>
      </c>
      <c r="T196" s="7"/>
      <c r="U196" s="7" t="e">
        <f t="shared" si="40"/>
        <v>#NAME?</v>
      </c>
      <c r="V196" s="7" t="e">
        <f t="shared" si="40"/>
        <v>#NAME?</v>
      </c>
      <c r="W196" s="7" t="e">
        <f t="shared" si="40"/>
        <v>#NAME?</v>
      </c>
      <c r="X196" s="7" t="e">
        <f t="shared" si="40"/>
        <v>#NAME?</v>
      </c>
      <c r="Y196" s="7" t="e">
        <f t="shared" si="40"/>
        <v>#NAME?</v>
      </c>
      <c r="Z196" s="7" t="e">
        <f t="shared" si="40"/>
        <v>#NAME?</v>
      </c>
      <c r="AA196" s="7" t="e">
        <f t="shared" si="40"/>
        <v>#NAME?</v>
      </c>
      <c r="AB196" s="7" t="e">
        <f t="shared" si="40"/>
        <v>#NAME?</v>
      </c>
      <c r="AC196" s="7" t="e">
        <f t="shared" si="40"/>
        <v>#NAME?</v>
      </c>
      <c r="AD196" s="7" t="e">
        <f t="shared" si="40"/>
        <v>#NAME?</v>
      </c>
      <c r="AE196" s="7" t="e">
        <f t="shared" si="40"/>
        <v>#NAME?</v>
      </c>
      <c r="AF196" s="7" t="e">
        <f t="shared" si="40"/>
        <v>#NAME?</v>
      </c>
      <c r="AG196" s="7" t="e">
        <f t="shared" si="40"/>
        <v>#NAME?</v>
      </c>
      <c r="AH196" s="7"/>
      <c r="AI196" s="7"/>
      <c r="AJ196" s="7"/>
      <c r="AK196" s="7"/>
      <c r="AM196" s="7"/>
      <c r="AN196" s="7"/>
      <c r="AO196" s="7"/>
    </row>
    <row r="197" spans="1:48">
      <c r="A197" s="7">
        <f t="shared" si="39"/>
        <v>19</v>
      </c>
      <c r="B197" s="7" t="e">
        <f t="shared" ref="B197:AG197" si="41">B21*mult</f>
        <v>#NAME?</v>
      </c>
      <c r="C197" s="7" t="e">
        <f t="shared" si="41"/>
        <v>#NAME?</v>
      </c>
      <c r="D197" s="7" t="e">
        <f t="shared" si="41"/>
        <v>#NAME?</v>
      </c>
      <c r="E197" s="7" t="e">
        <f t="shared" si="41"/>
        <v>#NAME?</v>
      </c>
      <c r="F197" s="7" t="e">
        <f t="shared" si="41"/>
        <v>#NAME?</v>
      </c>
      <c r="G197" s="7" t="e">
        <f t="shared" si="41"/>
        <v>#NAME?</v>
      </c>
      <c r="H197" s="7" t="e">
        <f t="shared" si="41"/>
        <v>#NAME?</v>
      </c>
      <c r="I197" s="7" t="e">
        <f t="shared" si="41"/>
        <v>#NAME?</v>
      </c>
      <c r="J197" s="7" t="e">
        <f t="shared" si="41"/>
        <v>#NAME?</v>
      </c>
      <c r="K197" s="7" t="e">
        <f t="shared" si="41"/>
        <v>#NAME?</v>
      </c>
      <c r="L197" s="7" t="e">
        <f t="shared" si="41"/>
        <v>#NAME?</v>
      </c>
      <c r="M197" s="7" t="e">
        <f t="shared" si="41"/>
        <v>#NAME?</v>
      </c>
      <c r="N197" s="7" t="e">
        <f t="shared" si="41"/>
        <v>#NAME?</v>
      </c>
      <c r="O197" s="7" t="e">
        <f t="shared" si="41"/>
        <v>#NAME?</v>
      </c>
      <c r="P197" s="7" t="e">
        <f t="shared" si="41"/>
        <v>#NAME?</v>
      </c>
      <c r="Q197" s="7" t="e">
        <f t="shared" si="41"/>
        <v>#NAME?</v>
      </c>
      <c r="R197" s="7" t="e">
        <f t="shared" si="41"/>
        <v>#NAME?</v>
      </c>
      <c r="S197" s="7" t="e">
        <f t="shared" si="41"/>
        <v>#NAME?</v>
      </c>
      <c r="T197" s="7"/>
      <c r="U197" s="7" t="e">
        <f t="shared" si="41"/>
        <v>#NAME?</v>
      </c>
      <c r="V197" s="7" t="e">
        <f t="shared" si="41"/>
        <v>#NAME?</v>
      </c>
      <c r="W197" s="7" t="e">
        <f t="shared" si="41"/>
        <v>#NAME?</v>
      </c>
      <c r="X197" s="7" t="e">
        <f t="shared" si="41"/>
        <v>#NAME?</v>
      </c>
      <c r="Y197" s="7" t="e">
        <f t="shared" si="41"/>
        <v>#NAME?</v>
      </c>
      <c r="Z197" s="7" t="e">
        <f t="shared" si="41"/>
        <v>#NAME?</v>
      </c>
      <c r="AA197" s="7" t="e">
        <f t="shared" si="41"/>
        <v>#NAME?</v>
      </c>
      <c r="AB197" s="7" t="e">
        <f t="shared" si="41"/>
        <v>#NAME?</v>
      </c>
      <c r="AC197" s="7" t="e">
        <f t="shared" si="41"/>
        <v>#NAME?</v>
      </c>
      <c r="AD197" s="7" t="e">
        <f t="shared" si="41"/>
        <v>#NAME?</v>
      </c>
      <c r="AE197" s="7" t="e">
        <f t="shared" si="41"/>
        <v>#NAME?</v>
      </c>
      <c r="AF197" s="7" t="e">
        <f t="shared" si="41"/>
        <v>#NAME?</v>
      </c>
      <c r="AG197" s="7" t="e">
        <f t="shared" si="41"/>
        <v>#NAME?</v>
      </c>
      <c r="AH197" s="7"/>
      <c r="AI197" s="7"/>
      <c r="AJ197" s="7"/>
      <c r="AK197" s="7"/>
      <c r="AM197" s="7"/>
      <c r="AN197" s="7"/>
      <c r="AO197" s="7"/>
    </row>
    <row r="198" spans="1:48">
      <c r="A198" s="7">
        <f t="shared" si="39"/>
        <v>20</v>
      </c>
      <c r="B198" s="7" t="e">
        <f t="shared" ref="B198:AG198" si="42">B22*mult</f>
        <v>#NAME?</v>
      </c>
      <c r="C198" s="7" t="e">
        <f t="shared" si="42"/>
        <v>#NAME?</v>
      </c>
      <c r="D198" s="7" t="e">
        <f t="shared" si="42"/>
        <v>#NAME?</v>
      </c>
      <c r="E198" s="7" t="e">
        <f t="shared" si="42"/>
        <v>#NAME?</v>
      </c>
      <c r="F198" s="7" t="e">
        <f t="shared" si="42"/>
        <v>#NAME?</v>
      </c>
      <c r="G198" s="7" t="e">
        <f t="shared" si="42"/>
        <v>#NAME?</v>
      </c>
      <c r="H198" s="7" t="e">
        <f t="shared" si="42"/>
        <v>#NAME?</v>
      </c>
      <c r="I198" s="7" t="e">
        <f t="shared" si="42"/>
        <v>#NAME?</v>
      </c>
      <c r="J198" s="7" t="e">
        <f t="shared" si="42"/>
        <v>#NAME?</v>
      </c>
      <c r="K198" s="7" t="e">
        <f t="shared" si="42"/>
        <v>#NAME?</v>
      </c>
      <c r="L198" s="7" t="e">
        <f t="shared" si="42"/>
        <v>#NAME?</v>
      </c>
      <c r="M198" s="7" t="e">
        <f t="shared" si="42"/>
        <v>#NAME?</v>
      </c>
      <c r="N198" s="7" t="e">
        <f t="shared" si="42"/>
        <v>#NAME?</v>
      </c>
      <c r="O198" s="7" t="e">
        <f t="shared" si="42"/>
        <v>#NAME?</v>
      </c>
      <c r="P198" s="7" t="e">
        <f t="shared" si="42"/>
        <v>#NAME?</v>
      </c>
      <c r="Q198" s="7" t="e">
        <f t="shared" si="42"/>
        <v>#NAME?</v>
      </c>
      <c r="R198" s="7" t="e">
        <f t="shared" si="42"/>
        <v>#NAME?</v>
      </c>
      <c r="S198" s="7" t="e">
        <f t="shared" si="42"/>
        <v>#NAME?</v>
      </c>
      <c r="T198" s="7"/>
      <c r="U198" s="7" t="e">
        <f t="shared" si="42"/>
        <v>#NAME?</v>
      </c>
      <c r="V198" s="7" t="e">
        <f t="shared" si="42"/>
        <v>#NAME?</v>
      </c>
      <c r="W198" s="7" t="e">
        <f t="shared" si="42"/>
        <v>#NAME?</v>
      </c>
      <c r="X198" s="7" t="e">
        <f t="shared" si="42"/>
        <v>#NAME?</v>
      </c>
      <c r="Y198" s="7" t="e">
        <f t="shared" si="42"/>
        <v>#NAME?</v>
      </c>
      <c r="Z198" s="7" t="e">
        <f t="shared" si="42"/>
        <v>#NAME?</v>
      </c>
      <c r="AA198" s="7" t="e">
        <f t="shared" si="42"/>
        <v>#NAME?</v>
      </c>
      <c r="AB198" s="7" t="e">
        <f t="shared" si="42"/>
        <v>#NAME?</v>
      </c>
      <c r="AC198" s="7" t="e">
        <f t="shared" si="42"/>
        <v>#NAME?</v>
      </c>
      <c r="AD198" s="7" t="e">
        <f t="shared" si="42"/>
        <v>#NAME?</v>
      </c>
      <c r="AE198" s="7" t="e">
        <f t="shared" si="42"/>
        <v>#NAME?</v>
      </c>
      <c r="AF198" s="7" t="e">
        <f t="shared" si="42"/>
        <v>#NAME?</v>
      </c>
      <c r="AG198" s="7" t="e">
        <f t="shared" si="42"/>
        <v>#NAME?</v>
      </c>
      <c r="AH198" s="7"/>
      <c r="AI198" s="7"/>
      <c r="AJ198" s="7"/>
      <c r="AK198" s="7"/>
      <c r="AM198" s="7"/>
      <c r="AN198" s="7"/>
      <c r="AO198" s="7"/>
    </row>
    <row r="199" spans="1:48">
      <c r="A199" s="7">
        <f t="shared" si="39"/>
        <v>21</v>
      </c>
      <c r="B199" s="7" t="e">
        <f t="shared" ref="B199:AG199" si="43">B23*mult</f>
        <v>#NAME?</v>
      </c>
      <c r="C199" s="7" t="e">
        <f t="shared" si="43"/>
        <v>#NAME?</v>
      </c>
      <c r="D199" s="7" t="e">
        <f t="shared" si="43"/>
        <v>#NAME?</v>
      </c>
      <c r="E199" s="7" t="e">
        <f t="shared" si="43"/>
        <v>#NAME?</v>
      </c>
      <c r="F199" s="7" t="e">
        <f t="shared" si="43"/>
        <v>#NAME?</v>
      </c>
      <c r="G199" s="7" t="e">
        <f t="shared" si="43"/>
        <v>#NAME?</v>
      </c>
      <c r="H199" s="7" t="e">
        <f t="shared" si="43"/>
        <v>#NAME?</v>
      </c>
      <c r="I199" s="7" t="e">
        <f t="shared" si="43"/>
        <v>#NAME?</v>
      </c>
      <c r="J199" s="7" t="e">
        <f t="shared" si="43"/>
        <v>#NAME?</v>
      </c>
      <c r="K199" s="7" t="e">
        <f t="shared" si="43"/>
        <v>#NAME?</v>
      </c>
      <c r="L199" s="7" t="e">
        <f t="shared" si="43"/>
        <v>#NAME?</v>
      </c>
      <c r="M199" s="7" t="e">
        <f t="shared" si="43"/>
        <v>#NAME?</v>
      </c>
      <c r="N199" s="7" t="e">
        <f t="shared" si="43"/>
        <v>#NAME?</v>
      </c>
      <c r="O199" s="7" t="e">
        <f t="shared" si="43"/>
        <v>#NAME?</v>
      </c>
      <c r="P199" s="7" t="e">
        <f t="shared" si="43"/>
        <v>#NAME?</v>
      </c>
      <c r="Q199" s="7" t="e">
        <f t="shared" si="43"/>
        <v>#NAME?</v>
      </c>
      <c r="R199" s="7" t="e">
        <f t="shared" si="43"/>
        <v>#NAME?</v>
      </c>
      <c r="S199" s="7" t="e">
        <f t="shared" si="43"/>
        <v>#NAME?</v>
      </c>
      <c r="T199" s="7"/>
      <c r="U199" s="7" t="e">
        <f t="shared" si="43"/>
        <v>#NAME?</v>
      </c>
      <c r="V199" s="7" t="e">
        <f t="shared" si="43"/>
        <v>#NAME?</v>
      </c>
      <c r="W199" s="7" t="e">
        <f t="shared" si="43"/>
        <v>#NAME?</v>
      </c>
      <c r="X199" s="7" t="e">
        <f t="shared" si="43"/>
        <v>#NAME?</v>
      </c>
      <c r="Y199" s="7" t="e">
        <f t="shared" si="43"/>
        <v>#NAME?</v>
      </c>
      <c r="Z199" s="7" t="e">
        <f t="shared" si="43"/>
        <v>#NAME?</v>
      </c>
      <c r="AA199" s="7" t="e">
        <f t="shared" si="43"/>
        <v>#NAME?</v>
      </c>
      <c r="AB199" s="7" t="e">
        <f t="shared" si="43"/>
        <v>#NAME?</v>
      </c>
      <c r="AC199" s="7" t="e">
        <f t="shared" si="43"/>
        <v>#NAME?</v>
      </c>
      <c r="AD199" s="7" t="e">
        <f t="shared" si="43"/>
        <v>#NAME?</v>
      </c>
      <c r="AE199" s="7" t="e">
        <f t="shared" si="43"/>
        <v>#NAME?</v>
      </c>
      <c r="AF199" s="7" t="e">
        <f t="shared" si="43"/>
        <v>#NAME?</v>
      </c>
      <c r="AG199" s="7" t="e">
        <f t="shared" si="43"/>
        <v>#NAME?</v>
      </c>
      <c r="AH199" s="7"/>
      <c r="AI199" s="7"/>
      <c r="AJ199" s="7"/>
      <c r="AK199" s="7"/>
      <c r="AM199" s="7"/>
      <c r="AN199" s="7"/>
      <c r="AO199" s="7"/>
    </row>
    <row r="200" spans="1:48">
      <c r="A200" s="7">
        <f t="shared" si="39"/>
        <v>22</v>
      </c>
      <c r="B200" s="7" t="e">
        <f t="shared" ref="B200:AG200" si="44">B24*mult</f>
        <v>#NAME?</v>
      </c>
      <c r="C200" s="7" t="e">
        <f t="shared" si="44"/>
        <v>#NAME?</v>
      </c>
      <c r="D200" s="7" t="e">
        <f t="shared" si="44"/>
        <v>#NAME?</v>
      </c>
      <c r="E200" s="7" t="e">
        <f t="shared" si="44"/>
        <v>#NAME?</v>
      </c>
      <c r="F200" s="7" t="e">
        <f t="shared" si="44"/>
        <v>#NAME?</v>
      </c>
      <c r="G200" s="7" t="e">
        <f t="shared" si="44"/>
        <v>#NAME?</v>
      </c>
      <c r="H200" s="7" t="e">
        <f t="shared" si="44"/>
        <v>#NAME?</v>
      </c>
      <c r="I200" s="7" t="e">
        <f t="shared" si="44"/>
        <v>#NAME?</v>
      </c>
      <c r="J200" s="7" t="e">
        <f t="shared" si="44"/>
        <v>#NAME?</v>
      </c>
      <c r="K200" s="7" t="e">
        <f t="shared" si="44"/>
        <v>#NAME?</v>
      </c>
      <c r="L200" s="7" t="e">
        <f t="shared" si="44"/>
        <v>#NAME?</v>
      </c>
      <c r="M200" s="7" t="e">
        <f t="shared" si="44"/>
        <v>#NAME?</v>
      </c>
      <c r="N200" s="7" t="e">
        <f t="shared" si="44"/>
        <v>#NAME?</v>
      </c>
      <c r="O200" s="7" t="e">
        <f t="shared" si="44"/>
        <v>#NAME?</v>
      </c>
      <c r="P200" s="7" t="e">
        <f t="shared" si="44"/>
        <v>#NAME?</v>
      </c>
      <c r="Q200" s="7" t="e">
        <f t="shared" si="44"/>
        <v>#NAME?</v>
      </c>
      <c r="R200" s="7" t="e">
        <f t="shared" si="44"/>
        <v>#NAME?</v>
      </c>
      <c r="S200" s="7" t="e">
        <f t="shared" si="44"/>
        <v>#NAME?</v>
      </c>
      <c r="T200" s="7"/>
      <c r="U200" s="7" t="e">
        <f t="shared" si="44"/>
        <v>#NAME?</v>
      </c>
      <c r="V200" s="7" t="e">
        <f t="shared" si="44"/>
        <v>#NAME?</v>
      </c>
      <c r="W200" s="7" t="e">
        <f t="shared" si="44"/>
        <v>#NAME?</v>
      </c>
      <c r="X200" s="7" t="e">
        <f t="shared" si="44"/>
        <v>#NAME?</v>
      </c>
      <c r="Y200" s="7" t="e">
        <f t="shared" si="44"/>
        <v>#NAME?</v>
      </c>
      <c r="Z200" s="7" t="e">
        <f t="shared" si="44"/>
        <v>#NAME?</v>
      </c>
      <c r="AA200" s="7" t="e">
        <f t="shared" si="44"/>
        <v>#NAME?</v>
      </c>
      <c r="AB200" s="7" t="e">
        <f t="shared" si="44"/>
        <v>#NAME?</v>
      </c>
      <c r="AC200" s="7" t="e">
        <f t="shared" si="44"/>
        <v>#NAME?</v>
      </c>
      <c r="AD200" s="7" t="e">
        <f t="shared" si="44"/>
        <v>#NAME?</v>
      </c>
      <c r="AE200" s="7" t="e">
        <f t="shared" si="44"/>
        <v>#NAME?</v>
      </c>
      <c r="AF200" s="7" t="e">
        <f t="shared" si="44"/>
        <v>#NAME?</v>
      </c>
      <c r="AG200" s="7" t="e">
        <f t="shared" si="44"/>
        <v>#NAME?</v>
      </c>
      <c r="AH200" s="7"/>
      <c r="AI200" s="7"/>
      <c r="AJ200" s="7"/>
      <c r="AK200" s="7"/>
      <c r="AM200" s="7"/>
      <c r="AN200" s="7"/>
      <c r="AO200" s="7"/>
    </row>
    <row r="201" spans="1:48">
      <c r="A201" s="7">
        <f t="shared" si="39"/>
        <v>23</v>
      </c>
      <c r="B201" s="7" t="e">
        <f t="shared" ref="B201:AG201" si="45">B25*mult</f>
        <v>#NAME?</v>
      </c>
      <c r="C201" s="7" t="e">
        <f t="shared" si="45"/>
        <v>#NAME?</v>
      </c>
      <c r="D201" s="7" t="e">
        <f t="shared" si="45"/>
        <v>#NAME?</v>
      </c>
      <c r="E201" s="7" t="e">
        <f t="shared" si="45"/>
        <v>#NAME?</v>
      </c>
      <c r="F201" s="7" t="e">
        <f t="shared" si="45"/>
        <v>#NAME?</v>
      </c>
      <c r="G201" s="7" t="e">
        <f t="shared" si="45"/>
        <v>#NAME?</v>
      </c>
      <c r="H201" s="7" t="e">
        <f t="shared" si="45"/>
        <v>#NAME?</v>
      </c>
      <c r="I201" s="7" t="e">
        <f t="shared" si="45"/>
        <v>#NAME?</v>
      </c>
      <c r="J201" s="7" t="e">
        <f t="shared" si="45"/>
        <v>#NAME?</v>
      </c>
      <c r="K201" s="7" t="e">
        <f t="shared" si="45"/>
        <v>#NAME?</v>
      </c>
      <c r="L201" s="7" t="e">
        <f t="shared" si="45"/>
        <v>#NAME?</v>
      </c>
      <c r="M201" s="7" t="e">
        <f t="shared" si="45"/>
        <v>#NAME?</v>
      </c>
      <c r="N201" s="7" t="e">
        <f t="shared" si="45"/>
        <v>#NAME?</v>
      </c>
      <c r="O201" s="7" t="e">
        <f t="shared" si="45"/>
        <v>#NAME?</v>
      </c>
      <c r="P201" s="7" t="e">
        <f t="shared" si="45"/>
        <v>#NAME?</v>
      </c>
      <c r="Q201" s="7" t="e">
        <f t="shared" si="45"/>
        <v>#NAME?</v>
      </c>
      <c r="R201" s="7" t="e">
        <f t="shared" si="45"/>
        <v>#NAME?</v>
      </c>
      <c r="S201" s="7" t="e">
        <f t="shared" si="45"/>
        <v>#NAME?</v>
      </c>
      <c r="T201" s="7"/>
      <c r="U201" s="7" t="e">
        <f t="shared" si="45"/>
        <v>#NAME?</v>
      </c>
      <c r="V201" s="7" t="e">
        <f t="shared" si="45"/>
        <v>#NAME?</v>
      </c>
      <c r="W201" s="7" t="e">
        <f t="shared" si="45"/>
        <v>#NAME?</v>
      </c>
      <c r="X201" s="7" t="e">
        <f t="shared" si="45"/>
        <v>#NAME?</v>
      </c>
      <c r="Y201" s="7" t="e">
        <f t="shared" si="45"/>
        <v>#NAME?</v>
      </c>
      <c r="Z201" s="7" t="e">
        <f t="shared" si="45"/>
        <v>#NAME?</v>
      </c>
      <c r="AA201" s="7" t="e">
        <f t="shared" si="45"/>
        <v>#NAME?</v>
      </c>
      <c r="AB201" s="7" t="e">
        <f t="shared" si="45"/>
        <v>#NAME?</v>
      </c>
      <c r="AC201" s="7" t="e">
        <f t="shared" si="45"/>
        <v>#NAME?</v>
      </c>
      <c r="AD201" s="7" t="e">
        <f t="shared" si="45"/>
        <v>#NAME?</v>
      </c>
      <c r="AE201" s="7" t="e">
        <f t="shared" si="45"/>
        <v>#NAME?</v>
      </c>
      <c r="AF201" s="7" t="e">
        <f t="shared" si="45"/>
        <v>#NAME?</v>
      </c>
      <c r="AG201" s="7" t="e">
        <f t="shared" si="45"/>
        <v>#NAME?</v>
      </c>
      <c r="AH201" s="7"/>
      <c r="AI201" s="7"/>
      <c r="AJ201" s="7"/>
      <c r="AK201" s="7"/>
      <c r="AM201" s="7"/>
      <c r="AN201" s="7"/>
      <c r="AO201" s="7"/>
    </row>
    <row r="202" spans="1:48">
      <c r="A202" s="7">
        <f t="shared" si="39"/>
        <v>24</v>
      </c>
      <c r="B202" s="7" t="e">
        <f t="shared" ref="B202:AG202" si="46">B26*mult</f>
        <v>#NAME?</v>
      </c>
      <c r="C202" s="7" t="e">
        <f t="shared" si="46"/>
        <v>#NAME?</v>
      </c>
      <c r="D202" s="7" t="e">
        <f t="shared" si="46"/>
        <v>#NAME?</v>
      </c>
      <c r="E202" s="7" t="e">
        <f t="shared" si="46"/>
        <v>#NAME?</v>
      </c>
      <c r="F202" s="7" t="e">
        <f t="shared" si="46"/>
        <v>#NAME?</v>
      </c>
      <c r="G202" s="7" t="e">
        <f t="shared" si="46"/>
        <v>#NAME?</v>
      </c>
      <c r="H202" s="7" t="e">
        <f t="shared" si="46"/>
        <v>#NAME?</v>
      </c>
      <c r="I202" s="7" t="e">
        <f t="shared" si="46"/>
        <v>#NAME?</v>
      </c>
      <c r="J202" s="7" t="e">
        <f t="shared" si="46"/>
        <v>#NAME?</v>
      </c>
      <c r="K202" s="7" t="e">
        <f t="shared" si="46"/>
        <v>#NAME?</v>
      </c>
      <c r="L202" s="7" t="e">
        <f t="shared" si="46"/>
        <v>#NAME?</v>
      </c>
      <c r="M202" s="7" t="e">
        <f t="shared" si="46"/>
        <v>#NAME?</v>
      </c>
      <c r="N202" s="7" t="e">
        <f t="shared" si="46"/>
        <v>#NAME?</v>
      </c>
      <c r="O202" s="7" t="e">
        <f t="shared" si="46"/>
        <v>#NAME?</v>
      </c>
      <c r="P202" s="7" t="e">
        <f t="shared" si="46"/>
        <v>#NAME?</v>
      </c>
      <c r="Q202" s="7" t="e">
        <f t="shared" si="46"/>
        <v>#NAME?</v>
      </c>
      <c r="R202" s="7" t="e">
        <f t="shared" si="46"/>
        <v>#NAME?</v>
      </c>
      <c r="S202" s="7" t="e">
        <f t="shared" si="46"/>
        <v>#NAME?</v>
      </c>
      <c r="T202" s="7"/>
      <c r="U202" s="7" t="e">
        <f t="shared" si="46"/>
        <v>#NAME?</v>
      </c>
      <c r="V202" s="7" t="e">
        <f t="shared" si="46"/>
        <v>#NAME?</v>
      </c>
      <c r="W202" s="7" t="e">
        <f t="shared" si="46"/>
        <v>#NAME?</v>
      </c>
      <c r="X202" s="7" t="e">
        <f t="shared" si="46"/>
        <v>#NAME?</v>
      </c>
      <c r="Y202" s="7" t="e">
        <f t="shared" si="46"/>
        <v>#NAME?</v>
      </c>
      <c r="Z202" s="7" t="e">
        <f t="shared" si="46"/>
        <v>#NAME?</v>
      </c>
      <c r="AA202" s="7" t="e">
        <f t="shared" si="46"/>
        <v>#NAME?</v>
      </c>
      <c r="AB202" s="7" t="e">
        <f t="shared" si="46"/>
        <v>#NAME?</v>
      </c>
      <c r="AC202" s="7" t="e">
        <f t="shared" si="46"/>
        <v>#NAME?</v>
      </c>
      <c r="AD202" s="7" t="e">
        <f t="shared" si="46"/>
        <v>#NAME?</v>
      </c>
      <c r="AE202" s="7" t="e">
        <f t="shared" si="46"/>
        <v>#NAME?</v>
      </c>
      <c r="AF202" s="7" t="e">
        <f t="shared" si="46"/>
        <v>#NAME?</v>
      </c>
      <c r="AG202" s="7" t="e">
        <f t="shared" si="46"/>
        <v>#NAME?</v>
      </c>
      <c r="AH202" s="7"/>
      <c r="AI202" s="7"/>
      <c r="AJ202" s="7"/>
      <c r="AK202" s="7"/>
      <c r="AM202" s="7"/>
      <c r="AN202" s="7"/>
      <c r="AO202" s="7"/>
    </row>
    <row r="203" spans="1:48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 t="str">
        <f>AH1</f>
        <v>STDEV</v>
      </c>
      <c r="AI203" s="7" t="str">
        <f t="shared" ref="AI203:AK203" si="47">AI1</f>
        <v>-1.5σ</v>
      </c>
      <c r="AJ203" s="7" t="str">
        <f t="shared" si="47"/>
        <v>MEAN</v>
      </c>
      <c r="AK203" s="7" t="str">
        <f t="shared" si="47"/>
        <v>+1.5σ</v>
      </c>
      <c r="AM203" s="7"/>
      <c r="AN203" s="7"/>
      <c r="AO203" s="7"/>
    </row>
    <row r="204" spans="1:48">
      <c r="A204" s="7">
        <f>MAX(A178:A202)-A205</f>
        <v>24</v>
      </c>
      <c r="B204" s="7" t="e">
        <f t="shared" ref="B204:AG204" si="48">MAX(B178:B202)-B205</f>
        <v>#NAME?</v>
      </c>
      <c r="C204" s="7" t="e">
        <f t="shared" si="48"/>
        <v>#NAME?</v>
      </c>
      <c r="D204" s="7" t="e">
        <f t="shared" si="48"/>
        <v>#NAME?</v>
      </c>
      <c r="E204" s="7" t="e">
        <f t="shared" si="48"/>
        <v>#NAME?</v>
      </c>
      <c r="F204" s="7" t="e">
        <f t="shared" si="48"/>
        <v>#NAME?</v>
      </c>
      <c r="G204" s="7" t="e">
        <f t="shared" si="48"/>
        <v>#NAME?</v>
      </c>
      <c r="H204" s="7" t="e">
        <f t="shared" si="48"/>
        <v>#NAME?</v>
      </c>
      <c r="I204" s="7" t="e">
        <f t="shared" si="48"/>
        <v>#NAME?</v>
      </c>
      <c r="J204" s="7" t="e">
        <f t="shared" si="48"/>
        <v>#NAME?</v>
      </c>
      <c r="K204" s="7" t="e">
        <f t="shared" si="48"/>
        <v>#NAME?</v>
      </c>
      <c r="L204" s="7" t="e">
        <f t="shared" si="48"/>
        <v>#NAME?</v>
      </c>
      <c r="M204" s="7" t="e">
        <f t="shared" si="48"/>
        <v>#NAME?</v>
      </c>
      <c r="N204" s="7" t="e">
        <f t="shared" si="48"/>
        <v>#NAME?</v>
      </c>
      <c r="O204" s="7" t="e">
        <f t="shared" si="48"/>
        <v>#NAME?</v>
      </c>
      <c r="P204" s="7" t="e">
        <f t="shared" si="48"/>
        <v>#NAME?</v>
      </c>
      <c r="Q204" s="7" t="e">
        <f t="shared" si="48"/>
        <v>#NAME?</v>
      </c>
      <c r="R204" s="7" t="e">
        <f t="shared" si="48"/>
        <v>#NAME?</v>
      </c>
      <c r="S204" s="7" t="e">
        <f t="shared" si="48"/>
        <v>#NAME?</v>
      </c>
      <c r="T204" s="7"/>
      <c r="U204" s="7" t="e">
        <f t="shared" si="48"/>
        <v>#NAME?</v>
      </c>
      <c r="V204" s="7" t="e">
        <f t="shared" si="48"/>
        <v>#NAME?</v>
      </c>
      <c r="W204" s="7" t="e">
        <f t="shared" si="48"/>
        <v>#NAME?</v>
      </c>
      <c r="X204" s="7" t="e">
        <f t="shared" si="48"/>
        <v>#NAME?</v>
      </c>
      <c r="Y204" s="7" t="e">
        <f t="shared" si="48"/>
        <v>#NAME?</v>
      </c>
      <c r="Z204" s="7" t="e">
        <f t="shared" si="48"/>
        <v>#NAME?</v>
      </c>
      <c r="AA204" s="7" t="e">
        <f t="shared" si="48"/>
        <v>#NAME?</v>
      </c>
      <c r="AB204" s="7" t="e">
        <f t="shared" si="48"/>
        <v>#NAME?</v>
      </c>
      <c r="AC204" s="7" t="e">
        <f t="shared" si="48"/>
        <v>#NAME?</v>
      </c>
      <c r="AD204" s="7" t="e">
        <f t="shared" si="48"/>
        <v>#NAME?</v>
      </c>
      <c r="AE204" s="7" t="e">
        <f t="shared" si="48"/>
        <v>#NAME?</v>
      </c>
      <c r="AF204" s="7" t="e">
        <f t="shared" si="48"/>
        <v>#NAME?</v>
      </c>
      <c r="AG204" s="7" t="e">
        <f t="shared" si="48"/>
        <v>#NAME?</v>
      </c>
      <c r="AH204" s="7" t="e">
        <f t="shared" ref="AH204:AH262" si="49">STDEV(B204:AG204)</f>
        <v>#NAME?</v>
      </c>
      <c r="AI204" s="7" t="e">
        <f t="shared" ref="AI204:AI263" si="50">AJ204-1.5*AH204</f>
        <v>#NAME?</v>
      </c>
      <c r="AJ204" s="8" t="e">
        <f t="shared" ref="AJ204:AJ263" si="51">AVERAGE(B204:AG204)</f>
        <v>#NAME?</v>
      </c>
      <c r="AK204" s="7" t="e">
        <f t="shared" ref="AK204:AK263" si="52">AJ204+1.5*AH204</f>
        <v>#NAME?</v>
      </c>
      <c r="AM204" s="7"/>
      <c r="AN204" s="7"/>
      <c r="AO204" s="7"/>
    </row>
    <row r="205" spans="1:48">
      <c r="A205" s="7">
        <f>MIN(A178:A202)</f>
        <v>0</v>
      </c>
      <c r="B205" s="7" t="e">
        <f t="shared" ref="B205:AG205" si="53">MIN(B178:B202)</f>
        <v>#NAME?</v>
      </c>
      <c r="C205" s="7" t="e">
        <f t="shared" si="53"/>
        <v>#NAME?</v>
      </c>
      <c r="D205" s="7" t="e">
        <f t="shared" si="53"/>
        <v>#NAME?</v>
      </c>
      <c r="E205" s="7" t="e">
        <f t="shared" si="53"/>
        <v>#NAME?</v>
      </c>
      <c r="F205" s="7" t="e">
        <f t="shared" si="53"/>
        <v>#NAME?</v>
      </c>
      <c r="G205" s="7" t="e">
        <f t="shared" si="53"/>
        <v>#NAME?</v>
      </c>
      <c r="H205" s="7" t="e">
        <f t="shared" si="53"/>
        <v>#NAME?</v>
      </c>
      <c r="I205" s="7" t="e">
        <f t="shared" si="53"/>
        <v>#NAME?</v>
      </c>
      <c r="J205" s="7" t="e">
        <f t="shared" si="53"/>
        <v>#NAME?</v>
      </c>
      <c r="K205" s="7" t="e">
        <f t="shared" si="53"/>
        <v>#NAME?</v>
      </c>
      <c r="L205" s="7" t="e">
        <f t="shared" si="53"/>
        <v>#NAME?</v>
      </c>
      <c r="M205" s="7" t="e">
        <f t="shared" si="53"/>
        <v>#NAME?</v>
      </c>
      <c r="N205" s="7" t="e">
        <f t="shared" si="53"/>
        <v>#NAME?</v>
      </c>
      <c r="O205" s="7" t="e">
        <f t="shared" si="53"/>
        <v>#NAME?</v>
      </c>
      <c r="P205" s="7" t="e">
        <f t="shared" si="53"/>
        <v>#NAME?</v>
      </c>
      <c r="Q205" s="7" t="e">
        <f t="shared" si="53"/>
        <v>#NAME?</v>
      </c>
      <c r="R205" s="7" t="e">
        <f t="shared" si="53"/>
        <v>#NAME?</v>
      </c>
      <c r="S205" s="7" t="e">
        <f t="shared" si="53"/>
        <v>#NAME?</v>
      </c>
      <c r="T205" s="7"/>
      <c r="U205" s="7" t="e">
        <f t="shared" si="53"/>
        <v>#NAME?</v>
      </c>
      <c r="V205" s="7" t="e">
        <f t="shared" si="53"/>
        <v>#NAME?</v>
      </c>
      <c r="W205" s="7" t="e">
        <f t="shared" si="53"/>
        <v>#NAME?</v>
      </c>
      <c r="X205" s="7" t="e">
        <f t="shared" si="53"/>
        <v>#NAME?</v>
      </c>
      <c r="Y205" s="7" t="e">
        <f t="shared" si="53"/>
        <v>#NAME?</v>
      </c>
      <c r="Z205" s="7" t="e">
        <f t="shared" si="53"/>
        <v>#NAME?</v>
      </c>
      <c r="AA205" s="7" t="e">
        <f t="shared" si="53"/>
        <v>#NAME?</v>
      </c>
      <c r="AB205" s="7" t="e">
        <f t="shared" si="53"/>
        <v>#NAME?</v>
      </c>
      <c r="AC205" s="7" t="e">
        <f t="shared" si="53"/>
        <v>#NAME?</v>
      </c>
      <c r="AD205" s="7" t="e">
        <f t="shared" si="53"/>
        <v>#NAME?</v>
      </c>
      <c r="AE205" s="7" t="e">
        <f t="shared" si="53"/>
        <v>#NAME?</v>
      </c>
      <c r="AF205" s="7" t="e">
        <f t="shared" si="53"/>
        <v>#NAME?</v>
      </c>
      <c r="AG205" s="7" t="e">
        <f t="shared" si="53"/>
        <v>#NAME?</v>
      </c>
      <c r="AH205" s="7" t="e">
        <f t="shared" si="49"/>
        <v>#NAME?</v>
      </c>
      <c r="AI205" s="7" t="e">
        <f t="shared" si="50"/>
        <v>#NAME?</v>
      </c>
      <c r="AJ205" s="8" t="e">
        <f t="shared" si="51"/>
        <v>#NAME?</v>
      </c>
      <c r="AK205" s="7" t="e">
        <f t="shared" si="52"/>
        <v>#NAME?</v>
      </c>
      <c r="AM205" s="7"/>
      <c r="AN205" s="7"/>
      <c r="AO205" s="7"/>
    </row>
    <row r="206" spans="1:48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8"/>
      <c r="AK206" s="7"/>
      <c r="AM206" s="7"/>
      <c r="AN206" s="7"/>
      <c r="AO206" s="7"/>
      <c r="AP206" s="7"/>
      <c r="AU206" s="7"/>
      <c r="AV206" s="7"/>
    </row>
    <row r="207" spans="1:48">
      <c r="A207" s="7" t="s">
        <v>0</v>
      </c>
      <c r="B207" s="7" t="e">
        <f>B204/$A204</f>
        <v>#NAME?</v>
      </c>
      <c r="C207" s="7" t="e">
        <f t="shared" ref="C207:AG207" si="54">C204/$A204</f>
        <v>#NAME?</v>
      </c>
      <c r="D207" s="7" t="e">
        <f t="shared" si="54"/>
        <v>#NAME?</v>
      </c>
      <c r="E207" s="7" t="e">
        <f t="shared" si="54"/>
        <v>#NAME?</v>
      </c>
      <c r="F207" s="7" t="e">
        <f t="shared" si="54"/>
        <v>#NAME?</v>
      </c>
      <c r="G207" s="7" t="e">
        <f t="shared" si="54"/>
        <v>#NAME?</v>
      </c>
      <c r="H207" s="7" t="e">
        <f t="shared" si="54"/>
        <v>#NAME?</v>
      </c>
      <c r="I207" s="7" t="e">
        <f t="shared" si="54"/>
        <v>#NAME?</v>
      </c>
      <c r="J207" s="7" t="e">
        <f t="shared" si="54"/>
        <v>#NAME?</v>
      </c>
      <c r="K207" s="7" t="e">
        <f t="shared" si="54"/>
        <v>#NAME?</v>
      </c>
      <c r="L207" s="7" t="e">
        <f t="shared" si="54"/>
        <v>#NAME?</v>
      </c>
      <c r="M207" s="7" t="e">
        <f t="shared" si="54"/>
        <v>#NAME?</v>
      </c>
      <c r="N207" s="7" t="e">
        <f t="shared" si="54"/>
        <v>#NAME?</v>
      </c>
      <c r="O207" s="7" t="e">
        <f t="shared" si="54"/>
        <v>#NAME?</v>
      </c>
      <c r="P207" s="7" t="e">
        <f t="shared" si="54"/>
        <v>#NAME?</v>
      </c>
      <c r="Q207" s="7" t="e">
        <f t="shared" si="54"/>
        <v>#NAME?</v>
      </c>
      <c r="R207" s="7" t="e">
        <f t="shared" si="54"/>
        <v>#NAME?</v>
      </c>
      <c r="S207" s="7" t="e">
        <f t="shared" si="54"/>
        <v>#NAME?</v>
      </c>
      <c r="T207" s="7"/>
      <c r="U207" s="7" t="e">
        <f t="shared" si="54"/>
        <v>#NAME?</v>
      </c>
      <c r="V207" s="7" t="e">
        <f t="shared" si="54"/>
        <v>#NAME?</v>
      </c>
      <c r="W207" s="7" t="e">
        <f t="shared" si="54"/>
        <v>#NAME?</v>
      </c>
      <c r="X207" s="7" t="e">
        <f t="shared" si="54"/>
        <v>#NAME?</v>
      </c>
      <c r="Y207" s="7" t="e">
        <f t="shared" si="54"/>
        <v>#NAME?</v>
      </c>
      <c r="Z207" s="7" t="e">
        <f t="shared" si="54"/>
        <v>#NAME?</v>
      </c>
      <c r="AA207" s="7" t="e">
        <f t="shared" si="54"/>
        <v>#NAME?</v>
      </c>
      <c r="AB207" s="7" t="e">
        <f t="shared" si="54"/>
        <v>#NAME?</v>
      </c>
      <c r="AC207" s="7" t="e">
        <f t="shared" si="54"/>
        <v>#NAME?</v>
      </c>
      <c r="AD207" s="7" t="e">
        <f t="shared" si="54"/>
        <v>#NAME?</v>
      </c>
      <c r="AE207" s="7" t="e">
        <f t="shared" si="54"/>
        <v>#NAME?</v>
      </c>
      <c r="AF207" s="7" t="e">
        <f t="shared" si="54"/>
        <v>#NAME?</v>
      </c>
      <c r="AG207" s="7" t="e">
        <f t="shared" si="54"/>
        <v>#NAME?</v>
      </c>
      <c r="AH207" s="7" t="e">
        <f t="shared" si="49"/>
        <v>#NAME?</v>
      </c>
      <c r="AI207" s="7" t="e">
        <f t="shared" si="50"/>
        <v>#NAME?</v>
      </c>
      <c r="AJ207" s="8" t="e">
        <f t="shared" si="51"/>
        <v>#NAME?</v>
      </c>
      <c r="AK207" s="7" t="e">
        <f t="shared" si="52"/>
        <v>#NAME?</v>
      </c>
      <c r="AO207" s="7"/>
      <c r="AP207" s="7"/>
      <c r="AQ207" s="7"/>
      <c r="AR207" s="7"/>
      <c r="AS207" s="7"/>
      <c r="AT207" s="7"/>
      <c r="AU207" s="7"/>
      <c r="AV207" s="7"/>
    </row>
    <row r="208" spans="1:48">
      <c r="A208" s="7" t="s">
        <v>1</v>
      </c>
      <c r="B208" s="7" t="e">
        <f>B178-B207*$A178</f>
        <v>#NAME?</v>
      </c>
      <c r="C208" s="7" t="e">
        <f t="shared" ref="C208:AG208" si="55">C178-C207*$A178</f>
        <v>#NAME?</v>
      </c>
      <c r="D208" s="7" t="e">
        <f t="shared" si="55"/>
        <v>#NAME?</v>
      </c>
      <c r="E208" s="7" t="e">
        <f t="shared" si="55"/>
        <v>#NAME?</v>
      </c>
      <c r="F208" s="7" t="e">
        <f t="shared" si="55"/>
        <v>#NAME?</v>
      </c>
      <c r="G208" s="7" t="e">
        <f t="shared" si="55"/>
        <v>#NAME?</v>
      </c>
      <c r="H208" s="7" t="e">
        <f t="shared" si="55"/>
        <v>#NAME?</v>
      </c>
      <c r="I208" s="7" t="e">
        <f t="shared" si="55"/>
        <v>#NAME?</v>
      </c>
      <c r="J208" s="7" t="e">
        <f t="shared" si="55"/>
        <v>#NAME?</v>
      </c>
      <c r="K208" s="7" t="e">
        <f t="shared" si="55"/>
        <v>#NAME?</v>
      </c>
      <c r="L208" s="7" t="e">
        <f t="shared" si="55"/>
        <v>#NAME?</v>
      </c>
      <c r="M208" s="7" t="e">
        <f t="shared" si="55"/>
        <v>#NAME?</v>
      </c>
      <c r="N208" s="7" t="e">
        <f t="shared" si="55"/>
        <v>#NAME?</v>
      </c>
      <c r="O208" s="7" t="e">
        <f t="shared" si="55"/>
        <v>#NAME?</v>
      </c>
      <c r="P208" s="7" t="e">
        <f t="shared" si="55"/>
        <v>#NAME?</v>
      </c>
      <c r="Q208" s="7" t="e">
        <f t="shared" si="55"/>
        <v>#NAME?</v>
      </c>
      <c r="R208" s="7" t="e">
        <f t="shared" si="55"/>
        <v>#NAME?</v>
      </c>
      <c r="S208" s="7" t="e">
        <f t="shared" si="55"/>
        <v>#NAME?</v>
      </c>
      <c r="T208" s="7"/>
      <c r="U208" s="7" t="e">
        <f t="shared" si="55"/>
        <v>#NAME?</v>
      </c>
      <c r="V208" s="7" t="e">
        <f t="shared" si="55"/>
        <v>#NAME?</v>
      </c>
      <c r="W208" s="7" t="e">
        <f t="shared" si="55"/>
        <v>#NAME?</v>
      </c>
      <c r="X208" s="7" t="e">
        <f t="shared" si="55"/>
        <v>#NAME?</v>
      </c>
      <c r="Y208" s="7" t="e">
        <f t="shared" si="55"/>
        <v>#NAME?</v>
      </c>
      <c r="Z208" s="7" t="e">
        <f t="shared" si="55"/>
        <v>#NAME?</v>
      </c>
      <c r="AA208" s="7" t="e">
        <f t="shared" si="55"/>
        <v>#NAME?</v>
      </c>
      <c r="AB208" s="7" t="e">
        <f t="shared" si="55"/>
        <v>#NAME?</v>
      </c>
      <c r="AC208" s="7" t="e">
        <f t="shared" si="55"/>
        <v>#NAME?</v>
      </c>
      <c r="AD208" s="7" t="e">
        <f t="shared" si="55"/>
        <v>#NAME?</v>
      </c>
      <c r="AE208" s="7" t="e">
        <f t="shared" si="55"/>
        <v>#NAME?</v>
      </c>
      <c r="AF208" s="7" t="e">
        <f t="shared" si="55"/>
        <v>#NAME?</v>
      </c>
      <c r="AG208" s="7" t="e">
        <f t="shared" si="55"/>
        <v>#NAME?</v>
      </c>
      <c r="AH208" s="7" t="e">
        <f t="shared" si="49"/>
        <v>#NAME?</v>
      </c>
      <c r="AI208" s="7" t="e">
        <f t="shared" si="50"/>
        <v>#NAME?</v>
      </c>
      <c r="AJ208" s="8" t="e">
        <f t="shared" si="51"/>
        <v>#NAME?</v>
      </c>
      <c r="AK208" s="7" t="e">
        <f t="shared" si="52"/>
        <v>#NAME?</v>
      </c>
      <c r="AO208" s="7"/>
      <c r="AP208" s="7"/>
      <c r="AQ208" s="7"/>
      <c r="AR208" s="7"/>
      <c r="AS208" s="7"/>
      <c r="AT208" s="7"/>
      <c r="AU208" s="7"/>
      <c r="AV208" s="7"/>
    </row>
    <row r="209" spans="1:48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8"/>
      <c r="AK209" s="7"/>
      <c r="AO209" s="7"/>
      <c r="AP209" s="7"/>
      <c r="AQ209" s="7"/>
      <c r="AR209" s="7"/>
      <c r="AS209" s="7"/>
      <c r="AT209" s="7"/>
      <c r="AU209" s="7"/>
      <c r="AV209" s="7"/>
    </row>
    <row r="210" spans="1:48">
      <c r="A210" s="7" t="s">
        <v>17</v>
      </c>
      <c r="B210" s="7">
        <f>B1</f>
        <v>0</v>
      </c>
      <c r="C210" s="7">
        <f t="shared" ref="C210:AK210" si="56">C1</f>
        <v>1</v>
      </c>
      <c r="D210" s="7">
        <f t="shared" si="56"/>
        <v>2</v>
      </c>
      <c r="E210" s="7">
        <f t="shared" si="56"/>
        <v>3</v>
      </c>
      <c r="F210" s="7">
        <f t="shared" si="56"/>
        <v>4</v>
      </c>
      <c r="G210" s="7">
        <f t="shared" si="56"/>
        <v>5</v>
      </c>
      <c r="H210" s="7">
        <f t="shared" si="56"/>
        <v>6</v>
      </c>
      <c r="I210" s="7">
        <f t="shared" si="56"/>
        <v>7</v>
      </c>
      <c r="J210" s="7">
        <f t="shared" si="56"/>
        <v>8</v>
      </c>
      <c r="K210" s="7">
        <f t="shared" si="56"/>
        <v>9</v>
      </c>
      <c r="L210" s="7">
        <f t="shared" si="56"/>
        <v>10</v>
      </c>
      <c r="M210" s="7">
        <f t="shared" si="56"/>
        <v>11</v>
      </c>
      <c r="N210" s="7">
        <f t="shared" si="56"/>
        <v>12</v>
      </c>
      <c r="O210" s="7">
        <f t="shared" si="56"/>
        <v>13</v>
      </c>
      <c r="P210" s="7">
        <f t="shared" si="56"/>
        <v>14</v>
      </c>
      <c r="Q210" s="7">
        <f t="shared" si="56"/>
        <v>15</v>
      </c>
      <c r="R210" s="7">
        <f t="shared" si="56"/>
        <v>16</v>
      </c>
      <c r="S210" s="7">
        <f t="shared" si="56"/>
        <v>17</v>
      </c>
      <c r="T210" s="7">
        <f t="shared" si="56"/>
        <v>18</v>
      </c>
      <c r="U210" s="7">
        <f t="shared" si="56"/>
        <v>19</v>
      </c>
      <c r="V210" s="7">
        <f t="shared" si="56"/>
        <v>20</v>
      </c>
      <c r="W210" s="7">
        <f t="shared" si="56"/>
        <v>21</v>
      </c>
      <c r="X210" s="7">
        <f t="shared" si="56"/>
        <v>22</v>
      </c>
      <c r="Y210" s="7">
        <f t="shared" si="56"/>
        <v>23</v>
      </c>
      <c r="Z210" s="7">
        <f t="shared" si="56"/>
        <v>24</v>
      </c>
      <c r="AA210" s="7">
        <f t="shared" si="56"/>
        <v>25</v>
      </c>
      <c r="AB210" s="7">
        <f t="shared" si="56"/>
        <v>26</v>
      </c>
      <c r="AC210" s="7">
        <f t="shared" si="56"/>
        <v>27</v>
      </c>
      <c r="AD210" s="7">
        <f t="shared" si="56"/>
        <v>28</v>
      </c>
      <c r="AE210" s="7">
        <f t="shared" si="56"/>
        <v>29</v>
      </c>
      <c r="AF210" s="7">
        <f t="shared" si="56"/>
        <v>30</v>
      </c>
      <c r="AG210" s="7">
        <f t="shared" si="56"/>
        <v>31</v>
      </c>
      <c r="AH210" s="7" t="str">
        <f t="shared" si="56"/>
        <v>STDEV</v>
      </c>
      <c r="AI210" s="7" t="str">
        <f t="shared" si="56"/>
        <v>-1.5σ</v>
      </c>
      <c r="AJ210" s="7" t="str">
        <f t="shared" si="56"/>
        <v>MEAN</v>
      </c>
      <c r="AK210" s="7" t="str">
        <f t="shared" si="56"/>
        <v>+1.5σ</v>
      </c>
      <c r="AO210" s="7"/>
      <c r="AP210" s="7"/>
      <c r="AQ210" s="7"/>
      <c r="AR210" s="7"/>
      <c r="AS210" s="7"/>
      <c r="AT210" s="7"/>
      <c r="AU210" s="7"/>
      <c r="AV210" s="7"/>
    </row>
    <row r="211" spans="1:48" s="7" customFormat="1">
      <c r="A211" s="7">
        <f t="shared" ref="A211:A215" si="57">A178</f>
        <v>0</v>
      </c>
      <c r="B211" s="7" t="e">
        <f t="shared" ref="B211:AG211" si="58">B$207*$A178+B$208</f>
        <v>#NAME?</v>
      </c>
      <c r="C211" s="7" t="e">
        <f t="shared" si="58"/>
        <v>#NAME?</v>
      </c>
      <c r="D211" s="7" t="e">
        <f t="shared" si="58"/>
        <v>#NAME?</v>
      </c>
      <c r="E211" s="7" t="e">
        <f t="shared" si="58"/>
        <v>#NAME?</v>
      </c>
      <c r="F211" s="7" t="e">
        <f t="shared" si="58"/>
        <v>#NAME?</v>
      </c>
      <c r="G211" s="7" t="e">
        <f t="shared" si="58"/>
        <v>#NAME?</v>
      </c>
      <c r="H211" s="7" t="e">
        <f t="shared" si="58"/>
        <v>#NAME?</v>
      </c>
      <c r="I211" s="7" t="e">
        <f t="shared" si="58"/>
        <v>#NAME?</v>
      </c>
      <c r="J211" s="7" t="e">
        <f t="shared" si="58"/>
        <v>#NAME?</v>
      </c>
      <c r="K211" s="7" t="e">
        <f t="shared" si="58"/>
        <v>#NAME?</v>
      </c>
      <c r="L211" s="7" t="e">
        <f t="shared" si="58"/>
        <v>#NAME?</v>
      </c>
      <c r="M211" s="7" t="e">
        <f t="shared" si="58"/>
        <v>#NAME?</v>
      </c>
      <c r="N211" s="7" t="e">
        <f t="shared" si="58"/>
        <v>#NAME?</v>
      </c>
      <c r="O211" s="7" t="e">
        <f t="shared" si="58"/>
        <v>#NAME?</v>
      </c>
      <c r="P211" s="7" t="e">
        <f t="shared" si="58"/>
        <v>#NAME?</v>
      </c>
      <c r="Q211" s="7" t="e">
        <f t="shared" si="58"/>
        <v>#NAME?</v>
      </c>
      <c r="R211" s="7" t="e">
        <f t="shared" si="58"/>
        <v>#NAME?</v>
      </c>
      <c r="S211" s="7" t="e">
        <f t="shared" si="58"/>
        <v>#NAME?</v>
      </c>
      <c r="U211" s="7" t="e">
        <f t="shared" si="58"/>
        <v>#NAME?</v>
      </c>
      <c r="V211" s="7" t="e">
        <f t="shared" si="58"/>
        <v>#NAME?</v>
      </c>
      <c r="W211" s="7" t="e">
        <f t="shared" si="58"/>
        <v>#NAME?</v>
      </c>
      <c r="X211" s="7" t="e">
        <f t="shared" si="58"/>
        <v>#NAME?</v>
      </c>
      <c r="Y211" s="7" t="e">
        <f t="shared" si="58"/>
        <v>#NAME?</v>
      </c>
      <c r="Z211" s="7" t="e">
        <f t="shared" si="58"/>
        <v>#NAME?</v>
      </c>
      <c r="AA211" s="7" t="e">
        <f t="shared" si="58"/>
        <v>#NAME?</v>
      </c>
      <c r="AB211" s="7" t="e">
        <f t="shared" si="58"/>
        <v>#NAME?</v>
      </c>
      <c r="AC211" s="7" t="e">
        <f t="shared" si="58"/>
        <v>#NAME?</v>
      </c>
      <c r="AD211" s="7" t="e">
        <f t="shared" si="58"/>
        <v>#NAME?</v>
      </c>
      <c r="AE211" s="7" t="e">
        <f t="shared" si="58"/>
        <v>#NAME?</v>
      </c>
      <c r="AF211" s="7" t="e">
        <f t="shared" si="58"/>
        <v>#NAME?</v>
      </c>
      <c r="AG211" s="7" t="e">
        <f t="shared" si="58"/>
        <v>#NAME?</v>
      </c>
      <c r="AH211" s="7" t="e">
        <f t="shared" ref="AH211:AH212" si="59">STDEV(B211:AG211)</f>
        <v>#NAME?</v>
      </c>
      <c r="AI211" s="7" t="e">
        <f t="shared" ref="AI211:AI212" si="60">AJ211-1.5*AH211</f>
        <v>#NAME?</v>
      </c>
      <c r="AJ211" s="8" t="e">
        <f t="shared" ref="AJ211:AJ212" si="61">AVERAGE(B211:AG211)</f>
        <v>#NAME?</v>
      </c>
      <c r="AK211" s="7" t="e">
        <f t="shared" ref="AK211:AK212" si="62">AJ211+1.5*AH211</f>
        <v>#NAME?</v>
      </c>
    </row>
    <row r="212" spans="1:48" s="7" customFormat="1">
      <c r="A212" s="7">
        <f t="shared" si="57"/>
        <v>1</v>
      </c>
      <c r="B212" s="7" t="e">
        <f t="shared" ref="B212:AG212" si="63">B$207*$A179+B$208</f>
        <v>#NAME?</v>
      </c>
      <c r="C212" s="7" t="e">
        <f t="shared" si="63"/>
        <v>#NAME?</v>
      </c>
      <c r="D212" s="7" t="e">
        <f t="shared" si="63"/>
        <v>#NAME?</v>
      </c>
      <c r="E212" s="7" t="e">
        <f t="shared" si="63"/>
        <v>#NAME?</v>
      </c>
      <c r="F212" s="7" t="e">
        <f t="shared" si="63"/>
        <v>#NAME?</v>
      </c>
      <c r="G212" s="7" t="e">
        <f t="shared" si="63"/>
        <v>#NAME?</v>
      </c>
      <c r="H212" s="7" t="e">
        <f t="shared" si="63"/>
        <v>#NAME?</v>
      </c>
      <c r="I212" s="7" t="e">
        <f t="shared" si="63"/>
        <v>#NAME?</v>
      </c>
      <c r="J212" s="7" t="e">
        <f t="shared" si="63"/>
        <v>#NAME?</v>
      </c>
      <c r="K212" s="7" t="e">
        <f t="shared" si="63"/>
        <v>#NAME?</v>
      </c>
      <c r="L212" s="7" t="e">
        <f t="shared" si="63"/>
        <v>#NAME?</v>
      </c>
      <c r="M212" s="7" t="e">
        <f t="shared" si="63"/>
        <v>#NAME?</v>
      </c>
      <c r="N212" s="7" t="e">
        <f t="shared" si="63"/>
        <v>#NAME?</v>
      </c>
      <c r="O212" s="7" t="e">
        <f t="shared" si="63"/>
        <v>#NAME?</v>
      </c>
      <c r="P212" s="7" t="e">
        <f t="shared" si="63"/>
        <v>#NAME?</v>
      </c>
      <c r="Q212" s="7" t="e">
        <f t="shared" si="63"/>
        <v>#NAME?</v>
      </c>
      <c r="R212" s="7" t="e">
        <f t="shared" si="63"/>
        <v>#NAME?</v>
      </c>
      <c r="S212" s="7" t="e">
        <f t="shared" si="63"/>
        <v>#NAME?</v>
      </c>
      <c r="U212" s="7" t="e">
        <f t="shared" si="63"/>
        <v>#NAME?</v>
      </c>
      <c r="V212" s="7" t="e">
        <f t="shared" si="63"/>
        <v>#NAME?</v>
      </c>
      <c r="W212" s="7" t="e">
        <f t="shared" si="63"/>
        <v>#NAME?</v>
      </c>
      <c r="X212" s="7" t="e">
        <f t="shared" si="63"/>
        <v>#NAME?</v>
      </c>
      <c r="Y212" s="7" t="e">
        <f t="shared" si="63"/>
        <v>#NAME?</v>
      </c>
      <c r="Z212" s="7" t="e">
        <f t="shared" si="63"/>
        <v>#NAME?</v>
      </c>
      <c r="AA212" s="7" t="e">
        <f t="shared" si="63"/>
        <v>#NAME?</v>
      </c>
      <c r="AB212" s="7" t="e">
        <f t="shared" si="63"/>
        <v>#NAME?</v>
      </c>
      <c r="AC212" s="7" t="e">
        <f t="shared" si="63"/>
        <v>#NAME?</v>
      </c>
      <c r="AD212" s="7" t="e">
        <f t="shared" si="63"/>
        <v>#NAME?</v>
      </c>
      <c r="AE212" s="7" t="e">
        <f t="shared" si="63"/>
        <v>#NAME?</v>
      </c>
      <c r="AF212" s="7" t="e">
        <f t="shared" si="63"/>
        <v>#NAME?</v>
      </c>
      <c r="AG212" s="7" t="e">
        <f t="shared" si="63"/>
        <v>#NAME?</v>
      </c>
      <c r="AH212" s="7" t="e">
        <f t="shared" si="59"/>
        <v>#NAME?</v>
      </c>
      <c r="AI212" s="7" t="e">
        <f t="shared" si="60"/>
        <v>#NAME?</v>
      </c>
      <c r="AJ212" s="8" t="e">
        <f t="shared" si="61"/>
        <v>#NAME?</v>
      </c>
      <c r="AK212" s="7" t="e">
        <f t="shared" si="62"/>
        <v>#NAME?</v>
      </c>
    </row>
    <row r="213" spans="1:48" s="7" customFormat="1">
      <c r="A213" s="7">
        <f t="shared" si="57"/>
        <v>2</v>
      </c>
      <c r="B213" s="7" t="e">
        <f t="shared" ref="B213:AG213" si="64">B$207*$A180+B$208</f>
        <v>#NAME?</v>
      </c>
      <c r="C213" s="7" t="e">
        <f t="shared" si="64"/>
        <v>#NAME?</v>
      </c>
      <c r="D213" s="7" t="e">
        <f t="shared" si="64"/>
        <v>#NAME?</v>
      </c>
      <c r="E213" s="7" t="e">
        <f t="shared" si="64"/>
        <v>#NAME?</v>
      </c>
      <c r="F213" s="7" t="e">
        <f t="shared" si="64"/>
        <v>#NAME?</v>
      </c>
      <c r="G213" s="7" t="e">
        <f t="shared" si="64"/>
        <v>#NAME?</v>
      </c>
      <c r="H213" s="7" t="e">
        <f t="shared" si="64"/>
        <v>#NAME?</v>
      </c>
      <c r="I213" s="7" t="e">
        <f t="shared" si="64"/>
        <v>#NAME?</v>
      </c>
      <c r="J213" s="7" t="e">
        <f t="shared" si="64"/>
        <v>#NAME?</v>
      </c>
      <c r="K213" s="7" t="e">
        <f t="shared" si="64"/>
        <v>#NAME?</v>
      </c>
      <c r="L213" s="7" t="e">
        <f t="shared" si="64"/>
        <v>#NAME?</v>
      </c>
      <c r="M213" s="7" t="e">
        <f t="shared" si="64"/>
        <v>#NAME?</v>
      </c>
      <c r="N213" s="7" t="e">
        <f t="shared" si="64"/>
        <v>#NAME?</v>
      </c>
      <c r="O213" s="7" t="e">
        <f t="shared" si="64"/>
        <v>#NAME?</v>
      </c>
      <c r="P213" s="7" t="e">
        <f t="shared" si="64"/>
        <v>#NAME?</v>
      </c>
      <c r="Q213" s="7" t="e">
        <f t="shared" si="64"/>
        <v>#NAME?</v>
      </c>
      <c r="R213" s="7" t="e">
        <f t="shared" si="64"/>
        <v>#NAME?</v>
      </c>
      <c r="S213" s="7" t="e">
        <f t="shared" si="64"/>
        <v>#NAME?</v>
      </c>
      <c r="U213" s="7" t="e">
        <f t="shared" si="64"/>
        <v>#NAME?</v>
      </c>
      <c r="V213" s="7" t="e">
        <f t="shared" si="64"/>
        <v>#NAME?</v>
      </c>
      <c r="W213" s="7" t="e">
        <f t="shared" si="64"/>
        <v>#NAME?</v>
      </c>
      <c r="X213" s="7" t="e">
        <f t="shared" si="64"/>
        <v>#NAME?</v>
      </c>
      <c r="Y213" s="7" t="e">
        <f t="shared" si="64"/>
        <v>#NAME?</v>
      </c>
      <c r="Z213" s="7" t="e">
        <f t="shared" si="64"/>
        <v>#NAME?</v>
      </c>
      <c r="AA213" s="7" t="e">
        <f t="shared" si="64"/>
        <v>#NAME?</v>
      </c>
      <c r="AB213" s="7" t="e">
        <f t="shared" si="64"/>
        <v>#NAME?</v>
      </c>
      <c r="AC213" s="7" t="e">
        <f t="shared" si="64"/>
        <v>#NAME?</v>
      </c>
      <c r="AD213" s="7" t="e">
        <f t="shared" si="64"/>
        <v>#NAME?</v>
      </c>
      <c r="AE213" s="7" t="e">
        <f t="shared" si="64"/>
        <v>#NAME?</v>
      </c>
      <c r="AF213" s="7" t="e">
        <f t="shared" si="64"/>
        <v>#NAME?</v>
      </c>
      <c r="AG213" s="7" t="e">
        <f t="shared" si="64"/>
        <v>#NAME?</v>
      </c>
      <c r="AH213" s="7" t="e">
        <f t="shared" ref="AH213:AH215" si="65">STDEV(B213:AG213)</f>
        <v>#NAME?</v>
      </c>
      <c r="AI213" s="7" t="e">
        <f t="shared" ref="AI213:AI215" si="66">AJ213-1.5*AH213</f>
        <v>#NAME?</v>
      </c>
      <c r="AJ213" s="8" t="e">
        <f t="shared" ref="AJ213:AJ215" si="67">AVERAGE(B213:AG213)</f>
        <v>#NAME?</v>
      </c>
      <c r="AK213" s="7" t="e">
        <f t="shared" ref="AK213:AK215" si="68">AJ213+1.5*AH213</f>
        <v>#NAME?</v>
      </c>
    </row>
    <row r="214" spans="1:48" s="7" customFormat="1">
      <c r="A214" s="7">
        <f t="shared" si="57"/>
        <v>3</v>
      </c>
      <c r="B214" s="7" t="e">
        <f t="shared" ref="B214:AG214" si="69">B$207*$A181+B$208</f>
        <v>#NAME?</v>
      </c>
      <c r="C214" s="7" t="e">
        <f t="shared" si="69"/>
        <v>#NAME?</v>
      </c>
      <c r="D214" s="7" t="e">
        <f t="shared" si="69"/>
        <v>#NAME?</v>
      </c>
      <c r="E214" s="7" t="e">
        <f t="shared" si="69"/>
        <v>#NAME?</v>
      </c>
      <c r="F214" s="7" t="e">
        <f t="shared" si="69"/>
        <v>#NAME?</v>
      </c>
      <c r="G214" s="7" t="e">
        <f t="shared" si="69"/>
        <v>#NAME?</v>
      </c>
      <c r="H214" s="7" t="e">
        <f t="shared" si="69"/>
        <v>#NAME?</v>
      </c>
      <c r="I214" s="7" t="e">
        <f t="shared" si="69"/>
        <v>#NAME?</v>
      </c>
      <c r="J214" s="7" t="e">
        <f t="shared" si="69"/>
        <v>#NAME?</v>
      </c>
      <c r="K214" s="7" t="e">
        <f t="shared" si="69"/>
        <v>#NAME?</v>
      </c>
      <c r="L214" s="7" t="e">
        <f t="shared" si="69"/>
        <v>#NAME?</v>
      </c>
      <c r="M214" s="7" t="e">
        <f t="shared" si="69"/>
        <v>#NAME?</v>
      </c>
      <c r="N214" s="7" t="e">
        <f t="shared" si="69"/>
        <v>#NAME?</v>
      </c>
      <c r="O214" s="7" t="e">
        <f t="shared" si="69"/>
        <v>#NAME?</v>
      </c>
      <c r="P214" s="7" t="e">
        <f t="shared" si="69"/>
        <v>#NAME?</v>
      </c>
      <c r="Q214" s="7" t="e">
        <f t="shared" si="69"/>
        <v>#NAME?</v>
      </c>
      <c r="R214" s="7" t="e">
        <f t="shared" si="69"/>
        <v>#NAME?</v>
      </c>
      <c r="S214" s="7" t="e">
        <f t="shared" si="69"/>
        <v>#NAME?</v>
      </c>
      <c r="U214" s="7" t="e">
        <f t="shared" si="69"/>
        <v>#NAME?</v>
      </c>
      <c r="V214" s="7" t="e">
        <f t="shared" si="69"/>
        <v>#NAME?</v>
      </c>
      <c r="W214" s="7" t="e">
        <f t="shared" si="69"/>
        <v>#NAME?</v>
      </c>
      <c r="X214" s="7" t="e">
        <f t="shared" si="69"/>
        <v>#NAME?</v>
      </c>
      <c r="Y214" s="7" t="e">
        <f t="shared" si="69"/>
        <v>#NAME?</v>
      </c>
      <c r="Z214" s="7" t="e">
        <f t="shared" si="69"/>
        <v>#NAME?</v>
      </c>
      <c r="AA214" s="7" t="e">
        <f t="shared" si="69"/>
        <v>#NAME?</v>
      </c>
      <c r="AB214" s="7" t="e">
        <f t="shared" si="69"/>
        <v>#NAME?</v>
      </c>
      <c r="AC214" s="7" t="e">
        <f t="shared" si="69"/>
        <v>#NAME?</v>
      </c>
      <c r="AD214" s="7" t="e">
        <f t="shared" si="69"/>
        <v>#NAME?</v>
      </c>
      <c r="AE214" s="7" t="e">
        <f t="shared" si="69"/>
        <v>#NAME?</v>
      </c>
      <c r="AF214" s="7" t="e">
        <f t="shared" si="69"/>
        <v>#NAME?</v>
      </c>
      <c r="AG214" s="7" t="e">
        <f t="shared" si="69"/>
        <v>#NAME?</v>
      </c>
      <c r="AH214" s="7" t="e">
        <f t="shared" si="65"/>
        <v>#NAME?</v>
      </c>
      <c r="AI214" s="7" t="e">
        <f t="shared" si="66"/>
        <v>#NAME?</v>
      </c>
      <c r="AJ214" s="8" t="e">
        <f t="shared" si="67"/>
        <v>#NAME?</v>
      </c>
      <c r="AK214" s="7" t="e">
        <f t="shared" si="68"/>
        <v>#NAME?</v>
      </c>
    </row>
    <row r="215" spans="1:48" s="7" customFormat="1">
      <c r="A215" s="7">
        <f t="shared" si="57"/>
        <v>4</v>
      </c>
      <c r="B215" s="7" t="e">
        <f t="shared" ref="B215:AG215" si="70">B$207*$A182+B$208</f>
        <v>#NAME?</v>
      </c>
      <c r="C215" s="7" t="e">
        <f t="shared" si="70"/>
        <v>#NAME?</v>
      </c>
      <c r="D215" s="7" t="e">
        <f t="shared" si="70"/>
        <v>#NAME?</v>
      </c>
      <c r="E215" s="7" t="e">
        <f t="shared" si="70"/>
        <v>#NAME?</v>
      </c>
      <c r="F215" s="7" t="e">
        <f t="shared" si="70"/>
        <v>#NAME?</v>
      </c>
      <c r="G215" s="7" t="e">
        <f t="shared" si="70"/>
        <v>#NAME?</v>
      </c>
      <c r="H215" s="7" t="e">
        <f t="shared" si="70"/>
        <v>#NAME?</v>
      </c>
      <c r="I215" s="7" t="e">
        <f t="shared" si="70"/>
        <v>#NAME?</v>
      </c>
      <c r="J215" s="7" t="e">
        <f t="shared" si="70"/>
        <v>#NAME?</v>
      </c>
      <c r="K215" s="7" t="e">
        <f t="shared" si="70"/>
        <v>#NAME?</v>
      </c>
      <c r="L215" s="7" t="e">
        <f t="shared" si="70"/>
        <v>#NAME?</v>
      </c>
      <c r="M215" s="7" t="e">
        <f t="shared" si="70"/>
        <v>#NAME?</v>
      </c>
      <c r="N215" s="7" t="e">
        <f t="shared" si="70"/>
        <v>#NAME?</v>
      </c>
      <c r="O215" s="7" t="e">
        <f t="shared" si="70"/>
        <v>#NAME?</v>
      </c>
      <c r="P215" s="7" t="e">
        <f t="shared" si="70"/>
        <v>#NAME?</v>
      </c>
      <c r="Q215" s="7" t="e">
        <f t="shared" si="70"/>
        <v>#NAME?</v>
      </c>
      <c r="R215" s="7" t="e">
        <f t="shared" si="70"/>
        <v>#NAME?</v>
      </c>
      <c r="S215" s="7" t="e">
        <f t="shared" si="70"/>
        <v>#NAME?</v>
      </c>
      <c r="U215" s="7" t="e">
        <f t="shared" si="70"/>
        <v>#NAME?</v>
      </c>
      <c r="V215" s="7" t="e">
        <f t="shared" si="70"/>
        <v>#NAME?</v>
      </c>
      <c r="W215" s="7" t="e">
        <f t="shared" si="70"/>
        <v>#NAME?</v>
      </c>
      <c r="X215" s="7" t="e">
        <f t="shared" si="70"/>
        <v>#NAME?</v>
      </c>
      <c r="Y215" s="7" t="e">
        <f t="shared" si="70"/>
        <v>#NAME?</v>
      </c>
      <c r="Z215" s="7" t="e">
        <f t="shared" si="70"/>
        <v>#NAME?</v>
      </c>
      <c r="AA215" s="7" t="e">
        <f t="shared" si="70"/>
        <v>#NAME?</v>
      </c>
      <c r="AB215" s="7" t="e">
        <f t="shared" si="70"/>
        <v>#NAME?</v>
      </c>
      <c r="AC215" s="7" t="e">
        <f t="shared" si="70"/>
        <v>#NAME?</v>
      </c>
      <c r="AD215" s="7" t="e">
        <f t="shared" si="70"/>
        <v>#NAME?</v>
      </c>
      <c r="AE215" s="7" t="e">
        <f t="shared" si="70"/>
        <v>#NAME?</v>
      </c>
      <c r="AF215" s="7" t="e">
        <f t="shared" si="70"/>
        <v>#NAME?</v>
      </c>
      <c r="AG215" s="7" t="e">
        <f t="shared" si="70"/>
        <v>#NAME?</v>
      </c>
      <c r="AH215" s="7" t="e">
        <f t="shared" si="65"/>
        <v>#NAME?</v>
      </c>
      <c r="AI215" s="7" t="e">
        <f t="shared" si="66"/>
        <v>#NAME?</v>
      </c>
      <c r="AJ215" s="8" t="e">
        <f t="shared" si="67"/>
        <v>#NAME?</v>
      </c>
      <c r="AK215" s="7" t="e">
        <f t="shared" si="68"/>
        <v>#NAME?</v>
      </c>
    </row>
    <row r="216" spans="1:48" s="7" customFormat="1">
      <c r="A216" s="7">
        <f t="shared" ref="A216:A225" si="71">A183</f>
        <v>5</v>
      </c>
      <c r="B216" s="7" t="e">
        <f>B$207*$A183+B$208</f>
        <v>#NAME?</v>
      </c>
      <c r="C216" s="7" t="e">
        <f t="shared" ref="C216:AG216" si="72">C$207*$A183+C$208</f>
        <v>#NAME?</v>
      </c>
      <c r="D216" s="7" t="e">
        <f t="shared" si="72"/>
        <v>#NAME?</v>
      </c>
      <c r="E216" s="7" t="e">
        <f t="shared" si="72"/>
        <v>#NAME?</v>
      </c>
      <c r="F216" s="7" t="e">
        <f t="shared" si="72"/>
        <v>#NAME?</v>
      </c>
      <c r="G216" s="7" t="e">
        <f t="shared" si="72"/>
        <v>#NAME?</v>
      </c>
      <c r="H216" s="7" t="e">
        <f t="shared" si="72"/>
        <v>#NAME?</v>
      </c>
      <c r="I216" s="7" t="e">
        <f t="shared" si="72"/>
        <v>#NAME?</v>
      </c>
      <c r="J216" s="7" t="e">
        <f t="shared" si="72"/>
        <v>#NAME?</v>
      </c>
      <c r="K216" s="7" t="e">
        <f t="shared" si="72"/>
        <v>#NAME?</v>
      </c>
      <c r="L216" s="7" t="e">
        <f t="shared" si="72"/>
        <v>#NAME?</v>
      </c>
      <c r="M216" s="7" t="e">
        <f t="shared" si="72"/>
        <v>#NAME?</v>
      </c>
      <c r="N216" s="7" t="e">
        <f t="shared" si="72"/>
        <v>#NAME?</v>
      </c>
      <c r="O216" s="7" t="e">
        <f t="shared" si="72"/>
        <v>#NAME?</v>
      </c>
      <c r="P216" s="7" t="e">
        <f t="shared" si="72"/>
        <v>#NAME?</v>
      </c>
      <c r="Q216" s="7" t="e">
        <f t="shared" si="72"/>
        <v>#NAME?</v>
      </c>
      <c r="R216" s="7" t="e">
        <f t="shared" si="72"/>
        <v>#NAME?</v>
      </c>
      <c r="S216" s="7" t="e">
        <f t="shared" si="72"/>
        <v>#NAME?</v>
      </c>
      <c r="U216" s="7" t="e">
        <f t="shared" si="72"/>
        <v>#NAME?</v>
      </c>
      <c r="V216" s="7" t="e">
        <f t="shared" si="72"/>
        <v>#NAME?</v>
      </c>
      <c r="W216" s="7" t="e">
        <f t="shared" si="72"/>
        <v>#NAME?</v>
      </c>
      <c r="X216" s="7" t="e">
        <f t="shared" si="72"/>
        <v>#NAME?</v>
      </c>
      <c r="Y216" s="7" t="e">
        <f t="shared" si="72"/>
        <v>#NAME?</v>
      </c>
      <c r="Z216" s="7" t="e">
        <f t="shared" si="72"/>
        <v>#NAME?</v>
      </c>
      <c r="AA216" s="7" t="e">
        <f t="shared" si="72"/>
        <v>#NAME?</v>
      </c>
      <c r="AB216" s="7" t="e">
        <f t="shared" si="72"/>
        <v>#NAME?</v>
      </c>
      <c r="AC216" s="7" t="e">
        <f t="shared" si="72"/>
        <v>#NAME?</v>
      </c>
      <c r="AD216" s="7" t="e">
        <f t="shared" si="72"/>
        <v>#NAME?</v>
      </c>
      <c r="AE216" s="7" t="e">
        <f t="shared" si="72"/>
        <v>#NAME?</v>
      </c>
      <c r="AF216" s="7" t="e">
        <f t="shared" si="72"/>
        <v>#NAME?</v>
      </c>
      <c r="AG216" s="7" t="e">
        <f t="shared" si="72"/>
        <v>#NAME?</v>
      </c>
      <c r="AH216" s="7" t="e">
        <f t="shared" ref="AH216:AH225" si="73">STDEV(B216:AG216)</f>
        <v>#NAME?</v>
      </c>
      <c r="AI216" s="7" t="e">
        <f t="shared" si="50"/>
        <v>#NAME?</v>
      </c>
      <c r="AJ216" s="8" t="e">
        <f t="shared" ref="AJ216:AJ225" si="74">AVERAGE(B216:AG216)</f>
        <v>#NAME?</v>
      </c>
      <c r="AK216" s="7" t="e">
        <f t="shared" ref="AK216:AK225" si="75">AJ216+1.5*AH216</f>
        <v>#NAME?</v>
      </c>
    </row>
    <row r="217" spans="1:48" s="7" customFormat="1">
      <c r="A217" s="7">
        <f t="shared" si="71"/>
        <v>6</v>
      </c>
      <c r="B217" s="7" t="e">
        <f t="shared" ref="B217:AG217" si="76">B$207*$A184+B$208</f>
        <v>#NAME?</v>
      </c>
      <c r="C217" s="7" t="e">
        <f t="shared" si="76"/>
        <v>#NAME?</v>
      </c>
      <c r="D217" s="7" t="e">
        <f t="shared" si="76"/>
        <v>#NAME?</v>
      </c>
      <c r="E217" s="7" t="e">
        <f t="shared" si="76"/>
        <v>#NAME?</v>
      </c>
      <c r="F217" s="7" t="e">
        <f t="shared" si="76"/>
        <v>#NAME?</v>
      </c>
      <c r="G217" s="7" t="e">
        <f t="shared" si="76"/>
        <v>#NAME?</v>
      </c>
      <c r="H217" s="7" t="e">
        <f t="shared" si="76"/>
        <v>#NAME?</v>
      </c>
      <c r="I217" s="7" t="e">
        <f t="shared" si="76"/>
        <v>#NAME?</v>
      </c>
      <c r="J217" s="7" t="e">
        <f t="shared" si="76"/>
        <v>#NAME?</v>
      </c>
      <c r="K217" s="7" t="e">
        <f t="shared" si="76"/>
        <v>#NAME?</v>
      </c>
      <c r="L217" s="7" t="e">
        <f t="shared" si="76"/>
        <v>#NAME?</v>
      </c>
      <c r="M217" s="7" t="e">
        <f t="shared" si="76"/>
        <v>#NAME?</v>
      </c>
      <c r="N217" s="7" t="e">
        <f t="shared" si="76"/>
        <v>#NAME?</v>
      </c>
      <c r="O217" s="7" t="e">
        <f t="shared" si="76"/>
        <v>#NAME?</v>
      </c>
      <c r="P217" s="7" t="e">
        <f t="shared" si="76"/>
        <v>#NAME?</v>
      </c>
      <c r="Q217" s="7" t="e">
        <f t="shared" si="76"/>
        <v>#NAME?</v>
      </c>
      <c r="R217" s="7" t="e">
        <f t="shared" si="76"/>
        <v>#NAME?</v>
      </c>
      <c r="S217" s="7" t="e">
        <f t="shared" si="76"/>
        <v>#NAME?</v>
      </c>
      <c r="U217" s="7" t="e">
        <f t="shared" si="76"/>
        <v>#NAME?</v>
      </c>
      <c r="V217" s="7" t="e">
        <f t="shared" si="76"/>
        <v>#NAME?</v>
      </c>
      <c r="W217" s="7" t="e">
        <f t="shared" si="76"/>
        <v>#NAME?</v>
      </c>
      <c r="X217" s="7" t="e">
        <f t="shared" si="76"/>
        <v>#NAME?</v>
      </c>
      <c r="Y217" s="7" t="e">
        <f t="shared" si="76"/>
        <v>#NAME?</v>
      </c>
      <c r="Z217" s="7" t="e">
        <f t="shared" si="76"/>
        <v>#NAME?</v>
      </c>
      <c r="AA217" s="7" t="e">
        <f t="shared" si="76"/>
        <v>#NAME?</v>
      </c>
      <c r="AB217" s="7" t="e">
        <f t="shared" si="76"/>
        <v>#NAME?</v>
      </c>
      <c r="AC217" s="7" t="e">
        <f t="shared" si="76"/>
        <v>#NAME?</v>
      </c>
      <c r="AD217" s="7" t="e">
        <f t="shared" si="76"/>
        <v>#NAME?</v>
      </c>
      <c r="AE217" s="7" t="e">
        <f t="shared" si="76"/>
        <v>#NAME?</v>
      </c>
      <c r="AF217" s="7" t="e">
        <f t="shared" si="76"/>
        <v>#NAME?</v>
      </c>
      <c r="AG217" s="7" t="e">
        <f t="shared" si="76"/>
        <v>#NAME?</v>
      </c>
      <c r="AH217" s="7" t="e">
        <f t="shared" si="73"/>
        <v>#NAME?</v>
      </c>
      <c r="AI217" s="7" t="e">
        <f t="shared" si="50"/>
        <v>#NAME?</v>
      </c>
      <c r="AJ217" s="8" t="e">
        <f t="shared" si="74"/>
        <v>#NAME?</v>
      </c>
      <c r="AK217" s="7" t="e">
        <f t="shared" si="75"/>
        <v>#NAME?</v>
      </c>
    </row>
    <row r="218" spans="1:48" s="7" customFormat="1">
      <c r="A218" s="7">
        <f t="shared" si="71"/>
        <v>7</v>
      </c>
      <c r="B218" s="7" t="e">
        <f t="shared" ref="B218:AG218" si="77">B$207*$A185+B$208</f>
        <v>#NAME?</v>
      </c>
      <c r="C218" s="7" t="e">
        <f t="shared" si="77"/>
        <v>#NAME?</v>
      </c>
      <c r="D218" s="7" t="e">
        <f t="shared" si="77"/>
        <v>#NAME?</v>
      </c>
      <c r="E218" s="7" t="e">
        <f t="shared" si="77"/>
        <v>#NAME?</v>
      </c>
      <c r="F218" s="7" t="e">
        <f t="shared" si="77"/>
        <v>#NAME?</v>
      </c>
      <c r="G218" s="7" t="e">
        <f t="shared" si="77"/>
        <v>#NAME?</v>
      </c>
      <c r="H218" s="7" t="e">
        <f t="shared" si="77"/>
        <v>#NAME?</v>
      </c>
      <c r="I218" s="7" t="e">
        <f t="shared" si="77"/>
        <v>#NAME?</v>
      </c>
      <c r="J218" s="7" t="e">
        <f t="shared" si="77"/>
        <v>#NAME?</v>
      </c>
      <c r="K218" s="7" t="e">
        <f t="shared" si="77"/>
        <v>#NAME?</v>
      </c>
      <c r="L218" s="7" t="e">
        <f t="shared" si="77"/>
        <v>#NAME?</v>
      </c>
      <c r="M218" s="7" t="e">
        <f t="shared" si="77"/>
        <v>#NAME?</v>
      </c>
      <c r="N218" s="7" t="e">
        <f t="shared" si="77"/>
        <v>#NAME?</v>
      </c>
      <c r="O218" s="7" t="e">
        <f t="shared" si="77"/>
        <v>#NAME?</v>
      </c>
      <c r="P218" s="7" t="e">
        <f t="shared" si="77"/>
        <v>#NAME?</v>
      </c>
      <c r="Q218" s="7" t="e">
        <f t="shared" si="77"/>
        <v>#NAME?</v>
      </c>
      <c r="R218" s="7" t="e">
        <f t="shared" si="77"/>
        <v>#NAME?</v>
      </c>
      <c r="S218" s="7" t="e">
        <f t="shared" si="77"/>
        <v>#NAME?</v>
      </c>
      <c r="U218" s="7" t="e">
        <f t="shared" si="77"/>
        <v>#NAME?</v>
      </c>
      <c r="V218" s="7" t="e">
        <f t="shared" si="77"/>
        <v>#NAME?</v>
      </c>
      <c r="W218" s="7" t="e">
        <f t="shared" si="77"/>
        <v>#NAME?</v>
      </c>
      <c r="X218" s="7" t="e">
        <f t="shared" si="77"/>
        <v>#NAME?</v>
      </c>
      <c r="Y218" s="7" t="e">
        <f t="shared" si="77"/>
        <v>#NAME?</v>
      </c>
      <c r="Z218" s="7" t="e">
        <f t="shared" si="77"/>
        <v>#NAME?</v>
      </c>
      <c r="AA218" s="7" t="e">
        <f t="shared" si="77"/>
        <v>#NAME?</v>
      </c>
      <c r="AB218" s="7" t="e">
        <f t="shared" si="77"/>
        <v>#NAME?</v>
      </c>
      <c r="AC218" s="7" t="e">
        <f t="shared" si="77"/>
        <v>#NAME?</v>
      </c>
      <c r="AD218" s="7" t="e">
        <f t="shared" si="77"/>
        <v>#NAME?</v>
      </c>
      <c r="AE218" s="7" t="e">
        <f t="shared" si="77"/>
        <v>#NAME?</v>
      </c>
      <c r="AF218" s="7" t="e">
        <f t="shared" si="77"/>
        <v>#NAME?</v>
      </c>
      <c r="AG218" s="7" t="e">
        <f t="shared" si="77"/>
        <v>#NAME?</v>
      </c>
      <c r="AH218" s="7" t="e">
        <f t="shared" si="73"/>
        <v>#NAME?</v>
      </c>
      <c r="AI218" s="7" t="e">
        <f t="shared" si="50"/>
        <v>#NAME?</v>
      </c>
      <c r="AJ218" s="8" t="e">
        <f t="shared" si="74"/>
        <v>#NAME?</v>
      </c>
      <c r="AK218" s="7" t="e">
        <f t="shared" si="75"/>
        <v>#NAME?</v>
      </c>
    </row>
    <row r="219" spans="1:48" s="7" customFormat="1">
      <c r="A219" s="7">
        <f t="shared" si="71"/>
        <v>8</v>
      </c>
      <c r="B219" s="7" t="e">
        <f t="shared" ref="B219:AG219" si="78">B$207*$A186+B$208</f>
        <v>#NAME?</v>
      </c>
      <c r="C219" s="7" t="e">
        <f t="shared" si="78"/>
        <v>#NAME?</v>
      </c>
      <c r="D219" s="7" t="e">
        <f t="shared" si="78"/>
        <v>#NAME?</v>
      </c>
      <c r="E219" s="7" t="e">
        <f t="shared" si="78"/>
        <v>#NAME?</v>
      </c>
      <c r="F219" s="7" t="e">
        <f t="shared" si="78"/>
        <v>#NAME?</v>
      </c>
      <c r="G219" s="7" t="e">
        <f t="shared" si="78"/>
        <v>#NAME?</v>
      </c>
      <c r="H219" s="7" t="e">
        <f t="shared" si="78"/>
        <v>#NAME?</v>
      </c>
      <c r="I219" s="7" t="e">
        <f t="shared" si="78"/>
        <v>#NAME?</v>
      </c>
      <c r="J219" s="7" t="e">
        <f t="shared" si="78"/>
        <v>#NAME?</v>
      </c>
      <c r="K219" s="7" t="e">
        <f t="shared" si="78"/>
        <v>#NAME?</v>
      </c>
      <c r="L219" s="7" t="e">
        <f t="shared" si="78"/>
        <v>#NAME?</v>
      </c>
      <c r="M219" s="7" t="e">
        <f t="shared" si="78"/>
        <v>#NAME?</v>
      </c>
      <c r="N219" s="7" t="e">
        <f t="shared" si="78"/>
        <v>#NAME?</v>
      </c>
      <c r="O219" s="7" t="e">
        <f t="shared" si="78"/>
        <v>#NAME?</v>
      </c>
      <c r="P219" s="7" t="e">
        <f t="shared" si="78"/>
        <v>#NAME?</v>
      </c>
      <c r="Q219" s="7" t="e">
        <f t="shared" si="78"/>
        <v>#NAME?</v>
      </c>
      <c r="R219" s="7" t="e">
        <f t="shared" si="78"/>
        <v>#NAME?</v>
      </c>
      <c r="S219" s="7" t="e">
        <f t="shared" si="78"/>
        <v>#NAME?</v>
      </c>
      <c r="U219" s="7" t="e">
        <f t="shared" si="78"/>
        <v>#NAME?</v>
      </c>
      <c r="V219" s="7" t="e">
        <f t="shared" si="78"/>
        <v>#NAME?</v>
      </c>
      <c r="W219" s="7" t="e">
        <f t="shared" si="78"/>
        <v>#NAME?</v>
      </c>
      <c r="X219" s="7" t="e">
        <f t="shared" si="78"/>
        <v>#NAME?</v>
      </c>
      <c r="Y219" s="7" t="e">
        <f t="shared" si="78"/>
        <v>#NAME?</v>
      </c>
      <c r="Z219" s="7" t="e">
        <f t="shared" si="78"/>
        <v>#NAME?</v>
      </c>
      <c r="AA219" s="7" t="e">
        <f t="shared" si="78"/>
        <v>#NAME?</v>
      </c>
      <c r="AB219" s="7" t="e">
        <f t="shared" si="78"/>
        <v>#NAME?</v>
      </c>
      <c r="AC219" s="7" t="e">
        <f t="shared" si="78"/>
        <v>#NAME?</v>
      </c>
      <c r="AD219" s="7" t="e">
        <f t="shared" si="78"/>
        <v>#NAME?</v>
      </c>
      <c r="AE219" s="7" t="e">
        <f t="shared" si="78"/>
        <v>#NAME?</v>
      </c>
      <c r="AF219" s="7" t="e">
        <f t="shared" si="78"/>
        <v>#NAME?</v>
      </c>
      <c r="AG219" s="7" t="e">
        <f t="shared" si="78"/>
        <v>#NAME?</v>
      </c>
      <c r="AH219" s="7" t="e">
        <f t="shared" si="73"/>
        <v>#NAME?</v>
      </c>
      <c r="AI219" s="7" t="e">
        <f t="shared" si="50"/>
        <v>#NAME?</v>
      </c>
      <c r="AJ219" s="8" t="e">
        <f t="shared" si="74"/>
        <v>#NAME?</v>
      </c>
      <c r="AK219" s="7" t="e">
        <f t="shared" si="75"/>
        <v>#NAME?</v>
      </c>
    </row>
    <row r="220" spans="1:48" s="7" customFormat="1">
      <c r="A220" s="7">
        <f t="shared" si="71"/>
        <v>9</v>
      </c>
      <c r="B220" s="7" t="e">
        <f t="shared" ref="B220:AG220" si="79">B$207*$A187+B$208</f>
        <v>#NAME?</v>
      </c>
      <c r="C220" s="7" t="e">
        <f t="shared" si="79"/>
        <v>#NAME?</v>
      </c>
      <c r="D220" s="7" t="e">
        <f t="shared" si="79"/>
        <v>#NAME?</v>
      </c>
      <c r="E220" s="7" t="e">
        <f t="shared" si="79"/>
        <v>#NAME?</v>
      </c>
      <c r="F220" s="7" t="e">
        <f t="shared" si="79"/>
        <v>#NAME?</v>
      </c>
      <c r="G220" s="7" t="e">
        <f t="shared" si="79"/>
        <v>#NAME?</v>
      </c>
      <c r="H220" s="7" t="e">
        <f t="shared" si="79"/>
        <v>#NAME?</v>
      </c>
      <c r="I220" s="7" t="e">
        <f t="shared" si="79"/>
        <v>#NAME?</v>
      </c>
      <c r="J220" s="7" t="e">
        <f t="shared" si="79"/>
        <v>#NAME?</v>
      </c>
      <c r="K220" s="7" t="e">
        <f t="shared" si="79"/>
        <v>#NAME?</v>
      </c>
      <c r="L220" s="7" t="e">
        <f t="shared" si="79"/>
        <v>#NAME?</v>
      </c>
      <c r="M220" s="7" t="e">
        <f t="shared" si="79"/>
        <v>#NAME?</v>
      </c>
      <c r="N220" s="7" t="e">
        <f t="shared" si="79"/>
        <v>#NAME?</v>
      </c>
      <c r="O220" s="7" t="e">
        <f t="shared" si="79"/>
        <v>#NAME?</v>
      </c>
      <c r="P220" s="7" t="e">
        <f t="shared" si="79"/>
        <v>#NAME?</v>
      </c>
      <c r="Q220" s="7" t="e">
        <f t="shared" si="79"/>
        <v>#NAME?</v>
      </c>
      <c r="R220" s="7" t="e">
        <f t="shared" si="79"/>
        <v>#NAME?</v>
      </c>
      <c r="S220" s="7" t="e">
        <f t="shared" si="79"/>
        <v>#NAME?</v>
      </c>
      <c r="U220" s="7" t="e">
        <f t="shared" si="79"/>
        <v>#NAME?</v>
      </c>
      <c r="V220" s="7" t="e">
        <f t="shared" si="79"/>
        <v>#NAME?</v>
      </c>
      <c r="W220" s="7" t="e">
        <f t="shared" si="79"/>
        <v>#NAME?</v>
      </c>
      <c r="X220" s="7" t="e">
        <f t="shared" si="79"/>
        <v>#NAME?</v>
      </c>
      <c r="Y220" s="7" t="e">
        <f t="shared" si="79"/>
        <v>#NAME?</v>
      </c>
      <c r="Z220" s="7" t="e">
        <f t="shared" si="79"/>
        <v>#NAME?</v>
      </c>
      <c r="AA220" s="7" t="e">
        <f t="shared" si="79"/>
        <v>#NAME?</v>
      </c>
      <c r="AB220" s="7" t="e">
        <f t="shared" si="79"/>
        <v>#NAME?</v>
      </c>
      <c r="AC220" s="7" t="e">
        <f t="shared" si="79"/>
        <v>#NAME?</v>
      </c>
      <c r="AD220" s="7" t="e">
        <f t="shared" si="79"/>
        <v>#NAME?</v>
      </c>
      <c r="AE220" s="7" t="e">
        <f t="shared" si="79"/>
        <v>#NAME?</v>
      </c>
      <c r="AF220" s="7" t="e">
        <f t="shared" si="79"/>
        <v>#NAME?</v>
      </c>
      <c r="AG220" s="7" t="e">
        <f t="shared" si="79"/>
        <v>#NAME?</v>
      </c>
      <c r="AH220" s="7" t="e">
        <f t="shared" si="73"/>
        <v>#NAME?</v>
      </c>
      <c r="AI220" s="7" t="e">
        <f t="shared" si="50"/>
        <v>#NAME?</v>
      </c>
      <c r="AJ220" s="8" t="e">
        <f t="shared" si="74"/>
        <v>#NAME?</v>
      </c>
      <c r="AK220" s="7" t="e">
        <f t="shared" si="75"/>
        <v>#NAME?</v>
      </c>
    </row>
    <row r="221" spans="1:48" s="7" customFormat="1">
      <c r="A221" s="7">
        <f t="shared" si="71"/>
        <v>10</v>
      </c>
      <c r="B221" s="7" t="e">
        <f t="shared" ref="B221:AG221" si="80">B$207*$A188+B$208</f>
        <v>#NAME?</v>
      </c>
      <c r="C221" s="7" t="e">
        <f t="shared" si="80"/>
        <v>#NAME?</v>
      </c>
      <c r="D221" s="7" t="e">
        <f t="shared" si="80"/>
        <v>#NAME?</v>
      </c>
      <c r="E221" s="7" t="e">
        <f t="shared" si="80"/>
        <v>#NAME?</v>
      </c>
      <c r="F221" s="7" t="e">
        <f t="shared" si="80"/>
        <v>#NAME?</v>
      </c>
      <c r="G221" s="7" t="e">
        <f t="shared" si="80"/>
        <v>#NAME?</v>
      </c>
      <c r="H221" s="7" t="e">
        <f t="shared" si="80"/>
        <v>#NAME?</v>
      </c>
      <c r="I221" s="7" t="e">
        <f t="shared" si="80"/>
        <v>#NAME?</v>
      </c>
      <c r="J221" s="7" t="e">
        <f t="shared" si="80"/>
        <v>#NAME?</v>
      </c>
      <c r="K221" s="7" t="e">
        <f t="shared" si="80"/>
        <v>#NAME?</v>
      </c>
      <c r="L221" s="7" t="e">
        <f t="shared" si="80"/>
        <v>#NAME?</v>
      </c>
      <c r="M221" s="7" t="e">
        <f t="shared" si="80"/>
        <v>#NAME?</v>
      </c>
      <c r="N221" s="7" t="e">
        <f t="shared" si="80"/>
        <v>#NAME?</v>
      </c>
      <c r="O221" s="7" t="e">
        <f t="shared" si="80"/>
        <v>#NAME?</v>
      </c>
      <c r="P221" s="7" t="e">
        <f t="shared" si="80"/>
        <v>#NAME?</v>
      </c>
      <c r="Q221" s="7" t="e">
        <f t="shared" si="80"/>
        <v>#NAME?</v>
      </c>
      <c r="R221" s="7" t="e">
        <f t="shared" si="80"/>
        <v>#NAME?</v>
      </c>
      <c r="S221" s="7" t="e">
        <f t="shared" si="80"/>
        <v>#NAME?</v>
      </c>
      <c r="U221" s="7" t="e">
        <f t="shared" si="80"/>
        <v>#NAME?</v>
      </c>
      <c r="V221" s="7" t="e">
        <f t="shared" si="80"/>
        <v>#NAME?</v>
      </c>
      <c r="W221" s="7" t="e">
        <f t="shared" si="80"/>
        <v>#NAME?</v>
      </c>
      <c r="X221" s="7" t="e">
        <f t="shared" si="80"/>
        <v>#NAME?</v>
      </c>
      <c r="Y221" s="7" t="e">
        <f t="shared" si="80"/>
        <v>#NAME?</v>
      </c>
      <c r="Z221" s="7" t="e">
        <f t="shared" si="80"/>
        <v>#NAME?</v>
      </c>
      <c r="AA221" s="7" t="e">
        <f t="shared" si="80"/>
        <v>#NAME?</v>
      </c>
      <c r="AB221" s="7" t="e">
        <f t="shared" si="80"/>
        <v>#NAME?</v>
      </c>
      <c r="AC221" s="7" t="e">
        <f t="shared" si="80"/>
        <v>#NAME?</v>
      </c>
      <c r="AD221" s="7" t="e">
        <f t="shared" si="80"/>
        <v>#NAME?</v>
      </c>
      <c r="AE221" s="7" t="e">
        <f t="shared" si="80"/>
        <v>#NAME?</v>
      </c>
      <c r="AF221" s="7" t="e">
        <f t="shared" si="80"/>
        <v>#NAME?</v>
      </c>
      <c r="AG221" s="7" t="e">
        <f t="shared" si="80"/>
        <v>#NAME?</v>
      </c>
      <c r="AH221" s="7" t="e">
        <f t="shared" si="73"/>
        <v>#NAME?</v>
      </c>
      <c r="AI221" s="7" t="e">
        <f t="shared" si="50"/>
        <v>#NAME?</v>
      </c>
      <c r="AJ221" s="8" t="e">
        <f t="shared" si="74"/>
        <v>#NAME?</v>
      </c>
      <c r="AK221" s="7" t="e">
        <f t="shared" si="75"/>
        <v>#NAME?</v>
      </c>
    </row>
    <row r="222" spans="1:48" s="7" customFormat="1">
      <c r="A222" s="7">
        <f t="shared" si="71"/>
        <v>11</v>
      </c>
      <c r="B222" s="7" t="e">
        <f t="shared" ref="B222:AG222" si="81">B$207*$A189+B$208</f>
        <v>#NAME?</v>
      </c>
      <c r="C222" s="7" t="e">
        <f t="shared" si="81"/>
        <v>#NAME?</v>
      </c>
      <c r="D222" s="7" t="e">
        <f t="shared" si="81"/>
        <v>#NAME?</v>
      </c>
      <c r="E222" s="7" t="e">
        <f t="shared" si="81"/>
        <v>#NAME?</v>
      </c>
      <c r="F222" s="7" t="e">
        <f t="shared" si="81"/>
        <v>#NAME?</v>
      </c>
      <c r="G222" s="7" t="e">
        <f t="shared" si="81"/>
        <v>#NAME?</v>
      </c>
      <c r="H222" s="7" t="e">
        <f t="shared" si="81"/>
        <v>#NAME?</v>
      </c>
      <c r="I222" s="7" t="e">
        <f t="shared" si="81"/>
        <v>#NAME?</v>
      </c>
      <c r="J222" s="7" t="e">
        <f t="shared" si="81"/>
        <v>#NAME?</v>
      </c>
      <c r="K222" s="7" t="e">
        <f t="shared" si="81"/>
        <v>#NAME?</v>
      </c>
      <c r="L222" s="7" t="e">
        <f t="shared" si="81"/>
        <v>#NAME?</v>
      </c>
      <c r="M222" s="7" t="e">
        <f t="shared" si="81"/>
        <v>#NAME?</v>
      </c>
      <c r="N222" s="7" t="e">
        <f t="shared" si="81"/>
        <v>#NAME?</v>
      </c>
      <c r="O222" s="7" t="e">
        <f t="shared" si="81"/>
        <v>#NAME?</v>
      </c>
      <c r="P222" s="7" t="e">
        <f t="shared" si="81"/>
        <v>#NAME?</v>
      </c>
      <c r="Q222" s="7" t="e">
        <f t="shared" si="81"/>
        <v>#NAME?</v>
      </c>
      <c r="R222" s="7" t="e">
        <f t="shared" si="81"/>
        <v>#NAME?</v>
      </c>
      <c r="S222" s="7" t="e">
        <f t="shared" si="81"/>
        <v>#NAME?</v>
      </c>
      <c r="U222" s="7" t="e">
        <f t="shared" si="81"/>
        <v>#NAME?</v>
      </c>
      <c r="V222" s="7" t="e">
        <f t="shared" si="81"/>
        <v>#NAME?</v>
      </c>
      <c r="W222" s="7" t="e">
        <f t="shared" si="81"/>
        <v>#NAME?</v>
      </c>
      <c r="X222" s="7" t="e">
        <f t="shared" si="81"/>
        <v>#NAME?</v>
      </c>
      <c r="Y222" s="7" t="e">
        <f t="shared" si="81"/>
        <v>#NAME?</v>
      </c>
      <c r="Z222" s="7" t="e">
        <f t="shared" si="81"/>
        <v>#NAME?</v>
      </c>
      <c r="AA222" s="7" t="e">
        <f t="shared" si="81"/>
        <v>#NAME?</v>
      </c>
      <c r="AB222" s="7" t="e">
        <f t="shared" si="81"/>
        <v>#NAME?</v>
      </c>
      <c r="AC222" s="7" t="e">
        <f t="shared" si="81"/>
        <v>#NAME?</v>
      </c>
      <c r="AD222" s="7" t="e">
        <f t="shared" si="81"/>
        <v>#NAME?</v>
      </c>
      <c r="AE222" s="7" t="e">
        <f t="shared" si="81"/>
        <v>#NAME?</v>
      </c>
      <c r="AF222" s="7" t="e">
        <f t="shared" si="81"/>
        <v>#NAME?</v>
      </c>
      <c r="AG222" s="7" t="e">
        <f t="shared" si="81"/>
        <v>#NAME?</v>
      </c>
      <c r="AH222" s="7" t="e">
        <f t="shared" si="73"/>
        <v>#NAME?</v>
      </c>
      <c r="AI222" s="7" t="e">
        <f t="shared" si="50"/>
        <v>#NAME?</v>
      </c>
      <c r="AJ222" s="8" t="e">
        <f t="shared" si="74"/>
        <v>#NAME?</v>
      </c>
      <c r="AK222" s="7" t="e">
        <f t="shared" si="75"/>
        <v>#NAME?</v>
      </c>
    </row>
    <row r="223" spans="1:48" s="7" customFormat="1">
      <c r="A223" s="7">
        <f t="shared" si="71"/>
        <v>12</v>
      </c>
      <c r="B223" s="7" t="e">
        <f t="shared" ref="B223:AG223" si="82">B$207*$A190+B$208</f>
        <v>#NAME?</v>
      </c>
      <c r="C223" s="7" t="e">
        <f t="shared" si="82"/>
        <v>#NAME?</v>
      </c>
      <c r="D223" s="7" t="e">
        <f t="shared" si="82"/>
        <v>#NAME?</v>
      </c>
      <c r="E223" s="7" t="e">
        <f t="shared" si="82"/>
        <v>#NAME?</v>
      </c>
      <c r="F223" s="7" t="e">
        <f t="shared" si="82"/>
        <v>#NAME?</v>
      </c>
      <c r="G223" s="7" t="e">
        <f t="shared" si="82"/>
        <v>#NAME?</v>
      </c>
      <c r="H223" s="7" t="e">
        <f t="shared" si="82"/>
        <v>#NAME?</v>
      </c>
      <c r="I223" s="7" t="e">
        <f t="shared" si="82"/>
        <v>#NAME?</v>
      </c>
      <c r="J223" s="7" t="e">
        <f t="shared" si="82"/>
        <v>#NAME?</v>
      </c>
      <c r="K223" s="7" t="e">
        <f t="shared" si="82"/>
        <v>#NAME?</v>
      </c>
      <c r="L223" s="7" t="e">
        <f t="shared" si="82"/>
        <v>#NAME?</v>
      </c>
      <c r="M223" s="7" t="e">
        <f t="shared" si="82"/>
        <v>#NAME?</v>
      </c>
      <c r="N223" s="7" t="e">
        <f t="shared" si="82"/>
        <v>#NAME?</v>
      </c>
      <c r="O223" s="7" t="e">
        <f t="shared" si="82"/>
        <v>#NAME?</v>
      </c>
      <c r="P223" s="7" t="e">
        <f t="shared" si="82"/>
        <v>#NAME?</v>
      </c>
      <c r="Q223" s="7" t="e">
        <f t="shared" si="82"/>
        <v>#NAME?</v>
      </c>
      <c r="R223" s="7" t="e">
        <f t="shared" si="82"/>
        <v>#NAME?</v>
      </c>
      <c r="S223" s="7" t="e">
        <f t="shared" si="82"/>
        <v>#NAME?</v>
      </c>
      <c r="U223" s="7" t="e">
        <f t="shared" si="82"/>
        <v>#NAME?</v>
      </c>
      <c r="V223" s="7" t="e">
        <f t="shared" si="82"/>
        <v>#NAME?</v>
      </c>
      <c r="W223" s="7" t="e">
        <f t="shared" si="82"/>
        <v>#NAME?</v>
      </c>
      <c r="X223" s="7" t="e">
        <f t="shared" si="82"/>
        <v>#NAME?</v>
      </c>
      <c r="Y223" s="7" t="e">
        <f t="shared" si="82"/>
        <v>#NAME?</v>
      </c>
      <c r="Z223" s="7" t="e">
        <f t="shared" si="82"/>
        <v>#NAME?</v>
      </c>
      <c r="AA223" s="7" t="e">
        <f t="shared" si="82"/>
        <v>#NAME?</v>
      </c>
      <c r="AB223" s="7" t="e">
        <f t="shared" si="82"/>
        <v>#NAME?</v>
      </c>
      <c r="AC223" s="7" t="e">
        <f t="shared" si="82"/>
        <v>#NAME?</v>
      </c>
      <c r="AD223" s="7" t="e">
        <f t="shared" si="82"/>
        <v>#NAME?</v>
      </c>
      <c r="AE223" s="7" t="e">
        <f t="shared" si="82"/>
        <v>#NAME?</v>
      </c>
      <c r="AF223" s="7" t="e">
        <f t="shared" si="82"/>
        <v>#NAME?</v>
      </c>
      <c r="AG223" s="7" t="e">
        <f t="shared" si="82"/>
        <v>#NAME?</v>
      </c>
      <c r="AH223" s="7" t="e">
        <f t="shared" si="73"/>
        <v>#NAME?</v>
      </c>
      <c r="AI223" s="7" t="e">
        <f t="shared" si="50"/>
        <v>#NAME?</v>
      </c>
      <c r="AJ223" s="8" t="e">
        <f t="shared" si="74"/>
        <v>#NAME?</v>
      </c>
      <c r="AK223" s="7" t="e">
        <f t="shared" si="75"/>
        <v>#NAME?</v>
      </c>
    </row>
    <row r="224" spans="1:48" s="7" customFormat="1">
      <c r="A224" s="7">
        <f t="shared" si="71"/>
        <v>13</v>
      </c>
      <c r="B224" s="7" t="e">
        <f t="shared" ref="B224:AG224" si="83">B$207*$A191+B$208</f>
        <v>#NAME?</v>
      </c>
      <c r="C224" s="7" t="e">
        <f t="shared" si="83"/>
        <v>#NAME?</v>
      </c>
      <c r="D224" s="7" t="e">
        <f t="shared" si="83"/>
        <v>#NAME?</v>
      </c>
      <c r="E224" s="7" t="e">
        <f t="shared" si="83"/>
        <v>#NAME?</v>
      </c>
      <c r="F224" s="7" t="e">
        <f t="shared" si="83"/>
        <v>#NAME?</v>
      </c>
      <c r="G224" s="7" t="e">
        <f t="shared" si="83"/>
        <v>#NAME?</v>
      </c>
      <c r="H224" s="7" t="e">
        <f t="shared" si="83"/>
        <v>#NAME?</v>
      </c>
      <c r="I224" s="7" t="e">
        <f t="shared" si="83"/>
        <v>#NAME?</v>
      </c>
      <c r="J224" s="7" t="e">
        <f t="shared" si="83"/>
        <v>#NAME?</v>
      </c>
      <c r="K224" s="7" t="e">
        <f t="shared" si="83"/>
        <v>#NAME?</v>
      </c>
      <c r="L224" s="7" t="e">
        <f t="shared" si="83"/>
        <v>#NAME?</v>
      </c>
      <c r="M224" s="7" t="e">
        <f t="shared" si="83"/>
        <v>#NAME?</v>
      </c>
      <c r="N224" s="7" t="e">
        <f t="shared" si="83"/>
        <v>#NAME?</v>
      </c>
      <c r="O224" s="7" t="e">
        <f t="shared" si="83"/>
        <v>#NAME?</v>
      </c>
      <c r="P224" s="7" t="e">
        <f t="shared" si="83"/>
        <v>#NAME?</v>
      </c>
      <c r="Q224" s="7" t="e">
        <f t="shared" si="83"/>
        <v>#NAME?</v>
      </c>
      <c r="R224" s="7" t="e">
        <f t="shared" si="83"/>
        <v>#NAME?</v>
      </c>
      <c r="S224" s="7" t="e">
        <f t="shared" si="83"/>
        <v>#NAME?</v>
      </c>
      <c r="U224" s="7" t="e">
        <f t="shared" si="83"/>
        <v>#NAME?</v>
      </c>
      <c r="V224" s="7" t="e">
        <f t="shared" si="83"/>
        <v>#NAME?</v>
      </c>
      <c r="W224" s="7" t="e">
        <f t="shared" si="83"/>
        <v>#NAME?</v>
      </c>
      <c r="X224" s="7" t="e">
        <f t="shared" si="83"/>
        <v>#NAME?</v>
      </c>
      <c r="Y224" s="7" t="e">
        <f t="shared" si="83"/>
        <v>#NAME?</v>
      </c>
      <c r="Z224" s="7" t="e">
        <f t="shared" si="83"/>
        <v>#NAME?</v>
      </c>
      <c r="AA224" s="7" t="e">
        <f t="shared" si="83"/>
        <v>#NAME?</v>
      </c>
      <c r="AB224" s="7" t="e">
        <f t="shared" si="83"/>
        <v>#NAME?</v>
      </c>
      <c r="AC224" s="7" t="e">
        <f t="shared" si="83"/>
        <v>#NAME?</v>
      </c>
      <c r="AD224" s="7" t="e">
        <f t="shared" si="83"/>
        <v>#NAME?</v>
      </c>
      <c r="AE224" s="7" t="e">
        <f t="shared" si="83"/>
        <v>#NAME?</v>
      </c>
      <c r="AF224" s="7" t="e">
        <f t="shared" si="83"/>
        <v>#NAME?</v>
      </c>
      <c r="AG224" s="7" t="e">
        <f t="shared" si="83"/>
        <v>#NAME?</v>
      </c>
      <c r="AH224" s="7" t="e">
        <f t="shared" si="73"/>
        <v>#NAME?</v>
      </c>
      <c r="AI224" s="7" t="e">
        <f t="shared" si="50"/>
        <v>#NAME?</v>
      </c>
      <c r="AJ224" s="8" t="e">
        <f t="shared" si="74"/>
        <v>#NAME?</v>
      </c>
      <c r="AK224" s="7" t="e">
        <f t="shared" si="75"/>
        <v>#NAME?</v>
      </c>
    </row>
    <row r="225" spans="1:48" s="7" customFormat="1">
      <c r="A225" s="7">
        <f t="shared" si="71"/>
        <v>14</v>
      </c>
      <c r="B225" s="7" t="e">
        <f t="shared" ref="B225:AG225" si="84">B$207*$A192+B$208</f>
        <v>#NAME?</v>
      </c>
      <c r="C225" s="7" t="e">
        <f t="shared" si="84"/>
        <v>#NAME?</v>
      </c>
      <c r="D225" s="7" t="e">
        <f t="shared" si="84"/>
        <v>#NAME?</v>
      </c>
      <c r="E225" s="7" t="e">
        <f t="shared" si="84"/>
        <v>#NAME?</v>
      </c>
      <c r="F225" s="7" t="e">
        <f t="shared" si="84"/>
        <v>#NAME?</v>
      </c>
      <c r="G225" s="7" t="e">
        <f t="shared" si="84"/>
        <v>#NAME?</v>
      </c>
      <c r="H225" s="7" t="e">
        <f t="shared" si="84"/>
        <v>#NAME?</v>
      </c>
      <c r="I225" s="7" t="e">
        <f t="shared" si="84"/>
        <v>#NAME?</v>
      </c>
      <c r="J225" s="7" t="e">
        <f t="shared" si="84"/>
        <v>#NAME?</v>
      </c>
      <c r="K225" s="7" t="e">
        <f t="shared" si="84"/>
        <v>#NAME?</v>
      </c>
      <c r="L225" s="7" t="e">
        <f t="shared" si="84"/>
        <v>#NAME?</v>
      </c>
      <c r="M225" s="7" t="e">
        <f t="shared" si="84"/>
        <v>#NAME?</v>
      </c>
      <c r="N225" s="7" t="e">
        <f t="shared" si="84"/>
        <v>#NAME?</v>
      </c>
      <c r="O225" s="7" t="e">
        <f t="shared" si="84"/>
        <v>#NAME?</v>
      </c>
      <c r="P225" s="7" t="e">
        <f t="shared" si="84"/>
        <v>#NAME?</v>
      </c>
      <c r="Q225" s="7" t="e">
        <f t="shared" si="84"/>
        <v>#NAME?</v>
      </c>
      <c r="R225" s="7" t="e">
        <f t="shared" si="84"/>
        <v>#NAME?</v>
      </c>
      <c r="S225" s="7" t="e">
        <f t="shared" si="84"/>
        <v>#NAME?</v>
      </c>
      <c r="U225" s="7" t="e">
        <f t="shared" si="84"/>
        <v>#NAME?</v>
      </c>
      <c r="V225" s="7" t="e">
        <f t="shared" si="84"/>
        <v>#NAME?</v>
      </c>
      <c r="W225" s="7" t="e">
        <f t="shared" si="84"/>
        <v>#NAME?</v>
      </c>
      <c r="X225" s="7" t="e">
        <f t="shared" si="84"/>
        <v>#NAME?</v>
      </c>
      <c r="Y225" s="7" t="e">
        <f t="shared" si="84"/>
        <v>#NAME?</v>
      </c>
      <c r="Z225" s="7" t="e">
        <f t="shared" si="84"/>
        <v>#NAME?</v>
      </c>
      <c r="AA225" s="7" t="e">
        <f t="shared" si="84"/>
        <v>#NAME?</v>
      </c>
      <c r="AB225" s="7" t="e">
        <f t="shared" si="84"/>
        <v>#NAME?</v>
      </c>
      <c r="AC225" s="7" t="e">
        <f t="shared" si="84"/>
        <v>#NAME?</v>
      </c>
      <c r="AD225" s="7" t="e">
        <f t="shared" si="84"/>
        <v>#NAME?</v>
      </c>
      <c r="AE225" s="7" t="e">
        <f t="shared" si="84"/>
        <v>#NAME?</v>
      </c>
      <c r="AF225" s="7" t="e">
        <f t="shared" si="84"/>
        <v>#NAME?</v>
      </c>
      <c r="AG225" s="7" t="e">
        <f t="shared" si="84"/>
        <v>#NAME?</v>
      </c>
      <c r="AH225" s="7" t="e">
        <f t="shared" si="73"/>
        <v>#NAME?</v>
      </c>
      <c r="AI225" s="7" t="e">
        <f t="shared" si="50"/>
        <v>#NAME?</v>
      </c>
      <c r="AJ225" s="8" t="e">
        <f t="shared" si="74"/>
        <v>#NAME?</v>
      </c>
      <c r="AK225" s="7" t="e">
        <f t="shared" si="75"/>
        <v>#NAME?</v>
      </c>
    </row>
    <row r="226" spans="1:48">
      <c r="A226" s="7">
        <f t="shared" ref="A226:A227" si="85">A193</f>
        <v>15</v>
      </c>
      <c r="B226" s="7" t="e">
        <f>B$207*$A193+B$208</f>
        <v>#NAME?</v>
      </c>
      <c r="C226" s="7" t="e">
        <f t="shared" ref="C226:AG226" si="86">C$207*$A193+C$208</f>
        <v>#NAME?</v>
      </c>
      <c r="D226" s="7" t="e">
        <f t="shared" si="86"/>
        <v>#NAME?</v>
      </c>
      <c r="E226" s="7" t="e">
        <f t="shared" si="86"/>
        <v>#NAME?</v>
      </c>
      <c r="F226" s="7" t="e">
        <f t="shared" si="86"/>
        <v>#NAME?</v>
      </c>
      <c r="G226" s="7" t="e">
        <f t="shared" si="86"/>
        <v>#NAME?</v>
      </c>
      <c r="H226" s="7" t="e">
        <f t="shared" si="86"/>
        <v>#NAME?</v>
      </c>
      <c r="I226" s="7" t="e">
        <f t="shared" si="86"/>
        <v>#NAME?</v>
      </c>
      <c r="J226" s="7" t="e">
        <f t="shared" si="86"/>
        <v>#NAME?</v>
      </c>
      <c r="K226" s="7" t="e">
        <f t="shared" si="86"/>
        <v>#NAME?</v>
      </c>
      <c r="L226" s="7" t="e">
        <f t="shared" si="86"/>
        <v>#NAME?</v>
      </c>
      <c r="M226" s="7" t="e">
        <f t="shared" si="86"/>
        <v>#NAME?</v>
      </c>
      <c r="N226" s="7" t="e">
        <f t="shared" si="86"/>
        <v>#NAME?</v>
      </c>
      <c r="O226" s="7" t="e">
        <f t="shared" si="86"/>
        <v>#NAME?</v>
      </c>
      <c r="P226" s="7" t="e">
        <f t="shared" si="86"/>
        <v>#NAME?</v>
      </c>
      <c r="Q226" s="7" t="e">
        <f t="shared" si="86"/>
        <v>#NAME?</v>
      </c>
      <c r="R226" s="7" t="e">
        <f t="shared" si="86"/>
        <v>#NAME?</v>
      </c>
      <c r="S226" s="7" t="e">
        <f t="shared" si="86"/>
        <v>#NAME?</v>
      </c>
      <c r="T226" s="7"/>
      <c r="U226" s="7" t="e">
        <f t="shared" si="86"/>
        <v>#NAME?</v>
      </c>
      <c r="V226" s="7" t="e">
        <f t="shared" si="86"/>
        <v>#NAME?</v>
      </c>
      <c r="W226" s="7" t="e">
        <f t="shared" si="86"/>
        <v>#NAME?</v>
      </c>
      <c r="X226" s="7" t="e">
        <f t="shared" si="86"/>
        <v>#NAME?</v>
      </c>
      <c r="Y226" s="7" t="e">
        <f t="shared" si="86"/>
        <v>#NAME?</v>
      </c>
      <c r="Z226" s="7" t="e">
        <f t="shared" si="86"/>
        <v>#NAME?</v>
      </c>
      <c r="AA226" s="7" t="e">
        <f t="shared" si="86"/>
        <v>#NAME?</v>
      </c>
      <c r="AB226" s="7" t="e">
        <f t="shared" si="86"/>
        <v>#NAME?</v>
      </c>
      <c r="AC226" s="7" t="e">
        <f t="shared" si="86"/>
        <v>#NAME?</v>
      </c>
      <c r="AD226" s="7" t="e">
        <f t="shared" si="86"/>
        <v>#NAME?</v>
      </c>
      <c r="AE226" s="7" t="e">
        <f t="shared" si="86"/>
        <v>#NAME?</v>
      </c>
      <c r="AF226" s="7" t="e">
        <f t="shared" si="86"/>
        <v>#NAME?</v>
      </c>
      <c r="AG226" s="7" t="e">
        <f t="shared" si="86"/>
        <v>#NAME?</v>
      </c>
      <c r="AH226" s="7" t="e">
        <f t="shared" ref="AH226:AH227" si="87">STDEV(B226:AG226)</f>
        <v>#NAME?</v>
      </c>
      <c r="AI226" s="7" t="e">
        <f t="shared" si="50"/>
        <v>#NAME?</v>
      </c>
      <c r="AJ226" s="8" t="e">
        <f t="shared" ref="AJ226:AJ227" si="88">AVERAGE(B226:AG226)</f>
        <v>#NAME?</v>
      </c>
      <c r="AK226" s="7" t="e">
        <f t="shared" ref="AK226:AK227" si="89">AJ226+1.5*AH226</f>
        <v>#NAME?</v>
      </c>
      <c r="AM226" s="7"/>
      <c r="AN226" s="7"/>
      <c r="AO226" s="7"/>
      <c r="AP226" s="7"/>
      <c r="AQ226" s="7"/>
      <c r="AR226" s="7"/>
      <c r="AS226" s="7"/>
      <c r="AT226" s="7"/>
      <c r="AU226" s="7"/>
      <c r="AV226" s="7"/>
    </row>
    <row r="227" spans="1:48">
      <c r="A227" s="7">
        <f t="shared" si="85"/>
        <v>16</v>
      </c>
      <c r="B227" s="7" t="e">
        <f t="shared" ref="B227:AG235" si="90">B$207*$A194+B$208</f>
        <v>#NAME?</v>
      </c>
      <c r="C227" s="7" t="e">
        <f t="shared" si="90"/>
        <v>#NAME?</v>
      </c>
      <c r="D227" s="7" t="e">
        <f t="shared" si="90"/>
        <v>#NAME?</v>
      </c>
      <c r="E227" s="7" t="e">
        <f t="shared" si="90"/>
        <v>#NAME?</v>
      </c>
      <c r="F227" s="7" t="e">
        <f t="shared" si="90"/>
        <v>#NAME?</v>
      </c>
      <c r="G227" s="7" t="e">
        <f t="shared" si="90"/>
        <v>#NAME?</v>
      </c>
      <c r="H227" s="7" t="e">
        <f t="shared" si="90"/>
        <v>#NAME?</v>
      </c>
      <c r="I227" s="7" t="e">
        <f t="shared" si="90"/>
        <v>#NAME?</v>
      </c>
      <c r="J227" s="7" t="e">
        <f t="shared" si="90"/>
        <v>#NAME?</v>
      </c>
      <c r="K227" s="7" t="e">
        <f t="shared" si="90"/>
        <v>#NAME?</v>
      </c>
      <c r="L227" s="7" t="e">
        <f t="shared" si="90"/>
        <v>#NAME?</v>
      </c>
      <c r="M227" s="7" t="e">
        <f t="shared" si="90"/>
        <v>#NAME?</v>
      </c>
      <c r="N227" s="7" t="e">
        <f t="shared" si="90"/>
        <v>#NAME?</v>
      </c>
      <c r="O227" s="7" t="e">
        <f t="shared" si="90"/>
        <v>#NAME?</v>
      </c>
      <c r="P227" s="7" t="e">
        <f t="shared" si="90"/>
        <v>#NAME?</v>
      </c>
      <c r="Q227" s="7" t="e">
        <f t="shared" si="90"/>
        <v>#NAME?</v>
      </c>
      <c r="R227" s="7" t="e">
        <f t="shared" si="90"/>
        <v>#NAME?</v>
      </c>
      <c r="S227" s="7" t="e">
        <f t="shared" si="90"/>
        <v>#NAME?</v>
      </c>
      <c r="T227" s="7"/>
      <c r="U227" s="7" t="e">
        <f t="shared" si="90"/>
        <v>#NAME?</v>
      </c>
      <c r="V227" s="7" t="e">
        <f t="shared" si="90"/>
        <v>#NAME?</v>
      </c>
      <c r="W227" s="7" t="e">
        <f t="shared" si="90"/>
        <v>#NAME?</v>
      </c>
      <c r="X227" s="7" t="e">
        <f t="shared" si="90"/>
        <v>#NAME?</v>
      </c>
      <c r="Y227" s="7" t="e">
        <f t="shared" si="90"/>
        <v>#NAME?</v>
      </c>
      <c r="Z227" s="7" t="e">
        <f t="shared" si="90"/>
        <v>#NAME?</v>
      </c>
      <c r="AA227" s="7" t="e">
        <f t="shared" si="90"/>
        <v>#NAME?</v>
      </c>
      <c r="AB227" s="7" t="e">
        <f t="shared" si="90"/>
        <v>#NAME?</v>
      </c>
      <c r="AC227" s="7" t="e">
        <f t="shared" si="90"/>
        <v>#NAME?</v>
      </c>
      <c r="AD227" s="7" t="e">
        <f t="shared" si="90"/>
        <v>#NAME?</v>
      </c>
      <c r="AE227" s="7" t="e">
        <f t="shared" si="90"/>
        <v>#NAME?</v>
      </c>
      <c r="AF227" s="7" t="e">
        <f t="shared" si="90"/>
        <v>#NAME?</v>
      </c>
      <c r="AG227" s="7" t="e">
        <f t="shared" si="90"/>
        <v>#NAME?</v>
      </c>
      <c r="AH227" s="7" t="e">
        <f t="shared" si="87"/>
        <v>#NAME?</v>
      </c>
      <c r="AI227" s="7" t="e">
        <f t="shared" si="50"/>
        <v>#NAME?</v>
      </c>
      <c r="AJ227" s="8" t="e">
        <f t="shared" si="88"/>
        <v>#NAME?</v>
      </c>
      <c r="AK227" s="7" t="e">
        <f t="shared" si="89"/>
        <v>#NAME?</v>
      </c>
      <c r="AM227" s="7"/>
      <c r="AN227" s="7"/>
      <c r="AO227" s="7"/>
      <c r="AP227" s="7"/>
      <c r="AQ227" s="7"/>
      <c r="AR227" s="7"/>
      <c r="AS227" s="7"/>
      <c r="AT227" s="7"/>
      <c r="AU227" s="7"/>
      <c r="AV227" s="7"/>
    </row>
    <row r="228" spans="1:48">
      <c r="A228" s="7">
        <f>A195</f>
        <v>17</v>
      </c>
      <c r="B228" s="7" t="e">
        <f t="shared" ref="B228:B235" si="91">B$207*$A195+B$208</f>
        <v>#NAME?</v>
      </c>
      <c r="C228" s="7" t="e">
        <f t="shared" si="90"/>
        <v>#NAME?</v>
      </c>
      <c r="D228" s="7" t="e">
        <f t="shared" si="90"/>
        <v>#NAME?</v>
      </c>
      <c r="E228" s="7" t="e">
        <f t="shared" si="90"/>
        <v>#NAME?</v>
      </c>
      <c r="F228" s="7" t="e">
        <f t="shared" si="90"/>
        <v>#NAME?</v>
      </c>
      <c r="G228" s="7" t="e">
        <f t="shared" si="90"/>
        <v>#NAME?</v>
      </c>
      <c r="H228" s="7" t="e">
        <f t="shared" si="90"/>
        <v>#NAME?</v>
      </c>
      <c r="I228" s="7" t="e">
        <f t="shared" si="90"/>
        <v>#NAME?</v>
      </c>
      <c r="J228" s="7" t="e">
        <f t="shared" si="90"/>
        <v>#NAME?</v>
      </c>
      <c r="K228" s="7" t="e">
        <f t="shared" si="90"/>
        <v>#NAME?</v>
      </c>
      <c r="L228" s="7" t="e">
        <f t="shared" si="90"/>
        <v>#NAME?</v>
      </c>
      <c r="M228" s="7" t="e">
        <f t="shared" si="90"/>
        <v>#NAME?</v>
      </c>
      <c r="N228" s="7" t="e">
        <f t="shared" si="90"/>
        <v>#NAME?</v>
      </c>
      <c r="O228" s="7" t="e">
        <f t="shared" si="90"/>
        <v>#NAME?</v>
      </c>
      <c r="P228" s="7" t="e">
        <f t="shared" si="90"/>
        <v>#NAME?</v>
      </c>
      <c r="Q228" s="7" t="e">
        <f t="shared" si="90"/>
        <v>#NAME?</v>
      </c>
      <c r="R228" s="7" t="e">
        <f t="shared" si="90"/>
        <v>#NAME?</v>
      </c>
      <c r="S228" s="7" t="e">
        <f t="shared" si="90"/>
        <v>#NAME?</v>
      </c>
      <c r="T228" s="7"/>
      <c r="U228" s="7" t="e">
        <f t="shared" si="90"/>
        <v>#NAME?</v>
      </c>
      <c r="V228" s="7" t="e">
        <f t="shared" si="90"/>
        <v>#NAME?</v>
      </c>
      <c r="W228" s="7" t="e">
        <f t="shared" si="90"/>
        <v>#NAME?</v>
      </c>
      <c r="X228" s="7" t="e">
        <f t="shared" si="90"/>
        <v>#NAME?</v>
      </c>
      <c r="Y228" s="7" t="e">
        <f t="shared" si="90"/>
        <v>#NAME?</v>
      </c>
      <c r="Z228" s="7" t="e">
        <f t="shared" si="90"/>
        <v>#NAME?</v>
      </c>
      <c r="AA228" s="7" t="e">
        <f t="shared" si="90"/>
        <v>#NAME?</v>
      </c>
      <c r="AB228" s="7" t="e">
        <f t="shared" si="90"/>
        <v>#NAME?</v>
      </c>
      <c r="AC228" s="7" t="e">
        <f t="shared" si="90"/>
        <v>#NAME?</v>
      </c>
      <c r="AD228" s="7" t="e">
        <f t="shared" si="90"/>
        <v>#NAME?</v>
      </c>
      <c r="AE228" s="7" t="e">
        <f t="shared" si="90"/>
        <v>#NAME?</v>
      </c>
      <c r="AF228" s="7" t="e">
        <f t="shared" si="90"/>
        <v>#NAME?</v>
      </c>
      <c r="AG228" s="7" t="e">
        <f t="shared" si="90"/>
        <v>#NAME?</v>
      </c>
      <c r="AH228" s="7" t="e">
        <f t="shared" si="49"/>
        <v>#NAME?</v>
      </c>
      <c r="AI228" s="7" t="e">
        <f t="shared" si="50"/>
        <v>#NAME?</v>
      </c>
      <c r="AJ228" s="8" t="e">
        <f t="shared" si="51"/>
        <v>#NAME?</v>
      </c>
      <c r="AK228" s="7" t="e">
        <f t="shared" si="52"/>
        <v>#NAME?</v>
      </c>
      <c r="AM228" s="7"/>
      <c r="AN228" s="7"/>
      <c r="AO228" s="7"/>
    </row>
    <row r="229" spans="1:48">
      <c r="A229" s="7">
        <f t="shared" ref="A229:A234" si="92">A196</f>
        <v>18</v>
      </c>
      <c r="B229" s="7" t="e">
        <f t="shared" si="91"/>
        <v>#NAME?</v>
      </c>
      <c r="C229" s="7" t="e">
        <f t="shared" si="90"/>
        <v>#NAME?</v>
      </c>
      <c r="D229" s="7" t="e">
        <f t="shared" si="90"/>
        <v>#NAME?</v>
      </c>
      <c r="E229" s="7" t="e">
        <f t="shared" si="90"/>
        <v>#NAME?</v>
      </c>
      <c r="F229" s="7" t="e">
        <f t="shared" si="90"/>
        <v>#NAME?</v>
      </c>
      <c r="G229" s="7" t="e">
        <f t="shared" si="90"/>
        <v>#NAME?</v>
      </c>
      <c r="H229" s="7" t="e">
        <f t="shared" si="90"/>
        <v>#NAME?</v>
      </c>
      <c r="I229" s="7" t="e">
        <f t="shared" si="90"/>
        <v>#NAME?</v>
      </c>
      <c r="J229" s="7" t="e">
        <f t="shared" si="90"/>
        <v>#NAME?</v>
      </c>
      <c r="K229" s="7" t="e">
        <f t="shared" si="90"/>
        <v>#NAME?</v>
      </c>
      <c r="L229" s="7" t="e">
        <f t="shared" si="90"/>
        <v>#NAME?</v>
      </c>
      <c r="M229" s="7" t="e">
        <f t="shared" si="90"/>
        <v>#NAME?</v>
      </c>
      <c r="N229" s="7" t="e">
        <f t="shared" si="90"/>
        <v>#NAME?</v>
      </c>
      <c r="O229" s="7" t="e">
        <f t="shared" si="90"/>
        <v>#NAME?</v>
      </c>
      <c r="P229" s="7" t="e">
        <f t="shared" si="90"/>
        <v>#NAME?</v>
      </c>
      <c r="Q229" s="7" t="e">
        <f t="shared" si="90"/>
        <v>#NAME?</v>
      </c>
      <c r="R229" s="7" t="e">
        <f t="shared" si="90"/>
        <v>#NAME?</v>
      </c>
      <c r="S229" s="7" t="e">
        <f t="shared" si="90"/>
        <v>#NAME?</v>
      </c>
      <c r="T229" s="7"/>
      <c r="U229" s="7" t="e">
        <f t="shared" si="90"/>
        <v>#NAME?</v>
      </c>
      <c r="V229" s="7" t="e">
        <f t="shared" si="90"/>
        <v>#NAME?</v>
      </c>
      <c r="W229" s="7" t="e">
        <f t="shared" si="90"/>
        <v>#NAME?</v>
      </c>
      <c r="X229" s="7" t="e">
        <f t="shared" si="90"/>
        <v>#NAME?</v>
      </c>
      <c r="Y229" s="7" t="e">
        <f t="shared" si="90"/>
        <v>#NAME?</v>
      </c>
      <c r="Z229" s="7" t="e">
        <f t="shared" si="90"/>
        <v>#NAME?</v>
      </c>
      <c r="AA229" s="7" t="e">
        <f t="shared" si="90"/>
        <v>#NAME?</v>
      </c>
      <c r="AB229" s="7" t="e">
        <f t="shared" si="90"/>
        <v>#NAME?</v>
      </c>
      <c r="AC229" s="7" t="e">
        <f t="shared" si="90"/>
        <v>#NAME?</v>
      </c>
      <c r="AD229" s="7" t="e">
        <f t="shared" si="90"/>
        <v>#NAME?</v>
      </c>
      <c r="AE229" s="7" t="e">
        <f t="shared" si="90"/>
        <v>#NAME?</v>
      </c>
      <c r="AF229" s="7" t="e">
        <f t="shared" si="90"/>
        <v>#NAME?</v>
      </c>
      <c r="AG229" s="7" t="e">
        <f t="shared" si="90"/>
        <v>#NAME?</v>
      </c>
      <c r="AH229" s="7" t="e">
        <f t="shared" si="49"/>
        <v>#NAME?</v>
      </c>
      <c r="AI229" s="7" t="e">
        <f t="shared" si="50"/>
        <v>#NAME?</v>
      </c>
      <c r="AJ229" s="8" t="e">
        <f t="shared" si="51"/>
        <v>#NAME?</v>
      </c>
      <c r="AK229" s="7" t="e">
        <f t="shared" si="52"/>
        <v>#NAME?</v>
      </c>
      <c r="AM229" s="7"/>
      <c r="AN229" s="7"/>
      <c r="AO229" s="7"/>
    </row>
    <row r="230" spans="1:48">
      <c r="A230" s="7">
        <f t="shared" si="92"/>
        <v>19</v>
      </c>
      <c r="B230" s="7" t="e">
        <f t="shared" si="91"/>
        <v>#NAME?</v>
      </c>
      <c r="C230" s="7" t="e">
        <f t="shared" si="90"/>
        <v>#NAME?</v>
      </c>
      <c r="D230" s="7" t="e">
        <f t="shared" si="90"/>
        <v>#NAME?</v>
      </c>
      <c r="E230" s="7" t="e">
        <f t="shared" si="90"/>
        <v>#NAME?</v>
      </c>
      <c r="F230" s="7" t="e">
        <f t="shared" si="90"/>
        <v>#NAME?</v>
      </c>
      <c r="G230" s="7" t="e">
        <f t="shared" si="90"/>
        <v>#NAME?</v>
      </c>
      <c r="H230" s="7" t="e">
        <f t="shared" si="90"/>
        <v>#NAME?</v>
      </c>
      <c r="I230" s="7" t="e">
        <f t="shared" si="90"/>
        <v>#NAME?</v>
      </c>
      <c r="J230" s="7" t="e">
        <f t="shared" si="90"/>
        <v>#NAME?</v>
      </c>
      <c r="K230" s="7" t="e">
        <f t="shared" si="90"/>
        <v>#NAME?</v>
      </c>
      <c r="L230" s="7" t="e">
        <f t="shared" si="90"/>
        <v>#NAME?</v>
      </c>
      <c r="M230" s="7" t="e">
        <f t="shared" si="90"/>
        <v>#NAME?</v>
      </c>
      <c r="N230" s="7" t="e">
        <f t="shared" si="90"/>
        <v>#NAME?</v>
      </c>
      <c r="O230" s="7" t="e">
        <f t="shared" si="90"/>
        <v>#NAME?</v>
      </c>
      <c r="P230" s="7" t="e">
        <f t="shared" si="90"/>
        <v>#NAME?</v>
      </c>
      <c r="Q230" s="7" t="e">
        <f t="shared" si="90"/>
        <v>#NAME?</v>
      </c>
      <c r="R230" s="7" t="e">
        <f t="shared" si="90"/>
        <v>#NAME?</v>
      </c>
      <c r="S230" s="7" t="e">
        <f t="shared" si="90"/>
        <v>#NAME?</v>
      </c>
      <c r="T230" s="7"/>
      <c r="U230" s="7" t="e">
        <f t="shared" si="90"/>
        <v>#NAME?</v>
      </c>
      <c r="V230" s="7" t="e">
        <f t="shared" si="90"/>
        <v>#NAME?</v>
      </c>
      <c r="W230" s="7" t="e">
        <f t="shared" si="90"/>
        <v>#NAME?</v>
      </c>
      <c r="X230" s="7" t="e">
        <f t="shared" si="90"/>
        <v>#NAME?</v>
      </c>
      <c r="Y230" s="7" t="e">
        <f t="shared" si="90"/>
        <v>#NAME?</v>
      </c>
      <c r="Z230" s="7" t="e">
        <f t="shared" si="90"/>
        <v>#NAME?</v>
      </c>
      <c r="AA230" s="7" t="e">
        <f t="shared" si="90"/>
        <v>#NAME?</v>
      </c>
      <c r="AB230" s="7" t="e">
        <f t="shared" si="90"/>
        <v>#NAME?</v>
      </c>
      <c r="AC230" s="7" t="e">
        <f t="shared" si="90"/>
        <v>#NAME?</v>
      </c>
      <c r="AD230" s="7" t="e">
        <f t="shared" si="90"/>
        <v>#NAME?</v>
      </c>
      <c r="AE230" s="7" t="e">
        <f t="shared" si="90"/>
        <v>#NAME?</v>
      </c>
      <c r="AF230" s="7" t="e">
        <f t="shared" si="90"/>
        <v>#NAME?</v>
      </c>
      <c r="AG230" s="7" t="e">
        <f t="shared" si="90"/>
        <v>#NAME?</v>
      </c>
      <c r="AH230" s="7" t="e">
        <f t="shared" si="49"/>
        <v>#NAME?</v>
      </c>
      <c r="AI230" s="7" t="e">
        <f t="shared" si="50"/>
        <v>#NAME?</v>
      </c>
      <c r="AJ230" s="8" t="e">
        <f t="shared" si="51"/>
        <v>#NAME?</v>
      </c>
      <c r="AK230" s="7" t="e">
        <f t="shared" si="52"/>
        <v>#NAME?</v>
      </c>
      <c r="AM230" s="7"/>
      <c r="AN230" s="7"/>
      <c r="AO230" s="7"/>
    </row>
    <row r="231" spans="1:48">
      <c r="A231" s="7">
        <f t="shared" si="92"/>
        <v>20</v>
      </c>
      <c r="B231" s="7" t="e">
        <f t="shared" si="91"/>
        <v>#NAME?</v>
      </c>
      <c r="C231" s="7" t="e">
        <f t="shared" si="90"/>
        <v>#NAME?</v>
      </c>
      <c r="D231" s="7" t="e">
        <f t="shared" si="90"/>
        <v>#NAME?</v>
      </c>
      <c r="E231" s="7" t="e">
        <f t="shared" si="90"/>
        <v>#NAME?</v>
      </c>
      <c r="F231" s="7" t="e">
        <f t="shared" si="90"/>
        <v>#NAME?</v>
      </c>
      <c r="G231" s="7" t="e">
        <f t="shared" si="90"/>
        <v>#NAME?</v>
      </c>
      <c r="H231" s="7" t="e">
        <f t="shared" si="90"/>
        <v>#NAME?</v>
      </c>
      <c r="I231" s="7" t="e">
        <f t="shared" si="90"/>
        <v>#NAME?</v>
      </c>
      <c r="J231" s="7" t="e">
        <f t="shared" si="90"/>
        <v>#NAME?</v>
      </c>
      <c r="K231" s="7" t="e">
        <f t="shared" si="90"/>
        <v>#NAME?</v>
      </c>
      <c r="L231" s="7" t="e">
        <f t="shared" si="90"/>
        <v>#NAME?</v>
      </c>
      <c r="M231" s="7" t="e">
        <f t="shared" si="90"/>
        <v>#NAME?</v>
      </c>
      <c r="N231" s="7" t="e">
        <f t="shared" si="90"/>
        <v>#NAME?</v>
      </c>
      <c r="O231" s="7" t="e">
        <f t="shared" si="90"/>
        <v>#NAME?</v>
      </c>
      <c r="P231" s="7" t="e">
        <f t="shared" si="90"/>
        <v>#NAME?</v>
      </c>
      <c r="Q231" s="7" t="e">
        <f t="shared" si="90"/>
        <v>#NAME?</v>
      </c>
      <c r="R231" s="7" t="e">
        <f t="shared" si="90"/>
        <v>#NAME?</v>
      </c>
      <c r="S231" s="7" t="e">
        <f t="shared" si="90"/>
        <v>#NAME?</v>
      </c>
      <c r="T231" s="7"/>
      <c r="U231" s="7" t="e">
        <f t="shared" si="90"/>
        <v>#NAME?</v>
      </c>
      <c r="V231" s="7" t="e">
        <f t="shared" si="90"/>
        <v>#NAME?</v>
      </c>
      <c r="W231" s="7" t="e">
        <f t="shared" si="90"/>
        <v>#NAME?</v>
      </c>
      <c r="X231" s="7" t="e">
        <f t="shared" si="90"/>
        <v>#NAME?</v>
      </c>
      <c r="Y231" s="7" t="e">
        <f t="shared" si="90"/>
        <v>#NAME?</v>
      </c>
      <c r="Z231" s="7" t="e">
        <f t="shared" si="90"/>
        <v>#NAME?</v>
      </c>
      <c r="AA231" s="7" t="e">
        <f t="shared" si="90"/>
        <v>#NAME?</v>
      </c>
      <c r="AB231" s="7" t="e">
        <f t="shared" si="90"/>
        <v>#NAME?</v>
      </c>
      <c r="AC231" s="7" t="e">
        <f t="shared" si="90"/>
        <v>#NAME?</v>
      </c>
      <c r="AD231" s="7" t="e">
        <f t="shared" si="90"/>
        <v>#NAME?</v>
      </c>
      <c r="AE231" s="7" t="e">
        <f t="shared" si="90"/>
        <v>#NAME?</v>
      </c>
      <c r="AF231" s="7" t="e">
        <f t="shared" si="90"/>
        <v>#NAME?</v>
      </c>
      <c r="AG231" s="7" t="e">
        <f t="shared" si="90"/>
        <v>#NAME?</v>
      </c>
      <c r="AH231" s="7" t="e">
        <f t="shared" si="49"/>
        <v>#NAME?</v>
      </c>
      <c r="AI231" s="7" t="e">
        <f t="shared" si="50"/>
        <v>#NAME?</v>
      </c>
      <c r="AJ231" s="8" t="e">
        <f t="shared" si="51"/>
        <v>#NAME?</v>
      </c>
      <c r="AK231" s="7" t="e">
        <f t="shared" si="52"/>
        <v>#NAME?</v>
      </c>
      <c r="AM231" s="7"/>
      <c r="AN231" s="7"/>
      <c r="AO231" s="7"/>
    </row>
    <row r="232" spans="1:48">
      <c r="A232" s="7">
        <f t="shared" si="92"/>
        <v>21</v>
      </c>
      <c r="B232" s="7" t="e">
        <f t="shared" si="91"/>
        <v>#NAME?</v>
      </c>
      <c r="C232" s="7" t="e">
        <f t="shared" si="90"/>
        <v>#NAME?</v>
      </c>
      <c r="D232" s="7" t="e">
        <f t="shared" si="90"/>
        <v>#NAME?</v>
      </c>
      <c r="E232" s="7" t="e">
        <f t="shared" si="90"/>
        <v>#NAME?</v>
      </c>
      <c r="F232" s="7" t="e">
        <f t="shared" si="90"/>
        <v>#NAME?</v>
      </c>
      <c r="G232" s="7" t="e">
        <f t="shared" si="90"/>
        <v>#NAME?</v>
      </c>
      <c r="H232" s="7" t="e">
        <f t="shared" si="90"/>
        <v>#NAME?</v>
      </c>
      <c r="I232" s="7" t="e">
        <f t="shared" si="90"/>
        <v>#NAME?</v>
      </c>
      <c r="J232" s="7" t="e">
        <f t="shared" si="90"/>
        <v>#NAME?</v>
      </c>
      <c r="K232" s="7" t="e">
        <f t="shared" si="90"/>
        <v>#NAME?</v>
      </c>
      <c r="L232" s="7" t="e">
        <f t="shared" si="90"/>
        <v>#NAME?</v>
      </c>
      <c r="M232" s="7" t="e">
        <f t="shared" si="90"/>
        <v>#NAME?</v>
      </c>
      <c r="N232" s="7" t="e">
        <f t="shared" si="90"/>
        <v>#NAME?</v>
      </c>
      <c r="O232" s="7" t="e">
        <f t="shared" si="90"/>
        <v>#NAME?</v>
      </c>
      <c r="P232" s="7" t="e">
        <f t="shared" si="90"/>
        <v>#NAME?</v>
      </c>
      <c r="Q232" s="7" t="e">
        <f t="shared" si="90"/>
        <v>#NAME?</v>
      </c>
      <c r="R232" s="7" t="e">
        <f t="shared" si="90"/>
        <v>#NAME?</v>
      </c>
      <c r="S232" s="7" t="e">
        <f t="shared" si="90"/>
        <v>#NAME?</v>
      </c>
      <c r="T232" s="7"/>
      <c r="U232" s="7" t="e">
        <f t="shared" si="90"/>
        <v>#NAME?</v>
      </c>
      <c r="V232" s="7" t="e">
        <f t="shared" si="90"/>
        <v>#NAME?</v>
      </c>
      <c r="W232" s="7" t="e">
        <f t="shared" si="90"/>
        <v>#NAME?</v>
      </c>
      <c r="X232" s="7" t="e">
        <f t="shared" si="90"/>
        <v>#NAME?</v>
      </c>
      <c r="Y232" s="7" t="e">
        <f t="shared" si="90"/>
        <v>#NAME?</v>
      </c>
      <c r="Z232" s="7" t="e">
        <f t="shared" si="90"/>
        <v>#NAME?</v>
      </c>
      <c r="AA232" s="7" t="e">
        <f t="shared" si="90"/>
        <v>#NAME?</v>
      </c>
      <c r="AB232" s="7" t="e">
        <f t="shared" si="90"/>
        <v>#NAME?</v>
      </c>
      <c r="AC232" s="7" t="e">
        <f t="shared" si="90"/>
        <v>#NAME?</v>
      </c>
      <c r="AD232" s="7" t="e">
        <f t="shared" si="90"/>
        <v>#NAME?</v>
      </c>
      <c r="AE232" s="7" t="e">
        <f t="shared" si="90"/>
        <v>#NAME?</v>
      </c>
      <c r="AF232" s="7" t="e">
        <f t="shared" si="90"/>
        <v>#NAME?</v>
      </c>
      <c r="AG232" s="7" t="e">
        <f t="shared" si="90"/>
        <v>#NAME?</v>
      </c>
      <c r="AH232" s="7" t="e">
        <f t="shared" si="49"/>
        <v>#NAME?</v>
      </c>
      <c r="AI232" s="7" t="e">
        <f t="shared" si="50"/>
        <v>#NAME?</v>
      </c>
      <c r="AJ232" s="8" t="e">
        <f t="shared" si="51"/>
        <v>#NAME?</v>
      </c>
      <c r="AK232" s="7" t="e">
        <f t="shared" si="52"/>
        <v>#NAME?</v>
      </c>
      <c r="AM232" s="7"/>
      <c r="AN232" s="7"/>
      <c r="AO232" s="7"/>
    </row>
    <row r="233" spans="1:48">
      <c r="A233" s="7">
        <f t="shared" si="92"/>
        <v>22</v>
      </c>
      <c r="B233" s="7" t="e">
        <f t="shared" si="91"/>
        <v>#NAME?</v>
      </c>
      <c r="C233" s="7" t="e">
        <f t="shared" si="90"/>
        <v>#NAME?</v>
      </c>
      <c r="D233" s="7" t="e">
        <f t="shared" si="90"/>
        <v>#NAME?</v>
      </c>
      <c r="E233" s="7" t="e">
        <f t="shared" si="90"/>
        <v>#NAME?</v>
      </c>
      <c r="F233" s="7" t="e">
        <f t="shared" si="90"/>
        <v>#NAME?</v>
      </c>
      <c r="G233" s="7" t="e">
        <f t="shared" si="90"/>
        <v>#NAME?</v>
      </c>
      <c r="H233" s="7" t="e">
        <f t="shared" si="90"/>
        <v>#NAME?</v>
      </c>
      <c r="I233" s="7" t="e">
        <f t="shared" si="90"/>
        <v>#NAME?</v>
      </c>
      <c r="J233" s="7" t="e">
        <f t="shared" si="90"/>
        <v>#NAME?</v>
      </c>
      <c r="K233" s="7" t="e">
        <f t="shared" si="90"/>
        <v>#NAME?</v>
      </c>
      <c r="L233" s="7" t="e">
        <f t="shared" si="90"/>
        <v>#NAME?</v>
      </c>
      <c r="M233" s="7" t="e">
        <f t="shared" si="90"/>
        <v>#NAME?</v>
      </c>
      <c r="N233" s="7" t="e">
        <f t="shared" si="90"/>
        <v>#NAME?</v>
      </c>
      <c r="O233" s="7" t="e">
        <f t="shared" si="90"/>
        <v>#NAME?</v>
      </c>
      <c r="P233" s="7" t="e">
        <f t="shared" si="90"/>
        <v>#NAME?</v>
      </c>
      <c r="Q233" s="7" t="e">
        <f t="shared" si="90"/>
        <v>#NAME?</v>
      </c>
      <c r="R233" s="7" t="e">
        <f t="shared" si="90"/>
        <v>#NAME?</v>
      </c>
      <c r="S233" s="7" t="e">
        <f t="shared" si="90"/>
        <v>#NAME?</v>
      </c>
      <c r="T233" s="7"/>
      <c r="U233" s="7" t="e">
        <f t="shared" si="90"/>
        <v>#NAME?</v>
      </c>
      <c r="V233" s="7" t="e">
        <f t="shared" si="90"/>
        <v>#NAME?</v>
      </c>
      <c r="W233" s="7" t="e">
        <f t="shared" si="90"/>
        <v>#NAME?</v>
      </c>
      <c r="X233" s="7" t="e">
        <f t="shared" si="90"/>
        <v>#NAME?</v>
      </c>
      <c r="Y233" s="7" t="e">
        <f t="shared" si="90"/>
        <v>#NAME?</v>
      </c>
      <c r="Z233" s="7" t="e">
        <f t="shared" si="90"/>
        <v>#NAME?</v>
      </c>
      <c r="AA233" s="7" t="e">
        <f t="shared" si="90"/>
        <v>#NAME?</v>
      </c>
      <c r="AB233" s="7" t="e">
        <f t="shared" si="90"/>
        <v>#NAME?</v>
      </c>
      <c r="AC233" s="7" t="e">
        <f t="shared" si="90"/>
        <v>#NAME?</v>
      </c>
      <c r="AD233" s="7" t="e">
        <f t="shared" si="90"/>
        <v>#NAME?</v>
      </c>
      <c r="AE233" s="7" t="e">
        <f t="shared" si="90"/>
        <v>#NAME?</v>
      </c>
      <c r="AF233" s="7" t="e">
        <f t="shared" si="90"/>
        <v>#NAME?</v>
      </c>
      <c r="AG233" s="7" t="e">
        <f t="shared" si="90"/>
        <v>#NAME?</v>
      </c>
      <c r="AH233" s="7" t="e">
        <f t="shared" si="49"/>
        <v>#NAME?</v>
      </c>
      <c r="AI233" s="7" t="e">
        <f t="shared" si="50"/>
        <v>#NAME?</v>
      </c>
      <c r="AJ233" s="8" t="e">
        <f t="shared" si="51"/>
        <v>#NAME?</v>
      </c>
      <c r="AK233" s="7" t="e">
        <f t="shared" si="52"/>
        <v>#NAME?</v>
      </c>
      <c r="AM233" s="7"/>
      <c r="AN233" s="7"/>
      <c r="AO233" s="7"/>
    </row>
    <row r="234" spans="1:48">
      <c r="A234" s="7">
        <f t="shared" si="92"/>
        <v>23</v>
      </c>
      <c r="B234" s="7" t="e">
        <f t="shared" si="91"/>
        <v>#NAME?</v>
      </c>
      <c r="C234" s="7" t="e">
        <f t="shared" si="90"/>
        <v>#NAME?</v>
      </c>
      <c r="D234" s="7" t="e">
        <f t="shared" si="90"/>
        <v>#NAME?</v>
      </c>
      <c r="E234" s="7" t="e">
        <f t="shared" si="90"/>
        <v>#NAME?</v>
      </c>
      <c r="F234" s="7" t="e">
        <f t="shared" si="90"/>
        <v>#NAME?</v>
      </c>
      <c r="G234" s="7" t="e">
        <f t="shared" si="90"/>
        <v>#NAME?</v>
      </c>
      <c r="H234" s="7" t="e">
        <f t="shared" si="90"/>
        <v>#NAME?</v>
      </c>
      <c r="I234" s="7" t="e">
        <f t="shared" si="90"/>
        <v>#NAME?</v>
      </c>
      <c r="J234" s="7" t="e">
        <f t="shared" si="90"/>
        <v>#NAME?</v>
      </c>
      <c r="K234" s="7" t="e">
        <f t="shared" si="90"/>
        <v>#NAME?</v>
      </c>
      <c r="L234" s="7" t="e">
        <f t="shared" si="90"/>
        <v>#NAME?</v>
      </c>
      <c r="M234" s="7" t="e">
        <f t="shared" si="90"/>
        <v>#NAME?</v>
      </c>
      <c r="N234" s="7" t="e">
        <f t="shared" si="90"/>
        <v>#NAME?</v>
      </c>
      <c r="O234" s="7" t="e">
        <f t="shared" si="90"/>
        <v>#NAME?</v>
      </c>
      <c r="P234" s="7" t="e">
        <f t="shared" si="90"/>
        <v>#NAME?</v>
      </c>
      <c r="Q234" s="7" t="e">
        <f t="shared" si="90"/>
        <v>#NAME?</v>
      </c>
      <c r="R234" s="7" t="e">
        <f t="shared" si="90"/>
        <v>#NAME?</v>
      </c>
      <c r="S234" s="7" t="e">
        <f t="shared" si="90"/>
        <v>#NAME?</v>
      </c>
      <c r="T234" s="7"/>
      <c r="U234" s="7" t="e">
        <f t="shared" si="90"/>
        <v>#NAME?</v>
      </c>
      <c r="V234" s="7" t="e">
        <f t="shared" si="90"/>
        <v>#NAME?</v>
      </c>
      <c r="W234" s="7" t="e">
        <f t="shared" si="90"/>
        <v>#NAME?</v>
      </c>
      <c r="X234" s="7" t="e">
        <f t="shared" si="90"/>
        <v>#NAME?</v>
      </c>
      <c r="Y234" s="7" t="e">
        <f t="shared" si="90"/>
        <v>#NAME?</v>
      </c>
      <c r="Z234" s="7" t="e">
        <f t="shared" si="90"/>
        <v>#NAME?</v>
      </c>
      <c r="AA234" s="7" t="e">
        <f t="shared" si="90"/>
        <v>#NAME?</v>
      </c>
      <c r="AB234" s="7" t="e">
        <f t="shared" si="90"/>
        <v>#NAME?</v>
      </c>
      <c r="AC234" s="7" t="e">
        <f t="shared" si="90"/>
        <v>#NAME?</v>
      </c>
      <c r="AD234" s="7" t="e">
        <f t="shared" si="90"/>
        <v>#NAME?</v>
      </c>
      <c r="AE234" s="7" t="e">
        <f t="shared" si="90"/>
        <v>#NAME?</v>
      </c>
      <c r="AF234" s="7" t="e">
        <f t="shared" si="90"/>
        <v>#NAME?</v>
      </c>
      <c r="AG234" s="7" t="e">
        <f t="shared" si="90"/>
        <v>#NAME?</v>
      </c>
      <c r="AH234" s="7" t="e">
        <f t="shared" si="49"/>
        <v>#NAME?</v>
      </c>
      <c r="AI234" s="7" t="e">
        <f t="shared" si="50"/>
        <v>#NAME?</v>
      </c>
      <c r="AJ234" s="8" t="e">
        <f t="shared" si="51"/>
        <v>#NAME?</v>
      </c>
      <c r="AK234" s="7" t="e">
        <f t="shared" si="52"/>
        <v>#NAME?</v>
      </c>
      <c r="AM234" s="7"/>
      <c r="AN234" s="7"/>
      <c r="AO234" s="7"/>
    </row>
    <row r="235" spans="1:48">
      <c r="A235" s="7">
        <f>A202</f>
        <v>24</v>
      </c>
      <c r="B235" s="7" t="e">
        <f t="shared" si="91"/>
        <v>#NAME?</v>
      </c>
      <c r="C235" s="7" t="e">
        <f t="shared" si="90"/>
        <v>#NAME?</v>
      </c>
      <c r="D235" s="7" t="e">
        <f t="shared" si="90"/>
        <v>#NAME?</v>
      </c>
      <c r="E235" s="7" t="e">
        <f t="shared" si="90"/>
        <v>#NAME?</v>
      </c>
      <c r="F235" s="7" t="e">
        <f t="shared" si="90"/>
        <v>#NAME?</v>
      </c>
      <c r="G235" s="7" t="e">
        <f t="shared" si="90"/>
        <v>#NAME?</v>
      </c>
      <c r="H235" s="7" t="e">
        <f t="shared" si="90"/>
        <v>#NAME?</v>
      </c>
      <c r="I235" s="7" t="e">
        <f t="shared" ref="I235:AG235" si="93">I$207*$A202+I$208</f>
        <v>#NAME?</v>
      </c>
      <c r="J235" s="7" t="e">
        <f t="shared" si="93"/>
        <v>#NAME?</v>
      </c>
      <c r="K235" s="7" t="e">
        <f t="shared" si="93"/>
        <v>#NAME?</v>
      </c>
      <c r="L235" s="7" t="e">
        <f t="shared" si="93"/>
        <v>#NAME?</v>
      </c>
      <c r="M235" s="7" t="e">
        <f t="shared" si="93"/>
        <v>#NAME?</v>
      </c>
      <c r="N235" s="7" t="e">
        <f t="shared" si="93"/>
        <v>#NAME?</v>
      </c>
      <c r="O235" s="7" t="e">
        <f t="shared" si="93"/>
        <v>#NAME?</v>
      </c>
      <c r="P235" s="7" t="e">
        <f t="shared" si="93"/>
        <v>#NAME?</v>
      </c>
      <c r="Q235" s="7" t="e">
        <f t="shared" si="93"/>
        <v>#NAME?</v>
      </c>
      <c r="R235" s="7" t="e">
        <f t="shared" si="93"/>
        <v>#NAME?</v>
      </c>
      <c r="S235" s="7" t="e">
        <f t="shared" si="93"/>
        <v>#NAME?</v>
      </c>
      <c r="T235" s="7"/>
      <c r="U235" s="7" t="e">
        <f t="shared" si="93"/>
        <v>#NAME?</v>
      </c>
      <c r="V235" s="7" t="e">
        <f t="shared" si="93"/>
        <v>#NAME?</v>
      </c>
      <c r="W235" s="7" t="e">
        <f t="shared" si="93"/>
        <v>#NAME?</v>
      </c>
      <c r="X235" s="7" t="e">
        <f t="shared" si="93"/>
        <v>#NAME?</v>
      </c>
      <c r="Y235" s="7" t="e">
        <f t="shared" si="93"/>
        <v>#NAME?</v>
      </c>
      <c r="Z235" s="7" t="e">
        <f t="shared" si="93"/>
        <v>#NAME?</v>
      </c>
      <c r="AA235" s="7" t="e">
        <f t="shared" si="93"/>
        <v>#NAME?</v>
      </c>
      <c r="AB235" s="7" t="e">
        <f t="shared" si="93"/>
        <v>#NAME?</v>
      </c>
      <c r="AC235" s="7" t="e">
        <f t="shared" si="93"/>
        <v>#NAME?</v>
      </c>
      <c r="AD235" s="7" t="e">
        <f t="shared" si="93"/>
        <v>#NAME?</v>
      </c>
      <c r="AE235" s="7" t="e">
        <f t="shared" si="93"/>
        <v>#NAME?</v>
      </c>
      <c r="AF235" s="7" t="e">
        <f t="shared" si="93"/>
        <v>#NAME?</v>
      </c>
      <c r="AG235" s="7" t="e">
        <f t="shared" si="93"/>
        <v>#NAME?</v>
      </c>
      <c r="AH235" s="7" t="e">
        <f t="shared" si="49"/>
        <v>#NAME?</v>
      </c>
      <c r="AI235" s="7" t="e">
        <f t="shared" si="50"/>
        <v>#NAME?</v>
      </c>
      <c r="AJ235" s="8" t="e">
        <f t="shared" si="51"/>
        <v>#NAME?</v>
      </c>
      <c r="AK235" s="7" t="e">
        <f t="shared" si="52"/>
        <v>#NAME?</v>
      </c>
      <c r="AM235" s="7"/>
      <c r="AN235" s="7"/>
      <c r="AO235" s="7"/>
    </row>
    <row r="236" spans="1:48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8"/>
      <c r="AK236" s="7"/>
      <c r="AM236" s="7"/>
      <c r="AN236" s="7"/>
      <c r="AO236" s="7"/>
    </row>
    <row r="237" spans="1:48"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8"/>
      <c r="AK237" s="7"/>
      <c r="AM237" s="7"/>
      <c r="AN237" s="7"/>
      <c r="AO237" s="7"/>
    </row>
    <row r="238" spans="1:48">
      <c r="A238" s="7"/>
      <c r="B238" s="7">
        <f>B210</f>
        <v>0</v>
      </c>
      <c r="C238" s="7">
        <f t="shared" ref="C238:AK238" si="94">C210</f>
        <v>1</v>
      </c>
      <c r="D238" s="7">
        <f t="shared" si="94"/>
        <v>2</v>
      </c>
      <c r="E238" s="7">
        <f t="shared" si="94"/>
        <v>3</v>
      </c>
      <c r="F238" s="7">
        <f t="shared" si="94"/>
        <v>4</v>
      </c>
      <c r="G238" s="7">
        <f t="shared" si="94"/>
        <v>5</v>
      </c>
      <c r="H238" s="7">
        <f t="shared" si="94"/>
        <v>6</v>
      </c>
      <c r="I238" s="7">
        <f t="shared" si="94"/>
        <v>7</v>
      </c>
      <c r="J238" s="7">
        <f t="shared" si="94"/>
        <v>8</v>
      </c>
      <c r="K238" s="7">
        <f t="shared" si="94"/>
        <v>9</v>
      </c>
      <c r="L238" s="7">
        <f t="shared" si="94"/>
        <v>10</v>
      </c>
      <c r="M238" s="7">
        <f t="shared" si="94"/>
        <v>11</v>
      </c>
      <c r="N238" s="7">
        <f t="shared" si="94"/>
        <v>12</v>
      </c>
      <c r="O238" s="7">
        <f t="shared" si="94"/>
        <v>13</v>
      </c>
      <c r="P238" s="7">
        <f t="shared" si="94"/>
        <v>14</v>
      </c>
      <c r="Q238" s="7">
        <f t="shared" si="94"/>
        <v>15</v>
      </c>
      <c r="R238" s="7">
        <f t="shared" si="94"/>
        <v>16</v>
      </c>
      <c r="S238" s="7">
        <f t="shared" si="94"/>
        <v>17</v>
      </c>
      <c r="T238" s="7">
        <f t="shared" si="94"/>
        <v>18</v>
      </c>
      <c r="U238" s="7">
        <f t="shared" si="94"/>
        <v>19</v>
      </c>
      <c r="V238" s="7">
        <f t="shared" si="94"/>
        <v>20</v>
      </c>
      <c r="W238" s="7">
        <f t="shared" si="94"/>
        <v>21</v>
      </c>
      <c r="X238" s="7">
        <f t="shared" si="94"/>
        <v>22</v>
      </c>
      <c r="Y238" s="7">
        <f t="shared" si="94"/>
        <v>23</v>
      </c>
      <c r="Z238" s="7">
        <f t="shared" si="94"/>
        <v>24</v>
      </c>
      <c r="AA238" s="7">
        <f t="shared" si="94"/>
        <v>25</v>
      </c>
      <c r="AB238" s="7">
        <f t="shared" si="94"/>
        <v>26</v>
      </c>
      <c r="AC238" s="7">
        <f t="shared" si="94"/>
        <v>27</v>
      </c>
      <c r="AD238" s="7">
        <f t="shared" si="94"/>
        <v>28</v>
      </c>
      <c r="AE238" s="7">
        <f t="shared" si="94"/>
        <v>29</v>
      </c>
      <c r="AF238" s="7">
        <f t="shared" si="94"/>
        <v>30</v>
      </c>
      <c r="AG238" s="7">
        <f t="shared" si="94"/>
        <v>31</v>
      </c>
      <c r="AH238" s="7" t="str">
        <f t="shared" si="94"/>
        <v>STDEV</v>
      </c>
      <c r="AI238" s="7" t="str">
        <f t="shared" si="94"/>
        <v>-1.5σ</v>
      </c>
      <c r="AJ238" s="7" t="str">
        <f t="shared" si="94"/>
        <v>MEAN</v>
      </c>
      <c r="AK238" s="7" t="str">
        <f t="shared" si="94"/>
        <v>+1.5σ</v>
      </c>
      <c r="AL238" s="7" t="s">
        <v>23</v>
      </c>
      <c r="AM238" s="7"/>
      <c r="AN238" s="7"/>
      <c r="AO238" s="7"/>
    </row>
    <row r="239" spans="1:48" s="7" customFormat="1">
      <c r="A239" s="7">
        <f t="shared" ref="A239:A244" si="95">A211</f>
        <v>0</v>
      </c>
      <c r="B239" s="7" t="e">
        <f t="shared" ref="B239:AG239" si="96">B178-B211</f>
        <v>#NAME?</v>
      </c>
      <c r="C239" s="7" t="e">
        <f t="shared" si="96"/>
        <v>#NAME?</v>
      </c>
      <c r="D239" s="7" t="e">
        <f t="shared" si="96"/>
        <v>#NAME?</v>
      </c>
      <c r="E239" s="7" t="e">
        <f t="shared" si="96"/>
        <v>#NAME?</v>
      </c>
      <c r="F239" s="7" t="e">
        <f t="shared" si="96"/>
        <v>#NAME?</v>
      </c>
      <c r="G239" s="7" t="e">
        <f t="shared" si="96"/>
        <v>#NAME?</v>
      </c>
      <c r="H239" s="7" t="e">
        <f t="shared" si="96"/>
        <v>#NAME?</v>
      </c>
      <c r="I239" s="7" t="e">
        <f t="shared" si="96"/>
        <v>#NAME?</v>
      </c>
      <c r="J239" s="7" t="e">
        <f t="shared" si="96"/>
        <v>#NAME?</v>
      </c>
      <c r="K239" s="7" t="e">
        <f t="shared" si="96"/>
        <v>#NAME?</v>
      </c>
      <c r="L239" s="7" t="e">
        <f t="shared" si="96"/>
        <v>#NAME?</v>
      </c>
      <c r="M239" s="7" t="e">
        <f t="shared" si="96"/>
        <v>#NAME?</v>
      </c>
      <c r="N239" s="7" t="e">
        <f t="shared" si="96"/>
        <v>#NAME?</v>
      </c>
      <c r="O239" s="7" t="e">
        <f t="shared" si="96"/>
        <v>#NAME?</v>
      </c>
      <c r="P239" s="7" t="e">
        <f t="shared" si="96"/>
        <v>#NAME?</v>
      </c>
      <c r="Q239" s="7" t="e">
        <f t="shared" si="96"/>
        <v>#NAME?</v>
      </c>
      <c r="R239" s="7" t="e">
        <f t="shared" si="96"/>
        <v>#NAME?</v>
      </c>
      <c r="S239" s="7" t="e">
        <f t="shared" si="96"/>
        <v>#NAME?</v>
      </c>
      <c r="U239" s="7" t="e">
        <f t="shared" si="96"/>
        <v>#NAME?</v>
      </c>
      <c r="V239" s="7" t="e">
        <f t="shared" si="96"/>
        <v>#NAME?</v>
      </c>
      <c r="W239" s="7" t="e">
        <f t="shared" si="96"/>
        <v>#NAME?</v>
      </c>
      <c r="X239" s="7" t="e">
        <f t="shared" si="96"/>
        <v>#NAME?</v>
      </c>
      <c r="Y239" s="7" t="e">
        <f t="shared" si="96"/>
        <v>#NAME?</v>
      </c>
      <c r="Z239" s="7" t="e">
        <f t="shared" si="96"/>
        <v>#NAME?</v>
      </c>
      <c r="AA239" s="7" t="e">
        <f t="shared" si="96"/>
        <v>#NAME?</v>
      </c>
      <c r="AB239" s="7" t="e">
        <f t="shared" si="96"/>
        <v>#NAME?</v>
      </c>
      <c r="AC239" s="7" t="e">
        <f t="shared" si="96"/>
        <v>#NAME?</v>
      </c>
      <c r="AD239" s="7" t="e">
        <f t="shared" si="96"/>
        <v>#NAME?</v>
      </c>
      <c r="AE239" s="7" t="e">
        <f t="shared" si="96"/>
        <v>#NAME?</v>
      </c>
      <c r="AF239" s="7" t="e">
        <f t="shared" si="96"/>
        <v>#NAME?</v>
      </c>
      <c r="AG239" s="7" t="e">
        <f t="shared" si="96"/>
        <v>#NAME?</v>
      </c>
      <c r="AH239" s="7" t="e">
        <f t="shared" ref="AH239:AH240" si="97">STDEV(B239:AG239)</f>
        <v>#NAME?</v>
      </c>
      <c r="AI239" s="7" t="e">
        <f t="shared" ref="AI239:AI240" si="98">AJ239-1.5*AH239</f>
        <v>#NAME?</v>
      </c>
      <c r="AJ239" s="8" t="e">
        <f t="shared" ref="AJ239:AJ240" si="99">AVERAGE(B239:AG239)</f>
        <v>#NAME?</v>
      </c>
      <c r="AK239" s="7" t="e">
        <f t="shared" ref="AK239:AK240" si="100">AJ239+1.5*AH239</f>
        <v>#NAME?</v>
      </c>
      <c r="AL239" s="7" t="e">
        <f t="shared" ref="AL239:AL240" si="101">ABS(AJ239)</f>
        <v>#NAME?</v>
      </c>
    </row>
    <row r="240" spans="1:48" s="7" customFormat="1">
      <c r="A240" s="7">
        <f t="shared" si="95"/>
        <v>1</v>
      </c>
      <c r="B240" s="7" t="e">
        <f t="shared" ref="B240:AG240" si="102">B179-B212</f>
        <v>#NAME?</v>
      </c>
      <c r="C240" s="7" t="e">
        <f t="shared" si="102"/>
        <v>#NAME?</v>
      </c>
      <c r="D240" s="7" t="e">
        <f t="shared" si="102"/>
        <v>#NAME?</v>
      </c>
      <c r="E240" s="7" t="e">
        <f t="shared" si="102"/>
        <v>#NAME?</v>
      </c>
      <c r="F240" s="7" t="e">
        <f t="shared" si="102"/>
        <v>#NAME?</v>
      </c>
      <c r="G240" s="7" t="e">
        <f t="shared" si="102"/>
        <v>#NAME?</v>
      </c>
      <c r="H240" s="7" t="e">
        <f t="shared" si="102"/>
        <v>#NAME?</v>
      </c>
      <c r="I240" s="7" t="e">
        <f t="shared" si="102"/>
        <v>#NAME?</v>
      </c>
      <c r="J240" s="7" t="e">
        <f t="shared" si="102"/>
        <v>#NAME?</v>
      </c>
      <c r="K240" s="7" t="e">
        <f t="shared" si="102"/>
        <v>#NAME?</v>
      </c>
      <c r="L240" s="7" t="e">
        <f t="shared" si="102"/>
        <v>#NAME?</v>
      </c>
      <c r="M240" s="7" t="e">
        <f t="shared" si="102"/>
        <v>#NAME?</v>
      </c>
      <c r="N240" s="7" t="e">
        <f t="shared" si="102"/>
        <v>#NAME?</v>
      </c>
      <c r="O240" s="7" t="e">
        <f t="shared" si="102"/>
        <v>#NAME?</v>
      </c>
      <c r="P240" s="7" t="e">
        <f t="shared" si="102"/>
        <v>#NAME?</v>
      </c>
      <c r="Q240" s="7" t="e">
        <f t="shared" si="102"/>
        <v>#NAME?</v>
      </c>
      <c r="R240" s="7" t="e">
        <f t="shared" si="102"/>
        <v>#NAME?</v>
      </c>
      <c r="S240" s="7" t="e">
        <f t="shared" si="102"/>
        <v>#NAME?</v>
      </c>
      <c r="U240" s="7" t="e">
        <f t="shared" si="102"/>
        <v>#NAME?</v>
      </c>
      <c r="V240" s="7" t="e">
        <f t="shared" si="102"/>
        <v>#NAME?</v>
      </c>
      <c r="W240" s="7" t="e">
        <f t="shared" si="102"/>
        <v>#NAME?</v>
      </c>
      <c r="X240" s="7" t="e">
        <f t="shared" si="102"/>
        <v>#NAME?</v>
      </c>
      <c r="Y240" s="7" t="e">
        <f t="shared" si="102"/>
        <v>#NAME?</v>
      </c>
      <c r="Z240" s="7" t="e">
        <f t="shared" si="102"/>
        <v>#NAME?</v>
      </c>
      <c r="AA240" s="7" t="e">
        <f t="shared" si="102"/>
        <v>#NAME?</v>
      </c>
      <c r="AB240" s="7" t="e">
        <f t="shared" si="102"/>
        <v>#NAME?</v>
      </c>
      <c r="AC240" s="7" t="e">
        <f t="shared" si="102"/>
        <v>#NAME?</v>
      </c>
      <c r="AD240" s="7" t="e">
        <f t="shared" si="102"/>
        <v>#NAME?</v>
      </c>
      <c r="AE240" s="7" t="e">
        <f t="shared" si="102"/>
        <v>#NAME?</v>
      </c>
      <c r="AF240" s="7" t="e">
        <f t="shared" si="102"/>
        <v>#NAME?</v>
      </c>
      <c r="AG240" s="7" t="e">
        <f t="shared" si="102"/>
        <v>#NAME?</v>
      </c>
      <c r="AH240" s="7" t="e">
        <f t="shared" si="97"/>
        <v>#NAME?</v>
      </c>
      <c r="AI240" s="7" t="e">
        <f t="shared" si="98"/>
        <v>#NAME?</v>
      </c>
      <c r="AJ240" s="8" t="e">
        <f t="shared" si="99"/>
        <v>#NAME?</v>
      </c>
      <c r="AK240" s="7" t="e">
        <f t="shared" si="100"/>
        <v>#NAME?</v>
      </c>
      <c r="AL240" s="7" t="e">
        <f t="shared" si="101"/>
        <v>#NAME?</v>
      </c>
    </row>
    <row r="241" spans="1:41" s="7" customFormat="1">
      <c r="A241" s="7">
        <f t="shared" si="95"/>
        <v>2</v>
      </c>
      <c r="B241" s="7" t="e">
        <f t="shared" ref="B241:AG241" si="103">B180-B213</f>
        <v>#NAME?</v>
      </c>
      <c r="C241" s="7" t="e">
        <f t="shared" si="103"/>
        <v>#NAME?</v>
      </c>
      <c r="D241" s="7" t="e">
        <f t="shared" si="103"/>
        <v>#NAME?</v>
      </c>
      <c r="E241" s="7" t="e">
        <f t="shared" si="103"/>
        <v>#NAME?</v>
      </c>
      <c r="F241" s="7" t="e">
        <f t="shared" si="103"/>
        <v>#NAME?</v>
      </c>
      <c r="G241" s="7" t="e">
        <f t="shared" si="103"/>
        <v>#NAME?</v>
      </c>
      <c r="H241" s="7" t="e">
        <f t="shared" si="103"/>
        <v>#NAME?</v>
      </c>
      <c r="I241" s="7" t="e">
        <f t="shared" si="103"/>
        <v>#NAME?</v>
      </c>
      <c r="J241" s="7" t="e">
        <f t="shared" si="103"/>
        <v>#NAME?</v>
      </c>
      <c r="K241" s="7" t="e">
        <f t="shared" si="103"/>
        <v>#NAME?</v>
      </c>
      <c r="L241" s="7" t="e">
        <f t="shared" si="103"/>
        <v>#NAME?</v>
      </c>
      <c r="M241" s="7" t="e">
        <f t="shared" si="103"/>
        <v>#NAME?</v>
      </c>
      <c r="N241" s="7" t="e">
        <f t="shared" si="103"/>
        <v>#NAME?</v>
      </c>
      <c r="O241" s="7" t="e">
        <f t="shared" si="103"/>
        <v>#NAME?</v>
      </c>
      <c r="P241" s="7" t="e">
        <f t="shared" si="103"/>
        <v>#NAME?</v>
      </c>
      <c r="Q241" s="7" t="e">
        <f t="shared" si="103"/>
        <v>#NAME?</v>
      </c>
      <c r="R241" s="7" t="e">
        <f t="shared" si="103"/>
        <v>#NAME?</v>
      </c>
      <c r="S241" s="7" t="e">
        <f t="shared" si="103"/>
        <v>#NAME?</v>
      </c>
      <c r="U241" s="7" t="e">
        <f t="shared" si="103"/>
        <v>#NAME?</v>
      </c>
      <c r="V241" s="7" t="e">
        <f t="shared" si="103"/>
        <v>#NAME?</v>
      </c>
      <c r="W241" s="7" t="e">
        <f t="shared" si="103"/>
        <v>#NAME?</v>
      </c>
      <c r="X241" s="7" t="e">
        <f t="shared" si="103"/>
        <v>#NAME?</v>
      </c>
      <c r="Y241" s="7" t="e">
        <f t="shared" si="103"/>
        <v>#NAME?</v>
      </c>
      <c r="Z241" s="7" t="e">
        <f t="shared" si="103"/>
        <v>#NAME?</v>
      </c>
      <c r="AA241" s="7" t="e">
        <f t="shared" si="103"/>
        <v>#NAME?</v>
      </c>
      <c r="AB241" s="7" t="e">
        <f t="shared" si="103"/>
        <v>#NAME?</v>
      </c>
      <c r="AC241" s="7" t="e">
        <f t="shared" si="103"/>
        <v>#NAME?</v>
      </c>
      <c r="AD241" s="7" t="e">
        <f t="shared" si="103"/>
        <v>#NAME?</v>
      </c>
      <c r="AE241" s="7" t="e">
        <f t="shared" si="103"/>
        <v>#NAME?</v>
      </c>
      <c r="AF241" s="7" t="e">
        <f t="shared" si="103"/>
        <v>#NAME?</v>
      </c>
      <c r="AG241" s="7" t="e">
        <f t="shared" si="103"/>
        <v>#NAME?</v>
      </c>
      <c r="AH241" s="7" t="e">
        <f t="shared" ref="AH241:AH244" si="104">STDEV(B241:AG241)</f>
        <v>#NAME?</v>
      </c>
      <c r="AI241" s="7" t="e">
        <f t="shared" ref="AI241:AI244" si="105">AJ241-1.5*AH241</f>
        <v>#NAME?</v>
      </c>
      <c r="AJ241" s="8" t="e">
        <f t="shared" ref="AJ241:AJ244" si="106">AVERAGE(B241:AG241)</f>
        <v>#NAME?</v>
      </c>
      <c r="AK241" s="7" t="e">
        <f t="shared" ref="AK241:AK244" si="107">AJ241+1.5*AH241</f>
        <v>#NAME?</v>
      </c>
      <c r="AL241" s="7" t="e">
        <f t="shared" ref="AL241:AL244" si="108">ABS(AJ241)</f>
        <v>#NAME?</v>
      </c>
    </row>
    <row r="242" spans="1:41" s="7" customFormat="1">
      <c r="A242" s="7">
        <f t="shared" si="95"/>
        <v>3</v>
      </c>
      <c r="B242" s="7" t="e">
        <f t="shared" ref="B242:AG242" si="109">B181-B214</f>
        <v>#NAME?</v>
      </c>
      <c r="C242" s="7" t="e">
        <f t="shared" si="109"/>
        <v>#NAME?</v>
      </c>
      <c r="D242" s="7" t="e">
        <f t="shared" si="109"/>
        <v>#NAME?</v>
      </c>
      <c r="E242" s="7" t="e">
        <f t="shared" si="109"/>
        <v>#NAME?</v>
      </c>
      <c r="F242" s="7" t="e">
        <f t="shared" si="109"/>
        <v>#NAME?</v>
      </c>
      <c r="G242" s="7" t="e">
        <f t="shared" si="109"/>
        <v>#NAME?</v>
      </c>
      <c r="H242" s="7" t="e">
        <f t="shared" si="109"/>
        <v>#NAME?</v>
      </c>
      <c r="I242" s="7" t="e">
        <f t="shared" si="109"/>
        <v>#NAME?</v>
      </c>
      <c r="J242" s="7" t="e">
        <f t="shared" si="109"/>
        <v>#NAME?</v>
      </c>
      <c r="K242" s="7" t="e">
        <f t="shared" si="109"/>
        <v>#NAME?</v>
      </c>
      <c r="L242" s="7" t="e">
        <f t="shared" si="109"/>
        <v>#NAME?</v>
      </c>
      <c r="M242" s="7" t="e">
        <f t="shared" si="109"/>
        <v>#NAME?</v>
      </c>
      <c r="N242" s="7" t="e">
        <f t="shared" si="109"/>
        <v>#NAME?</v>
      </c>
      <c r="O242" s="7" t="e">
        <f t="shared" si="109"/>
        <v>#NAME?</v>
      </c>
      <c r="P242" s="7" t="e">
        <f t="shared" si="109"/>
        <v>#NAME?</v>
      </c>
      <c r="Q242" s="7" t="e">
        <f t="shared" si="109"/>
        <v>#NAME?</v>
      </c>
      <c r="R242" s="7" t="e">
        <f t="shared" si="109"/>
        <v>#NAME?</v>
      </c>
      <c r="S242" s="7" t="e">
        <f t="shared" si="109"/>
        <v>#NAME?</v>
      </c>
      <c r="U242" s="7" t="e">
        <f t="shared" si="109"/>
        <v>#NAME?</v>
      </c>
      <c r="V242" s="7" t="e">
        <f t="shared" si="109"/>
        <v>#NAME?</v>
      </c>
      <c r="W242" s="7" t="e">
        <f t="shared" si="109"/>
        <v>#NAME?</v>
      </c>
      <c r="X242" s="7" t="e">
        <f t="shared" si="109"/>
        <v>#NAME?</v>
      </c>
      <c r="Y242" s="7" t="e">
        <f t="shared" si="109"/>
        <v>#NAME?</v>
      </c>
      <c r="Z242" s="7" t="e">
        <f t="shared" si="109"/>
        <v>#NAME?</v>
      </c>
      <c r="AA242" s="7" t="e">
        <f t="shared" si="109"/>
        <v>#NAME?</v>
      </c>
      <c r="AB242" s="7" t="e">
        <f t="shared" si="109"/>
        <v>#NAME?</v>
      </c>
      <c r="AC242" s="7" t="e">
        <f t="shared" si="109"/>
        <v>#NAME?</v>
      </c>
      <c r="AD242" s="7" t="e">
        <f t="shared" si="109"/>
        <v>#NAME?</v>
      </c>
      <c r="AE242" s="7" t="e">
        <f t="shared" si="109"/>
        <v>#NAME?</v>
      </c>
      <c r="AF242" s="7" t="e">
        <f t="shared" si="109"/>
        <v>#NAME?</v>
      </c>
      <c r="AG242" s="7" t="e">
        <f t="shared" si="109"/>
        <v>#NAME?</v>
      </c>
      <c r="AH242" s="7" t="e">
        <f t="shared" si="104"/>
        <v>#NAME?</v>
      </c>
      <c r="AI242" s="7" t="e">
        <f t="shared" si="105"/>
        <v>#NAME?</v>
      </c>
      <c r="AJ242" s="8" t="e">
        <f t="shared" si="106"/>
        <v>#NAME?</v>
      </c>
      <c r="AK242" s="7" t="e">
        <f t="shared" si="107"/>
        <v>#NAME?</v>
      </c>
      <c r="AL242" s="7" t="e">
        <f t="shared" si="108"/>
        <v>#NAME?</v>
      </c>
    </row>
    <row r="243" spans="1:41" s="7" customFormat="1">
      <c r="A243" s="7">
        <f t="shared" si="95"/>
        <v>4</v>
      </c>
      <c r="B243" s="7" t="e">
        <f t="shared" ref="B243:AG243" si="110">B182-B215</f>
        <v>#NAME?</v>
      </c>
      <c r="C243" s="7" t="e">
        <f t="shared" si="110"/>
        <v>#NAME?</v>
      </c>
      <c r="D243" s="7" t="e">
        <f t="shared" si="110"/>
        <v>#NAME?</v>
      </c>
      <c r="E243" s="7" t="e">
        <f t="shared" si="110"/>
        <v>#NAME?</v>
      </c>
      <c r="F243" s="7" t="e">
        <f t="shared" si="110"/>
        <v>#NAME?</v>
      </c>
      <c r="G243" s="7" t="e">
        <f t="shared" si="110"/>
        <v>#NAME?</v>
      </c>
      <c r="H243" s="7" t="e">
        <f t="shared" si="110"/>
        <v>#NAME?</v>
      </c>
      <c r="I243" s="7" t="e">
        <f t="shared" si="110"/>
        <v>#NAME?</v>
      </c>
      <c r="J243" s="7" t="e">
        <f t="shared" si="110"/>
        <v>#NAME?</v>
      </c>
      <c r="K243" s="7" t="e">
        <f t="shared" si="110"/>
        <v>#NAME?</v>
      </c>
      <c r="L243" s="7" t="e">
        <f t="shared" si="110"/>
        <v>#NAME?</v>
      </c>
      <c r="M243" s="7" t="e">
        <f t="shared" si="110"/>
        <v>#NAME?</v>
      </c>
      <c r="N243" s="7" t="e">
        <f t="shared" si="110"/>
        <v>#NAME?</v>
      </c>
      <c r="O243" s="7" t="e">
        <f t="shared" si="110"/>
        <v>#NAME?</v>
      </c>
      <c r="P243" s="7" t="e">
        <f t="shared" si="110"/>
        <v>#NAME?</v>
      </c>
      <c r="Q243" s="7" t="e">
        <f t="shared" si="110"/>
        <v>#NAME?</v>
      </c>
      <c r="R243" s="7" t="e">
        <f t="shared" si="110"/>
        <v>#NAME?</v>
      </c>
      <c r="S243" s="7" t="e">
        <f t="shared" si="110"/>
        <v>#NAME?</v>
      </c>
      <c r="U243" s="7" t="e">
        <f t="shared" si="110"/>
        <v>#NAME?</v>
      </c>
      <c r="V243" s="7" t="e">
        <f t="shared" si="110"/>
        <v>#NAME?</v>
      </c>
      <c r="W243" s="7" t="e">
        <f t="shared" si="110"/>
        <v>#NAME?</v>
      </c>
      <c r="X243" s="7" t="e">
        <f t="shared" si="110"/>
        <v>#NAME?</v>
      </c>
      <c r="Y243" s="7" t="e">
        <f t="shared" si="110"/>
        <v>#NAME?</v>
      </c>
      <c r="Z243" s="7" t="e">
        <f t="shared" si="110"/>
        <v>#NAME?</v>
      </c>
      <c r="AA243" s="7" t="e">
        <f t="shared" si="110"/>
        <v>#NAME?</v>
      </c>
      <c r="AB243" s="7" t="e">
        <f t="shared" si="110"/>
        <v>#NAME?</v>
      </c>
      <c r="AC243" s="7" t="e">
        <f t="shared" si="110"/>
        <v>#NAME?</v>
      </c>
      <c r="AD243" s="7" t="e">
        <f t="shared" si="110"/>
        <v>#NAME?</v>
      </c>
      <c r="AE243" s="7" t="e">
        <f t="shared" si="110"/>
        <v>#NAME?</v>
      </c>
      <c r="AF243" s="7" t="e">
        <f t="shared" si="110"/>
        <v>#NAME?</v>
      </c>
      <c r="AG243" s="7" t="e">
        <f t="shared" si="110"/>
        <v>#NAME?</v>
      </c>
      <c r="AH243" s="7" t="e">
        <f t="shared" si="104"/>
        <v>#NAME?</v>
      </c>
      <c r="AI243" s="7" t="e">
        <f t="shared" si="105"/>
        <v>#NAME?</v>
      </c>
      <c r="AJ243" s="8" t="e">
        <f t="shared" si="106"/>
        <v>#NAME?</v>
      </c>
      <c r="AK243" s="7" t="e">
        <f t="shared" si="107"/>
        <v>#NAME?</v>
      </c>
      <c r="AL243" s="7" t="e">
        <f t="shared" si="108"/>
        <v>#NAME?</v>
      </c>
    </row>
    <row r="244" spans="1:41" s="7" customFormat="1">
      <c r="A244" s="7">
        <f t="shared" si="95"/>
        <v>5</v>
      </c>
      <c r="B244" s="7" t="e">
        <f t="shared" ref="B244:AG244" si="111">B183-B216</f>
        <v>#NAME?</v>
      </c>
      <c r="C244" s="7" t="e">
        <f t="shared" si="111"/>
        <v>#NAME?</v>
      </c>
      <c r="D244" s="7" t="e">
        <f t="shared" si="111"/>
        <v>#NAME?</v>
      </c>
      <c r="E244" s="7" t="e">
        <f t="shared" si="111"/>
        <v>#NAME?</v>
      </c>
      <c r="F244" s="7" t="e">
        <f t="shared" si="111"/>
        <v>#NAME?</v>
      </c>
      <c r="G244" s="7" t="e">
        <f t="shared" si="111"/>
        <v>#NAME?</v>
      </c>
      <c r="H244" s="7" t="e">
        <f t="shared" si="111"/>
        <v>#NAME?</v>
      </c>
      <c r="I244" s="7" t="e">
        <f t="shared" si="111"/>
        <v>#NAME?</v>
      </c>
      <c r="J244" s="7" t="e">
        <f t="shared" si="111"/>
        <v>#NAME?</v>
      </c>
      <c r="K244" s="7" t="e">
        <f t="shared" si="111"/>
        <v>#NAME?</v>
      </c>
      <c r="L244" s="7" t="e">
        <f t="shared" si="111"/>
        <v>#NAME?</v>
      </c>
      <c r="M244" s="7" t="e">
        <f t="shared" si="111"/>
        <v>#NAME?</v>
      </c>
      <c r="N244" s="7" t="e">
        <f t="shared" si="111"/>
        <v>#NAME?</v>
      </c>
      <c r="O244" s="7" t="e">
        <f t="shared" si="111"/>
        <v>#NAME?</v>
      </c>
      <c r="P244" s="7" t="e">
        <f t="shared" si="111"/>
        <v>#NAME?</v>
      </c>
      <c r="Q244" s="7" t="e">
        <f t="shared" si="111"/>
        <v>#NAME?</v>
      </c>
      <c r="R244" s="7" t="e">
        <f t="shared" si="111"/>
        <v>#NAME?</v>
      </c>
      <c r="S244" s="7" t="e">
        <f t="shared" si="111"/>
        <v>#NAME?</v>
      </c>
      <c r="U244" s="7" t="e">
        <f t="shared" si="111"/>
        <v>#NAME?</v>
      </c>
      <c r="V244" s="7" t="e">
        <f t="shared" si="111"/>
        <v>#NAME?</v>
      </c>
      <c r="W244" s="7" t="e">
        <f t="shared" si="111"/>
        <v>#NAME?</v>
      </c>
      <c r="X244" s="7" t="e">
        <f t="shared" si="111"/>
        <v>#NAME?</v>
      </c>
      <c r="Y244" s="7" t="e">
        <f t="shared" si="111"/>
        <v>#NAME?</v>
      </c>
      <c r="Z244" s="7" t="e">
        <f t="shared" si="111"/>
        <v>#NAME?</v>
      </c>
      <c r="AA244" s="7" t="e">
        <f t="shared" si="111"/>
        <v>#NAME?</v>
      </c>
      <c r="AB244" s="7" t="e">
        <f t="shared" si="111"/>
        <v>#NAME?</v>
      </c>
      <c r="AC244" s="7" t="e">
        <f t="shared" si="111"/>
        <v>#NAME?</v>
      </c>
      <c r="AD244" s="7" t="e">
        <f t="shared" si="111"/>
        <v>#NAME?</v>
      </c>
      <c r="AE244" s="7" t="e">
        <f t="shared" si="111"/>
        <v>#NAME?</v>
      </c>
      <c r="AF244" s="7" t="e">
        <f t="shared" si="111"/>
        <v>#NAME?</v>
      </c>
      <c r="AG244" s="7" t="e">
        <f t="shared" si="111"/>
        <v>#NAME?</v>
      </c>
      <c r="AH244" s="7" t="e">
        <f t="shared" si="104"/>
        <v>#NAME?</v>
      </c>
      <c r="AI244" s="7" t="e">
        <f t="shared" si="105"/>
        <v>#NAME?</v>
      </c>
      <c r="AJ244" s="8" t="e">
        <f t="shared" si="106"/>
        <v>#NAME?</v>
      </c>
      <c r="AK244" s="7" t="e">
        <f t="shared" si="107"/>
        <v>#NAME?</v>
      </c>
      <c r="AL244" s="7" t="e">
        <f t="shared" si="108"/>
        <v>#NAME?</v>
      </c>
    </row>
    <row r="245" spans="1:41" s="7" customFormat="1">
      <c r="A245" s="7">
        <f t="shared" ref="A245:A253" si="112">A217</f>
        <v>6</v>
      </c>
      <c r="B245" s="7" t="e">
        <f>B184-B217</f>
        <v>#NAME?</v>
      </c>
      <c r="C245" s="7" t="e">
        <f t="shared" ref="C245:AG245" si="113">C184-C217</f>
        <v>#NAME?</v>
      </c>
      <c r="D245" s="7" t="e">
        <f t="shared" si="113"/>
        <v>#NAME?</v>
      </c>
      <c r="E245" s="7" t="e">
        <f t="shared" si="113"/>
        <v>#NAME?</v>
      </c>
      <c r="F245" s="7" t="e">
        <f t="shared" si="113"/>
        <v>#NAME?</v>
      </c>
      <c r="G245" s="7" t="e">
        <f t="shared" si="113"/>
        <v>#NAME?</v>
      </c>
      <c r="H245" s="7" t="e">
        <f t="shared" si="113"/>
        <v>#NAME?</v>
      </c>
      <c r="I245" s="7" t="e">
        <f t="shared" si="113"/>
        <v>#NAME?</v>
      </c>
      <c r="J245" s="7" t="e">
        <f t="shared" si="113"/>
        <v>#NAME?</v>
      </c>
      <c r="K245" s="7" t="e">
        <f t="shared" si="113"/>
        <v>#NAME?</v>
      </c>
      <c r="L245" s="7" t="e">
        <f t="shared" si="113"/>
        <v>#NAME?</v>
      </c>
      <c r="M245" s="7" t="e">
        <f t="shared" si="113"/>
        <v>#NAME?</v>
      </c>
      <c r="N245" s="7" t="e">
        <f t="shared" si="113"/>
        <v>#NAME?</v>
      </c>
      <c r="O245" s="7" t="e">
        <f t="shared" si="113"/>
        <v>#NAME?</v>
      </c>
      <c r="P245" s="7" t="e">
        <f t="shared" si="113"/>
        <v>#NAME?</v>
      </c>
      <c r="Q245" s="7" t="e">
        <f t="shared" si="113"/>
        <v>#NAME?</v>
      </c>
      <c r="R245" s="7" t="e">
        <f t="shared" si="113"/>
        <v>#NAME?</v>
      </c>
      <c r="S245" s="7" t="e">
        <f t="shared" si="113"/>
        <v>#NAME?</v>
      </c>
      <c r="U245" s="7" t="e">
        <f t="shared" si="113"/>
        <v>#NAME?</v>
      </c>
      <c r="V245" s="7" t="e">
        <f t="shared" si="113"/>
        <v>#NAME?</v>
      </c>
      <c r="W245" s="7" t="e">
        <f t="shared" si="113"/>
        <v>#NAME?</v>
      </c>
      <c r="X245" s="7" t="e">
        <f t="shared" si="113"/>
        <v>#NAME?</v>
      </c>
      <c r="Y245" s="7" t="e">
        <f t="shared" si="113"/>
        <v>#NAME?</v>
      </c>
      <c r="Z245" s="7" t="e">
        <f t="shared" si="113"/>
        <v>#NAME?</v>
      </c>
      <c r="AA245" s="7" t="e">
        <f t="shared" si="113"/>
        <v>#NAME?</v>
      </c>
      <c r="AB245" s="7" t="e">
        <f t="shared" si="113"/>
        <v>#NAME?</v>
      </c>
      <c r="AC245" s="7" t="e">
        <f t="shared" si="113"/>
        <v>#NAME?</v>
      </c>
      <c r="AD245" s="7" t="e">
        <f t="shared" si="113"/>
        <v>#NAME?</v>
      </c>
      <c r="AE245" s="7" t="e">
        <f t="shared" si="113"/>
        <v>#NAME?</v>
      </c>
      <c r="AF245" s="7" t="e">
        <f t="shared" si="113"/>
        <v>#NAME?</v>
      </c>
      <c r="AG245" s="7" t="e">
        <f t="shared" si="113"/>
        <v>#NAME?</v>
      </c>
      <c r="AH245" s="7" t="e">
        <f t="shared" ref="AH245:AH253" si="114">STDEV(B245:AG245)</f>
        <v>#NAME?</v>
      </c>
      <c r="AI245" s="7" t="e">
        <f t="shared" si="50"/>
        <v>#NAME?</v>
      </c>
      <c r="AJ245" s="8" t="e">
        <f t="shared" ref="AJ245:AJ253" si="115">AVERAGE(B245:AG245)</f>
        <v>#NAME?</v>
      </c>
      <c r="AK245" s="7" t="e">
        <f t="shared" ref="AK245:AK253" si="116">AJ245+1.5*AH245</f>
        <v>#NAME?</v>
      </c>
      <c r="AL245" s="7" t="e">
        <f t="shared" ref="AL245:AL262" si="117">ABS(AJ245)</f>
        <v>#NAME?</v>
      </c>
    </row>
    <row r="246" spans="1:41" s="7" customFormat="1">
      <c r="A246" s="7">
        <f t="shared" si="112"/>
        <v>7</v>
      </c>
      <c r="B246" s="7" t="e">
        <f t="shared" ref="B246:AG246" si="118">B185-B218</f>
        <v>#NAME?</v>
      </c>
      <c r="C246" s="7" t="e">
        <f t="shared" si="118"/>
        <v>#NAME?</v>
      </c>
      <c r="D246" s="7" t="e">
        <f t="shared" si="118"/>
        <v>#NAME?</v>
      </c>
      <c r="E246" s="7" t="e">
        <f t="shared" si="118"/>
        <v>#NAME?</v>
      </c>
      <c r="F246" s="7" t="e">
        <f t="shared" si="118"/>
        <v>#NAME?</v>
      </c>
      <c r="G246" s="7" t="e">
        <f t="shared" si="118"/>
        <v>#NAME?</v>
      </c>
      <c r="H246" s="7" t="e">
        <f t="shared" si="118"/>
        <v>#NAME?</v>
      </c>
      <c r="I246" s="7" t="e">
        <f t="shared" si="118"/>
        <v>#NAME?</v>
      </c>
      <c r="J246" s="7" t="e">
        <f t="shared" si="118"/>
        <v>#NAME?</v>
      </c>
      <c r="K246" s="7" t="e">
        <f t="shared" si="118"/>
        <v>#NAME?</v>
      </c>
      <c r="L246" s="7" t="e">
        <f t="shared" si="118"/>
        <v>#NAME?</v>
      </c>
      <c r="M246" s="7" t="e">
        <f t="shared" si="118"/>
        <v>#NAME?</v>
      </c>
      <c r="N246" s="7" t="e">
        <f t="shared" si="118"/>
        <v>#NAME?</v>
      </c>
      <c r="O246" s="7" t="e">
        <f t="shared" si="118"/>
        <v>#NAME?</v>
      </c>
      <c r="P246" s="7" t="e">
        <f t="shared" si="118"/>
        <v>#NAME?</v>
      </c>
      <c r="Q246" s="7" t="e">
        <f t="shared" si="118"/>
        <v>#NAME?</v>
      </c>
      <c r="R246" s="7" t="e">
        <f t="shared" si="118"/>
        <v>#NAME?</v>
      </c>
      <c r="S246" s="7" t="e">
        <f t="shared" si="118"/>
        <v>#NAME?</v>
      </c>
      <c r="U246" s="7" t="e">
        <f t="shared" si="118"/>
        <v>#NAME?</v>
      </c>
      <c r="V246" s="7" t="e">
        <f t="shared" si="118"/>
        <v>#NAME?</v>
      </c>
      <c r="W246" s="7" t="e">
        <f t="shared" si="118"/>
        <v>#NAME?</v>
      </c>
      <c r="X246" s="7" t="e">
        <f t="shared" si="118"/>
        <v>#NAME?</v>
      </c>
      <c r="Y246" s="7" t="e">
        <f t="shared" si="118"/>
        <v>#NAME?</v>
      </c>
      <c r="Z246" s="7" t="e">
        <f t="shared" si="118"/>
        <v>#NAME?</v>
      </c>
      <c r="AA246" s="7" t="e">
        <f t="shared" si="118"/>
        <v>#NAME?</v>
      </c>
      <c r="AB246" s="7" t="e">
        <f t="shared" si="118"/>
        <v>#NAME?</v>
      </c>
      <c r="AC246" s="7" t="e">
        <f t="shared" si="118"/>
        <v>#NAME?</v>
      </c>
      <c r="AD246" s="7" t="e">
        <f t="shared" si="118"/>
        <v>#NAME?</v>
      </c>
      <c r="AE246" s="7" t="e">
        <f t="shared" si="118"/>
        <v>#NAME?</v>
      </c>
      <c r="AF246" s="7" t="e">
        <f t="shared" si="118"/>
        <v>#NAME?</v>
      </c>
      <c r="AG246" s="7" t="e">
        <f t="shared" si="118"/>
        <v>#NAME?</v>
      </c>
      <c r="AH246" s="7" t="e">
        <f t="shared" si="114"/>
        <v>#NAME?</v>
      </c>
      <c r="AI246" s="7" t="e">
        <f t="shared" si="50"/>
        <v>#NAME?</v>
      </c>
      <c r="AJ246" s="8" t="e">
        <f t="shared" si="115"/>
        <v>#NAME?</v>
      </c>
      <c r="AK246" s="7" t="e">
        <f t="shared" si="116"/>
        <v>#NAME?</v>
      </c>
      <c r="AL246" s="7" t="e">
        <f t="shared" si="117"/>
        <v>#NAME?</v>
      </c>
    </row>
    <row r="247" spans="1:41" s="7" customFormat="1">
      <c r="A247" s="7">
        <f t="shared" si="112"/>
        <v>8</v>
      </c>
      <c r="B247" s="7" t="e">
        <f t="shared" ref="B247:AG247" si="119">B186-B219</f>
        <v>#NAME?</v>
      </c>
      <c r="C247" s="7" t="e">
        <f t="shared" si="119"/>
        <v>#NAME?</v>
      </c>
      <c r="D247" s="7" t="e">
        <f t="shared" si="119"/>
        <v>#NAME?</v>
      </c>
      <c r="E247" s="7" t="e">
        <f t="shared" si="119"/>
        <v>#NAME?</v>
      </c>
      <c r="F247" s="7" t="e">
        <f t="shared" si="119"/>
        <v>#NAME?</v>
      </c>
      <c r="G247" s="7" t="e">
        <f t="shared" si="119"/>
        <v>#NAME?</v>
      </c>
      <c r="H247" s="7" t="e">
        <f t="shared" si="119"/>
        <v>#NAME?</v>
      </c>
      <c r="I247" s="7" t="e">
        <f t="shared" si="119"/>
        <v>#NAME?</v>
      </c>
      <c r="J247" s="7" t="e">
        <f t="shared" si="119"/>
        <v>#NAME?</v>
      </c>
      <c r="K247" s="7" t="e">
        <f t="shared" si="119"/>
        <v>#NAME?</v>
      </c>
      <c r="L247" s="7" t="e">
        <f t="shared" si="119"/>
        <v>#NAME?</v>
      </c>
      <c r="M247" s="7" t="e">
        <f t="shared" si="119"/>
        <v>#NAME?</v>
      </c>
      <c r="N247" s="7" t="e">
        <f t="shared" si="119"/>
        <v>#NAME?</v>
      </c>
      <c r="O247" s="7" t="e">
        <f t="shared" si="119"/>
        <v>#NAME?</v>
      </c>
      <c r="P247" s="7" t="e">
        <f t="shared" si="119"/>
        <v>#NAME?</v>
      </c>
      <c r="Q247" s="7" t="e">
        <f t="shared" si="119"/>
        <v>#NAME?</v>
      </c>
      <c r="R247" s="7" t="e">
        <f t="shared" si="119"/>
        <v>#NAME?</v>
      </c>
      <c r="S247" s="7" t="e">
        <f t="shared" si="119"/>
        <v>#NAME?</v>
      </c>
      <c r="U247" s="7" t="e">
        <f t="shared" si="119"/>
        <v>#NAME?</v>
      </c>
      <c r="V247" s="7" t="e">
        <f t="shared" si="119"/>
        <v>#NAME?</v>
      </c>
      <c r="W247" s="7" t="e">
        <f t="shared" si="119"/>
        <v>#NAME?</v>
      </c>
      <c r="X247" s="7" t="e">
        <f t="shared" si="119"/>
        <v>#NAME?</v>
      </c>
      <c r="Y247" s="7" t="e">
        <f t="shared" si="119"/>
        <v>#NAME?</v>
      </c>
      <c r="Z247" s="7" t="e">
        <f t="shared" si="119"/>
        <v>#NAME?</v>
      </c>
      <c r="AA247" s="7" t="e">
        <f t="shared" si="119"/>
        <v>#NAME?</v>
      </c>
      <c r="AB247" s="7" t="e">
        <f t="shared" si="119"/>
        <v>#NAME?</v>
      </c>
      <c r="AC247" s="7" t="e">
        <f t="shared" si="119"/>
        <v>#NAME?</v>
      </c>
      <c r="AD247" s="7" t="e">
        <f t="shared" si="119"/>
        <v>#NAME?</v>
      </c>
      <c r="AE247" s="7" t="e">
        <f t="shared" si="119"/>
        <v>#NAME?</v>
      </c>
      <c r="AF247" s="7" t="e">
        <f t="shared" si="119"/>
        <v>#NAME?</v>
      </c>
      <c r="AG247" s="7" t="e">
        <f t="shared" si="119"/>
        <v>#NAME?</v>
      </c>
      <c r="AH247" s="7" t="e">
        <f t="shared" si="114"/>
        <v>#NAME?</v>
      </c>
      <c r="AI247" s="7" t="e">
        <f t="shared" si="50"/>
        <v>#NAME?</v>
      </c>
      <c r="AJ247" s="8" t="e">
        <f t="shared" si="115"/>
        <v>#NAME?</v>
      </c>
      <c r="AK247" s="7" t="e">
        <f t="shared" si="116"/>
        <v>#NAME?</v>
      </c>
      <c r="AL247" s="7" t="e">
        <f t="shared" si="117"/>
        <v>#NAME?</v>
      </c>
    </row>
    <row r="248" spans="1:41" s="7" customFormat="1">
      <c r="A248" s="7">
        <f t="shared" si="112"/>
        <v>9</v>
      </c>
      <c r="B248" s="7" t="e">
        <f t="shared" ref="B248:AG248" si="120">B187-B220</f>
        <v>#NAME?</v>
      </c>
      <c r="C248" s="7" t="e">
        <f t="shared" si="120"/>
        <v>#NAME?</v>
      </c>
      <c r="D248" s="7" t="e">
        <f t="shared" si="120"/>
        <v>#NAME?</v>
      </c>
      <c r="E248" s="7" t="e">
        <f t="shared" si="120"/>
        <v>#NAME?</v>
      </c>
      <c r="F248" s="7" t="e">
        <f t="shared" si="120"/>
        <v>#NAME?</v>
      </c>
      <c r="G248" s="7" t="e">
        <f t="shared" si="120"/>
        <v>#NAME?</v>
      </c>
      <c r="H248" s="7" t="e">
        <f t="shared" si="120"/>
        <v>#NAME?</v>
      </c>
      <c r="I248" s="7" t="e">
        <f t="shared" si="120"/>
        <v>#NAME?</v>
      </c>
      <c r="J248" s="7" t="e">
        <f t="shared" si="120"/>
        <v>#NAME?</v>
      </c>
      <c r="K248" s="7" t="e">
        <f t="shared" si="120"/>
        <v>#NAME?</v>
      </c>
      <c r="L248" s="7" t="e">
        <f t="shared" si="120"/>
        <v>#NAME?</v>
      </c>
      <c r="M248" s="7" t="e">
        <f t="shared" si="120"/>
        <v>#NAME?</v>
      </c>
      <c r="N248" s="7" t="e">
        <f t="shared" si="120"/>
        <v>#NAME?</v>
      </c>
      <c r="O248" s="7" t="e">
        <f t="shared" si="120"/>
        <v>#NAME?</v>
      </c>
      <c r="P248" s="7" t="e">
        <f t="shared" si="120"/>
        <v>#NAME?</v>
      </c>
      <c r="Q248" s="7" t="e">
        <f t="shared" si="120"/>
        <v>#NAME?</v>
      </c>
      <c r="R248" s="7" t="e">
        <f t="shared" si="120"/>
        <v>#NAME?</v>
      </c>
      <c r="S248" s="7" t="e">
        <f t="shared" si="120"/>
        <v>#NAME?</v>
      </c>
      <c r="U248" s="7" t="e">
        <f t="shared" si="120"/>
        <v>#NAME?</v>
      </c>
      <c r="V248" s="7" t="e">
        <f t="shared" si="120"/>
        <v>#NAME?</v>
      </c>
      <c r="W248" s="7" t="e">
        <f t="shared" si="120"/>
        <v>#NAME?</v>
      </c>
      <c r="X248" s="7" t="e">
        <f t="shared" si="120"/>
        <v>#NAME?</v>
      </c>
      <c r="Y248" s="7" t="e">
        <f t="shared" si="120"/>
        <v>#NAME?</v>
      </c>
      <c r="Z248" s="7" t="e">
        <f t="shared" si="120"/>
        <v>#NAME?</v>
      </c>
      <c r="AA248" s="7" t="e">
        <f t="shared" si="120"/>
        <v>#NAME?</v>
      </c>
      <c r="AB248" s="7" t="e">
        <f t="shared" si="120"/>
        <v>#NAME?</v>
      </c>
      <c r="AC248" s="7" t="e">
        <f t="shared" si="120"/>
        <v>#NAME?</v>
      </c>
      <c r="AD248" s="7" t="e">
        <f t="shared" si="120"/>
        <v>#NAME?</v>
      </c>
      <c r="AE248" s="7" t="e">
        <f t="shared" si="120"/>
        <v>#NAME?</v>
      </c>
      <c r="AF248" s="7" t="e">
        <f t="shared" si="120"/>
        <v>#NAME?</v>
      </c>
      <c r="AG248" s="7" t="e">
        <f t="shared" si="120"/>
        <v>#NAME?</v>
      </c>
      <c r="AH248" s="7" t="e">
        <f t="shared" si="114"/>
        <v>#NAME?</v>
      </c>
      <c r="AI248" s="7" t="e">
        <f t="shared" si="50"/>
        <v>#NAME?</v>
      </c>
      <c r="AJ248" s="8" t="e">
        <f t="shared" si="115"/>
        <v>#NAME?</v>
      </c>
      <c r="AK248" s="7" t="e">
        <f t="shared" si="116"/>
        <v>#NAME?</v>
      </c>
      <c r="AL248" s="7" t="e">
        <f t="shared" si="117"/>
        <v>#NAME?</v>
      </c>
    </row>
    <row r="249" spans="1:41" s="7" customFormat="1">
      <c r="A249" s="7">
        <f t="shared" si="112"/>
        <v>10</v>
      </c>
      <c r="B249" s="7" t="e">
        <f t="shared" ref="B249:AG249" si="121">B188-B221</f>
        <v>#NAME?</v>
      </c>
      <c r="C249" s="7" t="e">
        <f t="shared" si="121"/>
        <v>#NAME?</v>
      </c>
      <c r="D249" s="7" t="e">
        <f t="shared" si="121"/>
        <v>#NAME?</v>
      </c>
      <c r="E249" s="7" t="e">
        <f t="shared" si="121"/>
        <v>#NAME?</v>
      </c>
      <c r="F249" s="7" t="e">
        <f t="shared" si="121"/>
        <v>#NAME?</v>
      </c>
      <c r="G249" s="7" t="e">
        <f t="shared" si="121"/>
        <v>#NAME?</v>
      </c>
      <c r="H249" s="7" t="e">
        <f t="shared" si="121"/>
        <v>#NAME?</v>
      </c>
      <c r="I249" s="7" t="e">
        <f t="shared" si="121"/>
        <v>#NAME?</v>
      </c>
      <c r="J249" s="7" t="e">
        <f t="shared" si="121"/>
        <v>#NAME?</v>
      </c>
      <c r="K249" s="7" t="e">
        <f t="shared" si="121"/>
        <v>#NAME?</v>
      </c>
      <c r="L249" s="7" t="e">
        <f t="shared" si="121"/>
        <v>#NAME?</v>
      </c>
      <c r="M249" s="7" t="e">
        <f t="shared" si="121"/>
        <v>#NAME?</v>
      </c>
      <c r="N249" s="7" t="e">
        <f t="shared" si="121"/>
        <v>#NAME?</v>
      </c>
      <c r="O249" s="7" t="e">
        <f t="shared" si="121"/>
        <v>#NAME?</v>
      </c>
      <c r="P249" s="7" t="e">
        <f t="shared" si="121"/>
        <v>#NAME?</v>
      </c>
      <c r="Q249" s="7" t="e">
        <f t="shared" si="121"/>
        <v>#NAME?</v>
      </c>
      <c r="R249" s="7" t="e">
        <f t="shared" si="121"/>
        <v>#NAME?</v>
      </c>
      <c r="S249" s="7" t="e">
        <f t="shared" si="121"/>
        <v>#NAME?</v>
      </c>
      <c r="U249" s="7" t="e">
        <f t="shared" si="121"/>
        <v>#NAME?</v>
      </c>
      <c r="V249" s="7" t="e">
        <f t="shared" si="121"/>
        <v>#NAME?</v>
      </c>
      <c r="W249" s="7" t="e">
        <f t="shared" si="121"/>
        <v>#NAME?</v>
      </c>
      <c r="X249" s="7" t="e">
        <f t="shared" si="121"/>
        <v>#NAME?</v>
      </c>
      <c r="Y249" s="7" t="e">
        <f t="shared" si="121"/>
        <v>#NAME?</v>
      </c>
      <c r="Z249" s="7" t="e">
        <f t="shared" si="121"/>
        <v>#NAME?</v>
      </c>
      <c r="AA249" s="7" t="e">
        <f t="shared" si="121"/>
        <v>#NAME?</v>
      </c>
      <c r="AB249" s="7" t="e">
        <f t="shared" si="121"/>
        <v>#NAME?</v>
      </c>
      <c r="AC249" s="7" t="e">
        <f t="shared" si="121"/>
        <v>#NAME?</v>
      </c>
      <c r="AD249" s="7" t="e">
        <f t="shared" si="121"/>
        <v>#NAME?</v>
      </c>
      <c r="AE249" s="7" t="e">
        <f t="shared" si="121"/>
        <v>#NAME?</v>
      </c>
      <c r="AF249" s="7" t="e">
        <f t="shared" si="121"/>
        <v>#NAME?</v>
      </c>
      <c r="AG249" s="7" t="e">
        <f t="shared" si="121"/>
        <v>#NAME?</v>
      </c>
      <c r="AH249" s="7" t="e">
        <f t="shared" si="114"/>
        <v>#NAME?</v>
      </c>
      <c r="AI249" s="7" t="e">
        <f t="shared" si="50"/>
        <v>#NAME?</v>
      </c>
      <c r="AJ249" s="8" t="e">
        <f t="shared" si="115"/>
        <v>#NAME?</v>
      </c>
      <c r="AK249" s="7" t="e">
        <f t="shared" si="116"/>
        <v>#NAME?</v>
      </c>
      <c r="AL249" s="7" t="e">
        <f t="shared" si="117"/>
        <v>#NAME?</v>
      </c>
    </row>
    <row r="250" spans="1:41" s="7" customFormat="1">
      <c r="A250" s="7">
        <f t="shared" si="112"/>
        <v>11</v>
      </c>
      <c r="B250" s="7" t="e">
        <f t="shared" ref="B250:AG250" si="122">B189-B222</f>
        <v>#NAME?</v>
      </c>
      <c r="C250" s="7" t="e">
        <f t="shared" si="122"/>
        <v>#NAME?</v>
      </c>
      <c r="D250" s="7" t="e">
        <f t="shared" si="122"/>
        <v>#NAME?</v>
      </c>
      <c r="E250" s="7" t="e">
        <f t="shared" si="122"/>
        <v>#NAME?</v>
      </c>
      <c r="F250" s="7" t="e">
        <f t="shared" si="122"/>
        <v>#NAME?</v>
      </c>
      <c r="G250" s="7" t="e">
        <f t="shared" si="122"/>
        <v>#NAME?</v>
      </c>
      <c r="H250" s="7" t="e">
        <f t="shared" si="122"/>
        <v>#NAME?</v>
      </c>
      <c r="I250" s="7" t="e">
        <f t="shared" si="122"/>
        <v>#NAME?</v>
      </c>
      <c r="J250" s="7" t="e">
        <f t="shared" si="122"/>
        <v>#NAME?</v>
      </c>
      <c r="K250" s="7" t="e">
        <f t="shared" si="122"/>
        <v>#NAME?</v>
      </c>
      <c r="L250" s="7" t="e">
        <f t="shared" si="122"/>
        <v>#NAME?</v>
      </c>
      <c r="M250" s="7" t="e">
        <f t="shared" si="122"/>
        <v>#NAME?</v>
      </c>
      <c r="N250" s="7" t="e">
        <f t="shared" si="122"/>
        <v>#NAME?</v>
      </c>
      <c r="O250" s="7" t="e">
        <f t="shared" si="122"/>
        <v>#NAME?</v>
      </c>
      <c r="P250" s="7" t="e">
        <f t="shared" si="122"/>
        <v>#NAME?</v>
      </c>
      <c r="Q250" s="7" t="e">
        <f t="shared" si="122"/>
        <v>#NAME?</v>
      </c>
      <c r="R250" s="7" t="e">
        <f t="shared" si="122"/>
        <v>#NAME?</v>
      </c>
      <c r="S250" s="7" t="e">
        <f t="shared" si="122"/>
        <v>#NAME?</v>
      </c>
      <c r="U250" s="7" t="e">
        <f t="shared" si="122"/>
        <v>#NAME?</v>
      </c>
      <c r="V250" s="7" t="e">
        <f t="shared" si="122"/>
        <v>#NAME?</v>
      </c>
      <c r="W250" s="7" t="e">
        <f t="shared" si="122"/>
        <v>#NAME?</v>
      </c>
      <c r="X250" s="7" t="e">
        <f t="shared" si="122"/>
        <v>#NAME?</v>
      </c>
      <c r="Y250" s="7" t="e">
        <f t="shared" si="122"/>
        <v>#NAME?</v>
      </c>
      <c r="Z250" s="7" t="e">
        <f t="shared" si="122"/>
        <v>#NAME?</v>
      </c>
      <c r="AA250" s="7" t="e">
        <f t="shared" si="122"/>
        <v>#NAME?</v>
      </c>
      <c r="AB250" s="7" t="e">
        <f t="shared" si="122"/>
        <v>#NAME?</v>
      </c>
      <c r="AC250" s="7" t="e">
        <f t="shared" si="122"/>
        <v>#NAME?</v>
      </c>
      <c r="AD250" s="7" t="e">
        <f t="shared" si="122"/>
        <v>#NAME?</v>
      </c>
      <c r="AE250" s="7" t="e">
        <f t="shared" si="122"/>
        <v>#NAME?</v>
      </c>
      <c r="AF250" s="7" t="e">
        <f t="shared" si="122"/>
        <v>#NAME?</v>
      </c>
      <c r="AG250" s="7" t="e">
        <f t="shared" si="122"/>
        <v>#NAME?</v>
      </c>
      <c r="AH250" s="7" t="e">
        <f t="shared" si="114"/>
        <v>#NAME?</v>
      </c>
      <c r="AI250" s="7" t="e">
        <f t="shared" si="50"/>
        <v>#NAME?</v>
      </c>
      <c r="AJ250" s="8" t="e">
        <f t="shared" si="115"/>
        <v>#NAME?</v>
      </c>
      <c r="AK250" s="7" t="e">
        <f t="shared" si="116"/>
        <v>#NAME?</v>
      </c>
      <c r="AL250" s="7" t="e">
        <f t="shared" si="117"/>
        <v>#NAME?</v>
      </c>
    </row>
    <row r="251" spans="1:41" s="7" customFormat="1">
      <c r="A251" s="7">
        <f t="shared" si="112"/>
        <v>12</v>
      </c>
      <c r="B251" s="7" t="e">
        <f t="shared" ref="B251:AG251" si="123">B190-B223</f>
        <v>#NAME?</v>
      </c>
      <c r="C251" s="7" t="e">
        <f t="shared" si="123"/>
        <v>#NAME?</v>
      </c>
      <c r="D251" s="7" t="e">
        <f t="shared" si="123"/>
        <v>#NAME?</v>
      </c>
      <c r="E251" s="7" t="e">
        <f t="shared" si="123"/>
        <v>#NAME?</v>
      </c>
      <c r="F251" s="7" t="e">
        <f t="shared" si="123"/>
        <v>#NAME?</v>
      </c>
      <c r="G251" s="7" t="e">
        <f t="shared" si="123"/>
        <v>#NAME?</v>
      </c>
      <c r="H251" s="7" t="e">
        <f t="shared" si="123"/>
        <v>#NAME?</v>
      </c>
      <c r="I251" s="7" t="e">
        <f t="shared" si="123"/>
        <v>#NAME?</v>
      </c>
      <c r="J251" s="7" t="e">
        <f t="shared" si="123"/>
        <v>#NAME?</v>
      </c>
      <c r="K251" s="7" t="e">
        <f t="shared" si="123"/>
        <v>#NAME?</v>
      </c>
      <c r="L251" s="7" t="e">
        <f t="shared" si="123"/>
        <v>#NAME?</v>
      </c>
      <c r="M251" s="7" t="e">
        <f t="shared" si="123"/>
        <v>#NAME?</v>
      </c>
      <c r="N251" s="7" t="e">
        <f t="shared" si="123"/>
        <v>#NAME?</v>
      </c>
      <c r="O251" s="7" t="e">
        <f t="shared" si="123"/>
        <v>#NAME?</v>
      </c>
      <c r="P251" s="7" t="e">
        <f t="shared" si="123"/>
        <v>#NAME?</v>
      </c>
      <c r="Q251" s="7" t="e">
        <f t="shared" si="123"/>
        <v>#NAME?</v>
      </c>
      <c r="R251" s="7" t="e">
        <f t="shared" si="123"/>
        <v>#NAME?</v>
      </c>
      <c r="S251" s="7" t="e">
        <f t="shared" si="123"/>
        <v>#NAME?</v>
      </c>
      <c r="U251" s="7" t="e">
        <f t="shared" si="123"/>
        <v>#NAME?</v>
      </c>
      <c r="V251" s="7" t="e">
        <f t="shared" si="123"/>
        <v>#NAME?</v>
      </c>
      <c r="W251" s="7" t="e">
        <f t="shared" si="123"/>
        <v>#NAME?</v>
      </c>
      <c r="X251" s="7" t="e">
        <f t="shared" si="123"/>
        <v>#NAME?</v>
      </c>
      <c r="Y251" s="7" t="e">
        <f t="shared" si="123"/>
        <v>#NAME?</v>
      </c>
      <c r="Z251" s="7" t="e">
        <f t="shared" si="123"/>
        <v>#NAME?</v>
      </c>
      <c r="AA251" s="7" t="e">
        <f t="shared" si="123"/>
        <v>#NAME?</v>
      </c>
      <c r="AB251" s="7" t="e">
        <f t="shared" si="123"/>
        <v>#NAME?</v>
      </c>
      <c r="AC251" s="7" t="e">
        <f t="shared" si="123"/>
        <v>#NAME?</v>
      </c>
      <c r="AD251" s="7" t="e">
        <f t="shared" si="123"/>
        <v>#NAME?</v>
      </c>
      <c r="AE251" s="7" t="e">
        <f t="shared" si="123"/>
        <v>#NAME?</v>
      </c>
      <c r="AF251" s="7" t="e">
        <f t="shared" si="123"/>
        <v>#NAME?</v>
      </c>
      <c r="AG251" s="7" t="e">
        <f t="shared" si="123"/>
        <v>#NAME?</v>
      </c>
      <c r="AH251" s="7" t="e">
        <f t="shared" si="114"/>
        <v>#NAME?</v>
      </c>
      <c r="AI251" s="7" t="e">
        <f t="shared" si="50"/>
        <v>#NAME?</v>
      </c>
      <c r="AJ251" s="8" t="e">
        <f t="shared" si="115"/>
        <v>#NAME?</v>
      </c>
      <c r="AK251" s="7" t="e">
        <f t="shared" si="116"/>
        <v>#NAME?</v>
      </c>
      <c r="AL251" s="7" t="e">
        <f t="shared" si="117"/>
        <v>#NAME?</v>
      </c>
    </row>
    <row r="252" spans="1:41" s="7" customFormat="1">
      <c r="A252" s="7">
        <f t="shared" si="112"/>
        <v>13</v>
      </c>
      <c r="B252" s="7" t="e">
        <f t="shared" ref="B252:AG252" si="124">B191-B224</f>
        <v>#NAME?</v>
      </c>
      <c r="C252" s="7" t="e">
        <f t="shared" si="124"/>
        <v>#NAME?</v>
      </c>
      <c r="D252" s="7" t="e">
        <f t="shared" si="124"/>
        <v>#NAME?</v>
      </c>
      <c r="E252" s="7" t="e">
        <f t="shared" si="124"/>
        <v>#NAME?</v>
      </c>
      <c r="F252" s="7" t="e">
        <f t="shared" si="124"/>
        <v>#NAME?</v>
      </c>
      <c r="G252" s="7" t="e">
        <f t="shared" si="124"/>
        <v>#NAME?</v>
      </c>
      <c r="H252" s="7" t="e">
        <f t="shared" si="124"/>
        <v>#NAME?</v>
      </c>
      <c r="I252" s="7" t="e">
        <f t="shared" si="124"/>
        <v>#NAME?</v>
      </c>
      <c r="J252" s="7" t="e">
        <f t="shared" si="124"/>
        <v>#NAME?</v>
      </c>
      <c r="K252" s="7" t="e">
        <f t="shared" si="124"/>
        <v>#NAME?</v>
      </c>
      <c r="L252" s="7" t="e">
        <f t="shared" si="124"/>
        <v>#NAME?</v>
      </c>
      <c r="M252" s="7" t="e">
        <f t="shared" si="124"/>
        <v>#NAME?</v>
      </c>
      <c r="N252" s="7" t="e">
        <f t="shared" si="124"/>
        <v>#NAME?</v>
      </c>
      <c r="O252" s="7" t="e">
        <f t="shared" si="124"/>
        <v>#NAME?</v>
      </c>
      <c r="P252" s="7" t="e">
        <f t="shared" si="124"/>
        <v>#NAME?</v>
      </c>
      <c r="Q252" s="7" t="e">
        <f t="shared" si="124"/>
        <v>#NAME?</v>
      </c>
      <c r="R252" s="7" t="e">
        <f t="shared" si="124"/>
        <v>#NAME?</v>
      </c>
      <c r="S252" s="7" t="e">
        <f t="shared" si="124"/>
        <v>#NAME?</v>
      </c>
      <c r="U252" s="7" t="e">
        <f t="shared" si="124"/>
        <v>#NAME?</v>
      </c>
      <c r="V252" s="7" t="e">
        <f t="shared" si="124"/>
        <v>#NAME?</v>
      </c>
      <c r="W252" s="7" t="e">
        <f t="shared" si="124"/>
        <v>#NAME?</v>
      </c>
      <c r="X252" s="7" t="e">
        <f t="shared" si="124"/>
        <v>#NAME?</v>
      </c>
      <c r="Y252" s="7" t="e">
        <f t="shared" si="124"/>
        <v>#NAME?</v>
      </c>
      <c r="Z252" s="7" t="e">
        <f t="shared" si="124"/>
        <v>#NAME?</v>
      </c>
      <c r="AA252" s="7" t="e">
        <f t="shared" si="124"/>
        <v>#NAME?</v>
      </c>
      <c r="AB252" s="7" t="e">
        <f t="shared" si="124"/>
        <v>#NAME?</v>
      </c>
      <c r="AC252" s="7" t="e">
        <f t="shared" si="124"/>
        <v>#NAME?</v>
      </c>
      <c r="AD252" s="7" t="e">
        <f t="shared" si="124"/>
        <v>#NAME?</v>
      </c>
      <c r="AE252" s="7" t="e">
        <f t="shared" si="124"/>
        <v>#NAME?</v>
      </c>
      <c r="AF252" s="7" t="e">
        <f t="shared" si="124"/>
        <v>#NAME?</v>
      </c>
      <c r="AG252" s="7" t="e">
        <f t="shared" si="124"/>
        <v>#NAME?</v>
      </c>
      <c r="AH252" s="7" t="e">
        <f t="shared" si="114"/>
        <v>#NAME?</v>
      </c>
      <c r="AI252" s="7" t="e">
        <f t="shared" si="50"/>
        <v>#NAME?</v>
      </c>
      <c r="AJ252" s="8" t="e">
        <f t="shared" si="115"/>
        <v>#NAME?</v>
      </c>
      <c r="AK252" s="7" t="e">
        <f t="shared" si="116"/>
        <v>#NAME?</v>
      </c>
      <c r="AL252" s="7" t="e">
        <f t="shared" si="117"/>
        <v>#NAME?</v>
      </c>
    </row>
    <row r="253" spans="1:41" s="7" customFormat="1">
      <c r="A253" s="7">
        <f t="shared" si="112"/>
        <v>14</v>
      </c>
      <c r="B253" s="7" t="e">
        <f t="shared" ref="B253:AG253" si="125">B192-B225</f>
        <v>#NAME?</v>
      </c>
      <c r="C253" s="7" t="e">
        <f t="shared" si="125"/>
        <v>#NAME?</v>
      </c>
      <c r="D253" s="7" t="e">
        <f t="shared" si="125"/>
        <v>#NAME?</v>
      </c>
      <c r="E253" s="7" t="e">
        <f t="shared" si="125"/>
        <v>#NAME?</v>
      </c>
      <c r="F253" s="7" t="e">
        <f t="shared" si="125"/>
        <v>#NAME?</v>
      </c>
      <c r="G253" s="7" t="e">
        <f t="shared" si="125"/>
        <v>#NAME?</v>
      </c>
      <c r="H253" s="7" t="e">
        <f t="shared" si="125"/>
        <v>#NAME?</v>
      </c>
      <c r="I253" s="7" t="e">
        <f t="shared" si="125"/>
        <v>#NAME?</v>
      </c>
      <c r="J253" s="7" t="e">
        <f t="shared" si="125"/>
        <v>#NAME?</v>
      </c>
      <c r="K253" s="7" t="e">
        <f t="shared" si="125"/>
        <v>#NAME?</v>
      </c>
      <c r="L253" s="7" t="e">
        <f t="shared" si="125"/>
        <v>#NAME?</v>
      </c>
      <c r="M253" s="7" t="e">
        <f t="shared" si="125"/>
        <v>#NAME?</v>
      </c>
      <c r="N253" s="7" t="e">
        <f t="shared" si="125"/>
        <v>#NAME?</v>
      </c>
      <c r="O253" s="7" t="e">
        <f t="shared" si="125"/>
        <v>#NAME?</v>
      </c>
      <c r="P253" s="7" t="e">
        <f t="shared" si="125"/>
        <v>#NAME?</v>
      </c>
      <c r="Q253" s="7" t="e">
        <f t="shared" si="125"/>
        <v>#NAME?</v>
      </c>
      <c r="R253" s="7" t="e">
        <f t="shared" si="125"/>
        <v>#NAME?</v>
      </c>
      <c r="S253" s="7" t="e">
        <f t="shared" si="125"/>
        <v>#NAME?</v>
      </c>
      <c r="U253" s="7" t="e">
        <f t="shared" si="125"/>
        <v>#NAME?</v>
      </c>
      <c r="V253" s="7" t="e">
        <f t="shared" si="125"/>
        <v>#NAME?</v>
      </c>
      <c r="W253" s="7" t="e">
        <f t="shared" si="125"/>
        <v>#NAME?</v>
      </c>
      <c r="X253" s="7" t="e">
        <f t="shared" si="125"/>
        <v>#NAME?</v>
      </c>
      <c r="Y253" s="7" t="e">
        <f t="shared" si="125"/>
        <v>#NAME?</v>
      </c>
      <c r="Z253" s="7" t="e">
        <f t="shared" si="125"/>
        <v>#NAME?</v>
      </c>
      <c r="AA253" s="7" t="e">
        <f t="shared" si="125"/>
        <v>#NAME?</v>
      </c>
      <c r="AB253" s="7" t="e">
        <f t="shared" si="125"/>
        <v>#NAME?</v>
      </c>
      <c r="AC253" s="7" t="e">
        <f t="shared" si="125"/>
        <v>#NAME?</v>
      </c>
      <c r="AD253" s="7" t="e">
        <f t="shared" si="125"/>
        <v>#NAME?</v>
      </c>
      <c r="AE253" s="7" t="e">
        <f t="shared" si="125"/>
        <v>#NAME?</v>
      </c>
      <c r="AF253" s="7" t="e">
        <f t="shared" si="125"/>
        <v>#NAME?</v>
      </c>
      <c r="AG253" s="7" t="e">
        <f t="shared" si="125"/>
        <v>#NAME?</v>
      </c>
      <c r="AH253" s="7" t="e">
        <f t="shared" si="114"/>
        <v>#NAME?</v>
      </c>
      <c r="AI253" s="7" t="e">
        <f t="shared" si="50"/>
        <v>#NAME?</v>
      </c>
      <c r="AJ253" s="8" t="e">
        <f t="shared" si="115"/>
        <v>#NAME?</v>
      </c>
      <c r="AK253" s="7" t="e">
        <f t="shared" si="116"/>
        <v>#NAME?</v>
      </c>
      <c r="AL253" s="7" t="e">
        <f t="shared" si="117"/>
        <v>#NAME?</v>
      </c>
    </row>
    <row r="254" spans="1:41">
      <c r="A254" s="7">
        <f t="shared" ref="A254:A255" si="126">A226</f>
        <v>15</v>
      </c>
      <c r="B254" s="7" t="e">
        <f t="shared" ref="B254:AG254" si="127">B193-B226</f>
        <v>#NAME?</v>
      </c>
      <c r="C254" s="7" t="e">
        <f t="shared" si="127"/>
        <v>#NAME?</v>
      </c>
      <c r="D254" s="7" t="e">
        <f t="shared" si="127"/>
        <v>#NAME?</v>
      </c>
      <c r="E254" s="7" t="e">
        <f t="shared" si="127"/>
        <v>#NAME?</v>
      </c>
      <c r="F254" s="7" t="e">
        <f t="shared" si="127"/>
        <v>#NAME?</v>
      </c>
      <c r="G254" s="7" t="e">
        <f t="shared" si="127"/>
        <v>#NAME?</v>
      </c>
      <c r="H254" s="7" t="e">
        <f t="shared" si="127"/>
        <v>#NAME?</v>
      </c>
      <c r="I254" s="7" t="e">
        <f t="shared" si="127"/>
        <v>#NAME?</v>
      </c>
      <c r="J254" s="7" t="e">
        <f t="shared" si="127"/>
        <v>#NAME?</v>
      </c>
      <c r="K254" s="7" t="e">
        <f t="shared" si="127"/>
        <v>#NAME?</v>
      </c>
      <c r="L254" s="7" t="e">
        <f t="shared" si="127"/>
        <v>#NAME?</v>
      </c>
      <c r="M254" s="7" t="e">
        <f t="shared" si="127"/>
        <v>#NAME?</v>
      </c>
      <c r="N254" s="7" t="e">
        <f t="shared" si="127"/>
        <v>#NAME?</v>
      </c>
      <c r="O254" s="7" t="e">
        <f t="shared" si="127"/>
        <v>#NAME?</v>
      </c>
      <c r="P254" s="7" t="e">
        <f t="shared" si="127"/>
        <v>#NAME?</v>
      </c>
      <c r="Q254" s="7" t="e">
        <f t="shared" si="127"/>
        <v>#NAME?</v>
      </c>
      <c r="R254" s="7" t="e">
        <f t="shared" si="127"/>
        <v>#NAME?</v>
      </c>
      <c r="S254" s="7" t="e">
        <f t="shared" si="127"/>
        <v>#NAME?</v>
      </c>
      <c r="T254" s="7"/>
      <c r="U254" s="7" t="e">
        <f t="shared" si="127"/>
        <v>#NAME?</v>
      </c>
      <c r="V254" s="7" t="e">
        <f t="shared" si="127"/>
        <v>#NAME?</v>
      </c>
      <c r="W254" s="7" t="e">
        <f t="shared" si="127"/>
        <v>#NAME?</v>
      </c>
      <c r="X254" s="7" t="e">
        <f t="shared" si="127"/>
        <v>#NAME?</v>
      </c>
      <c r="Y254" s="7" t="e">
        <f t="shared" si="127"/>
        <v>#NAME?</v>
      </c>
      <c r="Z254" s="7" t="e">
        <f t="shared" si="127"/>
        <v>#NAME?</v>
      </c>
      <c r="AA254" s="7" t="e">
        <f t="shared" si="127"/>
        <v>#NAME?</v>
      </c>
      <c r="AB254" s="7" t="e">
        <f t="shared" si="127"/>
        <v>#NAME?</v>
      </c>
      <c r="AC254" s="7" t="e">
        <f t="shared" si="127"/>
        <v>#NAME?</v>
      </c>
      <c r="AD254" s="7" t="e">
        <f t="shared" si="127"/>
        <v>#NAME?</v>
      </c>
      <c r="AE254" s="7" t="e">
        <f t="shared" si="127"/>
        <v>#NAME?</v>
      </c>
      <c r="AF254" s="7" t="e">
        <f t="shared" si="127"/>
        <v>#NAME?</v>
      </c>
      <c r="AG254" s="7" t="e">
        <f t="shared" si="127"/>
        <v>#NAME?</v>
      </c>
      <c r="AH254" s="7" t="e">
        <f t="shared" ref="AH254:AH255" si="128">STDEV(B254:AG254)</f>
        <v>#NAME?</v>
      </c>
      <c r="AI254" s="7" t="e">
        <f t="shared" si="50"/>
        <v>#NAME?</v>
      </c>
      <c r="AJ254" s="8" t="e">
        <f t="shared" ref="AJ254:AJ255" si="129">AVERAGE(B254:AG254)</f>
        <v>#NAME?</v>
      </c>
      <c r="AK254" s="7" t="e">
        <f t="shared" ref="AK254:AK255" si="130">AJ254+1.5*AH254</f>
        <v>#NAME?</v>
      </c>
      <c r="AL254" s="7" t="e">
        <f t="shared" si="117"/>
        <v>#NAME?</v>
      </c>
      <c r="AM254" s="7"/>
      <c r="AN254" s="7"/>
      <c r="AO254" s="7"/>
    </row>
    <row r="255" spans="1:41">
      <c r="A255" s="7">
        <f t="shared" si="126"/>
        <v>16</v>
      </c>
      <c r="B255" s="7" t="e">
        <f t="shared" ref="B255:AG255" si="131">B194-B227</f>
        <v>#NAME?</v>
      </c>
      <c r="C255" s="7" t="e">
        <f t="shared" si="131"/>
        <v>#NAME?</v>
      </c>
      <c r="D255" s="7" t="e">
        <f t="shared" si="131"/>
        <v>#NAME?</v>
      </c>
      <c r="E255" s="7" t="e">
        <f t="shared" si="131"/>
        <v>#NAME?</v>
      </c>
      <c r="F255" s="7" t="e">
        <f t="shared" si="131"/>
        <v>#NAME?</v>
      </c>
      <c r="G255" s="7" t="e">
        <f t="shared" si="131"/>
        <v>#NAME?</v>
      </c>
      <c r="H255" s="7" t="e">
        <f t="shared" si="131"/>
        <v>#NAME?</v>
      </c>
      <c r="I255" s="7" t="e">
        <f t="shared" si="131"/>
        <v>#NAME?</v>
      </c>
      <c r="J255" s="7" t="e">
        <f t="shared" si="131"/>
        <v>#NAME?</v>
      </c>
      <c r="K255" s="7" t="e">
        <f t="shared" si="131"/>
        <v>#NAME?</v>
      </c>
      <c r="L255" s="7" t="e">
        <f t="shared" si="131"/>
        <v>#NAME?</v>
      </c>
      <c r="M255" s="7" t="e">
        <f t="shared" si="131"/>
        <v>#NAME?</v>
      </c>
      <c r="N255" s="7" t="e">
        <f t="shared" si="131"/>
        <v>#NAME?</v>
      </c>
      <c r="O255" s="7" t="e">
        <f t="shared" si="131"/>
        <v>#NAME?</v>
      </c>
      <c r="P255" s="7" t="e">
        <f t="shared" si="131"/>
        <v>#NAME?</v>
      </c>
      <c r="Q255" s="7" t="e">
        <f t="shared" si="131"/>
        <v>#NAME?</v>
      </c>
      <c r="R255" s="7" t="e">
        <f t="shared" si="131"/>
        <v>#NAME?</v>
      </c>
      <c r="S255" s="7" t="e">
        <f t="shared" si="131"/>
        <v>#NAME?</v>
      </c>
      <c r="T255" s="7"/>
      <c r="U255" s="7" t="e">
        <f t="shared" si="131"/>
        <v>#NAME?</v>
      </c>
      <c r="V255" s="7" t="e">
        <f t="shared" si="131"/>
        <v>#NAME?</v>
      </c>
      <c r="W255" s="7" t="e">
        <f t="shared" si="131"/>
        <v>#NAME?</v>
      </c>
      <c r="X255" s="7" t="e">
        <f t="shared" si="131"/>
        <v>#NAME?</v>
      </c>
      <c r="Y255" s="7" t="e">
        <f t="shared" si="131"/>
        <v>#NAME?</v>
      </c>
      <c r="Z255" s="7" t="e">
        <f t="shared" si="131"/>
        <v>#NAME?</v>
      </c>
      <c r="AA255" s="7" t="e">
        <f t="shared" si="131"/>
        <v>#NAME?</v>
      </c>
      <c r="AB255" s="7" t="e">
        <f t="shared" si="131"/>
        <v>#NAME?</v>
      </c>
      <c r="AC255" s="7" t="e">
        <f t="shared" si="131"/>
        <v>#NAME?</v>
      </c>
      <c r="AD255" s="7" t="e">
        <f t="shared" si="131"/>
        <v>#NAME?</v>
      </c>
      <c r="AE255" s="7" t="e">
        <f t="shared" si="131"/>
        <v>#NAME?</v>
      </c>
      <c r="AF255" s="7" t="e">
        <f t="shared" si="131"/>
        <v>#NAME?</v>
      </c>
      <c r="AG255" s="7" t="e">
        <f t="shared" si="131"/>
        <v>#NAME?</v>
      </c>
      <c r="AH255" s="7" t="e">
        <f t="shared" si="128"/>
        <v>#NAME?</v>
      </c>
      <c r="AI255" s="7" t="e">
        <f t="shared" si="50"/>
        <v>#NAME?</v>
      </c>
      <c r="AJ255" s="8" t="e">
        <f t="shared" si="129"/>
        <v>#NAME?</v>
      </c>
      <c r="AK255" s="7" t="e">
        <f t="shared" si="130"/>
        <v>#NAME?</v>
      </c>
      <c r="AL255" s="7" t="e">
        <f t="shared" si="117"/>
        <v>#NAME?</v>
      </c>
      <c r="AM255" s="7"/>
      <c r="AN255" s="7"/>
      <c r="AO255" s="7"/>
    </row>
    <row r="256" spans="1:41">
      <c r="A256" s="7">
        <f t="shared" ref="A256:A262" si="132">A228</f>
        <v>17</v>
      </c>
      <c r="B256" s="7" t="e">
        <f t="shared" ref="B256:AG256" si="133">B195-B228</f>
        <v>#NAME?</v>
      </c>
      <c r="C256" s="7" t="e">
        <f t="shared" si="133"/>
        <v>#NAME?</v>
      </c>
      <c r="D256" s="7" t="e">
        <f t="shared" si="133"/>
        <v>#NAME?</v>
      </c>
      <c r="E256" s="7" t="e">
        <f t="shared" si="133"/>
        <v>#NAME?</v>
      </c>
      <c r="F256" s="7" t="e">
        <f t="shared" si="133"/>
        <v>#NAME?</v>
      </c>
      <c r="G256" s="7" t="e">
        <f t="shared" si="133"/>
        <v>#NAME?</v>
      </c>
      <c r="H256" s="7" t="e">
        <f t="shared" si="133"/>
        <v>#NAME?</v>
      </c>
      <c r="I256" s="7" t="e">
        <f t="shared" si="133"/>
        <v>#NAME?</v>
      </c>
      <c r="J256" s="7" t="e">
        <f t="shared" si="133"/>
        <v>#NAME?</v>
      </c>
      <c r="K256" s="7" t="e">
        <f t="shared" si="133"/>
        <v>#NAME?</v>
      </c>
      <c r="L256" s="7" t="e">
        <f t="shared" si="133"/>
        <v>#NAME?</v>
      </c>
      <c r="M256" s="7" t="e">
        <f t="shared" si="133"/>
        <v>#NAME?</v>
      </c>
      <c r="N256" s="7" t="e">
        <f t="shared" si="133"/>
        <v>#NAME?</v>
      </c>
      <c r="O256" s="7" t="e">
        <f t="shared" si="133"/>
        <v>#NAME?</v>
      </c>
      <c r="P256" s="7" t="e">
        <f t="shared" si="133"/>
        <v>#NAME?</v>
      </c>
      <c r="Q256" s="7" t="e">
        <f t="shared" si="133"/>
        <v>#NAME?</v>
      </c>
      <c r="R256" s="7" t="e">
        <f t="shared" si="133"/>
        <v>#NAME?</v>
      </c>
      <c r="S256" s="7" t="e">
        <f t="shared" si="133"/>
        <v>#NAME?</v>
      </c>
      <c r="T256" s="7"/>
      <c r="U256" s="7" t="e">
        <f t="shared" si="133"/>
        <v>#NAME?</v>
      </c>
      <c r="V256" s="7" t="e">
        <f t="shared" si="133"/>
        <v>#NAME?</v>
      </c>
      <c r="W256" s="7" t="e">
        <f t="shared" si="133"/>
        <v>#NAME?</v>
      </c>
      <c r="X256" s="7" t="e">
        <f t="shared" si="133"/>
        <v>#NAME?</v>
      </c>
      <c r="Y256" s="7" t="e">
        <f t="shared" si="133"/>
        <v>#NAME?</v>
      </c>
      <c r="Z256" s="7" t="e">
        <f t="shared" si="133"/>
        <v>#NAME?</v>
      </c>
      <c r="AA256" s="7" t="e">
        <f t="shared" si="133"/>
        <v>#NAME?</v>
      </c>
      <c r="AB256" s="7" t="e">
        <f t="shared" si="133"/>
        <v>#NAME?</v>
      </c>
      <c r="AC256" s="7" t="e">
        <f t="shared" si="133"/>
        <v>#NAME?</v>
      </c>
      <c r="AD256" s="7" t="e">
        <f t="shared" si="133"/>
        <v>#NAME?</v>
      </c>
      <c r="AE256" s="7" t="e">
        <f t="shared" si="133"/>
        <v>#NAME?</v>
      </c>
      <c r="AF256" s="7" t="e">
        <f t="shared" si="133"/>
        <v>#NAME?</v>
      </c>
      <c r="AG256" s="7" t="e">
        <f t="shared" si="133"/>
        <v>#NAME?</v>
      </c>
      <c r="AH256" s="7" t="e">
        <f t="shared" si="49"/>
        <v>#NAME?</v>
      </c>
      <c r="AI256" s="7" t="e">
        <f t="shared" si="50"/>
        <v>#NAME?</v>
      </c>
      <c r="AJ256" s="8" t="e">
        <f t="shared" si="51"/>
        <v>#NAME?</v>
      </c>
      <c r="AK256" s="7" t="e">
        <f t="shared" si="52"/>
        <v>#NAME?</v>
      </c>
      <c r="AL256" s="7" t="e">
        <f t="shared" si="117"/>
        <v>#NAME?</v>
      </c>
      <c r="AM256" s="7"/>
      <c r="AN256" s="7"/>
      <c r="AO256" s="7"/>
    </row>
    <row r="257" spans="1:41">
      <c r="A257" s="7">
        <f t="shared" si="132"/>
        <v>18</v>
      </c>
      <c r="B257" s="7" t="e">
        <f t="shared" ref="B257:AG257" si="134">B196-B229</f>
        <v>#NAME?</v>
      </c>
      <c r="C257" s="7" t="e">
        <f t="shared" si="134"/>
        <v>#NAME?</v>
      </c>
      <c r="D257" s="7" t="e">
        <f t="shared" si="134"/>
        <v>#NAME?</v>
      </c>
      <c r="E257" s="7" t="e">
        <f t="shared" si="134"/>
        <v>#NAME?</v>
      </c>
      <c r="F257" s="7" t="e">
        <f t="shared" si="134"/>
        <v>#NAME?</v>
      </c>
      <c r="G257" s="7" t="e">
        <f t="shared" si="134"/>
        <v>#NAME?</v>
      </c>
      <c r="H257" s="7" t="e">
        <f t="shared" si="134"/>
        <v>#NAME?</v>
      </c>
      <c r="I257" s="7" t="e">
        <f t="shared" si="134"/>
        <v>#NAME?</v>
      </c>
      <c r="J257" s="7" t="e">
        <f t="shared" si="134"/>
        <v>#NAME?</v>
      </c>
      <c r="K257" s="7" t="e">
        <f t="shared" si="134"/>
        <v>#NAME?</v>
      </c>
      <c r="L257" s="7" t="e">
        <f t="shared" si="134"/>
        <v>#NAME?</v>
      </c>
      <c r="M257" s="7" t="e">
        <f t="shared" si="134"/>
        <v>#NAME?</v>
      </c>
      <c r="N257" s="7" t="e">
        <f t="shared" si="134"/>
        <v>#NAME?</v>
      </c>
      <c r="O257" s="7" t="e">
        <f t="shared" si="134"/>
        <v>#NAME?</v>
      </c>
      <c r="P257" s="7" t="e">
        <f t="shared" si="134"/>
        <v>#NAME?</v>
      </c>
      <c r="Q257" s="7" t="e">
        <f t="shared" si="134"/>
        <v>#NAME?</v>
      </c>
      <c r="R257" s="7" t="e">
        <f t="shared" si="134"/>
        <v>#NAME?</v>
      </c>
      <c r="S257" s="7" t="e">
        <f t="shared" si="134"/>
        <v>#NAME?</v>
      </c>
      <c r="T257" s="7"/>
      <c r="U257" s="7" t="e">
        <f t="shared" si="134"/>
        <v>#NAME?</v>
      </c>
      <c r="V257" s="7" t="e">
        <f t="shared" si="134"/>
        <v>#NAME?</v>
      </c>
      <c r="W257" s="7" t="e">
        <f t="shared" si="134"/>
        <v>#NAME?</v>
      </c>
      <c r="X257" s="7" t="e">
        <f t="shared" si="134"/>
        <v>#NAME?</v>
      </c>
      <c r="Y257" s="7" t="e">
        <f t="shared" si="134"/>
        <v>#NAME?</v>
      </c>
      <c r="Z257" s="7" t="e">
        <f t="shared" si="134"/>
        <v>#NAME?</v>
      </c>
      <c r="AA257" s="7" t="e">
        <f t="shared" si="134"/>
        <v>#NAME?</v>
      </c>
      <c r="AB257" s="7" t="e">
        <f t="shared" si="134"/>
        <v>#NAME?</v>
      </c>
      <c r="AC257" s="7" t="e">
        <f t="shared" si="134"/>
        <v>#NAME?</v>
      </c>
      <c r="AD257" s="7" t="e">
        <f t="shared" si="134"/>
        <v>#NAME?</v>
      </c>
      <c r="AE257" s="7" t="e">
        <f t="shared" si="134"/>
        <v>#NAME?</v>
      </c>
      <c r="AF257" s="7" t="e">
        <f t="shared" si="134"/>
        <v>#NAME?</v>
      </c>
      <c r="AG257" s="7" t="e">
        <f t="shared" si="134"/>
        <v>#NAME?</v>
      </c>
      <c r="AH257" s="7" t="e">
        <f t="shared" si="49"/>
        <v>#NAME?</v>
      </c>
      <c r="AI257" s="7" t="e">
        <f t="shared" si="50"/>
        <v>#NAME?</v>
      </c>
      <c r="AJ257" s="8" t="e">
        <f t="shared" si="51"/>
        <v>#NAME?</v>
      </c>
      <c r="AK257" s="7" t="e">
        <f t="shared" si="52"/>
        <v>#NAME?</v>
      </c>
      <c r="AL257" s="7" t="e">
        <f t="shared" si="117"/>
        <v>#NAME?</v>
      </c>
      <c r="AM257" s="7"/>
      <c r="AN257" s="7"/>
      <c r="AO257" s="7"/>
    </row>
    <row r="258" spans="1:41">
      <c r="A258" s="7">
        <f t="shared" si="132"/>
        <v>19</v>
      </c>
      <c r="B258" s="7" t="e">
        <f t="shared" ref="B258:AG258" si="135">B197-B230</f>
        <v>#NAME?</v>
      </c>
      <c r="C258" s="7" t="e">
        <f t="shared" si="135"/>
        <v>#NAME?</v>
      </c>
      <c r="D258" s="7" t="e">
        <f t="shared" si="135"/>
        <v>#NAME?</v>
      </c>
      <c r="E258" s="7" t="e">
        <f t="shared" si="135"/>
        <v>#NAME?</v>
      </c>
      <c r="F258" s="7" t="e">
        <f t="shared" si="135"/>
        <v>#NAME?</v>
      </c>
      <c r="G258" s="7" t="e">
        <f t="shared" si="135"/>
        <v>#NAME?</v>
      </c>
      <c r="H258" s="7" t="e">
        <f t="shared" si="135"/>
        <v>#NAME?</v>
      </c>
      <c r="I258" s="7" t="e">
        <f t="shared" si="135"/>
        <v>#NAME?</v>
      </c>
      <c r="J258" s="7" t="e">
        <f t="shared" si="135"/>
        <v>#NAME?</v>
      </c>
      <c r="K258" s="7" t="e">
        <f t="shared" si="135"/>
        <v>#NAME?</v>
      </c>
      <c r="L258" s="7" t="e">
        <f t="shared" si="135"/>
        <v>#NAME?</v>
      </c>
      <c r="M258" s="7" t="e">
        <f t="shared" si="135"/>
        <v>#NAME?</v>
      </c>
      <c r="N258" s="7" t="e">
        <f t="shared" si="135"/>
        <v>#NAME?</v>
      </c>
      <c r="O258" s="7" t="e">
        <f t="shared" si="135"/>
        <v>#NAME?</v>
      </c>
      <c r="P258" s="7" t="e">
        <f t="shared" si="135"/>
        <v>#NAME?</v>
      </c>
      <c r="Q258" s="7" t="e">
        <f t="shared" si="135"/>
        <v>#NAME?</v>
      </c>
      <c r="R258" s="7" t="e">
        <f t="shared" si="135"/>
        <v>#NAME?</v>
      </c>
      <c r="S258" s="7" t="e">
        <f t="shared" si="135"/>
        <v>#NAME?</v>
      </c>
      <c r="T258" s="7"/>
      <c r="U258" s="7" t="e">
        <f t="shared" si="135"/>
        <v>#NAME?</v>
      </c>
      <c r="V258" s="7" t="e">
        <f t="shared" si="135"/>
        <v>#NAME?</v>
      </c>
      <c r="W258" s="7" t="e">
        <f t="shared" si="135"/>
        <v>#NAME?</v>
      </c>
      <c r="X258" s="7" t="e">
        <f t="shared" si="135"/>
        <v>#NAME?</v>
      </c>
      <c r="Y258" s="7" t="e">
        <f t="shared" si="135"/>
        <v>#NAME?</v>
      </c>
      <c r="Z258" s="7" t="e">
        <f t="shared" si="135"/>
        <v>#NAME?</v>
      </c>
      <c r="AA258" s="7" t="e">
        <f t="shared" si="135"/>
        <v>#NAME?</v>
      </c>
      <c r="AB258" s="7" t="e">
        <f t="shared" si="135"/>
        <v>#NAME?</v>
      </c>
      <c r="AC258" s="7" t="e">
        <f t="shared" si="135"/>
        <v>#NAME?</v>
      </c>
      <c r="AD258" s="7" t="e">
        <f t="shared" si="135"/>
        <v>#NAME?</v>
      </c>
      <c r="AE258" s="7" t="e">
        <f t="shared" si="135"/>
        <v>#NAME?</v>
      </c>
      <c r="AF258" s="7" t="e">
        <f t="shared" si="135"/>
        <v>#NAME?</v>
      </c>
      <c r="AG258" s="7" t="e">
        <f t="shared" si="135"/>
        <v>#NAME?</v>
      </c>
      <c r="AH258" s="7" t="e">
        <f t="shared" si="49"/>
        <v>#NAME?</v>
      </c>
      <c r="AI258" s="7" t="e">
        <f t="shared" si="50"/>
        <v>#NAME?</v>
      </c>
      <c r="AJ258" s="8" t="e">
        <f t="shared" si="51"/>
        <v>#NAME?</v>
      </c>
      <c r="AK258" s="7" t="e">
        <f t="shared" si="52"/>
        <v>#NAME?</v>
      </c>
      <c r="AL258" s="7" t="e">
        <f t="shared" si="117"/>
        <v>#NAME?</v>
      </c>
      <c r="AM258" s="7"/>
      <c r="AN258" s="7"/>
      <c r="AO258" s="7"/>
    </row>
    <row r="259" spans="1:41">
      <c r="A259" s="7">
        <f t="shared" si="132"/>
        <v>20</v>
      </c>
      <c r="B259" s="7" t="e">
        <f t="shared" ref="B259:AG259" si="136">B198-B231</f>
        <v>#NAME?</v>
      </c>
      <c r="C259" s="7" t="e">
        <f t="shared" si="136"/>
        <v>#NAME?</v>
      </c>
      <c r="D259" s="7" t="e">
        <f t="shared" si="136"/>
        <v>#NAME?</v>
      </c>
      <c r="E259" s="7" t="e">
        <f t="shared" si="136"/>
        <v>#NAME?</v>
      </c>
      <c r="F259" s="7" t="e">
        <f t="shared" si="136"/>
        <v>#NAME?</v>
      </c>
      <c r="G259" s="7" t="e">
        <f t="shared" si="136"/>
        <v>#NAME?</v>
      </c>
      <c r="H259" s="7" t="e">
        <f t="shared" si="136"/>
        <v>#NAME?</v>
      </c>
      <c r="I259" s="7" t="e">
        <f t="shared" si="136"/>
        <v>#NAME?</v>
      </c>
      <c r="J259" s="7" t="e">
        <f t="shared" si="136"/>
        <v>#NAME?</v>
      </c>
      <c r="K259" s="7" t="e">
        <f t="shared" si="136"/>
        <v>#NAME?</v>
      </c>
      <c r="L259" s="7" t="e">
        <f t="shared" si="136"/>
        <v>#NAME?</v>
      </c>
      <c r="M259" s="7" t="e">
        <f t="shared" si="136"/>
        <v>#NAME?</v>
      </c>
      <c r="N259" s="7" t="e">
        <f t="shared" si="136"/>
        <v>#NAME?</v>
      </c>
      <c r="O259" s="7" t="e">
        <f t="shared" si="136"/>
        <v>#NAME?</v>
      </c>
      <c r="P259" s="7" t="e">
        <f t="shared" si="136"/>
        <v>#NAME?</v>
      </c>
      <c r="Q259" s="7" t="e">
        <f t="shared" si="136"/>
        <v>#NAME?</v>
      </c>
      <c r="R259" s="7" t="e">
        <f t="shared" si="136"/>
        <v>#NAME?</v>
      </c>
      <c r="S259" s="7" t="e">
        <f t="shared" si="136"/>
        <v>#NAME?</v>
      </c>
      <c r="T259" s="7"/>
      <c r="U259" s="7" t="e">
        <f t="shared" si="136"/>
        <v>#NAME?</v>
      </c>
      <c r="V259" s="7" t="e">
        <f t="shared" si="136"/>
        <v>#NAME?</v>
      </c>
      <c r="W259" s="7" t="e">
        <f t="shared" si="136"/>
        <v>#NAME?</v>
      </c>
      <c r="X259" s="7" t="e">
        <f t="shared" si="136"/>
        <v>#NAME?</v>
      </c>
      <c r="Y259" s="7" t="e">
        <f t="shared" si="136"/>
        <v>#NAME?</v>
      </c>
      <c r="Z259" s="7" t="e">
        <f t="shared" si="136"/>
        <v>#NAME?</v>
      </c>
      <c r="AA259" s="7" t="e">
        <f t="shared" si="136"/>
        <v>#NAME?</v>
      </c>
      <c r="AB259" s="7" t="e">
        <f t="shared" si="136"/>
        <v>#NAME?</v>
      </c>
      <c r="AC259" s="7" t="e">
        <f t="shared" si="136"/>
        <v>#NAME?</v>
      </c>
      <c r="AD259" s="7" t="e">
        <f t="shared" si="136"/>
        <v>#NAME?</v>
      </c>
      <c r="AE259" s="7" t="e">
        <f t="shared" si="136"/>
        <v>#NAME?</v>
      </c>
      <c r="AF259" s="7" t="e">
        <f t="shared" si="136"/>
        <v>#NAME?</v>
      </c>
      <c r="AG259" s="7" t="e">
        <f t="shared" si="136"/>
        <v>#NAME?</v>
      </c>
      <c r="AH259" s="7" t="e">
        <f t="shared" si="49"/>
        <v>#NAME?</v>
      </c>
      <c r="AI259" s="7" t="e">
        <f t="shared" si="50"/>
        <v>#NAME?</v>
      </c>
      <c r="AJ259" s="8" t="e">
        <f t="shared" si="51"/>
        <v>#NAME?</v>
      </c>
      <c r="AK259" s="7" t="e">
        <f t="shared" si="52"/>
        <v>#NAME?</v>
      </c>
      <c r="AL259" s="7" t="e">
        <f t="shared" si="117"/>
        <v>#NAME?</v>
      </c>
      <c r="AM259" s="7"/>
      <c r="AN259" s="7"/>
      <c r="AO259" s="7"/>
    </row>
    <row r="260" spans="1:41">
      <c r="A260" s="7">
        <f t="shared" si="132"/>
        <v>21</v>
      </c>
      <c r="B260" s="7" t="e">
        <f t="shared" ref="B260:AG260" si="137">B199-B232</f>
        <v>#NAME?</v>
      </c>
      <c r="C260" s="7" t="e">
        <f t="shared" si="137"/>
        <v>#NAME?</v>
      </c>
      <c r="D260" s="7" t="e">
        <f t="shared" si="137"/>
        <v>#NAME?</v>
      </c>
      <c r="E260" s="7" t="e">
        <f t="shared" si="137"/>
        <v>#NAME?</v>
      </c>
      <c r="F260" s="7" t="e">
        <f t="shared" si="137"/>
        <v>#NAME?</v>
      </c>
      <c r="G260" s="7" t="e">
        <f t="shared" si="137"/>
        <v>#NAME?</v>
      </c>
      <c r="H260" s="7" t="e">
        <f t="shared" si="137"/>
        <v>#NAME?</v>
      </c>
      <c r="I260" s="7" t="e">
        <f t="shared" si="137"/>
        <v>#NAME?</v>
      </c>
      <c r="J260" s="7" t="e">
        <f t="shared" si="137"/>
        <v>#NAME?</v>
      </c>
      <c r="K260" s="7" t="e">
        <f t="shared" si="137"/>
        <v>#NAME?</v>
      </c>
      <c r="L260" s="7" t="e">
        <f t="shared" si="137"/>
        <v>#NAME?</v>
      </c>
      <c r="M260" s="7" t="e">
        <f t="shared" si="137"/>
        <v>#NAME?</v>
      </c>
      <c r="N260" s="7" t="e">
        <f t="shared" si="137"/>
        <v>#NAME?</v>
      </c>
      <c r="O260" s="7" t="e">
        <f t="shared" si="137"/>
        <v>#NAME?</v>
      </c>
      <c r="P260" s="7" t="e">
        <f t="shared" si="137"/>
        <v>#NAME?</v>
      </c>
      <c r="Q260" s="7" t="e">
        <f t="shared" si="137"/>
        <v>#NAME?</v>
      </c>
      <c r="R260" s="7" t="e">
        <f t="shared" si="137"/>
        <v>#NAME?</v>
      </c>
      <c r="S260" s="7" t="e">
        <f t="shared" si="137"/>
        <v>#NAME?</v>
      </c>
      <c r="T260" s="7"/>
      <c r="U260" s="7" t="e">
        <f t="shared" si="137"/>
        <v>#NAME?</v>
      </c>
      <c r="V260" s="7" t="e">
        <f t="shared" si="137"/>
        <v>#NAME?</v>
      </c>
      <c r="W260" s="7" t="e">
        <f t="shared" si="137"/>
        <v>#NAME?</v>
      </c>
      <c r="X260" s="7" t="e">
        <f t="shared" si="137"/>
        <v>#NAME?</v>
      </c>
      <c r="Y260" s="7" t="e">
        <f t="shared" si="137"/>
        <v>#NAME?</v>
      </c>
      <c r="Z260" s="7" t="e">
        <f t="shared" si="137"/>
        <v>#NAME?</v>
      </c>
      <c r="AA260" s="7" t="e">
        <f t="shared" si="137"/>
        <v>#NAME?</v>
      </c>
      <c r="AB260" s="7" t="e">
        <f t="shared" si="137"/>
        <v>#NAME?</v>
      </c>
      <c r="AC260" s="7" t="e">
        <f t="shared" si="137"/>
        <v>#NAME?</v>
      </c>
      <c r="AD260" s="7" t="e">
        <f t="shared" si="137"/>
        <v>#NAME?</v>
      </c>
      <c r="AE260" s="7" t="e">
        <f t="shared" si="137"/>
        <v>#NAME?</v>
      </c>
      <c r="AF260" s="7" t="e">
        <f t="shared" si="137"/>
        <v>#NAME?</v>
      </c>
      <c r="AG260" s="7" t="e">
        <f t="shared" si="137"/>
        <v>#NAME?</v>
      </c>
      <c r="AH260" s="7" t="e">
        <f t="shared" si="49"/>
        <v>#NAME?</v>
      </c>
      <c r="AI260" s="7" t="e">
        <f t="shared" si="50"/>
        <v>#NAME?</v>
      </c>
      <c r="AJ260" s="8" t="e">
        <f t="shared" si="51"/>
        <v>#NAME?</v>
      </c>
      <c r="AK260" s="7" t="e">
        <f t="shared" si="52"/>
        <v>#NAME?</v>
      </c>
      <c r="AL260" s="7" t="e">
        <f t="shared" si="117"/>
        <v>#NAME?</v>
      </c>
      <c r="AM260" s="7"/>
      <c r="AN260" s="7"/>
      <c r="AO260" s="7"/>
    </row>
    <row r="261" spans="1:41">
      <c r="A261" s="7">
        <f t="shared" si="132"/>
        <v>22</v>
      </c>
      <c r="B261" s="7" t="e">
        <f t="shared" ref="B261:AG261" si="138">B200-B233</f>
        <v>#NAME?</v>
      </c>
      <c r="C261" s="7" t="e">
        <f t="shared" si="138"/>
        <v>#NAME?</v>
      </c>
      <c r="D261" s="7" t="e">
        <f t="shared" si="138"/>
        <v>#NAME?</v>
      </c>
      <c r="E261" s="7" t="e">
        <f t="shared" si="138"/>
        <v>#NAME?</v>
      </c>
      <c r="F261" s="7" t="e">
        <f t="shared" si="138"/>
        <v>#NAME?</v>
      </c>
      <c r="G261" s="7" t="e">
        <f t="shared" si="138"/>
        <v>#NAME?</v>
      </c>
      <c r="H261" s="7" t="e">
        <f t="shared" si="138"/>
        <v>#NAME?</v>
      </c>
      <c r="I261" s="7" t="e">
        <f t="shared" si="138"/>
        <v>#NAME?</v>
      </c>
      <c r="J261" s="7" t="e">
        <f t="shared" si="138"/>
        <v>#NAME?</v>
      </c>
      <c r="K261" s="7" t="e">
        <f t="shared" si="138"/>
        <v>#NAME?</v>
      </c>
      <c r="L261" s="7" t="e">
        <f t="shared" si="138"/>
        <v>#NAME?</v>
      </c>
      <c r="M261" s="7" t="e">
        <f t="shared" si="138"/>
        <v>#NAME?</v>
      </c>
      <c r="N261" s="7" t="e">
        <f t="shared" si="138"/>
        <v>#NAME?</v>
      </c>
      <c r="O261" s="7" t="e">
        <f t="shared" si="138"/>
        <v>#NAME?</v>
      </c>
      <c r="P261" s="7" t="e">
        <f t="shared" si="138"/>
        <v>#NAME?</v>
      </c>
      <c r="Q261" s="7" t="e">
        <f t="shared" si="138"/>
        <v>#NAME?</v>
      </c>
      <c r="R261" s="7" t="e">
        <f t="shared" si="138"/>
        <v>#NAME?</v>
      </c>
      <c r="S261" s="7" t="e">
        <f t="shared" si="138"/>
        <v>#NAME?</v>
      </c>
      <c r="T261" s="7"/>
      <c r="U261" s="7" t="e">
        <f t="shared" si="138"/>
        <v>#NAME?</v>
      </c>
      <c r="V261" s="7" t="e">
        <f t="shared" si="138"/>
        <v>#NAME?</v>
      </c>
      <c r="W261" s="7" t="e">
        <f t="shared" si="138"/>
        <v>#NAME?</v>
      </c>
      <c r="X261" s="7" t="e">
        <f t="shared" si="138"/>
        <v>#NAME?</v>
      </c>
      <c r="Y261" s="7" t="e">
        <f t="shared" si="138"/>
        <v>#NAME?</v>
      </c>
      <c r="Z261" s="7" t="e">
        <f t="shared" si="138"/>
        <v>#NAME?</v>
      </c>
      <c r="AA261" s="7" t="e">
        <f t="shared" si="138"/>
        <v>#NAME?</v>
      </c>
      <c r="AB261" s="7" t="e">
        <f t="shared" si="138"/>
        <v>#NAME?</v>
      </c>
      <c r="AC261" s="7" t="e">
        <f t="shared" si="138"/>
        <v>#NAME?</v>
      </c>
      <c r="AD261" s="7" t="e">
        <f t="shared" si="138"/>
        <v>#NAME?</v>
      </c>
      <c r="AE261" s="7" t="e">
        <f t="shared" si="138"/>
        <v>#NAME?</v>
      </c>
      <c r="AF261" s="7" t="e">
        <f t="shared" si="138"/>
        <v>#NAME?</v>
      </c>
      <c r="AG261" s="7" t="e">
        <f t="shared" si="138"/>
        <v>#NAME?</v>
      </c>
      <c r="AH261" s="7" t="e">
        <f t="shared" si="49"/>
        <v>#NAME?</v>
      </c>
      <c r="AI261" s="7" t="e">
        <f t="shared" si="50"/>
        <v>#NAME?</v>
      </c>
      <c r="AJ261" s="8" t="e">
        <f t="shared" si="51"/>
        <v>#NAME?</v>
      </c>
      <c r="AK261" s="7" t="e">
        <f t="shared" si="52"/>
        <v>#NAME?</v>
      </c>
      <c r="AL261" s="7" t="e">
        <f t="shared" si="117"/>
        <v>#NAME?</v>
      </c>
      <c r="AM261" s="7"/>
      <c r="AN261" s="7"/>
      <c r="AO261" s="7"/>
    </row>
    <row r="262" spans="1:41">
      <c r="A262" s="7">
        <f t="shared" si="132"/>
        <v>23</v>
      </c>
      <c r="B262" s="7" t="e">
        <f t="shared" ref="B262:AG262" si="139">B201-B234</f>
        <v>#NAME?</v>
      </c>
      <c r="C262" s="7" t="e">
        <f t="shared" si="139"/>
        <v>#NAME?</v>
      </c>
      <c r="D262" s="7" t="e">
        <f t="shared" si="139"/>
        <v>#NAME?</v>
      </c>
      <c r="E262" s="7" t="e">
        <f t="shared" si="139"/>
        <v>#NAME?</v>
      </c>
      <c r="F262" s="7" t="e">
        <f t="shared" si="139"/>
        <v>#NAME?</v>
      </c>
      <c r="G262" s="7" t="e">
        <f t="shared" si="139"/>
        <v>#NAME?</v>
      </c>
      <c r="H262" s="7" t="e">
        <f t="shared" si="139"/>
        <v>#NAME?</v>
      </c>
      <c r="I262" s="7" t="e">
        <f t="shared" si="139"/>
        <v>#NAME?</v>
      </c>
      <c r="J262" s="7" t="e">
        <f t="shared" si="139"/>
        <v>#NAME?</v>
      </c>
      <c r="K262" s="7" t="e">
        <f t="shared" si="139"/>
        <v>#NAME?</v>
      </c>
      <c r="L262" s="7" t="e">
        <f t="shared" si="139"/>
        <v>#NAME?</v>
      </c>
      <c r="M262" s="7" t="e">
        <f t="shared" si="139"/>
        <v>#NAME?</v>
      </c>
      <c r="N262" s="7" t="e">
        <f t="shared" si="139"/>
        <v>#NAME?</v>
      </c>
      <c r="O262" s="7" t="e">
        <f t="shared" si="139"/>
        <v>#NAME?</v>
      </c>
      <c r="P262" s="7" t="e">
        <f t="shared" si="139"/>
        <v>#NAME?</v>
      </c>
      <c r="Q262" s="7" t="e">
        <f t="shared" si="139"/>
        <v>#NAME?</v>
      </c>
      <c r="R262" s="7" t="e">
        <f t="shared" si="139"/>
        <v>#NAME?</v>
      </c>
      <c r="S262" s="7" t="e">
        <f t="shared" si="139"/>
        <v>#NAME?</v>
      </c>
      <c r="T262" s="7"/>
      <c r="U262" s="7" t="e">
        <f t="shared" si="139"/>
        <v>#NAME?</v>
      </c>
      <c r="V262" s="7" t="e">
        <f t="shared" si="139"/>
        <v>#NAME?</v>
      </c>
      <c r="W262" s="7" t="e">
        <f t="shared" si="139"/>
        <v>#NAME?</v>
      </c>
      <c r="X262" s="7" t="e">
        <f t="shared" si="139"/>
        <v>#NAME?</v>
      </c>
      <c r="Y262" s="7" t="e">
        <f t="shared" si="139"/>
        <v>#NAME?</v>
      </c>
      <c r="Z262" s="7" t="e">
        <f t="shared" si="139"/>
        <v>#NAME?</v>
      </c>
      <c r="AA262" s="7" t="e">
        <f t="shared" si="139"/>
        <v>#NAME?</v>
      </c>
      <c r="AB262" s="7" t="e">
        <f t="shared" si="139"/>
        <v>#NAME?</v>
      </c>
      <c r="AC262" s="7" t="e">
        <f t="shared" si="139"/>
        <v>#NAME?</v>
      </c>
      <c r="AD262" s="7" t="e">
        <f t="shared" si="139"/>
        <v>#NAME?</v>
      </c>
      <c r="AE262" s="7" t="e">
        <f t="shared" si="139"/>
        <v>#NAME?</v>
      </c>
      <c r="AF262" s="7" t="e">
        <f t="shared" si="139"/>
        <v>#NAME?</v>
      </c>
      <c r="AG262" s="7" t="e">
        <f t="shared" si="139"/>
        <v>#NAME?</v>
      </c>
      <c r="AH262" s="7" t="e">
        <f t="shared" si="49"/>
        <v>#NAME?</v>
      </c>
      <c r="AI262" s="7" t="e">
        <f t="shared" si="50"/>
        <v>#NAME?</v>
      </c>
      <c r="AJ262" s="8" t="e">
        <f t="shared" si="51"/>
        <v>#NAME?</v>
      </c>
      <c r="AK262" s="7" t="e">
        <f t="shared" si="52"/>
        <v>#NAME?</v>
      </c>
      <c r="AL262" s="7" t="e">
        <f t="shared" si="117"/>
        <v>#NAME?</v>
      </c>
      <c r="AM262" s="7"/>
      <c r="AN262" s="7"/>
      <c r="AO262" s="7"/>
    </row>
    <row r="263" spans="1:41">
      <c r="A263" s="7">
        <f t="shared" ref="A263" si="140">A235</f>
        <v>24</v>
      </c>
      <c r="B263" s="7" t="e">
        <f t="shared" ref="B263:AG263" si="141">B202-B235</f>
        <v>#NAME?</v>
      </c>
      <c r="C263" s="7" t="e">
        <f t="shared" si="141"/>
        <v>#NAME?</v>
      </c>
      <c r="D263" s="7" t="e">
        <f t="shared" si="141"/>
        <v>#NAME?</v>
      </c>
      <c r="E263" s="7" t="e">
        <f t="shared" si="141"/>
        <v>#NAME?</v>
      </c>
      <c r="F263" s="7" t="e">
        <f t="shared" si="141"/>
        <v>#NAME?</v>
      </c>
      <c r="G263" s="7" t="e">
        <f t="shared" si="141"/>
        <v>#NAME?</v>
      </c>
      <c r="H263" s="7" t="e">
        <f t="shared" si="141"/>
        <v>#NAME?</v>
      </c>
      <c r="I263" s="7" t="e">
        <f t="shared" si="141"/>
        <v>#NAME?</v>
      </c>
      <c r="J263" s="7" t="e">
        <f t="shared" si="141"/>
        <v>#NAME?</v>
      </c>
      <c r="K263" s="7" t="e">
        <f t="shared" si="141"/>
        <v>#NAME?</v>
      </c>
      <c r="L263" s="7" t="e">
        <f t="shared" si="141"/>
        <v>#NAME?</v>
      </c>
      <c r="M263" s="7" t="e">
        <f t="shared" si="141"/>
        <v>#NAME?</v>
      </c>
      <c r="N263" s="7" t="e">
        <f t="shared" si="141"/>
        <v>#NAME?</v>
      </c>
      <c r="O263" s="7" t="e">
        <f t="shared" si="141"/>
        <v>#NAME?</v>
      </c>
      <c r="P263" s="7" t="e">
        <f t="shared" si="141"/>
        <v>#NAME?</v>
      </c>
      <c r="Q263" s="7" t="e">
        <f t="shared" si="141"/>
        <v>#NAME?</v>
      </c>
      <c r="R263" s="7" t="e">
        <f t="shared" si="141"/>
        <v>#NAME?</v>
      </c>
      <c r="S263" s="7" t="e">
        <f t="shared" si="141"/>
        <v>#NAME?</v>
      </c>
      <c r="T263" s="7"/>
      <c r="U263" s="7" t="e">
        <f t="shared" si="141"/>
        <v>#NAME?</v>
      </c>
      <c r="V263" s="7" t="e">
        <f t="shared" si="141"/>
        <v>#NAME?</v>
      </c>
      <c r="W263" s="7" t="e">
        <f t="shared" si="141"/>
        <v>#NAME?</v>
      </c>
      <c r="X263" s="7" t="e">
        <f t="shared" si="141"/>
        <v>#NAME?</v>
      </c>
      <c r="Y263" s="7" t="e">
        <f t="shared" si="141"/>
        <v>#NAME?</v>
      </c>
      <c r="Z263" s="7" t="e">
        <f t="shared" si="141"/>
        <v>#NAME?</v>
      </c>
      <c r="AA263" s="7" t="e">
        <f t="shared" si="141"/>
        <v>#NAME?</v>
      </c>
      <c r="AB263" s="7" t="e">
        <f t="shared" si="141"/>
        <v>#NAME?</v>
      </c>
      <c r="AC263" s="7" t="e">
        <f t="shared" si="141"/>
        <v>#NAME?</v>
      </c>
      <c r="AD263" s="7" t="e">
        <f t="shared" si="141"/>
        <v>#NAME?</v>
      </c>
      <c r="AE263" s="7" t="e">
        <f t="shared" si="141"/>
        <v>#NAME?</v>
      </c>
      <c r="AF263" s="7" t="e">
        <f t="shared" si="141"/>
        <v>#NAME?</v>
      </c>
      <c r="AG263" s="7" t="e">
        <f t="shared" si="141"/>
        <v>#NAME?</v>
      </c>
      <c r="AH263" s="7"/>
      <c r="AI263" s="7" t="e">
        <f t="shared" si="50"/>
        <v>#NAME?</v>
      </c>
      <c r="AJ263" s="8" t="e">
        <f t="shared" si="51"/>
        <v>#NAME?</v>
      </c>
      <c r="AK263" s="7" t="e">
        <f t="shared" si="52"/>
        <v>#NAME?</v>
      </c>
      <c r="AM263" s="7"/>
      <c r="AN263" s="7"/>
      <c r="AO263" s="7"/>
    </row>
    <row r="264" spans="1:4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M264" s="7"/>
      <c r="AN264" s="7"/>
      <c r="AO264" s="7"/>
    </row>
    <row r="265" spans="1:4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M265" s="7"/>
      <c r="AN265" s="7"/>
      <c r="AO265" s="7"/>
    </row>
    <row r="266" spans="1:4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M266" s="7"/>
      <c r="AN266" s="7"/>
      <c r="AO266" s="7"/>
    </row>
    <row r="267" spans="1:4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M267" s="7"/>
      <c r="AN267" s="7"/>
      <c r="AO267" s="7"/>
    </row>
    <row r="268" spans="1:4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M268" s="7"/>
      <c r="AN268" s="7"/>
      <c r="AO268" s="7"/>
    </row>
    <row r="269" spans="1:4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M269" s="7"/>
      <c r="AN269" s="7"/>
      <c r="AO269" s="7"/>
    </row>
    <row r="270" spans="1:4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M270" s="7"/>
      <c r="AN270" s="7"/>
      <c r="AO270" s="7"/>
    </row>
    <row r="271" spans="1:4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M271" s="7"/>
      <c r="AN271" s="7"/>
      <c r="AO271" s="7"/>
    </row>
    <row r="272" spans="1:4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M272" s="7"/>
      <c r="AN272" s="7"/>
      <c r="AO272" s="7"/>
    </row>
    <row r="273" spans="1:4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M273" s="7"/>
      <c r="AN273" s="7"/>
      <c r="AO273" s="7"/>
    </row>
    <row r="274" spans="1:4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M274" s="7"/>
      <c r="AN274" s="7"/>
      <c r="AO274" s="7"/>
    </row>
    <row r="275" spans="1:4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M275" s="7"/>
      <c r="AN275" s="7"/>
      <c r="AO275" s="7"/>
    </row>
    <row r="276" spans="1:4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M276" s="7"/>
      <c r="AN276" s="7"/>
      <c r="AO276" s="7"/>
    </row>
  </sheetData>
  <mergeCells count="3">
    <mergeCell ref="AL165:AP165"/>
    <mergeCell ref="AL166:AP166"/>
    <mergeCell ref="AL164:AP164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I41"/>
  <sheetViews>
    <sheetView zoomScale="70" zoomScaleNormal="70" workbookViewId="0">
      <selection activeCell="L2" sqref="L2"/>
    </sheetView>
  </sheetViews>
  <sheetFormatPr defaultRowHeight="15"/>
  <cols>
    <col min="2" max="2" width="7.85546875" style="6" customWidth="1"/>
    <col min="3" max="11" width="7.85546875" customWidth="1"/>
    <col min="12" max="12" width="7.5703125" bestFit="1" customWidth="1"/>
    <col min="13" max="13" width="7.7109375" style="3" bestFit="1" customWidth="1"/>
    <col min="14" max="15" width="4.85546875" bestFit="1" customWidth="1"/>
    <col min="16" max="16" width="5.28515625" bestFit="1" customWidth="1"/>
    <col min="17" max="17" width="6.85546875" bestFit="1" customWidth="1"/>
    <col min="20" max="20" width="6.85546875" customWidth="1"/>
    <col min="21" max="21" width="7.42578125" style="61" customWidth="1"/>
  </cols>
  <sheetData>
    <row r="1" spans="1:35">
      <c r="A1" s="7" t="s">
        <v>6</v>
      </c>
      <c r="B1" s="14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11" t="s">
        <v>11</v>
      </c>
      <c r="M1" s="11" t="s">
        <v>12</v>
      </c>
      <c r="N1" s="7"/>
      <c r="O1" s="7"/>
      <c r="P1" s="7"/>
      <c r="Q1" s="7"/>
      <c r="R1" s="7"/>
      <c r="S1" s="7" t="s">
        <v>14</v>
      </c>
      <c r="T1" s="101" t="s">
        <v>15</v>
      </c>
      <c r="U1" s="101"/>
      <c r="V1" s="61" t="s">
        <v>61</v>
      </c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</row>
    <row r="2" spans="1:35">
      <c r="A2" s="7">
        <v>0</v>
      </c>
      <c r="B2" s="9">
        <v>3014</v>
      </c>
      <c r="C2" s="9">
        <v>3013</v>
      </c>
      <c r="D2" s="9">
        <v>3014</v>
      </c>
      <c r="E2" s="9">
        <v>3014</v>
      </c>
      <c r="F2" s="9">
        <v>3013</v>
      </c>
      <c r="G2" s="9">
        <v>3018</v>
      </c>
      <c r="H2" s="9">
        <v>3014</v>
      </c>
      <c r="I2" s="9">
        <v>3010</v>
      </c>
      <c r="J2" s="9">
        <v>3013</v>
      </c>
      <c r="K2" s="9">
        <v>3015</v>
      </c>
      <c r="L2" s="9">
        <f>AVERAGE(B2:K2)</f>
        <v>3013.8</v>
      </c>
      <c r="M2" s="12">
        <f>STDEV(B2:K2)/L2</f>
        <v>6.5991699908985672E-4</v>
      </c>
      <c r="N2" s="13" t="s">
        <v>7</v>
      </c>
      <c r="O2" s="11" t="s">
        <v>8</v>
      </c>
      <c r="P2" s="11" t="s">
        <v>9</v>
      </c>
      <c r="Q2" s="13" t="s">
        <v>10</v>
      </c>
      <c r="R2" s="7"/>
      <c r="S2" s="63">
        <f t="shared" ref="S2:S26" ca="1" si="0">L2*(1-useDutAvg)+useDutAvg*$V$27*L2</f>
        <v>23.151758163574332</v>
      </c>
      <c r="T2" s="63">
        <f ca="1">range1!M131</f>
        <v>22.898184438746377</v>
      </c>
      <c r="U2" s="61" t="b">
        <f>range1!P131</f>
        <v>1</v>
      </c>
      <c r="V2" s="7">
        <f ca="1">T2/L2</f>
        <v>7.5977783657662666E-3</v>
      </c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>
        <v>0</v>
      </c>
    </row>
    <row r="3" spans="1:35">
      <c r="A3" s="7">
        <v>1</v>
      </c>
      <c r="B3" s="9">
        <v>2456</v>
      </c>
      <c r="C3" s="9">
        <v>2456</v>
      </c>
      <c r="D3" s="9">
        <v>2454</v>
      </c>
      <c r="E3" s="9">
        <v>2455</v>
      </c>
      <c r="F3" s="9">
        <v>2455</v>
      </c>
      <c r="G3" s="9">
        <v>2455</v>
      </c>
      <c r="H3" s="9">
        <v>2450</v>
      </c>
      <c r="I3" s="9">
        <v>2454</v>
      </c>
      <c r="J3" s="9">
        <v>2455</v>
      </c>
      <c r="K3" s="9">
        <v>2452</v>
      </c>
      <c r="L3" s="9">
        <f t="shared" ref="L3:L26" si="1">AVERAGE(B3:K3)</f>
        <v>2454.1999999999998</v>
      </c>
      <c r="M3" s="12">
        <f t="shared" ref="M3:M26" si="2">STDEV(B3:K3)/L3</f>
        <v>7.6350578995933746E-4</v>
      </c>
      <c r="N3" s="9">
        <f>L2/L3</f>
        <v>1.2280172765055823</v>
      </c>
      <c r="O3" s="9">
        <f>LOG(N3)</f>
        <v>8.9204476771160016E-2</v>
      </c>
      <c r="P3" s="9">
        <f>O3</f>
        <v>8.9204476771160016E-2</v>
      </c>
      <c r="Q3" s="9">
        <f>L2-L3</f>
        <v>559.60000000000036</v>
      </c>
      <c r="R3" s="7"/>
      <c r="S3" s="63">
        <f t="shared" ca="1" si="0"/>
        <v>18.852958021449371</v>
      </c>
      <c r="T3" s="63">
        <f ca="1">range1!M132</f>
        <v>18.829871627267242</v>
      </c>
      <c r="U3" s="61" t="b">
        <f>range1!P132</f>
        <v>1</v>
      </c>
      <c r="V3" s="61">
        <f t="shared" ref="V3:V26" ca="1" si="3">T3/L3</f>
        <v>7.6725090160815104E-3</v>
      </c>
      <c r="W3" s="11"/>
      <c r="X3" s="7"/>
      <c r="Y3" s="11"/>
      <c r="Z3" s="7"/>
      <c r="AA3" s="7"/>
      <c r="AB3" s="7"/>
      <c r="AC3" s="7"/>
      <c r="AD3" s="7"/>
      <c r="AE3" s="7"/>
      <c r="AF3" s="7"/>
      <c r="AG3" s="7"/>
      <c r="AH3" s="7"/>
      <c r="AI3" s="7">
        <v>0</v>
      </c>
    </row>
    <row r="4" spans="1:35">
      <c r="A4" s="7">
        <v>2</v>
      </c>
      <c r="B4" s="9">
        <v>2010</v>
      </c>
      <c r="C4" s="9">
        <v>2010</v>
      </c>
      <c r="D4" s="9">
        <v>2010</v>
      </c>
      <c r="E4" s="9">
        <v>2010</v>
      </c>
      <c r="F4" s="9">
        <v>2009</v>
      </c>
      <c r="G4" s="9">
        <v>2009</v>
      </c>
      <c r="H4" s="9">
        <v>2009</v>
      </c>
      <c r="I4" s="9">
        <v>2009</v>
      </c>
      <c r="J4" s="9">
        <v>2010</v>
      </c>
      <c r="K4" s="9">
        <v>2010</v>
      </c>
      <c r="L4" s="9">
        <f t="shared" si="1"/>
        <v>2009.6</v>
      </c>
      <c r="M4" s="12">
        <f t="shared" si="2"/>
        <v>2.5696545556047092E-4</v>
      </c>
      <c r="N4" s="9">
        <f t="shared" ref="N4:N26" si="4">L3/L4</f>
        <v>1.2212380573248407</v>
      </c>
      <c r="O4" s="9">
        <f t="shared" ref="O4:O26" si="5">LOG(N4)</f>
        <v>8.6800329714930832E-2</v>
      </c>
      <c r="P4" s="9">
        <f>O4+P3</f>
        <v>0.17600480648609085</v>
      </c>
      <c r="Q4" s="9">
        <f t="shared" ref="Q4:Q26" si="6">L3-L4</f>
        <v>444.59999999999991</v>
      </c>
      <c r="R4" s="7"/>
      <c r="S4" s="63">
        <f t="shared" ca="1" si="0"/>
        <v>15.437578208746091</v>
      </c>
      <c r="T4" s="63">
        <f ca="1">range1!M133</f>
        <v>15.32675704229476</v>
      </c>
      <c r="U4" s="61" t="b">
        <f>range1!P133</f>
        <v>1</v>
      </c>
      <c r="V4" s="61">
        <f t="shared" ca="1" si="3"/>
        <v>7.62677002502725E-3</v>
      </c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>
        <v>0</v>
      </c>
    </row>
    <row r="5" spans="1:35">
      <c r="A5" s="7">
        <v>3</v>
      </c>
      <c r="B5" s="9">
        <v>1669</v>
      </c>
      <c r="C5" s="9">
        <v>1671</v>
      </c>
      <c r="D5" s="9">
        <v>1671</v>
      </c>
      <c r="E5" s="9">
        <v>1671</v>
      </c>
      <c r="F5" s="9">
        <v>1662</v>
      </c>
      <c r="G5" s="9">
        <v>1669</v>
      </c>
      <c r="H5" s="9">
        <v>1671</v>
      </c>
      <c r="I5" s="9">
        <v>1669</v>
      </c>
      <c r="J5" s="9">
        <v>1671</v>
      </c>
      <c r="K5" s="9">
        <v>1672</v>
      </c>
      <c r="L5" s="9">
        <f t="shared" si="1"/>
        <v>1669.6</v>
      </c>
      <c r="M5" s="12">
        <f t="shared" si="2"/>
        <v>1.7220778352205622E-3</v>
      </c>
      <c r="N5" s="9">
        <f t="shared" si="4"/>
        <v>1.2036415908001916</v>
      </c>
      <c r="O5" s="9">
        <f t="shared" si="5"/>
        <v>8.0497185999704471E-2</v>
      </c>
      <c r="P5" s="9">
        <f t="shared" ref="P5:P26" si="7">O5+P4</f>
        <v>0.2565019924857953</v>
      </c>
      <c r="Q5" s="9">
        <f t="shared" si="6"/>
        <v>340</v>
      </c>
      <c r="R5" s="7"/>
      <c r="S5" s="63">
        <f t="shared" ca="1" si="0"/>
        <v>12.825726800021135</v>
      </c>
      <c r="T5" s="63">
        <f ca="1">range1!M134</f>
        <v>12.825726800021135</v>
      </c>
      <c r="U5" s="61" t="b">
        <f>range1!P134</f>
        <v>1</v>
      </c>
      <c r="V5" s="61">
        <f t="shared" ca="1" si="3"/>
        <v>7.681915908014576E-3</v>
      </c>
      <c r="W5" s="10"/>
      <c r="X5" s="7"/>
      <c r="Y5" s="10"/>
      <c r="Z5" s="7"/>
      <c r="AA5" s="8"/>
      <c r="AB5" s="7"/>
      <c r="AC5" s="7"/>
      <c r="AD5" s="7"/>
      <c r="AE5" s="7"/>
      <c r="AF5" s="7"/>
      <c r="AG5" s="7"/>
      <c r="AH5" s="7"/>
      <c r="AI5" s="7">
        <v>0</v>
      </c>
    </row>
    <row r="6" spans="1:35">
      <c r="A6" s="7">
        <v>4</v>
      </c>
      <c r="B6" s="9">
        <v>1234</v>
      </c>
      <c r="C6" s="9">
        <v>1237</v>
      </c>
      <c r="D6" s="9">
        <v>1235</v>
      </c>
      <c r="E6" s="9">
        <v>1235</v>
      </c>
      <c r="F6" s="9">
        <v>1238</v>
      </c>
      <c r="G6" s="9">
        <v>1236</v>
      </c>
      <c r="H6" s="9">
        <v>1241</v>
      </c>
      <c r="I6" s="9">
        <v>1238</v>
      </c>
      <c r="J6" s="9">
        <v>1235</v>
      </c>
      <c r="K6" s="9">
        <v>1237</v>
      </c>
      <c r="L6" s="9">
        <f t="shared" si="1"/>
        <v>1236.5999999999999</v>
      </c>
      <c r="M6" s="12">
        <f t="shared" si="2"/>
        <v>1.6703793611412812E-3</v>
      </c>
      <c r="N6" s="9">
        <f t="shared" si="4"/>
        <v>1.3501536470968785</v>
      </c>
      <c r="O6" s="9">
        <f t="shared" si="5"/>
        <v>0.13038319389454109</v>
      </c>
      <c r="P6" s="9">
        <f t="shared" si="7"/>
        <v>0.38688518638033642</v>
      </c>
      <c r="Q6" s="9">
        <f t="shared" si="6"/>
        <v>433</v>
      </c>
      <c r="R6" s="7"/>
      <c r="S6" s="63">
        <f t="shared" ca="1" si="0"/>
        <v>9.4994572118508245</v>
      </c>
      <c r="T6" s="63">
        <f ca="1">range1!M135</f>
        <v>9.5549121249240585</v>
      </c>
      <c r="U6" s="61" t="b">
        <f>range1!P135</f>
        <v>1</v>
      </c>
      <c r="V6" s="61">
        <f t="shared" ca="1" si="3"/>
        <v>7.7267605732848615E-3</v>
      </c>
      <c r="W6" s="10"/>
      <c r="X6" s="7"/>
      <c r="Y6" s="10"/>
      <c r="Z6" s="7"/>
      <c r="AA6" s="8"/>
      <c r="AB6" s="7"/>
      <c r="AC6" s="7"/>
      <c r="AD6" s="7"/>
      <c r="AE6" s="7"/>
      <c r="AF6" s="7"/>
      <c r="AG6" s="7"/>
      <c r="AH6" s="7"/>
      <c r="AI6" s="7">
        <v>0</v>
      </c>
    </row>
    <row r="7" spans="1:35">
      <c r="A7" s="7">
        <v>5</v>
      </c>
      <c r="B7" s="9">
        <v>925</v>
      </c>
      <c r="C7" s="9">
        <v>926</v>
      </c>
      <c r="D7" s="9">
        <v>926</v>
      </c>
      <c r="E7" s="9">
        <v>925</v>
      </c>
      <c r="F7" s="9">
        <v>925</v>
      </c>
      <c r="G7" s="9">
        <v>925</v>
      </c>
      <c r="H7" s="9">
        <v>925</v>
      </c>
      <c r="I7" s="9">
        <v>925</v>
      </c>
      <c r="J7" s="9">
        <v>925</v>
      </c>
      <c r="K7" s="9">
        <v>926</v>
      </c>
      <c r="L7" s="9">
        <f t="shared" si="1"/>
        <v>925.3</v>
      </c>
      <c r="M7" s="12">
        <f t="shared" si="2"/>
        <v>5.2204246356819188E-4</v>
      </c>
      <c r="N7" s="9">
        <f t="shared" si="4"/>
        <v>1.3364314276450882</v>
      </c>
      <c r="O7" s="9">
        <f t="shared" si="5"/>
        <v>0.12594667999539322</v>
      </c>
      <c r="P7" s="9">
        <f t="shared" si="7"/>
        <v>0.51283186637572964</v>
      </c>
      <c r="Q7" s="9">
        <f t="shared" si="6"/>
        <v>311.29999999999995</v>
      </c>
      <c r="R7" s="7"/>
      <c r="S7" s="63">
        <f t="shared" ca="1" si="0"/>
        <v>7.108076789685887</v>
      </c>
      <c r="T7" s="63">
        <f ca="1">range1!M136</f>
        <v>7.1828826798124616</v>
      </c>
      <c r="U7" s="61" t="b">
        <f>range1!P136</f>
        <v>1</v>
      </c>
      <c r="V7" s="61">
        <f t="shared" ca="1" si="3"/>
        <v>7.7627609205797709E-3</v>
      </c>
      <c r="W7" s="10"/>
      <c r="X7" s="7"/>
      <c r="Y7" s="10"/>
      <c r="Z7" s="7"/>
      <c r="AA7" s="8"/>
      <c r="AB7" s="7"/>
      <c r="AC7" s="7"/>
      <c r="AD7" s="7"/>
      <c r="AE7" s="7"/>
      <c r="AF7" s="7"/>
      <c r="AG7" s="7"/>
      <c r="AH7" s="7"/>
      <c r="AI7" s="7">
        <v>0</v>
      </c>
    </row>
    <row r="8" spans="1:35">
      <c r="A8" s="7">
        <v>6</v>
      </c>
      <c r="B8" s="9">
        <v>756.5999755859375</v>
      </c>
      <c r="C8" s="9">
        <v>756.79998779296875</v>
      </c>
      <c r="D8" s="9">
        <v>753.5</v>
      </c>
      <c r="E8" s="9">
        <v>758</v>
      </c>
      <c r="F8" s="9">
        <v>755.79998779296875</v>
      </c>
      <c r="G8" s="9">
        <v>755.4000244140625</v>
      </c>
      <c r="H8" s="9">
        <v>757.20001220703125</v>
      </c>
      <c r="I8" s="9">
        <v>755.5</v>
      </c>
      <c r="J8" s="9">
        <v>757.5</v>
      </c>
      <c r="K8" s="9">
        <v>758</v>
      </c>
      <c r="L8" s="9">
        <f t="shared" si="1"/>
        <v>756.42999877929685</v>
      </c>
      <c r="M8" s="12">
        <f t="shared" si="2"/>
        <v>1.8560883290516268E-3</v>
      </c>
      <c r="N8" s="9">
        <f t="shared" si="4"/>
        <v>1.2232460392808591</v>
      </c>
      <c r="O8" s="9">
        <f t="shared" si="5"/>
        <v>8.7513818242519859E-2</v>
      </c>
      <c r="P8" s="9">
        <f t="shared" si="7"/>
        <v>0.60034568461824955</v>
      </c>
      <c r="Q8" s="9">
        <f t="shared" si="6"/>
        <v>168.8700012207031</v>
      </c>
      <c r="R8" s="7"/>
      <c r="S8" s="63">
        <f t="shared" ca="1" si="0"/>
        <v>5.8108316409221263</v>
      </c>
      <c r="T8" s="63">
        <f ca="1">range1!M137</f>
        <v>6.0192389868670562</v>
      </c>
      <c r="U8" s="61" t="b">
        <f>range1!P137</f>
        <v>1</v>
      </c>
      <c r="V8" s="61">
        <f t="shared" ca="1" si="3"/>
        <v>7.9574302930617725E-3</v>
      </c>
      <c r="W8" s="10"/>
      <c r="X8" s="7"/>
      <c r="Y8" s="10"/>
      <c r="Z8" s="7"/>
      <c r="AA8" s="8"/>
      <c r="AB8" s="7"/>
      <c r="AC8" s="7"/>
      <c r="AD8" s="7"/>
      <c r="AE8" s="7"/>
      <c r="AF8" s="7"/>
      <c r="AG8" s="7"/>
      <c r="AH8" s="7"/>
      <c r="AI8" s="7">
        <v>0</v>
      </c>
    </row>
    <row r="9" spans="1:35">
      <c r="A9" s="7">
        <v>7</v>
      </c>
      <c r="B9" s="9">
        <v>615.29998779296875</v>
      </c>
      <c r="C9" s="9">
        <v>615.4000244140625</v>
      </c>
      <c r="D9" s="9">
        <v>615.20001220703125</v>
      </c>
      <c r="E9" s="9">
        <v>615.79998779296875</v>
      </c>
      <c r="F9" s="9">
        <v>614.70001220703125</v>
      </c>
      <c r="G9" s="9">
        <v>615.20001220703125</v>
      </c>
      <c r="H9" s="9">
        <v>615.29998779296875</v>
      </c>
      <c r="I9" s="9">
        <v>615.20001220703125</v>
      </c>
      <c r="J9" s="9">
        <v>615.29998779296875</v>
      </c>
      <c r="K9" s="9">
        <v>615.29998779296875</v>
      </c>
      <c r="L9" s="9">
        <f t="shared" si="1"/>
        <v>615.27000122070308</v>
      </c>
      <c r="M9" s="12">
        <f t="shared" si="2"/>
        <v>4.3374286443958261E-4</v>
      </c>
      <c r="N9" s="9">
        <f t="shared" si="4"/>
        <v>1.2294277264916713</v>
      </c>
      <c r="O9" s="9">
        <f t="shared" si="5"/>
        <v>8.9703003259015215E-2</v>
      </c>
      <c r="P9" s="9">
        <f t="shared" si="7"/>
        <v>0.69004868787726481</v>
      </c>
      <c r="Q9" s="9">
        <f t="shared" si="6"/>
        <v>141.15999755859377</v>
      </c>
      <c r="R9" s="7"/>
      <c r="S9" s="63">
        <f t="shared" ca="1" si="0"/>
        <v>4.7264524101014667</v>
      </c>
      <c r="T9" s="63">
        <f ca="1">range1!M138</f>
        <v>4.8696554189098427</v>
      </c>
      <c r="U9" s="61" t="b">
        <f>range1!P138</f>
        <v>1</v>
      </c>
      <c r="V9" s="61">
        <f t="shared" ca="1" si="3"/>
        <v>7.9146641462258648E-3</v>
      </c>
      <c r="W9" s="10"/>
      <c r="X9" s="7"/>
      <c r="Y9" s="10"/>
      <c r="Z9" s="7"/>
      <c r="AA9" s="8"/>
      <c r="AB9" s="7"/>
      <c r="AC9" s="7"/>
      <c r="AD9" s="7"/>
      <c r="AE9" s="7"/>
      <c r="AF9" s="7"/>
      <c r="AG9" s="7"/>
      <c r="AH9" s="7"/>
      <c r="AI9" s="7">
        <v>0</v>
      </c>
    </row>
    <row r="10" spans="1:35">
      <c r="A10" s="7">
        <v>8</v>
      </c>
      <c r="B10" s="9">
        <v>503.89999389648437</v>
      </c>
      <c r="C10" s="9">
        <v>504.29998779296875</v>
      </c>
      <c r="D10" s="9">
        <v>504.29998779296875</v>
      </c>
      <c r="E10" s="9">
        <v>504.89999389648437</v>
      </c>
      <c r="F10" s="9">
        <v>504.10000610351563</v>
      </c>
      <c r="G10" s="9">
        <v>504.29998779296875</v>
      </c>
      <c r="H10" s="9">
        <v>504.39999389648437</v>
      </c>
      <c r="I10" s="9">
        <v>503.79998779296875</v>
      </c>
      <c r="J10" s="9">
        <v>504.5</v>
      </c>
      <c r="K10" s="9">
        <v>504.20001220703125</v>
      </c>
      <c r="L10" s="9">
        <f t="shared" si="1"/>
        <v>504.26999511718748</v>
      </c>
      <c r="M10" s="12">
        <f t="shared" si="2"/>
        <v>6.1336272286473682E-4</v>
      </c>
      <c r="N10" s="9">
        <f t="shared" si="4"/>
        <v>1.2201201879515362</v>
      </c>
      <c r="O10" s="9">
        <f t="shared" si="5"/>
        <v>8.6402612964279188E-2</v>
      </c>
      <c r="P10" s="9">
        <f t="shared" si="7"/>
        <v>0.77645130084154401</v>
      </c>
      <c r="Q10" s="9">
        <f t="shared" si="6"/>
        <v>111.0000061035156</v>
      </c>
      <c r="R10" s="7"/>
      <c r="S10" s="63">
        <f t="shared" ca="1" si="0"/>
        <v>3.8737596974251551</v>
      </c>
      <c r="T10" s="63">
        <f ca="1">range1!M139</f>
        <v>3.9736906675141834</v>
      </c>
      <c r="U10" s="61" t="b">
        <f>range1!P139</f>
        <v>1</v>
      </c>
      <c r="V10" s="61">
        <f t="shared" ca="1" si="3"/>
        <v>7.8800854819663351E-3</v>
      </c>
      <c r="W10" s="10"/>
      <c r="X10" s="7"/>
      <c r="Y10" s="10"/>
      <c r="Z10" s="7"/>
      <c r="AA10" s="8"/>
      <c r="AB10" s="7"/>
      <c r="AC10" s="7"/>
      <c r="AD10" s="7"/>
      <c r="AE10" s="7"/>
      <c r="AF10" s="7"/>
      <c r="AG10" s="7"/>
      <c r="AH10" s="7"/>
      <c r="AI10" s="7">
        <v>0</v>
      </c>
    </row>
    <row r="11" spans="1:35">
      <c r="A11" s="7">
        <v>9</v>
      </c>
      <c r="B11" s="9">
        <v>419.10000610351562</v>
      </c>
      <c r="C11" s="9">
        <v>419.29998779296875</v>
      </c>
      <c r="D11" s="9">
        <v>419.5</v>
      </c>
      <c r="E11" s="9">
        <v>419.39999389648437</v>
      </c>
      <c r="F11" s="9">
        <v>419.29998779296875</v>
      </c>
      <c r="G11" s="9">
        <v>418.70001220703125</v>
      </c>
      <c r="H11" s="9">
        <v>419.29998779296875</v>
      </c>
      <c r="I11" s="9">
        <v>419.39999389648437</v>
      </c>
      <c r="J11" s="9">
        <v>419.5</v>
      </c>
      <c r="K11" s="9">
        <v>419.20001220703125</v>
      </c>
      <c r="L11" s="9">
        <f t="shared" si="1"/>
        <v>419.26999816894534</v>
      </c>
      <c r="M11" s="12">
        <f t="shared" si="2"/>
        <v>5.627219060724758E-4</v>
      </c>
      <c r="N11" s="9">
        <f t="shared" si="4"/>
        <v>1.202733315809521</v>
      </c>
      <c r="O11" s="9">
        <f t="shared" si="5"/>
        <v>8.0169341128859387E-2</v>
      </c>
      <c r="P11" s="9">
        <f t="shared" si="7"/>
        <v>0.85662064197040344</v>
      </c>
      <c r="Q11" s="9">
        <f t="shared" si="6"/>
        <v>84.999996948242142</v>
      </c>
      <c r="R11" s="7"/>
      <c r="S11" s="63">
        <f t="shared" ca="1" si="0"/>
        <v>3.2207968686872634</v>
      </c>
      <c r="T11" s="63">
        <f ca="1">range1!M140</f>
        <v>3.2805789175662978</v>
      </c>
      <c r="U11" s="61" t="b">
        <f>range1!P140</f>
        <v>1</v>
      </c>
      <c r="V11" s="61">
        <f t="shared" ca="1" si="3"/>
        <v>7.8245019483707129E-3</v>
      </c>
      <c r="W11" s="10"/>
      <c r="X11" s="7"/>
      <c r="Y11" s="10"/>
      <c r="Z11" s="7"/>
      <c r="AA11" s="8"/>
      <c r="AB11" s="7"/>
      <c r="AC11" s="7"/>
      <c r="AD11" s="7"/>
      <c r="AE11" s="7"/>
      <c r="AF11" s="7"/>
      <c r="AG11" s="7"/>
      <c r="AH11" s="7"/>
      <c r="AI11" s="7"/>
    </row>
    <row r="12" spans="1:35">
      <c r="A12" s="7">
        <v>10</v>
      </c>
      <c r="B12" s="9">
        <v>311.29998779296875</v>
      </c>
      <c r="C12" s="9">
        <v>310.79998779296875</v>
      </c>
      <c r="D12" s="9">
        <v>311.39999389648437</v>
      </c>
      <c r="E12" s="9">
        <v>311.10000610351562</v>
      </c>
      <c r="F12" s="9">
        <v>309.70001220703125</v>
      </c>
      <c r="G12" s="9">
        <v>309.79998779296875</v>
      </c>
      <c r="H12" s="9">
        <v>310.60000610351562</v>
      </c>
      <c r="I12" s="9">
        <v>311.29998779296875</v>
      </c>
      <c r="J12" s="9">
        <v>310.70001220703125</v>
      </c>
      <c r="K12" s="9">
        <v>310.70001220703125</v>
      </c>
      <c r="L12" s="9">
        <f t="shared" si="1"/>
        <v>310.73999938964846</v>
      </c>
      <c r="M12" s="12">
        <f t="shared" si="2"/>
        <v>1.9141037918210921E-3</v>
      </c>
      <c r="N12" s="9">
        <f t="shared" si="4"/>
        <v>1.3492630462523978</v>
      </c>
      <c r="O12" s="9">
        <f t="shared" si="5"/>
        <v>0.13009662602428751</v>
      </c>
      <c r="P12" s="9">
        <f t="shared" si="7"/>
        <v>0.98671726799469095</v>
      </c>
      <c r="Q12" s="9">
        <f t="shared" si="6"/>
        <v>108.52999877929687</v>
      </c>
      <c r="R12" s="7"/>
      <c r="S12" s="63">
        <f t="shared" ca="1" si="0"/>
        <v>2.38707854456778</v>
      </c>
      <c r="T12" s="63">
        <f ca="1">range1!M141</f>
        <v>2.4891126349292718</v>
      </c>
      <c r="U12" s="61" t="b">
        <f>range1!P141</f>
        <v>1</v>
      </c>
      <c r="V12" s="61">
        <f t="shared" ca="1" si="3"/>
        <v>8.0102743123458674E-3</v>
      </c>
      <c r="W12" s="10"/>
      <c r="X12" s="7"/>
      <c r="Y12" s="10"/>
      <c r="Z12" s="7"/>
      <c r="AA12" s="8"/>
      <c r="AB12" s="7"/>
      <c r="AC12" s="7"/>
      <c r="AD12" s="7"/>
      <c r="AE12" s="7"/>
      <c r="AF12" s="7"/>
      <c r="AG12" s="7"/>
      <c r="AH12" s="7"/>
      <c r="AI12" s="7"/>
    </row>
    <row r="13" spans="1:35">
      <c r="A13" s="7">
        <v>11</v>
      </c>
      <c r="B13" s="9">
        <v>280.60000610351562</v>
      </c>
      <c r="C13" s="9">
        <v>280</v>
      </c>
      <c r="D13" s="9">
        <v>281.79998779296875</v>
      </c>
      <c r="E13" s="9">
        <v>281.5</v>
      </c>
      <c r="F13" s="9">
        <v>280.89999389648437</v>
      </c>
      <c r="G13" s="9">
        <v>281</v>
      </c>
      <c r="H13" s="9">
        <v>281</v>
      </c>
      <c r="I13" s="9">
        <v>281.5</v>
      </c>
      <c r="J13" s="9">
        <v>281.29998779296875</v>
      </c>
      <c r="K13" s="9">
        <v>281</v>
      </c>
      <c r="L13" s="9">
        <f t="shared" si="1"/>
        <v>281.05999755859375</v>
      </c>
      <c r="M13" s="12">
        <f t="shared" si="2"/>
        <v>1.8234796003699177E-3</v>
      </c>
      <c r="N13" s="9">
        <f t="shared" si="4"/>
        <v>1.1056002351414922</v>
      </c>
      <c r="O13" s="9">
        <f t="shared" si="5"/>
        <v>4.3598122396839599E-2</v>
      </c>
      <c r="P13" s="9">
        <f t="shared" si="7"/>
        <v>1.0303153903915305</v>
      </c>
      <c r="Q13" s="9">
        <f t="shared" si="6"/>
        <v>29.68000183105471</v>
      </c>
      <c r="R13" s="7"/>
      <c r="S13" s="63">
        <f t="shared" ca="1" si="0"/>
        <v>2.1590792663518994</v>
      </c>
      <c r="T13" s="63">
        <f ca="1">range1!M142</f>
        <v>2.3288906686472455</v>
      </c>
      <c r="U13" s="61" t="b">
        <f>range1!P142</f>
        <v>1</v>
      </c>
      <c r="V13" s="61">
        <f t="shared" ca="1" si="3"/>
        <v>8.2860979466198564E-3</v>
      </c>
      <c r="W13" s="10"/>
      <c r="X13" s="7"/>
      <c r="Y13" s="10"/>
      <c r="Z13" s="7"/>
      <c r="AA13" s="8"/>
      <c r="AB13" s="7"/>
      <c r="AC13" s="7"/>
      <c r="AD13" s="7"/>
      <c r="AE13" s="7"/>
      <c r="AF13" s="7"/>
      <c r="AG13" s="7"/>
      <c r="AH13" s="7"/>
      <c r="AI13" s="7"/>
    </row>
    <row r="14" spans="1:35">
      <c r="A14" s="7">
        <v>12</v>
      </c>
      <c r="B14" s="9">
        <v>231.10000610351562</v>
      </c>
      <c r="C14" s="9">
        <v>231.39999389648437</v>
      </c>
      <c r="D14" s="9">
        <v>231.60000610351562</v>
      </c>
      <c r="E14" s="9">
        <v>231.60000610351562</v>
      </c>
      <c r="F14" s="9">
        <v>231</v>
      </c>
      <c r="G14" s="9">
        <v>231.19999694824219</v>
      </c>
      <c r="H14" s="9">
        <v>231.5</v>
      </c>
      <c r="I14" s="9">
        <v>231.30000305175781</v>
      </c>
      <c r="J14" s="9">
        <v>231.30000305175781</v>
      </c>
      <c r="K14" s="9">
        <v>231.10000610351562</v>
      </c>
      <c r="L14" s="9">
        <f t="shared" si="1"/>
        <v>231.31000213623048</v>
      </c>
      <c r="M14" s="12">
        <f t="shared" si="2"/>
        <v>9.2160905273865339E-4</v>
      </c>
      <c r="N14" s="9">
        <f t="shared" si="4"/>
        <v>1.2150793089918477</v>
      </c>
      <c r="O14" s="9">
        <f t="shared" si="5"/>
        <v>8.460462553385957E-2</v>
      </c>
      <c r="P14" s="9">
        <f t="shared" si="7"/>
        <v>1.11492001592539</v>
      </c>
      <c r="Q14" s="9">
        <f t="shared" si="6"/>
        <v>49.74999542236327</v>
      </c>
      <c r="R14" s="7"/>
      <c r="S14" s="63">
        <f t="shared" ca="1" si="0"/>
        <v>1.7769039850931945</v>
      </c>
      <c r="T14" s="63">
        <f ca="1">range1!M143</f>
        <v>1.9422460550109131</v>
      </c>
      <c r="U14" s="61" t="b">
        <f>range1!P143</f>
        <v>1</v>
      </c>
      <c r="V14" s="61">
        <f t="shared" ca="1" si="3"/>
        <v>8.3967231726841778E-3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</row>
    <row r="15" spans="1:35">
      <c r="A15" s="7">
        <v>13</v>
      </c>
      <c r="B15" s="9">
        <v>187.10000610351562</v>
      </c>
      <c r="C15" s="9">
        <v>187.10000610351562</v>
      </c>
      <c r="D15" s="9">
        <v>187.39999389648437</v>
      </c>
      <c r="E15" s="9">
        <v>187.19999694824219</v>
      </c>
      <c r="F15" s="9">
        <v>187</v>
      </c>
      <c r="G15" s="9">
        <v>187.10000610351562</v>
      </c>
      <c r="H15" s="9">
        <v>187.10000610351562</v>
      </c>
      <c r="I15" s="9">
        <v>186.69999694824219</v>
      </c>
      <c r="J15" s="9">
        <v>187.19999694824219</v>
      </c>
      <c r="K15" s="9">
        <v>186.80000305175781</v>
      </c>
      <c r="L15" s="9">
        <f t="shared" si="1"/>
        <v>187.07000122070312</v>
      </c>
      <c r="M15" s="12">
        <f t="shared" si="2"/>
        <v>1.0705971129059211E-3</v>
      </c>
      <c r="N15" s="9">
        <f t="shared" si="4"/>
        <v>1.2364890181581465</v>
      </c>
      <c r="O15" s="9">
        <f t="shared" si="5"/>
        <v>9.2190263540423659E-2</v>
      </c>
      <c r="P15" s="9">
        <f t="shared" si="7"/>
        <v>1.2071102794658137</v>
      </c>
      <c r="Q15" s="9">
        <f t="shared" si="6"/>
        <v>44.240000915527361</v>
      </c>
      <c r="R15" s="7"/>
      <c r="S15" s="63">
        <f t="shared" ca="1" si="0"/>
        <v>1.4370560182896255</v>
      </c>
      <c r="T15" s="63">
        <f ca="1">range1!M144</f>
        <v>1.5205445549513086</v>
      </c>
      <c r="U15" s="61" t="b">
        <f>range1!P144</f>
        <v>1</v>
      </c>
      <c r="V15" s="61">
        <f t="shared" ca="1" si="3"/>
        <v>8.1282116054374048E-3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</row>
    <row r="16" spans="1:35">
      <c r="A16" s="7">
        <v>14</v>
      </c>
      <c r="B16" s="9">
        <v>155.80000305175781</v>
      </c>
      <c r="C16" s="9">
        <v>155.69999694824219</v>
      </c>
      <c r="D16" s="9">
        <v>155.89999389648437</v>
      </c>
      <c r="E16" s="9">
        <v>155.60000610351562</v>
      </c>
      <c r="F16" s="9">
        <v>155.19999694824219</v>
      </c>
      <c r="G16" s="9">
        <v>155.69999694824219</v>
      </c>
      <c r="H16" s="9">
        <v>155.80000305175781</v>
      </c>
      <c r="I16" s="9">
        <v>155.80000305175781</v>
      </c>
      <c r="J16" s="9">
        <v>155.80000305175781</v>
      </c>
      <c r="K16" s="9">
        <v>155.69999694824219</v>
      </c>
      <c r="L16" s="9">
        <f t="shared" si="1"/>
        <v>155.69999999999999</v>
      </c>
      <c r="M16" s="12">
        <f t="shared" si="2"/>
        <v>1.2483338893740812E-3</v>
      </c>
      <c r="N16" s="9">
        <f t="shared" si="4"/>
        <v>1.201477207583193</v>
      </c>
      <c r="O16" s="9">
        <f t="shared" si="5"/>
        <v>7.9715536509258916E-2</v>
      </c>
      <c r="P16" s="9">
        <f t="shared" si="7"/>
        <v>1.2868258159750727</v>
      </c>
      <c r="Q16" s="9">
        <f t="shared" si="6"/>
        <v>31.370001220703131</v>
      </c>
      <c r="R16" s="7"/>
      <c r="S16" s="63">
        <f t="shared" ca="1" si="0"/>
        <v>1.1960743068778694</v>
      </c>
      <c r="T16" s="63">
        <f ca="1">range1!M145</f>
        <v>1.2840094024279032</v>
      </c>
      <c r="U16" s="61" t="b">
        <f>range1!P145</f>
        <v>1</v>
      </c>
      <c r="V16" s="61">
        <f t="shared" ca="1" si="3"/>
        <v>8.246688519125904E-3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</row>
    <row r="17" spans="1:22">
      <c r="A17" s="7">
        <v>15</v>
      </c>
      <c r="B17" s="9">
        <v>115.19999694824219</v>
      </c>
      <c r="C17" s="9">
        <v>115.80000305175781</v>
      </c>
      <c r="D17" s="9">
        <v>115.69999694824219</v>
      </c>
      <c r="E17" s="9">
        <v>115.40000152587891</v>
      </c>
      <c r="F17" s="9">
        <v>115.19999694824219</v>
      </c>
      <c r="G17" s="9">
        <v>115.5</v>
      </c>
      <c r="H17" s="9">
        <v>115.19999694824219</v>
      </c>
      <c r="I17" s="9">
        <v>115.30000305175781</v>
      </c>
      <c r="J17" s="9">
        <v>115.59999847412109</v>
      </c>
      <c r="K17" s="9">
        <v>115.09999847412109</v>
      </c>
      <c r="L17" s="9">
        <f t="shared" si="1"/>
        <v>115.39999923706054</v>
      </c>
      <c r="M17" s="12">
        <f t="shared" si="2"/>
        <v>2.082937639260219E-3</v>
      </c>
      <c r="N17" s="9">
        <f t="shared" si="4"/>
        <v>1.3492201129061807</v>
      </c>
      <c r="O17" s="9">
        <f t="shared" si="5"/>
        <v>0.13008280661964158</v>
      </c>
      <c r="P17" s="9">
        <f t="shared" si="7"/>
        <v>1.4169086225947143</v>
      </c>
      <c r="Q17" s="9">
        <f t="shared" si="6"/>
        <v>40.300000762939447</v>
      </c>
      <c r="S17" s="63">
        <f t="shared" ca="1" si="0"/>
        <v>0.8864930899240453</v>
      </c>
      <c r="T17" s="63">
        <f ca="1">range1!M146</f>
        <v>0.99408858546297185</v>
      </c>
      <c r="U17" s="61" t="b">
        <f>range1!P146</f>
        <v>1</v>
      </c>
      <c r="V17" s="61">
        <f t="shared" ca="1" si="3"/>
        <v>8.6142858928522567E-3</v>
      </c>
    </row>
    <row r="18" spans="1:22">
      <c r="A18" s="7">
        <v>16</v>
      </c>
      <c r="B18" s="9">
        <v>86.300003051757812</v>
      </c>
      <c r="C18" s="9">
        <v>86.400001525878906</v>
      </c>
      <c r="D18" s="9">
        <v>86.400001525878906</v>
      </c>
      <c r="E18" s="9">
        <v>86.300003051757812</v>
      </c>
      <c r="F18" s="9">
        <v>86.300003051757812</v>
      </c>
      <c r="G18" s="9">
        <v>86.300003051757812</v>
      </c>
      <c r="H18" s="9">
        <v>86.300003051757812</v>
      </c>
      <c r="I18" s="9">
        <v>86.300003051757812</v>
      </c>
      <c r="J18" s="9">
        <v>86.300003051757812</v>
      </c>
      <c r="K18" s="9">
        <v>86.300003051757812</v>
      </c>
      <c r="L18" s="9">
        <f t="shared" si="1"/>
        <v>86.320002746582034</v>
      </c>
      <c r="M18" s="12">
        <f t="shared" si="2"/>
        <v>4.8845061894082153E-4</v>
      </c>
      <c r="N18" s="9">
        <f t="shared" si="4"/>
        <v>1.3368859541843559</v>
      </c>
      <c r="O18" s="9">
        <f t="shared" si="5"/>
        <v>0.12609436045497979</v>
      </c>
      <c r="P18" s="9">
        <f t="shared" si="7"/>
        <v>1.5430029830496941</v>
      </c>
      <c r="Q18" s="9">
        <f t="shared" si="6"/>
        <v>29.079996490478507</v>
      </c>
      <c r="S18" s="63">
        <f t="shared" ca="1" si="0"/>
        <v>0.66310300227883046</v>
      </c>
      <c r="T18" s="63">
        <f ca="1">range1!M147</f>
        <v>0.76410294603307016</v>
      </c>
      <c r="U18" s="61" t="b">
        <f>range1!P147</f>
        <v>1</v>
      </c>
      <c r="V18" s="61">
        <f t="shared" ca="1" si="3"/>
        <v>8.8519800940729913E-3</v>
      </c>
    </row>
    <row r="19" spans="1:22">
      <c r="A19" s="7">
        <v>17</v>
      </c>
      <c r="B19" s="9">
        <v>20.399999618530273</v>
      </c>
      <c r="C19" s="9">
        <v>20.399999618530273</v>
      </c>
      <c r="D19" s="9">
        <v>20.5</v>
      </c>
      <c r="E19" s="9">
        <v>20.5</v>
      </c>
      <c r="F19" s="9">
        <v>20.5</v>
      </c>
      <c r="G19" s="9">
        <v>20.399999618530273</v>
      </c>
      <c r="H19" s="9">
        <v>20.399999618530273</v>
      </c>
      <c r="I19" s="9">
        <v>20.5</v>
      </c>
      <c r="J19" s="9">
        <v>20.399999618530273</v>
      </c>
      <c r="K19" s="9">
        <v>20.399999618530273</v>
      </c>
      <c r="L19" s="9">
        <f t="shared" si="1"/>
        <v>20.439999771118163</v>
      </c>
      <c r="M19" s="12">
        <f t="shared" si="2"/>
        <v>2.5264175889336137E-3</v>
      </c>
      <c r="N19" s="9">
        <f t="shared" si="4"/>
        <v>4.223092158178626</v>
      </c>
      <c r="O19" s="9">
        <f t="shared" si="5"/>
        <v>0.62563055889394104</v>
      </c>
      <c r="P19" s="9">
        <f t="shared" si="7"/>
        <v>2.1686335419436351</v>
      </c>
      <c r="Q19" s="9">
        <f t="shared" si="6"/>
        <v>65.880002975463867</v>
      </c>
      <c r="S19" s="63">
        <f t="shared" ca="1" si="0"/>
        <v>0.15701835940156691</v>
      </c>
      <c r="T19" s="63">
        <f ca="1">range1!M148</f>
        <v>0.21614571622868212</v>
      </c>
      <c r="U19" s="61" t="b">
        <f>range1!P148</f>
        <v>1</v>
      </c>
      <c r="V19" s="61">
        <f t="shared" ca="1" si="3"/>
        <v>1.0574643769521819E-2</v>
      </c>
    </row>
    <row r="20" spans="1:22">
      <c r="A20" s="7">
        <v>18</v>
      </c>
      <c r="B20" s="9">
        <v>16.700000762939453</v>
      </c>
      <c r="C20" s="9">
        <v>16.700000762939453</v>
      </c>
      <c r="D20" s="9">
        <v>16.700000762939453</v>
      </c>
      <c r="E20" s="9">
        <v>16.700000762939453</v>
      </c>
      <c r="F20" s="9">
        <v>16.700000762939453</v>
      </c>
      <c r="G20" s="9">
        <v>16.700000762939453</v>
      </c>
      <c r="H20" s="9">
        <v>16.700000762939453</v>
      </c>
      <c r="I20" s="9">
        <v>16.700000762939453</v>
      </c>
      <c r="J20" s="9">
        <v>16.700000762939453</v>
      </c>
      <c r="K20" s="9">
        <v>16.700000762939453</v>
      </c>
      <c r="L20" s="9">
        <f t="shared" si="1"/>
        <v>16.700000762939453</v>
      </c>
      <c r="M20" s="12">
        <f t="shared" si="2"/>
        <v>0</v>
      </c>
      <c r="N20" s="9">
        <f t="shared" si="4"/>
        <v>1.2239520261866392</v>
      </c>
      <c r="O20" s="9">
        <f t="shared" si="5"/>
        <v>8.7764395611232754E-2</v>
      </c>
      <c r="P20" s="9">
        <f t="shared" si="7"/>
        <v>2.2563979375548677</v>
      </c>
      <c r="Q20" s="9">
        <f t="shared" si="6"/>
        <v>3.7399990081787102</v>
      </c>
      <c r="S20" s="63">
        <f t="shared" ca="1" si="0"/>
        <v>0.12828800152468015</v>
      </c>
      <c r="T20" s="63">
        <f ca="1">range1!M149</f>
        <v>0.18031254469456867</v>
      </c>
      <c r="U20" s="61" t="b">
        <f>range1!P149</f>
        <v>1</v>
      </c>
      <c r="V20" s="61">
        <f t="shared" ca="1" si="3"/>
        <v>1.0797157871676104E-2</v>
      </c>
    </row>
    <row r="21" spans="1:22">
      <c r="A21" s="7">
        <v>19</v>
      </c>
      <c r="B21" s="9">
        <v>13.699999809265137</v>
      </c>
      <c r="C21" s="9">
        <v>13.699999809265137</v>
      </c>
      <c r="D21" s="9">
        <v>13.699999809265137</v>
      </c>
      <c r="E21" s="9">
        <v>13.699999809265137</v>
      </c>
      <c r="F21" s="9">
        <v>13.699999809265137</v>
      </c>
      <c r="G21" s="9">
        <v>13.699999809265137</v>
      </c>
      <c r="H21" s="9">
        <v>13.699999809265137</v>
      </c>
      <c r="I21" s="9">
        <v>13.699999809265137</v>
      </c>
      <c r="J21" s="9">
        <v>13.699999809265137</v>
      </c>
      <c r="K21" s="9">
        <v>13.699999809265137</v>
      </c>
      <c r="L21" s="9">
        <f t="shared" si="1"/>
        <v>13.699999809265137</v>
      </c>
      <c r="M21" s="12">
        <f t="shared" si="2"/>
        <v>0</v>
      </c>
      <c r="N21" s="9">
        <f t="shared" si="4"/>
        <v>1.2189781748497146</v>
      </c>
      <c r="O21" s="9">
        <f t="shared" si="5"/>
        <v>8.5995929878275881E-2</v>
      </c>
      <c r="P21" s="9">
        <f t="shared" si="7"/>
        <v>2.3423938674331435</v>
      </c>
      <c r="Q21" s="9">
        <f t="shared" si="6"/>
        <v>3.0000009536743164</v>
      </c>
      <c r="S21" s="63">
        <f t="shared" ca="1" si="0"/>
        <v>0.1052422464745905</v>
      </c>
      <c r="T21" s="63">
        <f ca="1">range1!M150</f>
        <v>0.14890014380108599</v>
      </c>
      <c r="U21" s="61" t="b">
        <f>range1!P150</f>
        <v>1</v>
      </c>
      <c r="V21" s="61">
        <f t="shared" ca="1" si="3"/>
        <v>1.0868623786431494E-2</v>
      </c>
    </row>
    <row r="22" spans="1:22">
      <c r="A22" s="7">
        <v>20</v>
      </c>
      <c r="B22" s="9">
        <v>11.399999618530273</v>
      </c>
      <c r="C22" s="9">
        <v>11.399999618530273</v>
      </c>
      <c r="D22" s="9">
        <v>11.399999618530273</v>
      </c>
      <c r="E22" s="9">
        <v>11.399999618530273</v>
      </c>
      <c r="F22" s="9">
        <v>11.399999618530273</v>
      </c>
      <c r="G22" s="9">
        <v>11.300000190734863</v>
      </c>
      <c r="H22" s="9">
        <v>11.399999618530273</v>
      </c>
      <c r="I22" s="9">
        <v>11.399999618530273</v>
      </c>
      <c r="J22" s="9">
        <v>11.399999618530273</v>
      </c>
      <c r="K22" s="9">
        <v>11.399999618530273</v>
      </c>
      <c r="L22" s="9">
        <f t="shared" si="1"/>
        <v>11.389999675750733</v>
      </c>
      <c r="M22" s="12">
        <f t="shared" si="2"/>
        <v>2.7763473709335592E-3</v>
      </c>
      <c r="N22" s="9">
        <f t="shared" si="4"/>
        <v>1.2028094994973868</v>
      </c>
      <c r="O22" s="9">
        <f t="shared" si="5"/>
        <v>8.019684939439653E-2</v>
      </c>
      <c r="P22" s="9">
        <f t="shared" si="7"/>
        <v>2.42259071682754</v>
      </c>
      <c r="Q22" s="9">
        <f t="shared" si="6"/>
        <v>2.3100001335144036</v>
      </c>
      <c r="S22" s="63">
        <f t="shared" ca="1" si="0"/>
        <v>8.7497019701430423E-2</v>
      </c>
      <c r="T22" s="63">
        <f ca="1">range1!M151</f>
        <v>0.12819882565420249</v>
      </c>
      <c r="U22" s="61" t="b">
        <f>range1!P151</f>
        <v>1</v>
      </c>
      <c r="V22" s="61">
        <f t="shared" ca="1" si="3"/>
        <v>1.125538448672104E-2</v>
      </c>
    </row>
    <row r="23" spans="1:22">
      <c r="A23" s="7">
        <v>21</v>
      </c>
      <c r="B23" s="9">
        <v>8.3999996185302734</v>
      </c>
      <c r="C23" s="9">
        <v>8.3999996185302734</v>
      </c>
      <c r="D23" s="9">
        <v>8.3999996185302734</v>
      </c>
      <c r="E23" s="9">
        <v>8.3999996185302734</v>
      </c>
      <c r="F23" s="9">
        <v>8.3999996185302734</v>
      </c>
      <c r="G23" s="9">
        <v>8.3999996185302734</v>
      </c>
      <c r="H23" s="9">
        <v>8.3999996185302734</v>
      </c>
      <c r="I23" s="9">
        <v>8.3999996185302734</v>
      </c>
      <c r="J23" s="9">
        <v>8.3999996185302734</v>
      </c>
      <c r="K23" s="9">
        <v>8.3999996185302734</v>
      </c>
      <c r="L23" s="9">
        <f t="shared" si="1"/>
        <v>8.3999996185302734</v>
      </c>
      <c r="M23" s="12">
        <f t="shared" si="2"/>
        <v>0</v>
      </c>
      <c r="N23" s="9">
        <f t="shared" si="4"/>
        <v>1.3559524039292292</v>
      </c>
      <c r="O23" s="9">
        <f t="shared" si="5"/>
        <v>0.13224444537641397</v>
      </c>
      <c r="P23" s="9">
        <f t="shared" si="7"/>
        <v>2.554835162203954</v>
      </c>
      <c r="Q23" s="9">
        <f t="shared" si="6"/>
        <v>2.9900000572204597</v>
      </c>
      <c r="S23" s="63">
        <f t="shared" ca="1" si="0"/>
        <v>6.4528090696904072E-2</v>
      </c>
      <c r="T23" s="63">
        <f ca="1">range1!M152</f>
        <v>9.8577973900478011E-2</v>
      </c>
      <c r="U23" s="61" t="b">
        <f>range1!P152</f>
        <v>1</v>
      </c>
      <c r="V23" s="61">
        <f t="shared" ca="1" si="3"/>
        <v>1.1735473616334039E-2</v>
      </c>
    </row>
    <row r="24" spans="1:22">
      <c r="A24" s="7">
        <v>22</v>
      </c>
      <c r="B24" s="9">
        <v>6.3000001907348633</v>
      </c>
      <c r="C24" s="9">
        <v>6.3000001907348633</v>
      </c>
      <c r="D24" s="9">
        <v>6.3000001907348633</v>
      </c>
      <c r="E24" s="9">
        <v>6.3000001907348633</v>
      </c>
      <c r="F24" s="9">
        <v>6.3000001907348633</v>
      </c>
      <c r="G24" s="9">
        <v>6.3000001907348633</v>
      </c>
      <c r="H24" s="9">
        <v>6.3000001907348633</v>
      </c>
      <c r="I24" s="9">
        <v>6.3000001907348633</v>
      </c>
      <c r="J24" s="9">
        <v>6.3000001907348633</v>
      </c>
      <c r="K24" s="9">
        <v>6.3000001907348633</v>
      </c>
      <c r="L24" s="9">
        <f t="shared" si="1"/>
        <v>6.3000001907348633</v>
      </c>
      <c r="M24" s="12">
        <f t="shared" si="2"/>
        <v>0</v>
      </c>
      <c r="N24" s="9">
        <f t="shared" si="4"/>
        <v>1.3333332324154192</v>
      </c>
      <c r="O24" s="9">
        <f t="shared" si="5"/>
        <v>0.12493870373722879</v>
      </c>
      <c r="P24" s="9">
        <f t="shared" si="7"/>
        <v>2.6797738659411827</v>
      </c>
      <c r="Q24" s="9">
        <f t="shared" si="6"/>
        <v>2.0999994277954102</v>
      </c>
      <c r="S24" s="63">
        <f t="shared" ca="1" si="0"/>
        <v>4.8396071685701009E-2</v>
      </c>
      <c r="T24" s="63">
        <f ca="1">range1!M153</f>
        <v>7.7130840798076722E-2</v>
      </c>
      <c r="U24" s="61" t="b">
        <f>range1!P153</f>
        <v>1</v>
      </c>
      <c r="V24" s="61">
        <f t="shared" ca="1" si="3"/>
        <v>1.2242990232208199E-2</v>
      </c>
    </row>
    <row r="25" spans="1:22">
      <c r="A25" s="7">
        <v>23</v>
      </c>
      <c r="B25" s="9">
        <v>2.2000000476837158</v>
      </c>
      <c r="C25" s="9">
        <v>2.2000000476837158</v>
      </c>
      <c r="D25" s="9">
        <v>2.2000000476837158</v>
      </c>
      <c r="E25" s="9">
        <v>2.2000000476837158</v>
      </c>
      <c r="F25" s="9">
        <v>2.2000000476837158</v>
      </c>
      <c r="G25" s="9">
        <v>2.2000000476837158</v>
      </c>
      <c r="H25" s="9">
        <v>2.2000000476837158</v>
      </c>
      <c r="I25" s="9">
        <v>2.2000000476837158</v>
      </c>
      <c r="J25" s="9">
        <v>2.2000000476837158</v>
      </c>
      <c r="K25" s="9">
        <v>2.2000000476837158</v>
      </c>
      <c r="L25" s="9">
        <f t="shared" si="1"/>
        <v>2.2000000476837158</v>
      </c>
      <c r="M25" s="12">
        <f t="shared" si="2"/>
        <v>0</v>
      </c>
      <c r="N25" s="9">
        <f t="shared" si="4"/>
        <v>2.8636363882663818</v>
      </c>
      <c r="O25" s="9">
        <f t="shared" si="5"/>
        <v>0.45691787236672438</v>
      </c>
      <c r="P25" s="9">
        <f t="shared" si="7"/>
        <v>3.1366917383079072</v>
      </c>
      <c r="Q25" s="9">
        <f t="shared" si="6"/>
        <v>4.1000001430511475</v>
      </c>
      <c r="S25" s="63">
        <f t="shared" ca="1" si="0"/>
        <v>1.6900215363934361E-2</v>
      </c>
      <c r="T25" s="63">
        <f ca="1">range1!M154</f>
        <v>3.3485035568983711E-2</v>
      </c>
      <c r="U25" s="61" t="b">
        <f>range1!P154</f>
        <v>1</v>
      </c>
      <c r="V25" s="61">
        <f t="shared" ca="1" si="3"/>
        <v>1.5220470383279602E-2</v>
      </c>
    </row>
    <row r="26" spans="1:22">
      <c r="A26" s="7">
        <v>24</v>
      </c>
      <c r="B26" s="9">
        <v>1.7999999523162842</v>
      </c>
      <c r="C26" s="9">
        <v>1.7999999523162842</v>
      </c>
      <c r="D26" s="9">
        <v>1.7999999523162842</v>
      </c>
      <c r="E26" s="9">
        <v>1.7999999523162842</v>
      </c>
      <c r="F26" s="9">
        <v>1.7999999523162842</v>
      </c>
      <c r="G26" s="9">
        <v>1.7999999523162842</v>
      </c>
      <c r="H26" s="9">
        <v>1.7999999523162842</v>
      </c>
      <c r="I26" s="9">
        <v>1.7999999523162842</v>
      </c>
      <c r="J26" s="9">
        <v>1.7999999523162842</v>
      </c>
      <c r="K26" s="9">
        <v>1.7999999523162842</v>
      </c>
      <c r="L26" s="9">
        <f t="shared" si="1"/>
        <v>1.7999999523162842</v>
      </c>
      <c r="M26" s="12">
        <f t="shared" si="2"/>
        <v>0</v>
      </c>
      <c r="N26" s="9">
        <f t="shared" si="4"/>
        <v>1.2222222810910088</v>
      </c>
      <c r="O26" s="9">
        <f t="shared" si="5"/>
        <v>8.7150196636854443E-2</v>
      </c>
      <c r="P26" s="9">
        <f t="shared" si="7"/>
        <v>3.2238419349447618</v>
      </c>
      <c r="Q26" s="9">
        <f t="shared" si="6"/>
        <v>0.40000009536743164</v>
      </c>
      <c r="S26" s="63">
        <f t="shared" ca="1" si="0"/>
        <v>1.3827448268123942E-2</v>
      </c>
      <c r="T26" s="63">
        <f ca="1">range1!M155</f>
        <v>2.8570498995547158E-2</v>
      </c>
      <c r="U26" s="61" t="b">
        <f>range1!P155</f>
        <v>1</v>
      </c>
      <c r="V26" s="61">
        <f t="shared" ca="1" si="3"/>
        <v>1.5872499862448295E-2</v>
      </c>
    </row>
    <row r="27" spans="1:22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12"/>
      <c r="N27" s="7"/>
      <c r="O27" s="9"/>
      <c r="P27" s="9"/>
      <c r="Q27" s="9"/>
      <c r="V27">
        <f ca="1">V5</f>
        <v>7.681915908014576E-3</v>
      </c>
    </row>
    <row r="28" spans="1:22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12"/>
      <c r="N28" s="7"/>
      <c r="O28" s="9"/>
      <c r="P28" s="9"/>
      <c r="Q28" s="9"/>
    </row>
    <row r="29" spans="1:22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12"/>
      <c r="N29" s="7"/>
      <c r="O29" s="9"/>
      <c r="P29" s="9"/>
      <c r="Q29" s="9"/>
    </row>
    <row r="30" spans="1:22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12"/>
      <c r="N30" s="7"/>
      <c r="O30" s="9"/>
      <c r="P30" s="9"/>
      <c r="Q30" s="9"/>
    </row>
    <row r="31" spans="1:22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12"/>
      <c r="N31" s="7"/>
      <c r="O31" s="9"/>
      <c r="P31" s="9"/>
      <c r="Q31" s="9"/>
    </row>
    <row r="32" spans="1:2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12"/>
      <c r="N32" s="7"/>
      <c r="O32" s="9"/>
      <c r="P32" s="9"/>
      <c r="Q32" s="9"/>
    </row>
    <row r="33" spans="1:17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12"/>
      <c r="N33" s="7"/>
      <c r="O33" s="9"/>
      <c r="P33" s="9"/>
      <c r="Q33" s="9"/>
    </row>
    <row r="34" spans="1:17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12"/>
      <c r="N34" s="7"/>
      <c r="O34" s="9"/>
      <c r="P34" s="9"/>
      <c r="Q34" s="9"/>
    </row>
    <row r="35" spans="1:17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12"/>
      <c r="N35" s="7"/>
      <c r="O35" s="9"/>
      <c r="P35" s="9"/>
      <c r="Q35" s="9"/>
    </row>
    <row r="36" spans="1:17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12"/>
      <c r="N36" s="7"/>
      <c r="O36" s="9"/>
      <c r="P36" s="9"/>
      <c r="Q36" s="9"/>
    </row>
    <row r="37" spans="1:17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12"/>
      <c r="N37" s="7"/>
      <c r="O37" s="9"/>
      <c r="P37" s="9"/>
      <c r="Q37" s="9"/>
    </row>
    <row r="38" spans="1:17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</row>
    <row r="39" spans="1:17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</row>
    <row r="40" spans="1:17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</row>
    <row r="41" spans="1:17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</row>
  </sheetData>
  <mergeCells count="1">
    <mergeCell ref="T1:U1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:V26"/>
  <sheetViews>
    <sheetView zoomScale="70" zoomScaleNormal="70" workbookViewId="0">
      <selection activeCell="H24" sqref="H24"/>
    </sheetView>
  </sheetViews>
  <sheetFormatPr defaultRowHeight="15"/>
  <cols>
    <col min="14" max="14" width="7.5703125" style="7" customWidth="1"/>
  </cols>
  <sheetData>
    <row r="1" spans="1:22">
      <c r="A1" t="str">
        <f>data4!A1</f>
        <v>calibrated</v>
      </c>
      <c r="B1" s="7">
        <f>data4!B1</f>
        <v>0</v>
      </c>
      <c r="C1" s="7">
        <f>data4!C1</f>
        <v>1</v>
      </c>
      <c r="D1" s="7">
        <f>data4!D1</f>
        <v>2</v>
      </c>
      <c r="E1" s="7">
        <f>data4!E1</f>
        <v>3</v>
      </c>
      <c r="F1" s="7">
        <f>data4!F1</f>
        <v>4</v>
      </c>
      <c r="G1" s="7">
        <f>data4!G1</f>
        <v>5</v>
      </c>
      <c r="H1" s="7">
        <f>data4!H1</f>
        <v>6</v>
      </c>
      <c r="I1" s="7">
        <f>data4!I1</f>
        <v>7</v>
      </c>
      <c r="J1" s="7">
        <f>data4!J1</f>
        <v>8</v>
      </c>
      <c r="K1" s="7">
        <f>data4!K1</f>
        <v>9</v>
      </c>
      <c r="L1" s="7" t="str">
        <f>data4!L1</f>
        <v>AVG</v>
      </c>
      <c r="M1" s="7" t="str">
        <f>data4!M1</f>
        <v>STDEV</v>
      </c>
      <c r="N1" s="7" t="s">
        <v>36</v>
      </c>
      <c r="O1" s="9" t="str">
        <f>data4!P2</f>
        <v>Tlog</v>
      </c>
      <c r="P1" s="7"/>
      <c r="Q1" s="7"/>
      <c r="R1" s="7"/>
      <c r="S1" s="7"/>
      <c r="T1" s="7"/>
      <c r="U1" s="7"/>
      <c r="V1" s="7"/>
    </row>
    <row r="2" spans="1:22">
      <c r="A2" s="7">
        <f>data4!A2</f>
        <v>0</v>
      </c>
      <c r="B2">
        <v>3933</v>
      </c>
      <c r="C2">
        <v>3934</v>
      </c>
      <c r="D2">
        <v>3933</v>
      </c>
      <c r="E2">
        <v>3933</v>
      </c>
      <c r="F2">
        <v>3933</v>
      </c>
      <c r="G2">
        <v>3933</v>
      </c>
      <c r="H2">
        <v>3933</v>
      </c>
      <c r="I2">
        <v>3933</v>
      </c>
      <c r="J2">
        <v>3933</v>
      </c>
      <c r="K2">
        <v>3933</v>
      </c>
      <c r="L2" s="9">
        <f>AVERAGE(B2:K2)</f>
        <v>3933.1</v>
      </c>
      <c r="M2" s="12">
        <f>STDEV(B2:K2)/L2</f>
        <v>8.040165925525361E-5</v>
      </c>
      <c r="N2" s="9">
        <f>data4!L2</f>
        <v>3013.8</v>
      </c>
      <c r="O2">
        <v>0</v>
      </c>
    </row>
    <row r="3" spans="1:22">
      <c r="A3" s="7">
        <f>data4!A3</f>
        <v>1</v>
      </c>
      <c r="B3">
        <v>3955</v>
      </c>
      <c r="C3">
        <v>3955</v>
      </c>
      <c r="D3">
        <v>3955</v>
      </c>
      <c r="E3">
        <v>3955</v>
      </c>
      <c r="F3">
        <v>3955</v>
      </c>
      <c r="G3">
        <v>3955</v>
      </c>
      <c r="H3">
        <v>3953</v>
      </c>
      <c r="I3">
        <v>3955</v>
      </c>
      <c r="J3">
        <v>3955</v>
      </c>
      <c r="K3">
        <v>3954</v>
      </c>
      <c r="L3" s="9">
        <f t="shared" ref="L3:L26" si="0">AVERAGE(B3:K3)</f>
        <v>3954.7</v>
      </c>
      <c r="M3" s="12">
        <f t="shared" ref="M3:M26" si="1">STDEV(B3:K3)/L3</f>
        <v>1.7066997691621435E-4</v>
      </c>
      <c r="N3" s="9">
        <f>data4!L3</f>
        <v>2454.1999999999998</v>
      </c>
      <c r="O3" s="9">
        <f>data4!P3</f>
        <v>8.9204476771160016E-2</v>
      </c>
    </row>
    <row r="4" spans="1:22">
      <c r="A4" s="7">
        <f>data4!A4</f>
        <v>2</v>
      </c>
      <c r="B4">
        <v>3989</v>
      </c>
      <c r="C4">
        <v>3989</v>
      </c>
      <c r="D4">
        <v>3988</v>
      </c>
      <c r="E4">
        <v>3988</v>
      </c>
      <c r="F4">
        <v>3988</v>
      </c>
      <c r="G4">
        <v>3989</v>
      </c>
      <c r="H4">
        <v>3988</v>
      </c>
      <c r="I4">
        <v>3988</v>
      </c>
      <c r="J4">
        <v>3988</v>
      </c>
      <c r="K4">
        <v>3989</v>
      </c>
      <c r="L4" s="9">
        <f t="shared" si="0"/>
        <v>3988.4</v>
      </c>
      <c r="M4" s="12">
        <f t="shared" si="1"/>
        <v>1.2947492214780923E-4</v>
      </c>
      <c r="N4" s="9">
        <f>data4!L4</f>
        <v>2009.6</v>
      </c>
      <c r="O4" s="9">
        <f>data4!P4</f>
        <v>0.17600480648609085</v>
      </c>
    </row>
    <row r="5" spans="1:22">
      <c r="A5" s="7">
        <f>data4!A5</f>
        <v>3</v>
      </c>
      <c r="B5">
        <v>3978</v>
      </c>
      <c r="C5">
        <v>3979</v>
      </c>
      <c r="D5">
        <v>3979</v>
      </c>
      <c r="E5">
        <v>3978</v>
      </c>
      <c r="F5">
        <v>3977</v>
      </c>
      <c r="G5">
        <v>3978</v>
      </c>
      <c r="H5">
        <v>3978</v>
      </c>
      <c r="I5">
        <v>3978</v>
      </c>
      <c r="J5">
        <v>3979</v>
      </c>
      <c r="K5">
        <v>3979</v>
      </c>
      <c r="L5" s="9">
        <f t="shared" si="0"/>
        <v>3978.3</v>
      </c>
      <c r="M5" s="12">
        <f t="shared" si="1"/>
        <v>1.6965753153622221E-4</v>
      </c>
      <c r="N5" s="9">
        <f>data4!L5</f>
        <v>1669.6</v>
      </c>
      <c r="O5" s="9">
        <f>data4!P5</f>
        <v>0.2565019924857953</v>
      </c>
    </row>
    <row r="6" spans="1:22">
      <c r="A6" s="7">
        <f>data4!A6</f>
        <v>4</v>
      </c>
      <c r="B6">
        <v>3961</v>
      </c>
      <c r="C6">
        <v>3960</v>
      </c>
      <c r="D6">
        <v>3960</v>
      </c>
      <c r="E6">
        <v>3960</v>
      </c>
      <c r="F6">
        <v>3960</v>
      </c>
      <c r="G6">
        <v>3961</v>
      </c>
      <c r="H6">
        <v>3961</v>
      </c>
      <c r="I6">
        <v>3960</v>
      </c>
      <c r="J6">
        <v>3961</v>
      </c>
      <c r="K6">
        <v>3961</v>
      </c>
      <c r="L6" s="9">
        <f t="shared" si="0"/>
        <v>3960.5</v>
      </c>
      <c r="M6" s="12">
        <f t="shared" si="1"/>
        <v>1.3307569162851406E-4</v>
      </c>
      <c r="N6" s="9">
        <f>data4!L6</f>
        <v>1236.5999999999999</v>
      </c>
      <c r="O6" s="9">
        <f>data4!P6</f>
        <v>0.38688518638033642</v>
      </c>
    </row>
    <row r="7" spans="1:22">
      <c r="A7" s="7">
        <f>data4!A7</f>
        <v>5</v>
      </c>
      <c r="B7">
        <v>3971</v>
      </c>
      <c r="C7">
        <v>3972</v>
      </c>
      <c r="D7">
        <v>3972</v>
      </c>
      <c r="E7">
        <v>3970</v>
      </c>
      <c r="F7">
        <v>3971</v>
      </c>
      <c r="G7">
        <v>3971</v>
      </c>
      <c r="H7">
        <v>3970</v>
      </c>
      <c r="I7">
        <v>3971</v>
      </c>
      <c r="J7">
        <v>3972</v>
      </c>
      <c r="K7">
        <v>3972</v>
      </c>
      <c r="L7" s="9">
        <f t="shared" si="0"/>
        <v>3971.2</v>
      </c>
      <c r="M7" s="12">
        <f t="shared" si="1"/>
        <v>1.9863281570976418E-4</v>
      </c>
      <c r="N7" s="9">
        <f>data4!L7</f>
        <v>925.3</v>
      </c>
      <c r="O7" s="9">
        <f>data4!P7</f>
        <v>0.51283186637572964</v>
      </c>
    </row>
    <row r="8" spans="1:22">
      <c r="A8" s="7">
        <f>data4!A8</f>
        <v>6</v>
      </c>
      <c r="B8">
        <v>3979</v>
      </c>
      <c r="C8">
        <v>3979</v>
      </c>
      <c r="D8">
        <v>3979</v>
      </c>
      <c r="E8">
        <v>3980</v>
      </c>
      <c r="F8">
        <v>3979</v>
      </c>
      <c r="G8">
        <v>3979</v>
      </c>
      <c r="H8">
        <v>3979</v>
      </c>
      <c r="I8">
        <v>3979</v>
      </c>
      <c r="J8">
        <v>3979</v>
      </c>
      <c r="K8">
        <v>3980</v>
      </c>
      <c r="L8" s="9">
        <f t="shared" si="0"/>
        <v>3979.2</v>
      </c>
      <c r="M8" s="12">
        <f t="shared" si="1"/>
        <v>1.0596024863183149E-4</v>
      </c>
      <c r="N8" s="9">
        <f>data4!L8</f>
        <v>756.42999877929685</v>
      </c>
      <c r="O8" s="9">
        <f>data4!P8</f>
        <v>0.60034568461824955</v>
      </c>
    </row>
    <row r="9" spans="1:22">
      <c r="A9" s="7">
        <f>data4!A9</f>
        <v>7</v>
      </c>
      <c r="B9">
        <v>4001</v>
      </c>
      <c r="C9">
        <v>4002</v>
      </c>
      <c r="D9">
        <v>4002</v>
      </c>
      <c r="E9">
        <v>4002</v>
      </c>
      <c r="F9">
        <v>4001</v>
      </c>
      <c r="G9">
        <v>4001</v>
      </c>
      <c r="H9">
        <v>4002</v>
      </c>
      <c r="I9">
        <v>4002</v>
      </c>
      <c r="J9">
        <v>4002</v>
      </c>
      <c r="K9">
        <v>4002</v>
      </c>
      <c r="L9" s="9">
        <f t="shared" si="0"/>
        <v>4001.7</v>
      </c>
      <c r="M9" s="12">
        <f t="shared" si="1"/>
        <v>1.2071017106221055E-4</v>
      </c>
      <c r="N9" s="9">
        <f>data4!L9</f>
        <v>615.27000122070308</v>
      </c>
      <c r="O9" s="9">
        <f>data4!P9</f>
        <v>0.69004868787726481</v>
      </c>
    </row>
    <row r="10" spans="1:22">
      <c r="A10" s="7">
        <f>data4!A10</f>
        <v>8</v>
      </c>
      <c r="B10">
        <v>4034</v>
      </c>
      <c r="C10">
        <v>4034</v>
      </c>
      <c r="D10">
        <v>4034</v>
      </c>
      <c r="E10">
        <v>4035</v>
      </c>
      <c r="F10">
        <v>4034</v>
      </c>
      <c r="G10">
        <v>4034</v>
      </c>
      <c r="H10">
        <v>4034</v>
      </c>
      <c r="I10">
        <v>4034</v>
      </c>
      <c r="J10">
        <v>4034</v>
      </c>
      <c r="K10">
        <v>4034</v>
      </c>
      <c r="L10" s="9">
        <f t="shared" si="0"/>
        <v>4034.1</v>
      </c>
      <c r="M10" s="12">
        <f t="shared" si="1"/>
        <v>7.8388678024054418E-5</v>
      </c>
      <c r="N10" s="9">
        <f>data4!L10</f>
        <v>504.26999511718748</v>
      </c>
      <c r="O10" s="9">
        <f>data4!P10</f>
        <v>0.77645130084154401</v>
      </c>
    </row>
    <row r="11" spans="1:22">
      <c r="A11" s="7">
        <f>data4!A11</f>
        <v>9</v>
      </c>
      <c r="B11">
        <v>4023</v>
      </c>
      <c r="C11">
        <v>4024</v>
      </c>
      <c r="D11">
        <v>4024</v>
      </c>
      <c r="E11">
        <v>4024</v>
      </c>
      <c r="F11">
        <v>4024</v>
      </c>
      <c r="G11">
        <v>4023</v>
      </c>
      <c r="H11">
        <v>4024</v>
      </c>
      <c r="I11">
        <v>4024</v>
      </c>
      <c r="J11">
        <v>4024</v>
      </c>
      <c r="K11">
        <v>4024</v>
      </c>
      <c r="L11" s="9">
        <f t="shared" si="0"/>
        <v>4023.8</v>
      </c>
      <c r="M11" s="12">
        <f t="shared" si="1"/>
        <v>1.0478577994825384E-4</v>
      </c>
      <c r="N11" s="9">
        <f>data4!L11</f>
        <v>419.26999816894534</v>
      </c>
      <c r="O11" s="9">
        <f>data4!P11</f>
        <v>0.85662064197040344</v>
      </c>
    </row>
    <row r="12" spans="1:22">
      <c r="A12" s="7">
        <f>data4!A12</f>
        <v>10</v>
      </c>
      <c r="B12">
        <v>4006</v>
      </c>
      <c r="C12">
        <v>4006</v>
      </c>
      <c r="D12">
        <v>4006</v>
      </c>
      <c r="E12">
        <v>4006</v>
      </c>
      <c r="F12">
        <v>4005</v>
      </c>
      <c r="G12">
        <v>4005</v>
      </c>
      <c r="H12">
        <v>4005</v>
      </c>
      <c r="I12">
        <v>4006</v>
      </c>
      <c r="J12">
        <v>4005</v>
      </c>
      <c r="K12">
        <v>4005</v>
      </c>
      <c r="L12" s="9">
        <f t="shared" si="0"/>
        <v>4005.5</v>
      </c>
      <c r="M12" s="12">
        <f t="shared" si="1"/>
        <v>1.315806457857271E-4</v>
      </c>
      <c r="N12" s="9">
        <f>data4!L12</f>
        <v>310.73999938964846</v>
      </c>
      <c r="O12" s="9">
        <f>data4!P12</f>
        <v>0.98671726799469095</v>
      </c>
    </row>
    <row r="13" spans="1:22">
      <c r="A13" s="7">
        <f>data4!A13</f>
        <v>11</v>
      </c>
      <c r="B13">
        <v>4010</v>
      </c>
      <c r="C13">
        <v>4009</v>
      </c>
      <c r="D13">
        <v>4010</v>
      </c>
      <c r="E13">
        <v>4010</v>
      </c>
      <c r="F13">
        <v>4010</v>
      </c>
      <c r="G13">
        <v>4009</v>
      </c>
      <c r="H13">
        <v>4009</v>
      </c>
      <c r="I13">
        <v>4010</v>
      </c>
      <c r="J13">
        <v>4010</v>
      </c>
      <c r="K13">
        <v>4009</v>
      </c>
      <c r="L13" s="9">
        <f t="shared" si="0"/>
        <v>4009.6</v>
      </c>
      <c r="M13" s="12">
        <f t="shared" si="1"/>
        <v>1.2879034803828869E-4</v>
      </c>
      <c r="N13" s="9">
        <f>data4!L13</f>
        <v>281.05999755859375</v>
      </c>
      <c r="O13" s="9">
        <f>data4!P13</f>
        <v>1.0303153903915305</v>
      </c>
    </row>
    <row r="14" spans="1:22">
      <c r="A14" s="7">
        <f>data4!A14</f>
        <v>12</v>
      </c>
      <c r="B14">
        <v>4017</v>
      </c>
      <c r="C14">
        <v>4016</v>
      </c>
      <c r="D14">
        <v>4017</v>
      </c>
      <c r="E14">
        <v>4017</v>
      </c>
      <c r="F14">
        <v>4016</v>
      </c>
      <c r="G14">
        <v>4016</v>
      </c>
      <c r="H14">
        <v>4016</v>
      </c>
      <c r="I14">
        <v>4017</v>
      </c>
      <c r="J14">
        <v>4017</v>
      </c>
      <c r="K14">
        <v>4016</v>
      </c>
      <c r="L14" s="9">
        <f t="shared" si="0"/>
        <v>4016.5</v>
      </c>
      <c r="M14" s="12">
        <f t="shared" si="1"/>
        <v>1.3122028549601144E-4</v>
      </c>
      <c r="N14" s="9">
        <f>data4!L14</f>
        <v>231.31000213623048</v>
      </c>
      <c r="O14" s="9">
        <f>data4!P14</f>
        <v>1.11492001592539</v>
      </c>
    </row>
    <row r="15" spans="1:22">
      <c r="A15" s="7">
        <f>data4!A15</f>
        <v>13</v>
      </c>
      <c r="B15">
        <v>4064</v>
      </c>
      <c r="C15">
        <v>4065</v>
      </c>
      <c r="D15">
        <v>4065</v>
      </c>
      <c r="E15">
        <v>4065</v>
      </c>
      <c r="F15">
        <v>4064</v>
      </c>
      <c r="G15">
        <v>4065</v>
      </c>
      <c r="H15">
        <v>4065</v>
      </c>
      <c r="I15">
        <v>4064</v>
      </c>
      <c r="J15">
        <v>4065</v>
      </c>
      <c r="K15">
        <v>4064</v>
      </c>
      <c r="L15" s="9">
        <f t="shared" si="0"/>
        <v>4064.6</v>
      </c>
      <c r="M15" s="12">
        <f t="shared" si="1"/>
        <v>1.2704762571823114E-4</v>
      </c>
      <c r="N15" s="9">
        <f>data4!L15</f>
        <v>187.07000122070312</v>
      </c>
      <c r="O15" s="9">
        <f>data4!P15</f>
        <v>1.2071102794658137</v>
      </c>
    </row>
    <row r="16" spans="1:22">
      <c r="A16" s="7">
        <f>data4!A16</f>
        <v>14</v>
      </c>
      <c r="B16">
        <v>4055</v>
      </c>
      <c r="C16">
        <v>4054</v>
      </c>
      <c r="D16">
        <v>4056</v>
      </c>
      <c r="E16">
        <v>4055</v>
      </c>
      <c r="F16">
        <v>4054</v>
      </c>
      <c r="G16">
        <v>4054</v>
      </c>
      <c r="H16">
        <v>4054</v>
      </c>
      <c r="I16">
        <v>4055</v>
      </c>
      <c r="J16">
        <v>4055</v>
      </c>
      <c r="K16">
        <v>4054</v>
      </c>
      <c r="L16" s="9">
        <f t="shared" si="0"/>
        <v>4054.6</v>
      </c>
      <c r="M16" s="12">
        <f t="shared" si="1"/>
        <v>1.7244756542694745E-4</v>
      </c>
      <c r="N16" s="9">
        <f>data4!L16</f>
        <v>155.69999999999999</v>
      </c>
      <c r="O16" s="9">
        <f>data4!P16</f>
        <v>1.2868258159750727</v>
      </c>
    </row>
    <row r="17" spans="1:15">
      <c r="A17" s="7">
        <f>data4!A17</f>
        <v>15</v>
      </c>
      <c r="B17">
        <v>4035</v>
      </c>
      <c r="C17">
        <v>4037</v>
      </c>
      <c r="D17">
        <v>4036</v>
      </c>
      <c r="E17">
        <v>4036</v>
      </c>
      <c r="F17">
        <v>4035</v>
      </c>
      <c r="G17">
        <v>4036</v>
      </c>
      <c r="H17">
        <v>4036</v>
      </c>
      <c r="I17">
        <v>4034</v>
      </c>
      <c r="J17">
        <v>4036</v>
      </c>
      <c r="K17">
        <v>4035</v>
      </c>
      <c r="L17" s="9">
        <f t="shared" si="0"/>
        <v>4035.6</v>
      </c>
      <c r="M17" s="12">
        <f t="shared" si="1"/>
        <v>2.089587775576291E-4</v>
      </c>
      <c r="N17" s="9">
        <f>data4!L17</f>
        <v>115.39999923706054</v>
      </c>
      <c r="O17" s="9">
        <f>data4!P17</f>
        <v>1.4169086225947143</v>
      </c>
    </row>
    <row r="18" spans="1:15">
      <c r="A18" s="7">
        <f>data4!A18</f>
        <v>16</v>
      </c>
      <c r="B18">
        <v>4047</v>
      </c>
      <c r="C18">
        <v>4047</v>
      </c>
      <c r="D18">
        <v>4047</v>
      </c>
      <c r="E18">
        <v>4047</v>
      </c>
      <c r="F18">
        <v>4047</v>
      </c>
      <c r="G18">
        <v>4047</v>
      </c>
      <c r="H18">
        <v>4046</v>
      </c>
      <c r="I18">
        <v>4047</v>
      </c>
      <c r="J18">
        <v>4047</v>
      </c>
      <c r="K18">
        <v>4046</v>
      </c>
      <c r="L18" s="9">
        <f t="shared" si="0"/>
        <v>4046.8</v>
      </c>
      <c r="M18" s="12">
        <f t="shared" si="1"/>
        <v>1.0419022965201736E-4</v>
      </c>
      <c r="N18" s="9">
        <f>data4!L18</f>
        <v>86.320002746582034</v>
      </c>
      <c r="O18" s="9">
        <f>data4!P18</f>
        <v>1.5430029830496941</v>
      </c>
    </row>
    <row r="19" spans="1:15">
      <c r="A19" s="7">
        <f>data4!A19</f>
        <v>17</v>
      </c>
      <c r="B19">
        <v>3830</v>
      </c>
      <c r="C19">
        <v>3831</v>
      </c>
      <c r="D19">
        <v>3831</v>
      </c>
      <c r="E19">
        <v>3830</v>
      </c>
      <c r="F19">
        <v>3831</v>
      </c>
      <c r="G19">
        <v>3830</v>
      </c>
      <c r="H19">
        <v>3830</v>
      </c>
      <c r="I19">
        <v>3831</v>
      </c>
      <c r="J19">
        <v>3831</v>
      </c>
      <c r="K19">
        <v>3831</v>
      </c>
      <c r="L19" s="9">
        <f t="shared" si="0"/>
        <v>3830.6</v>
      </c>
      <c r="M19" s="12">
        <f t="shared" si="1"/>
        <v>1.3480858860082554E-4</v>
      </c>
      <c r="N19" s="9">
        <f>data4!L19</f>
        <v>20.439999771118163</v>
      </c>
      <c r="O19" s="9">
        <f>data4!P19</f>
        <v>2.1686335419436351</v>
      </c>
    </row>
    <row r="20" spans="1:15">
      <c r="A20" s="7">
        <f>data4!A20</f>
        <v>18</v>
      </c>
      <c r="B20">
        <v>3853</v>
      </c>
      <c r="C20">
        <v>3852</v>
      </c>
      <c r="D20">
        <v>3852</v>
      </c>
      <c r="E20">
        <v>3852</v>
      </c>
      <c r="F20">
        <v>3851</v>
      </c>
      <c r="G20">
        <v>3852</v>
      </c>
      <c r="H20">
        <v>3852</v>
      </c>
      <c r="I20">
        <v>3852</v>
      </c>
      <c r="J20">
        <v>3854</v>
      </c>
      <c r="K20">
        <v>3853</v>
      </c>
      <c r="L20" s="9">
        <f t="shared" si="0"/>
        <v>3852.3</v>
      </c>
      <c r="M20" s="12">
        <f t="shared" si="1"/>
        <v>2.1370936903890262E-4</v>
      </c>
      <c r="N20" s="9">
        <f>data4!L20</f>
        <v>16.700000762939453</v>
      </c>
      <c r="O20" s="9">
        <f>data4!P20</f>
        <v>2.2563979375548677</v>
      </c>
    </row>
    <row r="21" spans="1:15">
      <c r="A21" s="7">
        <f>data4!A21</f>
        <v>19</v>
      </c>
      <c r="B21">
        <v>3885</v>
      </c>
      <c r="C21">
        <v>3885</v>
      </c>
      <c r="D21">
        <v>3885</v>
      </c>
      <c r="E21">
        <v>3885</v>
      </c>
      <c r="F21">
        <v>3884</v>
      </c>
      <c r="G21">
        <v>3884</v>
      </c>
      <c r="H21">
        <v>3885</v>
      </c>
      <c r="I21">
        <v>3884</v>
      </c>
      <c r="J21">
        <v>3884</v>
      </c>
      <c r="K21">
        <v>3885</v>
      </c>
      <c r="L21" s="9">
        <f t="shared" si="0"/>
        <v>3884.6</v>
      </c>
      <c r="M21" s="12">
        <f t="shared" si="1"/>
        <v>1.329346083237199E-4</v>
      </c>
      <c r="N21" s="9">
        <f>data4!L21</f>
        <v>13.699999809265137</v>
      </c>
      <c r="O21" s="9">
        <f>data4!P21</f>
        <v>2.3423938674331435</v>
      </c>
    </row>
    <row r="22" spans="1:15">
      <c r="A22" s="7">
        <f>data4!A22</f>
        <v>20</v>
      </c>
      <c r="B22">
        <v>3875</v>
      </c>
      <c r="C22">
        <v>3872</v>
      </c>
      <c r="D22">
        <v>3876</v>
      </c>
      <c r="E22">
        <v>3874</v>
      </c>
      <c r="F22">
        <v>3874</v>
      </c>
      <c r="G22">
        <v>3872</v>
      </c>
      <c r="H22">
        <v>3874</v>
      </c>
      <c r="I22">
        <v>3876</v>
      </c>
      <c r="J22">
        <v>3872</v>
      </c>
      <c r="K22">
        <v>3875</v>
      </c>
      <c r="L22" s="9">
        <f t="shared" si="0"/>
        <v>3874</v>
      </c>
      <c r="M22" s="12">
        <f t="shared" si="1"/>
        <v>4.0358077437819911E-4</v>
      </c>
      <c r="N22" s="9">
        <f>data4!L22</f>
        <v>11.389999675750733</v>
      </c>
      <c r="O22" s="9">
        <f>data4!P22</f>
        <v>2.42259071682754</v>
      </c>
    </row>
    <row r="23" spans="1:15">
      <c r="A23" s="7">
        <f>data4!A23</f>
        <v>21</v>
      </c>
      <c r="B23">
        <v>3852</v>
      </c>
      <c r="C23">
        <v>3852</v>
      </c>
      <c r="D23">
        <v>3851</v>
      </c>
      <c r="E23">
        <v>3853</v>
      </c>
      <c r="F23">
        <v>3853</v>
      </c>
      <c r="G23">
        <v>3854</v>
      </c>
      <c r="H23">
        <v>3853</v>
      </c>
      <c r="I23">
        <v>3855</v>
      </c>
      <c r="J23">
        <v>3852</v>
      </c>
      <c r="K23">
        <v>3854</v>
      </c>
      <c r="L23" s="9">
        <f t="shared" si="0"/>
        <v>3852.9</v>
      </c>
      <c r="M23" s="12">
        <f t="shared" si="1"/>
        <v>3.1073191615091616E-4</v>
      </c>
      <c r="N23" s="9">
        <f>data4!L23</f>
        <v>8.3999996185302734</v>
      </c>
      <c r="O23" s="9">
        <f>data4!P23</f>
        <v>2.554835162203954</v>
      </c>
    </row>
    <row r="24" spans="1:15">
      <c r="A24" s="7">
        <f>data4!A24</f>
        <v>22</v>
      </c>
      <c r="B24">
        <v>3862</v>
      </c>
      <c r="C24">
        <v>3862</v>
      </c>
      <c r="D24">
        <v>3864</v>
      </c>
      <c r="E24">
        <v>3864</v>
      </c>
      <c r="F24">
        <v>3863</v>
      </c>
      <c r="G24">
        <v>3863</v>
      </c>
      <c r="H24">
        <v>3864</v>
      </c>
      <c r="I24">
        <v>3860</v>
      </c>
      <c r="J24">
        <v>3864</v>
      </c>
      <c r="K24">
        <v>3862</v>
      </c>
      <c r="L24" s="9">
        <f t="shared" si="0"/>
        <v>3862.8</v>
      </c>
      <c r="M24" s="12">
        <f t="shared" si="1"/>
        <v>3.4083079041337025E-4</v>
      </c>
      <c r="N24" s="9">
        <f>data4!L24</f>
        <v>6.3000001907348633</v>
      </c>
      <c r="O24" s="9">
        <f>data4!P24</f>
        <v>2.6797738659411827</v>
      </c>
    </row>
    <row r="25" spans="1:15">
      <c r="A25" s="7">
        <f>data4!A25</f>
        <v>23</v>
      </c>
      <c r="B25">
        <v>3790</v>
      </c>
      <c r="C25">
        <v>3783</v>
      </c>
      <c r="D25">
        <v>3785</v>
      </c>
      <c r="E25">
        <v>3783</v>
      </c>
      <c r="F25">
        <v>3783</v>
      </c>
      <c r="G25">
        <v>3782</v>
      </c>
      <c r="H25">
        <v>3778</v>
      </c>
      <c r="I25">
        <v>3784</v>
      </c>
      <c r="J25">
        <v>3771</v>
      </c>
      <c r="K25">
        <v>3783</v>
      </c>
      <c r="L25" s="9">
        <f t="shared" si="0"/>
        <v>3782.2</v>
      </c>
      <c r="M25" s="12">
        <f t="shared" si="1"/>
        <v>1.300060910886661E-3</v>
      </c>
      <c r="N25" s="9">
        <f>data4!L25</f>
        <v>2.2000000476837158</v>
      </c>
      <c r="O25" s="9">
        <f>data4!P25</f>
        <v>3.1366917383079072</v>
      </c>
    </row>
    <row r="26" spans="1:15">
      <c r="A26" s="7">
        <f>data4!A26</f>
        <v>24</v>
      </c>
      <c r="B26">
        <v>3807</v>
      </c>
      <c r="C26">
        <v>3799</v>
      </c>
      <c r="D26">
        <v>3798</v>
      </c>
      <c r="E26">
        <v>3798</v>
      </c>
      <c r="F26">
        <v>3798</v>
      </c>
      <c r="G26">
        <v>3813</v>
      </c>
      <c r="H26">
        <v>3806</v>
      </c>
      <c r="I26">
        <v>3799</v>
      </c>
      <c r="J26">
        <v>3798</v>
      </c>
      <c r="K26">
        <v>3800</v>
      </c>
      <c r="L26" s="9">
        <f t="shared" si="0"/>
        <v>3801.6</v>
      </c>
      <c r="M26" s="12">
        <f t="shared" si="1"/>
        <v>1.3763620139299879E-3</v>
      </c>
      <c r="N26" s="9">
        <f>data4!L26</f>
        <v>1.7999999523162842</v>
      </c>
      <c r="O26" s="9">
        <f>data4!P26</f>
        <v>3.2238419349447618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Summary</vt:lpstr>
      <vt:lpstr>range0</vt:lpstr>
      <vt:lpstr>range1</vt:lpstr>
      <vt:lpstr>data0</vt:lpstr>
      <vt:lpstr>data1</vt:lpstr>
      <vt:lpstr>data2</vt:lpstr>
      <vt:lpstr>data4</vt:lpstr>
      <vt:lpstr>data5</vt:lpstr>
      <vt:lpstr>Comp38</vt:lpstr>
      <vt:lpstr>Lux</vt:lpstr>
      <vt:lpstr>Ninput</vt:lpstr>
      <vt:lpstr>partNumber</vt:lpstr>
      <vt:lpstr>range0</vt:lpstr>
      <vt:lpstr>range1</vt:lpstr>
      <vt:lpstr>useDutAvg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2013-07-19T03:15:05Z</dcterms:modified>
</cp:coreProperties>
</file>