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15" yWindow="30" windowWidth="18585" windowHeight="11040" activeTab="5"/>
  </bookViews>
  <sheets>
    <sheet name="Summary" sheetId="9" r:id="rId1"/>
    <sheet name="Calculations" sheetId="8" r:id="rId2"/>
    <sheet name="data0" sheetId="4" r:id="rId3"/>
    <sheet name="data1" sheetId="5" r:id="rId4"/>
    <sheet name="data2" sheetId="6" r:id="rId5"/>
    <sheet name="data3" sheetId="7" r:id="rId6"/>
  </sheets>
  <functionGroups/>
  <definedNames>
    <definedName name="_xlnm.Print_Area" localSheetId="0">Summary!$A$1:$H$39</definedName>
  </definedNames>
  <calcPr calcId="125725"/>
</workbook>
</file>

<file path=xl/calcChain.xml><?xml version="1.0" encoding="utf-8"?>
<calcChain xmlns="http://schemas.openxmlformats.org/spreadsheetml/2006/main">
  <c r="T1" i="7"/>
  <c r="U1" s="1"/>
  <c r="P1"/>
  <c r="Q1" s="1"/>
  <c r="M1"/>
  <c r="L1"/>
  <c r="H1"/>
  <c r="I1" s="1"/>
  <c r="E1" l="1"/>
  <c r="D1"/>
  <c r="AA1" i="6"/>
  <c r="Z1"/>
  <c r="V1"/>
  <c r="W1" s="1"/>
  <c r="R1" l="1"/>
  <c r="S1" s="1"/>
  <c r="M1"/>
  <c r="N1" s="1"/>
  <c r="O1" s="1"/>
  <c r="H1"/>
  <c r="I1" s="1"/>
  <c r="J1" s="1"/>
  <c r="D1"/>
  <c r="E1" s="1"/>
  <c r="C1"/>
  <c r="I1" i="4"/>
  <c r="J1" s="1"/>
  <c r="K1" s="1"/>
  <c r="S1" i="5"/>
  <c r="T1" s="1"/>
  <c r="U1" s="1"/>
  <c r="V1" s="1"/>
  <c r="W1" s="1"/>
  <c r="X1" s="1"/>
  <c r="Y1" s="1"/>
  <c r="Z1" s="1"/>
  <c r="AA1" s="1"/>
  <c r="N1"/>
  <c r="O1" s="1"/>
  <c r="P1" s="1"/>
  <c r="Q1" s="1"/>
  <c r="M1"/>
  <c r="D1"/>
  <c r="E1" s="1"/>
  <c r="F1" s="1"/>
  <c r="G1" s="1"/>
  <c r="C1"/>
  <c r="M1" i="4"/>
  <c r="N1" s="1"/>
  <c r="O1" s="1"/>
  <c r="P1" s="1"/>
  <c r="Q1" s="1"/>
  <c r="D1"/>
  <c r="E1" s="1"/>
  <c r="F1" s="1"/>
  <c r="G1" s="1"/>
  <c r="C1"/>
  <c r="AG84" i="5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AG84" i="7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AG84" i="6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F84" i="7"/>
  <c r="E84"/>
  <c r="D84"/>
  <c r="B84"/>
  <c r="B84" i="6"/>
  <c r="B84" i="5"/>
  <c r="A1"/>
  <c r="A1" i="6" s="1"/>
  <c r="A1" i="7" s="1"/>
  <c r="C84"/>
  <c r="C84" i="6"/>
  <c r="C84" i="5"/>
  <c r="B1" i="9"/>
  <c r="A1" i="8"/>
  <c r="A11" i="9" l="1"/>
  <c r="A4"/>
  <c r="A5" s="1"/>
  <c r="A6" s="1"/>
  <c r="A7" s="1"/>
  <c r="A8" s="1"/>
  <c r="A9" s="1"/>
  <c r="A10" l="1"/>
  <c r="G19" i="8"/>
  <c r="G20" s="1"/>
  <c r="G21" s="1"/>
  <c r="F19"/>
  <c r="F20" s="1"/>
  <c r="F21" s="1"/>
  <c r="K17"/>
  <c r="L17" s="1"/>
  <c r="M17" s="1"/>
  <c r="N17" s="1"/>
  <c r="O17" s="1"/>
  <c r="P17" s="1"/>
  <c r="Q17" s="1"/>
  <c r="R17" s="1"/>
  <c r="S17" s="1"/>
  <c r="T17" s="1"/>
  <c r="U17" s="1"/>
  <c r="V17" s="1"/>
  <c r="W17" s="1"/>
  <c r="X17" s="1"/>
  <c r="Y17" s="1"/>
  <c r="Z17" s="1"/>
  <c r="AA17" s="1"/>
  <c r="AB17" s="1"/>
  <c r="AC17" s="1"/>
  <c r="AD17" s="1"/>
  <c r="AE17" s="1"/>
  <c r="AF17" s="1"/>
  <c r="AG17" s="1"/>
  <c r="AH17" s="1"/>
  <c r="AI17" s="1"/>
  <c r="AJ17" s="1"/>
  <c r="AK17" s="1"/>
  <c r="AL17" s="1"/>
  <c r="AM17" s="1"/>
  <c r="AN17" s="1"/>
  <c r="AO17" s="1"/>
  <c r="G12"/>
  <c r="G13" s="1"/>
  <c r="G14" s="1"/>
  <c r="F12"/>
  <c r="F13" s="1"/>
  <c r="F14" s="1"/>
  <c r="K10"/>
  <c r="L10" s="1"/>
  <c r="M10" s="1"/>
  <c r="N10" s="1"/>
  <c r="O10" s="1"/>
  <c r="P10" s="1"/>
  <c r="Q10" s="1"/>
  <c r="R10" s="1"/>
  <c r="S10" s="1"/>
  <c r="T10" s="1"/>
  <c r="U10" s="1"/>
  <c r="V10" s="1"/>
  <c r="W10" s="1"/>
  <c r="X10" s="1"/>
  <c r="Y10" s="1"/>
  <c r="Z10" s="1"/>
  <c r="AA10" s="1"/>
  <c r="AB10" s="1"/>
  <c r="AC10" s="1"/>
  <c r="AD10" s="1"/>
  <c r="AE10" s="1"/>
  <c r="AF10" s="1"/>
  <c r="AG10" s="1"/>
  <c r="AH10" s="1"/>
  <c r="AI10" s="1"/>
  <c r="AJ10" s="1"/>
  <c r="AK10" s="1"/>
  <c r="AL10" s="1"/>
  <c r="AM10" s="1"/>
  <c r="AN10" s="1"/>
  <c r="AO10" s="1"/>
  <c r="AY5"/>
  <c r="AW5"/>
  <c r="AU5"/>
  <c r="AS5"/>
  <c r="E11" s="1"/>
  <c r="AZ87"/>
  <c r="AY87"/>
  <c r="AX87"/>
  <c r="AW87"/>
  <c r="BC87" s="1"/>
  <c r="AV87"/>
  <c r="AU87"/>
  <c r="AT87"/>
  <c r="AS87"/>
  <c r="BA87" s="1"/>
  <c r="AZ86"/>
  <c r="AY86"/>
  <c r="AX86"/>
  <c r="AW86"/>
  <c r="BC86" s="1"/>
  <c r="AV86"/>
  <c r="AU86"/>
  <c r="BB86" s="1"/>
  <c r="AT86"/>
  <c r="AS86"/>
  <c r="BA86" s="1"/>
  <c r="AZ85"/>
  <c r="AY85"/>
  <c r="AX85"/>
  <c r="AW85"/>
  <c r="BC85" s="1"/>
  <c r="AV85"/>
  <c r="AU85"/>
  <c r="BB85" s="1"/>
  <c r="AT85"/>
  <c r="AS85"/>
  <c r="BA85" s="1"/>
  <c r="AZ84"/>
  <c r="AY84"/>
  <c r="AX84"/>
  <c r="AW84"/>
  <c r="BC84" s="1"/>
  <c r="AV84"/>
  <c r="AU84"/>
  <c r="BB84" s="1"/>
  <c r="AT84"/>
  <c r="AS84"/>
  <c r="BA84" s="1"/>
  <c r="AZ83"/>
  <c r="AY83"/>
  <c r="AX83"/>
  <c r="AW83"/>
  <c r="BC83" s="1"/>
  <c r="AV83"/>
  <c r="AU83"/>
  <c r="BB83" s="1"/>
  <c r="AT83"/>
  <c r="AS83"/>
  <c r="BA83" s="1"/>
  <c r="AZ82"/>
  <c r="AY82"/>
  <c r="AX82"/>
  <c r="AW82"/>
  <c r="BC82" s="1"/>
  <c r="AV82"/>
  <c r="AU82"/>
  <c r="BB82" s="1"/>
  <c r="AT82"/>
  <c r="AS82"/>
  <c r="BA82" s="1"/>
  <c r="AZ81"/>
  <c r="AY81"/>
  <c r="AX81"/>
  <c r="AW81"/>
  <c r="BC81" s="1"/>
  <c r="AV81"/>
  <c r="AU81"/>
  <c r="BB81" s="1"/>
  <c r="AT81"/>
  <c r="AS81"/>
  <c r="BA81" s="1"/>
  <c r="AZ80"/>
  <c r="AY80"/>
  <c r="AX80"/>
  <c r="AW80"/>
  <c r="BC80" s="1"/>
  <c r="AV80"/>
  <c r="AU80"/>
  <c r="BB80" s="1"/>
  <c r="AT80"/>
  <c r="AS80"/>
  <c r="BA80" s="1"/>
  <c r="AZ79"/>
  <c r="AY79"/>
  <c r="AX79"/>
  <c r="AW79"/>
  <c r="BC79" s="1"/>
  <c r="AV79"/>
  <c r="AU79"/>
  <c r="BB79" s="1"/>
  <c r="AT79"/>
  <c r="AS79"/>
  <c r="BA79" s="1"/>
  <c r="AZ78"/>
  <c r="AY78"/>
  <c r="AX78"/>
  <c r="AW78"/>
  <c r="BC78" s="1"/>
  <c r="AV78"/>
  <c r="AU78"/>
  <c r="BB78" s="1"/>
  <c r="AT78"/>
  <c r="AS78"/>
  <c r="BA78" s="1"/>
  <c r="AZ77"/>
  <c r="AY77"/>
  <c r="AX77"/>
  <c r="AW77"/>
  <c r="BC77" s="1"/>
  <c r="AV77"/>
  <c r="AU77"/>
  <c r="BB77" s="1"/>
  <c r="AT77"/>
  <c r="AS77"/>
  <c r="BA77" s="1"/>
  <c r="AZ76"/>
  <c r="AY76"/>
  <c r="AX76"/>
  <c r="AW76"/>
  <c r="BC76" s="1"/>
  <c r="AV76"/>
  <c r="AU76"/>
  <c r="BB76" s="1"/>
  <c r="AT76"/>
  <c r="AS76"/>
  <c r="BA76" s="1"/>
  <c r="AZ75"/>
  <c r="AY75"/>
  <c r="AX75"/>
  <c r="AW75"/>
  <c r="BC75" s="1"/>
  <c r="AV75"/>
  <c r="AU75"/>
  <c r="BB75" s="1"/>
  <c r="AT75"/>
  <c r="AS75"/>
  <c r="BA75" s="1"/>
  <c r="AZ74"/>
  <c r="AY74"/>
  <c r="AX74"/>
  <c r="AW74"/>
  <c r="BC74" s="1"/>
  <c r="AV74"/>
  <c r="AU74"/>
  <c r="BB74" s="1"/>
  <c r="AT74"/>
  <c r="AS74"/>
  <c r="BA74" s="1"/>
  <c r="AZ73"/>
  <c r="AY73"/>
  <c r="AX73"/>
  <c r="AW73"/>
  <c r="AV73"/>
  <c r="AU73"/>
  <c r="BB73" s="1"/>
  <c r="AT73"/>
  <c r="AS73"/>
  <c r="BA73" s="1"/>
  <c r="AZ72"/>
  <c r="AY72"/>
  <c r="AX72"/>
  <c r="AW72"/>
  <c r="BC72" s="1"/>
  <c r="AV72"/>
  <c r="AU72"/>
  <c r="BB72" s="1"/>
  <c r="AT72"/>
  <c r="AS72"/>
  <c r="BA72" s="1"/>
  <c r="AZ71"/>
  <c r="AY71"/>
  <c r="AX71"/>
  <c r="AW71"/>
  <c r="BC71" s="1"/>
  <c r="AV71"/>
  <c r="AU71"/>
  <c r="BB71" s="1"/>
  <c r="AT71"/>
  <c r="AS71"/>
  <c r="BA71" s="1"/>
  <c r="AZ70"/>
  <c r="AY70"/>
  <c r="AX70"/>
  <c r="AW70"/>
  <c r="AV70"/>
  <c r="AU70"/>
  <c r="BB70" s="1"/>
  <c r="AT70"/>
  <c r="AS70"/>
  <c r="BA70" s="1"/>
  <c r="AZ69"/>
  <c r="AY69"/>
  <c r="AX69"/>
  <c r="AW69"/>
  <c r="BC69" s="1"/>
  <c r="AV69"/>
  <c r="AU69"/>
  <c r="BB69" s="1"/>
  <c r="AT69"/>
  <c r="AS69"/>
  <c r="BA69" s="1"/>
  <c r="AZ68"/>
  <c r="AY68"/>
  <c r="AX68"/>
  <c r="AW68"/>
  <c r="BC68" s="1"/>
  <c r="AV68"/>
  <c r="AU68"/>
  <c r="BB68" s="1"/>
  <c r="AT68"/>
  <c r="AS68"/>
  <c r="BA68" s="1"/>
  <c r="AZ67"/>
  <c r="AY67"/>
  <c r="AX67"/>
  <c r="AW67"/>
  <c r="BC67" s="1"/>
  <c r="AV67"/>
  <c r="AU67"/>
  <c r="BB67" s="1"/>
  <c r="AT67"/>
  <c r="AS67"/>
  <c r="BA67" s="1"/>
  <c r="AZ66"/>
  <c r="AY66"/>
  <c r="AX66"/>
  <c r="AW66"/>
  <c r="BC66" s="1"/>
  <c r="AV66"/>
  <c r="AU66"/>
  <c r="BB66" s="1"/>
  <c r="AT66"/>
  <c r="AS66"/>
  <c r="BA66" s="1"/>
  <c r="AZ65"/>
  <c r="AY65"/>
  <c r="AX65"/>
  <c r="AW65"/>
  <c r="BC65" s="1"/>
  <c r="AV65"/>
  <c r="AU65"/>
  <c r="BB65" s="1"/>
  <c r="AT65"/>
  <c r="AS65"/>
  <c r="BA65" s="1"/>
  <c r="AZ64"/>
  <c r="AY64"/>
  <c r="AX64"/>
  <c r="AW64"/>
  <c r="BC64" s="1"/>
  <c r="AV64"/>
  <c r="AU64"/>
  <c r="BB64" s="1"/>
  <c r="AT64"/>
  <c r="AS64"/>
  <c r="BA64" s="1"/>
  <c r="AZ63"/>
  <c r="AY63"/>
  <c r="AX63"/>
  <c r="AW63"/>
  <c r="AV63"/>
  <c r="AU63"/>
  <c r="BB63" s="1"/>
  <c r="AT63"/>
  <c r="AS63"/>
  <c r="BA63" s="1"/>
  <c r="AZ62"/>
  <c r="AY62"/>
  <c r="AX62"/>
  <c r="AW62"/>
  <c r="BC62" s="1"/>
  <c r="AV62"/>
  <c r="AU62"/>
  <c r="BB62" s="1"/>
  <c r="AT62"/>
  <c r="AS62"/>
  <c r="BA62" s="1"/>
  <c r="AZ61"/>
  <c r="AY61"/>
  <c r="AX61"/>
  <c r="AW61"/>
  <c r="BC61" s="1"/>
  <c r="AV61"/>
  <c r="AU61"/>
  <c r="BB61" s="1"/>
  <c r="AT61"/>
  <c r="AS61"/>
  <c r="BA61" s="1"/>
  <c r="AZ60"/>
  <c r="AY60"/>
  <c r="AX60"/>
  <c r="AW60"/>
  <c r="BC60" s="1"/>
  <c r="AV60"/>
  <c r="AU60"/>
  <c r="AT60"/>
  <c r="AS60"/>
  <c r="BA60" s="1"/>
  <c r="AZ59"/>
  <c r="AY59"/>
  <c r="AX59"/>
  <c r="AW59"/>
  <c r="AV59"/>
  <c r="AU59"/>
  <c r="AT59"/>
  <c r="AS59"/>
  <c r="BA59" s="1"/>
  <c r="AZ58"/>
  <c r="AY58"/>
  <c r="AX58"/>
  <c r="AW58"/>
  <c r="BC58" s="1"/>
  <c r="AV58"/>
  <c r="AU58"/>
  <c r="BB58" s="1"/>
  <c r="AT58"/>
  <c r="AS58"/>
  <c r="BA58" s="1"/>
  <c r="AZ57"/>
  <c r="AY57"/>
  <c r="AX57"/>
  <c r="AW57"/>
  <c r="BC57" s="1"/>
  <c r="AV57"/>
  <c r="AU57"/>
  <c r="BB57" s="1"/>
  <c r="AT57"/>
  <c r="AS57"/>
  <c r="AZ56"/>
  <c r="AY56"/>
  <c r="AX56"/>
  <c r="AW56"/>
  <c r="BC56" s="1"/>
  <c r="AV56"/>
  <c r="AU56"/>
  <c r="BB56" s="1"/>
  <c r="AT56"/>
  <c r="AS56"/>
  <c r="BA56" s="1"/>
  <c r="AZ55"/>
  <c r="AY55"/>
  <c r="AX55"/>
  <c r="AW55"/>
  <c r="BC55" s="1"/>
  <c r="AV55"/>
  <c r="AU55"/>
  <c r="BB55" s="1"/>
  <c r="AT55"/>
  <c r="AS55"/>
  <c r="BA55" s="1"/>
  <c r="AZ54"/>
  <c r="AY54"/>
  <c r="AX54"/>
  <c r="AW54"/>
  <c r="BC54" s="1"/>
  <c r="AV54"/>
  <c r="AU54"/>
  <c r="BB54" s="1"/>
  <c r="AT54"/>
  <c r="AS54"/>
  <c r="BA54" s="1"/>
  <c r="AZ53"/>
  <c r="AY53"/>
  <c r="AX53"/>
  <c r="AW53"/>
  <c r="BC53" s="1"/>
  <c r="AV53"/>
  <c r="AU53"/>
  <c r="BB53" s="1"/>
  <c r="AT53"/>
  <c r="AS53"/>
  <c r="BA53" s="1"/>
  <c r="AZ52"/>
  <c r="AY52"/>
  <c r="AX52"/>
  <c r="AW52"/>
  <c r="BC52" s="1"/>
  <c r="AV52"/>
  <c r="AU52"/>
  <c r="AT52"/>
  <c r="AS52"/>
  <c r="BA52" s="1"/>
  <c r="AZ51"/>
  <c r="AY51"/>
  <c r="AX51"/>
  <c r="AW51"/>
  <c r="AV51"/>
  <c r="AU51"/>
  <c r="BB51" s="1"/>
  <c r="AT51"/>
  <c r="AS51"/>
  <c r="AZ50"/>
  <c r="AY50"/>
  <c r="AX50"/>
  <c r="AW50"/>
  <c r="BC50" s="1"/>
  <c r="AV50"/>
  <c r="AU50"/>
  <c r="BB50" s="1"/>
  <c r="AT50"/>
  <c r="AS50"/>
  <c r="BA50" s="1"/>
  <c r="AZ49"/>
  <c r="AY49"/>
  <c r="AX49"/>
  <c r="AW49"/>
  <c r="BC49" s="1"/>
  <c r="AV49"/>
  <c r="AU49"/>
  <c r="BB49" s="1"/>
  <c r="AT49"/>
  <c r="AS49"/>
  <c r="AZ48"/>
  <c r="AY48"/>
  <c r="AX48"/>
  <c r="AW48"/>
  <c r="BC48" s="1"/>
  <c r="AV48"/>
  <c r="AU48"/>
  <c r="BB48" s="1"/>
  <c r="AT48"/>
  <c r="AS48"/>
  <c r="BA48" s="1"/>
  <c r="AZ47"/>
  <c r="AY47"/>
  <c r="AX47"/>
  <c r="AW47"/>
  <c r="AV47"/>
  <c r="AU47"/>
  <c r="BB47" s="1"/>
  <c r="AT47"/>
  <c r="AS47"/>
  <c r="BA47" s="1"/>
  <c r="AZ46"/>
  <c r="AY46"/>
  <c r="AX46"/>
  <c r="AW46"/>
  <c r="AV46"/>
  <c r="AU46"/>
  <c r="BB46" s="1"/>
  <c r="AT46"/>
  <c r="AS46"/>
  <c r="BA46" s="1"/>
  <c r="AZ45"/>
  <c r="AY45"/>
  <c r="AX45"/>
  <c r="AW45"/>
  <c r="BC45" s="1"/>
  <c r="AV45"/>
  <c r="AU45"/>
  <c r="BB45" s="1"/>
  <c r="AT45"/>
  <c r="AS45"/>
  <c r="AZ44"/>
  <c r="AY44"/>
  <c r="AX44"/>
  <c r="AW44"/>
  <c r="BC44" s="1"/>
  <c r="AV44"/>
  <c r="AU44"/>
  <c r="BB44" s="1"/>
  <c r="AT44"/>
  <c r="AS44"/>
  <c r="BA44" s="1"/>
  <c r="AZ43"/>
  <c r="AY43"/>
  <c r="AX43"/>
  <c r="AW43"/>
  <c r="AV43"/>
  <c r="AU43"/>
  <c r="AT43"/>
  <c r="AS43"/>
  <c r="AZ42"/>
  <c r="AY42"/>
  <c r="AX42"/>
  <c r="AW42"/>
  <c r="BC42" s="1"/>
  <c r="AV42"/>
  <c r="AU42"/>
  <c r="AT42"/>
  <c r="AS42"/>
  <c r="AZ41"/>
  <c r="AY41"/>
  <c r="AX41"/>
  <c r="AW41"/>
  <c r="BC41" s="1"/>
  <c r="AV41"/>
  <c r="AU41"/>
  <c r="BB41" s="1"/>
  <c r="AT41"/>
  <c r="AS41"/>
  <c r="AZ40"/>
  <c r="AY40"/>
  <c r="AX40"/>
  <c r="AW40"/>
  <c r="BC40" s="1"/>
  <c r="AV40"/>
  <c r="AU40"/>
  <c r="BB40" s="1"/>
  <c r="AT40"/>
  <c r="AS40"/>
  <c r="BA40" s="1"/>
  <c r="AZ39"/>
  <c r="AY39"/>
  <c r="AX39"/>
  <c r="AW39"/>
  <c r="BC39" s="1"/>
  <c r="AV39"/>
  <c r="AU39"/>
  <c r="BB39" s="1"/>
  <c r="AT39"/>
  <c r="AS39"/>
  <c r="AZ38"/>
  <c r="AY38"/>
  <c r="AX38"/>
  <c r="AW38"/>
  <c r="BC38" s="1"/>
  <c r="AV38"/>
  <c r="AU38"/>
  <c r="AT38"/>
  <c r="AS38"/>
  <c r="BA38" s="1"/>
  <c r="AZ37"/>
  <c r="AY37"/>
  <c r="AX37"/>
  <c r="AW37"/>
  <c r="BC37" s="1"/>
  <c r="AV37"/>
  <c r="AU37"/>
  <c r="BB37" s="1"/>
  <c r="AT37"/>
  <c r="AS37"/>
  <c r="AZ36"/>
  <c r="AY36"/>
  <c r="AX36"/>
  <c r="AW36"/>
  <c r="BC36" s="1"/>
  <c r="AV36"/>
  <c r="AU36"/>
  <c r="BB36" s="1"/>
  <c r="AT36"/>
  <c r="AS36"/>
  <c r="BA36" s="1"/>
  <c r="AZ35"/>
  <c r="AY35"/>
  <c r="AX35"/>
  <c r="AW35"/>
  <c r="AV35"/>
  <c r="AU35"/>
  <c r="BB35" s="1"/>
  <c r="AT35"/>
  <c r="AS35"/>
  <c r="BA35" s="1"/>
  <c r="AZ34"/>
  <c r="AY34"/>
  <c r="AX34"/>
  <c r="AW34"/>
  <c r="BC34" s="1"/>
  <c r="AV34"/>
  <c r="AU34"/>
  <c r="AT34"/>
  <c r="AS34"/>
  <c r="BA34" s="1"/>
  <c r="AZ33"/>
  <c r="AY33"/>
  <c r="AX33"/>
  <c r="AW33"/>
  <c r="AV33"/>
  <c r="AU33"/>
  <c r="BB33" s="1"/>
  <c r="AT33"/>
  <c r="AS33"/>
  <c r="AZ32"/>
  <c r="AY32"/>
  <c r="AX32"/>
  <c r="AW32"/>
  <c r="BC32" s="1"/>
  <c r="AV32"/>
  <c r="AU32"/>
  <c r="BB32" s="1"/>
  <c r="AT32"/>
  <c r="AS32"/>
  <c r="BA32" s="1"/>
  <c r="AZ31"/>
  <c r="AY31"/>
  <c r="AX31"/>
  <c r="AW31"/>
  <c r="BC31" s="1"/>
  <c r="AV31"/>
  <c r="AU31"/>
  <c r="BB31" s="1"/>
  <c r="AT31"/>
  <c r="AS31"/>
  <c r="AZ30"/>
  <c r="AY30"/>
  <c r="AX30"/>
  <c r="AW30"/>
  <c r="BC30" s="1"/>
  <c r="AV30"/>
  <c r="AU30"/>
  <c r="AT30"/>
  <c r="AS30"/>
  <c r="BA30" s="1"/>
  <c r="AZ29"/>
  <c r="AY29"/>
  <c r="AX29"/>
  <c r="AW29"/>
  <c r="BC29" s="1"/>
  <c r="AV29"/>
  <c r="AU29"/>
  <c r="AT29"/>
  <c r="AS29"/>
  <c r="BA29" s="1"/>
  <c r="AZ28"/>
  <c r="AY28"/>
  <c r="AX28"/>
  <c r="AW28"/>
  <c r="BC28" s="1"/>
  <c r="AV28"/>
  <c r="AU28"/>
  <c r="BB28" s="1"/>
  <c r="AT28"/>
  <c r="AS28"/>
  <c r="AZ27"/>
  <c r="AY27"/>
  <c r="AX27"/>
  <c r="AW27"/>
  <c r="AV27"/>
  <c r="AU27"/>
  <c r="BB27" s="1"/>
  <c r="AT27"/>
  <c r="AS27"/>
  <c r="AZ26"/>
  <c r="AY26"/>
  <c r="AX26"/>
  <c r="AW26"/>
  <c r="BC26" s="1"/>
  <c r="AV26"/>
  <c r="AU26"/>
  <c r="AT26"/>
  <c r="AS26"/>
  <c r="AZ25"/>
  <c r="AY25"/>
  <c r="AX25"/>
  <c r="AW25"/>
  <c r="AV25"/>
  <c r="AU25"/>
  <c r="AT25"/>
  <c r="AS25"/>
  <c r="AZ24"/>
  <c r="AY24"/>
  <c r="AX24"/>
  <c r="AW24"/>
  <c r="BC24" s="1"/>
  <c r="AV24"/>
  <c r="AU24"/>
  <c r="AT24"/>
  <c r="AS24"/>
  <c r="BA24" s="1"/>
  <c r="AZ23"/>
  <c r="AY23"/>
  <c r="AX23"/>
  <c r="AW23"/>
  <c r="BC23" s="1"/>
  <c r="AV23"/>
  <c r="AU23"/>
  <c r="BB23" s="1"/>
  <c r="AT23"/>
  <c r="AS23"/>
  <c r="AZ22"/>
  <c r="AY22"/>
  <c r="AX22"/>
  <c r="AW22"/>
  <c r="BC22" s="1"/>
  <c r="AV22"/>
  <c r="AU22"/>
  <c r="BB22" s="1"/>
  <c r="AT22"/>
  <c r="AS22"/>
  <c r="AZ21"/>
  <c r="AY21"/>
  <c r="AX21"/>
  <c r="AW21"/>
  <c r="BC21" s="1"/>
  <c r="AV21"/>
  <c r="AU21"/>
  <c r="BB21" s="1"/>
  <c r="AT21"/>
  <c r="AS21"/>
  <c r="AZ20"/>
  <c r="AY20"/>
  <c r="AX20"/>
  <c r="AW20"/>
  <c r="BC20" s="1"/>
  <c r="AV20"/>
  <c r="AU20"/>
  <c r="AT20"/>
  <c r="AS20"/>
  <c r="AZ19"/>
  <c r="AY19"/>
  <c r="AX19"/>
  <c r="AW19"/>
  <c r="BC19" s="1"/>
  <c r="AV19"/>
  <c r="AU19"/>
  <c r="AT19"/>
  <c r="AS19"/>
  <c r="AZ18"/>
  <c r="AY18"/>
  <c r="AX18"/>
  <c r="AW18"/>
  <c r="AV18"/>
  <c r="AU18"/>
  <c r="AT18"/>
  <c r="AS18"/>
  <c r="BA18" s="1"/>
  <c r="AZ17"/>
  <c r="AY17"/>
  <c r="AX17"/>
  <c r="AW17"/>
  <c r="BC17" s="1"/>
  <c r="AV17"/>
  <c r="AU17"/>
  <c r="BB17" s="1"/>
  <c r="AT17"/>
  <c r="AS17"/>
  <c r="AZ16"/>
  <c r="AY16"/>
  <c r="AX16"/>
  <c r="AW16"/>
  <c r="BC16" s="1"/>
  <c r="AV16"/>
  <c r="AU16"/>
  <c r="AT16"/>
  <c r="AS16"/>
  <c r="AZ15"/>
  <c r="AY15"/>
  <c r="AX15"/>
  <c r="AW15"/>
  <c r="BC15" s="1"/>
  <c r="AV15"/>
  <c r="AU15"/>
  <c r="BB15" s="1"/>
  <c r="AT15"/>
  <c r="AS15"/>
  <c r="AZ14"/>
  <c r="AY14"/>
  <c r="AX14"/>
  <c r="AW14"/>
  <c r="AV14"/>
  <c r="AU14"/>
  <c r="AT14"/>
  <c r="AS14"/>
  <c r="AZ13"/>
  <c r="AY13"/>
  <c r="AX13"/>
  <c r="AW13"/>
  <c r="AV13"/>
  <c r="AU13"/>
  <c r="BB13" s="1"/>
  <c r="AT13"/>
  <c r="AS13"/>
  <c r="AZ12"/>
  <c r="AY12"/>
  <c r="AX12"/>
  <c r="AW12"/>
  <c r="BC12" s="1"/>
  <c r="AV12"/>
  <c r="AU12"/>
  <c r="AT12"/>
  <c r="AS12"/>
  <c r="AZ11"/>
  <c r="AY11"/>
  <c r="AX11"/>
  <c r="AW11"/>
  <c r="AV11"/>
  <c r="AU11"/>
  <c r="AT11"/>
  <c r="AS11"/>
  <c r="AZ10"/>
  <c r="AY10"/>
  <c r="AX10"/>
  <c r="AW10"/>
  <c r="AV10"/>
  <c r="AU10"/>
  <c r="AT10"/>
  <c r="AS10"/>
  <c r="AZ9"/>
  <c r="AY9"/>
  <c r="AX9"/>
  <c r="AW9"/>
  <c r="AV9"/>
  <c r="AU9"/>
  <c r="AT9"/>
  <c r="AS9"/>
  <c r="AZ8"/>
  <c r="AY8"/>
  <c r="AX8"/>
  <c r="AW8"/>
  <c r="AV8"/>
  <c r="AU8"/>
  <c r="AT8"/>
  <c r="AS8"/>
  <c r="AZ7"/>
  <c r="AY7"/>
  <c r="AX7"/>
  <c r="AW7"/>
  <c r="AV7"/>
  <c r="AU7"/>
  <c r="AT7"/>
  <c r="AS7"/>
  <c r="A2" i="7"/>
  <c r="A3" s="1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2" i="6"/>
  <c r="A3" s="1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2" i="5"/>
  <c r="A3" s="1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2" i="4"/>
  <c r="A3" s="1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B2" i="8"/>
  <c r="AR7"/>
  <c r="AR8" s="1"/>
  <c r="AR9" s="1"/>
  <c r="AR10" s="1"/>
  <c r="AR11" s="1"/>
  <c r="AR12" s="1"/>
  <c r="AR13" s="1"/>
  <c r="AR14" s="1"/>
  <c r="AR15" s="1"/>
  <c r="AR16" s="1"/>
  <c r="AR17" s="1"/>
  <c r="AR18" s="1"/>
  <c r="AR19" s="1"/>
  <c r="AR20" s="1"/>
  <c r="AR21" s="1"/>
  <c r="AR22" s="1"/>
  <c r="AR23" s="1"/>
  <c r="AR24" s="1"/>
  <c r="AR25" s="1"/>
  <c r="AR26" s="1"/>
  <c r="AR27" s="1"/>
  <c r="AR28" s="1"/>
  <c r="AR29" s="1"/>
  <c r="AR30" s="1"/>
  <c r="AR31" s="1"/>
  <c r="AR32" s="1"/>
  <c r="AR33" s="1"/>
  <c r="AR34" s="1"/>
  <c r="AR35" s="1"/>
  <c r="AR36" s="1"/>
  <c r="AR37" s="1"/>
  <c r="AR38" s="1"/>
  <c r="AR39" s="1"/>
  <c r="AR40" s="1"/>
  <c r="AR41" s="1"/>
  <c r="AR42" s="1"/>
  <c r="AR43" s="1"/>
  <c r="AR44" s="1"/>
  <c r="AR45" s="1"/>
  <c r="AR46" s="1"/>
  <c r="AR47" s="1"/>
  <c r="AR48" s="1"/>
  <c r="AR49" s="1"/>
  <c r="AR50" s="1"/>
  <c r="AR51" s="1"/>
  <c r="AR52" s="1"/>
  <c r="AR53" s="1"/>
  <c r="AR54" s="1"/>
  <c r="AR55" s="1"/>
  <c r="AR56" s="1"/>
  <c r="AR57" s="1"/>
  <c r="AR58" s="1"/>
  <c r="AR59" s="1"/>
  <c r="AR60" s="1"/>
  <c r="AR61" s="1"/>
  <c r="AR62" s="1"/>
  <c r="AR63" s="1"/>
  <c r="AR64" s="1"/>
  <c r="AR65" s="1"/>
  <c r="AR66" s="1"/>
  <c r="AR67" s="1"/>
  <c r="AR68" s="1"/>
  <c r="AR69" s="1"/>
  <c r="AR70" s="1"/>
  <c r="AR71" s="1"/>
  <c r="AR72" s="1"/>
  <c r="AR73" s="1"/>
  <c r="AR74" s="1"/>
  <c r="AR75" s="1"/>
  <c r="AR76" s="1"/>
  <c r="AR77" s="1"/>
  <c r="AR78" s="1"/>
  <c r="AR79" s="1"/>
  <c r="AR80" s="1"/>
  <c r="AR81" s="1"/>
  <c r="AR82" s="1"/>
  <c r="AR83" s="1"/>
  <c r="AR84" s="1"/>
  <c r="AR85" s="1"/>
  <c r="AR86" s="1"/>
  <c r="AR87" s="1"/>
  <c r="J4"/>
  <c r="O11"/>
  <c r="O18"/>
  <c r="K4"/>
  <c r="L4"/>
  <c r="M4"/>
  <c r="N4"/>
  <c r="O4"/>
  <c r="T4"/>
  <c r="U4"/>
  <c r="V4"/>
  <c r="W4"/>
  <c r="X4"/>
  <c r="Y4"/>
  <c r="L18"/>
  <c r="K18"/>
  <c r="J11"/>
  <c r="O19"/>
  <c r="O12"/>
  <c r="O13"/>
  <c r="O20"/>
  <c r="N11"/>
  <c r="N18"/>
  <c r="M11"/>
  <c r="K11"/>
  <c r="J18"/>
  <c r="M18"/>
  <c r="L11"/>
  <c r="N13"/>
  <c r="M20"/>
  <c r="K20"/>
  <c r="J20"/>
  <c r="N20"/>
  <c r="M13"/>
  <c r="L13"/>
  <c r="L20"/>
  <c r="K13"/>
  <c r="J13"/>
  <c r="N19"/>
  <c r="L19"/>
  <c r="K12"/>
  <c r="M12"/>
  <c r="N12"/>
  <c r="K19"/>
  <c r="L12"/>
  <c r="M19"/>
  <c r="J12"/>
  <c r="J19"/>
  <c r="L14"/>
  <c r="L21"/>
  <c r="O21"/>
  <c r="M14"/>
  <c r="M21"/>
  <c r="O14"/>
  <c r="N21"/>
  <c r="N14"/>
  <c r="J21"/>
  <c r="J14"/>
  <c r="K14"/>
  <c r="K21"/>
  <c r="BC43" l="1"/>
  <c r="BC35"/>
  <c r="BC33"/>
  <c r="BC18"/>
  <c r="BC27"/>
  <c r="BC25"/>
  <c r="BC73"/>
  <c r="BC70"/>
  <c r="BC51"/>
  <c r="BC46"/>
  <c r="BB30"/>
  <c r="BB12"/>
  <c r="BB59"/>
  <c r="BB87"/>
  <c r="BB60"/>
  <c r="BB52"/>
  <c r="BB43"/>
  <c r="BB42"/>
  <c r="BB38"/>
  <c r="BB34"/>
  <c r="BB24"/>
  <c r="BB20"/>
  <c r="BB18"/>
  <c r="BB16"/>
  <c r="BB25"/>
  <c r="BB14"/>
  <c r="BB11"/>
  <c r="BA28"/>
  <c r="BA10"/>
  <c r="BA39"/>
  <c r="BA33"/>
  <c r="BA27"/>
  <c r="BA51"/>
  <c r="BA49"/>
  <c r="BA16"/>
  <c r="BA9"/>
  <c r="BA21"/>
  <c r="BA11"/>
  <c r="BA45"/>
  <c r="BA43"/>
  <c r="BA37"/>
  <c r="BA31"/>
  <c r="BA25"/>
  <c r="BA22"/>
  <c r="BA19"/>
  <c r="BA41"/>
  <c r="BA17"/>
  <c r="BA57"/>
  <c r="BA26"/>
  <c r="BA23"/>
  <c r="BA20"/>
  <c r="BA15"/>
  <c r="BC47"/>
  <c r="I27"/>
  <c r="I35"/>
  <c r="BC59"/>
  <c r="BB29"/>
  <c r="BC63"/>
  <c r="BC14"/>
  <c r="BB26"/>
  <c r="BB19"/>
  <c r="BA12"/>
  <c r="BA42"/>
  <c r="BC13"/>
  <c r="BC11"/>
  <c r="BC10"/>
  <c r="BC9"/>
  <c r="BC8"/>
  <c r="BC7"/>
  <c r="BB10"/>
  <c r="BB8"/>
  <c r="BB7"/>
  <c r="BA14"/>
  <c r="BA13"/>
  <c r="BA8"/>
  <c r="BA7"/>
  <c r="BB9"/>
  <c r="H4"/>
  <c r="I4"/>
  <c r="E13"/>
  <c r="C8" i="9" s="1"/>
  <c r="BB6" i="8"/>
  <c r="E19"/>
  <c r="BA6"/>
  <c r="E21"/>
  <c r="C10" i="9" s="1"/>
  <c r="BC6" i="8"/>
  <c r="E4"/>
  <c r="C6" i="9" s="1"/>
  <c r="C4"/>
  <c r="E12" i="8"/>
  <c r="C9" i="9" s="1"/>
  <c r="E14" i="8"/>
  <c r="C7" i="9" s="1"/>
  <c r="E18" i="8"/>
  <c r="E20"/>
  <c r="C11" i="9" s="1"/>
  <c r="C5"/>
  <c r="C3"/>
  <c r="K3" i="8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AG3" s="1"/>
  <c r="AH3" s="1"/>
  <c r="AI3" s="1"/>
  <c r="AJ3" s="1"/>
  <c r="AK3" s="1"/>
  <c r="AL3" s="1"/>
  <c r="AM3" s="1"/>
  <c r="AN3" s="1"/>
  <c r="AO3" s="1"/>
  <c r="I1" i="5"/>
  <c r="J1" s="1"/>
  <c r="K1" s="1"/>
  <c r="AB1" s="1"/>
  <c r="AC1" s="1"/>
  <c r="AD1" s="1"/>
  <c r="AE1" s="1"/>
  <c r="AF1" s="1"/>
  <c r="AG1" s="1"/>
  <c r="S1" i="4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I14" i="8" l="1"/>
  <c r="H14"/>
  <c r="E7" i="9" s="1"/>
  <c r="H21" i="8"/>
  <c r="I21"/>
  <c r="I20"/>
  <c r="H20"/>
  <c r="E11" i="9" s="1"/>
  <c r="H13" i="8"/>
  <c r="I13"/>
  <c r="I12"/>
  <c r="H12"/>
  <c r="E9" i="9" s="1"/>
  <c r="H19" i="8"/>
  <c r="I19"/>
  <c r="I18"/>
  <c r="H18"/>
  <c r="H11"/>
  <c r="I11"/>
  <c r="E4" i="9"/>
  <c r="E5"/>
  <c r="E3"/>
  <c r="F3" l="1"/>
  <c r="D3"/>
  <c r="D10"/>
  <c r="D7"/>
  <c r="F7"/>
  <c r="I26" i="8"/>
  <c r="I28" s="1"/>
  <c r="E10" i="9"/>
  <c r="F10"/>
  <c r="F4"/>
  <c r="D11"/>
  <c r="F8"/>
  <c r="F11"/>
  <c r="E8"/>
  <c r="D8"/>
  <c r="D4"/>
  <c r="F9"/>
  <c r="D9"/>
  <c r="D5"/>
  <c r="F5"/>
  <c r="F6"/>
  <c r="D6"/>
  <c r="E6"/>
  <c r="I29" i="8" l="1"/>
  <c r="I30" l="1"/>
  <c r="I31" l="1"/>
  <c r="I32" l="1"/>
  <c r="I33" l="1"/>
  <c r="I34" l="1"/>
  <c r="J33"/>
  <c r="J32"/>
  <c r="J31"/>
  <c r="J30"/>
  <c r="J29"/>
  <c r="J28"/>
  <c r="J35"/>
  <c r="J27"/>
  <c r="J34"/>
</calcChain>
</file>

<file path=xl/sharedStrings.xml><?xml version="1.0" encoding="utf-8"?>
<sst xmlns="http://schemas.openxmlformats.org/spreadsheetml/2006/main" count="69" uniqueCount="36">
  <si>
    <t>mean</t>
  </si>
  <si>
    <t>stdev</t>
  </si>
  <si>
    <t>#/devices</t>
  </si>
  <si>
    <t>start</t>
  </si>
  <si>
    <t>increment</t>
  </si>
  <si>
    <t>Run#</t>
  </si>
  <si>
    <t>Transition</t>
  </si>
  <si>
    <t>Mean</t>
  </si>
  <si>
    <t>Stdev</t>
  </si>
  <si>
    <t>data</t>
  </si>
  <si>
    <t>#</t>
  </si>
  <si>
    <t>Label</t>
  </si>
  <si>
    <t>Sub Label</t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</si>
  <si>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Min</t>
    </r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</si>
  <si>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Max</t>
    </r>
  </si>
  <si>
    <t>Unit</t>
  </si>
  <si>
    <t>mm</t>
  </si>
  <si>
    <t>step</t>
  </si>
  <si>
    <t>min</t>
  </si>
  <si>
    <t>max</t>
  </si>
  <si>
    <t>count</t>
  </si>
  <si>
    <t>Histogram</t>
  </si>
  <si>
    <t>Range Ratio</t>
  </si>
  <si>
    <t>29038: C</t>
  </si>
  <si>
    <t>rev</t>
  </si>
  <si>
    <t>Grey Card Proximity Range - LiteFilm</t>
  </si>
  <si>
    <t>Device 0</t>
  </si>
  <si>
    <t>Device 1</t>
  </si>
  <si>
    <t>Behind Glass</t>
  </si>
  <si>
    <t>Grey</t>
  </si>
  <si>
    <t>0.1mm</t>
  </si>
  <si>
    <t>0.2mm</t>
  </si>
  <si>
    <t>0.3mm</t>
  </si>
  <si>
    <t>0.4mm</t>
  </si>
  <si>
    <t>0.5mm</t>
  </si>
  <si>
    <t>0.0mm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</si>
</sst>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"/>
  </numFmts>
  <fonts count="3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/>
    <xf numFmtId="164" fontId="0" fillId="0" borderId="0" xfId="0" applyNumberFormat="1"/>
    <xf numFmtId="164" fontId="0" fillId="0" borderId="0" xfId="0" applyNumberFormat="1" applyAlignment="1"/>
    <xf numFmtId="0" fontId="0" fillId="0" borderId="0" xfId="0" applyAlignment="1">
      <alignment horizontal="center"/>
    </xf>
    <xf numFmtId="165" fontId="0" fillId="0" borderId="0" xfId="0" applyNumberFormat="1"/>
    <xf numFmtId="165" fontId="0" fillId="0" borderId="0" xfId="0" applyNumberFormat="1" applyAlignment="1"/>
    <xf numFmtId="0" fontId="0" fillId="0" borderId="0" xfId="0" applyAlignment="1">
      <alignment horizontal="right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/>
    <xf numFmtId="0" fontId="0" fillId="0" borderId="0" xfId="0" applyFill="1" applyAlignment="1"/>
    <xf numFmtId="9" fontId="0" fillId="0" borderId="0" xfId="0" applyNumberFormat="1"/>
    <xf numFmtId="0" fontId="0" fillId="0" borderId="0" xfId="0" applyAlignment="1">
      <alignment horizontal="left"/>
    </xf>
    <xf numFmtId="165" fontId="0" fillId="0" borderId="0" xfId="0" applyNumberFormat="1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center"/>
    </xf>
    <xf numFmtId="2" fontId="0" fillId="2" borderId="1" xfId="0" applyNumberFormat="1" applyFill="1" applyBorder="1"/>
    <xf numFmtId="165" fontId="0" fillId="0" borderId="1" xfId="0" applyNumberFormat="1" applyFont="1" applyBorder="1" applyAlignment="1">
      <alignment horizontal="center"/>
    </xf>
    <xf numFmtId="0" fontId="0" fillId="0" borderId="2" xfId="0" applyFill="1" applyBorder="1"/>
    <xf numFmtId="0" fontId="0" fillId="0" borderId="0" xfId="0" applyFill="1" applyBorder="1" applyAlignment="1"/>
    <xf numFmtId="0" fontId="0" fillId="0" borderId="0" xfId="0" applyBorder="1"/>
    <xf numFmtId="165" fontId="0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5" fontId="0" fillId="0" borderId="0" xfId="0" applyNumberFormat="1" applyBorder="1"/>
    <xf numFmtId="0" fontId="0" fillId="3" borderId="1" xfId="0" applyFill="1" applyBorder="1"/>
    <xf numFmtId="165" fontId="0" fillId="3" borderId="1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0" fontId="0" fillId="2" borderId="3" xfId="0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65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1" xfId="0" applyFill="1" applyBorder="1"/>
    <xf numFmtId="165" fontId="0" fillId="0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9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2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Grey Card Sweep</a:t>
            </a:r>
            <a:endParaRPr lang="en-US"/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Calculations!$AS$5</c:f>
              <c:strCache>
                <c:ptCount val="1"/>
                <c:pt idx="0">
                  <c:v>250</c:v>
                </c:pt>
              </c:strCache>
            </c:strRef>
          </c:tx>
          <c:marker>
            <c:symbol val="none"/>
          </c:marker>
          <c:xVal>
            <c:numRef>
              <c:f>Calculations!$AR$7:$AR$87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Calculations!$AS$7:$AS$87</c:f>
              <c:numCache>
                <c:formatCode>0.000</c:formatCode>
                <c:ptCount val="81"/>
                <c:pt idx="0">
                  <c:v>0.46569607363962207</c:v>
                </c:pt>
                <c:pt idx="1">
                  <c:v>0.99900000000000011</c:v>
                </c:pt>
                <c:pt idx="2">
                  <c:v>0.99900000000000011</c:v>
                </c:pt>
                <c:pt idx="3">
                  <c:v>0.99900000000000011</c:v>
                </c:pt>
                <c:pt idx="4">
                  <c:v>0.99900000000000011</c:v>
                </c:pt>
                <c:pt idx="5">
                  <c:v>0.99900000000000011</c:v>
                </c:pt>
                <c:pt idx="6">
                  <c:v>0.99900000000000011</c:v>
                </c:pt>
                <c:pt idx="7">
                  <c:v>0.99900000000000011</c:v>
                </c:pt>
                <c:pt idx="8">
                  <c:v>0.99900000000000011</c:v>
                </c:pt>
                <c:pt idx="9">
                  <c:v>0.98466495601173032</c:v>
                </c:pt>
                <c:pt idx="10">
                  <c:v>0.97220161290322593</c:v>
                </c:pt>
                <c:pt idx="11">
                  <c:v>0.96291520039100698</c:v>
                </c:pt>
                <c:pt idx="12">
                  <c:v>0.95558382209188675</c:v>
                </c:pt>
                <c:pt idx="13">
                  <c:v>0.93179944607363963</c:v>
                </c:pt>
                <c:pt idx="14">
                  <c:v>0.9178698273053113</c:v>
                </c:pt>
                <c:pt idx="15">
                  <c:v>0.90793173672205929</c:v>
                </c:pt>
                <c:pt idx="16">
                  <c:v>0.89905262300423594</c:v>
                </c:pt>
                <c:pt idx="17">
                  <c:v>0.86802020202020191</c:v>
                </c:pt>
                <c:pt idx="18">
                  <c:v>0.84382665363310505</c:v>
                </c:pt>
                <c:pt idx="19">
                  <c:v>0.82761616161616158</c:v>
                </c:pt>
                <c:pt idx="20">
                  <c:v>0.81287194525904194</c:v>
                </c:pt>
                <c:pt idx="21">
                  <c:v>0.80334115347018564</c:v>
                </c:pt>
                <c:pt idx="22">
                  <c:v>0.79731313131313131</c:v>
                </c:pt>
                <c:pt idx="23">
                  <c:v>0.78093971977842935</c:v>
                </c:pt>
                <c:pt idx="24">
                  <c:v>0.75031272401433691</c:v>
                </c:pt>
                <c:pt idx="25">
                  <c:v>0.73271928967090239</c:v>
                </c:pt>
                <c:pt idx="26">
                  <c:v>0.71675317693059615</c:v>
                </c:pt>
                <c:pt idx="27">
                  <c:v>0.68970853698273038</c:v>
                </c:pt>
                <c:pt idx="28">
                  <c:v>0.682214239165852</c:v>
                </c:pt>
                <c:pt idx="29">
                  <c:v>0.66535206907787547</c:v>
                </c:pt>
                <c:pt idx="30">
                  <c:v>0.64751238188334936</c:v>
                </c:pt>
                <c:pt idx="31">
                  <c:v>0.64425399152818497</c:v>
                </c:pt>
                <c:pt idx="32">
                  <c:v>0.62600887911371772</c:v>
                </c:pt>
                <c:pt idx="33">
                  <c:v>0.60393515803193221</c:v>
                </c:pt>
                <c:pt idx="34">
                  <c:v>0.58479211469534043</c:v>
                </c:pt>
                <c:pt idx="35">
                  <c:v>0.58324437927663719</c:v>
                </c:pt>
                <c:pt idx="36">
                  <c:v>0.55318572825024426</c:v>
                </c:pt>
                <c:pt idx="37">
                  <c:v>0.54357347670250888</c:v>
                </c:pt>
                <c:pt idx="38">
                  <c:v>0.53721961550993802</c:v>
                </c:pt>
                <c:pt idx="39">
                  <c:v>0.5228012381883349</c:v>
                </c:pt>
                <c:pt idx="40">
                  <c:v>0.49722287390029324</c:v>
                </c:pt>
                <c:pt idx="41">
                  <c:v>0.49705995438253492</c:v>
                </c:pt>
                <c:pt idx="42">
                  <c:v>0.49363864450961215</c:v>
                </c:pt>
                <c:pt idx="43">
                  <c:v>0.47702272727272721</c:v>
                </c:pt>
                <c:pt idx="44">
                  <c:v>0.44835076572173338</c:v>
                </c:pt>
                <c:pt idx="45">
                  <c:v>0.44745470837406315</c:v>
                </c:pt>
                <c:pt idx="46">
                  <c:v>0.41348598892147276</c:v>
                </c:pt>
                <c:pt idx="47">
                  <c:v>0.38912952101661774</c:v>
                </c:pt>
                <c:pt idx="48">
                  <c:v>0.38619696969696965</c:v>
                </c:pt>
                <c:pt idx="49">
                  <c:v>0.35613831867057671</c:v>
                </c:pt>
                <c:pt idx="50">
                  <c:v>0.36575057021831214</c:v>
                </c:pt>
                <c:pt idx="51">
                  <c:v>0.34856256109481915</c:v>
                </c:pt>
                <c:pt idx="52">
                  <c:v>0.34514125122189637</c:v>
                </c:pt>
                <c:pt idx="53">
                  <c:v>0.31923892147279237</c:v>
                </c:pt>
                <c:pt idx="54">
                  <c:v>0.29634872922776145</c:v>
                </c:pt>
                <c:pt idx="55">
                  <c:v>0.309626669925057</c:v>
                </c:pt>
                <c:pt idx="56">
                  <c:v>0.28380392636037793</c:v>
                </c:pt>
                <c:pt idx="57">
                  <c:v>0.28893589116976215</c:v>
                </c:pt>
                <c:pt idx="58">
                  <c:v>0.26979284783317042</c:v>
                </c:pt>
                <c:pt idx="59">
                  <c:v>0.24445886282176602</c:v>
                </c:pt>
                <c:pt idx="60">
                  <c:v>0.22401246334310851</c:v>
                </c:pt>
                <c:pt idx="61">
                  <c:v>0.24999812642554575</c:v>
                </c:pt>
                <c:pt idx="62">
                  <c:v>0.22213888888888889</c:v>
                </c:pt>
                <c:pt idx="63">
                  <c:v>0.22124283154121863</c:v>
                </c:pt>
                <c:pt idx="64">
                  <c:v>0.20869802867383511</c:v>
                </c:pt>
                <c:pt idx="65">
                  <c:v>0.20568401759530788</c:v>
                </c:pt>
                <c:pt idx="66">
                  <c:v>0.20413628217660473</c:v>
                </c:pt>
                <c:pt idx="67">
                  <c:v>0.1925689964157706</c:v>
                </c:pt>
                <c:pt idx="68">
                  <c:v>0.17530140110785275</c:v>
                </c:pt>
                <c:pt idx="69">
                  <c:v>0.18206256109481914</c:v>
                </c:pt>
                <c:pt idx="70">
                  <c:v>0.16682958618442489</c:v>
                </c:pt>
                <c:pt idx="71">
                  <c:v>0.14760508308895404</c:v>
                </c:pt>
                <c:pt idx="72">
                  <c:v>0.14255457803844898</c:v>
                </c:pt>
                <c:pt idx="73">
                  <c:v>0.14059954382535025</c:v>
                </c:pt>
                <c:pt idx="74">
                  <c:v>0.111762789182144</c:v>
                </c:pt>
                <c:pt idx="75">
                  <c:v>0.1282991202346041</c:v>
                </c:pt>
                <c:pt idx="76">
                  <c:v>0.11550993809058324</c:v>
                </c:pt>
                <c:pt idx="77">
                  <c:v>0.11282176604757249</c:v>
                </c:pt>
                <c:pt idx="78">
                  <c:v>9.2945584881068743E-2</c:v>
                </c:pt>
                <c:pt idx="79">
                  <c:v>9.196806777451938E-2</c:v>
                </c:pt>
                <c:pt idx="80">
                  <c:v>7.7305311176278924E-2</c:v>
                </c:pt>
              </c:numCache>
            </c:numRef>
          </c:yVal>
        </c:ser>
        <c:ser>
          <c:idx val="1"/>
          <c:order val="1"/>
          <c:tx>
            <c:strRef>
              <c:f>Calculations!$AU$5</c:f>
              <c:strCache>
                <c:ptCount val="1"/>
                <c:pt idx="0">
                  <c:v>125</c:v>
                </c:pt>
              </c:strCache>
            </c:strRef>
          </c:tx>
          <c:marker>
            <c:symbol val="none"/>
          </c:marker>
          <c:xVal>
            <c:numRef>
              <c:f>Calculations!$AR$7:$AR$87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Calculations!$AU$7:$AU$87</c:f>
              <c:numCache>
                <c:formatCode>0.000</c:formatCode>
                <c:ptCount val="81"/>
                <c:pt idx="0">
                  <c:v>0.54601539589442816</c:v>
                </c:pt>
                <c:pt idx="1">
                  <c:v>0.99900000000000011</c:v>
                </c:pt>
                <c:pt idx="2">
                  <c:v>0.99900000000000011</c:v>
                </c:pt>
                <c:pt idx="3">
                  <c:v>0.99900000000000011</c:v>
                </c:pt>
                <c:pt idx="4">
                  <c:v>0.99900000000000011</c:v>
                </c:pt>
                <c:pt idx="5">
                  <c:v>0.99900000000000011</c:v>
                </c:pt>
                <c:pt idx="6">
                  <c:v>0.99900000000000011</c:v>
                </c:pt>
                <c:pt idx="7">
                  <c:v>0.98678290974258731</c:v>
                </c:pt>
                <c:pt idx="8">
                  <c:v>0.97220161290322593</c:v>
                </c:pt>
                <c:pt idx="9">
                  <c:v>0.96136746497230385</c:v>
                </c:pt>
                <c:pt idx="10">
                  <c:v>0.94116731834473777</c:v>
                </c:pt>
                <c:pt idx="11">
                  <c:v>0.91835858585858599</c:v>
                </c:pt>
                <c:pt idx="12">
                  <c:v>0.91045698924731189</c:v>
                </c:pt>
                <c:pt idx="13">
                  <c:v>0.89310793418051482</c:v>
                </c:pt>
                <c:pt idx="14">
                  <c:v>0.86842750081459741</c:v>
                </c:pt>
                <c:pt idx="15">
                  <c:v>0.83576213750407291</c:v>
                </c:pt>
                <c:pt idx="16">
                  <c:v>0.8151528185076572</c:v>
                </c:pt>
                <c:pt idx="17">
                  <c:v>0.80651808406647119</c:v>
                </c:pt>
                <c:pt idx="18">
                  <c:v>0.78981883349625281</c:v>
                </c:pt>
                <c:pt idx="19">
                  <c:v>0.76611779081133902</c:v>
                </c:pt>
                <c:pt idx="20">
                  <c:v>0.74558805799934824</c:v>
                </c:pt>
                <c:pt idx="21">
                  <c:v>0.72090762463343083</c:v>
                </c:pt>
                <c:pt idx="22">
                  <c:v>0.69695845552297142</c:v>
                </c:pt>
                <c:pt idx="23">
                  <c:v>0.68702036493971974</c:v>
                </c:pt>
                <c:pt idx="24">
                  <c:v>0.67178739002932542</c:v>
                </c:pt>
                <c:pt idx="25">
                  <c:v>0.65598607038123158</c:v>
                </c:pt>
                <c:pt idx="26">
                  <c:v>0.64400961225154763</c:v>
                </c:pt>
                <c:pt idx="27">
                  <c:v>0.6264976376669924</c:v>
                </c:pt>
                <c:pt idx="28">
                  <c:v>0.61582640925382848</c:v>
                </c:pt>
                <c:pt idx="29">
                  <c:v>0.58479211469534043</c:v>
                </c:pt>
                <c:pt idx="30">
                  <c:v>0.57159563375692402</c:v>
                </c:pt>
                <c:pt idx="31">
                  <c:v>0.54398077549690449</c:v>
                </c:pt>
                <c:pt idx="32">
                  <c:v>0.54422515477354183</c:v>
                </c:pt>
                <c:pt idx="33">
                  <c:v>0.53290224828934496</c:v>
                </c:pt>
                <c:pt idx="34">
                  <c:v>0.52394167481264242</c:v>
                </c:pt>
                <c:pt idx="35">
                  <c:v>0.49868914956011717</c:v>
                </c:pt>
                <c:pt idx="36">
                  <c:v>0.48704227761485819</c:v>
                </c:pt>
                <c:pt idx="37">
                  <c:v>0.48883439231019871</c:v>
                </c:pt>
                <c:pt idx="38">
                  <c:v>0.46960988921472785</c:v>
                </c:pt>
                <c:pt idx="39">
                  <c:v>0.45584318996415768</c:v>
                </c:pt>
                <c:pt idx="40">
                  <c:v>0.41487080482241767</c:v>
                </c:pt>
                <c:pt idx="41">
                  <c:v>0.42366845878136195</c:v>
                </c:pt>
                <c:pt idx="42">
                  <c:v>0.40696920821114363</c:v>
                </c:pt>
                <c:pt idx="43">
                  <c:v>0.36949771912675139</c:v>
                </c:pt>
                <c:pt idx="44">
                  <c:v>0.35727875529488434</c:v>
                </c:pt>
                <c:pt idx="45">
                  <c:v>0.37324486803519058</c:v>
                </c:pt>
                <c:pt idx="46">
                  <c:v>0.37348924731182792</c:v>
                </c:pt>
                <c:pt idx="47">
                  <c:v>0.34155889540566958</c:v>
                </c:pt>
                <c:pt idx="48">
                  <c:v>0.3292584718149234</c:v>
                </c:pt>
                <c:pt idx="49">
                  <c:v>0.3280365754317367</c:v>
                </c:pt>
                <c:pt idx="50">
                  <c:v>0.31817994460736393</c:v>
                </c:pt>
                <c:pt idx="51">
                  <c:v>0.31402549690452913</c:v>
                </c:pt>
                <c:pt idx="52">
                  <c:v>0.29235720104268487</c:v>
                </c:pt>
                <c:pt idx="53">
                  <c:v>0.26751197458455522</c:v>
                </c:pt>
                <c:pt idx="54">
                  <c:v>0.26775635386119251</c:v>
                </c:pt>
                <c:pt idx="55">
                  <c:v>0.2636833659172369</c:v>
                </c:pt>
                <c:pt idx="56">
                  <c:v>0.25513009123492991</c:v>
                </c:pt>
                <c:pt idx="57">
                  <c:v>0.22311640599543825</c:v>
                </c:pt>
                <c:pt idx="58">
                  <c:v>0.21985801564027371</c:v>
                </c:pt>
                <c:pt idx="59">
                  <c:v>0.22686355490387747</c:v>
                </c:pt>
                <c:pt idx="60">
                  <c:v>0.23777916259367871</c:v>
                </c:pt>
                <c:pt idx="61">
                  <c:v>0.23346179537308567</c:v>
                </c:pt>
                <c:pt idx="62">
                  <c:v>0.21016617790811334</c:v>
                </c:pt>
                <c:pt idx="63">
                  <c:v>0.17961876832844573</c:v>
                </c:pt>
                <c:pt idx="64">
                  <c:v>0.16088302378624955</c:v>
                </c:pt>
                <c:pt idx="65">
                  <c:v>0.17684913652655587</c:v>
                </c:pt>
                <c:pt idx="66">
                  <c:v>0.18059628543499515</c:v>
                </c:pt>
                <c:pt idx="67">
                  <c:v>0.13831867057673508</c:v>
                </c:pt>
                <c:pt idx="68">
                  <c:v>0.1600684261974584</c:v>
                </c:pt>
                <c:pt idx="69">
                  <c:v>0.15689149560117299</c:v>
                </c:pt>
                <c:pt idx="70">
                  <c:v>0.16976213750407299</c:v>
                </c:pt>
                <c:pt idx="71">
                  <c:v>0.13009123492994459</c:v>
                </c:pt>
                <c:pt idx="72">
                  <c:v>0.13970348647767999</c:v>
                </c:pt>
                <c:pt idx="73">
                  <c:v>0.12601824698598893</c:v>
                </c:pt>
                <c:pt idx="74">
                  <c:v>9.791463017269468E-2</c:v>
                </c:pt>
                <c:pt idx="75">
                  <c:v>0.11192570869990222</c:v>
                </c:pt>
                <c:pt idx="76">
                  <c:v>0.12145650048875856</c:v>
                </c:pt>
                <c:pt idx="77">
                  <c:v>9.1886608015640261E-2</c:v>
                </c:pt>
                <c:pt idx="78">
                  <c:v>0.10768980123818833</c:v>
                </c:pt>
                <c:pt idx="79">
                  <c:v>0.11045943304007817</c:v>
                </c:pt>
                <c:pt idx="80">
                  <c:v>0.10720104268491364</c:v>
                </c:pt>
              </c:numCache>
            </c:numRef>
          </c:yVal>
        </c:ser>
        <c:ser>
          <c:idx val="2"/>
          <c:order val="2"/>
          <c:tx>
            <c:strRef>
              <c:f>Calculations!$AW$5</c:f>
              <c:strCache>
                <c:ptCount val="1"/>
                <c:pt idx="0">
                  <c:v>62.5</c:v>
                </c:pt>
              </c:strCache>
            </c:strRef>
          </c:tx>
          <c:marker>
            <c:symbol val="none"/>
          </c:marker>
          <c:xVal>
            <c:numRef>
              <c:f>Calculations!$AR$7:$AR$87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Calculations!$AW$7:$AW$87</c:f>
              <c:numCache>
                <c:formatCode>0.000</c:formatCode>
                <c:ptCount val="81"/>
                <c:pt idx="0">
                  <c:v>0.85219480519480517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0.93174393706651748</c:v>
                </c:pt>
                <c:pt idx="6">
                  <c:v>0.88356630824372762</c:v>
                </c:pt>
                <c:pt idx="7">
                  <c:v>0.83935064935064907</c:v>
                </c:pt>
                <c:pt idx="8">
                  <c:v>0.75938151096215623</c:v>
                </c:pt>
                <c:pt idx="9">
                  <c:v>0.72042047200111714</c:v>
                </c:pt>
                <c:pt idx="10">
                  <c:v>0.68895373085695677</c:v>
                </c:pt>
                <c:pt idx="11">
                  <c:v>0.66130396127170332</c:v>
                </c:pt>
                <c:pt idx="12">
                  <c:v>0.64696811432295309</c:v>
                </c:pt>
                <c:pt idx="13">
                  <c:v>0.61071116696923144</c:v>
                </c:pt>
                <c:pt idx="14">
                  <c:v>0.57221668295861838</c:v>
                </c:pt>
                <c:pt idx="15">
                  <c:v>0.55131643625192006</c:v>
                </c:pt>
                <c:pt idx="16">
                  <c:v>0.54116887771726485</c:v>
                </c:pt>
                <c:pt idx="17">
                  <c:v>0.51426388307033466</c:v>
                </c:pt>
                <c:pt idx="18">
                  <c:v>0.49117585998231161</c:v>
                </c:pt>
                <c:pt idx="19">
                  <c:v>0.4783284922962342</c:v>
                </c:pt>
                <c:pt idx="20">
                  <c:v>0.47372019736535864</c:v>
                </c:pt>
                <c:pt idx="21">
                  <c:v>0.46766890099148173</c:v>
                </c:pt>
                <c:pt idx="22">
                  <c:v>0.45416985523437137</c:v>
                </c:pt>
                <c:pt idx="23">
                  <c:v>0.45416985523437137</c:v>
                </c:pt>
                <c:pt idx="24">
                  <c:v>0.45254066005678922</c:v>
                </c:pt>
                <c:pt idx="25">
                  <c:v>0.44462742633710373</c:v>
                </c:pt>
                <c:pt idx="26">
                  <c:v>0.44002020202020198</c:v>
                </c:pt>
                <c:pt idx="27">
                  <c:v>0.44211488153423639</c:v>
                </c:pt>
                <c:pt idx="28">
                  <c:v>0.4312214774472839</c:v>
                </c:pt>
                <c:pt idx="29">
                  <c:v>0.42060950519015039</c:v>
                </c:pt>
                <c:pt idx="30">
                  <c:v>0.42116808639389286</c:v>
                </c:pt>
                <c:pt idx="31">
                  <c:v>0.41767695387050213</c:v>
                </c:pt>
                <c:pt idx="32">
                  <c:v>0.41804934133966382</c:v>
                </c:pt>
                <c:pt idx="33">
                  <c:v>0.41465130568356368</c:v>
                </c:pt>
                <c:pt idx="34">
                  <c:v>0.41925960061443929</c:v>
                </c:pt>
                <c:pt idx="35">
                  <c:v>0.40287562258529991</c:v>
                </c:pt>
                <c:pt idx="36">
                  <c:v>0.39635884187497084</c:v>
                </c:pt>
                <c:pt idx="37">
                  <c:v>0.40152464739561511</c:v>
                </c:pt>
                <c:pt idx="38">
                  <c:v>0.38919038309360882</c:v>
                </c:pt>
                <c:pt idx="39">
                  <c:v>0.39747600428245583</c:v>
                </c:pt>
                <c:pt idx="40">
                  <c:v>0.38020760601405756</c:v>
                </c:pt>
                <c:pt idx="41">
                  <c:v>0.37634301540753146</c:v>
                </c:pt>
                <c:pt idx="42">
                  <c:v>0.39207638597961181</c:v>
                </c:pt>
                <c:pt idx="43">
                  <c:v>0.39142470790857892</c:v>
                </c:pt>
                <c:pt idx="44">
                  <c:v>0.3856527021365731</c:v>
                </c:pt>
                <c:pt idx="45">
                  <c:v>0.38676986454405804</c:v>
                </c:pt>
                <c:pt idx="46">
                  <c:v>0.38700367732625796</c:v>
                </c:pt>
                <c:pt idx="47">
                  <c:v>0.36917455662616938</c:v>
                </c:pt>
                <c:pt idx="48">
                  <c:v>0.37476143927756822</c:v>
                </c:pt>
                <c:pt idx="49">
                  <c:v>0.38784047851789777</c:v>
                </c:pt>
                <c:pt idx="50">
                  <c:v>0.38230228552809192</c:v>
                </c:pt>
                <c:pt idx="51">
                  <c:v>0.37150197830842974</c:v>
                </c:pt>
                <c:pt idx="52">
                  <c:v>0.36708094772610894</c:v>
                </c:pt>
                <c:pt idx="53">
                  <c:v>0.37476143927756816</c:v>
                </c:pt>
                <c:pt idx="54">
                  <c:v>0.36410184797281564</c:v>
                </c:pt>
                <c:pt idx="55">
                  <c:v>0.36852394916911035</c:v>
                </c:pt>
                <c:pt idx="56">
                  <c:v>0.37713540939347384</c:v>
                </c:pt>
                <c:pt idx="57">
                  <c:v>0.38006796071312199</c:v>
                </c:pt>
                <c:pt idx="58">
                  <c:v>0.36940836940836935</c:v>
                </c:pt>
                <c:pt idx="59">
                  <c:v>0.37066410650281612</c:v>
                </c:pt>
                <c:pt idx="60">
                  <c:v>0.37192198482521061</c:v>
                </c:pt>
                <c:pt idx="61">
                  <c:v>0.37071065493646127</c:v>
                </c:pt>
                <c:pt idx="62">
                  <c:v>0.36205371689242649</c:v>
                </c:pt>
                <c:pt idx="63">
                  <c:v>0.36186752315784565</c:v>
                </c:pt>
                <c:pt idx="64">
                  <c:v>0.36605688218591431</c:v>
                </c:pt>
                <c:pt idx="65">
                  <c:v>0.35707303449238925</c:v>
                </c:pt>
                <c:pt idx="66">
                  <c:v>0.37182888795792007</c:v>
                </c:pt>
                <c:pt idx="67">
                  <c:v>0.35814364846622909</c:v>
                </c:pt>
                <c:pt idx="68">
                  <c:v>0.37010552529907365</c:v>
                </c:pt>
                <c:pt idx="69">
                  <c:v>0.35944700460829487</c:v>
                </c:pt>
                <c:pt idx="70">
                  <c:v>0.37434250337476138</c:v>
                </c:pt>
                <c:pt idx="71">
                  <c:v>0.35344225666806306</c:v>
                </c:pt>
                <c:pt idx="72">
                  <c:v>0.35358190196899864</c:v>
                </c:pt>
                <c:pt idx="73">
                  <c:v>0.36247265279523327</c:v>
                </c:pt>
                <c:pt idx="74">
                  <c:v>0.36019177954661813</c:v>
                </c:pt>
                <c:pt idx="75">
                  <c:v>0.36475352604384853</c:v>
                </c:pt>
                <c:pt idx="76">
                  <c:v>0.3587011590559977</c:v>
                </c:pt>
                <c:pt idx="77">
                  <c:v>0.36540520411488148</c:v>
                </c:pt>
                <c:pt idx="78">
                  <c:v>0.35395428943816032</c:v>
                </c:pt>
                <c:pt idx="79">
                  <c:v>0.36242610436158812</c:v>
                </c:pt>
                <c:pt idx="80">
                  <c:v>0.36838430386817478</c:v>
                </c:pt>
              </c:numCache>
            </c:numRef>
          </c:yVal>
        </c:ser>
        <c:ser>
          <c:idx val="3"/>
          <c:order val="3"/>
          <c:tx>
            <c:strRef>
              <c:f>Calculations!$AY$5</c:f>
              <c:strCache>
                <c:ptCount val="1"/>
                <c:pt idx="0">
                  <c:v>31.25</c:v>
                </c:pt>
              </c:strCache>
            </c:strRef>
          </c:tx>
          <c:marker>
            <c:symbol val="none"/>
          </c:marker>
          <c:xVal>
            <c:numRef>
              <c:f>Calculations!$AR$7:$AR$87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Calculations!$AY$7:$AY$87</c:f>
              <c:numCache>
                <c:formatCode>0.000</c:formatCode>
                <c:ptCount val="81"/>
                <c:pt idx="0">
                  <c:v>0.86307955903117195</c:v>
                </c:pt>
                <c:pt idx="1">
                  <c:v>0.99900000000000011</c:v>
                </c:pt>
                <c:pt idx="2">
                  <c:v>0.99900000000000011</c:v>
                </c:pt>
                <c:pt idx="3">
                  <c:v>0.99900000000000011</c:v>
                </c:pt>
                <c:pt idx="4">
                  <c:v>0.99900000000000011</c:v>
                </c:pt>
                <c:pt idx="5">
                  <c:v>0.99900000000000011</c:v>
                </c:pt>
                <c:pt idx="6">
                  <c:v>0.99900000000000011</c:v>
                </c:pt>
                <c:pt idx="7">
                  <c:v>0.99900000000000011</c:v>
                </c:pt>
                <c:pt idx="8">
                  <c:v>0.99900000000000011</c:v>
                </c:pt>
                <c:pt idx="9">
                  <c:v>0.94931704138155759</c:v>
                </c:pt>
                <c:pt idx="10">
                  <c:v>0.90549169110459438</c:v>
                </c:pt>
                <c:pt idx="11">
                  <c:v>0.87497143477788653</c:v>
                </c:pt>
                <c:pt idx="12">
                  <c:v>0.85460649505810815</c:v>
                </c:pt>
                <c:pt idx="13">
                  <c:v>0.83348126425545788</c:v>
                </c:pt>
                <c:pt idx="14">
                  <c:v>0.81273992614315194</c:v>
                </c:pt>
                <c:pt idx="15">
                  <c:v>0.75479863147605064</c:v>
                </c:pt>
                <c:pt idx="16">
                  <c:v>0.7165125448028673</c:v>
                </c:pt>
                <c:pt idx="17">
                  <c:v>0.69245476268056916</c:v>
                </c:pt>
                <c:pt idx="18">
                  <c:v>0.67665156945802118</c:v>
                </c:pt>
                <c:pt idx="19">
                  <c:v>0.65139904420549588</c:v>
                </c:pt>
                <c:pt idx="20">
                  <c:v>0.6329348321928967</c:v>
                </c:pt>
                <c:pt idx="21">
                  <c:v>0.62630943847072884</c:v>
                </c:pt>
                <c:pt idx="22">
                  <c:v>0.61724025198218746</c:v>
                </c:pt>
                <c:pt idx="23">
                  <c:v>0.60312056044314111</c:v>
                </c:pt>
                <c:pt idx="24">
                  <c:v>0.59122868469642653</c:v>
                </c:pt>
                <c:pt idx="25">
                  <c:v>0.57917388943195391</c:v>
                </c:pt>
                <c:pt idx="26">
                  <c:v>0.55424845226458119</c:v>
                </c:pt>
                <c:pt idx="27">
                  <c:v>0.54425605517540998</c:v>
                </c:pt>
                <c:pt idx="28">
                  <c:v>0.53328614097968929</c:v>
                </c:pt>
                <c:pt idx="29">
                  <c:v>0.5332343325730422</c:v>
                </c:pt>
                <c:pt idx="30">
                  <c:v>0.5103157380254153</c:v>
                </c:pt>
                <c:pt idx="31">
                  <c:v>0.49391767133702608</c:v>
                </c:pt>
                <c:pt idx="32">
                  <c:v>0.49245014662756592</c:v>
                </c:pt>
                <c:pt idx="33">
                  <c:v>0.47100032583903545</c:v>
                </c:pt>
                <c:pt idx="34">
                  <c:v>0.4693711306614532</c:v>
                </c:pt>
                <c:pt idx="35">
                  <c:v>0.46660149885956326</c:v>
                </c:pt>
                <c:pt idx="36">
                  <c:v>0.46404909308135106</c:v>
                </c:pt>
                <c:pt idx="37">
                  <c:v>0.44238079721950679</c:v>
                </c:pt>
                <c:pt idx="38">
                  <c:v>0.42690344303247518</c:v>
                </c:pt>
                <c:pt idx="39">
                  <c:v>0.43092212447051148</c:v>
                </c:pt>
                <c:pt idx="40">
                  <c:v>0.4380905832518735</c:v>
                </c:pt>
                <c:pt idx="41">
                  <c:v>0.4270663625502335</c:v>
                </c:pt>
                <c:pt idx="42">
                  <c:v>0.42717497556207223</c:v>
                </c:pt>
                <c:pt idx="43">
                  <c:v>0.41457586618876935</c:v>
                </c:pt>
                <c:pt idx="44">
                  <c:v>0.40637558379493854</c:v>
                </c:pt>
                <c:pt idx="45">
                  <c:v>0.40898229607907022</c:v>
                </c:pt>
                <c:pt idx="46">
                  <c:v>0.40974258716194195</c:v>
                </c:pt>
                <c:pt idx="47">
                  <c:v>0.40751602041924617</c:v>
                </c:pt>
                <c:pt idx="48">
                  <c:v>0.40170522428586941</c:v>
                </c:pt>
                <c:pt idx="49">
                  <c:v>0.39198435972629514</c:v>
                </c:pt>
                <c:pt idx="50">
                  <c:v>0.39377647442163566</c:v>
                </c:pt>
                <c:pt idx="51">
                  <c:v>0.38497882046269138</c:v>
                </c:pt>
                <c:pt idx="52">
                  <c:v>0.38546757901596607</c:v>
                </c:pt>
                <c:pt idx="53">
                  <c:v>0.38324101227327029</c:v>
                </c:pt>
                <c:pt idx="54">
                  <c:v>0.38204626914304329</c:v>
                </c:pt>
                <c:pt idx="55">
                  <c:v>0.37650700553926358</c:v>
                </c:pt>
                <c:pt idx="56">
                  <c:v>0.38590203106332133</c:v>
                </c:pt>
                <c:pt idx="57">
                  <c:v>0.38264364070815682</c:v>
                </c:pt>
                <c:pt idx="58">
                  <c:v>0.37406321277289017</c:v>
                </c:pt>
                <c:pt idx="59">
                  <c:v>0.37618116650374711</c:v>
                </c:pt>
                <c:pt idx="60">
                  <c:v>0.37808189421092642</c:v>
                </c:pt>
                <c:pt idx="61">
                  <c:v>0.36917562724014336</c:v>
                </c:pt>
                <c:pt idx="62">
                  <c:v>0.35891169762137504</c:v>
                </c:pt>
                <c:pt idx="63">
                  <c:v>0.3629846855653307</c:v>
                </c:pt>
                <c:pt idx="64">
                  <c:v>0.36217008797653955</c:v>
                </c:pt>
                <c:pt idx="65">
                  <c:v>0.36092103834039313</c:v>
                </c:pt>
                <c:pt idx="66">
                  <c:v>0.37107635494732266</c:v>
                </c:pt>
                <c:pt idx="67">
                  <c:v>0.36195286195286192</c:v>
                </c:pt>
                <c:pt idx="68">
                  <c:v>0.36591723688497879</c:v>
                </c:pt>
                <c:pt idx="69">
                  <c:v>0.36515694580210706</c:v>
                </c:pt>
                <c:pt idx="70">
                  <c:v>0.35348104702943411</c:v>
                </c:pt>
                <c:pt idx="71">
                  <c:v>0.35972629521016614</c:v>
                </c:pt>
                <c:pt idx="72">
                  <c:v>0.35717388943195394</c:v>
                </c:pt>
                <c:pt idx="73">
                  <c:v>0.35755403497338978</c:v>
                </c:pt>
                <c:pt idx="74">
                  <c:v>0.35434995112414464</c:v>
                </c:pt>
                <c:pt idx="75">
                  <c:v>0.35918323015097209</c:v>
                </c:pt>
                <c:pt idx="76">
                  <c:v>0.34864776800260672</c:v>
                </c:pt>
                <c:pt idx="77">
                  <c:v>0.35429564461822527</c:v>
                </c:pt>
                <c:pt idx="78">
                  <c:v>0.3451178451178451</c:v>
                </c:pt>
                <c:pt idx="79">
                  <c:v>0.35983490822200498</c:v>
                </c:pt>
                <c:pt idx="80">
                  <c:v>0.34772455740197672</c:v>
                </c:pt>
              </c:numCache>
            </c:numRef>
          </c:yVal>
        </c:ser>
        <c:axId val="154299776"/>
        <c:axId val="154301568"/>
      </c:scatterChart>
      <c:valAx>
        <c:axId val="154299776"/>
        <c:scaling>
          <c:orientation val="minMax"/>
          <c:max val="80"/>
          <c:min val="0"/>
        </c:scaling>
        <c:axPos val="b"/>
        <c:minorGridlines/>
        <c:numFmt formatCode="0.0" sourceLinked="1"/>
        <c:tickLblPos val="nextTo"/>
        <c:crossAx val="154301568"/>
        <c:crosses val="autoZero"/>
        <c:crossBetween val="midCat"/>
        <c:minorUnit val="5"/>
      </c:valAx>
      <c:valAx>
        <c:axId val="154301568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54299776"/>
        <c:crosses val="autoZero"/>
        <c:crossBetween val="midCat"/>
        <c:majorUnit val="0.1"/>
        <c:minorUnit val="0.05"/>
      </c:valAx>
    </c:plotArea>
    <c:legend>
      <c:legendPos val="r"/>
      <c:layout>
        <c:manualLayout>
          <c:xMode val="edge"/>
          <c:yMode val="edge"/>
          <c:x val="0.84425090079436249"/>
          <c:y val="0.32421819267640861"/>
          <c:w val="0.13440813913969946"/>
          <c:h val="0.35156317292941591"/>
        </c:manualLayout>
      </c:layout>
      <c:txPr>
        <a:bodyPr/>
        <a:lstStyle/>
        <a:p>
          <a:pPr>
            <a:defRPr sz="800"/>
          </a:pPr>
          <a:endParaRPr lang="en-US"/>
        </a:p>
      </c:txPr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Grey</a:t>
            </a:r>
            <a:r>
              <a:rPr lang="en-US" sz="1200" baseline="0"/>
              <a:t> Card 10% Distance (mm) Distribution</a:t>
            </a:r>
            <a:endParaRPr lang="en-US" sz="1200"/>
          </a:p>
        </c:rich>
      </c:tx>
    </c:title>
    <c:plotArea>
      <c:layout/>
      <c:barChart>
        <c:barDir val="col"/>
        <c:grouping val="clustered"/>
        <c:ser>
          <c:idx val="0"/>
          <c:order val="0"/>
          <c:cat>
            <c:numRef>
              <c:f>Calculations!$I$27:$I$35</c:f>
              <c:numCache>
                <c:formatCode>0.0</c:formatCode>
                <c:ptCount val="9"/>
                <c:pt idx="0">
                  <c:v>16.104638674372218</c:v>
                </c:pt>
                <c:pt idx="1">
                  <c:v>31.0062401021491</c:v>
                </c:pt>
                <c:pt idx="2">
                  <c:v>45.907841529925982</c:v>
                </c:pt>
                <c:pt idx="3">
                  <c:v>60.809442957702863</c:v>
                </c:pt>
                <c:pt idx="4">
                  <c:v>75.711044385479738</c:v>
                </c:pt>
                <c:pt idx="5">
                  <c:v>90.61264581325662</c:v>
                </c:pt>
                <c:pt idx="6">
                  <c:v>105.5142472410335</c:v>
                </c:pt>
                <c:pt idx="7">
                  <c:v>120.41584866881038</c:v>
                </c:pt>
                <c:pt idx="8">
                  <c:v>135.31745009658727</c:v>
                </c:pt>
              </c:numCache>
            </c:numRef>
          </c:cat>
          <c:val>
            <c:numRef>
              <c:f>Calculations!$J$27:$J$35</c:f>
              <c:numCache>
                <c:formatCode>General</c:formatCode>
                <c:ptCount val="9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154673152"/>
        <c:axId val="154674688"/>
      </c:barChart>
      <c:catAx>
        <c:axId val="154673152"/>
        <c:scaling>
          <c:orientation val="minMax"/>
        </c:scaling>
        <c:axPos val="b"/>
        <c:numFmt formatCode="0.0" sourceLinked="1"/>
        <c:tickLblPos val="nextTo"/>
        <c:crossAx val="154674688"/>
        <c:crosses val="autoZero"/>
        <c:auto val="1"/>
        <c:lblAlgn val="ctr"/>
        <c:lblOffset val="100"/>
      </c:catAx>
      <c:valAx>
        <c:axId val="154674688"/>
        <c:scaling>
          <c:orientation val="minMax"/>
        </c:scaling>
        <c:axPos val="l"/>
        <c:majorGridlines/>
        <c:numFmt formatCode="General" sourceLinked="1"/>
        <c:tickLblPos val="nextTo"/>
        <c:crossAx val="154673152"/>
        <c:crosses val="autoZero"/>
        <c:crossBetween val="between"/>
      </c:valAx>
    </c:plotArea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Range Tracking</a:t>
            </a:r>
            <a:endParaRPr lang="en-US"/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Calculations!$BA$6</c:f>
              <c:strCache>
                <c:ptCount val="1"/>
                <c:pt idx="0">
                  <c:v>125</c:v>
                </c:pt>
              </c:strCache>
            </c:strRef>
          </c:tx>
          <c:marker>
            <c:symbol val="none"/>
          </c:marker>
          <c:xVal>
            <c:numRef>
              <c:f>Calculations!$AR$17:$AR$77</c:f>
              <c:numCache>
                <c:formatCode>0.0</c:formatCode>
                <c:ptCount val="61"/>
                <c:pt idx="0">
                  <c:v>20</c:v>
                </c:pt>
                <c:pt idx="1">
                  <c:v>22</c:v>
                </c:pt>
                <c:pt idx="2">
                  <c:v>24</c:v>
                </c:pt>
                <c:pt idx="3">
                  <c:v>26</c:v>
                </c:pt>
                <c:pt idx="4">
                  <c:v>28</c:v>
                </c:pt>
                <c:pt idx="5">
                  <c:v>30</c:v>
                </c:pt>
                <c:pt idx="6">
                  <c:v>32</c:v>
                </c:pt>
                <c:pt idx="7">
                  <c:v>34</c:v>
                </c:pt>
                <c:pt idx="8">
                  <c:v>36</c:v>
                </c:pt>
                <c:pt idx="9">
                  <c:v>38</c:v>
                </c:pt>
                <c:pt idx="10">
                  <c:v>40</c:v>
                </c:pt>
                <c:pt idx="11">
                  <c:v>42</c:v>
                </c:pt>
                <c:pt idx="12">
                  <c:v>44</c:v>
                </c:pt>
                <c:pt idx="13">
                  <c:v>46</c:v>
                </c:pt>
                <c:pt idx="14">
                  <c:v>48</c:v>
                </c:pt>
                <c:pt idx="15">
                  <c:v>50</c:v>
                </c:pt>
                <c:pt idx="16">
                  <c:v>52</c:v>
                </c:pt>
                <c:pt idx="17">
                  <c:v>54</c:v>
                </c:pt>
                <c:pt idx="18">
                  <c:v>56</c:v>
                </c:pt>
                <c:pt idx="19">
                  <c:v>58</c:v>
                </c:pt>
                <c:pt idx="20">
                  <c:v>60</c:v>
                </c:pt>
                <c:pt idx="21">
                  <c:v>62</c:v>
                </c:pt>
                <c:pt idx="22">
                  <c:v>64</c:v>
                </c:pt>
                <c:pt idx="23">
                  <c:v>66</c:v>
                </c:pt>
                <c:pt idx="24">
                  <c:v>68</c:v>
                </c:pt>
                <c:pt idx="25">
                  <c:v>70</c:v>
                </c:pt>
                <c:pt idx="26">
                  <c:v>72</c:v>
                </c:pt>
                <c:pt idx="27">
                  <c:v>74</c:v>
                </c:pt>
                <c:pt idx="28">
                  <c:v>76</c:v>
                </c:pt>
                <c:pt idx="29">
                  <c:v>78</c:v>
                </c:pt>
                <c:pt idx="30">
                  <c:v>80</c:v>
                </c:pt>
                <c:pt idx="31">
                  <c:v>82</c:v>
                </c:pt>
                <c:pt idx="32">
                  <c:v>84</c:v>
                </c:pt>
                <c:pt idx="33">
                  <c:v>86</c:v>
                </c:pt>
                <c:pt idx="34">
                  <c:v>88</c:v>
                </c:pt>
                <c:pt idx="35">
                  <c:v>90</c:v>
                </c:pt>
                <c:pt idx="36">
                  <c:v>92</c:v>
                </c:pt>
                <c:pt idx="37">
                  <c:v>94</c:v>
                </c:pt>
                <c:pt idx="38">
                  <c:v>96</c:v>
                </c:pt>
                <c:pt idx="39">
                  <c:v>98</c:v>
                </c:pt>
                <c:pt idx="40">
                  <c:v>100</c:v>
                </c:pt>
                <c:pt idx="41">
                  <c:v>102</c:v>
                </c:pt>
                <c:pt idx="42">
                  <c:v>104</c:v>
                </c:pt>
                <c:pt idx="43">
                  <c:v>106</c:v>
                </c:pt>
                <c:pt idx="44">
                  <c:v>108</c:v>
                </c:pt>
                <c:pt idx="45">
                  <c:v>110</c:v>
                </c:pt>
                <c:pt idx="46">
                  <c:v>112</c:v>
                </c:pt>
                <c:pt idx="47">
                  <c:v>114</c:v>
                </c:pt>
                <c:pt idx="48">
                  <c:v>116</c:v>
                </c:pt>
                <c:pt idx="49">
                  <c:v>118</c:v>
                </c:pt>
                <c:pt idx="50">
                  <c:v>120</c:v>
                </c:pt>
                <c:pt idx="51">
                  <c:v>122</c:v>
                </c:pt>
                <c:pt idx="52">
                  <c:v>124</c:v>
                </c:pt>
                <c:pt idx="53">
                  <c:v>126</c:v>
                </c:pt>
                <c:pt idx="54">
                  <c:v>128</c:v>
                </c:pt>
                <c:pt idx="55">
                  <c:v>130</c:v>
                </c:pt>
                <c:pt idx="56">
                  <c:v>132</c:v>
                </c:pt>
                <c:pt idx="57">
                  <c:v>134</c:v>
                </c:pt>
                <c:pt idx="58">
                  <c:v>136</c:v>
                </c:pt>
                <c:pt idx="59">
                  <c:v>138</c:v>
                </c:pt>
                <c:pt idx="60">
                  <c:v>140</c:v>
                </c:pt>
              </c:numCache>
            </c:numRef>
          </c:xVal>
          <c:yVal>
            <c:numRef>
              <c:f>Calculations!$BA$17:$BA$76</c:f>
              <c:numCache>
                <c:formatCode>General</c:formatCode>
                <c:ptCount val="60"/>
                <c:pt idx="0">
                  <c:v>1.0329742586186155</c:v>
                </c:pt>
                <c:pt idx="1">
                  <c:v>1.0485176653417623</c:v>
                </c:pt>
                <c:pt idx="2">
                  <c:v>1.049565035336685</c:v>
                </c:pt>
                <c:pt idx="3">
                  <c:v>1.043322324673587</c:v>
                </c:pt>
                <c:pt idx="4">
                  <c:v>1.05693316534119</c:v>
                </c:pt>
                <c:pt idx="5">
                  <c:v>1.0863518410076751</c:v>
                </c:pt>
                <c:pt idx="6">
                  <c:v>1.1029252461522228</c:v>
                </c:pt>
                <c:pt idx="7">
                  <c:v>1.076256340891498</c:v>
                </c:pt>
                <c:pt idx="8">
                  <c:v>1.0683800105117505</c:v>
                </c:pt>
                <c:pt idx="9">
                  <c:v>1.0802727355276454</c:v>
                </c:pt>
                <c:pt idx="10">
                  <c:v>1.0902427104857848</c:v>
                </c:pt>
                <c:pt idx="11">
                  <c:v>1.1143468677816675</c:v>
                </c:pt>
                <c:pt idx="12">
                  <c:v>1.143989465935753</c:v>
                </c:pt>
                <c:pt idx="13">
                  <c:v>1.1367053432934995</c:v>
                </c:pt>
                <c:pt idx="14">
                  <c:v>1.1168901577351484</c:v>
                </c:pt>
                <c:pt idx="15">
                  <c:v>1.1169738547116963</c:v>
                </c:pt>
                <c:pt idx="16">
                  <c:v>1.112954159837346</c:v>
                </c:pt>
                <c:pt idx="17">
                  <c:v>1.1008956706542874</c:v>
                </c:pt>
                <c:pt idx="18">
                  <c:v>1.1078028303340595</c:v>
                </c:pt>
                <c:pt idx="19">
                  <c:v>1.1377582774427533</c:v>
                </c:pt>
                <c:pt idx="20">
                  <c:v>1.1328154794105891</c:v>
                </c:pt>
                <c:pt idx="21">
                  <c:v>1.1843322789112996</c:v>
                </c:pt>
                <c:pt idx="22">
                  <c:v>1.1502755314098023</c:v>
                </c:pt>
                <c:pt idx="23">
                  <c:v>1.1332944455959946</c:v>
                </c:pt>
                <c:pt idx="24">
                  <c:v>1.1161397209039683</c:v>
                </c:pt>
                <c:pt idx="25">
                  <c:v>1.1695549818781987</c:v>
                </c:pt>
                <c:pt idx="26">
                  <c:v>1.1358063841178296</c:v>
                </c:pt>
                <c:pt idx="27">
                  <c:v>1.1119787912908847</c:v>
                </c:pt>
                <c:pt idx="28">
                  <c:v>1.1439699798661944</c:v>
                </c:pt>
                <c:pt idx="29">
                  <c:v>1.1468883372579111</c:v>
                </c:pt>
                <c:pt idx="30">
                  <c:v>1.198500516596066</c:v>
                </c:pt>
                <c:pt idx="31">
                  <c:v>1.1732286038292206</c:v>
                </c:pt>
                <c:pt idx="32">
                  <c:v>1.2129631297646055</c:v>
                </c:pt>
                <c:pt idx="33">
                  <c:v>1.2910031715489176</c:v>
                </c:pt>
                <c:pt idx="34">
                  <c:v>1.2549046342027297</c:v>
                </c:pt>
                <c:pt idx="35">
                  <c:v>1.1988234713836061</c:v>
                </c:pt>
                <c:pt idx="36">
                  <c:v>1.1070894059133418</c:v>
                </c:pt>
                <c:pt idx="37">
                  <c:v>1.1392750306047468</c:v>
                </c:pt>
                <c:pt idx="38">
                  <c:v>1.1729294847546139</c:v>
                </c:pt>
                <c:pt idx="39">
                  <c:v>1.0856664937495297</c:v>
                </c:pt>
                <c:pt idx="40">
                  <c:v>1.149508560854301</c:v>
                </c:pt>
                <c:pt idx="41">
                  <c:v>1.1099817197352928</c:v>
                </c:pt>
                <c:pt idx="42">
                  <c:v>1.1805464342624654</c:v>
                </c:pt>
                <c:pt idx="43">
                  <c:v>1.1933631082069087</c:v>
                </c:pt>
                <c:pt idx="44">
                  <c:v>1.1067850489979092</c:v>
                </c:pt>
                <c:pt idx="45">
                  <c:v>1.1742366411624177</c:v>
                </c:pt>
                <c:pt idx="46">
                  <c:v>1.1123890756541315</c:v>
                </c:pt>
                <c:pt idx="47">
                  <c:v>1.2950006517031725</c:v>
                </c:pt>
                <c:pt idx="48">
                  <c:v>1.2271230914527986</c:v>
                </c:pt>
                <c:pt idx="49">
                  <c:v>1.0775589888175019</c:v>
                </c:pt>
                <c:pt idx="50">
                  <c:v>0.94210300389485779</c:v>
                </c:pt>
                <c:pt idx="51">
                  <c:v>1.0708309941077685</c:v>
                </c:pt>
                <c:pt idx="52">
                  <c:v>1.0569678294573646</c:v>
                </c:pt>
                <c:pt idx="53">
                  <c:v>1.2317356009070295</c:v>
                </c:pt>
                <c:pt idx="54">
                  <c:v>1.2972035443037977</c:v>
                </c:pt>
                <c:pt idx="55">
                  <c:v>1.1630479041916166</c:v>
                </c:pt>
                <c:pt idx="56">
                  <c:v>1.1303459630130803</c:v>
                </c:pt>
                <c:pt idx="57">
                  <c:v>1.3922126030624264</c:v>
                </c:pt>
                <c:pt idx="58">
                  <c:v>1.0951653944020363</c:v>
                </c:pt>
                <c:pt idx="59">
                  <c:v>1.1604361370716512</c:v>
                </c:pt>
              </c:numCache>
            </c:numRef>
          </c:yVal>
        </c:ser>
        <c:ser>
          <c:idx val="1"/>
          <c:order val="1"/>
          <c:tx>
            <c:strRef>
              <c:f>Calculations!$BB$6</c:f>
              <c:strCache>
                <c:ptCount val="1"/>
                <c:pt idx="0">
                  <c:v>62.5</c:v>
                </c:pt>
              </c:strCache>
            </c:strRef>
          </c:tx>
          <c:marker>
            <c:symbol val="none"/>
          </c:marker>
          <c:xVal>
            <c:numRef>
              <c:f>Calculations!$AR$17:$AR$77</c:f>
              <c:numCache>
                <c:formatCode>0.0</c:formatCode>
                <c:ptCount val="61"/>
                <c:pt idx="0">
                  <c:v>20</c:v>
                </c:pt>
                <c:pt idx="1">
                  <c:v>22</c:v>
                </c:pt>
                <c:pt idx="2">
                  <c:v>24</c:v>
                </c:pt>
                <c:pt idx="3">
                  <c:v>26</c:v>
                </c:pt>
                <c:pt idx="4">
                  <c:v>28</c:v>
                </c:pt>
                <c:pt idx="5">
                  <c:v>30</c:v>
                </c:pt>
                <c:pt idx="6">
                  <c:v>32</c:v>
                </c:pt>
                <c:pt idx="7">
                  <c:v>34</c:v>
                </c:pt>
                <c:pt idx="8">
                  <c:v>36</c:v>
                </c:pt>
                <c:pt idx="9">
                  <c:v>38</c:v>
                </c:pt>
                <c:pt idx="10">
                  <c:v>40</c:v>
                </c:pt>
                <c:pt idx="11">
                  <c:v>42</c:v>
                </c:pt>
                <c:pt idx="12">
                  <c:v>44</c:v>
                </c:pt>
                <c:pt idx="13">
                  <c:v>46</c:v>
                </c:pt>
                <c:pt idx="14">
                  <c:v>48</c:v>
                </c:pt>
                <c:pt idx="15">
                  <c:v>50</c:v>
                </c:pt>
                <c:pt idx="16">
                  <c:v>52</c:v>
                </c:pt>
                <c:pt idx="17">
                  <c:v>54</c:v>
                </c:pt>
                <c:pt idx="18">
                  <c:v>56</c:v>
                </c:pt>
                <c:pt idx="19">
                  <c:v>58</c:v>
                </c:pt>
                <c:pt idx="20">
                  <c:v>60</c:v>
                </c:pt>
                <c:pt idx="21">
                  <c:v>62</c:v>
                </c:pt>
                <c:pt idx="22">
                  <c:v>64</c:v>
                </c:pt>
                <c:pt idx="23">
                  <c:v>66</c:v>
                </c:pt>
                <c:pt idx="24">
                  <c:v>68</c:v>
                </c:pt>
                <c:pt idx="25">
                  <c:v>70</c:v>
                </c:pt>
                <c:pt idx="26">
                  <c:v>72</c:v>
                </c:pt>
                <c:pt idx="27">
                  <c:v>74</c:v>
                </c:pt>
                <c:pt idx="28">
                  <c:v>76</c:v>
                </c:pt>
                <c:pt idx="29">
                  <c:v>78</c:v>
                </c:pt>
                <c:pt idx="30">
                  <c:v>80</c:v>
                </c:pt>
                <c:pt idx="31">
                  <c:v>82</c:v>
                </c:pt>
                <c:pt idx="32">
                  <c:v>84</c:v>
                </c:pt>
                <c:pt idx="33">
                  <c:v>86</c:v>
                </c:pt>
                <c:pt idx="34">
                  <c:v>88</c:v>
                </c:pt>
                <c:pt idx="35">
                  <c:v>90</c:v>
                </c:pt>
                <c:pt idx="36">
                  <c:v>92</c:v>
                </c:pt>
                <c:pt idx="37">
                  <c:v>94</c:v>
                </c:pt>
                <c:pt idx="38">
                  <c:v>96</c:v>
                </c:pt>
                <c:pt idx="39">
                  <c:v>98</c:v>
                </c:pt>
                <c:pt idx="40">
                  <c:v>100</c:v>
                </c:pt>
                <c:pt idx="41">
                  <c:v>102</c:v>
                </c:pt>
                <c:pt idx="42">
                  <c:v>104</c:v>
                </c:pt>
                <c:pt idx="43">
                  <c:v>106</c:v>
                </c:pt>
                <c:pt idx="44">
                  <c:v>108</c:v>
                </c:pt>
                <c:pt idx="45">
                  <c:v>110</c:v>
                </c:pt>
                <c:pt idx="46">
                  <c:v>112</c:v>
                </c:pt>
                <c:pt idx="47">
                  <c:v>114</c:v>
                </c:pt>
                <c:pt idx="48">
                  <c:v>116</c:v>
                </c:pt>
                <c:pt idx="49">
                  <c:v>118</c:v>
                </c:pt>
                <c:pt idx="50">
                  <c:v>120</c:v>
                </c:pt>
                <c:pt idx="51">
                  <c:v>122</c:v>
                </c:pt>
                <c:pt idx="52">
                  <c:v>124</c:v>
                </c:pt>
                <c:pt idx="53">
                  <c:v>126</c:v>
                </c:pt>
                <c:pt idx="54">
                  <c:v>128</c:v>
                </c:pt>
                <c:pt idx="55">
                  <c:v>130</c:v>
                </c:pt>
                <c:pt idx="56">
                  <c:v>132</c:v>
                </c:pt>
                <c:pt idx="57">
                  <c:v>134</c:v>
                </c:pt>
                <c:pt idx="58">
                  <c:v>136</c:v>
                </c:pt>
                <c:pt idx="59">
                  <c:v>138</c:v>
                </c:pt>
                <c:pt idx="60">
                  <c:v>140</c:v>
                </c:pt>
              </c:numCache>
            </c:numRef>
          </c:xVal>
          <c:yVal>
            <c:numRef>
              <c:f>Calculations!$BB$17:$BB$77</c:f>
              <c:numCache>
                <c:formatCode>General</c:formatCode>
                <c:ptCount val="61"/>
                <c:pt idx="0">
                  <c:v>1.3660820403339198</c:v>
                </c:pt>
                <c:pt idx="1">
                  <c:v>1.38870873250564</c:v>
                </c:pt>
                <c:pt idx="2">
                  <c:v>1.4072671729735828</c:v>
                </c:pt>
                <c:pt idx="3">
                  <c:v>1.4624064246487094</c:v>
                </c:pt>
                <c:pt idx="4">
                  <c:v>1.5176549839903923</c:v>
                </c:pt>
                <c:pt idx="5">
                  <c:v>1.5159390915060211</c:v>
                </c:pt>
                <c:pt idx="6">
                  <c:v>1.5062817764874055</c:v>
                </c:pt>
                <c:pt idx="7">
                  <c:v>1.5682961814298082</c:v>
                </c:pt>
                <c:pt idx="8">
                  <c:v>1.6080163905544871</c:v>
                </c:pt>
                <c:pt idx="9">
                  <c:v>1.6016561905680369</c:v>
                </c:pt>
                <c:pt idx="10">
                  <c:v>1.573899660909561</c:v>
                </c:pt>
                <c:pt idx="11">
                  <c:v>1.54149147635233</c:v>
                </c:pt>
                <c:pt idx="12">
                  <c:v>1.5345766512031289</c:v>
                </c:pt>
                <c:pt idx="13">
                  <c:v>1.5126947705174916</c:v>
                </c:pt>
                <c:pt idx="14">
                  <c:v>1.4844796265268694</c:v>
                </c:pt>
                <c:pt idx="15">
                  <c:v>1.4753612384762829</c:v>
                </c:pt>
                <c:pt idx="16">
                  <c:v>1.4635910108099541</c:v>
                </c:pt>
                <c:pt idx="17">
                  <c:v>1.4170471608938091</c:v>
                </c:pt>
                <c:pt idx="18">
                  <c:v>1.4280977211509884</c:v>
                </c:pt>
                <c:pt idx="19">
                  <c:v>1.3903445059591935</c:v>
                </c:pt>
                <c:pt idx="20">
                  <c:v>1.3571674878099511</c:v>
                </c:pt>
                <c:pt idx="21">
                  <c:v>1.3023959556685571</c:v>
                </c:pt>
                <c:pt idx="22">
                  <c:v>1.3018203856739499</c:v>
                </c:pt>
                <c:pt idx="23">
                  <c:v>1.2851816477723168</c:v>
                </c:pt>
                <c:pt idx="24">
                  <c:v>1.2496831892335631</c:v>
                </c:pt>
                <c:pt idx="25">
                  <c:v>1.2378240866497969</c:v>
                </c:pt>
                <c:pt idx="26">
                  <c:v>1.2287912521666235</c:v>
                </c:pt>
                <c:pt idx="27">
                  <c:v>1.2174455428350301</c:v>
                </c:pt>
                <c:pt idx="28">
                  <c:v>1.2066328193463516</c:v>
                </c:pt>
                <c:pt idx="29">
                  <c:v>1.1468445517536821</c:v>
                </c:pt>
                <c:pt idx="30">
                  <c:v>1.0911691356513222</c:v>
                </c:pt>
                <c:pt idx="31">
                  <c:v>1.1257508215545944</c:v>
                </c:pt>
                <c:pt idx="32">
                  <c:v>1.0379844917064356</c:v>
                </c:pt>
                <c:pt idx="33">
                  <c:v>0.94398159252903169</c:v>
                </c:pt>
                <c:pt idx="34">
                  <c:v>0.92642616871477135</c:v>
                </c:pt>
                <c:pt idx="35">
                  <c:v>0.96503089369485562</c:v>
                </c:pt>
                <c:pt idx="36">
                  <c:v>0.96507932403175356</c:v>
                </c:pt>
                <c:pt idx="37">
                  <c:v>0.92519619587851565</c:v>
                </c:pt>
                <c:pt idx="38">
                  <c:v>0.87858151161346432</c:v>
                </c:pt>
                <c:pt idx="39">
                  <c:v>0.84580283286907798</c:v>
                </c:pt>
                <c:pt idx="40">
                  <c:v>0.83227319493485941</c:v>
                </c:pt>
                <c:pt idx="41">
                  <c:v>0.8452862036815797</c:v>
                </c:pt>
                <c:pt idx="42">
                  <c:v>0.79643795967537412</c:v>
                </c:pt>
                <c:pt idx="43">
                  <c:v>0.71381937026456366</c:v>
                </c:pt>
                <c:pt idx="44">
                  <c:v>0.73538861544362055</c:v>
                </c:pt>
                <c:pt idx="45">
                  <c:v>0.71551215738284724</c:v>
                </c:pt>
                <c:pt idx="46">
                  <c:v>0.67649466181189832</c:v>
                </c:pt>
                <c:pt idx="47">
                  <c:v>0.58704344764237604</c:v>
                </c:pt>
                <c:pt idx="48">
                  <c:v>0.59516251890120975</c:v>
                </c:pt>
                <c:pt idx="49">
                  <c:v>0.61204619202089883</c:v>
                </c:pt>
                <c:pt idx="50">
                  <c:v>0.63932537546933665</c:v>
                </c:pt>
                <c:pt idx="51">
                  <c:v>0.62976823639746837</c:v>
                </c:pt>
                <c:pt idx="52">
                  <c:v>0.58048341475957832</c:v>
                </c:pt>
                <c:pt idx="53">
                  <c:v>0.4963660921018781</c:v>
                </c:pt>
                <c:pt idx="54">
                  <c:v>0.43950279755849447</c:v>
                </c:pt>
                <c:pt idx="55">
                  <c:v>0.49527441011602147</c:v>
                </c:pt>
                <c:pt idx="56">
                  <c:v>0.48569729594391614</c:v>
                </c:pt>
                <c:pt idx="57">
                  <c:v>0.38621003379256563</c:v>
                </c:pt>
                <c:pt idx="58">
                  <c:v>0.43249401928844711</c:v>
                </c:pt>
                <c:pt idx="59">
                  <c:v>0.43648018648018649</c:v>
                </c:pt>
                <c:pt idx="60">
                  <c:v>0.45349415568266604</c:v>
                </c:pt>
              </c:numCache>
            </c:numRef>
          </c:yVal>
        </c:ser>
        <c:ser>
          <c:idx val="2"/>
          <c:order val="2"/>
          <c:tx>
            <c:strRef>
              <c:f>Calculations!$BC$6</c:f>
              <c:strCache>
                <c:ptCount val="1"/>
                <c:pt idx="0">
                  <c:v>31.25</c:v>
                </c:pt>
              </c:strCache>
            </c:strRef>
          </c:tx>
          <c:marker>
            <c:symbol val="none"/>
          </c:marker>
          <c:xVal>
            <c:numRef>
              <c:f>Calculations!$AR$17:$AR$77</c:f>
              <c:numCache>
                <c:formatCode>0.0</c:formatCode>
                <c:ptCount val="61"/>
                <c:pt idx="0">
                  <c:v>20</c:v>
                </c:pt>
                <c:pt idx="1">
                  <c:v>22</c:v>
                </c:pt>
                <c:pt idx="2">
                  <c:v>24</c:v>
                </c:pt>
                <c:pt idx="3">
                  <c:v>26</c:v>
                </c:pt>
                <c:pt idx="4">
                  <c:v>28</c:v>
                </c:pt>
                <c:pt idx="5">
                  <c:v>30</c:v>
                </c:pt>
                <c:pt idx="6">
                  <c:v>32</c:v>
                </c:pt>
                <c:pt idx="7">
                  <c:v>34</c:v>
                </c:pt>
                <c:pt idx="8">
                  <c:v>36</c:v>
                </c:pt>
                <c:pt idx="9">
                  <c:v>38</c:v>
                </c:pt>
                <c:pt idx="10">
                  <c:v>40</c:v>
                </c:pt>
                <c:pt idx="11">
                  <c:v>42</c:v>
                </c:pt>
                <c:pt idx="12">
                  <c:v>44</c:v>
                </c:pt>
                <c:pt idx="13">
                  <c:v>46</c:v>
                </c:pt>
                <c:pt idx="14">
                  <c:v>48</c:v>
                </c:pt>
                <c:pt idx="15">
                  <c:v>50</c:v>
                </c:pt>
                <c:pt idx="16">
                  <c:v>52</c:v>
                </c:pt>
                <c:pt idx="17">
                  <c:v>54</c:v>
                </c:pt>
                <c:pt idx="18">
                  <c:v>56</c:v>
                </c:pt>
                <c:pt idx="19">
                  <c:v>58</c:v>
                </c:pt>
                <c:pt idx="20">
                  <c:v>60</c:v>
                </c:pt>
                <c:pt idx="21">
                  <c:v>62</c:v>
                </c:pt>
                <c:pt idx="22">
                  <c:v>64</c:v>
                </c:pt>
                <c:pt idx="23">
                  <c:v>66</c:v>
                </c:pt>
                <c:pt idx="24">
                  <c:v>68</c:v>
                </c:pt>
                <c:pt idx="25">
                  <c:v>70</c:v>
                </c:pt>
                <c:pt idx="26">
                  <c:v>72</c:v>
                </c:pt>
                <c:pt idx="27">
                  <c:v>74</c:v>
                </c:pt>
                <c:pt idx="28">
                  <c:v>76</c:v>
                </c:pt>
                <c:pt idx="29">
                  <c:v>78</c:v>
                </c:pt>
                <c:pt idx="30">
                  <c:v>80</c:v>
                </c:pt>
                <c:pt idx="31">
                  <c:v>82</c:v>
                </c:pt>
                <c:pt idx="32">
                  <c:v>84</c:v>
                </c:pt>
                <c:pt idx="33">
                  <c:v>86</c:v>
                </c:pt>
                <c:pt idx="34">
                  <c:v>88</c:v>
                </c:pt>
                <c:pt idx="35">
                  <c:v>90</c:v>
                </c:pt>
                <c:pt idx="36">
                  <c:v>92</c:v>
                </c:pt>
                <c:pt idx="37">
                  <c:v>94</c:v>
                </c:pt>
                <c:pt idx="38">
                  <c:v>96</c:v>
                </c:pt>
                <c:pt idx="39">
                  <c:v>98</c:v>
                </c:pt>
                <c:pt idx="40">
                  <c:v>100</c:v>
                </c:pt>
                <c:pt idx="41">
                  <c:v>102</c:v>
                </c:pt>
                <c:pt idx="42">
                  <c:v>104</c:v>
                </c:pt>
                <c:pt idx="43">
                  <c:v>106</c:v>
                </c:pt>
                <c:pt idx="44">
                  <c:v>108</c:v>
                </c:pt>
                <c:pt idx="45">
                  <c:v>110</c:v>
                </c:pt>
                <c:pt idx="46">
                  <c:v>112</c:v>
                </c:pt>
                <c:pt idx="47">
                  <c:v>114</c:v>
                </c:pt>
                <c:pt idx="48">
                  <c:v>116</c:v>
                </c:pt>
                <c:pt idx="49">
                  <c:v>118</c:v>
                </c:pt>
                <c:pt idx="50">
                  <c:v>120</c:v>
                </c:pt>
                <c:pt idx="51">
                  <c:v>122</c:v>
                </c:pt>
                <c:pt idx="52">
                  <c:v>124</c:v>
                </c:pt>
                <c:pt idx="53">
                  <c:v>126</c:v>
                </c:pt>
                <c:pt idx="54">
                  <c:v>128</c:v>
                </c:pt>
                <c:pt idx="55">
                  <c:v>130</c:v>
                </c:pt>
                <c:pt idx="56">
                  <c:v>132</c:v>
                </c:pt>
                <c:pt idx="57">
                  <c:v>134</c:v>
                </c:pt>
                <c:pt idx="58">
                  <c:v>136</c:v>
                </c:pt>
                <c:pt idx="59">
                  <c:v>138</c:v>
                </c:pt>
                <c:pt idx="60">
                  <c:v>140</c:v>
                </c:pt>
              </c:numCache>
            </c:numRef>
          </c:xVal>
          <c:yVal>
            <c:numRef>
              <c:f>Calculations!$BC$17:$BC$77</c:f>
              <c:numCache>
                <c:formatCode>General</c:formatCode>
                <c:ptCount val="61"/>
                <c:pt idx="0">
                  <c:v>0.76086146082302919</c:v>
                </c:pt>
                <c:pt idx="1">
                  <c:v>0.75580062958235528</c:v>
                </c:pt>
                <c:pt idx="2">
                  <c:v>0.75703627115420313</c:v>
                </c:pt>
                <c:pt idx="3">
                  <c:v>0.73272332943773466</c:v>
                </c:pt>
                <c:pt idx="4">
                  <c:v>0.70405878258505905</c:v>
                </c:pt>
                <c:pt idx="5">
                  <c:v>0.73041525681331743</c:v>
                </c:pt>
                <c:pt idx="6">
                  <c:v>0.75528179044814292</c:v>
                </c:pt>
                <c:pt idx="7">
                  <c:v>0.74266784024932131</c:v>
                </c:pt>
                <c:pt idx="8">
                  <c:v>0.72589185062517425</c:v>
                </c:pt>
                <c:pt idx="9">
                  <c:v>0.734309478270184</c:v>
                </c:pt>
                <c:pt idx="10">
                  <c:v>0.74845019308557359</c:v>
                </c:pt>
                <c:pt idx="11">
                  <c:v>0.74670581706927075</c:v>
                </c:pt>
                <c:pt idx="12">
                  <c:v>0.73580725459148755</c:v>
                </c:pt>
                <c:pt idx="13">
                  <c:v>0.75303328226892374</c:v>
                </c:pt>
                <c:pt idx="14">
                  <c:v>0.76542405970906446</c:v>
                </c:pt>
                <c:pt idx="15">
                  <c:v>0.76769245722245594</c:v>
                </c:pt>
                <c:pt idx="16">
                  <c:v>0.79390425038146939</c:v>
                </c:pt>
                <c:pt idx="17">
                  <c:v>0.81232882451210542</c:v>
                </c:pt>
                <c:pt idx="18">
                  <c:v>0.80861182076679428</c:v>
                </c:pt>
                <c:pt idx="19">
                  <c:v>0.78878924235910008</c:v>
                </c:pt>
                <c:pt idx="20">
                  <c:v>0.82530883335782479</c:v>
                </c:pt>
                <c:pt idx="21">
                  <c:v>0.84564083876541263</c:v>
                </c:pt>
                <c:pt idx="22">
                  <c:v>0.8489170816631505</c:v>
                </c:pt>
                <c:pt idx="23">
                  <c:v>0.88036309729703022</c:v>
                </c:pt>
                <c:pt idx="24">
                  <c:v>0.89323687211781622</c:v>
                </c:pt>
                <c:pt idx="25">
                  <c:v>0.86342547885075815</c:v>
                </c:pt>
                <c:pt idx="26">
                  <c:v>0.85413127142021228</c:v>
                </c:pt>
                <c:pt idx="27">
                  <c:v>0.90764483883413438</c:v>
                </c:pt>
                <c:pt idx="28">
                  <c:v>0.91165904010758358</c:v>
                </c:pt>
                <c:pt idx="29">
                  <c:v>0.92238476910613021</c:v>
                </c:pt>
                <c:pt idx="30">
                  <c:v>0.86787440896775225</c:v>
                </c:pt>
                <c:pt idx="31">
                  <c:v>0.88122841883447156</c:v>
                </c:pt>
                <c:pt idx="32">
                  <c:v>0.91783556717881687</c:v>
                </c:pt>
                <c:pt idx="33">
                  <c:v>0.94415700437890659</c:v>
                </c:pt>
                <c:pt idx="34">
                  <c:v>0.94900559363127868</c:v>
                </c:pt>
                <c:pt idx="35">
                  <c:v>0.94568852552307603</c:v>
                </c:pt>
                <c:pt idx="36">
                  <c:v>0.94450440215847775</c:v>
                </c:pt>
                <c:pt idx="37">
                  <c:v>0.90591421717940879</c:v>
                </c:pt>
                <c:pt idx="38">
                  <c:v>0.93292647598447231</c:v>
                </c:pt>
                <c:pt idx="39">
                  <c:v>0.9894284526778292</c:v>
                </c:pt>
                <c:pt idx="40">
                  <c:v>0.97086116200721084</c:v>
                </c:pt>
                <c:pt idx="41">
                  <c:v>0.96499328940209139</c:v>
                </c:pt>
                <c:pt idx="42">
                  <c:v>0.95230044680594128</c:v>
                </c:pt>
                <c:pt idx="43">
                  <c:v>0.97787404603332029</c:v>
                </c:pt>
                <c:pt idx="44">
                  <c:v>0.95303076454462377</c:v>
                </c:pt>
                <c:pt idx="45">
                  <c:v>0.97879705755084356</c:v>
                </c:pt>
                <c:pt idx="46">
                  <c:v>0.97728277914036421</c:v>
                </c:pt>
                <c:pt idx="47">
                  <c:v>0.99326872389603016</c:v>
                </c:pt>
                <c:pt idx="48">
                  <c:v>0.98755599800895955</c:v>
                </c:pt>
                <c:pt idx="49">
                  <c:v>0.98533403452329382</c:v>
                </c:pt>
                <c:pt idx="50">
                  <c:v>0.9837074732219806</c:v>
                </c:pt>
                <c:pt idx="51">
                  <c:v>1.0041579876434243</c:v>
                </c:pt>
                <c:pt idx="52">
                  <c:v>1.0087542960897475</c:v>
                </c:pt>
                <c:pt idx="53">
                  <c:v>0.99692228776609371</c:v>
                </c:pt>
                <c:pt idx="54">
                  <c:v>1.0107319581003789</c:v>
                </c:pt>
                <c:pt idx="55">
                  <c:v>0.98933837754180809</c:v>
                </c:pt>
                <c:pt idx="56">
                  <c:v>1.0020279734899957</c:v>
                </c:pt>
                <c:pt idx="57">
                  <c:v>0.98947594041367493</c:v>
                </c:pt>
                <c:pt idx="58">
                  <c:v>1.0114459992367384</c:v>
                </c:pt>
                <c:pt idx="59">
                  <c:v>0.98436304920540485</c:v>
                </c:pt>
                <c:pt idx="60">
                  <c:v>1.0590171849965979</c:v>
                </c:pt>
              </c:numCache>
            </c:numRef>
          </c:yVal>
        </c:ser>
        <c:axId val="154688896"/>
        <c:axId val="154715264"/>
      </c:scatterChart>
      <c:valAx>
        <c:axId val="154688896"/>
        <c:scaling>
          <c:orientation val="minMax"/>
          <c:max val="60"/>
          <c:min val="15"/>
        </c:scaling>
        <c:axPos val="b"/>
        <c:numFmt formatCode="General" sourceLinked="0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154715264"/>
        <c:crosses val="autoZero"/>
        <c:crossBetween val="midCat"/>
        <c:majorUnit val="5"/>
        <c:minorUnit val="1"/>
      </c:valAx>
      <c:valAx>
        <c:axId val="154715264"/>
        <c:scaling>
          <c:orientation val="minMax"/>
          <c:max val="4"/>
          <c:min val="1"/>
        </c:scaling>
        <c:axPos val="l"/>
        <c:majorGridlines/>
        <c:numFmt formatCode="General" sourceLinked="1"/>
        <c:tickLblPos val="nextTo"/>
        <c:crossAx val="15468889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Grey Card Sweep</a:t>
            </a:r>
            <a:endParaRPr lang="en-US"/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Calculations!$AS$5</c:f>
              <c:strCache>
                <c:ptCount val="1"/>
                <c:pt idx="0">
                  <c:v>250</c:v>
                </c:pt>
              </c:strCache>
            </c:strRef>
          </c:tx>
          <c:marker>
            <c:symbol val="none"/>
          </c:marker>
          <c:xVal>
            <c:numRef>
              <c:f>Calculations!$AR$7:$AR$87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Calculations!$AS$7:$AS$87</c:f>
              <c:numCache>
                <c:formatCode>0.000</c:formatCode>
                <c:ptCount val="81"/>
                <c:pt idx="0">
                  <c:v>0.46569607363962207</c:v>
                </c:pt>
                <c:pt idx="1">
                  <c:v>0.99900000000000011</c:v>
                </c:pt>
                <c:pt idx="2">
                  <c:v>0.99900000000000011</c:v>
                </c:pt>
                <c:pt idx="3">
                  <c:v>0.99900000000000011</c:v>
                </c:pt>
                <c:pt idx="4">
                  <c:v>0.99900000000000011</c:v>
                </c:pt>
                <c:pt idx="5">
                  <c:v>0.99900000000000011</c:v>
                </c:pt>
                <c:pt idx="6">
                  <c:v>0.99900000000000011</c:v>
                </c:pt>
                <c:pt idx="7">
                  <c:v>0.99900000000000011</c:v>
                </c:pt>
                <c:pt idx="8">
                  <c:v>0.99900000000000011</c:v>
                </c:pt>
                <c:pt idx="9">
                  <c:v>0.98466495601173032</c:v>
                </c:pt>
                <c:pt idx="10">
                  <c:v>0.97220161290322593</c:v>
                </c:pt>
                <c:pt idx="11">
                  <c:v>0.96291520039100698</c:v>
                </c:pt>
                <c:pt idx="12">
                  <c:v>0.95558382209188675</c:v>
                </c:pt>
                <c:pt idx="13">
                  <c:v>0.93179944607363963</c:v>
                </c:pt>
                <c:pt idx="14">
                  <c:v>0.9178698273053113</c:v>
                </c:pt>
                <c:pt idx="15">
                  <c:v>0.90793173672205929</c:v>
                </c:pt>
                <c:pt idx="16">
                  <c:v>0.89905262300423594</c:v>
                </c:pt>
                <c:pt idx="17">
                  <c:v>0.86802020202020191</c:v>
                </c:pt>
                <c:pt idx="18">
                  <c:v>0.84382665363310505</c:v>
                </c:pt>
                <c:pt idx="19">
                  <c:v>0.82761616161616158</c:v>
                </c:pt>
                <c:pt idx="20">
                  <c:v>0.81287194525904194</c:v>
                </c:pt>
                <c:pt idx="21">
                  <c:v>0.80334115347018564</c:v>
                </c:pt>
                <c:pt idx="22">
                  <c:v>0.79731313131313131</c:v>
                </c:pt>
                <c:pt idx="23">
                  <c:v>0.78093971977842935</c:v>
                </c:pt>
                <c:pt idx="24">
                  <c:v>0.75031272401433691</c:v>
                </c:pt>
                <c:pt idx="25">
                  <c:v>0.73271928967090239</c:v>
                </c:pt>
                <c:pt idx="26">
                  <c:v>0.71675317693059615</c:v>
                </c:pt>
                <c:pt idx="27">
                  <c:v>0.68970853698273038</c:v>
                </c:pt>
                <c:pt idx="28">
                  <c:v>0.682214239165852</c:v>
                </c:pt>
                <c:pt idx="29">
                  <c:v>0.66535206907787547</c:v>
                </c:pt>
                <c:pt idx="30">
                  <c:v>0.64751238188334936</c:v>
                </c:pt>
                <c:pt idx="31">
                  <c:v>0.64425399152818497</c:v>
                </c:pt>
                <c:pt idx="32">
                  <c:v>0.62600887911371772</c:v>
                </c:pt>
                <c:pt idx="33">
                  <c:v>0.60393515803193221</c:v>
                </c:pt>
                <c:pt idx="34">
                  <c:v>0.58479211469534043</c:v>
                </c:pt>
                <c:pt idx="35">
                  <c:v>0.58324437927663719</c:v>
                </c:pt>
                <c:pt idx="36">
                  <c:v>0.55318572825024426</c:v>
                </c:pt>
                <c:pt idx="37">
                  <c:v>0.54357347670250888</c:v>
                </c:pt>
                <c:pt idx="38">
                  <c:v>0.53721961550993802</c:v>
                </c:pt>
                <c:pt idx="39">
                  <c:v>0.5228012381883349</c:v>
                </c:pt>
                <c:pt idx="40">
                  <c:v>0.49722287390029324</c:v>
                </c:pt>
                <c:pt idx="41">
                  <c:v>0.49705995438253492</c:v>
                </c:pt>
                <c:pt idx="42">
                  <c:v>0.49363864450961215</c:v>
                </c:pt>
                <c:pt idx="43">
                  <c:v>0.47702272727272721</c:v>
                </c:pt>
                <c:pt idx="44">
                  <c:v>0.44835076572173338</c:v>
                </c:pt>
                <c:pt idx="45">
                  <c:v>0.44745470837406315</c:v>
                </c:pt>
                <c:pt idx="46">
                  <c:v>0.41348598892147276</c:v>
                </c:pt>
                <c:pt idx="47">
                  <c:v>0.38912952101661774</c:v>
                </c:pt>
                <c:pt idx="48">
                  <c:v>0.38619696969696965</c:v>
                </c:pt>
                <c:pt idx="49">
                  <c:v>0.35613831867057671</c:v>
                </c:pt>
                <c:pt idx="50">
                  <c:v>0.36575057021831214</c:v>
                </c:pt>
                <c:pt idx="51">
                  <c:v>0.34856256109481915</c:v>
                </c:pt>
                <c:pt idx="52">
                  <c:v>0.34514125122189637</c:v>
                </c:pt>
                <c:pt idx="53">
                  <c:v>0.31923892147279237</c:v>
                </c:pt>
                <c:pt idx="54">
                  <c:v>0.29634872922776145</c:v>
                </c:pt>
                <c:pt idx="55">
                  <c:v>0.309626669925057</c:v>
                </c:pt>
                <c:pt idx="56">
                  <c:v>0.28380392636037793</c:v>
                </c:pt>
                <c:pt idx="57">
                  <c:v>0.28893589116976215</c:v>
                </c:pt>
                <c:pt idx="58">
                  <c:v>0.26979284783317042</c:v>
                </c:pt>
                <c:pt idx="59">
                  <c:v>0.24445886282176602</c:v>
                </c:pt>
                <c:pt idx="60">
                  <c:v>0.22401246334310851</c:v>
                </c:pt>
                <c:pt idx="61">
                  <c:v>0.24999812642554575</c:v>
                </c:pt>
                <c:pt idx="62">
                  <c:v>0.22213888888888889</c:v>
                </c:pt>
                <c:pt idx="63">
                  <c:v>0.22124283154121863</c:v>
                </c:pt>
                <c:pt idx="64">
                  <c:v>0.20869802867383511</c:v>
                </c:pt>
                <c:pt idx="65">
                  <c:v>0.20568401759530788</c:v>
                </c:pt>
                <c:pt idx="66">
                  <c:v>0.20413628217660473</c:v>
                </c:pt>
                <c:pt idx="67">
                  <c:v>0.1925689964157706</c:v>
                </c:pt>
                <c:pt idx="68">
                  <c:v>0.17530140110785275</c:v>
                </c:pt>
                <c:pt idx="69">
                  <c:v>0.18206256109481914</c:v>
                </c:pt>
                <c:pt idx="70">
                  <c:v>0.16682958618442489</c:v>
                </c:pt>
                <c:pt idx="71">
                  <c:v>0.14760508308895404</c:v>
                </c:pt>
                <c:pt idx="72">
                  <c:v>0.14255457803844898</c:v>
                </c:pt>
                <c:pt idx="73">
                  <c:v>0.14059954382535025</c:v>
                </c:pt>
                <c:pt idx="74">
                  <c:v>0.111762789182144</c:v>
                </c:pt>
                <c:pt idx="75">
                  <c:v>0.1282991202346041</c:v>
                </c:pt>
                <c:pt idx="76">
                  <c:v>0.11550993809058324</c:v>
                </c:pt>
                <c:pt idx="77">
                  <c:v>0.11282176604757249</c:v>
                </c:pt>
                <c:pt idx="78">
                  <c:v>9.2945584881068743E-2</c:v>
                </c:pt>
                <c:pt idx="79">
                  <c:v>9.196806777451938E-2</c:v>
                </c:pt>
                <c:pt idx="80">
                  <c:v>7.7305311176278924E-2</c:v>
                </c:pt>
              </c:numCache>
            </c:numRef>
          </c:yVal>
        </c:ser>
        <c:ser>
          <c:idx val="1"/>
          <c:order val="1"/>
          <c:tx>
            <c:strRef>
              <c:f>Calculations!$AU$5</c:f>
              <c:strCache>
                <c:ptCount val="1"/>
                <c:pt idx="0">
                  <c:v>125</c:v>
                </c:pt>
              </c:strCache>
            </c:strRef>
          </c:tx>
          <c:marker>
            <c:symbol val="none"/>
          </c:marker>
          <c:xVal>
            <c:numRef>
              <c:f>Calculations!$AR$7:$AR$87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Calculations!$AU$7:$AU$87</c:f>
              <c:numCache>
                <c:formatCode>0.000</c:formatCode>
                <c:ptCount val="81"/>
                <c:pt idx="0">
                  <c:v>0.54601539589442816</c:v>
                </c:pt>
                <c:pt idx="1">
                  <c:v>0.99900000000000011</c:v>
                </c:pt>
                <c:pt idx="2">
                  <c:v>0.99900000000000011</c:v>
                </c:pt>
                <c:pt idx="3">
                  <c:v>0.99900000000000011</c:v>
                </c:pt>
                <c:pt idx="4">
                  <c:v>0.99900000000000011</c:v>
                </c:pt>
                <c:pt idx="5">
                  <c:v>0.99900000000000011</c:v>
                </c:pt>
                <c:pt idx="6">
                  <c:v>0.99900000000000011</c:v>
                </c:pt>
                <c:pt idx="7">
                  <c:v>0.98678290974258731</c:v>
                </c:pt>
                <c:pt idx="8">
                  <c:v>0.97220161290322593</c:v>
                </c:pt>
                <c:pt idx="9">
                  <c:v>0.96136746497230385</c:v>
                </c:pt>
                <c:pt idx="10">
                  <c:v>0.94116731834473777</c:v>
                </c:pt>
                <c:pt idx="11">
                  <c:v>0.91835858585858599</c:v>
                </c:pt>
                <c:pt idx="12">
                  <c:v>0.91045698924731189</c:v>
                </c:pt>
                <c:pt idx="13">
                  <c:v>0.89310793418051482</c:v>
                </c:pt>
                <c:pt idx="14">
                  <c:v>0.86842750081459741</c:v>
                </c:pt>
                <c:pt idx="15">
                  <c:v>0.83576213750407291</c:v>
                </c:pt>
                <c:pt idx="16">
                  <c:v>0.8151528185076572</c:v>
                </c:pt>
                <c:pt idx="17">
                  <c:v>0.80651808406647119</c:v>
                </c:pt>
                <c:pt idx="18">
                  <c:v>0.78981883349625281</c:v>
                </c:pt>
                <c:pt idx="19">
                  <c:v>0.76611779081133902</c:v>
                </c:pt>
                <c:pt idx="20">
                  <c:v>0.74558805799934824</c:v>
                </c:pt>
                <c:pt idx="21">
                  <c:v>0.72090762463343083</c:v>
                </c:pt>
                <c:pt idx="22">
                  <c:v>0.69695845552297142</c:v>
                </c:pt>
                <c:pt idx="23">
                  <c:v>0.68702036493971974</c:v>
                </c:pt>
                <c:pt idx="24">
                  <c:v>0.67178739002932542</c:v>
                </c:pt>
                <c:pt idx="25">
                  <c:v>0.65598607038123158</c:v>
                </c:pt>
                <c:pt idx="26">
                  <c:v>0.64400961225154763</c:v>
                </c:pt>
                <c:pt idx="27">
                  <c:v>0.6264976376669924</c:v>
                </c:pt>
                <c:pt idx="28">
                  <c:v>0.61582640925382848</c:v>
                </c:pt>
                <c:pt idx="29">
                  <c:v>0.58479211469534043</c:v>
                </c:pt>
                <c:pt idx="30">
                  <c:v>0.57159563375692402</c:v>
                </c:pt>
                <c:pt idx="31">
                  <c:v>0.54398077549690449</c:v>
                </c:pt>
                <c:pt idx="32">
                  <c:v>0.54422515477354183</c:v>
                </c:pt>
                <c:pt idx="33">
                  <c:v>0.53290224828934496</c:v>
                </c:pt>
                <c:pt idx="34">
                  <c:v>0.52394167481264242</c:v>
                </c:pt>
                <c:pt idx="35">
                  <c:v>0.49868914956011717</c:v>
                </c:pt>
                <c:pt idx="36">
                  <c:v>0.48704227761485819</c:v>
                </c:pt>
                <c:pt idx="37">
                  <c:v>0.48883439231019871</c:v>
                </c:pt>
                <c:pt idx="38">
                  <c:v>0.46960988921472785</c:v>
                </c:pt>
                <c:pt idx="39">
                  <c:v>0.45584318996415768</c:v>
                </c:pt>
                <c:pt idx="40">
                  <c:v>0.41487080482241767</c:v>
                </c:pt>
                <c:pt idx="41">
                  <c:v>0.42366845878136195</c:v>
                </c:pt>
                <c:pt idx="42">
                  <c:v>0.40696920821114363</c:v>
                </c:pt>
                <c:pt idx="43">
                  <c:v>0.36949771912675139</c:v>
                </c:pt>
                <c:pt idx="44">
                  <c:v>0.35727875529488434</c:v>
                </c:pt>
                <c:pt idx="45">
                  <c:v>0.37324486803519058</c:v>
                </c:pt>
                <c:pt idx="46">
                  <c:v>0.37348924731182792</c:v>
                </c:pt>
                <c:pt idx="47">
                  <c:v>0.34155889540566958</c:v>
                </c:pt>
                <c:pt idx="48">
                  <c:v>0.3292584718149234</c:v>
                </c:pt>
                <c:pt idx="49">
                  <c:v>0.3280365754317367</c:v>
                </c:pt>
                <c:pt idx="50">
                  <c:v>0.31817994460736393</c:v>
                </c:pt>
                <c:pt idx="51">
                  <c:v>0.31402549690452913</c:v>
                </c:pt>
                <c:pt idx="52">
                  <c:v>0.29235720104268487</c:v>
                </c:pt>
                <c:pt idx="53">
                  <c:v>0.26751197458455522</c:v>
                </c:pt>
                <c:pt idx="54">
                  <c:v>0.26775635386119251</c:v>
                </c:pt>
                <c:pt idx="55">
                  <c:v>0.2636833659172369</c:v>
                </c:pt>
                <c:pt idx="56">
                  <c:v>0.25513009123492991</c:v>
                </c:pt>
                <c:pt idx="57">
                  <c:v>0.22311640599543825</c:v>
                </c:pt>
                <c:pt idx="58">
                  <c:v>0.21985801564027371</c:v>
                </c:pt>
                <c:pt idx="59">
                  <c:v>0.22686355490387747</c:v>
                </c:pt>
                <c:pt idx="60">
                  <c:v>0.23777916259367871</c:v>
                </c:pt>
                <c:pt idx="61">
                  <c:v>0.23346179537308567</c:v>
                </c:pt>
                <c:pt idx="62">
                  <c:v>0.21016617790811334</c:v>
                </c:pt>
                <c:pt idx="63">
                  <c:v>0.17961876832844573</c:v>
                </c:pt>
                <c:pt idx="64">
                  <c:v>0.16088302378624955</c:v>
                </c:pt>
                <c:pt idx="65">
                  <c:v>0.17684913652655587</c:v>
                </c:pt>
                <c:pt idx="66">
                  <c:v>0.18059628543499515</c:v>
                </c:pt>
                <c:pt idx="67">
                  <c:v>0.13831867057673508</c:v>
                </c:pt>
                <c:pt idx="68">
                  <c:v>0.1600684261974584</c:v>
                </c:pt>
                <c:pt idx="69">
                  <c:v>0.15689149560117299</c:v>
                </c:pt>
                <c:pt idx="70">
                  <c:v>0.16976213750407299</c:v>
                </c:pt>
                <c:pt idx="71">
                  <c:v>0.13009123492994459</c:v>
                </c:pt>
                <c:pt idx="72">
                  <c:v>0.13970348647767999</c:v>
                </c:pt>
                <c:pt idx="73">
                  <c:v>0.12601824698598893</c:v>
                </c:pt>
                <c:pt idx="74">
                  <c:v>9.791463017269468E-2</c:v>
                </c:pt>
                <c:pt idx="75">
                  <c:v>0.11192570869990222</c:v>
                </c:pt>
                <c:pt idx="76">
                  <c:v>0.12145650048875856</c:v>
                </c:pt>
                <c:pt idx="77">
                  <c:v>9.1886608015640261E-2</c:v>
                </c:pt>
                <c:pt idx="78">
                  <c:v>0.10768980123818833</c:v>
                </c:pt>
                <c:pt idx="79">
                  <c:v>0.11045943304007817</c:v>
                </c:pt>
                <c:pt idx="80">
                  <c:v>0.10720104268491364</c:v>
                </c:pt>
              </c:numCache>
            </c:numRef>
          </c:yVal>
        </c:ser>
        <c:ser>
          <c:idx val="2"/>
          <c:order val="2"/>
          <c:tx>
            <c:strRef>
              <c:f>Calculations!$AW$5</c:f>
              <c:strCache>
                <c:ptCount val="1"/>
                <c:pt idx="0">
                  <c:v>62.5</c:v>
                </c:pt>
              </c:strCache>
            </c:strRef>
          </c:tx>
          <c:marker>
            <c:symbol val="none"/>
          </c:marker>
          <c:xVal>
            <c:numRef>
              <c:f>Calculations!$AR$7:$AR$87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Calculations!$AW$7:$AW$87</c:f>
              <c:numCache>
                <c:formatCode>0.000</c:formatCode>
                <c:ptCount val="81"/>
                <c:pt idx="0">
                  <c:v>0.85219480519480517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0.93174393706651748</c:v>
                </c:pt>
                <c:pt idx="6">
                  <c:v>0.88356630824372762</c:v>
                </c:pt>
                <c:pt idx="7">
                  <c:v>0.83935064935064907</c:v>
                </c:pt>
                <c:pt idx="8">
                  <c:v>0.75938151096215623</c:v>
                </c:pt>
                <c:pt idx="9">
                  <c:v>0.72042047200111714</c:v>
                </c:pt>
                <c:pt idx="10">
                  <c:v>0.68895373085695677</c:v>
                </c:pt>
                <c:pt idx="11">
                  <c:v>0.66130396127170332</c:v>
                </c:pt>
                <c:pt idx="12">
                  <c:v>0.64696811432295309</c:v>
                </c:pt>
                <c:pt idx="13">
                  <c:v>0.61071116696923144</c:v>
                </c:pt>
                <c:pt idx="14">
                  <c:v>0.57221668295861838</c:v>
                </c:pt>
                <c:pt idx="15">
                  <c:v>0.55131643625192006</c:v>
                </c:pt>
                <c:pt idx="16">
                  <c:v>0.54116887771726485</c:v>
                </c:pt>
                <c:pt idx="17">
                  <c:v>0.51426388307033466</c:v>
                </c:pt>
                <c:pt idx="18">
                  <c:v>0.49117585998231161</c:v>
                </c:pt>
                <c:pt idx="19">
                  <c:v>0.4783284922962342</c:v>
                </c:pt>
                <c:pt idx="20">
                  <c:v>0.47372019736535864</c:v>
                </c:pt>
                <c:pt idx="21">
                  <c:v>0.46766890099148173</c:v>
                </c:pt>
                <c:pt idx="22">
                  <c:v>0.45416985523437137</c:v>
                </c:pt>
                <c:pt idx="23">
                  <c:v>0.45416985523437137</c:v>
                </c:pt>
                <c:pt idx="24">
                  <c:v>0.45254066005678922</c:v>
                </c:pt>
                <c:pt idx="25">
                  <c:v>0.44462742633710373</c:v>
                </c:pt>
                <c:pt idx="26">
                  <c:v>0.44002020202020198</c:v>
                </c:pt>
                <c:pt idx="27">
                  <c:v>0.44211488153423639</c:v>
                </c:pt>
                <c:pt idx="28">
                  <c:v>0.4312214774472839</c:v>
                </c:pt>
                <c:pt idx="29">
                  <c:v>0.42060950519015039</c:v>
                </c:pt>
                <c:pt idx="30">
                  <c:v>0.42116808639389286</c:v>
                </c:pt>
                <c:pt idx="31">
                  <c:v>0.41767695387050213</c:v>
                </c:pt>
                <c:pt idx="32">
                  <c:v>0.41804934133966382</c:v>
                </c:pt>
                <c:pt idx="33">
                  <c:v>0.41465130568356368</c:v>
                </c:pt>
                <c:pt idx="34">
                  <c:v>0.41925960061443929</c:v>
                </c:pt>
                <c:pt idx="35">
                  <c:v>0.40287562258529991</c:v>
                </c:pt>
                <c:pt idx="36">
                  <c:v>0.39635884187497084</c:v>
                </c:pt>
                <c:pt idx="37">
                  <c:v>0.40152464739561511</c:v>
                </c:pt>
                <c:pt idx="38">
                  <c:v>0.38919038309360882</c:v>
                </c:pt>
                <c:pt idx="39">
                  <c:v>0.39747600428245583</c:v>
                </c:pt>
                <c:pt idx="40">
                  <c:v>0.38020760601405756</c:v>
                </c:pt>
                <c:pt idx="41">
                  <c:v>0.37634301540753146</c:v>
                </c:pt>
                <c:pt idx="42">
                  <c:v>0.39207638597961181</c:v>
                </c:pt>
                <c:pt idx="43">
                  <c:v>0.39142470790857892</c:v>
                </c:pt>
                <c:pt idx="44">
                  <c:v>0.3856527021365731</c:v>
                </c:pt>
                <c:pt idx="45">
                  <c:v>0.38676986454405804</c:v>
                </c:pt>
                <c:pt idx="46">
                  <c:v>0.38700367732625796</c:v>
                </c:pt>
                <c:pt idx="47">
                  <c:v>0.36917455662616938</c:v>
                </c:pt>
                <c:pt idx="48">
                  <c:v>0.37476143927756822</c:v>
                </c:pt>
                <c:pt idx="49">
                  <c:v>0.38784047851789777</c:v>
                </c:pt>
                <c:pt idx="50">
                  <c:v>0.38230228552809192</c:v>
                </c:pt>
                <c:pt idx="51">
                  <c:v>0.37150197830842974</c:v>
                </c:pt>
                <c:pt idx="52">
                  <c:v>0.36708094772610894</c:v>
                </c:pt>
                <c:pt idx="53">
                  <c:v>0.37476143927756816</c:v>
                </c:pt>
                <c:pt idx="54">
                  <c:v>0.36410184797281564</c:v>
                </c:pt>
                <c:pt idx="55">
                  <c:v>0.36852394916911035</c:v>
                </c:pt>
                <c:pt idx="56">
                  <c:v>0.37713540939347384</c:v>
                </c:pt>
                <c:pt idx="57">
                  <c:v>0.38006796071312199</c:v>
                </c:pt>
                <c:pt idx="58">
                  <c:v>0.36940836940836935</c:v>
                </c:pt>
                <c:pt idx="59">
                  <c:v>0.37066410650281612</c:v>
                </c:pt>
                <c:pt idx="60">
                  <c:v>0.37192198482521061</c:v>
                </c:pt>
                <c:pt idx="61">
                  <c:v>0.37071065493646127</c:v>
                </c:pt>
                <c:pt idx="62">
                  <c:v>0.36205371689242649</c:v>
                </c:pt>
                <c:pt idx="63">
                  <c:v>0.36186752315784565</c:v>
                </c:pt>
                <c:pt idx="64">
                  <c:v>0.36605688218591431</c:v>
                </c:pt>
                <c:pt idx="65">
                  <c:v>0.35707303449238925</c:v>
                </c:pt>
                <c:pt idx="66">
                  <c:v>0.37182888795792007</c:v>
                </c:pt>
                <c:pt idx="67">
                  <c:v>0.35814364846622909</c:v>
                </c:pt>
                <c:pt idx="68">
                  <c:v>0.37010552529907365</c:v>
                </c:pt>
                <c:pt idx="69">
                  <c:v>0.35944700460829487</c:v>
                </c:pt>
                <c:pt idx="70">
                  <c:v>0.37434250337476138</c:v>
                </c:pt>
                <c:pt idx="71">
                  <c:v>0.35344225666806306</c:v>
                </c:pt>
                <c:pt idx="72">
                  <c:v>0.35358190196899864</c:v>
                </c:pt>
                <c:pt idx="73">
                  <c:v>0.36247265279523327</c:v>
                </c:pt>
                <c:pt idx="74">
                  <c:v>0.36019177954661813</c:v>
                </c:pt>
                <c:pt idx="75">
                  <c:v>0.36475352604384853</c:v>
                </c:pt>
                <c:pt idx="76">
                  <c:v>0.3587011590559977</c:v>
                </c:pt>
                <c:pt idx="77">
                  <c:v>0.36540520411488148</c:v>
                </c:pt>
                <c:pt idx="78">
                  <c:v>0.35395428943816032</c:v>
                </c:pt>
                <c:pt idx="79">
                  <c:v>0.36242610436158812</c:v>
                </c:pt>
                <c:pt idx="80">
                  <c:v>0.36838430386817478</c:v>
                </c:pt>
              </c:numCache>
            </c:numRef>
          </c:yVal>
        </c:ser>
        <c:ser>
          <c:idx val="3"/>
          <c:order val="3"/>
          <c:tx>
            <c:strRef>
              <c:f>Calculations!$AY$5</c:f>
              <c:strCache>
                <c:ptCount val="1"/>
                <c:pt idx="0">
                  <c:v>31.25</c:v>
                </c:pt>
              </c:strCache>
            </c:strRef>
          </c:tx>
          <c:marker>
            <c:symbol val="none"/>
          </c:marker>
          <c:xVal>
            <c:numRef>
              <c:f>Calculations!$AR$7:$AR$87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Calculations!$AY$7:$AY$87</c:f>
              <c:numCache>
                <c:formatCode>0.000</c:formatCode>
                <c:ptCount val="81"/>
                <c:pt idx="0">
                  <c:v>0.86307955903117195</c:v>
                </c:pt>
                <c:pt idx="1">
                  <c:v>0.99900000000000011</c:v>
                </c:pt>
                <c:pt idx="2">
                  <c:v>0.99900000000000011</c:v>
                </c:pt>
                <c:pt idx="3">
                  <c:v>0.99900000000000011</c:v>
                </c:pt>
                <c:pt idx="4">
                  <c:v>0.99900000000000011</c:v>
                </c:pt>
                <c:pt idx="5">
                  <c:v>0.99900000000000011</c:v>
                </c:pt>
                <c:pt idx="6">
                  <c:v>0.99900000000000011</c:v>
                </c:pt>
                <c:pt idx="7">
                  <c:v>0.99900000000000011</c:v>
                </c:pt>
                <c:pt idx="8">
                  <c:v>0.99900000000000011</c:v>
                </c:pt>
                <c:pt idx="9">
                  <c:v>0.94931704138155759</c:v>
                </c:pt>
                <c:pt idx="10">
                  <c:v>0.90549169110459438</c:v>
                </c:pt>
                <c:pt idx="11">
                  <c:v>0.87497143477788653</c:v>
                </c:pt>
                <c:pt idx="12">
                  <c:v>0.85460649505810815</c:v>
                </c:pt>
                <c:pt idx="13">
                  <c:v>0.83348126425545788</c:v>
                </c:pt>
                <c:pt idx="14">
                  <c:v>0.81273992614315194</c:v>
                </c:pt>
                <c:pt idx="15">
                  <c:v>0.75479863147605064</c:v>
                </c:pt>
                <c:pt idx="16">
                  <c:v>0.7165125448028673</c:v>
                </c:pt>
                <c:pt idx="17">
                  <c:v>0.69245476268056916</c:v>
                </c:pt>
                <c:pt idx="18">
                  <c:v>0.67665156945802118</c:v>
                </c:pt>
                <c:pt idx="19">
                  <c:v>0.65139904420549588</c:v>
                </c:pt>
                <c:pt idx="20">
                  <c:v>0.6329348321928967</c:v>
                </c:pt>
                <c:pt idx="21">
                  <c:v>0.62630943847072884</c:v>
                </c:pt>
                <c:pt idx="22">
                  <c:v>0.61724025198218746</c:v>
                </c:pt>
                <c:pt idx="23">
                  <c:v>0.60312056044314111</c:v>
                </c:pt>
                <c:pt idx="24">
                  <c:v>0.59122868469642653</c:v>
                </c:pt>
                <c:pt idx="25">
                  <c:v>0.57917388943195391</c:v>
                </c:pt>
                <c:pt idx="26">
                  <c:v>0.55424845226458119</c:v>
                </c:pt>
                <c:pt idx="27">
                  <c:v>0.54425605517540998</c:v>
                </c:pt>
                <c:pt idx="28">
                  <c:v>0.53328614097968929</c:v>
                </c:pt>
                <c:pt idx="29">
                  <c:v>0.5332343325730422</c:v>
                </c:pt>
                <c:pt idx="30">
                  <c:v>0.5103157380254153</c:v>
                </c:pt>
                <c:pt idx="31">
                  <c:v>0.49391767133702608</c:v>
                </c:pt>
                <c:pt idx="32">
                  <c:v>0.49245014662756592</c:v>
                </c:pt>
                <c:pt idx="33">
                  <c:v>0.47100032583903545</c:v>
                </c:pt>
                <c:pt idx="34">
                  <c:v>0.4693711306614532</c:v>
                </c:pt>
                <c:pt idx="35">
                  <c:v>0.46660149885956326</c:v>
                </c:pt>
                <c:pt idx="36">
                  <c:v>0.46404909308135106</c:v>
                </c:pt>
                <c:pt idx="37">
                  <c:v>0.44238079721950679</c:v>
                </c:pt>
                <c:pt idx="38">
                  <c:v>0.42690344303247518</c:v>
                </c:pt>
                <c:pt idx="39">
                  <c:v>0.43092212447051148</c:v>
                </c:pt>
                <c:pt idx="40">
                  <c:v>0.4380905832518735</c:v>
                </c:pt>
                <c:pt idx="41">
                  <c:v>0.4270663625502335</c:v>
                </c:pt>
                <c:pt idx="42">
                  <c:v>0.42717497556207223</c:v>
                </c:pt>
                <c:pt idx="43">
                  <c:v>0.41457586618876935</c:v>
                </c:pt>
                <c:pt idx="44">
                  <c:v>0.40637558379493854</c:v>
                </c:pt>
                <c:pt idx="45">
                  <c:v>0.40898229607907022</c:v>
                </c:pt>
                <c:pt idx="46">
                  <c:v>0.40974258716194195</c:v>
                </c:pt>
                <c:pt idx="47">
                  <c:v>0.40751602041924617</c:v>
                </c:pt>
                <c:pt idx="48">
                  <c:v>0.40170522428586941</c:v>
                </c:pt>
                <c:pt idx="49">
                  <c:v>0.39198435972629514</c:v>
                </c:pt>
                <c:pt idx="50">
                  <c:v>0.39377647442163566</c:v>
                </c:pt>
                <c:pt idx="51">
                  <c:v>0.38497882046269138</c:v>
                </c:pt>
                <c:pt idx="52">
                  <c:v>0.38546757901596607</c:v>
                </c:pt>
                <c:pt idx="53">
                  <c:v>0.38324101227327029</c:v>
                </c:pt>
                <c:pt idx="54">
                  <c:v>0.38204626914304329</c:v>
                </c:pt>
                <c:pt idx="55">
                  <c:v>0.37650700553926358</c:v>
                </c:pt>
                <c:pt idx="56">
                  <c:v>0.38590203106332133</c:v>
                </c:pt>
                <c:pt idx="57">
                  <c:v>0.38264364070815682</c:v>
                </c:pt>
                <c:pt idx="58">
                  <c:v>0.37406321277289017</c:v>
                </c:pt>
                <c:pt idx="59">
                  <c:v>0.37618116650374711</c:v>
                </c:pt>
                <c:pt idx="60">
                  <c:v>0.37808189421092642</c:v>
                </c:pt>
                <c:pt idx="61">
                  <c:v>0.36917562724014336</c:v>
                </c:pt>
                <c:pt idx="62">
                  <c:v>0.35891169762137504</c:v>
                </c:pt>
                <c:pt idx="63">
                  <c:v>0.3629846855653307</c:v>
                </c:pt>
                <c:pt idx="64">
                  <c:v>0.36217008797653955</c:v>
                </c:pt>
                <c:pt idx="65">
                  <c:v>0.36092103834039313</c:v>
                </c:pt>
                <c:pt idx="66">
                  <c:v>0.37107635494732266</c:v>
                </c:pt>
                <c:pt idx="67">
                  <c:v>0.36195286195286192</c:v>
                </c:pt>
                <c:pt idx="68">
                  <c:v>0.36591723688497879</c:v>
                </c:pt>
                <c:pt idx="69">
                  <c:v>0.36515694580210706</c:v>
                </c:pt>
                <c:pt idx="70">
                  <c:v>0.35348104702943411</c:v>
                </c:pt>
                <c:pt idx="71">
                  <c:v>0.35972629521016614</c:v>
                </c:pt>
                <c:pt idx="72">
                  <c:v>0.35717388943195394</c:v>
                </c:pt>
                <c:pt idx="73">
                  <c:v>0.35755403497338978</c:v>
                </c:pt>
                <c:pt idx="74">
                  <c:v>0.35434995112414464</c:v>
                </c:pt>
                <c:pt idx="75">
                  <c:v>0.35918323015097209</c:v>
                </c:pt>
                <c:pt idx="76">
                  <c:v>0.34864776800260672</c:v>
                </c:pt>
                <c:pt idx="77">
                  <c:v>0.35429564461822527</c:v>
                </c:pt>
                <c:pt idx="78">
                  <c:v>0.3451178451178451</c:v>
                </c:pt>
                <c:pt idx="79">
                  <c:v>0.35983490822200498</c:v>
                </c:pt>
                <c:pt idx="80">
                  <c:v>0.34772455740197672</c:v>
                </c:pt>
              </c:numCache>
            </c:numRef>
          </c:yVal>
        </c:ser>
        <c:axId val="154233472"/>
        <c:axId val="154247552"/>
      </c:scatterChart>
      <c:valAx>
        <c:axId val="154233472"/>
        <c:scaling>
          <c:orientation val="minMax"/>
          <c:max val="80"/>
          <c:min val="0"/>
        </c:scaling>
        <c:axPos val="b"/>
        <c:minorGridlines/>
        <c:numFmt formatCode="0.0" sourceLinked="1"/>
        <c:tickLblPos val="nextTo"/>
        <c:crossAx val="154247552"/>
        <c:crosses val="autoZero"/>
        <c:crossBetween val="midCat"/>
      </c:valAx>
      <c:valAx>
        <c:axId val="154247552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54233472"/>
        <c:crosses val="autoZero"/>
        <c:crossBetween val="midCat"/>
        <c:majorUnit val="0.1"/>
        <c:minorUnit val="0.05"/>
      </c:valAx>
    </c:plotArea>
    <c:legend>
      <c:legendPos val="r"/>
      <c:layout>
        <c:manualLayout>
          <c:xMode val="edge"/>
          <c:yMode val="edge"/>
          <c:x val="0.84425090079436249"/>
          <c:y val="0.32421819267640872"/>
          <c:w val="0.13440813913969951"/>
          <c:h val="0.35156317292941602"/>
        </c:manualLayout>
      </c:layout>
      <c:txPr>
        <a:bodyPr/>
        <a:lstStyle/>
        <a:p>
          <a:pPr>
            <a:defRPr sz="800"/>
          </a:pPr>
          <a:endParaRPr lang="en-US"/>
        </a:p>
      </c:txPr>
    </c:legend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Range Tracking</a:t>
            </a:r>
            <a:endParaRPr lang="en-US"/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Calculations!$BA$6</c:f>
              <c:strCache>
                <c:ptCount val="1"/>
                <c:pt idx="0">
                  <c:v>125</c:v>
                </c:pt>
              </c:strCache>
            </c:strRef>
          </c:tx>
          <c:marker>
            <c:symbol val="none"/>
          </c:marker>
          <c:xVal>
            <c:numRef>
              <c:f>Calculations!$AR$17:$AR$77</c:f>
              <c:numCache>
                <c:formatCode>0.0</c:formatCode>
                <c:ptCount val="61"/>
                <c:pt idx="0">
                  <c:v>20</c:v>
                </c:pt>
                <c:pt idx="1">
                  <c:v>22</c:v>
                </c:pt>
                <c:pt idx="2">
                  <c:v>24</c:v>
                </c:pt>
                <c:pt idx="3">
                  <c:v>26</c:v>
                </c:pt>
                <c:pt idx="4">
                  <c:v>28</c:v>
                </c:pt>
                <c:pt idx="5">
                  <c:v>30</c:v>
                </c:pt>
                <c:pt idx="6">
                  <c:v>32</c:v>
                </c:pt>
                <c:pt idx="7">
                  <c:v>34</c:v>
                </c:pt>
                <c:pt idx="8">
                  <c:v>36</c:v>
                </c:pt>
                <c:pt idx="9">
                  <c:v>38</c:v>
                </c:pt>
                <c:pt idx="10">
                  <c:v>40</c:v>
                </c:pt>
                <c:pt idx="11">
                  <c:v>42</c:v>
                </c:pt>
                <c:pt idx="12">
                  <c:v>44</c:v>
                </c:pt>
                <c:pt idx="13">
                  <c:v>46</c:v>
                </c:pt>
                <c:pt idx="14">
                  <c:v>48</c:v>
                </c:pt>
                <c:pt idx="15">
                  <c:v>50</c:v>
                </c:pt>
                <c:pt idx="16">
                  <c:v>52</c:v>
                </c:pt>
                <c:pt idx="17">
                  <c:v>54</c:v>
                </c:pt>
                <c:pt idx="18">
                  <c:v>56</c:v>
                </c:pt>
                <c:pt idx="19">
                  <c:v>58</c:v>
                </c:pt>
                <c:pt idx="20">
                  <c:v>60</c:v>
                </c:pt>
                <c:pt idx="21">
                  <c:v>62</c:v>
                </c:pt>
                <c:pt idx="22">
                  <c:v>64</c:v>
                </c:pt>
                <c:pt idx="23">
                  <c:v>66</c:v>
                </c:pt>
                <c:pt idx="24">
                  <c:v>68</c:v>
                </c:pt>
                <c:pt idx="25">
                  <c:v>70</c:v>
                </c:pt>
                <c:pt idx="26">
                  <c:v>72</c:v>
                </c:pt>
                <c:pt idx="27">
                  <c:v>74</c:v>
                </c:pt>
                <c:pt idx="28">
                  <c:v>76</c:v>
                </c:pt>
                <c:pt idx="29">
                  <c:v>78</c:v>
                </c:pt>
                <c:pt idx="30">
                  <c:v>80</c:v>
                </c:pt>
                <c:pt idx="31">
                  <c:v>82</c:v>
                </c:pt>
                <c:pt idx="32">
                  <c:v>84</c:v>
                </c:pt>
                <c:pt idx="33">
                  <c:v>86</c:v>
                </c:pt>
                <c:pt idx="34">
                  <c:v>88</c:v>
                </c:pt>
                <c:pt idx="35">
                  <c:v>90</c:v>
                </c:pt>
                <c:pt idx="36">
                  <c:v>92</c:v>
                </c:pt>
                <c:pt idx="37">
                  <c:v>94</c:v>
                </c:pt>
                <c:pt idx="38">
                  <c:v>96</c:v>
                </c:pt>
                <c:pt idx="39">
                  <c:v>98</c:v>
                </c:pt>
                <c:pt idx="40">
                  <c:v>100</c:v>
                </c:pt>
                <c:pt idx="41">
                  <c:v>102</c:v>
                </c:pt>
                <c:pt idx="42">
                  <c:v>104</c:v>
                </c:pt>
                <c:pt idx="43">
                  <c:v>106</c:v>
                </c:pt>
                <c:pt idx="44">
                  <c:v>108</c:v>
                </c:pt>
                <c:pt idx="45">
                  <c:v>110</c:v>
                </c:pt>
                <c:pt idx="46">
                  <c:v>112</c:v>
                </c:pt>
                <c:pt idx="47">
                  <c:v>114</c:v>
                </c:pt>
                <c:pt idx="48">
                  <c:v>116</c:v>
                </c:pt>
                <c:pt idx="49">
                  <c:v>118</c:v>
                </c:pt>
                <c:pt idx="50">
                  <c:v>120</c:v>
                </c:pt>
                <c:pt idx="51">
                  <c:v>122</c:v>
                </c:pt>
                <c:pt idx="52">
                  <c:v>124</c:v>
                </c:pt>
                <c:pt idx="53">
                  <c:v>126</c:v>
                </c:pt>
                <c:pt idx="54">
                  <c:v>128</c:v>
                </c:pt>
                <c:pt idx="55">
                  <c:v>130</c:v>
                </c:pt>
                <c:pt idx="56">
                  <c:v>132</c:v>
                </c:pt>
                <c:pt idx="57">
                  <c:v>134</c:v>
                </c:pt>
                <c:pt idx="58">
                  <c:v>136</c:v>
                </c:pt>
                <c:pt idx="59">
                  <c:v>138</c:v>
                </c:pt>
                <c:pt idx="60">
                  <c:v>140</c:v>
                </c:pt>
              </c:numCache>
            </c:numRef>
          </c:xVal>
          <c:yVal>
            <c:numRef>
              <c:f>Calculations!$BA$17:$BA$76</c:f>
              <c:numCache>
                <c:formatCode>General</c:formatCode>
                <c:ptCount val="60"/>
                <c:pt idx="0">
                  <c:v>1.0329742586186155</c:v>
                </c:pt>
                <c:pt idx="1">
                  <c:v>1.0485176653417623</c:v>
                </c:pt>
                <c:pt idx="2">
                  <c:v>1.049565035336685</c:v>
                </c:pt>
                <c:pt idx="3">
                  <c:v>1.043322324673587</c:v>
                </c:pt>
                <c:pt idx="4">
                  <c:v>1.05693316534119</c:v>
                </c:pt>
                <c:pt idx="5">
                  <c:v>1.0863518410076751</c:v>
                </c:pt>
                <c:pt idx="6">
                  <c:v>1.1029252461522228</c:v>
                </c:pt>
                <c:pt idx="7">
                  <c:v>1.076256340891498</c:v>
                </c:pt>
                <c:pt idx="8">
                  <c:v>1.0683800105117505</c:v>
                </c:pt>
                <c:pt idx="9">
                  <c:v>1.0802727355276454</c:v>
                </c:pt>
                <c:pt idx="10">
                  <c:v>1.0902427104857848</c:v>
                </c:pt>
                <c:pt idx="11">
                  <c:v>1.1143468677816675</c:v>
                </c:pt>
                <c:pt idx="12">
                  <c:v>1.143989465935753</c:v>
                </c:pt>
                <c:pt idx="13">
                  <c:v>1.1367053432934995</c:v>
                </c:pt>
                <c:pt idx="14">
                  <c:v>1.1168901577351484</c:v>
                </c:pt>
                <c:pt idx="15">
                  <c:v>1.1169738547116963</c:v>
                </c:pt>
                <c:pt idx="16">
                  <c:v>1.112954159837346</c:v>
                </c:pt>
                <c:pt idx="17">
                  <c:v>1.1008956706542874</c:v>
                </c:pt>
                <c:pt idx="18">
                  <c:v>1.1078028303340595</c:v>
                </c:pt>
                <c:pt idx="19">
                  <c:v>1.1377582774427533</c:v>
                </c:pt>
                <c:pt idx="20">
                  <c:v>1.1328154794105891</c:v>
                </c:pt>
                <c:pt idx="21">
                  <c:v>1.1843322789112996</c:v>
                </c:pt>
                <c:pt idx="22">
                  <c:v>1.1502755314098023</c:v>
                </c:pt>
                <c:pt idx="23">
                  <c:v>1.1332944455959946</c:v>
                </c:pt>
                <c:pt idx="24">
                  <c:v>1.1161397209039683</c:v>
                </c:pt>
                <c:pt idx="25">
                  <c:v>1.1695549818781987</c:v>
                </c:pt>
                <c:pt idx="26">
                  <c:v>1.1358063841178296</c:v>
                </c:pt>
                <c:pt idx="27">
                  <c:v>1.1119787912908847</c:v>
                </c:pt>
                <c:pt idx="28">
                  <c:v>1.1439699798661944</c:v>
                </c:pt>
                <c:pt idx="29">
                  <c:v>1.1468883372579111</c:v>
                </c:pt>
                <c:pt idx="30">
                  <c:v>1.198500516596066</c:v>
                </c:pt>
                <c:pt idx="31">
                  <c:v>1.1732286038292206</c:v>
                </c:pt>
                <c:pt idx="32">
                  <c:v>1.2129631297646055</c:v>
                </c:pt>
                <c:pt idx="33">
                  <c:v>1.2910031715489176</c:v>
                </c:pt>
                <c:pt idx="34">
                  <c:v>1.2549046342027297</c:v>
                </c:pt>
                <c:pt idx="35">
                  <c:v>1.1988234713836061</c:v>
                </c:pt>
                <c:pt idx="36">
                  <c:v>1.1070894059133418</c:v>
                </c:pt>
                <c:pt idx="37">
                  <c:v>1.1392750306047468</c:v>
                </c:pt>
                <c:pt idx="38">
                  <c:v>1.1729294847546139</c:v>
                </c:pt>
                <c:pt idx="39">
                  <c:v>1.0856664937495297</c:v>
                </c:pt>
                <c:pt idx="40">
                  <c:v>1.149508560854301</c:v>
                </c:pt>
                <c:pt idx="41">
                  <c:v>1.1099817197352928</c:v>
                </c:pt>
                <c:pt idx="42">
                  <c:v>1.1805464342624654</c:v>
                </c:pt>
                <c:pt idx="43">
                  <c:v>1.1933631082069087</c:v>
                </c:pt>
                <c:pt idx="44">
                  <c:v>1.1067850489979092</c:v>
                </c:pt>
                <c:pt idx="45">
                  <c:v>1.1742366411624177</c:v>
                </c:pt>
                <c:pt idx="46">
                  <c:v>1.1123890756541315</c:v>
                </c:pt>
                <c:pt idx="47">
                  <c:v>1.2950006517031725</c:v>
                </c:pt>
                <c:pt idx="48">
                  <c:v>1.2271230914527986</c:v>
                </c:pt>
                <c:pt idx="49">
                  <c:v>1.0775589888175019</c:v>
                </c:pt>
                <c:pt idx="50">
                  <c:v>0.94210300389485779</c:v>
                </c:pt>
                <c:pt idx="51">
                  <c:v>1.0708309941077685</c:v>
                </c:pt>
                <c:pt idx="52">
                  <c:v>1.0569678294573646</c:v>
                </c:pt>
                <c:pt idx="53">
                  <c:v>1.2317356009070295</c:v>
                </c:pt>
                <c:pt idx="54">
                  <c:v>1.2972035443037977</c:v>
                </c:pt>
                <c:pt idx="55">
                  <c:v>1.1630479041916166</c:v>
                </c:pt>
                <c:pt idx="56">
                  <c:v>1.1303459630130803</c:v>
                </c:pt>
                <c:pt idx="57">
                  <c:v>1.3922126030624264</c:v>
                </c:pt>
                <c:pt idx="58">
                  <c:v>1.0951653944020363</c:v>
                </c:pt>
                <c:pt idx="59">
                  <c:v>1.1604361370716512</c:v>
                </c:pt>
              </c:numCache>
            </c:numRef>
          </c:yVal>
        </c:ser>
        <c:ser>
          <c:idx val="1"/>
          <c:order val="1"/>
          <c:tx>
            <c:strRef>
              <c:f>Calculations!$BB$6</c:f>
              <c:strCache>
                <c:ptCount val="1"/>
                <c:pt idx="0">
                  <c:v>62.5</c:v>
                </c:pt>
              </c:strCache>
            </c:strRef>
          </c:tx>
          <c:marker>
            <c:symbol val="none"/>
          </c:marker>
          <c:xVal>
            <c:numRef>
              <c:f>Calculations!$AR$17:$AR$77</c:f>
              <c:numCache>
                <c:formatCode>0.0</c:formatCode>
                <c:ptCount val="61"/>
                <c:pt idx="0">
                  <c:v>20</c:v>
                </c:pt>
                <c:pt idx="1">
                  <c:v>22</c:v>
                </c:pt>
                <c:pt idx="2">
                  <c:v>24</c:v>
                </c:pt>
                <c:pt idx="3">
                  <c:v>26</c:v>
                </c:pt>
                <c:pt idx="4">
                  <c:v>28</c:v>
                </c:pt>
                <c:pt idx="5">
                  <c:v>30</c:v>
                </c:pt>
                <c:pt idx="6">
                  <c:v>32</c:v>
                </c:pt>
                <c:pt idx="7">
                  <c:v>34</c:v>
                </c:pt>
                <c:pt idx="8">
                  <c:v>36</c:v>
                </c:pt>
                <c:pt idx="9">
                  <c:v>38</c:v>
                </c:pt>
                <c:pt idx="10">
                  <c:v>40</c:v>
                </c:pt>
                <c:pt idx="11">
                  <c:v>42</c:v>
                </c:pt>
                <c:pt idx="12">
                  <c:v>44</c:v>
                </c:pt>
                <c:pt idx="13">
                  <c:v>46</c:v>
                </c:pt>
                <c:pt idx="14">
                  <c:v>48</c:v>
                </c:pt>
                <c:pt idx="15">
                  <c:v>50</c:v>
                </c:pt>
                <c:pt idx="16">
                  <c:v>52</c:v>
                </c:pt>
                <c:pt idx="17">
                  <c:v>54</c:v>
                </c:pt>
                <c:pt idx="18">
                  <c:v>56</c:v>
                </c:pt>
                <c:pt idx="19">
                  <c:v>58</c:v>
                </c:pt>
                <c:pt idx="20">
                  <c:v>60</c:v>
                </c:pt>
                <c:pt idx="21">
                  <c:v>62</c:v>
                </c:pt>
                <c:pt idx="22">
                  <c:v>64</c:v>
                </c:pt>
                <c:pt idx="23">
                  <c:v>66</c:v>
                </c:pt>
                <c:pt idx="24">
                  <c:v>68</c:v>
                </c:pt>
                <c:pt idx="25">
                  <c:v>70</c:v>
                </c:pt>
                <c:pt idx="26">
                  <c:v>72</c:v>
                </c:pt>
                <c:pt idx="27">
                  <c:v>74</c:v>
                </c:pt>
                <c:pt idx="28">
                  <c:v>76</c:v>
                </c:pt>
                <c:pt idx="29">
                  <c:v>78</c:v>
                </c:pt>
                <c:pt idx="30">
                  <c:v>80</c:v>
                </c:pt>
                <c:pt idx="31">
                  <c:v>82</c:v>
                </c:pt>
                <c:pt idx="32">
                  <c:v>84</c:v>
                </c:pt>
                <c:pt idx="33">
                  <c:v>86</c:v>
                </c:pt>
                <c:pt idx="34">
                  <c:v>88</c:v>
                </c:pt>
                <c:pt idx="35">
                  <c:v>90</c:v>
                </c:pt>
                <c:pt idx="36">
                  <c:v>92</c:v>
                </c:pt>
                <c:pt idx="37">
                  <c:v>94</c:v>
                </c:pt>
                <c:pt idx="38">
                  <c:v>96</c:v>
                </c:pt>
                <c:pt idx="39">
                  <c:v>98</c:v>
                </c:pt>
                <c:pt idx="40">
                  <c:v>100</c:v>
                </c:pt>
                <c:pt idx="41">
                  <c:v>102</c:v>
                </c:pt>
                <c:pt idx="42">
                  <c:v>104</c:v>
                </c:pt>
                <c:pt idx="43">
                  <c:v>106</c:v>
                </c:pt>
                <c:pt idx="44">
                  <c:v>108</c:v>
                </c:pt>
                <c:pt idx="45">
                  <c:v>110</c:v>
                </c:pt>
                <c:pt idx="46">
                  <c:v>112</c:v>
                </c:pt>
                <c:pt idx="47">
                  <c:v>114</c:v>
                </c:pt>
                <c:pt idx="48">
                  <c:v>116</c:v>
                </c:pt>
                <c:pt idx="49">
                  <c:v>118</c:v>
                </c:pt>
                <c:pt idx="50">
                  <c:v>120</c:v>
                </c:pt>
                <c:pt idx="51">
                  <c:v>122</c:v>
                </c:pt>
                <c:pt idx="52">
                  <c:v>124</c:v>
                </c:pt>
                <c:pt idx="53">
                  <c:v>126</c:v>
                </c:pt>
                <c:pt idx="54">
                  <c:v>128</c:v>
                </c:pt>
                <c:pt idx="55">
                  <c:v>130</c:v>
                </c:pt>
                <c:pt idx="56">
                  <c:v>132</c:v>
                </c:pt>
                <c:pt idx="57">
                  <c:v>134</c:v>
                </c:pt>
                <c:pt idx="58">
                  <c:v>136</c:v>
                </c:pt>
                <c:pt idx="59">
                  <c:v>138</c:v>
                </c:pt>
                <c:pt idx="60">
                  <c:v>140</c:v>
                </c:pt>
              </c:numCache>
            </c:numRef>
          </c:xVal>
          <c:yVal>
            <c:numRef>
              <c:f>Calculations!$BB$17:$BB$77</c:f>
              <c:numCache>
                <c:formatCode>General</c:formatCode>
                <c:ptCount val="61"/>
                <c:pt idx="0">
                  <c:v>1.3660820403339198</c:v>
                </c:pt>
                <c:pt idx="1">
                  <c:v>1.38870873250564</c:v>
                </c:pt>
                <c:pt idx="2">
                  <c:v>1.4072671729735828</c:v>
                </c:pt>
                <c:pt idx="3">
                  <c:v>1.4624064246487094</c:v>
                </c:pt>
                <c:pt idx="4">
                  <c:v>1.5176549839903923</c:v>
                </c:pt>
                <c:pt idx="5">
                  <c:v>1.5159390915060211</c:v>
                </c:pt>
                <c:pt idx="6">
                  <c:v>1.5062817764874055</c:v>
                </c:pt>
                <c:pt idx="7">
                  <c:v>1.5682961814298082</c:v>
                </c:pt>
                <c:pt idx="8">
                  <c:v>1.6080163905544871</c:v>
                </c:pt>
                <c:pt idx="9">
                  <c:v>1.6016561905680369</c:v>
                </c:pt>
                <c:pt idx="10">
                  <c:v>1.573899660909561</c:v>
                </c:pt>
                <c:pt idx="11">
                  <c:v>1.54149147635233</c:v>
                </c:pt>
                <c:pt idx="12">
                  <c:v>1.5345766512031289</c:v>
                </c:pt>
                <c:pt idx="13">
                  <c:v>1.5126947705174916</c:v>
                </c:pt>
                <c:pt idx="14">
                  <c:v>1.4844796265268694</c:v>
                </c:pt>
                <c:pt idx="15">
                  <c:v>1.4753612384762829</c:v>
                </c:pt>
                <c:pt idx="16">
                  <c:v>1.4635910108099541</c:v>
                </c:pt>
                <c:pt idx="17">
                  <c:v>1.4170471608938091</c:v>
                </c:pt>
                <c:pt idx="18">
                  <c:v>1.4280977211509884</c:v>
                </c:pt>
                <c:pt idx="19">
                  <c:v>1.3903445059591935</c:v>
                </c:pt>
                <c:pt idx="20">
                  <c:v>1.3571674878099511</c:v>
                </c:pt>
                <c:pt idx="21">
                  <c:v>1.3023959556685571</c:v>
                </c:pt>
                <c:pt idx="22">
                  <c:v>1.3018203856739499</c:v>
                </c:pt>
                <c:pt idx="23">
                  <c:v>1.2851816477723168</c:v>
                </c:pt>
                <c:pt idx="24">
                  <c:v>1.2496831892335631</c:v>
                </c:pt>
                <c:pt idx="25">
                  <c:v>1.2378240866497969</c:v>
                </c:pt>
                <c:pt idx="26">
                  <c:v>1.2287912521666235</c:v>
                </c:pt>
                <c:pt idx="27">
                  <c:v>1.2174455428350301</c:v>
                </c:pt>
                <c:pt idx="28">
                  <c:v>1.2066328193463516</c:v>
                </c:pt>
                <c:pt idx="29">
                  <c:v>1.1468445517536821</c:v>
                </c:pt>
                <c:pt idx="30">
                  <c:v>1.0911691356513222</c:v>
                </c:pt>
                <c:pt idx="31">
                  <c:v>1.1257508215545944</c:v>
                </c:pt>
                <c:pt idx="32">
                  <c:v>1.0379844917064356</c:v>
                </c:pt>
                <c:pt idx="33">
                  <c:v>0.94398159252903169</c:v>
                </c:pt>
                <c:pt idx="34">
                  <c:v>0.92642616871477135</c:v>
                </c:pt>
                <c:pt idx="35">
                  <c:v>0.96503089369485562</c:v>
                </c:pt>
                <c:pt idx="36">
                  <c:v>0.96507932403175356</c:v>
                </c:pt>
                <c:pt idx="37">
                  <c:v>0.92519619587851565</c:v>
                </c:pt>
                <c:pt idx="38">
                  <c:v>0.87858151161346432</c:v>
                </c:pt>
                <c:pt idx="39">
                  <c:v>0.84580283286907798</c:v>
                </c:pt>
                <c:pt idx="40">
                  <c:v>0.83227319493485941</c:v>
                </c:pt>
                <c:pt idx="41">
                  <c:v>0.8452862036815797</c:v>
                </c:pt>
                <c:pt idx="42">
                  <c:v>0.79643795967537412</c:v>
                </c:pt>
                <c:pt idx="43">
                  <c:v>0.71381937026456366</c:v>
                </c:pt>
                <c:pt idx="44">
                  <c:v>0.73538861544362055</c:v>
                </c:pt>
                <c:pt idx="45">
                  <c:v>0.71551215738284724</c:v>
                </c:pt>
                <c:pt idx="46">
                  <c:v>0.67649466181189832</c:v>
                </c:pt>
                <c:pt idx="47">
                  <c:v>0.58704344764237604</c:v>
                </c:pt>
                <c:pt idx="48">
                  <c:v>0.59516251890120975</c:v>
                </c:pt>
                <c:pt idx="49">
                  <c:v>0.61204619202089883</c:v>
                </c:pt>
                <c:pt idx="50">
                  <c:v>0.63932537546933665</c:v>
                </c:pt>
                <c:pt idx="51">
                  <c:v>0.62976823639746837</c:v>
                </c:pt>
                <c:pt idx="52">
                  <c:v>0.58048341475957832</c:v>
                </c:pt>
                <c:pt idx="53">
                  <c:v>0.4963660921018781</c:v>
                </c:pt>
                <c:pt idx="54">
                  <c:v>0.43950279755849447</c:v>
                </c:pt>
                <c:pt idx="55">
                  <c:v>0.49527441011602147</c:v>
                </c:pt>
                <c:pt idx="56">
                  <c:v>0.48569729594391614</c:v>
                </c:pt>
                <c:pt idx="57">
                  <c:v>0.38621003379256563</c:v>
                </c:pt>
                <c:pt idx="58">
                  <c:v>0.43249401928844711</c:v>
                </c:pt>
                <c:pt idx="59">
                  <c:v>0.43648018648018649</c:v>
                </c:pt>
                <c:pt idx="60">
                  <c:v>0.45349415568266604</c:v>
                </c:pt>
              </c:numCache>
            </c:numRef>
          </c:yVal>
        </c:ser>
        <c:ser>
          <c:idx val="2"/>
          <c:order val="2"/>
          <c:tx>
            <c:strRef>
              <c:f>Calculations!$BC$6</c:f>
              <c:strCache>
                <c:ptCount val="1"/>
                <c:pt idx="0">
                  <c:v>31.25</c:v>
                </c:pt>
              </c:strCache>
            </c:strRef>
          </c:tx>
          <c:marker>
            <c:symbol val="none"/>
          </c:marker>
          <c:xVal>
            <c:numRef>
              <c:f>Calculations!$AR$17:$AR$77</c:f>
              <c:numCache>
                <c:formatCode>0.0</c:formatCode>
                <c:ptCount val="61"/>
                <c:pt idx="0">
                  <c:v>20</c:v>
                </c:pt>
                <c:pt idx="1">
                  <c:v>22</c:v>
                </c:pt>
                <c:pt idx="2">
                  <c:v>24</c:v>
                </c:pt>
                <c:pt idx="3">
                  <c:v>26</c:v>
                </c:pt>
                <c:pt idx="4">
                  <c:v>28</c:v>
                </c:pt>
                <c:pt idx="5">
                  <c:v>30</c:v>
                </c:pt>
                <c:pt idx="6">
                  <c:v>32</c:v>
                </c:pt>
                <c:pt idx="7">
                  <c:v>34</c:v>
                </c:pt>
                <c:pt idx="8">
                  <c:v>36</c:v>
                </c:pt>
                <c:pt idx="9">
                  <c:v>38</c:v>
                </c:pt>
                <c:pt idx="10">
                  <c:v>40</c:v>
                </c:pt>
                <c:pt idx="11">
                  <c:v>42</c:v>
                </c:pt>
                <c:pt idx="12">
                  <c:v>44</c:v>
                </c:pt>
                <c:pt idx="13">
                  <c:v>46</c:v>
                </c:pt>
                <c:pt idx="14">
                  <c:v>48</c:v>
                </c:pt>
                <c:pt idx="15">
                  <c:v>50</c:v>
                </c:pt>
                <c:pt idx="16">
                  <c:v>52</c:v>
                </c:pt>
                <c:pt idx="17">
                  <c:v>54</c:v>
                </c:pt>
                <c:pt idx="18">
                  <c:v>56</c:v>
                </c:pt>
                <c:pt idx="19">
                  <c:v>58</c:v>
                </c:pt>
                <c:pt idx="20">
                  <c:v>60</c:v>
                </c:pt>
                <c:pt idx="21">
                  <c:v>62</c:v>
                </c:pt>
                <c:pt idx="22">
                  <c:v>64</c:v>
                </c:pt>
                <c:pt idx="23">
                  <c:v>66</c:v>
                </c:pt>
                <c:pt idx="24">
                  <c:v>68</c:v>
                </c:pt>
                <c:pt idx="25">
                  <c:v>70</c:v>
                </c:pt>
                <c:pt idx="26">
                  <c:v>72</c:v>
                </c:pt>
                <c:pt idx="27">
                  <c:v>74</c:v>
                </c:pt>
                <c:pt idx="28">
                  <c:v>76</c:v>
                </c:pt>
                <c:pt idx="29">
                  <c:v>78</c:v>
                </c:pt>
                <c:pt idx="30">
                  <c:v>80</c:v>
                </c:pt>
                <c:pt idx="31">
                  <c:v>82</c:v>
                </c:pt>
                <c:pt idx="32">
                  <c:v>84</c:v>
                </c:pt>
                <c:pt idx="33">
                  <c:v>86</c:v>
                </c:pt>
                <c:pt idx="34">
                  <c:v>88</c:v>
                </c:pt>
                <c:pt idx="35">
                  <c:v>90</c:v>
                </c:pt>
                <c:pt idx="36">
                  <c:v>92</c:v>
                </c:pt>
                <c:pt idx="37">
                  <c:v>94</c:v>
                </c:pt>
                <c:pt idx="38">
                  <c:v>96</c:v>
                </c:pt>
                <c:pt idx="39">
                  <c:v>98</c:v>
                </c:pt>
                <c:pt idx="40">
                  <c:v>100</c:v>
                </c:pt>
                <c:pt idx="41">
                  <c:v>102</c:v>
                </c:pt>
                <c:pt idx="42">
                  <c:v>104</c:v>
                </c:pt>
                <c:pt idx="43">
                  <c:v>106</c:v>
                </c:pt>
                <c:pt idx="44">
                  <c:v>108</c:v>
                </c:pt>
                <c:pt idx="45">
                  <c:v>110</c:v>
                </c:pt>
                <c:pt idx="46">
                  <c:v>112</c:v>
                </c:pt>
                <c:pt idx="47">
                  <c:v>114</c:v>
                </c:pt>
                <c:pt idx="48">
                  <c:v>116</c:v>
                </c:pt>
                <c:pt idx="49">
                  <c:v>118</c:v>
                </c:pt>
                <c:pt idx="50">
                  <c:v>120</c:v>
                </c:pt>
                <c:pt idx="51">
                  <c:v>122</c:v>
                </c:pt>
                <c:pt idx="52">
                  <c:v>124</c:v>
                </c:pt>
                <c:pt idx="53">
                  <c:v>126</c:v>
                </c:pt>
                <c:pt idx="54">
                  <c:v>128</c:v>
                </c:pt>
                <c:pt idx="55">
                  <c:v>130</c:v>
                </c:pt>
                <c:pt idx="56">
                  <c:v>132</c:v>
                </c:pt>
                <c:pt idx="57">
                  <c:v>134</c:v>
                </c:pt>
                <c:pt idx="58">
                  <c:v>136</c:v>
                </c:pt>
                <c:pt idx="59">
                  <c:v>138</c:v>
                </c:pt>
                <c:pt idx="60">
                  <c:v>140</c:v>
                </c:pt>
              </c:numCache>
            </c:numRef>
          </c:xVal>
          <c:yVal>
            <c:numRef>
              <c:f>Calculations!$BC$17:$BC$77</c:f>
              <c:numCache>
                <c:formatCode>General</c:formatCode>
                <c:ptCount val="61"/>
                <c:pt idx="0">
                  <c:v>0.76086146082302919</c:v>
                </c:pt>
                <c:pt idx="1">
                  <c:v>0.75580062958235528</c:v>
                </c:pt>
                <c:pt idx="2">
                  <c:v>0.75703627115420313</c:v>
                </c:pt>
                <c:pt idx="3">
                  <c:v>0.73272332943773466</c:v>
                </c:pt>
                <c:pt idx="4">
                  <c:v>0.70405878258505905</c:v>
                </c:pt>
                <c:pt idx="5">
                  <c:v>0.73041525681331743</c:v>
                </c:pt>
                <c:pt idx="6">
                  <c:v>0.75528179044814292</c:v>
                </c:pt>
                <c:pt idx="7">
                  <c:v>0.74266784024932131</c:v>
                </c:pt>
                <c:pt idx="8">
                  <c:v>0.72589185062517425</c:v>
                </c:pt>
                <c:pt idx="9">
                  <c:v>0.734309478270184</c:v>
                </c:pt>
                <c:pt idx="10">
                  <c:v>0.74845019308557359</c:v>
                </c:pt>
                <c:pt idx="11">
                  <c:v>0.74670581706927075</c:v>
                </c:pt>
                <c:pt idx="12">
                  <c:v>0.73580725459148755</c:v>
                </c:pt>
                <c:pt idx="13">
                  <c:v>0.75303328226892374</c:v>
                </c:pt>
                <c:pt idx="14">
                  <c:v>0.76542405970906446</c:v>
                </c:pt>
                <c:pt idx="15">
                  <c:v>0.76769245722245594</c:v>
                </c:pt>
                <c:pt idx="16">
                  <c:v>0.79390425038146939</c:v>
                </c:pt>
                <c:pt idx="17">
                  <c:v>0.81232882451210542</c:v>
                </c:pt>
                <c:pt idx="18">
                  <c:v>0.80861182076679428</c:v>
                </c:pt>
                <c:pt idx="19">
                  <c:v>0.78878924235910008</c:v>
                </c:pt>
                <c:pt idx="20">
                  <c:v>0.82530883335782479</c:v>
                </c:pt>
                <c:pt idx="21">
                  <c:v>0.84564083876541263</c:v>
                </c:pt>
                <c:pt idx="22">
                  <c:v>0.8489170816631505</c:v>
                </c:pt>
                <c:pt idx="23">
                  <c:v>0.88036309729703022</c:v>
                </c:pt>
                <c:pt idx="24">
                  <c:v>0.89323687211781622</c:v>
                </c:pt>
                <c:pt idx="25">
                  <c:v>0.86342547885075815</c:v>
                </c:pt>
                <c:pt idx="26">
                  <c:v>0.85413127142021228</c:v>
                </c:pt>
                <c:pt idx="27">
                  <c:v>0.90764483883413438</c:v>
                </c:pt>
                <c:pt idx="28">
                  <c:v>0.91165904010758358</c:v>
                </c:pt>
                <c:pt idx="29">
                  <c:v>0.92238476910613021</c:v>
                </c:pt>
                <c:pt idx="30">
                  <c:v>0.86787440896775225</c:v>
                </c:pt>
                <c:pt idx="31">
                  <c:v>0.88122841883447156</c:v>
                </c:pt>
                <c:pt idx="32">
                  <c:v>0.91783556717881687</c:v>
                </c:pt>
                <c:pt idx="33">
                  <c:v>0.94415700437890659</c:v>
                </c:pt>
                <c:pt idx="34">
                  <c:v>0.94900559363127868</c:v>
                </c:pt>
                <c:pt idx="35">
                  <c:v>0.94568852552307603</c:v>
                </c:pt>
                <c:pt idx="36">
                  <c:v>0.94450440215847775</c:v>
                </c:pt>
                <c:pt idx="37">
                  <c:v>0.90591421717940879</c:v>
                </c:pt>
                <c:pt idx="38">
                  <c:v>0.93292647598447231</c:v>
                </c:pt>
                <c:pt idx="39">
                  <c:v>0.9894284526778292</c:v>
                </c:pt>
                <c:pt idx="40">
                  <c:v>0.97086116200721084</c:v>
                </c:pt>
                <c:pt idx="41">
                  <c:v>0.96499328940209139</c:v>
                </c:pt>
                <c:pt idx="42">
                  <c:v>0.95230044680594128</c:v>
                </c:pt>
                <c:pt idx="43">
                  <c:v>0.97787404603332029</c:v>
                </c:pt>
                <c:pt idx="44">
                  <c:v>0.95303076454462377</c:v>
                </c:pt>
                <c:pt idx="45">
                  <c:v>0.97879705755084356</c:v>
                </c:pt>
                <c:pt idx="46">
                  <c:v>0.97728277914036421</c:v>
                </c:pt>
                <c:pt idx="47">
                  <c:v>0.99326872389603016</c:v>
                </c:pt>
                <c:pt idx="48">
                  <c:v>0.98755599800895955</c:v>
                </c:pt>
                <c:pt idx="49">
                  <c:v>0.98533403452329382</c:v>
                </c:pt>
                <c:pt idx="50">
                  <c:v>0.9837074732219806</c:v>
                </c:pt>
                <c:pt idx="51">
                  <c:v>1.0041579876434243</c:v>
                </c:pt>
                <c:pt idx="52">
                  <c:v>1.0087542960897475</c:v>
                </c:pt>
                <c:pt idx="53">
                  <c:v>0.99692228776609371</c:v>
                </c:pt>
                <c:pt idx="54">
                  <c:v>1.0107319581003789</c:v>
                </c:pt>
                <c:pt idx="55">
                  <c:v>0.98933837754180809</c:v>
                </c:pt>
                <c:pt idx="56">
                  <c:v>1.0020279734899957</c:v>
                </c:pt>
                <c:pt idx="57">
                  <c:v>0.98947594041367493</c:v>
                </c:pt>
                <c:pt idx="58">
                  <c:v>1.0114459992367384</c:v>
                </c:pt>
                <c:pt idx="59">
                  <c:v>0.98436304920540485</c:v>
                </c:pt>
                <c:pt idx="60">
                  <c:v>1.0590171849965979</c:v>
                </c:pt>
              </c:numCache>
            </c:numRef>
          </c:yVal>
        </c:ser>
        <c:axId val="155072000"/>
        <c:axId val="155073536"/>
      </c:scatterChart>
      <c:valAx>
        <c:axId val="155072000"/>
        <c:scaling>
          <c:orientation val="minMax"/>
          <c:max val="60"/>
          <c:min val="15"/>
        </c:scaling>
        <c:axPos val="b"/>
        <c:numFmt formatCode="General" sourceLinked="0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155073536"/>
        <c:crosses val="autoZero"/>
        <c:crossBetween val="midCat"/>
        <c:majorUnit val="5"/>
        <c:minorUnit val="1"/>
      </c:valAx>
      <c:valAx>
        <c:axId val="155073536"/>
        <c:scaling>
          <c:orientation val="minMax"/>
          <c:max val="4"/>
          <c:min val="1"/>
        </c:scaling>
        <c:axPos val="l"/>
        <c:majorGridlines/>
        <c:numFmt formatCode="General" sourceLinked="1"/>
        <c:tickLblPos val="nextTo"/>
        <c:crossAx val="15507200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100" b="1" i="0" baseline="0"/>
              <a:t>Grey Card 10% Distance (mm) Distribution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cat>
            <c:numRef>
              <c:f>Calculations!$I$27:$I$35</c:f>
              <c:numCache>
                <c:formatCode>0.0</c:formatCode>
                <c:ptCount val="9"/>
                <c:pt idx="0">
                  <c:v>16.104638674372218</c:v>
                </c:pt>
                <c:pt idx="1">
                  <c:v>31.0062401021491</c:v>
                </c:pt>
                <c:pt idx="2">
                  <c:v>45.907841529925982</c:v>
                </c:pt>
                <c:pt idx="3">
                  <c:v>60.809442957702863</c:v>
                </c:pt>
                <c:pt idx="4">
                  <c:v>75.711044385479738</c:v>
                </c:pt>
                <c:pt idx="5">
                  <c:v>90.61264581325662</c:v>
                </c:pt>
                <c:pt idx="6">
                  <c:v>105.5142472410335</c:v>
                </c:pt>
                <c:pt idx="7">
                  <c:v>120.41584866881038</c:v>
                </c:pt>
                <c:pt idx="8">
                  <c:v>135.31745009658727</c:v>
                </c:pt>
              </c:numCache>
            </c:numRef>
          </c:cat>
          <c:val>
            <c:numRef>
              <c:f>Calculations!$J$27:$J$35</c:f>
              <c:numCache>
                <c:formatCode>General</c:formatCode>
                <c:ptCount val="9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155108864"/>
        <c:axId val="155110400"/>
      </c:barChart>
      <c:catAx>
        <c:axId val="155108864"/>
        <c:scaling>
          <c:orientation val="minMax"/>
        </c:scaling>
        <c:axPos val="b"/>
        <c:numFmt formatCode="0.0" sourceLinked="1"/>
        <c:tickLblPos val="nextTo"/>
        <c:crossAx val="155110400"/>
        <c:crosses val="autoZero"/>
        <c:auto val="1"/>
        <c:lblAlgn val="ctr"/>
        <c:lblOffset val="100"/>
      </c:catAx>
      <c:valAx>
        <c:axId val="155110400"/>
        <c:scaling>
          <c:orientation val="minMax"/>
        </c:scaling>
        <c:axPos val="l"/>
        <c:majorGridlines/>
        <c:numFmt formatCode="General" sourceLinked="1"/>
        <c:tickLblPos val="nextTo"/>
        <c:crossAx val="155108864"/>
        <c:crosses val="autoZero"/>
        <c:crossBetween val="between"/>
      </c:valAx>
    </c:plotArea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data0!$B$2:$B$82</c:f>
              <c:numCache>
                <c:formatCode>0.000</c:formatCode>
                <c:ptCount val="81"/>
                <c:pt idx="0">
                  <c:v>0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0.999</c:v>
                </c:pt>
                <c:pt idx="15">
                  <c:v>0.999</c:v>
                </c:pt>
                <c:pt idx="16">
                  <c:v>0.999</c:v>
                </c:pt>
                <c:pt idx="17">
                  <c:v>0.999</c:v>
                </c:pt>
                <c:pt idx="18">
                  <c:v>0.999</c:v>
                </c:pt>
                <c:pt idx="19">
                  <c:v>0.999</c:v>
                </c:pt>
                <c:pt idx="20">
                  <c:v>0.999</c:v>
                </c:pt>
                <c:pt idx="21">
                  <c:v>0.999</c:v>
                </c:pt>
                <c:pt idx="22">
                  <c:v>0.999</c:v>
                </c:pt>
                <c:pt idx="23">
                  <c:v>0.999</c:v>
                </c:pt>
                <c:pt idx="24">
                  <c:v>0.999</c:v>
                </c:pt>
                <c:pt idx="25">
                  <c:v>0.999</c:v>
                </c:pt>
                <c:pt idx="26">
                  <c:v>0.999</c:v>
                </c:pt>
                <c:pt idx="27">
                  <c:v>0.999</c:v>
                </c:pt>
                <c:pt idx="28">
                  <c:v>0.999</c:v>
                </c:pt>
                <c:pt idx="29">
                  <c:v>0.999</c:v>
                </c:pt>
                <c:pt idx="30">
                  <c:v>0.999</c:v>
                </c:pt>
                <c:pt idx="31">
                  <c:v>0.999</c:v>
                </c:pt>
                <c:pt idx="32">
                  <c:v>0.999</c:v>
                </c:pt>
                <c:pt idx="33">
                  <c:v>0.999</c:v>
                </c:pt>
                <c:pt idx="34">
                  <c:v>0.999</c:v>
                </c:pt>
                <c:pt idx="35">
                  <c:v>0.999</c:v>
                </c:pt>
                <c:pt idx="36">
                  <c:v>0.999</c:v>
                </c:pt>
                <c:pt idx="37">
                  <c:v>0.999</c:v>
                </c:pt>
                <c:pt idx="38">
                  <c:v>0.999</c:v>
                </c:pt>
                <c:pt idx="39">
                  <c:v>0.999</c:v>
                </c:pt>
                <c:pt idx="40">
                  <c:v>0.999</c:v>
                </c:pt>
                <c:pt idx="41">
                  <c:v>0.999</c:v>
                </c:pt>
                <c:pt idx="42">
                  <c:v>0.999</c:v>
                </c:pt>
                <c:pt idx="43">
                  <c:v>0.999</c:v>
                </c:pt>
                <c:pt idx="44">
                  <c:v>0.97165200391006845</c:v>
                </c:pt>
                <c:pt idx="45">
                  <c:v>0.88465298142717497</c:v>
                </c:pt>
                <c:pt idx="46">
                  <c:v>0.77614858260019548</c:v>
                </c:pt>
                <c:pt idx="47">
                  <c:v>0.65689149560117299</c:v>
                </c:pt>
                <c:pt idx="48">
                  <c:v>0.6862170087976539</c:v>
                </c:pt>
                <c:pt idx="49">
                  <c:v>0.59139784946236562</c:v>
                </c:pt>
                <c:pt idx="50">
                  <c:v>0.71945259042033238</c:v>
                </c:pt>
                <c:pt idx="51">
                  <c:v>0.48875855327468232</c:v>
                </c:pt>
                <c:pt idx="52">
                  <c:v>0.53567937438905178</c:v>
                </c:pt>
                <c:pt idx="53">
                  <c:v>0.40078201368523947</c:v>
                </c:pt>
                <c:pt idx="54">
                  <c:v>0.35190615835777128</c:v>
                </c:pt>
                <c:pt idx="55">
                  <c:v>0.42913000977517107</c:v>
                </c:pt>
                <c:pt idx="56">
                  <c:v>0.40175953079178883</c:v>
                </c:pt>
                <c:pt idx="57">
                  <c:v>0.34408602150537637</c:v>
                </c:pt>
                <c:pt idx="58">
                  <c:v>0.27077223851417398</c:v>
                </c:pt>
                <c:pt idx="59">
                  <c:v>0.30205278592375367</c:v>
                </c:pt>
                <c:pt idx="60">
                  <c:v>0.26099706744868034</c:v>
                </c:pt>
                <c:pt idx="61">
                  <c:v>0.38025415444770283</c:v>
                </c:pt>
                <c:pt idx="62">
                  <c:v>0.17888563049853373</c:v>
                </c:pt>
                <c:pt idx="63">
                  <c:v>0.16520039100684261</c:v>
                </c:pt>
                <c:pt idx="64">
                  <c:v>0.22580645161290322</c:v>
                </c:pt>
                <c:pt idx="65">
                  <c:v>0.15151515151515152</c:v>
                </c:pt>
                <c:pt idx="66">
                  <c:v>0.20821114369501467</c:v>
                </c:pt>
                <c:pt idx="67">
                  <c:v>0.11730205278592376</c:v>
                </c:pt>
                <c:pt idx="68">
                  <c:v>9.0909090909090912E-2</c:v>
                </c:pt>
                <c:pt idx="69">
                  <c:v>0.21603128054740958</c:v>
                </c:pt>
                <c:pt idx="70">
                  <c:v>9.8729227761485822E-2</c:v>
                </c:pt>
                <c:pt idx="71">
                  <c:v>0.14760508308895406</c:v>
                </c:pt>
                <c:pt idx="72">
                  <c:v>0.27272727272727271</c:v>
                </c:pt>
                <c:pt idx="73">
                  <c:v>8.6999022482893457E-2</c:v>
                </c:pt>
                <c:pt idx="74">
                  <c:v>9.9706744868035185E-2</c:v>
                </c:pt>
                <c:pt idx="75">
                  <c:v>0.14760508308895406</c:v>
                </c:pt>
                <c:pt idx="76">
                  <c:v>1.466275659824047E-2</c:v>
                </c:pt>
                <c:pt idx="77">
                  <c:v>9.0909090909090912E-2</c:v>
                </c:pt>
                <c:pt idx="78">
                  <c:v>1.8572825024437929E-2</c:v>
                </c:pt>
                <c:pt idx="79">
                  <c:v>0</c:v>
                </c:pt>
                <c:pt idx="80">
                  <c:v>7.0381231671554245E-2</c:v>
                </c:pt>
              </c:numCache>
            </c:numRef>
          </c:yVal>
        </c:ser>
        <c:axId val="155212800"/>
        <c:axId val="155230976"/>
      </c:scatterChart>
      <c:valAx>
        <c:axId val="155212800"/>
        <c:scaling>
          <c:orientation val="minMax"/>
        </c:scaling>
        <c:axPos val="b"/>
        <c:numFmt formatCode="0.0" sourceLinked="1"/>
        <c:tickLblPos val="nextTo"/>
        <c:crossAx val="155230976"/>
        <c:crosses val="autoZero"/>
        <c:crossBetween val="midCat"/>
      </c:valAx>
      <c:valAx>
        <c:axId val="155230976"/>
        <c:scaling>
          <c:orientation val="minMax"/>
        </c:scaling>
        <c:axPos val="l"/>
        <c:majorGridlines/>
        <c:numFmt formatCode="0.000" sourceLinked="1"/>
        <c:tickLblPos val="nextTo"/>
        <c:crossAx val="15521280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data1!$P$2:$P$82</c:f>
              <c:numCache>
                <c:formatCode>0.000</c:formatCode>
                <c:ptCount val="81"/>
                <c:pt idx="0">
                  <c:v>0.82697947214076251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0.999</c:v>
                </c:pt>
                <c:pt idx="15">
                  <c:v>0.999</c:v>
                </c:pt>
                <c:pt idx="16">
                  <c:v>0.999</c:v>
                </c:pt>
                <c:pt idx="17">
                  <c:v>0.999</c:v>
                </c:pt>
                <c:pt idx="18">
                  <c:v>0.999</c:v>
                </c:pt>
                <c:pt idx="19">
                  <c:v>0.91300097751710652</c:v>
                </c:pt>
                <c:pt idx="20">
                  <c:v>0.75757575757575757</c:v>
                </c:pt>
                <c:pt idx="21">
                  <c:v>0.73216031280547411</c:v>
                </c:pt>
                <c:pt idx="22">
                  <c:v>0.60508308895405671</c:v>
                </c:pt>
                <c:pt idx="23">
                  <c:v>0.59237536656891498</c:v>
                </c:pt>
                <c:pt idx="24">
                  <c:v>0.54936461388074287</c:v>
                </c:pt>
                <c:pt idx="25">
                  <c:v>0.53176930596285432</c:v>
                </c:pt>
                <c:pt idx="26">
                  <c:v>0.45161290322580644</c:v>
                </c:pt>
                <c:pt idx="27">
                  <c:v>0.41642228739002934</c:v>
                </c:pt>
                <c:pt idx="28">
                  <c:v>0.44770283479960898</c:v>
                </c:pt>
                <c:pt idx="29">
                  <c:v>0.39296187683284456</c:v>
                </c:pt>
                <c:pt idx="30">
                  <c:v>0.37536656891495601</c:v>
                </c:pt>
                <c:pt idx="31">
                  <c:v>0.34213098729227759</c:v>
                </c:pt>
                <c:pt idx="32">
                  <c:v>0.31769305962854349</c:v>
                </c:pt>
                <c:pt idx="33">
                  <c:v>0.34506353861192574</c:v>
                </c:pt>
                <c:pt idx="34">
                  <c:v>0.26979472140762462</c:v>
                </c:pt>
                <c:pt idx="35">
                  <c:v>0.26588465298142716</c:v>
                </c:pt>
                <c:pt idx="36">
                  <c:v>0.23949169110459434</c:v>
                </c:pt>
                <c:pt idx="37">
                  <c:v>0.24437927663734116</c:v>
                </c:pt>
                <c:pt idx="38">
                  <c:v>0.21407624633431085</c:v>
                </c:pt>
                <c:pt idx="39">
                  <c:v>0.1798631476050831</c:v>
                </c:pt>
                <c:pt idx="40">
                  <c:v>0.2209188660801564</c:v>
                </c:pt>
                <c:pt idx="41">
                  <c:v>0.18377321603128055</c:v>
                </c:pt>
                <c:pt idx="42">
                  <c:v>0.1466275659824047</c:v>
                </c:pt>
                <c:pt idx="43">
                  <c:v>0.16715542521994134</c:v>
                </c:pt>
                <c:pt idx="44">
                  <c:v>0.17399804496578691</c:v>
                </c:pt>
                <c:pt idx="45">
                  <c:v>0.15053763440860216</c:v>
                </c:pt>
                <c:pt idx="46">
                  <c:v>0.15542521994134897</c:v>
                </c:pt>
                <c:pt idx="47">
                  <c:v>0.15053763440860216</c:v>
                </c:pt>
                <c:pt idx="48">
                  <c:v>0.11143695014662756</c:v>
                </c:pt>
                <c:pt idx="49">
                  <c:v>8.9931573802541548E-2</c:v>
                </c:pt>
                <c:pt idx="50">
                  <c:v>0.12903225806451613</c:v>
                </c:pt>
                <c:pt idx="51">
                  <c:v>0.10166177908113391</c:v>
                </c:pt>
                <c:pt idx="52">
                  <c:v>0.10068426197458455</c:v>
                </c:pt>
                <c:pt idx="53">
                  <c:v>0.11436950146627566</c:v>
                </c:pt>
                <c:pt idx="54">
                  <c:v>7.5268817204301078E-2</c:v>
                </c:pt>
                <c:pt idx="55">
                  <c:v>0.12023460410557185</c:v>
                </c:pt>
                <c:pt idx="56">
                  <c:v>0.10654936461388075</c:v>
                </c:pt>
                <c:pt idx="57">
                  <c:v>4.3010752688172046E-2</c:v>
                </c:pt>
                <c:pt idx="58">
                  <c:v>7.7223851417399805E-2</c:v>
                </c:pt>
                <c:pt idx="59">
                  <c:v>9.579667644183773E-2</c:v>
                </c:pt>
                <c:pt idx="60">
                  <c:v>6.5493646138807426E-2</c:v>
                </c:pt>
                <c:pt idx="61">
                  <c:v>7.5268817204301078E-2</c:v>
                </c:pt>
                <c:pt idx="62">
                  <c:v>8.2111436950146624E-2</c:v>
                </c:pt>
                <c:pt idx="63">
                  <c:v>6.3538611925708699E-2</c:v>
                </c:pt>
                <c:pt idx="64">
                  <c:v>6.5493646138807426E-2</c:v>
                </c:pt>
                <c:pt idx="65">
                  <c:v>6.1583577712609971E-2</c:v>
                </c:pt>
                <c:pt idx="66">
                  <c:v>4.1055718475073312E-2</c:v>
                </c:pt>
                <c:pt idx="67">
                  <c:v>7.4291300097751714E-2</c:v>
                </c:pt>
                <c:pt idx="68">
                  <c:v>9.579667644183773E-2</c:v>
                </c:pt>
                <c:pt idx="69">
                  <c:v>1.9550342130987292E-2</c:v>
                </c:pt>
                <c:pt idx="70">
                  <c:v>6.3538611925708699E-2</c:v>
                </c:pt>
                <c:pt idx="71">
                  <c:v>6.8426197458455518E-2</c:v>
                </c:pt>
                <c:pt idx="72">
                  <c:v>6.1583577712609971E-2</c:v>
                </c:pt>
                <c:pt idx="73">
                  <c:v>4.2033235581622676E-2</c:v>
                </c:pt>
                <c:pt idx="74">
                  <c:v>4.398826979472141E-2</c:v>
                </c:pt>
                <c:pt idx="75">
                  <c:v>1.8572825024437929E-2</c:v>
                </c:pt>
                <c:pt idx="76">
                  <c:v>0</c:v>
                </c:pt>
                <c:pt idx="77">
                  <c:v>5.5718475073313782E-2</c:v>
                </c:pt>
                <c:pt idx="78">
                  <c:v>6.647116324535679E-2</c:v>
                </c:pt>
                <c:pt idx="79">
                  <c:v>3.5190615835777123E-2</c:v>
                </c:pt>
                <c:pt idx="80">
                  <c:v>5.865102639296188E-2</c:v>
                </c:pt>
              </c:numCache>
            </c:numRef>
          </c:yVal>
        </c:ser>
        <c:axId val="155366528"/>
        <c:axId val="155368064"/>
      </c:scatterChart>
      <c:valAx>
        <c:axId val="155366528"/>
        <c:scaling>
          <c:orientation val="minMax"/>
        </c:scaling>
        <c:axPos val="b"/>
        <c:numFmt formatCode="0.0" sourceLinked="1"/>
        <c:tickLblPos val="nextTo"/>
        <c:crossAx val="155368064"/>
        <c:crosses val="autoZero"/>
        <c:crossBetween val="midCat"/>
      </c:valAx>
      <c:valAx>
        <c:axId val="155368064"/>
        <c:scaling>
          <c:orientation val="minMax"/>
        </c:scaling>
        <c:axPos val="l"/>
        <c:majorGridlines/>
        <c:numFmt formatCode="0.000" sourceLinked="1"/>
        <c:tickLblPos val="nextTo"/>
        <c:crossAx val="15536652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50"/>
              <a:t>0mm</a:t>
            </a:r>
            <a:endParaRPr lang="en-US"/>
          </a:p>
        </c:rich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data2!$B$2:$B$82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0.999</c:v>
                </c:pt>
                <c:pt idx="15">
                  <c:v>0.999</c:v>
                </c:pt>
                <c:pt idx="16">
                  <c:v>0.999</c:v>
                </c:pt>
                <c:pt idx="17">
                  <c:v>0.999</c:v>
                </c:pt>
                <c:pt idx="18">
                  <c:v>0.999</c:v>
                </c:pt>
                <c:pt idx="19">
                  <c:v>0.999</c:v>
                </c:pt>
                <c:pt idx="20">
                  <c:v>0.999</c:v>
                </c:pt>
                <c:pt idx="21">
                  <c:v>0.999</c:v>
                </c:pt>
                <c:pt idx="22">
                  <c:v>0.999</c:v>
                </c:pt>
                <c:pt idx="23">
                  <c:v>0.999</c:v>
                </c:pt>
                <c:pt idx="24">
                  <c:v>0.999</c:v>
                </c:pt>
                <c:pt idx="25">
                  <c:v>0.999</c:v>
                </c:pt>
                <c:pt idx="26">
                  <c:v>0.96480938416422291</c:v>
                </c:pt>
                <c:pt idx="27">
                  <c:v>0.999</c:v>
                </c:pt>
                <c:pt idx="28">
                  <c:v>0.999</c:v>
                </c:pt>
                <c:pt idx="29">
                  <c:v>0.999</c:v>
                </c:pt>
                <c:pt idx="30">
                  <c:v>0.94232649071358754</c:v>
                </c:pt>
                <c:pt idx="31">
                  <c:v>0.88172043010752688</c:v>
                </c:pt>
                <c:pt idx="32">
                  <c:v>0.87781036168132942</c:v>
                </c:pt>
                <c:pt idx="33">
                  <c:v>0.96285434995112418</c:v>
                </c:pt>
                <c:pt idx="34">
                  <c:v>0.87390029325513197</c:v>
                </c:pt>
                <c:pt idx="35">
                  <c:v>0.8621700879765396</c:v>
                </c:pt>
                <c:pt idx="36">
                  <c:v>0.80645161290322576</c:v>
                </c:pt>
                <c:pt idx="37">
                  <c:v>0.82697947214076251</c:v>
                </c:pt>
                <c:pt idx="38">
                  <c:v>0.81818181818181823</c:v>
                </c:pt>
                <c:pt idx="39">
                  <c:v>0.80058651026392957</c:v>
                </c:pt>
                <c:pt idx="40">
                  <c:v>0.69696969696969702</c:v>
                </c:pt>
                <c:pt idx="41">
                  <c:v>0.81133919843597258</c:v>
                </c:pt>
                <c:pt idx="42">
                  <c:v>0.81720430107526887</c:v>
                </c:pt>
                <c:pt idx="43">
                  <c:v>0.86119257086999024</c:v>
                </c:pt>
                <c:pt idx="44">
                  <c:v>0.77614858260019548</c:v>
                </c:pt>
                <c:pt idx="45">
                  <c:v>0.85826001955034215</c:v>
                </c:pt>
                <c:pt idx="46">
                  <c:v>0.75562072336265884</c:v>
                </c:pt>
                <c:pt idx="47">
                  <c:v>0.72531769305962857</c:v>
                </c:pt>
                <c:pt idx="48">
                  <c:v>0.71065493646138811</c:v>
                </c:pt>
                <c:pt idx="49">
                  <c:v>0.7810361681329423</c:v>
                </c:pt>
                <c:pt idx="50">
                  <c:v>0.81231671554252194</c:v>
                </c:pt>
                <c:pt idx="51">
                  <c:v>0.77517106549364612</c:v>
                </c:pt>
                <c:pt idx="52">
                  <c:v>0.83773216031280551</c:v>
                </c:pt>
                <c:pt idx="53">
                  <c:v>0.81231671554252194</c:v>
                </c:pt>
                <c:pt idx="54">
                  <c:v>0.69696969696969702</c:v>
                </c:pt>
                <c:pt idx="55">
                  <c:v>0.72238514173998047</c:v>
                </c:pt>
                <c:pt idx="56">
                  <c:v>0.77810361681329421</c:v>
                </c:pt>
                <c:pt idx="57">
                  <c:v>0.78005865102639294</c:v>
                </c:pt>
                <c:pt idx="58">
                  <c:v>0.73411534701857284</c:v>
                </c:pt>
                <c:pt idx="59">
                  <c:v>0.7458455522971652</c:v>
                </c:pt>
                <c:pt idx="60">
                  <c:v>0.77126099706744866</c:v>
                </c:pt>
                <c:pt idx="61">
                  <c:v>0.75268817204301075</c:v>
                </c:pt>
                <c:pt idx="62">
                  <c:v>0.73998044965786902</c:v>
                </c:pt>
                <c:pt idx="63">
                  <c:v>0.7243401759530792</c:v>
                </c:pt>
                <c:pt idx="64">
                  <c:v>0.74095796676441839</c:v>
                </c:pt>
                <c:pt idx="65">
                  <c:v>0.65884652981427172</c:v>
                </c:pt>
                <c:pt idx="66">
                  <c:v>0.77223851417399803</c:v>
                </c:pt>
                <c:pt idx="67">
                  <c:v>0.6754643206256109</c:v>
                </c:pt>
                <c:pt idx="68">
                  <c:v>0.80351906158357767</c:v>
                </c:pt>
                <c:pt idx="69">
                  <c:v>0.74486803519061584</c:v>
                </c:pt>
                <c:pt idx="70">
                  <c:v>0.72825024437927666</c:v>
                </c:pt>
                <c:pt idx="71">
                  <c:v>0.67839687194525899</c:v>
                </c:pt>
                <c:pt idx="72">
                  <c:v>0.71065493646138811</c:v>
                </c:pt>
                <c:pt idx="73">
                  <c:v>0.7135874877810362</c:v>
                </c:pt>
                <c:pt idx="74">
                  <c:v>0.68426197458455518</c:v>
                </c:pt>
                <c:pt idx="75">
                  <c:v>0.75464320625610948</c:v>
                </c:pt>
                <c:pt idx="76">
                  <c:v>0.76050830889540566</c:v>
                </c:pt>
                <c:pt idx="77">
                  <c:v>0.78983382209188657</c:v>
                </c:pt>
                <c:pt idx="78">
                  <c:v>0.6754643206256109</c:v>
                </c:pt>
                <c:pt idx="79">
                  <c:v>0.74291300097751711</c:v>
                </c:pt>
                <c:pt idx="80">
                  <c:v>0.77223851417399803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data2!$C$2:$C$82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0.99413489736070382</c:v>
                </c:pt>
                <c:pt idx="13">
                  <c:v>0.82013685239491696</c:v>
                </c:pt>
                <c:pt idx="14">
                  <c:v>0.77126099706744866</c:v>
                </c:pt>
                <c:pt idx="15">
                  <c:v>0.73020527859237538</c:v>
                </c:pt>
                <c:pt idx="16">
                  <c:v>0.67937438905180836</c:v>
                </c:pt>
                <c:pt idx="17">
                  <c:v>0.65298142717497554</c:v>
                </c:pt>
                <c:pt idx="18">
                  <c:v>0.57869012707722389</c:v>
                </c:pt>
                <c:pt idx="19">
                  <c:v>0.56304985337243396</c:v>
                </c:pt>
                <c:pt idx="20">
                  <c:v>0.55229716520039096</c:v>
                </c:pt>
                <c:pt idx="21">
                  <c:v>0.51417399804496577</c:v>
                </c:pt>
                <c:pt idx="22">
                  <c:v>0.52590420332355814</c:v>
                </c:pt>
                <c:pt idx="23">
                  <c:v>0.5053763440860215</c:v>
                </c:pt>
                <c:pt idx="24">
                  <c:v>0.53372434017595305</c:v>
                </c:pt>
                <c:pt idx="25">
                  <c:v>0.45747800586510262</c:v>
                </c:pt>
                <c:pt idx="26">
                  <c:v>0.4731182795698925</c:v>
                </c:pt>
                <c:pt idx="27">
                  <c:v>0.47018572825024441</c:v>
                </c:pt>
                <c:pt idx="28">
                  <c:v>0.48778103616813295</c:v>
                </c:pt>
                <c:pt idx="29">
                  <c:v>0.49560117302052786</c:v>
                </c:pt>
                <c:pt idx="30">
                  <c:v>0.48093841642228741</c:v>
                </c:pt>
                <c:pt idx="31">
                  <c:v>0.3675464320625611</c:v>
                </c:pt>
                <c:pt idx="32">
                  <c:v>0.47214076246334313</c:v>
                </c:pt>
                <c:pt idx="33">
                  <c:v>0.44770283479960898</c:v>
                </c:pt>
                <c:pt idx="34">
                  <c:v>0.45845552297165199</c:v>
                </c:pt>
                <c:pt idx="35">
                  <c:v>0.43597262952101662</c:v>
                </c:pt>
                <c:pt idx="36">
                  <c:v>0.43890518084066471</c:v>
                </c:pt>
                <c:pt idx="37">
                  <c:v>0.44574780058651026</c:v>
                </c:pt>
                <c:pt idx="38">
                  <c:v>0.43499511241446726</c:v>
                </c:pt>
                <c:pt idx="39">
                  <c:v>0.41739980449657871</c:v>
                </c:pt>
                <c:pt idx="40">
                  <c:v>0.40860215053763443</c:v>
                </c:pt>
                <c:pt idx="41">
                  <c:v>0.45454545454545453</c:v>
                </c:pt>
                <c:pt idx="42">
                  <c:v>0.41153470185728253</c:v>
                </c:pt>
                <c:pt idx="43">
                  <c:v>0.42815249266862171</c:v>
                </c:pt>
                <c:pt idx="44">
                  <c:v>0.43695014662756598</c:v>
                </c:pt>
                <c:pt idx="45">
                  <c:v>0.42326490713587489</c:v>
                </c:pt>
                <c:pt idx="46">
                  <c:v>0.37438905180840665</c:v>
                </c:pt>
                <c:pt idx="47">
                  <c:v>0.38709677419354838</c:v>
                </c:pt>
                <c:pt idx="48">
                  <c:v>0.41446725317693062</c:v>
                </c:pt>
                <c:pt idx="49">
                  <c:v>0.4203323558162268</c:v>
                </c:pt>
                <c:pt idx="50">
                  <c:v>0.4095796676441838</c:v>
                </c:pt>
                <c:pt idx="51">
                  <c:v>0.3890518084066471</c:v>
                </c:pt>
                <c:pt idx="52">
                  <c:v>0.38025415444770283</c:v>
                </c:pt>
                <c:pt idx="53">
                  <c:v>0.35777126099706746</c:v>
                </c:pt>
                <c:pt idx="54">
                  <c:v>0.38318670576735092</c:v>
                </c:pt>
                <c:pt idx="55">
                  <c:v>0.41935483870967744</c:v>
                </c:pt>
                <c:pt idx="56">
                  <c:v>0.4027370478983382</c:v>
                </c:pt>
                <c:pt idx="57">
                  <c:v>0.44965786901270771</c:v>
                </c:pt>
                <c:pt idx="58">
                  <c:v>0.39687194525904201</c:v>
                </c:pt>
                <c:pt idx="59">
                  <c:v>0.38025415444770283</c:v>
                </c:pt>
                <c:pt idx="60">
                  <c:v>0.39687194525904201</c:v>
                </c:pt>
                <c:pt idx="61">
                  <c:v>0.41251221896383189</c:v>
                </c:pt>
                <c:pt idx="62">
                  <c:v>0.36168132942326492</c:v>
                </c:pt>
                <c:pt idx="63">
                  <c:v>0.43695014662756598</c:v>
                </c:pt>
                <c:pt idx="64">
                  <c:v>0.40078201368523947</c:v>
                </c:pt>
                <c:pt idx="65">
                  <c:v>0.42521994134897362</c:v>
                </c:pt>
                <c:pt idx="66">
                  <c:v>0.36168132942326492</c:v>
                </c:pt>
                <c:pt idx="67">
                  <c:v>0.4027370478983382</c:v>
                </c:pt>
                <c:pt idx="68">
                  <c:v>0.42130987292277616</c:v>
                </c:pt>
                <c:pt idx="69">
                  <c:v>0.39491691104594329</c:v>
                </c:pt>
                <c:pt idx="70">
                  <c:v>0.35483870967741937</c:v>
                </c:pt>
                <c:pt idx="71">
                  <c:v>0.37047898338220919</c:v>
                </c:pt>
                <c:pt idx="72">
                  <c:v>0.38709677419354838</c:v>
                </c:pt>
                <c:pt idx="73">
                  <c:v>0.40469208211143692</c:v>
                </c:pt>
                <c:pt idx="74">
                  <c:v>0.33724340175953077</c:v>
                </c:pt>
                <c:pt idx="75">
                  <c:v>0.37047898338220919</c:v>
                </c:pt>
                <c:pt idx="76">
                  <c:v>0.37732160312805474</c:v>
                </c:pt>
                <c:pt idx="77">
                  <c:v>0.38025415444770283</c:v>
                </c:pt>
                <c:pt idx="78">
                  <c:v>0.36168132942326492</c:v>
                </c:pt>
                <c:pt idx="79">
                  <c:v>0.33626588465298141</c:v>
                </c:pt>
                <c:pt idx="80">
                  <c:v>0.39589442815249265</c:v>
                </c:pt>
              </c:numCache>
            </c:numRef>
          </c:yVal>
        </c:ser>
        <c:ser>
          <c:idx val="2"/>
          <c:order val="2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data2!$D$2:$D$82</c:f>
              <c:numCache>
                <c:formatCode>0.000</c:formatCode>
                <c:ptCount val="81"/>
                <c:pt idx="0">
                  <c:v>0.68719452590420327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0.88758553274682306</c:v>
                </c:pt>
                <c:pt idx="8">
                  <c:v>0.72727272727272729</c:v>
                </c:pt>
                <c:pt idx="9">
                  <c:v>0.6109481915933529</c:v>
                </c:pt>
                <c:pt idx="10">
                  <c:v>0.55718475073313778</c:v>
                </c:pt>
                <c:pt idx="11">
                  <c:v>0.45845552297165199</c:v>
                </c:pt>
                <c:pt idx="12">
                  <c:v>0.45650048875855326</c:v>
                </c:pt>
                <c:pt idx="13">
                  <c:v>0.3890518084066471</c:v>
                </c:pt>
                <c:pt idx="14">
                  <c:v>0.34506353861192574</c:v>
                </c:pt>
                <c:pt idx="15">
                  <c:v>0.36070381231671556</c:v>
                </c:pt>
                <c:pt idx="16">
                  <c:v>0.38220918866080156</c:v>
                </c:pt>
                <c:pt idx="17">
                  <c:v>0.39002932551319647</c:v>
                </c:pt>
                <c:pt idx="18">
                  <c:v>0.30694037145650049</c:v>
                </c:pt>
                <c:pt idx="19">
                  <c:v>0.33333333333333331</c:v>
                </c:pt>
                <c:pt idx="20">
                  <c:v>0.30596285434995113</c:v>
                </c:pt>
                <c:pt idx="21">
                  <c:v>0.29521016617790813</c:v>
                </c:pt>
                <c:pt idx="22">
                  <c:v>0.28641251221896386</c:v>
                </c:pt>
                <c:pt idx="23">
                  <c:v>0.3040078201368524</c:v>
                </c:pt>
                <c:pt idx="24">
                  <c:v>0.24828934506353861</c:v>
                </c:pt>
                <c:pt idx="25">
                  <c:v>0.22678396871945258</c:v>
                </c:pt>
                <c:pt idx="26">
                  <c:v>0.2649071358748778</c:v>
                </c:pt>
                <c:pt idx="27">
                  <c:v>0.28347996089931576</c:v>
                </c:pt>
                <c:pt idx="28">
                  <c:v>0.27174975562072334</c:v>
                </c:pt>
                <c:pt idx="29">
                  <c:v>0.22971652003910067</c:v>
                </c:pt>
                <c:pt idx="30">
                  <c:v>0.21994134897360704</c:v>
                </c:pt>
                <c:pt idx="31">
                  <c:v>0.2209188660801564</c:v>
                </c:pt>
                <c:pt idx="32">
                  <c:v>0.24242424242424243</c:v>
                </c:pt>
                <c:pt idx="33">
                  <c:v>0.22385141739980449</c:v>
                </c:pt>
                <c:pt idx="34">
                  <c:v>0.18963831867057673</c:v>
                </c:pt>
                <c:pt idx="35">
                  <c:v>0.2209188660801564</c:v>
                </c:pt>
                <c:pt idx="36">
                  <c:v>0.24731182795698925</c:v>
                </c:pt>
                <c:pt idx="37">
                  <c:v>0.20625610948191594</c:v>
                </c:pt>
                <c:pt idx="38">
                  <c:v>0.20039100684261973</c:v>
                </c:pt>
                <c:pt idx="39">
                  <c:v>0.20821114369501467</c:v>
                </c:pt>
                <c:pt idx="40">
                  <c:v>0.18866080156402737</c:v>
                </c:pt>
                <c:pt idx="41">
                  <c:v>0.2013685239491691</c:v>
                </c:pt>
                <c:pt idx="42">
                  <c:v>0.21994134897360704</c:v>
                </c:pt>
                <c:pt idx="43">
                  <c:v>0.20625610948191594</c:v>
                </c:pt>
                <c:pt idx="44">
                  <c:v>0.1906158357771261</c:v>
                </c:pt>
                <c:pt idx="45">
                  <c:v>0.20430107526881722</c:v>
                </c:pt>
                <c:pt idx="46">
                  <c:v>0.20234604105571846</c:v>
                </c:pt>
                <c:pt idx="47">
                  <c:v>0.20234604105571846</c:v>
                </c:pt>
                <c:pt idx="48">
                  <c:v>0.20625610948191594</c:v>
                </c:pt>
                <c:pt idx="49">
                  <c:v>0.26099706744868034</c:v>
                </c:pt>
                <c:pt idx="50">
                  <c:v>0.19452590420332355</c:v>
                </c:pt>
                <c:pt idx="51">
                  <c:v>0.22873900293255131</c:v>
                </c:pt>
                <c:pt idx="52">
                  <c:v>0.22678396871945258</c:v>
                </c:pt>
                <c:pt idx="53">
                  <c:v>0.20821114369501467</c:v>
                </c:pt>
                <c:pt idx="54">
                  <c:v>0.20332355816226783</c:v>
                </c:pt>
                <c:pt idx="55">
                  <c:v>0.20723362658846531</c:v>
                </c:pt>
                <c:pt idx="56">
                  <c:v>0.24340175953079179</c:v>
                </c:pt>
                <c:pt idx="57">
                  <c:v>0.21896383186705767</c:v>
                </c:pt>
                <c:pt idx="58">
                  <c:v>0.21798631476050831</c:v>
                </c:pt>
                <c:pt idx="59">
                  <c:v>0.1798631476050831</c:v>
                </c:pt>
                <c:pt idx="60">
                  <c:v>0.176930596285435</c:v>
                </c:pt>
                <c:pt idx="61">
                  <c:v>0.18279569892473119</c:v>
                </c:pt>
                <c:pt idx="62">
                  <c:v>0.21994134897360704</c:v>
                </c:pt>
                <c:pt idx="63">
                  <c:v>0.16422287390029325</c:v>
                </c:pt>
                <c:pt idx="64">
                  <c:v>0.16911045943304007</c:v>
                </c:pt>
                <c:pt idx="65">
                  <c:v>0.19843597262952101</c:v>
                </c:pt>
                <c:pt idx="66">
                  <c:v>0.19452590420332355</c:v>
                </c:pt>
                <c:pt idx="67">
                  <c:v>0.16911045943304007</c:v>
                </c:pt>
                <c:pt idx="68">
                  <c:v>0.21407624633431085</c:v>
                </c:pt>
                <c:pt idx="69">
                  <c:v>0.20039100684261973</c:v>
                </c:pt>
                <c:pt idx="70">
                  <c:v>0.23069403714565004</c:v>
                </c:pt>
                <c:pt idx="71">
                  <c:v>0.2101661779081134</c:v>
                </c:pt>
                <c:pt idx="72">
                  <c:v>0.2013685239491691</c:v>
                </c:pt>
                <c:pt idx="73">
                  <c:v>0.17790811339198437</c:v>
                </c:pt>
                <c:pt idx="74">
                  <c:v>0.19550342130987292</c:v>
                </c:pt>
                <c:pt idx="75">
                  <c:v>0.20821114369501467</c:v>
                </c:pt>
                <c:pt idx="76">
                  <c:v>0.18963831867057673</c:v>
                </c:pt>
                <c:pt idx="77">
                  <c:v>0.21603128054740958</c:v>
                </c:pt>
                <c:pt idx="78">
                  <c:v>0.19159335288367546</c:v>
                </c:pt>
                <c:pt idx="79">
                  <c:v>0.21603128054740958</c:v>
                </c:pt>
                <c:pt idx="80">
                  <c:v>0.19745845552297164</c:v>
                </c:pt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data2!$E$2:$E$82</c:f>
              <c:numCache>
                <c:formatCode>0.000</c:formatCode>
                <c:ptCount val="81"/>
                <c:pt idx="0">
                  <c:v>0.37634408602150538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0.7595307917888563</c:v>
                </c:pt>
                <c:pt idx="6">
                  <c:v>0.59628543499511244</c:v>
                </c:pt>
                <c:pt idx="7">
                  <c:v>0.48093841642228741</c:v>
                </c:pt>
                <c:pt idx="8">
                  <c:v>0.38123167155425219</c:v>
                </c:pt>
                <c:pt idx="9">
                  <c:v>0.32746823069403713</c:v>
                </c:pt>
                <c:pt idx="10">
                  <c:v>0.29227761485826004</c:v>
                </c:pt>
                <c:pt idx="11">
                  <c:v>0.28445747800586513</c:v>
                </c:pt>
                <c:pt idx="12">
                  <c:v>0.23069403714565004</c:v>
                </c:pt>
                <c:pt idx="13">
                  <c:v>0.20527859237536658</c:v>
                </c:pt>
                <c:pt idx="14">
                  <c:v>0.21896383186705767</c:v>
                </c:pt>
                <c:pt idx="15">
                  <c:v>0.21505376344086022</c:v>
                </c:pt>
                <c:pt idx="16">
                  <c:v>0.19550342130987292</c:v>
                </c:pt>
                <c:pt idx="17">
                  <c:v>0.176930596285435</c:v>
                </c:pt>
                <c:pt idx="18">
                  <c:v>0.1681329423264907</c:v>
                </c:pt>
                <c:pt idx="19">
                  <c:v>0.15640273704789834</c:v>
                </c:pt>
                <c:pt idx="20">
                  <c:v>0.16226783968719452</c:v>
                </c:pt>
                <c:pt idx="21">
                  <c:v>0.1466275659824047</c:v>
                </c:pt>
                <c:pt idx="22">
                  <c:v>0.14858260019550343</c:v>
                </c:pt>
                <c:pt idx="23">
                  <c:v>0.10557184750733138</c:v>
                </c:pt>
                <c:pt idx="24">
                  <c:v>0.14369501466275661</c:v>
                </c:pt>
                <c:pt idx="25">
                  <c:v>0.14565004887585534</c:v>
                </c:pt>
                <c:pt idx="26">
                  <c:v>0.12316715542521994</c:v>
                </c:pt>
                <c:pt idx="27">
                  <c:v>0.16617790811339198</c:v>
                </c:pt>
                <c:pt idx="28">
                  <c:v>9.9706744868035185E-2</c:v>
                </c:pt>
                <c:pt idx="29">
                  <c:v>0.14173998044965788</c:v>
                </c:pt>
                <c:pt idx="30">
                  <c:v>0.11730205278592376</c:v>
                </c:pt>
                <c:pt idx="31">
                  <c:v>0.1378299120234604</c:v>
                </c:pt>
                <c:pt idx="32">
                  <c:v>0.13000977517106549</c:v>
                </c:pt>
                <c:pt idx="33">
                  <c:v>0.11143695014662756</c:v>
                </c:pt>
                <c:pt idx="34">
                  <c:v>0.14565004887585534</c:v>
                </c:pt>
                <c:pt idx="35">
                  <c:v>0.14369501466275661</c:v>
                </c:pt>
                <c:pt idx="36">
                  <c:v>0.12414467253176931</c:v>
                </c:pt>
                <c:pt idx="37">
                  <c:v>9.579667644183773E-2</c:v>
                </c:pt>
                <c:pt idx="38">
                  <c:v>0.12609970674486803</c:v>
                </c:pt>
                <c:pt idx="39">
                  <c:v>0.15933528836754643</c:v>
                </c:pt>
                <c:pt idx="40">
                  <c:v>0.14858260019550343</c:v>
                </c:pt>
                <c:pt idx="41">
                  <c:v>0.13098729227761485</c:v>
                </c:pt>
                <c:pt idx="42">
                  <c:v>0.13587487781036167</c:v>
                </c:pt>
                <c:pt idx="43">
                  <c:v>8.8954056695992184E-2</c:v>
                </c:pt>
                <c:pt idx="44">
                  <c:v>0.11730205278592376</c:v>
                </c:pt>
                <c:pt idx="45">
                  <c:v>0.10752688172043011</c:v>
                </c:pt>
                <c:pt idx="46">
                  <c:v>0.14760508308895406</c:v>
                </c:pt>
                <c:pt idx="47">
                  <c:v>0.13000977517106549</c:v>
                </c:pt>
                <c:pt idx="48">
                  <c:v>0.13391984359726294</c:v>
                </c:pt>
                <c:pt idx="49">
                  <c:v>8.3088954056695988E-2</c:v>
                </c:pt>
                <c:pt idx="50">
                  <c:v>0.12316715542521994</c:v>
                </c:pt>
                <c:pt idx="51">
                  <c:v>0.10557184750733138</c:v>
                </c:pt>
                <c:pt idx="52">
                  <c:v>0.12023460410557185</c:v>
                </c:pt>
                <c:pt idx="53">
                  <c:v>0.13978494623655913</c:v>
                </c:pt>
                <c:pt idx="54">
                  <c:v>8.6021505376344093E-2</c:v>
                </c:pt>
                <c:pt idx="55">
                  <c:v>0.13000977517106549</c:v>
                </c:pt>
                <c:pt idx="56">
                  <c:v>0.11730205278592376</c:v>
                </c:pt>
                <c:pt idx="57">
                  <c:v>0.11534701857282502</c:v>
                </c:pt>
                <c:pt idx="58">
                  <c:v>0.1270772238514174</c:v>
                </c:pt>
                <c:pt idx="59">
                  <c:v>0.13196480938416422</c:v>
                </c:pt>
                <c:pt idx="60">
                  <c:v>0.11730205278592376</c:v>
                </c:pt>
                <c:pt idx="61">
                  <c:v>0.10361681329423265</c:v>
                </c:pt>
                <c:pt idx="62">
                  <c:v>0.10166177908113391</c:v>
                </c:pt>
                <c:pt idx="63">
                  <c:v>0.11632453567937438</c:v>
                </c:pt>
                <c:pt idx="64">
                  <c:v>0.13978494623655913</c:v>
                </c:pt>
                <c:pt idx="65">
                  <c:v>9.3841642228739003E-2</c:v>
                </c:pt>
                <c:pt idx="66">
                  <c:v>0.10263929618768329</c:v>
                </c:pt>
                <c:pt idx="67">
                  <c:v>0.11143695014662756</c:v>
                </c:pt>
                <c:pt idx="68">
                  <c:v>0.10557184750733138</c:v>
                </c:pt>
                <c:pt idx="69">
                  <c:v>9.9706744868035185E-2</c:v>
                </c:pt>
                <c:pt idx="70">
                  <c:v>0.11143695014662756</c:v>
                </c:pt>
                <c:pt idx="71">
                  <c:v>0.11534701857282502</c:v>
                </c:pt>
                <c:pt idx="72">
                  <c:v>0.14467253176930597</c:v>
                </c:pt>
                <c:pt idx="73">
                  <c:v>0.12414467253176931</c:v>
                </c:pt>
                <c:pt idx="74">
                  <c:v>0.1270772238514174</c:v>
                </c:pt>
                <c:pt idx="75">
                  <c:v>0.11143695014662756</c:v>
                </c:pt>
                <c:pt idx="76">
                  <c:v>0.12023460410557185</c:v>
                </c:pt>
                <c:pt idx="77">
                  <c:v>0.11827956989247312</c:v>
                </c:pt>
                <c:pt idx="78">
                  <c:v>0.11827956989247312</c:v>
                </c:pt>
                <c:pt idx="79">
                  <c:v>7.7223851417399805E-2</c:v>
                </c:pt>
                <c:pt idx="80">
                  <c:v>0.11925708699902249</c:v>
                </c:pt>
              </c:numCache>
            </c:numRef>
          </c:yVal>
        </c:ser>
        <c:axId val="154923008"/>
        <c:axId val="154924544"/>
      </c:scatterChart>
      <c:valAx>
        <c:axId val="154923008"/>
        <c:scaling>
          <c:orientation val="minMax"/>
        </c:scaling>
        <c:axPos val="b"/>
        <c:numFmt formatCode="0.0" sourceLinked="1"/>
        <c:tickLblPos val="nextTo"/>
        <c:crossAx val="154924544"/>
        <c:crosses val="autoZero"/>
        <c:crossBetween val="midCat"/>
      </c:valAx>
      <c:valAx>
        <c:axId val="154924544"/>
        <c:scaling>
          <c:orientation val="minMax"/>
        </c:scaling>
        <c:axPos val="l"/>
        <c:majorGridlines/>
        <c:numFmt formatCode="0.000" sourceLinked="1"/>
        <c:tickLblPos val="nextTo"/>
        <c:crossAx val="154923008"/>
        <c:crosses val="autoZero"/>
        <c:crossBetween val="midCat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50"/>
              <a:t>0.1mm</a:t>
            </a:r>
            <a:endParaRPr lang="en-US"/>
          </a:p>
        </c:rich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data2!$G$2:$G$82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0.999</c:v>
                </c:pt>
                <c:pt idx="15">
                  <c:v>0.999</c:v>
                </c:pt>
                <c:pt idx="16">
                  <c:v>0.999</c:v>
                </c:pt>
                <c:pt idx="17">
                  <c:v>0.999</c:v>
                </c:pt>
                <c:pt idx="18">
                  <c:v>0.999</c:v>
                </c:pt>
                <c:pt idx="19">
                  <c:v>0.999</c:v>
                </c:pt>
                <c:pt idx="20">
                  <c:v>0.999</c:v>
                </c:pt>
                <c:pt idx="21">
                  <c:v>0.999</c:v>
                </c:pt>
                <c:pt idx="22">
                  <c:v>0.999</c:v>
                </c:pt>
                <c:pt idx="23">
                  <c:v>0.999</c:v>
                </c:pt>
                <c:pt idx="24">
                  <c:v>0.999</c:v>
                </c:pt>
                <c:pt idx="25">
                  <c:v>0.999</c:v>
                </c:pt>
                <c:pt idx="26">
                  <c:v>0.999</c:v>
                </c:pt>
                <c:pt idx="27">
                  <c:v>0.97556207233626591</c:v>
                </c:pt>
                <c:pt idx="28">
                  <c:v>0.999</c:v>
                </c:pt>
                <c:pt idx="29">
                  <c:v>0.98435972629521018</c:v>
                </c:pt>
                <c:pt idx="30">
                  <c:v>0.999</c:v>
                </c:pt>
                <c:pt idx="31">
                  <c:v>0.999</c:v>
                </c:pt>
                <c:pt idx="32">
                  <c:v>0.999</c:v>
                </c:pt>
                <c:pt idx="33">
                  <c:v>0.999</c:v>
                </c:pt>
                <c:pt idx="34">
                  <c:v>0.999</c:v>
                </c:pt>
                <c:pt idx="35">
                  <c:v>0.91397849462365588</c:v>
                </c:pt>
                <c:pt idx="36">
                  <c:v>0.95601173020527863</c:v>
                </c:pt>
                <c:pt idx="37">
                  <c:v>0.999</c:v>
                </c:pt>
                <c:pt idx="38">
                  <c:v>0.8299120234604106</c:v>
                </c:pt>
                <c:pt idx="39">
                  <c:v>0.94916911045943309</c:v>
                </c:pt>
                <c:pt idx="40">
                  <c:v>0.90322580645161288</c:v>
                </c:pt>
                <c:pt idx="41">
                  <c:v>0.81818181818181823</c:v>
                </c:pt>
                <c:pt idx="42">
                  <c:v>0.94623655913978499</c:v>
                </c:pt>
                <c:pt idx="43">
                  <c:v>0.89833822091886606</c:v>
                </c:pt>
                <c:pt idx="44">
                  <c:v>0.8944281524926686</c:v>
                </c:pt>
                <c:pt idx="45">
                  <c:v>0.83284457478005869</c:v>
                </c:pt>
                <c:pt idx="46">
                  <c:v>0.89931573802541542</c:v>
                </c:pt>
                <c:pt idx="47">
                  <c:v>0.82502443792766378</c:v>
                </c:pt>
                <c:pt idx="48">
                  <c:v>0.8299120234604106</c:v>
                </c:pt>
                <c:pt idx="49">
                  <c:v>0.94721407624633436</c:v>
                </c:pt>
                <c:pt idx="50">
                  <c:v>0.9296187683284457</c:v>
                </c:pt>
                <c:pt idx="51">
                  <c:v>0.86119257086999024</c:v>
                </c:pt>
                <c:pt idx="52">
                  <c:v>0.82306940371456505</c:v>
                </c:pt>
                <c:pt idx="53">
                  <c:v>0.91691104594330397</c:v>
                </c:pt>
                <c:pt idx="54">
                  <c:v>0.85923753665689151</c:v>
                </c:pt>
                <c:pt idx="55">
                  <c:v>0.84652981427174978</c:v>
                </c:pt>
                <c:pt idx="56">
                  <c:v>0.83284457478005869</c:v>
                </c:pt>
                <c:pt idx="57">
                  <c:v>0.83479960899315742</c:v>
                </c:pt>
                <c:pt idx="58">
                  <c:v>0.83773216031280551</c:v>
                </c:pt>
                <c:pt idx="59">
                  <c:v>0.90420332355816224</c:v>
                </c:pt>
                <c:pt idx="60">
                  <c:v>0.87683284457478006</c:v>
                </c:pt>
                <c:pt idx="61">
                  <c:v>0.8162267839687195</c:v>
                </c:pt>
                <c:pt idx="62">
                  <c:v>0.83088954056695996</c:v>
                </c:pt>
                <c:pt idx="63">
                  <c:v>0.82404692082111441</c:v>
                </c:pt>
                <c:pt idx="64">
                  <c:v>0.79276637341153466</c:v>
                </c:pt>
                <c:pt idx="65">
                  <c:v>0.78885630498533721</c:v>
                </c:pt>
                <c:pt idx="66">
                  <c:v>0.83088954056695996</c:v>
                </c:pt>
                <c:pt idx="67">
                  <c:v>0.82306940371456505</c:v>
                </c:pt>
                <c:pt idx="68">
                  <c:v>0.83088954056695996</c:v>
                </c:pt>
                <c:pt idx="69">
                  <c:v>0.86803519061583578</c:v>
                </c:pt>
                <c:pt idx="70">
                  <c:v>0.86021505376344087</c:v>
                </c:pt>
                <c:pt idx="71">
                  <c:v>0.82502443792766378</c:v>
                </c:pt>
                <c:pt idx="72">
                  <c:v>0.80938416422287385</c:v>
                </c:pt>
                <c:pt idx="73">
                  <c:v>0.80156402737047894</c:v>
                </c:pt>
                <c:pt idx="74">
                  <c:v>0.8944281524926686</c:v>
                </c:pt>
                <c:pt idx="75">
                  <c:v>0.9433040078201369</c:v>
                </c:pt>
                <c:pt idx="76">
                  <c:v>0.8621700879765396</c:v>
                </c:pt>
                <c:pt idx="77">
                  <c:v>0.90127077223851415</c:v>
                </c:pt>
                <c:pt idx="78">
                  <c:v>0.80058651026392957</c:v>
                </c:pt>
                <c:pt idx="79">
                  <c:v>0.82697947214076251</c:v>
                </c:pt>
                <c:pt idx="80">
                  <c:v>0.77614858260019548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data2!$H$2:$H$82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0.93646138807429125</c:v>
                </c:pt>
                <c:pt idx="14">
                  <c:v>0.80840664711632448</c:v>
                </c:pt>
                <c:pt idx="15">
                  <c:v>0.79569892473118276</c:v>
                </c:pt>
                <c:pt idx="16">
                  <c:v>0.74975562072336266</c:v>
                </c:pt>
                <c:pt idx="17">
                  <c:v>0.6862170087976539</c:v>
                </c:pt>
                <c:pt idx="18">
                  <c:v>0.69794721407624638</c:v>
                </c:pt>
                <c:pt idx="19">
                  <c:v>0.59139784946236562</c:v>
                </c:pt>
                <c:pt idx="20">
                  <c:v>0.55522971652003905</c:v>
                </c:pt>
                <c:pt idx="21">
                  <c:v>0.5650048875855328</c:v>
                </c:pt>
                <c:pt idx="22">
                  <c:v>0.5513196480938416</c:v>
                </c:pt>
                <c:pt idx="23">
                  <c:v>0.53372434017595305</c:v>
                </c:pt>
                <c:pt idx="24">
                  <c:v>0.56011730205278587</c:v>
                </c:pt>
                <c:pt idx="25">
                  <c:v>0.50342130987292277</c:v>
                </c:pt>
                <c:pt idx="26">
                  <c:v>0.56109481915933523</c:v>
                </c:pt>
                <c:pt idx="27">
                  <c:v>0.49266862170087977</c:v>
                </c:pt>
                <c:pt idx="28">
                  <c:v>0.52394916911045941</c:v>
                </c:pt>
                <c:pt idx="29">
                  <c:v>0.51417399804496577</c:v>
                </c:pt>
                <c:pt idx="30">
                  <c:v>0.49657869012707723</c:v>
                </c:pt>
                <c:pt idx="31">
                  <c:v>0.47605083088954059</c:v>
                </c:pt>
                <c:pt idx="32">
                  <c:v>0.43206256109481916</c:v>
                </c:pt>
                <c:pt idx="33">
                  <c:v>0.51417399804496577</c:v>
                </c:pt>
                <c:pt idx="34">
                  <c:v>0.48093841642228741</c:v>
                </c:pt>
                <c:pt idx="35">
                  <c:v>0.48289345063538613</c:v>
                </c:pt>
                <c:pt idx="36">
                  <c:v>0.43988269794721407</c:v>
                </c:pt>
                <c:pt idx="37">
                  <c:v>0.47214076246334313</c:v>
                </c:pt>
                <c:pt idx="38">
                  <c:v>0.42619745845552298</c:v>
                </c:pt>
                <c:pt idx="39">
                  <c:v>0.47018572825024441</c:v>
                </c:pt>
                <c:pt idx="40">
                  <c:v>0.42228739002932553</c:v>
                </c:pt>
                <c:pt idx="41">
                  <c:v>0.38807429130009774</c:v>
                </c:pt>
                <c:pt idx="42">
                  <c:v>0.45650048875855326</c:v>
                </c:pt>
                <c:pt idx="43">
                  <c:v>0.47996089931573804</c:v>
                </c:pt>
                <c:pt idx="44">
                  <c:v>0.45356793743890517</c:v>
                </c:pt>
                <c:pt idx="45">
                  <c:v>0.44379276637341153</c:v>
                </c:pt>
                <c:pt idx="46">
                  <c:v>0.43206256109481916</c:v>
                </c:pt>
                <c:pt idx="47">
                  <c:v>0.46041055718475071</c:v>
                </c:pt>
                <c:pt idx="48">
                  <c:v>0.47898338220918868</c:v>
                </c:pt>
                <c:pt idx="49">
                  <c:v>0.51026392961876832</c:v>
                </c:pt>
                <c:pt idx="50">
                  <c:v>0.43597262952101662</c:v>
                </c:pt>
                <c:pt idx="51">
                  <c:v>0.4203323558162268</c:v>
                </c:pt>
                <c:pt idx="52">
                  <c:v>0.41251221896383189</c:v>
                </c:pt>
                <c:pt idx="53">
                  <c:v>0.45063538611925708</c:v>
                </c:pt>
                <c:pt idx="54">
                  <c:v>0.4310850439882698</c:v>
                </c:pt>
                <c:pt idx="55">
                  <c:v>0.40762463343108507</c:v>
                </c:pt>
                <c:pt idx="56">
                  <c:v>0.41739980449657871</c:v>
                </c:pt>
                <c:pt idx="57">
                  <c:v>0.49266862170087977</c:v>
                </c:pt>
                <c:pt idx="58">
                  <c:v>0.45161290322580644</c:v>
                </c:pt>
                <c:pt idx="59">
                  <c:v>0.45161290322580644</c:v>
                </c:pt>
                <c:pt idx="60">
                  <c:v>0.43988269794721407</c:v>
                </c:pt>
                <c:pt idx="61">
                  <c:v>0.45063538611925708</c:v>
                </c:pt>
                <c:pt idx="62">
                  <c:v>0.44086021505376344</c:v>
                </c:pt>
                <c:pt idx="63">
                  <c:v>0.41446725317693062</c:v>
                </c:pt>
                <c:pt idx="64">
                  <c:v>0.43890518084066471</c:v>
                </c:pt>
                <c:pt idx="65">
                  <c:v>0.38709677419354838</c:v>
                </c:pt>
                <c:pt idx="66">
                  <c:v>0.46041055718475071</c:v>
                </c:pt>
                <c:pt idx="67">
                  <c:v>0.44672531769305962</c:v>
                </c:pt>
                <c:pt idx="68">
                  <c:v>0.41348973607038125</c:v>
                </c:pt>
                <c:pt idx="69">
                  <c:v>0.42228739002932553</c:v>
                </c:pt>
                <c:pt idx="70">
                  <c:v>0.44379276637341153</c:v>
                </c:pt>
                <c:pt idx="71">
                  <c:v>0.41153470185728253</c:v>
                </c:pt>
                <c:pt idx="72">
                  <c:v>0.38611925708699901</c:v>
                </c:pt>
                <c:pt idx="73">
                  <c:v>0.44379276637341153</c:v>
                </c:pt>
                <c:pt idx="74">
                  <c:v>0.3919843597262952</c:v>
                </c:pt>
                <c:pt idx="75">
                  <c:v>0.41348973607038125</c:v>
                </c:pt>
                <c:pt idx="76">
                  <c:v>0.39589442815249265</c:v>
                </c:pt>
                <c:pt idx="77">
                  <c:v>0.43499511241446726</c:v>
                </c:pt>
                <c:pt idx="78">
                  <c:v>0.4095796676441838</c:v>
                </c:pt>
                <c:pt idx="79">
                  <c:v>0.43597262952101662</c:v>
                </c:pt>
                <c:pt idx="80">
                  <c:v>0.41739980449657871</c:v>
                </c:pt>
              </c:numCache>
            </c:numRef>
          </c:yVal>
        </c:ser>
        <c:ser>
          <c:idx val="2"/>
          <c:order val="2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data2!$I$2:$I$82</c:f>
              <c:numCache>
                <c:formatCode>0.000</c:formatCode>
                <c:ptCount val="81"/>
                <c:pt idx="0">
                  <c:v>0.87096774193548387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0.95992179863147609</c:v>
                </c:pt>
                <c:pt idx="8">
                  <c:v>0.73998044965786902</c:v>
                </c:pt>
                <c:pt idx="9">
                  <c:v>0.65982404692082108</c:v>
                </c:pt>
                <c:pt idx="10">
                  <c:v>0.58064516129032262</c:v>
                </c:pt>
                <c:pt idx="11">
                  <c:v>0.5376344086021505</c:v>
                </c:pt>
                <c:pt idx="12">
                  <c:v>0.47214076246334313</c:v>
                </c:pt>
                <c:pt idx="13">
                  <c:v>0.4525904203323558</c:v>
                </c:pt>
                <c:pt idx="14">
                  <c:v>0.40762463343108507</c:v>
                </c:pt>
                <c:pt idx="15">
                  <c:v>0.38220918866080156</c:v>
                </c:pt>
                <c:pt idx="16">
                  <c:v>0.34408602150537637</c:v>
                </c:pt>
                <c:pt idx="17">
                  <c:v>0.3255131964809384</c:v>
                </c:pt>
                <c:pt idx="18">
                  <c:v>0.31867057673509286</c:v>
                </c:pt>
                <c:pt idx="19">
                  <c:v>0.35581622678396874</c:v>
                </c:pt>
                <c:pt idx="20">
                  <c:v>0.29618768328445749</c:v>
                </c:pt>
                <c:pt idx="21">
                  <c:v>0.27956989247311825</c:v>
                </c:pt>
                <c:pt idx="22">
                  <c:v>0.30205278592375367</c:v>
                </c:pt>
                <c:pt idx="23">
                  <c:v>0.28836754643206258</c:v>
                </c:pt>
                <c:pt idx="24">
                  <c:v>0.29521016617790813</c:v>
                </c:pt>
                <c:pt idx="25">
                  <c:v>0.27956989247311825</c:v>
                </c:pt>
                <c:pt idx="26">
                  <c:v>0.31671554252199413</c:v>
                </c:pt>
                <c:pt idx="27">
                  <c:v>0.30009775171065495</c:v>
                </c:pt>
                <c:pt idx="28">
                  <c:v>0.2316715542521994</c:v>
                </c:pt>
                <c:pt idx="29">
                  <c:v>0.25610948191593352</c:v>
                </c:pt>
                <c:pt idx="30">
                  <c:v>0.25024437927663734</c:v>
                </c:pt>
                <c:pt idx="31">
                  <c:v>0.26099706744868034</c:v>
                </c:pt>
                <c:pt idx="32">
                  <c:v>0.25024437927663734</c:v>
                </c:pt>
                <c:pt idx="33">
                  <c:v>0.2404692082111437</c:v>
                </c:pt>
                <c:pt idx="34">
                  <c:v>0.2649071358748778</c:v>
                </c:pt>
                <c:pt idx="35">
                  <c:v>0.23851417399804498</c:v>
                </c:pt>
                <c:pt idx="36">
                  <c:v>0.27761485826001953</c:v>
                </c:pt>
                <c:pt idx="37">
                  <c:v>0.2932551319648094</c:v>
                </c:pt>
                <c:pt idx="38">
                  <c:v>0.26783968719452589</c:v>
                </c:pt>
                <c:pt idx="39">
                  <c:v>0.27174975562072334</c:v>
                </c:pt>
                <c:pt idx="40">
                  <c:v>0.23851417399804498</c:v>
                </c:pt>
                <c:pt idx="41">
                  <c:v>0.24144672531769307</c:v>
                </c:pt>
                <c:pt idx="42">
                  <c:v>0.26783968719452589</c:v>
                </c:pt>
                <c:pt idx="43">
                  <c:v>0.23655913978494625</c:v>
                </c:pt>
                <c:pt idx="44">
                  <c:v>0.24437927663734116</c:v>
                </c:pt>
                <c:pt idx="45">
                  <c:v>0.24144672531769307</c:v>
                </c:pt>
                <c:pt idx="46">
                  <c:v>0.22385141739980449</c:v>
                </c:pt>
                <c:pt idx="47">
                  <c:v>0.19257086999022482</c:v>
                </c:pt>
                <c:pt idx="48">
                  <c:v>0.26392961876832843</c:v>
                </c:pt>
                <c:pt idx="49">
                  <c:v>0.25219941348973607</c:v>
                </c:pt>
                <c:pt idx="50">
                  <c:v>0.20234604105571846</c:v>
                </c:pt>
                <c:pt idx="51">
                  <c:v>0.22678396871945258</c:v>
                </c:pt>
                <c:pt idx="52">
                  <c:v>0.20723362658846531</c:v>
                </c:pt>
                <c:pt idx="53">
                  <c:v>0.24633431085043989</c:v>
                </c:pt>
                <c:pt idx="54">
                  <c:v>0.21603128054740958</c:v>
                </c:pt>
                <c:pt idx="55">
                  <c:v>0.24926686217008798</c:v>
                </c:pt>
                <c:pt idx="56">
                  <c:v>0.22678396871945258</c:v>
                </c:pt>
                <c:pt idx="57">
                  <c:v>0.2209188660801564</c:v>
                </c:pt>
                <c:pt idx="58">
                  <c:v>0.26197458455522971</c:v>
                </c:pt>
                <c:pt idx="59">
                  <c:v>0.23753665689149561</c:v>
                </c:pt>
                <c:pt idx="60">
                  <c:v>0.1906158357771261</c:v>
                </c:pt>
                <c:pt idx="61">
                  <c:v>0.2209188660801564</c:v>
                </c:pt>
                <c:pt idx="62">
                  <c:v>0.18963831867057673</c:v>
                </c:pt>
                <c:pt idx="63">
                  <c:v>0.16031280547409579</c:v>
                </c:pt>
                <c:pt idx="64">
                  <c:v>0.20918866080156404</c:v>
                </c:pt>
                <c:pt idx="65">
                  <c:v>0.24144672531769307</c:v>
                </c:pt>
                <c:pt idx="66">
                  <c:v>0.22776148582600195</c:v>
                </c:pt>
                <c:pt idx="67">
                  <c:v>0.19452590420332355</c:v>
                </c:pt>
                <c:pt idx="68">
                  <c:v>0.20234604105571846</c:v>
                </c:pt>
                <c:pt idx="69">
                  <c:v>0.22971652003910067</c:v>
                </c:pt>
                <c:pt idx="70">
                  <c:v>0.20527859237536658</c:v>
                </c:pt>
                <c:pt idx="71">
                  <c:v>0.24535679374389052</c:v>
                </c:pt>
                <c:pt idx="72">
                  <c:v>0.21700879765395895</c:v>
                </c:pt>
                <c:pt idx="73">
                  <c:v>0.24828934506353861</c:v>
                </c:pt>
                <c:pt idx="74">
                  <c:v>0.22580645161290322</c:v>
                </c:pt>
                <c:pt idx="75">
                  <c:v>0.19452590420332355</c:v>
                </c:pt>
                <c:pt idx="76">
                  <c:v>0.18377321603128055</c:v>
                </c:pt>
                <c:pt idx="77">
                  <c:v>0.25806451612903225</c:v>
                </c:pt>
                <c:pt idx="78">
                  <c:v>0.22678396871945258</c:v>
                </c:pt>
                <c:pt idx="79">
                  <c:v>0.21212121212121213</c:v>
                </c:pt>
                <c:pt idx="80">
                  <c:v>0.24340175953079179</c:v>
                </c:pt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data2!$J$2:$J$82</c:f>
              <c:numCache>
                <c:formatCode>0.000</c:formatCode>
                <c:ptCount val="81"/>
                <c:pt idx="0">
                  <c:v>0.4525904203323558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0.79081133919843594</c:v>
                </c:pt>
                <c:pt idx="6">
                  <c:v>0.58064516129032262</c:v>
                </c:pt>
                <c:pt idx="7">
                  <c:v>0.47800586510263932</c:v>
                </c:pt>
                <c:pt idx="8">
                  <c:v>0.40078201368523947</c:v>
                </c:pt>
                <c:pt idx="9">
                  <c:v>0.34897360703812319</c:v>
                </c:pt>
                <c:pt idx="10">
                  <c:v>0.30205278592375367</c:v>
                </c:pt>
                <c:pt idx="11">
                  <c:v>0.26979472140762462</c:v>
                </c:pt>
                <c:pt idx="12">
                  <c:v>0.22580645161290322</c:v>
                </c:pt>
                <c:pt idx="13">
                  <c:v>0.22873900293255131</c:v>
                </c:pt>
                <c:pt idx="14">
                  <c:v>0.23264907135874877</c:v>
                </c:pt>
                <c:pt idx="15">
                  <c:v>0.19550342130987292</c:v>
                </c:pt>
                <c:pt idx="16">
                  <c:v>0.20234604105571846</c:v>
                </c:pt>
                <c:pt idx="17">
                  <c:v>0.18866080156402737</c:v>
                </c:pt>
                <c:pt idx="18">
                  <c:v>0.14565004887585534</c:v>
                </c:pt>
                <c:pt idx="19">
                  <c:v>0.16031280547409579</c:v>
                </c:pt>
                <c:pt idx="20">
                  <c:v>0.17399804496578691</c:v>
                </c:pt>
                <c:pt idx="21">
                  <c:v>0.15640273704789834</c:v>
                </c:pt>
                <c:pt idx="22">
                  <c:v>0.176930596285435</c:v>
                </c:pt>
                <c:pt idx="23">
                  <c:v>0.16324535679374388</c:v>
                </c:pt>
                <c:pt idx="24">
                  <c:v>0.13294232649071358</c:v>
                </c:pt>
                <c:pt idx="25">
                  <c:v>0.17204301075268819</c:v>
                </c:pt>
                <c:pt idx="26">
                  <c:v>0.17204301075268819</c:v>
                </c:pt>
                <c:pt idx="27">
                  <c:v>0.16520039100684261</c:v>
                </c:pt>
                <c:pt idx="28">
                  <c:v>0.13880742913000976</c:v>
                </c:pt>
                <c:pt idx="29">
                  <c:v>0.14956011730205279</c:v>
                </c:pt>
                <c:pt idx="30">
                  <c:v>0.13196480938416422</c:v>
                </c:pt>
                <c:pt idx="31">
                  <c:v>0.16324535679374388</c:v>
                </c:pt>
                <c:pt idx="32">
                  <c:v>0.15249266862170088</c:v>
                </c:pt>
                <c:pt idx="33">
                  <c:v>0.12316715542521994</c:v>
                </c:pt>
                <c:pt idx="34">
                  <c:v>0.13587487781036167</c:v>
                </c:pt>
                <c:pt idx="35">
                  <c:v>0.11339198435972629</c:v>
                </c:pt>
                <c:pt idx="36">
                  <c:v>0.13196480938416422</c:v>
                </c:pt>
                <c:pt idx="37">
                  <c:v>0.13294232649071358</c:v>
                </c:pt>
                <c:pt idx="38">
                  <c:v>0.11241446725317693</c:v>
                </c:pt>
                <c:pt idx="39">
                  <c:v>0.13587487781036167</c:v>
                </c:pt>
                <c:pt idx="40">
                  <c:v>0.1270772238514174</c:v>
                </c:pt>
                <c:pt idx="41">
                  <c:v>0.12121212121212122</c:v>
                </c:pt>
                <c:pt idx="42">
                  <c:v>0.13391984359726294</c:v>
                </c:pt>
                <c:pt idx="43">
                  <c:v>0.12121212121212122</c:v>
                </c:pt>
                <c:pt idx="44">
                  <c:v>0.15347018572825025</c:v>
                </c:pt>
                <c:pt idx="45">
                  <c:v>0.13489736070381231</c:v>
                </c:pt>
                <c:pt idx="46">
                  <c:v>0.11339198435972629</c:v>
                </c:pt>
                <c:pt idx="47">
                  <c:v>0.16129032258064516</c:v>
                </c:pt>
                <c:pt idx="48">
                  <c:v>0.13391984359726294</c:v>
                </c:pt>
                <c:pt idx="49">
                  <c:v>0.12805474095796676</c:v>
                </c:pt>
                <c:pt idx="50">
                  <c:v>0.11827956989247312</c:v>
                </c:pt>
                <c:pt idx="51">
                  <c:v>0.1270772238514174</c:v>
                </c:pt>
                <c:pt idx="52">
                  <c:v>0.15444770283479961</c:v>
                </c:pt>
                <c:pt idx="53">
                  <c:v>0.13489736070381231</c:v>
                </c:pt>
                <c:pt idx="54">
                  <c:v>0.17008797653958943</c:v>
                </c:pt>
                <c:pt idx="55">
                  <c:v>0.15347018572825025</c:v>
                </c:pt>
                <c:pt idx="56">
                  <c:v>0.1270772238514174</c:v>
                </c:pt>
                <c:pt idx="57">
                  <c:v>0.10361681329423265</c:v>
                </c:pt>
                <c:pt idx="58">
                  <c:v>0.10948191593352884</c:v>
                </c:pt>
                <c:pt idx="59">
                  <c:v>0.10654936461388075</c:v>
                </c:pt>
                <c:pt idx="60">
                  <c:v>0.11534701857282502</c:v>
                </c:pt>
                <c:pt idx="61">
                  <c:v>0.14956011730205279</c:v>
                </c:pt>
                <c:pt idx="62">
                  <c:v>0.11925708699902249</c:v>
                </c:pt>
                <c:pt idx="63">
                  <c:v>0.13685239491691104</c:v>
                </c:pt>
                <c:pt idx="64">
                  <c:v>0.13978494623655913</c:v>
                </c:pt>
                <c:pt idx="65">
                  <c:v>0.13978494623655913</c:v>
                </c:pt>
                <c:pt idx="66">
                  <c:v>8.6021505376344093E-2</c:v>
                </c:pt>
                <c:pt idx="67">
                  <c:v>0.13978494623655913</c:v>
                </c:pt>
                <c:pt idx="68">
                  <c:v>0.13294232649071358</c:v>
                </c:pt>
                <c:pt idx="69">
                  <c:v>0.13880742913000976</c:v>
                </c:pt>
                <c:pt idx="70">
                  <c:v>0.14467253176930597</c:v>
                </c:pt>
                <c:pt idx="71">
                  <c:v>0.10850439882697947</c:v>
                </c:pt>
                <c:pt idx="72">
                  <c:v>0.11339198435972629</c:v>
                </c:pt>
                <c:pt idx="73">
                  <c:v>0.11632453567937438</c:v>
                </c:pt>
                <c:pt idx="74">
                  <c:v>0.13685239491691104</c:v>
                </c:pt>
                <c:pt idx="75">
                  <c:v>0.12805474095796676</c:v>
                </c:pt>
                <c:pt idx="76">
                  <c:v>9.7751710654936458E-2</c:v>
                </c:pt>
                <c:pt idx="77">
                  <c:v>0.13587487781036167</c:v>
                </c:pt>
                <c:pt idx="78">
                  <c:v>8.6999022482893457E-2</c:v>
                </c:pt>
                <c:pt idx="79">
                  <c:v>0.10557184750733138</c:v>
                </c:pt>
                <c:pt idx="80">
                  <c:v>0.11632453567937438</c:v>
                </c:pt>
              </c:numCache>
            </c:numRef>
          </c:yVal>
        </c:ser>
        <c:axId val="155162880"/>
        <c:axId val="155172864"/>
      </c:scatterChart>
      <c:valAx>
        <c:axId val="155162880"/>
        <c:scaling>
          <c:orientation val="minMax"/>
        </c:scaling>
        <c:axPos val="b"/>
        <c:numFmt formatCode="0.0" sourceLinked="1"/>
        <c:tickLblPos val="nextTo"/>
        <c:crossAx val="155172864"/>
        <c:crosses val="autoZero"/>
        <c:crossBetween val="midCat"/>
      </c:valAx>
      <c:valAx>
        <c:axId val="155172864"/>
        <c:scaling>
          <c:orientation val="minMax"/>
        </c:scaling>
        <c:axPos val="l"/>
        <c:majorGridlines/>
        <c:numFmt formatCode="0.000" sourceLinked="1"/>
        <c:tickLblPos val="nextTo"/>
        <c:crossAx val="155162880"/>
        <c:crosses val="autoZero"/>
        <c:crossBetween val="midCat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50"/>
              <a:t>0.2mm</a:t>
            </a:r>
            <a:endParaRPr lang="en-US"/>
          </a:p>
        </c:rich>
      </c:tx>
      <c:layout/>
    </c:title>
    <c:plotArea>
      <c:layout/>
      <c:scatterChart>
        <c:scatterStyle val="lineMarker"/>
        <c:ser>
          <c:idx val="4"/>
          <c:order val="4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data2!$L$2:$L$82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0.999</c:v>
                </c:pt>
                <c:pt idx="15">
                  <c:v>0.999</c:v>
                </c:pt>
                <c:pt idx="16">
                  <c:v>0.999</c:v>
                </c:pt>
                <c:pt idx="17">
                  <c:v>0.999</c:v>
                </c:pt>
                <c:pt idx="18">
                  <c:v>0.999</c:v>
                </c:pt>
                <c:pt idx="19">
                  <c:v>0.999</c:v>
                </c:pt>
                <c:pt idx="20">
                  <c:v>0.999</c:v>
                </c:pt>
                <c:pt idx="21">
                  <c:v>0.999</c:v>
                </c:pt>
                <c:pt idx="22">
                  <c:v>0.999</c:v>
                </c:pt>
                <c:pt idx="23">
                  <c:v>0.999</c:v>
                </c:pt>
                <c:pt idx="24">
                  <c:v>0.999</c:v>
                </c:pt>
                <c:pt idx="25">
                  <c:v>0.999</c:v>
                </c:pt>
                <c:pt idx="26">
                  <c:v>0.999</c:v>
                </c:pt>
                <c:pt idx="27">
                  <c:v>0.999</c:v>
                </c:pt>
                <c:pt idx="28">
                  <c:v>0.999</c:v>
                </c:pt>
                <c:pt idx="29">
                  <c:v>0.999</c:v>
                </c:pt>
                <c:pt idx="30">
                  <c:v>0.999</c:v>
                </c:pt>
                <c:pt idx="31">
                  <c:v>0.999</c:v>
                </c:pt>
                <c:pt idx="32">
                  <c:v>0.999</c:v>
                </c:pt>
                <c:pt idx="33">
                  <c:v>0.999</c:v>
                </c:pt>
                <c:pt idx="34">
                  <c:v>0.999</c:v>
                </c:pt>
                <c:pt idx="35">
                  <c:v>0.999</c:v>
                </c:pt>
                <c:pt idx="36">
                  <c:v>0.999</c:v>
                </c:pt>
                <c:pt idx="37">
                  <c:v>0.999</c:v>
                </c:pt>
                <c:pt idx="38">
                  <c:v>0.999</c:v>
                </c:pt>
                <c:pt idx="39">
                  <c:v>0.999</c:v>
                </c:pt>
                <c:pt idx="40">
                  <c:v>0.97556207233626591</c:v>
                </c:pt>
                <c:pt idx="41">
                  <c:v>0.999</c:v>
                </c:pt>
                <c:pt idx="42">
                  <c:v>0.999</c:v>
                </c:pt>
                <c:pt idx="43">
                  <c:v>0.999</c:v>
                </c:pt>
                <c:pt idx="44">
                  <c:v>0.999</c:v>
                </c:pt>
                <c:pt idx="45">
                  <c:v>0.999</c:v>
                </c:pt>
                <c:pt idx="46">
                  <c:v>0.98338220918866082</c:v>
                </c:pt>
                <c:pt idx="47">
                  <c:v>0.999</c:v>
                </c:pt>
                <c:pt idx="48">
                  <c:v>0.96969696969696972</c:v>
                </c:pt>
                <c:pt idx="49">
                  <c:v>0.999</c:v>
                </c:pt>
                <c:pt idx="50">
                  <c:v>0.99315738025415445</c:v>
                </c:pt>
                <c:pt idx="51">
                  <c:v>0.999</c:v>
                </c:pt>
                <c:pt idx="52">
                  <c:v>0.91984359726295206</c:v>
                </c:pt>
                <c:pt idx="53">
                  <c:v>0.96089931573802545</c:v>
                </c:pt>
                <c:pt idx="54">
                  <c:v>0.86412512218963833</c:v>
                </c:pt>
                <c:pt idx="55">
                  <c:v>0.94134897360703818</c:v>
                </c:pt>
                <c:pt idx="56">
                  <c:v>0.93450635386119252</c:v>
                </c:pt>
                <c:pt idx="57">
                  <c:v>0.989247311827957</c:v>
                </c:pt>
                <c:pt idx="58">
                  <c:v>0.93352883675464315</c:v>
                </c:pt>
                <c:pt idx="59">
                  <c:v>0.999</c:v>
                </c:pt>
                <c:pt idx="60">
                  <c:v>0.97947214076246336</c:v>
                </c:pt>
                <c:pt idx="61">
                  <c:v>0.999</c:v>
                </c:pt>
                <c:pt idx="62">
                  <c:v>0.94037145650048881</c:v>
                </c:pt>
                <c:pt idx="63">
                  <c:v>0.98044965786901273</c:v>
                </c:pt>
                <c:pt idx="64">
                  <c:v>0.92179863147605079</c:v>
                </c:pt>
                <c:pt idx="65">
                  <c:v>0.95796676441837736</c:v>
                </c:pt>
                <c:pt idx="66">
                  <c:v>0.94525904203323563</c:v>
                </c:pt>
                <c:pt idx="67">
                  <c:v>0.84555229716520042</c:v>
                </c:pt>
                <c:pt idx="68">
                  <c:v>0.999</c:v>
                </c:pt>
                <c:pt idx="69">
                  <c:v>0.86021505376344087</c:v>
                </c:pt>
                <c:pt idx="70">
                  <c:v>0.95014662756598245</c:v>
                </c:pt>
                <c:pt idx="71">
                  <c:v>0.86119257086999024</c:v>
                </c:pt>
                <c:pt idx="72">
                  <c:v>0.8621700879765396</c:v>
                </c:pt>
                <c:pt idx="73">
                  <c:v>0.96285434995112418</c:v>
                </c:pt>
                <c:pt idx="74">
                  <c:v>0.90322580645161288</c:v>
                </c:pt>
                <c:pt idx="75">
                  <c:v>0.98533724340175954</c:v>
                </c:pt>
                <c:pt idx="76">
                  <c:v>0.999</c:v>
                </c:pt>
                <c:pt idx="77">
                  <c:v>0.9188660801564027</c:v>
                </c:pt>
                <c:pt idx="78">
                  <c:v>0.91593352883675461</c:v>
                </c:pt>
                <c:pt idx="79">
                  <c:v>0.97262952101661782</c:v>
                </c:pt>
                <c:pt idx="80">
                  <c:v>0.97751710654936463</c:v>
                </c:pt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data2!$M$2:$M$82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0.956989247311828</c:v>
                </c:pt>
                <c:pt idx="14">
                  <c:v>0.87096774193548387</c:v>
                </c:pt>
                <c:pt idx="15">
                  <c:v>0.78983382209188657</c:v>
                </c:pt>
                <c:pt idx="16">
                  <c:v>0.76050830889540566</c:v>
                </c:pt>
                <c:pt idx="17">
                  <c:v>0.69696969696969702</c:v>
                </c:pt>
                <c:pt idx="18">
                  <c:v>0.72825024437927666</c:v>
                </c:pt>
                <c:pt idx="19">
                  <c:v>0.66177908113391981</c:v>
                </c:pt>
                <c:pt idx="20">
                  <c:v>0.62463343108504399</c:v>
                </c:pt>
                <c:pt idx="21">
                  <c:v>0.66959921798631472</c:v>
                </c:pt>
                <c:pt idx="22">
                  <c:v>0.58748778103616817</c:v>
                </c:pt>
                <c:pt idx="23">
                  <c:v>0.56402737047898344</c:v>
                </c:pt>
                <c:pt idx="24">
                  <c:v>0.57966764418377326</c:v>
                </c:pt>
                <c:pt idx="25">
                  <c:v>0.53470185728250241</c:v>
                </c:pt>
                <c:pt idx="26">
                  <c:v>0.55425219941348969</c:v>
                </c:pt>
                <c:pt idx="27">
                  <c:v>0.54740957966764414</c:v>
                </c:pt>
                <c:pt idx="28">
                  <c:v>0.52003910068426196</c:v>
                </c:pt>
                <c:pt idx="29">
                  <c:v>0.53861192570869987</c:v>
                </c:pt>
                <c:pt idx="30">
                  <c:v>0.52297165200391005</c:v>
                </c:pt>
                <c:pt idx="31">
                  <c:v>0.53958944281524923</c:v>
                </c:pt>
                <c:pt idx="32">
                  <c:v>0.48973607038123168</c:v>
                </c:pt>
                <c:pt idx="33">
                  <c:v>0.50146627565982405</c:v>
                </c:pt>
                <c:pt idx="34">
                  <c:v>0.54740957966764414</c:v>
                </c:pt>
                <c:pt idx="35">
                  <c:v>0.52981427174975559</c:v>
                </c:pt>
                <c:pt idx="36">
                  <c:v>0.4731182795698925</c:v>
                </c:pt>
                <c:pt idx="37">
                  <c:v>0.51124144672531768</c:v>
                </c:pt>
                <c:pt idx="38">
                  <c:v>0.43401759530791789</c:v>
                </c:pt>
                <c:pt idx="39">
                  <c:v>0.48778103616813295</c:v>
                </c:pt>
                <c:pt idx="40">
                  <c:v>0.50439882697947214</c:v>
                </c:pt>
                <c:pt idx="41">
                  <c:v>0.47214076246334313</c:v>
                </c:pt>
                <c:pt idx="42">
                  <c:v>0.52101661779081132</c:v>
                </c:pt>
                <c:pt idx="43">
                  <c:v>0.44672531769305962</c:v>
                </c:pt>
                <c:pt idx="44">
                  <c:v>0.51124144672531768</c:v>
                </c:pt>
                <c:pt idx="45">
                  <c:v>0.5053763440860215</c:v>
                </c:pt>
                <c:pt idx="46">
                  <c:v>0.50048875855327468</c:v>
                </c:pt>
                <c:pt idx="47">
                  <c:v>0.41642228739002934</c:v>
                </c:pt>
                <c:pt idx="48">
                  <c:v>0.45063538611925708</c:v>
                </c:pt>
                <c:pt idx="49">
                  <c:v>0.50733137829912023</c:v>
                </c:pt>
                <c:pt idx="50">
                  <c:v>0.43792766373411535</c:v>
                </c:pt>
                <c:pt idx="51">
                  <c:v>0.46529814271749753</c:v>
                </c:pt>
                <c:pt idx="52">
                  <c:v>0.44965786901270771</c:v>
                </c:pt>
                <c:pt idx="53">
                  <c:v>0.4310850439882698</c:v>
                </c:pt>
                <c:pt idx="54">
                  <c:v>0.5053763440860215</c:v>
                </c:pt>
                <c:pt idx="55">
                  <c:v>0.45747800586510262</c:v>
                </c:pt>
                <c:pt idx="56">
                  <c:v>0.49364613880742914</c:v>
                </c:pt>
                <c:pt idx="57">
                  <c:v>0.48582600195503423</c:v>
                </c:pt>
                <c:pt idx="58">
                  <c:v>0.4203323558162268</c:v>
                </c:pt>
                <c:pt idx="59">
                  <c:v>0.38416422287390029</c:v>
                </c:pt>
                <c:pt idx="60">
                  <c:v>0.47996089931573804</c:v>
                </c:pt>
                <c:pt idx="61">
                  <c:v>0.4525904203323558</c:v>
                </c:pt>
                <c:pt idx="62">
                  <c:v>0.44477028347996089</c:v>
                </c:pt>
                <c:pt idx="63">
                  <c:v>0.52199413489736068</c:v>
                </c:pt>
                <c:pt idx="64">
                  <c:v>0.46236559139784944</c:v>
                </c:pt>
                <c:pt idx="65">
                  <c:v>0.47116324535679377</c:v>
                </c:pt>
                <c:pt idx="66">
                  <c:v>0.50342130987292277</c:v>
                </c:pt>
                <c:pt idx="67">
                  <c:v>0.46138807429130008</c:v>
                </c:pt>
                <c:pt idx="68">
                  <c:v>0.45943304007820135</c:v>
                </c:pt>
                <c:pt idx="69">
                  <c:v>0.43499511241446726</c:v>
                </c:pt>
                <c:pt idx="70">
                  <c:v>0.47800586510263932</c:v>
                </c:pt>
                <c:pt idx="71">
                  <c:v>0.41055718475073316</c:v>
                </c:pt>
                <c:pt idx="72">
                  <c:v>0.44379276637341153</c:v>
                </c:pt>
                <c:pt idx="73">
                  <c:v>0.42326490713587489</c:v>
                </c:pt>
                <c:pt idx="74">
                  <c:v>0.4731182795698925</c:v>
                </c:pt>
                <c:pt idx="75">
                  <c:v>0.44868035190615835</c:v>
                </c:pt>
                <c:pt idx="76">
                  <c:v>0.42913000977517107</c:v>
                </c:pt>
                <c:pt idx="77">
                  <c:v>0.46432062561094817</c:v>
                </c:pt>
                <c:pt idx="78">
                  <c:v>0.46725317693059626</c:v>
                </c:pt>
                <c:pt idx="79">
                  <c:v>0.50830889540566959</c:v>
                </c:pt>
                <c:pt idx="80">
                  <c:v>0.45063538611925708</c:v>
                </c:pt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data2!$N$2:$N$82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0.96187683284457481</c:v>
                </c:pt>
                <c:pt idx="8">
                  <c:v>0.74389051808406648</c:v>
                </c:pt>
                <c:pt idx="9">
                  <c:v>0.66080156402737045</c:v>
                </c:pt>
                <c:pt idx="10">
                  <c:v>0.60997067448680353</c:v>
                </c:pt>
                <c:pt idx="11">
                  <c:v>0.51515151515151514</c:v>
                </c:pt>
                <c:pt idx="12">
                  <c:v>0.50146627565982405</c:v>
                </c:pt>
                <c:pt idx="13">
                  <c:v>0.44379276637341153</c:v>
                </c:pt>
                <c:pt idx="14">
                  <c:v>0.43597262952101662</c:v>
                </c:pt>
                <c:pt idx="15">
                  <c:v>0.42815249266862171</c:v>
                </c:pt>
                <c:pt idx="16">
                  <c:v>0.3890518084066471</c:v>
                </c:pt>
                <c:pt idx="17">
                  <c:v>0.36950146627565983</c:v>
                </c:pt>
                <c:pt idx="18">
                  <c:v>0.30498533724340177</c:v>
                </c:pt>
                <c:pt idx="19">
                  <c:v>0.36950146627565983</c:v>
                </c:pt>
                <c:pt idx="20">
                  <c:v>0.32258064516129031</c:v>
                </c:pt>
                <c:pt idx="21">
                  <c:v>0.35777126099706746</c:v>
                </c:pt>
                <c:pt idx="22">
                  <c:v>0.3040078201368524</c:v>
                </c:pt>
                <c:pt idx="23">
                  <c:v>0.31573802541544477</c:v>
                </c:pt>
                <c:pt idx="24">
                  <c:v>0.29716520039100686</c:v>
                </c:pt>
                <c:pt idx="25">
                  <c:v>0.26295210166177907</c:v>
                </c:pt>
                <c:pt idx="26">
                  <c:v>0.24242424242424243</c:v>
                </c:pt>
                <c:pt idx="27">
                  <c:v>0.3284457478005865</c:v>
                </c:pt>
                <c:pt idx="28">
                  <c:v>0.33626588465298141</c:v>
                </c:pt>
                <c:pt idx="29">
                  <c:v>0.29716520039100686</c:v>
                </c:pt>
                <c:pt idx="30">
                  <c:v>0.29032258064516131</c:v>
                </c:pt>
                <c:pt idx="31">
                  <c:v>0.31280547409579668</c:v>
                </c:pt>
                <c:pt idx="32">
                  <c:v>0.27174975562072334</c:v>
                </c:pt>
                <c:pt idx="33">
                  <c:v>0.25317693059628543</c:v>
                </c:pt>
                <c:pt idx="34">
                  <c:v>0.30596285434995113</c:v>
                </c:pt>
                <c:pt idx="35">
                  <c:v>0.24731182795698925</c:v>
                </c:pt>
                <c:pt idx="36">
                  <c:v>0.23949169110459434</c:v>
                </c:pt>
                <c:pt idx="37">
                  <c:v>0.2316715542521994</c:v>
                </c:pt>
                <c:pt idx="38">
                  <c:v>0.26295210166177907</c:v>
                </c:pt>
                <c:pt idx="39">
                  <c:v>0.27859237536656889</c:v>
                </c:pt>
                <c:pt idx="40">
                  <c:v>0.24926686217008798</c:v>
                </c:pt>
                <c:pt idx="41">
                  <c:v>0.27272727272727271</c:v>
                </c:pt>
                <c:pt idx="42">
                  <c:v>0.23949169110459434</c:v>
                </c:pt>
                <c:pt idx="43">
                  <c:v>0.26001955034213098</c:v>
                </c:pt>
                <c:pt idx="44">
                  <c:v>0.23949169110459434</c:v>
                </c:pt>
                <c:pt idx="45">
                  <c:v>0.23362658846529813</c:v>
                </c:pt>
                <c:pt idx="46">
                  <c:v>0.26295210166177907</c:v>
                </c:pt>
                <c:pt idx="47">
                  <c:v>0.24926686217008798</c:v>
                </c:pt>
                <c:pt idx="48">
                  <c:v>0.2316715542521994</c:v>
                </c:pt>
                <c:pt idx="49">
                  <c:v>0.26295210166177907</c:v>
                </c:pt>
                <c:pt idx="50">
                  <c:v>0.26295210166177907</c:v>
                </c:pt>
                <c:pt idx="51">
                  <c:v>0.21798631476050831</c:v>
                </c:pt>
                <c:pt idx="52">
                  <c:v>0.26588465298142716</c:v>
                </c:pt>
                <c:pt idx="53">
                  <c:v>0.23851417399804498</c:v>
                </c:pt>
                <c:pt idx="54">
                  <c:v>0.21700879765395895</c:v>
                </c:pt>
                <c:pt idx="55">
                  <c:v>0.27272727272727271</c:v>
                </c:pt>
                <c:pt idx="56">
                  <c:v>0.26197458455522971</c:v>
                </c:pt>
                <c:pt idx="57">
                  <c:v>0.25219941348973607</c:v>
                </c:pt>
                <c:pt idx="58">
                  <c:v>0.22482893450635386</c:v>
                </c:pt>
                <c:pt idx="59">
                  <c:v>0.25024437927663734</c:v>
                </c:pt>
                <c:pt idx="60">
                  <c:v>0.22776148582600195</c:v>
                </c:pt>
                <c:pt idx="61">
                  <c:v>0.28836754643206258</c:v>
                </c:pt>
                <c:pt idx="62">
                  <c:v>0.24144672531769307</c:v>
                </c:pt>
                <c:pt idx="63">
                  <c:v>0.21700879765395895</c:v>
                </c:pt>
                <c:pt idx="64">
                  <c:v>0.25024437927663734</c:v>
                </c:pt>
                <c:pt idx="65">
                  <c:v>0.2316715542521994</c:v>
                </c:pt>
                <c:pt idx="66">
                  <c:v>0.25904203323558161</c:v>
                </c:pt>
                <c:pt idx="67">
                  <c:v>0.24242424242424243</c:v>
                </c:pt>
                <c:pt idx="68">
                  <c:v>0.26099706744868034</c:v>
                </c:pt>
                <c:pt idx="69">
                  <c:v>0.27174975562072334</c:v>
                </c:pt>
                <c:pt idx="70">
                  <c:v>0.23558162267839688</c:v>
                </c:pt>
                <c:pt idx="71">
                  <c:v>0.29814271749755622</c:v>
                </c:pt>
                <c:pt idx="72">
                  <c:v>0.23264907135874877</c:v>
                </c:pt>
                <c:pt idx="73">
                  <c:v>0.24828934506353861</c:v>
                </c:pt>
                <c:pt idx="74">
                  <c:v>0.26686217008797652</c:v>
                </c:pt>
                <c:pt idx="75">
                  <c:v>0.21212121212121213</c:v>
                </c:pt>
                <c:pt idx="76">
                  <c:v>0.24242424242424243</c:v>
                </c:pt>
                <c:pt idx="77">
                  <c:v>0.20039100684261973</c:v>
                </c:pt>
                <c:pt idx="78">
                  <c:v>0.25610948191593352</c:v>
                </c:pt>
                <c:pt idx="79">
                  <c:v>0.24828934506353861</c:v>
                </c:pt>
                <c:pt idx="80">
                  <c:v>0.29521016617790813</c:v>
                </c:pt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data2!$O$2:$O$82</c:f>
              <c:numCache>
                <c:formatCode>0.000</c:formatCode>
                <c:ptCount val="81"/>
                <c:pt idx="0">
                  <c:v>0.52785923753665687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0.75268817204301075</c:v>
                </c:pt>
                <c:pt idx="6">
                  <c:v>0.61583577712609971</c:v>
                </c:pt>
                <c:pt idx="7">
                  <c:v>0.48680351906158359</c:v>
                </c:pt>
                <c:pt idx="8">
                  <c:v>0.41348973607038125</c:v>
                </c:pt>
                <c:pt idx="9">
                  <c:v>0.34799608993157383</c:v>
                </c:pt>
                <c:pt idx="10">
                  <c:v>0.32160312805474095</c:v>
                </c:pt>
                <c:pt idx="11">
                  <c:v>0.28347996089931576</c:v>
                </c:pt>
                <c:pt idx="12">
                  <c:v>0.27174975562072334</c:v>
                </c:pt>
                <c:pt idx="13">
                  <c:v>0.21212121212121213</c:v>
                </c:pt>
                <c:pt idx="14">
                  <c:v>0.23655913978494625</c:v>
                </c:pt>
                <c:pt idx="15">
                  <c:v>0.21700879765395895</c:v>
                </c:pt>
                <c:pt idx="16">
                  <c:v>0.17106549364613879</c:v>
                </c:pt>
                <c:pt idx="17">
                  <c:v>0.20039100684261973</c:v>
                </c:pt>
                <c:pt idx="18">
                  <c:v>0.16715542521994134</c:v>
                </c:pt>
                <c:pt idx="19">
                  <c:v>0.17204301075268819</c:v>
                </c:pt>
                <c:pt idx="20">
                  <c:v>0.16324535679374388</c:v>
                </c:pt>
                <c:pt idx="21">
                  <c:v>0.15542521994134897</c:v>
                </c:pt>
                <c:pt idx="22">
                  <c:v>0.17008797653958943</c:v>
                </c:pt>
                <c:pt idx="23">
                  <c:v>0.16617790811339198</c:v>
                </c:pt>
                <c:pt idx="24">
                  <c:v>0.17399804496578691</c:v>
                </c:pt>
                <c:pt idx="25">
                  <c:v>0.16715542521994134</c:v>
                </c:pt>
                <c:pt idx="26">
                  <c:v>0.16031280547409579</c:v>
                </c:pt>
                <c:pt idx="27">
                  <c:v>0.17302052785923755</c:v>
                </c:pt>
                <c:pt idx="28">
                  <c:v>0.15444770283479961</c:v>
                </c:pt>
                <c:pt idx="29">
                  <c:v>0.1378299120234604</c:v>
                </c:pt>
                <c:pt idx="30">
                  <c:v>0.15933528836754643</c:v>
                </c:pt>
                <c:pt idx="31">
                  <c:v>0.13489736070381231</c:v>
                </c:pt>
                <c:pt idx="32">
                  <c:v>0.1466275659824047</c:v>
                </c:pt>
                <c:pt idx="33">
                  <c:v>0.16031280547409579</c:v>
                </c:pt>
                <c:pt idx="34">
                  <c:v>0.11632453567937438</c:v>
                </c:pt>
                <c:pt idx="35">
                  <c:v>0.16226783968719452</c:v>
                </c:pt>
                <c:pt idx="36">
                  <c:v>0.18181818181818182</c:v>
                </c:pt>
                <c:pt idx="37">
                  <c:v>0.13880742913000976</c:v>
                </c:pt>
                <c:pt idx="38">
                  <c:v>0.14271749755620725</c:v>
                </c:pt>
                <c:pt idx="39">
                  <c:v>0.12218963831867058</c:v>
                </c:pt>
                <c:pt idx="40">
                  <c:v>0.16226783968719452</c:v>
                </c:pt>
                <c:pt idx="41">
                  <c:v>0.14858260019550343</c:v>
                </c:pt>
                <c:pt idx="42">
                  <c:v>0.13685239491691104</c:v>
                </c:pt>
                <c:pt idx="43">
                  <c:v>0.11241446725317693</c:v>
                </c:pt>
                <c:pt idx="44">
                  <c:v>0.15933528836754643</c:v>
                </c:pt>
                <c:pt idx="45">
                  <c:v>0.12023460410557185</c:v>
                </c:pt>
                <c:pt idx="46">
                  <c:v>0.15249266862170088</c:v>
                </c:pt>
                <c:pt idx="47">
                  <c:v>0.16422287390029325</c:v>
                </c:pt>
                <c:pt idx="48">
                  <c:v>0.14760508308895406</c:v>
                </c:pt>
                <c:pt idx="49">
                  <c:v>0.14858260019550343</c:v>
                </c:pt>
                <c:pt idx="50">
                  <c:v>0.13489736070381231</c:v>
                </c:pt>
                <c:pt idx="51">
                  <c:v>0.14467253176930597</c:v>
                </c:pt>
                <c:pt idx="52">
                  <c:v>0.17204301075268819</c:v>
                </c:pt>
                <c:pt idx="53">
                  <c:v>0.13978494623655913</c:v>
                </c:pt>
                <c:pt idx="54">
                  <c:v>0.13685239491691104</c:v>
                </c:pt>
                <c:pt idx="55">
                  <c:v>0.11730205278592376</c:v>
                </c:pt>
                <c:pt idx="56">
                  <c:v>0.1378299120234604</c:v>
                </c:pt>
                <c:pt idx="57">
                  <c:v>0.14369501466275661</c:v>
                </c:pt>
                <c:pt idx="58">
                  <c:v>0.15151515151515152</c:v>
                </c:pt>
                <c:pt idx="59">
                  <c:v>0.10068426197458455</c:v>
                </c:pt>
                <c:pt idx="60">
                  <c:v>0.11632453567937438</c:v>
                </c:pt>
                <c:pt idx="61">
                  <c:v>0.13880742913000976</c:v>
                </c:pt>
                <c:pt idx="62">
                  <c:v>0.14271749755620725</c:v>
                </c:pt>
                <c:pt idx="63">
                  <c:v>0.14858260019550343</c:v>
                </c:pt>
                <c:pt idx="64">
                  <c:v>0.14956011730205279</c:v>
                </c:pt>
                <c:pt idx="65">
                  <c:v>0.15444770283479961</c:v>
                </c:pt>
                <c:pt idx="66">
                  <c:v>0.13685239491691104</c:v>
                </c:pt>
                <c:pt idx="67">
                  <c:v>0.12609970674486803</c:v>
                </c:pt>
                <c:pt idx="68">
                  <c:v>0.11730205278592376</c:v>
                </c:pt>
                <c:pt idx="69">
                  <c:v>0.13685239491691104</c:v>
                </c:pt>
                <c:pt idx="70">
                  <c:v>0.13880742913000976</c:v>
                </c:pt>
                <c:pt idx="71">
                  <c:v>0.13196480938416422</c:v>
                </c:pt>
                <c:pt idx="72">
                  <c:v>0.13489736070381231</c:v>
                </c:pt>
                <c:pt idx="73">
                  <c:v>0.13880742913000976</c:v>
                </c:pt>
                <c:pt idx="74">
                  <c:v>0.11632453567937438</c:v>
                </c:pt>
                <c:pt idx="75">
                  <c:v>0.12023460410557185</c:v>
                </c:pt>
                <c:pt idx="76">
                  <c:v>0.17497556207233628</c:v>
                </c:pt>
                <c:pt idx="77">
                  <c:v>0.13098729227761485</c:v>
                </c:pt>
                <c:pt idx="78">
                  <c:v>0.14467253176930597</c:v>
                </c:pt>
                <c:pt idx="79">
                  <c:v>0.14858260019550343</c:v>
                </c:pt>
                <c:pt idx="80">
                  <c:v>0.13685239491691104</c:v>
                </c:pt>
              </c:numCache>
            </c:numRef>
          </c:yVal>
        </c:ser>
        <c:ser>
          <c:idx val="0"/>
          <c:order val="0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data2!$L$2:$L$82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0.999</c:v>
                </c:pt>
                <c:pt idx="15">
                  <c:v>0.999</c:v>
                </c:pt>
                <c:pt idx="16">
                  <c:v>0.999</c:v>
                </c:pt>
                <c:pt idx="17">
                  <c:v>0.999</c:v>
                </c:pt>
                <c:pt idx="18">
                  <c:v>0.999</c:v>
                </c:pt>
                <c:pt idx="19">
                  <c:v>0.999</c:v>
                </c:pt>
                <c:pt idx="20">
                  <c:v>0.999</c:v>
                </c:pt>
                <c:pt idx="21">
                  <c:v>0.999</c:v>
                </c:pt>
                <c:pt idx="22">
                  <c:v>0.999</c:v>
                </c:pt>
                <c:pt idx="23">
                  <c:v>0.999</c:v>
                </c:pt>
                <c:pt idx="24">
                  <c:v>0.999</c:v>
                </c:pt>
                <c:pt idx="25">
                  <c:v>0.999</c:v>
                </c:pt>
                <c:pt idx="26">
                  <c:v>0.999</c:v>
                </c:pt>
                <c:pt idx="27">
                  <c:v>0.999</c:v>
                </c:pt>
                <c:pt idx="28">
                  <c:v>0.999</c:v>
                </c:pt>
                <c:pt idx="29">
                  <c:v>0.999</c:v>
                </c:pt>
                <c:pt idx="30">
                  <c:v>0.999</c:v>
                </c:pt>
                <c:pt idx="31">
                  <c:v>0.999</c:v>
                </c:pt>
                <c:pt idx="32">
                  <c:v>0.999</c:v>
                </c:pt>
                <c:pt idx="33">
                  <c:v>0.999</c:v>
                </c:pt>
                <c:pt idx="34">
                  <c:v>0.999</c:v>
                </c:pt>
                <c:pt idx="35">
                  <c:v>0.999</c:v>
                </c:pt>
                <c:pt idx="36">
                  <c:v>0.999</c:v>
                </c:pt>
                <c:pt idx="37">
                  <c:v>0.999</c:v>
                </c:pt>
                <c:pt idx="38">
                  <c:v>0.999</c:v>
                </c:pt>
                <c:pt idx="39">
                  <c:v>0.999</c:v>
                </c:pt>
                <c:pt idx="40">
                  <c:v>0.97556207233626591</c:v>
                </c:pt>
                <c:pt idx="41">
                  <c:v>0.999</c:v>
                </c:pt>
                <c:pt idx="42">
                  <c:v>0.999</c:v>
                </c:pt>
                <c:pt idx="43">
                  <c:v>0.999</c:v>
                </c:pt>
                <c:pt idx="44">
                  <c:v>0.999</c:v>
                </c:pt>
                <c:pt idx="45">
                  <c:v>0.999</c:v>
                </c:pt>
                <c:pt idx="46">
                  <c:v>0.98338220918866082</c:v>
                </c:pt>
                <c:pt idx="47">
                  <c:v>0.999</c:v>
                </c:pt>
                <c:pt idx="48">
                  <c:v>0.96969696969696972</c:v>
                </c:pt>
                <c:pt idx="49">
                  <c:v>0.999</c:v>
                </c:pt>
                <c:pt idx="50">
                  <c:v>0.99315738025415445</c:v>
                </c:pt>
                <c:pt idx="51">
                  <c:v>0.999</c:v>
                </c:pt>
                <c:pt idx="52">
                  <c:v>0.91984359726295206</c:v>
                </c:pt>
                <c:pt idx="53">
                  <c:v>0.96089931573802545</c:v>
                </c:pt>
                <c:pt idx="54">
                  <c:v>0.86412512218963833</c:v>
                </c:pt>
                <c:pt idx="55">
                  <c:v>0.94134897360703818</c:v>
                </c:pt>
                <c:pt idx="56">
                  <c:v>0.93450635386119252</c:v>
                </c:pt>
                <c:pt idx="57">
                  <c:v>0.989247311827957</c:v>
                </c:pt>
                <c:pt idx="58">
                  <c:v>0.93352883675464315</c:v>
                </c:pt>
                <c:pt idx="59">
                  <c:v>0.999</c:v>
                </c:pt>
                <c:pt idx="60">
                  <c:v>0.97947214076246336</c:v>
                </c:pt>
                <c:pt idx="61">
                  <c:v>0.999</c:v>
                </c:pt>
                <c:pt idx="62">
                  <c:v>0.94037145650048881</c:v>
                </c:pt>
                <c:pt idx="63">
                  <c:v>0.98044965786901273</c:v>
                </c:pt>
                <c:pt idx="64">
                  <c:v>0.92179863147605079</c:v>
                </c:pt>
                <c:pt idx="65">
                  <c:v>0.95796676441837736</c:v>
                </c:pt>
                <c:pt idx="66">
                  <c:v>0.94525904203323563</c:v>
                </c:pt>
                <c:pt idx="67">
                  <c:v>0.84555229716520042</c:v>
                </c:pt>
                <c:pt idx="68">
                  <c:v>0.999</c:v>
                </c:pt>
                <c:pt idx="69">
                  <c:v>0.86021505376344087</c:v>
                </c:pt>
                <c:pt idx="70">
                  <c:v>0.95014662756598245</c:v>
                </c:pt>
                <c:pt idx="71">
                  <c:v>0.86119257086999024</c:v>
                </c:pt>
                <c:pt idx="72">
                  <c:v>0.8621700879765396</c:v>
                </c:pt>
                <c:pt idx="73">
                  <c:v>0.96285434995112418</c:v>
                </c:pt>
                <c:pt idx="74">
                  <c:v>0.90322580645161288</c:v>
                </c:pt>
                <c:pt idx="75">
                  <c:v>0.98533724340175954</c:v>
                </c:pt>
                <c:pt idx="76">
                  <c:v>0.999</c:v>
                </c:pt>
                <c:pt idx="77">
                  <c:v>0.9188660801564027</c:v>
                </c:pt>
                <c:pt idx="78">
                  <c:v>0.91593352883675461</c:v>
                </c:pt>
                <c:pt idx="79">
                  <c:v>0.97262952101661782</c:v>
                </c:pt>
                <c:pt idx="80">
                  <c:v>0.97751710654936463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data2!$M$2:$M$82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0.956989247311828</c:v>
                </c:pt>
                <c:pt idx="14">
                  <c:v>0.87096774193548387</c:v>
                </c:pt>
                <c:pt idx="15">
                  <c:v>0.78983382209188657</c:v>
                </c:pt>
                <c:pt idx="16">
                  <c:v>0.76050830889540566</c:v>
                </c:pt>
                <c:pt idx="17">
                  <c:v>0.69696969696969702</c:v>
                </c:pt>
                <c:pt idx="18">
                  <c:v>0.72825024437927666</c:v>
                </c:pt>
                <c:pt idx="19">
                  <c:v>0.66177908113391981</c:v>
                </c:pt>
                <c:pt idx="20">
                  <c:v>0.62463343108504399</c:v>
                </c:pt>
                <c:pt idx="21">
                  <c:v>0.66959921798631472</c:v>
                </c:pt>
                <c:pt idx="22">
                  <c:v>0.58748778103616817</c:v>
                </c:pt>
                <c:pt idx="23">
                  <c:v>0.56402737047898344</c:v>
                </c:pt>
                <c:pt idx="24">
                  <c:v>0.57966764418377326</c:v>
                </c:pt>
                <c:pt idx="25">
                  <c:v>0.53470185728250241</c:v>
                </c:pt>
                <c:pt idx="26">
                  <c:v>0.55425219941348969</c:v>
                </c:pt>
                <c:pt idx="27">
                  <c:v>0.54740957966764414</c:v>
                </c:pt>
                <c:pt idx="28">
                  <c:v>0.52003910068426196</c:v>
                </c:pt>
                <c:pt idx="29">
                  <c:v>0.53861192570869987</c:v>
                </c:pt>
                <c:pt idx="30">
                  <c:v>0.52297165200391005</c:v>
                </c:pt>
                <c:pt idx="31">
                  <c:v>0.53958944281524923</c:v>
                </c:pt>
                <c:pt idx="32">
                  <c:v>0.48973607038123168</c:v>
                </c:pt>
                <c:pt idx="33">
                  <c:v>0.50146627565982405</c:v>
                </c:pt>
                <c:pt idx="34">
                  <c:v>0.54740957966764414</c:v>
                </c:pt>
                <c:pt idx="35">
                  <c:v>0.52981427174975559</c:v>
                </c:pt>
                <c:pt idx="36">
                  <c:v>0.4731182795698925</c:v>
                </c:pt>
                <c:pt idx="37">
                  <c:v>0.51124144672531768</c:v>
                </c:pt>
                <c:pt idx="38">
                  <c:v>0.43401759530791789</c:v>
                </c:pt>
                <c:pt idx="39">
                  <c:v>0.48778103616813295</c:v>
                </c:pt>
                <c:pt idx="40">
                  <c:v>0.50439882697947214</c:v>
                </c:pt>
                <c:pt idx="41">
                  <c:v>0.47214076246334313</c:v>
                </c:pt>
                <c:pt idx="42">
                  <c:v>0.52101661779081132</c:v>
                </c:pt>
                <c:pt idx="43">
                  <c:v>0.44672531769305962</c:v>
                </c:pt>
                <c:pt idx="44">
                  <c:v>0.51124144672531768</c:v>
                </c:pt>
                <c:pt idx="45">
                  <c:v>0.5053763440860215</c:v>
                </c:pt>
                <c:pt idx="46">
                  <c:v>0.50048875855327468</c:v>
                </c:pt>
                <c:pt idx="47">
                  <c:v>0.41642228739002934</c:v>
                </c:pt>
                <c:pt idx="48">
                  <c:v>0.45063538611925708</c:v>
                </c:pt>
                <c:pt idx="49">
                  <c:v>0.50733137829912023</c:v>
                </c:pt>
                <c:pt idx="50">
                  <c:v>0.43792766373411535</c:v>
                </c:pt>
                <c:pt idx="51">
                  <c:v>0.46529814271749753</c:v>
                </c:pt>
                <c:pt idx="52">
                  <c:v>0.44965786901270771</c:v>
                </c:pt>
                <c:pt idx="53">
                  <c:v>0.4310850439882698</c:v>
                </c:pt>
                <c:pt idx="54">
                  <c:v>0.5053763440860215</c:v>
                </c:pt>
                <c:pt idx="55">
                  <c:v>0.45747800586510262</c:v>
                </c:pt>
                <c:pt idx="56">
                  <c:v>0.49364613880742914</c:v>
                </c:pt>
                <c:pt idx="57">
                  <c:v>0.48582600195503423</c:v>
                </c:pt>
                <c:pt idx="58">
                  <c:v>0.4203323558162268</c:v>
                </c:pt>
                <c:pt idx="59">
                  <c:v>0.38416422287390029</c:v>
                </c:pt>
                <c:pt idx="60">
                  <c:v>0.47996089931573804</c:v>
                </c:pt>
                <c:pt idx="61">
                  <c:v>0.4525904203323558</c:v>
                </c:pt>
                <c:pt idx="62">
                  <c:v>0.44477028347996089</c:v>
                </c:pt>
                <c:pt idx="63">
                  <c:v>0.52199413489736068</c:v>
                </c:pt>
                <c:pt idx="64">
                  <c:v>0.46236559139784944</c:v>
                </c:pt>
                <c:pt idx="65">
                  <c:v>0.47116324535679377</c:v>
                </c:pt>
                <c:pt idx="66">
                  <c:v>0.50342130987292277</c:v>
                </c:pt>
                <c:pt idx="67">
                  <c:v>0.46138807429130008</c:v>
                </c:pt>
                <c:pt idx="68">
                  <c:v>0.45943304007820135</c:v>
                </c:pt>
                <c:pt idx="69">
                  <c:v>0.43499511241446726</c:v>
                </c:pt>
                <c:pt idx="70">
                  <c:v>0.47800586510263932</c:v>
                </c:pt>
                <c:pt idx="71">
                  <c:v>0.41055718475073316</c:v>
                </c:pt>
                <c:pt idx="72">
                  <c:v>0.44379276637341153</c:v>
                </c:pt>
                <c:pt idx="73">
                  <c:v>0.42326490713587489</c:v>
                </c:pt>
                <c:pt idx="74">
                  <c:v>0.4731182795698925</c:v>
                </c:pt>
                <c:pt idx="75">
                  <c:v>0.44868035190615835</c:v>
                </c:pt>
                <c:pt idx="76">
                  <c:v>0.42913000977517107</c:v>
                </c:pt>
                <c:pt idx="77">
                  <c:v>0.46432062561094817</c:v>
                </c:pt>
                <c:pt idx="78">
                  <c:v>0.46725317693059626</c:v>
                </c:pt>
                <c:pt idx="79">
                  <c:v>0.50830889540566959</c:v>
                </c:pt>
                <c:pt idx="80">
                  <c:v>0.45063538611925708</c:v>
                </c:pt>
              </c:numCache>
            </c:numRef>
          </c:yVal>
        </c:ser>
        <c:ser>
          <c:idx val="2"/>
          <c:order val="2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data2!$N$2:$N$82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0.96187683284457481</c:v>
                </c:pt>
                <c:pt idx="8">
                  <c:v>0.74389051808406648</c:v>
                </c:pt>
                <c:pt idx="9">
                  <c:v>0.66080156402737045</c:v>
                </c:pt>
                <c:pt idx="10">
                  <c:v>0.60997067448680353</c:v>
                </c:pt>
                <c:pt idx="11">
                  <c:v>0.51515151515151514</c:v>
                </c:pt>
                <c:pt idx="12">
                  <c:v>0.50146627565982405</c:v>
                </c:pt>
                <c:pt idx="13">
                  <c:v>0.44379276637341153</c:v>
                </c:pt>
                <c:pt idx="14">
                  <c:v>0.43597262952101662</c:v>
                </c:pt>
                <c:pt idx="15">
                  <c:v>0.42815249266862171</c:v>
                </c:pt>
                <c:pt idx="16">
                  <c:v>0.3890518084066471</c:v>
                </c:pt>
                <c:pt idx="17">
                  <c:v>0.36950146627565983</c:v>
                </c:pt>
                <c:pt idx="18">
                  <c:v>0.30498533724340177</c:v>
                </c:pt>
                <c:pt idx="19">
                  <c:v>0.36950146627565983</c:v>
                </c:pt>
                <c:pt idx="20">
                  <c:v>0.32258064516129031</c:v>
                </c:pt>
                <c:pt idx="21">
                  <c:v>0.35777126099706746</c:v>
                </c:pt>
                <c:pt idx="22">
                  <c:v>0.3040078201368524</c:v>
                </c:pt>
                <c:pt idx="23">
                  <c:v>0.31573802541544477</c:v>
                </c:pt>
                <c:pt idx="24">
                  <c:v>0.29716520039100686</c:v>
                </c:pt>
                <c:pt idx="25">
                  <c:v>0.26295210166177907</c:v>
                </c:pt>
                <c:pt idx="26">
                  <c:v>0.24242424242424243</c:v>
                </c:pt>
                <c:pt idx="27">
                  <c:v>0.3284457478005865</c:v>
                </c:pt>
                <c:pt idx="28">
                  <c:v>0.33626588465298141</c:v>
                </c:pt>
                <c:pt idx="29">
                  <c:v>0.29716520039100686</c:v>
                </c:pt>
                <c:pt idx="30">
                  <c:v>0.29032258064516131</c:v>
                </c:pt>
                <c:pt idx="31">
                  <c:v>0.31280547409579668</c:v>
                </c:pt>
                <c:pt idx="32">
                  <c:v>0.27174975562072334</c:v>
                </c:pt>
                <c:pt idx="33">
                  <c:v>0.25317693059628543</c:v>
                </c:pt>
                <c:pt idx="34">
                  <c:v>0.30596285434995113</c:v>
                </c:pt>
                <c:pt idx="35">
                  <c:v>0.24731182795698925</c:v>
                </c:pt>
                <c:pt idx="36">
                  <c:v>0.23949169110459434</c:v>
                </c:pt>
                <c:pt idx="37">
                  <c:v>0.2316715542521994</c:v>
                </c:pt>
                <c:pt idx="38">
                  <c:v>0.26295210166177907</c:v>
                </c:pt>
                <c:pt idx="39">
                  <c:v>0.27859237536656889</c:v>
                </c:pt>
                <c:pt idx="40">
                  <c:v>0.24926686217008798</c:v>
                </c:pt>
                <c:pt idx="41">
                  <c:v>0.27272727272727271</c:v>
                </c:pt>
                <c:pt idx="42">
                  <c:v>0.23949169110459434</c:v>
                </c:pt>
                <c:pt idx="43">
                  <c:v>0.26001955034213098</c:v>
                </c:pt>
                <c:pt idx="44">
                  <c:v>0.23949169110459434</c:v>
                </c:pt>
                <c:pt idx="45">
                  <c:v>0.23362658846529813</c:v>
                </c:pt>
                <c:pt idx="46">
                  <c:v>0.26295210166177907</c:v>
                </c:pt>
                <c:pt idx="47">
                  <c:v>0.24926686217008798</c:v>
                </c:pt>
                <c:pt idx="48">
                  <c:v>0.2316715542521994</c:v>
                </c:pt>
                <c:pt idx="49">
                  <c:v>0.26295210166177907</c:v>
                </c:pt>
                <c:pt idx="50">
                  <c:v>0.26295210166177907</c:v>
                </c:pt>
                <c:pt idx="51">
                  <c:v>0.21798631476050831</c:v>
                </c:pt>
                <c:pt idx="52">
                  <c:v>0.26588465298142716</c:v>
                </c:pt>
                <c:pt idx="53">
                  <c:v>0.23851417399804498</c:v>
                </c:pt>
                <c:pt idx="54">
                  <c:v>0.21700879765395895</c:v>
                </c:pt>
                <c:pt idx="55">
                  <c:v>0.27272727272727271</c:v>
                </c:pt>
                <c:pt idx="56">
                  <c:v>0.26197458455522971</c:v>
                </c:pt>
                <c:pt idx="57">
                  <c:v>0.25219941348973607</c:v>
                </c:pt>
                <c:pt idx="58">
                  <c:v>0.22482893450635386</c:v>
                </c:pt>
                <c:pt idx="59">
                  <c:v>0.25024437927663734</c:v>
                </c:pt>
                <c:pt idx="60">
                  <c:v>0.22776148582600195</c:v>
                </c:pt>
                <c:pt idx="61">
                  <c:v>0.28836754643206258</c:v>
                </c:pt>
                <c:pt idx="62">
                  <c:v>0.24144672531769307</c:v>
                </c:pt>
                <c:pt idx="63">
                  <c:v>0.21700879765395895</c:v>
                </c:pt>
                <c:pt idx="64">
                  <c:v>0.25024437927663734</c:v>
                </c:pt>
                <c:pt idx="65">
                  <c:v>0.2316715542521994</c:v>
                </c:pt>
                <c:pt idx="66">
                  <c:v>0.25904203323558161</c:v>
                </c:pt>
                <c:pt idx="67">
                  <c:v>0.24242424242424243</c:v>
                </c:pt>
                <c:pt idx="68">
                  <c:v>0.26099706744868034</c:v>
                </c:pt>
                <c:pt idx="69">
                  <c:v>0.27174975562072334</c:v>
                </c:pt>
                <c:pt idx="70">
                  <c:v>0.23558162267839688</c:v>
                </c:pt>
                <c:pt idx="71">
                  <c:v>0.29814271749755622</c:v>
                </c:pt>
                <c:pt idx="72">
                  <c:v>0.23264907135874877</c:v>
                </c:pt>
                <c:pt idx="73">
                  <c:v>0.24828934506353861</c:v>
                </c:pt>
                <c:pt idx="74">
                  <c:v>0.26686217008797652</c:v>
                </c:pt>
                <c:pt idx="75">
                  <c:v>0.21212121212121213</c:v>
                </c:pt>
                <c:pt idx="76">
                  <c:v>0.24242424242424243</c:v>
                </c:pt>
                <c:pt idx="77">
                  <c:v>0.20039100684261973</c:v>
                </c:pt>
                <c:pt idx="78">
                  <c:v>0.25610948191593352</c:v>
                </c:pt>
                <c:pt idx="79">
                  <c:v>0.24828934506353861</c:v>
                </c:pt>
                <c:pt idx="80">
                  <c:v>0.29521016617790813</c:v>
                </c:pt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data2!$O$2:$O$82</c:f>
              <c:numCache>
                <c:formatCode>0.000</c:formatCode>
                <c:ptCount val="81"/>
                <c:pt idx="0">
                  <c:v>0.52785923753665687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0.75268817204301075</c:v>
                </c:pt>
                <c:pt idx="6">
                  <c:v>0.61583577712609971</c:v>
                </c:pt>
                <c:pt idx="7">
                  <c:v>0.48680351906158359</c:v>
                </c:pt>
                <c:pt idx="8">
                  <c:v>0.41348973607038125</c:v>
                </c:pt>
                <c:pt idx="9">
                  <c:v>0.34799608993157383</c:v>
                </c:pt>
                <c:pt idx="10">
                  <c:v>0.32160312805474095</c:v>
                </c:pt>
                <c:pt idx="11">
                  <c:v>0.28347996089931576</c:v>
                </c:pt>
                <c:pt idx="12">
                  <c:v>0.27174975562072334</c:v>
                </c:pt>
                <c:pt idx="13">
                  <c:v>0.21212121212121213</c:v>
                </c:pt>
                <c:pt idx="14">
                  <c:v>0.23655913978494625</c:v>
                </c:pt>
                <c:pt idx="15">
                  <c:v>0.21700879765395895</c:v>
                </c:pt>
                <c:pt idx="16">
                  <c:v>0.17106549364613879</c:v>
                </c:pt>
                <c:pt idx="17">
                  <c:v>0.20039100684261973</c:v>
                </c:pt>
                <c:pt idx="18">
                  <c:v>0.16715542521994134</c:v>
                </c:pt>
                <c:pt idx="19">
                  <c:v>0.17204301075268819</c:v>
                </c:pt>
                <c:pt idx="20">
                  <c:v>0.16324535679374388</c:v>
                </c:pt>
                <c:pt idx="21">
                  <c:v>0.15542521994134897</c:v>
                </c:pt>
                <c:pt idx="22">
                  <c:v>0.17008797653958943</c:v>
                </c:pt>
                <c:pt idx="23">
                  <c:v>0.16617790811339198</c:v>
                </c:pt>
                <c:pt idx="24">
                  <c:v>0.17399804496578691</c:v>
                </c:pt>
                <c:pt idx="25">
                  <c:v>0.16715542521994134</c:v>
                </c:pt>
                <c:pt idx="26">
                  <c:v>0.16031280547409579</c:v>
                </c:pt>
                <c:pt idx="27">
                  <c:v>0.17302052785923755</c:v>
                </c:pt>
                <c:pt idx="28">
                  <c:v>0.15444770283479961</c:v>
                </c:pt>
                <c:pt idx="29">
                  <c:v>0.1378299120234604</c:v>
                </c:pt>
                <c:pt idx="30">
                  <c:v>0.15933528836754643</c:v>
                </c:pt>
                <c:pt idx="31">
                  <c:v>0.13489736070381231</c:v>
                </c:pt>
                <c:pt idx="32">
                  <c:v>0.1466275659824047</c:v>
                </c:pt>
                <c:pt idx="33">
                  <c:v>0.16031280547409579</c:v>
                </c:pt>
                <c:pt idx="34">
                  <c:v>0.11632453567937438</c:v>
                </c:pt>
                <c:pt idx="35">
                  <c:v>0.16226783968719452</c:v>
                </c:pt>
                <c:pt idx="36">
                  <c:v>0.18181818181818182</c:v>
                </c:pt>
                <c:pt idx="37">
                  <c:v>0.13880742913000976</c:v>
                </c:pt>
                <c:pt idx="38">
                  <c:v>0.14271749755620725</c:v>
                </c:pt>
                <c:pt idx="39">
                  <c:v>0.12218963831867058</c:v>
                </c:pt>
                <c:pt idx="40">
                  <c:v>0.16226783968719452</c:v>
                </c:pt>
                <c:pt idx="41">
                  <c:v>0.14858260019550343</c:v>
                </c:pt>
                <c:pt idx="42">
                  <c:v>0.13685239491691104</c:v>
                </c:pt>
                <c:pt idx="43">
                  <c:v>0.11241446725317693</c:v>
                </c:pt>
                <c:pt idx="44">
                  <c:v>0.15933528836754643</c:v>
                </c:pt>
                <c:pt idx="45">
                  <c:v>0.12023460410557185</c:v>
                </c:pt>
                <c:pt idx="46">
                  <c:v>0.15249266862170088</c:v>
                </c:pt>
                <c:pt idx="47">
                  <c:v>0.16422287390029325</c:v>
                </c:pt>
                <c:pt idx="48">
                  <c:v>0.14760508308895406</c:v>
                </c:pt>
                <c:pt idx="49">
                  <c:v>0.14858260019550343</c:v>
                </c:pt>
                <c:pt idx="50">
                  <c:v>0.13489736070381231</c:v>
                </c:pt>
                <c:pt idx="51">
                  <c:v>0.14467253176930597</c:v>
                </c:pt>
                <c:pt idx="52">
                  <c:v>0.17204301075268819</c:v>
                </c:pt>
                <c:pt idx="53">
                  <c:v>0.13978494623655913</c:v>
                </c:pt>
                <c:pt idx="54">
                  <c:v>0.13685239491691104</c:v>
                </c:pt>
                <c:pt idx="55">
                  <c:v>0.11730205278592376</c:v>
                </c:pt>
                <c:pt idx="56">
                  <c:v>0.1378299120234604</c:v>
                </c:pt>
                <c:pt idx="57">
                  <c:v>0.14369501466275661</c:v>
                </c:pt>
                <c:pt idx="58">
                  <c:v>0.15151515151515152</c:v>
                </c:pt>
                <c:pt idx="59">
                  <c:v>0.10068426197458455</c:v>
                </c:pt>
                <c:pt idx="60">
                  <c:v>0.11632453567937438</c:v>
                </c:pt>
                <c:pt idx="61">
                  <c:v>0.13880742913000976</c:v>
                </c:pt>
                <c:pt idx="62">
                  <c:v>0.14271749755620725</c:v>
                </c:pt>
                <c:pt idx="63">
                  <c:v>0.14858260019550343</c:v>
                </c:pt>
                <c:pt idx="64">
                  <c:v>0.14956011730205279</c:v>
                </c:pt>
                <c:pt idx="65">
                  <c:v>0.15444770283479961</c:v>
                </c:pt>
                <c:pt idx="66">
                  <c:v>0.13685239491691104</c:v>
                </c:pt>
                <c:pt idx="67">
                  <c:v>0.12609970674486803</c:v>
                </c:pt>
                <c:pt idx="68">
                  <c:v>0.11730205278592376</c:v>
                </c:pt>
                <c:pt idx="69">
                  <c:v>0.13685239491691104</c:v>
                </c:pt>
                <c:pt idx="70">
                  <c:v>0.13880742913000976</c:v>
                </c:pt>
                <c:pt idx="71">
                  <c:v>0.13196480938416422</c:v>
                </c:pt>
                <c:pt idx="72">
                  <c:v>0.13489736070381231</c:v>
                </c:pt>
                <c:pt idx="73">
                  <c:v>0.13880742913000976</c:v>
                </c:pt>
                <c:pt idx="74">
                  <c:v>0.11632453567937438</c:v>
                </c:pt>
                <c:pt idx="75">
                  <c:v>0.12023460410557185</c:v>
                </c:pt>
                <c:pt idx="76">
                  <c:v>0.17497556207233628</c:v>
                </c:pt>
                <c:pt idx="77">
                  <c:v>0.13098729227761485</c:v>
                </c:pt>
                <c:pt idx="78">
                  <c:v>0.14467253176930597</c:v>
                </c:pt>
                <c:pt idx="79">
                  <c:v>0.14858260019550343</c:v>
                </c:pt>
                <c:pt idx="80">
                  <c:v>0.13685239491691104</c:v>
                </c:pt>
              </c:numCache>
            </c:numRef>
          </c:yVal>
        </c:ser>
        <c:axId val="155573248"/>
        <c:axId val="155579136"/>
      </c:scatterChart>
      <c:valAx>
        <c:axId val="155573248"/>
        <c:scaling>
          <c:orientation val="minMax"/>
        </c:scaling>
        <c:axPos val="b"/>
        <c:numFmt formatCode="0.0" sourceLinked="1"/>
        <c:tickLblPos val="nextTo"/>
        <c:crossAx val="155579136"/>
        <c:crosses val="autoZero"/>
        <c:crossBetween val="midCat"/>
      </c:valAx>
      <c:valAx>
        <c:axId val="155579136"/>
        <c:scaling>
          <c:orientation val="minMax"/>
        </c:scaling>
        <c:axPos val="l"/>
        <c:majorGridlines/>
        <c:numFmt formatCode="0.000" sourceLinked="1"/>
        <c:tickLblPos val="nextTo"/>
        <c:crossAx val="155573248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50"/>
              <a:t>0.3mm</a:t>
            </a:r>
            <a:endParaRPr lang="en-US"/>
          </a:p>
        </c:rich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data2!$Q$2:$Q$82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0.96676441837732163</c:v>
                </c:pt>
                <c:pt idx="14">
                  <c:v>0.87487781036168133</c:v>
                </c:pt>
                <c:pt idx="15">
                  <c:v>0.8191593352883676</c:v>
                </c:pt>
                <c:pt idx="16">
                  <c:v>0.75464320625610948</c:v>
                </c:pt>
                <c:pt idx="17">
                  <c:v>0.72140762463343111</c:v>
                </c:pt>
                <c:pt idx="18">
                  <c:v>0.69012707722385147</c:v>
                </c:pt>
                <c:pt idx="19">
                  <c:v>0.67644183773216027</c:v>
                </c:pt>
                <c:pt idx="20">
                  <c:v>0.68132942326490709</c:v>
                </c:pt>
                <c:pt idx="21">
                  <c:v>0.6647116324535679</c:v>
                </c:pt>
                <c:pt idx="22">
                  <c:v>0.62854349951124144</c:v>
                </c:pt>
                <c:pt idx="23">
                  <c:v>0.64907135874877808</c:v>
                </c:pt>
                <c:pt idx="24">
                  <c:v>0.62756598240469208</c:v>
                </c:pt>
                <c:pt idx="25">
                  <c:v>0.61974584555229717</c:v>
                </c:pt>
                <c:pt idx="26">
                  <c:v>0.56598240469208216</c:v>
                </c:pt>
                <c:pt idx="27">
                  <c:v>0.62854349951124144</c:v>
                </c:pt>
                <c:pt idx="28">
                  <c:v>0.58260019550342135</c:v>
                </c:pt>
                <c:pt idx="29">
                  <c:v>0.56304985337243396</c:v>
                </c:pt>
                <c:pt idx="30">
                  <c:v>0.53079178885630496</c:v>
                </c:pt>
                <c:pt idx="31">
                  <c:v>0.55327468230694032</c:v>
                </c:pt>
                <c:pt idx="32">
                  <c:v>0.5972629521016618</c:v>
                </c:pt>
                <c:pt idx="33">
                  <c:v>0.56109481915933523</c:v>
                </c:pt>
                <c:pt idx="34">
                  <c:v>0.55913978494623651</c:v>
                </c:pt>
                <c:pt idx="35">
                  <c:v>0.54252199413489732</c:v>
                </c:pt>
                <c:pt idx="36">
                  <c:v>0.52101661779081132</c:v>
                </c:pt>
                <c:pt idx="37">
                  <c:v>0.54447702834799605</c:v>
                </c:pt>
                <c:pt idx="38">
                  <c:v>0.54154447702834796</c:v>
                </c:pt>
                <c:pt idx="39">
                  <c:v>0.51026392961876832</c:v>
                </c:pt>
                <c:pt idx="40">
                  <c:v>0.51808406647116323</c:v>
                </c:pt>
                <c:pt idx="41">
                  <c:v>0.44086021505376344</c:v>
                </c:pt>
                <c:pt idx="42">
                  <c:v>0.53567937438905178</c:v>
                </c:pt>
                <c:pt idx="43">
                  <c:v>0.49657869012707723</c:v>
                </c:pt>
                <c:pt idx="44">
                  <c:v>0.50146627565982405</c:v>
                </c:pt>
                <c:pt idx="45">
                  <c:v>0.49560117302052786</c:v>
                </c:pt>
                <c:pt idx="46">
                  <c:v>0.47996089931573804</c:v>
                </c:pt>
                <c:pt idx="47">
                  <c:v>0.49071358748778104</c:v>
                </c:pt>
                <c:pt idx="48">
                  <c:v>0.52590420332355814</c:v>
                </c:pt>
                <c:pt idx="49">
                  <c:v>0.50342130987292277</c:v>
                </c:pt>
                <c:pt idx="50">
                  <c:v>0.49560117302052786</c:v>
                </c:pt>
                <c:pt idx="51">
                  <c:v>0.4838709677419355</c:v>
                </c:pt>
                <c:pt idx="52">
                  <c:v>0.49071358748778104</c:v>
                </c:pt>
                <c:pt idx="53">
                  <c:v>0.4838709677419355</c:v>
                </c:pt>
                <c:pt idx="54">
                  <c:v>0.48875855327468232</c:v>
                </c:pt>
                <c:pt idx="55">
                  <c:v>0.50342130987292277</c:v>
                </c:pt>
                <c:pt idx="56">
                  <c:v>0.47018572825024441</c:v>
                </c:pt>
                <c:pt idx="57">
                  <c:v>0.51026392961876832</c:v>
                </c:pt>
                <c:pt idx="58">
                  <c:v>0.49364613880742914</c:v>
                </c:pt>
                <c:pt idx="59">
                  <c:v>0.48093841642228741</c:v>
                </c:pt>
                <c:pt idx="60">
                  <c:v>0.46725317693059626</c:v>
                </c:pt>
                <c:pt idx="61">
                  <c:v>0.46823069403714562</c:v>
                </c:pt>
                <c:pt idx="62">
                  <c:v>0.49951124144672532</c:v>
                </c:pt>
                <c:pt idx="63">
                  <c:v>0.50439882697947214</c:v>
                </c:pt>
                <c:pt idx="64">
                  <c:v>0.51515151515151514</c:v>
                </c:pt>
                <c:pt idx="65">
                  <c:v>0.4525904203323558</c:v>
                </c:pt>
                <c:pt idx="66">
                  <c:v>0.50244379276637341</c:v>
                </c:pt>
                <c:pt idx="67">
                  <c:v>0.48680351906158359</c:v>
                </c:pt>
                <c:pt idx="68">
                  <c:v>0.46920821114369504</c:v>
                </c:pt>
                <c:pt idx="69">
                  <c:v>0.46236559139784944</c:v>
                </c:pt>
                <c:pt idx="70">
                  <c:v>0.49560117302052786</c:v>
                </c:pt>
                <c:pt idx="71">
                  <c:v>0.47702834799608995</c:v>
                </c:pt>
                <c:pt idx="72">
                  <c:v>0.5376344086021505</c:v>
                </c:pt>
                <c:pt idx="73">
                  <c:v>0.49657869012707723</c:v>
                </c:pt>
                <c:pt idx="74">
                  <c:v>0.5053763440860215</c:v>
                </c:pt>
                <c:pt idx="75">
                  <c:v>0.4731182795698925</c:v>
                </c:pt>
                <c:pt idx="76">
                  <c:v>0.47996089931573804</c:v>
                </c:pt>
                <c:pt idx="77">
                  <c:v>0.46823069403714562</c:v>
                </c:pt>
                <c:pt idx="78">
                  <c:v>0.52492668621700878</c:v>
                </c:pt>
                <c:pt idx="79">
                  <c:v>0.45552297165200389</c:v>
                </c:pt>
                <c:pt idx="80">
                  <c:v>0.55327468230694032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data2!$R$2:$R$82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0.96676441837732163</c:v>
                </c:pt>
                <c:pt idx="8">
                  <c:v>0.81427174975562078</c:v>
                </c:pt>
                <c:pt idx="9">
                  <c:v>0.68523949169110454</c:v>
                </c:pt>
                <c:pt idx="10">
                  <c:v>0.59921798631476053</c:v>
                </c:pt>
                <c:pt idx="11">
                  <c:v>0.49169110459433041</c:v>
                </c:pt>
                <c:pt idx="12">
                  <c:v>0.49755620723362659</c:v>
                </c:pt>
                <c:pt idx="13">
                  <c:v>0.52101661779081132</c:v>
                </c:pt>
                <c:pt idx="14">
                  <c:v>0.42521994134897362</c:v>
                </c:pt>
                <c:pt idx="15">
                  <c:v>0.40664711632453565</c:v>
                </c:pt>
                <c:pt idx="16">
                  <c:v>0.44086021505376344</c:v>
                </c:pt>
                <c:pt idx="17">
                  <c:v>0.41055718475073316</c:v>
                </c:pt>
                <c:pt idx="18">
                  <c:v>0.33137829912023459</c:v>
                </c:pt>
                <c:pt idx="19">
                  <c:v>0.31964809384164222</c:v>
                </c:pt>
                <c:pt idx="20">
                  <c:v>0.39589442815249265</c:v>
                </c:pt>
                <c:pt idx="21">
                  <c:v>0.36950146627565983</c:v>
                </c:pt>
                <c:pt idx="22">
                  <c:v>0.36950146627565983</c:v>
                </c:pt>
                <c:pt idx="23">
                  <c:v>0.3460410557184751</c:v>
                </c:pt>
                <c:pt idx="24">
                  <c:v>0.29130009775171067</c:v>
                </c:pt>
                <c:pt idx="25">
                  <c:v>0.31671554252199413</c:v>
                </c:pt>
                <c:pt idx="26">
                  <c:v>0.30498533724340177</c:v>
                </c:pt>
                <c:pt idx="27">
                  <c:v>0.33724340175953077</c:v>
                </c:pt>
                <c:pt idx="28">
                  <c:v>0.29521016617790813</c:v>
                </c:pt>
                <c:pt idx="29">
                  <c:v>0.27174975562072334</c:v>
                </c:pt>
                <c:pt idx="30">
                  <c:v>0.31085043988269795</c:v>
                </c:pt>
                <c:pt idx="31">
                  <c:v>0.30987292277614858</c:v>
                </c:pt>
                <c:pt idx="32">
                  <c:v>0.30791788856304986</c:v>
                </c:pt>
                <c:pt idx="33">
                  <c:v>0.28641251221896386</c:v>
                </c:pt>
                <c:pt idx="34">
                  <c:v>0.30205278592375367</c:v>
                </c:pt>
                <c:pt idx="35">
                  <c:v>0.26783968719452589</c:v>
                </c:pt>
                <c:pt idx="36">
                  <c:v>0.29227761485826004</c:v>
                </c:pt>
                <c:pt idx="37">
                  <c:v>0.27077223851417398</c:v>
                </c:pt>
                <c:pt idx="38">
                  <c:v>0.30694037145650049</c:v>
                </c:pt>
                <c:pt idx="39">
                  <c:v>0.29716520039100686</c:v>
                </c:pt>
                <c:pt idx="40">
                  <c:v>0.27859237536656889</c:v>
                </c:pt>
                <c:pt idx="41">
                  <c:v>0.26295210166177907</c:v>
                </c:pt>
                <c:pt idx="42">
                  <c:v>0.27761485826001953</c:v>
                </c:pt>
                <c:pt idx="43">
                  <c:v>0.26099706744868034</c:v>
                </c:pt>
                <c:pt idx="44">
                  <c:v>0.2316715542521994</c:v>
                </c:pt>
                <c:pt idx="45">
                  <c:v>0.2649071358748778</c:v>
                </c:pt>
                <c:pt idx="46">
                  <c:v>0.28836754643206258</c:v>
                </c:pt>
                <c:pt idx="47">
                  <c:v>0.22385141739980449</c:v>
                </c:pt>
                <c:pt idx="48">
                  <c:v>0.24242424242424243</c:v>
                </c:pt>
                <c:pt idx="49">
                  <c:v>0.23655913978494625</c:v>
                </c:pt>
                <c:pt idx="50">
                  <c:v>0.30009775171065495</c:v>
                </c:pt>
                <c:pt idx="51">
                  <c:v>0.29227761485826004</c:v>
                </c:pt>
                <c:pt idx="52">
                  <c:v>0.23851417399804498</c:v>
                </c:pt>
                <c:pt idx="53">
                  <c:v>0.27272727272727271</c:v>
                </c:pt>
                <c:pt idx="54">
                  <c:v>0.28054740957966762</c:v>
                </c:pt>
                <c:pt idx="55">
                  <c:v>0.23655913978494625</c:v>
                </c:pt>
                <c:pt idx="56">
                  <c:v>0.27859237536656889</c:v>
                </c:pt>
                <c:pt idx="57">
                  <c:v>0.26295210166177907</c:v>
                </c:pt>
                <c:pt idx="58">
                  <c:v>0.25317693059628543</c:v>
                </c:pt>
                <c:pt idx="59">
                  <c:v>0.25904203323558161</c:v>
                </c:pt>
                <c:pt idx="60">
                  <c:v>0.26686217008797652</c:v>
                </c:pt>
                <c:pt idx="61">
                  <c:v>0.2756598240469208</c:v>
                </c:pt>
                <c:pt idx="62">
                  <c:v>0.23753665689149561</c:v>
                </c:pt>
                <c:pt idx="63">
                  <c:v>0.22385141739980449</c:v>
                </c:pt>
                <c:pt idx="64">
                  <c:v>0.28934506353861195</c:v>
                </c:pt>
                <c:pt idx="65">
                  <c:v>0.23460410557184752</c:v>
                </c:pt>
                <c:pt idx="66">
                  <c:v>0.27956989247311825</c:v>
                </c:pt>
                <c:pt idx="67">
                  <c:v>0.2541544477028348</c:v>
                </c:pt>
                <c:pt idx="68">
                  <c:v>0.26783968719452589</c:v>
                </c:pt>
                <c:pt idx="69">
                  <c:v>0.24926686217008798</c:v>
                </c:pt>
                <c:pt idx="70">
                  <c:v>0.2541544477028348</c:v>
                </c:pt>
                <c:pt idx="71">
                  <c:v>0.26979472140762462</c:v>
                </c:pt>
                <c:pt idx="72">
                  <c:v>0.2649071358748778</c:v>
                </c:pt>
                <c:pt idx="73">
                  <c:v>0.26001955034213098</c:v>
                </c:pt>
                <c:pt idx="74">
                  <c:v>0.23949169110459434</c:v>
                </c:pt>
                <c:pt idx="75">
                  <c:v>0.2541544477028348</c:v>
                </c:pt>
                <c:pt idx="76">
                  <c:v>0.25219941348973607</c:v>
                </c:pt>
                <c:pt idx="77">
                  <c:v>0.27663734115347016</c:v>
                </c:pt>
                <c:pt idx="78">
                  <c:v>0.24437927663734116</c:v>
                </c:pt>
                <c:pt idx="79">
                  <c:v>0.26881720430107525</c:v>
                </c:pt>
                <c:pt idx="80">
                  <c:v>0.24731182795698925</c:v>
                </c:pt>
              </c:numCache>
            </c:numRef>
          </c:yVal>
        </c:ser>
        <c:ser>
          <c:idx val="2"/>
          <c:order val="2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data2!$S$2:$S$82</c:f>
              <c:numCache>
                <c:formatCode>0.000</c:formatCode>
                <c:ptCount val="81"/>
                <c:pt idx="0">
                  <c:v>0.60606060606060608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0.76148582600195502</c:v>
                </c:pt>
                <c:pt idx="6">
                  <c:v>0.59237536656891498</c:v>
                </c:pt>
                <c:pt idx="7">
                  <c:v>0.48093841642228741</c:v>
                </c:pt>
                <c:pt idx="8">
                  <c:v>0.4310850439882698</c:v>
                </c:pt>
                <c:pt idx="9">
                  <c:v>0.36168132942326492</c:v>
                </c:pt>
                <c:pt idx="10">
                  <c:v>0.30987292277614858</c:v>
                </c:pt>
                <c:pt idx="11">
                  <c:v>0.29912023460410558</c:v>
                </c:pt>
                <c:pt idx="12">
                  <c:v>0.2649071358748778</c:v>
                </c:pt>
                <c:pt idx="13">
                  <c:v>0.25024437927663734</c:v>
                </c:pt>
                <c:pt idx="14">
                  <c:v>0.22580645161290322</c:v>
                </c:pt>
                <c:pt idx="15">
                  <c:v>0.2209188660801564</c:v>
                </c:pt>
                <c:pt idx="16">
                  <c:v>0.21603128054740958</c:v>
                </c:pt>
                <c:pt idx="17">
                  <c:v>0.21212121212121213</c:v>
                </c:pt>
                <c:pt idx="18">
                  <c:v>0.23460410557184752</c:v>
                </c:pt>
                <c:pt idx="19">
                  <c:v>0.19941348973607037</c:v>
                </c:pt>
                <c:pt idx="20">
                  <c:v>0.18084066471163246</c:v>
                </c:pt>
                <c:pt idx="21">
                  <c:v>0.1906158357771261</c:v>
                </c:pt>
                <c:pt idx="22">
                  <c:v>0.16911045943304007</c:v>
                </c:pt>
                <c:pt idx="23">
                  <c:v>0.17497556207233628</c:v>
                </c:pt>
                <c:pt idx="24">
                  <c:v>0.16226783968719452</c:v>
                </c:pt>
                <c:pt idx="25">
                  <c:v>0.1573802541544477</c:v>
                </c:pt>
                <c:pt idx="26">
                  <c:v>0.20332355816226783</c:v>
                </c:pt>
                <c:pt idx="27">
                  <c:v>0.16715542521994134</c:v>
                </c:pt>
                <c:pt idx="28">
                  <c:v>0.17399804496578691</c:v>
                </c:pt>
                <c:pt idx="29">
                  <c:v>0.13294232649071358</c:v>
                </c:pt>
                <c:pt idx="30">
                  <c:v>0.15151515151515152</c:v>
                </c:pt>
                <c:pt idx="31">
                  <c:v>0.17106549364613879</c:v>
                </c:pt>
                <c:pt idx="32">
                  <c:v>0.19550342130987292</c:v>
                </c:pt>
                <c:pt idx="33">
                  <c:v>0.16422287390029325</c:v>
                </c:pt>
                <c:pt idx="34">
                  <c:v>0.14956011730205279</c:v>
                </c:pt>
                <c:pt idx="35">
                  <c:v>0.13391984359726294</c:v>
                </c:pt>
                <c:pt idx="36">
                  <c:v>0.16911045943304007</c:v>
                </c:pt>
                <c:pt idx="37">
                  <c:v>0.17106549364613879</c:v>
                </c:pt>
                <c:pt idx="38">
                  <c:v>0.16324535679374388</c:v>
                </c:pt>
                <c:pt idx="39">
                  <c:v>0.16031280547409579</c:v>
                </c:pt>
                <c:pt idx="40">
                  <c:v>0.14369501466275661</c:v>
                </c:pt>
                <c:pt idx="41">
                  <c:v>0.13489736070381231</c:v>
                </c:pt>
                <c:pt idx="42">
                  <c:v>0.13391984359726294</c:v>
                </c:pt>
                <c:pt idx="43">
                  <c:v>0.14956011730205279</c:v>
                </c:pt>
                <c:pt idx="44">
                  <c:v>0.1466275659824047</c:v>
                </c:pt>
                <c:pt idx="45">
                  <c:v>0.13294232649071358</c:v>
                </c:pt>
                <c:pt idx="46">
                  <c:v>0.16031280547409579</c:v>
                </c:pt>
                <c:pt idx="47">
                  <c:v>0.13489736070381231</c:v>
                </c:pt>
                <c:pt idx="48">
                  <c:v>0.15151515151515152</c:v>
                </c:pt>
                <c:pt idx="49">
                  <c:v>0.13489736070381231</c:v>
                </c:pt>
                <c:pt idx="50">
                  <c:v>0.13880742913000976</c:v>
                </c:pt>
                <c:pt idx="51">
                  <c:v>0.16031280547409579</c:v>
                </c:pt>
                <c:pt idx="52">
                  <c:v>9.6774193548387094E-2</c:v>
                </c:pt>
                <c:pt idx="53">
                  <c:v>0.12512218963831867</c:v>
                </c:pt>
                <c:pt idx="54">
                  <c:v>9.9706744868035185E-2</c:v>
                </c:pt>
                <c:pt idx="55">
                  <c:v>0.12316715542521994</c:v>
                </c:pt>
                <c:pt idx="56">
                  <c:v>0.13294232649071358</c:v>
                </c:pt>
                <c:pt idx="57">
                  <c:v>0.1270772238514174</c:v>
                </c:pt>
                <c:pt idx="58">
                  <c:v>0.11339198435972629</c:v>
                </c:pt>
                <c:pt idx="59">
                  <c:v>0.14858260019550343</c:v>
                </c:pt>
                <c:pt idx="60">
                  <c:v>0.14076246334310849</c:v>
                </c:pt>
                <c:pt idx="61">
                  <c:v>0.13294232649071358</c:v>
                </c:pt>
                <c:pt idx="62">
                  <c:v>0.15249266862170088</c:v>
                </c:pt>
                <c:pt idx="63">
                  <c:v>0.12903225806451613</c:v>
                </c:pt>
                <c:pt idx="64">
                  <c:v>0.13978494623655913</c:v>
                </c:pt>
                <c:pt idx="65">
                  <c:v>0.13880742913000976</c:v>
                </c:pt>
                <c:pt idx="66">
                  <c:v>0.15151515151515152</c:v>
                </c:pt>
                <c:pt idx="67">
                  <c:v>0.13294232649071358</c:v>
                </c:pt>
                <c:pt idx="68">
                  <c:v>0.15249266862170088</c:v>
                </c:pt>
                <c:pt idx="69">
                  <c:v>0.16031280547409579</c:v>
                </c:pt>
                <c:pt idx="70">
                  <c:v>0.15640273704789834</c:v>
                </c:pt>
                <c:pt idx="71">
                  <c:v>0.12609970674486803</c:v>
                </c:pt>
                <c:pt idx="72">
                  <c:v>0.14956011730205279</c:v>
                </c:pt>
                <c:pt idx="73">
                  <c:v>0.12414467253176931</c:v>
                </c:pt>
                <c:pt idx="74">
                  <c:v>0.15347018572825025</c:v>
                </c:pt>
                <c:pt idx="75">
                  <c:v>0.15640273704789834</c:v>
                </c:pt>
                <c:pt idx="76">
                  <c:v>0.1573802541544477</c:v>
                </c:pt>
                <c:pt idx="77">
                  <c:v>0.14858260019550343</c:v>
                </c:pt>
                <c:pt idx="78">
                  <c:v>0.14271749755620725</c:v>
                </c:pt>
                <c:pt idx="79">
                  <c:v>0.13196480938416422</c:v>
                </c:pt>
                <c:pt idx="80">
                  <c:v>0.16129032258064516</c:v>
                </c:pt>
              </c:numCache>
            </c:numRef>
          </c:yVal>
        </c:ser>
        <c:axId val="155443584"/>
        <c:axId val="155445120"/>
      </c:scatterChart>
      <c:valAx>
        <c:axId val="155443584"/>
        <c:scaling>
          <c:orientation val="minMax"/>
        </c:scaling>
        <c:axPos val="b"/>
        <c:numFmt formatCode="0.0" sourceLinked="1"/>
        <c:tickLblPos val="nextTo"/>
        <c:crossAx val="155445120"/>
        <c:crosses val="autoZero"/>
        <c:crossBetween val="midCat"/>
      </c:valAx>
      <c:valAx>
        <c:axId val="155445120"/>
        <c:scaling>
          <c:orientation val="minMax"/>
        </c:scaling>
        <c:axPos val="l"/>
        <c:majorGridlines/>
        <c:numFmt formatCode="0.000" sourceLinked="1"/>
        <c:tickLblPos val="nextTo"/>
        <c:crossAx val="155443584"/>
        <c:crosses val="autoZero"/>
        <c:crossBetween val="midCat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50"/>
              <a:t>0.4mm</a:t>
            </a:r>
            <a:endParaRPr lang="en-US"/>
          </a:p>
        </c:rich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data2!$U$2:$U$82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0.96676441837732163</c:v>
                </c:pt>
                <c:pt idx="14">
                  <c:v>0.86314760508308896</c:v>
                </c:pt>
                <c:pt idx="15">
                  <c:v>0.8406647116324536</c:v>
                </c:pt>
                <c:pt idx="16">
                  <c:v>0.82013685239491696</c:v>
                </c:pt>
                <c:pt idx="17">
                  <c:v>0.78983382209188657</c:v>
                </c:pt>
                <c:pt idx="18">
                  <c:v>0.72825024437927666</c:v>
                </c:pt>
                <c:pt idx="19">
                  <c:v>0.69305962854349956</c:v>
                </c:pt>
                <c:pt idx="20">
                  <c:v>0.68132942326490709</c:v>
                </c:pt>
                <c:pt idx="21">
                  <c:v>0.6647116324535679</c:v>
                </c:pt>
                <c:pt idx="22">
                  <c:v>0.63147605083088953</c:v>
                </c:pt>
                <c:pt idx="23">
                  <c:v>0.70381231671554256</c:v>
                </c:pt>
                <c:pt idx="24">
                  <c:v>0.65493646138807426</c:v>
                </c:pt>
                <c:pt idx="25">
                  <c:v>0.69110459433040083</c:v>
                </c:pt>
                <c:pt idx="26">
                  <c:v>0.64711632453567935</c:v>
                </c:pt>
                <c:pt idx="27">
                  <c:v>0.5620723362658846</c:v>
                </c:pt>
                <c:pt idx="28">
                  <c:v>0.54545454545454541</c:v>
                </c:pt>
                <c:pt idx="29">
                  <c:v>0.59921798631476053</c:v>
                </c:pt>
                <c:pt idx="30">
                  <c:v>0.5972629521016618</c:v>
                </c:pt>
                <c:pt idx="31">
                  <c:v>0.57282502443792771</c:v>
                </c:pt>
                <c:pt idx="32">
                  <c:v>0.60019550342130989</c:v>
                </c:pt>
                <c:pt idx="33">
                  <c:v>0.60606060606060608</c:v>
                </c:pt>
                <c:pt idx="34">
                  <c:v>0.63831867057673508</c:v>
                </c:pt>
                <c:pt idx="35">
                  <c:v>0.61290322580645162</c:v>
                </c:pt>
                <c:pt idx="36">
                  <c:v>0.56011730205278587</c:v>
                </c:pt>
                <c:pt idx="37">
                  <c:v>0.52883675464320623</c:v>
                </c:pt>
                <c:pt idx="38">
                  <c:v>0.59042033235581626</c:v>
                </c:pt>
                <c:pt idx="39">
                  <c:v>0.54545454545454541</c:v>
                </c:pt>
                <c:pt idx="40">
                  <c:v>0.57966764418377326</c:v>
                </c:pt>
                <c:pt idx="41">
                  <c:v>0.49266862170087977</c:v>
                </c:pt>
                <c:pt idx="42">
                  <c:v>0.52981427174975559</c:v>
                </c:pt>
                <c:pt idx="43">
                  <c:v>0.6217008797653959</c:v>
                </c:pt>
                <c:pt idx="44">
                  <c:v>0.54154447702834796</c:v>
                </c:pt>
                <c:pt idx="45">
                  <c:v>0.5161290322580645</c:v>
                </c:pt>
                <c:pt idx="46">
                  <c:v>0.56891495601173026</c:v>
                </c:pt>
                <c:pt idx="47">
                  <c:v>0.49951124144672532</c:v>
                </c:pt>
                <c:pt idx="48">
                  <c:v>0.58846529814271753</c:v>
                </c:pt>
                <c:pt idx="49">
                  <c:v>0.52101661779081132</c:v>
                </c:pt>
                <c:pt idx="50">
                  <c:v>0.51417399804496577</c:v>
                </c:pt>
                <c:pt idx="51">
                  <c:v>0.5053763440860215</c:v>
                </c:pt>
                <c:pt idx="52">
                  <c:v>0.5376344086021505</c:v>
                </c:pt>
                <c:pt idx="53">
                  <c:v>0.52883675464320623</c:v>
                </c:pt>
                <c:pt idx="54">
                  <c:v>0.5053763440860215</c:v>
                </c:pt>
                <c:pt idx="55">
                  <c:v>0.54740957966764414</c:v>
                </c:pt>
                <c:pt idx="56">
                  <c:v>0.50146627565982405</c:v>
                </c:pt>
                <c:pt idx="57">
                  <c:v>0.52981427174975559</c:v>
                </c:pt>
                <c:pt idx="58">
                  <c:v>0.4731182795698925</c:v>
                </c:pt>
                <c:pt idx="59">
                  <c:v>0.59042033235581626</c:v>
                </c:pt>
                <c:pt idx="60">
                  <c:v>0.61388074291300099</c:v>
                </c:pt>
                <c:pt idx="61">
                  <c:v>0.51906158357771259</c:v>
                </c:pt>
                <c:pt idx="62">
                  <c:v>0.47507331378299122</c:v>
                </c:pt>
                <c:pt idx="63">
                  <c:v>0.47996089931573804</c:v>
                </c:pt>
                <c:pt idx="64">
                  <c:v>0.47409579667644186</c:v>
                </c:pt>
                <c:pt idx="65">
                  <c:v>0.53372434017595305</c:v>
                </c:pt>
                <c:pt idx="66">
                  <c:v>0.48191593352883677</c:v>
                </c:pt>
                <c:pt idx="67">
                  <c:v>0.53861192570869987</c:v>
                </c:pt>
                <c:pt idx="68">
                  <c:v>0.52883675464320623</c:v>
                </c:pt>
                <c:pt idx="69">
                  <c:v>0.52590420332355814</c:v>
                </c:pt>
                <c:pt idx="70">
                  <c:v>0.55816226783968714</c:v>
                </c:pt>
                <c:pt idx="71">
                  <c:v>0.50830889540566959</c:v>
                </c:pt>
                <c:pt idx="72">
                  <c:v>0.44086021505376344</c:v>
                </c:pt>
                <c:pt idx="73">
                  <c:v>0.51515151515151514</c:v>
                </c:pt>
                <c:pt idx="74">
                  <c:v>0.52394916911045941</c:v>
                </c:pt>
                <c:pt idx="75">
                  <c:v>0.4633431085043988</c:v>
                </c:pt>
                <c:pt idx="76">
                  <c:v>0.51221896383186705</c:v>
                </c:pt>
                <c:pt idx="77">
                  <c:v>0.48093841642228741</c:v>
                </c:pt>
                <c:pt idx="78">
                  <c:v>0.54447702834799605</c:v>
                </c:pt>
                <c:pt idx="79">
                  <c:v>0.47702834799608995</c:v>
                </c:pt>
                <c:pt idx="80">
                  <c:v>0.47702834799608995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data2!$V$2:$V$82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0.97751710654936463</c:v>
                </c:pt>
                <c:pt idx="8">
                  <c:v>0.75659824046920821</c:v>
                </c:pt>
                <c:pt idx="9">
                  <c:v>0.70381231671554256</c:v>
                </c:pt>
                <c:pt idx="10">
                  <c:v>0.62365591397849462</c:v>
                </c:pt>
                <c:pt idx="11">
                  <c:v>0.57966764418377326</c:v>
                </c:pt>
                <c:pt idx="12">
                  <c:v>0.52297165200391005</c:v>
                </c:pt>
                <c:pt idx="13">
                  <c:v>0.45943304007820135</c:v>
                </c:pt>
                <c:pt idx="14">
                  <c:v>0.43792766373411535</c:v>
                </c:pt>
                <c:pt idx="15">
                  <c:v>0.38318670576735092</c:v>
                </c:pt>
                <c:pt idx="16">
                  <c:v>0.40566959921798629</c:v>
                </c:pt>
                <c:pt idx="17">
                  <c:v>0.39980449657869011</c:v>
                </c:pt>
                <c:pt idx="18">
                  <c:v>0.35874877810361683</c:v>
                </c:pt>
                <c:pt idx="19">
                  <c:v>0.34799608993157383</c:v>
                </c:pt>
                <c:pt idx="20">
                  <c:v>0.37341153470185728</c:v>
                </c:pt>
                <c:pt idx="21">
                  <c:v>0.31964809384164222</c:v>
                </c:pt>
                <c:pt idx="22">
                  <c:v>0.33137829912023459</c:v>
                </c:pt>
                <c:pt idx="23">
                  <c:v>0.30987292277614858</c:v>
                </c:pt>
                <c:pt idx="24">
                  <c:v>0.33724340175953077</c:v>
                </c:pt>
                <c:pt idx="25">
                  <c:v>0.35092864125122192</c:v>
                </c:pt>
                <c:pt idx="26">
                  <c:v>0.33528836754643204</c:v>
                </c:pt>
                <c:pt idx="27">
                  <c:v>0.32746823069403713</c:v>
                </c:pt>
                <c:pt idx="28">
                  <c:v>0.3147605083088954</c:v>
                </c:pt>
                <c:pt idx="29">
                  <c:v>0.30009775171065495</c:v>
                </c:pt>
                <c:pt idx="30">
                  <c:v>0.29814271749755622</c:v>
                </c:pt>
                <c:pt idx="31">
                  <c:v>0.35092864125122192</c:v>
                </c:pt>
                <c:pt idx="32">
                  <c:v>0.30596285434995113</c:v>
                </c:pt>
                <c:pt idx="33">
                  <c:v>0.28347996089931576</c:v>
                </c:pt>
                <c:pt idx="34">
                  <c:v>0.28152492668621698</c:v>
                </c:pt>
                <c:pt idx="35">
                  <c:v>0.32453567937438904</c:v>
                </c:pt>
                <c:pt idx="36">
                  <c:v>0.33333333333333331</c:v>
                </c:pt>
                <c:pt idx="37">
                  <c:v>0.27956989247311825</c:v>
                </c:pt>
                <c:pt idx="38">
                  <c:v>0.29227761485826004</c:v>
                </c:pt>
                <c:pt idx="39">
                  <c:v>0.27859237536656889</c:v>
                </c:pt>
                <c:pt idx="40">
                  <c:v>0.2649071358748778</c:v>
                </c:pt>
                <c:pt idx="41">
                  <c:v>0.32453567937438904</c:v>
                </c:pt>
                <c:pt idx="42">
                  <c:v>0.22385141739980449</c:v>
                </c:pt>
                <c:pt idx="43">
                  <c:v>0.30107526881720431</c:v>
                </c:pt>
                <c:pt idx="44">
                  <c:v>0.27956989247311825</c:v>
                </c:pt>
                <c:pt idx="45">
                  <c:v>0.30694037145650049</c:v>
                </c:pt>
                <c:pt idx="46">
                  <c:v>0.30987292277614858</c:v>
                </c:pt>
                <c:pt idx="47">
                  <c:v>0.27272727272727271</c:v>
                </c:pt>
                <c:pt idx="48">
                  <c:v>0.29130009775171067</c:v>
                </c:pt>
                <c:pt idx="49">
                  <c:v>0.30791788856304986</c:v>
                </c:pt>
                <c:pt idx="50">
                  <c:v>0.30303030303030304</c:v>
                </c:pt>
                <c:pt idx="51">
                  <c:v>0.27956989247311825</c:v>
                </c:pt>
                <c:pt idx="52">
                  <c:v>0.26392961876832843</c:v>
                </c:pt>
                <c:pt idx="53">
                  <c:v>0.25610948191593352</c:v>
                </c:pt>
                <c:pt idx="54">
                  <c:v>0.30987292277614858</c:v>
                </c:pt>
                <c:pt idx="55">
                  <c:v>0.2541544477028348</c:v>
                </c:pt>
                <c:pt idx="56">
                  <c:v>0.27956989247311825</c:v>
                </c:pt>
                <c:pt idx="57">
                  <c:v>0.26295210166177907</c:v>
                </c:pt>
                <c:pt idx="58">
                  <c:v>0.3284457478005865</c:v>
                </c:pt>
                <c:pt idx="59">
                  <c:v>0.26686217008797652</c:v>
                </c:pt>
                <c:pt idx="60">
                  <c:v>0.2512218963831867</c:v>
                </c:pt>
                <c:pt idx="61">
                  <c:v>0.2649071358748778</c:v>
                </c:pt>
                <c:pt idx="62">
                  <c:v>0.28543499511241449</c:v>
                </c:pt>
                <c:pt idx="63">
                  <c:v>0.26099706744868034</c:v>
                </c:pt>
                <c:pt idx="64">
                  <c:v>0.29521016617790813</c:v>
                </c:pt>
                <c:pt idx="65">
                  <c:v>0.27077223851417398</c:v>
                </c:pt>
                <c:pt idx="66">
                  <c:v>0.27859237536656889</c:v>
                </c:pt>
                <c:pt idx="67">
                  <c:v>0.28641251221896386</c:v>
                </c:pt>
                <c:pt idx="68">
                  <c:v>0.25708699902248289</c:v>
                </c:pt>
                <c:pt idx="69">
                  <c:v>0.25904203323558161</c:v>
                </c:pt>
                <c:pt idx="70">
                  <c:v>0.32160312805474095</c:v>
                </c:pt>
                <c:pt idx="71">
                  <c:v>0.26881720430107525</c:v>
                </c:pt>
                <c:pt idx="72">
                  <c:v>0.26783968719452589</c:v>
                </c:pt>
                <c:pt idx="73">
                  <c:v>0.28641251221896386</c:v>
                </c:pt>
                <c:pt idx="74">
                  <c:v>0.27077223851417398</c:v>
                </c:pt>
                <c:pt idx="75">
                  <c:v>0.2541544477028348</c:v>
                </c:pt>
                <c:pt idx="76">
                  <c:v>0.27272727272727271</c:v>
                </c:pt>
                <c:pt idx="77">
                  <c:v>0.24340175953079179</c:v>
                </c:pt>
                <c:pt idx="78">
                  <c:v>0.25904203323558161</c:v>
                </c:pt>
                <c:pt idx="79">
                  <c:v>0.28641251221896386</c:v>
                </c:pt>
                <c:pt idx="80">
                  <c:v>0.27174975562072334</c:v>
                </c:pt>
              </c:numCache>
            </c:numRef>
          </c:yVal>
        </c:ser>
        <c:ser>
          <c:idx val="2"/>
          <c:order val="2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data2!$W$2:$W$82</c:f>
              <c:numCache>
                <c:formatCode>0.000</c:formatCode>
                <c:ptCount val="81"/>
                <c:pt idx="0">
                  <c:v>0.65689149560117299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0.7595307917888563</c:v>
                </c:pt>
                <c:pt idx="6">
                  <c:v>0.58260019550342135</c:v>
                </c:pt>
                <c:pt idx="7">
                  <c:v>0.49266862170087977</c:v>
                </c:pt>
                <c:pt idx="8">
                  <c:v>0.39784946236559138</c:v>
                </c:pt>
                <c:pt idx="9">
                  <c:v>0.38807429130009774</c:v>
                </c:pt>
                <c:pt idx="10">
                  <c:v>0.32355816226783968</c:v>
                </c:pt>
                <c:pt idx="11">
                  <c:v>0.27663734115347016</c:v>
                </c:pt>
                <c:pt idx="12">
                  <c:v>0.27468230694037143</c:v>
                </c:pt>
                <c:pt idx="13">
                  <c:v>0.24535679374389052</c:v>
                </c:pt>
                <c:pt idx="14">
                  <c:v>0.23558162267839688</c:v>
                </c:pt>
                <c:pt idx="15">
                  <c:v>0.22873900293255131</c:v>
                </c:pt>
                <c:pt idx="16">
                  <c:v>0.20234604105571846</c:v>
                </c:pt>
                <c:pt idx="17">
                  <c:v>0.18866080156402737</c:v>
                </c:pt>
                <c:pt idx="18">
                  <c:v>0.21994134897360704</c:v>
                </c:pt>
                <c:pt idx="19">
                  <c:v>0.20918866080156404</c:v>
                </c:pt>
                <c:pt idx="20">
                  <c:v>0.18084066471163246</c:v>
                </c:pt>
                <c:pt idx="21">
                  <c:v>0.17888563049853373</c:v>
                </c:pt>
                <c:pt idx="22">
                  <c:v>0.15053763440860216</c:v>
                </c:pt>
                <c:pt idx="23">
                  <c:v>0.16422287390029325</c:v>
                </c:pt>
                <c:pt idx="24">
                  <c:v>0.19452590420332355</c:v>
                </c:pt>
                <c:pt idx="25">
                  <c:v>0.20723362658846531</c:v>
                </c:pt>
                <c:pt idx="26">
                  <c:v>0.17790811339198437</c:v>
                </c:pt>
                <c:pt idx="27">
                  <c:v>0.1906158357771261</c:v>
                </c:pt>
                <c:pt idx="28">
                  <c:v>0.17106549364613879</c:v>
                </c:pt>
                <c:pt idx="29">
                  <c:v>0.15249266862170088</c:v>
                </c:pt>
                <c:pt idx="30">
                  <c:v>0.18475073313782991</c:v>
                </c:pt>
                <c:pt idx="31">
                  <c:v>0.16911045943304007</c:v>
                </c:pt>
                <c:pt idx="32">
                  <c:v>0.1906158357771261</c:v>
                </c:pt>
                <c:pt idx="33">
                  <c:v>0.16324535679374388</c:v>
                </c:pt>
                <c:pt idx="34">
                  <c:v>0.18572825024437928</c:v>
                </c:pt>
                <c:pt idx="35">
                  <c:v>0.15053763440860216</c:v>
                </c:pt>
                <c:pt idx="36">
                  <c:v>0.15347018572825025</c:v>
                </c:pt>
                <c:pt idx="37">
                  <c:v>0.16129032258064516</c:v>
                </c:pt>
                <c:pt idx="38">
                  <c:v>0.17106549364613879</c:v>
                </c:pt>
                <c:pt idx="39">
                  <c:v>0.17888563049853373</c:v>
                </c:pt>
                <c:pt idx="40">
                  <c:v>0.14369501466275661</c:v>
                </c:pt>
                <c:pt idx="41">
                  <c:v>0.15347018572825025</c:v>
                </c:pt>
                <c:pt idx="42">
                  <c:v>0.18279569892473119</c:v>
                </c:pt>
                <c:pt idx="43">
                  <c:v>0.17399804496578691</c:v>
                </c:pt>
                <c:pt idx="44">
                  <c:v>0.14076246334310849</c:v>
                </c:pt>
                <c:pt idx="45">
                  <c:v>0.14760508308895406</c:v>
                </c:pt>
                <c:pt idx="46">
                  <c:v>0.18963831867057673</c:v>
                </c:pt>
                <c:pt idx="47">
                  <c:v>0.16520039100684261</c:v>
                </c:pt>
                <c:pt idx="48">
                  <c:v>0.12609970674486803</c:v>
                </c:pt>
                <c:pt idx="49">
                  <c:v>0.13978494623655913</c:v>
                </c:pt>
                <c:pt idx="50">
                  <c:v>0.15249266862170088</c:v>
                </c:pt>
                <c:pt idx="51">
                  <c:v>0.16617790811339198</c:v>
                </c:pt>
                <c:pt idx="52">
                  <c:v>0.14173998044965788</c:v>
                </c:pt>
                <c:pt idx="53">
                  <c:v>0.13978494623655913</c:v>
                </c:pt>
                <c:pt idx="54">
                  <c:v>0.15640273704789834</c:v>
                </c:pt>
                <c:pt idx="55">
                  <c:v>0.16911045943304007</c:v>
                </c:pt>
                <c:pt idx="56">
                  <c:v>0.18475073313782991</c:v>
                </c:pt>
                <c:pt idx="57">
                  <c:v>0.1906158357771261</c:v>
                </c:pt>
                <c:pt idx="58">
                  <c:v>0.16226783968719452</c:v>
                </c:pt>
                <c:pt idx="59">
                  <c:v>0.14467253176930597</c:v>
                </c:pt>
                <c:pt idx="60">
                  <c:v>0.16031280547409579</c:v>
                </c:pt>
                <c:pt idx="61">
                  <c:v>0.15542521994134897</c:v>
                </c:pt>
                <c:pt idx="62">
                  <c:v>0.14369501466275661</c:v>
                </c:pt>
                <c:pt idx="63">
                  <c:v>0.15249266862170088</c:v>
                </c:pt>
                <c:pt idx="64">
                  <c:v>0.15347018572825025</c:v>
                </c:pt>
                <c:pt idx="65">
                  <c:v>0.18475073313782991</c:v>
                </c:pt>
                <c:pt idx="66">
                  <c:v>0.15249266862170088</c:v>
                </c:pt>
                <c:pt idx="67">
                  <c:v>0.1270772238514174</c:v>
                </c:pt>
                <c:pt idx="68">
                  <c:v>0.13000977517106549</c:v>
                </c:pt>
                <c:pt idx="69">
                  <c:v>0.1378299120234604</c:v>
                </c:pt>
                <c:pt idx="70">
                  <c:v>0.13880742913000976</c:v>
                </c:pt>
                <c:pt idx="71">
                  <c:v>0.13098729227761485</c:v>
                </c:pt>
                <c:pt idx="72">
                  <c:v>0.15151515151515152</c:v>
                </c:pt>
                <c:pt idx="73">
                  <c:v>0.1466275659824047</c:v>
                </c:pt>
                <c:pt idx="74">
                  <c:v>0.15347018572825025</c:v>
                </c:pt>
                <c:pt idx="75">
                  <c:v>0.12512218963831867</c:v>
                </c:pt>
                <c:pt idx="76">
                  <c:v>0.14173998044965788</c:v>
                </c:pt>
                <c:pt idx="77">
                  <c:v>0.11827956989247312</c:v>
                </c:pt>
                <c:pt idx="78">
                  <c:v>0.13294232649071358</c:v>
                </c:pt>
                <c:pt idx="79">
                  <c:v>0.13391984359726294</c:v>
                </c:pt>
                <c:pt idx="80">
                  <c:v>0.15640273704789834</c:v>
                </c:pt>
              </c:numCache>
            </c:numRef>
          </c:yVal>
        </c:ser>
        <c:axId val="155612288"/>
        <c:axId val="155613824"/>
      </c:scatterChart>
      <c:valAx>
        <c:axId val="155612288"/>
        <c:scaling>
          <c:orientation val="minMax"/>
        </c:scaling>
        <c:axPos val="b"/>
        <c:numFmt formatCode="0.0" sourceLinked="1"/>
        <c:tickLblPos val="nextTo"/>
        <c:crossAx val="155613824"/>
        <c:crosses val="autoZero"/>
        <c:crossBetween val="midCat"/>
      </c:valAx>
      <c:valAx>
        <c:axId val="155613824"/>
        <c:scaling>
          <c:orientation val="minMax"/>
        </c:scaling>
        <c:axPos val="l"/>
        <c:majorGridlines/>
        <c:numFmt formatCode="0.000" sourceLinked="1"/>
        <c:tickLblPos val="nextTo"/>
        <c:crossAx val="155612288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50"/>
              <a:t>0.5mm</a:t>
            </a:r>
            <a:endParaRPr lang="en-US"/>
          </a:p>
        </c:rich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data2!$Y$2:$Y$82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0.93939393939393945</c:v>
                </c:pt>
                <c:pt idx="15">
                  <c:v>0.87976539589442815</c:v>
                </c:pt>
                <c:pt idx="16">
                  <c:v>0.94819159335288372</c:v>
                </c:pt>
                <c:pt idx="17">
                  <c:v>0.76441837732160312</c:v>
                </c:pt>
                <c:pt idx="18">
                  <c:v>0.73998044965786902</c:v>
                </c:pt>
                <c:pt idx="19">
                  <c:v>0.6920821114369502</c:v>
                </c:pt>
                <c:pt idx="20">
                  <c:v>0.75659824046920821</c:v>
                </c:pt>
                <c:pt idx="21">
                  <c:v>0.73704789833822093</c:v>
                </c:pt>
                <c:pt idx="22">
                  <c:v>0.65689149560117299</c:v>
                </c:pt>
                <c:pt idx="23">
                  <c:v>0.68230694037145645</c:v>
                </c:pt>
                <c:pt idx="24">
                  <c:v>0.69892473118279574</c:v>
                </c:pt>
                <c:pt idx="25">
                  <c:v>0.68328445747800581</c:v>
                </c:pt>
                <c:pt idx="26">
                  <c:v>0.66666666666666663</c:v>
                </c:pt>
                <c:pt idx="27">
                  <c:v>0.66373411534701854</c:v>
                </c:pt>
                <c:pt idx="28">
                  <c:v>0.70185728250244384</c:v>
                </c:pt>
                <c:pt idx="29">
                  <c:v>0.59237536656891498</c:v>
                </c:pt>
                <c:pt idx="30">
                  <c:v>0.64516129032258063</c:v>
                </c:pt>
                <c:pt idx="31">
                  <c:v>0.63831867057673508</c:v>
                </c:pt>
                <c:pt idx="32">
                  <c:v>0.59628543499511244</c:v>
                </c:pt>
                <c:pt idx="33">
                  <c:v>0.64125122189638317</c:v>
                </c:pt>
                <c:pt idx="34">
                  <c:v>0.65200391006842617</c:v>
                </c:pt>
                <c:pt idx="35">
                  <c:v>0.57380254154447707</c:v>
                </c:pt>
                <c:pt idx="36">
                  <c:v>0.52297165200391005</c:v>
                </c:pt>
                <c:pt idx="37">
                  <c:v>0.62658846529814272</c:v>
                </c:pt>
                <c:pt idx="38">
                  <c:v>0.58748778103616817</c:v>
                </c:pt>
                <c:pt idx="39">
                  <c:v>0.58553274682306944</c:v>
                </c:pt>
                <c:pt idx="40">
                  <c:v>0.49951124144672532</c:v>
                </c:pt>
                <c:pt idx="41">
                  <c:v>0.59824046920821117</c:v>
                </c:pt>
                <c:pt idx="42">
                  <c:v>0.56989247311827962</c:v>
                </c:pt>
                <c:pt idx="43">
                  <c:v>0.58260019550342135</c:v>
                </c:pt>
                <c:pt idx="44">
                  <c:v>0.58455522971652008</c:v>
                </c:pt>
                <c:pt idx="45">
                  <c:v>0.63147605083088953</c:v>
                </c:pt>
                <c:pt idx="46">
                  <c:v>0.58553274682306944</c:v>
                </c:pt>
                <c:pt idx="47">
                  <c:v>0.59530791788856308</c:v>
                </c:pt>
                <c:pt idx="48">
                  <c:v>0.57184750733137835</c:v>
                </c:pt>
                <c:pt idx="49">
                  <c:v>0.5757575757575758</c:v>
                </c:pt>
                <c:pt idx="50">
                  <c:v>0.60508308895405671</c:v>
                </c:pt>
                <c:pt idx="51">
                  <c:v>0.50635386119257086</c:v>
                </c:pt>
                <c:pt idx="52">
                  <c:v>0.51808406647116323</c:v>
                </c:pt>
                <c:pt idx="53">
                  <c:v>0.54740957966764414</c:v>
                </c:pt>
                <c:pt idx="54">
                  <c:v>0.61681329423264908</c:v>
                </c:pt>
                <c:pt idx="55">
                  <c:v>0.55034213098729223</c:v>
                </c:pt>
                <c:pt idx="56">
                  <c:v>0.55522971652003905</c:v>
                </c:pt>
                <c:pt idx="57">
                  <c:v>0.58944281524926689</c:v>
                </c:pt>
                <c:pt idx="58">
                  <c:v>0.57184750733137835</c:v>
                </c:pt>
                <c:pt idx="59">
                  <c:v>0.58748778103616817</c:v>
                </c:pt>
                <c:pt idx="60">
                  <c:v>0.56989247311827962</c:v>
                </c:pt>
                <c:pt idx="61">
                  <c:v>0.58064516129032262</c:v>
                </c:pt>
                <c:pt idx="62">
                  <c:v>0.52003910068426196</c:v>
                </c:pt>
                <c:pt idx="63">
                  <c:v>0.53665689149560114</c:v>
                </c:pt>
                <c:pt idx="64">
                  <c:v>0.52883675464320623</c:v>
                </c:pt>
                <c:pt idx="65">
                  <c:v>0.50733137829912023</c:v>
                </c:pt>
                <c:pt idx="66">
                  <c:v>0.55229716520039096</c:v>
                </c:pt>
                <c:pt idx="67">
                  <c:v>0.52590420332355814</c:v>
                </c:pt>
                <c:pt idx="68">
                  <c:v>0.5650048875855328</c:v>
                </c:pt>
                <c:pt idx="69">
                  <c:v>0.49169110459433041</c:v>
                </c:pt>
                <c:pt idx="70">
                  <c:v>0.58064516129032262</c:v>
                </c:pt>
                <c:pt idx="71">
                  <c:v>0.53567937438905178</c:v>
                </c:pt>
                <c:pt idx="72">
                  <c:v>0.54447702834799605</c:v>
                </c:pt>
                <c:pt idx="73">
                  <c:v>0.51515151515151514</c:v>
                </c:pt>
                <c:pt idx="74">
                  <c:v>0.55718475073313778</c:v>
                </c:pt>
                <c:pt idx="75">
                  <c:v>0.5972629521016618</c:v>
                </c:pt>
                <c:pt idx="76">
                  <c:v>0.50048875855327468</c:v>
                </c:pt>
                <c:pt idx="77">
                  <c:v>0.52297165200391005</c:v>
                </c:pt>
                <c:pt idx="78">
                  <c:v>0.52297165200391005</c:v>
                </c:pt>
                <c:pt idx="79">
                  <c:v>0.60606060606060608</c:v>
                </c:pt>
                <c:pt idx="80">
                  <c:v>0.53665689149560114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data2!$Z$2:$Z$82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0.74780058651026393</c:v>
                </c:pt>
                <c:pt idx="9">
                  <c:v>0.6862170087976539</c:v>
                </c:pt>
                <c:pt idx="10">
                  <c:v>0.61583577712609971</c:v>
                </c:pt>
                <c:pt idx="11">
                  <c:v>0.59042033235581626</c:v>
                </c:pt>
                <c:pt idx="12">
                  <c:v>0.55522971652003905</c:v>
                </c:pt>
                <c:pt idx="13">
                  <c:v>0.50733137829912023</c:v>
                </c:pt>
                <c:pt idx="14">
                  <c:v>0.46920821114369504</c:v>
                </c:pt>
                <c:pt idx="15">
                  <c:v>0.46823069403714562</c:v>
                </c:pt>
                <c:pt idx="16">
                  <c:v>0.43988269794721407</c:v>
                </c:pt>
                <c:pt idx="17">
                  <c:v>0.38220918866080156</c:v>
                </c:pt>
                <c:pt idx="18">
                  <c:v>0.39100684261974583</c:v>
                </c:pt>
                <c:pt idx="19">
                  <c:v>0.3391984359726295</c:v>
                </c:pt>
                <c:pt idx="20">
                  <c:v>0.34310850439882695</c:v>
                </c:pt>
                <c:pt idx="21">
                  <c:v>0.38220918866080156</c:v>
                </c:pt>
                <c:pt idx="22">
                  <c:v>0.35581622678396874</c:v>
                </c:pt>
                <c:pt idx="23">
                  <c:v>0.36070381231671556</c:v>
                </c:pt>
                <c:pt idx="24">
                  <c:v>0.37438905180840665</c:v>
                </c:pt>
                <c:pt idx="25">
                  <c:v>0.3782991202346041</c:v>
                </c:pt>
                <c:pt idx="26">
                  <c:v>0.3284457478005865</c:v>
                </c:pt>
                <c:pt idx="27">
                  <c:v>0.32453567937438904</c:v>
                </c:pt>
                <c:pt idx="28">
                  <c:v>0.32258064516129031</c:v>
                </c:pt>
                <c:pt idx="29">
                  <c:v>0.31182795698924731</c:v>
                </c:pt>
                <c:pt idx="30">
                  <c:v>0.32942326490713586</c:v>
                </c:pt>
                <c:pt idx="31">
                  <c:v>0.34213098729227759</c:v>
                </c:pt>
                <c:pt idx="32">
                  <c:v>0.34213098729227759</c:v>
                </c:pt>
                <c:pt idx="33">
                  <c:v>0.27761485826001953</c:v>
                </c:pt>
                <c:pt idx="34">
                  <c:v>0.32746823069403713</c:v>
                </c:pt>
                <c:pt idx="35">
                  <c:v>0.30303030303030304</c:v>
                </c:pt>
                <c:pt idx="36">
                  <c:v>0.27370478983382207</c:v>
                </c:pt>
                <c:pt idx="37">
                  <c:v>0.34897360703812319</c:v>
                </c:pt>
                <c:pt idx="38">
                  <c:v>0.29032258064516131</c:v>
                </c:pt>
                <c:pt idx="39">
                  <c:v>0.30498533724340177</c:v>
                </c:pt>
                <c:pt idx="40">
                  <c:v>0.34408602150537637</c:v>
                </c:pt>
                <c:pt idx="41">
                  <c:v>0.2932551319648094</c:v>
                </c:pt>
                <c:pt idx="42">
                  <c:v>0.32355816226783968</c:v>
                </c:pt>
                <c:pt idx="43">
                  <c:v>0.30596285434995113</c:v>
                </c:pt>
                <c:pt idx="44">
                  <c:v>0.33431085043988268</c:v>
                </c:pt>
                <c:pt idx="45">
                  <c:v>0.33528836754643204</c:v>
                </c:pt>
                <c:pt idx="46">
                  <c:v>0.30303030303030304</c:v>
                </c:pt>
                <c:pt idx="47">
                  <c:v>0.27468230694037143</c:v>
                </c:pt>
                <c:pt idx="48">
                  <c:v>0.25317693059628543</c:v>
                </c:pt>
                <c:pt idx="49">
                  <c:v>0.29521016617790813</c:v>
                </c:pt>
                <c:pt idx="50">
                  <c:v>0.31085043988269795</c:v>
                </c:pt>
                <c:pt idx="51">
                  <c:v>0.2825024437927664</c:v>
                </c:pt>
                <c:pt idx="52">
                  <c:v>0.29912023460410558</c:v>
                </c:pt>
                <c:pt idx="53">
                  <c:v>0.30498533724340177</c:v>
                </c:pt>
                <c:pt idx="54">
                  <c:v>0.23655913978494625</c:v>
                </c:pt>
                <c:pt idx="55">
                  <c:v>0.2825024437927664</c:v>
                </c:pt>
                <c:pt idx="56">
                  <c:v>0.33431085043988268</c:v>
                </c:pt>
                <c:pt idx="57">
                  <c:v>0.28641251221896386</c:v>
                </c:pt>
                <c:pt idx="58">
                  <c:v>0.33040078201368522</c:v>
                </c:pt>
                <c:pt idx="59">
                  <c:v>0.29814271749755622</c:v>
                </c:pt>
                <c:pt idx="60">
                  <c:v>0.28054740957966762</c:v>
                </c:pt>
                <c:pt idx="61">
                  <c:v>0.27468230694037143</c:v>
                </c:pt>
                <c:pt idx="62">
                  <c:v>0.3460410557184751</c:v>
                </c:pt>
                <c:pt idx="63">
                  <c:v>0.27859237536656889</c:v>
                </c:pt>
                <c:pt idx="64">
                  <c:v>0.31280547409579668</c:v>
                </c:pt>
                <c:pt idx="65">
                  <c:v>0.29227761485826004</c:v>
                </c:pt>
                <c:pt idx="66">
                  <c:v>0.36070381231671556</c:v>
                </c:pt>
                <c:pt idx="67">
                  <c:v>0.34799608993157383</c:v>
                </c:pt>
                <c:pt idx="68">
                  <c:v>0.31671554252199413</c:v>
                </c:pt>
                <c:pt idx="69">
                  <c:v>0.29227761485826004</c:v>
                </c:pt>
                <c:pt idx="70">
                  <c:v>0.32258064516129031</c:v>
                </c:pt>
                <c:pt idx="71">
                  <c:v>0.24731182795698925</c:v>
                </c:pt>
                <c:pt idx="72">
                  <c:v>0.28739002932551322</c:v>
                </c:pt>
                <c:pt idx="73">
                  <c:v>0.28739002932551322</c:v>
                </c:pt>
                <c:pt idx="74">
                  <c:v>0.27956989247311825</c:v>
                </c:pt>
                <c:pt idx="75">
                  <c:v>0.28934506353861195</c:v>
                </c:pt>
                <c:pt idx="76">
                  <c:v>0.23362658846529813</c:v>
                </c:pt>
                <c:pt idx="77">
                  <c:v>0.27370478983382207</c:v>
                </c:pt>
                <c:pt idx="78">
                  <c:v>0.26979472140762462</c:v>
                </c:pt>
                <c:pt idx="79">
                  <c:v>0.27370478983382207</c:v>
                </c:pt>
                <c:pt idx="80">
                  <c:v>0.28641251221896386</c:v>
                </c:pt>
              </c:numCache>
            </c:numRef>
          </c:yVal>
        </c:ser>
        <c:ser>
          <c:idx val="2"/>
          <c:order val="2"/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data2!$AA$2:$AA$82</c:f>
              <c:numCache>
                <c:formatCode>0.000</c:formatCode>
                <c:ptCount val="81"/>
                <c:pt idx="0">
                  <c:v>0.73118279569892475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0.75757575757575757</c:v>
                </c:pt>
                <c:pt idx="6">
                  <c:v>0.60215053763440862</c:v>
                </c:pt>
                <c:pt idx="7">
                  <c:v>0.4633431085043988</c:v>
                </c:pt>
                <c:pt idx="8">
                  <c:v>0.40175953079178883</c:v>
                </c:pt>
                <c:pt idx="9">
                  <c:v>0.3567937438905181</c:v>
                </c:pt>
                <c:pt idx="10">
                  <c:v>0.34115347018572822</c:v>
                </c:pt>
                <c:pt idx="11">
                  <c:v>0.30987292277614858</c:v>
                </c:pt>
                <c:pt idx="12">
                  <c:v>0.32649071358748777</c:v>
                </c:pt>
                <c:pt idx="13">
                  <c:v>0.26686217008797652</c:v>
                </c:pt>
                <c:pt idx="14">
                  <c:v>0.2209188660801564</c:v>
                </c:pt>
                <c:pt idx="15">
                  <c:v>0.21896383186705767</c:v>
                </c:pt>
                <c:pt idx="16">
                  <c:v>0.26588465298142716</c:v>
                </c:pt>
                <c:pt idx="17">
                  <c:v>0.24633431085043989</c:v>
                </c:pt>
                <c:pt idx="18">
                  <c:v>0.20723362658846531</c:v>
                </c:pt>
                <c:pt idx="19">
                  <c:v>0.20723362658846531</c:v>
                </c:pt>
                <c:pt idx="20">
                  <c:v>0.2013685239491691</c:v>
                </c:pt>
                <c:pt idx="21">
                  <c:v>0.176930596285435</c:v>
                </c:pt>
                <c:pt idx="22">
                  <c:v>0.19452590420332355</c:v>
                </c:pt>
                <c:pt idx="23">
                  <c:v>0.20332355816226783</c:v>
                </c:pt>
                <c:pt idx="24">
                  <c:v>0.20039100684261973</c:v>
                </c:pt>
                <c:pt idx="25">
                  <c:v>0.18572825024437928</c:v>
                </c:pt>
                <c:pt idx="26">
                  <c:v>0.1798631476050831</c:v>
                </c:pt>
                <c:pt idx="27">
                  <c:v>0.18279569892473119</c:v>
                </c:pt>
                <c:pt idx="28">
                  <c:v>0.18670576735092864</c:v>
                </c:pt>
                <c:pt idx="29">
                  <c:v>0.16617790811339198</c:v>
                </c:pt>
                <c:pt idx="30">
                  <c:v>0.18670576735092864</c:v>
                </c:pt>
                <c:pt idx="31">
                  <c:v>0.17008797653958943</c:v>
                </c:pt>
                <c:pt idx="32">
                  <c:v>0.1798631476050831</c:v>
                </c:pt>
                <c:pt idx="33">
                  <c:v>0.18768328445747801</c:v>
                </c:pt>
                <c:pt idx="34">
                  <c:v>0.19159335288367546</c:v>
                </c:pt>
                <c:pt idx="35">
                  <c:v>0.2013685239491691</c:v>
                </c:pt>
                <c:pt idx="36">
                  <c:v>0.18181818181818182</c:v>
                </c:pt>
                <c:pt idx="37">
                  <c:v>0.14760508308895406</c:v>
                </c:pt>
                <c:pt idx="38">
                  <c:v>0.17497556207233628</c:v>
                </c:pt>
                <c:pt idx="39">
                  <c:v>0.18572825024437928</c:v>
                </c:pt>
                <c:pt idx="40">
                  <c:v>0.18670576735092864</c:v>
                </c:pt>
                <c:pt idx="41">
                  <c:v>0.14271749755620725</c:v>
                </c:pt>
                <c:pt idx="42">
                  <c:v>0.17106549364613879</c:v>
                </c:pt>
                <c:pt idx="43">
                  <c:v>0.18866080156402737</c:v>
                </c:pt>
                <c:pt idx="44">
                  <c:v>0.16226783968719452</c:v>
                </c:pt>
                <c:pt idx="45">
                  <c:v>0.18670576735092864</c:v>
                </c:pt>
                <c:pt idx="46">
                  <c:v>0.19354838709677419</c:v>
                </c:pt>
                <c:pt idx="47">
                  <c:v>0.18279569892473119</c:v>
                </c:pt>
                <c:pt idx="48">
                  <c:v>0.14760508308895406</c:v>
                </c:pt>
                <c:pt idx="49">
                  <c:v>0.12903225806451613</c:v>
                </c:pt>
                <c:pt idx="50">
                  <c:v>0.15347018572825025</c:v>
                </c:pt>
                <c:pt idx="51">
                  <c:v>0.16422287390029325</c:v>
                </c:pt>
                <c:pt idx="52">
                  <c:v>0.15249266862170088</c:v>
                </c:pt>
                <c:pt idx="53">
                  <c:v>0.17399804496578691</c:v>
                </c:pt>
                <c:pt idx="54">
                  <c:v>0.18279569892473119</c:v>
                </c:pt>
                <c:pt idx="55">
                  <c:v>0.14760508308895406</c:v>
                </c:pt>
                <c:pt idx="56">
                  <c:v>0.20918866080156404</c:v>
                </c:pt>
                <c:pt idx="57">
                  <c:v>0.13489736070381231</c:v>
                </c:pt>
                <c:pt idx="58">
                  <c:v>0.16422287390029325</c:v>
                </c:pt>
                <c:pt idx="59">
                  <c:v>0.13587487781036167</c:v>
                </c:pt>
                <c:pt idx="60">
                  <c:v>0.17106549364613879</c:v>
                </c:pt>
                <c:pt idx="61">
                  <c:v>0.14565004887585534</c:v>
                </c:pt>
                <c:pt idx="62">
                  <c:v>0.17008797653958943</c:v>
                </c:pt>
                <c:pt idx="63">
                  <c:v>0.18768328445747801</c:v>
                </c:pt>
                <c:pt idx="64">
                  <c:v>0.16324535679374388</c:v>
                </c:pt>
                <c:pt idx="65">
                  <c:v>0.13489736070381231</c:v>
                </c:pt>
                <c:pt idx="66">
                  <c:v>0.1681329423264907</c:v>
                </c:pt>
                <c:pt idx="67">
                  <c:v>0.18279569892473119</c:v>
                </c:pt>
                <c:pt idx="68">
                  <c:v>0.12414467253176931</c:v>
                </c:pt>
                <c:pt idx="69">
                  <c:v>0.16715542521994134</c:v>
                </c:pt>
                <c:pt idx="70">
                  <c:v>0.15151515151515152</c:v>
                </c:pt>
                <c:pt idx="71">
                  <c:v>0.19159335288367546</c:v>
                </c:pt>
                <c:pt idx="72">
                  <c:v>0.1378299120234604</c:v>
                </c:pt>
                <c:pt idx="73">
                  <c:v>0.176930596285435</c:v>
                </c:pt>
                <c:pt idx="74">
                  <c:v>0.12805474095796676</c:v>
                </c:pt>
                <c:pt idx="75">
                  <c:v>0.15640273704789834</c:v>
                </c:pt>
                <c:pt idx="76">
                  <c:v>0.14956011730205279</c:v>
                </c:pt>
                <c:pt idx="77">
                  <c:v>0.19159335288367546</c:v>
                </c:pt>
                <c:pt idx="78">
                  <c:v>0.13685239491691104</c:v>
                </c:pt>
                <c:pt idx="79">
                  <c:v>0.1466275659824047</c:v>
                </c:pt>
                <c:pt idx="80">
                  <c:v>0.14760508308895406</c:v>
                </c:pt>
              </c:numCache>
            </c:numRef>
          </c:yVal>
        </c:ser>
        <c:axId val="155653632"/>
        <c:axId val="155655168"/>
      </c:scatterChart>
      <c:valAx>
        <c:axId val="155653632"/>
        <c:scaling>
          <c:orientation val="minMax"/>
        </c:scaling>
        <c:axPos val="b"/>
        <c:numFmt formatCode="0.0" sourceLinked="1"/>
        <c:tickLblPos val="nextTo"/>
        <c:crossAx val="155655168"/>
        <c:crosses val="autoZero"/>
        <c:crossBetween val="midCat"/>
      </c:valAx>
      <c:valAx>
        <c:axId val="155655168"/>
        <c:scaling>
          <c:orientation val="minMax"/>
        </c:scaling>
        <c:axPos val="l"/>
        <c:majorGridlines/>
        <c:numFmt formatCode="0.000" sourceLinked="1"/>
        <c:tickLblPos val="nextTo"/>
        <c:crossAx val="155653632"/>
        <c:crosses val="autoZero"/>
        <c:crossBetween val="midCat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50"/>
              <a:t>0.0mm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data3!$C$2:$C$82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0.999</c:v>
                </c:pt>
                <c:pt idx="15">
                  <c:v>0.999</c:v>
                </c:pt>
                <c:pt idx="16">
                  <c:v>0.999</c:v>
                </c:pt>
                <c:pt idx="17">
                  <c:v>0.999</c:v>
                </c:pt>
                <c:pt idx="18">
                  <c:v>0.999</c:v>
                </c:pt>
                <c:pt idx="19">
                  <c:v>0.999</c:v>
                </c:pt>
                <c:pt idx="20">
                  <c:v>0.999</c:v>
                </c:pt>
                <c:pt idx="21">
                  <c:v>0.999</c:v>
                </c:pt>
                <c:pt idx="22">
                  <c:v>0.999</c:v>
                </c:pt>
                <c:pt idx="23">
                  <c:v>0.999</c:v>
                </c:pt>
                <c:pt idx="24">
                  <c:v>0.96089931573802545</c:v>
                </c:pt>
                <c:pt idx="25">
                  <c:v>0.86510263929618769</c:v>
                </c:pt>
                <c:pt idx="26">
                  <c:v>0.79863147605083085</c:v>
                </c:pt>
                <c:pt idx="27">
                  <c:v>0.8132942326490713</c:v>
                </c:pt>
                <c:pt idx="28">
                  <c:v>0.75855327468230693</c:v>
                </c:pt>
                <c:pt idx="29">
                  <c:v>0.79472140762463339</c:v>
                </c:pt>
                <c:pt idx="30">
                  <c:v>0.78592375366568912</c:v>
                </c:pt>
                <c:pt idx="31">
                  <c:v>0.70869990224828938</c:v>
                </c:pt>
                <c:pt idx="32">
                  <c:v>0.70381231671554256</c:v>
                </c:pt>
                <c:pt idx="33">
                  <c:v>0.66568914956011727</c:v>
                </c:pt>
                <c:pt idx="34">
                  <c:v>0.68230694037145645</c:v>
                </c:pt>
                <c:pt idx="35">
                  <c:v>0.67253176930596281</c:v>
                </c:pt>
                <c:pt idx="36">
                  <c:v>0.62952101661779081</c:v>
                </c:pt>
                <c:pt idx="37">
                  <c:v>0.5757575757575758</c:v>
                </c:pt>
                <c:pt idx="38">
                  <c:v>0.56109481915933523</c:v>
                </c:pt>
                <c:pt idx="39">
                  <c:v>0.57869012707722389</c:v>
                </c:pt>
                <c:pt idx="40">
                  <c:v>0.59628543499511244</c:v>
                </c:pt>
                <c:pt idx="41">
                  <c:v>0.6324535679374389</c:v>
                </c:pt>
                <c:pt idx="42">
                  <c:v>0.59433040078201371</c:v>
                </c:pt>
                <c:pt idx="43">
                  <c:v>0.5972629521016618</c:v>
                </c:pt>
                <c:pt idx="44">
                  <c:v>0.5053763440860215</c:v>
                </c:pt>
                <c:pt idx="45">
                  <c:v>0.5620723362658846</c:v>
                </c:pt>
                <c:pt idx="46">
                  <c:v>0.52883675464320623</c:v>
                </c:pt>
                <c:pt idx="47">
                  <c:v>0.54740957966764414</c:v>
                </c:pt>
                <c:pt idx="48">
                  <c:v>0.55718475073313778</c:v>
                </c:pt>
                <c:pt idx="49">
                  <c:v>0.52199413489736068</c:v>
                </c:pt>
                <c:pt idx="50">
                  <c:v>0.56304985337243396</c:v>
                </c:pt>
                <c:pt idx="51">
                  <c:v>0.5161290322580645</c:v>
                </c:pt>
                <c:pt idx="52">
                  <c:v>0.53274682306940369</c:v>
                </c:pt>
                <c:pt idx="53">
                  <c:v>0.48191593352883677</c:v>
                </c:pt>
                <c:pt idx="54">
                  <c:v>0.5053763440860215</c:v>
                </c:pt>
                <c:pt idx="55">
                  <c:v>0.51808406647116323</c:v>
                </c:pt>
                <c:pt idx="56">
                  <c:v>0.52785923753665687</c:v>
                </c:pt>
                <c:pt idx="57">
                  <c:v>0.51124144672531768</c:v>
                </c:pt>
                <c:pt idx="58">
                  <c:v>0.53470185728250241</c:v>
                </c:pt>
                <c:pt idx="59">
                  <c:v>0.54740957966764414</c:v>
                </c:pt>
                <c:pt idx="60">
                  <c:v>0.51124144672531768</c:v>
                </c:pt>
                <c:pt idx="61">
                  <c:v>0.47507331378299122</c:v>
                </c:pt>
                <c:pt idx="62">
                  <c:v>0.47018572825024441</c:v>
                </c:pt>
                <c:pt idx="63">
                  <c:v>0.46529814271749753</c:v>
                </c:pt>
                <c:pt idx="64">
                  <c:v>0.48191593352883677</c:v>
                </c:pt>
                <c:pt idx="65">
                  <c:v>0.53372434017595305</c:v>
                </c:pt>
                <c:pt idx="66">
                  <c:v>0.47702834799608995</c:v>
                </c:pt>
                <c:pt idx="67">
                  <c:v>0.47996089931573804</c:v>
                </c:pt>
                <c:pt idx="68">
                  <c:v>0.49169110459433041</c:v>
                </c:pt>
                <c:pt idx="69">
                  <c:v>0.50733137829912023</c:v>
                </c:pt>
                <c:pt idx="70">
                  <c:v>0.48680351906158359</c:v>
                </c:pt>
                <c:pt idx="71">
                  <c:v>0.49071358748778104</c:v>
                </c:pt>
                <c:pt idx="72">
                  <c:v>0.41544477028347998</c:v>
                </c:pt>
                <c:pt idx="73">
                  <c:v>0.43890518084066471</c:v>
                </c:pt>
                <c:pt idx="74">
                  <c:v>0.4946236559139785</c:v>
                </c:pt>
                <c:pt idx="75">
                  <c:v>0.47800586510263932</c:v>
                </c:pt>
                <c:pt idx="76">
                  <c:v>0.52003910068426196</c:v>
                </c:pt>
                <c:pt idx="77">
                  <c:v>0.48582600195503423</c:v>
                </c:pt>
                <c:pt idx="78">
                  <c:v>0.4662756598240469</c:v>
                </c:pt>
                <c:pt idx="79">
                  <c:v>0.4525904203323558</c:v>
                </c:pt>
                <c:pt idx="80">
                  <c:v>0.45650048875855326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data3!$D$2:$D$82</c:f>
              <c:numCache>
                <c:formatCode>0.000</c:formatCode>
                <c:ptCount val="81"/>
                <c:pt idx="0">
                  <c:v>0.73313782991202348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0.88563049853372433</c:v>
                </c:pt>
                <c:pt idx="15">
                  <c:v>0.7702834799608993</c:v>
                </c:pt>
                <c:pt idx="16">
                  <c:v>0.71065493646138811</c:v>
                </c:pt>
                <c:pt idx="17">
                  <c:v>0.64809384164222872</c:v>
                </c:pt>
                <c:pt idx="18">
                  <c:v>0.65298142717497554</c:v>
                </c:pt>
                <c:pt idx="19">
                  <c:v>0.56011730205278587</c:v>
                </c:pt>
                <c:pt idx="20">
                  <c:v>0.52199413489736068</c:v>
                </c:pt>
                <c:pt idx="21">
                  <c:v>0.52883675464320623</c:v>
                </c:pt>
                <c:pt idx="22">
                  <c:v>0.49364613880742914</c:v>
                </c:pt>
                <c:pt idx="23">
                  <c:v>0.48973607038123168</c:v>
                </c:pt>
                <c:pt idx="24">
                  <c:v>0.45356793743890517</c:v>
                </c:pt>
                <c:pt idx="25">
                  <c:v>0.45747800586510262</c:v>
                </c:pt>
                <c:pt idx="26">
                  <c:v>0.42424242424242425</c:v>
                </c:pt>
                <c:pt idx="27">
                  <c:v>0.42815249266862171</c:v>
                </c:pt>
                <c:pt idx="28">
                  <c:v>0.39002932551319647</c:v>
                </c:pt>
                <c:pt idx="29">
                  <c:v>0.42521994134897362</c:v>
                </c:pt>
                <c:pt idx="30">
                  <c:v>0.38416422287390029</c:v>
                </c:pt>
                <c:pt idx="31">
                  <c:v>0.38123167155425219</c:v>
                </c:pt>
                <c:pt idx="32">
                  <c:v>0.39100684261974583</c:v>
                </c:pt>
                <c:pt idx="33">
                  <c:v>0.36168132942326492</c:v>
                </c:pt>
                <c:pt idx="34">
                  <c:v>0.38318670576735092</c:v>
                </c:pt>
                <c:pt idx="35">
                  <c:v>0.34213098729227759</c:v>
                </c:pt>
                <c:pt idx="36">
                  <c:v>0.36656891495601174</c:v>
                </c:pt>
                <c:pt idx="37">
                  <c:v>0.31573802541544477</c:v>
                </c:pt>
                <c:pt idx="38">
                  <c:v>0.31573802541544477</c:v>
                </c:pt>
                <c:pt idx="39">
                  <c:v>0.32942326490713586</c:v>
                </c:pt>
                <c:pt idx="40">
                  <c:v>0.31769305962854349</c:v>
                </c:pt>
                <c:pt idx="41">
                  <c:v>0.30107526881720431</c:v>
                </c:pt>
                <c:pt idx="42">
                  <c:v>0.32355816226783968</c:v>
                </c:pt>
                <c:pt idx="43">
                  <c:v>0.28934506353861195</c:v>
                </c:pt>
                <c:pt idx="44">
                  <c:v>0.27370478983382207</c:v>
                </c:pt>
                <c:pt idx="45">
                  <c:v>0.28347996089931576</c:v>
                </c:pt>
                <c:pt idx="46">
                  <c:v>0.32453567937438904</c:v>
                </c:pt>
                <c:pt idx="47">
                  <c:v>0.28445747800586513</c:v>
                </c:pt>
                <c:pt idx="48">
                  <c:v>0.2512218963831867</c:v>
                </c:pt>
                <c:pt idx="49">
                  <c:v>0.30596285434995113</c:v>
                </c:pt>
                <c:pt idx="50">
                  <c:v>0.28445747800586513</c:v>
                </c:pt>
                <c:pt idx="51">
                  <c:v>0.23851417399804498</c:v>
                </c:pt>
                <c:pt idx="52">
                  <c:v>0.27761485826001953</c:v>
                </c:pt>
                <c:pt idx="53">
                  <c:v>0.30694037145650049</c:v>
                </c:pt>
                <c:pt idx="54">
                  <c:v>0.25317693059628543</c:v>
                </c:pt>
                <c:pt idx="55">
                  <c:v>0.24926686217008798</c:v>
                </c:pt>
                <c:pt idx="56">
                  <c:v>0.28445747800586513</c:v>
                </c:pt>
                <c:pt idx="57">
                  <c:v>0.25024437927663734</c:v>
                </c:pt>
                <c:pt idx="58">
                  <c:v>0.27272727272727271</c:v>
                </c:pt>
                <c:pt idx="59">
                  <c:v>0.26881720430107525</c:v>
                </c:pt>
                <c:pt idx="60">
                  <c:v>0.27468230694037143</c:v>
                </c:pt>
                <c:pt idx="61">
                  <c:v>0.28739002932551322</c:v>
                </c:pt>
                <c:pt idx="62">
                  <c:v>0.23264907135874877</c:v>
                </c:pt>
                <c:pt idx="63">
                  <c:v>0.25904203323558161</c:v>
                </c:pt>
                <c:pt idx="64">
                  <c:v>0.27370478983382207</c:v>
                </c:pt>
                <c:pt idx="65">
                  <c:v>0.27272727272727271</c:v>
                </c:pt>
                <c:pt idx="66">
                  <c:v>0.2649071358748778</c:v>
                </c:pt>
                <c:pt idx="67">
                  <c:v>0.29521016617790813</c:v>
                </c:pt>
                <c:pt idx="68">
                  <c:v>0.2541544477028348</c:v>
                </c:pt>
                <c:pt idx="69">
                  <c:v>0.25708699902248289</c:v>
                </c:pt>
                <c:pt idx="70">
                  <c:v>0.26686217008797652</c:v>
                </c:pt>
                <c:pt idx="71">
                  <c:v>0.25219941348973607</c:v>
                </c:pt>
                <c:pt idx="72">
                  <c:v>0.27859237536656889</c:v>
                </c:pt>
                <c:pt idx="73">
                  <c:v>0.25317693059628543</c:v>
                </c:pt>
                <c:pt idx="74">
                  <c:v>0.26295210166177907</c:v>
                </c:pt>
                <c:pt idx="75">
                  <c:v>0.27077223851417398</c:v>
                </c:pt>
                <c:pt idx="76">
                  <c:v>0.23558162267839688</c:v>
                </c:pt>
                <c:pt idx="77">
                  <c:v>0.26783968719452589</c:v>
                </c:pt>
                <c:pt idx="78">
                  <c:v>0.25317693059628543</c:v>
                </c:pt>
                <c:pt idx="79">
                  <c:v>0.26881720430107525</c:v>
                </c:pt>
                <c:pt idx="80">
                  <c:v>0.24437927663734116</c:v>
                </c:pt>
              </c:numCache>
            </c:numRef>
          </c:yVal>
        </c:ser>
        <c:ser>
          <c:idx val="2"/>
          <c:order val="2"/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data3!$E$2:$E$82</c:f>
              <c:numCache>
                <c:formatCode>0.000</c:formatCode>
                <c:ptCount val="81"/>
                <c:pt idx="0">
                  <c:v>0.41446725317693062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0.82111436950146632</c:v>
                </c:pt>
                <c:pt idx="10">
                  <c:v>0.68132942326490709</c:v>
                </c:pt>
                <c:pt idx="11">
                  <c:v>0.58553274682306944</c:v>
                </c:pt>
                <c:pt idx="12">
                  <c:v>0.52785923753665687</c:v>
                </c:pt>
                <c:pt idx="13">
                  <c:v>0.50635386119257086</c:v>
                </c:pt>
                <c:pt idx="14">
                  <c:v>0.46236559139784944</c:v>
                </c:pt>
                <c:pt idx="15">
                  <c:v>0.39296187683284456</c:v>
                </c:pt>
                <c:pt idx="16">
                  <c:v>0.35483870967741937</c:v>
                </c:pt>
                <c:pt idx="17">
                  <c:v>0.31769305962854349</c:v>
                </c:pt>
                <c:pt idx="18">
                  <c:v>0.33724340175953077</c:v>
                </c:pt>
                <c:pt idx="19">
                  <c:v>0.3040078201368524</c:v>
                </c:pt>
                <c:pt idx="20">
                  <c:v>0.29716520039100686</c:v>
                </c:pt>
                <c:pt idx="21">
                  <c:v>0.26392961876832843</c:v>
                </c:pt>
                <c:pt idx="22">
                  <c:v>0.30009775171065495</c:v>
                </c:pt>
                <c:pt idx="23">
                  <c:v>0.27174975562072334</c:v>
                </c:pt>
                <c:pt idx="24">
                  <c:v>0.24437927663734116</c:v>
                </c:pt>
                <c:pt idx="25">
                  <c:v>0.25904203323558161</c:v>
                </c:pt>
                <c:pt idx="26">
                  <c:v>0.19354838709677419</c:v>
                </c:pt>
                <c:pt idx="27">
                  <c:v>0.23753665689149561</c:v>
                </c:pt>
                <c:pt idx="28">
                  <c:v>0.20430107526881722</c:v>
                </c:pt>
                <c:pt idx="29">
                  <c:v>0.23069403714565004</c:v>
                </c:pt>
                <c:pt idx="30">
                  <c:v>0.19257086999022482</c:v>
                </c:pt>
                <c:pt idx="31">
                  <c:v>0.18963831867057673</c:v>
                </c:pt>
                <c:pt idx="32">
                  <c:v>0.18377321603128055</c:v>
                </c:pt>
                <c:pt idx="33">
                  <c:v>0.18475073313782991</c:v>
                </c:pt>
                <c:pt idx="34">
                  <c:v>0.19648093841642228</c:v>
                </c:pt>
                <c:pt idx="35">
                  <c:v>0.20527859237536658</c:v>
                </c:pt>
                <c:pt idx="36">
                  <c:v>0.176930596285435</c:v>
                </c:pt>
                <c:pt idx="37">
                  <c:v>0.16324535679374388</c:v>
                </c:pt>
                <c:pt idx="38">
                  <c:v>0.1681329423264907</c:v>
                </c:pt>
                <c:pt idx="39">
                  <c:v>0.16715542521994134</c:v>
                </c:pt>
                <c:pt idx="40">
                  <c:v>0.18181818181818182</c:v>
                </c:pt>
                <c:pt idx="41">
                  <c:v>0.14076246334310849</c:v>
                </c:pt>
                <c:pt idx="42">
                  <c:v>0.17790811339198437</c:v>
                </c:pt>
                <c:pt idx="43">
                  <c:v>0.12609970674486803</c:v>
                </c:pt>
                <c:pt idx="44">
                  <c:v>0.19550342130987292</c:v>
                </c:pt>
                <c:pt idx="45">
                  <c:v>0.19257086999022482</c:v>
                </c:pt>
                <c:pt idx="46">
                  <c:v>0.13587487781036167</c:v>
                </c:pt>
                <c:pt idx="47">
                  <c:v>0.17106549364613879</c:v>
                </c:pt>
                <c:pt idx="48">
                  <c:v>0.17497556207233628</c:v>
                </c:pt>
                <c:pt idx="49">
                  <c:v>0.18084066471163246</c:v>
                </c:pt>
                <c:pt idx="50">
                  <c:v>0.14467253176930597</c:v>
                </c:pt>
                <c:pt idx="51">
                  <c:v>0.16031280547409579</c:v>
                </c:pt>
                <c:pt idx="52">
                  <c:v>0.15835777126099707</c:v>
                </c:pt>
                <c:pt idx="53">
                  <c:v>0.14760508308895406</c:v>
                </c:pt>
                <c:pt idx="54">
                  <c:v>0.14760508308895406</c:v>
                </c:pt>
                <c:pt idx="55">
                  <c:v>0.16324535679374388</c:v>
                </c:pt>
                <c:pt idx="56">
                  <c:v>0.15444770283479961</c:v>
                </c:pt>
                <c:pt idx="57">
                  <c:v>0.17204301075268819</c:v>
                </c:pt>
                <c:pt idx="58">
                  <c:v>0.14565004887585534</c:v>
                </c:pt>
                <c:pt idx="59">
                  <c:v>0.13489736070381231</c:v>
                </c:pt>
                <c:pt idx="60">
                  <c:v>0.15347018572825025</c:v>
                </c:pt>
                <c:pt idx="61">
                  <c:v>0.16129032258064516</c:v>
                </c:pt>
                <c:pt idx="62">
                  <c:v>0.17497556207233628</c:v>
                </c:pt>
                <c:pt idx="63">
                  <c:v>0.14858260019550343</c:v>
                </c:pt>
                <c:pt idx="64">
                  <c:v>0.14467253176930597</c:v>
                </c:pt>
                <c:pt idx="65">
                  <c:v>0.12023460410557185</c:v>
                </c:pt>
                <c:pt idx="66">
                  <c:v>0.13685239491691104</c:v>
                </c:pt>
                <c:pt idx="67">
                  <c:v>0.13880742913000976</c:v>
                </c:pt>
                <c:pt idx="68">
                  <c:v>0.14467253176930597</c:v>
                </c:pt>
                <c:pt idx="69">
                  <c:v>0.13391984359726294</c:v>
                </c:pt>
                <c:pt idx="70">
                  <c:v>0.12218963831867058</c:v>
                </c:pt>
                <c:pt idx="71">
                  <c:v>0.14076246334310849</c:v>
                </c:pt>
                <c:pt idx="72">
                  <c:v>0.11339198435972629</c:v>
                </c:pt>
                <c:pt idx="73">
                  <c:v>0.12218963831867058</c:v>
                </c:pt>
                <c:pt idx="74">
                  <c:v>0.14956011730205279</c:v>
                </c:pt>
                <c:pt idx="75">
                  <c:v>0.15249266862170088</c:v>
                </c:pt>
                <c:pt idx="76">
                  <c:v>0.15347018572825025</c:v>
                </c:pt>
                <c:pt idx="77">
                  <c:v>0.13196480938416422</c:v>
                </c:pt>
                <c:pt idx="78">
                  <c:v>0.13978494623655913</c:v>
                </c:pt>
                <c:pt idx="79">
                  <c:v>0.12512218963831867</c:v>
                </c:pt>
                <c:pt idx="80">
                  <c:v>0.10654936461388075</c:v>
                </c:pt>
              </c:numCache>
            </c:numRef>
          </c:yVal>
        </c:ser>
        <c:axId val="168707968"/>
        <c:axId val="168706432"/>
      </c:scatterChart>
      <c:valAx>
        <c:axId val="168707968"/>
        <c:scaling>
          <c:orientation val="minMax"/>
        </c:scaling>
        <c:axPos val="b"/>
        <c:numFmt formatCode="0.0" sourceLinked="1"/>
        <c:tickLblPos val="nextTo"/>
        <c:crossAx val="168706432"/>
        <c:crosses val="autoZero"/>
        <c:crossBetween val="midCat"/>
      </c:valAx>
      <c:valAx>
        <c:axId val="168706432"/>
        <c:scaling>
          <c:orientation val="minMax"/>
        </c:scaling>
        <c:axPos val="l"/>
        <c:majorGridlines/>
        <c:numFmt formatCode="0.000" sourceLinked="1"/>
        <c:tickLblPos val="nextTo"/>
        <c:crossAx val="168707968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50"/>
              <a:t>0.1mm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data3!$G$2:$G$82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0.999</c:v>
                </c:pt>
                <c:pt idx="15">
                  <c:v>0.999</c:v>
                </c:pt>
                <c:pt idx="16">
                  <c:v>0.999</c:v>
                </c:pt>
                <c:pt idx="17">
                  <c:v>0.999</c:v>
                </c:pt>
                <c:pt idx="18">
                  <c:v>0.999</c:v>
                </c:pt>
                <c:pt idx="19">
                  <c:v>0.999</c:v>
                </c:pt>
                <c:pt idx="20">
                  <c:v>0.999</c:v>
                </c:pt>
                <c:pt idx="21">
                  <c:v>0.999</c:v>
                </c:pt>
                <c:pt idx="22">
                  <c:v>0.999</c:v>
                </c:pt>
                <c:pt idx="23">
                  <c:v>0.999</c:v>
                </c:pt>
                <c:pt idx="24">
                  <c:v>0.999</c:v>
                </c:pt>
                <c:pt idx="25">
                  <c:v>0.93157380254154443</c:v>
                </c:pt>
                <c:pt idx="26">
                  <c:v>0.85826001955034215</c:v>
                </c:pt>
                <c:pt idx="27">
                  <c:v>0.82111436950146632</c:v>
                </c:pt>
                <c:pt idx="28">
                  <c:v>0.81427174975562078</c:v>
                </c:pt>
                <c:pt idx="29">
                  <c:v>0.84848484848484851</c:v>
                </c:pt>
                <c:pt idx="30">
                  <c:v>0.77517106549364612</c:v>
                </c:pt>
                <c:pt idx="31">
                  <c:v>0.75855327468230693</c:v>
                </c:pt>
                <c:pt idx="32">
                  <c:v>0.78201368523949166</c:v>
                </c:pt>
                <c:pt idx="33">
                  <c:v>0.6539589442815249</c:v>
                </c:pt>
                <c:pt idx="34">
                  <c:v>0.68132942326490709</c:v>
                </c:pt>
                <c:pt idx="35">
                  <c:v>0.69599217986314765</c:v>
                </c:pt>
                <c:pt idx="36">
                  <c:v>0.74486803519061584</c:v>
                </c:pt>
                <c:pt idx="37">
                  <c:v>0.68328445747800581</c:v>
                </c:pt>
                <c:pt idx="38">
                  <c:v>0.71456500488758556</c:v>
                </c:pt>
                <c:pt idx="39">
                  <c:v>0.61974584555229717</c:v>
                </c:pt>
                <c:pt idx="40">
                  <c:v>0.65982404692082108</c:v>
                </c:pt>
                <c:pt idx="41">
                  <c:v>0.6109481915933529</c:v>
                </c:pt>
                <c:pt idx="42">
                  <c:v>0.63636363636363635</c:v>
                </c:pt>
                <c:pt idx="43">
                  <c:v>0.63049853372434017</c:v>
                </c:pt>
                <c:pt idx="44">
                  <c:v>0.62756598240469208</c:v>
                </c:pt>
                <c:pt idx="45">
                  <c:v>0.64125122189638317</c:v>
                </c:pt>
                <c:pt idx="46">
                  <c:v>0.61876832844574781</c:v>
                </c:pt>
                <c:pt idx="47">
                  <c:v>0.61388074291300099</c:v>
                </c:pt>
                <c:pt idx="48">
                  <c:v>0.56891495601173026</c:v>
                </c:pt>
                <c:pt idx="49">
                  <c:v>0.60117302052785926</c:v>
                </c:pt>
                <c:pt idx="50">
                  <c:v>0.5757575757575758</c:v>
                </c:pt>
                <c:pt idx="51">
                  <c:v>0.5865102639296188</c:v>
                </c:pt>
                <c:pt idx="52">
                  <c:v>0.5620723362658846</c:v>
                </c:pt>
                <c:pt idx="53">
                  <c:v>0.57282502443792771</c:v>
                </c:pt>
                <c:pt idx="54">
                  <c:v>0.56011730205278587</c:v>
                </c:pt>
                <c:pt idx="55">
                  <c:v>0.53861192570869987</c:v>
                </c:pt>
                <c:pt idx="56">
                  <c:v>0.56989247311827962</c:v>
                </c:pt>
                <c:pt idx="57">
                  <c:v>0.54643206256109478</c:v>
                </c:pt>
                <c:pt idx="58">
                  <c:v>0.5405669599217986</c:v>
                </c:pt>
                <c:pt idx="59">
                  <c:v>0.52590420332355814</c:v>
                </c:pt>
                <c:pt idx="60">
                  <c:v>0.57966764418377326</c:v>
                </c:pt>
                <c:pt idx="61">
                  <c:v>0.54447702834799605</c:v>
                </c:pt>
                <c:pt idx="62">
                  <c:v>0.51124144672531768</c:v>
                </c:pt>
                <c:pt idx="63">
                  <c:v>0.51808406647116323</c:v>
                </c:pt>
                <c:pt idx="64">
                  <c:v>0.57184750733137835</c:v>
                </c:pt>
                <c:pt idx="65">
                  <c:v>0.52785923753665687</c:v>
                </c:pt>
                <c:pt idx="66">
                  <c:v>0.53176930596285432</c:v>
                </c:pt>
                <c:pt idx="67">
                  <c:v>0.50830889540566959</c:v>
                </c:pt>
                <c:pt idx="68">
                  <c:v>0.54349951124144669</c:v>
                </c:pt>
                <c:pt idx="69">
                  <c:v>0.53176930596285432</c:v>
                </c:pt>
                <c:pt idx="70">
                  <c:v>0.50928641251221896</c:v>
                </c:pt>
                <c:pt idx="71">
                  <c:v>0.4838709677419355</c:v>
                </c:pt>
                <c:pt idx="72">
                  <c:v>0.51417399804496577</c:v>
                </c:pt>
                <c:pt idx="73">
                  <c:v>0.51417399804496577</c:v>
                </c:pt>
                <c:pt idx="74">
                  <c:v>0.50048875855327468</c:v>
                </c:pt>
                <c:pt idx="75">
                  <c:v>0.60019550342130989</c:v>
                </c:pt>
                <c:pt idx="76">
                  <c:v>0.53176930596285432</c:v>
                </c:pt>
                <c:pt idx="77">
                  <c:v>0.5268817204301075</c:v>
                </c:pt>
                <c:pt idx="78">
                  <c:v>0.52785923753665687</c:v>
                </c:pt>
                <c:pt idx="79">
                  <c:v>0.54643206256109478</c:v>
                </c:pt>
                <c:pt idx="80">
                  <c:v>0.50146627565982405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data3!$H$2:$H$82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0.93841642228739008</c:v>
                </c:pt>
                <c:pt idx="15">
                  <c:v>0.8191593352883676</c:v>
                </c:pt>
                <c:pt idx="16">
                  <c:v>0.69794721407624638</c:v>
                </c:pt>
                <c:pt idx="17">
                  <c:v>0.68523949169110454</c:v>
                </c:pt>
                <c:pt idx="18">
                  <c:v>0.64809384164222872</c:v>
                </c:pt>
                <c:pt idx="19">
                  <c:v>0.61583577712609971</c:v>
                </c:pt>
                <c:pt idx="20">
                  <c:v>0.5376344086021505</c:v>
                </c:pt>
                <c:pt idx="21">
                  <c:v>0.54545454545454541</c:v>
                </c:pt>
                <c:pt idx="22">
                  <c:v>0.53176930596285432</c:v>
                </c:pt>
                <c:pt idx="23">
                  <c:v>0.46725317693059626</c:v>
                </c:pt>
                <c:pt idx="24">
                  <c:v>0.4946236559139785</c:v>
                </c:pt>
                <c:pt idx="25">
                  <c:v>0.46920821114369504</c:v>
                </c:pt>
                <c:pt idx="26">
                  <c:v>0.44965786901270771</c:v>
                </c:pt>
                <c:pt idx="27">
                  <c:v>0.42717497556207235</c:v>
                </c:pt>
                <c:pt idx="28">
                  <c:v>0.41642228739002934</c:v>
                </c:pt>
                <c:pt idx="29">
                  <c:v>0.41153470185728253</c:v>
                </c:pt>
                <c:pt idx="30">
                  <c:v>0.39393939393939392</c:v>
                </c:pt>
                <c:pt idx="31">
                  <c:v>0.38220918866080156</c:v>
                </c:pt>
                <c:pt idx="32">
                  <c:v>0.39296187683284456</c:v>
                </c:pt>
                <c:pt idx="33">
                  <c:v>0.38025415444770283</c:v>
                </c:pt>
                <c:pt idx="34">
                  <c:v>0.38416422287390029</c:v>
                </c:pt>
                <c:pt idx="35">
                  <c:v>0.37145650048875856</c:v>
                </c:pt>
                <c:pt idx="36">
                  <c:v>0.33822091886608013</c:v>
                </c:pt>
                <c:pt idx="37">
                  <c:v>0.36461388074291301</c:v>
                </c:pt>
                <c:pt idx="38">
                  <c:v>0.3460410557184751</c:v>
                </c:pt>
                <c:pt idx="39">
                  <c:v>0.35386119257087001</c:v>
                </c:pt>
                <c:pt idx="40">
                  <c:v>0.35777126099706746</c:v>
                </c:pt>
                <c:pt idx="41">
                  <c:v>0.31573802541544477</c:v>
                </c:pt>
                <c:pt idx="42">
                  <c:v>0.34995112414467255</c:v>
                </c:pt>
                <c:pt idx="43">
                  <c:v>0.30303030303030304</c:v>
                </c:pt>
                <c:pt idx="44">
                  <c:v>0.30009775171065495</c:v>
                </c:pt>
                <c:pt idx="45">
                  <c:v>0.34115347018572822</c:v>
                </c:pt>
                <c:pt idx="46">
                  <c:v>0.33528836754643204</c:v>
                </c:pt>
                <c:pt idx="47">
                  <c:v>0.29618768328445749</c:v>
                </c:pt>
                <c:pt idx="48">
                  <c:v>0.32453567937438904</c:v>
                </c:pt>
                <c:pt idx="49">
                  <c:v>0.33040078201368522</c:v>
                </c:pt>
                <c:pt idx="50">
                  <c:v>0.34115347018572822</c:v>
                </c:pt>
                <c:pt idx="51">
                  <c:v>0.30791788856304986</c:v>
                </c:pt>
                <c:pt idx="52">
                  <c:v>0.3040078201368524</c:v>
                </c:pt>
                <c:pt idx="53">
                  <c:v>0.27859237536656889</c:v>
                </c:pt>
                <c:pt idx="54">
                  <c:v>0.28152492668621698</c:v>
                </c:pt>
                <c:pt idx="55">
                  <c:v>0.30107526881720431</c:v>
                </c:pt>
                <c:pt idx="56">
                  <c:v>0.3040078201368524</c:v>
                </c:pt>
                <c:pt idx="57">
                  <c:v>0.28934506353861195</c:v>
                </c:pt>
                <c:pt idx="58">
                  <c:v>0.30596285434995113</c:v>
                </c:pt>
                <c:pt idx="59">
                  <c:v>0.29130009775171067</c:v>
                </c:pt>
                <c:pt idx="60">
                  <c:v>0.3040078201368524</c:v>
                </c:pt>
                <c:pt idx="61">
                  <c:v>0.28445747800586513</c:v>
                </c:pt>
                <c:pt idx="62">
                  <c:v>0.26197458455522971</c:v>
                </c:pt>
                <c:pt idx="63">
                  <c:v>0.29032258064516131</c:v>
                </c:pt>
                <c:pt idx="64">
                  <c:v>0.30205278592375367</c:v>
                </c:pt>
                <c:pt idx="65">
                  <c:v>0.28445747800586513</c:v>
                </c:pt>
                <c:pt idx="66">
                  <c:v>0.29521016617790813</c:v>
                </c:pt>
                <c:pt idx="67">
                  <c:v>0.31280547409579668</c:v>
                </c:pt>
                <c:pt idx="68">
                  <c:v>0.28934506353861195</c:v>
                </c:pt>
                <c:pt idx="69">
                  <c:v>0.25904203323558161</c:v>
                </c:pt>
                <c:pt idx="70">
                  <c:v>0.26392961876832843</c:v>
                </c:pt>
                <c:pt idx="71">
                  <c:v>0.28543499511241449</c:v>
                </c:pt>
                <c:pt idx="72">
                  <c:v>0.29521016617790813</c:v>
                </c:pt>
                <c:pt idx="73">
                  <c:v>0.29618768328445749</c:v>
                </c:pt>
                <c:pt idx="74">
                  <c:v>0.27468230694037143</c:v>
                </c:pt>
                <c:pt idx="75">
                  <c:v>0.28934506353861195</c:v>
                </c:pt>
                <c:pt idx="76">
                  <c:v>0.2512218963831867</c:v>
                </c:pt>
                <c:pt idx="77">
                  <c:v>0.22385141739980449</c:v>
                </c:pt>
                <c:pt idx="78">
                  <c:v>0.2404692082111437</c:v>
                </c:pt>
                <c:pt idx="79">
                  <c:v>0.27956989247311825</c:v>
                </c:pt>
                <c:pt idx="80">
                  <c:v>0.28543499511241449</c:v>
                </c:pt>
              </c:numCache>
            </c:numRef>
          </c:yVal>
        </c:ser>
        <c:ser>
          <c:idx val="2"/>
          <c:order val="2"/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data3!$I$2:$I$82</c:f>
              <c:numCache>
                <c:formatCode>0.000</c:formatCode>
                <c:ptCount val="81"/>
                <c:pt idx="0">
                  <c:v>0.48093841642228741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0.84261974584555233</c:v>
                </c:pt>
                <c:pt idx="10">
                  <c:v>0.72727272727272729</c:v>
                </c:pt>
                <c:pt idx="11">
                  <c:v>0.63734115347018572</c:v>
                </c:pt>
                <c:pt idx="12">
                  <c:v>0.53176930596285432</c:v>
                </c:pt>
                <c:pt idx="13">
                  <c:v>0.49951124144672532</c:v>
                </c:pt>
                <c:pt idx="14">
                  <c:v>0.44574780058651026</c:v>
                </c:pt>
                <c:pt idx="15">
                  <c:v>0.43206256109481916</c:v>
                </c:pt>
                <c:pt idx="16">
                  <c:v>0.33528836754643204</c:v>
                </c:pt>
                <c:pt idx="17">
                  <c:v>0.36363636363636365</c:v>
                </c:pt>
                <c:pt idx="18">
                  <c:v>0.36461388074291301</c:v>
                </c:pt>
                <c:pt idx="19">
                  <c:v>0.3040078201368524</c:v>
                </c:pt>
                <c:pt idx="20">
                  <c:v>0.29618768328445749</c:v>
                </c:pt>
                <c:pt idx="21">
                  <c:v>0.31867057673509286</c:v>
                </c:pt>
                <c:pt idx="22">
                  <c:v>0.29423264907135877</c:v>
                </c:pt>
                <c:pt idx="23">
                  <c:v>0.24535679374389052</c:v>
                </c:pt>
                <c:pt idx="24">
                  <c:v>0.26979472140762462</c:v>
                </c:pt>
                <c:pt idx="25">
                  <c:v>0.25610948191593352</c:v>
                </c:pt>
                <c:pt idx="26">
                  <c:v>0.25024437927663734</c:v>
                </c:pt>
                <c:pt idx="27">
                  <c:v>0.22873900293255131</c:v>
                </c:pt>
                <c:pt idx="28">
                  <c:v>0.26392961876832843</c:v>
                </c:pt>
                <c:pt idx="29">
                  <c:v>0.20723362658846531</c:v>
                </c:pt>
                <c:pt idx="30">
                  <c:v>0.21407624633431085</c:v>
                </c:pt>
                <c:pt idx="31">
                  <c:v>0.23069403714565004</c:v>
                </c:pt>
                <c:pt idx="32">
                  <c:v>0.21603128054740958</c:v>
                </c:pt>
                <c:pt idx="33">
                  <c:v>0.20918866080156404</c:v>
                </c:pt>
                <c:pt idx="34">
                  <c:v>0.20821114369501467</c:v>
                </c:pt>
                <c:pt idx="35">
                  <c:v>0.16422287390029325</c:v>
                </c:pt>
                <c:pt idx="36">
                  <c:v>0.22287390029325513</c:v>
                </c:pt>
                <c:pt idx="37">
                  <c:v>0.18084066471163246</c:v>
                </c:pt>
                <c:pt idx="38">
                  <c:v>0.1798631476050831</c:v>
                </c:pt>
                <c:pt idx="39">
                  <c:v>0.19159335288367546</c:v>
                </c:pt>
                <c:pt idx="40">
                  <c:v>0.21309872922776149</c:v>
                </c:pt>
                <c:pt idx="41">
                  <c:v>0.19159335288367546</c:v>
                </c:pt>
                <c:pt idx="42">
                  <c:v>0.18866080156402737</c:v>
                </c:pt>
                <c:pt idx="43">
                  <c:v>0.18572825024437928</c:v>
                </c:pt>
                <c:pt idx="44">
                  <c:v>0.15542521994134897</c:v>
                </c:pt>
                <c:pt idx="45">
                  <c:v>0.18670576735092864</c:v>
                </c:pt>
                <c:pt idx="46">
                  <c:v>0.21114369501466276</c:v>
                </c:pt>
                <c:pt idx="47">
                  <c:v>0.17497556207233628</c:v>
                </c:pt>
                <c:pt idx="48">
                  <c:v>0.19257086999022482</c:v>
                </c:pt>
                <c:pt idx="49">
                  <c:v>0.16129032258064516</c:v>
                </c:pt>
                <c:pt idx="50">
                  <c:v>0.16324535679374388</c:v>
                </c:pt>
                <c:pt idx="51">
                  <c:v>0.19159335288367546</c:v>
                </c:pt>
                <c:pt idx="52">
                  <c:v>0.18377321603128055</c:v>
                </c:pt>
                <c:pt idx="53">
                  <c:v>0.15640273704789834</c:v>
                </c:pt>
                <c:pt idx="54">
                  <c:v>0.176930596285435</c:v>
                </c:pt>
                <c:pt idx="55">
                  <c:v>0.1573802541544477</c:v>
                </c:pt>
                <c:pt idx="56">
                  <c:v>0.18866080156402737</c:v>
                </c:pt>
                <c:pt idx="57">
                  <c:v>0.20039100684261973</c:v>
                </c:pt>
                <c:pt idx="58">
                  <c:v>0.176930596285435</c:v>
                </c:pt>
                <c:pt idx="59">
                  <c:v>0.17204301075268819</c:v>
                </c:pt>
                <c:pt idx="60">
                  <c:v>0.16226783968719452</c:v>
                </c:pt>
                <c:pt idx="61">
                  <c:v>0.13294232649071358</c:v>
                </c:pt>
                <c:pt idx="62">
                  <c:v>0.14271749755620725</c:v>
                </c:pt>
                <c:pt idx="63">
                  <c:v>0.15053763440860216</c:v>
                </c:pt>
                <c:pt idx="64">
                  <c:v>0.18084066471163246</c:v>
                </c:pt>
                <c:pt idx="65">
                  <c:v>0.14858260019550343</c:v>
                </c:pt>
                <c:pt idx="66">
                  <c:v>0.14956011730205279</c:v>
                </c:pt>
                <c:pt idx="67">
                  <c:v>0.13685239491691104</c:v>
                </c:pt>
                <c:pt idx="68">
                  <c:v>0.14369501466275661</c:v>
                </c:pt>
                <c:pt idx="69">
                  <c:v>0.14369501466275661</c:v>
                </c:pt>
                <c:pt idx="70">
                  <c:v>0.14076246334310849</c:v>
                </c:pt>
                <c:pt idx="71">
                  <c:v>0.17008797653958943</c:v>
                </c:pt>
                <c:pt idx="72">
                  <c:v>0.15835777126099707</c:v>
                </c:pt>
                <c:pt idx="73">
                  <c:v>0.11143695014662756</c:v>
                </c:pt>
                <c:pt idx="74">
                  <c:v>0.15151515151515152</c:v>
                </c:pt>
                <c:pt idx="75">
                  <c:v>0.17204301075268819</c:v>
                </c:pt>
                <c:pt idx="76">
                  <c:v>0.16617790811339198</c:v>
                </c:pt>
                <c:pt idx="77">
                  <c:v>0.16129032258064516</c:v>
                </c:pt>
                <c:pt idx="78">
                  <c:v>0.13978494623655913</c:v>
                </c:pt>
                <c:pt idx="79">
                  <c:v>0.16911045943304007</c:v>
                </c:pt>
                <c:pt idx="80">
                  <c:v>0.15151515151515152</c:v>
                </c:pt>
              </c:numCache>
            </c:numRef>
          </c:yVal>
        </c:ser>
        <c:axId val="174265472"/>
        <c:axId val="174267008"/>
      </c:scatterChart>
      <c:valAx>
        <c:axId val="174265472"/>
        <c:scaling>
          <c:orientation val="minMax"/>
        </c:scaling>
        <c:axPos val="b"/>
        <c:numFmt formatCode="0.0" sourceLinked="1"/>
        <c:tickLblPos val="nextTo"/>
        <c:crossAx val="174267008"/>
        <c:crosses val="autoZero"/>
        <c:crossBetween val="midCat"/>
      </c:valAx>
      <c:valAx>
        <c:axId val="174267008"/>
        <c:scaling>
          <c:orientation val="minMax"/>
        </c:scaling>
        <c:axPos val="l"/>
        <c:majorGridlines/>
        <c:numFmt formatCode="0.000" sourceLinked="1"/>
        <c:tickLblPos val="nextTo"/>
        <c:crossAx val="174265472"/>
        <c:crosses val="autoZero"/>
        <c:crossBetween val="midCat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50"/>
              <a:t>0.2mm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data3!$K$2:$K$82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0.999</c:v>
                </c:pt>
                <c:pt idx="15">
                  <c:v>0.999</c:v>
                </c:pt>
                <c:pt idx="16">
                  <c:v>0.999</c:v>
                </c:pt>
                <c:pt idx="17">
                  <c:v>0.999</c:v>
                </c:pt>
                <c:pt idx="18">
                  <c:v>0.999</c:v>
                </c:pt>
                <c:pt idx="19">
                  <c:v>0.999</c:v>
                </c:pt>
                <c:pt idx="20">
                  <c:v>0.999</c:v>
                </c:pt>
                <c:pt idx="21">
                  <c:v>0.999</c:v>
                </c:pt>
                <c:pt idx="22">
                  <c:v>0.999</c:v>
                </c:pt>
                <c:pt idx="23">
                  <c:v>0.999</c:v>
                </c:pt>
                <c:pt idx="24">
                  <c:v>0.999</c:v>
                </c:pt>
                <c:pt idx="25">
                  <c:v>0.999</c:v>
                </c:pt>
                <c:pt idx="26">
                  <c:v>0.97360703812316718</c:v>
                </c:pt>
                <c:pt idx="27">
                  <c:v>0.83773216031280551</c:v>
                </c:pt>
                <c:pt idx="28">
                  <c:v>0.9433040078201369</c:v>
                </c:pt>
                <c:pt idx="29">
                  <c:v>0.87683284457478006</c:v>
                </c:pt>
                <c:pt idx="30">
                  <c:v>0.79960899315738021</c:v>
                </c:pt>
                <c:pt idx="31">
                  <c:v>0.79863147605083085</c:v>
                </c:pt>
                <c:pt idx="32">
                  <c:v>0.80938416422287385</c:v>
                </c:pt>
                <c:pt idx="33">
                  <c:v>0.76050830889540566</c:v>
                </c:pt>
                <c:pt idx="34">
                  <c:v>0.73704789833822093</c:v>
                </c:pt>
                <c:pt idx="35">
                  <c:v>0.72140762463343111</c:v>
                </c:pt>
                <c:pt idx="36">
                  <c:v>0.74193548387096775</c:v>
                </c:pt>
                <c:pt idx="37">
                  <c:v>0.69305962854349956</c:v>
                </c:pt>
                <c:pt idx="38">
                  <c:v>0.66764418377321599</c:v>
                </c:pt>
                <c:pt idx="39">
                  <c:v>0.72922776148582602</c:v>
                </c:pt>
                <c:pt idx="40">
                  <c:v>0.7135874877810362</c:v>
                </c:pt>
                <c:pt idx="41">
                  <c:v>0.65493646138807426</c:v>
                </c:pt>
                <c:pt idx="42">
                  <c:v>0.66080156402737045</c:v>
                </c:pt>
                <c:pt idx="43">
                  <c:v>0.69501466275659829</c:v>
                </c:pt>
                <c:pt idx="44">
                  <c:v>0.68132942326490709</c:v>
                </c:pt>
                <c:pt idx="45">
                  <c:v>0.63538611925708699</c:v>
                </c:pt>
                <c:pt idx="46">
                  <c:v>0.6432062561094819</c:v>
                </c:pt>
                <c:pt idx="47">
                  <c:v>0.61290322580645162</c:v>
                </c:pt>
                <c:pt idx="48">
                  <c:v>0.67644183773216027</c:v>
                </c:pt>
                <c:pt idx="49">
                  <c:v>0.63636363636363635</c:v>
                </c:pt>
                <c:pt idx="50">
                  <c:v>0.62561094819159335</c:v>
                </c:pt>
                <c:pt idx="51">
                  <c:v>0.6432062561094819</c:v>
                </c:pt>
                <c:pt idx="52">
                  <c:v>0.58846529814271753</c:v>
                </c:pt>
                <c:pt idx="53">
                  <c:v>0.60997067448680353</c:v>
                </c:pt>
                <c:pt idx="54">
                  <c:v>0.68035190615835772</c:v>
                </c:pt>
                <c:pt idx="55">
                  <c:v>0.64027370478983381</c:v>
                </c:pt>
                <c:pt idx="56">
                  <c:v>0.63343108504398826</c:v>
                </c:pt>
                <c:pt idx="57">
                  <c:v>0.61485826001955035</c:v>
                </c:pt>
                <c:pt idx="58">
                  <c:v>0.63343108504398826</c:v>
                </c:pt>
                <c:pt idx="59">
                  <c:v>0.58162267839687198</c:v>
                </c:pt>
                <c:pt idx="60">
                  <c:v>0.59433040078201371</c:v>
                </c:pt>
                <c:pt idx="61">
                  <c:v>0.58846529814271753</c:v>
                </c:pt>
                <c:pt idx="62">
                  <c:v>0.57380254154447707</c:v>
                </c:pt>
                <c:pt idx="63">
                  <c:v>0.61192570869990226</c:v>
                </c:pt>
                <c:pt idx="64">
                  <c:v>0.53567937438905178</c:v>
                </c:pt>
                <c:pt idx="65">
                  <c:v>0.57771260997067453</c:v>
                </c:pt>
                <c:pt idx="66">
                  <c:v>0.56598240469208216</c:v>
                </c:pt>
                <c:pt idx="67">
                  <c:v>0.54838709677419351</c:v>
                </c:pt>
                <c:pt idx="68">
                  <c:v>0.58455522971652008</c:v>
                </c:pt>
                <c:pt idx="69">
                  <c:v>0.5620723362658846</c:v>
                </c:pt>
                <c:pt idx="70">
                  <c:v>0.54936461388074287</c:v>
                </c:pt>
                <c:pt idx="71">
                  <c:v>0.5268817204301075</c:v>
                </c:pt>
                <c:pt idx="72">
                  <c:v>0.58260019550342135</c:v>
                </c:pt>
                <c:pt idx="73">
                  <c:v>0.5757575757575758</c:v>
                </c:pt>
                <c:pt idx="74">
                  <c:v>0.55522971652003905</c:v>
                </c:pt>
                <c:pt idx="75">
                  <c:v>0.57478005865102644</c:v>
                </c:pt>
                <c:pt idx="76">
                  <c:v>0.53079178885630496</c:v>
                </c:pt>
                <c:pt idx="77">
                  <c:v>0.60117302052785926</c:v>
                </c:pt>
                <c:pt idx="78">
                  <c:v>0.56695992179863153</c:v>
                </c:pt>
                <c:pt idx="79">
                  <c:v>0.59628543499511244</c:v>
                </c:pt>
                <c:pt idx="80">
                  <c:v>0.55034213098729223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data3!$L$2:$L$82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0.94623655913978499</c:v>
                </c:pt>
                <c:pt idx="15">
                  <c:v>0.83479960899315742</c:v>
                </c:pt>
                <c:pt idx="16">
                  <c:v>0.74486803519061584</c:v>
                </c:pt>
                <c:pt idx="17">
                  <c:v>0.66959921798631472</c:v>
                </c:pt>
                <c:pt idx="18">
                  <c:v>0.6432062561094819</c:v>
                </c:pt>
                <c:pt idx="19">
                  <c:v>0.60312805474095799</c:v>
                </c:pt>
                <c:pt idx="20">
                  <c:v>0.61974584555229717</c:v>
                </c:pt>
                <c:pt idx="21">
                  <c:v>0.5650048875855328</c:v>
                </c:pt>
                <c:pt idx="22">
                  <c:v>0.55718475073313778</c:v>
                </c:pt>
                <c:pt idx="23">
                  <c:v>0.51808406647116323</c:v>
                </c:pt>
                <c:pt idx="24">
                  <c:v>0.52199413489736068</c:v>
                </c:pt>
                <c:pt idx="25">
                  <c:v>0.48093841642228741</c:v>
                </c:pt>
                <c:pt idx="26">
                  <c:v>0.4525904203323558</c:v>
                </c:pt>
                <c:pt idx="27">
                  <c:v>0.44672531769305962</c:v>
                </c:pt>
                <c:pt idx="28">
                  <c:v>0.37732160312805474</c:v>
                </c:pt>
                <c:pt idx="29">
                  <c:v>0.46041055718475071</c:v>
                </c:pt>
                <c:pt idx="30">
                  <c:v>0.47898338220918868</c:v>
                </c:pt>
                <c:pt idx="31">
                  <c:v>0.41642228739002934</c:v>
                </c:pt>
                <c:pt idx="32">
                  <c:v>0.40762463343108507</c:v>
                </c:pt>
                <c:pt idx="33">
                  <c:v>0.40860215053763443</c:v>
                </c:pt>
                <c:pt idx="34">
                  <c:v>0.38025415444770283</c:v>
                </c:pt>
                <c:pt idx="35">
                  <c:v>0.39687194525904201</c:v>
                </c:pt>
                <c:pt idx="36">
                  <c:v>0.37927663734115347</c:v>
                </c:pt>
                <c:pt idx="37">
                  <c:v>0.38807429130009774</c:v>
                </c:pt>
                <c:pt idx="38">
                  <c:v>0.36950146627565983</c:v>
                </c:pt>
                <c:pt idx="39">
                  <c:v>0.35288367546432065</c:v>
                </c:pt>
                <c:pt idx="40">
                  <c:v>0.33724340175953077</c:v>
                </c:pt>
                <c:pt idx="41">
                  <c:v>0.39393939393939392</c:v>
                </c:pt>
                <c:pt idx="42">
                  <c:v>0.32746823069403713</c:v>
                </c:pt>
                <c:pt idx="43">
                  <c:v>0.36070381231671556</c:v>
                </c:pt>
                <c:pt idx="44">
                  <c:v>0.37047898338220919</c:v>
                </c:pt>
                <c:pt idx="45">
                  <c:v>0.33626588465298141</c:v>
                </c:pt>
                <c:pt idx="46">
                  <c:v>0.34897360703812319</c:v>
                </c:pt>
                <c:pt idx="47">
                  <c:v>0.3567937438905181</c:v>
                </c:pt>
                <c:pt idx="48">
                  <c:v>0.37145650048875856</c:v>
                </c:pt>
                <c:pt idx="49">
                  <c:v>0.32746823069403713</c:v>
                </c:pt>
                <c:pt idx="50">
                  <c:v>0.32649071358748777</c:v>
                </c:pt>
                <c:pt idx="51">
                  <c:v>0.3255131964809384</c:v>
                </c:pt>
                <c:pt idx="52">
                  <c:v>0.33333333333333331</c:v>
                </c:pt>
                <c:pt idx="53">
                  <c:v>0.31182795698924731</c:v>
                </c:pt>
                <c:pt idx="54">
                  <c:v>0.32062561094819159</c:v>
                </c:pt>
                <c:pt idx="55">
                  <c:v>0.35874877810361683</c:v>
                </c:pt>
                <c:pt idx="56">
                  <c:v>0.32258064516129031</c:v>
                </c:pt>
                <c:pt idx="57">
                  <c:v>0.33822091886608013</c:v>
                </c:pt>
                <c:pt idx="58">
                  <c:v>0.32258064516129031</c:v>
                </c:pt>
                <c:pt idx="59">
                  <c:v>0.31964809384164222</c:v>
                </c:pt>
                <c:pt idx="60">
                  <c:v>0.3040078201368524</c:v>
                </c:pt>
                <c:pt idx="61">
                  <c:v>0.31769305962854349</c:v>
                </c:pt>
                <c:pt idx="62">
                  <c:v>0.30205278592375367</c:v>
                </c:pt>
                <c:pt idx="63">
                  <c:v>0.27663734115347016</c:v>
                </c:pt>
                <c:pt idx="64">
                  <c:v>0.30107526881720431</c:v>
                </c:pt>
                <c:pt idx="65">
                  <c:v>0.32258064516129031</c:v>
                </c:pt>
                <c:pt idx="66">
                  <c:v>0.34213098729227759</c:v>
                </c:pt>
                <c:pt idx="67">
                  <c:v>0.35483870967741937</c:v>
                </c:pt>
                <c:pt idx="68">
                  <c:v>0.32160312805474095</c:v>
                </c:pt>
                <c:pt idx="69">
                  <c:v>0.33137829912023459</c:v>
                </c:pt>
                <c:pt idx="70">
                  <c:v>0.28445747800586513</c:v>
                </c:pt>
                <c:pt idx="71">
                  <c:v>0.30009775171065495</c:v>
                </c:pt>
                <c:pt idx="72">
                  <c:v>0.31867057673509286</c:v>
                </c:pt>
                <c:pt idx="73">
                  <c:v>0.28054740957966762</c:v>
                </c:pt>
                <c:pt idx="74">
                  <c:v>0.31867057673509286</c:v>
                </c:pt>
                <c:pt idx="75">
                  <c:v>0.27761485826001953</c:v>
                </c:pt>
                <c:pt idx="76">
                  <c:v>0.28739002932551322</c:v>
                </c:pt>
                <c:pt idx="77">
                  <c:v>0.29618768328445749</c:v>
                </c:pt>
                <c:pt idx="78">
                  <c:v>0.27956989247311825</c:v>
                </c:pt>
                <c:pt idx="79">
                  <c:v>0.26979472140762462</c:v>
                </c:pt>
                <c:pt idx="80">
                  <c:v>0.31378299120234604</c:v>
                </c:pt>
              </c:numCache>
            </c:numRef>
          </c:yVal>
        </c:ser>
        <c:ser>
          <c:idx val="2"/>
          <c:order val="2"/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data3!$M$2:$M$82</c:f>
              <c:numCache>
                <c:formatCode>0.000</c:formatCode>
                <c:ptCount val="81"/>
                <c:pt idx="0">
                  <c:v>0.58455522971652008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0.85923753665689151</c:v>
                </c:pt>
                <c:pt idx="10">
                  <c:v>0.71652003910068429</c:v>
                </c:pt>
                <c:pt idx="11">
                  <c:v>0.63343108504398826</c:v>
                </c:pt>
                <c:pt idx="12">
                  <c:v>0.56011730205278587</c:v>
                </c:pt>
                <c:pt idx="13">
                  <c:v>0.48093841642228741</c:v>
                </c:pt>
                <c:pt idx="14">
                  <c:v>0.46041055718475071</c:v>
                </c:pt>
                <c:pt idx="15">
                  <c:v>0.41642228739002934</c:v>
                </c:pt>
                <c:pt idx="16">
                  <c:v>0.39882697947214074</c:v>
                </c:pt>
                <c:pt idx="17">
                  <c:v>0.38416422287390029</c:v>
                </c:pt>
                <c:pt idx="18">
                  <c:v>0.34408602150537637</c:v>
                </c:pt>
                <c:pt idx="19">
                  <c:v>0.32062561094819159</c:v>
                </c:pt>
                <c:pt idx="20">
                  <c:v>0.31769305962854349</c:v>
                </c:pt>
                <c:pt idx="21">
                  <c:v>0.28543499511241449</c:v>
                </c:pt>
                <c:pt idx="22">
                  <c:v>0.29912023460410558</c:v>
                </c:pt>
                <c:pt idx="23">
                  <c:v>0.31182795698924731</c:v>
                </c:pt>
                <c:pt idx="24">
                  <c:v>0.24828934506353861</c:v>
                </c:pt>
                <c:pt idx="25">
                  <c:v>0.2541544477028348</c:v>
                </c:pt>
                <c:pt idx="26">
                  <c:v>0.23460410557184752</c:v>
                </c:pt>
                <c:pt idx="27">
                  <c:v>0.26881720430107525</c:v>
                </c:pt>
                <c:pt idx="28">
                  <c:v>0.24437927663734116</c:v>
                </c:pt>
                <c:pt idx="29">
                  <c:v>0.21212121212121213</c:v>
                </c:pt>
                <c:pt idx="30">
                  <c:v>0.22287390029325513</c:v>
                </c:pt>
                <c:pt idx="31">
                  <c:v>0.20527859237536658</c:v>
                </c:pt>
                <c:pt idx="32">
                  <c:v>0.21505376344086022</c:v>
                </c:pt>
                <c:pt idx="33">
                  <c:v>0.18572825024437928</c:v>
                </c:pt>
                <c:pt idx="34">
                  <c:v>0.2101661779081134</c:v>
                </c:pt>
                <c:pt idx="35">
                  <c:v>0.21994134897360704</c:v>
                </c:pt>
                <c:pt idx="36">
                  <c:v>0.26392961876832843</c:v>
                </c:pt>
                <c:pt idx="37">
                  <c:v>0.19745845552297164</c:v>
                </c:pt>
                <c:pt idx="38">
                  <c:v>0.20527859237536658</c:v>
                </c:pt>
                <c:pt idx="39">
                  <c:v>0.21896383186705767</c:v>
                </c:pt>
                <c:pt idx="40">
                  <c:v>0.21603128054740958</c:v>
                </c:pt>
                <c:pt idx="41">
                  <c:v>0.17302052785923755</c:v>
                </c:pt>
                <c:pt idx="42">
                  <c:v>0.18670576735092864</c:v>
                </c:pt>
                <c:pt idx="43">
                  <c:v>0.19941348973607037</c:v>
                </c:pt>
                <c:pt idx="44">
                  <c:v>0.1906158357771261</c:v>
                </c:pt>
                <c:pt idx="45">
                  <c:v>0.21505376344086022</c:v>
                </c:pt>
                <c:pt idx="46">
                  <c:v>0.19550342130987292</c:v>
                </c:pt>
                <c:pt idx="47">
                  <c:v>0.1798631476050831</c:v>
                </c:pt>
                <c:pt idx="48">
                  <c:v>0.18768328445747801</c:v>
                </c:pt>
                <c:pt idx="49">
                  <c:v>0.17595307917888564</c:v>
                </c:pt>
                <c:pt idx="50">
                  <c:v>0.1798631476050831</c:v>
                </c:pt>
                <c:pt idx="51">
                  <c:v>0.1681329423264907</c:v>
                </c:pt>
                <c:pt idx="52">
                  <c:v>0.19452590420332355</c:v>
                </c:pt>
                <c:pt idx="53">
                  <c:v>0.18963831867057673</c:v>
                </c:pt>
                <c:pt idx="54">
                  <c:v>0.20039100684261973</c:v>
                </c:pt>
                <c:pt idx="55">
                  <c:v>0.16324535679374388</c:v>
                </c:pt>
                <c:pt idx="56">
                  <c:v>0.18279569892473119</c:v>
                </c:pt>
                <c:pt idx="57">
                  <c:v>0.19648093841642228</c:v>
                </c:pt>
                <c:pt idx="58">
                  <c:v>0.19745845552297164</c:v>
                </c:pt>
                <c:pt idx="59">
                  <c:v>0.17399804496578691</c:v>
                </c:pt>
                <c:pt idx="60">
                  <c:v>0.1798631476050831</c:v>
                </c:pt>
                <c:pt idx="61">
                  <c:v>0.16715542521994134</c:v>
                </c:pt>
                <c:pt idx="62">
                  <c:v>0.16715542521994134</c:v>
                </c:pt>
                <c:pt idx="63">
                  <c:v>0.14173998044965788</c:v>
                </c:pt>
                <c:pt idx="64">
                  <c:v>0.17790811339198437</c:v>
                </c:pt>
                <c:pt idx="65">
                  <c:v>0.15640273704789834</c:v>
                </c:pt>
                <c:pt idx="66">
                  <c:v>0.19452590420332355</c:v>
                </c:pt>
                <c:pt idx="67">
                  <c:v>0.17008797653958943</c:v>
                </c:pt>
                <c:pt idx="68">
                  <c:v>0.1681329423264907</c:v>
                </c:pt>
                <c:pt idx="69">
                  <c:v>0.15347018572825025</c:v>
                </c:pt>
                <c:pt idx="70">
                  <c:v>0.16617790811339198</c:v>
                </c:pt>
                <c:pt idx="71">
                  <c:v>0.16911045943304007</c:v>
                </c:pt>
                <c:pt idx="72">
                  <c:v>0.18963831867057673</c:v>
                </c:pt>
                <c:pt idx="73">
                  <c:v>0.15347018572825025</c:v>
                </c:pt>
                <c:pt idx="74">
                  <c:v>0.176930596285435</c:v>
                </c:pt>
                <c:pt idx="75">
                  <c:v>0.18181818181818182</c:v>
                </c:pt>
                <c:pt idx="76">
                  <c:v>0.17204301075268819</c:v>
                </c:pt>
                <c:pt idx="77">
                  <c:v>0.16617790811339198</c:v>
                </c:pt>
                <c:pt idx="78">
                  <c:v>0.12903225806451613</c:v>
                </c:pt>
                <c:pt idx="79">
                  <c:v>0.13587487781036167</c:v>
                </c:pt>
                <c:pt idx="80">
                  <c:v>0.1466275659824047</c:v>
                </c:pt>
              </c:numCache>
            </c:numRef>
          </c:yVal>
        </c:ser>
        <c:axId val="174545536"/>
        <c:axId val="174220416"/>
      </c:scatterChart>
      <c:valAx>
        <c:axId val="174545536"/>
        <c:scaling>
          <c:orientation val="minMax"/>
        </c:scaling>
        <c:axPos val="b"/>
        <c:numFmt formatCode="0.0" sourceLinked="1"/>
        <c:tickLblPos val="nextTo"/>
        <c:crossAx val="174220416"/>
        <c:crosses val="autoZero"/>
        <c:crossBetween val="midCat"/>
      </c:valAx>
      <c:valAx>
        <c:axId val="174220416"/>
        <c:scaling>
          <c:orientation val="minMax"/>
        </c:scaling>
        <c:axPos val="l"/>
        <c:majorGridlines/>
        <c:numFmt formatCode="0.000" sourceLinked="1"/>
        <c:tickLblPos val="nextTo"/>
        <c:crossAx val="174545536"/>
        <c:crosses val="autoZero"/>
        <c:crossBetween val="midCat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50"/>
              <a:t>0.3mm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data3!$O$2:$O$82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0.999</c:v>
                </c:pt>
                <c:pt idx="15">
                  <c:v>0.999</c:v>
                </c:pt>
                <c:pt idx="16">
                  <c:v>0.999</c:v>
                </c:pt>
                <c:pt idx="17">
                  <c:v>0.999</c:v>
                </c:pt>
                <c:pt idx="18">
                  <c:v>0.999</c:v>
                </c:pt>
                <c:pt idx="19">
                  <c:v>0.999</c:v>
                </c:pt>
                <c:pt idx="20">
                  <c:v>0.999</c:v>
                </c:pt>
                <c:pt idx="21">
                  <c:v>0.999</c:v>
                </c:pt>
                <c:pt idx="22">
                  <c:v>0.999</c:v>
                </c:pt>
                <c:pt idx="23">
                  <c:v>0.999</c:v>
                </c:pt>
                <c:pt idx="24">
                  <c:v>0.999</c:v>
                </c:pt>
                <c:pt idx="25">
                  <c:v>0.999</c:v>
                </c:pt>
                <c:pt idx="26">
                  <c:v>0.999</c:v>
                </c:pt>
                <c:pt idx="27">
                  <c:v>0.999</c:v>
                </c:pt>
                <c:pt idx="28">
                  <c:v>0.999</c:v>
                </c:pt>
                <c:pt idx="29">
                  <c:v>0.99413489736070382</c:v>
                </c:pt>
                <c:pt idx="30">
                  <c:v>0.91788856304985333</c:v>
                </c:pt>
                <c:pt idx="31">
                  <c:v>0.88660801564027369</c:v>
                </c:pt>
                <c:pt idx="32">
                  <c:v>0.86119257086999024</c:v>
                </c:pt>
                <c:pt idx="33">
                  <c:v>0.81720430107526887</c:v>
                </c:pt>
                <c:pt idx="34">
                  <c:v>0.83773216031280551</c:v>
                </c:pt>
                <c:pt idx="35">
                  <c:v>0.79276637341153466</c:v>
                </c:pt>
                <c:pt idx="36">
                  <c:v>0.80449657869012703</c:v>
                </c:pt>
                <c:pt idx="37">
                  <c:v>0.77419354838709675</c:v>
                </c:pt>
                <c:pt idx="38">
                  <c:v>0.7135874877810362</c:v>
                </c:pt>
                <c:pt idx="39">
                  <c:v>0.71065493646138811</c:v>
                </c:pt>
                <c:pt idx="40">
                  <c:v>0.73704789833822093</c:v>
                </c:pt>
                <c:pt idx="41">
                  <c:v>0.7595307917888563</c:v>
                </c:pt>
                <c:pt idx="42">
                  <c:v>0.78005865102639294</c:v>
                </c:pt>
                <c:pt idx="43">
                  <c:v>0.74193548387096775</c:v>
                </c:pt>
                <c:pt idx="44">
                  <c:v>0.72238514173998047</c:v>
                </c:pt>
                <c:pt idx="45">
                  <c:v>0.69794721407624638</c:v>
                </c:pt>
                <c:pt idx="46">
                  <c:v>0.69696969696969702</c:v>
                </c:pt>
                <c:pt idx="47">
                  <c:v>0.67448680351906154</c:v>
                </c:pt>
                <c:pt idx="48">
                  <c:v>0.67741935483870963</c:v>
                </c:pt>
                <c:pt idx="49">
                  <c:v>0.65493646138807426</c:v>
                </c:pt>
                <c:pt idx="50">
                  <c:v>0.65200391006842617</c:v>
                </c:pt>
                <c:pt idx="51">
                  <c:v>0.64027370478983381</c:v>
                </c:pt>
                <c:pt idx="52">
                  <c:v>0.66568914956011727</c:v>
                </c:pt>
                <c:pt idx="53">
                  <c:v>0.68426197458455518</c:v>
                </c:pt>
                <c:pt idx="54">
                  <c:v>0.65004887585532745</c:v>
                </c:pt>
                <c:pt idx="55">
                  <c:v>0.62756598240469208</c:v>
                </c:pt>
                <c:pt idx="56">
                  <c:v>0.62756598240469208</c:v>
                </c:pt>
                <c:pt idx="57">
                  <c:v>0.69305962854349956</c:v>
                </c:pt>
                <c:pt idx="58">
                  <c:v>0.60508308895405671</c:v>
                </c:pt>
                <c:pt idx="59">
                  <c:v>0.63636363636363635</c:v>
                </c:pt>
                <c:pt idx="60">
                  <c:v>0.63440860215053763</c:v>
                </c:pt>
                <c:pt idx="61">
                  <c:v>0.66568914956011727</c:v>
                </c:pt>
                <c:pt idx="62">
                  <c:v>0.62463343108504399</c:v>
                </c:pt>
                <c:pt idx="63">
                  <c:v>0.6647116324535679</c:v>
                </c:pt>
                <c:pt idx="64">
                  <c:v>0.63636363636363635</c:v>
                </c:pt>
                <c:pt idx="65">
                  <c:v>0.61290322580645162</c:v>
                </c:pt>
                <c:pt idx="66">
                  <c:v>0.66764418377321599</c:v>
                </c:pt>
                <c:pt idx="67">
                  <c:v>0.64711632453567935</c:v>
                </c:pt>
                <c:pt idx="68">
                  <c:v>0.62267839687194526</c:v>
                </c:pt>
                <c:pt idx="69">
                  <c:v>0.62756598240469208</c:v>
                </c:pt>
                <c:pt idx="70">
                  <c:v>0.61779081133919844</c:v>
                </c:pt>
                <c:pt idx="71">
                  <c:v>0.60606060606060608</c:v>
                </c:pt>
                <c:pt idx="72">
                  <c:v>0.59335288367546435</c:v>
                </c:pt>
                <c:pt idx="73">
                  <c:v>0.62463343108504399</c:v>
                </c:pt>
                <c:pt idx="74">
                  <c:v>0.60215053763440862</c:v>
                </c:pt>
                <c:pt idx="75">
                  <c:v>0.60410557184750735</c:v>
                </c:pt>
                <c:pt idx="76">
                  <c:v>0.55229716520039096</c:v>
                </c:pt>
                <c:pt idx="77">
                  <c:v>0.59824046920821117</c:v>
                </c:pt>
                <c:pt idx="78">
                  <c:v>0.63049853372434017</c:v>
                </c:pt>
                <c:pt idx="79">
                  <c:v>0.64516129032258063</c:v>
                </c:pt>
                <c:pt idx="80">
                  <c:v>0.56989247311827962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data3!$P$2:$P$82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0.999</c:v>
                </c:pt>
                <c:pt idx="15">
                  <c:v>0.83186705767350932</c:v>
                </c:pt>
                <c:pt idx="16">
                  <c:v>0.75268817204301075</c:v>
                </c:pt>
                <c:pt idx="17">
                  <c:v>0.74975562072336266</c:v>
                </c:pt>
                <c:pt idx="18">
                  <c:v>0.70185728250244384</c:v>
                </c:pt>
                <c:pt idx="19">
                  <c:v>0.63343108504398826</c:v>
                </c:pt>
                <c:pt idx="20">
                  <c:v>0.59335288367546435</c:v>
                </c:pt>
                <c:pt idx="21">
                  <c:v>0.58162267839687198</c:v>
                </c:pt>
                <c:pt idx="22">
                  <c:v>0.56402737047898344</c:v>
                </c:pt>
                <c:pt idx="23">
                  <c:v>0.56109481915933523</c:v>
                </c:pt>
                <c:pt idx="24">
                  <c:v>0.51026392961876832</c:v>
                </c:pt>
                <c:pt idx="25">
                  <c:v>0.4946236559139785</c:v>
                </c:pt>
                <c:pt idx="26">
                  <c:v>0.46432062561094817</c:v>
                </c:pt>
                <c:pt idx="27">
                  <c:v>0.47507331378299122</c:v>
                </c:pt>
                <c:pt idx="28">
                  <c:v>0.44965786901270771</c:v>
                </c:pt>
                <c:pt idx="29">
                  <c:v>0.47409579667644186</c:v>
                </c:pt>
                <c:pt idx="30">
                  <c:v>0.40762463343108507</c:v>
                </c:pt>
                <c:pt idx="31">
                  <c:v>0.39687194525904201</c:v>
                </c:pt>
                <c:pt idx="32">
                  <c:v>0.39589442815249265</c:v>
                </c:pt>
                <c:pt idx="33">
                  <c:v>0.41055718475073316</c:v>
                </c:pt>
                <c:pt idx="34">
                  <c:v>0.41837732160312807</c:v>
                </c:pt>
                <c:pt idx="35">
                  <c:v>0.38709677419354838</c:v>
                </c:pt>
                <c:pt idx="36">
                  <c:v>0.42619745845552298</c:v>
                </c:pt>
                <c:pt idx="37">
                  <c:v>0.40566959921798629</c:v>
                </c:pt>
                <c:pt idx="38">
                  <c:v>0.37145650048875856</c:v>
                </c:pt>
                <c:pt idx="39">
                  <c:v>0.39393939393939392</c:v>
                </c:pt>
                <c:pt idx="40">
                  <c:v>0.34408602150537637</c:v>
                </c:pt>
                <c:pt idx="41">
                  <c:v>0.42815249266862171</c:v>
                </c:pt>
                <c:pt idx="42">
                  <c:v>0.38807429130009774</c:v>
                </c:pt>
                <c:pt idx="43">
                  <c:v>0.39589442815249265</c:v>
                </c:pt>
                <c:pt idx="44">
                  <c:v>0.3284457478005865</c:v>
                </c:pt>
                <c:pt idx="45">
                  <c:v>0.37438905180840665</c:v>
                </c:pt>
                <c:pt idx="46">
                  <c:v>0.40175953079178883</c:v>
                </c:pt>
                <c:pt idx="47">
                  <c:v>0.39784946236559138</c:v>
                </c:pt>
                <c:pt idx="48">
                  <c:v>0.37438905180840665</c:v>
                </c:pt>
                <c:pt idx="49">
                  <c:v>0.36168132942326492</c:v>
                </c:pt>
                <c:pt idx="50">
                  <c:v>0.38416422287390029</c:v>
                </c:pt>
                <c:pt idx="51">
                  <c:v>0.37145650048875856</c:v>
                </c:pt>
                <c:pt idx="52">
                  <c:v>0.36656891495601174</c:v>
                </c:pt>
                <c:pt idx="53">
                  <c:v>0.36559139784946237</c:v>
                </c:pt>
                <c:pt idx="54">
                  <c:v>0.3782991202346041</c:v>
                </c:pt>
                <c:pt idx="55">
                  <c:v>0.32062561094819159</c:v>
                </c:pt>
                <c:pt idx="56">
                  <c:v>0.34995112414467255</c:v>
                </c:pt>
                <c:pt idx="57">
                  <c:v>0.38514173998044965</c:v>
                </c:pt>
                <c:pt idx="58">
                  <c:v>0.32258064516129031</c:v>
                </c:pt>
                <c:pt idx="59">
                  <c:v>0.32942326490713586</c:v>
                </c:pt>
                <c:pt idx="60">
                  <c:v>0.33724340175953077</c:v>
                </c:pt>
                <c:pt idx="61">
                  <c:v>0.36070381231671556</c:v>
                </c:pt>
                <c:pt idx="62">
                  <c:v>0.35386119257087001</c:v>
                </c:pt>
                <c:pt idx="63">
                  <c:v>0.36461388074291301</c:v>
                </c:pt>
                <c:pt idx="64">
                  <c:v>0.35092864125122192</c:v>
                </c:pt>
                <c:pt idx="65">
                  <c:v>0.3284457478005865</c:v>
                </c:pt>
                <c:pt idx="66">
                  <c:v>0.35483870967741937</c:v>
                </c:pt>
                <c:pt idx="67">
                  <c:v>0.31671554252199413</c:v>
                </c:pt>
                <c:pt idx="68">
                  <c:v>0.31867057673509286</c:v>
                </c:pt>
                <c:pt idx="69">
                  <c:v>0.33431085043988268</c:v>
                </c:pt>
                <c:pt idx="70">
                  <c:v>0.32355816226783968</c:v>
                </c:pt>
                <c:pt idx="71">
                  <c:v>0.32355816226783968</c:v>
                </c:pt>
                <c:pt idx="72">
                  <c:v>0.35874877810361683</c:v>
                </c:pt>
                <c:pt idx="73">
                  <c:v>0.35483870967741937</c:v>
                </c:pt>
                <c:pt idx="74">
                  <c:v>0.34310850439882695</c:v>
                </c:pt>
                <c:pt idx="75">
                  <c:v>0.34995112414467255</c:v>
                </c:pt>
                <c:pt idx="76">
                  <c:v>0.27174975562072334</c:v>
                </c:pt>
                <c:pt idx="77">
                  <c:v>0.30205278592375367</c:v>
                </c:pt>
                <c:pt idx="78">
                  <c:v>0.31182795698924731</c:v>
                </c:pt>
                <c:pt idx="79">
                  <c:v>0.3675464320625611</c:v>
                </c:pt>
                <c:pt idx="80">
                  <c:v>0.33333333333333331</c:v>
                </c:pt>
              </c:numCache>
            </c:numRef>
          </c:yVal>
        </c:ser>
        <c:ser>
          <c:idx val="2"/>
          <c:order val="2"/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data3!$Q$2:$Q$82</c:f>
              <c:numCache>
                <c:formatCode>0.000</c:formatCode>
                <c:ptCount val="81"/>
                <c:pt idx="0">
                  <c:v>0.69501466275659829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0.84946236559139787</c:v>
                </c:pt>
                <c:pt idx="10">
                  <c:v>0.69990224828934511</c:v>
                </c:pt>
                <c:pt idx="11">
                  <c:v>0.63440860215053763</c:v>
                </c:pt>
                <c:pt idx="12">
                  <c:v>0.5972629521016618</c:v>
                </c:pt>
                <c:pt idx="13">
                  <c:v>0.49951124144672532</c:v>
                </c:pt>
                <c:pt idx="14">
                  <c:v>0.48680351906158359</c:v>
                </c:pt>
                <c:pt idx="15">
                  <c:v>0.42815249266862171</c:v>
                </c:pt>
                <c:pt idx="16">
                  <c:v>0.42424242424242425</c:v>
                </c:pt>
                <c:pt idx="17">
                  <c:v>0.4027370478983382</c:v>
                </c:pt>
                <c:pt idx="18">
                  <c:v>0.36559139784946237</c:v>
                </c:pt>
                <c:pt idx="19">
                  <c:v>0.34213098729227759</c:v>
                </c:pt>
                <c:pt idx="20">
                  <c:v>0.3255131964809384</c:v>
                </c:pt>
                <c:pt idx="21">
                  <c:v>0.31964809384164222</c:v>
                </c:pt>
                <c:pt idx="22">
                  <c:v>0.30107526881720431</c:v>
                </c:pt>
                <c:pt idx="23">
                  <c:v>0.25708699902248289</c:v>
                </c:pt>
                <c:pt idx="24">
                  <c:v>0.2756598240469208</c:v>
                </c:pt>
                <c:pt idx="25">
                  <c:v>0.2512218963831867</c:v>
                </c:pt>
                <c:pt idx="26">
                  <c:v>0.27956989247311825</c:v>
                </c:pt>
                <c:pt idx="27">
                  <c:v>0.24926686217008798</c:v>
                </c:pt>
                <c:pt idx="28">
                  <c:v>0.23460410557184752</c:v>
                </c:pt>
                <c:pt idx="29">
                  <c:v>0.26392961876832843</c:v>
                </c:pt>
                <c:pt idx="30">
                  <c:v>0.24828934506353861</c:v>
                </c:pt>
                <c:pt idx="31">
                  <c:v>0.25317693059628543</c:v>
                </c:pt>
                <c:pt idx="32">
                  <c:v>0.21994134897360704</c:v>
                </c:pt>
                <c:pt idx="33">
                  <c:v>0.21700879765395895</c:v>
                </c:pt>
                <c:pt idx="34">
                  <c:v>0.21114369501466276</c:v>
                </c:pt>
                <c:pt idx="35">
                  <c:v>0.22971652003910067</c:v>
                </c:pt>
                <c:pt idx="36">
                  <c:v>0.21505376344086022</c:v>
                </c:pt>
                <c:pt idx="37">
                  <c:v>0.22776148582600195</c:v>
                </c:pt>
                <c:pt idx="38">
                  <c:v>0.22189638318670576</c:v>
                </c:pt>
                <c:pt idx="39">
                  <c:v>0.19550342130987292</c:v>
                </c:pt>
                <c:pt idx="40">
                  <c:v>0.22776148582600195</c:v>
                </c:pt>
                <c:pt idx="41">
                  <c:v>0.21212121212121213</c:v>
                </c:pt>
                <c:pt idx="42">
                  <c:v>0.20918866080156404</c:v>
                </c:pt>
                <c:pt idx="43">
                  <c:v>0.17790811339198437</c:v>
                </c:pt>
                <c:pt idx="44">
                  <c:v>0.2209188660801564</c:v>
                </c:pt>
                <c:pt idx="45">
                  <c:v>0.17790811339198437</c:v>
                </c:pt>
                <c:pt idx="46">
                  <c:v>0.20332355816226783</c:v>
                </c:pt>
                <c:pt idx="47">
                  <c:v>0.19452590420332355</c:v>
                </c:pt>
                <c:pt idx="48">
                  <c:v>0.21603128054740958</c:v>
                </c:pt>
                <c:pt idx="49">
                  <c:v>0.20039100684261973</c:v>
                </c:pt>
                <c:pt idx="50">
                  <c:v>0.18670576735092864</c:v>
                </c:pt>
                <c:pt idx="51">
                  <c:v>0.18475073313782991</c:v>
                </c:pt>
                <c:pt idx="52">
                  <c:v>0.18377321603128055</c:v>
                </c:pt>
                <c:pt idx="53">
                  <c:v>0.17888563049853373</c:v>
                </c:pt>
                <c:pt idx="54">
                  <c:v>0.19745845552297164</c:v>
                </c:pt>
                <c:pt idx="55">
                  <c:v>0.19257086999022482</c:v>
                </c:pt>
                <c:pt idx="56">
                  <c:v>0.1681329423264907</c:v>
                </c:pt>
                <c:pt idx="57">
                  <c:v>0.176930596285435</c:v>
                </c:pt>
                <c:pt idx="58">
                  <c:v>0.17302052785923755</c:v>
                </c:pt>
                <c:pt idx="59">
                  <c:v>0.17399804496578691</c:v>
                </c:pt>
                <c:pt idx="60">
                  <c:v>0.1681329423264907</c:v>
                </c:pt>
                <c:pt idx="61">
                  <c:v>0.15835777126099707</c:v>
                </c:pt>
                <c:pt idx="62">
                  <c:v>0.18181818181818182</c:v>
                </c:pt>
                <c:pt idx="63">
                  <c:v>0.14467253176930597</c:v>
                </c:pt>
                <c:pt idx="64">
                  <c:v>0.17888563049853373</c:v>
                </c:pt>
                <c:pt idx="65">
                  <c:v>0.18670576735092864</c:v>
                </c:pt>
                <c:pt idx="66">
                  <c:v>0.1906158357771261</c:v>
                </c:pt>
                <c:pt idx="67">
                  <c:v>0.18181818181818182</c:v>
                </c:pt>
                <c:pt idx="68">
                  <c:v>0.17399804496578691</c:v>
                </c:pt>
                <c:pt idx="69">
                  <c:v>0.18768328445747801</c:v>
                </c:pt>
                <c:pt idx="70">
                  <c:v>0.20918866080156404</c:v>
                </c:pt>
                <c:pt idx="71">
                  <c:v>0.18377321603128055</c:v>
                </c:pt>
                <c:pt idx="72">
                  <c:v>0.21994134897360704</c:v>
                </c:pt>
                <c:pt idx="73">
                  <c:v>0.18866080156402737</c:v>
                </c:pt>
                <c:pt idx="74">
                  <c:v>0.19354838709677419</c:v>
                </c:pt>
                <c:pt idx="75">
                  <c:v>0.14956011730205279</c:v>
                </c:pt>
                <c:pt idx="76">
                  <c:v>0.176930596285435</c:v>
                </c:pt>
                <c:pt idx="77">
                  <c:v>0.20234604105571846</c:v>
                </c:pt>
                <c:pt idx="78">
                  <c:v>0.15933528836754643</c:v>
                </c:pt>
                <c:pt idx="79">
                  <c:v>0.18768328445747801</c:v>
                </c:pt>
                <c:pt idx="80">
                  <c:v>0.1906158357771261</c:v>
                </c:pt>
              </c:numCache>
            </c:numRef>
          </c:yVal>
        </c:ser>
        <c:axId val="174222336"/>
        <c:axId val="174225664"/>
      </c:scatterChart>
      <c:valAx>
        <c:axId val="174222336"/>
        <c:scaling>
          <c:orientation val="minMax"/>
        </c:scaling>
        <c:axPos val="b"/>
        <c:numFmt formatCode="0.0" sourceLinked="1"/>
        <c:tickLblPos val="nextTo"/>
        <c:crossAx val="174225664"/>
        <c:crosses val="autoZero"/>
        <c:crossBetween val="midCat"/>
      </c:valAx>
      <c:valAx>
        <c:axId val="174225664"/>
        <c:scaling>
          <c:orientation val="minMax"/>
        </c:scaling>
        <c:axPos val="l"/>
        <c:majorGridlines/>
        <c:numFmt formatCode="0.000" sourceLinked="1"/>
        <c:tickLblPos val="nextTo"/>
        <c:crossAx val="174222336"/>
        <c:crosses val="autoZero"/>
        <c:crossBetween val="midCat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50"/>
              <a:t>0.4mm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data3!$S$2:$S$82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0.999</c:v>
                </c:pt>
                <c:pt idx="15">
                  <c:v>0.999</c:v>
                </c:pt>
                <c:pt idx="16">
                  <c:v>0.999</c:v>
                </c:pt>
                <c:pt idx="17">
                  <c:v>0.999</c:v>
                </c:pt>
                <c:pt idx="18">
                  <c:v>0.999</c:v>
                </c:pt>
                <c:pt idx="19">
                  <c:v>0.999</c:v>
                </c:pt>
                <c:pt idx="20">
                  <c:v>0.999</c:v>
                </c:pt>
                <c:pt idx="21">
                  <c:v>0.999</c:v>
                </c:pt>
                <c:pt idx="22">
                  <c:v>0.999</c:v>
                </c:pt>
                <c:pt idx="23">
                  <c:v>0.999</c:v>
                </c:pt>
                <c:pt idx="24">
                  <c:v>0.999</c:v>
                </c:pt>
                <c:pt idx="25">
                  <c:v>0.999</c:v>
                </c:pt>
                <c:pt idx="26">
                  <c:v>0.999</c:v>
                </c:pt>
                <c:pt idx="27">
                  <c:v>0.999</c:v>
                </c:pt>
                <c:pt idx="28">
                  <c:v>0.999</c:v>
                </c:pt>
                <c:pt idx="29">
                  <c:v>0.95992179863147609</c:v>
                </c:pt>
                <c:pt idx="30">
                  <c:v>0.999</c:v>
                </c:pt>
                <c:pt idx="31">
                  <c:v>0.88269794721407624</c:v>
                </c:pt>
                <c:pt idx="32">
                  <c:v>0.92668621700879761</c:v>
                </c:pt>
                <c:pt idx="33">
                  <c:v>0.89833822091886606</c:v>
                </c:pt>
                <c:pt idx="34">
                  <c:v>0.82502443792766378</c:v>
                </c:pt>
                <c:pt idx="35">
                  <c:v>0.91006842619745842</c:v>
                </c:pt>
                <c:pt idx="36">
                  <c:v>0.94623655913978499</c:v>
                </c:pt>
                <c:pt idx="37">
                  <c:v>0.76735092864125121</c:v>
                </c:pt>
                <c:pt idx="38">
                  <c:v>0.82600195503421314</c:v>
                </c:pt>
                <c:pt idx="39">
                  <c:v>0.80449657869012703</c:v>
                </c:pt>
                <c:pt idx="40">
                  <c:v>0.86412512218963833</c:v>
                </c:pt>
                <c:pt idx="41">
                  <c:v>0.76735092864125121</c:v>
                </c:pt>
                <c:pt idx="42">
                  <c:v>0.79081133919843594</c:v>
                </c:pt>
                <c:pt idx="43">
                  <c:v>0.79863147605083085</c:v>
                </c:pt>
                <c:pt idx="44">
                  <c:v>0.73900293255131966</c:v>
                </c:pt>
                <c:pt idx="45">
                  <c:v>0.72922776148582602</c:v>
                </c:pt>
                <c:pt idx="46">
                  <c:v>0.77517106549364612</c:v>
                </c:pt>
                <c:pt idx="47">
                  <c:v>0.81720430107526887</c:v>
                </c:pt>
                <c:pt idx="48">
                  <c:v>0.69990224828934511</c:v>
                </c:pt>
                <c:pt idx="49">
                  <c:v>0.71847507331378302</c:v>
                </c:pt>
                <c:pt idx="50">
                  <c:v>0.73607038123167157</c:v>
                </c:pt>
                <c:pt idx="51">
                  <c:v>0.72922776148582602</c:v>
                </c:pt>
                <c:pt idx="52">
                  <c:v>0.71554252199413493</c:v>
                </c:pt>
                <c:pt idx="53">
                  <c:v>0.66275659824046917</c:v>
                </c:pt>
                <c:pt idx="54">
                  <c:v>0.70967741935483875</c:v>
                </c:pt>
                <c:pt idx="55">
                  <c:v>0.68719452590420327</c:v>
                </c:pt>
                <c:pt idx="56">
                  <c:v>0.7243401759530792</c:v>
                </c:pt>
                <c:pt idx="57">
                  <c:v>0.70381231671554256</c:v>
                </c:pt>
                <c:pt idx="58">
                  <c:v>0.6432062561094819</c:v>
                </c:pt>
                <c:pt idx="59">
                  <c:v>0.68328445747800581</c:v>
                </c:pt>
                <c:pt idx="60">
                  <c:v>0.71945259042033238</c:v>
                </c:pt>
                <c:pt idx="61">
                  <c:v>0.64907135874877808</c:v>
                </c:pt>
                <c:pt idx="62">
                  <c:v>0.67057673509286408</c:v>
                </c:pt>
                <c:pt idx="63">
                  <c:v>0.69794721407624638</c:v>
                </c:pt>
                <c:pt idx="64">
                  <c:v>0.63929618768328444</c:v>
                </c:pt>
                <c:pt idx="65">
                  <c:v>0.67448680351906154</c:v>
                </c:pt>
                <c:pt idx="66">
                  <c:v>0.64711632453567935</c:v>
                </c:pt>
                <c:pt idx="67">
                  <c:v>0.68328445747800581</c:v>
                </c:pt>
                <c:pt idx="68">
                  <c:v>0.68914956011730211</c:v>
                </c:pt>
                <c:pt idx="69">
                  <c:v>0.68132942326490709</c:v>
                </c:pt>
                <c:pt idx="70">
                  <c:v>0.66568914956011727</c:v>
                </c:pt>
                <c:pt idx="71">
                  <c:v>0.66275659824046917</c:v>
                </c:pt>
                <c:pt idx="72">
                  <c:v>0.5972629521016618</c:v>
                </c:pt>
                <c:pt idx="73">
                  <c:v>0.71554252199413493</c:v>
                </c:pt>
                <c:pt idx="74">
                  <c:v>0.66275659824046917</c:v>
                </c:pt>
                <c:pt idx="75">
                  <c:v>0.64418377321603126</c:v>
                </c:pt>
                <c:pt idx="76">
                  <c:v>0.60117302052785926</c:v>
                </c:pt>
                <c:pt idx="77">
                  <c:v>0.6324535679374389</c:v>
                </c:pt>
                <c:pt idx="78">
                  <c:v>0.62658846529814272</c:v>
                </c:pt>
                <c:pt idx="79">
                  <c:v>0.64711632453567935</c:v>
                </c:pt>
                <c:pt idx="80">
                  <c:v>0.66666666666666663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data3!$T$2:$T$82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0.999</c:v>
                </c:pt>
                <c:pt idx="15">
                  <c:v>0.89931573802541542</c:v>
                </c:pt>
                <c:pt idx="16">
                  <c:v>0.83870967741935487</c:v>
                </c:pt>
                <c:pt idx="17">
                  <c:v>0.72825024437927666</c:v>
                </c:pt>
                <c:pt idx="18">
                  <c:v>0.68523949169110454</c:v>
                </c:pt>
                <c:pt idx="19">
                  <c:v>0.69892473118279574</c:v>
                </c:pt>
                <c:pt idx="20">
                  <c:v>0.61388074291300099</c:v>
                </c:pt>
                <c:pt idx="21">
                  <c:v>0.58846529814271753</c:v>
                </c:pt>
                <c:pt idx="22">
                  <c:v>0.57478005865102644</c:v>
                </c:pt>
                <c:pt idx="23">
                  <c:v>0.55620723362658842</c:v>
                </c:pt>
                <c:pt idx="24">
                  <c:v>0.53274682306940369</c:v>
                </c:pt>
                <c:pt idx="25">
                  <c:v>0.56304985337243396</c:v>
                </c:pt>
                <c:pt idx="26">
                  <c:v>0.50635386119257086</c:v>
                </c:pt>
                <c:pt idx="27">
                  <c:v>0.50733137829912023</c:v>
                </c:pt>
                <c:pt idx="28">
                  <c:v>0.50146627565982405</c:v>
                </c:pt>
                <c:pt idx="29">
                  <c:v>0.46432062561094817</c:v>
                </c:pt>
                <c:pt idx="30">
                  <c:v>0.41251221896383189</c:v>
                </c:pt>
                <c:pt idx="31">
                  <c:v>0.48093841642228741</c:v>
                </c:pt>
                <c:pt idx="32">
                  <c:v>0.4310850439882698</c:v>
                </c:pt>
                <c:pt idx="33">
                  <c:v>0.43988269794721407</c:v>
                </c:pt>
                <c:pt idx="34">
                  <c:v>0.44379276637341153</c:v>
                </c:pt>
                <c:pt idx="35">
                  <c:v>0.41837732160312807</c:v>
                </c:pt>
                <c:pt idx="36">
                  <c:v>0.40469208211143692</c:v>
                </c:pt>
                <c:pt idx="37">
                  <c:v>0.40762463343108507</c:v>
                </c:pt>
                <c:pt idx="38">
                  <c:v>0.37438905180840665</c:v>
                </c:pt>
                <c:pt idx="39">
                  <c:v>0.41935483870967744</c:v>
                </c:pt>
                <c:pt idx="40">
                  <c:v>0.42913000977517107</c:v>
                </c:pt>
                <c:pt idx="41">
                  <c:v>0.41642228739002934</c:v>
                </c:pt>
                <c:pt idx="42">
                  <c:v>0.39784946236559138</c:v>
                </c:pt>
                <c:pt idx="43">
                  <c:v>0.37732160312805474</c:v>
                </c:pt>
                <c:pt idx="44">
                  <c:v>0.36950146627565983</c:v>
                </c:pt>
                <c:pt idx="45">
                  <c:v>0.38709677419354838</c:v>
                </c:pt>
                <c:pt idx="46">
                  <c:v>0.37243401759530792</c:v>
                </c:pt>
                <c:pt idx="47">
                  <c:v>0.38807429130009774</c:v>
                </c:pt>
                <c:pt idx="48">
                  <c:v>0.35288367546432065</c:v>
                </c:pt>
                <c:pt idx="49">
                  <c:v>0.35092864125122192</c:v>
                </c:pt>
                <c:pt idx="50">
                  <c:v>0.40566959921798629</c:v>
                </c:pt>
                <c:pt idx="51">
                  <c:v>0.37341153470185728</c:v>
                </c:pt>
                <c:pt idx="52">
                  <c:v>0.3567937438905181</c:v>
                </c:pt>
                <c:pt idx="53">
                  <c:v>0.34897360703812319</c:v>
                </c:pt>
                <c:pt idx="54">
                  <c:v>0.36070381231671556</c:v>
                </c:pt>
                <c:pt idx="55">
                  <c:v>0.37243401759530792</c:v>
                </c:pt>
                <c:pt idx="56">
                  <c:v>0.37047898338220919</c:v>
                </c:pt>
                <c:pt idx="57">
                  <c:v>0.38416422287390029</c:v>
                </c:pt>
                <c:pt idx="58">
                  <c:v>0.37341153470185728</c:v>
                </c:pt>
                <c:pt idx="59">
                  <c:v>0.39100684261974583</c:v>
                </c:pt>
                <c:pt idx="60">
                  <c:v>0.32746823069403713</c:v>
                </c:pt>
                <c:pt idx="61">
                  <c:v>0.3890518084066471</c:v>
                </c:pt>
                <c:pt idx="62">
                  <c:v>0.34701857282502446</c:v>
                </c:pt>
                <c:pt idx="63">
                  <c:v>0.35972629521016619</c:v>
                </c:pt>
                <c:pt idx="64">
                  <c:v>0.34017595307917886</c:v>
                </c:pt>
                <c:pt idx="65">
                  <c:v>0.32355816226783968</c:v>
                </c:pt>
                <c:pt idx="66">
                  <c:v>0.3567937438905181</c:v>
                </c:pt>
                <c:pt idx="67">
                  <c:v>0.32355816226783968</c:v>
                </c:pt>
                <c:pt idx="68">
                  <c:v>0.34995112414467255</c:v>
                </c:pt>
                <c:pt idx="69">
                  <c:v>0.36265884652981428</c:v>
                </c:pt>
                <c:pt idx="70">
                  <c:v>0.33431085043988268</c:v>
                </c:pt>
                <c:pt idx="71">
                  <c:v>0.37438905180840665</c:v>
                </c:pt>
                <c:pt idx="72">
                  <c:v>0.35386119257087001</c:v>
                </c:pt>
                <c:pt idx="73">
                  <c:v>0.36656891495601174</c:v>
                </c:pt>
                <c:pt idx="74">
                  <c:v>0.34408602150537637</c:v>
                </c:pt>
                <c:pt idx="75">
                  <c:v>0.32942326490713586</c:v>
                </c:pt>
                <c:pt idx="76">
                  <c:v>0.32649071358748777</c:v>
                </c:pt>
                <c:pt idx="77">
                  <c:v>0.3255131964809384</c:v>
                </c:pt>
                <c:pt idx="78">
                  <c:v>0.36656891495601174</c:v>
                </c:pt>
                <c:pt idx="79">
                  <c:v>0.35288367546432065</c:v>
                </c:pt>
                <c:pt idx="80">
                  <c:v>0.3147605083088954</c:v>
                </c:pt>
              </c:numCache>
            </c:numRef>
          </c:yVal>
        </c:ser>
        <c:ser>
          <c:idx val="2"/>
          <c:order val="2"/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data3!$U$2:$U$82</c:f>
              <c:numCache>
                <c:formatCode>0.000</c:formatCode>
                <c:ptCount val="81"/>
                <c:pt idx="0">
                  <c:v>0.77810361681329421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0.8514173998044966</c:v>
                </c:pt>
                <c:pt idx="10">
                  <c:v>0.74291300097751711</c:v>
                </c:pt>
                <c:pt idx="11">
                  <c:v>0.62561094819159335</c:v>
                </c:pt>
                <c:pt idx="12">
                  <c:v>0.58553274682306944</c:v>
                </c:pt>
                <c:pt idx="13">
                  <c:v>0.52199413489736068</c:v>
                </c:pt>
                <c:pt idx="14">
                  <c:v>0.51026392961876832</c:v>
                </c:pt>
                <c:pt idx="15">
                  <c:v>0.39687194525904201</c:v>
                </c:pt>
                <c:pt idx="16">
                  <c:v>0.4310850439882698</c:v>
                </c:pt>
                <c:pt idx="17">
                  <c:v>0.36168132942326492</c:v>
                </c:pt>
                <c:pt idx="18">
                  <c:v>0.34115347018572822</c:v>
                </c:pt>
                <c:pt idx="19">
                  <c:v>0.33431085043988268</c:v>
                </c:pt>
                <c:pt idx="20">
                  <c:v>0.29618768328445749</c:v>
                </c:pt>
                <c:pt idx="21">
                  <c:v>0.32160312805474095</c:v>
                </c:pt>
                <c:pt idx="22">
                  <c:v>0.30009775171065495</c:v>
                </c:pt>
                <c:pt idx="23">
                  <c:v>0.31573802541544477</c:v>
                </c:pt>
                <c:pt idx="24">
                  <c:v>0.28152492668621698</c:v>
                </c:pt>
                <c:pt idx="25">
                  <c:v>0.27174975562072334</c:v>
                </c:pt>
                <c:pt idx="26">
                  <c:v>0.30205278592375367</c:v>
                </c:pt>
                <c:pt idx="27">
                  <c:v>0.24633431085043989</c:v>
                </c:pt>
                <c:pt idx="28">
                  <c:v>0.24242424242424243</c:v>
                </c:pt>
                <c:pt idx="29">
                  <c:v>0.26099706744868034</c:v>
                </c:pt>
                <c:pt idx="30">
                  <c:v>0.24144672531769307</c:v>
                </c:pt>
                <c:pt idx="31">
                  <c:v>0.24633431085043989</c:v>
                </c:pt>
                <c:pt idx="32">
                  <c:v>0.2404692082111437</c:v>
                </c:pt>
                <c:pt idx="33">
                  <c:v>0.24437927663734116</c:v>
                </c:pt>
                <c:pt idx="34">
                  <c:v>0.2404692082111437</c:v>
                </c:pt>
                <c:pt idx="35">
                  <c:v>0.20234604105571846</c:v>
                </c:pt>
                <c:pt idx="36">
                  <c:v>0.20332355816226783</c:v>
                </c:pt>
                <c:pt idx="37">
                  <c:v>0.2404692082111437</c:v>
                </c:pt>
                <c:pt idx="38">
                  <c:v>0.19550342130987292</c:v>
                </c:pt>
                <c:pt idx="39">
                  <c:v>0.2316715542521994</c:v>
                </c:pt>
                <c:pt idx="40">
                  <c:v>0.2101661779081134</c:v>
                </c:pt>
                <c:pt idx="41">
                  <c:v>0.22385141739980449</c:v>
                </c:pt>
                <c:pt idx="42">
                  <c:v>0.20332355816226783</c:v>
                </c:pt>
                <c:pt idx="43">
                  <c:v>0.22189638318670576</c:v>
                </c:pt>
                <c:pt idx="44">
                  <c:v>0.23558162267839688</c:v>
                </c:pt>
                <c:pt idx="45">
                  <c:v>0.21505376344086022</c:v>
                </c:pt>
                <c:pt idx="46">
                  <c:v>0.19452590420332355</c:v>
                </c:pt>
                <c:pt idx="47">
                  <c:v>0.19648093841642228</c:v>
                </c:pt>
                <c:pt idx="48">
                  <c:v>0.17595307917888564</c:v>
                </c:pt>
                <c:pt idx="49">
                  <c:v>0.19354838709677419</c:v>
                </c:pt>
                <c:pt idx="50">
                  <c:v>0.19354838709677419</c:v>
                </c:pt>
                <c:pt idx="51">
                  <c:v>0.19550342130987292</c:v>
                </c:pt>
                <c:pt idx="52">
                  <c:v>0.176930596285435</c:v>
                </c:pt>
                <c:pt idx="53">
                  <c:v>0.2209188660801564</c:v>
                </c:pt>
                <c:pt idx="54">
                  <c:v>0.15933528836754643</c:v>
                </c:pt>
                <c:pt idx="55">
                  <c:v>0.17008797653958943</c:v>
                </c:pt>
                <c:pt idx="56">
                  <c:v>0.21798631476050831</c:v>
                </c:pt>
                <c:pt idx="57">
                  <c:v>0.17204301075268819</c:v>
                </c:pt>
                <c:pt idx="58">
                  <c:v>0.18572825024437928</c:v>
                </c:pt>
                <c:pt idx="59">
                  <c:v>0.18475073313782991</c:v>
                </c:pt>
                <c:pt idx="60">
                  <c:v>0.21212121212121213</c:v>
                </c:pt>
                <c:pt idx="61">
                  <c:v>0.19745845552297164</c:v>
                </c:pt>
                <c:pt idx="62">
                  <c:v>0.2209188660801564</c:v>
                </c:pt>
                <c:pt idx="63">
                  <c:v>0.176930596285435</c:v>
                </c:pt>
                <c:pt idx="64">
                  <c:v>0.17888563049853373</c:v>
                </c:pt>
                <c:pt idx="65">
                  <c:v>0.16911045943304007</c:v>
                </c:pt>
                <c:pt idx="66">
                  <c:v>0.20039100684261973</c:v>
                </c:pt>
                <c:pt idx="67">
                  <c:v>0.2013685239491691</c:v>
                </c:pt>
                <c:pt idx="68">
                  <c:v>0.21309872922776149</c:v>
                </c:pt>
                <c:pt idx="69">
                  <c:v>0.19648093841642228</c:v>
                </c:pt>
                <c:pt idx="70">
                  <c:v>0.18475073313782991</c:v>
                </c:pt>
                <c:pt idx="71">
                  <c:v>0.21896383186705767</c:v>
                </c:pt>
                <c:pt idx="72">
                  <c:v>0.18377321603128055</c:v>
                </c:pt>
                <c:pt idx="73">
                  <c:v>0.20430107526881722</c:v>
                </c:pt>
                <c:pt idx="74">
                  <c:v>0.16617790811339198</c:v>
                </c:pt>
                <c:pt idx="75">
                  <c:v>0.1906158357771261</c:v>
                </c:pt>
                <c:pt idx="76">
                  <c:v>0.17106549364613879</c:v>
                </c:pt>
                <c:pt idx="77">
                  <c:v>0.17595307917888564</c:v>
                </c:pt>
                <c:pt idx="78">
                  <c:v>0.20039100684261973</c:v>
                </c:pt>
                <c:pt idx="79">
                  <c:v>0.176930596285435</c:v>
                </c:pt>
                <c:pt idx="80">
                  <c:v>0.19745845552297164</c:v>
                </c:pt>
              </c:numCache>
            </c:numRef>
          </c:yVal>
        </c:ser>
        <c:axId val="171804544"/>
        <c:axId val="171806080"/>
      </c:scatterChart>
      <c:valAx>
        <c:axId val="171804544"/>
        <c:scaling>
          <c:orientation val="minMax"/>
        </c:scaling>
        <c:axPos val="b"/>
        <c:numFmt formatCode="0.0" sourceLinked="1"/>
        <c:tickLblPos val="nextTo"/>
        <c:crossAx val="171806080"/>
        <c:crosses val="autoZero"/>
        <c:crossBetween val="midCat"/>
      </c:valAx>
      <c:valAx>
        <c:axId val="171806080"/>
        <c:scaling>
          <c:orientation val="minMax"/>
        </c:scaling>
        <c:axPos val="l"/>
        <c:majorGridlines/>
        <c:numFmt formatCode="0.000" sourceLinked="1"/>
        <c:tickLblPos val="nextTo"/>
        <c:crossAx val="171804544"/>
        <c:crosses val="autoZero"/>
        <c:crossBetween val="midCat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50"/>
              <a:t>0.5mm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data3!$W$2:$W$82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0.999</c:v>
                </c:pt>
                <c:pt idx="15">
                  <c:v>0.999</c:v>
                </c:pt>
                <c:pt idx="16">
                  <c:v>0.999</c:v>
                </c:pt>
                <c:pt idx="17">
                  <c:v>0.999</c:v>
                </c:pt>
                <c:pt idx="18">
                  <c:v>0.999</c:v>
                </c:pt>
                <c:pt idx="19">
                  <c:v>0.999</c:v>
                </c:pt>
                <c:pt idx="20">
                  <c:v>0.999</c:v>
                </c:pt>
                <c:pt idx="21">
                  <c:v>0.999</c:v>
                </c:pt>
                <c:pt idx="22">
                  <c:v>0.999</c:v>
                </c:pt>
                <c:pt idx="23">
                  <c:v>0.999</c:v>
                </c:pt>
                <c:pt idx="24">
                  <c:v>0.999</c:v>
                </c:pt>
                <c:pt idx="25">
                  <c:v>0.999</c:v>
                </c:pt>
                <c:pt idx="26">
                  <c:v>0.999</c:v>
                </c:pt>
                <c:pt idx="27">
                  <c:v>0.999</c:v>
                </c:pt>
                <c:pt idx="28">
                  <c:v>0.999</c:v>
                </c:pt>
                <c:pt idx="29">
                  <c:v>0.999</c:v>
                </c:pt>
                <c:pt idx="30">
                  <c:v>0.999</c:v>
                </c:pt>
                <c:pt idx="31">
                  <c:v>0.95992179863147609</c:v>
                </c:pt>
                <c:pt idx="32">
                  <c:v>0.999</c:v>
                </c:pt>
                <c:pt idx="33">
                  <c:v>0.9081133919843597</c:v>
                </c:pt>
                <c:pt idx="34">
                  <c:v>0.90127077223851415</c:v>
                </c:pt>
                <c:pt idx="35">
                  <c:v>0.956989247311828</c:v>
                </c:pt>
                <c:pt idx="36">
                  <c:v>0.83088954056695996</c:v>
                </c:pt>
                <c:pt idx="37">
                  <c:v>0.8944281524926686</c:v>
                </c:pt>
                <c:pt idx="38">
                  <c:v>0.78005865102639294</c:v>
                </c:pt>
                <c:pt idx="39">
                  <c:v>0.81720430107526887</c:v>
                </c:pt>
                <c:pt idx="40">
                  <c:v>0.86608015640273706</c:v>
                </c:pt>
                <c:pt idx="41">
                  <c:v>0.76344086021505375</c:v>
                </c:pt>
                <c:pt idx="42">
                  <c:v>0.83479960899315742</c:v>
                </c:pt>
                <c:pt idx="43">
                  <c:v>0.76930596285434993</c:v>
                </c:pt>
                <c:pt idx="44">
                  <c:v>0.74780058651026393</c:v>
                </c:pt>
                <c:pt idx="45">
                  <c:v>0.78787878787878785</c:v>
                </c:pt>
                <c:pt idx="46">
                  <c:v>0.73607038123167157</c:v>
                </c:pt>
                <c:pt idx="47">
                  <c:v>0.80351906158357767</c:v>
                </c:pt>
                <c:pt idx="48">
                  <c:v>0.79569892473118276</c:v>
                </c:pt>
                <c:pt idx="49">
                  <c:v>0.75073313782991202</c:v>
                </c:pt>
                <c:pt idx="50">
                  <c:v>0.77517106549364612</c:v>
                </c:pt>
                <c:pt idx="51">
                  <c:v>0.72043010752688175</c:v>
                </c:pt>
                <c:pt idx="52">
                  <c:v>0.7350928641251222</c:v>
                </c:pt>
                <c:pt idx="53">
                  <c:v>0.78299120234604103</c:v>
                </c:pt>
                <c:pt idx="54">
                  <c:v>0.72140762463343111</c:v>
                </c:pt>
                <c:pt idx="55">
                  <c:v>0.73118279569892475</c:v>
                </c:pt>
                <c:pt idx="56">
                  <c:v>0.73998044965786902</c:v>
                </c:pt>
                <c:pt idx="57">
                  <c:v>0.69501466275659829</c:v>
                </c:pt>
                <c:pt idx="58">
                  <c:v>0.70869990224828938</c:v>
                </c:pt>
                <c:pt idx="59">
                  <c:v>0.71260997067448684</c:v>
                </c:pt>
                <c:pt idx="60">
                  <c:v>0.75659824046920821</c:v>
                </c:pt>
                <c:pt idx="61">
                  <c:v>0.69110459433040083</c:v>
                </c:pt>
                <c:pt idx="62">
                  <c:v>0.6862170087976539</c:v>
                </c:pt>
                <c:pt idx="63">
                  <c:v>0.70869990224828938</c:v>
                </c:pt>
                <c:pt idx="64">
                  <c:v>0.69305962854349956</c:v>
                </c:pt>
                <c:pt idx="65">
                  <c:v>0.6920821114369502</c:v>
                </c:pt>
                <c:pt idx="66">
                  <c:v>0.69501466275659829</c:v>
                </c:pt>
                <c:pt idx="67">
                  <c:v>0.63831867057673508</c:v>
                </c:pt>
                <c:pt idx="68">
                  <c:v>0.71554252199413493</c:v>
                </c:pt>
                <c:pt idx="69">
                  <c:v>0.74389051808406648</c:v>
                </c:pt>
                <c:pt idx="70">
                  <c:v>0.7135874877810362</c:v>
                </c:pt>
                <c:pt idx="71">
                  <c:v>0.72043010752688175</c:v>
                </c:pt>
                <c:pt idx="72">
                  <c:v>0.70772238514174002</c:v>
                </c:pt>
                <c:pt idx="73">
                  <c:v>0.6754643206256109</c:v>
                </c:pt>
                <c:pt idx="74">
                  <c:v>0.66275659824046917</c:v>
                </c:pt>
                <c:pt idx="75">
                  <c:v>0.68132942326490709</c:v>
                </c:pt>
                <c:pt idx="76">
                  <c:v>0.74682306940371457</c:v>
                </c:pt>
                <c:pt idx="77">
                  <c:v>0.70869990224828938</c:v>
                </c:pt>
                <c:pt idx="78">
                  <c:v>0.65200391006842617</c:v>
                </c:pt>
                <c:pt idx="79">
                  <c:v>0.69599217986314765</c:v>
                </c:pt>
                <c:pt idx="80">
                  <c:v>0.68817204301075274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data3!$X$2:$X$82</c:f>
              <c:numCache>
                <c:formatCode>0.000</c:formatCode>
                <c:ptCount val="8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0.999</c:v>
                </c:pt>
                <c:pt idx="14">
                  <c:v>0.999</c:v>
                </c:pt>
                <c:pt idx="15">
                  <c:v>0.93255131964809379</c:v>
                </c:pt>
                <c:pt idx="16">
                  <c:v>0.79765395894428148</c:v>
                </c:pt>
                <c:pt idx="17">
                  <c:v>0.76148582600195502</c:v>
                </c:pt>
                <c:pt idx="18">
                  <c:v>0.72043010752688175</c:v>
                </c:pt>
                <c:pt idx="19">
                  <c:v>0.65982404692082108</c:v>
                </c:pt>
                <c:pt idx="20">
                  <c:v>0.63147605083088953</c:v>
                </c:pt>
                <c:pt idx="21">
                  <c:v>0.61485826001955035</c:v>
                </c:pt>
                <c:pt idx="22">
                  <c:v>0.58357771260997071</c:v>
                </c:pt>
                <c:pt idx="23">
                  <c:v>0.58553274682306944</c:v>
                </c:pt>
                <c:pt idx="24">
                  <c:v>0.55816226783968714</c:v>
                </c:pt>
                <c:pt idx="25">
                  <c:v>0.55034213098729223</c:v>
                </c:pt>
                <c:pt idx="26">
                  <c:v>0.5161290322580645</c:v>
                </c:pt>
                <c:pt idx="27">
                  <c:v>0.53274682306940369</c:v>
                </c:pt>
                <c:pt idx="28">
                  <c:v>0.50928641251221896</c:v>
                </c:pt>
                <c:pt idx="29">
                  <c:v>0.46920821114369504</c:v>
                </c:pt>
                <c:pt idx="30">
                  <c:v>0.45943304007820135</c:v>
                </c:pt>
                <c:pt idx="31">
                  <c:v>0.47800586510263932</c:v>
                </c:pt>
                <c:pt idx="32">
                  <c:v>0.43597262952101662</c:v>
                </c:pt>
                <c:pt idx="33">
                  <c:v>0.47996089931573804</c:v>
                </c:pt>
                <c:pt idx="34">
                  <c:v>0.45747800586510262</c:v>
                </c:pt>
                <c:pt idx="35">
                  <c:v>0.45943304007820135</c:v>
                </c:pt>
                <c:pt idx="36">
                  <c:v>0.42130987292277616</c:v>
                </c:pt>
                <c:pt idx="37">
                  <c:v>0.45161290322580644</c:v>
                </c:pt>
                <c:pt idx="38">
                  <c:v>0.43206256109481916</c:v>
                </c:pt>
                <c:pt idx="39">
                  <c:v>0.41935483870967744</c:v>
                </c:pt>
                <c:pt idx="40">
                  <c:v>0.42326490713587489</c:v>
                </c:pt>
                <c:pt idx="41">
                  <c:v>0.47018572825024441</c:v>
                </c:pt>
                <c:pt idx="42">
                  <c:v>0.40078201368523947</c:v>
                </c:pt>
                <c:pt idx="43">
                  <c:v>0.39296187683284456</c:v>
                </c:pt>
                <c:pt idx="44">
                  <c:v>0.44868035190615835</c:v>
                </c:pt>
                <c:pt idx="45">
                  <c:v>0.40762463343108507</c:v>
                </c:pt>
                <c:pt idx="46">
                  <c:v>0.41935483870967744</c:v>
                </c:pt>
                <c:pt idx="47">
                  <c:v>0.37438905180840665</c:v>
                </c:pt>
                <c:pt idx="48">
                  <c:v>0.3919843597262952</c:v>
                </c:pt>
                <c:pt idx="49">
                  <c:v>0.39296187683284456</c:v>
                </c:pt>
                <c:pt idx="50">
                  <c:v>0.36461388074291301</c:v>
                </c:pt>
                <c:pt idx="51">
                  <c:v>0.3782991202346041</c:v>
                </c:pt>
                <c:pt idx="52">
                  <c:v>0.39296187683284456</c:v>
                </c:pt>
                <c:pt idx="53">
                  <c:v>0.38611925708699901</c:v>
                </c:pt>
                <c:pt idx="54">
                  <c:v>0.38025415444770283</c:v>
                </c:pt>
                <c:pt idx="55">
                  <c:v>0.38611925708699901</c:v>
                </c:pt>
                <c:pt idx="56">
                  <c:v>0.37047898338220919</c:v>
                </c:pt>
                <c:pt idx="57">
                  <c:v>0.35483870967741937</c:v>
                </c:pt>
                <c:pt idx="58">
                  <c:v>0.39687194525904201</c:v>
                </c:pt>
                <c:pt idx="59">
                  <c:v>0.43304007820136853</c:v>
                </c:pt>
                <c:pt idx="60">
                  <c:v>0.38123167155425219</c:v>
                </c:pt>
                <c:pt idx="61">
                  <c:v>0.36070381231671556</c:v>
                </c:pt>
                <c:pt idx="62">
                  <c:v>0.37145650048875856</c:v>
                </c:pt>
                <c:pt idx="63">
                  <c:v>0.36656891495601174</c:v>
                </c:pt>
                <c:pt idx="64">
                  <c:v>0.34799608993157383</c:v>
                </c:pt>
                <c:pt idx="65">
                  <c:v>0.38123167155425219</c:v>
                </c:pt>
                <c:pt idx="66">
                  <c:v>0.39100684261974583</c:v>
                </c:pt>
                <c:pt idx="67">
                  <c:v>0.3919843597262952</c:v>
                </c:pt>
                <c:pt idx="68">
                  <c:v>0.35386119257087001</c:v>
                </c:pt>
                <c:pt idx="69">
                  <c:v>0.35777126099706746</c:v>
                </c:pt>
                <c:pt idx="70">
                  <c:v>0.3460410557184751</c:v>
                </c:pt>
                <c:pt idx="71">
                  <c:v>0.36656891495601174</c:v>
                </c:pt>
                <c:pt idx="72">
                  <c:v>0.35190615835777128</c:v>
                </c:pt>
                <c:pt idx="73">
                  <c:v>0.35581622678396874</c:v>
                </c:pt>
                <c:pt idx="74">
                  <c:v>0.33724340175953077</c:v>
                </c:pt>
                <c:pt idx="75">
                  <c:v>0.3391984359726295</c:v>
                </c:pt>
                <c:pt idx="76">
                  <c:v>0.36852394916911047</c:v>
                </c:pt>
                <c:pt idx="77">
                  <c:v>0.37047898338220919</c:v>
                </c:pt>
                <c:pt idx="78">
                  <c:v>0.32746823069403713</c:v>
                </c:pt>
                <c:pt idx="79">
                  <c:v>0.3890518084066471</c:v>
                </c:pt>
                <c:pt idx="80">
                  <c:v>0.35581622678396874</c:v>
                </c:pt>
              </c:numCache>
            </c:numRef>
          </c:yVal>
        </c:ser>
        <c:ser>
          <c:idx val="2"/>
          <c:order val="2"/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</c:numCache>
            </c:numRef>
          </c:xVal>
          <c:yVal>
            <c:numRef>
              <c:f>data3!$Y$2:$Y$82</c:f>
              <c:numCache>
                <c:formatCode>0.000</c:formatCode>
                <c:ptCount val="81"/>
                <c:pt idx="0">
                  <c:v>0.86021505376344087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0.87585532746823069</c:v>
                </c:pt>
                <c:pt idx="10">
                  <c:v>0.74291300097751711</c:v>
                </c:pt>
                <c:pt idx="11">
                  <c:v>0.64516129032258063</c:v>
                </c:pt>
                <c:pt idx="12">
                  <c:v>0.59237536656891498</c:v>
                </c:pt>
                <c:pt idx="13">
                  <c:v>0.50635386119257086</c:v>
                </c:pt>
                <c:pt idx="14">
                  <c:v>0.50244379276637341</c:v>
                </c:pt>
                <c:pt idx="15">
                  <c:v>0.43792766373411535</c:v>
                </c:pt>
                <c:pt idx="16">
                  <c:v>0.41642228739002934</c:v>
                </c:pt>
                <c:pt idx="17">
                  <c:v>0.39784946236559138</c:v>
                </c:pt>
                <c:pt idx="18">
                  <c:v>0.38123167155425219</c:v>
                </c:pt>
                <c:pt idx="19">
                  <c:v>0.35483870967741937</c:v>
                </c:pt>
                <c:pt idx="20">
                  <c:v>0.34799608993157383</c:v>
                </c:pt>
                <c:pt idx="21">
                  <c:v>0.3460410557184751</c:v>
                </c:pt>
                <c:pt idx="22">
                  <c:v>0.31671554252199413</c:v>
                </c:pt>
                <c:pt idx="23">
                  <c:v>0.2825024437927664</c:v>
                </c:pt>
                <c:pt idx="24">
                  <c:v>0.29521016617790813</c:v>
                </c:pt>
                <c:pt idx="25">
                  <c:v>0.32453567937438904</c:v>
                </c:pt>
                <c:pt idx="26">
                  <c:v>0.2756598240469208</c:v>
                </c:pt>
                <c:pt idx="27">
                  <c:v>0.27956989247311825</c:v>
                </c:pt>
                <c:pt idx="28">
                  <c:v>0.25219941348973607</c:v>
                </c:pt>
                <c:pt idx="29">
                  <c:v>0.24535679374389052</c:v>
                </c:pt>
                <c:pt idx="30">
                  <c:v>0.25317693059628543</c:v>
                </c:pt>
                <c:pt idx="31">
                  <c:v>0.23460410557184752</c:v>
                </c:pt>
                <c:pt idx="32">
                  <c:v>0.25219941348973607</c:v>
                </c:pt>
                <c:pt idx="33">
                  <c:v>0.25219941348973607</c:v>
                </c:pt>
                <c:pt idx="34">
                  <c:v>0.25024437927663734</c:v>
                </c:pt>
                <c:pt idx="35">
                  <c:v>0.25219941348973607</c:v>
                </c:pt>
                <c:pt idx="36">
                  <c:v>0.23655913978494625</c:v>
                </c:pt>
                <c:pt idx="37">
                  <c:v>0.2316715542521994</c:v>
                </c:pt>
                <c:pt idx="38">
                  <c:v>0.24144672531769307</c:v>
                </c:pt>
                <c:pt idx="39">
                  <c:v>0.22287390029325513</c:v>
                </c:pt>
                <c:pt idx="40">
                  <c:v>0.1906158357771261</c:v>
                </c:pt>
                <c:pt idx="41">
                  <c:v>0.2316715542521994</c:v>
                </c:pt>
                <c:pt idx="42">
                  <c:v>0.23851417399804498</c:v>
                </c:pt>
                <c:pt idx="43">
                  <c:v>0.19941348973607037</c:v>
                </c:pt>
                <c:pt idx="44">
                  <c:v>0.20234604105571846</c:v>
                </c:pt>
                <c:pt idx="45">
                  <c:v>0.1906158357771261</c:v>
                </c:pt>
                <c:pt idx="46">
                  <c:v>0.23362658846529813</c:v>
                </c:pt>
                <c:pt idx="47">
                  <c:v>0.2512218963831867</c:v>
                </c:pt>
                <c:pt idx="48">
                  <c:v>0.24144672531769307</c:v>
                </c:pt>
                <c:pt idx="49">
                  <c:v>0.1906158357771261</c:v>
                </c:pt>
                <c:pt idx="50">
                  <c:v>0.18572825024437928</c:v>
                </c:pt>
                <c:pt idx="51">
                  <c:v>0.19843597262952101</c:v>
                </c:pt>
                <c:pt idx="52">
                  <c:v>0.2101661779081134</c:v>
                </c:pt>
                <c:pt idx="53">
                  <c:v>0.21212121212121213</c:v>
                </c:pt>
                <c:pt idx="54">
                  <c:v>0.19354838709677419</c:v>
                </c:pt>
                <c:pt idx="55">
                  <c:v>0.19941348973607037</c:v>
                </c:pt>
                <c:pt idx="56">
                  <c:v>0.20918866080156404</c:v>
                </c:pt>
                <c:pt idx="57">
                  <c:v>0.20332355816226783</c:v>
                </c:pt>
                <c:pt idx="58">
                  <c:v>0.19452590420332355</c:v>
                </c:pt>
                <c:pt idx="59">
                  <c:v>0.21114369501466276</c:v>
                </c:pt>
                <c:pt idx="60">
                  <c:v>0.20527859237536658</c:v>
                </c:pt>
                <c:pt idx="61">
                  <c:v>0.21407624633431085</c:v>
                </c:pt>
                <c:pt idx="62">
                  <c:v>0.16715542521994134</c:v>
                </c:pt>
                <c:pt idx="63">
                  <c:v>0.18768328445747801</c:v>
                </c:pt>
                <c:pt idx="64">
                  <c:v>0.18377321603128055</c:v>
                </c:pt>
                <c:pt idx="65">
                  <c:v>0.18377321603128055</c:v>
                </c:pt>
                <c:pt idx="66">
                  <c:v>0.21798631476050831</c:v>
                </c:pt>
                <c:pt idx="67">
                  <c:v>0.18572825024437928</c:v>
                </c:pt>
                <c:pt idx="68">
                  <c:v>0.20821114369501467</c:v>
                </c:pt>
                <c:pt idx="69">
                  <c:v>0.2013685239491691</c:v>
                </c:pt>
                <c:pt idx="70">
                  <c:v>0.17790811339198437</c:v>
                </c:pt>
                <c:pt idx="71">
                  <c:v>0.19941348973607037</c:v>
                </c:pt>
                <c:pt idx="72">
                  <c:v>0.19648093841642228</c:v>
                </c:pt>
                <c:pt idx="73">
                  <c:v>0.20430107526881722</c:v>
                </c:pt>
                <c:pt idx="74">
                  <c:v>0.18181818181818182</c:v>
                </c:pt>
                <c:pt idx="75">
                  <c:v>0.1798631476050831</c:v>
                </c:pt>
                <c:pt idx="76">
                  <c:v>0.21212121212121213</c:v>
                </c:pt>
                <c:pt idx="77">
                  <c:v>0.20039100684261973</c:v>
                </c:pt>
                <c:pt idx="78">
                  <c:v>0.19452590420332355</c:v>
                </c:pt>
                <c:pt idx="79">
                  <c:v>0.17106549364613879</c:v>
                </c:pt>
                <c:pt idx="80">
                  <c:v>0.18572825024437928</c:v>
                </c:pt>
              </c:numCache>
            </c:numRef>
          </c:yVal>
        </c:ser>
        <c:axId val="59713408"/>
        <c:axId val="59714944"/>
      </c:scatterChart>
      <c:valAx>
        <c:axId val="59713408"/>
        <c:scaling>
          <c:orientation val="minMax"/>
        </c:scaling>
        <c:axPos val="b"/>
        <c:numFmt formatCode="0.0" sourceLinked="1"/>
        <c:tickLblPos val="nextTo"/>
        <c:crossAx val="59714944"/>
        <c:crosses val="autoZero"/>
        <c:crossBetween val="midCat"/>
      </c:valAx>
      <c:valAx>
        <c:axId val="59714944"/>
        <c:scaling>
          <c:orientation val="minMax"/>
        </c:scaling>
        <c:axPos val="l"/>
        <c:majorGridlines/>
        <c:numFmt formatCode="0.000" sourceLinked="1"/>
        <c:tickLblPos val="nextTo"/>
        <c:crossAx val="59713408"/>
        <c:crosses val="autoZero"/>
        <c:crossBetween val="midCat"/>
      </c:valAx>
    </c:plotArea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105611</xdr:colOff>
      <xdr:row>11</xdr:row>
      <xdr:rowOff>114114</xdr:rowOff>
    </xdr:from>
    <xdr:to>
      <xdr:col>7</xdr:col>
      <xdr:colOff>493568</xdr:colOff>
      <xdr:row>23</xdr:row>
      <xdr:rowOff>92003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142875</xdr:colOff>
      <xdr:row>24</xdr:row>
      <xdr:rowOff>11906</xdr:rowOff>
    </xdr:from>
    <xdr:to>
      <xdr:col>7</xdr:col>
      <xdr:colOff>464344</xdr:colOff>
      <xdr:row>38</xdr:row>
      <xdr:rowOff>93549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12</xdr:row>
      <xdr:rowOff>0</xdr:rowOff>
    </xdr:from>
    <xdr:to>
      <xdr:col>16</xdr:col>
      <xdr:colOff>321469</xdr:colOff>
      <xdr:row>26</xdr:row>
      <xdr:rowOff>81643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24</xdr:row>
      <xdr:rowOff>0</xdr:rowOff>
    </xdr:from>
    <xdr:to>
      <xdr:col>36</xdr:col>
      <xdr:colOff>229773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512536</xdr:colOff>
      <xdr:row>39</xdr:row>
      <xdr:rowOff>31749</xdr:rowOff>
    </xdr:from>
    <xdr:to>
      <xdr:col>9</xdr:col>
      <xdr:colOff>403679</xdr:colOff>
      <xdr:row>53</xdr:row>
      <xdr:rowOff>113392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353786</xdr:colOff>
      <xdr:row>23</xdr:row>
      <xdr:rowOff>13607</xdr:rowOff>
    </xdr:from>
    <xdr:to>
      <xdr:col>23</xdr:col>
      <xdr:colOff>149679</xdr:colOff>
      <xdr:row>37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381002</xdr:colOff>
      <xdr:row>4</xdr:row>
      <xdr:rowOff>47625</xdr:rowOff>
    </xdr:from>
    <xdr:to>
      <xdr:col>31</xdr:col>
      <xdr:colOff>95252</xdr:colOff>
      <xdr:row>18</xdr:row>
      <xdr:rowOff>119063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163286</xdr:colOff>
      <xdr:row>3</xdr:row>
      <xdr:rowOff>176892</xdr:rowOff>
    </xdr:from>
    <xdr:to>
      <xdr:col>26</xdr:col>
      <xdr:colOff>0</xdr:colOff>
      <xdr:row>18</xdr:row>
      <xdr:rowOff>68035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381001</xdr:colOff>
      <xdr:row>2</xdr:row>
      <xdr:rowOff>23812</xdr:rowOff>
    </xdr:from>
    <xdr:to>
      <xdr:col>23</xdr:col>
      <xdr:colOff>95251</xdr:colOff>
      <xdr:row>16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297656</xdr:colOff>
      <xdr:row>2</xdr:row>
      <xdr:rowOff>23813</xdr:rowOff>
    </xdr:from>
    <xdr:to>
      <xdr:col>31</xdr:col>
      <xdr:colOff>11906</xdr:colOff>
      <xdr:row>16</xdr:row>
      <xdr:rowOff>95251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59531</xdr:colOff>
      <xdr:row>2</xdr:row>
      <xdr:rowOff>11906</xdr:rowOff>
    </xdr:from>
    <xdr:to>
      <xdr:col>36</xdr:col>
      <xdr:colOff>71437</xdr:colOff>
      <xdr:row>16</xdr:row>
      <xdr:rowOff>83344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381000</xdr:colOff>
      <xdr:row>16</xdr:row>
      <xdr:rowOff>119062</xdr:rowOff>
    </xdr:from>
    <xdr:to>
      <xdr:col>23</xdr:col>
      <xdr:colOff>0</xdr:colOff>
      <xdr:row>31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273844</xdr:colOff>
      <xdr:row>16</xdr:row>
      <xdr:rowOff>130969</xdr:rowOff>
    </xdr:from>
    <xdr:to>
      <xdr:col>30</xdr:col>
      <xdr:colOff>392906</xdr:colOff>
      <xdr:row>31</xdr:row>
      <xdr:rowOff>11907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71437</xdr:colOff>
      <xdr:row>16</xdr:row>
      <xdr:rowOff>130969</xdr:rowOff>
    </xdr:from>
    <xdr:to>
      <xdr:col>36</xdr:col>
      <xdr:colOff>178593</xdr:colOff>
      <xdr:row>31</xdr:row>
      <xdr:rowOff>11907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</xdr:colOff>
      <xdr:row>2</xdr:row>
      <xdr:rowOff>0</xdr:rowOff>
    </xdr:from>
    <xdr:to>
      <xdr:col>17</xdr:col>
      <xdr:colOff>130969</xdr:colOff>
      <xdr:row>16</xdr:row>
      <xdr:rowOff>71438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202406</xdr:colOff>
      <xdr:row>2</xdr:row>
      <xdr:rowOff>0</xdr:rowOff>
    </xdr:from>
    <xdr:to>
      <xdr:col>23</xdr:col>
      <xdr:colOff>321469</xdr:colOff>
      <xdr:row>16</xdr:row>
      <xdr:rowOff>71438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392906</xdr:colOff>
      <xdr:row>2</xdr:row>
      <xdr:rowOff>0</xdr:rowOff>
    </xdr:from>
    <xdr:to>
      <xdr:col>30</xdr:col>
      <xdr:colOff>107156</xdr:colOff>
      <xdr:row>16</xdr:row>
      <xdr:rowOff>71438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23813</xdr:colOff>
      <xdr:row>17</xdr:row>
      <xdr:rowOff>0</xdr:rowOff>
    </xdr:from>
    <xdr:to>
      <xdr:col>16</xdr:col>
      <xdr:colOff>357188</xdr:colOff>
      <xdr:row>31</xdr:row>
      <xdr:rowOff>71438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190500</xdr:colOff>
      <xdr:row>17</xdr:row>
      <xdr:rowOff>11906</xdr:rowOff>
    </xdr:from>
    <xdr:to>
      <xdr:col>23</xdr:col>
      <xdr:colOff>23813</xdr:colOff>
      <xdr:row>31</xdr:row>
      <xdr:rowOff>83344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380999</xdr:colOff>
      <xdr:row>17</xdr:row>
      <xdr:rowOff>0</xdr:rowOff>
    </xdr:from>
    <xdr:to>
      <xdr:col>29</xdr:col>
      <xdr:colOff>404812</xdr:colOff>
      <xdr:row>31</xdr:row>
      <xdr:rowOff>71438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G11"/>
  <sheetViews>
    <sheetView zoomScale="80" zoomScaleNormal="80" workbookViewId="0">
      <selection activeCell="K32" sqref="K32"/>
    </sheetView>
  </sheetViews>
  <sheetFormatPr defaultRowHeight="15"/>
  <sheetData>
    <row r="1" spans="1:7">
      <c r="A1" s="32" t="s">
        <v>23</v>
      </c>
      <c r="B1" s="33">
        <f>data0!B83*128</f>
        <v>7</v>
      </c>
      <c r="C1" s="41" t="s">
        <v>25</v>
      </c>
      <c r="D1" s="41"/>
      <c r="E1" s="41"/>
      <c r="F1" s="41"/>
      <c r="G1" s="42"/>
    </row>
    <row r="2" spans="1:7">
      <c r="A2" s="16" t="s">
        <v>10</v>
      </c>
      <c r="B2" s="17" t="s">
        <v>11</v>
      </c>
      <c r="C2" s="17" t="s">
        <v>12</v>
      </c>
      <c r="D2" s="15" t="s">
        <v>13</v>
      </c>
      <c r="E2" s="18" t="s">
        <v>7</v>
      </c>
      <c r="F2" s="15" t="s">
        <v>14</v>
      </c>
      <c r="G2" s="18" t="s">
        <v>15</v>
      </c>
    </row>
    <row r="3" spans="1:7">
      <c r="A3" s="19">
        <v>1</v>
      </c>
      <c r="B3" s="39">
        <v>0.1</v>
      </c>
      <c r="C3" s="36">
        <f>Calculations!E7</f>
        <v>0</v>
      </c>
      <c r="D3" s="37">
        <f>(Calculations!H7-3*Calculations!I7)</f>
        <v>0</v>
      </c>
      <c r="E3" s="37">
        <f>Calculations!H7</f>
        <v>0</v>
      </c>
      <c r="F3" s="37">
        <f>(Calculations!H7+3*Calculations!I7)</f>
        <v>0</v>
      </c>
      <c r="G3" s="38" t="s">
        <v>16</v>
      </c>
    </row>
    <row r="4" spans="1:7">
      <c r="A4" s="19">
        <f t="shared" ref="A4:A6" si="0">A3+0.01</f>
        <v>1.01</v>
      </c>
      <c r="B4" s="39"/>
      <c r="C4" s="17">
        <f>Calculations!E6</f>
        <v>0</v>
      </c>
      <c r="D4" s="20">
        <f>(Calculations!H6-3*Calculations!I6)</f>
        <v>0</v>
      </c>
      <c r="E4" s="20">
        <f>Calculations!H6</f>
        <v>0</v>
      </c>
      <c r="F4" s="20">
        <f>(Calculations!H6+3*Calculations!I6)</f>
        <v>0</v>
      </c>
      <c r="G4" s="18" t="s">
        <v>16</v>
      </c>
    </row>
    <row r="5" spans="1:7">
      <c r="A5" s="19">
        <f t="shared" si="0"/>
        <v>1.02</v>
      </c>
      <c r="B5" s="39"/>
      <c r="C5" s="17">
        <f>Calculations!E5</f>
        <v>0</v>
      </c>
      <c r="D5" s="20">
        <f>(Calculations!H5-3*Calculations!I5)</f>
        <v>0</v>
      </c>
      <c r="E5" s="20">
        <f>Calculations!H5</f>
        <v>0</v>
      </c>
      <c r="F5" s="20">
        <f>(Calculations!H5+3*Calculations!I5)</f>
        <v>0</v>
      </c>
      <c r="G5" s="18" t="s">
        <v>16</v>
      </c>
    </row>
    <row r="6" spans="1:7">
      <c r="A6" s="19">
        <f t="shared" si="0"/>
        <v>1.03</v>
      </c>
      <c r="B6" s="40"/>
      <c r="C6" s="27">
        <f>Calculations!E4</f>
        <v>250</v>
      </c>
      <c r="D6" s="28">
        <f>(Calculations!H4-3*Calculations!I4)</f>
        <v>-45.997172070109492</v>
      </c>
      <c r="E6" s="28">
        <f>Calculations!H4</f>
        <v>61.336617442365132</v>
      </c>
      <c r="F6" s="28">
        <f>(Calculations!H4+3*Calculations!I4)</f>
        <v>168.67040695483976</v>
      </c>
      <c r="G6" s="29" t="s">
        <v>16</v>
      </c>
    </row>
    <row r="7" spans="1:7">
      <c r="A7" s="19">
        <f t="shared" ref="A7:A11" si="1">A6+0.01</f>
        <v>1.04</v>
      </c>
      <c r="B7" s="39">
        <v>0.2</v>
      </c>
      <c r="C7" s="17">
        <f>Calculations!E14</f>
        <v>31.25</v>
      </c>
      <c r="D7" s="20">
        <f>(Calculations!H14-3*Calculations!I14)</f>
        <v>0</v>
      </c>
      <c r="E7" s="20">
        <f>Calculations!H14</f>
        <v>0</v>
      </c>
      <c r="F7" s="20">
        <f>(Calculations!H14+3*Calculations!I14)</f>
        <v>0</v>
      </c>
      <c r="G7" s="18" t="s">
        <v>16</v>
      </c>
    </row>
    <row r="8" spans="1:7">
      <c r="A8" s="19">
        <f t="shared" si="1"/>
        <v>1.05</v>
      </c>
      <c r="B8" s="40"/>
      <c r="C8" s="17">
        <f>Calculations!E13</f>
        <v>62.5</v>
      </c>
      <c r="D8" s="20" t="e">
        <f>(Calculations!H13-3*Calculations!I13)</f>
        <v>#VALUE!</v>
      </c>
      <c r="E8" s="20" t="e">
        <f>Calculations!H13</f>
        <v>#VALUE!</v>
      </c>
      <c r="F8" s="20" t="e">
        <f>(Calculations!H13+3*Calculations!I13)</f>
        <v>#VALUE!</v>
      </c>
      <c r="G8" s="18" t="s">
        <v>16</v>
      </c>
    </row>
    <row r="9" spans="1:7">
      <c r="A9" s="19">
        <f t="shared" si="1"/>
        <v>1.06</v>
      </c>
      <c r="B9" s="40"/>
      <c r="C9" s="17">
        <f>Calculations!E12</f>
        <v>125</v>
      </c>
      <c r="D9" s="20" t="e">
        <f>(Calculations!H12-3*Calculations!I12)</f>
        <v>#VALUE!</v>
      </c>
      <c r="E9" s="20" t="e">
        <f>Calculations!H12</f>
        <v>#VALUE!</v>
      </c>
      <c r="F9" s="20" t="e">
        <f>(Calculations!H12+3*Calculations!I12)</f>
        <v>#VALUE!</v>
      </c>
      <c r="G9" s="18" t="s">
        <v>16</v>
      </c>
    </row>
    <row r="10" spans="1:7">
      <c r="A10" s="19">
        <f t="shared" si="1"/>
        <v>1.07</v>
      </c>
      <c r="B10" s="39">
        <v>0.5</v>
      </c>
      <c r="C10" s="21">
        <f>Calculations!E21</f>
        <v>31.25</v>
      </c>
      <c r="D10" s="20">
        <f>(Calculations!H21-3*Calculations!I21)</f>
        <v>0</v>
      </c>
      <c r="E10" s="20">
        <f>Calculations!H21</f>
        <v>0</v>
      </c>
      <c r="F10" s="20">
        <f>(Calculations!H21+3*Calculations!I21)</f>
        <v>0</v>
      </c>
      <c r="G10" s="18" t="s">
        <v>16</v>
      </c>
    </row>
    <row r="11" spans="1:7">
      <c r="A11" s="19">
        <f t="shared" si="1"/>
        <v>1.08</v>
      </c>
      <c r="B11" s="40"/>
      <c r="C11" s="17">
        <f>Calculations!E20</f>
        <v>62.5</v>
      </c>
      <c r="D11" s="20" t="e">
        <f>(Calculations!H20-3*Calculations!I20)</f>
        <v>#VALUE!</v>
      </c>
      <c r="E11" s="20" t="e">
        <f>Calculations!H20</f>
        <v>#VALUE!</v>
      </c>
      <c r="F11" s="20" t="e">
        <f>(Calculations!H20+3*Calculations!I20)</f>
        <v>#VALUE!</v>
      </c>
      <c r="G11" s="18" t="s">
        <v>16</v>
      </c>
    </row>
  </sheetData>
  <mergeCells count="4">
    <mergeCell ref="B3:B6"/>
    <mergeCell ref="B7:B9"/>
    <mergeCell ref="B10:B11"/>
    <mergeCell ref="C1:G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C169"/>
  <sheetViews>
    <sheetView zoomScale="70" zoomScaleNormal="70" workbookViewId="0">
      <pane xSplit="16320" topLeftCell="AR1"/>
      <selection activeCell="T1" sqref="T1:Y1"/>
      <selection pane="topRight" activeCell="BA7" sqref="BA7:BC87"/>
    </sheetView>
  </sheetViews>
  <sheetFormatPr defaultRowHeight="15"/>
  <cols>
    <col min="1" max="1" width="10.85546875" customWidth="1"/>
    <col min="2" max="2" width="3.42578125" bestFit="1" customWidth="1"/>
    <col min="3" max="3" width="6.140625" bestFit="1" customWidth="1"/>
    <col min="4" max="4" width="9.7109375" bestFit="1" customWidth="1"/>
    <col min="5" max="5" width="11.5703125" bestFit="1" customWidth="1"/>
    <col min="6" max="6" width="7.28515625" bestFit="1" customWidth="1"/>
    <col min="7" max="7" width="2.7109375" customWidth="1"/>
    <col min="8" max="10" width="9.140625" customWidth="1"/>
    <col min="11" max="26" width="5.5703125" customWidth="1"/>
    <col min="27" max="31" width="5.5703125" style="1" customWidth="1"/>
    <col min="32" max="35" width="5.5703125" style="10" customWidth="1"/>
    <col min="36" max="41" width="5.5703125" customWidth="1"/>
  </cols>
  <sheetData>
    <row r="1" spans="1:55">
      <c r="A1" s="1" t="str">
        <f>setCalcEnable(B1)</f>
        <v>Calc Enable=</v>
      </c>
      <c r="B1">
        <v>1</v>
      </c>
      <c r="J1" s="43" t="s">
        <v>29</v>
      </c>
      <c r="K1" s="43"/>
      <c r="L1" s="43"/>
      <c r="M1" s="43"/>
      <c r="N1" s="43"/>
      <c r="O1" s="43"/>
      <c r="T1" s="43"/>
      <c r="U1" s="43"/>
      <c r="V1" s="43"/>
      <c r="W1" s="43"/>
      <c r="X1" s="43"/>
      <c r="Y1" s="43"/>
    </row>
    <row r="2" spans="1:55">
      <c r="A2" s="1" t="s">
        <v>2</v>
      </c>
      <c r="B2" s="1">
        <f>COUNT(data0!B2:AF2)</f>
        <v>12</v>
      </c>
      <c r="J2" s="43" t="s">
        <v>5</v>
      </c>
      <c r="K2" s="43"/>
      <c r="L2" s="43"/>
      <c r="M2" s="43"/>
      <c r="N2" s="43"/>
      <c r="O2" s="43"/>
      <c r="P2" s="43"/>
      <c r="Q2" s="43"/>
      <c r="R2" s="43"/>
      <c r="S2" s="43"/>
    </row>
    <row r="3" spans="1:55">
      <c r="A3" s="1" t="s">
        <v>3</v>
      </c>
      <c r="B3" s="1">
        <v>0</v>
      </c>
      <c r="E3" t="s">
        <v>6</v>
      </c>
      <c r="F3" s="11">
        <v>0.99</v>
      </c>
      <c r="H3" t="s">
        <v>7</v>
      </c>
      <c r="I3" t="s">
        <v>8</v>
      </c>
      <c r="J3">
        <v>0</v>
      </c>
      <c r="K3">
        <f t="shared" ref="K3:S3" si="0">J3+1</f>
        <v>1</v>
      </c>
      <c r="L3">
        <f t="shared" si="0"/>
        <v>2</v>
      </c>
      <c r="M3">
        <f t="shared" si="0"/>
        <v>3</v>
      </c>
      <c r="N3">
        <f t="shared" si="0"/>
        <v>4</v>
      </c>
      <c r="O3">
        <f t="shared" si="0"/>
        <v>5</v>
      </c>
      <c r="P3">
        <f t="shared" si="0"/>
        <v>6</v>
      </c>
      <c r="Q3">
        <f t="shared" si="0"/>
        <v>7</v>
      </c>
      <c r="R3">
        <f t="shared" si="0"/>
        <v>8</v>
      </c>
      <c r="S3">
        <f t="shared" si="0"/>
        <v>9</v>
      </c>
      <c r="T3">
        <f t="shared" ref="T3:AM3" si="1">S3+1</f>
        <v>10</v>
      </c>
      <c r="U3">
        <f t="shared" si="1"/>
        <v>11</v>
      </c>
      <c r="V3">
        <f t="shared" si="1"/>
        <v>12</v>
      </c>
      <c r="W3">
        <f t="shared" si="1"/>
        <v>13</v>
      </c>
      <c r="X3">
        <f t="shared" si="1"/>
        <v>14</v>
      </c>
      <c r="Y3">
        <f t="shared" si="1"/>
        <v>15</v>
      </c>
      <c r="Z3">
        <f t="shared" si="1"/>
        <v>16</v>
      </c>
      <c r="AA3">
        <f t="shared" si="1"/>
        <v>17</v>
      </c>
      <c r="AB3">
        <f t="shared" si="1"/>
        <v>18</v>
      </c>
      <c r="AC3">
        <f t="shared" si="1"/>
        <v>19</v>
      </c>
      <c r="AD3">
        <f t="shared" si="1"/>
        <v>20</v>
      </c>
      <c r="AE3">
        <f t="shared" si="1"/>
        <v>21</v>
      </c>
      <c r="AF3">
        <f t="shared" si="1"/>
        <v>22</v>
      </c>
      <c r="AG3">
        <f t="shared" si="1"/>
        <v>23</v>
      </c>
      <c r="AH3">
        <f t="shared" si="1"/>
        <v>24</v>
      </c>
      <c r="AI3">
        <f t="shared" si="1"/>
        <v>25</v>
      </c>
      <c r="AJ3">
        <f t="shared" si="1"/>
        <v>26</v>
      </c>
      <c r="AK3">
        <f t="shared" si="1"/>
        <v>27</v>
      </c>
      <c r="AL3">
        <f t="shared" si="1"/>
        <v>28</v>
      </c>
      <c r="AM3">
        <f t="shared" si="1"/>
        <v>29</v>
      </c>
      <c r="AN3">
        <f t="shared" ref="AN3" si="2">AM3+1</f>
        <v>30</v>
      </c>
      <c r="AO3">
        <f t="shared" ref="AO3" si="3">AN3+1</f>
        <v>31</v>
      </c>
      <c r="AR3" s="1"/>
      <c r="AS3" s="1"/>
      <c r="AT3" s="1"/>
      <c r="AU3" s="1"/>
      <c r="AV3" s="1"/>
      <c r="AW3" s="1"/>
      <c r="AX3" s="1"/>
      <c r="AY3" s="1"/>
      <c r="AZ3" s="1"/>
    </row>
    <row r="4" spans="1:55">
      <c r="A4" s="1" t="s">
        <v>4</v>
      </c>
      <c r="B4" s="1">
        <v>2</v>
      </c>
      <c r="D4" s="14"/>
      <c r="E4">
        <f>AS$5</f>
        <v>250</v>
      </c>
      <c r="F4" s="7" t="s">
        <v>9</v>
      </c>
      <c r="G4" s="12">
        <v>0</v>
      </c>
      <c r="H4" s="13">
        <f>AVERAGE(J4:AO4)</f>
        <v>61.336617442365132</v>
      </c>
      <c r="I4" s="13">
        <f>STDEV(J4:AO4)</f>
        <v>35.777929837491541</v>
      </c>
      <c r="J4" s="5">
        <f>transition(data0!$A$2:$A$82,data0!B$2:B$82,-Calculations!$F3)</f>
        <v>86.658183507881475</v>
      </c>
      <c r="K4" s="5">
        <f>transition(data0!$A$2:$A$82,data0!C$2:C$82,-Calculations!$F3)</f>
        <v>64.130617051008315</v>
      </c>
      <c r="L4" s="5">
        <f>transition(data0!$A$2:$A$82,data0!D$2:D$82,-Calculations!$F3)</f>
        <v>48.10231307333715</v>
      </c>
      <c r="M4" s="5">
        <f>transition(data0!$A$2:$A$82,data0!E$2:E$82,-Calculations!$F3)</f>
        <v>32.209304704638711</v>
      </c>
      <c r="N4" s="5">
        <f>transition(data0!$A$2:$A$82,data0!F$2:F$82,-Calculations!$F3)</f>
        <v>24.086460040286042</v>
      </c>
      <c r="O4" s="5">
        <f>transition(data0!$A$2:$A$82,data0!G$2:G$82,-Calculations!$F3)</f>
        <v>16.104638674372218</v>
      </c>
      <c r="P4" s="5"/>
      <c r="Q4" s="5"/>
      <c r="R4" s="5"/>
      <c r="S4" s="5"/>
      <c r="T4" s="5">
        <f>transition(data0!$A$2:$A$82,data0!L$2:L$82,-Calculations!$F3)</f>
        <v>135.31745009658727</v>
      </c>
      <c r="U4" s="5">
        <f>transition(data0!$A$2:$A$82,data0!M$2:M$82,-Calculations!$F3)</f>
        <v>104.76798598657047</v>
      </c>
      <c r="V4" s="5">
        <f>transition(data0!$A$2:$A$82,data0!N$2:N$82,-Calculations!$F3)</f>
        <v>84.312223409125593</v>
      </c>
      <c r="W4" s="5">
        <f>transition(data0!$A$2:$A$82,data0!O$2:O$82,-Calculations!$F3)</f>
        <v>62.143885229377155</v>
      </c>
      <c r="X4" s="5">
        <f>transition(data0!$A$2:$A$82,data0!P$2:P$82,-Calculations!$F3)</f>
        <v>46.102884728205304</v>
      </c>
      <c r="Y4" s="5">
        <f>transition(data0!$A$2:$A$82,data0!Q$2:Q$82,-Calculations!$F3)</f>
        <v>32.103462806991914</v>
      </c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R4" s="1"/>
      <c r="AS4" s="1"/>
      <c r="AT4" s="1"/>
      <c r="AU4" s="1"/>
      <c r="AV4" s="1"/>
      <c r="AW4" s="1"/>
      <c r="AX4" s="1"/>
      <c r="AY4" s="1"/>
      <c r="AZ4" s="1"/>
    </row>
    <row r="5" spans="1:55">
      <c r="D5" s="14"/>
      <c r="F5" s="7"/>
      <c r="G5" s="12"/>
      <c r="H5" s="13"/>
      <c r="I5" s="13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R5" s="1"/>
      <c r="AS5" s="43">
        <f>data0!A1</f>
        <v>250</v>
      </c>
      <c r="AT5" s="43"/>
      <c r="AU5" s="43">
        <f>data1!A1</f>
        <v>125</v>
      </c>
      <c r="AV5" s="43"/>
      <c r="AW5" s="44">
        <f>data2!A1</f>
        <v>62.5</v>
      </c>
      <c r="AX5" s="44"/>
      <c r="AY5" s="44">
        <f>data3!A1</f>
        <v>31.25</v>
      </c>
      <c r="AZ5" s="44"/>
      <c r="BA5" s="43" t="s">
        <v>22</v>
      </c>
      <c r="BB5" s="43"/>
      <c r="BC5" s="43"/>
    </row>
    <row r="6" spans="1:55">
      <c r="D6" s="14"/>
      <c r="F6" s="7"/>
      <c r="G6" s="12"/>
      <c r="H6" s="13"/>
      <c r="I6" s="13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R6" s="1"/>
      <c r="AS6" s="4" t="s">
        <v>0</v>
      </c>
      <c r="AT6" s="4" t="s">
        <v>1</v>
      </c>
      <c r="AU6" s="4" t="s">
        <v>0</v>
      </c>
      <c r="AV6" s="4" t="s">
        <v>1</v>
      </c>
      <c r="AW6" s="8" t="s">
        <v>0</v>
      </c>
      <c r="AX6" s="8" t="s">
        <v>1</v>
      </c>
      <c r="AY6" s="8" t="s">
        <v>0</v>
      </c>
      <c r="AZ6" s="8" t="s">
        <v>1</v>
      </c>
      <c r="BA6">
        <f>AU5</f>
        <v>125</v>
      </c>
      <c r="BB6">
        <f>AW5</f>
        <v>62.5</v>
      </c>
      <c r="BC6">
        <f>AY5</f>
        <v>31.25</v>
      </c>
    </row>
    <row r="7" spans="1:55">
      <c r="D7" s="14"/>
      <c r="F7" s="7"/>
      <c r="G7" s="12"/>
      <c r="H7" s="13"/>
      <c r="I7" s="13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R7" s="6">
        <f>B3</f>
        <v>0</v>
      </c>
      <c r="AS7" s="3">
        <f>AVERAGE(data0!B2:AG2)</f>
        <v>0.46569607363962207</v>
      </c>
      <c r="AT7" s="3">
        <f>STDEV(data0!B2:AG2)</f>
        <v>0.49619556782294999</v>
      </c>
      <c r="AU7" s="3">
        <f>AVERAGE(data1!B2:AG2)</f>
        <v>0.54601539589442816</v>
      </c>
      <c r="AV7" s="3">
        <f>STDEV(data1!B2:AG2)</f>
        <v>0.45871856922826976</v>
      </c>
      <c r="AW7" s="9">
        <f>AVERAGE(data2!B2:AG2)</f>
        <v>0.85219480519480517</v>
      </c>
      <c r="AX7" s="9">
        <f>STDEV(data2!B2:AG2)</f>
        <v>0.21359200923187702</v>
      </c>
      <c r="AY7" s="9">
        <f>AVERAGE(data3!B2:AG2)</f>
        <v>0.86307955903117195</v>
      </c>
      <c r="AZ7" s="9">
        <f>STDEV(data3!B2:AG2)</f>
        <v>0.20006446951151863</v>
      </c>
      <c r="BA7">
        <f>AS7/AU7</f>
        <v>0.85289916207722505</v>
      </c>
      <c r="BB7">
        <f>AU7/AW7</f>
        <v>0.64071664432361009</v>
      </c>
      <c r="BC7">
        <f>AW7/AY7</f>
        <v>0.98738846990121609</v>
      </c>
    </row>
    <row r="8" spans="1:55">
      <c r="AR8" s="6">
        <f t="shared" ref="AR8:AR39" si="4">AR7+$B$4</f>
        <v>2</v>
      </c>
      <c r="AS8" s="3">
        <f>AVERAGE(data0!B3:AG3)</f>
        <v>0.99900000000000011</v>
      </c>
      <c r="AT8" s="3">
        <f>STDEV(data0!B3:AG3)</f>
        <v>1.1595901302887535E-16</v>
      </c>
      <c r="AU8" s="3">
        <f>AVERAGE(data1!B3:AG3)</f>
        <v>0.99900000000000011</v>
      </c>
      <c r="AV8" s="3">
        <f>STDEV(data1!B3:AG3)</f>
        <v>1.1595901302887535E-16</v>
      </c>
      <c r="AW8" s="9">
        <f>AVERAGE(data2!B3:AG3)</f>
        <v>0.999</v>
      </c>
      <c r="AX8" s="9">
        <f>STDEV(data2!B3:AG3)</f>
        <v>0</v>
      </c>
      <c r="AY8" s="9">
        <f>AVERAGE(data3!B3:AG3)</f>
        <v>0.99900000000000011</v>
      </c>
      <c r="AZ8" s="9">
        <f>STDEV(data3!B3:AG3)</f>
        <v>1.1424100674951067E-16</v>
      </c>
      <c r="BA8">
        <f t="shared" ref="BA8:BA71" si="5">AS8/AU8</f>
        <v>1</v>
      </c>
      <c r="BB8">
        <f t="shared" ref="BB8:BB71" si="6">AU8/AW8</f>
        <v>1.0000000000000002</v>
      </c>
      <c r="BC8">
        <f t="shared" ref="BC8:BC71" si="7">AW8/AY8</f>
        <v>0.99999999999999989</v>
      </c>
    </row>
    <row r="9" spans="1:55">
      <c r="J9" s="43" t="s">
        <v>5</v>
      </c>
      <c r="K9" s="43"/>
      <c r="L9" s="43"/>
      <c r="M9" s="43"/>
      <c r="N9" s="43"/>
      <c r="O9" s="43"/>
      <c r="P9" s="43"/>
      <c r="Q9" s="43"/>
      <c r="R9" s="43"/>
      <c r="S9" s="43"/>
      <c r="AR9" s="6">
        <f t="shared" si="4"/>
        <v>4</v>
      </c>
      <c r="AS9" s="3">
        <f>AVERAGE(data0!B4:AG4)</f>
        <v>0.99900000000000011</v>
      </c>
      <c r="AT9" s="3">
        <f>STDEV(data0!B4:AG4)</f>
        <v>1.1595901302887535E-16</v>
      </c>
      <c r="AU9" s="3">
        <f>AVERAGE(data1!B4:AG4)</f>
        <v>0.99900000000000011</v>
      </c>
      <c r="AV9" s="3">
        <f>STDEV(data1!B4:AG4)</f>
        <v>1.1595901302887535E-16</v>
      </c>
      <c r="AW9" s="9">
        <f>AVERAGE(data2!B4:AG4)</f>
        <v>0.999</v>
      </c>
      <c r="AX9" s="9">
        <f>STDEV(data2!B4:AG4)</f>
        <v>0</v>
      </c>
      <c r="AY9" s="9">
        <f>AVERAGE(data3!B4:AG4)</f>
        <v>0.99900000000000011</v>
      </c>
      <c r="AZ9" s="9">
        <f>STDEV(data3!B4:AG4)</f>
        <v>1.1424100674951067E-16</v>
      </c>
      <c r="BA9">
        <f t="shared" si="5"/>
        <v>1</v>
      </c>
      <c r="BB9">
        <f t="shared" si="6"/>
        <v>1.0000000000000002</v>
      </c>
      <c r="BC9">
        <f t="shared" si="7"/>
        <v>0.99999999999999989</v>
      </c>
    </row>
    <row r="10" spans="1:55">
      <c r="E10" t="s">
        <v>6</v>
      </c>
      <c r="F10" s="11">
        <v>0.2</v>
      </c>
      <c r="H10" t="s">
        <v>7</v>
      </c>
      <c r="I10" t="s">
        <v>8</v>
      </c>
      <c r="J10">
        <v>0</v>
      </c>
      <c r="K10">
        <f t="shared" ref="K10" si="8">J10+1</f>
        <v>1</v>
      </c>
      <c r="L10">
        <f t="shared" ref="L10" si="9">K10+1</f>
        <v>2</v>
      </c>
      <c r="M10">
        <f t="shared" ref="M10" si="10">L10+1</f>
        <v>3</v>
      </c>
      <c r="N10">
        <f t="shared" ref="N10" si="11">M10+1</f>
        <v>4</v>
      </c>
      <c r="O10">
        <f t="shared" ref="O10" si="12">N10+1</f>
        <v>5</v>
      </c>
      <c r="P10">
        <f t="shared" ref="P10" si="13">O10+1</f>
        <v>6</v>
      </c>
      <c r="Q10">
        <f t="shared" ref="Q10" si="14">P10+1</f>
        <v>7</v>
      </c>
      <c r="R10">
        <f t="shared" ref="R10" si="15">Q10+1</f>
        <v>8</v>
      </c>
      <c r="S10">
        <f t="shared" ref="S10" si="16">R10+1</f>
        <v>9</v>
      </c>
      <c r="T10">
        <f t="shared" ref="T10" si="17">S10+1</f>
        <v>10</v>
      </c>
      <c r="U10">
        <f t="shared" ref="U10" si="18">T10+1</f>
        <v>11</v>
      </c>
      <c r="V10">
        <f t="shared" ref="V10" si="19">U10+1</f>
        <v>12</v>
      </c>
      <c r="W10">
        <f t="shared" ref="W10" si="20">V10+1</f>
        <v>13</v>
      </c>
      <c r="X10">
        <f t="shared" ref="X10" si="21">W10+1</f>
        <v>14</v>
      </c>
      <c r="Y10">
        <f t="shared" ref="Y10" si="22">X10+1</f>
        <v>15</v>
      </c>
      <c r="Z10">
        <f t="shared" ref="Z10" si="23">Y10+1</f>
        <v>16</v>
      </c>
      <c r="AA10">
        <f t="shared" ref="AA10" si="24">Z10+1</f>
        <v>17</v>
      </c>
      <c r="AB10">
        <f t="shared" ref="AB10" si="25">AA10+1</f>
        <v>18</v>
      </c>
      <c r="AC10">
        <f t="shared" ref="AC10" si="26">AB10+1</f>
        <v>19</v>
      </c>
      <c r="AD10">
        <f t="shared" ref="AD10" si="27">AC10+1</f>
        <v>20</v>
      </c>
      <c r="AE10">
        <f t="shared" ref="AE10" si="28">AD10+1</f>
        <v>21</v>
      </c>
      <c r="AF10">
        <f t="shared" ref="AF10" si="29">AE10+1</f>
        <v>22</v>
      </c>
      <c r="AG10">
        <f t="shared" ref="AG10" si="30">AF10+1</f>
        <v>23</v>
      </c>
      <c r="AH10">
        <f t="shared" ref="AH10" si="31">AG10+1</f>
        <v>24</v>
      </c>
      <c r="AI10">
        <f t="shared" ref="AI10" si="32">AH10+1</f>
        <v>25</v>
      </c>
      <c r="AJ10">
        <f t="shared" ref="AJ10" si="33">AI10+1</f>
        <v>26</v>
      </c>
      <c r="AK10">
        <f t="shared" ref="AK10" si="34">AJ10+1</f>
        <v>27</v>
      </c>
      <c r="AL10">
        <f t="shared" ref="AL10" si="35">AK10+1</f>
        <v>28</v>
      </c>
      <c r="AM10">
        <f t="shared" ref="AM10" si="36">AL10+1</f>
        <v>29</v>
      </c>
      <c r="AN10">
        <f t="shared" ref="AN10" si="37">AM10+1</f>
        <v>30</v>
      </c>
      <c r="AO10">
        <f t="shared" ref="AO10" si="38">AN10+1</f>
        <v>31</v>
      </c>
      <c r="AR10" s="6">
        <f t="shared" si="4"/>
        <v>6</v>
      </c>
      <c r="AS10" s="3">
        <f>AVERAGE(data0!B5:AG5)</f>
        <v>0.99900000000000011</v>
      </c>
      <c r="AT10" s="3">
        <f>STDEV(data0!B5:AG5)</f>
        <v>1.1595901302887535E-16</v>
      </c>
      <c r="AU10" s="3">
        <f>AVERAGE(data1!B5:AG5)</f>
        <v>0.99900000000000011</v>
      </c>
      <c r="AV10" s="3">
        <f>STDEV(data1!B5:AG5)</f>
        <v>1.1595901302887535E-16</v>
      </c>
      <c r="AW10" s="9">
        <f>AVERAGE(data2!B5:AG5)</f>
        <v>0.999</v>
      </c>
      <c r="AX10" s="9">
        <f>STDEV(data2!B5:AG5)</f>
        <v>0</v>
      </c>
      <c r="AY10" s="9">
        <f>AVERAGE(data3!B5:AG5)</f>
        <v>0.99900000000000011</v>
      </c>
      <c r="AZ10" s="9">
        <f>STDEV(data3!B5:AG5)</f>
        <v>1.1424100674951067E-16</v>
      </c>
      <c r="BA10">
        <f t="shared" si="5"/>
        <v>1</v>
      </c>
      <c r="BB10">
        <f t="shared" si="6"/>
        <v>1.0000000000000002</v>
      </c>
      <c r="BC10">
        <f t="shared" si="7"/>
        <v>0.99999999999999989</v>
      </c>
    </row>
    <row r="11" spans="1:55">
      <c r="E11">
        <f>AS$5</f>
        <v>250</v>
      </c>
      <c r="F11" s="7" t="s">
        <v>9</v>
      </c>
      <c r="G11" s="12">
        <v>0</v>
      </c>
      <c r="H11" s="13">
        <f t="shared" ref="H11:H14" si="39">AVERAGE(J11:AO11)</f>
        <v>86.243502496945553</v>
      </c>
      <c r="I11" s="13">
        <f t="shared" ref="I11:I14" si="40">STDEV(J11:AO11)</f>
        <v>38.726520520569117</v>
      </c>
      <c r="J11" s="5">
        <f>transition(data0!$A$2:$A$82,data0!B$2:B$82,-Calculations!$F10)</f>
        <v>144.78315789473683</v>
      </c>
      <c r="K11" s="5">
        <f>transition(data0!$A$2:$A$82,data0!C$2:C$82,-Calculations!$F10)</f>
        <v>109.87</v>
      </c>
      <c r="L11" s="5">
        <f>transition(data0!$A$2:$A$82,data0!D$2:D$82,-Calculations!$F10)</f>
        <v>94.952941176470588</v>
      </c>
      <c r="M11" s="5">
        <f>transition(data0!$A$2:$A$82,data0!E$2:E$82,-Calculations!$F10)</f>
        <v>76.04912280701754</v>
      </c>
      <c r="N11" s="5">
        <f>transition(data0!$A$2:$A$82,data0!F$2:F$82,-Calculations!$F10)</f>
        <v>52.192</v>
      </c>
      <c r="O11" s="5">
        <f>transition(data0!$A$2:$A$82,data0!G$2:G$82,-Calculations!$F10)</f>
        <v>39.613793103448273</v>
      </c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R11" s="6">
        <f t="shared" si="4"/>
        <v>8</v>
      </c>
      <c r="AS11" s="3">
        <f>AVERAGE(data0!B6:AG6)</f>
        <v>0.99900000000000011</v>
      </c>
      <c r="AT11" s="3">
        <f>STDEV(data0!B6:AG6)</f>
        <v>1.1595901302887535E-16</v>
      </c>
      <c r="AU11" s="3">
        <f>AVERAGE(data1!B6:AG6)</f>
        <v>0.99900000000000011</v>
      </c>
      <c r="AV11" s="3">
        <f>STDEV(data1!B6:AG6)</f>
        <v>1.1595901302887535E-16</v>
      </c>
      <c r="AW11" s="9">
        <f>AVERAGE(data2!B6:AG6)</f>
        <v>0.999</v>
      </c>
      <c r="AX11" s="9">
        <f>STDEV(data2!B6:AG6)</f>
        <v>0</v>
      </c>
      <c r="AY11" s="9">
        <f>AVERAGE(data3!B6:AG6)</f>
        <v>0.99900000000000011</v>
      </c>
      <c r="AZ11" s="9">
        <f>STDEV(data3!B6:AG6)</f>
        <v>1.1424100674951067E-16</v>
      </c>
      <c r="BA11">
        <f t="shared" si="5"/>
        <v>1</v>
      </c>
      <c r="BB11">
        <f t="shared" si="6"/>
        <v>1.0000000000000002</v>
      </c>
      <c r="BC11">
        <f t="shared" si="7"/>
        <v>0.99999999999999989</v>
      </c>
    </row>
    <row r="12" spans="1:55">
      <c r="E12">
        <f>AU$5</f>
        <v>125</v>
      </c>
      <c r="F12" s="7" t="str">
        <f>F11</f>
        <v>data</v>
      </c>
      <c r="G12" s="12">
        <f>G11+1</f>
        <v>1</v>
      </c>
      <c r="H12" s="13" t="e">
        <f t="shared" si="39"/>
        <v>#VALUE!</v>
      </c>
      <c r="I12" s="13" t="e">
        <f t="shared" si="40"/>
        <v>#VALUE!</v>
      </c>
      <c r="J12" s="5" t="e">
        <f>transition(data1!$A$2:$A$82,data1!B$2:B$82,-Calculations!$F10)</f>
        <v>#VALUE!</v>
      </c>
      <c r="K12" s="5">
        <f>transition(data1!$A$2:$A$82,data1!C$2:C$82,-Calculations!$F10)</f>
        <v>118.63076923076923</v>
      </c>
      <c r="L12" s="5">
        <f>transition(data1!$A$2:$A$82,data1!D$2:D$82,-Calculations!$F10)</f>
        <v>86.180281690140845</v>
      </c>
      <c r="M12" s="5">
        <f>transition(data1!$A$2:$A$82,data1!E$2:E$82,-Calculations!$F10)</f>
        <v>74.513333333333335</v>
      </c>
      <c r="N12" s="5">
        <f>transition(data1!$A$2:$A$82,data1!F$2:F$82,-Calculations!$F10)</f>
        <v>44.97</v>
      </c>
      <c r="O12" s="5">
        <f>transition(data1!$A$2:$A$82,data1!G$2:G$82,-Calculations!$F10)</f>
        <v>29.395454545454545</v>
      </c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R12" s="6">
        <f t="shared" si="4"/>
        <v>10</v>
      </c>
      <c r="AS12" s="3">
        <f>AVERAGE(data0!B7:AG7)</f>
        <v>0.99900000000000011</v>
      </c>
      <c r="AT12" s="3">
        <f>STDEV(data0!B7:AG7)</f>
        <v>1.1595901302887535E-16</v>
      </c>
      <c r="AU12" s="3">
        <f>AVERAGE(data1!B7:AG7)</f>
        <v>0.99900000000000011</v>
      </c>
      <c r="AV12" s="3">
        <f>STDEV(data1!B7:AG7)</f>
        <v>1.1595901302887535E-16</v>
      </c>
      <c r="AW12" s="9">
        <f>AVERAGE(data2!B7:AG7)</f>
        <v>0.93174393706651748</v>
      </c>
      <c r="AX12" s="9">
        <f>STDEV(data2!B7:AG7)</f>
        <v>0.1091812136067707</v>
      </c>
      <c r="AY12" s="9">
        <f>AVERAGE(data3!B7:AG7)</f>
        <v>0.99900000000000011</v>
      </c>
      <c r="AZ12" s="9">
        <f>STDEV(data3!B7:AG7)</f>
        <v>1.1424100674951067E-16</v>
      </c>
      <c r="BA12">
        <f t="shared" si="5"/>
        <v>1</v>
      </c>
      <c r="BB12">
        <f t="shared" si="6"/>
        <v>1.0721829896153983</v>
      </c>
      <c r="BC12">
        <f t="shared" si="7"/>
        <v>0.93267661368019761</v>
      </c>
    </row>
    <row r="13" spans="1:55">
      <c r="E13">
        <f>AW$5</f>
        <v>62.5</v>
      </c>
      <c r="F13" s="7" t="str">
        <f t="shared" ref="F13:F14" si="41">F12</f>
        <v>data</v>
      </c>
      <c r="G13" s="12">
        <f t="shared" ref="G13:G14" si="42">G12+1</f>
        <v>2</v>
      </c>
      <c r="H13" s="13" t="e">
        <f t="shared" si="39"/>
        <v>#VALUE!</v>
      </c>
      <c r="I13" s="13" t="e">
        <f t="shared" si="40"/>
        <v>#VALUE!</v>
      </c>
      <c r="J13" s="5" t="e">
        <f>transition(data2!$A$2:$A$82,data2!B$2:B$82,-Calculations!$F10)</f>
        <v>#VALUE!</v>
      </c>
      <c r="K13" s="5" t="e">
        <f>transition(data2!$A$2:$A$82,data2!C$2:C$82,-Calculations!$F10)</f>
        <v>#VALUE!</v>
      </c>
      <c r="L13" s="5">
        <f>transition(data2!$A$2:$A$82,data2!D$2:D$82,-Calculations!$F10)</f>
        <v>159.72631578947369</v>
      </c>
      <c r="M13" s="5">
        <f>transition(data2!$A$2:$A$82,data2!E$2:E$82,-Calculations!$F10)</f>
        <v>31.54</v>
      </c>
      <c r="N13" s="5">
        <f>transition(data2!$A$2:$A$82,data2!F$2:F$82,-Calculations!$F10)</f>
        <v>0</v>
      </c>
      <c r="O13" s="5" t="e">
        <f>transition(data2!$A$2:$A$82,data2!G$2:G$82,-Calculations!$F10)</f>
        <v>#VALUE!</v>
      </c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R13" s="6">
        <f t="shared" si="4"/>
        <v>12</v>
      </c>
      <c r="AS13" s="3">
        <f>AVERAGE(data0!B8:AG8)</f>
        <v>0.99900000000000011</v>
      </c>
      <c r="AT13" s="3">
        <f>STDEV(data0!B8:AG8)</f>
        <v>1.1595901302887535E-16</v>
      </c>
      <c r="AU13" s="3">
        <f>AVERAGE(data1!B8:AG8)</f>
        <v>0.99900000000000011</v>
      </c>
      <c r="AV13" s="3">
        <f>STDEV(data1!B8:AG8)</f>
        <v>1.1595901302887535E-16</v>
      </c>
      <c r="AW13" s="9">
        <f>AVERAGE(data2!B8:AG8)</f>
        <v>0.88356630824372762</v>
      </c>
      <c r="AX13" s="9">
        <f>STDEV(data2!B8:AG8)</f>
        <v>0.18713802634218007</v>
      </c>
      <c r="AY13" s="9">
        <f>AVERAGE(data3!B8:AG8)</f>
        <v>0.99900000000000011</v>
      </c>
      <c r="AZ13" s="9">
        <f>STDEV(data3!B8:AG8)</f>
        <v>1.1424100674951067E-16</v>
      </c>
      <c r="BA13">
        <f t="shared" si="5"/>
        <v>1</v>
      </c>
      <c r="BB13">
        <f t="shared" si="6"/>
        <v>1.1306451940044218</v>
      </c>
      <c r="BC13">
        <f t="shared" si="7"/>
        <v>0.88445075900273029</v>
      </c>
    </row>
    <row r="14" spans="1:55">
      <c r="E14">
        <f>AY$5</f>
        <v>31.25</v>
      </c>
      <c r="F14" s="7" t="str">
        <f t="shared" si="41"/>
        <v>data</v>
      </c>
      <c r="G14" s="12">
        <f t="shared" si="42"/>
        <v>3</v>
      </c>
      <c r="H14" s="13">
        <f t="shared" si="39"/>
        <v>0</v>
      </c>
      <c r="I14" s="13">
        <f t="shared" si="40"/>
        <v>0</v>
      </c>
      <c r="J14" s="5">
        <f>transition(data3!$A$2:$A$82,data3!B$2:B$82,-Calculations!$F10)</f>
        <v>0</v>
      </c>
      <c r="K14" s="5">
        <f>transition(data3!$A$2:$A$82,data3!C$2:C$82,-Calculations!$F10)</f>
        <v>0</v>
      </c>
      <c r="L14" s="5">
        <f>transition(data3!$A$2:$A$82,data3!D$2:D$82,-Calculations!$F10)</f>
        <v>0</v>
      </c>
      <c r="M14" s="5">
        <f>transition(data3!$A$2:$A$82,data3!E$2:E$82,-Calculations!$F10)</f>
        <v>0</v>
      </c>
      <c r="N14" s="5">
        <f>transition(data3!$A$2:$A$82,data3!F$2:F$82,-Calculations!$F10)</f>
        <v>0</v>
      </c>
      <c r="O14" s="5">
        <f>transition(data3!$A$2:$A$82,data3!G$2:G$82,-Calculations!$F10)</f>
        <v>0</v>
      </c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R14" s="6">
        <f t="shared" si="4"/>
        <v>14</v>
      </c>
      <c r="AS14" s="3">
        <f>AVERAGE(data0!B9:AG9)</f>
        <v>0.99900000000000011</v>
      </c>
      <c r="AT14" s="3">
        <f>STDEV(data0!B9:AG9)</f>
        <v>1.1595901302887535E-16</v>
      </c>
      <c r="AU14" s="3">
        <f>AVERAGE(data1!B9:AG9)</f>
        <v>0.98678290974258731</v>
      </c>
      <c r="AV14" s="3">
        <f>STDEV(data1!B9:AG9)</f>
        <v>4.2321242092985975E-2</v>
      </c>
      <c r="AW14" s="9">
        <f>AVERAGE(data2!B9:AG9)</f>
        <v>0.83935064935064907</v>
      </c>
      <c r="AX14" s="9">
        <f>STDEV(data2!B9:AG9)</f>
        <v>0.23403294109900916</v>
      </c>
      <c r="AY14" s="9">
        <f>AVERAGE(data3!B9:AG9)</f>
        <v>0.99900000000000011</v>
      </c>
      <c r="AZ14" s="9">
        <f>STDEV(data3!B9:AG9)</f>
        <v>1.1424100674951067E-16</v>
      </c>
      <c r="BA14">
        <f t="shared" si="5"/>
        <v>1.0123807274495662</v>
      </c>
      <c r="BB14">
        <f t="shared" si="6"/>
        <v>1.1756503798573301</v>
      </c>
      <c r="BC14">
        <f t="shared" si="7"/>
        <v>0.84019084019083978</v>
      </c>
    </row>
    <row r="15" spans="1:55">
      <c r="AR15" s="6">
        <f t="shared" si="4"/>
        <v>16</v>
      </c>
      <c r="AS15" s="3">
        <f>AVERAGE(data0!B10:AG10)</f>
        <v>0.99900000000000011</v>
      </c>
      <c r="AT15" s="3">
        <f>STDEV(data0!B10:AG10)</f>
        <v>1.1595901302887535E-16</v>
      </c>
      <c r="AU15" s="3">
        <f>AVERAGE(data1!B10:AG10)</f>
        <v>0.97220161290322593</v>
      </c>
      <c r="AV15" s="3">
        <f>STDEV(data1!B10:AG10)</f>
        <v>9.283233602502225E-2</v>
      </c>
      <c r="AW15" s="9">
        <f>AVERAGE(data2!B10:AG10)</f>
        <v>0.75938151096215623</v>
      </c>
      <c r="AX15" s="9">
        <f>STDEV(data2!B10:AG10)</f>
        <v>0.25289966635702676</v>
      </c>
      <c r="AY15" s="9">
        <f>AVERAGE(data3!B10:AG10)</f>
        <v>0.99900000000000011</v>
      </c>
      <c r="AZ15" s="9">
        <f>STDEV(data3!B10:AG10)</f>
        <v>1.1424100674951067E-16</v>
      </c>
      <c r="BA15">
        <f t="shared" si="5"/>
        <v>1.0275646396190887</v>
      </c>
      <c r="BB15">
        <f t="shared" si="6"/>
        <v>1.2802545214347147</v>
      </c>
      <c r="BC15">
        <f t="shared" si="7"/>
        <v>0.76014165261477096</v>
      </c>
    </row>
    <row r="16" spans="1:55">
      <c r="J16" s="43" t="s">
        <v>5</v>
      </c>
      <c r="K16" s="43"/>
      <c r="L16" s="43"/>
      <c r="M16" s="43"/>
      <c r="N16" s="43"/>
      <c r="O16" s="43"/>
      <c r="P16" s="43"/>
      <c r="Q16" s="43"/>
      <c r="R16" s="43"/>
      <c r="S16" s="43"/>
      <c r="AR16" s="6">
        <f t="shared" si="4"/>
        <v>18</v>
      </c>
      <c r="AS16" s="3">
        <f>AVERAGE(data0!B11:AG11)</f>
        <v>0.98466495601173032</v>
      </c>
      <c r="AT16" s="3">
        <f>STDEV(data0!B11:AG11)</f>
        <v>4.9658049032835119E-2</v>
      </c>
      <c r="AU16" s="3">
        <f>AVERAGE(data1!B11:AG11)</f>
        <v>0.96136746497230385</v>
      </c>
      <c r="AV16" s="3">
        <f>STDEV(data1!B11:AG11)</f>
        <v>0.13036292537116997</v>
      </c>
      <c r="AW16" s="9">
        <f>AVERAGE(data2!B11:AG11)</f>
        <v>0.72042047200111714</v>
      </c>
      <c r="AX16" s="9">
        <f>STDEV(data2!B11:AG11)</f>
        <v>0.27593561046111925</v>
      </c>
      <c r="AY16" s="9">
        <f>AVERAGE(data3!B11:AG11)</f>
        <v>0.94931704138155759</v>
      </c>
      <c r="AZ16" s="9">
        <f>STDEV(data3!B11:AG11)</f>
        <v>7.2965435474403068E-2</v>
      </c>
      <c r="BA16">
        <f t="shared" si="5"/>
        <v>1.0242337003157245</v>
      </c>
      <c r="BB16">
        <f t="shared" si="6"/>
        <v>1.3344532843464407</v>
      </c>
      <c r="BC16">
        <f t="shared" si="7"/>
        <v>0.75888290275783599</v>
      </c>
    </row>
    <row r="17" spans="5:55">
      <c r="E17" t="s">
        <v>6</v>
      </c>
      <c r="F17" s="11">
        <v>0.5</v>
      </c>
      <c r="H17" t="s">
        <v>7</v>
      </c>
      <c r="I17" t="s">
        <v>8</v>
      </c>
      <c r="J17">
        <v>0</v>
      </c>
      <c r="K17">
        <f t="shared" ref="K17" si="43">J17+1</f>
        <v>1</v>
      </c>
      <c r="L17">
        <f t="shared" ref="L17" si="44">K17+1</f>
        <v>2</v>
      </c>
      <c r="M17">
        <f t="shared" ref="M17" si="45">L17+1</f>
        <v>3</v>
      </c>
      <c r="N17">
        <f t="shared" ref="N17" si="46">M17+1</f>
        <v>4</v>
      </c>
      <c r="O17">
        <f t="shared" ref="O17" si="47">N17+1</f>
        <v>5</v>
      </c>
      <c r="P17">
        <f t="shared" ref="P17" si="48">O17+1</f>
        <v>6</v>
      </c>
      <c r="Q17">
        <f t="shared" ref="Q17" si="49">P17+1</f>
        <v>7</v>
      </c>
      <c r="R17">
        <f t="shared" ref="R17" si="50">Q17+1</f>
        <v>8</v>
      </c>
      <c r="S17">
        <f t="shared" ref="S17" si="51">R17+1</f>
        <v>9</v>
      </c>
      <c r="T17">
        <f t="shared" ref="T17" si="52">S17+1</f>
        <v>10</v>
      </c>
      <c r="U17">
        <f t="shared" ref="U17" si="53">T17+1</f>
        <v>11</v>
      </c>
      <c r="V17">
        <f t="shared" ref="V17" si="54">U17+1</f>
        <v>12</v>
      </c>
      <c r="W17">
        <f t="shared" ref="W17" si="55">V17+1</f>
        <v>13</v>
      </c>
      <c r="X17">
        <f t="shared" ref="X17" si="56">W17+1</f>
        <v>14</v>
      </c>
      <c r="Y17">
        <f t="shared" ref="Y17" si="57">X17+1</f>
        <v>15</v>
      </c>
      <c r="Z17">
        <f t="shared" ref="Z17" si="58">Y17+1</f>
        <v>16</v>
      </c>
      <c r="AA17">
        <f t="shared" ref="AA17" si="59">Z17+1</f>
        <v>17</v>
      </c>
      <c r="AB17">
        <f t="shared" ref="AB17" si="60">AA17+1</f>
        <v>18</v>
      </c>
      <c r="AC17">
        <f t="shared" ref="AC17" si="61">AB17+1</f>
        <v>19</v>
      </c>
      <c r="AD17">
        <f t="shared" ref="AD17" si="62">AC17+1</f>
        <v>20</v>
      </c>
      <c r="AE17">
        <f t="shared" ref="AE17" si="63">AD17+1</f>
        <v>21</v>
      </c>
      <c r="AF17">
        <f t="shared" ref="AF17" si="64">AE17+1</f>
        <v>22</v>
      </c>
      <c r="AG17">
        <f t="shared" ref="AG17" si="65">AF17+1</f>
        <v>23</v>
      </c>
      <c r="AH17">
        <f t="shared" ref="AH17" si="66">AG17+1</f>
        <v>24</v>
      </c>
      <c r="AI17">
        <f t="shared" ref="AI17" si="67">AH17+1</f>
        <v>25</v>
      </c>
      <c r="AJ17">
        <f t="shared" ref="AJ17" si="68">AI17+1</f>
        <v>26</v>
      </c>
      <c r="AK17">
        <f t="shared" ref="AK17" si="69">AJ17+1</f>
        <v>27</v>
      </c>
      <c r="AL17">
        <f t="shared" ref="AL17" si="70">AK17+1</f>
        <v>28</v>
      </c>
      <c r="AM17">
        <f t="shared" ref="AM17" si="71">AL17+1</f>
        <v>29</v>
      </c>
      <c r="AN17">
        <f t="shared" ref="AN17" si="72">AM17+1</f>
        <v>30</v>
      </c>
      <c r="AO17">
        <f t="shared" ref="AO17" si="73">AN17+1</f>
        <v>31</v>
      </c>
      <c r="AR17" s="6">
        <f t="shared" si="4"/>
        <v>20</v>
      </c>
      <c r="AS17" s="3">
        <f>AVERAGE(data0!B12:AG12)</f>
        <v>0.97220161290322593</v>
      </c>
      <c r="AT17" s="3">
        <f>STDEV(data0!B12:AG12)</f>
        <v>9.283233602502225E-2</v>
      </c>
      <c r="AU17" s="3">
        <f>AVERAGE(data1!B12:AG12)</f>
        <v>0.94116731834473777</v>
      </c>
      <c r="AV17" s="3">
        <f>STDEV(data1!B12:AG12)</f>
        <v>0.16255571389243767</v>
      </c>
      <c r="AW17" s="9">
        <f>AVERAGE(data2!B12:AG12)</f>
        <v>0.68895373085695677</v>
      </c>
      <c r="AX17" s="9">
        <f>STDEV(data2!B12:AG12)</f>
        <v>0.29650673078658984</v>
      </c>
      <c r="AY17" s="9">
        <f>AVERAGE(data3!B12:AG12)</f>
        <v>0.90549169110459438</v>
      </c>
      <c r="AZ17" s="9">
        <f>STDEV(data3!B12:AG12)</f>
        <v>0.13672155744800185</v>
      </c>
      <c r="BA17">
        <f t="shared" si="5"/>
        <v>1.0329742586186155</v>
      </c>
      <c r="BB17">
        <f t="shared" si="6"/>
        <v>1.3660820403339198</v>
      </c>
      <c r="BC17">
        <f t="shared" si="7"/>
        <v>0.76086146082302919</v>
      </c>
    </row>
    <row r="18" spans="5:55">
      <c r="E18">
        <f>AS$5</f>
        <v>250</v>
      </c>
      <c r="F18" s="7" t="s">
        <v>9</v>
      </c>
      <c r="G18" s="12">
        <v>0</v>
      </c>
      <c r="H18" s="13">
        <f t="shared" ref="H18:H21" si="74">AVERAGE(J18:AO18)</f>
        <v>60.430280122378853</v>
      </c>
      <c r="I18" s="13">
        <f t="shared" ref="I18:I21" si="75">STDEV(J18:AO18)</f>
        <v>32.402553371819266</v>
      </c>
      <c r="J18" s="5">
        <f>transition(data0!$A$2:$A$82,data0!B$2:B$82,-Calculations!$F17)</f>
        <v>104.52898550724638</v>
      </c>
      <c r="K18" s="5">
        <f>transition(data0!$A$2:$A$82,data0!C$2:C$82,-Calculations!$F17)</f>
        <v>90.479729729729726</v>
      </c>
      <c r="L18" s="5">
        <f>transition(data0!$A$2:$A$82,data0!D$2:D$82,-Calculations!$F17)</f>
        <v>66.024390243902445</v>
      </c>
      <c r="M18" s="5">
        <f>transition(data0!$A$2:$A$82,data0!E$2:E$82,-Calculations!$F17)</f>
        <v>45.746987951807228</v>
      </c>
      <c r="N18" s="5">
        <f>transition(data0!$A$2:$A$82,data0!F$2:F$82,-Calculations!$F17)</f>
        <v>32.301587301587304</v>
      </c>
      <c r="O18" s="5">
        <f>transition(data0!$A$2:$A$82,data0!G$2:G$82,-Calculations!$F17)</f>
        <v>23.5</v>
      </c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R18" s="6">
        <f t="shared" si="4"/>
        <v>22</v>
      </c>
      <c r="AS18" s="3">
        <f>AVERAGE(data0!B13:AG13)</f>
        <v>0.96291520039100698</v>
      </c>
      <c r="AT18" s="3">
        <f>STDEV(data0!B13:AG13)</f>
        <v>0.12500141260743527</v>
      </c>
      <c r="AU18" s="3">
        <f>AVERAGE(data1!B13:AG13)</f>
        <v>0.91835858585858599</v>
      </c>
      <c r="AV18" s="3">
        <f>STDEV(data1!B13:AG13)</f>
        <v>0.19897588232800736</v>
      </c>
      <c r="AW18" s="9">
        <f>AVERAGE(data2!B13:AG13)</f>
        <v>0.66130396127170332</v>
      </c>
      <c r="AX18" s="9">
        <f>STDEV(data2!B13:AG13)</f>
        <v>0.31506350006996209</v>
      </c>
      <c r="AY18" s="9">
        <f>AVERAGE(data3!B13:AG13)</f>
        <v>0.87497143477788653</v>
      </c>
      <c r="AZ18" s="9">
        <f>STDEV(data3!B13:AG13)</f>
        <v>0.1808550762559781</v>
      </c>
      <c r="BA18">
        <f t="shared" si="5"/>
        <v>1.0485176653417623</v>
      </c>
      <c r="BB18">
        <f t="shared" si="6"/>
        <v>1.38870873250564</v>
      </c>
      <c r="BC18">
        <f t="shared" si="7"/>
        <v>0.75580062958235528</v>
      </c>
    </row>
    <row r="19" spans="5:55">
      <c r="E19">
        <f>AU$5</f>
        <v>125</v>
      </c>
      <c r="F19" s="7" t="str">
        <f>F18</f>
        <v>data</v>
      </c>
      <c r="G19" s="12">
        <f>G18+1</f>
        <v>1</v>
      </c>
      <c r="H19" s="13">
        <f t="shared" si="74"/>
        <v>52.850630202522332</v>
      </c>
      <c r="I19" s="13">
        <f t="shared" si="75"/>
        <v>32.527801166642668</v>
      </c>
      <c r="J19" s="5">
        <f>transition(data1!$A$2:$A$82,data1!B$2:B$82,-Calculations!$F17)</f>
        <v>103.29268292682927</v>
      </c>
      <c r="K19" s="5">
        <f>transition(data1!$A$2:$A$82,data1!C$2:C$82,-Calculations!$F17)</f>
        <v>78.25</v>
      </c>
      <c r="L19" s="5">
        <f>transition(data1!$A$2:$A$82,data1!D$2:D$82,-Calculations!$F17)</f>
        <v>52.464285714285715</v>
      </c>
      <c r="M19" s="5">
        <f>transition(data1!$A$2:$A$82,data1!E$2:E$82,-Calculations!$F17)</f>
        <v>38.671641791044777</v>
      </c>
      <c r="N19" s="5">
        <f>transition(data1!$A$2:$A$82,data1!F$2:F$82,-Calculations!$F17)</f>
        <v>25.543352601156069</v>
      </c>
      <c r="O19" s="5">
        <f>transition(data1!$A$2:$A$82,data1!G$2:G$82,-Calculations!$F17)</f>
        <v>18.881818181818183</v>
      </c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R19" s="6">
        <f t="shared" si="4"/>
        <v>24</v>
      </c>
      <c r="AS19" s="3">
        <f>AVERAGE(data0!B14:AG14)</f>
        <v>0.95558382209188675</v>
      </c>
      <c r="AT19" s="3">
        <f>STDEV(data0!B14:AG14)</f>
        <v>0.15039805201460352</v>
      </c>
      <c r="AU19" s="3">
        <f>AVERAGE(data1!B14:AG14)</f>
        <v>0.91045698924731189</v>
      </c>
      <c r="AV19" s="3">
        <f>STDEV(data1!B14:AG14)</f>
        <v>0.21812659079506591</v>
      </c>
      <c r="AW19" s="9">
        <f>AVERAGE(data2!B14:AG14)</f>
        <v>0.64696811432295309</v>
      </c>
      <c r="AX19" s="9">
        <f>STDEV(data2!B14:AG14)</f>
        <v>0.32594384411877114</v>
      </c>
      <c r="AY19" s="9">
        <f>AVERAGE(data3!B14:AG14)</f>
        <v>0.85460649505810815</v>
      </c>
      <c r="AZ19" s="9">
        <f>STDEV(data3!B14:AG14)</f>
        <v>0.21078241678395365</v>
      </c>
      <c r="BA19">
        <f t="shared" si="5"/>
        <v>1.049565035336685</v>
      </c>
      <c r="BB19">
        <f t="shared" si="6"/>
        <v>1.4072671729735828</v>
      </c>
      <c r="BC19">
        <f t="shared" si="7"/>
        <v>0.75703627115420313</v>
      </c>
    </row>
    <row r="20" spans="5:55">
      <c r="E20">
        <f>AW$5</f>
        <v>62.5</v>
      </c>
      <c r="F20" s="7" t="str">
        <f t="shared" ref="F20:F21" si="76">F19</f>
        <v>data</v>
      </c>
      <c r="G20" s="12">
        <f t="shared" ref="G20:G21" si="77">G19+1</f>
        <v>2</v>
      </c>
      <c r="H20" s="13" t="e">
        <f t="shared" si="74"/>
        <v>#VALUE!</v>
      </c>
      <c r="I20" s="13" t="e">
        <f t="shared" si="75"/>
        <v>#VALUE!</v>
      </c>
      <c r="J20" s="5" t="e">
        <f>transition(data2!$A$2:$A$82,data2!B$2:B$82,-Calculations!$F17)</f>
        <v>#VALUE!</v>
      </c>
      <c r="K20" s="5">
        <f>transition(data2!$A$2:$A$82,data2!C$2:C$82,-Calculations!$F17)</f>
        <v>48.884615384615387</v>
      </c>
      <c r="L20" s="5">
        <f>transition(data2!$A$2:$A$82,data2!D$2:D$82,-Calculations!$F17)</f>
        <v>21.158415841584159</v>
      </c>
      <c r="M20" s="5">
        <f>transition(data2!$A$2:$A$82,data2!E$2:E$82,-Calculations!$F17)</f>
        <v>13.669491525423728</v>
      </c>
      <c r="N20" s="5">
        <f>transition(data2!$A$2:$A$82,data2!F$2:F$82,-Calculations!$F17)</f>
        <v>0</v>
      </c>
      <c r="O20" s="5" t="e">
        <f>transition(data2!$A$2:$A$82,data2!G$2:G$82,-Calculations!$F17)</f>
        <v>#VALUE!</v>
      </c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R20" s="6">
        <f t="shared" si="4"/>
        <v>26</v>
      </c>
      <c r="AS20" s="3">
        <f>AVERAGE(data0!B15:AG15)</f>
        <v>0.93179944607363963</v>
      </c>
      <c r="AT20" s="3">
        <f>STDEV(data0!B15:AG15)</f>
        <v>0.17761457358835925</v>
      </c>
      <c r="AU20" s="3">
        <f>AVERAGE(data1!B15:AG15)</f>
        <v>0.89310793418051482</v>
      </c>
      <c r="AV20" s="3">
        <f>STDEV(data1!B15:AG15)</f>
        <v>0.2434540055599112</v>
      </c>
      <c r="AW20" s="9">
        <f>AVERAGE(data2!B15:AG15)</f>
        <v>0.61071116696923144</v>
      </c>
      <c r="AX20" s="9">
        <f>STDEV(data2!B15:AG15)</f>
        <v>0.32564707994293174</v>
      </c>
      <c r="AY20" s="9">
        <f>AVERAGE(data3!B15:AG15)</f>
        <v>0.83348126425545788</v>
      </c>
      <c r="AZ20" s="9">
        <f>STDEV(data3!B15:AG15)</f>
        <v>0.24097409451234933</v>
      </c>
      <c r="BA20">
        <f t="shared" si="5"/>
        <v>1.043322324673587</v>
      </c>
      <c r="BB20">
        <f t="shared" si="6"/>
        <v>1.4624064246487094</v>
      </c>
      <c r="BC20">
        <f t="shared" si="7"/>
        <v>0.73272332943773466</v>
      </c>
    </row>
    <row r="21" spans="5:55">
      <c r="E21">
        <f>AY$5</f>
        <v>31.25</v>
      </c>
      <c r="F21" s="7" t="str">
        <f t="shared" si="76"/>
        <v>data</v>
      </c>
      <c r="G21" s="12">
        <f t="shared" si="77"/>
        <v>3</v>
      </c>
      <c r="H21" s="13">
        <f t="shared" si="74"/>
        <v>0</v>
      </c>
      <c r="I21" s="13">
        <f t="shared" si="75"/>
        <v>0</v>
      </c>
      <c r="J21" s="5">
        <f>transition(data3!$A$2:$A$82,data3!B$2:B$82,-Calculations!$F17)</f>
        <v>0</v>
      </c>
      <c r="K21" s="5">
        <f>transition(data3!$A$2:$A$82,data3!C$2:C$82,-Calculations!$F17)</f>
        <v>0</v>
      </c>
      <c r="L21" s="5">
        <f>transition(data3!$A$2:$A$82,data3!D$2:D$82,-Calculations!$F17)</f>
        <v>0</v>
      </c>
      <c r="M21" s="5">
        <f>transition(data3!$A$2:$A$82,data3!E$2:E$82,-Calculations!$F17)</f>
        <v>0</v>
      </c>
      <c r="N21" s="5">
        <f>transition(data3!$A$2:$A$82,data3!F$2:F$82,-Calculations!$F17)</f>
        <v>0</v>
      </c>
      <c r="O21" s="5">
        <f>transition(data3!$A$2:$A$82,data3!G$2:G$82,-Calculations!$F17)</f>
        <v>0</v>
      </c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R21" s="6">
        <f t="shared" si="4"/>
        <v>28</v>
      </c>
      <c r="AS21" s="3">
        <f>AVERAGE(data0!B16:AG16)</f>
        <v>0.9178698273053113</v>
      </c>
      <c r="AT21" s="3">
        <f>STDEV(data0!B16:AG16)</f>
        <v>0.19939776801050429</v>
      </c>
      <c r="AU21" s="3">
        <f>AVERAGE(data1!B16:AG16)</f>
        <v>0.86842750081459741</v>
      </c>
      <c r="AV21" s="3">
        <f>STDEV(data1!B16:AG16)</f>
        <v>0.25210739012665395</v>
      </c>
      <c r="AW21" s="9">
        <f>AVERAGE(data2!B16:AG16)</f>
        <v>0.57221668295861838</v>
      </c>
      <c r="AX21" s="9">
        <f>STDEV(data2!B16:AG16)</f>
        <v>0.30815168243541907</v>
      </c>
      <c r="AY21" s="9">
        <f>AVERAGE(data3!B16:AG16)</f>
        <v>0.81273992614315194</v>
      </c>
      <c r="AZ21" s="9">
        <f>STDEV(data3!B16:AG16)</f>
        <v>0.24575880613616519</v>
      </c>
      <c r="BA21">
        <f t="shared" si="5"/>
        <v>1.05693316534119</v>
      </c>
      <c r="BB21">
        <f t="shared" si="6"/>
        <v>1.5176549839903923</v>
      </c>
      <c r="BC21">
        <f t="shared" si="7"/>
        <v>0.70405878258505905</v>
      </c>
    </row>
    <row r="22" spans="5:55">
      <c r="AR22" s="6">
        <f t="shared" si="4"/>
        <v>30</v>
      </c>
      <c r="AS22" s="3">
        <f>AVERAGE(data0!B17:AG17)</f>
        <v>0.90793173672205929</v>
      </c>
      <c r="AT22" s="3">
        <f>STDEV(data0!B17:AG17)</f>
        <v>0.2200072594709751</v>
      </c>
      <c r="AU22" s="3">
        <f>AVERAGE(data1!B17:AG17)</f>
        <v>0.83576213750407291</v>
      </c>
      <c r="AV22" s="3">
        <f>STDEV(data1!B17:AG17)</f>
        <v>0.28256417305171799</v>
      </c>
      <c r="AW22" s="9">
        <f>AVERAGE(data2!B17:AG17)</f>
        <v>0.55131643625192006</v>
      </c>
      <c r="AX22" s="9">
        <f>STDEV(data2!B17:AG17)</f>
        <v>0.30203734750983036</v>
      </c>
      <c r="AY22" s="9">
        <f>AVERAGE(data3!B17:AG17)</f>
        <v>0.75479863147605064</v>
      </c>
      <c r="AZ22" s="9">
        <f>STDEV(data3!B17:AG17)</f>
        <v>0.25573518280282975</v>
      </c>
      <c r="BA22">
        <f t="shared" si="5"/>
        <v>1.0863518410076751</v>
      </c>
      <c r="BB22">
        <f t="shared" si="6"/>
        <v>1.5159390915060211</v>
      </c>
      <c r="BC22">
        <f t="shared" si="7"/>
        <v>0.73041525681331743</v>
      </c>
    </row>
    <row r="23" spans="5:55">
      <c r="I23" s="23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R23" s="6">
        <f t="shared" si="4"/>
        <v>32</v>
      </c>
      <c r="AS23" s="3">
        <f>AVERAGE(data0!B18:AG18)</f>
        <v>0.89905262300423594</v>
      </c>
      <c r="AT23" s="3">
        <f>STDEV(data0!B18:AG18)</f>
        <v>0.23809008772352785</v>
      </c>
      <c r="AU23" s="3">
        <f>AVERAGE(data1!B18:AG18)</f>
        <v>0.8151528185076572</v>
      </c>
      <c r="AV23" s="3">
        <f>STDEV(data1!B18:AG18)</f>
        <v>0.2994232252064134</v>
      </c>
      <c r="AW23" s="9">
        <f>AVERAGE(data2!B18:AG18)</f>
        <v>0.54116887771726485</v>
      </c>
      <c r="AX23" s="9">
        <f>STDEV(data2!B18:AG18)</f>
        <v>0.30183587617399937</v>
      </c>
      <c r="AY23" s="9">
        <f>AVERAGE(data3!B18:AG18)</f>
        <v>0.7165125448028673</v>
      </c>
      <c r="AZ23" s="9">
        <f>STDEV(data3!B18:AG18)</f>
        <v>0.25859479252290368</v>
      </c>
      <c r="BA23">
        <f t="shared" si="5"/>
        <v>1.1029252461522228</v>
      </c>
      <c r="BB23">
        <f t="shared" si="6"/>
        <v>1.5062817764874055</v>
      </c>
      <c r="BC23">
        <f t="shared" si="7"/>
        <v>0.75528179044814292</v>
      </c>
    </row>
    <row r="24" spans="5:55">
      <c r="H24" s="23"/>
      <c r="I24" s="25"/>
      <c r="J24" s="25"/>
      <c r="K24" s="22"/>
      <c r="AR24" s="6">
        <f t="shared" si="4"/>
        <v>34</v>
      </c>
      <c r="AS24" s="3">
        <f>AVERAGE(data0!B19:AG19)</f>
        <v>0.86802020202020191</v>
      </c>
      <c r="AT24" s="3">
        <f>STDEV(data0!B19:AG19)</f>
        <v>0.25478370402939493</v>
      </c>
      <c r="AU24" s="3">
        <f>AVERAGE(data1!B19:AG19)</f>
        <v>0.80651808406647119</v>
      </c>
      <c r="AV24" s="3">
        <f>STDEV(data1!B19:AG19)</f>
        <v>0.30630441888585497</v>
      </c>
      <c r="AW24" s="9">
        <f>AVERAGE(data2!B19:AG19)</f>
        <v>0.51426388307033466</v>
      </c>
      <c r="AX24" s="9">
        <f>STDEV(data2!B19:AG19)</f>
        <v>0.28889933701420922</v>
      </c>
      <c r="AY24" s="9">
        <f>AVERAGE(data3!B19:AG19)</f>
        <v>0.69245476268056916</v>
      </c>
      <c r="AZ24" s="9">
        <f>STDEV(data3!B19:AG19)</f>
        <v>0.26562278062730577</v>
      </c>
      <c r="BA24">
        <f t="shared" si="5"/>
        <v>1.076256340891498</v>
      </c>
      <c r="BB24">
        <f t="shared" si="6"/>
        <v>1.5682961814298082</v>
      </c>
      <c r="BC24">
        <f t="shared" si="7"/>
        <v>0.74266784024932131</v>
      </c>
    </row>
    <row r="25" spans="5:55">
      <c r="H25" s="43" t="s">
        <v>21</v>
      </c>
      <c r="I25" s="43"/>
      <c r="J25" s="43"/>
      <c r="K25" s="22"/>
      <c r="AR25" s="6">
        <f t="shared" si="4"/>
        <v>36</v>
      </c>
      <c r="AS25" s="3">
        <f>AVERAGE(data0!B20:AG20)</f>
        <v>0.84382665363310505</v>
      </c>
      <c r="AT25" s="3">
        <f>STDEV(data0!B20:AG20)</f>
        <v>0.2699118678546657</v>
      </c>
      <c r="AU25" s="3">
        <f>AVERAGE(data1!B20:AG20)</f>
        <v>0.78981883349625281</v>
      </c>
      <c r="AV25" s="3">
        <f>STDEV(data1!B20:AG20)</f>
        <v>0.32381851165554409</v>
      </c>
      <c r="AW25" s="9">
        <f>AVERAGE(data2!B20:AG20)</f>
        <v>0.49117585998231161</v>
      </c>
      <c r="AX25" s="9">
        <f>STDEV(data2!B20:AG20)</f>
        <v>0.29480427784745206</v>
      </c>
      <c r="AY25" s="9">
        <f>AVERAGE(data3!B20:AG20)</f>
        <v>0.67665156945802118</v>
      </c>
      <c r="AZ25" s="9">
        <f>STDEV(data3!B20:AG20)</f>
        <v>0.27098151678534288</v>
      </c>
      <c r="BA25">
        <f t="shared" si="5"/>
        <v>1.0683800105117505</v>
      </c>
      <c r="BB25">
        <f t="shared" si="6"/>
        <v>1.6080163905544871</v>
      </c>
      <c r="BC25">
        <f t="shared" si="7"/>
        <v>0.72589185062517425</v>
      </c>
    </row>
    <row r="26" spans="5:55">
      <c r="H26" s="23" t="s">
        <v>17</v>
      </c>
      <c r="I26">
        <f>(I35-I27)/8</f>
        <v>14.901601427776882</v>
      </c>
      <c r="J26" t="s">
        <v>20</v>
      </c>
      <c r="K26" s="22"/>
      <c r="AR26" s="6">
        <f t="shared" si="4"/>
        <v>38</v>
      </c>
      <c r="AS26" s="3">
        <f>AVERAGE(data0!B21:AG21)</f>
        <v>0.82761616161616158</v>
      </c>
      <c r="AT26" s="3">
        <f>STDEV(data0!B21:AG21)</f>
        <v>0.28095693486807438</v>
      </c>
      <c r="AU26" s="3">
        <f>AVERAGE(data1!B21:AG21)</f>
        <v>0.76611779081133902</v>
      </c>
      <c r="AV26" s="3">
        <f>STDEV(data1!B21:AG21)</f>
        <v>0.33185053338663639</v>
      </c>
      <c r="AW26" s="9">
        <f>AVERAGE(data2!B21:AG21)</f>
        <v>0.4783284922962342</v>
      </c>
      <c r="AX26" s="9">
        <f>STDEV(data2!B21:AG21)</f>
        <v>0.28545266687175447</v>
      </c>
      <c r="AY26" s="9">
        <f>AVERAGE(data3!B21:AG21)</f>
        <v>0.65139904420549588</v>
      </c>
      <c r="AZ26" s="9">
        <f>STDEV(data3!B21:AG21)</f>
        <v>0.28434137847701063</v>
      </c>
      <c r="BA26">
        <f t="shared" si="5"/>
        <v>1.0802727355276454</v>
      </c>
      <c r="BB26">
        <f t="shared" si="6"/>
        <v>1.6016561905680369</v>
      </c>
      <c r="BC26">
        <f t="shared" si="7"/>
        <v>0.734309478270184</v>
      </c>
    </row>
    <row r="27" spans="5:55">
      <c r="H27" s="26" t="s">
        <v>18</v>
      </c>
      <c r="I27" s="5">
        <f>MIN(J4:AO4)</f>
        <v>16.104638674372218</v>
      </c>
      <c r="J27">
        <f>histogram(J$4:S$4,I$27:I$35,I27)</f>
        <v>5</v>
      </c>
      <c r="K27" s="22"/>
      <c r="AR27" s="6">
        <f t="shared" si="4"/>
        <v>40</v>
      </c>
      <c r="AS27" s="3">
        <f>AVERAGE(data0!B22:AG22)</f>
        <v>0.81287194525904194</v>
      </c>
      <c r="AT27" s="3">
        <f>STDEV(data0!B22:AG22)</f>
        <v>0.29729859170762174</v>
      </c>
      <c r="AU27" s="3">
        <f>AVERAGE(data1!B22:AG22)</f>
        <v>0.74558805799934824</v>
      </c>
      <c r="AV27" s="3">
        <f>STDEV(data1!B22:AG22)</f>
        <v>0.34575862692621623</v>
      </c>
      <c r="AW27" s="9">
        <f>AVERAGE(data2!B22:AG22)</f>
        <v>0.47372019736535864</v>
      </c>
      <c r="AX27" s="9">
        <f>STDEV(data2!B22:AG22)</f>
        <v>0.28932828634633084</v>
      </c>
      <c r="AY27" s="9">
        <f>AVERAGE(data3!B22:AG22)</f>
        <v>0.6329348321928967</v>
      </c>
      <c r="AZ27" s="9">
        <f>STDEV(data3!B22:AG22)</f>
        <v>0.2912581402318471</v>
      </c>
      <c r="BA27">
        <f t="shared" si="5"/>
        <v>1.0902427104857848</v>
      </c>
      <c r="BB27">
        <f t="shared" si="6"/>
        <v>1.573899660909561</v>
      </c>
      <c r="BC27">
        <f t="shared" si="7"/>
        <v>0.74845019308557359</v>
      </c>
    </row>
    <row r="28" spans="5:55">
      <c r="H28" s="26"/>
      <c r="I28" s="5">
        <f t="shared" ref="I28:I34" si="78">I27+I$26</f>
        <v>31.0062401021491</v>
      </c>
      <c r="J28">
        <f t="shared" ref="J28:J35" si="79">histogram(J$4:S$4,I$27:I$35,I28)</f>
        <v>1</v>
      </c>
      <c r="K28" s="22"/>
      <c r="AR28" s="6">
        <f t="shared" si="4"/>
        <v>42</v>
      </c>
      <c r="AS28" s="3">
        <f>AVERAGE(data0!B23:AG23)</f>
        <v>0.80334115347018564</v>
      </c>
      <c r="AT28" s="3">
        <f>STDEV(data0!B23:AG23)</f>
        <v>0.30746123519201118</v>
      </c>
      <c r="AU28" s="3">
        <f>AVERAGE(data1!B23:AG23)</f>
        <v>0.72090762463343083</v>
      </c>
      <c r="AV28" s="3">
        <f>STDEV(data1!B23:AG23)</f>
        <v>0.34551178754604894</v>
      </c>
      <c r="AW28" s="9">
        <f>AVERAGE(data2!B23:AG23)</f>
        <v>0.46766890099148173</v>
      </c>
      <c r="AX28" s="9">
        <f>STDEV(data2!B23:AG23)</f>
        <v>0.29221157851736518</v>
      </c>
      <c r="AY28" s="9">
        <f>AVERAGE(data3!B23:AG23)</f>
        <v>0.62630943847072884</v>
      </c>
      <c r="AZ28" s="9">
        <f>STDEV(data3!B23:AG23)</f>
        <v>0.29349216845403014</v>
      </c>
      <c r="BA28">
        <f t="shared" si="5"/>
        <v>1.1143468677816675</v>
      </c>
      <c r="BB28">
        <f t="shared" si="6"/>
        <v>1.54149147635233</v>
      </c>
      <c r="BC28">
        <f t="shared" si="7"/>
        <v>0.74670581706927075</v>
      </c>
    </row>
    <row r="29" spans="5:55">
      <c r="H29" s="26"/>
      <c r="I29" s="5">
        <f t="shared" si="78"/>
        <v>45.907841529925982</v>
      </c>
      <c r="J29">
        <f t="shared" si="79"/>
        <v>1</v>
      </c>
      <c r="K29" s="22"/>
      <c r="AR29" s="6">
        <f t="shared" si="4"/>
        <v>44</v>
      </c>
      <c r="AS29" s="3">
        <f>AVERAGE(data0!B24:AG24)</f>
        <v>0.79731313131313131</v>
      </c>
      <c r="AT29" s="3">
        <f>STDEV(data0!B24:AG24)</f>
        <v>0.31359908012666315</v>
      </c>
      <c r="AU29" s="3">
        <f>AVERAGE(data1!B24:AG24)</f>
        <v>0.69695845552297142</v>
      </c>
      <c r="AV29" s="3">
        <f>STDEV(data1!B24:AG24)</f>
        <v>0.35121983459426048</v>
      </c>
      <c r="AW29" s="9">
        <f>AVERAGE(data2!B24:AG24)</f>
        <v>0.45416985523437137</v>
      </c>
      <c r="AX29" s="9">
        <f>STDEV(data2!B24:AG24)</f>
        <v>0.28490188729566018</v>
      </c>
      <c r="AY29" s="9">
        <f>AVERAGE(data3!B24:AG24)</f>
        <v>0.61724025198218746</v>
      </c>
      <c r="AZ29" s="9">
        <f>STDEV(data3!B24:AG24)</f>
        <v>0.29737741050677263</v>
      </c>
      <c r="BA29">
        <f t="shared" si="5"/>
        <v>1.143989465935753</v>
      </c>
      <c r="BB29">
        <f t="shared" si="6"/>
        <v>1.5345766512031289</v>
      </c>
      <c r="BC29">
        <f t="shared" si="7"/>
        <v>0.73580725459148755</v>
      </c>
    </row>
    <row r="30" spans="5:55">
      <c r="H30" s="26"/>
      <c r="I30" s="5">
        <f t="shared" si="78"/>
        <v>60.809442957702863</v>
      </c>
      <c r="J30">
        <f t="shared" si="79"/>
        <v>1</v>
      </c>
      <c r="K30" s="22"/>
      <c r="AR30" s="6">
        <f t="shared" si="4"/>
        <v>46</v>
      </c>
      <c r="AS30" s="3">
        <f>AVERAGE(data0!B25:AG25)</f>
        <v>0.78093971977842935</v>
      </c>
      <c r="AT30" s="3">
        <f>STDEV(data0!B25:AG25)</f>
        <v>0.33154862268802321</v>
      </c>
      <c r="AU30" s="3">
        <f>AVERAGE(data1!B25:AG25)</f>
        <v>0.68702036493971974</v>
      </c>
      <c r="AV30" s="3">
        <f>STDEV(data1!B25:AG25)</f>
        <v>0.35824654139977402</v>
      </c>
      <c r="AW30" s="9">
        <f>AVERAGE(data2!B25:AG25)</f>
        <v>0.45416985523437137</v>
      </c>
      <c r="AX30" s="9">
        <f>STDEV(data2!B25:AG25)</f>
        <v>0.29054992359047122</v>
      </c>
      <c r="AY30" s="9">
        <f>AVERAGE(data3!B25:AG25)</f>
        <v>0.60312056044314111</v>
      </c>
      <c r="AZ30" s="9">
        <f>STDEV(data3!B25:AG25)</f>
        <v>0.30783146265467437</v>
      </c>
      <c r="BA30">
        <f t="shared" si="5"/>
        <v>1.1367053432934995</v>
      </c>
      <c r="BB30">
        <f t="shared" si="6"/>
        <v>1.5126947705174916</v>
      </c>
      <c r="BC30">
        <f t="shared" si="7"/>
        <v>0.75303328226892374</v>
      </c>
    </row>
    <row r="31" spans="5:55">
      <c r="H31" s="26"/>
      <c r="I31" s="5">
        <f t="shared" si="78"/>
        <v>75.711044385479738</v>
      </c>
      <c r="J31">
        <f t="shared" si="79"/>
        <v>1</v>
      </c>
      <c r="AR31" s="6">
        <f t="shared" si="4"/>
        <v>48</v>
      </c>
      <c r="AS31" s="3">
        <f>AVERAGE(data0!B26:AG26)</f>
        <v>0.75031272401433691</v>
      </c>
      <c r="AT31" s="3">
        <f>STDEV(data0!B26:AG26)</f>
        <v>0.3478499054479931</v>
      </c>
      <c r="AU31" s="3">
        <f>AVERAGE(data1!B26:AG26)</f>
        <v>0.67178739002932542</v>
      </c>
      <c r="AV31" s="3">
        <f>STDEV(data1!B26:AG26)</f>
        <v>0.3699201485863739</v>
      </c>
      <c r="AW31" s="9">
        <f>AVERAGE(data2!B26:AG26)</f>
        <v>0.45254066005678922</v>
      </c>
      <c r="AX31" s="9">
        <f>STDEV(data2!B26:AG26)</f>
        <v>0.29051833117310355</v>
      </c>
      <c r="AY31" s="9">
        <f>AVERAGE(data3!B26:AG26)</f>
        <v>0.59122868469642653</v>
      </c>
      <c r="AZ31" s="9">
        <f>STDEV(data3!B26:AG26)</f>
        <v>0.31027005589529233</v>
      </c>
      <c r="BA31">
        <f t="shared" si="5"/>
        <v>1.1168901577351484</v>
      </c>
      <c r="BB31">
        <f t="shared" si="6"/>
        <v>1.4844796265268694</v>
      </c>
      <c r="BC31">
        <f t="shared" si="7"/>
        <v>0.76542405970906446</v>
      </c>
    </row>
    <row r="32" spans="5:55">
      <c r="H32" s="26"/>
      <c r="I32" s="5">
        <f t="shared" si="78"/>
        <v>90.61264581325662</v>
      </c>
      <c r="J32">
        <f t="shared" si="79"/>
        <v>1</v>
      </c>
      <c r="AR32" s="6">
        <f t="shared" si="4"/>
        <v>50</v>
      </c>
      <c r="AS32" s="3">
        <f>AVERAGE(data0!B27:AG27)</f>
        <v>0.73271928967090239</v>
      </c>
      <c r="AT32" s="3">
        <f>STDEV(data0!B27:AG27)</f>
        <v>0.33629219847351932</v>
      </c>
      <c r="AU32" s="3">
        <f>AVERAGE(data1!B27:AG27)</f>
        <v>0.65598607038123158</v>
      </c>
      <c r="AV32" s="3">
        <f>STDEV(data1!B27:AG27)</f>
        <v>0.37610917863600524</v>
      </c>
      <c r="AW32" s="9">
        <f>AVERAGE(data2!B27:AG27)</f>
        <v>0.44462742633710373</v>
      </c>
      <c r="AX32" s="9">
        <f>STDEV(data2!B27:AG27)</f>
        <v>0.28861035779303923</v>
      </c>
      <c r="AY32" s="9">
        <f>AVERAGE(data3!B27:AG27)</f>
        <v>0.57917388943195391</v>
      </c>
      <c r="AZ32" s="9">
        <f>STDEV(data3!B27:AG27)</f>
        <v>0.30050396148391839</v>
      </c>
      <c r="BA32">
        <f t="shared" si="5"/>
        <v>1.1169738547116963</v>
      </c>
      <c r="BB32">
        <f t="shared" si="6"/>
        <v>1.4753612384762829</v>
      </c>
      <c r="BC32">
        <f t="shared" si="7"/>
        <v>0.76769245722245594</v>
      </c>
    </row>
    <row r="33" spans="8:55">
      <c r="H33" s="26"/>
      <c r="I33" s="5">
        <f t="shared" si="78"/>
        <v>105.5142472410335</v>
      </c>
      <c r="J33">
        <f t="shared" si="79"/>
        <v>0</v>
      </c>
      <c r="AR33" s="6">
        <f t="shared" si="4"/>
        <v>52</v>
      </c>
      <c r="AS33" s="3">
        <f>AVERAGE(data0!B28:AG28)</f>
        <v>0.71675317693059615</v>
      </c>
      <c r="AT33" s="3">
        <f>STDEV(data0!B28:AG28)</f>
        <v>0.34608505331441519</v>
      </c>
      <c r="AU33" s="3">
        <f>AVERAGE(data1!B28:AG28)</f>
        <v>0.64400961225154763</v>
      </c>
      <c r="AV33" s="3">
        <f>STDEV(data1!B28:AG28)</f>
        <v>0.38918412741538683</v>
      </c>
      <c r="AW33" s="9">
        <f>AVERAGE(data2!B28:AG28)</f>
        <v>0.44002020202020198</v>
      </c>
      <c r="AX33" s="9">
        <f>STDEV(data2!B28:AG28)</f>
        <v>0.2836076802595584</v>
      </c>
      <c r="AY33" s="9">
        <f>AVERAGE(data3!B28:AG28)</f>
        <v>0.55424845226458119</v>
      </c>
      <c r="AZ33" s="9">
        <f>STDEV(data3!B28:AG28)</f>
        <v>0.29830765369851303</v>
      </c>
      <c r="BA33">
        <f t="shared" si="5"/>
        <v>1.112954159837346</v>
      </c>
      <c r="BB33">
        <f t="shared" si="6"/>
        <v>1.4635910108099541</v>
      </c>
      <c r="BC33">
        <f t="shared" si="7"/>
        <v>0.79390425038146939</v>
      </c>
    </row>
    <row r="34" spans="8:55">
      <c r="H34" s="26"/>
      <c r="I34" s="5">
        <f t="shared" si="78"/>
        <v>120.41584866881038</v>
      </c>
      <c r="J34">
        <f t="shared" si="79"/>
        <v>0</v>
      </c>
      <c r="AR34" s="6">
        <f t="shared" si="4"/>
        <v>54</v>
      </c>
      <c r="AS34" s="3">
        <f>AVERAGE(data0!B29:AG29)</f>
        <v>0.68970853698273038</v>
      </c>
      <c r="AT34" s="3">
        <f>STDEV(data0!B29:AG29)</f>
        <v>0.36167215304559097</v>
      </c>
      <c r="AU34" s="3">
        <f>AVERAGE(data1!B29:AG29)</f>
        <v>0.6264976376669924</v>
      </c>
      <c r="AV34" s="3">
        <f>STDEV(data1!B29:AG29)</f>
        <v>0.38853717402376353</v>
      </c>
      <c r="AW34" s="9">
        <f>AVERAGE(data2!B29:AG29)</f>
        <v>0.44211488153423639</v>
      </c>
      <c r="AX34" s="9">
        <f>STDEV(data2!B29:AG29)</f>
        <v>0.27794387599009213</v>
      </c>
      <c r="AY34" s="9">
        <f>AVERAGE(data3!B29:AG29)</f>
        <v>0.54425605517540998</v>
      </c>
      <c r="AZ34" s="9">
        <f>STDEV(data3!B29:AG29)</f>
        <v>0.28838780866225494</v>
      </c>
      <c r="BA34">
        <f t="shared" si="5"/>
        <v>1.1008956706542874</v>
      </c>
      <c r="BB34">
        <f t="shared" si="6"/>
        <v>1.4170471608938091</v>
      </c>
      <c r="BC34">
        <f t="shared" si="7"/>
        <v>0.81232882451210542</v>
      </c>
    </row>
    <row r="35" spans="8:55">
      <c r="H35" s="26" t="s">
        <v>19</v>
      </c>
      <c r="I35" s="5">
        <f>MAX(J4:AO4)</f>
        <v>135.31745009658727</v>
      </c>
      <c r="J35">
        <f t="shared" si="79"/>
        <v>0</v>
      </c>
      <c r="AR35" s="6">
        <f t="shared" si="4"/>
        <v>56</v>
      </c>
      <c r="AS35" s="3">
        <f>AVERAGE(data0!B30:AG30)</f>
        <v>0.682214239165852</v>
      </c>
      <c r="AT35" s="3">
        <f>STDEV(data0!B30:AG30)</f>
        <v>0.3591101673867434</v>
      </c>
      <c r="AU35" s="3">
        <f>AVERAGE(data1!B30:AG30)</f>
        <v>0.61582640925382848</v>
      </c>
      <c r="AV35" s="3">
        <f>STDEV(data1!B30:AG30)</f>
        <v>0.38419687792243423</v>
      </c>
      <c r="AW35" s="9">
        <f>AVERAGE(data2!B30:AG30)</f>
        <v>0.4312214774472839</v>
      </c>
      <c r="AX35" s="9">
        <f>STDEV(data2!B30:AG30)</f>
        <v>0.28980937608650925</v>
      </c>
      <c r="AY35" s="9">
        <f>AVERAGE(data3!B30:AG30)</f>
        <v>0.53328614097968929</v>
      </c>
      <c r="AZ35" s="9">
        <f>STDEV(data3!B30:AG30)</f>
        <v>0.30025875782825973</v>
      </c>
      <c r="BA35">
        <f t="shared" si="5"/>
        <v>1.1078028303340595</v>
      </c>
      <c r="BB35">
        <f t="shared" si="6"/>
        <v>1.4280977211509884</v>
      </c>
      <c r="BC35">
        <f t="shared" si="7"/>
        <v>0.80861182076679428</v>
      </c>
    </row>
    <row r="36" spans="8:55">
      <c r="AR36" s="6">
        <f t="shared" si="4"/>
        <v>58</v>
      </c>
      <c r="AS36" s="3">
        <f>AVERAGE(data0!B31:AG31)</f>
        <v>0.66535206907787547</v>
      </c>
      <c r="AT36" s="3">
        <f>STDEV(data0!B31:AG31)</f>
        <v>0.37475795762185637</v>
      </c>
      <c r="AU36" s="3">
        <f>AVERAGE(data1!B31:AG31)</f>
        <v>0.58479211469534043</v>
      </c>
      <c r="AV36" s="3">
        <f>STDEV(data1!B31:AG31)</f>
        <v>0.37461210908252424</v>
      </c>
      <c r="AW36" s="9">
        <f>AVERAGE(data2!B31:AG31)</f>
        <v>0.42060950519015039</v>
      </c>
      <c r="AX36" s="9">
        <f>STDEV(data2!B31:AG31)</f>
        <v>0.28937097392617844</v>
      </c>
      <c r="AY36" s="9">
        <f>AVERAGE(data3!B31:AG31)</f>
        <v>0.5332343325730422</v>
      </c>
      <c r="AZ36" s="9">
        <f>STDEV(data3!B31:AG31)</f>
        <v>0.29423948621494023</v>
      </c>
      <c r="BA36">
        <f t="shared" si="5"/>
        <v>1.1377582774427533</v>
      </c>
      <c r="BB36">
        <f t="shared" si="6"/>
        <v>1.3903445059591935</v>
      </c>
      <c r="BC36">
        <f t="shared" si="7"/>
        <v>0.78878924235910008</v>
      </c>
    </row>
    <row r="37" spans="8:55">
      <c r="AR37" s="6">
        <f t="shared" si="4"/>
        <v>60</v>
      </c>
      <c r="AS37" s="3">
        <f>AVERAGE(data0!B32:AG32)</f>
        <v>0.64751238188334936</v>
      </c>
      <c r="AT37" s="3">
        <f>STDEV(data0!B32:AG32)</f>
        <v>0.38719636145106562</v>
      </c>
      <c r="AU37" s="3">
        <f>AVERAGE(data1!B32:AG32)</f>
        <v>0.57159563375692402</v>
      </c>
      <c r="AV37" s="3">
        <f>STDEV(data1!B32:AG32)</f>
        <v>0.3855742973314113</v>
      </c>
      <c r="AW37" s="9">
        <f>AVERAGE(data2!B32:AG32)</f>
        <v>0.42116808639389286</v>
      </c>
      <c r="AX37" s="9">
        <f>STDEV(data2!B32:AG32)</f>
        <v>0.28309595685765143</v>
      </c>
      <c r="AY37" s="9">
        <f>AVERAGE(data3!B32:AG32)</f>
        <v>0.5103157380254153</v>
      </c>
      <c r="AZ37" s="9">
        <f>STDEV(data3!B32:AG32)</f>
        <v>0.2874931752970985</v>
      </c>
      <c r="BA37">
        <f t="shared" si="5"/>
        <v>1.1328154794105891</v>
      </c>
      <c r="BB37">
        <f t="shared" si="6"/>
        <v>1.3571674878099511</v>
      </c>
      <c r="BC37">
        <f t="shared" si="7"/>
        <v>0.82530883335782479</v>
      </c>
    </row>
    <row r="38" spans="8:55">
      <c r="AR38" s="6">
        <f t="shared" si="4"/>
        <v>62</v>
      </c>
      <c r="AS38" s="3">
        <f>AVERAGE(data0!B33:AG33)</f>
        <v>0.64425399152818497</v>
      </c>
      <c r="AT38" s="3">
        <f>STDEV(data0!B33:AG33)</f>
        <v>0.39159299720687063</v>
      </c>
      <c r="AU38" s="3">
        <f>AVERAGE(data1!B33:AG33)</f>
        <v>0.54398077549690449</v>
      </c>
      <c r="AV38" s="3">
        <f>STDEV(data1!B33:AG33)</f>
        <v>0.38455705822650854</v>
      </c>
      <c r="AW38" s="9">
        <f>AVERAGE(data2!B33:AG33)</f>
        <v>0.41767695387050213</v>
      </c>
      <c r="AX38" s="9">
        <f>STDEV(data2!B33:AG33)</f>
        <v>0.27441706414500699</v>
      </c>
      <c r="AY38" s="9">
        <f>AVERAGE(data3!B33:AG33)</f>
        <v>0.49391767133702608</v>
      </c>
      <c r="AZ38" s="9">
        <f>STDEV(data3!B33:AG33)</f>
        <v>0.26615274427992491</v>
      </c>
      <c r="BA38">
        <f t="shared" si="5"/>
        <v>1.1843322789112996</v>
      </c>
      <c r="BB38">
        <f t="shared" si="6"/>
        <v>1.3023959556685571</v>
      </c>
      <c r="BC38">
        <f t="shared" si="7"/>
        <v>0.84564083876541263</v>
      </c>
    </row>
    <row r="39" spans="8:55">
      <c r="AR39" s="6">
        <f t="shared" si="4"/>
        <v>64</v>
      </c>
      <c r="AS39" s="3">
        <f>AVERAGE(data0!B34:AG34)</f>
        <v>0.62600887911371772</v>
      </c>
      <c r="AT39" s="3">
        <f>STDEV(data0!B34:AG34)</f>
        <v>0.38339987238615941</v>
      </c>
      <c r="AU39" s="3">
        <f>AVERAGE(data1!B34:AG34)</f>
        <v>0.54422515477354183</v>
      </c>
      <c r="AV39" s="3">
        <f>STDEV(data1!B34:AG34)</f>
        <v>0.38418747244874213</v>
      </c>
      <c r="AW39" s="9">
        <f>AVERAGE(data2!B34:AG34)</f>
        <v>0.41804934133966382</v>
      </c>
      <c r="AX39" s="9">
        <f>STDEV(data2!B34:AG34)</f>
        <v>0.2727376073185705</v>
      </c>
      <c r="AY39" s="9">
        <f>AVERAGE(data3!B34:AG34)</f>
        <v>0.49245014662756592</v>
      </c>
      <c r="AZ39" s="9">
        <f>STDEV(data3!B34:AG34)</f>
        <v>0.27630638778665501</v>
      </c>
      <c r="BA39">
        <f t="shared" si="5"/>
        <v>1.1502755314098023</v>
      </c>
      <c r="BB39">
        <f t="shared" si="6"/>
        <v>1.3018203856739499</v>
      </c>
      <c r="BC39">
        <f t="shared" si="7"/>
        <v>0.8489170816631505</v>
      </c>
    </row>
    <row r="40" spans="8:55">
      <c r="AR40" s="6">
        <f t="shared" ref="AR40:AR71" si="80">AR39+$B$4</f>
        <v>66</v>
      </c>
      <c r="AS40" s="3">
        <f>AVERAGE(data0!B35:AG35)</f>
        <v>0.60393515803193221</v>
      </c>
      <c r="AT40" s="3">
        <f>STDEV(data0!B35:AG35)</f>
        <v>0.38133297596648408</v>
      </c>
      <c r="AU40" s="3">
        <f>AVERAGE(data1!B35:AG35)</f>
        <v>0.53290224828934496</v>
      </c>
      <c r="AV40" s="3">
        <f>STDEV(data1!B35:AG35)</f>
        <v>0.37564693695607237</v>
      </c>
      <c r="AW40" s="9">
        <f>AVERAGE(data2!B35:AG35)</f>
        <v>0.41465130568356368</v>
      </c>
      <c r="AX40" s="9">
        <f>STDEV(data2!B35:AG35)</f>
        <v>0.2894555283522402</v>
      </c>
      <c r="AY40" s="9">
        <f>AVERAGE(data3!B35:AG35)</f>
        <v>0.47100032583903545</v>
      </c>
      <c r="AZ40" s="9">
        <f>STDEV(data3!B35:AG35)</f>
        <v>0.25124667429140246</v>
      </c>
      <c r="BA40">
        <f t="shared" si="5"/>
        <v>1.1332944455959946</v>
      </c>
      <c r="BB40">
        <f t="shared" si="6"/>
        <v>1.2851816477723168</v>
      </c>
      <c r="BC40">
        <f t="shared" si="7"/>
        <v>0.88036309729703022</v>
      </c>
    </row>
    <row r="41" spans="8:55">
      <c r="AR41" s="6">
        <f t="shared" si="80"/>
        <v>68</v>
      </c>
      <c r="AS41" s="3">
        <f>AVERAGE(data0!B36:AG36)</f>
        <v>0.58479211469534043</v>
      </c>
      <c r="AT41" s="3">
        <f>STDEV(data0!B36:AG36)</f>
        <v>0.38493353632348437</v>
      </c>
      <c r="AU41" s="3">
        <f>AVERAGE(data1!B36:AG36)</f>
        <v>0.52394167481264242</v>
      </c>
      <c r="AV41" s="3">
        <f>STDEV(data1!B36:AG36)</f>
        <v>0.38699225118457303</v>
      </c>
      <c r="AW41" s="9">
        <f>AVERAGE(data2!B36:AG36)</f>
        <v>0.41925960061443929</v>
      </c>
      <c r="AX41" s="9">
        <f>STDEV(data2!B36:AG36)</f>
        <v>0.28097583148634764</v>
      </c>
      <c r="AY41" s="9">
        <f>AVERAGE(data3!B36:AG36)</f>
        <v>0.4693711306614532</v>
      </c>
      <c r="AZ41" s="9">
        <f>STDEV(data3!B36:AG36)</f>
        <v>0.24418122041581977</v>
      </c>
      <c r="BA41">
        <f t="shared" si="5"/>
        <v>1.1161397209039683</v>
      </c>
      <c r="BB41">
        <f t="shared" si="6"/>
        <v>1.2496831892335631</v>
      </c>
      <c r="BC41">
        <f t="shared" si="7"/>
        <v>0.89323687211781622</v>
      </c>
    </row>
    <row r="42" spans="8:55">
      <c r="AR42" s="6">
        <f t="shared" si="80"/>
        <v>70</v>
      </c>
      <c r="AS42" s="3">
        <f>AVERAGE(data0!B37:AG37)</f>
        <v>0.58324437927663719</v>
      </c>
      <c r="AT42" s="3">
        <f>STDEV(data0!B37:AG37)</f>
        <v>0.39308039084037982</v>
      </c>
      <c r="AU42" s="3">
        <f>AVERAGE(data1!B37:AG37)</f>
        <v>0.49868914956011717</v>
      </c>
      <c r="AV42" s="3">
        <f>STDEV(data1!B37:AG37)</f>
        <v>0.39614563844945511</v>
      </c>
      <c r="AW42" s="9">
        <f>AVERAGE(data2!B37:AG37)</f>
        <v>0.40287562258529991</v>
      </c>
      <c r="AX42" s="9">
        <f>STDEV(data2!B37:AG37)</f>
        <v>0.26908460161198561</v>
      </c>
      <c r="AY42" s="9">
        <f>AVERAGE(data3!B37:AG37)</f>
        <v>0.46660149885956326</v>
      </c>
      <c r="AZ42" s="9">
        <f>STDEV(data3!B37:AG37)</f>
        <v>0.25828201351046087</v>
      </c>
      <c r="BA42">
        <f t="shared" si="5"/>
        <v>1.1695549818781987</v>
      </c>
      <c r="BB42">
        <f t="shared" si="6"/>
        <v>1.2378240866497969</v>
      </c>
      <c r="BC42">
        <f t="shared" si="7"/>
        <v>0.86342547885075815</v>
      </c>
    </row>
    <row r="43" spans="8:55">
      <c r="AR43" s="6">
        <f t="shared" si="80"/>
        <v>72</v>
      </c>
      <c r="AS43" s="3">
        <f>AVERAGE(data0!B38:AG38)</f>
        <v>0.55318572825024426</v>
      </c>
      <c r="AT43" s="3">
        <f>STDEV(data0!B38:AG38)</f>
        <v>0.38334864635296662</v>
      </c>
      <c r="AU43" s="3">
        <f>AVERAGE(data1!B38:AG38)</f>
        <v>0.48704227761485819</v>
      </c>
      <c r="AV43" s="3">
        <f>STDEV(data1!B38:AG38)</f>
        <v>0.39286393316208007</v>
      </c>
      <c r="AW43" s="9">
        <f>AVERAGE(data2!B38:AG38)</f>
        <v>0.39635884187497084</v>
      </c>
      <c r="AX43" s="9">
        <f>STDEV(data2!B38:AG38)</f>
        <v>0.25980915926400711</v>
      </c>
      <c r="AY43" s="9">
        <f>AVERAGE(data3!B38:AG38)</f>
        <v>0.46404909308135106</v>
      </c>
      <c r="AZ43" s="9">
        <f>STDEV(data3!B38:AG38)</f>
        <v>0.25066087130484899</v>
      </c>
      <c r="BA43">
        <f t="shared" si="5"/>
        <v>1.1358063841178296</v>
      </c>
      <c r="BB43">
        <f t="shared" si="6"/>
        <v>1.2287912521666235</v>
      </c>
      <c r="BC43">
        <f t="shared" si="7"/>
        <v>0.85413127142021228</v>
      </c>
    </row>
    <row r="44" spans="8:55">
      <c r="AR44" s="6">
        <f t="shared" si="80"/>
        <v>74</v>
      </c>
      <c r="AS44" s="3">
        <f>AVERAGE(data0!B39:AG39)</f>
        <v>0.54357347670250888</v>
      </c>
      <c r="AT44" s="3">
        <f>STDEV(data0!B39:AG39)</f>
        <v>0.38825379210309247</v>
      </c>
      <c r="AU44" s="3">
        <f>AVERAGE(data1!B39:AG39)</f>
        <v>0.48883439231019871</v>
      </c>
      <c r="AV44" s="3">
        <f>STDEV(data1!B39:AG39)</f>
        <v>0.37473598659171409</v>
      </c>
      <c r="AW44" s="9">
        <f>AVERAGE(data2!B39:AG39)</f>
        <v>0.40152464739561511</v>
      </c>
      <c r="AX44" s="9">
        <f>STDEV(data2!B39:AG39)</f>
        <v>0.27609793535293053</v>
      </c>
      <c r="AY44" s="9">
        <f>AVERAGE(data3!B39:AG39)</f>
        <v>0.44238079721950679</v>
      </c>
      <c r="AZ44" s="9">
        <f>STDEV(data3!B39:AG39)</f>
        <v>0.23312796827418006</v>
      </c>
      <c r="BA44">
        <f t="shared" si="5"/>
        <v>1.1119787912908847</v>
      </c>
      <c r="BB44">
        <f t="shared" si="6"/>
        <v>1.2174455428350301</v>
      </c>
      <c r="BC44">
        <f t="shared" si="7"/>
        <v>0.90764483883413438</v>
      </c>
    </row>
    <row r="45" spans="8:55">
      <c r="AR45" s="6">
        <f t="shared" si="80"/>
        <v>76</v>
      </c>
      <c r="AS45" s="3">
        <f>AVERAGE(data0!B40:AG40)</f>
        <v>0.53721961550993802</v>
      </c>
      <c r="AT45" s="3">
        <f>STDEV(data0!B40:AG40)</f>
        <v>0.38658209033549235</v>
      </c>
      <c r="AU45" s="3">
        <f>AVERAGE(data1!B40:AG40)</f>
        <v>0.46960988921472785</v>
      </c>
      <c r="AV45" s="3">
        <f>STDEV(data1!B40:AG40)</f>
        <v>0.38100878027326346</v>
      </c>
      <c r="AW45" s="9">
        <f>AVERAGE(data2!B40:AG40)</f>
        <v>0.38919038309360882</v>
      </c>
      <c r="AX45" s="9">
        <f>STDEV(data2!B40:AG40)</f>
        <v>0.25514393766207016</v>
      </c>
      <c r="AY45" s="9">
        <f>AVERAGE(data3!B40:AG40)</f>
        <v>0.42690344303247518</v>
      </c>
      <c r="AZ45" s="9">
        <f>STDEV(data3!B40:AG40)</f>
        <v>0.22492161841345057</v>
      </c>
      <c r="BA45">
        <f t="shared" si="5"/>
        <v>1.1439699798661944</v>
      </c>
      <c r="BB45">
        <f t="shared" si="6"/>
        <v>1.2066328193463516</v>
      </c>
      <c r="BC45">
        <f t="shared" si="7"/>
        <v>0.91165904010758358</v>
      </c>
    </row>
    <row r="46" spans="8:55">
      <c r="AR46" s="6">
        <f t="shared" si="80"/>
        <v>78</v>
      </c>
      <c r="AS46" s="3">
        <f>AVERAGE(data0!B41:AG41)</f>
        <v>0.5228012381883349</v>
      </c>
      <c r="AT46" s="3">
        <f>STDEV(data0!B41:AG41)</f>
        <v>0.39788210636522814</v>
      </c>
      <c r="AU46" s="3">
        <f>AVERAGE(data1!B41:AG41)</f>
        <v>0.45584318996415768</v>
      </c>
      <c r="AV46" s="3">
        <f>STDEV(data1!B41:AG41)</f>
        <v>0.37863342090472973</v>
      </c>
      <c r="AW46" s="9">
        <f>AVERAGE(data2!B41:AG41)</f>
        <v>0.39747600428245583</v>
      </c>
      <c r="AX46" s="9">
        <f>STDEV(data2!B41:AG41)</f>
        <v>0.26084697773855176</v>
      </c>
      <c r="AY46" s="9">
        <f>AVERAGE(data3!B41:AG41)</f>
        <v>0.43092212447051148</v>
      </c>
      <c r="AZ46" s="9">
        <f>STDEV(data3!B41:AG41)</f>
        <v>0.2232972528851733</v>
      </c>
      <c r="BA46">
        <f t="shared" si="5"/>
        <v>1.1468883372579111</v>
      </c>
      <c r="BB46">
        <f t="shared" si="6"/>
        <v>1.1468445517536821</v>
      </c>
      <c r="BC46">
        <f t="shared" si="7"/>
        <v>0.92238476910613021</v>
      </c>
    </row>
    <row r="47" spans="8:55">
      <c r="AR47" s="6">
        <f t="shared" si="80"/>
        <v>80</v>
      </c>
      <c r="AS47" s="3">
        <f>AVERAGE(data0!B42:AG42)</f>
        <v>0.49722287390029324</v>
      </c>
      <c r="AT47" s="3">
        <f>STDEV(data0!B42:AG42)</f>
        <v>0.39767772276382984</v>
      </c>
      <c r="AU47" s="3">
        <f>AVERAGE(data1!B42:AG42)</f>
        <v>0.41487080482241767</v>
      </c>
      <c r="AV47" s="3">
        <f>STDEV(data1!B42:AG42)</f>
        <v>0.37719172937989404</v>
      </c>
      <c r="AW47" s="9">
        <f>AVERAGE(data2!B42:AG42)</f>
        <v>0.38020760601405756</v>
      </c>
      <c r="AX47" s="9">
        <f>STDEV(data2!B42:AG42)</f>
        <v>0.24826807664976211</v>
      </c>
      <c r="AY47" s="9">
        <f>AVERAGE(data3!B42:AG42)</f>
        <v>0.4380905832518735</v>
      </c>
      <c r="AZ47" s="9">
        <f>STDEV(data3!B42:AG42)</f>
        <v>0.23855429171563927</v>
      </c>
      <c r="BA47">
        <f t="shared" si="5"/>
        <v>1.198500516596066</v>
      </c>
      <c r="BB47">
        <f t="shared" si="6"/>
        <v>1.0911691356513222</v>
      </c>
      <c r="BC47">
        <f t="shared" si="7"/>
        <v>0.86787440896775225</v>
      </c>
    </row>
    <row r="48" spans="8:55">
      <c r="AR48" s="6">
        <f t="shared" si="80"/>
        <v>82</v>
      </c>
      <c r="AS48" s="3">
        <f>AVERAGE(data0!B43:AG43)</f>
        <v>0.49705995438253492</v>
      </c>
      <c r="AT48" s="3">
        <f>STDEV(data0!B43:AG43)</f>
        <v>0.40372548660551133</v>
      </c>
      <c r="AU48" s="3">
        <f>AVERAGE(data1!B43:AG43)</f>
        <v>0.42366845878136195</v>
      </c>
      <c r="AV48" s="3">
        <f>STDEV(data1!B43:AG43)</f>
        <v>0.36781231317976104</v>
      </c>
      <c r="AW48" s="9">
        <f>AVERAGE(data2!B43:AG43)</f>
        <v>0.37634301540753146</v>
      </c>
      <c r="AX48" s="9">
        <f>STDEV(data2!B43:AG43)</f>
        <v>0.25260815219786603</v>
      </c>
      <c r="AY48" s="9">
        <f>AVERAGE(data3!B43:AG43)</f>
        <v>0.4270663625502335</v>
      </c>
      <c r="AZ48" s="9">
        <f>STDEV(data3!B43:AG43)</f>
        <v>0.22047645124282517</v>
      </c>
      <c r="BA48">
        <f t="shared" si="5"/>
        <v>1.1732286038292206</v>
      </c>
      <c r="BB48">
        <f t="shared" si="6"/>
        <v>1.1257508215545944</v>
      </c>
      <c r="BC48">
        <f t="shared" si="7"/>
        <v>0.88122841883447156</v>
      </c>
    </row>
    <row r="49" spans="44:55">
      <c r="AR49" s="6">
        <f t="shared" si="80"/>
        <v>84</v>
      </c>
      <c r="AS49" s="3">
        <f>AVERAGE(data0!B44:AG44)</f>
        <v>0.49363864450961215</v>
      </c>
      <c r="AT49" s="3">
        <f>STDEV(data0!B44:AG44)</f>
        <v>0.40086792990000192</v>
      </c>
      <c r="AU49" s="3">
        <f>AVERAGE(data1!B44:AG44)</f>
        <v>0.40696920821114363</v>
      </c>
      <c r="AV49" s="3">
        <f>STDEV(data1!B44:AG44)</f>
        <v>0.36181015454927967</v>
      </c>
      <c r="AW49" s="9">
        <f>AVERAGE(data2!B44:AG44)</f>
        <v>0.39207638597961181</v>
      </c>
      <c r="AX49" s="9">
        <f>STDEV(data2!B44:AG44)</f>
        <v>0.26643064380261128</v>
      </c>
      <c r="AY49" s="9">
        <f>AVERAGE(data3!B44:AG44)</f>
        <v>0.42717497556207223</v>
      </c>
      <c r="AZ49" s="9">
        <f>STDEV(data3!B44:AG44)</f>
        <v>0.2286782993710734</v>
      </c>
      <c r="BA49">
        <f t="shared" si="5"/>
        <v>1.2129631297646055</v>
      </c>
      <c r="BB49">
        <f t="shared" si="6"/>
        <v>1.0379844917064356</v>
      </c>
      <c r="BC49">
        <f t="shared" si="7"/>
        <v>0.91783556717881687</v>
      </c>
    </row>
    <row r="50" spans="44:55">
      <c r="AR50" s="6">
        <f t="shared" si="80"/>
        <v>86</v>
      </c>
      <c r="AS50" s="3">
        <f>AVERAGE(data0!B45:AG45)</f>
        <v>0.47702272727272721</v>
      </c>
      <c r="AT50" s="3">
        <f>STDEV(data0!B45:AG45)</f>
        <v>0.39436577225496328</v>
      </c>
      <c r="AU50" s="3">
        <f>AVERAGE(data1!B45:AG45)</f>
        <v>0.36949771912675139</v>
      </c>
      <c r="AV50" s="3">
        <f>STDEV(data1!B45:AG45)</f>
        <v>0.34642476481673878</v>
      </c>
      <c r="AW50" s="9">
        <f>AVERAGE(data2!B45:AG45)</f>
        <v>0.39142470790857892</v>
      </c>
      <c r="AX50" s="9">
        <f>STDEV(data2!B45:AG45)</f>
        <v>0.26990011604276876</v>
      </c>
      <c r="AY50" s="9">
        <f>AVERAGE(data3!B45:AG45)</f>
        <v>0.41457586618876935</v>
      </c>
      <c r="AZ50" s="9">
        <f>STDEV(data3!B45:AG45)</f>
        <v>0.22928115246518499</v>
      </c>
      <c r="BA50">
        <f t="shared" si="5"/>
        <v>1.2910031715489176</v>
      </c>
      <c r="BB50">
        <f t="shared" si="6"/>
        <v>0.94398159252903169</v>
      </c>
      <c r="BC50">
        <f t="shared" si="7"/>
        <v>0.94415700437890659</v>
      </c>
    </row>
    <row r="51" spans="44:55">
      <c r="AR51" s="6">
        <f t="shared" si="80"/>
        <v>88</v>
      </c>
      <c r="AS51" s="3">
        <f>AVERAGE(data0!B46:AG46)</f>
        <v>0.44835076572173338</v>
      </c>
      <c r="AT51" s="3">
        <f>STDEV(data0!B46:AG46)</f>
        <v>0.38961081551513305</v>
      </c>
      <c r="AU51" s="3">
        <f>AVERAGE(data1!B46:AG46)</f>
        <v>0.35727875529488434</v>
      </c>
      <c r="AV51" s="3">
        <f>STDEV(data1!B46:AG46)</f>
        <v>0.34343970321047679</v>
      </c>
      <c r="AW51" s="9">
        <f>AVERAGE(data2!B46:AG46)</f>
        <v>0.3856527021365731</v>
      </c>
      <c r="AX51" s="9">
        <f>STDEV(data2!B46:AG46)</f>
        <v>0.25970500884717784</v>
      </c>
      <c r="AY51" s="9">
        <f>AVERAGE(data3!B46:AG46)</f>
        <v>0.40637558379493854</v>
      </c>
      <c r="AZ51" s="9">
        <f>STDEV(data3!B46:AG46)</f>
        <v>0.21143706726350592</v>
      </c>
      <c r="BA51">
        <f t="shared" si="5"/>
        <v>1.2549046342027297</v>
      </c>
      <c r="BB51">
        <f t="shared" si="6"/>
        <v>0.92642616871477135</v>
      </c>
      <c r="BC51">
        <f t="shared" si="7"/>
        <v>0.94900559363127868</v>
      </c>
    </row>
    <row r="52" spans="44:55">
      <c r="AR52" s="6">
        <f t="shared" si="80"/>
        <v>90</v>
      </c>
      <c r="AS52" s="3">
        <f>AVERAGE(data0!B47:AG47)</f>
        <v>0.44745470837406315</v>
      </c>
      <c r="AT52" s="3">
        <f>STDEV(data0!B47:AG47)</f>
        <v>0.37297024436330595</v>
      </c>
      <c r="AU52" s="3">
        <f>AVERAGE(data1!B47:AG47)</f>
        <v>0.37324486803519058</v>
      </c>
      <c r="AV52" s="3">
        <f>STDEV(data1!B47:AG47)</f>
        <v>0.36667337854683413</v>
      </c>
      <c r="AW52" s="9">
        <f>AVERAGE(data2!B47:AG47)</f>
        <v>0.38676986454405804</v>
      </c>
      <c r="AX52" s="9">
        <f>STDEV(data2!B47:AG47)</f>
        <v>0.2625902673018447</v>
      </c>
      <c r="AY52" s="9">
        <f>AVERAGE(data3!B47:AG47)</f>
        <v>0.40898229607907022</v>
      </c>
      <c r="AZ52" s="9">
        <f>STDEV(data3!B47:AG47)</f>
        <v>0.21117567456973715</v>
      </c>
      <c r="BA52">
        <f t="shared" si="5"/>
        <v>1.1988234713836061</v>
      </c>
      <c r="BB52">
        <f t="shared" si="6"/>
        <v>0.96503089369485562</v>
      </c>
      <c r="BC52">
        <f t="shared" si="7"/>
        <v>0.94568852552307603</v>
      </c>
    </row>
    <row r="53" spans="44:55">
      <c r="AR53" s="6">
        <f t="shared" si="80"/>
        <v>92</v>
      </c>
      <c r="AS53" s="3">
        <f>AVERAGE(data0!B48:AG48)</f>
        <v>0.41348598892147276</v>
      </c>
      <c r="AT53" s="3">
        <f>STDEV(data0!B48:AG48)</f>
        <v>0.36691187994953756</v>
      </c>
      <c r="AU53" s="3">
        <f>AVERAGE(data1!B48:AG48)</f>
        <v>0.37348924731182792</v>
      </c>
      <c r="AV53" s="3">
        <f>STDEV(data1!B48:AG48)</f>
        <v>0.35033963725043005</v>
      </c>
      <c r="AW53" s="9">
        <f>AVERAGE(data2!B48:AG48)</f>
        <v>0.38700367732625796</v>
      </c>
      <c r="AX53" s="9">
        <f>STDEV(data2!B48:AG48)</f>
        <v>0.25139583131776605</v>
      </c>
      <c r="AY53" s="9">
        <f>AVERAGE(data3!B48:AG48)</f>
        <v>0.40974258716194195</v>
      </c>
      <c r="AZ53" s="9">
        <f>STDEV(data3!B48:AG48)</f>
        <v>0.20768182606055488</v>
      </c>
      <c r="BA53">
        <f t="shared" si="5"/>
        <v>1.1070894059133418</v>
      </c>
      <c r="BB53">
        <f t="shared" si="6"/>
        <v>0.96507932403175356</v>
      </c>
      <c r="BC53">
        <f t="shared" si="7"/>
        <v>0.94450440215847775</v>
      </c>
    </row>
    <row r="54" spans="44:55">
      <c r="AR54" s="6">
        <f t="shared" si="80"/>
        <v>94</v>
      </c>
      <c r="AS54" s="3">
        <f>AVERAGE(data0!B49:AG49)</f>
        <v>0.38912952101661774</v>
      </c>
      <c r="AT54" s="3">
        <f>STDEV(data0!B49:AG49)</f>
        <v>0.35655975903599935</v>
      </c>
      <c r="AU54" s="3">
        <f>AVERAGE(data1!B49:AG49)</f>
        <v>0.34155889540566958</v>
      </c>
      <c r="AV54" s="3">
        <f>STDEV(data1!B49:AG49)</f>
        <v>0.34034674310698665</v>
      </c>
      <c r="AW54" s="9">
        <f>AVERAGE(data2!B49:AG49)</f>
        <v>0.36917455662616938</v>
      </c>
      <c r="AX54" s="9">
        <f>STDEV(data2!B49:AG49)</f>
        <v>0.2461186417059722</v>
      </c>
      <c r="AY54" s="9">
        <f>AVERAGE(data3!B49:AG49)</f>
        <v>0.40751602041924617</v>
      </c>
      <c r="AZ54" s="9">
        <f>STDEV(data3!B49:AG49)</f>
        <v>0.21802508939466322</v>
      </c>
      <c r="BA54">
        <f t="shared" si="5"/>
        <v>1.1392750306047468</v>
      </c>
      <c r="BB54">
        <f t="shared" si="6"/>
        <v>0.92519619587851565</v>
      </c>
      <c r="BC54">
        <f t="shared" si="7"/>
        <v>0.90591421717940879</v>
      </c>
    </row>
    <row r="55" spans="44:55">
      <c r="AR55" s="6">
        <f t="shared" si="80"/>
        <v>96</v>
      </c>
      <c r="AS55" s="3">
        <f>AVERAGE(data0!B50:AG50)</f>
        <v>0.38619696969696965</v>
      </c>
      <c r="AT55" s="3">
        <f>STDEV(data0!B50:AG50)</f>
        <v>0.36148207735352433</v>
      </c>
      <c r="AU55" s="3">
        <f>AVERAGE(data1!B50:AG50)</f>
        <v>0.3292584718149234</v>
      </c>
      <c r="AV55" s="3">
        <f>STDEV(data1!B50:AG50)</f>
        <v>0.33070170203879434</v>
      </c>
      <c r="AW55" s="9">
        <f>AVERAGE(data2!B50:AG50)</f>
        <v>0.37476143927756822</v>
      </c>
      <c r="AX55" s="9">
        <f>STDEV(data2!B50:AG50)</f>
        <v>0.2480707460882452</v>
      </c>
      <c r="AY55" s="9">
        <f>AVERAGE(data3!B50:AG50)</f>
        <v>0.40170522428586941</v>
      </c>
      <c r="AZ55" s="9">
        <f>STDEV(data3!B50:AG50)</f>
        <v>0.20759038778903449</v>
      </c>
      <c r="BA55">
        <f t="shared" si="5"/>
        <v>1.1729294847546139</v>
      </c>
      <c r="BB55">
        <f t="shared" si="6"/>
        <v>0.87858151161346432</v>
      </c>
      <c r="BC55">
        <f t="shared" si="7"/>
        <v>0.93292647598447231</v>
      </c>
    </row>
    <row r="56" spans="44:55">
      <c r="AR56" s="6">
        <f t="shared" si="80"/>
        <v>98</v>
      </c>
      <c r="AS56" s="3">
        <f>AVERAGE(data0!B51:AG51)</f>
        <v>0.35613831867057671</v>
      </c>
      <c r="AT56" s="3">
        <f>STDEV(data0!B51:AG51)</f>
        <v>0.35156981099955448</v>
      </c>
      <c r="AU56" s="3">
        <f>AVERAGE(data1!B51:AG51)</f>
        <v>0.3280365754317367</v>
      </c>
      <c r="AV56" s="3">
        <f>STDEV(data1!B51:AG51)</f>
        <v>0.32794514810898123</v>
      </c>
      <c r="AW56" s="9">
        <f>AVERAGE(data2!B51:AG51)</f>
        <v>0.38784047851789777</v>
      </c>
      <c r="AX56" s="9">
        <f>STDEV(data2!B51:AG51)</f>
        <v>0.26793519651535247</v>
      </c>
      <c r="AY56" s="9">
        <f>AVERAGE(data3!B51:AG51)</f>
        <v>0.39198435972629514</v>
      </c>
      <c r="AZ56" s="9">
        <f>STDEV(data3!B51:AG51)</f>
        <v>0.20348272941471138</v>
      </c>
      <c r="BA56">
        <f t="shared" si="5"/>
        <v>1.0856664937495297</v>
      </c>
      <c r="BB56">
        <f t="shared" si="6"/>
        <v>0.84580283286907798</v>
      </c>
      <c r="BC56">
        <f t="shared" si="7"/>
        <v>0.9894284526778292</v>
      </c>
    </row>
    <row r="57" spans="44:55">
      <c r="AR57" s="6">
        <f t="shared" si="80"/>
        <v>100</v>
      </c>
      <c r="AS57" s="3">
        <f>AVERAGE(data0!B52:AG52)</f>
        <v>0.36575057021831214</v>
      </c>
      <c r="AT57" s="3">
        <f>STDEV(data0!B52:AG52)</f>
        <v>0.35993874426967887</v>
      </c>
      <c r="AU57" s="3">
        <f>AVERAGE(data1!B52:AG52)</f>
        <v>0.31817994460736393</v>
      </c>
      <c r="AV57" s="3">
        <f>STDEV(data1!B52:AG52)</f>
        <v>0.31613917183430879</v>
      </c>
      <c r="AW57" s="9">
        <f>AVERAGE(data2!B52:AG52)</f>
        <v>0.38230228552809192</v>
      </c>
      <c r="AX57" s="9">
        <f>STDEV(data2!B52:AG52)</f>
        <v>0.26521300236424356</v>
      </c>
      <c r="AY57" s="9">
        <f>AVERAGE(data3!B52:AG52)</f>
        <v>0.39377647442163566</v>
      </c>
      <c r="AZ57" s="9">
        <f>STDEV(data3!B52:AG52)</f>
        <v>0.21037328007417022</v>
      </c>
      <c r="BA57">
        <f t="shared" si="5"/>
        <v>1.149508560854301</v>
      </c>
      <c r="BB57">
        <f t="shared" si="6"/>
        <v>0.83227319493485941</v>
      </c>
      <c r="BC57">
        <f t="shared" si="7"/>
        <v>0.97086116200721084</v>
      </c>
    </row>
    <row r="58" spans="44:55">
      <c r="AR58" s="6">
        <f t="shared" si="80"/>
        <v>102</v>
      </c>
      <c r="AS58" s="3">
        <f>AVERAGE(data0!B53:AG53)</f>
        <v>0.34856256109481915</v>
      </c>
      <c r="AT58" s="3">
        <f>STDEV(data0!B53:AG53)</f>
        <v>0.34500244772647132</v>
      </c>
      <c r="AU58" s="3">
        <f>AVERAGE(data1!B53:AG53)</f>
        <v>0.31402549690452913</v>
      </c>
      <c r="AV58" s="3">
        <f>STDEV(data1!B53:AG53)</f>
        <v>0.32096274429316429</v>
      </c>
      <c r="AW58" s="9">
        <f>AVERAGE(data2!B53:AG53)</f>
        <v>0.37150197830842974</v>
      </c>
      <c r="AX58" s="9">
        <f>STDEV(data2!B53:AG53)</f>
        <v>0.25058946291972406</v>
      </c>
      <c r="AY58" s="9">
        <f>AVERAGE(data3!B53:AG53)</f>
        <v>0.38497882046269138</v>
      </c>
      <c r="AZ58" s="9">
        <f>STDEV(data3!B53:AG53)</f>
        <v>0.20258333662556324</v>
      </c>
      <c r="BA58">
        <f t="shared" si="5"/>
        <v>1.1099817197352928</v>
      </c>
      <c r="BB58">
        <f t="shared" si="6"/>
        <v>0.8452862036815797</v>
      </c>
      <c r="BC58">
        <f t="shared" si="7"/>
        <v>0.96499328940209139</v>
      </c>
    </row>
    <row r="59" spans="44:55">
      <c r="AR59" s="6">
        <f t="shared" si="80"/>
        <v>104</v>
      </c>
      <c r="AS59" s="3">
        <f>AVERAGE(data0!B54:AG54)</f>
        <v>0.34514125122189637</v>
      </c>
      <c r="AT59" s="3">
        <f>STDEV(data0!B54:AG54)</f>
        <v>0.3431571587195269</v>
      </c>
      <c r="AU59" s="3">
        <f>AVERAGE(data1!B54:AG54)</f>
        <v>0.29235720104268487</v>
      </c>
      <c r="AV59" s="3">
        <f>STDEV(data1!B54:AG54)</f>
        <v>0.30813259424393219</v>
      </c>
      <c r="AW59" s="9">
        <f>AVERAGE(data2!B54:AG54)</f>
        <v>0.36708094772610894</v>
      </c>
      <c r="AX59" s="9">
        <f>STDEV(data2!B54:AG54)</f>
        <v>0.2462273462951097</v>
      </c>
      <c r="AY59" s="9">
        <f>AVERAGE(data3!B54:AG54)</f>
        <v>0.38546757901596607</v>
      </c>
      <c r="AZ59" s="9">
        <f>STDEV(data3!B54:AG54)</f>
        <v>0.19847038527251559</v>
      </c>
      <c r="BA59">
        <f t="shared" si="5"/>
        <v>1.1805464342624654</v>
      </c>
      <c r="BB59">
        <f t="shared" si="6"/>
        <v>0.79643795967537412</v>
      </c>
      <c r="BC59">
        <f t="shared" si="7"/>
        <v>0.95230044680594128</v>
      </c>
    </row>
    <row r="60" spans="44:55">
      <c r="AR60" s="6">
        <f t="shared" si="80"/>
        <v>106</v>
      </c>
      <c r="AS60" s="3">
        <f>AVERAGE(data0!B55:AG55)</f>
        <v>0.31923892147279237</v>
      </c>
      <c r="AT60" s="3">
        <f>STDEV(data0!B55:AG55)</f>
        <v>0.34353660400559399</v>
      </c>
      <c r="AU60" s="3">
        <f>AVERAGE(data1!B55:AG55)</f>
        <v>0.26751197458455522</v>
      </c>
      <c r="AV60" s="3">
        <f>STDEV(data1!B55:AG55)</f>
        <v>0.29411353435834425</v>
      </c>
      <c r="AW60" s="9">
        <f>AVERAGE(data2!B55:AG55)</f>
        <v>0.37476143927756816</v>
      </c>
      <c r="AX60" s="9">
        <f>STDEV(data2!B55:AG55)</f>
        <v>0.25705679386328389</v>
      </c>
      <c r="AY60" s="9">
        <f>AVERAGE(data3!B55:AG55)</f>
        <v>0.38324101227327029</v>
      </c>
      <c r="AZ60" s="9">
        <f>STDEV(data3!B55:AG55)</f>
        <v>0.20158904857727972</v>
      </c>
      <c r="BA60">
        <f t="shared" si="5"/>
        <v>1.1933631082069087</v>
      </c>
      <c r="BB60">
        <f t="shared" si="6"/>
        <v>0.71381937026456366</v>
      </c>
      <c r="BC60">
        <f t="shared" si="7"/>
        <v>0.97787404603332029</v>
      </c>
    </row>
    <row r="61" spans="44:55">
      <c r="AR61" s="6">
        <f t="shared" si="80"/>
        <v>108</v>
      </c>
      <c r="AS61" s="3">
        <f>AVERAGE(data0!B56:AG56)</f>
        <v>0.29634872922776145</v>
      </c>
      <c r="AT61" s="3">
        <f>STDEV(data0!B56:AG56)</f>
        <v>0.31521645403412635</v>
      </c>
      <c r="AU61" s="3">
        <f>AVERAGE(data1!B56:AG56)</f>
        <v>0.26775635386119251</v>
      </c>
      <c r="AV61" s="3">
        <f>STDEV(data1!B56:AG56)</f>
        <v>0.30528688909567586</v>
      </c>
      <c r="AW61" s="9">
        <f>AVERAGE(data2!B56:AG56)</f>
        <v>0.36410184797281564</v>
      </c>
      <c r="AX61" s="9">
        <f>STDEV(data2!B56:AG56)</f>
        <v>0.23856677365131804</v>
      </c>
      <c r="AY61" s="9">
        <f>AVERAGE(data3!B56:AG56)</f>
        <v>0.38204626914304329</v>
      </c>
      <c r="AZ61" s="9">
        <f>STDEV(data3!B56:AG56)</f>
        <v>0.20442669972993122</v>
      </c>
      <c r="BA61">
        <f t="shared" si="5"/>
        <v>1.1067850489979092</v>
      </c>
      <c r="BB61">
        <f t="shared" si="6"/>
        <v>0.73538861544362055</v>
      </c>
      <c r="BC61">
        <f t="shared" si="7"/>
        <v>0.95303076454462377</v>
      </c>
    </row>
    <row r="62" spans="44:55">
      <c r="AR62" s="6">
        <f t="shared" si="80"/>
        <v>110</v>
      </c>
      <c r="AS62" s="3">
        <f>AVERAGE(data0!B57:AG57)</f>
        <v>0.309626669925057</v>
      </c>
      <c r="AT62" s="3">
        <f>STDEV(data0!B57:AG57)</f>
        <v>0.33201034430551229</v>
      </c>
      <c r="AU62" s="3">
        <f>AVERAGE(data1!B57:AG57)</f>
        <v>0.2636833659172369</v>
      </c>
      <c r="AV62" s="3">
        <f>STDEV(data1!B57:AG57)</f>
        <v>0.28852544932756147</v>
      </c>
      <c r="AW62" s="9">
        <f>AVERAGE(data2!B57:AG57)</f>
        <v>0.36852394916911035</v>
      </c>
      <c r="AX62" s="9">
        <f>STDEV(data2!B57:AG57)</f>
        <v>0.24284208621643233</v>
      </c>
      <c r="AY62" s="9">
        <f>AVERAGE(data3!B57:AG57)</f>
        <v>0.37650700553926358</v>
      </c>
      <c r="AZ62" s="9">
        <f>STDEV(data3!B57:AG57)</f>
        <v>0.1990352168690438</v>
      </c>
      <c r="BA62">
        <f t="shared" si="5"/>
        <v>1.1742366411624177</v>
      </c>
      <c r="BB62">
        <f t="shared" si="6"/>
        <v>0.71551215738284724</v>
      </c>
      <c r="BC62">
        <f t="shared" si="7"/>
        <v>0.97879705755084356</v>
      </c>
    </row>
    <row r="63" spans="44:55">
      <c r="AR63" s="6">
        <f t="shared" si="80"/>
        <v>112</v>
      </c>
      <c r="AS63" s="3">
        <f>AVERAGE(data0!B58:AG58)</f>
        <v>0.28380392636037793</v>
      </c>
      <c r="AT63" s="3">
        <f>STDEV(data0!B58:AG58)</f>
        <v>0.32790854824500254</v>
      </c>
      <c r="AU63" s="3">
        <f>AVERAGE(data1!B58:AG58)</f>
        <v>0.25513009123492991</v>
      </c>
      <c r="AV63" s="3">
        <f>STDEV(data1!B58:AG58)</f>
        <v>0.29856343690316267</v>
      </c>
      <c r="AW63" s="9">
        <f>AVERAGE(data2!B58:AG58)</f>
        <v>0.37713540939347384</v>
      </c>
      <c r="AX63" s="9">
        <f>STDEV(data2!B58:AG58)</f>
        <v>0.23851289582041768</v>
      </c>
      <c r="AY63" s="9">
        <f>AVERAGE(data3!B58:AG58)</f>
        <v>0.38590203106332133</v>
      </c>
      <c r="AZ63" s="9">
        <f>STDEV(data3!B58:AG58)</f>
        <v>0.1995491785182458</v>
      </c>
      <c r="BA63">
        <f t="shared" si="5"/>
        <v>1.1123890756541315</v>
      </c>
      <c r="BB63">
        <f t="shared" si="6"/>
        <v>0.67649466181189832</v>
      </c>
      <c r="BC63">
        <f t="shared" si="7"/>
        <v>0.97728277914036421</v>
      </c>
    </row>
    <row r="64" spans="44:55">
      <c r="AR64" s="6">
        <f t="shared" si="80"/>
        <v>114</v>
      </c>
      <c r="AS64" s="3">
        <f>AVERAGE(data0!B59:AG59)</f>
        <v>0.28893589116976215</v>
      </c>
      <c r="AT64" s="3">
        <f>STDEV(data0!B59:AG59)</f>
        <v>0.315649216788357</v>
      </c>
      <c r="AU64" s="3">
        <f>AVERAGE(data1!B59:AG59)</f>
        <v>0.22311640599543825</v>
      </c>
      <c r="AV64" s="3">
        <f>STDEV(data1!B59:AG59)</f>
        <v>0.28442613495902586</v>
      </c>
      <c r="AW64" s="9">
        <f>AVERAGE(data2!B59:AG59)</f>
        <v>0.38006796071312199</v>
      </c>
      <c r="AX64" s="9">
        <f>STDEV(data2!B59:AG59)</f>
        <v>0.25651595180984199</v>
      </c>
      <c r="AY64" s="9">
        <f>AVERAGE(data3!B59:AG59)</f>
        <v>0.38264364070815682</v>
      </c>
      <c r="AZ64" s="9">
        <f>STDEV(data3!B59:AG59)</f>
        <v>0.19620087833959796</v>
      </c>
      <c r="BA64">
        <f t="shared" si="5"/>
        <v>1.2950006517031725</v>
      </c>
      <c r="BB64">
        <f t="shared" si="6"/>
        <v>0.58704344764237604</v>
      </c>
      <c r="BC64">
        <f t="shared" si="7"/>
        <v>0.99326872389603016</v>
      </c>
    </row>
    <row r="65" spans="44:55">
      <c r="AR65" s="6">
        <f t="shared" si="80"/>
        <v>116</v>
      </c>
      <c r="AS65" s="3">
        <f>AVERAGE(data0!B60:AG60)</f>
        <v>0.26979284783317042</v>
      </c>
      <c r="AT65" s="3">
        <f>STDEV(data0!B60:AG60)</f>
        <v>0.32152866235336375</v>
      </c>
      <c r="AU65" s="3">
        <f>AVERAGE(data1!B60:AG60)</f>
        <v>0.21985801564027371</v>
      </c>
      <c r="AV65" s="3">
        <f>STDEV(data1!B60:AG60)</f>
        <v>0.2894159445591537</v>
      </c>
      <c r="AW65" s="9">
        <f>AVERAGE(data2!B60:AG60)</f>
        <v>0.36940836940836935</v>
      </c>
      <c r="AX65" s="9">
        <f>STDEV(data2!B60:AG60)</f>
        <v>0.2391910465086533</v>
      </c>
      <c r="AY65" s="9">
        <f>AVERAGE(data3!B60:AG60)</f>
        <v>0.37406321277289017</v>
      </c>
      <c r="AZ65" s="9">
        <f>STDEV(data3!B60:AG60)</f>
        <v>0.18937404485574943</v>
      </c>
      <c r="BA65">
        <f t="shared" si="5"/>
        <v>1.2271230914527986</v>
      </c>
      <c r="BB65">
        <f t="shared" si="6"/>
        <v>0.59516251890120975</v>
      </c>
      <c r="BC65">
        <f t="shared" si="7"/>
        <v>0.98755599800895955</v>
      </c>
    </row>
    <row r="66" spans="44:55">
      <c r="AR66" s="6">
        <f t="shared" si="80"/>
        <v>118</v>
      </c>
      <c r="AS66" s="3">
        <f>AVERAGE(data0!B61:AG61)</f>
        <v>0.24445886282176602</v>
      </c>
      <c r="AT66" s="3">
        <f>STDEV(data0!B61:AG61)</f>
        <v>0.32485236259415162</v>
      </c>
      <c r="AU66" s="3">
        <f>AVERAGE(data1!B61:AG61)</f>
        <v>0.22686355490387747</v>
      </c>
      <c r="AV66" s="3">
        <f>STDEV(data1!B61:AG61)</f>
        <v>0.28209619781864498</v>
      </c>
      <c r="AW66" s="9">
        <f>AVERAGE(data2!B61:AG61)</f>
        <v>0.37066410650281612</v>
      </c>
      <c r="AX66" s="9">
        <f>STDEV(data2!B61:AG61)</f>
        <v>0.26332373790961044</v>
      </c>
      <c r="AY66" s="9">
        <f>AVERAGE(data3!B61:AG61)</f>
        <v>0.37618116650374711</v>
      </c>
      <c r="AZ66" s="9">
        <f>STDEV(data3!B61:AG61)</f>
        <v>0.19436626618357797</v>
      </c>
      <c r="BA66">
        <f t="shared" si="5"/>
        <v>1.0775589888175019</v>
      </c>
      <c r="BB66">
        <f t="shared" si="6"/>
        <v>0.61204619202089883</v>
      </c>
      <c r="BC66">
        <f t="shared" si="7"/>
        <v>0.98533403452329382</v>
      </c>
    </row>
    <row r="67" spans="44:55">
      <c r="AR67" s="6">
        <f t="shared" si="80"/>
        <v>120</v>
      </c>
      <c r="AS67" s="3">
        <f>AVERAGE(data0!B62:AG62)</f>
        <v>0.22401246334310851</v>
      </c>
      <c r="AT67" s="3">
        <f>STDEV(data0!B62:AG62)</f>
        <v>0.28706630467804228</v>
      </c>
      <c r="AU67" s="3">
        <f>AVERAGE(data1!B62:AG62)</f>
        <v>0.23777916259367871</v>
      </c>
      <c r="AV67" s="3">
        <f>STDEV(data1!B62:AG62)</f>
        <v>0.28282196684282757</v>
      </c>
      <c r="AW67" s="9">
        <f>AVERAGE(data2!B62:AG62)</f>
        <v>0.37192198482521061</v>
      </c>
      <c r="AX67" s="9">
        <f>STDEV(data2!B62:AG62)</f>
        <v>0.26148054900945478</v>
      </c>
      <c r="AY67" s="9">
        <f>AVERAGE(data3!B62:AG62)</f>
        <v>0.37808189421092642</v>
      </c>
      <c r="AZ67" s="9">
        <f>STDEV(data3!B62:AG62)</f>
        <v>0.2020989568651288</v>
      </c>
      <c r="BA67">
        <f t="shared" si="5"/>
        <v>0.94210300389485779</v>
      </c>
      <c r="BB67">
        <f t="shared" si="6"/>
        <v>0.63932537546933665</v>
      </c>
      <c r="BC67">
        <f t="shared" si="7"/>
        <v>0.9837074732219806</v>
      </c>
    </row>
    <row r="68" spans="44:55">
      <c r="AR68" s="6">
        <f t="shared" si="80"/>
        <v>122</v>
      </c>
      <c r="AS68" s="3">
        <f>AVERAGE(data0!B63:AG63)</f>
        <v>0.24999812642554575</v>
      </c>
      <c r="AT68" s="3">
        <f>STDEV(data0!B63:AG63)</f>
        <v>0.28451427322340311</v>
      </c>
      <c r="AU68" s="3">
        <f>AVERAGE(data1!B63:AG63)</f>
        <v>0.23346179537308567</v>
      </c>
      <c r="AV68" s="3">
        <f>STDEV(data1!B63:AG63)</f>
        <v>0.28097788066167095</v>
      </c>
      <c r="AW68" s="9">
        <f>AVERAGE(data2!B63:AG63)</f>
        <v>0.37071065493646127</v>
      </c>
      <c r="AX68" s="9">
        <f>STDEV(data2!B63:AG63)</f>
        <v>0.25011091288430215</v>
      </c>
      <c r="AY68" s="9">
        <f>AVERAGE(data3!B63:AG63)</f>
        <v>0.36917562724014336</v>
      </c>
      <c r="AZ68" s="9">
        <f>STDEV(data3!B63:AG63)</f>
        <v>0.19017167592269291</v>
      </c>
      <c r="BA68">
        <f t="shared" si="5"/>
        <v>1.0708309941077685</v>
      </c>
      <c r="BB68">
        <f t="shared" si="6"/>
        <v>0.62976823639746837</v>
      </c>
      <c r="BC68">
        <f t="shared" si="7"/>
        <v>1.0041579876434243</v>
      </c>
    </row>
    <row r="69" spans="44:55">
      <c r="AR69" s="6">
        <f t="shared" si="80"/>
        <v>124</v>
      </c>
      <c r="AS69" s="3">
        <f>AVERAGE(data0!B64:AG64)</f>
        <v>0.22213888888888889</v>
      </c>
      <c r="AT69" s="3">
        <f>STDEV(data0!B64:AG64)</f>
        <v>0.28731743059160009</v>
      </c>
      <c r="AU69" s="3">
        <f>AVERAGE(data1!B64:AG64)</f>
        <v>0.21016617790811334</v>
      </c>
      <c r="AV69" s="3">
        <f>STDEV(data1!B64:AG64)</f>
        <v>0.25494139526660753</v>
      </c>
      <c r="AW69" s="9">
        <f>AVERAGE(data2!B64:AG64)</f>
        <v>0.36205371689242649</v>
      </c>
      <c r="AX69" s="9">
        <f>STDEV(data2!B64:AG64)</f>
        <v>0.24043472962306417</v>
      </c>
      <c r="AY69" s="9">
        <f>AVERAGE(data3!B64:AG64)</f>
        <v>0.35891169762137504</v>
      </c>
      <c r="AZ69" s="9">
        <f>STDEV(data3!B64:AG64)</f>
        <v>0.18630305177705481</v>
      </c>
      <c r="BA69">
        <f t="shared" si="5"/>
        <v>1.0569678294573646</v>
      </c>
      <c r="BB69">
        <f t="shared" si="6"/>
        <v>0.58048341475957832</v>
      </c>
      <c r="BC69">
        <f t="shared" si="7"/>
        <v>1.0087542960897475</v>
      </c>
    </row>
    <row r="70" spans="44:55">
      <c r="AR70" s="6">
        <f t="shared" si="80"/>
        <v>126</v>
      </c>
      <c r="AS70" s="3">
        <f>AVERAGE(data0!B65:AG65)</f>
        <v>0.22124283154121863</v>
      </c>
      <c r="AT70" s="3">
        <f>STDEV(data0!B65:AG65)</f>
        <v>0.27301586287168633</v>
      </c>
      <c r="AU70" s="3">
        <f>AVERAGE(data1!B65:AG65)</f>
        <v>0.17961876832844573</v>
      </c>
      <c r="AV70" s="3">
        <f>STDEV(data1!B65:AG65)</f>
        <v>0.2227530907909431</v>
      </c>
      <c r="AW70" s="9">
        <f>AVERAGE(data2!B65:AG65)</f>
        <v>0.36186752315784565</v>
      </c>
      <c r="AX70" s="9">
        <f>STDEV(data2!B65:AG65)</f>
        <v>0.24981302537936795</v>
      </c>
      <c r="AY70" s="9">
        <f>AVERAGE(data3!B65:AG65)</f>
        <v>0.3629846855653307</v>
      </c>
      <c r="AZ70" s="9">
        <f>STDEV(data3!B65:AG65)</f>
        <v>0.20232145579860195</v>
      </c>
      <c r="BA70">
        <f t="shared" si="5"/>
        <v>1.2317356009070295</v>
      </c>
      <c r="BB70">
        <f t="shared" si="6"/>
        <v>0.4963660921018781</v>
      </c>
      <c r="BC70">
        <f t="shared" si="7"/>
        <v>0.99692228776609371</v>
      </c>
    </row>
    <row r="71" spans="44:55">
      <c r="AR71" s="6">
        <f t="shared" si="80"/>
        <v>128</v>
      </c>
      <c r="AS71" s="3">
        <f>AVERAGE(data0!B66:AG66)</f>
        <v>0.20869802867383511</v>
      </c>
      <c r="AT71" s="3">
        <f>STDEV(data0!B66:AG66)</f>
        <v>0.27918866335057974</v>
      </c>
      <c r="AU71" s="3">
        <f>AVERAGE(data1!B66:AG66)</f>
        <v>0.16088302378624955</v>
      </c>
      <c r="AV71" s="3">
        <f>STDEV(data1!B66:AG66)</f>
        <v>0.17588664402029922</v>
      </c>
      <c r="AW71" s="9">
        <f>AVERAGE(data2!B66:AG66)</f>
        <v>0.36605688218591431</v>
      </c>
      <c r="AX71" s="9">
        <f>STDEV(data2!B66:AG66)</f>
        <v>0.23291724504752581</v>
      </c>
      <c r="AY71" s="9">
        <f>AVERAGE(data3!B66:AG66)</f>
        <v>0.36217008797653955</v>
      </c>
      <c r="AZ71" s="9">
        <f>STDEV(data3!B66:AG66)</f>
        <v>0.18455218713289864</v>
      </c>
      <c r="BA71">
        <f t="shared" si="5"/>
        <v>1.2972035443037977</v>
      </c>
      <c r="BB71">
        <f t="shared" si="6"/>
        <v>0.43950279755849447</v>
      </c>
      <c r="BC71">
        <f t="shared" si="7"/>
        <v>1.0107319581003789</v>
      </c>
    </row>
    <row r="72" spans="44:55">
      <c r="AR72" s="6">
        <f t="shared" ref="AR72:AR87" si="81">AR71+$B$4</f>
        <v>130</v>
      </c>
      <c r="AS72" s="3">
        <f>AVERAGE(data0!B67:AG67)</f>
        <v>0.20568401759530788</v>
      </c>
      <c r="AT72" s="3">
        <f>STDEV(data0!B67:AG67)</f>
        <v>0.27507237023108316</v>
      </c>
      <c r="AU72" s="3">
        <f>AVERAGE(data1!B67:AG67)</f>
        <v>0.17684913652655587</v>
      </c>
      <c r="AV72" s="3">
        <f>STDEV(data1!B67:AG67)</f>
        <v>0.21502122756768907</v>
      </c>
      <c r="AW72" s="9">
        <f>AVERAGE(data2!B67:AG67)</f>
        <v>0.35707303449238925</v>
      </c>
      <c r="AX72" s="9">
        <f>STDEV(data2!B67:AG67)</f>
        <v>0.23293888953841757</v>
      </c>
      <c r="AY72" s="9">
        <f>AVERAGE(data3!B67:AG67)</f>
        <v>0.36092103834039313</v>
      </c>
      <c r="AZ72" s="9">
        <f>STDEV(data3!B67:AG67)</f>
        <v>0.19365538941441446</v>
      </c>
      <c r="BA72">
        <f t="shared" ref="BA72:BA87" si="82">AS72/AU72</f>
        <v>1.1630479041916166</v>
      </c>
      <c r="BB72">
        <f t="shared" ref="BB72:BB87" si="83">AU72/AW72</f>
        <v>0.49527441011602147</v>
      </c>
      <c r="BC72">
        <f t="shared" ref="BC72:BC87" si="84">AW72/AY72</f>
        <v>0.98933837754180809</v>
      </c>
    </row>
    <row r="73" spans="44:55">
      <c r="AR73" s="6">
        <f t="shared" si="81"/>
        <v>132</v>
      </c>
      <c r="AS73" s="3">
        <f>AVERAGE(data0!B68:AG68)</f>
        <v>0.20413628217660473</v>
      </c>
      <c r="AT73" s="3">
        <f>STDEV(data0!B68:AG68)</f>
        <v>0.28544233879551273</v>
      </c>
      <c r="AU73" s="3">
        <f>AVERAGE(data1!B68:AG68)</f>
        <v>0.18059628543499515</v>
      </c>
      <c r="AV73" s="3">
        <f>STDEV(data1!B68:AG68)</f>
        <v>0.22651918164372567</v>
      </c>
      <c r="AW73" s="9">
        <f>AVERAGE(data2!B68:AG68)</f>
        <v>0.37182888795792007</v>
      </c>
      <c r="AX73" s="9">
        <f>STDEV(data2!B68:AG68)</f>
        <v>0.24664181883747102</v>
      </c>
      <c r="AY73" s="9">
        <f>AVERAGE(data3!B68:AG68)</f>
        <v>0.37107635494732266</v>
      </c>
      <c r="AZ73" s="9">
        <f>STDEV(data3!B68:AG68)</f>
        <v>0.18520095560264133</v>
      </c>
      <c r="BA73">
        <f t="shared" si="82"/>
        <v>1.1303459630130803</v>
      </c>
      <c r="BB73">
        <f t="shared" si="83"/>
        <v>0.48569729594391614</v>
      </c>
      <c r="BC73">
        <f t="shared" si="84"/>
        <v>1.0020279734899957</v>
      </c>
    </row>
    <row r="74" spans="44:55">
      <c r="AR74" s="6">
        <f t="shared" si="81"/>
        <v>134</v>
      </c>
      <c r="AS74" s="3">
        <f>AVERAGE(data0!B69:AG69)</f>
        <v>0.1925689964157706</v>
      </c>
      <c r="AT74" s="3">
        <f>STDEV(data0!B69:AG69)</f>
        <v>0.28012460209001744</v>
      </c>
      <c r="AU74" s="3">
        <f>AVERAGE(data1!B69:AG69)</f>
        <v>0.13831867057673508</v>
      </c>
      <c r="AV74" s="3">
        <f>STDEV(data1!B69:AG69)</f>
        <v>0.17205184655335765</v>
      </c>
      <c r="AW74" s="9">
        <f>AVERAGE(data2!B69:AG69)</f>
        <v>0.35814364846622909</v>
      </c>
      <c r="AX74" s="9">
        <f>STDEV(data2!B69:AG69)</f>
        <v>0.22818596958514253</v>
      </c>
      <c r="AY74" s="9">
        <f>AVERAGE(data3!B69:AG69)</f>
        <v>0.36195286195286192</v>
      </c>
      <c r="AZ74" s="9">
        <f>STDEV(data3!B69:AG69)</f>
        <v>0.18294394391806404</v>
      </c>
      <c r="BA74">
        <f t="shared" si="82"/>
        <v>1.3922126030624264</v>
      </c>
      <c r="BB74">
        <f t="shared" si="83"/>
        <v>0.38621003379256563</v>
      </c>
      <c r="BC74">
        <f t="shared" si="84"/>
        <v>0.98947594041367493</v>
      </c>
    </row>
    <row r="75" spans="44:55">
      <c r="AR75" s="6">
        <f t="shared" si="81"/>
        <v>136</v>
      </c>
      <c r="AS75" s="3">
        <f>AVERAGE(data0!B70:AG70)</f>
        <v>0.17530140110785275</v>
      </c>
      <c r="AT75" s="3">
        <f>STDEV(data0!B70:AG70)</f>
        <v>0.28552425212548216</v>
      </c>
      <c r="AU75" s="3">
        <f>AVERAGE(data1!B70:AG70)</f>
        <v>0.1600684261974584</v>
      </c>
      <c r="AV75" s="3">
        <f>STDEV(data1!B70:AG70)</f>
        <v>0.16794845875843989</v>
      </c>
      <c r="AW75" s="9">
        <f>AVERAGE(data2!B70:AG70)</f>
        <v>0.37010552529907365</v>
      </c>
      <c r="AX75" s="9">
        <f>STDEV(data2!B70:AG70)</f>
        <v>0.25761121631734502</v>
      </c>
      <c r="AY75" s="9">
        <f>AVERAGE(data3!B70:AG70)</f>
        <v>0.36591723688497879</v>
      </c>
      <c r="AZ75" s="9">
        <f>STDEV(data3!B70:AG70)</f>
        <v>0.19300397556087398</v>
      </c>
      <c r="BA75">
        <f t="shared" si="82"/>
        <v>1.0951653944020363</v>
      </c>
      <c r="BB75">
        <f t="shared" si="83"/>
        <v>0.43249401928844711</v>
      </c>
      <c r="BC75">
        <f t="shared" si="84"/>
        <v>1.0114459992367384</v>
      </c>
    </row>
    <row r="76" spans="44:55">
      <c r="AR76" s="6">
        <f t="shared" si="81"/>
        <v>138</v>
      </c>
      <c r="AS76" s="3">
        <f>AVERAGE(data0!B71:AG71)</f>
        <v>0.18206256109481914</v>
      </c>
      <c r="AT76" s="3">
        <f>STDEV(data0!B71:AG71)</f>
        <v>0.20440506147243212</v>
      </c>
      <c r="AU76" s="3">
        <f>AVERAGE(data1!B71:AG71)</f>
        <v>0.15689149560117299</v>
      </c>
      <c r="AV76" s="3">
        <f>STDEV(data1!B71:AG71)</f>
        <v>0.16367634278019477</v>
      </c>
      <c r="AW76" s="9">
        <f>AVERAGE(data2!B71:AG71)</f>
        <v>0.35944700460829487</v>
      </c>
      <c r="AX76" s="9">
        <f>STDEV(data2!B71:AG71)</f>
        <v>0.23373865761510224</v>
      </c>
      <c r="AY76" s="9">
        <f>AVERAGE(data3!B71:AG71)</f>
        <v>0.36515694580210706</v>
      </c>
      <c r="AZ76" s="9">
        <f>STDEV(data3!B71:AG71)</f>
        <v>0.19676901102619712</v>
      </c>
      <c r="BA76">
        <f t="shared" si="82"/>
        <v>1.1604361370716512</v>
      </c>
      <c r="BB76">
        <f t="shared" si="83"/>
        <v>0.43648018648018649</v>
      </c>
      <c r="BC76">
        <f t="shared" si="84"/>
        <v>0.98436304920540485</v>
      </c>
    </row>
    <row r="77" spans="44:55">
      <c r="AR77" s="6">
        <f t="shared" si="81"/>
        <v>140</v>
      </c>
      <c r="AS77" s="3">
        <f>AVERAGE(data0!B72:AG72)</f>
        <v>0.16682958618442489</v>
      </c>
      <c r="AT77" s="3">
        <f>STDEV(data0!B72:AG72)</f>
        <v>0.22814973354130788</v>
      </c>
      <c r="AU77" s="3">
        <f>AVERAGE(data1!B72:AG72)</f>
        <v>0.16976213750407299</v>
      </c>
      <c r="AV77" s="3">
        <f>STDEV(data1!B72:AG72)</f>
        <v>0.20099387754821085</v>
      </c>
      <c r="AW77" s="9">
        <f>AVERAGE(data2!B72:AG72)</f>
        <v>0.37434250337476138</v>
      </c>
      <c r="AX77" s="9">
        <f>STDEV(data2!B72:AG72)</f>
        <v>0.24680215859284041</v>
      </c>
      <c r="AY77" s="9">
        <f>AVERAGE(data3!B72:AG72)</f>
        <v>0.35348104702943411</v>
      </c>
      <c r="AZ77" s="9">
        <f>STDEV(data3!B72:AG72)</f>
        <v>0.18988835401980114</v>
      </c>
      <c r="BA77">
        <f t="shared" si="82"/>
        <v>0.98272552783109401</v>
      </c>
      <c r="BB77">
        <f t="shared" si="83"/>
        <v>0.45349415568266604</v>
      </c>
      <c r="BC77">
        <f t="shared" si="84"/>
        <v>1.0590171849965979</v>
      </c>
    </row>
    <row r="78" spans="44:55">
      <c r="AR78" s="6">
        <f t="shared" si="81"/>
        <v>142</v>
      </c>
      <c r="AS78" s="3">
        <f>AVERAGE(data0!B73:AG73)</f>
        <v>0.14760508308895404</v>
      </c>
      <c r="AT78" s="3">
        <f>STDEV(data0!B73:AG73)</f>
        <v>0.23105862350304374</v>
      </c>
      <c r="AU78" s="3">
        <f>AVERAGE(data1!B73:AG73)</f>
        <v>0.13009123492994459</v>
      </c>
      <c r="AV78" s="3">
        <f>STDEV(data1!B73:AG73)</f>
        <v>0.16901589601159941</v>
      </c>
      <c r="AW78" s="9">
        <f>AVERAGE(data2!B73:AG73)</f>
        <v>0.35344225666806306</v>
      </c>
      <c r="AX78" s="9">
        <f>STDEV(data2!B73:AG73)</f>
        <v>0.22571917154493801</v>
      </c>
      <c r="AY78" s="9">
        <f>AVERAGE(data3!B73:AG73)</f>
        <v>0.35972629521016614</v>
      </c>
      <c r="AZ78" s="9">
        <f>STDEV(data3!B73:AG73)</f>
        <v>0.18182869245100966</v>
      </c>
      <c r="BA78">
        <f t="shared" si="82"/>
        <v>1.1346274264245459</v>
      </c>
      <c r="BB78">
        <f t="shared" si="83"/>
        <v>0.36806927433162123</v>
      </c>
      <c r="BC78">
        <f t="shared" si="84"/>
        <v>0.98253105590062106</v>
      </c>
    </row>
    <row r="79" spans="44:55">
      <c r="AR79" s="6">
        <f t="shared" si="81"/>
        <v>144</v>
      </c>
      <c r="AS79" s="3">
        <f>AVERAGE(data0!B74:AG74)</f>
        <v>0.14255457803844898</v>
      </c>
      <c r="AT79" s="3">
        <f>STDEV(data0!B74:AG74)</f>
        <v>0.18691145528849459</v>
      </c>
      <c r="AU79" s="3">
        <f>AVERAGE(data1!B74:AG74)</f>
        <v>0.13970348647767999</v>
      </c>
      <c r="AV79" s="3">
        <f>STDEV(data1!B74:AG74)</f>
        <v>0.15514381491550988</v>
      </c>
      <c r="AW79" s="9">
        <f>AVERAGE(data2!B74:AG74)</f>
        <v>0.35358190196899864</v>
      </c>
      <c r="AX79" s="9">
        <f>STDEV(data2!B74:AG74)</f>
        <v>0.22763750938793817</v>
      </c>
      <c r="AY79" s="9">
        <f>AVERAGE(data3!B74:AG74)</f>
        <v>0.35717388943195394</v>
      </c>
      <c r="AZ79" s="9">
        <f>STDEV(data3!B74:AG74)</f>
        <v>0.17631118207725699</v>
      </c>
      <c r="BA79">
        <f t="shared" si="82"/>
        <v>1.0204081632653061</v>
      </c>
      <c r="BB79">
        <f t="shared" si="83"/>
        <v>0.39510926803580837</v>
      </c>
      <c r="BC79">
        <f t="shared" si="84"/>
        <v>0.98994330893372984</v>
      </c>
    </row>
    <row r="80" spans="44:55">
      <c r="AR80" s="6">
        <f t="shared" si="81"/>
        <v>146</v>
      </c>
      <c r="AS80" s="3">
        <f>AVERAGE(data0!B75:AG75)</f>
        <v>0.14059954382535025</v>
      </c>
      <c r="AT80" s="3">
        <f>STDEV(data0!B75:AG75)</f>
        <v>0.18707869075437492</v>
      </c>
      <c r="AU80" s="3">
        <f>AVERAGE(data1!B75:AG75)</f>
        <v>0.12601824698598893</v>
      </c>
      <c r="AV80" s="3">
        <f>STDEV(data1!B75:AG75)</f>
        <v>0.14911568763313152</v>
      </c>
      <c r="AW80" s="9">
        <f>AVERAGE(data2!B75:AG75)</f>
        <v>0.36247265279523327</v>
      </c>
      <c r="AX80" s="9">
        <f>STDEV(data2!B75:AG75)</f>
        <v>0.23880197110659876</v>
      </c>
      <c r="AY80" s="9">
        <f>AVERAGE(data3!B75:AG75)</f>
        <v>0.35755403497338978</v>
      </c>
      <c r="AZ80" s="9">
        <f>STDEV(data3!B75:AG75)</f>
        <v>0.19298200275375957</v>
      </c>
      <c r="BA80">
        <f t="shared" si="82"/>
        <v>1.1157078215901743</v>
      </c>
      <c r="BB80">
        <f t="shared" si="83"/>
        <v>0.34766277128547596</v>
      </c>
      <c r="BC80">
        <f t="shared" si="84"/>
        <v>1.0137562923103625</v>
      </c>
    </row>
    <row r="81" spans="44:55">
      <c r="AR81" s="6">
        <f t="shared" si="81"/>
        <v>148</v>
      </c>
      <c r="AS81" s="3">
        <f>AVERAGE(data0!B76:AG76)</f>
        <v>0.111762789182144</v>
      </c>
      <c r="AT81" s="3">
        <f>STDEV(data0!B76:AG76)</f>
        <v>0.16365980099269778</v>
      </c>
      <c r="AU81" s="3">
        <f>AVERAGE(data1!B76:AG76)</f>
        <v>9.791463017269468E-2</v>
      </c>
      <c r="AV81" s="3">
        <f>STDEV(data1!B76:AG76)</f>
        <v>0.13092814599193606</v>
      </c>
      <c r="AW81" s="9">
        <f>AVERAGE(data2!B76:AG76)</f>
        <v>0.36019177954661813</v>
      </c>
      <c r="AX81" s="9">
        <f>STDEV(data2!B76:AG76)</f>
        <v>0.24210666042632265</v>
      </c>
      <c r="AY81" s="9">
        <f>AVERAGE(data3!B76:AG76)</f>
        <v>0.35434995112414464</v>
      </c>
      <c r="AZ81" s="9">
        <f>STDEV(data3!B76:AG76)</f>
        <v>0.1807028428905724</v>
      </c>
      <c r="BA81">
        <f t="shared" si="82"/>
        <v>1.141430948419301</v>
      </c>
      <c r="BB81">
        <f t="shared" si="83"/>
        <v>0.27184026880330842</v>
      </c>
      <c r="BC81">
        <f t="shared" si="84"/>
        <v>1.016486042692939</v>
      </c>
    </row>
    <row r="82" spans="44:55">
      <c r="AR82" s="6">
        <f t="shared" si="81"/>
        <v>150</v>
      </c>
      <c r="AS82" s="3">
        <f>AVERAGE(data0!B77:AG77)</f>
        <v>0.1282991202346041</v>
      </c>
      <c r="AT82" s="3">
        <f>STDEV(data0!B77:AG77)</f>
        <v>0.18138390788543601</v>
      </c>
      <c r="AU82" s="3">
        <f>AVERAGE(data1!B77:AG77)</f>
        <v>0.11192570869990222</v>
      </c>
      <c r="AV82" s="3">
        <f>STDEV(data1!B77:AG77)</f>
        <v>0.13230797526772756</v>
      </c>
      <c r="AW82" s="9">
        <f>AVERAGE(data2!B77:AG77)</f>
        <v>0.36475352604384853</v>
      </c>
      <c r="AX82" s="9">
        <f>STDEV(data2!B77:AG77)</f>
        <v>0.2634381009752701</v>
      </c>
      <c r="AY82" s="9">
        <f>AVERAGE(data3!B77:AG77)</f>
        <v>0.35918323015097209</v>
      </c>
      <c r="AZ82" s="9">
        <f>STDEV(data3!B77:AG77)</f>
        <v>0.18757101077518276</v>
      </c>
      <c r="BA82">
        <f t="shared" si="82"/>
        <v>1.1462882096069871</v>
      </c>
      <c r="BB82">
        <f t="shared" si="83"/>
        <v>0.30685298621745788</v>
      </c>
      <c r="BC82">
        <f t="shared" si="84"/>
        <v>1.0155082292971616</v>
      </c>
    </row>
    <row r="83" spans="44:55">
      <c r="AR83" s="6">
        <f t="shared" si="81"/>
        <v>152</v>
      </c>
      <c r="AS83" s="3">
        <f>AVERAGE(data0!B78:AG78)</f>
        <v>0.11550993809058324</v>
      </c>
      <c r="AT83" s="3">
        <f>STDEV(data0!B78:AG78)</f>
        <v>0.19560818011447567</v>
      </c>
      <c r="AU83" s="3">
        <f>AVERAGE(data1!B78:AG78)</f>
        <v>0.12145650048875856</v>
      </c>
      <c r="AV83" s="3">
        <f>STDEV(data1!B78:AG78)</f>
        <v>0.12811552456847433</v>
      </c>
      <c r="AW83" s="9">
        <f>AVERAGE(data2!B78:AG78)</f>
        <v>0.3587011590559977</v>
      </c>
      <c r="AX83" s="9">
        <f>STDEV(data2!B78:AG78)</f>
        <v>0.25368450619218136</v>
      </c>
      <c r="AY83" s="9">
        <f>AVERAGE(data3!B78:AG78)</f>
        <v>0.34864776800260672</v>
      </c>
      <c r="AZ83" s="9">
        <f>STDEV(data3!B78:AG78)</f>
        <v>0.18390193650264089</v>
      </c>
      <c r="BA83">
        <f t="shared" si="82"/>
        <v>0.95103957075788048</v>
      </c>
      <c r="BB83">
        <f t="shared" si="83"/>
        <v>0.338600802987084</v>
      </c>
      <c r="BC83">
        <f t="shared" si="84"/>
        <v>1.0288353805073429</v>
      </c>
    </row>
    <row r="84" spans="44:55">
      <c r="AR84" s="6">
        <f t="shared" si="81"/>
        <v>154</v>
      </c>
      <c r="AS84" s="3">
        <f>AVERAGE(data0!B79:AG79)</f>
        <v>0.11282176604757249</v>
      </c>
      <c r="AT84" s="3">
        <f>STDEV(data0!B79:AG79)</f>
        <v>0.15705479153569865</v>
      </c>
      <c r="AU84" s="3">
        <f>AVERAGE(data1!B79:AG79)</f>
        <v>9.1886608015640261E-2</v>
      </c>
      <c r="AV84" s="3">
        <f>STDEV(data1!B79:AG79)</f>
        <v>0.10890435563797032</v>
      </c>
      <c r="AW84" s="9">
        <f>AVERAGE(data2!B79:AG79)</f>
        <v>0.36540520411488148</v>
      </c>
      <c r="AX84" s="9">
        <f>STDEV(data2!B79:AG79)</f>
        <v>0.24864077526938005</v>
      </c>
      <c r="AY84" s="9">
        <f>AVERAGE(data3!B79:AG79)</f>
        <v>0.35429564461822527</v>
      </c>
      <c r="AZ84" s="9">
        <f>STDEV(data3!B79:AG79)</f>
        <v>0.18831390417763372</v>
      </c>
      <c r="BA84">
        <f t="shared" si="82"/>
        <v>1.2278368794326242</v>
      </c>
      <c r="BB84">
        <f t="shared" si="83"/>
        <v>0.25146496815286623</v>
      </c>
      <c r="BC84">
        <f t="shared" si="84"/>
        <v>1.0313567487080668</v>
      </c>
    </row>
    <row r="85" spans="44:55">
      <c r="AR85" s="6">
        <f t="shared" si="81"/>
        <v>156</v>
      </c>
      <c r="AS85" s="3">
        <f>AVERAGE(data0!B80:AG80)</f>
        <v>9.2945584881068743E-2</v>
      </c>
      <c r="AT85" s="3">
        <f>STDEV(data0!B80:AG80)</f>
        <v>0.13252377797072712</v>
      </c>
      <c r="AU85" s="3">
        <f>AVERAGE(data1!B80:AG80)</f>
        <v>0.10768980123818833</v>
      </c>
      <c r="AV85" s="3">
        <f>STDEV(data1!B80:AG80)</f>
        <v>0.12749000444086031</v>
      </c>
      <c r="AW85" s="9">
        <f>AVERAGE(data2!B80:AG80)</f>
        <v>0.35395428943816032</v>
      </c>
      <c r="AX85" s="9">
        <f>STDEV(data2!B80:AG80)</f>
        <v>0.2366610915844477</v>
      </c>
      <c r="AY85" s="9">
        <f>AVERAGE(data3!B80:AG80)</f>
        <v>0.3451178451178451</v>
      </c>
      <c r="AZ85" s="9">
        <f>STDEV(data3!B80:AG80)</f>
        <v>0.18580040671591125</v>
      </c>
      <c r="BA85">
        <f t="shared" si="82"/>
        <v>0.86308623298033282</v>
      </c>
      <c r="BB85">
        <f t="shared" si="83"/>
        <v>0.3042477643345608</v>
      </c>
      <c r="BC85">
        <f t="shared" si="84"/>
        <v>1.0256041362256938</v>
      </c>
    </row>
    <row r="86" spans="44:55">
      <c r="AR86" s="6">
        <f t="shared" si="81"/>
        <v>158</v>
      </c>
      <c r="AS86" s="3">
        <f>AVERAGE(data0!B81:AG81)</f>
        <v>9.196806777451938E-2</v>
      </c>
      <c r="AT86" s="3">
        <f>STDEV(data0!B81:AG81)</f>
        <v>0.12876367184935161</v>
      </c>
      <c r="AU86" s="3">
        <f>AVERAGE(data1!B81:AG81)</f>
        <v>0.11045943304007817</v>
      </c>
      <c r="AV86" s="3">
        <f>STDEV(data1!B81:AG81)</f>
        <v>0.12341094079939592</v>
      </c>
      <c r="AW86" s="9">
        <f>AVERAGE(data2!B81:AG81)</f>
        <v>0.36242610436158812</v>
      </c>
      <c r="AX86" s="9">
        <f>STDEV(data2!B81:AG81)</f>
        <v>0.25158143856814069</v>
      </c>
      <c r="AY86" s="9">
        <f>AVERAGE(data3!B81:AG81)</f>
        <v>0.35983490822200498</v>
      </c>
      <c r="AZ86" s="9">
        <f>STDEV(data3!B81:AG81)</f>
        <v>0.19409181862040775</v>
      </c>
      <c r="BA86">
        <f t="shared" si="82"/>
        <v>0.83259587020648984</v>
      </c>
      <c r="BB86">
        <f t="shared" si="83"/>
        <v>0.30477780631903417</v>
      </c>
      <c r="BC86">
        <f t="shared" si="84"/>
        <v>1.0072010693803628</v>
      </c>
    </row>
    <row r="87" spans="44:55">
      <c r="AR87" s="6">
        <f t="shared" si="81"/>
        <v>160</v>
      </c>
      <c r="AS87" s="3">
        <f>AVERAGE(data0!B82:AG82)</f>
        <v>7.7305311176278924E-2</v>
      </c>
      <c r="AT87" s="3">
        <f>STDEV(data0!B82:AG82)</f>
        <v>0.10672121550104642</v>
      </c>
      <c r="AU87" s="3">
        <f>AVERAGE(data1!B82:AG82)</f>
        <v>0.10720104268491364</v>
      </c>
      <c r="AV87" s="3">
        <f>STDEV(data1!B82:AG82)</f>
        <v>0.10164411843856595</v>
      </c>
      <c r="AW87" s="9">
        <f>AVERAGE(data2!B82:AG82)</f>
        <v>0.36838430386817478</v>
      </c>
      <c r="AX87" s="9">
        <f>STDEV(data2!B82:AG82)</f>
        <v>0.24303506862801719</v>
      </c>
      <c r="AY87" s="9">
        <f>AVERAGE(data3!B82:AG82)</f>
        <v>0.34772455740197672</v>
      </c>
      <c r="AZ87" s="9">
        <f>STDEV(data3!B82:AG82)</f>
        <v>0.18330153235184854</v>
      </c>
      <c r="BA87">
        <f t="shared" si="82"/>
        <v>0.72112462006079048</v>
      </c>
      <c r="BB87">
        <f t="shared" si="83"/>
        <v>0.29100328531715947</v>
      </c>
      <c r="BC87">
        <f t="shared" si="84"/>
        <v>1.0594141139198143</v>
      </c>
    </row>
    <row r="88" spans="44:55">
      <c r="AR88" s="6"/>
      <c r="AS88" s="3"/>
      <c r="AT88" s="3"/>
      <c r="AU88" s="3"/>
      <c r="AV88" s="3"/>
      <c r="AW88" s="9"/>
      <c r="AX88" s="9"/>
      <c r="AY88" s="9"/>
      <c r="AZ88" s="9"/>
    </row>
    <row r="89" spans="44:55">
      <c r="AR89" s="6"/>
      <c r="AS89" s="3"/>
      <c r="AT89" s="3"/>
      <c r="AU89" s="3"/>
      <c r="AV89" s="3"/>
      <c r="AW89" s="9"/>
      <c r="AX89" s="9"/>
      <c r="AY89" s="9"/>
      <c r="AZ89" s="9"/>
    </row>
    <row r="90" spans="44:55">
      <c r="AR90" s="6"/>
      <c r="AS90" s="3"/>
      <c r="AT90" s="3"/>
      <c r="AU90" s="3"/>
      <c r="AV90" s="3"/>
      <c r="AW90" s="9"/>
      <c r="AX90" s="9"/>
      <c r="AY90" s="9"/>
      <c r="AZ90" s="9"/>
    </row>
    <row r="91" spans="44:55">
      <c r="AR91" s="6"/>
      <c r="AS91" s="3"/>
      <c r="AT91" s="3"/>
      <c r="AU91" s="3"/>
      <c r="AV91" s="3"/>
      <c r="AW91" s="9"/>
      <c r="AX91" s="9"/>
      <c r="AY91" s="9"/>
      <c r="AZ91" s="9"/>
    </row>
    <row r="92" spans="44:55">
      <c r="AR92" s="6"/>
      <c r="AS92" s="3"/>
      <c r="AT92" s="3"/>
      <c r="AU92" s="3"/>
      <c r="AV92" s="3"/>
      <c r="AW92" s="9"/>
      <c r="AX92" s="9"/>
      <c r="AY92" s="9"/>
      <c r="AZ92" s="9"/>
    </row>
    <row r="93" spans="44:55">
      <c r="AR93" s="6"/>
      <c r="AS93" s="3"/>
      <c r="AT93" s="3"/>
      <c r="AU93" s="3"/>
      <c r="AV93" s="3"/>
      <c r="AW93" s="9"/>
      <c r="AX93" s="9"/>
      <c r="AY93" s="9"/>
      <c r="AZ93" s="9"/>
    </row>
    <row r="94" spans="44:55">
      <c r="AR94" s="6"/>
      <c r="AS94" s="3"/>
      <c r="AT94" s="3"/>
      <c r="AU94" s="3"/>
      <c r="AV94" s="3"/>
      <c r="AW94" s="9"/>
      <c r="AX94" s="9"/>
      <c r="AY94" s="9"/>
      <c r="AZ94" s="9"/>
    </row>
    <row r="95" spans="44:55">
      <c r="AR95" s="6"/>
      <c r="AS95" s="3"/>
      <c r="AT95" s="3"/>
      <c r="AU95" s="3"/>
      <c r="AV95" s="3"/>
      <c r="AW95" s="9"/>
      <c r="AX95" s="9"/>
      <c r="AY95" s="9"/>
      <c r="AZ95" s="9"/>
    </row>
    <row r="96" spans="44:55">
      <c r="AR96" s="6"/>
      <c r="AS96" s="3"/>
      <c r="AT96" s="3"/>
      <c r="AU96" s="3"/>
      <c r="AV96" s="3"/>
      <c r="AW96" s="9"/>
      <c r="AX96" s="9"/>
      <c r="AY96" s="9"/>
      <c r="AZ96" s="9"/>
    </row>
    <row r="97" spans="44:52">
      <c r="AR97" s="6"/>
      <c r="AS97" s="3"/>
      <c r="AT97" s="3"/>
      <c r="AU97" s="3"/>
      <c r="AV97" s="3"/>
      <c r="AW97" s="9"/>
      <c r="AX97" s="9"/>
      <c r="AY97" s="9"/>
      <c r="AZ97" s="9"/>
    </row>
    <row r="98" spans="44:52">
      <c r="AR98" s="6"/>
      <c r="AS98" s="3"/>
      <c r="AT98" s="3"/>
      <c r="AU98" s="3"/>
      <c r="AV98" s="3"/>
      <c r="AW98" s="9"/>
      <c r="AX98" s="9"/>
      <c r="AY98" s="9"/>
      <c r="AZ98" s="9"/>
    </row>
    <row r="99" spans="44:52">
      <c r="AR99" s="6"/>
      <c r="AS99" s="3"/>
      <c r="AT99" s="3"/>
      <c r="AU99" s="3"/>
      <c r="AV99" s="3"/>
      <c r="AW99" s="9"/>
      <c r="AX99" s="9"/>
      <c r="AY99" s="9"/>
      <c r="AZ99" s="9"/>
    </row>
    <row r="100" spans="44:52">
      <c r="AR100" s="6"/>
      <c r="AS100" s="3"/>
      <c r="AT100" s="3"/>
      <c r="AU100" s="3"/>
      <c r="AV100" s="3"/>
      <c r="AW100" s="9"/>
      <c r="AX100" s="9"/>
      <c r="AY100" s="9"/>
      <c r="AZ100" s="9"/>
    </row>
    <row r="101" spans="44:52">
      <c r="AR101" s="6"/>
      <c r="AS101" s="3"/>
      <c r="AT101" s="3"/>
      <c r="AU101" s="3"/>
      <c r="AV101" s="3"/>
      <c r="AW101" s="9"/>
      <c r="AX101" s="9"/>
      <c r="AY101" s="9"/>
      <c r="AZ101" s="9"/>
    </row>
    <row r="102" spans="44:52">
      <c r="AR102" s="6"/>
      <c r="AS102" s="3"/>
      <c r="AT102" s="3"/>
      <c r="AU102" s="3"/>
      <c r="AV102" s="3"/>
      <c r="AW102" s="9"/>
      <c r="AX102" s="9"/>
      <c r="AY102" s="9"/>
      <c r="AZ102" s="9"/>
    </row>
    <row r="103" spans="44:52">
      <c r="AR103" s="6"/>
      <c r="AS103" s="3"/>
      <c r="AT103" s="3"/>
      <c r="AU103" s="3"/>
      <c r="AV103" s="3"/>
      <c r="AW103" s="9"/>
      <c r="AX103" s="9"/>
      <c r="AY103" s="9"/>
      <c r="AZ103" s="9"/>
    </row>
    <row r="104" spans="44:52">
      <c r="AR104" s="6"/>
      <c r="AS104" s="3"/>
      <c r="AT104" s="3"/>
      <c r="AU104" s="3"/>
      <c r="AV104" s="3"/>
      <c r="AW104" s="9"/>
      <c r="AX104" s="9"/>
      <c r="AY104" s="9"/>
      <c r="AZ104" s="9"/>
    </row>
    <row r="105" spans="44:52">
      <c r="AR105" s="6"/>
      <c r="AS105" s="3"/>
      <c r="AT105" s="3"/>
      <c r="AU105" s="3"/>
      <c r="AV105" s="3"/>
      <c r="AW105" s="9"/>
      <c r="AX105" s="9"/>
      <c r="AY105" s="9"/>
      <c r="AZ105" s="9"/>
    </row>
    <row r="106" spans="44:52">
      <c r="AR106" s="6"/>
      <c r="AS106" s="3"/>
      <c r="AT106" s="3"/>
      <c r="AU106" s="3"/>
      <c r="AV106" s="3"/>
      <c r="AW106" s="9"/>
      <c r="AX106" s="9"/>
      <c r="AY106" s="9"/>
      <c r="AZ106" s="9"/>
    </row>
    <row r="107" spans="44:52">
      <c r="AR107" s="6"/>
      <c r="AS107" s="3"/>
      <c r="AT107" s="3"/>
      <c r="AU107" s="3"/>
      <c r="AV107" s="3"/>
      <c r="AW107" s="9"/>
      <c r="AX107" s="9"/>
      <c r="AY107" s="9"/>
      <c r="AZ107" s="9"/>
    </row>
    <row r="108" spans="44:52">
      <c r="AR108" s="6"/>
      <c r="AS108" s="3"/>
      <c r="AT108" s="3"/>
      <c r="AU108" s="3"/>
      <c r="AV108" s="3"/>
      <c r="AW108" s="9"/>
      <c r="AX108" s="9"/>
      <c r="AY108" s="9"/>
      <c r="AZ108" s="9"/>
    </row>
    <row r="109" spans="44:52">
      <c r="AR109" s="6"/>
      <c r="AS109" s="3"/>
      <c r="AT109" s="3"/>
      <c r="AU109" s="3"/>
      <c r="AV109" s="3"/>
      <c r="AW109" s="9"/>
      <c r="AX109" s="9"/>
      <c r="AY109" s="9"/>
      <c r="AZ109" s="9"/>
    </row>
    <row r="110" spans="44:52">
      <c r="AR110" s="6"/>
      <c r="AS110" s="3"/>
      <c r="AT110" s="3"/>
      <c r="AU110" s="3"/>
      <c r="AV110" s="3"/>
      <c r="AW110" s="9"/>
      <c r="AX110" s="9"/>
      <c r="AY110" s="9"/>
      <c r="AZ110" s="9"/>
    </row>
    <row r="111" spans="44:52">
      <c r="AR111" s="6"/>
      <c r="AS111" s="3"/>
      <c r="AT111" s="3"/>
      <c r="AU111" s="3"/>
      <c r="AV111" s="3"/>
      <c r="AW111" s="9"/>
      <c r="AX111" s="9"/>
      <c r="AY111" s="9"/>
      <c r="AZ111" s="9"/>
    </row>
    <row r="112" spans="44:52">
      <c r="AR112" s="6"/>
      <c r="AS112" s="3"/>
      <c r="AT112" s="3"/>
      <c r="AU112" s="3"/>
      <c r="AV112" s="3"/>
      <c r="AW112" s="9"/>
      <c r="AX112" s="9"/>
      <c r="AY112" s="9"/>
      <c r="AZ112" s="9"/>
    </row>
    <row r="113" spans="44:52">
      <c r="AR113" s="6"/>
      <c r="AS113" s="3"/>
      <c r="AT113" s="3"/>
      <c r="AU113" s="3"/>
      <c r="AV113" s="3"/>
      <c r="AW113" s="9"/>
      <c r="AX113" s="9"/>
      <c r="AY113" s="9"/>
      <c r="AZ113" s="9"/>
    </row>
    <row r="114" spans="44:52">
      <c r="AR114" s="6"/>
      <c r="AS114" s="3"/>
      <c r="AT114" s="3"/>
      <c r="AU114" s="3"/>
      <c r="AV114" s="3"/>
      <c r="AW114" s="9"/>
      <c r="AX114" s="9"/>
      <c r="AY114" s="9"/>
      <c r="AZ114" s="9"/>
    </row>
    <row r="115" spans="44:52">
      <c r="AR115" s="6"/>
      <c r="AS115" s="3"/>
      <c r="AT115" s="3"/>
      <c r="AU115" s="3"/>
      <c r="AV115" s="3"/>
      <c r="AW115" s="9"/>
      <c r="AX115" s="9"/>
      <c r="AY115" s="9"/>
      <c r="AZ115" s="9"/>
    </row>
    <row r="116" spans="44:52">
      <c r="AR116" s="6"/>
      <c r="AS116" s="3"/>
      <c r="AT116" s="3"/>
      <c r="AU116" s="3"/>
      <c r="AV116" s="3"/>
      <c r="AW116" s="9"/>
      <c r="AX116" s="9"/>
      <c r="AY116" s="9"/>
      <c r="AZ116" s="9"/>
    </row>
    <row r="117" spans="44:52">
      <c r="AR117" s="6"/>
      <c r="AS117" s="3"/>
      <c r="AT117" s="3"/>
      <c r="AU117" s="3"/>
      <c r="AV117" s="3"/>
      <c r="AW117" s="9"/>
      <c r="AX117" s="9"/>
      <c r="AY117" s="9"/>
      <c r="AZ117" s="9"/>
    </row>
    <row r="118" spans="44:52">
      <c r="AR118" s="6"/>
      <c r="AS118" s="3"/>
      <c r="AT118" s="3"/>
      <c r="AU118" s="3"/>
      <c r="AV118" s="3"/>
      <c r="AW118" s="9"/>
      <c r="AX118" s="9"/>
      <c r="AY118" s="9"/>
      <c r="AZ118" s="9"/>
    </row>
    <row r="119" spans="44:52">
      <c r="AR119" s="6"/>
      <c r="AS119" s="3"/>
      <c r="AT119" s="3"/>
      <c r="AU119" s="3"/>
      <c r="AV119" s="3"/>
      <c r="AW119" s="9"/>
      <c r="AX119" s="9"/>
      <c r="AY119" s="9"/>
      <c r="AZ119" s="9"/>
    </row>
    <row r="120" spans="44:52">
      <c r="AR120" s="6"/>
      <c r="AS120" s="3"/>
      <c r="AT120" s="3"/>
      <c r="AU120" s="3"/>
      <c r="AV120" s="3"/>
      <c r="AW120" s="9"/>
      <c r="AX120" s="9"/>
      <c r="AY120" s="9"/>
      <c r="AZ120" s="9"/>
    </row>
    <row r="121" spans="44:52">
      <c r="AR121" s="6"/>
      <c r="AS121" s="3"/>
      <c r="AT121" s="3"/>
      <c r="AU121" s="3"/>
      <c r="AV121" s="3"/>
      <c r="AW121" s="9"/>
      <c r="AX121" s="9"/>
      <c r="AY121" s="9"/>
      <c r="AZ121" s="9"/>
    </row>
    <row r="122" spans="44:52">
      <c r="AR122" s="6"/>
      <c r="AS122" s="3"/>
      <c r="AT122" s="3"/>
      <c r="AU122" s="3"/>
      <c r="AV122" s="3"/>
      <c r="AW122" s="9"/>
      <c r="AX122" s="9"/>
      <c r="AY122" s="9"/>
      <c r="AZ122" s="9"/>
    </row>
    <row r="123" spans="44:52">
      <c r="AR123" s="6"/>
      <c r="AS123" s="3"/>
      <c r="AT123" s="3"/>
      <c r="AU123" s="3"/>
      <c r="AV123" s="3"/>
      <c r="AW123" s="9"/>
      <c r="AX123" s="9"/>
      <c r="AY123" s="9"/>
      <c r="AZ123" s="9"/>
    </row>
    <row r="124" spans="44:52">
      <c r="AR124" s="6"/>
      <c r="AS124" s="3"/>
      <c r="AT124" s="3"/>
      <c r="AU124" s="3"/>
      <c r="AV124" s="3"/>
      <c r="AW124" s="9"/>
      <c r="AX124" s="9"/>
      <c r="AY124" s="9"/>
      <c r="AZ124" s="9"/>
    </row>
    <row r="125" spans="44:52">
      <c r="AR125" s="6"/>
      <c r="AS125" s="3"/>
      <c r="AT125" s="3"/>
      <c r="AU125" s="3"/>
      <c r="AV125" s="3"/>
      <c r="AW125" s="9"/>
      <c r="AX125" s="9"/>
      <c r="AY125" s="9"/>
      <c r="AZ125" s="9"/>
    </row>
    <row r="126" spans="44:52">
      <c r="AR126" s="6"/>
      <c r="AS126" s="3"/>
      <c r="AT126" s="3"/>
      <c r="AU126" s="3"/>
      <c r="AV126" s="3"/>
      <c r="AW126" s="9"/>
      <c r="AX126" s="9"/>
      <c r="AY126" s="9"/>
      <c r="AZ126" s="9"/>
    </row>
    <row r="127" spans="44:52">
      <c r="AR127" s="6"/>
      <c r="AS127" s="3"/>
      <c r="AT127" s="3"/>
      <c r="AU127" s="3"/>
      <c r="AV127" s="3"/>
      <c r="AW127" s="9"/>
      <c r="AX127" s="9"/>
      <c r="AY127" s="9"/>
      <c r="AZ127" s="9"/>
    </row>
    <row r="128" spans="44:52">
      <c r="AR128" s="6"/>
      <c r="AS128" s="3"/>
      <c r="AT128" s="3"/>
      <c r="AU128" s="3"/>
      <c r="AV128" s="3"/>
      <c r="AW128" s="9"/>
      <c r="AX128" s="9"/>
      <c r="AY128" s="9"/>
      <c r="AZ128" s="9"/>
    </row>
    <row r="129" spans="44:52">
      <c r="AR129" s="6"/>
      <c r="AS129" s="3"/>
      <c r="AT129" s="3"/>
      <c r="AU129" s="3"/>
      <c r="AV129" s="3"/>
      <c r="AW129" s="9"/>
      <c r="AX129" s="9"/>
      <c r="AY129" s="9"/>
      <c r="AZ129" s="9"/>
    </row>
    <row r="130" spans="44:52">
      <c r="AR130" s="6"/>
      <c r="AS130" s="3"/>
      <c r="AT130" s="3"/>
      <c r="AU130" s="3"/>
      <c r="AV130" s="3"/>
      <c r="AW130" s="9"/>
      <c r="AX130" s="9"/>
      <c r="AY130" s="9"/>
      <c r="AZ130" s="9"/>
    </row>
    <row r="131" spans="44:52">
      <c r="AR131" s="6"/>
      <c r="AS131" s="3"/>
      <c r="AT131" s="3"/>
      <c r="AU131" s="3"/>
      <c r="AV131" s="3"/>
      <c r="AW131" s="9"/>
      <c r="AX131" s="9"/>
      <c r="AY131" s="9"/>
      <c r="AZ131" s="9"/>
    </row>
    <row r="132" spans="44:52">
      <c r="AR132" s="6"/>
      <c r="AS132" s="3"/>
      <c r="AT132" s="3"/>
      <c r="AU132" s="3"/>
      <c r="AV132" s="3"/>
      <c r="AW132" s="9"/>
      <c r="AX132" s="9"/>
      <c r="AY132" s="9"/>
      <c r="AZ132" s="9"/>
    </row>
    <row r="133" spans="44:52">
      <c r="AR133" s="6"/>
      <c r="AS133" s="3"/>
      <c r="AT133" s="3"/>
      <c r="AU133" s="3"/>
      <c r="AV133" s="3"/>
      <c r="AW133" s="9"/>
      <c r="AX133" s="9"/>
      <c r="AY133" s="9"/>
      <c r="AZ133" s="9"/>
    </row>
    <row r="134" spans="44:52">
      <c r="AR134" s="6"/>
      <c r="AS134" s="3"/>
      <c r="AT134" s="3"/>
      <c r="AU134" s="3"/>
      <c r="AV134" s="3"/>
      <c r="AW134" s="9"/>
      <c r="AX134" s="9"/>
      <c r="AY134" s="9"/>
      <c r="AZ134" s="9"/>
    </row>
    <row r="135" spans="44:52">
      <c r="AR135" s="6"/>
      <c r="AS135" s="3"/>
      <c r="AT135" s="3"/>
      <c r="AU135" s="3"/>
      <c r="AV135" s="3"/>
      <c r="AW135" s="9"/>
      <c r="AX135" s="9"/>
      <c r="AY135" s="9"/>
      <c r="AZ135" s="9"/>
    </row>
    <row r="136" spans="44:52">
      <c r="AR136" s="6"/>
      <c r="AS136" s="3"/>
      <c r="AT136" s="3"/>
      <c r="AU136" s="3"/>
      <c r="AV136" s="3"/>
      <c r="AW136" s="9"/>
      <c r="AX136" s="9"/>
      <c r="AY136" s="9"/>
      <c r="AZ136" s="9"/>
    </row>
    <row r="137" spans="44:52">
      <c r="AR137" s="6"/>
      <c r="AS137" s="3"/>
      <c r="AT137" s="3"/>
      <c r="AU137" s="3"/>
      <c r="AV137" s="3"/>
      <c r="AW137" s="9"/>
      <c r="AX137" s="9"/>
      <c r="AY137" s="9"/>
      <c r="AZ137" s="9"/>
    </row>
    <row r="138" spans="44:52">
      <c r="AR138" s="6"/>
      <c r="AS138" s="3"/>
      <c r="AT138" s="3"/>
      <c r="AU138" s="3"/>
      <c r="AV138" s="3"/>
      <c r="AW138" s="9"/>
      <c r="AX138" s="9"/>
      <c r="AY138" s="9"/>
      <c r="AZ138" s="9"/>
    </row>
    <row r="139" spans="44:52">
      <c r="AR139" s="6"/>
      <c r="AS139" s="3"/>
      <c r="AT139" s="3"/>
      <c r="AU139" s="3"/>
      <c r="AV139" s="3"/>
      <c r="AW139" s="9"/>
      <c r="AX139" s="9"/>
      <c r="AY139" s="9"/>
      <c r="AZ139" s="9"/>
    </row>
    <row r="140" spans="44:52">
      <c r="AR140" s="6"/>
      <c r="AS140" s="3"/>
      <c r="AT140" s="3"/>
      <c r="AU140" s="3"/>
      <c r="AV140" s="3"/>
      <c r="AW140" s="9"/>
      <c r="AX140" s="9"/>
      <c r="AY140" s="9"/>
      <c r="AZ140" s="9"/>
    </row>
    <row r="141" spans="44:52">
      <c r="AR141" s="6"/>
      <c r="AS141" s="3"/>
      <c r="AT141" s="3"/>
      <c r="AU141" s="3"/>
      <c r="AV141" s="3"/>
      <c r="AW141" s="9"/>
      <c r="AX141" s="9"/>
      <c r="AY141" s="9"/>
      <c r="AZ141" s="9"/>
    </row>
    <row r="142" spans="44:52">
      <c r="AR142" s="6"/>
      <c r="AS142" s="3"/>
      <c r="AT142" s="3"/>
      <c r="AU142" s="3"/>
      <c r="AV142" s="3"/>
      <c r="AW142" s="9"/>
      <c r="AX142" s="9"/>
      <c r="AY142" s="9"/>
      <c r="AZ142" s="9"/>
    </row>
    <row r="143" spans="44:52">
      <c r="AR143" s="6"/>
      <c r="AS143" s="3"/>
      <c r="AT143" s="3"/>
      <c r="AU143" s="3"/>
      <c r="AV143" s="3"/>
      <c r="AW143" s="9"/>
      <c r="AX143" s="9"/>
      <c r="AY143" s="9"/>
      <c r="AZ143" s="9"/>
    </row>
    <row r="144" spans="44:52">
      <c r="AR144" s="6"/>
      <c r="AS144" s="3"/>
      <c r="AT144" s="3"/>
      <c r="AU144" s="3"/>
      <c r="AV144" s="3"/>
      <c r="AW144" s="9"/>
      <c r="AX144" s="9"/>
      <c r="AY144" s="9"/>
      <c r="AZ144" s="9"/>
    </row>
    <row r="145" spans="44:52">
      <c r="AR145" s="6"/>
      <c r="AS145" s="3"/>
      <c r="AT145" s="3"/>
      <c r="AU145" s="3"/>
      <c r="AV145" s="3"/>
      <c r="AW145" s="9"/>
      <c r="AX145" s="9"/>
      <c r="AY145" s="9"/>
      <c r="AZ145" s="9"/>
    </row>
    <row r="146" spans="44:52">
      <c r="AR146" s="6"/>
      <c r="AS146" s="3"/>
      <c r="AT146" s="3"/>
      <c r="AU146" s="3"/>
      <c r="AV146" s="3"/>
      <c r="AW146" s="9"/>
      <c r="AX146" s="9"/>
      <c r="AY146" s="9"/>
      <c r="AZ146" s="9"/>
    </row>
    <row r="147" spans="44:52">
      <c r="AR147" s="6"/>
      <c r="AS147" s="3"/>
      <c r="AT147" s="3"/>
      <c r="AU147" s="3"/>
      <c r="AV147" s="3"/>
      <c r="AW147" s="9"/>
      <c r="AX147" s="9"/>
      <c r="AY147" s="9"/>
      <c r="AZ147" s="9"/>
    </row>
    <row r="148" spans="44:52">
      <c r="AR148" s="6"/>
      <c r="AS148" s="3"/>
      <c r="AT148" s="3"/>
      <c r="AU148" s="3"/>
      <c r="AV148" s="3"/>
      <c r="AW148" s="9"/>
      <c r="AX148" s="9"/>
      <c r="AY148" s="9"/>
      <c r="AZ148" s="9"/>
    </row>
    <row r="149" spans="44:52">
      <c r="AR149" s="6"/>
      <c r="AS149" s="3"/>
      <c r="AT149" s="3"/>
      <c r="AU149" s="3"/>
      <c r="AV149" s="3"/>
      <c r="AW149" s="9"/>
      <c r="AX149" s="9"/>
      <c r="AY149" s="9"/>
      <c r="AZ149" s="9"/>
    </row>
    <row r="150" spans="44:52">
      <c r="AR150" s="6"/>
      <c r="AS150" s="3"/>
      <c r="AT150" s="3"/>
      <c r="AU150" s="3"/>
      <c r="AV150" s="3"/>
      <c r="AW150" s="9"/>
      <c r="AX150" s="9"/>
      <c r="AY150" s="9"/>
      <c r="AZ150" s="9"/>
    </row>
    <row r="151" spans="44:52">
      <c r="AR151" s="6"/>
      <c r="AS151" s="3"/>
      <c r="AT151" s="3"/>
      <c r="AU151" s="3"/>
      <c r="AV151" s="3"/>
      <c r="AW151" s="9"/>
      <c r="AX151" s="9"/>
      <c r="AY151" s="9"/>
      <c r="AZ151" s="9"/>
    </row>
    <row r="152" spans="44:52">
      <c r="AR152" s="6"/>
      <c r="AS152" s="3"/>
      <c r="AT152" s="3"/>
      <c r="AU152" s="3"/>
      <c r="AV152" s="3"/>
      <c r="AW152" s="9"/>
      <c r="AX152" s="9"/>
      <c r="AY152" s="9"/>
      <c r="AZ152" s="9"/>
    </row>
    <row r="153" spans="44:52">
      <c r="AR153" s="6"/>
      <c r="AS153" s="3"/>
      <c r="AT153" s="3"/>
      <c r="AU153" s="3"/>
      <c r="AV153" s="3"/>
      <c r="AW153" s="9"/>
      <c r="AX153" s="9"/>
      <c r="AY153" s="9"/>
      <c r="AZ153" s="9"/>
    </row>
    <row r="154" spans="44:52">
      <c r="AR154" s="6"/>
      <c r="AS154" s="3"/>
      <c r="AT154" s="3"/>
      <c r="AU154" s="3"/>
      <c r="AV154" s="3"/>
      <c r="AW154" s="9"/>
      <c r="AX154" s="9"/>
      <c r="AY154" s="9"/>
      <c r="AZ154" s="9"/>
    </row>
    <row r="155" spans="44:52">
      <c r="AR155" s="6"/>
      <c r="AS155" s="3"/>
      <c r="AT155" s="3"/>
      <c r="AU155" s="3"/>
      <c r="AV155" s="3"/>
      <c r="AW155" s="9"/>
      <c r="AX155" s="9"/>
      <c r="AY155" s="9"/>
      <c r="AZ155" s="9"/>
    </row>
    <row r="156" spans="44:52">
      <c r="AR156" s="6"/>
      <c r="AS156" s="3"/>
      <c r="AT156" s="3"/>
      <c r="AU156" s="3"/>
      <c r="AV156" s="3"/>
      <c r="AW156" s="9"/>
      <c r="AX156" s="9"/>
      <c r="AY156" s="9"/>
      <c r="AZ156" s="9"/>
    </row>
    <row r="157" spans="44:52">
      <c r="AR157" s="6"/>
      <c r="AS157" s="3"/>
      <c r="AT157" s="3"/>
      <c r="AU157" s="3"/>
      <c r="AV157" s="3"/>
      <c r="AW157" s="9"/>
      <c r="AX157" s="9"/>
      <c r="AY157" s="9"/>
      <c r="AZ157" s="9"/>
    </row>
    <row r="158" spans="44:52">
      <c r="AR158" s="6"/>
      <c r="AS158" s="3"/>
      <c r="AT158" s="3"/>
      <c r="AU158" s="3"/>
      <c r="AV158" s="3"/>
      <c r="AW158" s="9"/>
      <c r="AX158" s="9"/>
      <c r="AY158" s="9"/>
      <c r="AZ158" s="9"/>
    </row>
    <row r="159" spans="44:52">
      <c r="AR159" s="6"/>
      <c r="AS159" s="3"/>
      <c r="AT159" s="3"/>
      <c r="AU159" s="3"/>
      <c r="AV159" s="3"/>
      <c r="AW159" s="9"/>
      <c r="AX159" s="9"/>
      <c r="AY159" s="9"/>
      <c r="AZ159" s="9"/>
    </row>
    <row r="160" spans="44:52">
      <c r="AR160" s="6"/>
      <c r="AS160" s="3"/>
      <c r="AT160" s="3"/>
      <c r="AU160" s="3"/>
      <c r="AV160" s="3"/>
      <c r="AW160" s="9"/>
      <c r="AX160" s="9"/>
      <c r="AY160" s="9"/>
      <c r="AZ160" s="9"/>
    </row>
    <row r="161" spans="28:52">
      <c r="AR161" s="6"/>
      <c r="AS161" s="3"/>
      <c r="AT161" s="3"/>
      <c r="AU161" s="3"/>
      <c r="AV161" s="3"/>
      <c r="AW161" s="9"/>
      <c r="AX161" s="9"/>
      <c r="AY161" s="9"/>
      <c r="AZ161" s="9"/>
    </row>
    <row r="162" spans="28:52">
      <c r="AR162" s="6"/>
      <c r="AS162" s="3"/>
      <c r="AT162" s="3"/>
      <c r="AU162" s="3"/>
      <c r="AV162" s="3"/>
      <c r="AW162" s="9"/>
      <c r="AX162" s="9"/>
      <c r="AY162" s="9"/>
      <c r="AZ162" s="9"/>
    </row>
    <row r="163" spans="28:52">
      <c r="AR163" s="6"/>
      <c r="AS163" s="3"/>
      <c r="AT163" s="3"/>
      <c r="AU163" s="3"/>
      <c r="AV163" s="3"/>
      <c r="AW163" s="9"/>
      <c r="AX163" s="9"/>
      <c r="AY163" s="9"/>
      <c r="AZ163" s="9"/>
    </row>
    <row r="164" spans="28:52">
      <c r="AR164" s="6"/>
      <c r="AS164" s="3"/>
      <c r="AT164" s="3"/>
      <c r="AU164" s="3"/>
      <c r="AV164" s="3"/>
      <c r="AW164" s="9"/>
      <c r="AX164" s="9"/>
      <c r="AY164" s="9"/>
      <c r="AZ164" s="9"/>
    </row>
    <row r="165" spans="28:52">
      <c r="AR165" s="6"/>
      <c r="AS165" s="3"/>
      <c r="AT165" s="3"/>
      <c r="AU165" s="3"/>
      <c r="AV165" s="3"/>
      <c r="AW165" s="9"/>
      <c r="AX165" s="9"/>
      <c r="AY165" s="9"/>
      <c r="AZ165" s="9"/>
    </row>
    <row r="166" spans="28:52">
      <c r="AB166" s="3"/>
      <c r="AC166" s="3"/>
      <c r="AD166" s="3"/>
      <c r="AE166" s="3"/>
      <c r="AR166" s="6"/>
      <c r="AS166" s="3"/>
      <c r="AT166" s="3"/>
      <c r="AU166" s="3"/>
      <c r="AV166" s="3"/>
      <c r="AW166" s="9"/>
      <c r="AX166" s="9"/>
      <c r="AY166" s="9"/>
      <c r="AZ166" s="9"/>
    </row>
    <row r="167" spans="28:52">
      <c r="AB167" s="3"/>
      <c r="AC167" s="3"/>
      <c r="AD167" s="3"/>
      <c r="AE167" s="3"/>
      <c r="AR167" s="6"/>
      <c r="AS167" s="3"/>
      <c r="AT167" s="3"/>
      <c r="AU167" s="3"/>
      <c r="AV167" s="3"/>
      <c r="AW167" s="9"/>
      <c r="AX167" s="9"/>
      <c r="AY167" s="9"/>
      <c r="AZ167" s="9"/>
    </row>
    <row r="168" spans="28:52">
      <c r="AB168" s="3"/>
      <c r="AC168" s="3"/>
      <c r="AD168" s="3"/>
      <c r="AE168" s="3"/>
    </row>
    <row r="169" spans="28:52">
      <c r="AB169" s="3"/>
      <c r="AC169" s="3"/>
      <c r="AD169" s="3"/>
      <c r="AE169" s="3"/>
    </row>
  </sheetData>
  <sortState ref="I26:I34">
    <sortCondition ref="I25"/>
  </sortState>
  <mergeCells count="11">
    <mergeCell ref="H25:J25"/>
    <mergeCell ref="BA5:BC5"/>
    <mergeCell ref="J9:S9"/>
    <mergeCell ref="J16:S16"/>
    <mergeCell ref="AW5:AX5"/>
    <mergeCell ref="AY5:AZ5"/>
    <mergeCell ref="J1:O1"/>
    <mergeCell ref="T1:Y1"/>
    <mergeCell ref="J2:S2"/>
    <mergeCell ref="AS5:AT5"/>
    <mergeCell ref="AU5:AV5"/>
  </mergeCells>
  <pageMargins left="0.7" right="0.7" top="0.75" bottom="0.75" header="0.3" footer="0.3"/>
  <pageSetup orientation="portrait" r:id="rId1"/>
  <ignoredErrors>
    <ignoredError sqref="B2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G161"/>
  <sheetViews>
    <sheetView zoomScale="80" zoomScaleNormal="80" workbookViewId="0">
      <pane ySplit="7200" topLeftCell="A75"/>
      <selection activeCell="K3" sqref="K3"/>
      <selection pane="bottomLeft" activeCell="A84" sqref="A84:XFD84"/>
    </sheetView>
  </sheetViews>
  <sheetFormatPr defaultRowHeight="15"/>
  <cols>
    <col min="1" max="1" width="10.85546875" bestFit="1" customWidth="1"/>
    <col min="2" max="32" width="6" customWidth="1"/>
    <col min="33" max="33" width="6" bestFit="1" customWidth="1"/>
  </cols>
  <sheetData>
    <row r="1" spans="1:33">
      <c r="A1">
        <v>250</v>
      </c>
      <c r="B1">
        <v>32</v>
      </c>
      <c r="C1">
        <f>B1/2</f>
        <v>16</v>
      </c>
      <c r="D1">
        <f t="shared" ref="D1:G1" si="0">C1/2</f>
        <v>8</v>
      </c>
      <c r="E1">
        <f t="shared" si="0"/>
        <v>4</v>
      </c>
      <c r="F1">
        <f t="shared" si="0"/>
        <v>2</v>
      </c>
      <c r="G1">
        <f t="shared" si="0"/>
        <v>1</v>
      </c>
      <c r="H1">
        <v>6</v>
      </c>
      <c r="I1">
        <f t="shared" ref="I1" si="1">H1+1</f>
        <v>7</v>
      </c>
      <c r="J1">
        <f t="shared" ref="J1" si="2">I1+1</f>
        <v>8</v>
      </c>
      <c r="K1">
        <f t="shared" ref="K1" si="3">J1+1</f>
        <v>9</v>
      </c>
      <c r="L1">
        <v>32</v>
      </c>
      <c r="M1">
        <f>L1/2</f>
        <v>16</v>
      </c>
      <c r="N1">
        <f t="shared" ref="N1:Q1" si="4">M1/2</f>
        <v>8</v>
      </c>
      <c r="O1">
        <f t="shared" si="4"/>
        <v>4</v>
      </c>
      <c r="P1">
        <f t="shared" si="4"/>
        <v>2</v>
      </c>
      <c r="Q1">
        <f t="shared" si="4"/>
        <v>1</v>
      </c>
      <c r="R1">
        <v>16</v>
      </c>
      <c r="S1">
        <f t="shared" ref="S1:AG1" si="5">R1+1</f>
        <v>17</v>
      </c>
      <c r="T1">
        <f t="shared" si="5"/>
        <v>18</v>
      </c>
      <c r="U1">
        <f t="shared" si="5"/>
        <v>19</v>
      </c>
      <c r="V1">
        <f t="shared" si="5"/>
        <v>20</v>
      </c>
      <c r="W1">
        <f t="shared" si="5"/>
        <v>21</v>
      </c>
      <c r="X1">
        <f t="shared" si="5"/>
        <v>22</v>
      </c>
      <c r="Y1">
        <f t="shared" si="5"/>
        <v>23</v>
      </c>
      <c r="Z1">
        <f t="shared" si="5"/>
        <v>24</v>
      </c>
      <c r="AA1">
        <f t="shared" si="5"/>
        <v>25</v>
      </c>
      <c r="AB1">
        <f t="shared" si="5"/>
        <v>26</v>
      </c>
      <c r="AC1">
        <f t="shared" si="5"/>
        <v>27</v>
      </c>
      <c r="AD1">
        <f t="shared" si="5"/>
        <v>28</v>
      </c>
      <c r="AE1">
        <f t="shared" si="5"/>
        <v>29</v>
      </c>
      <c r="AF1">
        <f t="shared" si="5"/>
        <v>30</v>
      </c>
      <c r="AG1">
        <f t="shared" si="5"/>
        <v>31</v>
      </c>
    </row>
    <row r="2" spans="1:33">
      <c r="A2" s="5">
        <f>Calculations!B3</f>
        <v>0</v>
      </c>
      <c r="B2" s="2">
        <v>0</v>
      </c>
      <c r="C2" s="2">
        <v>0</v>
      </c>
      <c r="D2" s="2">
        <v>0</v>
      </c>
      <c r="E2" s="2">
        <v>0</v>
      </c>
      <c r="F2" s="2">
        <v>1.9550342130987292E-2</v>
      </c>
      <c r="G2" s="2">
        <v>7.8201368523949169E-3</v>
      </c>
      <c r="H2" s="2"/>
      <c r="I2" s="2"/>
      <c r="J2" s="2"/>
      <c r="K2" s="2"/>
      <c r="L2" s="2">
        <v>0.999</v>
      </c>
      <c r="M2" s="2">
        <v>0.999</v>
      </c>
      <c r="N2" s="2">
        <v>0.999</v>
      </c>
      <c r="O2" s="2">
        <v>0.999</v>
      </c>
      <c r="P2" s="2">
        <v>0.999</v>
      </c>
      <c r="Q2" s="2">
        <v>0.56598240469208216</v>
      </c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3">
      <c r="A3" s="5">
        <f>A2+Calculations!$B$4</f>
        <v>2</v>
      </c>
      <c r="B3" s="2">
        <v>0.999</v>
      </c>
      <c r="C3" s="2">
        <v>0.999</v>
      </c>
      <c r="D3" s="2">
        <v>0.999</v>
      </c>
      <c r="E3" s="2">
        <v>0.999</v>
      </c>
      <c r="F3" s="2">
        <v>0.999</v>
      </c>
      <c r="G3" s="2">
        <v>0.999</v>
      </c>
      <c r="H3" s="2"/>
      <c r="I3" s="2"/>
      <c r="J3" s="2"/>
      <c r="K3" s="2"/>
      <c r="L3" s="2">
        <v>0.999</v>
      </c>
      <c r="M3" s="2">
        <v>0.999</v>
      </c>
      <c r="N3" s="2">
        <v>0.999</v>
      </c>
      <c r="O3" s="2">
        <v>0.999</v>
      </c>
      <c r="P3" s="2">
        <v>0.999</v>
      </c>
      <c r="Q3" s="2">
        <v>0.999</v>
      </c>
      <c r="R3" s="2"/>
      <c r="S3" s="2"/>
      <c r="T3" s="2"/>
      <c r="U3" s="2" t="s">
        <v>26</v>
      </c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4" spans="1:33">
      <c r="A4" s="5">
        <f>A3+Calculations!$B$4</f>
        <v>4</v>
      </c>
      <c r="B4" s="2">
        <v>0.999</v>
      </c>
      <c r="C4" s="2">
        <v>0.999</v>
      </c>
      <c r="D4" s="2">
        <v>0.999</v>
      </c>
      <c r="E4" s="2">
        <v>0.999</v>
      </c>
      <c r="F4" s="2">
        <v>0.999</v>
      </c>
      <c r="G4" s="2">
        <v>0.999</v>
      </c>
      <c r="H4" s="2"/>
      <c r="I4" s="2"/>
      <c r="J4" s="2"/>
      <c r="K4" s="2"/>
      <c r="L4" s="2">
        <v>0.999</v>
      </c>
      <c r="M4" s="2">
        <v>0.999</v>
      </c>
      <c r="N4" s="2">
        <v>0.999</v>
      </c>
      <c r="O4" s="2">
        <v>0.999</v>
      </c>
      <c r="P4" s="2">
        <v>0.999</v>
      </c>
      <c r="Q4" s="2">
        <v>0.999</v>
      </c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</row>
    <row r="5" spans="1:33">
      <c r="A5" s="5">
        <f>A4+Calculations!$B$4</f>
        <v>6</v>
      </c>
      <c r="B5" s="2">
        <v>0.999</v>
      </c>
      <c r="C5" s="2">
        <v>0.999</v>
      </c>
      <c r="D5" s="2">
        <v>0.999</v>
      </c>
      <c r="E5" s="2">
        <v>0.999</v>
      </c>
      <c r="F5" s="2">
        <v>0.999</v>
      </c>
      <c r="G5" s="2">
        <v>0.999</v>
      </c>
      <c r="H5" s="2"/>
      <c r="I5" s="2"/>
      <c r="J5" s="2"/>
      <c r="K5" s="2"/>
      <c r="L5" s="2">
        <v>0.999</v>
      </c>
      <c r="M5" s="2">
        <v>0.999</v>
      </c>
      <c r="N5" s="2">
        <v>0.999</v>
      </c>
      <c r="O5" s="2">
        <v>0.999</v>
      </c>
      <c r="P5" s="2">
        <v>0.999</v>
      </c>
      <c r="Q5" s="2">
        <v>0.999</v>
      </c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</row>
    <row r="6" spans="1:33">
      <c r="A6" s="5">
        <f>A5+Calculations!$B$4</f>
        <v>8</v>
      </c>
      <c r="B6" s="2">
        <v>0.999</v>
      </c>
      <c r="C6" s="2">
        <v>0.999</v>
      </c>
      <c r="D6" s="2">
        <v>0.999</v>
      </c>
      <c r="E6" s="2">
        <v>0.999</v>
      </c>
      <c r="F6" s="2">
        <v>0.999</v>
      </c>
      <c r="G6" s="2">
        <v>0.999</v>
      </c>
      <c r="H6" s="2"/>
      <c r="I6" s="2"/>
      <c r="J6" s="2"/>
      <c r="K6" s="2"/>
      <c r="L6" s="2">
        <v>0.999</v>
      </c>
      <c r="M6" s="2">
        <v>0.999</v>
      </c>
      <c r="N6" s="2">
        <v>0.999</v>
      </c>
      <c r="O6" s="2">
        <v>0.999</v>
      </c>
      <c r="P6" s="2">
        <v>0.999</v>
      </c>
      <c r="Q6" s="2">
        <v>0.999</v>
      </c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7" spans="1:33">
      <c r="A7" s="5">
        <f>A6+Calculations!$B$4</f>
        <v>10</v>
      </c>
      <c r="B7" s="2">
        <v>0.999</v>
      </c>
      <c r="C7" s="2">
        <v>0.999</v>
      </c>
      <c r="D7" s="2">
        <v>0.999</v>
      </c>
      <c r="E7" s="2">
        <v>0.999</v>
      </c>
      <c r="F7" s="2">
        <v>0.999</v>
      </c>
      <c r="G7" s="2">
        <v>0.999</v>
      </c>
      <c r="H7" s="2"/>
      <c r="I7" s="2"/>
      <c r="J7" s="2"/>
      <c r="K7" s="2"/>
      <c r="L7" s="2">
        <v>0.999</v>
      </c>
      <c r="M7" s="2">
        <v>0.999</v>
      </c>
      <c r="N7" s="2">
        <v>0.999</v>
      </c>
      <c r="O7" s="2">
        <v>0.999</v>
      </c>
      <c r="P7" s="2">
        <v>0.999</v>
      </c>
      <c r="Q7" s="2">
        <v>0.999</v>
      </c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</row>
    <row r="8" spans="1:33">
      <c r="A8" s="5">
        <f>A7+Calculations!$B$4</f>
        <v>12</v>
      </c>
      <c r="B8" s="2">
        <v>0.999</v>
      </c>
      <c r="C8" s="2">
        <v>0.999</v>
      </c>
      <c r="D8" s="2">
        <v>0.999</v>
      </c>
      <c r="E8" s="2">
        <v>0.999</v>
      </c>
      <c r="F8" s="2">
        <v>0.999</v>
      </c>
      <c r="G8" s="2">
        <v>0.999</v>
      </c>
      <c r="H8" s="2"/>
      <c r="I8" s="2"/>
      <c r="J8" s="2"/>
      <c r="K8" s="2"/>
      <c r="L8" s="2">
        <v>0.999</v>
      </c>
      <c r="M8" s="2">
        <v>0.999</v>
      </c>
      <c r="N8" s="2">
        <v>0.999</v>
      </c>
      <c r="O8" s="2">
        <v>0.999</v>
      </c>
      <c r="P8" s="2">
        <v>0.999</v>
      </c>
      <c r="Q8" s="2">
        <v>0.999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</row>
    <row r="9" spans="1:33">
      <c r="A9" s="5">
        <f>A8+Calculations!$B$4</f>
        <v>14</v>
      </c>
      <c r="B9" s="2">
        <v>0.999</v>
      </c>
      <c r="C9" s="2">
        <v>0.999</v>
      </c>
      <c r="D9" s="2">
        <v>0.999</v>
      </c>
      <c r="E9" s="2">
        <v>0.999</v>
      </c>
      <c r="F9" s="2">
        <v>0.999</v>
      </c>
      <c r="G9" s="2">
        <v>0.999</v>
      </c>
      <c r="H9" s="2"/>
      <c r="I9" s="2"/>
      <c r="J9" s="2"/>
      <c r="K9" s="2"/>
      <c r="L9" s="2">
        <v>0.999</v>
      </c>
      <c r="M9" s="2">
        <v>0.999</v>
      </c>
      <c r="N9" s="2">
        <v>0.999</v>
      </c>
      <c r="O9" s="2">
        <v>0.999</v>
      </c>
      <c r="P9" s="2">
        <v>0.999</v>
      </c>
      <c r="Q9" s="2">
        <v>0.999</v>
      </c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</row>
    <row r="10" spans="1:33">
      <c r="A10" s="5">
        <f>A9+Calculations!$B$4</f>
        <v>16</v>
      </c>
      <c r="B10" s="2">
        <v>0.999</v>
      </c>
      <c r="C10" s="2">
        <v>0.999</v>
      </c>
      <c r="D10" s="2">
        <v>0.999</v>
      </c>
      <c r="E10" s="2">
        <v>0.999</v>
      </c>
      <c r="F10" s="2">
        <v>0.999</v>
      </c>
      <c r="G10" s="2">
        <v>0.999</v>
      </c>
      <c r="H10" s="2"/>
      <c r="I10" s="2"/>
      <c r="J10" s="2"/>
      <c r="K10" s="2"/>
      <c r="L10" s="2">
        <v>0.999</v>
      </c>
      <c r="M10" s="2">
        <v>0.999</v>
      </c>
      <c r="N10" s="2">
        <v>0.999</v>
      </c>
      <c r="O10" s="2">
        <v>0.999</v>
      </c>
      <c r="P10" s="2">
        <v>0.999</v>
      </c>
      <c r="Q10" s="2">
        <v>0.999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</row>
    <row r="11" spans="1:33">
      <c r="A11" s="5">
        <f>A10+Calculations!$B$4</f>
        <v>18</v>
      </c>
      <c r="B11" s="2">
        <v>0.999</v>
      </c>
      <c r="C11" s="2">
        <v>0.999</v>
      </c>
      <c r="D11" s="2">
        <v>0.999</v>
      </c>
      <c r="E11" s="2">
        <v>0.999</v>
      </c>
      <c r="F11" s="2">
        <v>0.999</v>
      </c>
      <c r="G11" s="2">
        <v>0.82697947214076251</v>
      </c>
      <c r="H11" s="2"/>
      <c r="I11" s="2"/>
      <c r="J11" s="2"/>
      <c r="K11" s="2"/>
      <c r="L11" s="2">
        <v>0.999</v>
      </c>
      <c r="M11" s="2">
        <v>0.999</v>
      </c>
      <c r="N11" s="2">
        <v>0.999</v>
      </c>
      <c r="O11" s="2">
        <v>0.999</v>
      </c>
      <c r="P11" s="2">
        <v>0.999</v>
      </c>
      <c r="Q11" s="2">
        <v>0.999</v>
      </c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</row>
    <row r="12" spans="1:33">
      <c r="A12" s="5">
        <f>A11+Calculations!$B$4</f>
        <v>20</v>
      </c>
      <c r="B12" s="2">
        <v>0.999</v>
      </c>
      <c r="C12" s="2">
        <v>0.999</v>
      </c>
      <c r="D12" s="2">
        <v>0.999</v>
      </c>
      <c r="E12" s="2">
        <v>0.999</v>
      </c>
      <c r="F12" s="2">
        <v>0.999</v>
      </c>
      <c r="G12" s="2">
        <v>0.67741935483870963</v>
      </c>
      <c r="H12" s="2"/>
      <c r="I12" s="2"/>
      <c r="J12" s="2"/>
      <c r="K12" s="2"/>
      <c r="L12" s="2">
        <v>0.999</v>
      </c>
      <c r="M12" s="2">
        <v>0.999</v>
      </c>
      <c r="N12" s="2">
        <v>0.999</v>
      </c>
      <c r="O12" s="2">
        <v>0.999</v>
      </c>
      <c r="P12" s="2">
        <v>0.999</v>
      </c>
      <c r="Q12" s="2">
        <v>0.999</v>
      </c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</row>
    <row r="13" spans="1:33">
      <c r="A13" s="5">
        <f>A12+Calculations!$B$4</f>
        <v>22</v>
      </c>
      <c r="B13" s="2">
        <v>0.999</v>
      </c>
      <c r="C13" s="2">
        <v>0.999</v>
      </c>
      <c r="D13" s="2">
        <v>0.999</v>
      </c>
      <c r="E13" s="2">
        <v>0.999</v>
      </c>
      <c r="F13" s="2">
        <v>0.999</v>
      </c>
      <c r="G13" s="2">
        <v>0.56598240469208216</v>
      </c>
      <c r="H13" s="2"/>
      <c r="I13" s="2"/>
      <c r="J13" s="2"/>
      <c r="K13" s="2"/>
      <c r="L13" s="2">
        <v>0.999</v>
      </c>
      <c r="M13" s="2">
        <v>0.999</v>
      </c>
      <c r="N13" s="2">
        <v>0.999</v>
      </c>
      <c r="O13" s="2">
        <v>0.999</v>
      </c>
      <c r="P13" s="2">
        <v>0.999</v>
      </c>
      <c r="Q13" s="2">
        <v>0.999</v>
      </c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</row>
    <row r="14" spans="1:33">
      <c r="A14" s="5">
        <f>A13+Calculations!$B$4</f>
        <v>24</v>
      </c>
      <c r="B14" s="2">
        <v>0.999</v>
      </c>
      <c r="C14" s="2">
        <v>0.999</v>
      </c>
      <c r="D14" s="2">
        <v>0.999</v>
      </c>
      <c r="E14" s="2">
        <v>0.999</v>
      </c>
      <c r="F14" s="2">
        <v>0.999</v>
      </c>
      <c r="G14" s="2">
        <v>0.47800586510263932</v>
      </c>
      <c r="H14" s="2"/>
      <c r="I14" s="2"/>
      <c r="J14" s="2"/>
      <c r="K14" s="2"/>
      <c r="L14" s="2">
        <v>0.999</v>
      </c>
      <c r="M14" s="2">
        <v>0.999</v>
      </c>
      <c r="N14" s="2">
        <v>0.999</v>
      </c>
      <c r="O14" s="2">
        <v>0.999</v>
      </c>
      <c r="P14" s="2">
        <v>0.999</v>
      </c>
      <c r="Q14" s="2">
        <v>0.999</v>
      </c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</row>
    <row r="15" spans="1:33">
      <c r="A15" s="5">
        <f>A14+Calculations!$B$4</f>
        <v>26</v>
      </c>
      <c r="B15" s="2">
        <v>0.999</v>
      </c>
      <c r="C15" s="2">
        <v>0.999</v>
      </c>
      <c r="D15" s="2">
        <v>0.999</v>
      </c>
      <c r="E15" s="2">
        <v>0.999</v>
      </c>
      <c r="F15" s="2">
        <v>0.79081133919843594</v>
      </c>
      <c r="G15" s="2">
        <v>0.40078201368523947</v>
      </c>
      <c r="H15" s="2"/>
      <c r="I15" s="2"/>
      <c r="J15" s="2"/>
      <c r="K15" s="2"/>
      <c r="L15" s="2">
        <v>0.999</v>
      </c>
      <c r="M15" s="2">
        <v>0.999</v>
      </c>
      <c r="N15" s="2">
        <v>0.999</v>
      </c>
      <c r="O15" s="2">
        <v>0.999</v>
      </c>
      <c r="P15" s="2">
        <v>0.999</v>
      </c>
      <c r="Q15" s="2">
        <v>0.999</v>
      </c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 spans="1:33">
      <c r="A16" s="5">
        <f>A15+Calculations!$B$4</f>
        <v>28</v>
      </c>
      <c r="B16" s="2">
        <v>0.999</v>
      </c>
      <c r="C16" s="2">
        <v>0.999</v>
      </c>
      <c r="D16" s="2">
        <v>0.999</v>
      </c>
      <c r="E16" s="2">
        <v>0.999</v>
      </c>
      <c r="F16" s="2">
        <v>0.65786901270772236</v>
      </c>
      <c r="G16" s="2">
        <v>0.36656891495601174</v>
      </c>
      <c r="H16" s="2"/>
      <c r="I16" s="2"/>
      <c r="J16" s="2"/>
      <c r="K16" s="2"/>
      <c r="L16" s="2">
        <v>0.999</v>
      </c>
      <c r="M16" s="2">
        <v>0.999</v>
      </c>
      <c r="N16" s="2">
        <v>0.999</v>
      </c>
      <c r="O16" s="2">
        <v>0.999</v>
      </c>
      <c r="P16" s="2">
        <v>0.999</v>
      </c>
      <c r="Q16" s="2">
        <v>0.999</v>
      </c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</row>
    <row r="17" spans="1:33">
      <c r="A17" s="5">
        <f>A16+Calculations!$B$4</f>
        <v>30</v>
      </c>
      <c r="B17" s="2">
        <v>0.999</v>
      </c>
      <c r="C17" s="2">
        <v>0.999</v>
      </c>
      <c r="D17" s="2">
        <v>0.999</v>
      </c>
      <c r="E17" s="2">
        <v>0.999</v>
      </c>
      <c r="F17" s="2">
        <v>0.58455522971652008</v>
      </c>
      <c r="G17" s="2">
        <v>0.32062561094819159</v>
      </c>
      <c r="H17" s="2"/>
      <c r="I17" s="2"/>
      <c r="J17" s="2"/>
      <c r="K17" s="2"/>
      <c r="L17" s="2">
        <v>0.999</v>
      </c>
      <c r="M17" s="2">
        <v>0.999</v>
      </c>
      <c r="N17" s="2">
        <v>0.999</v>
      </c>
      <c r="O17" s="2">
        <v>0.999</v>
      </c>
      <c r="P17" s="2">
        <v>0.999</v>
      </c>
      <c r="Q17" s="2">
        <v>0.999</v>
      </c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</row>
    <row r="18" spans="1:33">
      <c r="A18" s="5">
        <f>A17+Calculations!$B$4</f>
        <v>32</v>
      </c>
      <c r="B18" s="2">
        <v>0.999</v>
      </c>
      <c r="C18" s="2">
        <v>0.999</v>
      </c>
      <c r="D18" s="2">
        <v>0.999</v>
      </c>
      <c r="E18" s="2">
        <v>0.999</v>
      </c>
      <c r="F18" s="2">
        <v>0.50928641251221896</v>
      </c>
      <c r="G18" s="2">
        <v>0.28934506353861195</v>
      </c>
      <c r="H18" s="2"/>
      <c r="I18" s="2"/>
      <c r="J18" s="2"/>
      <c r="K18" s="2"/>
      <c r="L18" s="2">
        <v>0.999</v>
      </c>
      <c r="M18" s="2">
        <v>0.999</v>
      </c>
      <c r="N18" s="2">
        <v>0.999</v>
      </c>
      <c r="O18" s="2">
        <v>0.999</v>
      </c>
      <c r="P18" s="2">
        <v>0.999</v>
      </c>
      <c r="Q18" s="2">
        <v>0.999</v>
      </c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</row>
    <row r="19" spans="1:33">
      <c r="A19" s="5">
        <f>A18+Calculations!$B$4</f>
        <v>34</v>
      </c>
      <c r="B19" s="2">
        <v>0.999</v>
      </c>
      <c r="C19" s="2">
        <v>0.999</v>
      </c>
      <c r="D19" s="2">
        <v>0.999</v>
      </c>
      <c r="E19" s="2">
        <v>0.91300097751710652</v>
      </c>
      <c r="F19" s="2">
        <v>0.44770283479960898</v>
      </c>
      <c r="G19" s="2">
        <v>0.23851417399804498</v>
      </c>
      <c r="H19" s="2"/>
      <c r="I19" s="2"/>
      <c r="J19" s="2"/>
      <c r="K19" s="2"/>
      <c r="L19" s="2">
        <v>0.999</v>
      </c>
      <c r="M19" s="2">
        <v>0.999</v>
      </c>
      <c r="N19" s="2">
        <v>0.999</v>
      </c>
      <c r="O19" s="2">
        <v>0.999</v>
      </c>
      <c r="P19" s="2">
        <v>0.999</v>
      </c>
      <c r="Q19" s="2">
        <v>0.82502443792766378</v>
      </c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</row>
    <row r="20" spans="1:33">
      <c r="A20" s="5">
        <f>A19+Calculations!$B$4</f>
        <v>36</v>
      </c>
      <c r="B20" s="2">
        <v>0.999</v>
      </c>
      <c r="C20" s="2">
        <v>0.999</v>
      </c>
      <c r="D20" s="2">
        <v>0.999</v>
      </c>
      <c r="E20" s="2">
        <v>0.77223851417399803</v>
      </c>
      <c r="F20" s="2">
        <v>0.39296187683284456</v>
      </c>
      <c r="G20" s="2">
        <v>0.21798631476050831</v>
      </c>
      <c r="H20" s="2"/>
      <c r="I20" s="2"/>
      <c r="J20" s="2"/>
      <c r="K20" s="2"/>
      <c r="L20" s="2">
        <v>0.999</v>
      </c>
      <c r="M20" s="2">
        <v>0.999</v>
      </c>
      <c r="N20" s="2">
        <v>0.999</v>
      </c>
      <c r="O20" s="2">
        <v>0.999</v>
      </c>
      <c r="P20" s="2">
        <v>0.999</v>
      </c>
      <c r="Q20" s="2">
        <v>0.75073313782991202</v>
      </c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</row>
    <row r="21" spans="1:33">
      <c r="A21" s="5">
        <f>A20+Calculations!$B$4</f>
        <v>38</v>
      </c>
      <c r="B21" s="2">
        <v>0.999</v>
      </c>
      <c r="C21" s="2">
        <v>0.999</v>
      </c>
      <c r="D21" s="2">
        <v>0.999</v>
      </c>
      <c r="E21" s="2">
        <v>0.71749755620723366</v>
      </c>
      <c r="F21" s="2">
        <v>0.35777126099706746</v>
      </c>
      <c r="G21" s="2">
        <v>0.22287390029325513</v>
      </c>
      <c r="H21" s="2"/>
      <c r="I21" s="2"/>
      <c r="J21" s="2"/>
      <c r="K21" s="2"/>
      <c r="L21" s="2">
        <v>0.999</v>
      </c>
      <c r="M21" s="2">
        <v>0.999</v>
      </c>
      <c r="N21" s="2">
        <v>0.999</v>
      </c>
      <c r="O21" s="2">
        <v>0.999</v>
      </c>
      <c r="P21" s="2">
        <v>0.999</v>
      </c>
      <c r="Q21" s="2">
        <v>0.64125122189638317</v>
      </c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</row>
    <row r="22" spans="1:33">
      <c r="A22" s="5">
        <f>A21+Calculations!$B$4</f>
        <v>40</v>
      </c>
      <c r="B22" s="2">
        <v>0.999</v>
      </c>
      <c r="C22" s="2">
        <v>0.999</v>
      </c>
      <c r="D22" s="2">
        <v>0.999</v>
      </c>
      <c r="E22" s="2">
        <v>0.61974584555229717</v>
      </c>
      <c r="F22" s="2">
        <v>0.32258064516129031</v>
      </c>
      <c r="G22" s="2">
        <v>0.19452590420332355</v>
      </c>
      <c r="H22" s="2"/>
      <c r="I22" s="2"/>
      <c r="J22" s="2"/>
      <c r="K22" s="2"/>
      <c r="L22" s="2">
        <v>0.999</v>
      </c>
      <c r="M22" s="2">
        <v>0.999</v>
      </c>
      <c r="N22" s="2">
        <v>0.999</v>
      </c>
      <c r="O22" s="2">
        <v>0.999</v>
      </c>
      <c r="P22" s="2">
        <v>0.999</v>
      </c>
      <c r="Q22" s="2">
        <v>0.62561094819159335</v>
      </c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</row>
    <row r="23" spans="1:33">
      <c r="A23" s="5">
        <f>A22+Calculations!$B$4</f>
        <v>42</v>
      </c>
      <c r="B23" s="2">
        <v>0.999</v>
      </c>
      <c r="C23" s="2">
        <v>0.999</v>
      </c>
      <c r="D23" s="2">
        <v>0.999</v>
      </c>
      <c r="E23" s="2">
        <v>0.60997067448680353</v>
      </c>
      <c r="F23" s="2">
        <v>0.31671554252199413</v>
      </c>
      <c r="G23" s="2">
        <v>0.176930596285435</v>
      </c>
      <c r="H23" s="2"/>
      <c r="I23" s="2"/>
      <c r="J23" s="2"/>
      <c r="K23" s="2"/>
      <c r="L23" s="2">
        <v>0.999</v>
      </c>
      <c r="M23" s="2">
        <v>0.999</v>
      </c>
      <c r="N23" s="2">
        <v>0.999</v>
      </c>
      <c r="O23" s="2">
        <v>0.999</v>
      </c>
      <c r="P23" s="2">
        <v>0.999</v>
      </c>
      <c r="Q23" s="2">
        <v>0.54447702834799605</v>
      </c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</row>
    <row r="24" spans="1:33">
      <c r="A24" s="5">
        <f>A23+Calculations!$B$4</f>
        <v>44</v>
      </c>
      <c r="B24" s="2">
        <v>0.999</v>
      </c>
      <c r="C24" s="2">
        <v>0.999</v>
      </c>
      <c r="D24" s="2">
        <v>0.999</v>
      </c>
      <c r="E24" s="2">
        <v>0.57086999022482898</v>
      </c>
      <c r="F24" s="2">
        <v>0.30694037145650049</v>
      </c>
      <c r="G24" s="2">
        <v>0.17204301075268819</v>
      </c>
      <c r="H24" s="2"/>
      <c r="I24" s="2"/>
      <c r="J24" s="2"/>
      <c r="K24" s="2"/>
      <c r="L24" s="2">
        <v>0.999</v>
      </c>
      <c r="M24" s="2">
        <v>0.999</v>
      </c>
      <c r="N24" s="2">
        <v>0.999</v>
      </c>
      <c r="O24" s="2">
        <v>0.999</v>
      </c>
      <c r="P24" s="2">
        <v>0.999</v>
      </c>
      <c r="Q24" s="2">
        <v>0.52590420332355814</v>
      </c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</row>
    <row r="25" spans="1:33">
      <c r="A25" s="5">
        <f>A24+Calculations!$B$4</f>
        <v>46</v>
      </c>
      <c r="B25" s="2">
        <v>0.999</v>
      </c>
      <c r="C25" s="2">
        <v>0.999</v>
      </c>
      <c r="D25" s="2">
        <v>0.999</v>
      </c>
      <c r="E25" s="2">
        <v>0.48973607038123168</v>
      </c>
      <c r="F25" s="2">
        <v>0.29032258064516131</v>
      </c>
      <c r="G25" s="2">
        <v>0.15835777126099707</v>
      </c>
      <c r="H25" s="2"/>
      <c r="I25" s="2"/>
      <c r="J25" s="2"/>
      <c r="K25" s="2"/>
      <c r="L25" s="2">
        <v>0.999</v>
      </c>
      <c r="M25" s="2">
        <v>0.999</v>
      </c>
      <c r="N25" s="2">
        <v>0.999</v>
      </c>
      <c r="O25" s="2">
        <v>0.999</v>
      </c>
      <c r="P25" s="2">
        <v>0.999</v>
      </c>
      <c r="Q25" s="2">
        <v>0.44086021505376344</v>
      </c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</row>
    <row r="26" spans="1:33">
      <c r="A26" s="5">
        <f>A25+Calculations!$B$4</f>
        <v>48</v>
      </c>
      <c r="B26" s="2">
        <v>0.999</v>
      </c>
      <c r="C26" s="2">
        <v>0.999</v>
      </c>
      <c r="D26" s="2">
        <v>0.999</v>
      </c>
      <c r="E26" s="2">
        <v>0.45454545454545453</v>
      </c>
      <c r="F26" s="2">
        <v>0.22776148582600195</v>
      </c>
      <c r="G26" s="2">
        <v>0.11827956989247312</v>
      </c>
      <c r="H26" s="2"/>
      <c r="I26" s="2"/>
      <c r="J26" s="2"/>
      <c r="K26" s="2"/>
      <c r="L26" s="2">
        <v>0.999</v>
      </c>
      <c r="M26" s="2">
        <v>0.999</v>
      </c>
      <c r="N26" s="2">
        <v>0.999</v>
      </c>
      <c r="O26" s="2">
        <v>0.999</v>
      </c>
      <c r="P26" s="2">
        <v>0.82404692082111441</v>
      </c>
      <c r="Q26" s="2">
        <v>0.38611925708699901</v>
      </c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</row>
    <row r="27" spans="1:33">
      <c r="A27" s="5">
        <f>A26+Calculations!$B$4</f>
        <v>50</v>
      </c>
      <c r="B27" s="2">
        <v>0.999</v>
      </c>
      <c r="C27" s="2">
        <v>0.999</v>
      </c>
      <c r="D27" s="2">
        <v>0.82306940371456505</v>
      </c>
      <c r="E27" s="2">
        <v>0.41153470185728253</v>
      </c>
      <c r="F27" s="2">
        <v>0.23655913978494625</v>
      </c>
      <c r="G27" s="2">
        <v>0.13685239491691104</v>
      </c>
      <c r="H27" s="2"/>
      <c r="I27" s="2"/>
      <c r="J27" s="2"/>
      <c r="K27" s="2"/>
      <c r="L27" s="2">
        <v>0.999</v>
      </c>
      <c r="M27" s="2">
        <v>0.999</v>
      </c>
      <c r="N27" s="2">
        <v>0.999</v>
      </c>
      <c r="O27" s="2">
        <v>0.999</v>
      </c>
      <c r="P27" s="2">
        <v>0.78005865102639294</v>
      </c>
      <c r="Q27" s="2">
        <v>0.41055718475073316</v>
      </c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</row>
    <row r="28" spans="1:33">
      <c r="A28" s="5">
        <f>A27+Calculations!$B$4</f>
        <v>52</v>
      </c>
      <c r="B28" s="2">
        <v>0.999</v>
      </c>
      <c r="C28" s="2">
        <v>0.999</v>
      </c>
      <c r="D28" s="2">
        <v>0.79863147605083085</v>
      </c>
      <c r="E28" s="2">
        <v>0.43304007820136853</v>
      </c>
      <c r="F28" s="2">
        <v>0.20234604105571846</v>
      </c>
      <c r="G28" s="2">
        <v>0.11241446725317693</v>
      </c>
      <c r="H28" s="2"/>
      <c r="I28" s="2"/>
      <c r="J28" s="2"/>
      <c r="K28" s="2"/>
      <c r="L28" s="2">
        <v>0.999</v>
      </c>
      <c r="M28" s="2">
        <v>0.999</v>
      </c>
      <c r="N28" s="2">
        <v>0.999</v>
      </c>
      <c r="O28" s="2">
        <v>0.999</v>
      </c>
      <c r="P28" s="2">
        <v>0.69305962854349956</v>
      </c>
      <c r="Q28" s="2">
        <v>0.3675464320625611</v>
      </c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</row>
    <row r="29" spans="1:33">
      <c r="A29" s="5">
        <f>A28+Calculations!$B$4</f>
        <v>54</v>
      </c>
      <c r="B29" s="2">
        <v>0.999</v>
      </c>
      <c r="C29" s="2">
        <v>0.999</v>
      </c>
      <c r="D29" s="2">
        <v>0.67448680351906154</v>
      </c>
      <c r="E29" s="2">
        <v>0.32160312805474095</v>
      </c>
      <c r="F29" s="2">
        <v>0.17790811339198437</v>
      </c>
      <c r="G29" s="2">
        <v>0.10166177908113391</v>
      </c>
      <c r="H29" s="2"/>
      <c r="I29" s="2"/>
      <c r="J29" s="2"/>
      <c r="K29" s="2"/>
      <c r="L29" s="2">
        <v>0.999</v>
      </c>
      <c r="M29" s="2">
        <v>0.999</v>
      </c>
      <c r="N29" s="2">
        <v>0.999</v>
      </c>
      <c r="O29" s="2">
        <v>0.999</v>
      </c>
      <c r="P29" s="2">
        <v>0.6647116324535679</v>
      </c>
      <c r="Q29" s="2">
        <v>0.34213098729227759</v>
      </c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</row>
    <row r="30" spans="1:33">
      <c r="A30" s="5">
        <f>A29+Calculations!$B$4</f>
        <v>56</v>
      </c>
      <c r="B30" s="2">
        <v>0.999</v>
      </c>
      <c r="C30" s="2">
        <v>0.999</v>
      </c>
      <c r="D30" s="2">
        <v>0.65102639296187681</v>
      </c>
      <c r="E30" s="2">
        <v>0.33040078201368522</v>
      </c>
      <c r="F30" s="2">
        <v>0.1681329423264907</v>
      </c>
      <c r="G30" s="2">
        <v>0.13391984359726294</v>
      </c>
      <c r="H30" s="2"/>
      <c r="I30" s="2"/>
      <c r="J30" s="2"/>
      <c r="K30" s="2"/>
      <c r="L30" s="2">
        <v>0.999</v>
      </c>
      <c r="M30" s="2">
        <v>0.999</v>
      </c>
      <c r="N30" s="2">
        <v>0.999</v>
      </c>
      <c r="O30" s="2">
        <v>0.999</v>
      </c>
      <c r="P30" s="2">
        <v>0.5620723362658846</v>
      </c>
      <c r="Q30" s="2">
        <v>0.34701857282502446</v>
      </c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3">
      <c r="A31" s="5">
        <f>A30+Calculations!$B$4</f>
        <v>58</v>
      </c>
      <c r="B31" s="2">
        <v>0.999</v>
      </c>
      <c r="C31" s="2">
        <v>0.999</v>
      </c>
      <c r="D31" s="2">
        <v>0.5972629521016618</v>
      </c>
      <c r="E31" s="2">
        <v>0.30107526881720431</v>
      </c>
      <c r="F31" s="2">
        <v>0.12903225806451613</v>
      </c>
      <c r="G31" s="2">
        <v>0.10850439882697947</v>
      </c>
      <c r="H31" s="2"/>
      <c r="I31" s="2"/>
      <c r="J31" s="2"/>
      <c r="K31" s="2"/>
      <c r="L31" s="2">
        <v>0.999</v>
      </c>
      <c r="M31" s="2">
        <v>0.999</v>
      </c>
      <c r="N31" s="2">
        <v>0.999</v>
      </c>
      <c r="O31" s="2">
        <v>0.999</v>
      </c>
      <c r="P31" s="2">
        <v>0.54643206256109478</v>
      </c>
      <c r="Q31" s="2">
        <v>0.30791788856304986</v>
      </c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</row>
    <row r="32" spans="1:33">
      <c r="A32" s="5">
        <f>A31+Calculations!$B$4</f>
        <v>60</v>
      </c>
      <c r="B32" s="2">
        <v>0.999</v>
      </c>
      <c r="C32" s="2">
        <v>0.999</v>
      </c>
      <c r="D32" s="2">
        <v>0.53372434017595305</v>
      </c>
      <c r="E32" s="2">
        <v>0.25513196480938416</v>
      </c>
      <c r="F32" s="2">
        <v>0.14271749755620725</v>
      </c>
      <c r="G32" s="2">
        <v>7.8201368523949169E-2</v>
      </c>
      <c r="H32" s="2"/>
      <c r="I32" s="2"/>
      <c r="J32" s="2"/>
      <c r="K32" s="2"/>
      <c r="L32" s="2">
        <v>0.999</v>
      </c>
      <c r="M32" s="2">
        <v>0.999</v>
      </c>
      <c r="N32" s="2">
        <v>0.999</v>
      </c>
      <c r="O32" s="2">
        <v>0.999</v>
      </c>
      <c r="P32" s="2">
        <v>0.48875855327468232</v>
      </c>
      <c r="Q32" s="2">
        <v>0.27761485826001953</v>
      </c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</row>
    <row r="33" spans="1:33">
      <c r="A33" s="5">
        <f>A32+Calculations!$B$4</f>
        <v>62</v>
      </c>
      <c r="B33" s="2">
        <v>0.999</v>
      </c>
      <c r="C33" s="2">
        <v>0.999</v>
      </c>
      <c r="D33" s="2">
        <v>0.5376344086021505</v>
      </c>
      <c r="E33" s="2">
        <v>0.24437927663734116</v>
      </c>
      <c r="F33" s="2">
        <v>0.13978494623655913</v>
      </c>
      <c r="G33" s="2">
        <v>5.5718475073313782E-2</v>
      </c>
      <c r="H33" s="2"/>
      <c r="I33" s="2"/>
      <c r="J33" s="2"/>
      <c r="K33" s="2"/>
      <c r="L33" s="2">
        <v>0.999</v>
      </c>
      <c r="M33" s="2">
        <v>0.999</v>
      </c>
      <c r="N33" s="2">
        <v>0.999</v>
      </c>
      <c r="O33" s="2">
        <v>0.999</v>
      </c>
      <c r="P33" s="2">
        <v>0.47898338220918868</v>
      </c>
      <c r="Q33" s="2">
        <v>0.28054740957966762</v>
      </c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</row>
    <row r="34" spans="1:33">
      <c r="A34" s="5">
        <f>A33+Calculations!$B$4</f>
        <v>64</v>
      </c>
      <c r="B34" s="2">
        <v>0.999</v>
      </c>
      <c r="C34" s="2">
        <v>0.999</v>
      </c>
      <c r="D34" s="2">
        <v>0.47018572825024441</v>
      </c>
      <c r="E34" s="2">
        <v>0.26588465298142716</v>
      </c>
      <c r="F34" s="2">
        <v>0.13685239491691104</v>
      </c>
      <c r="G34" s="2">
        <v>9.0909090909090912E-2</v>
      </c>
      <c r="H34" s="2"/>
      <c r="I34" s="2"/>
      <c r="J34" s="2"/>
      <c r="K34" s="2"/>
      <c r="L34" s="2">
        <v>0.999</v>
      </c>
      <c r="M34" s="2">
        <v>0.999</v>
      </c>
      <c r="N34" s="2">
        <v>0.999</v>
      </c>
      <c r="O34" s="2">
        <v>0.87390029325513197</v>
      </c>
      <c r="P34" s="2">
        <v>0.43010752688172044</v>
      </c>
      <c r="Q34" s="2">
        <v>0.24926686217008798</v>
      </c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</row>
    <row r="35" spans="1:33">
      <c r="A35" s="5">
        <f>A34+Calculations!$B$4</f>
        <v>66</v>
      </c>
      <c r="B35" s="2">
        <v>0.999</v>
      </c>
      <c r="C35" s="2">
        <v>0.86119257086999024</v>
      </c>
      <c r="D35" s="2">
        <v>0.50146627565982405</v>
      </c>
      <c r="E35" s="2">
        <v>0.22971652003910067</v>
      </c>
      <c r="F35" s="2">
        <v>0.13294232649071358</v>
      </c>
      <c r="G35" s="2">
        <v>8.0156402737047897E-2</v>
      </c>
      <c r="H35" s="2"/>
      <c r="I35" s="2"/>
      <c r="J35" s="2"/>
      <c r="K35" s="2"/>
      <c r="L35" s="2">
        <v>0.999</v>
      </c>
      <c r="M35" s="2">
        <v>0.999</v>
      </c>
      <c r="N35" s="2">
        <v>0.999</v>
      </c>
      <c r="O35" s="2">
        <v>0.84359726295210169</v>
      </c>
      <c r="P35" s="2">
        <v>0.40469208211143692</v>
      </c>
      <c r="Q35" s="2">
        <v>0.19745845552297164</v>
      </c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</row>
    <row r="36" spans="1:33">
      <c r="A36" s="5">
        <f>A35+Calculations!$B$4</f>
        <v>68</v>
      </c>
      <c r="B36" s="2">
        <v>0.999</v>
      </c>
      <c r="C36" s="2">
        <v>0.86705767350928642</v>
      </c>
      <c r="D36" s="2">
        <v>0.38123167155425219</v>
      </c>
      <c r="E36" s="2">
        <v>0.17888563049853373</v>
      </c>
      <c r="F36" s="2">
        <v>0.17497556207233628</v>
      </c>
      <c r="G36" s="2">
        <v>4.9853372434017593E-2</v>
      </c>
      <c r="H36" s="2"/>
      <c r="I36" s="2"/>
      <c r="J36" s="2"/>
      <c r="K36" s="2"/>
      <c r="L36" s="2">
        <v>0.999</v>
      </c>
      <c r="M36" s="2">
        <v>0.999</v>
      </c>
      <c r="N36" s="2">
        <v>0.999</v>
      </c>
      <c r="O36" s="2">
        <v>0.76050830889540566</v>
      </c>
      <c r="P36" s="2">
        <v>0.39296187683284456</v>
      </c>
      <c r="Q36" s="2">
        <v>0.21603128054740958</v>
      </c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</row>
    <row r="37" spans="1:33">
      <c r="A37" s="5">
        <f>A36+Calculations!$B$4</f>
        <v>70</v>
      </c>
      <c r="B37" s="2">
        <v>0.999</v>
      </c>
      <c r="C37" s="2">
        <v>0.91691104594330397</v>
      </c>
      <c r="D37" s="2">
        <v>0.43499511241446726</v>
      </c>
      <c r="E37" s="2">
        <v>0.18866080156402737</v>
      </c>
      <c r="F37" s="2">
        <v>0.12512218963831867</v>
      </c>
      <c r="G37" s="2">
        <v>6.8426197458455518E-2</v>
      </c>
      <c r="H37" s="2"/>
      <c r="I37" s="2"/>
      <c r="J37" s="2"/>
      <c r="K37" s="2"/>
      <c r="L37" s="2">
        <v>0.999</v>
      </c>
      <c r="M37" s="2">
        <v>0.999</v>
      </c>
      <c r="N37" s="2">
        <v>0.999</v>
      </c>
      <c r="O37" s="2">
        <v>0.74389051808406648</v>
      </c>
      <c r="P37" s="2">
        <v>0.34213098729227759</v>
      </c>
      <c r="Q37" s="2">
        <v>0.18279569892473119</v>
      </c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</row>
    <row r="38" spans="1:33">
      <c r="A38" s="5">
        <f>A37+Calculations!$B$4</f>
        <v>72</v>
      </c>
      <c r="B38" s="2">
        <v>0.999</v>
      </c>
      <c r="C38" s="2">
        <v>0.69892473118279574</v>
      </c>
      <c r="D38" s="2">
        <v>0.39784946236559138</v>
      </c>
      <c r="E38" s="2">
        <v>0.16715542521994134</v>
      </c>
      <c r="F38" s="2">
        <v>0.10557184750733138</v>
      </c>
      <c r="G38" s="2">
        <v>6.9403714565004881E-2</v>
      </c>
      <c r="H38" s="2"/>
      <c r="I38" s="2"/>
      <c r="J38" s="2"/>
      <c r="K38" s="2"/>
      <c r="L38" s="2">
        <v>0.999</v>
      </c>
      <c r="M38" s="2">
        <v>0.999</v>
      </c>
      <c r="N38" s="2">
        <v>0.999</v>
      </c>
      <c r="O38" s="2">
        <v>0.66373411534701854</v>
      </c>
      <c r="P38" s="2">
        <v>0.36950146627565983</v>
      </c>
      <c r="Q38" s="2">
        <v>0.17008797653958943</v>
      </c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</row>
    <row r="39" spans="1:33">
      <c r="A39" s="5">
        <f>A38+Calculations!$B$4</f>
        <v>74</v>
      </c>
      <c r="B39" s="2">
        <v>0.999</v>
      </c>
      <c r="C39" s="2">
        <v>0.71945259042033238</v>
      </c>
      <c r="D39" s="2">
        <v>0.31085043988269795</v>
      </c>
      <c r="E39" s="2">
        <v>0.15933528836754643</v>
      </c>
      <c r="F39" s="2">
        <v>9.0909090909090912E-2</v>
      </c>
      <c r="G39" s="2">
        <v>7.9178885630498533E-2</v>
      </c>
      <c r="H39" s="2"/>
      <c r="I39" s="2"/>
      <c r="J39" s="2"/>
      <c r="K39" s="2"/>
      <c r="L39" s="2">
        <v>0.999</v>
      </c>
      <c r="M39" s="2">
        <v>0.999</v>
      </c>
      <c r="N39" s="2">
        <v>0.999</v>
      </c>
      <c r="O39" s="2">
        <v>0.63929618768328444</v>
      </c>
      <c r="P39" s="2">
        <v>0.33333333333333331</v>
      </c>
      <c r="Q39" s="2">
        <v>0.19452590420332355</v>
      </c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</row>
    <row r="40" spans="1:33">
      <c r="A40" s="5">
        <f>A39+Calculations!$B$4</f>
        <v>76</v>
      </c>
      <c r="B40" s="2">
        <v>0.999</v>
      </c>
      <c r="C40" s="2">
        <v>0.70869990224828938</v>
      </c>
      <c r="D40" s="2">
        <v>0.31964809384164222</v>
      </c>
      <c r="E40" s="2">
        <v>0.2013685239491691</v>
      </c>
      <c r="F40" s="2">
        <v>8.9931573802541548E-2</v>
      </c>
      <c r="G40" s="2">
        <v>6.3538611925708699E-2</v>
      </c>
      <c r="H40" s="2"/>
      <c r="I40" s="2"/>
      <c r="J40" s="2"/>
      <c r="K40" s="2"/>
      <c r="L40" s="2">
        <v>0.999</v>
      </c>
      <c r="M40" s="2">
        <v>0.999</v>
      </c>
      <c r="N40" s="2">
        <v>0.999</v>
      </c>
      <c r="O40" s="2">
        <v>0.5757575757575758</v>
      </c>
      <c r="P40" s="2">
        <v>0.29912023460410558</v>
      </c>
      <c r="Q40" s="2">
        <v>0.19257086999022482</v>
      </c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</row>
    <row r="41" spans="1:33">
      <c r="A41" s="5">
        <f>A40+Calculations!$B$4</f>
        <v>78</v>
      </c>
      <c r="B41" s="2">
        <v>0.999</v>
      </c>
      <c r="C41" s="2">
        <v>0.70381231671554256</v>
      </c>
      <c r="D41" s="2">
        <v>0.31182795698924731</v>
      </c>
      <c r="E41" s="2">
        <v>0.14565004887585534</v>
      </c>
      <c r="F41" s="2">
        <v>8.6999022482893457E-2</v>
      </c>
      <c r="G41" s="2">
        <v>5.0830889540566956E-2</v>
      </c>
      <c r="H41" s="2"/>
      <c r="I41" s="2"/>
      <c r="J41" s="2"/>
      <c r="K41" s="2"/>
      <c r="L41" s="2">
        <v>0.999</v>
      </c>
      <c r="M41" s="2">
        <v>0.999</v>
      </c>
      <c r="N41" s="2">
        <v>0.999</v>
      </c>
      <c r="O41" s="2">
        <v>0.55718475073313778</v>
      </c>
      <c r="P41" s="2">
        <v>0.26588465298142716</v>
      </c>
      <c r="Q41" s="2">
        <v>0.15542521994134897</v>
      </c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</row>
    <row r="42" spans="1:33">
      <c r="A42" s="5">
        <f>A41+Calculations!$B$4</f>
        <v>80</v>
      </c>
      <c r="B42" s="2">
        <v>0.999</v>
      </c>
      <c r="C42" s="2">
        <v>0.50733137829912023</v>
      </c>
      <c r="D42" s="2">
        <v>0.27174975562072334</v>
      </c>
      <c r="E42" s="2">
        <v>0.15542521994134897</v>
      </c>
      <c r="F42" s="2">
        <v>7.5268817204301078E-2</v>
      </c>
      <c r="G42" s="2">
        <v>4.2033235581622676E-2</v>
      </c>
      <c r="H42" s="2"/>
      <c r="I42" s="2"/>
      <c r="J42" s="2"/>
      <c r="K42" s="2"/>
      <c r="L42" s="2">
        <v>0.999</v>
      </c>
      <c r="M42" s="2">
        <v>0.999</v>
      </c>
      <c r="N42" s="2">
        <v>0.999</v>
      </c>
      <c r="O42" s="2">
        <v>0.50733137829912023</v>
      </c>
      <c r="P42" s="2">
        <v>0.27468230694037143</v>
      </c>
      <c r="Q42" s="2">
        <v>0.13685239491691104</v>
      </c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</row>
    <row r="43" spans="1:33">
      <c r="A43" s="5">
        <f>A42+Calculations!$B$4</f>
        <v>82</v>
      </c>
      <c r="B43" s="2">
        <v>0.999</v>
      </c>
      <c r="C43" s="2">
        <v>0.55620723362658842</v>
      </c>
      <c r="D43" s="2">
        <v>0.26392961876832843</v>
      </c>
      <c r="E43" s="2">
        <v>0.10361681329423265</v>
      </c>
      <c r="F43" s="2">
        <v>6.4516129032258063E-2</v>
      </c>
      <c r="G43" s="2">
        <v>3.5190615835777123E-2</v>
      </c>
      <c r="H43" s="2"/>
      <c r="I43" s="2"/>
      <c r="J43" s="2"/>
      <c r="K43" s="2"/>
      <c r="L43" s="2">
        <v>0.999</v>
      </c>
      <c r="M43" s="2">
        <v>0.999</v>
      </c>
      <c r="N43" s="2">
        <v>0.999</v>
      </c>
      <c r="O43" s="2">
        <v>0.52883675464320623</v>
      </c>
      <c r="P43" s="2">
        <v>0.2541544477028348</v>
      </c>
      <c r="Q43" s="2">
        <v>0.16226783968719452</v>
      </c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</row>
    <row r="44" spans="1:33">
      <c r="A44" s="5">
        <f>A43+Calculations!$B$4</f>
        <v>84</v>
      </c>
      <c r="B44" s="2">
        <v>0.999</v>
      </c>
      <c r="C44" s="2">
        <v>0.56695992179863153</v>
      </c>
      <c r="D44" s="2">
        <v>0.25317693059628543</v>
      </c>
      <c r="E44" s="2">
        <v>0.12218963831867058</v>
      </c>
      <c r="F44" s="2">
        <v>4.9853372434017593E-2</v>
      </c>
      <c r="G44" s="2">
        <v>5.6695992179863146E-2</v>
      </c>
      <c r="H44" s="2"/>
      <c r="I44" s="2"/>
      <c r="J44" s="2"/>
      <c r="K44" s="2"/>
      <c r="L44" s="2">
        <v>0.999</v>
      </c>
      <c r="M44" s="2">
        <v>0.999</v>
      </c>
      <c r="N44" s="2">
        <v>0.999</v>
      </c>
      <c r="O44" s="2">
        <v>0.44086021505376344</v>
      </c>
      <c r="P44" s="2">
        <v>0.26001955034213098</v>
      </c>
      <c r="Q44" s="2">
        <v>0.17790811339198437</v>
      </c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</row>
    <row r="45" spans="1:33">
      <c r="A45" s="5">
        <f>A44+Calculations!$B$4</f>
        <v>86</v>
      </c>
      <c r="B45" s="2">
        <v>0.999</v>
      </c>
      <c r="C45" s="2">
        <v>0.44281524926686217</v>
      </c>
      <c r="D45" s="2">
        <v>0.20821114369501467</v>
      </c>
      <c r="E45" s="2">
        <v>0.14271749755620725</v>
      </c>
      <c r="F45" s="2">
        <v>9.579667644183773E-2</v>
      </c>
      <c r="G45" s="2">
        <v>4.5943304007820138E-2</v>
      </c>
      <c r="H45" s="2"/>
      <c r="I45" s="2"/>
      <c r="J45" s="2"/>
      <c r="K45" s="2"/>
      <c r="L45" s="2">
        <v>0.999</v>
      </c>
      <c r="M45" s="2">
        <v>0.999</v>
      </c>
      <c r="N45" s="2">
        <v>0.94134897360703818</v>
      </c>
      <c r="O45" s="2">
        <v>0.45845552297165199</v>
      </c>
      <c r="P45" s="2">
        <v>0.23558162267839688</v>
      </c>
      <c r="Q45" s="2">
        <v>0.15640273704789834</v>
      </c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</row>
    <row r="46" spans="1:33">
      <c r="A46" s="5">
        <f>A45+Calculations!$B$4</f>
        <v>88</v>
      </c>
      <c r="B46" s="2">
        <v>0.97165200391006845</v>
      </c>
      <c r="C46" s="2">
        <v>0.3919843597262952</v>
      </c>
      <c r="D46" s="2">
        <v>0.24340175953079179</v>
      </c>
      <c r="E46" s="2">
        <v>9.7751710654936458E-2</v>
      </c>
      <c r="F46" s="2">
        <v>7.8201368523949169E-2</v>
      </c>
      <c r="G46" s="2">
        <v>2.8347996089931573E-2</v>
      </c>
      <c r="H46" s="2"/>
      <c r="I46" s="2"/>
      <c r="J46" s="2"/>
      <c r="K46" s="2"/>
      <c r="L46" s="2">
        <v>0.999</v>
      </c>
      <c r="M46" s="2">
        <v>0.999</v>
      </c>
      <c r="N46" s="2">
        <v>0.8132942326490713</v>
      </c>
      <c r="O46" s="2">
        <v>0.44379276637341153</v>
      </c>
      <c r="P46" s="2">
        <v>0.20625610948191594</v>
      </c>
      <c r="Q46" s="2">
        <v>0.10752688172043011</v>
      </c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</row>
    <row r="47" spans="1:33">
      <c r="A47" s="5">
        <f>A46+Calculations!$B$4</f>
        <v>90</v>
      </c>
      <c r="B47" s="2">
        <v>0.88465298142717497</v>
      </c>
      <c r="C47" s="2">
        <v>0.53470185728250241</v>
      </c>
      <c r="D47" s="2">
        <v>0.22287390029325513</v>
      </c>
      <c r="E47" s="2">
        <v>0.11143695014662756</v>
      </c>
      <c r="F47" s="2">
        <v>7.2336265884652987E-2</v>
      </c>
      <c r="G47" s="2">
        <v>1.2707722385141739E-2</v>
      </c>
      <c r="H47" s="2"/>
      <c r="I47" s="2"/>
      <c r="J47" s="2"/>
      <c r="K47" s="2"/>
      <c r="L47" s="2">
        <v>0.999</v>
      </c>
      <c r="M47" s="2">
        <v>0.999</v>
      </c>
      <c r="N47" s="2">
        <v>0.74486803519061584</v>
      </c>
      <c r="O47" s="2">
        <v>0.41642228739002934</v>
      </c>
      <c r="P47" s="2">
        <v>0.22776148582600195</v>
      </c>
      <c r="Q47" s="2">
        <v>0.14369501466275661</v>
      </c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</row>
    <row r="48" spans="1:33">
      <c r="A48" s="5">
        <f>A47+Calculations!$B$4</f>
        <v>92</v>
      </c>
      <c r="B48" s="2">
        <v>0.77614858260019548</v>
      </c>
      <c r="C48" s="2">
        <v>0.39002932551319647</v>
      </c>
      <c r="D48" s="2">
        <v>0.2101661779081134</v>
      </c>
      <c r="E48" s="2">
        <v>0.13000977517106549</v>
      </c>
      <c r="F48" s="2">
        <v>5.767350928641251E-2</v>
      </c>
      <c r="G48" s="2">
        <v>1.3685239491691105E-2</v>
      </c>
      <c r="H48" s="2"/>
      <c r="I48" s="2"/>
      <c r="J48" s="2"/>
      <c r="K48" s="2"/>
      <c r="L48" s="2">
        <v>0.999</v>
      </c>
      <c r="M48" s="2">
        <v>0.999</v>
      </c>
      <c r="N48" s="2">
        <v>0.73998044965786902</v>
      </c>
      <c r="O48" s="2">
        <v>0.35386119257087001</v>
      </c>
      <c r="P48" s="2">
        <v>0.176930596285435</v>
      </c>
      <c r="Q48" s="2">
        <v>0.11534701857282502</v>
      </c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</row>
    <row r="49" spans="1:33">
      <c r="A49" s="5">
        <f>A48+Calculations!$B$4</f>
        <v>94</v>
      </c>
      <c r="B49" s="2">
        <v>0.65689149560117299</v>
      </c>
      <c r="C49" s="2">
        <v>0.38514173998044965</v>
      </c>
      <c r="D49" s="2">
        <v>0.2316715542521994</v>
      </c>
      <c r="E49" s="2">
        <v>6.647116324535679E-2</v>
      </c>
      <c r="F49" s="2">
        <v>4.3010752688172046E-2</v>
      </c>
      <c r="G49" s="2">
        <v>2.1505376344086023E-2</v>
      </c>
      <c r="H49" s="2"/>
      <c r="I49" s="2"/>
      <c r="J49" s="2"/>
      <c r="K49" s="2"/>
      <c r="L49" s="2">
        <v>0.999</v>
      </c>
      <c r="M49" s="2">
        <v>0.999</v>
      </c>
      <c r="N49" s="2">
        <v>0.66764418377321599</v>
      </c>
      <c r="O49" s="2">
        <v>0.28836754643206258</v>
      </c>
      <c r="P49" s="2">
        <v>0.18768328445747801</v>
      </c>
      <c r="Q49" s="2">
        <v>0.12316715542521994</v>
      </c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</row>
    <row r="50" spans="1:33">
      <c r="A50" s="5">
        <f>A49+Calculations!$B$4</f>
        <v>96</v>
      </c>
      <c r="B50" s="2">
        <v>0.6862170087976539</v>
      </c>
      <c r="C50" s="2">
        <v>0.36265884652981428</v>
      </c>
      <c r="D50" s="2">
        <v>0.16520039100684261</v>
      </c>
      <c r="E50" s="2">
        <v>0.10948191593352884</v>
      </c>
      <c r="F50" s="2">
        <v>1.5640273704789834E-2</v>
      </c>
      <c r="G50" s="2">
        <v>1.6617790811339198E-2</v>
      </c>
      <c r="H50" s="2"/>
      <c r="I50" s="2"/>
      <c r="J50" s="2"/>
      <c r="K50" s="2"/>
      <c r="L50" s="2">
        <v>0.999</v>
      </c>
      <c r="M50" s="2">
        <v>0.999</v>
      </c>
      <c r="N50" s="2">
        <v>0.65689149560117299</v>
      </c>
      <c r="O50" s="2">
        <v>0.32746823069403713</v>
      </c>
      <c r="P50" s="2">
        <v>0.20430107526881722</v>
      </c>
      <c r="Q50" s="2">
        <v>9.1886608015640275E-2</v>
      </c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</row>
    <row r="51" spans="1:33">
      <c r="A51" s="5">
        <f>A50+Calculations!$B$4</f>
        <v>98</v>
      </c>
      <c r="B51" s="2">
        <v>0.59139784946236562</v>
      </c>
      <c r="C51" s="2">
        <v>0.25904203323558161</v>
      </c>
      <c r="D51" s="2">
        <v>0.17595307917888564</v>
      </c>
      <c r="E51" s="2">
        <v>5.5718475073313782E-2</v>
      </c>
      <c r="F51" s="2">
        <v>4.0078201368523948E-2</v>
      </c>
      <c r="G51" s="2">
        <v>5.767350928641251E-2</v>
      </c>
      <c r="H51" s="2"/>
      <c r="I51" s="2"/>
      <c r="J51" s="2"/>
      <c r="K51" s="2"/>
      <c r="L51" s="2">
        <v>0.999</v>
      </c>
      <c r="M51" s="2">
        <v>0.999</v>
      </c>
      <c r="N51" s="2">
        <v>0.5650048875855328</v>
      </c>
      <c r="O51" s="2">
        <v>0.27663734115347016</v>
      </c>
      <c r="P51" s="2">
        <v>0.15640273704789834</v>
      </c>
      <c r="Q51" s="2">
        <v>9.7751710654936458E-2</v>
      </c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</row>
    <row r="52" spans="1:33">
      <c r="A52" s="5">
        <f>A51+Calculations!$B$4</f>
        <v>100</v>
      </c>
      <c r="B52" s="2">
        <v>0.71945259042033238</v>
      </c>
      <c r="C52" s="2">
        <v>0.2825024437927664</v>
      </c>
      <c r="D52" s="2">
        <v>0.13196480938416422</v>
      </c>
      <c r="E52" s="2">
        <v>0.10459433040078202</v>
      </c>
      <c r="F52" s="2">
        <v>5.865102639296188E-2</v>
      </c>
      <c r="G52" s="2">
        <v>4.2033235581622676E-2</v>
      </c>
      <c r="H52" s="2"/>
      <c r="I52" s="2"/>
      <c r="J52" s="2"/>
      <c r="K52" s="2"/>
      <c r="L52" s="2">
        <v>0.999</v>
      </c>
      <c r="M52" s="2">
        <v>0.999</v>
      </c>
      <c r="N52" s="2">
        <v>0.55718475073313778</v>
      </c>
      <c r="O52" s="2">
        <v>0.23655913978494625</v>
      </c>
      <c r="P52" s="2">
        <v>0.17204301075268819</v>
      </c>
      <c r="Q52" s="2">
        <v>8.6021505376344093E-2</v>
      </c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</row>
    <row r="53" spans="1:33">
      <c r="A53" s="5">
        <f>A52+Calculations!$B$4</f>
        <v>102</v>
      </c>
      <c r="B53" s="2">
        <v>0.48875855327468232</v>
      </c>
      <c r="C53" s="2">
        <v>0.29227761485826004</v>
      </c>
      <c r="D53" s="2">
        <v>0.12218963831867058</v>
      </c>
      <c r="E53" s="2">
        <v>8.797653958944282E-2</v>
      </c>
      <c r="F53" s="2">
        <v>7.5268817204301078E-2</v>
      </c>
      <c r="G53" s="2">
        <v>1.2707722385141739E-2</v>
      </c>
      <c r="H53" s="2"/>
      <c r="I53" s="2"/>
      <c r="J53" s="2"/>
      <c r="K53" s="2"/>
      <c r="L53" s="2">
        <v>0.999</v>
      </c>
      <c r="M53" s="2">
        <v>0.999</v>
      </c>
      <c r="N53" s="2">
        <v>0.54252199413489732</v>
      </c>
      <c r="O53" s="2">
        <v>0.29227761485826004</v>
      </c>
      <c r="P53" s="2">
        <v>0.16715542521994134</v>
      </c>
      <c r="Q53" s="2">
        <v>0.10361681329423265</v>
      </c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</row>
    <row r="54" spans="1:33">
      <c r="A54" s="5">
        <f>A53+Calculations!$B$4</f>
        <v>104</v>
      </c>
      <c r="B54" s="2">
        <v>0.53567937438905178</v>
      </c>
      <c r="C54" s="2">
        <v>0.21994134897360704</v>
      </c>
      <c r="D54" s="2">
        <v>0.16324535679374388</v>
      </c>
      <c r="E54" s="2">
        <v>0.10752688172043011</v>
      </c>
      <c r="F54" s="2">
        <v>4.8875855327468229E-2</v>
      </c>
      <c r="G54" s="2">
        <v>3.5190615835777123E-2</v>
      </c>
      <c r="H54" s="2"/>
      <c r="I54" s="2"/>
      <c r="J54" s="2"/>
      <c r="K54" s="2"/>
      <c r="L54" s="2">
        <v>0.999</v>
      </c>
      <c r="M54" s="2">
        <v>0.999</v>
      </c>
      <c r="N54" s="2">
        <v>0.47702834799608995</v>
      </c>
      <c r="O54" s="2">
        <v>0.29912023460410558</v>
      </c>
      <c r="P54" s="2">
        <v>0.15640273704789834</v>
      </c>
      <c r="Q54" s="2">
        <v>0.10068426197458455</v>
      </c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</row>
    <row r="55" spans="1:33">
      <c r="A55" s="5">
        <f>A54+Calculations!$B$4</f>
        <v>106</v>
      </c>
      <c r="B55" s="2">
        <v>0.40078201368523947</v>
      </c>
      <c r="C55" s="2">
        <v>0.20234604105571846</v>
      </c>
      <c r="D55" s="2">
        <v>9.4819159335288367E-2</v>
      </c>
      <c r="E55" s="2">
        <v>9.6774193548387094E-2</v>
      </c>
      <c r="F55" s="2">
        <v>5.1808406647116327E-2</v>
      </c>
      <c r="G55" s="2">
        <v>3.9100684261974585E-2</v>
      </c>
      <c r="H55" s="2"/>
      <c r="I55" s="2"/>
      <c r="J55" s="2"/>
      <c r="K55" s="2"/>
      <c r="L55" s="2">
        <v>0.999</v>
      </c>
      <c r="M55" s="2">
        <v>0.97556207233626591</v>
      </c>
      <c r="N55" s="2">
        <v>0.51710654936461387</v>
      </c>
      <c r="O55" s="2">
        <v>0.23069403714565004</v>
      </c>
      <c r="P55" s="2">
        <v>0.14173998044965788</v>
      </c>
      <c r="Q55" s="2">
        <v>8.113391984359726E-2</v>
      </c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</row>
    <row r="56" spans="1:33">
      <c r="A56" s="5">
        <f>A55+Calculations!$B$4</f>
        <v>108</v>
      </c>
      <c r="B56" s="2">
        <v>0.35190615835777128</v>
      </c>
      <c r="C56" s="2">
        <v>0.23655913978494625</v>
      </c>
      <c r="D56" s="2">
        <v>5.4740957966764418E-2</v>
      </c>
      <c r="E56" s="2">
        <v>7.9178885630498533E-2</v>
      </c>
      <c r="F56" s="2">
        <v>9.7751710654936458E-2</v>
      </c>
      <c r="G56" s="2">
        <v>2.8347996089931573E-2</v>
      </c>
      <c r="H56" s="2"/>
      <c r="I56" s="2"/>
      <c r="J56" s="2"/>
      <c r="K56" s="2"/>
      <c r="L56" s="2">
        <v>0.999</v>
      </c>
      <c r="M56" s="2">
        <v>0.82795698924731187</v>
      </c>
      <c r="N56" s="2">
        <v>0.43206256109481916</v>
      </c>
      <c r="O56" s="2">
        <v>0.22971652003910067</v>
      </c>
      <c r="P56" s="2">
        <v>0.12512218963831867</v>
      </c>
      <c r="Q56" s="2">
        <v>9.3841642228739003E-2</v>
      </c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</row>
    <row r="57" spans="1:33">
      <c r="A57" s="5">
        <f>A56+Calculations!$B$4</f>
        <v>110</v>
      </c>
      <c r="B57" s="2">
        <v>0.42913000977517107</v>
      </c>
      <c r="C57" s="2">
        <v>0.19745845552297164</v>
      </c>
      <c r="D57" s="2">
        <v>0.11925708699902249</v>
      </c>
      <c r="E57" s="2">
        <v>4.9853372434017593E-2</v>
      </c>
      <c r="F57" s="2">
        <v>1.8572825024437929E-2</v>
      </c>
      <c r="G57" s="2">
        <v>4.4965786901270774E-2</v>
      </c>
      <c r="H57" s="2"/>
      <c r="I57" s="2"/>
      <c r="J57" s="2"/>
      <c r="K57" s="2"/>
      <c r="L57" s="2">
        <v>0.999</v>
      </c>
      <c r="M57" s="2">
        <v>0.91593352883675461</v>
      </c>
      <c r="N57" s="2">
        <v>0.42619745845552298</v>
      </c>
      <c r="O57" s="2">
        <v>0.24535679374389052</v>
      </c>
      <c r="P57" s="2">
        <v>0.18768328445747801</v>
      </c>
      <c r="Q57" s="2">
        <v>8.2111436950146624E-2</v>
      </c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</row>
    <row r="58" spans="1:33">
      <c r="A58" s="5">
        <f>A57+Calculations!$B$4</f>
        <v>112</v>
      </c>
      <c r="B58" s="2">
        <v>0.40175953079178883</v>
      </c>
      <c r="C58" s="2">
        <v>0.13000977517106549</v>
      </c>
      <c r="D58" s="2">
        <v>0.10850439882697947</v>
      </c>
      <c r="E58" s="2">
        <v>8.5043988269794715E-2</v>
      </c>
      <c r="F58" s="2">
        <v>5.3763440860215055E-2</v>
      </c>
      <c r="G58" s="2">
        <v>1.6617790811339198E-2</v>
      </c>
      <c r="H58" s="2"/>
      <c r="I58" s="2"/>
      <c r="J58" s="2"/>
      <c r="K58" s="2"/>
      <c r="L58" s="2">
        <v>0.999</v>
      </c>
      <c r="M58" s="2">
        <v>0.84750733137829914</v>
      </c>
      <c r="N58" s="2">
        <v>0.43401759530791789</v>
      </c>
      <c r="O58" s="2">
        <v>0.17888563049853373</v>
      </c>
      <c r="P58" s="2">
        <v>9.579667644183773E-2</v>
      </c>
      <c r="Q58" s="2">
        <v>5.4740957966764418E-2</v>
      </c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</row>
    <row r="59" spans="1:33">
      <c r="A59" s="5">
        <f>A58+Calculations!$B$4</f>
        <v>114</v>
      </c>
      <c r="B59" s="2">
        <v>0.34408602150537637</v>
      </c>
      <c r="C59" s="2">
        <v>0.1906158357771261</v>
      </c>
      <c r="D59" s="2">
        <v>0.17204301075268819</v>
      </c>
      <c r="E59" s="2">
        <v>6.9403714565004881E-2</v>
      </c>
      <c r="F59" s="2">
        <v>6.2561094819159335E-2</v>
      </c>
      <c r="G59" s="2">
        <v>2.7370478983382209E-2</v>
      </c>
      <c r="H59" s="2"/>
      <c r="I59" s="2"/>
      <c r="J59" s="2"/>
      <c r="K59" s="2"/>
      <c r="L59" s="2">
        <v>0.999</v>
      </c>
      <c r="M59" s="2">
        <v>0.83186705767350932</v>
      </c>
      <c r="N59" s="2">
        <v>0.38220918866080156</v>
      </c>
      <c r="O59" s="2">
        <v>0.23558162267839688</v>
      </c>
      <c r="P59" s="2">
        <v>9.579667644183773E-2</v>
      </c>
      <c r="Q59" s="2">
        <v>5.6695992179863146E-2</v>
      </c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</row>
    <row r="60" spans="1:33">
      <c r="A60" s="5">
        <f>A59+Calculations!$B$4</f>
        <v>116</v>
      </c>
      <c r="B60" s="2">
        <v>0.27077223851417398</v>
      </c>
      <c r="C60" s="2">
        <v>0.16715542521994134</v>
      </c>
      <c r="D60" s="2">
        <v>6.3538611925708699E-2</v>
      </c>
      <c r="E60" s="2">
        <v>8.9931573802541548E-2</v>
      </c>
      <c r="F60" s="2">
        <v>5.9628543499511244E-2</v>
      </c>
      <c r="G60" s="2">
        <v>2.8347996089931573E-2</v>
      </c>
      <c r="H60" s="2"/>
      <c r="I60" s="2"/>
      <c r="J60" s="2"/>
      <c r="K60" s="2"/>
      <c r="L60" s="2">
        <v>0.999</v>
      </c>
      <c r="M60" s="2">
        <v>0.84750733137829914</v>
      </c>
      <c r="N60" s="2">
        <v>0.35288367546432065</v>
      </c>
      <c r="O60" s="2">
        <v>0.18279569892473119</v>
      </c>
      <c r="P60" s="2">
        <v>0.12805474095796676</v>
      </c>
      <c r="Q60" s="2">
        <v>4.7898338220918865E-2</v>
      </c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</row>
    <row r="61" spans="1:33">
      <c r="A61" s="5">
        <f>A60+Calculations!$B$4</f>
        <v>118</v>
      </c>
      <c r="B61" s="2">
        <v>0.30205278592375367</v>
      </c>
      <c r="C61" s="2">
        <v>2.1505376344086023E-2</v>
      </c>
      <c r="D61" s="2">
        <v>1.466275659824047E-2</v>
      </c>
      <c r="E61" s="2">
        <v>3.2258064516129031E-2</v>
      </c>
      <c r="F61" s="2">
        <v>3.4213098729227759E-2</v>
      </c>
      <c r="G61" s="2">
        <v>4.1055718475073312E-2</v>
      </c>
      <c r="H61" s="2"/>
      <c r="I61" s="2"/>
      <c r="J61" s="2"/>
      <c r="K61" s="2"/>
      <c r="L61" s="2">
        <v>0.999</v>
      </c>
      <c r="M61" s="2">
        <v>0.76539589442815248</v>
      </c>
      <c r="N61" s="2">
        <v>0.39784946236559138</v>
      </c>
      <c r="O61" s="2">
        <v>0.15542521994134897</v>
      </c>
      <c r="P61" s="2">
        <v>0.11143695014662756</v>
      </c>
      <c r="Q61" s="2">
        <v>5.865102639296188E-2</v>
      </c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</row>
    <row r="62" spans="1:33">
      <c r="A62" s="5">
        <f>A61+Calculations!$B$4</f>
        <v>120</v>
      </c>
      <c r="B62" s="2">
        <v>0.26099706744868034</v>
      </c>
      <c r="C62" s="2">
        <v>0.10068426197458455</v>
      </c>
      <c r="D62" s="2">
        <v>2.4437927663734114E-2</v>
      </c>
      <c r="E62" s="2">
        <v>3.7145650048875857E-2</v>
      </c>
      <c r="F62" s="2">
        <v>2.5415444770283478E-2</v>
      </c>
      <c r="G62" s="2">
        <v>3.2258064516129031E-2</v>
      </c>
      <c r="H62" s="2"/>
      <c r="I62" s="2"/>
      <c r="J62" s="2"/>
      <c r="K62" s="2"/>
      <c r="L62" s="2">
        <v>0.999</v>
      </c>
      <c r="M62" s="2">
        <v>0.50048875855327468</v>
      </c>
      <c r="N62" s="2">
        <v>0.34310850439882695</v>
      </c>
      <c r="O62" s="2">
        <v>0.22189638318670576</v>
      </c>
      <c r="P62" s="2">
        <v>9.4819159335288367E-2</v>
      </c>
      <c r="Q62" s="2">
        <v>4.7898338220918865E-2</v>
      </c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</row>
    <row r="63" spans="1:33">
      <c r="A63" s="5">
        <f>A62+Calculations!$B$4</f>
        <v>122</v>
      </c>
      <c r="B63" s="2">
        <v>0.38025415444770283</v>
      </c>
      <c r="C63" s="2">
        <v>0.19648093841642228</v>
      </c>
      <c r="D63" s="2">
        <v>8.5043988269794715E-2</v>
      </c>
      <c r="E63" s="2">
        <v>4.398826979472141E-2</v>
      </c>
      <c r="F63" s="2">
        <v>3.3235581622678395E-2</v>
      </c>
      <c r="G63" s="2">
        <v>3.9100684261974585E-3</v>
      </c>
      <c r="H63" s="2"/>
      <c r="I63" s="2"/>
      <c r="J63" s="2"/>
      <c r="K63" s="2"/>
      <c r="L63" s="2">
        <v>0.999</v>
      </c>
      <c r="M63" s="2">
        <v>0.52590420332355814</v>
      </c>
      <c r="N63" s="2">
        <v>0.30498533724340177</v>
      </c>
      <c r="O63" s="2">
        <v>0.24340175953079179</v>
      </c>
      <c r="P63" s="2">
        <v>0.13196480938416422</v>
      </c>
      <c r="Q63" s="2">
        <v>5.1808406647116327E-2</v>
      </c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</row>
    <row r="64" spans="1:33">
      <c r="A64" s="5">
        <f>A63+Calculations!$B$4</f>
        <v>124</v>
      </c>
      <c r="B64" s="2">
        <v>0.17888563049853373</v>
      </c>
      <c r="C64" s="2">
        <v>8.8954056695992184E-2</v>
      </c>
      <c r="D64" s="2">
        <v>8.8954056695992184E-2</v>
      </c>
      <c r="E64" s="2">
        <v>5.767350928641251E-2</v>
      </c>
      <c r="F64" s="2">
        <v>3.3235581622678395E-2</v>
      </c>
      <c r="G64" s="2">
        <v>5.3763440860215055E-2</v>
      </c>
      <c r="H64" s="2"/>
      <c r="I64" s="2"/>
      <c r="J64" s="2"/>
      <c r="K64" s="2"/>
      <c r="L64" s="2">
        <v>0.999</v>
      </c>
      <c r="M64" s="2">
        <v>0.58162267839687198</v>
      </c>
      <c r="N64" s="2">
        <v>0.2512218963831867</v>
      </c>
      <c r="O64" s="2">
        <v>0.17595307917888564</v>
      </c>
      <c r="P64" s="2">
        <v>0.11339198435972629</v>
      </c>
      <c r="Q64" s="2">
        <v>4.3010752688172046E-2</v>
      </c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</row>
    <row r="65" spans="1:33">
      <c r="A65" s="5">
        <f>A64+Calculations!$B$4</f>
        <v>126</v>
      </c>
      <c r="B65" s="2">
        <v>0.16520039100684261</v>
      </c>
      <c r="C65" s="2">
        <v>0.16031280547409579</v>
      </c>
      <c r="D65" s="2">
        <v>0.13978494623655913</v>
      </c>
      <c r="E65" s="2">
        <v>6.9403714565004881E-2</v>
      </c>
      <c r="F65" s="2">
        <v>4.7898338220918865E-2</v>
      </c>
      <c r="G65" s="2">
        <v>1.9550342130987292E-2</v>
      </c>
      <c r="H65" s="2"/>
      <c r="I65" s="2"/>
      <c r="J65" s="2"/>
      <c r="K65" s="2"/>
      <c r="L65" s="2">
        <v>0.999</v>
      </c>
      <c r="M65" s="2">
        <v>0.46138807429130008</v>
      </c>
      <c r="N65" s="2">
        <v>0.27272727272727271</v>
      </c>
      <c r="O65" s="2">
        <v>0.17595307917888564</v>
      </c>
      <c r="P65" s="2">
        <v>9.0909090909090912E-2</v>
      </c>
      <c r="Q65" s="2">
        <v>5.2785923753665691E-2</v>
      </c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</row>
    <row r="66" spans="1:33">
      <c r="A66" s="5">
        <f>A65+Calculations!$B$4</f>
        <v>128</v>
      </c>
      <c r="B66" s="2">
        <v>0.22580645161290322</v>
      </c>
      <c r="C66" s="2">
        <v>8.5043988269794715E-2</v>
      </c>
      <c r="D66" s="2">
        <v>8.6999022482893457E-2</v>
      </c>
      <c r="E66" s="2">
        <v>3.6168132942326493E-2</v>
      </c>
      <c r="F66" s="2">
        <v>3.6168132942326493E-2</v>
      </c>
      <c r="G66" s="2">
        <v>1.9550342130987292E-2</v>
      </c>
      <c r="H66" s="2"/>
      <c r="I66" s="2"/>
      <c r="J66" s="2"/>
      <c r="K66" s="2"/>
      <c r="L66" s="2">
        <v>0.999</v>
      </c>
      <c r="M66" s="2">
        <v>0.47996089931573804</v>
      </c>
      <c r="N66" s="2">
        <v>0.20039100684261973</v>
      </c>
      <c r="O66" s="2">
        <v>0.1681329423264907</v>
      </c>
      <c r="P66" s="2">
        <v>9.9706744868035185E-2</v>
      </c>
      <c r="Q66" s="2">
        <v>6.7448680351906154E-2</v>
      </c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</row>
    <row r="67" spans="1:33">
      <c r="A67" s="5">
        <f>A66+Calculations!$B$4</f>
        <v>130</v>
      </c>
      <c r="B67" s="2">
        <v>0.15151515151515152</v>
      </c>
      <c r="C67" s="2">
        <v>0.14956011730205279</v>
      </c>
      <c r="D67" s="2">
        <v>7.8201368523949169E-2</v>
      </c>
      <c r="E67" s="2">
        <v>1.7595307917888561E-2</v>
      </c>
      <c r="F67" s="2">
        <v>3.8123167155425221E-2</v>
      </c>
      <c r="G67" s="2">
        <v>1.5640273704789834E-2</v>
      </c>
      <c r="H67" s="2"/>
      <c r="I67" s="2"/>
      <c r="J67" s="2"/>
      <c r="K67" s="2"/>
      <c r="L67" s="2">
        <v>0.999</v>
      </c>
      <c r="M67" s="2">
        <v>0.40762463343108507</v>
      </c>
      <c r="N67" s="2">
        <v>0.2825024437927664</v>
      </c>
      <c r="O67" s="2">
        <v>0.17008797653958943</v>
      </c>
      <c r="P67" s="2">
        <v>0.10263929618768329</v>
      </c>
      <c r="Q67" s="2">
        <v>5.5718475073313782E-2</v>
      </c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</row>
    <row r="68" spans="1:33">
      <c r="A68" s="5">
        <f>A67+Calculations!$B$4</f>
        <v>132</v>
      </c>
      <c r="B68" s="2">
        <v>0.20821114369501467</v>
      </c>
      <c r="C68" s="2">
        <v>0.17790811339198437</v>
      </c>
      <c r="D68" s="2">
        <v>6.9403714565004881E-2</v>
      </c>
      <c r="E68" s="2">
        <v>8.8954056695992184E-2</v>
      </c>
      <c r="F68" s="2">
        <v>3.0303030303030304E-2</v>
      </c>
      <c r="G68" s="2">
        <v>7.8201368523949169E-3</v>
      </c>
      <c r="H68" s="2"/>
      <c r="I68" s="2"/>
      <c r="J68" s="2"/>
      <c r="K68" s="2"/>
      <c r="L68" s="2">
        <v>0.999</v>
      </c>
      <c r="M68" s="2">
        <v>0.51319648093841641</v>
      </c>
      <c r="N68" s="2">
        <v>0.17888563049853373</v>
      </c>
      <c r="O68" s="2">
        <v>0.10948191593352884</v>
      </c>
      <c r="P68" s="2">
        <v>2.932551319648094E-2</v>
      </c>
      <c r="Q68" s="2">
        <v>3.7145650048875857E-2</v>
      </c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</row>
    <row r="69" spans="1:33">
      <c r="A69" s="5">
        <f>A68+Calculations!$B$4</f>
        <v>134</v>
      </c>
      <c r="B69" s="2">
        <v>0.11730205278592376</v>
      </c>
      <c r="C69" s="2">
        <v>0.13294232649071358</v>
      </c>
      <c r="D69" s="2">
        <v>4.0078201368523948E-2</v>
      </c>
      <c r="E69" s="2">
        <v>1.3685239491691105E-2</v>
      </c>
      <c r="F69" s="2">
        <v>1.2707722385141739E-2</v>
      </c>
      <c r="G69" s="2">
        <v>5.0830889540566956E-2</v>
      </c>
      <c r="H69" s="2"/>
      <c r="I69" s="2"/>
      <c r="J69" s="2"/>
      <c r="K69" s="2"/>
      <c r="L69" s="2">
        <v>0.999</v>
      </c>
      <c r="M69" s="2">
        <v>0.42815249266862171</v>
      </c>
      <c r="N69" s="2">
        <v>0.25219941348973607</v>
      </c>
      <c r="O69" s="2">
        <v>0.11730205278592376</v>
      </c>
      <c r="P69" s="2">
        <v>0.1104594330400782</v>
      </c>
      <c r="Q69" s="2">
        <v>3.6168132942326493E-2</v>
      </c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</row>
    <row r="70" spans="1:33">
      <c r="A70" s="5">
        <f>A69+Calculations!$B$4</f>
        <v>136</v>
      </c>
      <c r="B70" s="2">
        <v>9.0909090909090912E-2</v>
      </c>
      <c r="C70" s="2">
        <v>0</v>
      </c>
      <c r="D70" s="2">
        <v>8.5043988269794715E-2</v>
      </c>
      <c r="E70" s="2">
        <v>6.8426197458455523E-3</v>
      </c>
      <c r="F70" s="2">
        <v>0</v>
      </c>
      <c r="G70" s="2">
        <v>2.4437927663734114E-2</v>
      </c>
      <c r="H70" s="2"/>
      <c r="I70" s="2"/>
      <c r="J70" s="2"/>
      <c r="K70" s="2"/>
      <c r="L70" s="2">
        <v>0.98533724340175954</v>
      </c>
      <c r="M70" s="2">
        <v>0.47018572825024441</v>
      </c>
      <c r="N70" s="2">
        <v>0.1573802541544477</v>
      </c>
      <c r="O70" s="2">
        <v>0.15640273704789834</v>
      </c>
      <c r="P70" s="2">
        <v>7.1358748778103623E-2</v>
      </c>
      <c r="Q70" s="2">
        <v>5.5718475073313782E-2</v>
      </c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</row>
    <row r="71" spans="1:33">
      <c r="A71" s="5">
        <f>A70+Calculations!$B$4</f>
        <v>138</v>
      </c>
      <c r="B71" s="2">
        <v>0.21603128054740958</v>
      </c>
      <c r="C71" s="2">
        <v>9.579667644183773E-2</v>
      </c>
      <c r="D71" s="2">
        <v>0</v>
      </c>
      <c r="E71" s="2">
        <v>0.1270772238514174</v>
      </c>
      <c r="F71" s="2">
        <v>4.2033235581622676E-2</v>
      </c>
      <c r="G71" s="2">
        <v>5.5718475073313782E-2</v>
      </c>
      <c r="H71" s="2"/>
      <c r="I71" s="2"/>
      <c r="J71" s="2"/>
      <c r="K71" s="2"/>
      <c r="L71" s="2">
        <v>0.73998044965786902</v>
      </c>
      <c r="M71" s="2">
        <v>0.38709677419354838</v>
      </c>
      <c r="N71" s="2">
        <v>0.21505376344086022</v>
      </c>
      <c r="O71" s="2">
        <v>0.14271749755620725</v>
      </c>
      <c r="P71" s="2">
        <v>0.12121212121212122</v>
      </c>
      <c r="Q71" s="2">
        <v>4.2033235581622676E-2</v>
      </c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</row>
    <row r="72" spans="1:33">
      <c r="A72" s="5">
        <f>A71+Calculations!$B$4</f>
        <v>140</v>
      </c>
      <c r="B72" s="2">
        <v>9.8729227761485822E-2</v>
      </c>
      <c r="C72" s="2">
        <v>0.13294232649071358</v>
      </c>
      <c r="D72" s="2">
        <v>4.8875855327468229E-2</v>
      </c>
      <c r="E72" s="2">
        <v>6.3538611925708699E-2</v>
      </c>
      <c r="F72" s="2">
        <v>1.5640273704789834E-2</v>
      </c>
      <c r="G72" s="2">
        <v>4.6920821114369501E-2</v>
      </c>
      <c r="H72" s="2"/>
      <c r="I72" s="2"/>
      <c r="J72" s="2"/>
      <c r="K72" s="2"/>
      <c r="L72" s="2">
        <v>0.83284457478005869</v>
      </c>
      <c r="M72" s="2">
        <v>0.36363636363636365</v>
      </c>
      <c r="N72" s="2">
        <v>0.14858260019550343</v>
      </c>
      <c r="O72" s="2">
        <v>0.10361681329423265</v>
      </c>
      <c r="P72" s="2">
        <v>9.3841642228739003E-2</v>
      </c>
      <c r="Q72" s="2">
        <v>5.2785923753665691E-2</v>
      </c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</row>
    <row r="73" spans="1:33">
      <c r="A73" s="5">
        <f>A72+Calculations!$B$4</f>
        <v>142</v>
      </c>
      <c r="B73" s="2">
        <v>0.14760508308895406</v>
      </c>
      <c r="C73" s="2">
        <v>3.2258064516129031E-2</v>
      </c>
      <c r="D73" s="2">
        <v>2.5415444770283478E-2</v>
      </c>
      <c r="E73" s="2">
        <v>8.4066471163245352E-2</v>
      </c>
      <c r="F73" s="2">
        <v>0</v>
      </c>
      <c r="G73" s="2">
        <v>1.6617790811339198E-2</v>
      </c>
      <c r="H73" s="2"/>
      <c r="I73" s="2"/>
      <c r="J73" s="2"/>
      <c r="K73" s="2"/>
      <c r="L73" s="2">
        <v>0.8191593352883676</v>
      </c>
      <c r="M73" s="2">
        <v>0.34310850439882695</v>
      </c>
      <c r="N73" s="2">
        <v>0.11827956989247312</v>
      </c>
      <c r="O73" s="2">
        <v>0.10557184750733138</v>
      </c>
      <c r="P73" s="2">
        <v>6.0606060606060608E-2</v>
      </c>
      <c r="Q73" s="2">
        <v>1.8572825024437929E-2</v>
      </c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</row>
    <row r="74" spans="1:33">
      <c r="A74" s="5">
        <f>A73+Calculations!$B$4</f>
        <v>144</v>
      </c>
      <c r="B74" s="2">
        <v>0.27272727272727271</v>
      </c>
      <c r="C74" s="2">
        <v>2.2482893450635387E-2</v>
      </c>
      <c r="D74" s="2">
        <v>6.7448680351906154E-2</v>
      </c>
      <c r="E74" s="2">
        <v>5.1808406647116327E-2</v>
      </c>
      <c r="F74" s="2">
        <v>3.9100684261974585E-3</v>
      </c>
      <c r="G74" s="2">
        <v>3.4213098729227759E-2</v>
      </c>
      <c r="H74" s="2"/>
      <c r="I74" s="2"/>
      <c r="J74" s="2"/>
      <c r="K74" s="2"/>
      <c r="L74" s="2">
        <v>0.62267839687194526</v>
      </c>
      <c r="M74" s="2">
        <v>0.36852394916911047</v>
      </c>
      <c r="N74" s="2">
        <v>0.11534701857282502</v>
      </c>
      <c r="O74" s="2">
        <v>5.9628543499511244E-2</v>
      </c>
      <c r="P74" s="2">
        <v>5.6695992179863146E-2</v>
      </c>
      <c r="Q74" s="2">
        <v>3.5190615835777123E-2</v>
      </c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</row>
    <row r="75" spans="1:33">
      <c r="A75" s="5">
        <f>A74+Calculations!$B$4</f>
        <v>146</v>
      </c>
      <c r="B75" s="2">
        <v>8.6999022482893457E-2</v>
      </c>
      <c r="C75" s="2">
        <v>7.331378299120235E-2</v>
      </c>
      <c r="D75" s="2">
        <v>1.0752688172043012E-2</v>
      </c>
      <c r="E75" s="2">
        <v>4.0078201368523948E-2</v>
      </c>
      <c r="F75" s="2">
        <v>5.0830889540566956E-2</v>
      </c>
      <c r="G75" s="2">
        <v>3.9100684261974585E-2</v>
      </c>
      <c r="H75" s="2"/>
      <c r="I75" s="2"/>
      <c r="J75" s="2"/>
      <c r="K75" s="2"/>
      <c r="L75" s="2">
        <v>0.64809384164222872</v>
      </c>
      <c r="M75" s="2">
        <v>0.3782991202346041</v>
      </c>
      <c r="N75" s="2">
        <v>0.13685239491691104</v>
      </c>
      <c r="O75" s="2">
        <v>0.13196480938416422</v>
      </c>
      <c r="P75" s="2">
        <v>4.3010752688172046E-2</v>
      </c>
      <c r="Q75" s="2">
        <v>4.7898338220918865E-2</v>
      </c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</row>
    <row r="76" spans="1:33">
      <c r="A76" s="5">
        <f>A75+Calculations!$B$4</f>
        <v>148</v>
      </c>
      <c r="B76" s="2">
        <v>9.9706744868035185E-2</v>
      </c>
      <c r="C76" s="2">
        <v>2.2482893450635387E-2</v>
      </c>
      <c r="D76" s="2">
        <v>2.8347996089931573E-2</v>
      </c>
      <c r="E76" s="2">
        <v>3.5190615835777123E-2</v>
      </c>
      <c r="F76" s="2">
        <v>1.5640273704789834E-2</v>
      </c>
      <c r="G76" s="2">
        <v>4.5943304007820138E-2</v>
      </c>
      <c r="H76" s="2"/>
      <c r="I76" s="2"/>
      <c r="J76" s="2"/>
      <c r="K76" s="2"/>
      <c r="L76" s="2">
        <v>0.58260019550342135</v>
      </c>
      <c r="M76" s="2">
        <v>0.26979472140762462</v>
      </c>
      <c r="N76" s="2">
        <v>0.10557184750733138</v>
      </c>
      <c r="O76" s="2">
        <v>5.5718475073313782E-2</v>
      </c>
      <c r="P76" s="2">
        <v>4.1055718475073312E-2</v>
      </c>
      <c r="Q76" s="2">
        <v>3.9100684261974585E-2</v>
      </c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</row>
    <row r="77" spans="1:33">
      <c r="A77" s="5">
        <f>A76+Calculations!$B$4</f>
        <v>150</v>
      </c>
      <c r="B77" s="2">
        <v>0.14760508308895406</v>
      </c>
      <c r="C77" s="2">
        <v>4.5943304007820138E-2</v>
      </c>
      <c r="D77" s="2">
        <v>0</v>
      </c>
      <c r="E77" s="2">
        <v>1.2707722385141739E-2</v>
      </c>
      <c r="F77" s="2">
        <v>3.4213098729227759E-2</v>
      </c>
      <c r="G77" s="2">
        <v>4.4965786901270774E-2</v>
      </c>
      <c r="H77" s="2"/>
      <c r="I77" s="2"/>
      <c r="J77" s="2"/>
      <c r="K77" s="2"/>
      <c r="L77" s="2">
        <v>0.63636363636363635</v>
      </c>
      <c r="M77" s="2">
        <v>0.30791788856304986</v>
      </c>
      <c r="N77" s="2">
        <v>0.14956011730205279</v>
      </c>
      <c r="O77" s="2">
        <v>7.6246334310850442E-2</v>
      </c>
      <c r="P77" s="2">
        <v>6.0606060606060608E-2</v>
      </c>
      <c r="Q77" s="2">
        <v>2.3460410557184751E-2</v>
      </c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</row>
    <row r="78" spans="1:33">
      <c r="A78" s="5">
        <f>A77+Calculations!$B$4</f>
        <v>152</v>
      </c>
      <c r="B78" s="2">
        <v>1.466275659824047E-2</v>
      </c>
      <c r="C78" s="2">
        <v>0</v>
      </c>
      <c r="D78" s="2">
        <v>0</v>
      </c>
      <c r="E78" s="2">
        <v>3.9100684261974585E-3</v>
      </c>
      <c r="F78" s="2">
        <v>4.8875855327468229E-2</v>
      </c>
      <c r="G78" s="2">
        <v>2.3460410557184751E-2</v>
      </c>
      <c r="H78" s="2"/>
      <c r="I78" s="2"/>
      <c r="J78" s="2"/>
      <c r="K78" s="2"/>
      <c r="L78" s="2">
        <v>0.66959921798631472</v>
      </c>
      <c r="M78" s="2">
        <v>0.3040078201368524</v>
      </c>
      <c r="N78" s="2">
        <v>0.16617790811339198</v>
      </c>
      <c r="O78" s="2">
        <v>8.2111436950146624E-2</v>
      </c>
      <c r="P78" s="2">
        <v>3.6168132942326493E-2</v>
      </c>
      <c r="Q78" s="2">
        <v>3.7145650048875857E-2</v>
      </c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</row>
    <row r="79" spans="1:33">
      <c r="A79" s="5">
        <f>A78+Calculations!$B$4</f>
        <v>154</v>
      </c>
      <c r="B79" s="2">
        <v>9.0909090909090912E-2</v>
      </c>
      <c r="C79" s="2">
        <v>0</v>
      </c>
      <c r="D79" s="2">
        <v>2.932551319648094E-2</v>
      </c>
      <c r="E79" s="2">
        <v>0</v>
      </c>
      <c r="F79" s="2">
        <v>3.3235581622678395E-2</v>
      </c>
      <c r="G79" s="2">
        <v>8.7976539589442806E-3</v>
      </c>
      <c r="H79" s="2"/>
      <c r="I79" s="2"/>
      <c r="J79" s="2"/>
      <c r="K79" s="2"/>
      <c r="L79" s="2">
        <v>0.52394916911045941</v>
      </c>
      <c r="M79" s="2">
        <v>0.31085043988269795</v>
      </c>
      <c r="N79" s="2">
        <v>0.16715542521994134</v>
      </c>
      <c r="O79" s="2">
        <v>9.9706744868035185E-2</v>
      </c>
      <c r="P79" s="2">
        <v>2.6392961876832845E-2</v>
      </c>
      <c r="Q79" s="2">
        <v>6.3538611925708699E-2</v>
      </c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</row>
    <row r="80" spans="1:33">
      <c r="A80" s="5">
        <f>A79+Calculations!$B$4</f>
        <v>156</v>
      </c>
      <c r="B80" s="2">
        <v>1.8572825024437929E-2</v>
      </c>
      <c r="C80" s="2">
        <v>1.7595307917888561E-2</v>
      </c>
      <c r="D80" s="2">
        <v>0</v>
      </c>
      <c r="E80" s="2">
        <v>1.5640273704789834E-2</v>
      </c>
      <c r="F80" s="2">
        <v>3.4213098729227759E-2</v>
      </c>
      <c r="G80" s="2">
        <v>9.7751710654936461E-4</v>
      </c>
      <c r="H80" s="2"/>
      <c r="I80" s="2"/>
      <c r="J80" s="2"/>
      <c r="K80" s="2"/>
      <c r="L80" s="2">
        <v>0.42326490713587489</v>
      </c>
      <c r="M80" s="2">
        <v>0.27663734115347016</v>
      </c>
      <c r="N80" s="2">
        <v>0.17497556207233628</v>
      </c>
      <c r="O80" s="2">
        <v>7.0381231671554245E-2</v>
      </c>
      <c r="P80" s="2">
        <v>3.5190615835777123E-2</v>
      </c>
      <c r="Q80" s="2">
        <v>4.7898338220918865E-2</v>
      </c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</row>
    <row r="81" spans="1:33">
      <c r="A81" s="5">
        <f>A80+Calculations!$B$4</f>
        <v>158</v>
      </c>
      <c r="B81" s="2">
        <v>0</v>
      </c>
      <c r="C81" s="2">
        <v>5.3763440860215055E-2</v>
      </c>
      <c r="D81" s="2">
        <v>3.5190615835777123E-2</v>
      </c>
      <c r="E81" s="2">
        <v>2.2482893450635387E-2</v>
      </c>
      <c r="F81" s="2">
        <v>3.1280547409579668E-2</v>
      </c>
      <c r="G81" s="2">
        <v>2.9325513196480938E-3</v>
      </c>
      <c r="H81" s="2"/>
      <c r="I81" s="2"/>
      <c r="J81" s="2"/>
      <c r="K81" s="2"/>
      <c r="L81" s="2">
        <v>0.41348973607038125</v>
      </c>
      <c r="M81" s="2">
        <v>0.26979472140762462</v>
      </c>
      <c r="N81" s="2">
        <v>0.16715542521994134</v>
      </c>
      <c r="O81" s="2">
        <v>7.8201368523949169E-2</v>
      </c>
      <c r="P81" s="2">
        <v>1.2707722385141739E-2</v>
      </c>
      <c r="Q81" s="2">
        <v>1.6617790811339198E-2</v>
      </c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</row>
    <row r="82" spans="1:33">
      <c r="A82" s="5">
        <f>A81+Calculations!$B$4</f>
        <v>160</v>
      </c>
      <c r="B82" s="2">
        <v>7.0381231671554245E-2</v>
      </c>
      <c r="C82" s="2">
        <v>0</v>
      </c>
      <c r="D82" s="2">
        <v>9.7751710654936461E-3</v>
      </c>
      <c r="E82" s="2">
        <v>0</v>
      </c>
      <c r="F82" s="2">
        <v>7.8201368523949169E-3</v>
      </c>
      <c r="G82" s="2">
        <v>1.2707722385141739E-2</v>
      </c>
      <c r="H82" s="2"/>
      <c r="I82" s="2"/>
      <c r="J82" s="2"/>
      <c r="K82" s="2"/>
      <c r="L82" s="2">
        <v>0.35092864125122192</v>
      </c>
      <c r="M82" s="2">
        <v>0.18475073313782991</v>
      </c>
      <c r="N82" s="2">
        <v>0.1466275659824047</v>
      </c>
      <c r="O82" s="2">
        <v>0.10752688172043011</v>
      </c>
      <c r="P82" s="2">
        <v>3.7145650048875857E-2</v>
      </c>
      <c r="Q82" s="2">
        <v>0</v>
      </c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</row>
    <row r="83" spans="1:33">
      <c r="A83" s="34" t="s">
        <v>24</v>
      </c>
      <c r="B83" s="31">
        <v>5.46875E-2</v>
      </c>
      <c r="C83" s="2">
        <v>0</v>
      </c>
      <c r="D83" s="2">
        <v>5.46875E-2</v>
      </c>
      <c r="E83" s="2">
        <v>5.46875E-2</v>
      </c>
      <c r="F83" s="2">
        <v>5.46875E-2</v>
      </c>
      <c r="G83" s="2">
        <v>5.46875E-2</v>
      </c>
      <c r="H83" s="2"/>
      <c r="I83" s="2"/>
      <c r="J83" s="2"/>
      <c r="K83" s="2"/>
      <c r="L83">
        <v>5.46875E-2</v>
      </c>
      <c r="M83">
        <v>5.46875E-2</v>
      </c>
      <c r="N83">
        <v>5.46875E-2</v>
      </c>
      <c r="O83">
        <v>5.46875E-2</v>
      </c>
      <c r="P83">
        <v>5.46875E-2</v>
      </c>
      <c r="Q83">
        <v>5.46875E-2</v>
      </c>
    </row>
    <row r="84" spans="1:33">
      <c r="A84" s="5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33">
      <c r="A85" s="5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33">
      <c r="A86" s="5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33">
      <c r="A87" s="5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33">
      <c r="A88" s="5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33">
      <c r="A89" s="5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33">
      <c r="A90" s="5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33">
      <c r="A91" s="5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33">
      <c r="A92" s="5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33">
      <c r="A93" s="5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33">
      <c r="A94" s="5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33">
      <c r="A95" s="5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33">
      <c r="A96" s="5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>
      <c r="A97" s="5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>
      <c r="A98" s="5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>
      <c r="A99" s="5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>
      <c r="A100" s="5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>
      <c r="A101" s="5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>
      <c r="A102" s="5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>
      <c r="A103" s="5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>
      <c r="A104" s="5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>
      <c r="A105" s="5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>
      <c r="A106" s="5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>
      <c r="A107" s="5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>
      <c r="A108" s="5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>
      <c r="A109" s="5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>
      <c r="A110" s="5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>
      <c r="A111" s="5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>
      <c r="A112" s="5"/>
      <c r="B112" s="2"/>
      <c r="C112" s="2"/>
      <c r="D112" s="2"/>
      <c r="E112" s="2"/>
      <c r="F112" s="2"/>
      <c r="G112" s="2"/>
      <c r="H112" s="2"/>
      <c r="I112" s="2"/>
      <c r="J112" s="2"/>
      <c r="K112" s="2"/>
    </row>
    <row r="113" spans="1:11">
      <c r="A113" s="5"/>
      <c r="B113" s="2"/>
      <c r="C113" s="2"/>
      <c r="D113" s="2"/>
      <c r="E113" s="2"/>
      <c r="F113" s="2"/>
      <c r="G113" s="2"/>
      <c r="H113" s="2"/>
      <c r="I113" s="2"/>
      <c r="J113" s="2"/>
      <c r="K113" s="2"/>
    </row>
    <row r="114" spans="1:11">
      <c r="A114" s="5"/>
      <c r="B114" s="2"/>
      <c r="C114" s="2"/>
      <c r="D114" s="2"/>
      <c r="E114" s="2"/>
      <c r="F114" s="2"/>
      <c r="G114" s="2"/>
      <c r="H114" s="2"/>
      <c r="I114" s="2"/>
      <c r="J114" s="2"/>
      <c r="K114" s="2"/>
    </row>
    <row r="115" spans="1:11">
      <c r="A115" s="5"/>
      <c r="B115" s="2"/>
      <c r="C115" s="2"/>
      <c r="D115" s="2"/>
      <c r="E115" s="2"/>
      <c r="F115" s="2"/>
      <c r="G115" s="2"/>
      <c r="H115" s="2"/>
      <c r="I115" s="2"/>
      <c r="J115" s="2"/>
      <c r="K115" s="2"/>
    </row>
    <row r="116" spans="1:11">
      <c r="A116" s="5"/>
      <c r="B116" s="2"/>
      <c r="C116" s="2"/>
      <c r="D116" s="2"/>
      <c r="E116" s="2"/>
      <c r="F116" s="2"/>
      <c r="G116" s="2"/>
      <c r="H116" s="2"/>
      <c r="I116" s="2"/>
      <c r="J116" s="2"/>
      <c r="K116" s="2"/>
    </row>
    <row r="117" spans="1:11">
      <c r="A117" s="5"/>
      <c r="B117" s="2"/>
      <c r="C117" s="2"/>
      <c r="D117" s="2"/>
      <c r="E117" s="2"/>
      <c r="F117" s="2"/>
      <c r="G117" s="2"/>
      <c r="H117" s="2"/>
      <c r="I117" s="2"/>
      <c r="J117" s="2"/>
      <c r="K117" s="2"/>
    </row>
    <row r="118" spans="1:11">
      <c r="A118" s="5"/>
      <c r="B118" s="2"/>
      <c r="C118" s="2"/>
      <c r="D118" s="2"/>
      <c r="E118" s="2"/>
      <c r="F118" s="2"/>
      <c r="G118" s="2"/>
      <c r="H118" s="2"/>
      <c r="I118" s="2"/>
      <c r="J118" s="2"/>
      <c r="K118" s="2"/>
    </row>
    <row r="119" spans="1:11">
      <c r="A119" s="5"/>
      <c r="B119" s="2"/>
      <c r="C119" s="2"/>
      <c r="D119" s="2"/>
      <c r="E119" s="2"/>
      <c r="F119" s="2"/>
      <c r="G119" s="2"/>
      <c r="H119" s="2"/>
      <c r="I119" s="2"/>
      <c r="J119" s="2"/>
      <c r="K119" s="2"/>
    </row>
    <row r="120" spans="1:11">
      <c r="A120" s="5"/>
      <c r="B120" s="2"/>
      <c r="C120" s="2"/>
      <c r="D120" s="2"/>
      <c r="E120" s="2"/>
      <c r="F120" s="2"/>
      <c r="G120" s="2"/>
      <c r="H120" s="2"/>
      <c r="I120" s="2"/>
      <c r="J120" s="2"/>
      <c r="K120" s="2"/>
    </row>
    <row r="121" spans="1:11">
      <c r="A121" s="5"/>
      <c r="B121" s="2"/>
      <c r="C121" s="2"/>
      <c r="D121" s="2"/>
      <c r="E121" s="2"/>
      <c r="F121" s="2"/>
      <c r="G121" s="2"/>
      <c r="H121" s="2"/>
      <c r="I121" s="2"/>
      <c r="J121" s="2"/>
      <c r="K121" s="2"/>
    </row>
    <row r="122" spans="1:11">
      <c r="A122" s="5"/>
      <c r="B122" s="2"/>
      <c r="C122" s="2"/>
      <c r="D122" s="2"/>
      <c r="E122" s="2"/>
      <c r="F122" s="2"/>
      <c r="G122" s="2"/>
      <c r="H122" s="2"/>
      <c r="I122" s="2"/>
      <c r="J122" s="2"/>
      <c r="K122" s="2"/>
    </row>
    <row r="123" spans="1:11">
      <c r="A123" s="5"/>
      <c r="B123" s="2"/>
      <c r="C123" s="2"/>
      <c r="D123" s="2"/>
      <c r="E123" s="2"/>
      <c r="F123" s="2"/>
      <c r="G123" s="2"/>
      <c r="H123" s="2"/>
      <c r="I123" s="2"/>
      <c r="J123" s="2"/>
      <c r="K123" s="2"/>
    </row>
    <row r="124" spans="1:11">
      <c r="A124" s="5"/>
      <c r="B124" s="2"/>
      <c r="C124" s="2"/>
      <c r="D124" s="2"/>
      <c r="E124" s="2"/>
      <c r="F124" s="2"/>
      <c r="G124" s="2"/>
      <c r="H124" s="2"/>
      <c r="I124" s="2"/>
      <c r="J124" s="2"/>
      <c r="K124" s="2"/>
    </row>
    <row r="125" spans="1:11">
      <c r="A125" s="5"/>
      <c r="B125" s="2"/>
      <c r="C125" s="2"/>
      <c r="D125" s="2"/>
      <c r="E125" s="2"/>
      <c r="F125" s="2"/>
      <c r="G125" s="2"/>
      <c r="H125" s="2"/>
      <c r="I125" s="2"/>
      <c r="J125" s="2"/>
      <c r="K125" s="2"/>
    </row>
    <row r="126" spans="1:11">
      <c r="A126" s="5"/>
      <c r="B126" s="2"/>
      <c r="C126" s="2"/>
      <c r="D126" s="2"/>
      <c r="E126" s="2"/>
      <c r="F126" s="2"/>
      <c r="G126" s="2"/>
      <c r="H126" s="2"/>
      <c r="I126" s="2"/>
      <c r="J126" s="2"/>
      <c r="K126" s="2"/>
    </row>
    <row r="127" spans="1:11">
      <c r="A127" s="5"/>
      <c r="B127" s="2"/>
      <c r="C127" s="2"/>
      <c r="D127" s="2"/>
      <c r="E127" s="2"/>
      <c r="F127" s="2"/>
      <c r="G127" s="2"/>
      <c r="H127" s="2"/>
      <c r="I127" s="2"/>
      <c r="J127" s="2"/>
      <c r="K127" s="2"/>
    </row>
    <row r="128" spans="1:11">
      <c r="A128" s="5"/>
      <c r="B128" s="2"/>
      <c r="C128" s="2"/>
      <c r="D128" s="2"/>
      <c r="E128" s="2"/>
      <c r="F128" s="2"/>
      <c r="G128" s="2"/>
      <c r="H128" s="2"/>
      <c r="I128" s="2"/>
      <c r="J128" s="2"/>
      <c r="K128" s="2"/>
    </row>
    <row r="129" spans="1:11">
      <c r="A129" s="5"/>
      <c r="B129" s="2"/>
      <c r="C129" s="2"/>
      <c r="D129" s="2"/>
      <c r="E129" s="2"/>
      <c r="F129" s="2"/>
      <c r="G129" s="2"/>
      <c r="H129" s="2"/>
      <c r="I129" s="2"/>
      <c r="J129" s="2"/>
      <c r="K129" s="2"/>
    </row>
    <row r="130" spans="1:11">
      <c r="A130" s="5"/>
      <c r="B130" s="2"/>
      <c r="C130" s="2"/>
      <c r="D130" s="2"/>
      <c r="E130" s="2"/>
      <c r="F130" s="2"/>
      <c r="G130" s="2"/>
      <c r="H130" s="2"/>
      <c r="I130" s="2"/>
      <c r="J130" s="2"/>
      <c r="K130" s="2"/>
    </row>
    <row r="131" spans="1:11">
      <c r="A131" s="5"/>
      <c r="B131" s="2"/>
      <c r="C131" s="2"/>
      <c r="D131" s="2"/>
      <c r="E131" s="2"/>
      <c r="F131" s="2"/>
      <c r="G131" s="2"/>
      <c r="H131" s="2"/>
      <c r="I131" s="2"/>
      <c r="J131" s="2"/>
      <c r="K131" s="2"/>
    </row>
    <row r="132" spans="1:11">
      <c r="A132" s="5"/>
      <c r="B132" s="2"/>
      <c r="C132" s="2"/>
      <c r="D132" s="2"/>
      <c r="E132" s="2"/>
      <c r="F132" s="2"/>
      <c r="G132" s="2"/>
      <c r="H132" s="2"/>
      <c r="I132" s="2"/>
      <c r="J132" s="2"/>
      <c r="K132" s="2"/>
    </row>
    <row r="133" spans="1:11">
      <c r="A133" s="5"/>
      <c r="B133" s="2"/>
      <c r="C133" s="2"/>
      <c r="D133" s="2"/>
      <c r="E133" s="2"/>
      <c r="F133" s="2"/>
      <c r="G133" s="2"/>
      <c r="H133" s="2"/>
      <c r="I133" s="2"/>
      <c r="J133" s="2"/>
      <c r="K133" s="2"/>
    </row>
    <row r="134" spans="1:11">
      <c r="A134" s="5"/>
      <c r="B134" s="2"/>
      <c r="C134" s="2"/>
      <c r="D134" s="2"/>
      <c r="E134" s="2"/>
      <c r="F134" s="2"/>
      <c r="G134" s="2"/>
      <c r="H134" s="2"/>
      <c r="I134" s="2"/>
      <c r="J134" s="2"/>
      <c r="K134" s="2"/>
    </row>
    <row r="135" spans="1:11">
      <c r="A135" s="5"/>
      <c r="B135" s="2"/>
      <c r="C135" s="2"/>
      <c r="D135" s="2"/>
      <c r="E135" s="2"/>
      <c r="F135" s="2"/>
      <c r="G135" s="2"/>
      <c r="H135" s="2"/>
      <c r="I135" s="2"/>
      <c r="J135" s="2"/>
      <c r="K135" s="2"/>
    </row>
    <row r="136" spans="1:11">
      <c r="A136" s="5"/>
      <c r="B136" s="2"/>
      <c r="C136" s="2"/>
      <c r="D136" s="2"/>
      <c r="E136" s="2"/>
      <c r="F136" s="2"/>
      <c r="G136" s="2"/>
      <c r="H136" s="2"/>
      <c r="I136" s="2"/>
      <c r="J136" s="2"/>
      <c r="K136" s="2"/>
    </row>
    <row r="137" spans="1:11">
      <c r="A137" s="5"/>
      <c r="B137" s="2"/>
      <c r="C137" s="2"/>
      <c r="D137" s="2"/>
      <c r="E137" s="2"/>
      <c r="F137" s="2"/>
      <c r="G137" s="2"/>
      <c r="H137" s="2"/>
      <c r="I137" s="2"/>
      <c r="J137" s="2"/>
      <c r="K137" s="2"/>
    </row>
    <row r="138" spans="1:11">
      <c r="A138" s="5"/>
      <c r="B138" s="2"/>
      <c r="C138" s="2"/>
      <c r="D138" s="2"/>
      <c r="E138" s="2"/>
      <c r="F138" s="2"/>
      <c r="G138" s="2"/>
      <c r="H138" s="2"/>
      <c r="I138" s="2"/>
      <c r="J138" s="2"/>
      <c r="K138" s="2"/>
    </row>
    <row r="139" spans="1:11">
      <c r="A139" s="5"/>
      <c r="B139" s="2"/>
      <c r="C139" s="2"/>
      <c r="D139" s="2"/>
      <c r="E139" s="2"/>
      <c r="F139" s="2"/>
      <c r="G139" s="2"/>
      <c r="H139" s="2"/>
      <c r="I139" s="2"/>
      <c r="J139" s="2"/>
      <c r="K139" s="2"/>
    </row>
    <row r="140" spans="1:11">
      <c r="A140" s="5"/>
      <c r="B140" s="2"/>
      <c r="C140" s="2"/>
      <c r="D140" s="2"/>
      <c r="E140" s="2"/>
      <c r="F140" s="2"/>
      <c r="G140" s="2"/>
      <c r="H140" s="2"/>
      <c r="I140" s="2"/>
      <c r="J140" s="2"/>
      <c r="K140" s="2"/>
    </row>
    <row r="141" spans="1:11">
      <c r="A141" s="5"/>
      <c r="B141" s="2"/>
      <c r="C141" s="2"/>
      <c r="D141" s="2"/>
      <c r="E141" s="2"/>
      <c r="F141" s="2"/>
      <c r="G141" s="2"/>
      <c r="H141" s="2"/>
      <c r="I141" s="2"/>
      <c r="J141" s="2"/>
      <c r="K141" s="2"/>
    </row>
    <row r="142" spans="1:11">
      <c r="A142" s="5"/>
      <c r="B142" s="2"/>
      <c r="C142" s="2"/>
      <c r="D142" s="2"/>
      <c r="E142" s="2"/>
      <c r="F142" s="2"/>
      <c r="G142" s="2"/>
      <c r="H142" s="2"/>
      <c r="I142" s="2"/>
      <c r="J142" s="2"/>
      <c r="K142" s="2"/>
    </row>
    <row r="143" spans="1:11">
      <c r="A143" s="5"/>
      <c r="B143" s="2"/>
      <c r="C143" s="2"/>
      <c r="D143" s="2"/>
      <c r="E143" s="2"/>
      <c r="F143" s="2"/>
      <c r="G143" s="2"/>
      <c r="H143" s="2"/>
      <c r="I143" s="2"/>
      <c r="J143" s="2"/>
      <c r="K143" s="2"/>
    </row>
    <row r="144" spans="1:11">
      <c r="A144" s="5"/>
      <c r="B144" s="2"/>
      <c r="C144" s="2"/>
      <c r="D144" s="2"/>
      <c r="E144" s="2"/>
      <c r="F144" s="2"/>
      <c r="G144" s="2"/>
      <c r="H144" s="2"/>
      <c r="I144" s="2"/>
      <c r="J144" s="2"/>
      <c r="K144" s="2"/>
    </row>
    <row r="145" spans="1:11">
      <c r="A145" s="5"/>
      <c r="B145" s="2"/>
      <c r="C145" s="2"/>
      <c r="D145" s="2"/>
      <c r="E145" s="2"/>
      <c r="F145" s="2"/>
      <c r="G145" s="2"/>
      <c r="H145" s="2"/>
      <c r="I145" s="2"/>
      <c r="J145" s="2"/>
      <c r="K145" s="2"/>
    </row>
    <row r="146" spans="1:11">
      <c r="A146" s="5"/>
      <c r="B146" s="2"/>
      <c r="C146" s="2"/>
      <c r="D146" s="2"/>
      <c r="E146" s="2"/>
      <c r="F146" s="2"/>
      <c r="G146" s="2"/>
      <c r="H146" s="2"/>
      <c r="I146" s="2"/>
      <c r="J146" s="2"/>
      <c r="K146" s="2"/>
    </row>
    <row r="147" spans="1:11">
      <c r="A147" s="5"/>
      <c r="B147" s="2"/>
      <c r="C147" s="2"/>
      <c r="D147" s="2"/>
      <c r="E147" s="2"/>
      <c r="F147" s="2"/>
      <c r="G147" s="2"/>
      <c r="H147" s="2"/>
      <c r="I147" s="2"/>
      <c r="J147" s="2"/>
      <c r="K147" s="2"/>
    </row>
    <row r="148" spans="1:11">
      <c r="A148" s="5"/>
      <c r="B148" s="2"/>
      <c r="C148" s="2"/>
      <c r="D148" s="2"/>
      <c r="E148" s="2"/>
      <c r="F148" s="2"/>
      <c r="G148" s="2"/>
      <c r="H148" s="2"/>
      <c r="I148" s="2"/>
      <c r="J148" s="2"/>
      <c r="K148" s="2"/>
    </row>
    <row r="149" spans="1:11">
      <c r="A149" s="5"/>
      <c r="B149" s="2"/>
      <c r="C149" s="2"/>
      <c r="D149" s="2"/>
      <c r="E149" s="2"/>
      <c r="F149" s="2"/>
      <c r="G149" s="2"/>
      <c r="H149" s="2"/>
      <c r="I149" s="2"/>
      <c r="J149" s="2"/>
      <c r="K149" s="2"/>
    </row>
    <row r="150" spans="1:11">
      <c r="A150" s="5"/>
      <c r="B150" s="2"/>
      <c r="C150" s="2"/>
      <c r="D150" s="2"/>
      <c r="E150" s="2"/>
      <c r="F150" s="2"/>
      <c r="G150" s="2"/>
      <c r="H150" s="2"/>
      <c r="I150" s="2"/>
      <c r="J150" s="2"/>
      <c r="K150" s="2"/>
    </row>
    <row r="151" spans="1:11">
      <c r="A151" s="5"/>
      <c r="B151" s="2"/>
      <c r="C151" s="2"/>
      <c r="D151" s="2"/>
      <c r="E151" s="2"/>
      <c r="F151" s="2"/>
      <c r="G151" s="2"/>
      <c r="H151" s="2"/>
      <c r="I151" s="2"/>
      <c r="J151" s="2"/>
      <c r="K151" s="2"/>
    </row>
    <row r="152" spans="1:11">
      <c r="A152" s="5"/>
      <c r="B152" s="2"/>
      <c r="C152" s="2"/>
      <c r="D152" s="2"/>
      <c r="E152" s="2"/>
      <c r="F152" s="2"/>
      <c r="G152" s="2"/>
      <c r="H152" s="2"/>
      <c r="I152" s="2"/>
      <c r="J152" s="2"/>
      <c r="K152" s="2"/>
    </row>
    <row r="153" spans="1:11">
      <c r="A153" s="5"/>
      <c r="B153" s="2"/>
      <c r="C153" s="2"/>
      <c r="D153" s="2"/>
      <c r="E153" s="2"/>
      <c r="F153" s="2"/>
      <c r="G153" s="2"/>
      <c r="H153" s="2"/>
      <c r="I153" s="2"/>
      <c r="J153" s="2"/>
      <c r="K153" s="2"/>
    </row>
    <row r="154" spans="1:11">
      <c r="A154" s="5"/>
      <c r="B154" s="2"/>
      <c r="C154" s="2"/>
      <c r="D154" s="2"/>
      <c r="E154" s="2"/>
      <c r="F154" s="2"/>
      <c r="G154" s="2"/>
      <c r="H154" s="2"/>
      <c r="I154" s="2"/>
      <c r="J154" s="2"/>
      <c r="K154" s="2"/>
    </row>
    <row r="155" spans="1:11">
      <c r="A155" s="5"/>
      <c r="B155" s="2"/>
      <c r="C155" s="2"/>
      <c r="D155" s="2"/>
      <c r="E155" s="2"/>
      <c r="F155" s="2"/>
      <c r="G155" s="2"/>
      <c r="H155" s="2"/>
      <c r="I155" s="2"/>
      <c r="J155" s="2"/>
      <c r="K155" s="2"/>
    </row>
    <row r="156" spans="1:11">
      <c r="A156" s="5"/>
      <c r="B156" s="2"/>
      <c r="C156" s="2"/>
      <c r="D156" s="2"/>
      <c r="E156" s="2"/>
      <c r="F156" s="2"/>
      <c r="G156" s="2"/>
      <c r="H156" s="2"/>
      <c r="I156" s="2"/>
      <c r="J156" s="2"/>
      <c r="K156" s="2"/>
    </row>
    <row r="157" spans="1:11">
      <c r="A157" s="5"/>
      <c r="B157" s="2"/>
      <c r="C157" s="2"/>
      <c r="D157" s="2"/>
      <c r="E157" s="2"/>
      <c r="F157" s="2"/>
      <c r="G157" s="2"/>
      <c r="H157" s="2"/>
      <c r="I157" s="2"/>
      <c r="J157" s="2"/>
      <c r="K157" s="2"/>
    </row>
    <row r="158" spans="1:11">
      <c r="A158" s="5"/>
      <c r="B158" s="2"/>
      <c r="C158" s="2"/>
      <c r="D158" s="2"/>
      <c r="E158" s="2"/>
      <c r="F158" s="2"/>
      <c r="G158" s="2"/>
      <c r="H158" s="2"/>
      <c r="I158" s="2"/>
      <c r="J158" s="2"/>
      <c r="K158" s="2"/>
    </row>
    <row r="159" spans="1:11">
      <c r="A159" s="5"/>
      <c r="B159" s="2"/>
      <c r="C159" s="2"/>
      <c r="D159" s="2"/>
      <c r="E159" s="2"/>
      <c r="F159" s="2"/>
      <c r="G159" s="2"/>
      <c r="H159" s="2"/>
      <c r="I159" s="2"/>
      <c r="J159" s="2"/>
      <c r="K159" s="2"/>
    </row>
    <row r="160" spans="1:11">
      <c r="A160" s="5"/>
      <c r="B160" s="2"/>
      <c r="C160" s="2"/>
      <c r="D160" s="2"/>
      <c r="E160" s="2"/>
      <c r="F160" s="2"/>
      <c r="G160" s="2"/>
      <c r="H160" s="2"/>
      <c r="I160" s="2"/>
      <c r="J160" s="2"/>
      <c r="K160" s="2"/>
    </row>
    <row r="161" spans="1:11">
      <c r="A161" s="5"/>
      <c r="B161" s="2"/>
      <c r="C161" s="2"/>
      <c r="D161" s="2"/>
      <c r="E161" s="2"/>
      <c r="F161" s="2"/>
      <c r="G161" s="2"/>
      <c r="H161" s="2"/>
      <c r="I161" s="2"/>
      <c r="J161" s="2"/>
      <c r="K161" s="2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AG162"/>
  <sheetViews>
    <sheetView zoomScale="70" zoomScaleNormal="70" workbookViewId="0">
      <pane ySplit="4800" topLeftCell="A77"/>
      <selection activeCell="T3" sqref="T3"/>
      <selection pane="bottomLeft" activeCell="A82" sqref="A2:B82"/>
    </sheetView>
  </sheetViews>
  <sheetFormatPr defaultRowHeight="15"/>
  <cols>
    <col min="1" max="1" width="10.85546875" bestFit="1" customWidth="1"/>
    <col min="2" max="32" width="6" customWidth="1"/>
    <col min="33" max="33" width="6" bestFit="1" customWidth="1"/>
  </cols>
  <sheetData>
    <row r="1" spans="1:33">
      <c r="A1">
        <f>data0!A1/2</f>
        <v>125</v>
      </c>
      <c r="B1">
        <v>32</v>
      </c>
      <c r="C1">
        <f>B1/2</f>
        <v>16</v>
      </c>
      <c r="D1">
        <f t="shared" ref="D1:G1" si="0">C1/2</f>
        <v>8</v>
      </c>
      <c r="E1">
        <f t="shared" si="0"/>
        <v>4</v>
      </c>
      <c r="F1">
        <f t="shared" si="0"/>
        <v>2</v>
      </c>
      <c r="G1">
        <f t="shared" si="0"/>
        <v>1</v>
      </c>
      <c r="H1">
        <v>0</v>
      </c>
      <c r="I1">
        <f t="shared" ref="I1:AB1" si="1">H1+1</f>
        <v>1</v>
      </c>
      <c r="J1">
        <f t="shared" si="1"/>
        <v>2</v>
      </c>
      <c r="K1">
        <f t="shared" si="1"/>
        <v>3</v>
      </c>
      <c r="L1">
        <v>32</v>
      </c>
      <c r="M1">
        <f>L1/2</f>
        <v>16</v>
      </c>
      <c r="N1">
        <f t="shared" ref="N1:Q1" si="2">M1/2</f>
        <v>8</v>
      </c>
      <c r="O1">
        <f t="shared" si="2"/>
        <v>4</v>
      </c>
      <c r="P1">
        <f t="shared" si="2"/>
        <v>2</v>
      </c>
      <c r="Q1">
        <f t="shared" si="2"/>
        <v>1</v>
      </c>
      <c r="R1">
        <v>0</v>
      </c>
      <c r="S1">
        <f t="shared" ref="S1" si="3">R1+1</f>
        <v>1</v>
      </c>
      <c r="T1">
        <f t="shared" ref="T1" si="4">S1+1</f>
        <v>2</v>
      </c>
      <c r="U1">
        <f t="shared" ref="U1" si="5">T1+1</f>
        <v>3</v>
      </c>
      <c r="V1">
        <f t="shared" ref="V1" si="6">U1+1</f>
        <v>4</v>
      </c>
      <c r="W1">
        <f t="shared" ref="W1" si="7">V1+1</f>
        <v>5</v>
      </c>
      <c r="X1">
        <f t="shared" ref="X1" si="8">W1+1</f>
        <v>6</v>
      </c>
      <c r="Y1">
        <f t="shared" ref="Y1" si="9">X1+1</f>
        <v>7</v>
      </c>
      <c r="Z1">
        <f t="shared" ref="Z1" si="10">Y1+1</f>
        <v>8</v>
      </c>
      <c r="AA1">
        <f t="shared" ref="AA1" si="11">Z1+1</f>
        <v>9</v>
      </c>
      <c r="AB1">
        <f t="shared" si="1"/>
        <v>10</v>
      </c>
      <c r="AC1">
        <f t="shared" ref="AC1" si="12">AB1+1</f>
        <v>11</v>
      </c>
      <c r="AD1">
        <f t="shared" ref="AD1" si="13">AC1+1</f>
        <v>12</v>
      </c>
      <c r="AE1">
        <f t="shared" ref="AE1" si="14">AD1+1</f>
        <v>13</v>
      </c>
      <c r="AF1">
        <f t="shared" ref="AF1" si="15">AE1+1</f>
        <v>14</v>
      </c>
      <c r="AG1">
        <f t="shared" ref="AG1" si="16">AF1+1</f>
        <v>15</v>
      </c>
    </row>
    <row r="2" spans="1:33">
      <c r="A2" s="5">
        <f>Calculations!B3</f>
        <v>0</v>
      </c>
      <c r="B2" s="2">
        <v>0.999</v>
      </c>
      <c r="C2" s="2">
        <v>5.767350928641251E-2</v>
      </c>
      <c r="D2" s="2">
        <v>9.3841642228739003E-2</v>
      </c>
      <c r="E2" s="2">
        <v>6.4516129032258063E-2</v>
      </c>
      <c r="F2" s="2">
        <v>4.398826979472141E-2</v>
      </c>
      <c r="G2" s="2">
        <v>2.3460410557184751E-2</v>
      </c>
      <c r="H2" s="2"/>
      <c r="I2" s="2"/>
      <c r="J2" s="2"/>
      <c r="K2" s="2"/>
      <c r="L2" s="2">
        <v>0.999</v>
      </c>
      <c r="M2" s="2">
        <v>0.999</v>
      </c>
      <c r="N2" s="2">
        <v>0.999</v>
      </c>
      <c r="O2" s="2">
        <v>0.999</v>
      </c>
      <c r="P2" s="2">
        <v>0.82697947214076251</v>
      </c>
      <c r="Q2" s="2">
        <v>0.44672531769305962</v>
      </c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3">
      <c r="A3" s="5">
        <f>A2+Calculations!$B$4</f>
        <v>2</v>
      </c>
      <c r="B3" s="2">
        <v>0.999</v>
      </c>
      <c r="C3" s="2">
        <v>0.999</v>
      </c>
      <c r="D3" s="2">
        <v>0.999</v>
      </c>
      <c r="E3" s="2">
        <v>0.999</v>
      </c>
      <c r="F3" s="2">
        <v>0.999</v>
      </c>
      <c r="G3" s="2">
        <v>0.999</v>
      </c>
      <c r="H3" s="2"/>
      <c r="I3" s="2"/>
      <c r="J3" s="2"/>
      <c r="K3" s="2"/>
      <c r="L3" s="2">
        <v>0.999</v>
      </c>
      <c r="M3" s="2">
        <v>0.999</v>
      </c>
      <c r="N3" s="2">
        <v>0.999</v>
      </c>
      <c r="O3" s="2">
        <v>0.999</v>
      </c>
      <c r="P3" s="2">
        <v>0.999</v>
      </c>
      <c r="Q3" s="2">
        <v>0.999</v>
      </c>
      <c r="R3" s="2"/>
      <c r="S3" s="2"/>
      <c r="T3" s="2" t="s">
        <v>27</v>
      </c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4" spans="1:33">
      <c r="A4" s="5">
        <f>A3+Calculations!$B$4</f>
        <v>4</v>
      </c>
      <c r="B4" s="2">
        <v>0.999</v>
      </c>
      <c r="C4" s="2">
        <v>0.999</v>
      </c>
      <c r="D4" s="2">
        <v>0.999</v>
      </c>
      <c r="E4" s="2">
        <v>0.999</v>
      </c>
      <c r="F4" s="2">
        <v>0.999</v>
      </c>
      <c r="G4" s="2">
        <v>0.999</v>
      </c>
      <c r="H4" s="2"/>
      <c r="I4" s="2"/>
      <c r="J4" s="2"/>
      <c r="K4" s="2"/>
      <c r="L4" s="2">
        <v>0.999</v>
      </c>
      <c r="M4" s="2">
        <v>0.999</v>
      </c>
      <c r="N4" s="2">
        <v>0.999</v>
      </c>
      <c r="O4" s="2">
        <v>0.999</v>
      </c>
      <c r="P4" s="2">
        <v>0.999</v>
      </c>
      <c r="Q4" s="2">
        <v>0.999</v>
      </c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</row>
    <row r="5" spans="1:33">
      <c r="A5" s="5">
        <f>A4+Calculations!$B$4</f>
        <v>6</v>
      </c>
      <c r="B5" s="2">
        <v>0.999</v>
      </c>
      <c r="C5" s="2">
        <v>0.999</v>
      </c>
      <c r="D5" s="2">
        <v>0.999</v>
      </c>
      <c r="E5" s="2">
        <v>0.999</v>
      </c>
      <c r="F5" s="2">
        <v>0.999</v>
      </c>
      <c r="G5" s="2">
        <v>0.999</v>
      </c>
      <c r="H5" s="2"/>
      <c r="I5" s="2"/>
      <c r="J5" s="2"/>
      <c r="K5" s="2"/>
      <c r="L5" s="2">
        <v>0.999</v>
      </c>
      <c r="M5" s="2">
        <v>0.999</v>
      </c>
      <c r="N5" s="2">
        <v>0.999</v>
      </c>
      <c r="O5" s="2">
        <v>0.999</v>
      </c>
      <c r="P5" s="2">
        <v>0.999</v>
      </c>
      <c r="Q5" s="2">
        <v>0.999</v>
      </c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</row>
    <row r="6" spans="1:33">
      <c r="A6" s="5">
        <f>A5+Calculations!$B$4</f>
        <v>8</v>
      </c>
      <c r="B6" s="2">
        <v>0.999</v>
      </c>
      <c r="C6" s="2">
        <v>0.999</v>
      </c>
      <c r="D6" s="2">
        <v>0.999</v>
      </c>
      <c r="E6" s="2">
        <v>0.999</v>
      </c>
      <c r="F6" s="2">
        <v>0.999</v>
      </c>
      <c r="G6" s="2">
        <v>0.999</v>
      </c>
      <c r="H6" s="2"/>
      <c r="I6" s="2"/>
      <c r="J6" s="2"/>
      <c r="K6" s="2"/>
      <c r="L6" s="2">
        <v>0.999</v>
      </c>
      <c r="M6" s="2">
        <v>0.999</v>
      </c>
      <c r="N6" s="2">
        <v>0.999</v>
      </c>
      <c r="O6" s="2">
        <v>0.999</v>
      </c>
      <c r="P6" s="2">
        <v>0.999</v>
      </c>
      <c r="Q6" s="2">
        <v>0.999</v>
      </c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7" spans="1:33">
      <c r="A7" s="5">
        <f>A6+Calculations!$B$4</f>
        <v>10</v>
      </c>
      <c r="B7" s="2">
        <v>0.999</v>
      </c>
      <c r="C7" s="2">
        <v>0.999</v>
      </c>
      <c r="D7" s="2">
        <v>0.999</v>
      </c>
      <c r="E7" s="2">
        <v>0.999</v>
      </c>
      <c r="F7" s="2">
        <v>0.999</v>
      </c>
      <c r="G7" s="2">
        <v>0.999</v>
      </c>
      <c r="H7" s="2"/>
      <c r="I7" s="2"/>
      <c r="J7" s="2"/>
      <c r="K7" s="2"/>
      <c r="L7" s="2">
        <v>0.999</v>
      </c>
      <c r="M7" s="2">
        <v>0.999</v>
      </c>
      <c r="N7" s="2">
        <v>0.999</v>
      </c>
      <c r="O7" s="2">
        <v>0.999</v>
      </c>
      <c r="P7" s="2">
        <v>0.999</v>
      </c>
      <c r="Q7" s="2">
        <v>0.999</v>
      </c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</row>
    <row r="8" spans="1:33">
      <c r="A8" s="5">
        <f>A7+Calculations!$B$4</f>
        <v>12</v>
      </c>
      <c r="B8" s="2">
        <v>0.999</v>
      </c>
      <c r="C8" s="2">
        <v>0.999</v>
      </c>
      <c r="D8" s="2">
        <v>0.999</v>
      </c>
      <c r="E8" s="2">
        <v>0.999</v>
      </c>
      <c r="F8" s="2">
        <v>0.999</v>
      </c>
      <c r="G8" s="2">
        <v>0.999</v>
      </c>
      <c r="H8" s="2"/>
      <c r="I8" s="2"/>
      <c r="J8" s="2"/>
      <c r="K8" s="2"/>
      <c r="L8" s="2">
        <v>0.999</v>
      </c>
      <c r="M8" s="2">
        <v>0.999</v>
      </c>
      <c r="N8" s="2">
        <v>0.999</v>
      </c>
      <c r="O8" s="2">
        <v>0.999</v>
      </c>
      <c r="P8" s="2">
        <v>0.999</v>
      </c>
      <c r="Q8" s="2">
        <v>0.999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</row>
    <row r="9" spans="1:33">
      <c r="A9" s="5">
        <f>A8+Calculations!$B$4</f>
        <v>14</v>
      </c>
      <c r="B9" s="2">
        <v>0.999</v>
      </c>
      <c r="C9" s="2">
        <v>0.999</v>
      </c>
      <c r="D9" s="2">
        <v>0.999</v>
      </c>
      <c r="E9" s="2">
        <v>0.999</v>
      </c>
      <c r="F9" s="2">
        <v>0.999</v>
      </c>
      <c r="G9" s="2">
        <v>0.85239491691104596</v>
      </c>
      <c r="H9" s="2"/>
      <c r="I9" s="2"/>
      <c r="J9" s="2"/>
      <c r="K9" s="2"/>
      <c r="L9" s="2">
        <v>0.999</v>
      </c>
      <c r="M9" s="2">
        <v>0.999</v>
      </c>
      <c r="N9" s="2">
        <v>0.999</v>
      </c>
      <c r="O9" s="2">
        <v>0.999</v>
      </c>
      <c r="P9" s="2">
        <v>0.999</v>
      </c>
      <c r="Q9" s="2">
        <v>0.999</v>
      </c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</row>
    <row r="10" spans="1:33">
      <c r="A10" s="5">
        <f>A9+Calculations!$B$4</f>
        <v>16</v>
      </c>
      <c r="B10" s="2">
        <v>0.999</v>
      </c>
      <c r="C10" s="2">
        <v>0.999</v>
      </c>
      <c r="D10" s="2">
        <v>0.999</v>
      </c>
      <c r="E10" s="2">
        <v>0.999</v>
      </c>
      <c r="F10" s="2">
        <v>0.999</v>
      </c>
      <c r="G10" s="2">
        <v>0.67741935483870963</v>
      </c>
      <c r="H10" s="2"/>
      <c r="I10" s="2"/>
      <c r="J10" s="2"/>
      <c r="K10" s="2"/>
      <c r="L10" s="2">
        <v>0.999</v>
      </c>
      <c r="M10" s="2">
        <v>0.999</v>
      </c>
      <c r="N10" s="2">
        <v>0.999</v>
      </c>
      <c r="O10" s="2">
        <v>0.999</v>
      </c>
      <c r="P10" s="2">
        <v>0.999</v>
      </c>
      <c r="Q10" s="2">
        <v>0.999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</row>
    <row r="11" spans="1:33">
      <c r="A11" s="5">
        <f>A10+Calculations!$B$4</f>
        <v>18</v>
      </c>
      <c r="B11" s="2">
        <v>0.999</v>
      </c>
      <c r="C11" s="2">
        <v>0.999</v>
      </c>
      <c r="D11" s="2">
        <v>0.999</v>
      </c>
      <c r="E11" s="2">
        <v>0.999</v>
      </c>
      <c r="F11" s="2">
        <v>0.999</v>
      </c>
      <c r="G11" s="2">
        <v>0.54740957966764414</v>
      </c>
      <c r="H11" s="2"/>
      <c r="I11" s="2"/>
      <c r="J11" s="2"/>
      <c r="K11" s="2"/>
      <c r="L11" s="2">
        <v>0.999</v>
      </c>
      <c r="M11" s="2">
        <v>0.999</v>
      </c>
      <c r="N11" s="2">
        <v>0.999</v>
      </c>
      <c r="O11" s="2">
        <v>0.999</v>
      </c>
      <c r="P11" s="2">
        <v>0.999</v>
      </c>
      <c r="Q11" s="2">
        <v>0.999</v>
      </c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</row>
    <row r="12" spans="1:33">
      <c r="A12" s="5">
        <f>A11+Calculations!$B$4</f>
        <v>20</v>
      </c>
      <c r="B12" s="2">
        <v>0.999</v>
      </c>
      <c r="C12" s="2">
        <v>0.999</v>
      </c>
      <c r="D12" s="2">
        <v>0.999</v>
      </c>
      <c r="E12" s="2">
        <v>0.999</v>
      </c>
      <c r="F12" s="2">
        <v>0.86412512218963833</v>
      </c>
      <c r="G12" s="2">
        <v>0.43988269794721407</v>
      </c>
      <c r="H12" s="2"/>
      <c r="I12" s="2"/>
      <c r="J12" s="2"/>
      <c r="K12" s="2"/>
      <c r="L12" s="2">
        <v>0.999</v>
      </c>
      <c r="M12" s="2">
        <v>0.999</v>
      </c>
      <c r="N12" s="2">
        <v>0.999</v>
      </c>
      <c r="O12" s="2">
        <v>0.999</v>
      </c>
      <c r="P12" s="2">
        <v>0.999</v>
      </c>
      <c r="Q12" s="2">
        <v>0.999</v>
      </c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</row>
    <row r="13" spans="1:33">
      <c r="A13" s="5">
        <f>A12+Calculations!$B$4</f>
        <v>22</v>
      </c>
      <c r="B13" s="2">
        <v>0.999</v>
      </c>
      <c r="C13" s="2">
        <v>0.999</v>
      </c>
      <c r="D13" s="2">
        <v>0.999</v>
      </c>
      <c r="E13" s="2">
        <v>0.999</v>
      </c>
      <c r="F13" s="2">
        <v>0.66568914956011727</v>
      </c>
      <c r="G13" s="2">
        <v>0.36461388074291301</v>
      </c>
      <c r="H13" s="2"/>
      <c r="I13" s="2"/>
      <c r="J13" s="2"/>
      <c r="K13" s="2"/>
      <c r="L13" s="2">
        <v>0.999</v>
      </c>
      <c r="M13" s="2">
        <v>0.999</v>
      </c>
      <c r="N13" s="2">
        <v>0.999</v>
      </c>
      <c r="O13" s="2">
        <v>0.999</v>
      </c>
      <c r="P13" s="2">
        <v>0.999</v>
      </c>
      <c r="Q13" s="2">
        <v>0.999</v>
      </c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</row>
    <row r="14" spans="1:33">
      <c r="A14" s="5">
        <f>A13+Calculations!$B$4</f>
        <v>24</v>
      </c>
      <c r="B14" s="2">
        <v>0.999</v>
      </c>
      <c r="C14" s="2">
        <v>0.999</v>
      </c>
      <c r="D14" s="2">
        <v>0.999</v>
      </c>
      <c r="E14" s="2">
        <v>0.999</v>
      </c>
      <c r="F14" s="2">
        <v>0.63049853372434017</v>
      </c>
      <c r="G14" s="2">
        <v>0.30498533724340177</v>
      </c>
      <c r="H14" s="2"/>
      <c r="I14" s="2"/>
      <c r="J14" s="2"/>
      <c r="K14" s="2"/>
      <c r="L14" s="2">
        <v>0.999</v>
      </c>
      <c r="M14" s="2">
        <v>0.999</v>
      </c>
      <c r="N14" s="2">
        <v>0.999</v>
      </c>
      <c r="O14" s="2">
        <v>0.999</v>
      </c>
      <c r="P14" s="2">
        <v>0.999</v>
      </c>
      <c r="Q14" s="2">
        <v>0.999</v>
      </c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</row>
    <row r="15" spans="1:33">
      <c r="A15" s="5">
        <f>A14+Calculations!$B$4</f>
        <v>26</v>
      </c>
      <c r="B15" s="2">
        <v>0.999</v>
      </c>
      <c r="C15" s="2">
        <v>0.999</v>
      </c>
      <c r="D15" s="2">
        <v>0.999</v>
      </c>
      <c r="E15" s="2">
        <v>0.999</v>
      </c>
      <c r="F15" s="2">
        <v>0.46138807429130008</v>
      </c>
      <c r="G15" s="2">
        <v>0.29423264907135877</v>
      </c>
      <c r="H15" s="2"/>
      <c r="I15" s="2"/>
      <c r="J15" s="2"/>
      <c r="K15" s="2"/>
      <c r="L15" s="2">
        <v>0.999</v>
      </c>
      <c r="M15" s="2">
        <v>0.999</v>
      </c>
      <c r="N15" s="2">
        <v>0.999</v>
      </c>
      <c r="O15" s="2">
        <v>0.999</v>
      </c>
      <c r="P15" s="2">
        <v>0.999</v>
      </c>
      <c r="Q15" s="2">
        <v>0.97067448680351909</v>
      </c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 spans="1:33">
      <c r="A16" s="5">
        <f>A15+Calculations!$B$4</f>
        <v>28</v>
      </c>
      <c r="B16" s="2">
        <v>0.999</v>
      </c>
      <c r="C16" s="2">
        <v>0.999</v>
      </c>
      <c r="D16" s="2">
        <v>0.999</v>
      </c>
      <c r="E16" s="2">
        <v>0.88465298142717497</v>
      </c>
      <c r="F16" s="2">
        <v>0.43010752688172044</v>
      </c>
      <c r="G16" s="2">
        <v>0.26001955034213098</v>
      </c>
      <c r="H16" s="2"/>
      <c r="I16" s="2"/>
      <c r="J16" s="2"/>
      <c r="K16" s="2"/>
      <c r="L16" s="2">
        <v>0.999</v>
      </c>
      <c r="M16" s="2">
        <v>0.999</v>
      </c>
      <c r="N16" s="2">
        <v>0.999</v>
      </c>
      <c r="O16" s="2">
        <v>0.999</v>
      </c>
      <c r="P16" s="2">
        <v>0.999</v>
      </c>
      <c r="Q16" s="2">
        <v>0.85434995112414469</v>
      </c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</row>
    <row r="17" spans="1:33">
      <c r="A17" s="5">
        <f>A16+Calculations!$B$4</f>
        <v>30</v>
      </c>
      <c r="B17" s="2">
        <v>0.999</v>
      </c>
      <c r="C17" s="2">
        <v>0.999</v>
      </c>
      <c r="D17" s="2">
        <v>0.999</v>
      </c>
      <c r="E17" s="2">
        <v>0.7810361681329423</v>
      </c>
      <c r="F17" s="2">
        <v>0.38220918866080156</v>
      </c>
      <c r="G17" s="2">
        <v>0.17399804496578691</v>
      </c>
      <c r="H17" s="2"/>
      <c r="I17" s="2"/>
      <c r="J17" s="2"/>
      <c r="K17" s="2"/>
      <c r="L17" s="2">
        <v>0.999</v>
      </c>
      <c r="M17" s="2">
        <v>0.999</v>
      </c>
      <c r="N17" s="2">
        <v>0.999</v>
      </c>
      <c r="O17" s="2">
        <v>0.999</v>
      </c>
      <c r="P17" s="2">
        <v>0.999</v>
      </c>
      <c r="Q17" s="2">
        <v>0.69990224828934511</v>
      </c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</row>
    <row r="18" spans="1:33">
      <c r="A18" s="5">
        <f>A17+Calculations!$B$4</f>
        <v>32</v>
      </c>
      <c r="B18" s="2">
        <v>0.999</v>
      </c>
      <c r="C18" s="2">
        <v>0.999</v>
      </c>
      <c r="D18" s="2">
        <v>0.999</v>
      </c>
      <c r="E18" s="2">
        <v>0.67057673509286408</v>
      </c>
      <c r="F18" s="2">
        <v>0.32453567937438904</v>
      </c>
      <c r="G18" s="2">
        <v>0.1681329423264907</v>
      </c>
      <c r="H18" s="2"/>
      <c r="I18" s="2"/>
      <c r="J18" s="2"/>
      <c r="K18" s="2"/>
      <c r="L18" s="2">
        <v>0.999</v>
      </c>
      <c r="M18" s="2">
        <v>0.999</v>
      </c>
      <c r="N18" s="2">
        <v>0.999</v>
      </c>
      <c r="O18" s="2">
        <v>0.999</v>
      </c>
      <c r="P18" s="2">
        <v>0.999</v>
      </c>
      <c r="Q18" s="2">
        <v>0.62658846529814272</v>
      </c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</row>
    <row r="19" spans="1:33">
      <c r="A19" s="5">
        <f>A18+Calculations!$B$4</f>
        <v>34</v>
      </c>
      <c r="B19" s="2">
        <v>0.999</v>
      </c>
      <c r="C19" s="2">
        <v>0.999</v>
      </c>
      <c r="D19" s="2">
        <v>0.999</v>
      </c>
      <c r="E19" s="2">
        <v>0.63147605083088953</v>
      </c>
      <c r="F19" s="2">
        <v>0.31671554252199413</v>
      </c>
      <c r="G19" s="2">
        <v>0.16617790811339198</v>
      </c>
      <c r="H19" s="2"/>
      <c r="I19" s="2"/>
      <c r="J19" s="2"/>
      <c r="K19" s="2"/>
      <c r="L19" s="2">
        <v>0.999</v>
      </c>
      <c r="M19" s="2">
        <v>0.999</v>
      </c>
      <c r="N19" s="2">
        <v>0.999</v>
      </c>
      <c r="O19" s="2">
        <v>0.999</v>
      </c>
      <c r="P19" s="2">
        <v>0.999</v>
      </c>
      <c r="Q19" s="2">
        <v>0.57184750733137835</v>
      </c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</row>
    <row r="20" spans="1:33">
      <c r="A20" s="5">
        <f>A19+Calculations!$B$4</f>
        <v>36</v>
      </c>
      <c r="B20" s="2">
        <v>0.999</v>
      </c>
      <c r="C20" s="2">
        <v>0.999</v>
      </c>
      <c r="D20" s="2">
        <v>0.999</v>
      </c>
      <c r="E20" s="2">
        <v>0.53079178885630496</v>
      </c>
      <c r="F20" s="2">
        <v>0.29521016617790813</v>
      </c>
      <c r="G20" s="2">
        <v>0.14467253176930597</v>
      </c>
      <c r="H20" s="2"/>
      <c r="I20" s="2"/>
      <c r="J20" s="2"/>
      <c r="K20" s="2"/>
      <c r="L20" s="2">
        <v>0.999</v>
      </c>
      <c r="M20" s="2">
        <v>0.999</v>
      </c>
      <c r="N20" s="2">
        <v>0.999</v>
      </c>
      <c r="O20" s="2">
        <v>0.999</v>
      </c>
      <c r="P20" s="2">
        <v>0.999</v>
      </c>
      <c r="Q20" s="2">
        <v>0.51515151515151514</v>
      </c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</row>
    <row r="21" spans="1:33">
      <c r="A21" s="5">
        <f>A20+Calculations!$B$4</f>
        <v>38</v>
      </c>
      <c r="B21" s="2">
        <v>0.999</v>
      </c>
      <c r="C21" s="2">
        <v>0.999</v>
      </c>
      <c r="D21" s="2">
        <v>0.93059628543499506</v>
      </c>
      <c r="E21" s="2">
        <v>0.52199413489736068</v>
      </c>
      <c r="F21" s="2">
        <v>0.26686217008797652</v>
      </c>
      <c r="G21" s="2">
        <v>0.10654936461388075</v>
      </c>
      <c r="H21" s="2"/>
      <c r="I21" s="2"/>
      <c r="J21" s="2"/>
      <c r="K21" s="2"/>
      <c r="L21" s="2">
        <v>0.999</v>
      </c>
      <c r="M21" s="2">
        <v>0.999</v>
      </c>
      <c r="N21" s="2">
        <v>0.999</v>
      </c>
      <c r="O21" s="2">
        <v>0.999</v>
      </c>
      <c r="P21" s="2">
        <v>0.91300097751710652</v>
      </c>
      <c r="Q21" s="2">
        <v>0.46041055718475071</v>
      </c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</row>
    <row r="22" spans="1:33">
      <c r="A22" s="5">
        <f>A21+Calculations!$B$4</f>
        <v>40</v>
      </c>
      <c r="B22" s="2">
        <v>0.999</v>
      </c>
      <c r="C22" s="2">
        <v>0.999</v>
      </c>
      <c r="D22" s="2">
        <v>0.999</v>
      </c>
      <c r="E22" s="2">
        <v>0.45650048875855326</v>
      </c>
      <c r="F22" s="2">
        <v>0.20039100684261973</v>
      </c>
      <c r="G22" s="2">
        <v>0.14369501466275661</v>
      </c>
      <c r="H22" s="2"/>
      <c r="I22" s="2"/>
      <c r="J22" s="2"/>
      <c r="K22" s="2"/>
      <c r="L22" s="2">
        <v>0.999</v>
      </c>
      <c r="M22" s="2">
        <v>0.999</v>
      </c>
      <c r="N22" s="2">
        <v>0.999</v>
      </c>
      <c r="O22" s="2">
        <v>0.999</v>
      </c>
      <c r="P22" s="2">
        <v>0.75757575757575757</v>
      </c>
      <c r="Q22" s="2">
        <v>0.39589442815249265</v>
      </c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</row>
    <row r="23" spans="1:33">
      <c r="A23" s="5">
        <f>A22+Calculations!$B$4</f>
        <v>42</v>
      </c>
      <c r="B23" s="2">
        <v>0.999</v>
      </c>
      <c r="C23" s="2">
        <v>0.999</v>
      </c>
      <c r="D23" s="2">
        <v>0.80645161290322576</v>
      </c>
      <c r="E23" s="2">
        <v>0.42130987292277616</v>
      </c>
      <c r="F23" s="2">
        <v>0.18572825024437928</v>
      </c>
      <c r="G23" s="2">
        <v>0.12805474095796676</v>
      </c>
      <c r="H23" s="2"/>
      <c r="I23" s="2"/>
      <c r="J23" s="2"/>
      <c r="K23" s="2"/>
      <c r="L23" s="2">
        <v>0.999</v>
      </c>
      <c r="M23" s="2">
        <v>0.999</v>
      </c>
      <c r="N23" s="2">
        <v>0.999</v>
      </c>
      <c r="O23" s="2">
        <v>0.999</v>
      </c>
      <c r="P23" s="2">
        <v>0.73216031280547411</v>
      </c>
      <c r="Q23" s="2">
        <v>0.38318670576735092</v>
      </c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</row>
    <row r="24" spans="1:33">
      <c r="A24" s="5">
        <f>A23+Calculations!$B$4</f>
        <v>44</v>
      </c>
      <c r="B24" s="2">
        <v>0.999</v>
      </c>
      <c r="C24" s="2">
        <v>0.999</v>
      </c>
      <c r="D24" s="2">
        <v>0.71749755620723366</v>
      </c>
      <c r="E24" s="2">
        <v>0.3782991202346041</v>
      </c>
      <c r="F24" s="2">
        <v>0.21896383186705767</v>
      </c>
      <c r="G24" s="2">
        <v>0.11339198435972629</v>
      </c>
      <c r="H24" s="2"/>
      <c r="I24" s="2"/>
      <c r="J24" s="2"/>
      <c r="K24" s="2"/>
      <c r="L24" s="2">
        <v>0.999</v>
      </c>
      <c r="M24" s="2">
        <v>0.999</v>
      </c>
      <c r="N24" s="2">
        <v>0.999</v>
      </c>
      <c r="O24" s="2">
        <v>0.999</v>
      </c>
      <c r="P24" s="2">
        <v>0.60508308895405671</v>
      </c>
      <c r="Q24" s="2">
        <v>0.33626588465298141</v>
      </c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</row>
    <row r="25" spans="1:33">
      <c r="A25" s="5">
        <f>A24+Calculations!$B$4</f>
        <v>46</v>
      </c>
      <c r="B25" s="2">
        <v>0.999</v>
      </c>
      <c r="C25" s="2">
        <v>0.999</v>
      </c>
      <c r="D25" s="2">
        <v>0.65884652981427172</v>
      </c>
      <c r="E25" s="2">
        <v>0.3675464320625611</v>
      </c>
      <c r="F25" s="2">
        <v>0.1798631476050831</v>
      </c>
      <c r="G25" s="2">
        <v>9.6774193548387094E-2</v>
      </c>
      <c r="H25" s="2"/>
      <c r="I25" s="2"/>
      <c r="J25" s="2"/>
      <c r="K25" s="2"/>
      <c r="L25" s="2">
        <v>0.999</v>
      </c>
      <c r="M25" s="2">
        <v>0.999</v>
      </c>
      <c r="N25" s="2">
        <v>0.999</v>
      </c>
      <c r="O25" s="2">
        <v>0.999</v>
      </c>
      <c r="P25" s="2">
        <v>0.59237536656891498</v>
      </c>
      <c r="Q25" s="2">
        <v>0.35483870967741937</v>
      </c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</row>
    <row r="26" spans="1:33">
      <c r="A26" s="5">
        <f>A25+Calculations!$B$4</f>
        <v>48</v>
      </c>
      <c r="B26" s="2">
        <v>0.999</v>
      </c>
      <c r="C26" s="2">
        <v>0.999</v>
      </c>
      <c r="D26" s="2">
        <v>0.63831867057673508</v>
      </c>
      <c r="E26" s="2">
        <v>0.30694037145650049</v>
      </c>
      <c r="F26" s="2">
        <v>0.176930596285435</v>
      </c>
      <c r="G26" s="2">
        <v>9.8729227761485822E-2</v>
      </c>
      <c r="H26" s="2"/>
      <c r="I26" s="2"/>
      <c r="J26" s="2"/>
      <c r="K26" s="2"/>
      <c r="L26" s="2">
        <v>0.999</v>
      </c>
      <c r="M26" s="2">
        <v>0.999</v>
      </c>
      <c r="N26" s="2">
        <v>0.999</v>
      </c>
      <c r="O26" s="2">
        <v>0.999</v>
      </c>
      <c r="P26" s="2">
        <v>0.54936461388074287</v>
      </c>
      <c r="Q26" s="2">
        <v>0.29716520039100686</v>
      </c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</row>
    <row r="27" spans="1:33">
      <c r="A27" s="5">
        <f>A26+Calculations!$B$4</f>
        <v>50</v>
      </c>
      <c r="B27" s="2">
        <v>0.999</v>
      </c>
      <c r="C27" s="2">
        <v>0.999</v>
      </c>
      <c r="D27" s="2">
        <v>0.56793743890518089</v>
      </c>
      <c r="E27" s="2">
        <v>0.29423264907135877</v>
      </c>
      <c r="F27" s="2">
        <v>0.17888563049853373</v>
      </c>
      <c r="G27" s="2">
        <v>7.2336265884652987E-2</v>
      </c>
      <c r="H27" s="2"/>
      <c r="I27" s="2"/>
      <c r="J27" s="2"/>
      <c r="K27" s="2"/>
      <c r="L27" s="2">
        <v>0.999</v>
      </c>
      <c r="M27" s="2">
        <v>0.999</v>
      </c>
      <c r="N27" s="2">
        <v>0.999</v>
      </c>
      <c r="O27" s="2">
        <v>0.96383186705767354</v>
      </c>
      <c r="P27" s="2">
        <v>0.53176930596285432</v>
      </c>
      <c r="Q27" s="2">
        <v>0.26783968719452589</v>
      </c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</row>
    <row r="28" spans="1:33">
      <c r="A28" s="5">
        <f>A27+Calculations!$B$4</f>
        <v>52</v>
      </c>
      <c r="B28" s="2">
        <v>0.999</v>
      </c>
      <c r="C28" s="2">
        <v>0.999</v>
      </c>
      <c r="D28" s="2">
        <v>0.50635386119257086</v>
      </c>
      <c r="E28" s="2">
        <v>0.32160312805474095</v>
      </c>
      <c r="F28" s="2">
        <v>0.12903225806451613</v>
      </c>
      <c r="G28" s="2">
        <v>5.865102639296188E-2</v>
      </c>
      <c r="H28" s="2"/>
      <c r="I28" s="2"/>
      <c r="J28" s="2"/>
      <c r="K28" s="2"/>
      <c r="L28" s="2">
        <v>0.999</v>
      </c>
      <c r="M28" s="2">
        <v>0.999</v>
      </c>
      <c r="N28" s="2">
        <v>0.999</v>
      </c>
      <c r="O28" s="2">
        <v>0.999</v>
      </c>
      <c r="P28" s="2">
        <v>0.45161290322580644</v>
      </c>
      <c r="Q28" s="2">
        <v>0.26686217008797652</v>
      </c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</row>
    <row r="29" spans="1:33">
      <c r="A29" s="5">
        <f>A28+Calculations!$B$4</f>
        <v>54</v>
      </c>
      <c r="B29" s="2">
        <v>0.999</v>
      </c>
      <c r="C29" s="2">
        <v>0.999</v>
      </c>
      <c r="D29" s="2">
        <v>0.47898338220918868</v>
      </c>
      <c r="E29" s="2">
        <v>0.2756598240469208</v>
      </c>
      <c r="F29" s="2">
        <v>0.14369501466275661</v>
      </c>
      <c r="G29" s="2">
        <v>7.9178885630498533E-2</v>
      </c>
      <c r="H29" s="2"/>
      <c r="I29" s="2"/>
      <c r="J29" s="2"/>
      <c r="K29" s="2"/>
      <c r="L29" s="2">
        <v>0.999</v>
      </c>
      <c r="M29" s="2">
        <v>0.999</v>
      </c>
      <c r="N29" s="2">
        <v>0.999</v>
      </c>
      <c r="O29" s="2">
        <v>0.90909090909090906</v>
      </c>
      <c r="P29" s="2">
        <v>0.41642228739002934</v>
      </c>
      <c r="Q29" s="2">
        <v>0.21994134897360704</v>
      </c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</row>
    <row r="30" spans="1:33">
      <c r="A30" s="5">
        <f>A29+Calculations!$B$4</f>
        <v>56</v>
      </c>
      <c r="B30" s="2">
        <v>0.999</v>
      </c>
      <c r="C30" s="2">
        <v>0.999</v>
      </c>
      <c r="D30" s="2">
        <v>0.48680351906158359</v>
      </c>
      <c r="E30" s="2">
        <v>0.24144672531769307</v>
      </c>
      <c r="F30" s="2">
        <v>0.14076246334310849</v>
      </c>
      <c r="G30" s="2">
        <v>6.5493646138807426E-2</v>
      </c>
      <c r="H30" s="2"/>
      <c r="I30" s="2"/>
      <c r="J30" s="2"/>
      <c r="K30" s="2"/>
      <c r="L30" s="2">
        <v>0.999</v>
      </c>
      <c r="M30" s="2">
        <v>0.999</v>
      </c>
      <c r="N30" s="2">
        <v>0.999</v>
      </c>
      <c r="O30" s="2">
        <v>0.78201368523949166</v>
      </c>
      <c r="P30" s="2">
        <v>0.44770283479960898</v>
      </c>
      <c r="Q30" s="2">
        <v>0.23069403714565004</v>
      </c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3">
      <c r="A31" s="5">
        <f>A30+Calculations!$B$4</f>
        <v>58</v>
      </c>
      <c r="B31" s="2">
        <v>0.999</v>
      </c>
      <c r="C31" s="2">
        <v>0.85043988269794724</v>
      </c>
      <c r="D31" s="2">
        <v>0.45650048875855326</v>
      </c>
      <c r="E31" s="2">
        <v>0.21798631476050831</v>
      </c>
      <c r="F31" s="2">
        <v>0.17888563049853373</v>
      </c>
      <c r="G31" s="2">
        <v>6.0606060606060608E-2</v>
      </c>
      <c r="H31" s="2"/>
      <c r="I31" s="2"/>
      <c r="J31" s="2"/>
      <c r="K31" s="2"/>
      <c r="L31" s="2">
        <v>0.999</v>
      </c>
      <c r="M31" s="2">
        <v>0.999</v>
      </c>
      <c r="N31" s="2">
        <v>0.999</v>
      </c>
      <c r="O31" s="2">
        <v>0.66959921798631472</v>
      </c>
      <c r="P31" s="2">
        <v>0.39296187683284456</v>
      </c>
      <c r="Q31" s="2">
        <v>0.19452590420332355</v>
      </c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</row>
    <row r="32" spans="1:33">
      <c r="A32" s="5">
        <f>A31+Calculations!$B$4</f>
        <v>60</v>
      </c>
      <c r="B32" s="2">
        <v>0.999</v>
      </c>
      <c r="C32" s="2">
        <v>0.85043988269794724</v>
      </c>
      <c r="D32" s="2">
        <v>0.40860215053763443</v>
      </c>
      <c r="E32" s="2">
        <v>0.1681329423264907</v>
      </c>
      <c r="F32" s="2">
        <v>0.11534701857282502</v>
      </c>
      <c r="G32" s="2">
        <v>7.2336265884652987E-2</v>
      </c>
      <c r="H32" s="2"/>
      <c r="I32" s="2"/>
      <c r="J32" s="2"/>
      <c r="K32" s="2"/>
      <c r="L32" s="2">
        <v>0.999</v>
      </c>
      <c r="M32" s="2">
        <v>0.999</v>
      </c>
      <c r="N32" s="2">
        <v>0.999</v>
      </c>
      <c r="O32" s="2">
        <v>0.66568914956011727</v>
      </c>
      <c r="P32" s="2">
        <v>0.37536656891495601</v>
      </c>
      <c r="Q32" s="2">
        <v>0.20723362658846531</v>
      </c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</row>
    <row r="33" spans="1:33">
      <c r="A33" s="5">
        <f>A32+Calculations!$B$4</f>
        <v>62</v>
      </c>
      <c r="B33" s="2">
        <v>0.999</v>
      </c>
      <c r="C33" s="2">
        <v>0.67350928641251218</v>
      </c>
      <c r="D33" s="2">
        <v>0.31769305962854349</v>
      </c>
      <c r="E33" s="2">
        <v>0.2404692082111437</v>
      </c>
      <c r="F33" s="2">
        <v>9.3841642228739003E-2</v>
      </c>
      <c r="G33" s="2">
        <v>5.767350928641251E-2</v>
      </c>
      <c r="H33" s="2"/>
      <c r="I33" s="2"/>
      <c r="J33" s="2"/>
      <c r="K33" s="2"/>
      <c r="L33" s="2">
        <v>0.999</v>
      </c>
      <c r="M33" s="2">
        <v>0.999</v>
      </c>
      <c r="N33" s="2">
        <v>0.999</v>
      </c>
      <c r="O33" s="2">
        <v>0.64711632453567935</v>
      </c>
      <c r="P33" s="2">
        <v>0.34213098729227759</v>
      </c>
      <c r="Q33" s="2">
        <v>0.15933528836754643</v>
      </c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</row>
    <row r="34" spans="1:33">
      <c r="A34" s="5">
        <f>A33+Calculations!$B$4</f>
        <v>64</v>
      </c>
      <c r="B34" s="2">
        <v>0.999</v>
      </c>
      <c r="C34" s="2">
        <v>0.72727272727272729</v>
      </c>
      <c r="D34" s="2">
        <v>0.34897360703812319</v>
      </c>
      <c r="E34" s="2">
        <v>0.18866080156402737</v>
      </c>
      <c r="F34" s="2">
        <v>0.12023460410557185</v>
      </c>
      <c r="G34" s="2">
        <v>7.2336265884652987E-2</v>
      </c>
      <c r="H34" s="2"/>
      <c r="I34" s="2"/>
      <c r="J34" s="2"/>
      <c r="K34" s="2"/>
      <c r="L34" s="2">
        <v>0.999</v>
      </c>
      <c r="M34" s="2">
        <v>0.999</v>
      </c>
      <c r="N34" s="2">
        <v>0.999</v>
      </c>
      <c r="O34" s="2">
        <v>0.59237536656891498</v>
      </c>
      <c r="P34" s="2">
        <v>0.31769305962854349</v>
      </c>
      <c r="Q34" s="2">
        <v>0.16715542521994134</v>
      </c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</row>
    <row r="35" spans="1:33">
      <c r="A35" s="5">
        <f>A34+Calculations!$B$4</f>
        <v>66</v>
      </c>
      <c r="B35" s="2">
        <v>0.999</v>
      </c>
      <c r="C35" s="2">
        <v>0.56402737047898344</v>
      </c>
      <c r="D35" s="2">
        <v>0.40175953079178883</v>
      </c>
      <c r="E35" s="2">
        <v>0.2209188660801564</v>
      </c>
      <c r="F35" s="2">
        <v>8.8954056695992184E-2</v>
      </c>
      <c r="G35" s="2">
        <v>8.797653958944282E-2</v>
      </c>
      <c r="H35" s="2"/>
      <c r="I35" s="2"/>
      <c r="J35" s="2"/>
      <c r="K35" s="2"/>
      <c r="L35" s="2">
        <v>0.999</v>
      </c>
      <c r="M35" s="2">
        <v>0.999</v>
      </c>
      <c r="N35" s="2">
        <v>0.999</v>
      </c>
      <c r="O35" s="2">
        <v>0.52785923753665687</v>
      </c>
      <c r="P35" s="2">
        <v>0.34506353861192574</v>
      </c>
      <c r="Q35" s="2">
        <v>0.16226783968719452</v>
      </c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</row>
    <row r="36" spans="1:33">
      <c r="A36" s="5">
        <f>A35+Calculations!$B$4</f>
        <v>68</v>
      </c>
      <c r="B36" s="2">
        <v>0.999</v>
      </c>
      <c r="C36" s="2">
        <v>0.62561094819159335</v>
      </c>
      <c r="D36" s="2">
        <v>0.34897360703812319</v>
      </c>
      <c r="E36" s="2">
        <v>0.2209188660801564</v>
      </c>
      <c r="F36" s="2">
        <v>9.0909090909090912E-2</v>
      </c>
      <c r="G36" s="2">
        <v>4.6920821114369501E-2</v>
      </c>
      <c r="H36" s="2"/>
      <c r="I36" s="2"/>
      <c r="J36" s="2"/>
      <c r="K36" s="2"/>
      <c r="L36" s="2">
        <v>0.999</v>
      </c>
      <c r="M36" s="2">
        <v>0.999</v>
      </c>
      <c r="N36" s="2">
        <v>0.999</v>
      </c>
      <c r="O36" s="2">
        <v>0.52785923753665687</v>
      </c>
      <c r="P36" s="2">
        <v>0.26979472140762462</v>
      </c>
      <c r="Q36" s="2">
        <v>0.16031280547409579</v>
      </c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</row>
    <row r="37" spans="1:33">
      <c r="A37" s="5">
        <f>A36+Calculations!$B$4</f>
        <v>70</v>
      </c>
      <c r="B37" s="2">
        <v>0.999</v>
      </c>
      <c r="C37" s="2">
        <v>0.57086999022482898</v>
      </c>
      <c r="D37" s="2">
        <v>0.24242424242424243</v>
      </c>
      <c r="E37" s="2">
        <v>0.17595307917888564</v>
      </c>
      <c r="F37" s="2">
        <v>0.11925708699902249</v>
      </c>
      <c r="G37" s="2">
        <v>3.3235581622678395E-2</v>
      </c>
      <c r="H37" s="2"/>
      <c r="I37" s="2"/>
      <c r="J37" s="2"/>
      <c r="K37" s="2"/>
      <c r="L37" s="2">
        <v>0.999</v>
      </c>
      <c r="M37" s="2">
        <v>0.999</v>
      </c>
      <c r="N37" s="2">
        <v>0.999</v>
      </c>
      <c r="O37" s="2">
        <v>0.44574780058651026</v>
      </c>
      <c r="P37" s="2">
        <v>0.26588465298142716</v>
      </c>
      <c r="Q37" s="2">
        <v>0.13489736070381231</v>
      </c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</row>
    <row r="38" spans="1:33">
      <c r="A38" s="5">
        <f>A37+Calculations!$B$4</f>
        <v>72</v>
      </c>
      <c r="B38" s="2">
        <v>0.999</v>
      </c>
      <c r="C38" s="2">
        <v>0.54349951124144669</v>
      </c>
      <c r="D38" s="2">
        <v>0.22873900293255131</v>
      </c>
      <c r="E38" s="2">
        <v>0.16422287390029325</v>
      </c>
      <c r="F38" s="2">
        <v>0.10166177908113391</v>
      </c>
      <c r="G38" s="2">
        <v>4.4965786901270774E-2</v>
      </c>
      <c r="H38" s="2"/>
      <c r="I38" s="2"/>
      <c r="J38" s="2"/>
      <c r="K38" s="2"/>
      <c r="L38" s="2">
        <v>0.999</v>
      </c>
      <c r="M38" s="2">
        <v>0.999</v>
      </c>
      <c r="N38" s="2">
        <v>0.93352883675464315</v>
      </c>
      <c r="O38" s="2">
        <v>0.46823069403714562</v>
      </c>
      <c r="P38" s="2">
        <v>0.23949169110459434</v>
      </c>
      <c r="Q38" s="2">
        <v>0.12316715542521994</v>
      </c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</row>
    <row r="39" spans="1:33">
      <c r="A39" s="5">
        <f>A38+Calculations!$B$4</f>
        <v>74</v>
      </c>
      <c r="B39" s="2">
        <v>0.999</v>
      </c>
      <c r="C39" s="2">
        <v>0.59433040078201371</v>
      </c>
      <c r="D39" s="2">
        <v>0.22385141739980449</v>
      </c>
      <c r="E39" s="2">
        <v>0.21505376344086022</v>
      </c>
      <c r="F39" s="2">
        <v>0.11143695014662756</v>
      </c>
      <c r="G39" s="2">
        <v>7.2336265884652987E-2</v>
      </c>
      <c r="H39" s="2"/>
      <c r="I39" s="2"/>
      <c r="J39" s="2"/>
      <c r="K39" s="2"/>
      <c r="L39" s="2">
        <v>0.999</v>
      </c>
      <c r="M39" s="2">
        <v>0.999</v>
      </c>
      <c r="N39" s="2">
        <v>0.78592375366568912</v>
      </c>
      <c r="O39" s="2">
        <v>0.51124144672531768</v>
      </c>
      <c r="P39" s="2">
        <v>0.24437927663734116</v>
      </c>
      <c r="Q39" s="2">
        <v>0.1104594330400782</v>
      </c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</row>
    <row r="40" spans="1:33">
      <c r="A40" s="5">
        <f>A39+Calculations!$B$4</f>
        <v>76</v>
      </c>
      <c r="B40" s="2">
        <v>0.999</v>
      </c>
      <c r="C40" s="2">
        <v>0.5268817204301075</v>
      </c>
      <c r="D40" s="2">
        <v>0.24242424242424243</v>
      </c>
      <c r="E40" s="2">
        <v>0.15640273704789834</v>
      </c>
      <c r="F40" s="2">
        <v>8.797653958944282E-2</v>
      </c>
      <c r="G40" s="2">
        <v>4.9853372434017593E-2</v>
      </c>
      <c r="H40" s="2"/>
      <c r="I40" s="2"/>
      <c r="J40" s="2"/>
      <c r="K40" s="2"/>
      <c r="L40" s="2">
        <v>0.999</v>
      </c>
      <c r="M40" s="2">
        <v>0.999</v>
      </c>
      <c r="N40" s="2">
        <v>0.78494623655913975</v>
      </c>
      <c r="O40" s="2">
        <v>0.44672531769305962</v>
      </c>
      <c r="P40" s="2">
        <v>0.21407624633431085</v>
      </c>
      <c r="Q40" s="2">
        <v>0.12903225806451613</v>
      </c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</row>
    <row r="41" spans="1:33">
      <c r="A41" s="5">
        <f>A40+Calculations!$B$4</f>
        <v>78</v>
      </c>
      <c r="B41" s="2">
        <v>0.999</v>
      </c>
      <c r="C41" s="2">
        <v>0.52003910068426196</v>
      </c>
      <c r="D41" s="2">
        <v>0.22971652003910067</v>
      </c>
      <c r="E41" s="2">
        <v>0.13294232649071358</v>
      </c>
      <c r="F41" s="2">
        <v>0.10459433040078202</v>
      </c>
      <c r="G41" s="2">
        <v>5.3763440860215055E-2</v>
      </c>
      <c r="H41" s="2"/>
      <c r="I41" s="2"/>
      <c r="J41" s="2"/>
      <c r="K41" s="2"/>
      <c r="L41" s="2">
        <v>0.999</v>
      </c>
      <c r="M41" s="2">
        <v>0.999</v>
      </c>
      <c r="N41" s="2">
        <v>0.71456500488758556</v>
      </c>
      <c r="O41" s="2">
        <v>0.39980449657869011</v>
      </c>
      <c r="P41" s="2">
        <v>0.1798631476050831</v>
      </c>
      <c r="Q41" s="2">
        <v>0.1378299120234604</v>
      </c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</row>
    <row r="42" spans="1:33">
      <c r="A42" s="5">
        <f>A41+Calculations!$B$4</f>
        <v>80</v>
      </c>
      <c r="B42" s="2">
        <v>0.89833822091886606</v>
      </c>
      <c r="C42" s="2">
        <v>0.35972629521016619</v>
      </c>
      <c r="D42" s="2">
        <v>0.18866080156402737</v>
      </c>
      <c r="E42" s="2">
        <v>5.2785923753665691E-2</v>
      </c>
      <c r="F42" s="2">
        <v>5.4740957966764418E-2</v>
      </c>
      <c r="G42" s="2">
        <v>4.2033235581622676E-2</v>
      </c>
      <c r="H42" s="2"/>
      <c r="I42" s="2"/>
      <c r="J42" s="2"/>
      <c r="K42" s="2"/>
      <c r="L42" s="2">
        <v>0.999</v>
      </c>
      <c r="M42" s="2">
        <v>0.999</v>
      </c>
      <c r="N42" s="2">
        <v>0.67741935483870963</v>
      </c>
      <c r="O42" s="2">
        <v>0.36363636363636365</v>
      </c>
      <c r="P42" s="2">
        <v>0.2209188660801564</v>
      </c>
      <c r="Q42" s="2">
        <v>0.12218963831867058</v>
      </c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</row>
    <row r="43" spans="1:33">
      <c r="A43" s="5">
        <f>A42+Calculations!$B$4</f>
        <v>82</v>
      </c>
      <c r="B43" s="2">
        <v>0.89149560117302051</v>
      </c>
      <c r="C43" s="2">
        <v>0.3919843597262952</v>
      </c>
      <c r="D43" s="2">
        <v>0.24535679374389052</v>
      </c>
      <c r="E43" s="2">
        <v>9.4819159335288367E-2</v>
      </c>
      <c r="F43" s="2">
        <v>0.12609970674486803</v>
      </c>
      <c r="G43" s="2">
        <v>1.7595307917888561E-2</v>
      </c>
      <c r="H43" s="2"/>
      <c r="I43" s="2"/>
      <c r="J43" s="2"/>
      <c r="K43" s="2"/>
      <c r="L43" s="2">
        <v>0.999</v>
      </c>
      <c r="M43" s="2">
        <v>0.999</v>
      </c>
      <c r="N43" s="2">
        <v>0.67253176930596281</v>
      </c>
      <c r="O43" s="2">
        <v>0.32942326490713586</v>
      </c>
      <c r="P43" s="2">
        <v>0.18377321603128055</v>
      </c>
      <c r="Q43" s="2">
        <v>0.13294232649071358</v>
      </c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</row>
    <row r="44" spans="1:33">
      <c r="A44" s="5">
        <f>A43+Calculations!$B$4</f>
        <v>84</v>
      </c>
      <c r="B44" s="2">
        <v>0.85239491691104596</v>
      </c>
      <c r="C44" s="2">
        <v>0.34115347018572822</v>
      </c>
      <c r="D44" s="2">
        <v>0.21994134897360704</v>
      </c>
      <c r="E44" s="2">
        <v>0.12218963831867058</v>
      </c>
      <c r="F44" s="2">
        <v>9.9706744868035185E-2</v>
      </c>
      <c r="G44" s="2">
        <v>9.3841642228739003E-2</v>
      </c>
      <c r="H44" s="2"/>
      <c r="I44" s="2"/>
      <c r="J44" s="2"/>
      <c r="K44" s="2"/>
      <c r="L44" s="2">
        <v>0.999</v>
      </c>
      <c r="M44" s="2">
        <v>0.999</v>
      </c>
      <c r="N44" s="2">
        <v>0.61485826001955035</v>
      </c>
      <c r="O44" s="2">
        <v>0.31769305962854349</v>
      </c>
      <c r="P44" s="2">
        <v>0.1466275659824047</v>
      </c>
      <c r="Q44" s="2">
        <v>7.7223851417399805E-2</v>
      </c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</row>
    <row r="45" spans="1:33">
      <c r="A45" s="5">
        <f>A44+Calculations!$B$4</f>
        <v>86</v>
      </c>
      <c r="B45" s="2">
        <v>0.63049853372434017</v>
      </c>
      <c r="C45" s="2">
        <v>0.27663734115347016</v>
      </c>
      <c r="D45" s="2">
        <v>0.20625610948191594</v>
      </c>
      <c r="E45" s="2">
        <v>0.10850439882697947</v>
      </c>
      <c r="F45" s="2">
        <v>4.5943304007820138E-2</v>
      </c>
      <c r="G45" s="2">
        <v>4.9853372434017593E-2</v>
      </c>
      <c r="H45" s="2"/>
      <c r="I45" s="2"/>
      <c r="J45" s="2"/>
      <c r="K45" s="2"/>
      <c r="L45" s="2">
        <v>0.999</v>
      </c>
      <c r="M45" s="2">
        <v>0.999</v>
      </c>
      <c r="N45" s="2">
        <v>0.55034213098729223</v>
      </c>
      <c r="O45" s="2">
        <v>0.29618768328445749</v>
      </c>
      <c r="P45" s="2">
        <v>0.16715542521994134</v>
      </c>
      <c r="Q45" s="2">
        <v>0.10459433040078202</v>
      </c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</row>
    <row r="46" spans="1:33">
      <c r="A46" s="5">
        <f>A45+Calculations!$B$4</f>
        <v>88</v>
      </c>
      <c r="B46" s="2">
        <v>0.52394916911045941</v>
      </c>
      <c r="C46" s="2">
        <v>0.37634408602150538</v>
      </c>
      <c r="D46" s="2">
        <v>0.13685239491691104</v>
      </c>
      <c r="E46" s="2">
        <v>7.1358748778103623E-2</v>
      </c>
      <c r="F46" s="2">
        <v>7.8201368523949169E-2</v>
      </c>
      <c r="G46" s="2">
        <v>4.1055718475073312E-2</v>
      </c>
      <c r="H46" s="2"/>
      <c r="I46" s="2"/>
      <c r="J46" s="2"/>
      <c r="K46" s="2"/>
      <c r="L46" s="2">
        <v>0.999</v>
      </c>
      <c r="M46" s="2">
        <v>0.999</v>
      </c>
      <c r="N46" s="2">
        <v>0.49755620723362659</v>
      </c>
      <c r="O46" s="2">
        <v>0.32062561094819159</v>
      </c>
      <c r="P46" s="2">
        <v>0.17399804496578691</v>
      </c>
      <c r="Q46" s="2">
        <v>6.9403714565004881E-2</v>
      </c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</row>
    <row r="47" spans="1:33">
      <c r="A47" s="5">
        <f>A46+Calculations!$B$4</f>
        <v>90</v>
      </c>
      <c r="B47" s="2">
        <v>0.79960899315738021</v>
      </c>
      <c r="C47" s="2">
        <v>0.33724340175953077</v>
      </c>
      <c r="D47" s="2">
        <v>0.17595307917888564</v>
      </c>
      <c r="E47" s="2">
        <v>5.4740957966764418E-2</v>
      </c>
      <c r="F47" s="2">
        <v>6.3538611925708699E-2</v>
      </c>
      <c r="G47" s="2">
        <v>5.2785923753665691E-2</v>
      </c>
      <c r="H47" s="2"/>
      <c r="I47" s="2"/>
      <c r="J47" s="2"/>
      <c r="K47" s="2"/>
      <c r="L47" s="2">
        <v>0.999</v>
      </c>
      <c r="M47" s="2">
        <v>0.999</v>
      </c>
      <c r="N47" s="2">
        <v>0.51221896383186705</v>
      </c>
      <c r="O47" s="2">
        <v>0.26686217008797652</v>
      </c>
      <c r="P47" s="2">
        <v>0.15053763440860216</v>
      </c>
      <c r="Q47" s="2">
        <v>6.7448680351906154E-2</v>
      </c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</row>
    <row r="48" spans="1:33">
      <c r="A48" s="5">
        <f>A47+Calculations!$B$4</f>
        <v>92</v>
      </c>
      <c r="B48" s="2">
        <v>0.7135874877810362</v>
      </c>
      <c r="C48" s="2">
        <v>0.39687194525904201</v>
      </c>
      <c r="D48" s="2">
        <v>0.15640273704789834</v>
      </c>
      <c r="E48" s="2">
        <v>0.14173998044965788</v>
      </c>
      <c r="F48" s="2">
        <v>5.767350928641251E-2</v>
      </c>
      <c r="G48" s="2">
        <v>1.1730205278592375E-2</v>
      </c>
      <c r="H48" s="2"/>
      <c r="I48" s="2"/>
      <c r="J48" s="2"/>
      <c r="K48" s="2"/>
      <c r="L48" s="2">
        <v>0.999</v>
      </c>
      <c r="M48" s="2">
        <v>0.999</v>
      </c>
      <c r="N48" s="2">
        <v>0.43010752688172044</v>
      </c>
      <c r="O48" s="2">
        <v>0.29912023460410558</v>
      </c>
      <c r="P48" s="2">
        <v>0.15542521994134897</v>
      </c>
      <c r="Q48" s="2">
        <v>0.12121212121212122</v>
      </c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</row>
    <row r="49" spans="1:33">
      <c r="A49" s="5">
        <f>A48+Calculations!$B$4</f>
        <v>94</v>
      </c>
      <c r="B49" s="2">
        <v>0.60703812316715544</v>
      </c>
      <c r="C49" s="2">
        <v>0.26295210166177907</v>
      </c>
      <c r="D49" s="2">
        <v>0.17790811339198437</v>
      </c>
      <c r="E49" s="2">
        <v>8.3088954056695988E-2</v>
      </c>
      <c r="F49" s="2">
        <v>6.3538611925708699E-2</v>
      </c>
      <c r="G49" s="2">
        <v>1.7595307917888561E-2</v>
      </c>
      <c r="H49" s="2"/>
      <c r="I49" s="2"/>
      <c r="J49" s="2"/>
      <c r="K49" s="2"/>
      <c r="L49" s="2">
        <v>0.999</v>
      </c>
      <c r="M49" s="2">
        <v>0.93059628543499506</v>
      </c>
      <c r="N49" s="2">
        <v>0.50342130987292277</v>
      </c>
      <c r="O49" s="2">
        <v>0.21309872922776149</v>
      </c>
      <c r="P49" s="2">
        <v>0.15053763440860216</v>
      </c>
      <c r="Q49" s="2">
        <v>8.9931573802541548E-2</v>
      </c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</row>
    <row r="50" spans="1:33">
      <c r="A50" s="5">
        <f>A49+Calculations!$B$4</f>
        <v>96</v>
      </c>
      <c r="B50" s="2">
        <v>0.4310850439882698</v>
      </c>
      <c r="C50" s="2">
        <v>0.36461388074291301</v>
      </c>
      <c r="D50" s="2">
        <v>0.16129032258064516</v>
      </c>
      <c r="E50" s="2">
        <v>8.2111436950146624E-2</v>
      </c>
      <c r="F50" s="2">
        <v>5.4740957966764418E-2</v>
      </c>
      <c r="G50" s="2">
        <v>5.767350928641251E-2</v>
      </c>
      <c r="H50" s="2"/>
      <c r="I50" s="2"/>
      <c r="J50" s="2"/>
      <c r="K50" s="2"/>
      <c r="L50" s="2">
        <v>0.999</v>
      </c>
      <c r="M50" s="2">
        <v>0.94428152492668627</v>
      </c>
      <c r="N50" s="2">
        <v>0.43597262952101662</v>
      </c>
      <c r="O50" s="2">
        <v>0.2101661779081134</v>
      </c>
      <c r="P50" s="2">
        <v>0.11143695014662756</v>
      </c>
      <c r="Q50" s="2">
        <v>9.8729227761485822E-2</v>
      </c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</row>
    <row r="51" spans="1:33">
      <c r="A51" s="5">
        <f>A50+Calculations!$B$4</f>
        <v>98</v>
      </c>
      <c r="B51" s="2">
        <v>0.51808406647116323</v>
      </c>
      <c r="C51" s="2">
        <v>0.32649071358748777</v>
      </c>
      <c r="D51" s="2">
        <v>0.18279569892473119</v>
      </c>
      <c r="E51" s="2">
        <v>9.1886608015640275E-2</v>
      </c>
      <c r="F51" s="2">
        <v>2.6392961876832845E-2</v>
      </c>
      <c r="G51" s="2">
        <v>4.3010752688172046E-2</v>
      </c>
      <c r="H51" s="2"/>
      <c r="I51" s="2"/>
      <c r="J51" s="2"/>
      <c r="K51" s="2"/>
      <c r="L51" s="2">
        <v>0.999</v>
      </c>
      <c r="M51" s="2">
        <v>0.86999022482893451</v>
      </c>
      <c r="N51" s="2">
        <v>0.47800586510263932</v>
      </c>
      <c r="O51" s="2">
        <v>0.24242424242424243</v>
      </c>
      <c r="P51" s="2">
        <v>8.9931573802541548E-2</v>
      </c>
      <c r="Q51" s="2">
        <v>6.8426197458455518E-2</v>
      </c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</row>
    <row r="52" spans="1:33">
      <c r="A52" s="5">
        <f>A51+Calculations!$B$4</f>
        <v>100</v>
      </c>
      <c r="B52" s="2">
        <v>0.51515151515151514</v>
      </c>
      <c r="C52" s="2">
        <v>0.29032258064516131</v>
      </c>
      <c r="D52" s="2">
        <v>0.14369501466275661</v>
      </c>
      <c r="E52" s="2">
        <v>6.8426197458455518E-2</v>
      </c>
      <c r="F52" s="2">
        <v>7.8201368523949169E-2</v>
      </c>
      <c r="G52" s="2">
        <v>7.2336265884652987E-2</v>
      </c>
      <c r="H52" s="2"/>
      <c r="I52" s="2"/>
      <c r="J52" s="2"/>
      <c r="K52" s="2"/>
      <c r="L52" s="2">
        <v>0.999</v>
      </c>
      <c r="M52" s="2">
        <v>0.82502443792766378</v>
      </c>
      <c r="N52" s="2">
        <v>0.43597262952101662</v>
      </c>
      <c r="O52" s="2">
        <v>0.19550342130987292</v>
      </c>
      <c r="P52" s="2">
        <v>0.12903225806451613</v>
      </c>
      <c r="Q52" s="2">
        <v>6.5493646138807426E-2</v>
      </c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</row>
    <row r="53" spans="1:33">
      <c r="A53" s="5">
        <f>A52+Calculations!$B$4</f>
        <v>102</v>
      </c>
      <c r="B53" s="2">
        <v>0.57771260997067453</v>
      </c>
      <c r="C53" s="2">
        <v>0.31280547409579668</v>
      </c>
      <c r="D53" s="2">
        <v>0.17595307917888564</v>
      </c>
      <c r="E53" s="2">
        <v>4.0078201368523948E-2</v>
      </c>
      <c r="F53" s="2">
        <v>7.2336265884652987E-2</v>
      </c>
      <c r="G53" s="2">
        <v>1.466275659824047E-2</v>
      </c>
      <c r="H53" s="2"/>
      <c r="I53" s="2"/>
      <c r="J53" s="2"/>
      <c r="K53" s="2"/>
      <c r="L53" s="2">
        <v>0.999</v>
      </c>
      <c r="M53" s="2">
        <v>0.79374389051808403</v>
      </c>
      <c r="N53" s="2">
        <v>0.3919843597262952</v>
      </c>
      <c r="O53" s="2">
        <v>0.22580645161290322</v>
      </c>
      <c r="P53" s="2">
        <v>0.10166177908113391</v>
      </c>
      <c r="Q53" s="2">
        <v>6.2561094819159335E-2</v>
      </c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</row>
    <row r="54" spans="1:33">
      <c r="A54" s="5">
        <f>A53+Calculations!$B$4</f>
        <v>104</v>
      </c>
      <c r="B54" s="2">
        <v>0.45747800586510262</v>
      </c>
      <c r="C54" s="2">
        <v>0.27761485826001953</v>
      </c>
      <c r="D54" s="2">
        <v>0.14565004887585534</v>
      </c>
      <c r="E54" s="2">
        <v>5.9628543499511244E-2</v>
      </c>
      <c r="F54" s="2">
        <v>3.7145650048875857E-2</v>
      </c>
      <c r="G54" s="2">
        <v>4.4965786901270774E-2</v>
      </c>
      <c r="H54" s="2"/>
      <c r="I54" s="2"/>
      <c r="J54" s="2"/>
      <c r="K54" s="2"/>
      <c r="L54" s="2">
        <v>0.999</v>
      </c>
      <c r="M54" s="2">
        <v>0.75073313782991202</v>
      </c>
      <c r="N54" s="2">
        <v>0.38220918866080156</v>
      </c>
      <c r="O54" s="2">
        <v>0.1798631476050831</v>
      </c>
      <c r="P54" s="2">
        <v>0.10068426197458455</v>
      </c>
      <c r="Q54" s="2">
        <v>7.331378299120235E-2</v>
      </c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</row>
    <row r="55" spans="1:33">
      <c r="A55" s="5">
        <f>A54+Calculations!$B$4</f>
        <v>106</v>
      </c>
      <c r="B55" s="2">
        <v>0.45454545454545453</v>
      </c>
      <c r="C55" s="2">
        <v>0.19648093841642228</v>
      </c>
      <c r="D55" s="2">
        <v>0.13294232649071358</v>
      </c>
      <c r="E55" s="2">
        <v>0.10948191593352884</v>
      </c>
      <c r="F55" s="2">
        <v>3.2258064516129031E-2</v>
      </c>
      <c r="G55" s="2">
        <v>2.932551319648094E-2</v>
      </c>
      <c r="H55" s="2"/>
      <c r="I55" s="2"/>
      <c r="J55" s="2"/>
      <c r="K55" s="2"/>
      <c r="L55" s="2">
        <v>0.999</v>
      </c>
      <c r="M55" s="2">
        <v>0.63636363636363635</v>
      </c>
      <c r="N55" s="2">
        <v>0.31182795698924731</v>
      </c>
      <c r="O55" s="2">
        <v>0.12414467253176931</v>
      </c>
      <c r="P55" s="2">
        <v>0.11436950146627566</v>
      </c>
      <c r="Q55" s="2">
        <v>6.9403714565004881E-2</v>
      </c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</row>
    <row r="56" spans="1:33">
      <c r="A56" s="5">
        <f>A55+Calculations!$B$4</f>
        <v>108</v>
      </c>
      <c r="B56" s="2">
        <v>0.46823069403714562</v>
      </c>
      <c r="C56" s="2">
        <v>0.1681329423264907</v>
      </c>
      <c r="D56" s="2">
        <v>6.0606060606060608E-2</v>
      </c>
      <c r="E56" s="2">
        <v>5.9628543499511244E-2</v>
      </c>
      <c r="F56" s="2">
        <v>4.5943304007820138E-2</v>
      </c>
      <c r="G56" s="2">
        <v>6.4516129032258063E-2</v>
      </c>
      <c r="H56" s="2"/>
      <c r="I56" s="2"/>
      <c r="J56" s="2"/>
      <c r="K56" s="2"/>
      <c r="L56" s="2">
        <v>0.999</v>
      </c>
      <c r="M56" s="2">
        <v>0.67839687194525899</v>
      </c>
      <c r="N56" s="2">
        <v>0.33431085043988268</v>
      </c>
      <c r="O56" s="2">
        <v>0.21700879765395895</v>
      </c>
      <c r="P56" s="2">
        <v>7.5268817204301078E-2</v>
      </c>
      <c r="Q56" s="2">
        <v>4.2033235581622676E-2</v>
      </c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</row>
    <row r="57" spans="1:33">
      <c r="A57" s="5">
        <f>A56+Calculations!$B$4</f>
        <v>110</v>
      </c>
      <c r="B57" s="2">
        <v>0.29618768328445749</v>
      </c>
      <c r="C57" s="2">
        <v>0.20723362658846531</v>
      </c>
      <c r="D57" s="2">
        <v>0.19843597262952101</v>
      </c>
      <c r="E57" s="2">
        <v>9.3841642228739003E-2</v>
      </c>
      <c r="F57" s="2">
        <v>2.8347996089931573E-2</v>
      </c>
      <c r="G57" s="2">
        <v>1.5640273704789834E-2</v>
      </c>
      <c r="H57" s="2"/>
      <c r="I57" s="2"/>
      <c r="J57" s="2"/>
      <c r="K57" s="2"/>
      <c r="L57" s="2">
        <v>0.999</v>
      </c>
      <c r="M57" s="2">
        <v>0.64613880742912999</v>
      </c>
      <c r="N57" s="2">
        <v>0.31573802541544477</v>
      </c>
      <c r="O57" s="2">
        <v>0.19550342130987292</v>
      </c>
      <c r="P57" s="2">
        <v>0.12023460410557185</v>
      </c>
      <c r="Q57" s="2">
        <v>4.7898338220918865E-2</v>
      </c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</row>
    <row r="58" spans="1:33">
      <c r="A58" s="5">
        <f>A57+Calculations!$B$4</f>
        <v>112</v>
      </c>
      <c r="B58" s="2">
        <v>0.36168132942326492</v>
      </c>
      <c r="C58" s="2">
        <v>0.17497556207233628</v>
      </c>
      <c r="D58" s="2">
        <v>0.11534701857282502</v>
      </c>
      <c r="E58" s="2">
        <v>7.1358748778103623E-2</v>
      </c>
      <c r="F58" s="2">
        <v>5.1808406647116327E-2</v>
      </c>
      <c r="G58" s="2">
        <v>1.5640273704789834E-2</v>
      </c>
      <c r="H58" s="2"/>
      <c r="I58" s="2"/>
      <c r="J58" s="2"/>
      <c r="K58" s="2"/>
      <c r="L58" s="2">
        <v>0.999</v>
      </c>
      <c r="M58" s="2">
        <v>0.66373411534701854</v>
      </c>
      <c r="N58" s="2">
        <v>0.33528836754643204</v>
      </c>
      <c r="O58" s="2">
        <v>0.12023460410557185</v>
      </c>
      <c r="P58" s="2">
        <v>0.10654936461388075</v>
      </c>
      <c r="Q58" s="2">
        <v>4.5943304007820138E-2</v>
      </c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</row>
    <row r="59" spans="1:33">
      <c r="A59" s="5">
        <f>A58+Calculations!$B$4</f>
        <v>114</v>
      </c>
      <c r="B59" s="2">
        <v>0.33040078201368522</v>
      </c>
      <c r="C59" s="2">
        <v>0.18279569892473119</v>
      </c>
      <c r="D59" s="2">
        <v>0.12121212121212122</v>
      </c>
      <c r="E59" s="2">
        <v>2.5415444770283478E-2</v>
      </c>
      <c r="F59" s="2">
        <v>0</v>
      </c>
      <c r="G59" s="2">
        <v>3.3235581622678395E-2</v>
      </c>
      <c r="H59" s="2"/>
      <c r="I59" s="2"/>
      <c r="J59" s="2"/>
      <c r="K59" s="2"/>
      <c r="L59" s="2">
        <v>0.999</v>
      </c>
      <c r="M59" s="2">
        <v>0.4838709677419355</v>
      </c>
      <c r="N59" s="2">
        <v>0.26295210166177907</v>
      </c>
      <c r="O59" s="2">
        <v>0.15249266862170088</v>
      </c>
      <c r="P59" s="2">
        <v>4.3010752688172046E-2</v>
      </c>
      <c r="Q59" s="2">
        <v>4.3010752688172046E-2</v>
      </c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</row>
    <row r="60" spans="1:33">
      <c r="A60" s="5">
        <f>A59+Calculations!$B$4</f>
        <v>116</v>
      </c>
      <c r="B60" s="2">
        <v>0.2932551319648094</v>
      </c>
      <c r="C60" s="2">
        <v>0.11436950146627566</v>
      </c>
      <c r="D60" s="2">
        <v>1.9550342130987292E-2</v>
      </c>
      <c r="E60" s="2">
        <v>7.2336265884652987E-2</v>
      </c>
      <c r="F60" s="2">
        <v>7.1358748778103623E-2</v>
      </c>
      <c r="G60" s="2">
        <v>4.8875855327468231E-3</v>
      </c>
      <c r="H60" s="2"/>
      <c r="I60" s="2"/>
      <c r="J60" s="2"/>
      <c r="K60" s="2"/>
      <c r="L60" s="2">
        <v>0.999</v>
      </c>
      <c r="M60" s="2">
        <v>0.54838709677419351</v>
      </c>
      <c r="N60" s="2">
        <v>0.24926686217008798</v>
      </c>
      <c r="O60" s="2">
        <v>0.15347018572825025</v>
      </c>
      <c r="P60" s="2">
        <v>7.7223851417399805E-2</v>
      </c>
      <c r="Q60" s="2">
        <v>3.5190615835777123E-2</v>
      </c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</row>
    <row r="61" spans="1:33">
      <c r="A61" s="5">
        <f>A60+Calculations!$B$4</f>
        <v>118</v>
      </c>
      <c r="B61" s="2">
        <v>0.22482893450635386</v>
      </c>
      <c r="C61" s="2">
        <v>0.21603128054740958</v>
      </c>
      <c r="D61" s="2">
        <v>9.9706744868035185E-2</v>
      </c>
      <c r="E61" s="2">
        <v>0</v>
      </c>
      <c r="F61" s="2">
        <v>5.1808406647116327E-2</v>
      </c>
      <c r="G61" s="2">
        <v>7.331378299120235E-2</v>
      </c>
      <c r="H61" s="2"/>
      <c r="I61" s="2"/>
      <c r="J61" s="2"/>
      <c r="K61" s="2"/>
      <c r="L61" s="2">
        <v>0.999</v>
      </c>
      <c r="M61" s="2">
        <v>0.51710654936461387</v>
      </c>
      <c r="N61" s="2">
        <v>0.3040078201368524</v>
      </c>
      <c r="O61" s="2">
        <v>9.0909090909090912E-2</v>
      </c>
      <c r="P61" s="2">
        <v>9.579667644183773E-2</v>
      </c>
      <c r="Q61" s="2">
        <v>4.9853372434017593E-2</v>
      </c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</row>
    <row r="62" spans="1:33">
      <c r="A62" s="5">
        <f>A61+Calculations!$B$4</f>
        <v>120</v>
      </c>
      <c r="B62" s="2">
        <v>0.35874877810361683</v>
      </c>
      <c r="C62" s="2">
        <v>0.16520039100684261</v>
      </c>
      <c r="D62" s="2">
        <v>0.13978494623655913</v>
      </c>
      <c r="E62" s="2">
        <v>7.9178885630498533E-2</v>
      </c>
      <c r="F62" s="2">
        <v>4.9853372434017593E-2</v>
      </c>
      <c r="G62" s="2">
        <v>0</v>
      </c>
      <c r="H62" s="2"/>
      <c r="I62" s="2"/>
      <c r="J62" s="2"/>
      <c r="K62" s="2"/>
      <c r="L62" s="2">
        <v>0.999</v>
      </c>
      <c r="M62" s="2">
        <v>0.51515151515151514</v>
      </c>
      <c r="N62" s="2">
        <v>0.28836754643206258</v>
      </c>
      <c r="O62" s="2">
        <v>0.14467253176930597</v>
      </c>
      <c r="P62" s="2">
        <v>6.5493646138807426E-2</v>
      </c>
      <c r="Q62" s="2">
        <v>4.7898338220918865E-2</v>
      </c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</row>
    <row r="63" spans="1:33">
      <c r="A63" s="5">
        <f>A62+Calculations!$B$4</f>
        <v>122</v>
      </c>
      <c r="B63" s="2">
        <v>0.3460410557184751</v>
      </c>
      <c r="C63" s="2">
        <v>0.17888563049853373</v>
      </c>
      <c r="D63" s="2">
        <v>8.2111436950146624E-2</v>
      </c>
      <c r="E63" s="2">
        <v>9.9706744868035185E-2</v>
      </c>
      <c r="F63" s="2">
        <v>1.5640273704789834E-2</v>
      </c>
      <c r="G63" s="2">
        <v>3.2258064516129031E-2</v>
      </c>
      <c r="H63" s="2"/>
      <c r="I63" s="2"/>
      <c r="J63" s="2"/>
      <c r="K63" s="2"/>
      <c r="L63" s="2">
        <v>0.999</v>
      </c>
      <c r="M63" s="2">
        <v>0.5053763440860215</v>
      </c>
      <c r="N63" s="2">
        <v>0.26099706744868034</v>
      </c>
      <c r="O63" s="2">
        <v>0.14956011730205279</v>
      </c>
      <c r="P63" s="2">
        <v>7.5268817204301078E-2</v>
      </c>
      <c r="Q63" s="2">
        <v>5.6695992179863146E-2</v>
      </c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</row>
    <row r="64" spans="1:33">
      <c r="A64" s="5">
        <f>A63+Calculations!$B$4</f>
        <v>124</v>
      </c>
      <c r="B64" s="2">
        <v>0.27077223851417398</v>
      </c>
      <c r="C64" s="2">
        <v>0.12316715542521994</v>
      </c>
      <c r="D64" s="2">
        <v>0.11534701857282502</v>
      </c>
      <c r="E64" s="2">
        <v>6.2561094819159335E-2</v>
      </c>
      <c r="F64" s="2">
        <v>3.8123167155425221E-2</v>
      </c>
      <c r="G64" s="2">
        <v>2.5415444770283478E-2</v>
      </c>
      <c r="H64" s="2"/>
      <c r="I64" s="2"/>
      <c r="J64" s="2"/>
      <c r="K64" s="2"/>
      <c r="L64" s="2">
        <v>0.91300097751710652</v>
      </c>
      <c r="M64" s="2">
        <v>0.45845552297165199</v>
      </c>
      <c r="N64" s="2">
        <v>0.26588465298142716</v>
      </c>
      <c r="O64" s="2">
        <v>0.11534701857282502</v>
      </c>
      <c r="P64" s="2">
        <v>8.2111436950146624E-2</v>
      </c>
      <c r="Q64" s="2">
        <v>5.1808406647116327E-2</v>
      </c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</row>
    <row r="65" spans="1:33">
      <c r="A65" s="5">
        <f>A64+Calculations!$B$4</f>
        <v>126</v>
      </c>
      <c r="B65" s="2">
        <v>0.13000977517106549</v>
      </c>
      <c r="C65" s="2">
        <v>0.17399804496578691</v>
      </c>
      <c r="D65" s="2">
        <v>4.1055718475073312E-2</v>
      </c>
      <c r="E65" s="2">
        <v>5.0830889540566956E-2</v>
      </c>
      <c r="F65" s="2">
        <v>2.1505376344086023E-2</v>
      </c>
      <c r="G65" s="2">
        <v>2.7370478983382209E-2</v>
      </c>
      <c r="H65" s="2"/>
      <c r="I65" s="2"/>
      <c r="J65" s="2"/>
      <c r="K65" s="2"/>
      <c r="L65" s="2">
        <v>0.78201368523949166</v>
      </c>
      <c r="M65" s="2">
        <v>0.42326490713587489</v>
      </c>
      <c r="N65" s="2">
        <v>0.25708699902248289</v>
      </c>
      <c r="O65" s="2">
        <v>0.1270772238514174</v>
      </c>
      <c r="P65" s="2">
        <v>6.3538611925708699E-2</v>
      </c>
      <c r="Q65" s="2">
        <v>5.767350928641251E-2</v>
      </c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</row>
    <row r="66" spans="1:33">
      <c r="A66" s="5">
        <f>A65+Calculations!$B$4</f>
        <v>128</v>
      </c>
      <c r="B66" s="2">
        <v>0.20039100684261973</v>
      </c>
      <c r="C66" s="2">
        <v>0.1378299120234604</v>
      </c>
      <c r="D66" s="2">
        <v>7.8201368523949169E-2</v>
      </c>
      <c r="E66" s="2">
        <v>7.2336265884652987E-2</v>
      </c>
      <c r="F66" s="2">
        <v>4.8875855327468229E-2</v>
      </c>
      <c r="G66" s="2">
        <v>3.9100684261974585E-2</v>
      </c>
      <c r="H66" s="2"/>
      <c r="I66" s="2"/>
      <c r="J66" s="2"/>
      <c r="K66" s="2"/>
      <c r="L66" s="2">
        <v>0.66177908113391981</v>
      </c>
      <c r="M66" s="2">
        <v>0.20234604105571846</v>
      </c>
      <c r="N66" s="2">
        <v>0.29032258064516131</v>
      </c>
      <c r="O66" s="2">
        <v>7.1358748778103623E-2</v>
      </c>
      <c r="P66" s="2">
        <v>6.5493646138807426E-2</v>
      </c>
      <c r="Q66" s="2">
        <v>6.2561094819159335E-2</v>
      </c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</row>
    <row r="67" spans="1:33">
      <c r="A67" s="5">
        <f>A66+Calculations!$B$4</f>
        <v>130</v>
      </c>
      <c r="B67" s="2">
        <v>0.2101661779081134</v>
      </c>
      <c r="C67" s="2">
        <v>0.16031280547409579</v>
      </c>
      <c r="D67" s="2">
        <v>0.13685239491691104</v>
      </c>
      <c r="E67" s="2">
        <v>3.5190615835777123E-2</v>
      </c>
      <c r="F67" s="2">
        <v>3.5190615835777123E-2</v>
      </c>
      <c r="G67" s="2">
        <v>2.2482893450635387E-2</v>
      </c>
      <c r="H67" s="2"/>
      <c r="I67" s="2"/>
      <c r="J67" s="2"/>
      <c r="K67" s="2"/>
      <c r="L67" s="2">
        <v>0.7917888563049853</v>
      </c>
      <c r="M67" s="2">
        <v>0.32160312805474095</v>
      </c>
      <c r="N67" s="2">
        <v>0.2013685239491691</v>
      </c>
      <c r="O67" s="2">
        <v>0.13196480938416422</v>
      </c>
      <c r="P67" s="2">
        <v>6.1583577712609971E-2</v>
      </c>
      <c r="Q67" s="2">
        <v>1.3685239491691105E-2</v>
      </c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</row>
    <row r="68" spans="1:33">
      <c r="A68" s="5">
        <f>A67+Calculations!$B$4</f>
        <v>132</v>
      </c>
      <c r="B68" s="2">
        <v>0.22287390029325513</v>
      </c>
      <c r="C68" s="2">
        <v>0.16226783968719452</v>
      </c>
      <c r="D68" s="2">
        <v>0.13196480938416422</v>
      </c>
      <c r="E68" s="2">
        <v>6.2561094819159335E-2</v>
      </c>
      <c r="F68" s="2">
        <v>0</v>
      </c>
      <c r="G68" s="2">
        <v>2.4437927663734114E-2</v>
      </c>
      <c r="H68" s="2"/>
      <c r="I68" s="2"/>
      <c r="J68" s="2"/>
      <c r="K68" s="2"/>
      <c r="L68" s="2">
        <v>0.82795698924731187</v>
      </c>
      <c r="M68" s="2">
        <v>0.34799608993157383</v>
      </c>
      <c r="N68" s="2">
        <v>0.18279569892473119</v>
      </c>
      <c r="O68" s="2">
        <v>0.11925708699902249</v>
      </c>
      <c r="P68" s="2">
        <v>4.1055718475073312E-2</v>
      </c>
      <c r="Q68" s="2">
        <v>4.398826979472141E-2</v>
      </c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</row>
    <row r="69" spans="1:33">
      <c r="A69" s="5">
        <f>A68+Calculations!$B$4</f>
        <v>134</v>
      </c>
      <c r="B69" s="2">
        <v>0.17008797653958943</v>
      </c>
      <c r="C69" s="2">
        <v>4.6920821114369501E-2</v>
      </c>
      <c r="D69" s="2">
        <v>5.4740957966764418E-2</v>
      </c>
      <c r="E69" s="2">
        <v>4.7898338220918865E-2</v>
      </c>
      <c r="F69" s="2">
        <v>1.466275659824047E-2</v>
      </c>
      <c r="G69" s="2">
        <v>3.1280547409579668E-2</v>
      </c>
      <c r="H69" s="2"/>
      <c r="I69" s="2"/>
      <c r="J69" s="2"/>
      <c r="K69" s="2"/>
      <c r="L69" s="2">
        <v>0.61681329423264908</v>
      </c>
      <c r="M69" s="2">
        <v>0.3147605083088954</v>
      </c>
      <c r="N69" s="2">
        <v>0.1378299120234604</v>
      </c>
      <c r="O69" s="2">
        <v>0.10850439882697947</v>
      </c>
      <c r="P69" s="2">
        <v>7.4291300097751714E-2</v>
      </c>
      <c r="Q69" s="2">
        <v>4.2033235581622676E-2</v>
      </c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</row>
    <row r="70" spans="1:33">
      <c r="A70" s="5">
        <f>A69+Calculations!$B$4</f>
        <v>136</v>
      </c>
      <c r="B70" s="2">
        <v>0.19648093841642228</v>
      </c>
      <c r="C70" s="2">
        <v>0.18768328445747801</v>
      </c>
      <c r="D70" s="2">
        <v>6.8426197458455518E-2</v>
      </c>
      <c r="E70" s="2">
        <v>7.4291300097751714E-2</v>
      </c>
      <c r="F70" s="2">
        <v>3.1280547409579668E-2</v>
      </c>
      <c r="G70" s="2">
        <v>5.5718475073313782E-2</v>
      </c>
      <c r="H70" s="2"/>
      <c r="I70" s="2"/>
      <c r="J70" s="2"/>
      <c r="K70" s="2"/>
      <c r="L70" s="2">
        <v>0.62658846529814272</v>
      </c>
      <c r="M70" s="2">
        <v>0.31964809384164222</v>
      </c>
      <c r="N70" s="2">
        <v>0.11241446725317693</v>
      </c>
      <c r="O70" s="2">
        <v>0.10263929618768329</v>
      </c>
      <c r="P70" s="2">
        <v>9.579667644183773E-2</v>
      </c>
      <c r="Q70" s="2">
        <v>4.9853372434017593E-2</v>
      </c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</row>
    <row r="71" spans="1:33">
      <c r="A71" s="5">
        <f>A70+Calculations!$B$4</f>
        <v>138</v>
      </c>
      <c r="B71" s="2">
        <v>0.27956989247311825</v>
      </c>
      <c r="C71" s="2">
        <v>0.12903225806451613</v>
      </c>
      <c r="D71" s="2">
        <v>0.12316715542521994</v>
      </c>
      <c r="E71" s="2">
        <v>4.2033235581622676E-2</v>
      </c>
      <c r="F71" s="2">
        <v>4.398826979472141E-2</v>
      </c>
      <c r="G71" s="2">
        <v>3.9100684261974585E-3</v>
      </c>
      <c r="H71" s="2"/>
      <c r="I71" s="2"/>
      <c r="J71" s="2"/>
      <c r="K71" s="2"/>
      <c r="L71" s="2">
        <v>0.5513196480938416</v>
      </c>
      <c r="M71" s="2">
        <v>0.33822091886608013</v>
      </c>
      <c r="N71" s="2">
        <v>0.20625610948191594</v>
      </c>
      <c r="O71" s="2">
        <v>0.12023460410557185</v>
      </c>
      <c r="P71" s="2">
        <v>1.9550342130987292E-2</v>
      </c>
      <c r="Q71" s="2">
        <v>2.5415444770283478E-2</v>
      </c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</row>
    <row r="72" spans="1:33">
      <c r="A72" s="5">
        <f>A71+Calculations!$B$4</f>
        <v>140</v>
      </c>
      <c r="B72" s="2">
        <v>0.22385141739980449</v>
      </c>
      <c r="C72" s="2">
        <v>8.2111436950146624E-2</v>
      </c>
      <c r="D72" s="2">
        <v>5.865102639296188E-2</v>
      </c>
      <c r="E72" s="2">
        <v>6.0606060606060608E-2</v>
      </c>
      <c r="F72" s="2">
        <v>3.7145650048875857E-2</v>
      </c>
      <c r="G72" s="2">
        <v>4.6920821114369501E-2</v>
      </c>
      <c r="H72" s="2"/>
      <c r="I72" s="2"/>
      <c r="J72" s="2"/>
      <c r="K72" s="2"/>
      <c r="L72" s="2">
        <v>0.71652003910068429</v>
      </c>
      <c r="M72" s="2">
        <v>0.38807429130009774</v>
      </c>
      <c r="N72" s="2">
        <v>0.20039100684261973</v>
      </c>
      <c r="O72" s="2">
        <v>0.10948191593352884</v>
      </c>
      <c r="P72" s="2">
        <v>6.3538611925708699E-2</v>
      </c>
      <c r="Q72" s="2">
        <v>4.9853372434017593E-2</v>
      </c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</row>
    <row r="73" spans="1:33">
      <c r="A73" s="5">
        <f>A72+Calculations!$B$4</f>
        <v>142</v>
      </c>
      <c r="B73" s="2">
        <v>0.176930596285435</v>
      </c>
      <c r="C73" s="2">
        <v>0.1378299120234604</v>
      </c>
      <c r="D73" s="2">
        <v>4.398826979472141E-2</v>
      </c>
      <c r="E73" s="2">
        <v>2.932551319648094E-2</v>
      </c>
      <c r="F73" s="2">
        <v>0</v>
      </c>
      <c r="G73" s="2">
        <v>1.2707722385141739E-2</v>
      </c>
      <c r="H73" s="2"/>
      <c r="I73" s="2"/>
      <c r="J73" s="2"/>
      <c r="K73" s="2"/>
      <c r="L73" s="2">
        <v>0.61388074291300099</v>
      </c>
      <c r="M73" s="2">
        <v>0.23851417399804498</v>
      </c>
      <c r="N73" s="2">
        <v>0.14271749755620725</v>
      </c>
      <c r="O73" s="2">
        <v>6.5493646138807426E-2</v>
      </c>
      <c r="P73" s="2">
        <v>6.8426197458455518E-2</v>
      </c>
      <c r="Q73" s="2">
        <v>3.1280547409579668E-2</v>
      </c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</row>
    <row r="74" spans="1:33">
      <c r="A74" s="5">
        <f>A73+Calculations!$B$4</f>
        <v>144</v>
      </c>
      <c r="B74" s="2">
        <v>0.13196480938416422</v>
      </c>
      <c r="C74" s="2">
        <v>7.7223851417399805E-2</v>
      </c>
      <c r="D74" s="2">
        <v>0.16324535679374388</v>
      </c>
      <c r="E74" s="2">
        <v>9.8729227761485822E-2</v>
      </c>
      <c r="F74" s="2">
        <v>5.767350928641251E-2</v>
      </c>
      <c r="G74" s="2">
        <v>1.5640273704789834E-2</v>
      </c>
      <c r="H74" s="2"/>
      <c r="I74" s="2"/>
      <c r="J74" s="2"/>
      <c r="K74" s="2"/>
      <c r="L74" s="2">
        <v>0.57086999022482898</v>
      </c>
      <c r="M74" s="2">
        <v>0.29814271749755622</v>
      </c>
      <c r="N74" s="2">
        <v>0.10948191593352884</v>
      </c>
      <c r="O74" s="2">
        <v>6.647116324535679E-2</v>
      </c>
      <c r="P74" s="2">
        <v>6.1583577712609971E-2</v>
      </c>
      <c r="Q74" s="2">
        <v>2.5415444770283478E-2</v>
      </c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</row>
    <row r="75" spans="1:33">
      <c r="A75" s="5">
        <f>A74+Calculations!$B$4</f>
        <v>146</v>
      </c>
      <c r="B75" s="2">
        <v>0.13685239491691104</v>
      </c>
      <c r="C75" s="2">
        <v>5.4740957966764418E-2</v>
      </c>
      <c r="D75" s="2">
        <v>1.9550342130987292E-2</v>
      </c>
      <c r="E75" s="2">
        <v>6.4516129032258063E-2</v>
      </c>
      <c r="F75" s="2">
        <v>3.2258064516129031E-2</v>
      </c>
      <c r="G75" s="2">
        <v>9.7751710654936461E-3</v>
      </c>
      <c r="H75" s="2"/>
      <c r="I75" s="2"/>
      <c r="J75" s="2"/>
      <c r="K75" s="2"/>
      <c r="L75" s="2">
        <v>0.50830889540566959</v>
      </c>
      <c r="M75" s="2">
        <v>0.28445747800586513</v>
      </c>
      <c r="N75" s="2">
        <v>0.22971652003910067</v>
      </c>
      <c r="O75" s="2">
        <v>0.11730205278592376</v>
      </c>
      <c r="P75" s="2">
        <v>4.2033235581622676E-2</v>
      </c>
      <c r="Q75" s="2">
        <v>1.2707722385141739E-2</v>
      </c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</row>
    <row r="76" spans="1:33">
      <c r="A76" s="5">
        <f>A75+Calculations!$B$4</f>
        <v>148</v>
      </c>
      <c r="B76" s="2">
        <v>0.10654936461388075</v>
      </c>
      <c r="C76" s="2">
        <v>0.13000977517106549</v>
      </c>
      <c r="D76" s="2">
        <v>2.0527859237536656E-2</v>
      </c>
      <c r="E76" s="2">
        <v>4.0078201368523948E-2</v>
      </c>
      <c r="F76" s="2">
        <v>3.2258064516129031E-2</v>
      </c>
      <c r="G76" s="2">
        <v>0</v>
      </c>
      <c r="H76" s="2"/>
      <c r="I76" s="2"/>
      <c r="J76" s="2"/>
      <c r="K76" s="2"/>
      <c r="L76" s="2">
        <v>0.47800586510263932</v>
      </c>
      <c r="M76" s="2">
        <v>0.18475073313782991</v>
      </c>
      <c r="N76" s="2">
        <v>7.331378299120235E-2</v>
      </c>
      <c r="O76" s="2">
        <v>4.3010752688172046E-2</v>
      </c>
      <c r="P76" s="2">
        <v>4.398826979472141E-2</v>
      </c>
      <c r="Q76" s="2">
        <v>2.2482893450635387E-2</v>
      </c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</row>
    <row r="77" spans="1:33">
      <c r="A77" s="5">
        <f>A76+Calculations!$B$4</f>
        <v>150</v>
      </c>
      <c r="B77" s="2">
        <v>3.4213098729227759E-2</v>
      </c>
      <c r="C77" s="2">
        <v>0.10459433040078202</v>
      </c>
      <c r="D77" s="2">
        <v>4.0078201368523948E-2</v>
      </c>
      <c r="E77" s="2">
        <v>8.4066471163245352E-2</v>
      </c>
      <c r="F77" s="2">
        <v>4.4965786901270774E-2</v>
      </c>
      <c r="G77" s="2">
        <v>2.8347996089931573E-2</v>
      </c>
      <c r="H77" s="2"/>
      <c r="I77" s="2"/>
      <c r="J77" s="2"/>
      <c r="K77" s="2"/>
      <c r="L77" s="2">
        <v>0.4418377321603128</v>
      </c>
      <c r="M77" s="2">
        <v>0.31671554252199413</v>
      </c>
      <c r="N77" s="2">
        <v>0.13880742913000976</v>
      </c>
      <c r="O77" s="2">
        <v>4.398826979472141E-2</v>
      </c>
      <c r="P77" s="2">
        <v>1.8572825024437929E-2</v>
      </c>
      <c r="Q77" s="2">
        <v>4.6920821114369501E-2</v>
      </c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</row>
    <row r="78" spans="1:33">
      <c r="A78" s="5">
        <f>A77+Calculations!$B$4</f>
        <v>152</v>
      </c>
      <c r="B78" s="2">
        <v>0.20625610948191594</v>
      </c>
      <c r="C78" s="2">
        <v>0.15640273704789834</v>
      </c>
      <c r="D78" s="2">
        <v>6.4516129032258063E-2</v>
      </c>
      <c r="E78" s="2">
        <v>3.0303030303030304E-2</v>
      </c>
      <c r="F78" s="2">
        <v>4.7898338220918865E-2</v>
      </c>
      <c r="G78" s="2">
        <v>2.932551319648094E-2</v>
      </c>
      <c r="H78" s="2"/>
      <c r="I78" s="2"/>
      <c r="J78" s="2"/>
      <c r="K78" s="2"/>
      <c r="L78" s="2">
        <v>0.45356793743890517</v>
      </c>
      <c r="M78" s="2">
        <v>0.22385141739980449</v>
      </c>
      <c r="N78" s="2">
        <v>0.1378299120234604</v>
      </c>
      <c r="O78" s="2">
        <v>8.3088954056695988E-2</v>
      </c>
      <c r="P78" s="2">
        <v>0</v>
      </c>
      <c r="Q78" s="2">
        <v>2.4437927663734114E-2</v>
      </c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</row>
    <row r="79" spans="1:33">
      <c r="A79" s="5">
        <f>A78+Calculations!$B$4</f>
        <v>154</v>
      </c>
      <c r="B79" s="2">
        <v>7.0381231671554245E-2</v>
      </c>
      <c r="C79" s="2">
        <v>6.4516129032258063E-2</v>
      </c>
      <c r="D79" s="2">
        <v>2.4437927663734114E-2</v>
      </c>
      <c r="E79" s="2">
        <v>3.7145650048875857E-2</v>
      </c>
      <c r="F79" s="2">
        <v>1.8572825024437929E-2</v>
      </c>
      <c r="G79" s="2">
        <v>4.4965786901270774E-2</v>
      </c>
      <c r="H79" s="2"/>
      <c r="I79" s="2"/>
      <c r="J79" s="2"/>
      <c r="K79" s="2"/>
      <c r="L79" s="2">
        <v>0.40664711632453565</v>
      </c>
      <c r="M79" s="2">
        <v>0.19159335288367546</v>
      </c>
      <c r="N79" s="2">
        <v>7.2336265884652987E-2</v>
      </c>
      <c r="O79" s="2">
        <v>8.2111436950146624E-2</v>
      </c>
      <c r="P79" s="2">
        <v>5.5718475073313782E-2</v>
      </c>
      <c r="Q79" s="2">
        <v>3.4213098729227759E-2</v>
      </c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</row>
    <row r="80" spans="1:33">
      <c r="A80" s="5">
        <f>A79+Calculations!$B$4</f>
        <v>156</v>
      </c>
      <c r="B80" s="2">
        <v>8.5043988269794715E-2</v>
      </c>
      <c r="C80" s="2">
        <v>0.14369501466275661</v>
      </c>
      <c r="D80" s="2">
        <v>1.2707722385141739E-2</v>
      </c>
      <c r="E80" s="2">
        <v>2.4437927663734114E-2</v>
      </c>
      <c r="F80" s="2">
        <v>5.8651026392961877E-3</v>
      </c>
      <c r="G80" s="2">
        <v>6.8426197458455523E-3</v>
      </c>
      <c r="H80" s="2"/>
      <c r="I80" s="2"/>
      <c r="J80" s="2"/>
      <c r="K80" s="2"/>
      <c r="L80" s="2">
        <v>0.46138807429130008</v>
      </c>
      <c r="M80" s="2">
        <v>0.18768328445747801</v>
      </c>
      <c r="N80" s="2">
        <v>0.14858260019550343</v>
      </c>
      <c r="O80" s="2">
        <v>0.11632453567937438</v>
      </c>
      <c r="P80" s="2">
        <v>6.647116324535679E-2</v>
      </c>
      <c r="Q80" s="2">
        <v>3.3235581622678395E-2</v>
      </c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</row>
    <row r="81" spans="1:33">
      <c r="A81" s="5">
        <f>A80+Calculations!$B$4</f>
        <v>158</v>
      </c>
      <c r="B81" s="2">
        <v>0.17106549364613879</v>
      </c>
      <c r="C81" s="2">
        <v>1.8572825024437929E-2</v>
      </c>
      <c r="D81" s="2">
        <v>9.9706744868035185E-2</v>
      </c>
      <c r="E81" s="2">
        <v>6.0606060606060608E-2</v>
      </c>
      <c r="F81" s="2">
        <v>3.4213098729227759E-2</v>
      </c>
      <c r="G81" s="2">
        <v>2.6392961876832845E-2</v>
      </c>
      <c r="H81" s="2"/>
      <c r="I81" s="2"/>
      <c r="J81" s="2"/>
      <c r="K81" s="2"/>
      <c r="L81" s="2">
        <v>0.44770283479960898</v>
      </c>
      <c r="M81" s="2">
        <v>0.22776148582600195</v>
      </c>
      <c r="N81" s="2">
        <v>9.4819159335288367E-2</v>
      </c>
      <c r="O81" s="2">
        <v>6.7448680351906154E-2</v>
      </c>
      <c r="P81" s="2">
        <v>3.5190615835777123E-2</v>
      </c>
      <c r="Q81" s="2">
        <v>4.2033235581622676E-2</v>
      </c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</row>
    <row r="82" spans="1:33">
      <c r="A82" s="5">
        <f>A81+Calculations!$B$4</f>
        <v>160</v>
      </c>
      <c r="B82" s="2">
        <v>0.21309872922776149</v>
      </c>
      <c r="C82" s="2">
        <v>2.4437927663734114E-2</v>
      </c>
      <c r="D82" s="2">
        <v>0.1466275659824047</v>
      </c>
      <c r="E82" s="2">
        <v>8.9931573802541548E-2</v>
      </c>
      <c r="F82" s="2">
        <v>0</v>
      </c>
      <c r="G82" s="2">
        <v>3.2258064516129031E-2</v>
      </c>
      <c r="H82" s="2"/>
      <c r="I82" s="2"/>
      <c r="J82" s="2"/>
      <c r="K82" s="2"/>
      <c r="L82" s="2">
        <v>0.35092864125122192</v>
      </c>
      <c r="M82" s="2">
        <v>0.18475073313782991</v>
      </c>
      <c r="N82" s="2">
        <v>8.2111436950146624E-2</v>
      </c>
      <c r="O82" s="2">
        <v>8.4066471163245352E-2</v>
      </c>
      <c r="P82" s="2">
        <v>5.865102639296188E-2</v>
      </c>
      <c r="Q82" s="2">
        <v>1.9550342130987292E-2</v>
      </c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</row>
    <row r="83" spans="1:33">
      <c r="A83" s="34" t="s">
        <v>24</v>
      </c>
      <c r="B83">
        <v>5.46875E-2</v>
      </c>
      <c r="C83">
        <v>5.46875E-2</v>
      </c>
      <c r="D83">
        <v>5.46875E-2</v>
      </c>
      <c r="E83">
        <v>5.46875E-2</v>
      </c>
      <c r="F83">
        <v>5.46875E-2</v>
      </c>
      <c r="G83">
        <v>5.46875E-2</v>
      </c>
      <c r="L83">
        <v>5.46875E-2</v>
      </c>
      <c r="M83">
        <v>5.46875E-2</v>
      </c>
      <c r="N83">
        <v>5.46875E-2</v>
      </c>
      <c r="O83">
        <v>5.46875E-2</v>
      </c>
      <c r="P83">
        <v>5.46875E-2</v>
      </c>
      <c r="Q83">
        <v>5.46875E-2</v>
      </c>
    </row>
    <row r="84" spans="1:33">
      <c r="A84" s="5"/>
      <c r="B84" s="35" t="str">
        <f t="shared" ref="B84:AG84" si="17">DEC2HEX(B83*128+192,2)</f>
        <v>C7</v>
      </c>
      <c r="C84" s="30" t="str">
        <f t="shared" si="17"/>
        <v>C7</v>
      </c>
      <c r="D84" s="35" t="str">
        <f t="shared" si="17"/>
        <v>C7</v>
      </c>
      <c r="E84" s="35" t="str">
        <f t="shared" si="17"/>
        <v>C7</v>
      </c>
      <c r="F84" s="35" t="str">
        <f t="shared" si="17"/>
        <v>C7</v>
      </c>
      <c r="G84" s="35" t="str">
        <f t="shared" si="17"/>
        <v>C7</v>
      </c>
      <c r="H84" s="35" t="str">
        <f t="shared" si="17"/>
        <v>C0</v>
      </c>
      <c r="I84" s="35" t="str">
        <f t="shared" si="17"/>
        <v>C0</v>
      </c>
      <c r="J84" s="35" t="str">
        <f t="shared" si="17"/>
        <v>C0</v>
      </c>
      <c r="K84" s="35" t="str">
        <f t="shared" si="17"/>
        <v>C0</v>
      </c>
      <c r="L84" s="35" t="str">
        <f t="shared" si="17"/>
        <v>C7</v>
      </c>
      <c r="M84" s="35" t="str">
        <f t="shared" si="17"/>
        <v>C7</v>
      </c>
      <c r="N84" s="35" t="str">
        <f t="shared" si="17"/>
        <v>C7</v>
      </c>
      <c r="O84" s="35" t="str">
        <f t="shared" si="17"/>
        <v>C7</v>
      </c>
      <c r="P84" s="35" t="str">
        <f t="shared" si="17"/>
        <v>C7</v>
      </c>
      <c r="Q84" s="35" t="str">
        <f t="shared" si="17"/>
        <v>C7</v>
      </c>
      <c r="R84" s="35" t="str">
        <f t="shared" si="17"/>
        <v>C0</v>
      </c>
      <c r="S84" s="35" t="str">
        <f t="shared" si="17"/>
        <v>C0</v>
      </c>
      <c r="T84" s="35" t="str">
        <f t="shared" si="17"/>
        <v>C0</v>
      </c>
      <c r="U84" s="35" t="str">
        <f t="shared" si="17"/>
        <v>C0</v>
      </c>
      <c r="V84" s="35" t="str">
        <f t="shared" si="17"/>
        <v>C0</v>
      </c>
      <c r="W84" s="35" t="str">
        <f t="shared" si="17"/>
        <v>C0</v>
      </c>
      <c r="X84" s="35" t="str">
        <f t="shared" si="17"/>
        <v>C0</v>
      </c>
      <c r="Y84" s="35" t="str">
        <f t="shared" si="17"/>
        <v>C0</v>
      </c>
      <c r="Z84" s="35" t="str">
        <f t="shared" si="17"/>
        <v>C0</v>
      </c>
      <c r="AA84" s="35" t="str">
        <f t="shared" si="17"/>
        <v>C0</v>
      </c>
      <c r="AB84" s="35" t="str">
        <f t="shared" si="17"/>
        <v>C0</v>
      </c>
      <c r="AC84" s="35" t="str">
        <f t="shared" si="17"/>
        <v>C0</v>
      </c>
      <c r="AD84" s="35" t="str">
        <f t="shared" si="17"/>
        <v>C0</v>
      </c>
      <c r="AE84" s="35" t="str">
        <f t="shared" si="17"/>
        <v>C0</v>
      </c>
      <c r="AF84" s="35" t="str">
        <f t="shared" si="17"/>
        <v>C0</v>
      </c>
      <c r="AG84" s="35" t="str">
        <f t="shared" si="17"/>
        <v>C0</v>
      </c>
    </row>
    <row r="85" spans="1:33">
      <c r="A85" s="5"/>
    </row>
    <row r="86" spans="1:33">
      <c r="A86" s="5"/>
    </row>
    <row r="87" spans="1:33">
      <c r="A87" s="5"/>
    </row>
    <row r="88" spans="1:33">
      <c r="A88" s="5"/>
    </row>
    <row r="89" spans="1:33">
      <c r="A89" s="5"/>
    </row>
    <row r="90" spans="1:33">
      <c r="A90" s="5"/>
    </row>
    <row r="91" spans="1:33">
      <c r="A91" s="5"/>
    </row>
    <row r="92" spans="1:33">
      <c r="A92" s="5"/>
    </row>
    <row r="93" spans="1:33">
      <c r="A93" s="5"/>
    </row>
    <row r="94" spans="1:33">
      <c r="A94" s="5"/>
    </row>
    <row r="95" spans="1:33">
      <c r="A95" s="5"/>
    </row>
    <row r="96" spans="1:33">
      <c r="A96" s="5"/>
    </row>
    <row r="97" spans="1:1">
      <c r="A97" s="5"/>
    </row>
    <row r="98" spans="1:1">
      <c r="A98" s="5"/>
    </row>
    <row r="99" spans="1:1">
      <c r="A99" s="5"/>
    </row>
    <row r="100" spans="1:1">
      <c r="A100" s="5"/>
    </row>
    <row r="101" spans="1:1">
      <c r="A101" s="5"/>
    </row>
    <row r="102" spans="1:1">
      <c r="A102" s="5"/>
    </row>
    <row r="103" spans="1:1">
      <c r="A103" s="5"/>
    </row>
    <row r="104" spans="1:1">
      <c r="A104" s="5"/>
    </row>
    <row r="105" spans="1:1">
      <c r="A105" s="5"/>
    </row>
    <row r="106" spans="1:1">
      <c r="A106" s="5"/>
    </row>
    <row r="107" spans="1:1">
      <c r="A107" s="5"/>
    </row>
    <row r="108" spans="1:1">
      <c r="A108" s="5"/>
    </row>
    <row r="109" spans="1:1">
      <c r="A109" s="5"/>
    </row>
    <row r="110" spans="1:1">
      <c r="A110" s="5"/>
    </row>
    <row r="111" spans="1:1">
      <c r="A111" s="5"/>
    </row>
    <row r="112" spans="1:1">
      <c r="A112" s="5"/>
    </row>
    <row r="113" spans="1:1">
      <c r="A113" s="5"/>
    </row>
    <row r="114" spans="1:1">
      <c r="A114" s="5"/>
    </row>
    <row r="115" spans="1:1">
      <c r="A115" s="5"/>
    </row>
    <row r="116" spans="1:1">
      <c r="A116" s="5"/>
    </row>
    <row r="117" spans="1:1">
      <c r="A117" s="5"/>
    </row>
    <row r="118" spans="1:1">
      <c r="A118" s="5"/>
    </row>
    <row r="119" spans="1:1">
      <c r="A119" s="5"/>
    </row>
    <row r="120" spans="1:1">
      <c r="A120" s="5"/>
    </row>
    <row r="121" spans="1:1">
      <c r="A121" s="5"/>
    </row>
    <row r="122" spans="1:1">
      <c r="A122" s="5"/>
    </row>
    <row r="123" spans="1:1">
      <c r="A123" s="5"/>
    </row>
    <row r="124" spans="1:1">
      <c r="A124" s="5"/>
    </row>
    <row r="125" spans="1:1">
      <c r="A125" s="5"/>
    </row>
    <row r="126" spans="1:1">
      <c r="A126" s="5"/>
    </row>
    <row r="127" spans="1:1">
      <c r="A127" s="5"/>
    </row>
    <row r="128" spans="1:1">
      <c r="A128" s="5"/>
    </row>
    <row r="129" spans="1:1">
      <c r="A129" s="5"/>
    </row>
    <row r="130" spans="1:1">
      <c r="A130" s="5"/>
    </row>
    <row r="131" spans="1:1">
      <c r="A131" s="5"/>
    </row>
    <row r="132" spans="1:1">
      <c r="A132" s="5"/>
    </row>
    <row r="133" spans="1:1">
      <c r="A133" s="5"/>
    </row>
    <row r="134" spans="1:1">
      <c r="A134" s="5"/>
    </row>
    <row r="135" spans="1:1">
      <c r="A135" s="5"/>
    </row>
    <row r="136" spans="1:1">
      <c r="A136" s="5"/>
    </row>
    <row r="137" spans="1:1">
      <c r="A137" s="5"/>
    </row>
    <row r="138" spans="1:1">
      <c r="A138" s="5"/>
    </row>
    <row r="139" spans="1:1">
      <c r="A139" s="5"/>
    </row>
    <row r="140" spans="1:1">
      <c r="A140" s="5"/>
    </row>
    <row r="141" spans="1:1">
      <c r="A141" s="5"/>
    </row>
    <row r="142" spans="1:1">
      <c r="A142" s="5"/>
    </row>
    <row r="143" spans="1:1">
      <c r="A143" s="5"/>
    </row>
    <row r="144" spans="1:1">
      <c r="A144" s="5"/>
    </row>
    <row r="145" spans="1:1">
      <c r="A145" s="5"/>
    </row>
    <row r="146" spans="1:1">
      <c r="A146" s="5"/>
    </row>
    <row r="147" spans="1:1">
      <c r="A147" s="5"/>
    </row>
    <row r="148" spans="1:1">
      <c r="A148" s="5"/>
    </row>
    <row r="149" spans="1:1">
      <c r="A149" s="5"/>
    </row>
    <row r="150" spans="1:1">
      <c r="A150" s="5"/>
    </row>
    <row r="151" spans="1:1">
      <c r="A151" s="5"/>
    </row>
    <row r="152" spans="1:1">
      <c r="A152" s="5"/>
    </row>
    <row r="153" spans="1:1">
      <c r="A153" s="5"/>
    </row>
    <row r="154" spans="1:1">
      <c r="A154" s="5"/>
    </row>
    <row r="155" spans="1:1">
      <c r="A155" s="5"/>
    </row>
    <row r="156" spans="1:1">
      <c r="A156" s="5"/>
    </row>
    <row r="157" spans="1:1">
      <c r="A157" s="5"/>
    </row>
    <row r="158" spans="1:1">
      <c r="A158" s="5"/>
    </row>
    <row r="159" spans="1:1">
      <c r="A159" s="5"/>
    </row>
    <row r="160" spans="1:1">
      <c r="A160" s="5"/>
    </row>
    <row r="161" spans="1:1">
      <c r="A161" s="5"/>
    </row>
    <row r="162" spans="1:1">
      <c r="A162" s="5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AG162"/>
  <sheetViews>
    <sheetView zoomScale="80" zoomScaleNormal="80" workbookViewId="0">
      <pane ySplit="8160" topLeftCell="A79"/>
      <selection activeCell="AL13" sqref="AL13"/>
      <selection pane="bottomLeft" activeCell="F86" sqref="F86"/>
    </sheetView>
  </sheetViews>
  <sheetFormatPr defaultRowHeight="15"/>
  <cols>
    <col min="1" max="1" width="13" bestFit="1" customWidth="1"/>
    <col min="2" max="5" width="6" customWidth="1"/>
    <col min="6" max="6" width="7.42578125" bestFit="1" customWidth="1"/>
    <col min="7" max="10" width="6" customWidth="1"/>
    <col min="11" max="11" width="7.42578125" bestFit="1" customWidth="1"/>
    <col min="12" max="15" width="6" customWidth="1"/>
    <col min="16" max="16" width="7.42578125" bestFit="1" customWidth="1"/>
    <col min="17" max="19" width="6" customWidth="1"/>
    <col min="20" max="20" width="7.42578125" customWidth="1"/>
    <col min="21" max="23" width="6" customWidth="1"/>
    <col min="24" max="24" width="7.42578125" customWidth="1"/>
    <col min="25" max="33" width="6" customWidth="1"/>
  </cols>
  <sheetData>
    <row r="1" spans="1:33">
      <c r="A1">
        <f>data1!A1/2</f>
        <v>62.5</v>
      </c>
      <c r="B1">
        <v>8</v>
      </c>
      <c r="C1">
        <f>B1/2</f>
        <v>4</v>
      </c>
      <c r="D1">
        <f t="shared" ref="D1:E1" si="0">C1/2</f>
        <v>2</v>
      </c>
      <c r="E1">
        <f t="shared" si="0"/>
        <v>1</v>
      </c>
      <c r="F1" t="s">
        <v>30</v>
      </c>
      <c r="G1">
        <v>8</v>
      </c>
      <c r="H1">
        <f>G1/2</f>
        <v>4</v>
      </c>
      <c r="I1">
        <f t="shared" ref="I1:J1" si="1">H1/2</f>
        <v>2</v>
      </c>
      <c r="J1">
        <f t="shared" si="1"/>
        <v>1</v>
      </c>
      <c r="K1" t="s">
        <v>31</v>
      </c>
      <c r="L1">
        <v>8</v>
      </c>
      <c r="M1">
        <f>L1/2</f>
        <v>4</v>
      </c>
      <c r="N1">
        <f t="shared" ref="N1:O1" si="2">M1/2</f>
        <v>2</v>
      </c>
      <c r="O1">
        <f t="shared" si="2"/>
        <v>1</v>
      </c>
      <c r="P1" t="s">
        <v>32</v>
      </c>
      <c r="Q1">
        <v>4</v>
      </c>
      <c r="R1">
        <f t="shared" ref="R1:S1" si="3">Q1/2</f>
        <v>2</v>
      </c>
      <c r="S1">
        <f t="shared" si="3"/>
        <v>1</v>
      </c>
      <c r="T1" t="s">
        <v>33</v>
      </c>
      <c r="U1">
        <v>4</v>
      </c>
      <c r="V1">
        <f t="shared" ref="V1:W1" si="4">U1/2</f>
        <v>2</v>
      </c>
      <c r="W1">
        <f t="shared" si="4"/>
        <v>1</v>
      </c>
      <c r="X1" t="s">
        <v>34</v>
      </c>
      <c r="Y1">
        <v>4</v>
      </c>
      <c r="Z1">
        <f t="shared" ref="Z1:AA1" si="5">Y1/2</f>
        <v>2</v>
      </c>
      <c r="AA1">
        <f t="shared" si="5"/>
        <v>1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</row>
    <row r="2" spans="1:33">
      <c r="A2" s="5">
        <f>Calculations!B3</f>
        <v>0</v>
      </c>
      <c r="B2" s="2">
        <v>0.999</v>
      </c>
      <c r="C2" s="2">
        <v>0.999</v>
      </c>
      <c r="D2" s="2">
        <v>0.68719452590420327</v>
      </c>
      <c r="E2" s="2">
        <v>0.37634408602150538</v>
      </c>
      <c r="F2" s="2"/>
      <c r="G2" s="2">
        <v>0.999</v>
      </c>
      <c r="H2" s="2">
        <v>0.999</v>
      </c>
      <c r="I2" s="2">
        <v>0.87096774193548387</v>
      </c>
      <c r="J2" s="2">
        <v>0.4525904203323558</v>
      </c>
      <c r="K2" s="2"/>
      <c r="L2" s="2">
        <v>0.999</v>
      </c>
      <c r="M2" s="2">
        <v>0.999</v>
      </c>
      <c r="N2" s="2">
        <v>0.999</v>
      </c>
      <c r="O2" s="2">
        <v>0.52785923753665687</v>
      </c>
      <c r="P2" s="2"/>
      <c r="Q2" s="2">
        <v>0.999</v>
      </c>
      <c r="R2" s="2">
        <v>0.999</v>
      </c>
      <c r="S2" s="2">
        <v>0.60606060606060608</v>
      </c>
      <c r="T2" s="2"/>
      <c r="U2" s="2">
        <v>0.999</v>
      </c>
      <c r="V2" s="2">
        <v>0.999</v>
      </c>
      <c r="W2" s="2">
        <v>0.65689149560117299</v>
      </c>
      <c r="X2" s="2"/>
      <c r="Y2" s="2">
        <v>0.999</v>
      </c>
      <c r="Z2" s="2">
        <v>0.999</v>
      </c>
      <c r="AA2" s="2">
        <v>0.73118279569892475</v>
      </c>
      <c r="AB2" s="2"/>
      <c r="AC2" s="2"/>
      <c r="AD2" s="2"/>
      <c r="AE2" s="2"/>
      <c r="AF2" s="2"/>
      <c r="AG2" s="2"/>
    </row>
    <row r="3" spans="1:33">
      <c r="A3" s="5">
        <f>A2+Calculations!$B$4</f>
        <v>2</v>
      </c>
      <c r="B3" s="2">
        <v>0.999</v>
      </c>
      <c r="C3" s="2">
        <v>0.999</v>
      </c>
      <c r="D3" s="2">
        <v>0.999</v>
      </c>
      <c r="E3" s="2">
        <v>0.999</v>
      </c>
      <c r="F3" s="2"/>
      <c r="G3" s="2">
        <v>0.999</v>
      </c>
      <c r="H3" s="2">
        <v>0.999</v>
      </c>
      <c r="I3" s="2">
        <v>0.999</v>
      </c>
      <c r="J3" s="2">
        <v>0.999</v>
      </c>
      <c r="K3" s="2"/>
      <c r="L3" s="2">
        <v>0.999</v>
      </c>
      <c r="M3" s="2">
        <v>0.999</v>
      </c>
      <c r="N3" s="2">
        <v>0.999</v>
      </c>
      <c r="O3" s="2">
        <v>0.999</v>
      </c>
      <c r="P3" s="2"/>
      <c r="Q3" s="2">
        <v>0.999</v>
      </c>
      <c r="R3" s="2">
        <v>0.999</v>
      </c>
      <c r="S3" s="2">
        <v>0.999</v>
      </c>
      <c r="T3" s="2" t="s">
        <v>28</v>
      </c>
      <c r="U3" s="2">
        <v>0.999</v>
      </c>
      <c r="V3" s="2">
        <v>0.999</v>
      </c>
      <c r="W3" s="2">
        <v>0.999</v>
      </c>
      <c r="X3" s="2"/>
      <c r="Y3" s="2">
        <v>0.999</v>
      </c>
      <c r="Z3" s="2">
        <v>0.999</v>
      </c>
      <c r="AA3" s="2">
        <v>0.999</v>
      </c>
      <c r="AB3" s="2"/>
      <c r="AC3" s="2"/>
      <c r="AD3" s="2"/>
      <c r="AE3" s="2"/>
      <c r="AF3" s="2"/>
      <c r="AG3" s="2"/>
    </row>
    <row r="4" spans="1:33">
      <c r="A4" s="5">
        <f>A3+Calculations!$B$4</f>
        <v>4</v>
      </c>
      <c r="B4" s="2">
        <v>0.999</v>
      </c>
      <c r="C4" s="2">
        <v>0.999</v>
      </c>
      <c r="D4" s="2">
        <v>0.999</v>
      </c>
      <c r="E4" s="2">
        <v>0.999</v>
      </c>
      <c r="F4" s="2"/>
      <c r="G4" s="2">
        <v>0.999</v>
      </c>
      <c r="H4" s="2">
        <v>0.999</v>
      </c>
      <c r="I4" s="2">
        <v>0.999</v>
      </c>
      <c r="J4" s="2">
        <v>0.999</v>
      </c>
      <c r="K4" s="2"/>
      <c r="L4" s="2">
        <v>0.999</v>
      </c>
      <c r="M4" s="2">
        <v>0.999</v>
      </c>
      <c r="N4" s="2">
        <v>0.999</v>
      </c>
      <c r="O4" s="2">
        <v>0.999</v>
      </c>
      <c r="P4" s="2"/>
      <c r="Q4" s="2">
        <v>0.999</v>
      </c>
      <c r="R4" s="2">
        <v>0.999</v>
      </c>
      <c r="S4" s="2">
        <v>0.999</v>
      </c>
      <c r="T4" s="2"/>
      <c r="U4" s="2">
        <v>0.999</v>
      </c>
      <c r="V4" s="2">
        <v>0.999</v>
      </c>
      <c r="W4" s="2">
        <v>0.999</v>
      </c>
      <c r="X4" s="2"/>
      <c r="Y4" s="2">
        <v>0.999</v>
      </c>
      <c r="Z4" s="2">
        <v>0.999</v>
      </c>
      <c r="AA4" s="2">
        <v>0.999</v>
      </c>
      <c r="AB4" s="2"/>
      <c r="AC4" s="2"/>
      <c r="AD4" s="2"/>
      <c r="AE4" s="2"/>
      <c r="AF4" s="2"/>
      <c r="AG4" s="2"/>
    </row>
    <row r="5" spans="1:33">
      <c r="A5" s="5">
        <f>A4+Calculations!$B$4</f>
        <v>6</v>
      </c>
      <c r="B5" s="2">
        <v>0.999</v>
      </c>
      <c r="C5" s="2">
        <v>0.999</v>
      </c>
      <c r="D5" s="2">
        <v>0.999</v>
      </c>
      <c r="E5" s="2">
        <v>0.999</v>
      </c>
      <c r="F5" s="2"/>
      <c r="G5" s="2">
        <v>0.999</v>
      </c>
      <c r="H5" s="2">
        <v>0.999</v>
      </c>
      <c r="I5" s="2">
        <v>0.999</v>
      </c>
      <c r="J5" s="2">
        <v>0.999</v>
      </c>
      <c r="K5" s="2"/>
      <c r="L5" s="2">
        <v>0.999</v>
      </c>
      <c r="M5" s="2">
        <v>0.999</v>
      </c>
      <c r="N5" s="2">
        <v>0.999</v>
      </c>
      <c r="O5" s="2">
        <v>0.999</v>
      </c>
      <c r="P5" s="2"/>
      <c r="Q5" s="2">
        <v>0.999</v>
      </c>
      <c r="R5" s="2">
        <v>0.999</v>
      </c>
      <c r="S5" s="2">
        <v>0.999</v>
      </c>
      <c r="T5" s="2"/>
      <c r="U5" s="2">
        <v>0.999</v>
      </c>
      <c r="V5" s="2">
        <v>0.999</v>
      </c>
      <c r="W5" s="2">
        <v>0.999</v>
      </c>
      <c r="X5" s="2"/>
      <c r="Y5" s="2">
        <v>0.999</v>
      </c>
      <c r="Z5" s="2">
        <v>0.999</v>
      </c>
      <c r="AA5" s="2">
        <v>0.999</v>
      </c>
      <c r="AB5" s="2"/>
      <c r="AC5" s="2"/>
      <c r="AD5" s="2"/>
      <c r="AE5" s="2"/>
      <c r="AF5" s="2"/>
      <c r="AG5" s="2"/>
    </row>
    <row r="6" spans="1:33">
      <c r="A6" s="5">
        <f>A5+Calculations!$B$4</f>
        <v>8</v>
      </c>
      <c r="B6" s="2">
        <v>0.999</v>
      </c>
      <c r="C6" s="2">
        <v>0.999</v>
      </c>
      <c r="D6" s="2">
        <v>0.999</v>
      </c>
      <c r="E6" s="2">
        <v>0.999</v>
      </c>
      <c r="F6" s="2"/>
      <c r="G6" s="2">
        <v>0.999</v>
      </c>
      <c r="H6" s="2">
        <v>0.999</v>
      </c>
      <c r="I6" s="2">
        <v>0.999</v>
      </c>
      <c r="J6" s="2">
        <v>0.999</v>
      </c>
      <c r="K6" s="2"/>
      <c r="L6" s="2">
        <v>0.999</v>
      </c>
      <c r="M6" s="2">
        <v>0.999</v>
      </c>
      <c r="N6" s="2">
        <v>0.999</v>
      </c>
      <c r="O6" s="2">
        <v>0.999</v>
      </c>
      <c r="P6" s="2"/>
      <c r="Q6" s="2">
        <v>0.999</v>
      </c>
      <c r="R6" s="2">
        <v>0.999</v>
      </c>
      <c r="S6" s="2">
        <v>0.999</v>
      </c>
      <c r="T6" s="2"/>
      <c r="U6" s="2">
        <v>0.999</v>
      </c>
      <c r="V6" s="2">
        <v>0.999</v>
      </c>
      <c r="W6" s="2">
        <v>0.999</v>
      </c>
      <c r="X6" s="2"/>
      <c r="Y6" s="2">
        <v>0.999</v>
      </c>
      <c r="Z6" s="2">
        <v>0.999</v>
      </c>
      <c r="AA6" s="2">
        <v>0.999</v>
      </c>
      <c r="AB6" s="2"/>
      <c r="AC6" s="2"/>
      <c r="AD6" s="2"/>
      <c r="AE6" s="2"/>
      <c r="AF6" s="2"/>
      <c r="AG6" s="2"/>
    </row>
    <row r="7" spans="1:33">
      <c r="A7" s="5">
        <f>A6+Calculations!$B$4</f>
        <v>10</v>
      </c>
      <c r="B7" s="2">
        <v>0.999</v>
      </c>
      <c r="C7" s="2">
        <v>0.999</v>
      </c>
      <c r="D7" s="2">
        <v>0.999</v>
      </c>
      <c r="E7" s="2">
        <v>0.7595307917888563</v>
      </c>
      <c r="F7" s="2"/>
      <c r="G7" s="2">
        <v>0.999</v>
      </c>
      <c r="H7" s="2">
        <v>0.999</v>
      </c>
      <c r="I7" s="2">
        <v>0.999</v>
      </c>
      <c r="J7" s="2">
        <v>0.79081133919843594</v>
      </c>
      <c r="K7" s="2"/>
      <c r="L7" s="2">
        <v>0.999</v>
      </c>
      <c r="M7" s="2">
        <v>0.999</v>
      </c>
      <c r="N7" s="2">
        <v>0.999</v>
      </c>
      <c r="O7" s="2">
        <v>0.75268817204301075</v>
      </c>
      <c r="P7" s="2"/>
      <c r="Q7" s="2">
        <v>0.999</v>
      </c>
      <c r="R7" s="2">
        <v>0.999</v>
      </c>
      <c r="S7" s="2">
        <v>0.76148582600195502</v>
      </c>
      <c r="T7" s="2"/>
      <c r="U7" s="2">
        <v>0.999</v>
      </c>
      <c r="V7" s="2">
        <v>0.999</v>
      </c>
      <c r="W7" s="2">
        <v>0.7595307917888563</v>
      </c>
      <c r="X7" s="2"/>
      <c r="Y7" s="2">
        <v>0.999</v>
      </c>
      <c r="Z7" s="2">
        <v>0.999</v>
      </c>
      <c r="AA7" s="2">
        <v>0.75757575757575757</v>
      </c>
      <c r="AB7" s="2"/>
      <c r="AC7" s="2"/>
      <c r="AD7" s="2"/>
      <c r="AE7" s="2"/>
      <c r="AF7" s="2"/>
      <c r="AG7" s="2"/>
    </row>
    <row r="8" spans="1:33">
      <c r="A8" s="5">
        <f>A7+Calculations!$B$4</f>
        <v>12</v>
      </c>
      <c r="B8" s="2">
        <v>0.999</v>
      </c>
      <c r="C8" s="2">
        <v>0.999</v>
      </c>
      <c r="D8" s="2">
        <v>0.999</v>
      </c>
      <c r="E8" s="2">
        <v>0.59628543499511244</v>
      </c>
      <c r="F8" s="2"/>
      <c r="G8" s="2">
        <v>0.999</v>
      </c>
      <c r="H8" s="2">
        <v>0.999</v>
      </c>
      <c r="I8" s="2">
        <v>0.999</v>
      </c>
      <c r="J8" s="2">
        <v>0.58064516129032262</v>
      </c>
      <c r="K8" s="2"/>
      <c r="L8" s="2">
        <v>0.999</v>
      </c>
      <c r="M8" s="2">
        <v>0.999</v>
      </c>
      <c r="N8" s="2">
        <v>0.999</v>
      </c>
      <c r="O8" s="2">
        <v>0.61583577712609971</v>
      </c>
      <c r="P8" s="2"/>
      <c r="Q8" s="2">
        <v>0.999</v>
      </c>
      <c r="R8" s="2">
        <v>0.999</v>
      </c>
      <c r="S8" s="2">
        <v>0.59237536656891498</v>
      </c>
      <c r="T8" s="2"/>
      <c r="U8" s="2">
        <v>0.999</v>
      </c>
      <c r="V8" s="2">
        <v>0.999</v>
      </c>
      <c r="W8" s="2">
        <v>0.58260019550342135</v>
      </c>
      <c r="X8" s="2"/>
      <c r="Y8" s="2">
        <v>0.999</v>
      </c>
      <c r="Z8" s="2">
        <v>0.999</v>
      </c>
      <c r="AA8" s="2">
        <v>0.60215053763440862</v>
      </c>
      <c r="AB8" s="2"/>
      <c r="AC8" s="2"/>
      <c r="AD8" s="2"/>
      <c r="AE8" s="2"/>
      <c r="AF8" s="2"/>
      <c r="AG8" s="2"/>
    </row>
    <row r="9" spans="1:33">
      <c r="A9" s="5">
        <f>A8+Calculations!$B$4</f>
        <v>14</v>
      </c>
      <c r="B9" s="2">
        <v>0.999</v>
      </c>
      <c r="C9" s="2">
        <v>0.999</v>
      </c>
      <c r="D9" s="2">
        <v>0.88758553274682306</v>
      </c>
      <c r="E9" s="2">
        <v>0.48093841642228741</v>
      </c>
      <c r="F9" s="2"/>
      <c r="G9" s="2">
        <v>0.999</v>
      </c>
      <c r="H9" s="2">
        <v>0.999</v>
      </c>
      <c r="I9" s="2">
        <v>0.95992179863147609</v>
      </c>
      <c r="J9" s="2">
        <v>0.47800586510263932</v>
      </c>
      <c r="K9" s="2"/>
      <c r="L9" s="2">
        <v>0.999</v>
      </c>
      <c r="M9" s="2">
        <v>0.999</v>
      </c>
      <c r="N9" s="2">
        <v>0.96187683284457481</v>
      </c>
      <c r="O9" s="2">
        <v>0.48680351906158359</v>
      </c>
      <c r="P9" s="2"/>
      <c r="Q9" s="2">
        <v>0.999</v>
      </c>
      <c r="R9" s="2">
        <v>0.96676441837732163</v>
      </c>
      <c r="S9" s="2">
        <v>0.48093841642228741</v>
      </c>
      <c r="T9" s="2"/>
      <c r="U9" s="2">
        <v>0.999</v>
      </c>
      <c r="V9" s="2">
        <v>0.97751710654936463</v>
      </c>
      <c r="W9" s="2">
        <v>0.49266862170087977</v>
      </c>
      <c r="X9" s="2"/>
      <c r="Y9" s="2">
        <v>0.999</v>
      </c>
      <c r="Z9" s="2">
        <v>0.999</v>
      </c>
      <c r="AA9" s="2">
        <v>0.4633431085043988</v>
      </c>
      <c r="AB9" s="2"/>
      <c r="AC9" s="2"/>
      <c r="AD9" s="2"/>
      <c r="AE9" s="2"/>
      <c r="AF9" s="2"/>
      <c r="AG9" s="2"/>
    </row>
    <row r="10" spans="1:33">
      <c r="A10" s="5">
        <f>A9+Calculations!$B$4</f>
        <v>16</v>
      </c>
      <c r="B10" s="2">
        <v>0.999</v>
      </c>
      <c r="C10" s="2">
        <v>0.999</v>
      </c>
      <c r="D10" s="2">
        <v>0.72727272727272729</v>
      </c>
      <c r="E10" s="2">
        <v>0.38123167155425219</v>
      </c>
      <c r="F10" s="2"/>
      <c r="G10" s="2">
        <v>0.999</v>
      </c>
      <c r="H10" s="2">
        <v>0.999</v>
      </c>
      <c r="I10" s="2">
        <v>0.73998044965786902</v>
      </c>
      <c r="J10" s="2">
        <v>0.40078201368523947</v>
      </c>
      <c r="K10" s="2"/>
      <c r="L10" s="2">
        <v>0.999</v>
      </c>
      <c r="M10" s="2">
        <v>0.999</v>
      </c>
      <c r="N10" s="2">
        <v>0.74389051808406648</v>
      </c>
      <c r="O10" s="2">
        <v>0.41348973607038125</v>
      </c>
      <c r="P10" s="2"/>
      <c r="Q10" s="2">
        <v>0.999</v>
      </c>
      <c r="R10" s="2">
        <v>0.81427174975562078</v>
      </c>
      <c r="S10" s="2">
        <v>0.4310850439882698</v>
      </c>
      <c r="T10" s="2"/>
      <c r="U10" s="2">
        <v>0.999</v>
      </c>
      <c r="V10" s="2">
        <v>0.75659824046920821</v>
      </c>
      <c r="W10" s="2">
        <v>0.39784946236559138</v>
      </c>
      <c r="X10" s="2"/>
      <c r="Y10" s="2">
        <v>0.999</v>
      </c>
      <c r="Z10" s="2">
        <v>0.74780058651026393</v>
      </c>
      <c r="AA10" s="2">
        <v>0.40175953079178883</v>
      </c>
      <c r="AB10" s="2"/>
      <c r="AC10" s="2"/>
      <c r="AD10" s="2"/>
      <c r="AE10" s="2"/>
      <c r="AF10" s="2"/>
      <c r="AG10" s="2"/>
    </row>
    <row r="11" spans="1:33">
      <c r="A11" s="5">
        <f>A10+Calculations!$B$4</f>
        <v>18</v>
      </c>
      <c r="B11" s="2">
        <v>0.999</v>
      </c>
      <c r="C11" s="2">
        <v>0.999</v>
      </c>
      <c r="D11" s="2">
        <v>0.6109481915933529</v>
      </c>
      <c r="E11" s="2">
        <v>0.32746823069403713</v>
      </c>
      <c r="F11" s="2"/>
      <c r="G11" s="2">
        <v>0.999</v>
      </c>
      <c r="H11" s="2">
        <v>0.999</v>
      </c>
      <c r="I11" s="2">
        <v>0.65982404692082108</v>
      </c>
      <c r="J11" s="2">
        <v>0.34897360703812319</v>
      </c>
      <c r="K11" s="2"/>
      <c r="L11" s="2">
        <v>0.999</v>
      </c>
      <c r="M11" s="2">
        <v>0.999</v>
      </c>
      <c r="N11" s="2">
        <v>0.66080156402737045</v>
      </c>
      <c r="O11" s="2">
        <v>0.34799608993157383</v>
      </c>
      <c r="P11" s="2"/>
      <c r="Q11" s="2">
        <v>0.999</v>
      </c>
      <c r="R11" s="2">
        <v>0.68523949169110454</v>
      </c>
      <c r="S11" s="2">
        <v>0.36168132942326492</v>
      </c>
      <c r="T11" s="2"/>
      <c r="U11" s="2">
        <v>0.999</v>
      </c>
      <c r="V11" s="2">
        <v>0.70381231671554256</v>
      </c>
      <c r="W11" s="2">
        <v>0.38807429130009774</v>
      </c>
      <c r="X11" s="2"/>
      <c r="Y11" s="2">
        <v>0.999</v>
      </c>
      <c r="Z11" s="2">
        <v>0.6862170087976539</v>
      </c>
      <c r="AA11" s="2">
        <v>0.3567937438905181</v>
      </c>
      <c r="AB11" s="2"/>
      <c r="AC11" s="2"/>
      <c r="AD11" s="2"/>
      <c r="AE11" s="2"/>
      <c r="AF11" s="2"/>
      <c r="AG11" s="2"/>
    </row>
    <row r="12" spans="1:33">
      <c r="A12" s="5">
        <f>A11+Calculations!$B$4</f>
        <v>20</v>
      </c>
      <c r="B12" s="2">
        <v>0.999</v>
      </c>
      <c r="C12" s="2">
        <v>0.999</v>
      </c>
      <c r="D12" s="2">
        <v>0.55718475073313778</v>
      </c>
      <c r="E12" s="2">
        <v>0.29227761485826004</v>
      </c>
      <c r="F12" s="2"/>
      <c r="G12" s="2">
        <v>0.999</v>
      </c>
      <c r="H12" s="2">
        <v>0.999</v>
      </c>
      <c r="I12" s="2">
        <v>0.58064516129032262</v>
      </c>
      <c r="J12" s="2">
        <v>0.30205278592375367</v>
      </c>
      <c r="K12" s="2"/>
      <c r="L12" s="2">
        <v>0.999</v>
      </c>
      <c r="M12" s="2">
        <v>0.999</v>
      </c>
      <c r="N12" s="2">
        <v>0.60997067448680353</v>
      </c>
      <c r="O12" s="2">
        <v>0.32160312805474095</v>
      </c>
      <c r="P12" s="2"/>
      <c r="Q12" s="2">
        <v>0.999</v>
      </c>
      <c r="R12" s="2">
        <v>0.59921798631476053</v>
      </c>
      <c r="S12" s="2">
        <v>0.30987292277614858</v>
      </c>
      <c r="T12" s="2"/>
      <c r="U12" s="2">
        <v>0.999</v>
      </c>
      <c r="V12" s="2">
        <v>0.62365591397849462</v>
      </c>
      <c r="W12" s="2">
        <v>0.32355816226783968</v>
      </c>
      <c r="X12" s="2"/>
      <c r="Y12" s="2">
        <v>0.999</v>
      </c>
      <c r="Z12" s="2">
        <v>0.61583577712609971</v>
      </c>
      <c r="AA12" s="2">
        <v>0.34115347018572822</v>
      </c>
      <c r="AB12" s="2"/>
      <c r="AC12" s="2"/>
      <c r="AD12" s="2"/>
      <c r="AE12" s="2"/>
      <c r="AF12" s="2"/>
      <c r="AG12" s="2"/>
    </row>
    <row r="13" spans="1:33">
      <c r="A13" s="5">
        <f>A12+Calculations!$B$4</f>
        <v>22</v>
      </c>
      <c r="B13" s="2">
        <v>0.999</v>
      </c>
      <c r="C13" s="2">
        <v>0.999</v>
      </c>
      <c r="D13" s="2">
        <v>0.45845552297165199</v>
      </c>
      <c r="E13" s="2">
        <v>0.28445747800586513</v>
      </c>
      <c r="F13" s="2"/>
      <c r="G13" s="2">
        <v>0.999</v>
      </c>
      <c r="H13" s="2">
        <v>0.999</v>
      </c>
      <c r="I13" s="2">
        <v>0.5376344086021505</v>
      </c>
      <c r="J13" s="2">
        <v>0.26979472140762462</v>
      </c>
      <c r="K13" s="2"/>
      <c r="L13" s="2">
        <v>0.999</v>
      </c>
      <c r="M13" s="2">
        <v>0.999</v>
      </c>
      <c r="N13" s="2">
        <v>0.51515151515151514</v>
      </c>
      <c r="O13" s="2">
        <v>0.28347996089931576</v>
      </c>
      <c r="P13" s="2"/>
      <c r="Q13" s="2">
        <v>0.999</v>
      </c>
      <c r="R13" s="2">
        <v>0.49169110459433041</v>
      </c>
      <c r="S13" s="2">
        <v>0.29912023460410558</v>
      </c>
      <c r="T13" s="2"/>
      <c r="U13" s="2">
        <v>0.999</v>
      </c>
      <c r="V13" s="2">
        <v>0.57966764418377326</v>
      </c>
      <c r="W13" s="2">
        <v>0.27663734115347016</v>
      </c>
      <c r="X13" s="2"/>
      <c r="Y13" s="2">
        <v>0.999</v>
      </c>
      <c r="Z13" s="2">
        <v>0.59042033235581626</v>
      </c>
      <c r="AA13" s="2">
        <v>0.30987292277614858</v>
      </c>
      <c r="AB13" s="2"/>
      <c r="AC13" s="2"/>
      <c r="AD13" s="2"/>
      <c r="AE13" s="2"/>
      <c r="AF13" s="2"/>
      <c r="AG13" s="2"/>
    </row>
    <row r="14" spans="1:33">
      <c r="A14" s="5">
        <f>A13+Calculations!$B$4</f>
        <v>24</v>
      </c>
      <c r="B14" s="2">
        <v>0.999</v>
      </c>
      <c r="C14" s="2">
        <v>0.99413489736070382</v>
      </c>
      <c r="D14" s="2">
        <v>0.45650048875855326</v>
      </c>
      <c r="E14" s="2">
        <v>0.23069403714565004</v>
      </c>
      <c r="F14" s="2"/>
      <c r="G14" s="2">
        <v>0.999</v>
      </c>
      <c r="H14" s="2">
        <v>0.999</v>
      </c>
      <c r="I14" s="2">
        <v>0.47214076246334313</v>
      </c>
      <c r="J14" s="2">
        <v>0.22580645161290322</v>
      </c>
      <c r="K14" s="2"/>
      <c r="L14" s="2">
        <v>0.999</v>
      </c>
      <c r="M14" s="2">
        <v>0.999</v>
      </c>
      <c r="N14" s="2">
        <v>0.50146627565982405</v>
      </c>
      <c r="O14" s="2">
        <v>0.27174975562072334</v>
      </c>
      <c r="P14" s="2"/>
      <c r="Q14" s="2">
        <v>0.999</v>
      </c>
      <c r="R14" s="2">
        <v>0.49755620723362659</v>
      </c>
      <c r="S14" s="2">
        <v>0.2649071358748778</v>
      </c>
      <c r="T14" s="2"/>
      <c r="U14" s="2">
        <v>0.999</v>
      </c>
      <c r="V14" s="2">
        <v>0.52297165200391005</v>
      </c>
      <c r="W14" s="2">
        <v>0.27468230694037143</v>
      </c>
      <c r="X14" s="2"/>
      <c r="Y14" s="2">
        <v>0.999</v>
      </c>
      <c r="Z14" s="2">
        <v>0.55522971652003905</v>
      </c>
      <c r="AA14" s="2">
        <v>0.32649071358748777</v>
      </c>
      <c r="AB14" s="2"/>
      <c r="AC14" s="2"/>
      <c r="AD14" s="2"/>
      <c r="AE14" s="2"/>
      <c r="AF14" s="2"/>
      <c r="AG14" s="2"/>
    </row>
    <row r="15" spans="1:33">
      <c r="A15" s="5">
        <f>A14+Calculations!$B$4</f>
        <v>26</v>
      </c>
      <c r="B15" s="2">
        <v>0.999</v>
      </c>
      <c r="C15" s="2">
        <v>0.82013685239491696</v>
      </c>
      <c r="D15" s="2">
        <v>0.3890518084066471</v>
      </c>
      <c r="E15" s="2">
        <v>0.20527859237536658</v>
      </c>
      <c r="F15" s="2"/>
      <c r="G15" s="2">
        <v>0.999</v>
      </c>
      <c r="H15" s="2">
        <v>0.93646138807429125</v>
      </c>
      <c r="I15" s="2">
        <v>0.4525904203323558</v>
      </c>
      <c r="J15" s="2">
        <v>0.22873900293255131</v>
      </c>
      <c r="K15" s="2"/>
      <c r="L15" s="2">
        <v>0.999</v>
      </c>
      <c r="M15" s="2">
        <v>0.956989247311828</v>
      </c>
      <c r="N15" s="2">
        <v>0.44379276637341153</v>
      </c>
      <c r="O15" s="2">
        <v>0.21212121212121213</v>
      </c>
      <c r="P15" s="2"/>
      <c r="Q15" s="2">
        <v>0.96676441837732163</v>
      </c>
      <c r="R15" s="2">
        <v>0.52101661779081132</v>
      </c>
      <c r="S15" s="2">
        <v>0.25024437927663734</v>
      </c>
      <c r="T15" s="2"/>
      <c r="U15" s="2">
        <v>0.96676441837732163</v>
      </c>
      <c r="V15" s="2">
        <v>0.45943304007820135</v>
      </c>
      <c r="W15" s="2">
        <v>0.24535679374389052</v>
      </c>
      <c r="X15" s="2"/>
      <c r="Y15" s="2">
        <v>0.999</v>
      </c>
      <c r="Z15" s="2">
        <v>0.50733137829912023</v>
      </c>
      <c r="AA15" s="2">
        <v>0.26686217008797652</v>
      </c>
      <c r="AB15" s="2"/>
      <c r="AC15" s="2"/>
      <c r="AD15" s="2"/>
      <c r="AE15" s="2"/>
      <c r="AF15" s="2"/>
      <c r="AG15" s="2"/>
    </row>
    <row r="16" spans="1:33">
      <c r="A16" s="5">
        <f>A15+Calculations!$B$4</f>
        <v>28</v>
      </c>
      <c r="B16" s="2">
        <v>0.999</v>
      </c>
      <c r="C16" s="2">
        <v>0.77126099706744866</v>
      </c>
      <c r="D16" s="2">
        <v>0.34506353861192574</v>
      </c>
      <c r="E16" s="2">
        <v>0.21896383186705767</v>
      </c>
      <c r="F16" s="2"/>
      <c r="G16" s="2">
        <v>0.999</v>
      </c>
      <c r="H16" s="2">
        <v>0.80840664711632448</v>
      </c>
      <c r="I16" s="2">
        <v>0.40762463343108507</v>
      </c>
      <c r="J16" s="2">
        <v>0.23264907135874877</v>
      </c>
      <c r="K16" s="2"/>
      <c r="L16" s="2">
        <v>0.999</v>
      </c>
      <c r="M16" s="2">
        <v>0.87096774193548387</v>
      </c>
      <c r="N16" s="2">
        <v>0.43597262952101662</v>
      </c>
      <c r="O16" s="2">
        <v>0.23655913978494625</v>
      </c>
      <c r="P16" s="2"/>
      <c r="Q16" s="2">
        <v>0.87487781036168133</v>
      </c>
      <c r="R16" s="2">
        <v>0.42521994134897362</v>
      </c>
      <c r="S16" s="2">
        <v>0.22580645161290322</v>
      </c>
      <c r="T16" s="2"/>
      <c r="U16" s="2">
        <v>0.86314760508308896</v>
      </c>
      <c r="V16" s="2">
        <v>0.43792766373411535</v>
      </c>
      <c r="W16" s="2">
        <v>0.23558162267839688</v>
      </c>
      <c r="X16" s="2"/>
      <c r="Y16" s="2">
        <v>0.93939393939393945</v>
      </c>
      <c r="Z16" s="2">
        <v>0.46920821114369504</v>
      </c>
      <c r="AA16" s="2">
        <v>0.2209188660801564</v>
      </c>
      <c r="AB16" s="2"/>
      <c r="AC16" s="2"/>
      <c r="AD16" s="2"/>
      <c r="AE16" s="2"/>
      <c r="AF16" s="2"/>
      <c r="AG16" s="2"/>
    </row>
    <row r="17" spans="1:33">
      <c r="A17" s="5">
        <f>A16+Calculations!$B$4</f>
        <v>30</v>
      </c>
      <c r="B17" s="2">
        <v>0.999</v>
      </c>
      <c r="C17" s="2">
        <v>0.73020527859237538</v>
      </c>
      <c r="D17" s="2">
        <v>0.36070381231671556</v>
      </c>
      <c r="E17" s="2">
        <v>0.21505376344086022</v>
      </c>
      <c r="F17" s="2"/>
      <c r="G17" s="2">
        <v>0.999</v>
      </c>
      <c r="H17" s="2">
        <v>0.79569892473118276</v>
      </c>
      <c r="I17" s="2">
        <v>0.38220918866080156</v>
      </c>
      <c r="J17" s="2">
        <v>0.19550342130987292</v>
      </c>
      <c r="K17" s="2"/>
      <c r="L17" s="2">
        <v>0.999</v>
      </c>
      <c r="M17" s="2">
        <v>0.78983382209188657</v>
      </c>
      <c r="N17" s="2">
        <v>0.42815249266862171</v>
      </c>
      <c r="O17" s="2">
        <v>0.21700879765395895</v>
      </c>
      <c r="P17" s="2"/>
      <c r="Q17" s="2">
        <v>0.8191593352883676</v>
      </c>
      <c r="R17" s="2">
        <v>0.40664711632453565</v>
      </c>
      <c r="S17" s="2">
        <v>0.2209188660801564</v>
      </c>
      <c r="T17" s="2"/>
      <c r="U17" s="2">
        <v>0.8406647116324536</v>
      </c>
      <c r="V17" s="2">
        <v>0.38318670576735092</v>
      </c>
      <c r="W17" s="2">
        <v>0.22873900293255131</v>
      </c>
      <c r="X17" s="2"/>
      <c r="Y17" s="2">
        <v>0.87976539589442815</v>
      </c>
      <c r="Z17" s="2">
        <v>0.46823069403714562</v>
      </c>
      <c r="AA17" s="2">
        <v>0.21896383186705767</v>
      </c>
      <c r="AB17" s="2"/>
      <c r="AC17" s="2"/>
      <c r="AD17" s="2"/>
      <c r="AE17" s="2"/>
      <c r="AF17" s="2"/>
      <c r="AG17" s="2"/>
    </row>
    <row r="18" spans="1:33">
      <c r="A18" s="5">
        <f>A17+Calculations!$B$4</f>
        <v>32</v>
      </c>
      <c r="B18" s="2">
        <v>0.999</v>
      </c>
      <c r="C18" s="2">
        <v>0.67937438905180836</v>
      </c>
      <c r="D18" s="2">
        <v>0.38220918866080156</v>
      </c>
      <c r="E18" s="2">
        <v>0.19550342130987292</v>
      </c>
      <c r="F18" s="2"/>
      <c r="G18" s="2">
        <v>0.999</v>
      </c>
      <c r="H18" s="2">
        <v>0.74975562072336266</v>
      </c>
      <c r="I18" s="2">
        <v>0.34408602150537637</v>
      </c>
      <c r="J18" s="2">
        <v>0.20234604105571846</v>
      </c>
      <c r="K18" s="2"/>
      <c r="L18" s="2">
        <v>0.999</v>
      </c>
      <c r="M18" s="2">
        <v>0.76050830889540566</v>
      </c>
      <c r="N18" s="2">
        <v>0.3890518084066471</v>
      </c>
      <c r="O18" s="2">
        <v>0.17106549364613879</v>
      </c>
      <c r="P18" s="2"/>
      <c r="Q18" s="2">
        <v>0.75464320625610948</v>
      </c>
      <c r="R18" s="2">
        <v>0.44086021505376344</v>
      </c>
      <c r="S18" s="2">
        <v>0.21603128054740958</v>
      </c>
      <c r="T18" s="2"/>
      <c r="U18" s="2">
        <v>0.82013685239491696</v>
      </c>
      <c r="V18" s="2">
        <v>0.40566959921798629</v>
      </c>
      <c r="W18" s="2">
        <v>0.20234604105571846</v>
      </c>
      <c r="X18" s="2"/>
      <c r="Y18" s="2">
        <v>0.94819159335288372</v>
      </c>
      <c r="Z18" s="2">
        <v>0.43988269794721407</v>
      </c>
      <c r="AA18" s="2">
        <v>0.26588465298142716</v>
      </c>
      <c r="AB18" s="2"/>
      <c r="AC18" s="2"/>
      <c r="AD18" s="2"/>
      <c r="AE18" s="2"/>
      <c r="AF18" s="2"/>
      <c r="AG18" s="2"/>
    </row>
    <row r="19" spans="1:33">
      <c r="A19" s="5">
        <f>A18+Calculations!$B$4</f>
        <v>34</v>
      </c>
      <c r="B19" s="2">
        <v>0.999</v>
      </c>
      <c r="C19" s="2">
        <v>0.65298142717497554</v>
      </c>
      <c r="D19" s="2">
        <v>0.39002932551319647</v>
      </c>
      <c r="E19" s="2">
        <v>0.176930596285435</v>
      </c>
      <c r="F19" s="2"/>
      <c r="G19" s="2">
        <v>0.999</v>
      </c>
      <c r="H19" s="2">
        <v>0.6862170087976539</v>
      </c>
      <c r="I19" s="2">
        <v>0.3255131964809384</v>
      </c>
      <c r="J19" s="2">
        <v>0.18866080156402737</v>
      </c>
      <c r="K19" s="2"/>
      <c r="L19" s="2">
        <v>0.999</v>
      </c>
      <c r="M19" s="2">
        <v>0.69696969696969702</v>
      </c>
      <c r="N19" s="2">
        <v>0.36950146627565983</v>
      </c>
      <c r="O19" s="2">
        <v>0.20039100684261973</v>
      </c>
      <c r="P19" s="2"/>
      <c r="Q19" s="2">
        <v>0.72140762463343111</v>
      </c>
      <c r="R19" s="2">
        <v>0.41055718475073316</v>
      </c>
      <c r="S19" s="2">
        <v>0.21212121212121213</v>
      </c>
      <c r="T19" s="2"/>
      <c r="U19" s="2">
        <v>0.78983382209188657</v>
      </c>
      <c r="V19" s="2">
        <v>0.39980449657869011</v>
      </c>
      <c r="W19" s="2">
        <v>0.18866080156402737</v>
      </c>
      <c r="X19" s="2"/>
      <c r="Y19" s="2">
        <v>0.76441837732160312</v>
      </c>
      <c r="Z19" s="2">
        <v>0.38220918866080156</v>
      </c>
      <c r="AA19" s="2">
        <v>0.24633431085043989</v>
      </c>
      <c r="AB19" s="2"/>
      <c r="AC19" s="2"/>
      <c r="AD19" s="2"/>
      <c r="AE19" s="2"/>
      <c r="AF19" s="2"/>
      <c r="AG19" s="2"/>
    </row>
    <row r="20" spans="1:33">
      <c r="A20" s="5">
        <f>A19+Calculations!$B$4</f>
        <v>36</v>
      </c>
      <c r="B20" s="2">
        <v>0.999</v>
      </c>
      <c r="C20" s="2">
        <v>0.57869012707722389</v>
      </c>
      <c r="D20" s="2">
        <v>0.30694037145650049</v>
      </c>
      <c r="E20" s="2">
        <v>0.1681329423264907</v>
      </c>
      <c r="F20" s="2"/>
      <c r="G20" s="2">
        <v>0.999</v>
      </c>
      <c r="H20" s="2">
        <v>0.69794721407624638</v>
      </c>
      <c r="I20" s="2">
        <v>0.31867057673509286</v>
      </c>
      <c r="J20" s="2">
        <v>0.14565004887585534</v>
      </c>
      <c r="K20" s="2"/>
      <c r="L20" s="2">
        <v>0.999</v>
      </c>
      <c r="M20" s="2">
        <v>0.72825024437927666</v>
      </c>
      <c r="N20" s="2">
        <v>0.30498533724340177</v>
      </c>
      <c r="O20" s="2">
        <v>0.16715542521994134</v>
      </c>
      <c r="P20" s="2"/>
      <c r="Q20" s="2">
        <v>0.69012707722385147</v>
      </c>
      <c r="R20" s="2">
        <v>0.33137829912023459</v>
      </c>
      <c r="S20" s="2">
        <v>0.23460410557184752</v>
      </c>
      <c r="T20" s="2"/>
      <c r="U20" s="2">
        <v>0.72825024437927666</v>
      </c>
      <c r="V20" s="2">
        <v>0.35874877810361683</v>
      </c>
      <c r="W20" s="2">
        <v>0.21994134897360704</v>
      </c>
      <c r="X20" s="2"/>
      <c r="Y20" s="2">
        <v>0.73998044965786902</v>
      </c>
      <c r="Z20" s="2">
        <v>0.39100684261974583</v>
      </c>
      <c r="AA20" s="2">
        <v>0.20723362658846531</v>
      </c>
      <c r="AB20" s="2"/>
      <c r="AC20" s="2"/>
      <c r="AD20" s="2"/>
      <c r="AE20" s="2"/>
      <c r="AF20" s="2"/>
      <c r="AG20" s="2"/>
    </row>
    <row r="21" spans="1:33">
      <c r="A21" s="5">
        <f>A20+Calculations!$B$4</f>
        <v>38</v>
      </c>
      <c r="B21" s="2">
        <v>0.999</v>
      </c>
      <c r="C21" s="2">
        <v>0.56304985337243396</v>
      </c>
      <c r="D21" s="2">
        <v>0.33333333333333331</v>
      </c>
      <c r="E21" s="2">
        <v>0.15640273704789834</v>
      </c>
      <c r="F21" s="2"/>
      <c r="G21" s="2">
        <v>0.999</v>
      </c>
      <c r="H21" s="2">
        <v>0.59139784946236562</v>
      </c>
      <c r="I21" s="2">
        <v>0.35581622678396874</v>
      </c>
      <c r="J21" s="2">
        <v>0.16031280547409579</v>
      </c>
      <c r="K21" s="2"/>
      <c r="L21" s="2">
        <v>0.999</v>
      </c>
      <c r="M21" s="2">
        <v>0.66177908113391981</v>
      </c>
      <c r="N21" s="2">
        <v>0.36950146627565983</v>
      </c>
      <c r="O21" s="2">
        <v>0.17204301075268819</v>
      </c>
      <c r="P21" s="2"/>
      <c r="Q21" s="2">
        <v>0.67644183773216027</v>
      </c>
      <c r="R21" s="2">
        <v>0.31964809384164222</v>
      </c>
      <c r="S21" s="2">
        <v>0.19941348973607037</v>
      </c>
      <c r="T21" s="2"/>
      <c r="U21" s="2">
        <v>0.69305962854349956</v>
      </c>
      <c r="V21" s="2">
        <v>0.34799608993157383</v>
      </c>
      <c r="W21" s="2">
        <v>0.20918866080156404</v>
      </c>
      <c r="X21" s="2"/>
      <c r="Y21" s="2">
        <v>0.6920821114369502</v>
      </c>
      <c r="Z21" s="2">
        <v>0.3391984359726295</v>
      </c>
      <c r="AA21" s="2">
        <v>0.20723362658846531</v>
      </c>
      <c r="AB21" s="2"/>
      <c r="AC21" s="2"/>
      <c r="AD21" s="2"/>
      <c r="AE21" s="2"/>
      <c r="AF21" s="2"/>
      <c r="AG21" s="2"/>
    </row>
    <row r="22" spans="1:33">
      <c r="A22" s="5">
        <f>A21+Calculations!$B$4</f>
        <v>40</v>
      </c>
      <c r="B22" s="2">
        <v>0.999</v>
      </c>
      <c r="C22" s="2">
        <v>0.55229716520039096</v>
      </c>
      <c r="D22" s="2">
        <v>0.30596285434995113</v>
      </c>
      <c r="E22" s="2">
        <v>0.16226783968719452</v>
      </c>
      <c r="F22" s="2"/>
      <c r="G22" s="2">
        <v>0.999</v>
      </c>
      <c r="H22" s="2">
        <v>0.55522971652003905</v>
      </c>
      <c r="I22" s="2">
        <v>0.29618768328445749</v>
      </c>
      <c r="J22" s="2">
        <v>0.17399804496578691</v>
      </c>
      <c r="K22" s="2"/>
      <c r="L22" s="2">
        <v>0.999</v>
      </c>
      <c r="M22" s="2">
        <v>0.62463343108504399</v>
      </c>
      <c r="N22" s="2">
        <v>0.32258064516129031</v>
      </c>
      <c r="O22" s="2">
        <v>0.16324535679374388</v>
      </c>
      <c r="P22" s="2"/>
      <c r="Q22" s="2">
        <v>0.68132942326490709</v>
      </c>
      <c r="R22" s="2">
        <v>0.39589442815249265</v>
      </c>
      <c r="S22" s="2">
        <v>0.18084066471163246</v>
      </c>
      <c r="T22" s="2"/>
      <c r="U22" s="2">
        <v>0.68132942326490709</v>
      </c>
      <c r="V22" s="2">
        <v>0.37341153470185728</v>
      </c>
      <c r="W22" s="2">
        <v>0.18084066471163246</v>
      </c>
      <c r="X22" s="2"/>
      <c r="Y22" s="2">
        <v>0.75659824046920821</v>
      </c>
      <c r="Z22" s="2">
        <v>0.34310850439882695</v>
      </c>
      <c r="AA22" s="2">
        <v>0.2013685239491691</v>
      </c>
      <c r="AB22" s="2"/>
      <c r="AC22" s="2"/>
      <c r="AD22" s="2"/>
      <c r="AE22" s="2"/>
      <c r="AF22" s="2"/>
      <c r="AG22" s="2"/>
    </row>
    <row r="23" spans="1:33">
      <c r="A23" s="5">
        <f>A22+Calculations!$B$4</f>
        <v>42</v>
      </c>
      <c r="B23" s="2">
        <v>0.999</v>
      </c>
      <c r="C23" s="2">
        <v>0.51417399804496577</v>
      </c>
      <c r="D23" s="2">
        <v>0.29521016617790813</v>
      </c>
      <c r="E23" s="2">
        <v>0.1466275659824047</v>
      </c>
      <c r="F23" s="2"/>
      <c r="G23" s="2">
        <v>0.999</v>
      </c>
      <c r="H23" s="2">
        <v>0.5650048875855328</v>
      </c>
      <c r="I23" s="2">
        <v>0.27956989247311825</v>
      </c>
      <c r="J23" s="2">
        <v>0.15640273704789834</v>
      </c>
      <c r="K23" s="2"/>
      <c r="L23" s="2">
        <v>0.999</v>
      </c>
      <c r="M23" s="2">
        <v>0.66959921798631472</v>
      </c>
      <c r="N23" s="2">
        <v>0.35777126099706746</v>
      </c>
      <c r="O23" s="2">
        <v>0.15542521994134897</v>
      </c>
      <c r="P23" s="2"/>
      <c r="Q23" s="2">
        <v>0.6647116324535679</v>
      </c>
      <c r="R23" s="2">
        <v>0.36950146627565983</v>
      </c>
      <c r="S23" s="2">
        <v>0.1906158357771261</v>
      </c>
      <c r="T23" s="2"/>
      <c r="U23" s="2">
        <v>0.6647116324535679</v>
      </c>
      <c r="V23" s="2">
        <v>0.31964809384164222</v>
      </c>
      <c r="W23" s="2">
        <v>0.17888563049853373</v>
      </c>
      <c r="X23" s="2"/>
      <c r="Y23" s="2">
        <v>0.73704789833822093</v>
      </c>
      <c r="Z23" s="2">
        <v>0.38220918866080156</v>
      </c>
      <c r="AA23" s="2">
        <v>0.176930596285435</v>
      </c>
      <c r="AB23" s="2"/>
      <c r="AC23" s="2"/>
      <c r="AD23" s="2"/>
      <c r="AE23" s="2"/>
      <c r="AF23" s="2"/>
      <c r="AG23" s="2"/>
    </row>
    <row r="24" spans="1:33">
      <c r="A24" s="5">
        <f>A23+Calculations!$B$4</f>
        <v>44</v>
      </c>
      <c r="B24" s="2">
        <v>0.999</v>
      </c>
      <c r="C24" s="2">
        <v>0.52590420332355814</v>
      </c>
      <c r="D24" s="2">
        <v>0.28641251221896386</v>
      </c>
      <c r="E24" s="2">
        <v>0.14858260019550343</v>
      </c>
      <c r="F24" s="2"/>
      <c r="G24" s="2">
        <v>0.999</v>
      </c>
      <c r="H24" s="2">
        <v>0.5513196480938416</v>
      </c>
      <c r="I24" s="2">
        <v>0.30205278592375367</v>
      </c>
      <c r="J24" s="2">
        <v>0.176930596285435</v>
      </c>
      <c r="K24" s="2"/>
      <c r="L24" s="2">
        <v>0.999</v>
      </c>
      <c r="M24" s="2">
        <v>0.58748778103616817</v>
      </c>
      <c r="N24" s="2">
        <v>0.3040078201368524</v>
      </c>
      <c r="O24" s="2">
        <v>0.17008797653958943</v>
      </c>
      <c r="P24" s="2"/>
      <c r="Q24" s="2">
        <v>0.62854349951124144</v>
      </c>
      <c r="R24" s="2">
        <v>0.36950146627565983</v>
      </c>
      <c r="S24" s="2">
        <v>0.16911045943304007</v>
      </c>
      <c r="T24" s="2"/>
      <c r="U24" s="2">
        <v>0.63147605083088953</v>
      </c>
      <c r="V24" s="2">
        <v>0.33137829912023459</v>
      </c>
      <c r="W24" s="2">
        <v>0.15053763440860216</v>
      </c>
      <c r="X24" s="2"/>
      <c r="Y24" s="2">
        <v>0.65689149560117299</v>
      </c>
      <c r="Z24" s="2">
        <v>0.35581622678396874</v>
      </c>
      <c r="AA24" s="2">
        <v>0.19452590420332355</v>
      </c>
      <c r="AB24" s="2"/>
      <c r="AC24" s="2"/>
      <c r="AD24" s="2"/>
      <c r="AE24" s="2"/>
      <c r="AF24" s="2"/>
      <c r="AG24" s="2"/>
    </row>
    <row r="25" spans="1:33">
      <c r="A25" s="5">
        <f>A24+Calculations!$B$4</f>
        <v>46</v>
      </c>
      <c r="B25" s="2">
        <v>0.999</v>
      </c>
      <c r="C25" s="2">
        <v>0.5053763440860215</v>
      </c>
      <c r="D25" s="2">
        <v>0.3040078201368524</v>
      </c>
      <c r="E25" s="2">
        <v>0.10557184750733138</v>
      </c>
      <c r="F25" s="2"/>
      <c r="G25" s="2">
        <v>0.999</v>
      </c>
      <c r="H25" s="2">
        <v>0.53372434017595305</v>
      </c>
      <c r="I25" s="2">
        <v>0.28836754643206258</v>
      </c>
      <c r="J25" s="2">
        <v>0.16324535679374388</v>
      </c>
      <c r="K25" s="2"/>
      <c r="L25" s="2">
        <v>0.999</v>
      </c>
      <c r="M25" s="2">
        <v>0.56402737047898344</v>
      </c>
      <c r="N25" s="2">
        <v>0.31573802541544477</v>
      </c>
      <c r="O25" s="2">
        <v>0.16617790811339198</v>
      </c>
      <c r="P25" s="2"/>
      <c r="Q25" s="2">
        <v>0.64907135874877808</v>
      </c>
      <c r="R25" s="2">
        <v>0.3460410557184751</v>
      </c>
      <c r="S25" s="2">
        <v>0.17497556207233628</v>
      </c>
      <c r="T25" s="2"/>
      <c r="U25" s="2">
        <v>0.70381231671554256</v>
      </c>
      <c r="V25" s="2">
        <v>0.30987292277614858</v>
      </c>
      <c r="W25" s="2">
        <v>0.16422287390029325</v>
      </c>
      <c r="X25" s="2"/>
      <c r="Y25" s="2">
        <v>0.68230694037145645</v>
      </c>
      <c r="Z25" s="2">
        <v>0.36070381231671556</v>
      </c>
      <c r="AA25" s="2">
        <v>0.20332355816226783</v>
      </c>
      <c r="AB25" s="2"/>
      <c r="AC25" s="2"/>
      <c r="AD25" s="2"/>
      <c r="AE25" s="2"/>
      <c r="AF25" s="2"/>
      <c r="AG25" s="2"/>
    </row>
    <row r="26" spans="1:33">
      <c r="A26" s="5">
        <f>A25+Calculations!$B$4</f>
        <v>48</v>
      </c>
      <c r="B26" s="2">
        <v>0.999</v>
      </c>
      <c r="C26" s="2">
        <v>0.53372434017595305</v>
      </c>
      <c r="D26" s="2">
        <v>0.24828934506353861</v>
      </c>
      <c r="E26" s="2">
        <v>0.14369501466275661</v>
      </c>
      <c r="F26" s="2"/>
      <c r="G26" s="2">
        <v>0.999</v>
      </c>
      <c r="H26" s="2">
        <v>0.56011730205278587</v>
      </c>
      <c r="I26" s="2">
        <v>0.29521016617790813</v>
      </c>
      <c r="J26" s="2">
        <v>0.13294232649071358</v>
      </c>
      <c r="K26" s="2"/>
      <c r="L26" s="2">
        <v>0.999</v>
      </c>
      <c r="M26" s="2">
        <v>0.57966764418377326</v>
      </c>
      <c r="N26" s="2">
        <v>0.29716520039100686</v>
      </c>
      <c r="O26" s="2">
        <v>0.17399804496578691</v>
      </c>
      <c r="P26" s="2"/>
      <c r="Q26" s="2">
        <v>0.62756598240469208</v>
      </c>
      <c r="R26" s="2">
        <v>0.29130009775171067</v>
      </c>
      <c r="S26" s="2">
        <v>0.16226783968719452</v>
      </c>
      <c r="T26" s="2"/>
      <c r="U26" s="2">
        <v>0.65493646138807426</v>
      </c>
      <c r="V26" s="2">
        <v>0.33724340175953077</v>
      </c>
      <c r="W26" s="2">
        <v>0.19452590420332355</v>
      </c>
      <c r="X26" s="2"/>
      <c r="Y26" s="2">
        <v>0.69892473118279574</v>
      </c>
      <c r="Z26" s="2">
        <v>0.37438905180840665</v>
      </c>
      <c r="AA26" s="2">
        <v>0.20039100684261973</v>
      </c>
      <c r="AB26" s="2"/>
      <c r="AC26" s="2"/>
      <c r="AD26" s="2"/>
      <c r="AE26" s="2"/>
      <c r="AF26" s="2"/>
      <c r="AG26" s="2"/>
    </row>
    <row r="27" spans="1:33">
      <c r="A27" s="5">
        <f>A26+Calculations!$B$4</f>
        <v>50</v>
      </c>
      <c r="B27" s="2">
        <v>0.999</v>
      </c>
      <c r="C27" s="2">
        <v>0.45747800586510262</v>
      </c>
      <c r="D27" s="2">
        <v>0.22678396871945258</v>
      </c>
      <c r="E27" s="2">
        <v>0.14565004887585534</v>
      </c>
      <c r="F27" s="2"/>
      <c r="G27" s="2">
        <v>0.999</v>
      </c>
      <c r="H27" s="2">
        <v>0.50342130987292277</v>
      </c>
      <c r="I27" s="2">
        <v>0.27956989247311825</v>
      </c>
      <c r="J27" s="2">
        <v>0.17204301075268819</v>
      </c>
      <c r="K27" s="2"/>
      <c r="L27" s="2">
        <v>0.999</v>
      </c>
      <c r="M27" s="2">
        <v>0.53470185728250241</v>
      </c>
      <c r="N27" s="2">
        <v>0.26295210166177907</v>
      </c>
      <c r="O27" s="2">
        <v>0.16715542521994134</v>
      </c>
      <c r="P27" s="2"/>
      <c r="Q27" s="2">
        <v>0.61974584555229717</v>
      </c>
      <c r="R27" s="2">
        <v>0.31671554252199413</v>
      </c>
      <c r="S27" s="2">
        <v>0.1573802541544477</v>
      </c>
      <c r="T27" s="2"/>
      <c r="U27" s="2">
        <v>0.69110459433040083</v>
      </c>
      <c r="V27" s="2">
        <v>0.35092864125122192</v>
      </c>
      <c r="W27" s="2">
        <v>0.20723362658846531</v>
      </c>
      <c r="X27" s="2"/>
      <c r="Y27" s="2">
        <v>0.68328445747800581</v>
      </c>
      <c r="Z27" s="2">
        <v>0.3782991202346041</v>
      </c>
      <c r="AA27" s="2">
        <v>0.18572825024437928</v>
      </c>
      <c r="AB27" s="2"/>
      <c r="AC27" s="2"/>
      <c r="AD27" s="2"/>
      <c r="AE27" s="2"/>
      <c r="AF27" s="2"/>
      <c r="AG27" s="2"/>
    </row>
    <row r="28" spans="1:33">
      <c r="A28" s="5">
        <f>A27+Calculations!$B$4</f>
        <v>52</v>
      </c>
      <c r="B28" s="2">
        <v>0.96480938416422291</v>
      </c>
      <c r="C28" s="2">
        <v>0.4731182795698925</v>
      </c>
      <c r="D28" s="2">
        <v>0.2649071358748778</v>
      </c>
      <c r="E28" s="2">
        <v>0.12316715542521994</v>
      </c>
      <c r="F28" s="2"/>
      <c r="G28" s="2">
        <v>0.999</v>
      </c>
      <c r="H28" s="2">
        <v>0.56109481915933523</v>
      </c>
      <c r="I28" s="2">
        <v>0.31671554252199413</v>
      </c>
      <c r="J28" s="2">
        <v>0.17204301075268819</v>
      </c>
      <c r="K28" s="2"/>
      <c r="L28" s="2">
        <v>0.999</v>
      </c>
      <c r="M28" s="2">
        <v>0.55425219941348969</v>
      </c>
      <c r="N28" s="2">
        <v>0.24242424242424243</v>
      </c>
      <c r="O28" s="2">
        <v>0.16031280547409579</v>
      </c>
      <c r="P28" s="2"/>
      <c r="Q28" s="2">
        <v>0.56598240469208216</v>
      </c>
      <c r="R28" s="2">
        <v>0.30498533724340177</v>
      </c>
      <c r="S28" s="2">
        <v>0.20332355816226783</v>
      </c>
      <c r="T28" s="2"/>
      <c r="U28" s="2">
        <v>0.64711632453567935</v>
      </c>
      <c r="V28" s="2">
        <v>0.33528836754643204</v>
      </c>
      <c r="W28" s="2">
        <v>0.17790811339198437</v>
      </c>
      <c r="X28" s="2"/>
      <c r="Y28" s="2">
        <v>0.66666666666666663</v>
      </c>
      <c r="Z28" s="2">
        <v>0.3284457478005865</v>
      </c>
      <c r="AA28" s="2">
        <v>0.1798631476050831</v>
      </c>
      <c r="AB28" s="2"/>
      <c r="AC28" s="2"/>
      <c r="AD28" s="2"/>
      <c r="AE28" s="2"/>
      <c r="AF28" s="2"/>
      <c r="AG28" s="2"/>
    </row>
    <row r="29" spans="1:33">
      <c r="A29" s="5">
        <f>A28+Calculations!$B$4</f>
        <v>54</v>
      </c>
      <c r="B29" s="2">
        <v>0.999</v>
      </c>
      <c r="C29" s="2">
        <v>0.47018572825024441</v>
      </c>
      <c r="D29" s="2">
        <v>0.28347996089931576</v>
      </c>
      <c r="E29" s="2">
        <v>0.16617790811339198</v>
      </c>
      <c r="F29" s="2"/>
      <c r="G29" s="2">
        <v>0.97556207233626591</v>
      </c>
      <c r="H29" s="2">
        <v>0.49266862170087977</v>
      </c>
      <c r="I29" s="2">
        <v>0.30009775171065495</v>
      </c>
      <c r="J29" s="2">
        <v>0.16520039100684261</v>
      </c>
      <c r="K29" s="2"/>
      <c r="L29" s="2">
        <v>0.999</v>
      </c>
      <c r="M29" s="2">
        <v>0.54740957966764414</v>
      </c>
      <c r="N29" s="2">
        <v>0.3284457478005865</v>
      </c>
      <c r="O29" s="2">
        <v>0.17302052785923755</v>
      </c>
      <c r="P29" s="2"/>
      <c r="Q29" s="2">
        <v>0.62854349951124144</v>
      </c>
      <c r="R29" s="2">
        <v>0.33724340175953077</v>
      </c>
      <c r="S29" s="2">
        <v>0.16715542521994134</v>
      </c>
      <c r="T29" s="2"/>
      <c r="U29" s="2">
        <v>0.5620723362658846</v>
      </c>
      <c r="V29" s="2">
        <v>0.32746823069403713</v>
      </c>
      <c r="W29" s="2">
        <v>0.1906158357771261</v>
      </c>
      <c r="X29" s="2"/>
      <c r="Y29" s="2">
        <v>0.66373411534701854</v>
      </c>
      <c r="Z29" s="2">
        <v>0.32453567937438904</v>
      </c>
      <c r="AA29" s="2">
        <v>0.18279569892473119</v>
      </c>
      <c r="AB29" s="2"/>
      <c r="AC29" s="2"/>
      <c r="AD29" s="2"/>
      <c r="AE29" s="2"/>
      <c r="AF29" s="2"/>
      <c r="AG29" s="2"/>
    </row>
    <row r="30" spans="1:33">
      <c r="A30" s="5">
        <f>A29+Calculations!$B$4</f>
        <v>56</v>
      </c>
      <c r="B30" s="2">
        <v>0.999</v>
      </c>
      <c r="C30" s="2">
        <v>0.48778103616813295</v>
      </c>
      <c r="D30" s="2">
        <v>0.27174975562072334</v>
      </c>
      <c r="E30" s="2">
        <v>9.9706744868035185E-2</v>
      </c>
      <c r="F30" s="2"/>
      <c r="G30" s="2">
        <v>0.999</v>
      </c>
      <c r="H30" s="2">
        <v>0.52394916911045941</v>
      </c>
      <c r="I30" s="2">
        <v>0.2316715542521994</v>
      </c>
      <c r="J30" s="2">
        <v>0.13880742913000976</v>
      </c>
      <c r="K30" s="2"/>
      <c r="L30" s="2">
        <v>0.999</v>
      </c>
      <c r="M30" s="2">
        <v>0.52003910068426196</v>
      </c>
      <c r="N30" s="2">
        <v>0.33626588465298141</v>
      </c>
      <c r="O30" s="2">
        <v>0.15444770283479961</v>
      </c>
      <c r="P30" s="2"/>
      <c r="Q30" s="2">
        <v>0.58260019550342135</v>
      </c>
      <c r="R30" s="2">
        <v>0.29521016617790813</v>
      </c>
      <c r="S30" s="2">
        <v>0.17399804496578691</v>
      </c>
      <c r="T30" s="2"/>
      <c r="U30" s="2">
        <v>0.54545454545454541</v>
      </c>
      <c r="V30" s="2">
        <v>0.3147605083088954</v>
      </c>
      <c r="W30" s="2">
        <v>0.17106549364613879</v>
      </c>
      <c r="X30" s="2"/>
      <c r="Y30" s="2">
        <v>0.70185728250244384</v>
      </c>
      <c r="Z30" s="2">
        <v>0.32258064516129031</v>
      </c>
      <c r="AA30" s="2">
        <v>0.18670576735092864</v>
      </c>
      <c r="AB30" s="2"/>
      <c r="AC30" s="2"/>
      <c r="AD30" s="2"/>
      <c r="AE30" s="2"/>
      <c r="AF30" s="2"/>
      <c r="AG30" s="2"/>
    </row>
    <row r="31" spans="1:33">
      <c r="A31" s="5">
        <f>A30+Calculations!$B$4</f>
        <v>58</v>
      </c>
      <c r="B31" s="2">
        <v>0.999</v>
      </c>
      <c r="C31" s="2">
        <v>0.49560117302052786</v>
      </c>
      <c r="D31" s="2">
        <v>0.22971652003910067</v>
      </c>
      <c r="E31" s="2">
        <v>0.14173998044965788</v>
      </c>
      <c r="F31" s="2"/>
      <c r="G31" s="2">
        <v>0.98435972629521018</v>
      </c>
      <c r="H31" s="2">
        <v>0.51417399804496577</v>
      </c>
      <c r="I31" s="2">
        <v>0.25610948191593352</v>
      </c>
      <c r="J31" s="2">
        <v>0.14956011730205279</v>
      </c>
      <c r="K31" s="2"/>
      <c r="L31" s="2">
        <v>0.999</v>
      </c>
      <c r="M31" s="2">
        <v>0.53861192570869987</v>
      </c>
      <c r="N31" s="2">
        <v>0.29716520039100686</v>
      </c>
      <c r="O31" s="2">
        <v>0.1378299120234604</v>
      </c>
      <c r="P31" s="2"/>
      <c r="Q31" s="2">
        <v>0.56304985337243396</v>
      </c>
      <c r="R31" s="2">
        <v>0.27174975562072334</v>
      </c>
      <c r="S31" s="2">
        <v>0.13294232649071358</v>
      </c>
      <c r="T31" s="2"/>
      <c r="U31" s="2">
        <v>0.59921798631476053</v>
      </c>
      <c r="V31" s="2">
        <v>0.30009775171065495</v>
      </c>
      <c r="W31" s="2">
        <v>0.15249266862170088</v>
      </c>
      <c r="X31" s="2"/>
      <c r="Y31" s="2">
        <v>0.59237536656891498</v>
      </c>
      <c r="Z31" s="2">
        <v>0.31182795698924731</v>
      </c>
      <c r="AA31" s="2">
        <v>0.16617790811339198</v>
      </c>
      <c r="AB31" s="2"/>
      <c r="AC31" s="2"/>
      <c r="AD31" s="2"/>
      <c r="AE31" s="2"/>
      <c r="AF31" s="2"/>
      <c r="AG31" s="2"/>
    </row>
    <row r="32" spans="1:33">
      <c r="A32" s="5">
        <f>A31+Calculations!$B$4</f>
        <v>60</v>
      </c>
      <c r="B32" s="2">
        <v>0.94232649071358754</v>
      </c>
      <c r="C32" s="2">
        <v>0.48093841642228741</v>
      </c>
      <c r="D32" s="2">
        <v>0.21994134897360704</v>
      </c>
      <c r="E32" s="2">
        <v>0.11730205278592376</v>
      </c>
      <c r="F32" s="2"/>
      <c r="G32" s="2">
        <v>0.999</v>
      </c>
      <c r="H32" s="2">
        <v>0.49657869012707723</v>
      </c>
      <c r="I32" s="2">
        <v>0.25024437927663734</v>
      </c>
      <c r="J32" s="2">
        <v>0.13196480938416422</v>
      </c>
      <c r="K32" s="2"/>
      <c r="L32" s="2">
        <v>0.999</v>
      </c>
      <c r="M32" s="2">
        <v>0.52297165200391005</v>
      </c>
      <c r="N32" s="2">
        <v>0.29032258064516131</v>
      </c>
      <c r="O32" s="2">
        <v>0.15933528836754643</v>
      </c>
      <c r="P32" s="2"/>
      <c r="Q32" s="2">
        <v>0.53079178885630496</v>
      </c>
      <c r="R32" s="2">
        <v>0.31085043988269795</v>
      </c>
      <c r="S32" s="2">
        <v>0.15151515151515152</v>
      </c>
      <c r="T32" s="2"/>
      <c r="U32" s="2">
        <v>0.5972629521016618</v>
      </c>
      <c r="V32" s="2">
        <v>0.29814271749755622</v>
      </c>
      <c r="W32" s="2">
        <v>0.18475073313782991</v>
      </c>
      <c r="X32" s="2"/>
      <c r="Y32" s="2">
        <v>0.64516129032258063</v>
      </c>
      <c r="Z32" s="2">
        <v>0.32942326490713586</v>
      </c>
      <c r="AA32" s="2">
        <v>0.18670576735092864</v>
      </c>
      <c r="AB32" s="2"/>
      <c r="AC32" s="2"/>
      <c r="AD32" s="2"/>
      <c r="AE32" s="2"/>
      <c r="AF32" s="2"/>
      <c r="AG32" s="2"/>
    </row>
    <row r="33" spans="1:33">
      <c r="A33" s="5">
        <f>A32+Calculations!$B$4</f>
        <v>62</v>
      </c>
      <c r="B33" s="2">
        <v>0.88172043010752688</v>
      </c>
      <c r="C33" s="2">
        <v>0.3675464320625611</v>
      </c>
      <c r="D33" s="2">
        <v>0.2209188660801564</v>
      </c>
      <c r="E33" s="2">
        <v>0.1378299120234604</v>
      </c>
      <c r="F33" s="2"/>
      <c r="G33" s="2">
        <v>0.999</v>
      </c>
      <c r="H33" s="2">
        <v>0.47605083088954059</v>
      </c>
      <c r="I33" s="2">
        <v>0.26099706744868034</v>
      </c>
      <c r="J33" s="2">
        <v>0.16324535679374388</v>
      </c>
      <c r="K33" s="2"/>
      <c r="L33" s="2">
        <v>0.999</v>
      </c>
      <c r="M33" s="2">
        <v>0.53958944281524923</v>
      </c>
      <c r="N33" s="2">
        <v>0.31280547409579668</v>
      </c>
      <c r="O33" s="2">
        <v>0.13489736070381231</v>
      </c>
      <c r="P33" s="2"/>
      <c r="Q33" s="2">
        <v>0.55327468230694032</v>
      </c>
      <c r="R33" s="2">
        <v>0.30987292277614858</v>
      </c>
      <c r="S33" s="2">
        <v>0.17106549364613879</v>
      </c>
      <c r="T33" s="2"/>
      <c r="U33" s="2">
        <v>0.57282502443792771</v>
      </c>
      <c r="V33" s="2">
        <v>0.35092864125122192</v>
      </c>
      <c r="W33" s="2">
        <v>0.16911045943304007</v>
      </c>
      <c r="X33" s="2"/>
      <c r="Y33" s="2">
        <v>0.63831867057673508</v>
      </c>
      <c r="Z33" s="2">
        <v>0.34213098729227759</v>
      </c>
      <c r="AA33" s="2">
        <v>0.17008797653958943</v>
      </c>
      <c r="AB33" s="2"/>
      <c r="AC33" s="2"/>
      <c r="AD33" s="2"/>
      <c r="AE33" s="2"/>
      <c r="AF33" s="2"/>
      <c r="AG33" s="2"/>
    </row>
    <row r="34" spans="1:33">
      <c r="A34" s="5">
        <f>A33+Calculations!$B$4</f>
        <v>64</v>
      </c>
      <c r="B34" s="2">
        <v>0.87781036168132942</v>
      </c>
      <c r="C34" s="2">
        <v>0.47214076246334313</v>
      </c>
      <c r="D34" s="2">
        <v>0.24242424242424243</v>
      </c>
      <c r="E34" s="2">
        <v>0.13000977517106549</v>
      </c>
      <c r="F34" s="2"/>
      <c r="G34" s="2">
        <v>0.999</v>
      </c>
      <c r="H34" s="2">
        <v>0.43206256109481916</v>
      </c>
      <c r="I34" s="2">
        <v>0.25024437927663734</v>
      </c>
      <c r="J34" s="2">
        <v>0.15249266862170088</v>
      </c>
      <c r="K34" s="2"/>
      <c r="L34" s="2">
        <v>0.999</v>
      </c>
      <c r="M34" s="2">
        <v>0.48973607038123168</v>
      </c>
      <c r="N34" s="2">
        <v>0.27174975562072334</v>
      </c>
      <c r="O34" s="2">
        <v>0.1466275659824047</v>
      </c>
      <c r="P34" s="2"/>
      <c r="Q34" s="2">
        <v>0.5972629521016618</v>
      </c>
      <c r="R34" s="2">
        <v>0.30791788856304986</v>
      </c>
      <c r="S34" s="2">
        <v>0.19550342130987292</v>
      </c>
      <c r="T34" s="2"/>
      <c r="U34" s="2">
        <v>0.60019550342130989</v>
      </c>
      <c r="V34" s="2">
        <v>0.30596285434995113</v>
      </c>
      <c r="W34" s="2">
        <v>0.1906158357771261</v>
      </c>
      <c r="X34" s="2"/>
      <c r="Y34" s="2">
        <v>0.59628543499511244</v>
      </c>
      <c r="Z34" s="2">
        <v>0.34213098729227759</v>
      </c>
      <c r="AA34" s="2">
        <v>0.1798631476050831</v>
      </c>
      <c r="AB34" s="2"/>
      <c r="AC34" s="2"/>
      <c r="AD34" s="2"/>
      <c r="AE34" s="2"/>
      <c r="AF34" s="2"/>
      <c r="AG34" s="2"/>
    </row>
    <row r="35" spans="1:33">
      <c r="A35" s="5">
        <f>A34+Calculations!$B$4</f>
        <v>66</v>
      </c>
      <c r="B35" s="2">
        <v>0.96285434995112418</v>
      </c>
      <c r="C35" s="2">
        <v>0.44770283479960898</v>
      </c>
      <c r="D35" s="2">
        <v>0.22385141739980449</v>
      </c>
      <c r="E35" s="2">
        <v>0.11143695014662756</v>
      </c>
      <c r="F35" s="2"/>
      <c r="G35" s="2">
        <v>0.999</v>
      </c>
      <c r="H35" s="2">
        <v>0.51417399804496577</v>
      </c>
      <c r="I35" s="2">
        <v>0.2404692082111437</v>
      </c>
      <c r="J35" s="2">
        <v>0.12316715542521994</v>
      </c>
      <c r="K35" s="2"/>
      <c r="L35" s="2">
        <v>0.999</v>
      </c>
      <c r="M35" s="2">
        <v>0.50146627565982405</v>
      </c>
      <c r="N35" s="2">
        <v>0.25317693059628543</v>
      </c>
      <c r="O35" s="2">
        <v>0.16031280547409579</v>
      </c>
      <c r="P35" s="2"/>
      <c r="Q35" s="2">
        <v>0.56109481915933523</v>
      </c>
      <c r="R35" s="2">
        <v>0.28641251221896386</v>
      </c>
      <c r="S35" s="2">
        <v>0.16422287390029325</v>
      </c>
      <c r="T35" s="2"/>
      <c r="U35" s="2">
        <v>0.60606060606060608</v>
      </c>
      <c r="V35" s="2">
        <v>0.28347996089931576</v>
      </c>
      <c r="W35" s="2">
        <v>0.16324535679374388</v>
      </c>
      <c r="X35" s="2"/>
      <c r="Y35" s="2">
        <v>0.64125122189638317</v>
      </c>
      <c r="Z35" s="2">
        <v>0.27761485826001953</v>
      </c>
      <c r="AA35" s="2">
        <v>0.18768328445747801</v>
      </c>
      <c r="AB35" s="2"/>
      <c r="AC35" s="2"/>
      <c r="AD35" s="2"/>
      <c r="AE35" s="2"/>
      <c r="AF35" s="2"/>
      <c r="AG35" s="2"/>
    </row>
    <row r="36" spans="1:33">
      <c r="A36" s="5">
        <f>A35+Calculations!$B$4</f>
        <v>68</v>
      </c>
      <c r="B36" s="2">
        <v>0.87390029325513197</v>
      </c>
      <c r="C36" s="2">
        <v>0.45845552297165199</v>
      </c>
      <c r="D36" s="2">
        <v>0.18963831867057673</v>
      </c>
      <c r="E36" s="2">
        <v>0.14565004887585534</v>
      </c>
      <c r="F36" s="2"/>
      <c r="G36" s="2">
        <v>0.999</v>
      </c>
      <c r="H36" s="2">
        <v>0.48093841642228741</v>
      </c>
      <c r="I36" s="2">
        <v>0.2649071358748778</v>
      </c>
      <c r="J36" s="2">
        <v>0.13587487781036167</v>
      </c>
      <c r="K36" s="2"/>
      <c r="L36" s="2">
        <v>0.999</v>
      </c>
      <c r="M36" s="2">
        <v>0.54740957966764414</v>
      </c>
      <c r="N36" s="2">
        <v>0.30596285434995113</v>
      </c>
      <c r="O36" s="2">
        <v>0.11632453567937438</v>
      </c>
      <c r="P36" s="2"/>
      <c r="Q36" s="2">
        <v>0.55913978494623651</v>
      </c>
      <c r="R36" s="2">
        <v>0.30205278592375367</v>
      </c>
      <c r="S36" s="2">
        <v>0.14956011730205279</v>
      </c>
      <c r="T36" s="2"/>
      <c r="U36" s="2">
        <v>0.63831867057673508</v>
      </c>
      <c r="V36" s="2">
        <v>0.28152492668621698</v>
      </c>
      <c r="W36" s="2">
        <v>0.18572825024437928</v>
      </c>
      <c r="X36" s="2"/>
      <c r="Y36" s="2">
        <v>0.65200391006842617</v>
      </c>
      <c r="Z36" s="2">
        <v>0.32746823069403713</v>
      </c>
      <c r="AA36" s="2">
        <v>0.19159335288367546</v>
      </c>
      <c r="AB36" s="2"/>
      <c r="AC36" s="2"/>
      <c r="AD36" s="2"/>
      <c r="AE36" s="2"/>
      <c r="AF36" s="2"/>
      <c r="AG36" s="2"/>
    </row>
    <row r="37" spans="1:33">
      <c r="A37" s="5">
        <f>A36+Calculations!$B$4</f>
        <v>70</v>
      </c>
      <c r="B37" s="2">
        <v>0.8621700879765396</v>
      </c>
      <c r="C37" s="2">
        <v>0.43597262952101662</v>
      </c>
      <c r="D37" s="2">
        <v>0.2209188660801564</v>
      </c>
      <c r="E37" s="2">
        <v>0.14369501466275661</v>
      </c>
      <c r="F37" s="2"/>
      <c r="G37" s="2">
        <v>0.91397849462365588</v>
      </c>
      <c r="H37" s="2">
        <v>0.48289345063538613</v>
      </c>
      <c r="I37" s="2">
        <v>0.23851417399804498</v>
      </c>
      <c r="J37" s="2">
        <v>0.11339198435972629</v>
      </c>
      <c r="K37" s="2"/>
      <c r="L37" s="2">
        <v>0.999</v>
      </c>
      <c r="M37" s="2">
        <v>0.52981427174975559</v>
      </c>
      <c r="N37" s="2">
        <v>0.24731182795698925</v>
      </c>
      <c r="O37" s="2">
        <v>0.16226783968719452</v>
      </c>
      <c r="P37" s="2"/>
      <c r="Q37" s="2">
        <v>0.54252199413489732</v>
      </c>
      <c r="R37" s="2">
        <v>0.26783968719452589</v>
      </c>
      <c r="S37" s="2">
        <v>0.13391984359726294</v>
      </c>
      <c r="T37" s="2"/>
      <c r="U37" s="2">
        <v>0.61290322580645162</v>
      </c>
      <c r="V37" s="2">
        <v>0.32453567937438904</v>
      </c>
      <c r="W37" s="2">
        <v>0.15053763440860216</v>
      </c>
      <c r="X37" s="2"/>
      <c r="Y37" s="2">
        <v>0.57380254154447707</v>
      </c>
      <c r="Z37" s="2">
        <v>0.30303030303030304</v>
      </c>
      <c r="AA37" s="2">
        <v>0.2013685239491691</v>
      </c>
      <c r="AB37" s="2"/>
      <c r="AC37" s="2"/>
      <c r="AD37" s="2"/>
      <c r="AE37" s="2"/>
      <c r="AF37" s="2"/>
      <c r="AG37" s="2"/>
    </row>
    <row r="38" spans="1:33">
      <c r="A38" s="5">
        <f>A37+Calculations!$B$4</f>
        <v>72</v>
      </c>
      <c r="B38" s="2">
        <v>0.80645161290322576</v>
      </c>
      <c r="C38" s="2">
        <v>0.43890518084066471</v>
      </c>
      <c r="D38" s="2">
        <v>0.24731182795698925</v>
      </c>
      <c r="E38" s="2">
        <v>0.12414467253176931</v>
      </c>
      <c r="F38" s="2"/>
      <c r="G38" s="2">
        <v>0.95601173020527863</v>
      </c>
      <c r="H38" s="2">
        <v>0.43988269794721407</v>
      </c>
      <c r="I38" s="2">
        <v>0.27761485826001953</v>
      </c>
      <c r="J38" s="2">
        <v>0.13196480938416422</v>
      </c>
      <c r="K38" s="2"/>
      <c r="L38" s="2">
        <v>0.999</v>
      </c>
      <c r="M38" s="2">
        <v>0.4731182795698925</v>
      </c>
      <c r="N38" s="2">
        <v>0.23949169110459434</v>
      </c>
      <c r="O38" s="2">
        <v>0.18181818181818182</v>
      </c>
      <c r="P38" s="2"/>
      <c r="Q38" s="2">
        <v>0.52101661779081132</v>
      </c>
      <c r="R38" s="2">
        <v>0.29227761485826004</v>
      </c>
      <c r="S38" s="2">
        <v>0.16911045943304007</v>
      </c>
      <c r="T38" s="2"/>
      <c r="U38" s="2">
        <v>0.56011730205278587</v>
      </c>
      <c r="V38" s="2">
        <v>0.33333333333333331</v>
      </c>
      <c r="W38" s="2">
        <v>0.15347018572825025</v>
      </c>
      <c r="X38" s="2"/>
      <c r="Y38" s="2">
        <v>0.52297165200391005</v>
      </c>
      <c r="Z38" s="2">
        <v>0.27370478983382207</v>
      </c>
      <c r="AA38" s="2">
        <v>0.18181818181818182</v>
      </c>
      <c r="AB38" s="2"/>
      <c r="AC38" s="2"/>
      <c r="AD38" s="2"/>
      <c r="AE38" s="2"/>
      <c r="AF38" s="2"/>
      <c r="AG38" s="2"/>
    </row>
    <row r="39" spans="1:33">
      <c r="A39" s="5">
        <f>A38+Calculations!$B$4</f>
        <v>74</v>
      </c>
      <c r="B39" s="2">
        <v>0.82697947214076251</v>
      </c>
      <c r="C39" s="2">
        <v>0.44574780058651026</v>
      </c>
      <c r="D39" s="2">
        <v>0.20625610948191594</v>
      </c>
      <c r="E39" s="2">
        <v>9.579667644183773E-2</v>
      </c>
      <c r="F39" s="2"/>
      <c r="G39" s="2">
        <v>0.999</v>
      </c>
      <c r="H39" s="2">
        <v>0.47214076246334313</v>
      </c>
      <c r="I39" s="2">
        <v>0.2932551319648094</v>
      </c>
      <c r="J39" s="2">
        <v>0.13294232649071358</v>
      </c>
      <c r="K39" s="2"/>
      <c r="L39" s="2">
        <v>0.999</v>
      </c>
      <c r="M39" s="2">
        <v>0.51124144672531768</v>
      </c>
      <c r="N39" s="2">
        <v>0.2316715542521994</v>
      </c>
      <c r="O39" s="2">
        <v>0.13880742913000976</v>
      </c>
      <c r="P39" s="2"/>
      <c r="Q39" s="2">
        <v>0.54447702834799605</v>
      </c>
      <c r="R39" s="2">
        <v>0.27077223851417398</v>
      </c>
      <c r="S39" s="2">
        <v>0.17106549364613879</v>
      </c>
      <c r="T39" s="2"/>
      <c r="U39" s="2">
        <v>0.52883675464320623</v>
      </c>
      <c r="V39" s="2">
        <v>0.27956989247311825</v>
      </c>
      <c r="W39" s="2">
        <v>0.16129032258064516</v>
      </c>
      <c r="X39" s="2"/>
      <c r="Y39" s="2">
        <v>0.62658846529814272</v>
      </c>
      <c r="Z39" s="2">
        <v>0.34897360703812319</v>
      </c>
      <c r="AA39" s="2">
        <v>0.14760508308895406</v>
      </c>
      <c r="AB39" s="2"/>
      <c r="AC39" s="2"/>
      <c r="AD39" s="2"/>
      <c r="AE39" s="2"/>
      <c r="AF39" s="2"/>
      <c r="AG39" s="2"/>
    </row>
    <row r="40" spans="1:33">
      <c r="A40" s="5">
        <f>A39+Calculations!$B$4</f>
        <v>76</v>
      </c>
      <c r="B40" s="2">
        <v>0.81818181818181823</v>
      </c>
      <c r="C40" s="2">
        <v>0.43499511241446726</v>
      </c>
      <c r="D40" s="2">
        <v>0.20039100684261973</v>
      </c>
      <c r="E40" s="2">
        <v>0.12609970674486803</v>
      </c>
      <c r="F40" s="2"/>
      <c r="G40" s="2">
        <v>0.8299120234604106</v>
      </c>
      <c r="H40" s="2">
        <v>0.42619745845552298</v>
      </c>
      <c r="I40" s="2">
        <v>0.26783968719452589</v>
      </c>
      <c r="J40" s="2">
        <v>0.11241446725317693</v>
      </c>
      <c r="K40" s="2"/>
      <c r="L40" s="2">
        <v>0.999</v>
      </c>
      <c r="M40" s="2">
        <v>0.43401759530791789</v>
      </c>
      <c r="N40" s="2">
        <v>0.26295210166177907</v>
      </c>
      <c r="O40" s="2">
        <v>0.14271749755620725</v>
      </c>
      <c r="P40" s="2"/>
      <c r="Q40" s="2">
        <v>0.54154447702834796</v>
      </c>
      <c r="R40" s="2">
        <v>0.30694037145650049</v>
      </c>
      <c r="S40" s="2">
        <v>0.16324535679374388</v>
      </c>
      <c r="T40" s="2"/>
      <c r="U40" s="2">
        <v>0.59042033235581626</v>
      </c>
      <c r="V40" s="2">
        <v>0.29227761485826004</v>
      </c>
      <c r="W40" s="2">
        <v>0.17106549364613879</v>
      </c>
      <c r="X40" s="2"/>
      <c r="Y40" s="2">
        <v>0.58748778103616817</v>
      </c>
      <c r="Z40" s="2">
        <v>0.29032258064516131</v>
      </c>
      <c r="AA40" s="2">
        <v>0.17497556207233628</v>
      </c>
      <c r="AB40" s="2"/>
      <c r="AC40" s="2"/>
      <c r="AD40" s="2"/>
      <c r="AE40" s="2"/>
      <c r="AF40" s="2"/>
      <c r="AG40" s="2"/>
    </row>
    <row r="41" spans="1:33">
      <c r="A41" s="5">
        <f>A40+Calculations!$B$4</f>
        <v>78</v>
      </c>
      <c r="B41" s="2">
        <v>0.80058651026392957</v>
      </c>
      <c r="C41" s="2">
        <v>0.41739980449657871</v>
      </c>
      <c r="D41" s="2">
        <v>0.20821114369501467</v>
      </c>
      <c r="E41" s="2">
        <v>0.15933528836754643</v>
      </c>
      <c r="F41" s="2"/>
      <c r="G41" s="2">
        <v>0.94916911045943309</v>
      </c>
      <c r="H41" s="2">
        <v>0.47018572825024441</v>
      </c>
      <c r="I41" s="2">
        <v>0.27174975562072334</v>
      </c>
      <c r="J41" s="2">
        <v>0.13587487781036167</v>
      </c>
      <c r="K41" s="2"/>
      <c r="L41" s="2">
        <v>0.999</v>
      </c>
      <c r="M41" s="2">
        <v>0.48778103616813295</v>
      </c>
      <c r="N41" s="2">
        <v>0.27859237536656889</v>
      </c>
      <c r="O41" s="2">
        <v>0.12218963831867058</v>
      </c>
      <c r="P41" s="2"/>
      <c r="Q41" s="2">
        <v>0.51026392961876832</v>
      </c>
      <c r="R41" s="2">
        <v>0.29716520039100686</v>
      </c>
      <c r="S41" s="2">
        <v>0.16031280547409579</v>
      </c>
      <c r="T41" s="2"/>
      <c r="U41" s="2">
        <v>0.54545454545454541</v>
      </c>
      <c r="V41" s="2">
        <v>0.27859237536656889</v>
      </c>
      <c r="W41" s="2">
        <v>0.17888563049853373</v>
      </c>
      <c r="X41" s="2"/>
      <c r="Y41" s="2">
        <v>0.58553274682306944</v>
      </c>
      <c r="Z41" s="2">
        <v>0.30498533724340177</v>
      </c>
      <c r="AA41" s="2">
        <v>0.18572825024437928</v>
      </c>
      <c r="AB41" s="2"/>
      <c r="AC41" s="2"/>
      <c r="AD41" s="2"/>
      <c r="AE41" s="2"/>
      <c r="AF41" s="2"/>
      <c r="AG41" s="2"/>
    </row>
    <row r="42" spans="1:33">
      <c r="A42" s="5">
        <f>A41+Calculations!$B$4</f>
        <v>80</v>
      </c>
      <c r="B42" s="2">
        <v>0.69696969696969702</v>
      </c>
      <c r="C42" s="2">
        <v>0.40860215053763443</v>
      </c>
      <c r="D42" s="2">
        <v>0.18866080156402737</v>
      </c>
      <c r="E42" s="2">
        <v>0.14858260019550343</v>
      </c>
      <c r="F42" s="2"/>
      <c r="G42" s="2">
        <v>0.90322580645161288</v>
      </c>
      <c r="H42" s="2">
        <v>0.42228739002932553</v>
      </c>
      <c r="I42" s="2">
        <v>0.23851417399804498</v>
      </c>
      <c r="J42" s="2">
        <v>0.1270772238514174</v>
      </c>
      <c r="K42" s="2"/>
      <c r="L42" s="2">
        <v>0.97556207233626591</v>
      </c>
      <c r="M42" s="2">
        <v>0.50439882697947214</v>
      </c>
      <c r="N42" s="2">
        <v>0.24926686217008798</v>
      </c>
      <c r="O42" s="2">
        <v>0.16226783968719452</v>
      </c>
      <c r="P42" s="2"/>
      <c r="Q42" s="2">
        <v>0.51808406647116323</v>
      </c>
      <c r="R42" s="2">
        <v>0.27859237536656889</v>
      </c>
      <c r="S42" s="2">
        <v>0.14369501466275661</v>
      </c>
      <c r="T42" s="2"/>
      <c r="U42" s="2">
        <v>0.57966764418377326</v>
      </c>
      <c r="V42" s="2">
        <v>0.2649071358748778</v>
      </c>
      <c r="W42" s="2">
        <v>0.14369501466275661</v>
      </c>
      <c r="X42" s="2"/>
      <c r="Y42" s="2">
        <v>0.49951124144672532</v>
      </c>
      <c r="Z42" s="2">
        <v>0.34408602150537637</v>
      </c>
      <c r="AA42" s="2">
        <v>0.18670576735092864</v>
      </c>
      <c r="AB42" s="2"/>
      <c r="AC42" s="2"/>
      <c r="AD42" s="2"/>
      <c r="AE42" s="2"/>
      <c r="AF42" s="2"/>
      <c r="AG42" s="2"/>
    </row>
    <row r="43" spans="1:33">
      <c r="A43" s="5">
        <f>A42+Calculations!$B$4</f>
        <v>82</v>
      </c>
      <c r="B43" s="2">
        <v>0.81133919843597258</v>
      </c>
      <c r="C43" s="2">
        <v>0.45454545454545453</v>
      </c>
      <c r="D43" s="2">
        <v>0.2013685239491691</v>
      </c>
      <c r="E43" s="2">
        <v>0.13098729227761485</v>
      </c>
      <c r="F43" s="2"/>
      <c r="G43" s="2">
        <v>0.81818181818181823</v>
      </c>
      <c r="H43" s="2">
        <v>0.38807429130009774</v>
      </c>
      <c r="I43" s="2">
        <v>0.24144672531769307</v>
      </c>
      <c r="J43" s="2">
        <v>0.12121212121212122</v>
      </c>
      <c r="K43" s="2"/>
      <c r="L43" s="2">
        <v>0.999</v>
      </c>
      <c r="M43" s="2">
        <v>0.47214076246334313</v>
      </c>
      <c r="N43" s="2">
        <v>0.27272727272727271</v>
      </c>
      <c r="O43" s="2">
        <v>0.14858260019550343</v>
      </c>
      <c r="P43" s="2"/>
      <c r="Q43" s="2">
        <v>0.44086021505376344</v>
      </c>
      <c r="R43" s="2">
        <v>0.26295210166177907</v>
      </c>
      <c r="S43" s="2">
        <v>0.13489736070381231</v>
      </c>
      <c r="T43" s="2"/>
      <c r="U43" s="2">
        <v>0.49266862170087977</v>
      </c>
      <c r="V43" s="2">
        <v>0.32453567937438904</v>
      </c>
      <c r="W43" s="2">
        <v>0.15347018572825025</v>
      </c>
      <c r="X43" s="2"/>
      <c r="Y43" s="2">
        <v>0.59824046920821117</v>
      </c>
      <c r="Z43" s="2">
        <v>0.2932551319648094</v>
      </c>
      <c r="AA43" s="2">
        <v>0.14271749755620725</v>
      </c>
      <c r="AB43" s="2"/>
      <c r="AC43" s="2"/>
      <c r="AD43" s="2"/>
      <c r="AE43" s="2"/>
      <c r="AF43" s="2"/>
      <c r="AG43" s="2"/>
    </row>
    <row r="44" spans="1:33">
      <c r="A44" s="5">
        <f>A43+Calculations!$B$4</f>
        <v>84</v>
      </c>
      <c r="B44" s="2">
        <v>0.81720430107526887</v>
      </c>
      <c r="C44" s="2">
        <v>0.41153470185728253</v>
      </c>
      <c r="D44" s="2">
        <v>0.21994134897360704</v>
      </c>
      <c r="E44" s="2">
        <v>0.13587487781036167</v>
      </c>
      <c r="F44" s="2"/>
      <c r="G44" s="2">
        <v>0.94623655913978499</v>
      </c>
      <c r="H44" s="2">
        <v>0.45650048875855326</v>
      </c>
      <c r="I44" s="2">
        <v>0.26783968719452589</v>
      </c>
      <c r="J44" s="2">
        <v>0.13391984359726294</v>
      </c>
      <c r="K44" s="2"/>
      <c r="L44" s="2">
        <v>0.999</v>
      </c>
      <c r="M44" s="2">
        <v>0.52101661779081132</v>
      </c>
      <c r="N44" s="2">
        <v>0.23949169110459434</v>
      </c>
      <c r="O44" s="2">
        <v>0.13685239491691104</v>
      </c>
      <c r="P44" s="2"/>
      <c r="Q44" s="2">
        <v>0.53567937438905178</v>
      </c>
      <c r="R44" s="2">
        <v>0.27761485826001953</v>
      </c>
      <c r="S44" s="2">
        <v>0.13391984359726294</v>
      </c>
      <c r="T44" s="2"/>
      <c r="U44" s="2">
        <v>0.52981427174975559</v>
      </c>
      <c r="V44" s="2">
        <v>0.22385141739980449</v>
      </c>
      <c r="W44" s="2">
        <v>0.18279569892473119</v>
      </c>
      <c r="X44" s="2"/>
      <c r="Y44" s="2">
        <v>0.56989247311827962</v>
      </c>
      <c r="Z44" s="2">
        <v>0.32355816226783968</v>
      </c>
      <c r="AA44" s="2">
        <v>0.17106549364613879</v>
      </c>
      <c r="AB44" s="2"/>
      <c r="AC44" s="2"/>
      <c r="AD44" s="2"/>
      <c r="AE44" s="2"/>
      <c r="AF44" s="2"/>
      <c r="AG44" s="2"/>
    </row>
    <row r="45" spans="1:33">
      <c r="A45" s="5">
        <f>A44+Calculations!$B$4</f>
        <v>86</v>
      </c>
      <c r="B45" s="2">
        <v>0.86119257086999024</v>
      </c>
      <c r="C45" s="2">
        <v>0.42815249266862171</v>
      </c>
      <c r="D45" s="2">
        <v>0.20625610948191594</v>
      </c>
      <c r="E45" s="2">
        <v>8.8954056695992184E-2</v>
      </c>
      <c r="F45" s="2"/>
      <c r="G45" s="2">
        <v>0.89833822091886606</v>
      </c>
      <c r="H45" s="2">
        <v>0.47996089931573804</v>
      </c>
      <c r="I45" s="2">
        <v>0.23655913978494625</v>
      </c>
      <c r="J45" s="2">
        <v>0.12121212121212122</v>
      </c>
      <c r="K45" s="2"/>
      <c r="L45" s="2">
        <v>0.999</v>
      </c>
      <c r="M45" s="2">
        <v>0.44672531769305962</v>
      </c>
      <c r="N45" s="2">
        <v>0.26001955034213098</v>
      </c>
      <c r="O45" s="2">
        <v>0.11241446725317693</v>
      </c>
      <c r="P45" s="2"/>
      <c r="Q45" s="2">
        <v>0.49657869012707723</v>
      </c>
      <c r="R45" s="2">
        <v>0.26099706744868034</v>
      </c>
      <c r="S45" s="2">
        <v>0.14956011730205279</v>
      </c>
      <c r="T45" s="2"/>
      <c r="U45" s="2">
        <v>0.6217008797653959</v>
      </c>
      <c r="V45" s="2">
        <v>0.30107526881720431</v>
      </c>
      <c r="W45" s="2">
        <v>0.17399804496578691</v>
      </c>
      <c r="X45" s="2"/>
      <c r="Y45" s="2">
        <v>0.58260019550342135</v>
      </c>
      <c r="Z45" s="2">
        <v>0.30596285434995113</v>
      </c>
      <c r="AA45" s="2">
        <v>0.18866080156402737</v>
      </c>
      <c r="AB45" s="2"/>
      <c r="AC45" s="2"/>
      <c r="AD45" s="2"/>
      <c r="AE45" s="2"/>
      <c r="AF45" s="2"/>
      <c r="AG45" s="2"/>
    </row>
    <row r="46" spans="1:33">
      <c r="A46" s="5">
        <f>A45+Calculations!$B$4</f>
        <v>88</v>
      </c>
      <c r="B46" s="2">
        <v>0.77614858260019548</v>
      </c>
      <c r="C46" s="2">
        <v>0.43695014662756598</v>
      </c>
      <c r="D46" s="2">
        <v>0.1906158357771261</v>
      </c>
      <c r="E46" s="2">
        <v>0.11730205278592376</v>
      </c>
      <c r="F46" s="2"/>
      <c r="G46" s="2">
        <v>0.8944281524926686</v>
      </c>
      <c r="H46" s="2">
        <v>0.45356793743890517</v>
      </c>
      <c r="I46" s="2">
        <v>0.24437927663734116</v>
      </c>
      <c r="J46" s="2">
        <v>0.15347018572825025</v>
      </c>
      <c r="K46" s="2"/>
      <c r="L46" s="2">
        <v>0.999</v>
      </c>
      <c r="M46" s="2">
        <v>0.51124144672531768</v>
      </c>
      <c r="N46" s="2">
        <v>0.23949169110459434</v>
      </c>
      <c r="O46" s="2">
        <v>0.15933528836754643</v>
      </c>
      <c r="P46" s="2"/>
      <c r="Q46" s="2">
        <v>0.50146627565982405</v>
      </c>
      <c r="R46" s="2">
        <v>0.2316715542521994</v>
      </c>
      <c r="S46" s="2">
        <v>0.1466275659824047</v>
      </c>
      <c r="T46" s="2"/>
      <c r="U46" s="2">
        <v>0.54154447702834796</v>
      </c>
      <c r="V46" s="2">
        <v>0.27956989247311825</v>
      </c>
      <c r="W46" s="2">
        <v>0.14076246334310849</v>
      </c>
      <c r="X46" s="2"/>
      <c r="Y46" s="2">
        <v>0.58455522971652008</v>
      </c>
      <c r="Z46" s="2">
        <v>0.33431085043988268</v>
      </c>
      <c r="AA46" s="2">
        <v>0.16226783968719452</v>
      </c>
      <c r="AB46" s="2"/>
      <c r="AC46" s="2"/>
      <c r="AD46" s="2"/>
      <c r="AE46" s="2"/>
      <c r="AF46" s="2"/>
      <c r="AG46" s="2"/>
    </row>
    <row r="47" spans="1:33">
      <c r="A47" s="5">
        <f>A46+Calculations!$B$4</f>
        <v>90</v>
      </c>
      <c r="B47" s="2">
        <v>0.85826001955034215</v>
      </c>
      <c r="C47" s="2">
        <v>0.42326490713587489</v>
      </c>
      <c r="D47" s="2">
        <v>0.20430107526881722</v>
      </c>
      <c r="E47" s="2">
        <v>0.10752688172043011</v>
      </c>
      <c r="F47" s="2"/>
      <c r="G47" s="2">
        <v>0.83284457478005869</v>
      </c>
      <c r="H47" s="2">
        <v>0.44379276637341153</v>
      </c>
      <c r="I47" s="2">
        <v>0.24144672531769307</v>
      </c>
      <c r="J47" s="2">
        <v>0.13489736070381231</v>
      </c>
      <c r="K47" s="2"/>
      <c r="L47" s="2">
        <v>0.999</v>
      </c>
      <c r="M47" s="2">
        <v>0.5053763440860215</v>
      </c>
      <c r="N47" s="2">
        <v>0.23362658846529813</v>
      </c>
      <c r="O47" s="2">
        <v>0.12023460410557185</v>
      </c>
      <c r="P47" s="2"/>
      <c r="Q47" s="2">
        <v>0.49560117302052786</v>
      </c>
      <c r="R47" s="2">
        <v>0.2649071358748778</v>
      </c>
      <c r="S47" s="2">
        <v>0.13294232649071358</v>
      </c>
      <c r="T47" s="2"/>
      <c r="U47" s="2">
        <v>0.5161290322580645</v>
      </c>
      <c r="V47" s="2">
        <v>0.30694037145650049</v>
      </c>
      <c r="W47" s="2">
        <v>0.14760508308895406</v>
      </c>
      <c r="X47" s="2"/>
      <c r="Y47" s="2">
        <v>0.63147605083088953</v>
      </c>
      <c r="Z47" s="2">
        <v>0.33528836754643204</v>
      </c>
      <c r="AA47" s="2">
        <v>0.18670576735092864</v>
      </c>
      <c r="AB47" s="2"/>
      <c r="AC47" s="2"/>
      <c r="AD47" s="2"/>
      <c r="AE47" s="2"/>
      <c r="AF47" s="2"/>
      <c r="AG47" s="2"/>
    </row>
    <row r="48" spans="1:33">
      <c r="A48" s="5">
        <f>A47+Calculations!$B$4</f>
        <v>92</v>
      </c>
      <c r="B48" s="2">
        <v>0.75562072336265884</v>
      </c>
      <c r="C48" s="2">
        <v>0.37438905180840665</v>
      </c>
      <c r="D48" s="2">
        <v>0.20234604105571846</v>
      </c>
      <c r="E48" s="2">
        <v>0.14760508308895406</v>
      </c>
      <c r="F48" s="2"/>
      <c r="G48" s="2">
        <v>0.89931573802541542</v>
      </c>
      <c r="H48" s="2">
        <v>0.43206256109481916</v>
      </c>
      <c r="I48" s="2">
        <v>0.22385141739980449</v>
      </c>
      <c r="J48" s="2">
        <v>0.11339198435972629</v>
      </c>
      <c r="K48" s="2"/>
      <c r="L48" s="2">
        <v>0.98338220918866082</v>
      </c>
      <c r="M48" s="2">
        <v>0.50048875855327468</v>
      </c>
      <c r="N48" s="2">
        <v>0.26295210166177907</v>
      </c>
      <c r="O48" s="2">
        <v>0.15249266862170088</v>
      </c>
      <c r="P48" s="2"/>
      <c r="Q48" s="2">
        <v>0.47996089931573804</v>
      </c>
      <c r="R48" s="2">
        <v>0.28836754643206258</v>
      </c>
      <c r="S48" s="2">
        <v>0.16031280547409579</v>
      </c>
      <c r="T48" s="2"/>
      <c r="U48" s="2">
        <v>0.56891495601173026</v>
      </c>
      <c r="V48" s="2">
        <v>0.30987292277614858</v>
      </c>
      <c r="W48" s="2">
        <v>0.18963831867057673</v>
      </c>
      <c r="X48" s="2"/>
      <c r="Y48" s="2">
        <v>0.58553274682306944</v>
      </c>
      <c r="Z48" s="2">
        <v>0.30303030303030304</v>
      </c>
      <c r="AA48" s="2">
        <v>0.19354838709677419</v>
      </c>
      <c r="AB48" s="2"/>
      <c r="AC48" s="2"/>
      <c r="AD48" s="2"/>
      <c r="AE48" s="2"/>
      <c r="AF48" s="2"/>
      <c r="AG48" s="2"/>
    </row>
    <row r="49" spans="1:33">
      <c r="A49" s="5">
        <f>A48+Calculations!$B$4</f>
        <v>94</v>
      </c>
      <c r="B49" s="2">
        <v>0.72531769305962857</v>
      </c>
      <c r="C49" s="2">
        <v>0.38709677419354838</v>
      </c>
      <c r="D49" s="2">
        <v>0.20234604105571846</v>
      </c>
      <c r="E49" s="2">
        <v>0.13000977517106549</v>
      </c>
      <c r="F49" s="2"/>
      <c r="G49" s="2">
        <v>0.82502443792766378</v>
      </c>
      <c r="H49" s="2">
        <v>0.46041055718475071</v>
      </c>
      <c r="I49" s="2">
        <v>0.19257086999022482</v>
      </c>
      <c r="J49" s="2">
        <v>0.16129032258064516</v>
      </c>
      <c r="K49" s="2"/>
      <c r="L49" s="2">
        <v>0.999</v>
      </c>
      <c r="M49" s="2">
        <v>0.41642228739002934</v>
      </c>
      <c r="N49" s="2">
        <v>0.24926686217008798</v>
      </c>
      <c r="O49" s="2">
        <v>0.16422287390029325</v>
      </c>
      <c r="P49" s="2"/>
      <c r="Q49" s="2">
        <v>0.49071358748778104</v>
      </c>
      <c r="R49" s="2">
        <v>0.22385141739980449</v>
      </c>
      <c r="S49" s="2">
        <v>0.13489736070381231</v>
      </c>
      <c r="T49" s="2"/>
      <c r="U49" s="2">
        <v>0.49951124144672532</v>
      </c>
      <c r="V49" s="2">
        <v>0.27272727272727271</v>
      </c>
      <c r="W49" s="2">
        <v>0.16520039100684261</v>
      </c>
      <c r="X49" s="2"/>
      <c r="Y49" s="2">
        <v>0.59530791788856308</v>
      </c>
      <c r="Z49" s="2">
        <v>0.27468230694037143</v>
      </c>
      <c r="AA49" s="2">
        <v>0.18279569892473119</v>
      </c>
      <c r="AB49" s="2"/>
      <c r="AC49" s="2"/>
      <c r="AD49" s="2"/>
      <c r="AE49" s="2"/>
      <c r="AF49" s="2"/>
      <c r="AG49" s="2"/>
    </row>
    <row r="50" spans="1:33">
      <c r="A50" s="5">
        <f>A49+Calculations!$B$4</f>
        <v>96</v>
      </c>
      <c r="B50" s="2">
        <v>0.71065493646138811</v>
      </c>
      <c r="C50" s="2">
        <v>0.41446725317693062</v>
      </c>
      <c r="D50" s="2">
        <v>0.20625610948191594</v>
      </c>
      <c r="E50" s="2">
        <v>0.13391984359726294</v>
      </c>
      <c r="F50" s="2"/>
      <c r="G50" s="2">
        <v>0.8299120234604106</v>
      </c>
      <c r="H50" s="2">
        <v>0.47898338220918868</v>
      </c>
      <c r="I50" s="2">
        <v>0.26392961876832843</v>
      </c>
      <c r="J50" s="2">
        <v>0.13391984359726294</v>
      </c>
      <c r="K50" s="2"/>
      <c r="L50" s="2">
        <v>0.96969696969696972</v>
      </c>
      <c r="M50" s="2">
        <v>0.45063538611925708</v>
      </c>
      <c r="N50" s="2">
        <v>0.2316715542521994</v>
      </c>
      <c r="O50" s="2">
        <v>0.14760508308895406</v>
      </c>
      <c r="P50" s="2"/>
      <c r="Q50" s="2">
        <v>0.52590420332355814</v>
      </c>
      <c r="R50" s="2">
        <v>0.24242424242424243</v>
      </c>
      <c r="S50" s="2">
        <v>0.15151515151515152</v>
      </c>
      <c r="T50" s="2"/>
      <c r="U50" s="2">
        <v>0.58846529814271753</v>
      </c>
      <c r="V50" s="2">
        <v>0.29130009775171067</v>
      </c>
      <c r="W50" s="2">
        <v>0.12609970674486803</v>
      </c>
      <c r="X50" s="2"/>
      <c r="Y50" s="2">
        <v>0.57184750733137835</v>
      </c>
      <c r="Z50" s="2">
        <v>0.25317693059628543</v>
      </c>
      <c r="AA50" s="2">
        <v>0.14760508308895406</v>
      </c>
      <c r="AB50" s="2"/>
      <c r="AC50" s="2"/>
      <c r="AD50" s="2"/>
      <c r="AE50" s="2"/>
      <c r="AF50" s="2"/>
      <c r="AG50" s="2"/>
    </row>
    <row r="51" spans="1:33">
      <c r="A51" s="5">
        <f>A50+Calculations!$B$4</f>
        <v>98</v>
      </c>
      <c r="B51" s="2">
        <v>0.7810361681329423</v>
      </c>
      <c r="C51" s="2">
        <v>0.4203323558162268</v>
      </c>
      <c r="D51" s="2">
        <v>0.26099706744868034</v>
      </c>
      <c r="E51" s="2">
        <v>8.3088954056695988E-2</v>
      </c>
      <c r="F51" s="2"/>
      <c r="G51" s="2">
        <v>0.94721407624633436</v>
      </c>
      <c r="H51" s="2">
        <v>0.51026392961876832</v>
      </c>
      <c r="I51" s="2">
        <v>0.25219941348973607</v>
      </c>
      <c r="J51" s="2">
        <v>0.12805474095796676</v>
      </c>
      <c r="K51" s="2"/>
      <c r="L51" s="2">
        <v>0.999</v>
      </c>
      <c r="M51" s="2">
        <v>0.50733137829912023</v>
      </c>
      <c r="N51" s="2">
        <v>0.26295210166177907</v>
      </c>
      <c r="O51" s="2">
        <v>0.14858260019550343</v>
      </c>
      <c r="P51" s="2"/>
      <c r="Q51" s="2">
        <v>0.50342130987292277</v>
      </c>
      <c r="R51" s="2">
        <v>0.23655913978494625</v>
      </c>
      <c r="S51" s="2">
        <v>0.13489736070381231</v>
      </c>
      <c r="T51" s="2"/>
      <c r="U51" s="2">
        <v>0.52101661779081132</v>
      </c>
      <c r="V51" s="2">
        <v>0.30791788856304986</v>
      </c>
      <c r="W51" s="2">
        <v>0.13978494623655913</v>
      </c>
      <c r="X51" s="2"/>
      <c r="Y51" s="2">
        <v>0.5757575757575758</v>
      </c>
      <c r="Z51" s="2">
        <v>0.29521016617790813</v>
      </c>
      <c r="AA51" s="2">
        <v>0.12903225806451613</v>
      </c>
      <c r="AB51" s="2"/>
      <c r="AC51" s="2"/>
      <c r="AD51" s="2"/>
      <c r="AE51" s="2"/>
      <c r="AF51" s="2"/>
      <c r="AG51" s="2"/>
    </row>
    <row r="52" spans="1:33">
      <c r="A52" s="5">
        <f>A51+Calculations!$B$4</f>
        <v>100</v>
      </c>
      <c r="B52" s="2">
        <v>0.81231671554252194</v>
      </c>
      <c r="C52" s="2">
        <v>0.4095796676441838</v>
      </c>
      <c r="D52" s="2">
        <v>0.19452590420332355</v>
      </c>
      <c r="E52" s="2">
        <v>0.12316715542521994</v>
      </c>
      <c r="F52" s="2"/>
      <c r="G52" s="2">
        <v>0.9296187683284457</v>
      </c>
      <c r="H52" s="2">
        <v>0.43597262952101662</v>
      </c>
      <c r="I52" s="2">
        <v>0.20234604105571846</v>
      </c>
      <c r="J52" s="2">
        <v>0.11827956989247312</v>
      </c>
      <c r="K52" s="2"/>
      <c r="L52" s="2">
        <v>0.99315738025415445</v>
      </c>
      <c r="M52" s="2">
        <v>0.43792766373411535</v>
      </c>
      <c r="N52" s="2">
        <v>0.26295210166177907</v>
      </c>
      <c r="O52" s="2">
        <v>0.13489736070381231</v>
      </c>
      <c r="P52" s="2"/>
      <c r="Q52" s="2">
        <v>0.49560117302052786</v>
      </c>
      <c r="R52" s="2">
        <v>0.30009775171065495</v>
      </c>
      <c r="S52" s="2">
        <v>0.13880742913000976</v>
      </c>
      <c r="T52" s="2"/>
      <c r="U52" s="2">
        <v>0.51417399804496577</v>
      </c>
      <c r="V52" s="2">
        <v>0.30303030303030304</v>
      </c>
      <c r="W52" s="2">
        <v>0.15249266862170088</v>
      </c>
      <c r="X52" s="2"/>
      <c r="Y52" s="2">
        <v>0.60508308895405671</v>
      </c>
      <c r="Z52" s="2">
        <v>0.31085043988269795</v>
      </c>
      <c r="AA52" s="2">
        <v>0.15347018572825025</v>
      </c>
      <c r="AB52" s="2"/>
      <c r="AC52" s="2"/>
      <c r="AD52" s="2"/>
      <c r="AE52" s="2"/>
      <c r="AF52" s="2"/>
      <c r="AG52" s="2"/>
    </row>
    <row r="53" spans="1:33">
      <c r="A53" s="5">
        <f>A52+Calculations!$B$4</f>
        <v>102</v>
      </c>
      <c r="B53" s="2">
        <v>0.77517106549364612</v>
      </c>
      <c r="C53" s="2">
        <v>0.3890518084066471</v>
      </c>
      <c r="D53" s="2">
        <v>0.22873900293255131</v>
      </c>
      <c r="E53" s="2">
        <v>0.10557184750733138</v>
      </c>
      <c r="F53" s="2"/>
      <c r="G53" s="2">
        <v>0.86119257086999024</v>
      </c>
      <c r="H53" s="2">
        <v>0.4203323558162268</v>
      </c>
      <c r="I53" s="2">
        <v>0.22678396871945258</v>
      </c>
      <c r="J53" s="2">
        <v>0.1270772238514174</v>
      </c>
      <c r="K53" s="2"/>
      <c r="L53" s="2">
        <v>0.999</v>
      </c>
      <c r="M53" s="2">
        <v>0.46529814271749753</v>
      </c>
      <c r="N53" s="2">
        <v>0.21798631476050831</v>
      </c>
      <c r="O53" s="2">
        <v>0.14467253176930597</v>
      </c>
      <c r="P53" s="2"/>
      <c r="Q53" s="2">
        <v>0.4838709677419355</v>
      </c>
      <c r="R53" s="2">
        <v>0.29227761485826004</v>
      </c>
      <c r="S53" s="2">
        <v>0.16031280547409579</v>
      </c>
      <c r="T53" s="2"/>
      <c r="U53" s="2">
        <v>0.5053763440860215</v>
      </c>
      <c r="V53" s="2">
        <v>0.27956989247311825</v>
      </c>
      <c r="W53" s="2">
        <v>0.16617790811339198</v>
      </c>
      <c r="X53" s="2"/>
      <c r="Y53" s="2">
        <v>0.50635386119257086</v>
      </c>
      <c r="Z53" s="2">
        <v>0.2825024437927664</v>
      </c>
      <c r="AA53" s="2">
        <v>0.16422287390029325</v>
      </c>
      <c r="AB53" s="2"/>
      <c r="AC53" s="2"/>
      <c r="AD53" s="2"/>
      <c r="AE53" s="2"/>
      <c r="AF53" s="2"/>
      <c r="AG53" s="2"/>
    </row>
    <row r="54" spans="1:33">
      <c r="A54" s="5">
        <f>A53+Calculations!$B$4</f>
        <v>104</v>
      </c>
      <c r="B54" s="2">
        <v>0.83773216031280551</v>
      </c>
      <c r="C54" s="2">
        <v>0.38025415444770283</v>
      </c>
      <c r="D54" s="2">
        <v>0.22678396871945258</v>
      </c>
      <c r="E54" s="2">
        <v>0.12023460410557185</v>
      </c>
      <c r="F54" s="2"/>
      <c r="G54" s="2">
        <v>0.82306940371456505</v>
      </c>
      <c r="H54" s="2">
        <v>0.41251221896383189</v>
      </c>
      <c r="I54" s="2">
        <v>0.20723362658846531</v>
      </c>
      <c r="J54" s="2">
        <v>0.15444770283479961</v>
      </c>
      <c r="K54" s="2"/>
      <c r="L54" s="2">
        <v>0.91984359726295206</v>
      </c>
      <c r="M54" s="2">
        <v>0.44965786901270771</v>
      </c>
      <c r="N54" s="2">
        <v>0.26588465298142716</v>
      </c>
      <c r="O54" s="2">
        <v>0.17204301075268819</v>
      </c>
      <c r="P54" s="2"/>
      <c r="Q54" s="2">
        <v>0.49071358748778104</v>
      </c>
      <c r="R54" s="2">
        <v>0.23851417399804498</v>
      </c>
      <c r="S54" s="2">
        <v>9.6774193548387094E-2</v>
      </c>
      <c r="T54" s="2"/>
      <c r="U54" s="2">
        <v>0.5376344086021505</v>
      </c>
      <c r="V54" s="2">
        <v>0.26392961876832843</v>
      </c>
      <c r="W54" s="2">
        <v>0.14173998044965788</v>
      </c>
      <c r="X54" s="2"/>
      <c r="Y54" s="2">
        <v>0.51808406647116323</v>
      </c>
      <c r="Z54" s="2">
        <v>0.29912023460410558</v>
      </c>
      <c r="AA54" s="2">
        <v>0.15249266862170088</v>
      </c>
      <c r="AB54" s="2"/>
      <c r="AC54" s="2"/>
      <c r="AD54" s="2"/>
      <c r="AE54" s="2"/>
      <c r="AF54" s="2"/>
      <c r="AG54" s="2"/>
    </row>
    <row r="55" spans="1:33">
      <c r="A55" s="5">
        <f>A54+Calculations!$B$4</f>
        <v>106</v>
      </c>
      <c r="B55" s="2">
        <v>0.81231671554252194</v>
      </c>
      <c r="C55" s="2">
        <v>0.35777126099706746</v>
      </c>
      <c r="D55" s="2">
        <v>0.20821114369501467</v>
      </c>
      <c r="E55" s="2">
        <v>0.13978494623655913</v>
      </c>
      <c r="F55" s="2"/>
      <c r="G55" s="2">
        <v>0.91691104594330397</v>
      </c>
      <c r="H55" s="2">
        <v>0.45063538611925708</v>
      </c>
      <c r="I55" s="2">
        <v>0.24633431085043989</v>
      </c>
      <c r="J55" s="2">
        <v>0.13489736070381231</v>
      </c>
      <c r="K55" s="2"/>
      <c r="L55" s="2">
        <v>0.96089931573802545</v>
      </c>
      <c r="M55" s="2">
        <v>0.4310850439882698</v>
      </c>
      <c r="N55" s="2">
        <v>0.23851417399804498</v>
      </c>
      <c r="O55" s="2">
        <v>0.13978494623655913</v>
      </c>
      <c r="P55" s="2"/>
      <c r="Q55" s="2">
        <v>0.4838709677419355</v>
      </c>
      <c r="R55" s="2">
        <v>0.27272727272727271</v>
      </c>
      <c r="S55" s="2">
        <v>0.12512218963831867</v>
      </c>
      <c r="T55" s="2"/>
      <c r="U55" s="2">
        <v>0.52883675464320623</v>
      </c>
      <c r="V55" s="2">
        <v>0.25610948191593352</v>
      </c>
      <c r="W55" s="2">
        <v>0.13978494623655913</v>
      </c>
      <c r="X55" s="2"/>
      <c r="Y55" s="2">
        <v>0.54740957966764414</v>
      </c>
      <c r="Z55" s="2">
        <v>0.30498533724340177</v>
      </c>
      <c r="AA55" s="2">
        <v>0.17399804496578691</v>
      </c>
      <c r="AB55" s="2"/>
      <c r="AC55" s="2"/>
      <c r="AD55" s="2"/>
      <c r="AE55" s="2"/>
      <c r="AF55" s="2"/>
      <c r="AG55" s="2"/>
    </row>
    <row r="56" spans="1:33">
      <c r="A56" s="5">
        <f>A55+Calculations!$B$4</f>
        <v>108</v>
      </c>
      <c r="B56" s="2">
        <v>0.69696969696969702</v>
      </c>
      <c r="C56" s="2">
        <v>0.38318670576735092</v>
      </c>
      <c r="D56" s="2">
        <v>0.20332355816226783</v>
      </c>
      <c r="E56" s="2">
        <v>8.6021505376344093E-2</v>
      </c>
      <c r="F56" s="2"/>
      <c r="G56" s="2">
        <v>0.85923753665689151</v>
      </c>
      <c r="H56" s="2">
        <v>0.4310850439882698</v>
      </c>
      <c r="I56" s="2">
        <v>0.21603128054740958</v>
      </c>
      <c r="J56" s="2">
        <v>0.17008797653958943</v>
      </c>
      <c r="K56" s="2"/>
      <c r="L56" s="2">
        <v>0.86412512218963833</v>
      </c>
      <c r="M56" s="2">
        <v>0.5053763440860215</v>
      </c>
      <c r="N56" s="2">
        <v>0.21700879765395895</v>
      </c>
      <c r="O56" s="2">
        <v>0.13685239491691104</v>
      </c>
      <c r="P56" s="2"/>
      <c r="Q56" s="2">
        <v>0.48875855327468232</v>
      </c>
      <c r="R56" s="2">
        <v>0.28054740957966762</v>
      </c>
      <c r="S56" s="2">
        <v>9.9706744868035185E-2</v>
      </c>
      <c r="T56" s="2"/>
      <c r="U56" s="2">
        <v>0.5053763440860215</v>
      </c>
      <c r="V56" s="2">
        <v>0.30987292277614858</v>
      </c>
      <c r="W56" s="2">
        <v>0.15640273704789834</v>
      </c>
      <c r="X56" s="2"/>
      <c r="Y56" s="2">
        <v>0.61681329423264908</v>
      </c>
      <c r="Z56" s="2">
        <v>0.23655913978494625</v>
      </c>
      <c r="AA56" s="2">
        <v>0.18279569892473119</v>
      </c>
      <c r="AB56" s="2"/>
      <c r="AC56" s="2"/>
      <c r="AD56" s="2"/>
      <c r="AE56" s="2"/>
      <c r="AF56" s="2"/>
      <c r="AG56" s="2"/>
    </row>
    <row r="57" spans="1:33">
      <c r="A57" s="5">
        <f>A56+Calculations!$B$4</f>
        <v>110</v>
      </c>
      <c r="B57" s="2">
        <v>0.72238514173998047</v>
      </c>
      <c r="C57" s="2">
        <v>0.41935483870967744</v>
      </c>
      <c r="D57" s="2">
        <v>0.20723362658846531</v>
      </c>
      <c r="E57" s="2">
        <v>0.13000977517106549</v>
      </c>
      <c r="F57" s="2"/>
      <c r="G57" s="2">
        <v>0.84652981427174978</v>
      </c>
      <c r="H57" s="2">
        <v>0.40762463343108507</v>
      </c>
      <c r="I57" s="2">
        <v>0.24926686217008798</v>
      </c>
      <c r="J57" s="2">
        <v>0.15347018572825025</v>
      </c>
      <c r="K57" s="2"/>
      <c r="L57" s="2">
        <v>0.94134897360703818</v>
      </c>
      <c r="M57" s="2">
        <v>0.45747800586510262</v>
      </c>
      <c r="N57" s="2">
        <v>0.27272727272727271</v>
      </c>
      <c r="O57" s="2">
        <v>0.11730205278592376</v>
      </c>
      <c r="P57" s="2"/>
      <c r="Q57" s="2">
        <v>0.50342130987292277</v>
      </c>
      <c r="R57" s="2">
        <v>0.23655913978494625</v>
      </c>
      <c r="S57" s="2">
        <v>0.12316715542521994</v>
      </c>
      <c r="T57" s="2"/>
      <c r="U57" s="2">
        <v>0.54740957966764414</v>
      </c>
      <c r="V57" s="2">
        <v>0.2541544477028348</v>
      </c>
      <c r="W57" s="2">
        <v>0.16911045943304007</v>
      </c>
      <c r="X57" s="2"/>
      <c r="Y57" s="2">
        <v>0.55034213098729223</v>
      </c>
      <c r="Z57" s="2">
        <v>0.2825024437927664</v>
      </c>
      <c r="AA57" s="2">
        <v>0.14760508308895406</v>
      </c>
      <c r="AB57" s="2"/>
      <c r="AC57" s="2"/>
      <c r="AD57" s="2"/>
      <c r="AE57" s="2"/>
      <c r="AF57" s="2"/>
      <c r="AG57" s="2"/>
    </row>
    <row r="58" spans="1:33">
      <c r="A58" s="5">
        <f>A57+Calculations!$B$4</f>
        <v>112</v>
      </c>
      <c r="B58" s="2">
        <v>0.77810361681329421</v>
      </c>
      <c r="C58" s="2">
        <v>0.4027370478983382</v>
      </c>
      <c r="D58" s="2">
        <v>0.24340175953079179</v>
      </c>
      <c r="E58" s="2">
        <v>0.11730205278592376</v>
      </c>
      <c r="F58" s="2"/>
      <c r="G58" s="2">
        <v>0.83284457478005869</v>
      </c>
      <c r="H58" s="2">
        <v>0.41739980449657871</v>
      </c>
      <c r="I58" s="2">
        <v>0.22678396871945258</v>
      </c>
      <c r="J58" s="2">
        <v>0.1270772238514174</v>
      </c>
      <c r="K58" s="2"/>
      <c r="L58" s="2">
        <v>0.93450635386119252</v>
      </c>
      <c r="M58" s="2">
        <v>0.49364613880742914</v>
      </c>
      <c r="N58" s="2">
        <v>0.26197458455522971</v>
      </c>
      <c r="O58" s="2">
        <v>0.1378299120234604</v>
      </c>
      <c r="P58" s="2"/>
      <c r="Q58" s="2">
        <v>0.47018572825024441</v>
      </c>
      <c r="R58" s="2">
        <v>0.27859237536656889</v>
      </c>
      <c r="S58" s="2">
        <v>0.13294232649071358</v>
      </c>
      <c r="T58" s="2"/>
      <c r="U58" s="2">
        <v>0.50146627565982405</v>
      </c>
      <c r="V58" s="2">
        <v>0.27956989247311825</v>
      </c>
      <c r="W58" s="2">
        <v>0.18475073313782991</v>
      </c>
      <c r="X58" s="2"/>
      <c r="Y58" s="2">
        <v>0.55522971652003905</v>
      </c>
      <c r="Z58" s="2">
        <v>0.33431085043988268</v>
      </c>
      <c r="AA58" s="2">
        <v>0.20918866080156404</v>
      </c>
      <c r="AB58" s="2"/>
      <c r="AC58" s="2"/>
      <c r="AD58" s="2"/>
      <c r="AE58" s="2"/>
      <c r="AF58" s="2"/>
      <c r="AG58" s="2"/>
    </row>
    <row r="59" spans="1:33">
      <c r="A59" s="5">
        <f>A58+Calculations!$B$4</f>
        <v>114</v>
      </c>
      <c r="B59" s="2">
        <v>0.78005865102639294</v>
      </c>
      <c r="C59" s="2">
        <v>0.44965786901270771</v>
      </c>
      <c r="D59" s="2">
        <v>0.21896383186705767</v>
      </c>
      <c r="E59" s="2">
        <v>0.11534701857282502</v>
      </c>
      <c r="F59" s="2"/>
      <c r="G59" s="2">
        <v>0.83479960899315742</v>
      </c>
      <c r="H59" s="2">
        <v>0.49266862170087977</v>
      </c>
      <c r="I59" s="2">
        <v>0.2209188660801564</v>
      </c>
      <c r="J59" s="2">
        <v>0.10361681329423265</v>
      </c>
      <c r="K59" s="2"/>
      <c r="L59" s="2">
        <v>0.989247311827957</v>
      </c>
      <c r="M59" s="2">
        <v>0.48582600195503423</v>
      </c>
      <c r="N59" s="2">
        <v>0.25219941348973607</v>
      </c>
      <c r="O59" s="2">
        <v>0.14369501466275661</v>
      </c>
      <c r="P59" s="2"/>
      <c r="Q59" s="2">
        <v>0.51026392961876832</v>
      </c>
      <c r="R59" s="2">
        <v>0.26295210166177907</v>
      </c>
      <c r="S59" s="2">
        <v>0.1270772238514174</v>
      </c>
      <c r="T59" s="2"/>
      <c r="U59" s="2">
        <v>0.52981427174975559</v>
      </c>
      <c r="V59" s="2">
        <v>0.26295210166177907</v>
      </c>
      <c r="W59" s="2">
        <v>0.1906158357771261</v>
      </c>
      <c r="X59" s="2"/>
      <c r="Y59" s="2">
        <v>0.58944281524926689</v>
      </c>
      <c r="Z59" s="2">
        <v>0.28641251221896386</v>
      </c>
      <c r="AA59" s="2">
        <v>0.13489736070381231</v>
      </c>
      <c r="AB59" s="2"/>
      <c r="AC59" s="2"/>
      <c r="AD59" s="2"/>
      <c r="AE59" s="2"/>
      <c r="AF59" s="2"/>
      <c r="AG59" s="2"/>
    </row>
    <row r="60" spans="1:33">
      <c r="A60" s="5">
        <f>A59+Calculations!$B$4</f>
        <v>116</v>
      </c>
      <c r="B60" s="2">
        <v>0.73411534701857284</v>
      </c>
      <c r="C60" s="2">
        <v>0.39687194525904201</v>
      </c>
      <c r="D60" s="2">
        <v>0.21798631476050831</v>
      </c>
      <c r="E60" s="2">
        <v>0.1270772238514174</v>
      </c>
      <c r="F60" s="2"/>
      <c r="G60" s="2">
        <v>0.83773216031280551</v>
      </c>
      <c r="H60" s="2">
        <v>0.45161290322580644</v>
      </c>
      <c r="I60" s="2">
        <v>0.26197458455522971</v>
      </c>
      <c r="J60" s="2">
        <v>0.10948191593352884</v>
      </c>
      <c r="K60" s="2"/>
      <c r="L60" s="2">
        <v>0.93352883675464315</v>
      </c>
      <c r="M60" s="2">
        <v>0.4203323558162268</v>
      </c>
      <c r="N60" s="2">
        <v>0.22482893450635386</v>
      </c>
      <c r="O60" s="2">
        <v>0.15151515151515152</v>
      </c>
      <c r="P60" s="2"/>
      <c r="Q60" s="2">
        <v>0.49364613880742914</v>
      </c>
      <c r="R60" s="2">
        <v>0.25317693059628543</v>
      </c>
      <c r="S60" s="2">
        <v>0.11339198435972629</v>
      </c>
      <c r="T60" s="2"/>
      <c r="U60" s="2">
        <v>0.4731182795698925</v>
      </c>
      <c r="V60" s="2">
        <v>0.3284457478005865</v>
      </c>
      <c r="W60" s="2">
        <v>0.16226783968719452</v>
      </c>
      <c r="X60" s="2"/>
      <c r="Y60" s="2">
        <v>0.57184750733137835</v>
      </c>
      <c r="Z60" s="2">
        <v>0.33040078201368522</v>
      </c>
      <c r="AA60" s="2">
        <v>0.16422287390029325</v>
      </c>
      <c r="AB60" s="2"/>
      <c r="AC60" s="2"/>
      <c r="AD60" s="2"/>
      <c r="AE60" s="2"/>
      <c r="AF60" s="2"/>
      <c r="AG60" s="2"/>
    </row>
    <row r="61" spans="1:33">
      <c r="A61" s="5">
        <f>A60+Calculations!$B$4</f>
        <v>118</v>
      </c>
      <c r="B61" s="2">
        <v>0.7458455522971652</v>
      </c>
      <c r="C61" s="2">
        <v>0.38025415444770283</v>
      </c>
      <c r="D61" s="2">
        <v>0.1798631476050831</v>
      </c>
      <c r="E61" s="2">
        <v>0.13196480938416422</v>
      </c>
      <c r="F61" s="2"/>
      <c r="G61" s="2">
        <v>0.90420332355816224</v>
      </c>
      <c r="H61" s="2">
        <v>0.45161290322580644</v>
      </c>
      <c r="I61" s="2">
        <v>0.23753665689149561</v>
      </c>
      <c r="J61" s="2">
        <v>0.10654936461388075</v>
      </c>
      <c r="K61" s="2"/>
      <c r="L61" s="2">
        <v>0.999</v>
      </c>
      <c r="M61" s="2">
        <v>0.38416422287390029</v>
      </c>
      <c r="N61" s="2">
        <v>0.25024437927663734</v>
      </c>
      <c r="O61" s="2">
        <v>0.10068426197458455</v>
      </c>
      <c r="P61" s="2"/>
      <c r="Q61" s="2">
        <v>0.48093841642228741</v>
      </c>
      <c r="R61" s="2">
        <v>0.25904203323558161</v>
      </c>
      <c r="S61" s="2">
        <v>0.14858260019550343</v>
      </c>
      <c r="T61" s="2"/>
      <c r="U61" s="2">
        <v>0.59042033235581626</v>
      </c>
      <c r="V61" s="2">
        <v>0.26686217008797652</v>
      </c>
      <c r="W61" s="2">
        <v>0.14467253176930597</v>
      </c>
      <c r="X61" s="2"/>
      <c r="Y61" s="2">
        <v>0.58748778103616817</v>
      </c>
      <c r="Z61" s="2">
        <v>0.29814271749755622</v>
      </c>
      <c r="AA61" s="2">
        <v>0.13587487781036167</v>
      </c>
      <c r="AB61" s="2"/>
      <c r="AC61" s="2"/>
      <c r="AD61" s="2"/>
      <c r="AE61" s="2"/>
      <c r="AF61" s="2"/>
      <c r="AG61" s="2"/>
    </row>
    <row r="62" spans="1:33">
      <c r="A62" s="5">
        <f>A61+Calculations!$B$4</f>
        <v>120</v>
      </c>
      <c r="B62" s="2">
        <v>0.77126099706744866</v>
      </c>
      <c r="C62" s="2">
        <v>0.39687194525904201</v>
      </c>
      <c r="D62" s="2">
        <v>0.176930596285435</v>
      </c>
      <c r="E62" s="2">
        <v>0.11730205278592376</v>
      </c>
      <c r="F62" s="2"/>
      <c r="G62" s="2">
        <v>0.87683284457478006</v>
      </c>
      <c r="H62" s="2">
        <v>0.43988269794721407</v>
      </c>
      <c r="I62" s="2">
        <v>0.1906158357771261</v>
      </c>
      <c r="J62" s="2">
        <v>0.11534701857282502</v>
      </c>
      <c r="K62" s="2"/>
      <c r="L62" s="2">
        <v>0.97947214076246336</v>
      </c>
      <c r="M62" s="2">
        <v>0.47996089931573804</v>
      </c>
      <c r="N62" s="2">
        <v>0.22776148582600195</v>
      </c>
      <c r="O62" s="2">
        <v>0.11632453567937438</v>
      </c>
      <c r="P62" s="2"/>
      <c r="Q62" s="2">
        <v>0.46725317693059626</v>
      </c>
      <c r="R62" s="2">
        <v>0.26686217008797652</v>
      </c>
      <c r="S62" s="2">
        <v>0.14076246334310849</v>
      </c>
      <c r="T62" s="2"/>
      <c r="U62" s="2">
        <v>0.61388074291300099</v>
      </c>
      <c r="V62" s="2">
        <v>0.2512218963831867</v>
      </c>
      <c r="W62" s="2">
        <v>0.16031280547409579</v>
      </c>
      <c r="X62" s="2"/>
      <c r="Y62" s="2">
        <v>0.56989247311827962</v>
      </c>
      <c r="Z62" s="2">
        <v>0.28054740957966762</v>
      </c>
      <c r="AA62" s="2">
        <v>0.17106549364613879</v>
      </c>
      <c r="AB62" s="2"/>
      <c r="AC62" s="2"/>
      <c r="AD62" s="2"/>
      <c r="AE62" s="2"/>
      <c r="AF62" s="2"/>
      <c r="AG62" s="2"/>
    </row>
    <row r="63" spans="1:33">
      <c r="A63" s="5">
        <f>A62+Calculations!$B$4</f>
        <v>122</v>
      </c>
      <c r="B63" s="2">
        <v>0.75268817204301075</v>
      </c>
      <c r="C63" s="2">
        <v>0.41251221896383189</v>
      </c>
      <c r="D63" s="2">
        <v>0.18279569892473119</v>
      </c>
      <c r="E63" s="2">
        <v>0.10361681329423265</v>
      </c>
      <c r="F63" s="2"/>
      <c r="G63" s="2">
        <v>0.8162267839687195</v>
      </c>
      <c r="H63" s="2">
        <v>0.45063538611925708</v>
      </c>
      <c r="I63" s="2">
        <v>0.2209188660801564</v>
      </c>
      <c r="J63" s="2">
        <v>0.14956011730205279</v>
      </c>
      <c r="K63" s="2"/>
      <c r="L63" s="2">
        <v>0.999</v>
      </c>
      <c r="M63" s="2">
        <v>0.4525904203323558</v>
      </c>
      <c r="N63" s="2">
        <v>0.28836754643206258</v>
      </c>
      <c r="O63" s="2">
        <v>0.13880742913000976</v>
      </c>
      <c r="P63" s="2"/>
      <c r="Q63" s="2">
        <v>0.46823069403714562</v>
      </c>
      <c r="R63" s="2">
        <v>0.2756598240469208</v>
      </c>
      <c r="S63" s="2">
        <v>0.13294232649071358</v>
      </c>
      <c r="T63" s="2"/>
      <c r="U63" s="2">
        <v>0.51906158357771259</v>
      </c>
      <c r="V63" s="2">
        <v>0.2649071358748778</v>
      </c>
      <c r="W63" s="2">
        <v>0.15542521994134897</v>
      </c>
      <c r="X63" s="2"/>
      <c r="Y63" s="2">
        <v>0.58064516129032262</v>
      </c>
      <c r="Z63" s="2">
        <v>0.27468230694037143</v>
      </c>
      <c r="AA63" s="2">
        <v>0.14565004887585534</v>
      </c>
      <c r="AB63" s="2"/>
      <c r="AC63" s="2"/>
      <c r="AD63" s="2"/>
      <c r="AE63" s="2"/>
      <c r="AF63" s="2"/>
      <c r="AG63" s="2"/>
    </row>
    <row r="64" spans="1:33">
      <c r="A64" s="5">
        <f>A63+Calculations!$B$4</f>
        <v>124</v>
      </c>
      <c r="B64" s="2">
        <v>0.73998044965786902</v>
      </c>
      <c r="C64" s="2">
        <v>0.36168132942326492</v>
      </c>
      <c r="D64" s="2">
        <v>0.21994134897360704</v>
      </c>
      <c r="E64" s="2">
        <v>0.10166177908113391</v>
      </c>
      <c r="F64" s="2"/>
      <c r="G64" s="2">
        <v>0.83088954056695996</v>
      </c>
      <c r="H64" s="2">
        <v>0.44086021505376344</v>
      </c>
      <c r="I64" s="2">
        <v>0.18963831867057673</v>
      </c>
      <c r="J64" s="2">
        <v>0.11925708699902249</v>
      </c>
      <c r="K64" s="2"/>
      <c r="L64" s="2">
        <v>0.94037145650048881</v>
      </c>
      <c r="M64" s="2">
        <v>0.44477028347996089</v>
      </c>
      <c r="N64" s="2">
        <v>0.24144672531769307</v>
      </c>
      <c r="O64" s="2">
        <v>0.14271749755620725</v>
      </c>
      <c r="P64" s="2"/>
      <c r="Q64" s="2">
        <v>0.49951124144672532</v>
      </c>
      <c r="R64" s="2">
        <v>0.23753665689149561</v>
      </c>
      <c r="S64" s="2">
        <v>0.15249266862170088</v>
      </c>
      <c r="T64" s="2"/>
      <c r="U64" s="2">
        <v>0.47507331378299122</v>
      </c>
      <c r="V64" s="2">
        <v>0.28543499511241449</v>
      </c>
      <c r="W64" s="2">
        <v>0.14369501466275661</v>
      </c>
      <c r="X64" s="2"/>
      <c r="Y64" s="2">
        <v>0.52003910068426196</v>
      </c>
      <c r="Z64" s="2">
        <v>0.3460410557184751</v>
      </c>
      <c r="AA64" s="2">
        <v>0.17008797653958943</v>
      </c>
      <c r="AB64" s="2"/>
      <c r="AC64" s="2"/>
      <c r="AD64" s="2"/>
      <c r="AE64" s="2"/>
      <c r="AF64" s="2"/>
      <c r="AG64" s="2"/>
    </row>
    <row r="65" spans="1:33">
      <c r="A65" s="5">
        <f>A64+Calculations!$B$4</f>
        <v>126</v>
      </c>
      <c r="B65" s="2">
        <v>0.7243401759530792</v>
      </c>
      <c r="C65" s="2">
        <v>0.43695014662756598</v>
      </c>
      <c r="D65" s="2">
        <v>0.16422287390029325</v>
      </c>
      <c r="E65" s="2">
        <v>0.11632453567937438</v>
      </c>
      <c r="F65" s="2"/>
      <c r="G65" s="2">
        <v>0.82404692082111441</v>
      </c>
      <c r="H65" s="2">
        <v>0.41446725317693062</v>
      </c>
      <c r="I65" s="2">
        <v>0.16031280547409579</v>
      </c>
      <c r="J65" s="2">
        <v>0.13685239491691104</v>
      </c>
      <c r="K65" s="2"/>
      <c r="L65" s="2">
        <v>0.98044965786901273</v>
      </c>
      <c r="M65" s="2">
        <v>0.52199413489736068</v>
      </c>
      <c r="N65" s="2">
        <v>0.21700879765395895</v>
      </c>
      <c r="O65" s="2">
        <v>0.14858260019550343</v>
      </c>
      <c r="P65" s="2"/>
      <c r="Q65" s="2">
        <v>0.50439882697947214</v>
      </c>
      <c r="R65" s="2">
        <v>0.22385141739980449</v>
      </c>
      <c r="S65" s="2">
        <v>0.12903225806451613</v>
      </c>
      <c r="T65" s="2"/>
      <c r="U65" s="2">
        <v>0.47996089931573804</v>
      </c>
      <c r="V65" s="2">
        <v>0.26099706744868034</v>
      </c>
      <c r="W65" s="2">
        <v>0.15249266862170088</v>
      </c>
      <c r="X65" s="2"/>
      <c r="Y65" s="2">
        <v>0.53665689149560114</v>
      </c>
      <c r="Z65" s="2">
        <v>0.27859237536656889</v>
      </c>
      <c r="AA65" s="2">
        <v>0.18768328445747801</v>
      </c>
      <c r="AB65" s="2"/>
      <c r="AC65" s="2"/>
      <c r="AD65" s="2"/>
      <c r="AE65" s="2"/>
      <c r="AF65" s="2"/>
      <c r="AG65" s="2"/>
    </row>
    <row r="66" spans="1:33">
      <c r="A66" s="5">
        <f>A65+Calculations!$B$4</f>
        <v>128</v>
      </c>
      <c r="B66" s="2">
        <v>0.74095796676441839</v>
      </c>
      <c r="C66" s="2">
        <v>0.40078201368523947</v>
      </c>
      <c r="D66" s="2">
        <v>0.16911045943304007</v>
      </c>
      <c r="E66" s="2">
        <v>0.13978494623655913</v>
      </c>
      <c r="F66" s="2"/>
      <c r="G66" s="2">
        <v>0.79276637341153466</v>
      </c>
      <c r="H66" s="2">
        <v>0.43890518084066471</v>
      </c>
      <c r="I66" s="2">
        <v>0.20918866080156404</v>
      </c>
      <c r="J66" s="2">
        <v>0.13978494623655913</v>
      </c>
      <c r="K66" s="2"/>
      <c r="L66" s="2">
        <v>0.92179863147605079</v>
      </c>
      <c r="M66" s="2">
        <v>0.46236559139784944</v>
      </c>
      <c r="N66" s="2">
        <v>0.25024437927663734</v>
      </c>
      <c r="O66" s="2">
        <v>0.14956011730205279</v>
      </c>
      <c r="P66" s="2"/>
      <c r="Q66" s="2">
        <v>0.51515151515151514</v>
      </c>
      <c r="R66" s="2">
        <v>0.28934506353861195</v>
      </c>
      <c r="S66" s="2">
        <v>0.13978494623655913</v>
      </c>
      <c r="T66" s="2"/>
      <c r="U66" s="2">
        <v>0.47409579667644186</v>
      </c>
      <c r="V66" s="2">
        <v>0.29521016617790813</v>
      </c>
      <c r="W66" s="2">
        <v>0.15347018572825025</v>
      </c>
      <c r="X66" s="2"/>
      <c r="Y66" s="2">
        <v>0.52883675464320623</v>
      </c>
      <c r="Z66" s="2">
        <v>0.31280547409579668</v>
      </c>
      <c r="AA66" s="2">
        <v>0.16324535679374388</v>
      </c>
      <c r="AB66" s="2"/>
      <c r="AC66" s="2"/>
      <c r="AD66" s="2"/>
      <c r="AE66" s="2"/>
      <c r="AF66" s="2"/>
      <c r="AG66" s="2"/>
    </row>
    <row r="67" spans="1:33">
      <c r="A67" s="5">
        <f>A66+Calculations!$B$4</f>
        <v>130</v>
      </c>
      <c r="B67" s="2">
        <v>0.65884652981427172</v>
      </c>
      <c r="C67" s="2">
        <v>0.42521994134897362</v>
      </c>
      <c r="D67" s="2">
        <v>0.19843597262952101</v>
      </c>
      <c r="E67" s="2">
        <v>9.3841642228739003E-2</v>
      </c>
      <c r="F67" s="2"/>
      <c r="G67" s="2">
        <v>0.78885630498533721</v>
      </c>
      <c r="H67" s="2">
        <v>0.38709677419354838</v>
      </c>
      <c r="I67" s="2">
        <v>0.24144672531769307</v>
      </c>
      <c r="J67" s="2">
        <v>0.13978494623655913</v>
      </c>
      <c r="K67" s="2"/>
      <c r="L67" s="2">
        <v>0.95796676441837736</v>
      </c>
      <c r="M67" s="2">
        <v>0.47116324535679377</v>
      </c>
      <c r="N67" s="2">
        <v>0.2316715542521994</v>
      </c>
      <c r="O67" s="2">
        <v>0.15444770283479961</v>
      </c>
      <c r="P67" s="2"/>
      <c r="Q67" s="2">
        <v>0.4525904203323558</v>
      </c>
      <c r="R67" s="2">
        <v>0.23460410557184752</v>
      </c>
      <c r="S67" s="2">
        <v>0.13880742913000976</v>
      </c>
      <c r="T67" s="2"/>
      <c r="U67" s="2">
        <v>0.53372434017595305</v>
      </c>
      <c r="V67" s="2">
        <v>0.27077223851417398</v>
      </c>
      <c r="W67" s="2">
        <v>0.18475073313782991</v>
      </c>
      <c r="X67" s="2"/>
      <c r="Y67" s="2">
        <v>0.50733137829912023</v>
      </c>
      <c r="Z67" s="2">
        <v>0.29227761485826004</v>
      </c>
      <c r="AA67" s="2">
        <v>0.13489736070381231</v>
      </c>
      <c r="AB67" s="2"/>
      <c r="AC67" s="2"/>
      <c r="AD67" s="2"/>
      <c r="AE67" s="2"/>
      <c r="AF67" s="2"/>
      <c r="AG67" s="2"/>
    </row>
    <row r="68" spans="1:33">
      <c r="A68" s="5">
        <f>A67+Calculations!$B$4</f>
        <v>132</v>
      </c>
      <c r="B68" s="2">
        <v>0.77223851417399803</v>
      </c>
      <c r="C68" s="2">
        <v>0.36168132942326492</v>
      </c>
      <c r="D68" s="2">
        <v>0.19452590420332355</v>
      </c>
      <c r="E68" s="2">
        <v>0.10263929618768329</v>
      </c>
      <c r="F68" s="2"/>
      <c r="G68" s="2">
        <v>0.83088954056695996</v>
      </c>
      <c r="H68" s="2">
        <v>0.46041055718475071</v>
      </c>
      <c r="I68" s="2">
        <v>0.22776148582600195</v>
      </c>
      <c r="J68" s="2">
        <v>8.6021505376344093E-2</v>
      </c>
      <c r="K68" s="2"/>
      <c r="L68" s="2">
        <v>0.94525904203323563</v>
      </c>
      <c r="M68" s="2">
        <v>0.50342130987292277</v>
      </c>
      <c r="N68" s="2">
        <v>0.25904203323558161</v>
      </c>
      <c r="O68" s="2">
        <v>0.13685239491691104</v>
      </c>
      <c r="P68" s="2"/>
      <c r="Q68" s="2">
        <v>0.50244379276637341</v>
      </c>
      <c r="R68" s="2">
        <v>0.27956989247311825</v>
      </c>
      <c r="S68" s="2">
        <v>0.15151515151515152</v>
      </c>
      <c r="T68" s="2"/>
      <c r="U68" s="2">
        <v>0.48191593352883677</v>
      </c>
      <c r="V68" s="2">
        <v>0.27859237536656889</v>
      </c>
      <c r="W68" s="2">
        <v>0.15249266862170088</v>
      </c>
      <c r="X68" s="2"/>
      <c r="Y68" s="2">
        <v>0.55229716520039096</v>
      </c>
      <c r="Z68" s="2">
        <v>0.36070381231671556</v>
      </c>
      <c r="AA68" s="2">
        <v>0.1681329423264907</v>
      </c>
      <c r="AB68" s="2"/>
      <c r="AC68" s="2"/>
      <c r="AD68" s="2"/>
      <c r="AE68" s="2"/>
      <c r="AF68" s="2"/>
      <c r="AG68" s="2"/>
    </row>
    <row r="69" spans="1:33">
      <c r="A69" s="5">
        <f>A68+Calculations!$B$4</f>
        <v>134</v>
      </c>
      <c r="B69" s="2">
        <v>0.6754643206256109</v>
      </c>
      <c r="C69" s="2">
        <v>0.4027370478983382</v>
      </c>
      <c r="D69" s="2">
        <v>0.16911045943304007</v>
      </c>
      <c r="E69" s="2">
        <v>0.11143695014662756</v>
      </c>
      <c r="F69" s="2"/>
      <c r="G69" s="2">
        <v>0.82306940371456505</v>
      </c>
      <c r="H69" s="2">
        <v>0.44672531769305962</v>
      </c>
      <c r="I69" s="2">
        <v>0.19452590420332355</v>
      </c>
      <c r="J69" s="2">
        <v>0.13978494623655913</v>
      </c>
      <c r="K69" s="2"/>
      <c r="L69" s="2">
        <v>0.84555229716520042</v>
      </c>
      <c r="M69" s="2">
        <v>0.46138807429130008</v>
      </c>
      <c r="N69" s="2">
        <v>0.24242424242424243</v>
      </c>
      <c r="O69" s="2">
        <v>0.12609970674486803</v>
      </c>
      <c r="P69" s="2"/>
      <c r="Q69" s="2">
        <v>0.48680351906158359</v>
      </c>
      <c r="R69" s="2">
        <v>0.2541544477028348</v>
      </c>
      <c r="S69" s="2">
        <v>0.13294232649071358</v>
      </c>
      <c r="T69" s="2"/>
      <c r="U69" s="2">
        <v>0.53861192570869987</v>
      </c>
      <c r="V69" s="2">
        <v>0.28641251221896386</v>
      </c>
      <c r="W69" s="2">
        <v>0.1270772238514174</v>
      </c>
      <c r="X69" s="2"/>
      <c r="Y69" s="2">
        <v>0.52590420332355814</v>
      </c>
      <c r="Z69" s="2">
        <v>0.34799608993157383</v>
      </c>
      <c r="AA69" s="2">
        <v>0.18279569892473119</v>
      </c>
      <c r="AB69" s="2"/>
      <c r="AC69" s="2"/>
      <c r="AD69" s="2"/>
      <c r="AE69" s="2"/>
      <c r="AF69" s="2"/>
      <c r="AG69" s="2"/>
    </row>
    <row r="70" spans="1:33">
      <c r="A70" s="5">
        <f>A69+Calculations!$B$4</f>
        <v>136</v>
      </c>
      <c r="B70" s="2">
        <v>0.80351906158357767</v>
      </c>
      <c r="C70" s="2">
        <v>0.42130987292277616</v>
      </c>
      <c r="D70" s="2">
        <v>0.21407624633431085</v>
      </c>
      <c r="E70" s="2">
        <v>0.10557184750733138</v>
      </c>
      <c r="F70" s="2"/>
      <c r="G70" s="2">
        <v>0.83088954056695996</v>
      </c>
      <c r="H70" s="2">
        <v>0.41348973607038125</v>
      </c>
      <c r="I70" s="2">
        <v>0.20234604105571846</v>
      </c>
      <c r="J70" s="2">
        <v>0.13294232649071358</v>
      </c>
      <c r="K70" s="2"/>
      <c r="L70" s="2">
        <v>0.999</v>
      </c>
      <c r="M70" s="2">
        <v>0.45943304007820135</v>
      </c>
      <c r="N70" s="2">
        <v>0.26099706744868034</v>
      </c>
      <c r="O70" s="2">
        <v>0.11730205278592376</v>
      </c>
      <c r="P70" s="2"/>
      <c r="Q70" s="2">
        <v>0.46920821114369504</v>
      </c>
      <c r="R70" s="2">
        <v>0.26783968719452589</v>
      </c>
      <c r="S70" s="2">
        <v>0.15249266862170088</v>
      </c>
      <c r="T70" s="2"/>
      <c r="U70" s="2">
        <v>0.52883675464320623</v>
      </c>
      <c r="V70" s="2">
        <v>0.25708699902248289</v>
      </c>
      <c r="W70" s="2">
        <v>0.13000977517106549</v>
      </c>
      <c r="X70" s="2"/>
      <c r="Y70" s="2">
        <v>0.5650048875855328</v>
      </c>
      <c r="Z70" s="2">
        <v>0.31671554252199413</v>
      </c>
      <c r="AA70" s="2">
        <v>0.12414467253176931</v>
      </c>
      <c r="AB70" s="2"/>
      <c r="AC70" s="2"/>
      <c r="AD70" s="2"/>
      <c r="AE70" s="2"/>
      <c r="AF70" s="2"/>
      <c r="AG70" s="2"/>
    </row>
    <row r="71" spans="1:33">
      <c r="A71" s="5">
        <f>A70+Calculations!$B$4</f>
        <v>138</v>
      </c>
      <c r="B71" s="2">
        <v>0.74486803519061584</v>
      </c>
      <c r="C71" s="2">
        <v>0.39491691104594329</v>
      </c>
      <c r="D71" s="2">
        <v>0.20039100684261973</v>
      </c>
      <c r="E71" s="2">
        <v>9.9706744868035185E-2</v>
      </c>
      <c r="F71" s="2"/>
      <c r="G71" s="2">
        <v>0.86803519061583578</v>
      </c>
      <c r="H71" s="2">
        <v>0.42228739002932553</v>
      </c>
      <c r="I71" s="2">
        <v>0.22971652003910067</v>
      </c>
      <c r="J71" s="2">
        <v>0.13880742913000976</v>
      </c>
      <c r="K71" s="2"/>
      <c r="L71" s="2">
        <v>0.86021505376344087</v>
      </c>
      <c r="M71" s="2">
        <v>0.43499511241446726</v>
      </c>
      <c r="N71" s="2">
        <v>0.27174975562072334</v>
      </c>
      <c r="O71" s="2">
        <v>0.13685239491691104</v>
      </c>
      <c r="P71" s="2"/>
      <c r="Q71" s="2">
        <v>0.46236559139784944</v>
      </c>
      <c r="R71" s="2">
        <v>0.24926686217008798</v>
      </c>
      <c r="S71" s="2">
        <v>0.16031280547409579</v>
      </c>
      <c r="T71" s="2"/>
      <c r="U71" s="2">
        <v>0.52590420332355814</v>
      </c>
      <c r="V71" s="2">
        <v>0.25904203323558161</v>
      </c>
      <c r="W71" s="2">
        <v>0.1378299120234604</v>
      </c>
      <c r="X71" s="2"/>
      <c r="Y71" s="2">
        <v>0.49169110459433041</v>
      </c>
      <c r="Z71" s="2">
        <v>0.29227761485826004</v>
      </c>
      <c r="AA71" s="2">
        <v>0.16715542521994134</v>
      </c>
      <c r="AB71" s="2"/>
      <c r="AC71" s="2"/>
      <c r="AD71" s="2"/>
      <c r="AE71" s="2"/>
      <c r="AF71" s="2"/>
      <c r="AG71" s="2"/>
    </row>
    <row r="72" spans="1:33">
      <c r="A72" s="5">
        <f>A71+Calculations!$B$4</f>
        <v>140</v>
      </c>
      <c r="B72" s="2">
        <v>0.72825024437927666</v>
      </c>
      <c r="C72" s="2">
        <v>0.35483870967741937</v>
      </c>
      <c r="D72" s="2">
        <v>0.23069403714565004</v>
      </c>
      <c r="E72" s="2">
        <v>0.11143695014662756</v>
      </c>
      <c r="F72" s="2"/>
      <c r="G72" s="2">
        <v>0.86021505376344087</v>
      </c>
      <c r="H72" s="2">
        <v>0.44379276637341153</v>
      </c>
      <c r="I72" s="2">
        <v>0.20527859237536658</v>
      </c>
      <c r="J72" s="2">
        <v>0.14467253176930597</v>
      </c>
      <c r="K72" s="2"/>
      <c r="L72" s="2">
        <v>0.95014662756598245</v>
      </c>
      <c r="M72" s="2">
        <v>0.47800586510263932</v>
      </c>
      <c r="N72" s="2">
        <v>0.23558162267839688</v>
      </c>
      <c r="O72" s="2">
        <v>0.13880742913000976</v>
      </c>
      <c r="P72" s="2"/>
      <c r="Q72" s="2">
        <v>0.49560117302052786</v>
      </c>
      <c r="R72" s="2">
        <v>0.2541544477028348</v>
      </c>
      <c r="S72" s="2">
        <v>0.15640273704789834</v>
      </c>
      <c r="T72" s="2"/>
      <c r="U72" s="2">
        <v>0.55816226783968714</v>
      </c>
      <c r="V72" s="2">
        <v>0.32160312805474095</v>
      </c>
      <c r="W72" s="2">
        <v>0.13880742913000976</v>
      </c>
      <c r="X72" s="2"/>
      <c r="Y72" s="2">
        <v>0.58064516129032262</v>
      </c>
      <c r="Z72" s="2">
        <v>0.32258064516129031</v>
      </c>
      <c r="AA72" s="2">
        <v>0.15151515151515152</v>
      </c>
      <c r="AB72" s="2"/>
      <c r="AC72" s="2"/>
      <c r="AD72" s="2"/>
      <c r="AE72" s="2"/>
      <c r="AF72" s="2"/>
      <c r="AG72" s="2"/>
    </row>
    <row r="73" spans="1:33">
      <c r="A73" s="5">
        <f>A72+Calculations!$B$4</f>
        <v>142</v>
      </c>
      <c r="B73" s="2">
        <v>0.67839687194525899</v>
      </c>
      <c r="C73" s="2">
        <v>0.37047898338220919</v>
      </c>
      <c r="D73" s="2">
        <v>0.2101661779081134</v>
      </c>
      <c r="E73" s="2">
        <v>0.11534701857282502</v>
      </c>
      <c r="F73" s="2"/>
      <c r="G73" s="2">
        <v>0.82502443792766378</v>
      </c>
      <c r="H73" s="2">
        <v>0.41153470185728253</v>
      </c>
      <c r="I73" s="2">
        <v>0.24535679374389052</v>
      </c>
      <c r="J73" s="2">
        <v>0.10850439882697947</v>
      </c>
      <c r="K73" s="2"/>
      <c r="L73" s="2">
        <v>0.86119257086999024</v>
      </c>
      <c r="M73" s="2">
        <v>0.41055718475073316</v>
      </c>
      <c r="N73" s="2">
        <v>0.29814271749755622</v>
      </c>
      <c r="O73" s="2">
        <v>0.13196480938416422</v>
      </c>
      <c r="P73" s="2"/>
      <c r="Q73" s="2">
        <v>0.47702834799608995</v>
      </c>
      <c r="R73" s="2">
        <v>0.26979472140762462</v>
      </c>
      <c r="S73" s="2">
        <v>0.12609970674486803</v>
      </c>
      <c r="T73" s="2"/>
      <c r="U73" s="2">
        <v>0.50830889540566959</v>
      </c>
      <c r="V73" s="2">
        <v>0.26881720430107525</v>
      </c>
      <c r="W73" s="2">
        <v>0.13098729227761485</v>
      </c>
      <c r="X73" s="2"/>
      <c r="Y73" s="2">
        <v>0.53567937438905178</v>
      </c>
      <c r="Z73" s="2">
        <v>0.24731182795698925</v>
      </c>
      <c r="AA73" s="2">
        <v>0.19159335288367546</v>
      </c>
      <c r="AB73" s="2"/>
      <c r="AC73" s="2"/>
      <c r="AD73" s="2"/>
      <c r="AE73" s="2"/>
      <c r="AF73" s="2"/>
      <c r="AG73" s="2"/>
    </row>
    <row r="74" spans="1:33">
      <c r="A74" s="5">
        <f>A73+Calculations!$B$4</f>
        <v>144</v>
      </c>
      <c r="B74" s="2">
        <v>0.71065493646138811</v>
      </c>
      <c r="C74" s="2">
        <v>0.38709677419354838</v>
      </c>
      <c r="D74" s="2">
        <v>0.2013685239491691</v>
      </c>
      <c r="E74" s="2">
        <v>0.14467253176930597</v>
      </c>
      <c r="F74" s="2"/>
      <c r="G74" s="2">
        <v>0.80938416422287385</v>
      </c>
      <c r="H74" s="2">
        <v>0.38611925708699901</v>
      </c>
      <c r="I74" s="2">
        <v>0.21700879765395895</v>
      </c>
      <c r="J74" s="2">
        <v>0.11339198435972629</v>
      </c>
      <c r="K74" s="2"/>
      <c r="L74" s="2">
        <v>0.8621700879765396</v>
      </c>
      <c r="M74" s="2">
        <v>0.44379276637341153</v>
      </c>
      <c r="N74" s="2">
        <v>0.23264907135874877</v>
      </c>
      <c r="O74" s="2">
        <v>0.13489736070381231</v>
      </c>
      <c r="P74" s="2"/>
      <c r="Q74" s="2">
        <v>0.5376344086021505</v>
      </c>
      <c r="R74" s="2">
        <v>0.2649071358748778</v>
      </c>
      <c r="S74" s="2">
        <v>0.14956011730205279</v>
      </c>
      <c r="T74" s="2"/>
      <c r="U74" s="2">
        <v>0.44086021505376344</v>
      </c>
      <c r="V74" s="2">
        <v>0.26783968719452589</v>
      </c>
      <c r="W74" s="2">
        <v>0.15151515151515152</v>
      </c>
      <c r="X74" s="2"/>
      <c r="Y74" s="2">
        <v>0.54447702834799605</v>
      </c>
      <c r="Z74" s="2">
        <v>0.28739002932551322</v>
      </c>
      <c r="AA74" s="2">
        <v>0.1378299120234604</v>
      </c>
      <c r="AB74" s="2"/>
      <c r="AC74" s="2"/>
      <c r="AD74" s="2"/>
      <c r="AE74" s="2"/>
      <c r="AF74" s="2"/>
      <c r="AG74" s="2"/>
    </row>
    <row r="75" spans="1:33">
      <c r="A75" s="5">
        <f>A74+Calculations!$B$4</f>
        <v>146</v>
      </c>
      <c r="B75" s="2">
        <v>0.7135874877810362</v>
      </c>
      <c r="C75" s="2">
        <v>0.40469208211143692</v>
      </c>
      <c r="D75" s="2">
        <v>0.17790811339198437</v>
      </c>
      <c r="E75" s="2">
        <v>0.12414467253176931</v>
      </c>
      <c r="F75" s="2"/>
      <c r="G75" s="2">
        <v>0.80156402737047894</v>
      </c>
      <c r="H75" s="2">
        <v>0.44379276637341153</v>
      </c>
      <c r="I75" s="2">
        <v>0.24828934506353861</v>
      </c>
      <c r="J75" s="2">
        <v>0.11632453567937438</v>
      </c>
      <c r="K75" s="2"/>
      <c r="L75" s="2">
        <v>0.96285434995112418</v>
      </c>
      <c r="M75" s="2">
        <v>0.42326490713587489</v>
      </c>
      <c r="N75" s="2">
        <v>0.24828934506353861</v>
      </c>
      <c r="O75" s="2">
        <v>0.13880742913000976</v>
      </c>
      <c r="P75" s="2"/>
      <c r="Q75" s="2">
        <v>0.49657869012707723</v>
      </c>
      <c r="R75" s="2">
        <v>0.26001955034213098</v>
      </c>
      <c r="S75" s="2">
        <v>0.12414467253176931</v>
      </c>
      <c r="T75" s="2"/>
      <c r="U75" s="2">
        <v>0.51515151515151514</v>
      </c>
      <c r="V75" s="2">
        <v>0.28641251221896386</v>
      </c>
      <c r="W75" s="2">
        <v>0.1466275659824047</v>
      </c>
      <c r="X75" s="2"/>
      <c r="Y75" s="2">
        <v>0.51515151515151514</v>
      </c>
      <c r="Z75" s="2">
        <v>0.28739002932551322</v>
      </c>
      <c r="AA75" s="2">
        <v>0.176930596285435</v>
      </c>
      <c r="AB75" s="2"/>
      <c r="AC75" s="2"/>
      <c r="AD75" s="2"/>
      <c r="AE75" s="2"/>
      <c r="AF75" s="2"/>
      <c r="AG75" s="2"/>
    </row>
    <row r="76" spans="1:33">
      <c r="A76" s="5">
        <f>A75+Calculations!$B$4</f>
        <v>148</v>
      </c>
      <c r="B76" s="2">
        <v>0.68426197458455518</v>
      </c>
      <c r="C76" s="2">
        <v>0.33724340175953077</v>
      </c>
      <c r="D76" s="2">
        <v>0.19550342130987292</v>
      </c>
      <c r="E76" s="2">
        <v>0.1270772238514174</v>
      </c>
      <c r="F76" s="2"/>
      <c r="G76" s="2">
        <v>0.8944281524926686</v>
      </c>
      <c r="H76" s="2">
        <v>0.3919843597262952</v>
      </c>
      <c r="I76" s="2">
        <v>0.22580645161290322</v>
      </c>
      <c r="J76" s="2">
        <v>0.13685239491691104</v>
      </c>
      <c r="K76" s="2"/>
      <c r="L76" s="2">
        <v>0.90322580645161288</v>
      </c>
      <c r="M76" s="2">
        <v>0.4731182795698925</v>
      </c>
      <c r="N76" s="2">
        <v>0.26686217008797652</v>
      </c>
      <c r="O76" s="2">
        <v>0.11632453567937438</v>
      </c>
      <c r="P76" s="2"/>
      <c r="Q76" s="2">
        <v>0.5053763440860215</v>
      </c>
      <c r="R76" s="2">
        <v>0.23949169110459434</v>
      </c>
      <c r="S76" s="2">
        <v>0.15347018572825025</v>
      </c>
      <c r="T76" s="2"/>
      <c r="U76" s="2">
        <v>0.52394916911045941</v>
      </c>
      <c r="V76" s="2">
        <v>0.27077223851417398</v>
      </c>
      <c r="W76" s="2">
        <v>0.15347018572825025</v>
      </c>
      <c r="X76" s="2"/>
      <c r="Y76" s="2">
        <v>0.55718475073313778</v>
      </c>
      <c r="Z76" s="2">
        <v>0.27956989247311825</v>
      </c>
      <c r="AA76" s="2">
        <v>0.12805474095796676</v>
      </c>
      <c r="AB76" s="2"/>
      <c r="AC76" s="2"/>
      <c r="AD76" s="2"/>
      <c r="AE76" s="2"/>
      <c r="AF76" s="2"/>
      <c r="AG76" s="2"/>
    </row>
    <row r="77" spans="1:33">
      <c r="A77" s="5">
        <f>A76+Calculations!$B$4</f>
        <v>150</v>
      </c>
      <c r="B77" s="2">
        <v>0.75464320625610948</v>
      </c>
      <c r="C77" s="2">
        <v>0.37047898338220919</v>
      </c>
      <c r="D77" s="2">
        <v>0.20821114369501467</v>
      </c>
      <c r="E77" s="2">
        <v>0.11143695014662756</v>
      </c>
      <c r="F77" s="2"/>
      <c r="G77" s="2">
        <v>0.9433040078201369</v>
      </c>
      <c r="H77" s="2">
        <v>0.41348973607038125</v>
      </c>
      <c r="I77" s="2">
        <v>0.19452590420332355</v>
      </c>
      <c r="J77" s="2">
        <v>0.12805474095796676</v>
      </c>
      <c r="K77" s="2"/>
      <c r="L77" s="2">
        <v>0.98533724340175954</v>
      </c>
      <c r="M77" s="2">
        <v>0.44868035190615835</v>
      </c>
      <c r="N77" s="2">
        <v>0.21212121212121213</v>
      </c>
      <c r="O77" s="2">
        <v>0.12023460410557185</v>
      </c>
      <c r="P77" s="2"/>
      <c r="Q77" s="2">
        <v>0.4731182795698925</v>
      </c>
      <c r="R77" s="2">
        <v>0.2541544477028348</v>
      </c>
      <c r="S77" s="2">
        <v>0.15640273704789834</v>
      </c>
      <c r="T77" s="2"/>
      <c r="U77" s="2">
        <v>0.4633431085043988</v>
      </c>
      <c r="V77" s="2">
        <v>0.2541544477028348</v>
      </c>
      <c r="W77" s="2">
        <v>0.12512218963831867</v>
      </c>
      <c r="X77" s="2"/>
      <c r="Y77" s="2">
        <v>0.5972629521016618</v>
      </c>
      <c r="Z77" s="2">
        <v>0.28934506353861195</v>
      </c>
      <c r="AA77" s="2">
        <v>0.15640273704789834</v>
      </c>
      <c r="AB77" s="2"/>
      <c r="AC77" s="2"/>
      <c r="AD77" s="2"/>
      <c r="AE77" s="2"/>
      <c r="AF77" s="2"/>
      <c r="AG77" s="2"/>
    </row>
    <row r="78" spans="1:33">
      <c r="A78" s="5">
        <f>A77+Calculations!$B$4</f>
        <v>152</v>
      </c>
      <c r="B78" s="2">
        <v>0.76050830889540566</v>
      </c>
      <c r="C78" s="2">
        <v>0.37732160312805474</v>
      </c>
      <c r="D78" s="2">
        <v>0.18963831867057673</v>
      </c>
      <c r="E78" s="2">
        <v>0.12023460410557185</v>
      </c>
      <c r="F78" s="2"/>
      <c r="G78" s="2">
        <v>0.8621700879765396</v>
      </c>
      <c r="H78" s="2">
        <v>0.39589442815249265</v>
      </c>
      <c r="I78" s="2">
        <v>0.18377321603128055</v>
      </c>
      <c r="J78" s="2">
        <v>9.7751710654936458E-2</v>
      </c>
      <c r="K78" s="2"/>
      <c r="L78" s="2">
        <v>0.999</v>
      </c>
      <c r="M78" s="2">
        <v>0.42913000977517107</v>
      </c>
      <c r="N78" s="2">
        <v>0.24242424242424243</v>
      </c>
      <c r="O78" s="2">
        <v>0.17497556207233628</v>
      </c>
      <c r="P78" s="2"/>
      <c r="Q78" s="2">
        <v>0.47996089931573804</v>
      </c>
      <c r="R78" s="2">
        <v>0.25219941348973607</v>
      </c>
      <c r="S78" s="2">
        <v>0.1573802541544477</v>
      </c>
      <c r="T78" s="2"/>
      <c r="U78" s="2">
        <v>0.51221896383186705</v>
      </c>
      <c r="V78" s="2">
        <v>0.27272727272727271</v>
      </c>
      <c r="W78" s="2">
        <v>0.14173998044965788</v>
      </c>
      <c r="X78" s="2"/>
      <c r="Y78" s="2">
        <v>0.50048875855327468</v>
      </c>
      <c r="Z78" s="2">
        <v>0.23362658846529813</v>
      </c>
      <c r="AA78" s="2">
        <v>0.14956011730205279</v>
      </c>
      <c r="AB78" s="2"/>
      <c r="AC78" s="2"/>
      <c r="AD78" s="2"/>
      <c r="AE78" s="2"/>
      <c r="AF78" s="2"/>
      <c r="AG78" s="2"/>
    </row>
    <row r="79" spans="1:33">
      <c r="A79" s="5">
        <f>A78+Calculations!$B$4</f>
        <v>154</v>
      </c>
      <c r="B79" s="2">
        <v>0.78983382209188657</v>
      </c>
      <c r="C79" s="2">
        <v>0.38025415444770283</v>
      </c>
      <c r="D79" s="2">
        <v>0.21603128054740958</v>
      </c>
      <c r="E79" s="2">
        <v>0.11827956989247312</v>
      </c>
      <c r="F79" s="2"/>
      <c r="G79" s="2">
        <v>0.90127077223851415</v>
      </c>
      <c r="H79" s="2">
        <v>0.43499511241446726</v>
      </c>
      <c r="I79" s="2">
        <v>0.25806451612903225</v>
      </c>
      <c r="J79" s="2">
        <v>0.13587487781036167</v>
      </c>
      <c r="K79" s="2"/>
      <c r="L79" s="2">
        <v>0.9188660801564027</v>
      </c>
      <c r="M79" s="2">
        <v>0.46432062561094817</v>
      </c>
      <c r="N79" s="2">
        <v>0.20039100684261973</v>
      </c>
      <c r="O79" s="2">
        <v>0.13098729227761485</v>
      </c>
      <c r="P79" s="2"/>
      <c r="Q79" s="2">
        <v>0.46823069403714562</v>
      </c>
      <c r="R79" s="2">
        <v>0.27663734115347016</v>
      </c>
      <c r="S79" s="2">
        <v>0.14858260019550343</v>
      </c>
      <c r="T79" s="2"/>
      <c r="U79" s="2">
        <v>0.48093841642228741</v>
      </c>
      <c r="V79" s="2">
        <v>0.24340175953079179</v>
      </c>
      <c r="W79" s="2">
        <v>0.11827956989247312</v>
      </c>
      <c r="X79" s="2"/>
      <c r="Y79" s="2">
        <v>0.52297165200391005</v>
      </c>
      <c r="Z79" s="2">
        <v>0.27370478983382207</v>
      </c>
      <c r="AA79" s="2">
        <v>0.19159335288367546</v>
      </c>
      <c r="AB79" s="2"/>
      <c r="AC79" s="2"/>
      <c r="AD79" s="2"/>
      <c r="AE79" s="2"/>
      <c r="AF79" s="2"/>
      <c r="AG79" s="2"/>
    </row>
    <row r="80" spans="1:33">
      <c r="A80" s="5">
        <f>A79+Calculations!$B$4</f>
        <v>156</v>
      </c>
      <c r="B80" s="2">
        <v>0.6754643206256109</v>
      </c>
      <c r="C80" s="2">
        <v>0.36168132942326492</v>
      </c>
      <c r="D80" s="2">
        <v>0.19159335288367546</v>
      </c>
      <c r="E80" s="2">
        <v>0.11827956989247312</v>
      </c>
      <c r="F80" s="2"/>
      <c r="G80" s="2">
        <v>0.80058651026392957</v>
      </c>
      <c r="H80" s="2">
        <v>0.4095796676441838</v>
      </c>
      <c r="I80" s="2">
        <v>0.22678396871945258</v>
      </c>
      <c r="J80" s="2">
        <v>8.6999022482893457E-2</v>
      </c>
      <c r="K80" s="2"/>
      <c r="L80" s="2">
        <v>0.91593352883675461</v>
      </c>
      <c r="M80" s="2">
        <v>0.46725317693059626</v>
      </c>
      <c r="N80" s="2">
        <v>0.25610948191593352</v>
      </c>
      <c r="O80" s="2">
        <v>0.14467253176930597</v>
      </c>
      <c r="P80" s="2"/>
      <c r="Q80" s="2">
        <v>0.52492668621700878</v>
      </c>
      <c r="R80" s="2">
        <v>0.24437927663734116</v>
      </c>
      <c r="S80" s="2">
        <v>0.14271749755620725</v>
      </c>
      <c r="T80" s="2"/>
      <c r="U80" s="2">
        <v>0.54447702834799605</v>
      </c>
      <c r="V80" s="2">
        <v>0.25904203323558161</v>
      </c>
      <c r="W80" s="2">
        <v>0.13294232649071358</v>
      </c>
      <c r="X80" s="2"/>
      <c r="Y80" s="2">
        <v>0.52297165200391005</v>
      </c>
      <c r="Z80" s="2">
        <v>0.26979472140762462</v>
      </c>
      <c r="AA80" s="2">
        <v>0.13685239491691104</v>
      </c>
      <c r="AB80" s="2"/>
      <c r="AC80" s="2"/>
      <c r="AD80" s="2"/>
      <c r="AE80" s="2"/>
      <c r="AF80" s="2"/>
      <c r="AG80" s="2"/>
    </row>
    <row r="81" spans="1:33">
      <c r="A81" s="5">
        <f>A80+Calculations!$B$4</f>
        <v>158</v>
      </c>
      <c r="B81" s="2">
        <v>0.74291300097751711</v>
      </c>
      <c r="C81" s="2">
        <v>0.33626588465298141</v>
      </c>
      <c r="D81" s="2">
        <v>0.21603128054740958</v>
      </c>
      <c r="E81" s="2">
        <v>7.7223851417399805E-2</v>
      </c>
      <c r="F81" s="2"/>
      <c r="G81" s="2">
        <v>0.82697947214076251</v>
      </c>
      <c r="H81" s="2">
        <v>0.43597262952101662</v>
      </c>
      <c r="I81" s="2">
        <v>0.21212121212121213</v>
      </c>
      <c r="J81" s="2">
        <v>0.10557184750733138</v>
      </c>
      <c r="K81" s="2"/>
      <c r="L81" s="2">
        <v>0.97262952101661782</v>
      </c>
      <c r="M81" s="2">
        <v>0.50830889540566959</v>
      </c>
      <c r="N81" s="2">
        <v>0.24828934506353861</v>
      </c>
      <c r="O81" s="2">
        <v>0.14858260019550343</v>
      </c>
      <c r="P81" s="2"/>
      <c r="Q81" s="2">
        <v>0.45552297165200389</v>
      </c>
      <c r="R81" s="2">
        <v>0.26881720430107525</v>
      </c>
      <c r="S81" s="2">
        <v>0.13196480938416422</v>
      </c>
      <c r="T81" s="2"/>
      <c r="U81" s="2">
        <v>0.47702834799608995</v>
      </c>
      <c r="V81" s="2">
        <v>0.28641251221896386</v>
      </c>
      <c r="W81" s="2">
        <v>0.13391984359726294</v>
      </c>
      <c r="X81" s="2"/>
      <c r="Y81" s="2">
        <v>0.60606060606060608</v>
      </c>
      <c r="Z81" s="2">
        <v>0.27370478983382207</v>
      </c>
      <c r="AA81" s="2">
        <v>0.1466275659824047</v>
      </c>
      <c r="AB81" s="2"/>
      <c r="AC81" s="2"/>
      <c r="AD81" s="2"/>
      <c r="AE81" s="2"/>
      <c r="AF81" s="2"/>
      <c r="AG81" s="2"/>
    </row>
    <row r="82" spans="1:33">
      <c r="A82" s="5">
        <f>A81+Calculations!$B$4</f>
        <v>160</v>
      </c>
      <c r="B82" s="2">
        <v>0.77223851417399803</v>
      </c>
      <c r="C82" s="2">
        <v>0.39589442815249265</v>
      </c>
      <c r="D82" s="2">
        <v>0.19745845552297164</v>
      </c>
      <c r="E82" s="2">
        <v>0.11925708699902249</v>
      </c>
      <c r="F82" s="2"/>
      <c r="G82" s="2">
        <v>0.77614858260019548</v>
      </c>
      <c r="H82" s="2">
        <v>0.41739980449657871</v>
      </c>
      <c r="I82" s="2">
        <v>0.24340175953079179</v>
      </c>
      <c r="J82" s="2">
        <v>0.11632453567937438</v>
      </c>
      <c r="K82" s="2"/>
      <c r="L82" s="2">
        <v>0.97751710654936463</v>
      </c>
      <c r="M82" s="2">
        <v>0.45063538611925708</v>
      </c>
      <c r="N82" s="2">
        <v>0.29521016617790813</v>
      </c>
      <c r="O82" s="2">
        <v>0.13685239491691104</v>
      </c>
      <c r="P82" s="2"/>
      <c r="Q82" s="2">
        <v>0.55327468230694032</v>
      </c>
      <c r="R82" s="2">
        <v>0.24731182795698925</v>
      </c>
      <c r="S82" s="2">
        <v>0.16129032258064516</v>
      </c>
      <c r="T82" s="2"/>
      <c r="U82" s="2">
        <v>0.47702834799608995</v>
      </c>
      <c r="V82" s="2">
        <v>0.27174975562072334</v>
      </c>
      <c r="W82" s="2">
        <v>0.15640273704789834</v>
      </c>
      <c r="X82" s="2"/>
      <c r="Y82" s="2">
        <v>0.53665689149560114</v>
      </c>
      <c r="Z82" s="2">
        <v>0.28641251221896386</v>
      </c>
      <c r="AA82" s="2">
        <v>0.14760508308895406</v>
      </c>
      <c r="AB82" s="2"/>
      <c r="AC82" s="2"/>
      <c r="AD82" s="2"/>
      <c r="AE82" s="2"/>
      <c r="AF82" s="2"/>
      <c r="AG82" s="2"/>
    </row>
    <row r="83" spans="1:33">
      <c r="A83" s="34" t="s">
        <v>24</v>
      </c>
      <c r="B83">
        <v>5.46875E-2</v>
      </c>
      <c r="C83">
        <v>5.46875E-2</v>
      </c>
      <c r="D83">
        <v>5.46875E-2</v>
      </c>
      <c r="E83">
        <v>5.46875E-2</v>
      </c>
      <c r="G83">
        <v>5.46875E-2</v>
      </c>
      <c r="H83">
        <v>5.46875E-2</v>
      </c>
      <c r="I83">
        <v>5.46875E-2</v>
      </c>
      <c r="J83">
        <v>5.46875E-2</v>
      </c>
      <c r="L83">
        <v>5.46875E-2</v>
      </c>
      <c r="M83">
        <v>5.46875E-2</v>
      </c>
      <c r="N83">
        <v>5.46875E-2</v>
      </c>
      <c r="O83">
        <v>5.46875E-2</v>
      </c>
      <c r="Q83">
        <v>5.46875E-2</v>
      </c>
      <c r="R83">
        <v>5.46875E-2</v>
      </c>
      <c r="S83">
        <v>5.46875E-2</v>
      </c>
      <c r="U83">
        <v>5.46875E-2</v>
      </c>
      <c r="V83">
        <v>5.46875E-2</v>
      </c>
      <c r="W83">
        <v>5.46875E-2</v>
      </c>
      <c r="Y83">
        <v>5.46875E-2</v>
      </c>
      <c r="Z83">
        <v>5.46875E-2</v>
      </c>
      <c r="AA83">
        <v>5.46875E-2</v>
      </c>
    </row>
    <row r="84" spans="1:33">
      <c r="A84" s="5"/>
      <c r="B84" s="35" t="str">
        <f t="shared" ref="B84:AG84" si="6">DEC2HEX(B83*128+192,2)</f>
        <v>C7</v>
      </c>
      <c r="C84" s="30" t="str">
        <f t="shared" si="6"/>
        <v>C7</v>
      </c>
      <c r="D84" s="35" t="str">
        <f t="shared" si="6"/>
        <v>C7</v>
      </c>
      <c r="E84" s="35" t="str">
        <f t="shared" si="6"/>
        <v>C7</v>
      </c>
      <c r="F84" s="35" t="str">
        <f t="shared" si="6"/>
        <v>C0</v>
      </c>
      <c r="G84" s="35" t="str">
        <f t="shared" si="6"/>
        <v>C7</v>
      </c>
      <c r="H84" s="35" t="str">
        <f t="shared" si="6"/>
        <v>C7</v>
      </c>
      <c r="I84" s="35" t="str">
        <f t="shared" si="6"/>
        <v>C7</v>
      </c>
      <c r="J84" s="35" t="str">
        <f t="shared" si="6"/>
        <v>C7</v>
      </c>
      <c r="K84" s="35" t="str">
        <f t="shared" si="6"/>
        <v>C0</v>
      </c>
      <c r="L84" s="35" t="str">
        <f t="shared" si="6"/>
        <v>C7</v>
      </c>
      <c r="M84" s="35" t="str">
        <f t="shared" si="6"/>
        <v>C7</v>
      </c>
      <c r="N84" s="35" t="str">
        <f t="shared" si="6"/>
        <v>C7</v>
      </c>
      <c r="O84" s="35" t="str">
        <f t="shared" si="6"/>
        <v>C7</v>
      </c>
      <c r="P84" s="35" t="str">
        <f t="shared" si="6"/>
        <v>C0</v>
      </c>
      <c r="Q84" s="35" t="str">
        <f t="shared" si="6"/>
        <v>C7</v>
      </c>
      <c r="R84" s="35" t="str">
        <f t="shared" si="6"/>
        <v>C7</v>
      </c>
      <c r="S84" s="35" t="str">
        <f t="shared" si="6"/>
        <v>C7</v>
      </c>
      <c r="T84" s="35" t="str">
        <f t="shared" si="6"/>
        <v>C0</v>
      </c>
      <c r="U84" s="35" t="str">
        <f t="shared" si="6"/>
        <v>C7</v>
      </c>
      <c r="V84" s="35" t="str">
        <f t="shared" si="6"/>
        <v>C7</v>
      </c>
      <c r="W84" s="35" t="str">
        <f t="shared" si="6"/>
        <v>C7</v>
      </c>
      <c r="X84" s="35" t="str">
        <f t="shared" si="6"/>
        <v>C0</v>
      </c>
      <c r="Y84" s="35" t="str">
        <f t="shared" si="6"/>
        <v>C7</v>
      </c>
      <c r="Z84" s="35" t="str">
        <f t="shared" si="6"/>
        <v>C7</v>
      </c>
      <c r="AA84" s="35" t="str">
        <f t="shared" si="6"/>
        <v>C7</v>
      </c>
      <c r="AB84" s="35" t="str">
        <f t="shared" si="6"/>
        <v>C0</v>
      </c>
      <c r="AC84" s="35" t="str">
        <f t="shared" si="6"/>
        <v>C0</v>
      </c>
      <c r="AD84" s="35" t="str">
        <f t="shared" si="6"/>
        <v>C0</v>
      </c>
      <c r="AE84" s="35" t="str">
        <f t="shared" si="6"/>
        <v>C0</v>
      </c>
      <c r="AF84" s="35" t="str">
        <f t="shared" si="6"/>
        <v>C0</v>
      </c>
      <c r="AG84" s="35" t="str">
        <f t="shared" si="6"/>
        <v>C0</v>
      </c>
    </row>
    <row r="85" spans="1:33">
      <c r="A85" s="5"/>
    </row>
    <row r="86" spans="1:33">
      <c r="A86" s="5"/>
    </row>
    <row r="87" spans="1:33">
      <c r="A87" s="5"/>
    </row>
    <row r="88" spans="1:33">
      <c r="A88" s="5"/>
    </row>
    <row r="89" spans="1:33">
      <c r="A89" s="5"/>
    </row>
    <row r="90" spans="1:33">
      <c r="A90" s="5"/>
    </row>
    <row r="91" spans="1:33">
      <c r="A91" s="5"/>
    </row>
    <row r="92" spans="1:33">
      <c r="A92" s="5"/>
    </row>
    <row r="93" spans="1:33">
      <c r="A93" s="5"/>
    </row>
    <row r="94" spans="1:33">
      <c r="A94" s="5"/>
    </row>
    <row r="95" spans="1:33">
      <c r="A95" s="5"/>
    </row>
    <row r="96" spans="1:33">
      <c r="A96" s="5"/>
    </row>
    <row r="97" spans="1:1">
      <c r="A97" s="5"/>
    </row>
    <row r="98" spans="1:1">
      <c r="A98" s="5"/>
    </row>
    <row r="99" spans="1:1">
      <c r="A99" s="5"/>
    </row>
    <row r="100" spans="1:1">
      <c r="A100" s="5"/>
    </row>
    <row r="101" spans="1:1">
      <c r="A101" s="5"/>
    </row>
    <row r="102" spans="1:1">
      <c r="A102" s="5"/>
    </row>
    <row r="103" spans="1:1">
      <c r="A103" s="5"/>
    </row>
    <row r="104" spans="1:1">
      <c r="A104" s="5"/>
    </row>
    <row r="105" spans="1:1">
      <c r="A105" s="5"/>
    </row>
    <row r="106" spans="1:1">
      <c r="A106" s="5"/>
    </row>
    <row r="107" spans="1:1">
      <c r="A107" s="5"/>
    </row>
    <row r="108" spans="1:1">
      <c r="A108" s="5"/>
    </row>
    <row r="109" spans="1:1">
      <c r="A109" s="5"/>
    </row>
    <row r="110" spans="1:1">
      <c r="A110" s="5"/>
    </row>
    <row r="111" spans="1:1">
      <c r="A111" s="5"/>
    </row>
    <row r="112" spans="1:1">
      <c r="A112" s="5"/>
    </row>
    <row r="113" spans="1:1">
      <c r="A113" s="5"/>
    </row>
    <row r="114" spans="1:1">
      <c r="A114" s="5"/>
    </row>
    <row r="115" spans="1:1">
      <c r="A115" s="5"/>
    </row>
    <row r="116" spans="1:1">
      <c r="A116" s="5"/>
    </row>
    <row r="117" spans="1:1">
      <c r="A117" s="5"/>
    </row>
    <row r="118" spans="1:1">
      <c r="A118" s="5"/>
    </row>
    <row r="119" spans="1:1">
      <c r="A119" s="5"/>
    </row>
    <row r="120" spans="1:1">
      <c r="A120" s="5"/>
    </row>
    <row r="121" spans="1:1">
      <c r="A121" s="5"/>
    </row>
    <row r="122" spans="1:1">
      <c r="A122" s="5"/>
    </row>
    <row r="123" spans="1:1">
      <c r="A123" s="5"/>
    </row>
    <row r="124" spans="1:1">
      <c r="A124" s="5"/>
    </row>
    <row r="125" spans="1:1">
      <c r="A125" s="5"/>
    </row>
    <row r="126" spans="1:1">
      <c r="A126" s="5"/>
    </row>
    <row r="127" spans="1:1">
      <c r="A127" s="5"/>
    </row>
    <row r="128" spans="1:1">
      <c r="A128" s="5"/>
    </row>
    <row r="129" spans="1:1">
      <c r="A129" s="5"/>
    </row>
    <row r="130" spans="1:1">
      <c r="A130" s="5"/>
    </row>
    <row r="131" spans="1:1">
      <c r="A131" s="5"/>
    </row>
    <row r="132" spans="1:1">
      <c r="A132" s="5"/>
    </row>
    <row r="133" spans="1:1">
      <c r="A133" s="5"/>
    </row>
    <row r="134" spans="1:1">
      <c r="A134" s="5"/>
    </row>
    <row r="135" spans="1:1">
      <c r="A135" s="5"/>
    </row>
    <row r="136" spans="1:1">
      <c r="A136" s="5"/>
    </row>
    <row r="137" spans="1:1">
      <c r="A137" s="5"/>
    </row>
    <row r="138" spans="1:1">
      <c r="A138" s="5"/>
    </row>
    <row r="139" spans="1:1">
      <c r="A139" s="5"/>
    </row>
    <row r="140" spans="1:1">
      <c r="A140" s="5"/>
    </row>
    <row r="141" spans="1:1">
      <c r="A141" s="5"/>
    </row>
    <row r="142" spans="1:1">
      <c r="A142" s="5"/>
    </row>
    <row r="143" spans="1:1">
      <c r="A143" s="5"/>
    </row>
    <row r="144" spans="1:1">
      <c r="A144" s="5"/>
    </row>
    <row r="145" spans="1:1">
      <c r="A145" s="5"/>
    </row>
    <row r="146" spans="1:1">
      <c r="A146" s="5"/>
    </row>
    <row r="147" spans="1:1">
      <c r="A147" s="5"/>
    </row>
    <row r="148" spans="1:1">
      <c r="A148" s="5"/>
    </row>
    <row r="149" spans="1:1">
      <c r="A149" s="5"/>
    </row>
    <row r="150" spans="1:1">
      <c r="A150" s="5"/>
    </row>
    <row r="151" spans="1:1">
      <c r="A151" s="5"/>
    </row>
    <row r="152" spans="1:1">
      <c r="A152" s="5"/>
    </row>
    <row r="153" spans="1:1">
      <c r="A153" s="5"/>
    </row>
    <row r="154" spans="1:1">
      <c r="A154" s="5"/>
    </row>
    <row r="155" spans="1:1">
      <c r="A155" s="5"/>
    </row>
    <row r="156" spans="1:1">
      <c r="A156" s="5"/>
    </row>
    <row r="157" spans="1:1">
      <c r="A157" s="5"/>
    </row>
    <row r="158" spans="1:1">
      <c r="A158" s="5"/>
    </row>
    <row r="159" spans="1:1">
      <c r="A159" s="5"/>
    </row>
    <row r="160" spans="1:1">
      <c r="A160" s="5"/>
    </row>
    <row r="161" spans="1:1">
      <c r="A161" s="5"/>
    </row>
    <row r="162" spans="1:1">
      <c r="A162" s="5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AG162"/>
  <sheetViews>
    <sheetView tabSelected="1" zoomScale="80" zoomScaleNormal="80" workbookViewId="0">
      <pane ySplit="7440" topLeftCell="A75"/>
      <selection activeCell="AE21" sqref="AE21"/>
      <selection pane="bottomLeft" activeCell="V76" sqref="V76"/>
    </sheetView>
  </sheetViews>
  <sheetFormatPr defaultRowHeight="15"/>
  <cols>
    <col min="1" max="1" width="13" bestFit="1" customWidth="1"/>
    <col min="2" max="2" width="7.42578125" customWidth="1"/>
    <col min="3" max="5" width="6" customWidth="1"/>
    <col min="6" max="6" width="7.42578125" customWidth="1"/>
    <col min="7" max="9" width="6" customWidth="1"/>
    <col min="10" max="10" width="7.42578125" customWidth="1"/>
    <col min="11" max="13" width="6" customWidth="1"/>
    <col min="14" max="14" width="7.42578125" customWidth="1"/>
    <col min="15" max="17" width="6" customWidth="1"/>
    <col min="18" max="18" width="7.42578125" customWidth="1"/>
    <col min="19" max="21" width="6" customWidth="1"/>
    <col min="22" max="22" width="7.42578125" customWidth="1"/>
    <col min="23" max="33" width="6" customWidth="1"/>
  </cols>
  <sheetData>
    <row r="1" spans="1:33">
      <c r="A1">
        <f>data2!A1/2</f>
        <v>31.25</v>
      </c>
      <c r="B1">
        <v>0</v>
      </c>
      <c r="C1">
        <v>4</v>
      </c>
      <c r="D1">
        <f>C1/2</f>
        <v>2</v>
      </c>
      <c r="E1">
        <f>D1/2</f>
        <v>1</v>
      </c>
      <c r="F1">
        <v>4</v>
      </c>
      <c r="G1">
        <v>4</v>
      </c>
      <c r="H1">
        <f>G1/2</f>
        <v>2</v>
      </c>
      <c r="I1">
        <f>H1/2</f>
        <v>1</v>
      </c>
      <c r="J1">
        <v>8</v>
      </c>
      <c r="K1">
        <v>4</v>
      </c>
      <c r="L1">
        <f>K1/2</f>
        <v>2</v>
      </c>
      <c r="M1">
        <f>L1/2</f>
        <v>1</v>
      </c>
      <c r="N1">
        <v>12</v>
      </c>
      <c r="O1">
        <v>4</v>
      </c>
      <c r="P1">
        <f>O1/2</f>
        <v>2</v>
      </c>
      <c r="Q1">
        <f>P1/2</f>
        <v>1</v>
      </c>
      <c r="R1">
        <v>16</v>
      </c>
      <c r="S1">
        <v>4</v>
      </c>
      <c r="T1">
        <f>S1/2</f>
        <v>2</v>
      </c>
      <c r="U1">
        <f>T1/2</f>
        <v>1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</row>
    <row r="2" spans="1:33">
      <c r="A2" s="5">
        <f>Calculations!B3</f>
        <v>0</v>
      </c>
      <c r="B2" s="2" t="s">
        <v>35</v>
      </c>
      <c r="C2" s="2">
        <v>0.999</v>
      </c>
      <c r="D2" s="2">
        <v>0.73313782991202348</v>
      </c>
      <c r="E2" s="2">
        <v>0.41446725317693062</v>
      </c>
      <c r="F2" s="2" t="s">
        <v>30</v>
      </c>
      <c r="G2" s="2">
        <v>0.999</v>
      </c>
      <c r="H2" s="2">
        <v>0.999</v>
      </c>
      <c r="I2" s="2">
        <v>0.48093841642228741</v>
      </c>
      <c r="J2" s="2" t="s">
        <v>31</v>
      </c>
      <c r="K2" s="2">
        <v>0.999</v>
      </c>
      <c r="L2" s="2">
        <v>0.999</v>
      </c>
      <c r="M2" s="2">
        <v>0.58455522971652008</v>
      </c>
      <c r="N2" s="2" t="s">
        <v>32</v>
      </c>
      <c r="O2" s="2">
        <v>0.999</v>
      </c>
      <c r="P2" s="2">
        <v>0.999</v>
      </c>
      <c r="Q2" s="2">
        <v>0.69501466275659829</v>
      </c>
      <c r="R2" s="2" t="s">
        <v>33</v>
      </c>
      <c r="S2" s="2">
        <v>0.999</v>
      </c>
      <c r="T2" s="2">
        <v>0.999</v>
      </c>
      <c r="U2" s="2">
        <v>0.77810361681329421</v>
      </c>
      <c r="V2" s="2" t="s">
        <v>34</v>
      </c>
      <c r="W2" s="2">
        <v>0.999</v>
      </c>
      <c r="X2" s="2">
        <v>0.999</v>
      </c>
      <c r="Y2" s="2">
        <v>0.86021505376344087</v>
      </c>
      <c r="Z2" s="2"/>
      <c r="AA2" s="2"/>
      <c r="AB2" s="2"/>
      <c r="AC2" s="2"/>
      <c r="AD2" s="2"/>
      <c r="AE2" s="2"/>
      <c r="AF2" s="2"/>
      <c r="AG2" s="2"/>
    </row>
    <row r="3" spans="1:33">
      <c r="A3" s="5">
        <f>A2+Calculations!$B$4</f>
        <v>2</v>
      </c>
      <c r="B3" s="2"/>
      <c r="C3" s="2">
        <v>0.999</v>
      </c>
      <c r="D3" s="2">
        <v>0.999</v>
      </c>
      <c r="E3" s="2">
        <v>0.999</v>
      </c>
      <c r="F3" s="2"/>
      <c r="G3" s="2">
        <v>0.999</v>
      </c>
      <c r="H3" s="2">
        <v>0.999</v>
      </c>
      <c r="I3" s="2">
        <v>0.999</v>
      </c>
      <c r="J3" s="2"/>
      <c r="K3" s="2">
        <v>0.999</v>
      </c>
      <c r="L3" s="2">
        <v>0.999</v>
      </c>
      <c r="M3" s="2">
        <v>0.999</v>
      </c>
      <c r="N3" s="2"/>
      <c r="O3" s="2">
        <v>0.999</v>
      </c>
      <c r="P3" s="2">
        <v>0.999</v>
      </c>
      <c r="Q3" s="2">
        <v>0.999</v>
      </c>
      <c r="R3" s="2"/>
      <c r="S3" s="2">
        <v>0.999</v>
      </c>
      <c r="T3" s="2">
        <v>0.999</v>
      </c>
      <c r="U3" s="2">
        <v>0.999</v>
      </c>
      <c r="V3" s="2"/>
      <c r="W3" s="2">
        <v>0.999</v>
      </c>
      <c r="X3" s="2">
        <v>0.999</v>
      </c>
      <c r="Y3" s="2">
        <v>0.999</v>
      </c>
      <c r="Z3" s="2"/>
      <c r="AA3" s="2"/>
      <c r="AB3" s="2"/>
      <c r="AC3" s="2"/>
      <c r="AD3" s="2"/>
      <c r="AE3" s="2"/>
      <c r="AF3" s="2"/>
      <c r="AG3" s="2"/>
    </row>
    <row r="4" spans="1:33">
      <c r="A4" s="5">
        <f>A3+Calculations!$B$4</f>
        <v>4</v>
      </c>
      <c r="B4" s="2"/>
      <c r="C4" s="2">
        <v>0.999</v>
      </c>
      <c r="D4" s="2">
        <v>0.999</v>
      </c>
      <c r="E4" s="2">
        <v>0.999</v>
      </c>
      <c r="F4" s="2"/>
      <c r="G4" s="2">
        <v>0.999</v>
      </c>
      <c r="H4" s="2">
        <v>0.999</v>
      </c>
      <c r="I4" s="2">
        <v>0.999</v>
      </c>
      <c r="J4" s="2"/>
      <c r="K4" s="2">
        <v>0.999</v>
      </c>
      <c r="L4" s="2">
        <v>0.999</v>
      </c>
      <c r="M4" s="2">
        <v>0.999</v>
      </c>
      <c r="N4" s="2"/>
      <c r="O4" s="2">
        <v>0.999</v>
      </c>
      <c r="P4" s="2">
        <v>0.999</v>
      </c>
      <c r="Q4" s="2">
        <v>0.999</v>
      </c>
      <c r="R4" s="2"/>
      <c r="S4" s="2">
        <v>0.999</v>
      </c>
      <c r="T4" s="2">
        <v>0.999</v>
      </c>
      <c r="U4" s="2">
        <v>0.999</v>
      </c>
      <c r="V4" s="2"/>
      <c r="W4" s="2">
        <v>0.999</v>
      </c>
      <c r="X4" s="2">
        <v>0.999</v>
      </c>
      <c r="Y4" s="2">
        <v>0.999</v>
      </c>
      <c r="Z4" s="2"/>
      <c r="AA4" s="2"/>
      <c r="AB4" s="2"/>
      <c r="AC4" s="2"/>
      <c r="AD4" s="2"/>
      <c r="AE4" s="2"/>
      <c r="AF4" s="2"/>
      <c r="AG4" s="2"/>
    </row>
    <row r="5" spans="1:33">
      <c r="A5" s="5">
        <f>A4+Calculations!$B$4</f>
        <v>6</v>
      </c>
      <c r="B5" s="2"/>
      <c r="C5" s="2">
        <v>0.999</v>
      </c>
      <c r="D5" s="2">
        <v>0.999</v>
      </c>
      <c r="E5" s="2">
        <v>0.999</v>
      </c>
      <c r="F5" s="2"/>
      <c r="G5" s="2">
        <v>0.999</v>
      </c>
      <c r="H5" s="2">
        <v>0.999</v>
      </c>
      <c r="I5" s="2">
        <v>0.999</v>
      </c>
      <c r="J5" s="2"/>
      <c r="K5" s="2">
        <v>0.999</v>
      </c>
      <c r="L5" s="2">
        <v>0.999</v>
      </c>
      <c r="M5" s="2">
        <v>0.999</v>
      </c>
      <c r="N5" s="2"/>
      <c r="O5" s="2">
        <v>0.999</v>
      </c>
      <c r="P5" s="2">
        <v>0.999</v>
      </c>
      <c r="Q5" s="2">
        <v>0.999</v>
      </c>
      <c r="R5" s="2"/>
      <c r="S5" s="2">
        <v>0.999</v>
      </c>
      <c r="T5" s="2">
        <v>0.999</v>
      </c>
      <c r="U5" s="2">
        <v>0.999</v>
      </c>
      <c r="V5" s="2"/>
      <c r="W5" s="2">
        <v>0.999</v>
      </c>
      <c r="X5" s="2">
        <v>0.999</v>
      </c>
      <c r="Y5" s="2">
        <v>0.999</v>
      </c>
      <c r="Z5" s="2"/>
      <c r="AA5" s="2"/>
      <c r="AB5" s="2"/>
      <c r="AC5" s="2"/>
      <c r="AD5" s="2"/>
      <c r="AE5" s="2"/>
      <c r="AF5" s="2"/>
      <c r="AG5" s="2"/>
    </row>
    <row r="6" spans="1:33">
      <c r="A6" s="5">
        <f>A5+Calculations!$B$4</f>
        <v>8</v>
      </c>
      <c r="B6" s="2"/>
      <c r="C6" s="2">
        <v>0.999</v>
      </c>
      <c r="D6" s="2">
        <v>0.999</v>
      </c>
      <c r="E6" s="2">
        <v>0.999</v>
      </c>
      <c r="F6" s="2"/>
      <c r="G6" s="2">
        <v>0.999</v>
      </c>
      <c r="H6" s="2">
        <v>0.999</v>
      </c>
      <c r="I6" s="2">
        <v>0.999</v>
      </c>
      <c r="J6" s="2"/>
      <c r="K6" s="2">
        <v>0.999</v>
      </c>
      <c r="L6" s="2">
        <v>0.999</v>
      </c>
      <c r="M6" s="2">
        <v>0.999</v>
      </c>
      <c r="N6" s="2"/>
      <c r="O6" s="2">
        <v>0.999</v>
      </c>
      <c r="P6" s="2">
        <v>0.999</v>
      </c>
      <c r="Q6" s="2">
        <v>0.999</v>
      </c>
      <c r="R6" s="2"/>
      <c r="S6" s="2">
        <v>0.999</v>
      </c>
      <c r="T6" s="2">
        <v>0.999</v>
      </c>
      <c r="U6" s="2">
        <v>0.999</v>
      </c>
      <c r="V6" s="2"/>
      <c r="W6" s="2">
        <v>0.999</v>
      </c>
      <c r="X6" s="2">
        <v>0.999</v>
      </c>
      <c r="Y6" s="2">
        <v>0.999</v>
      </c>
      <c r="Z6" s="2"/>
      <c r="AA6" s="2"/>
      <c r="AB6" s="2"/>
      <c r="AC6" s="2"/>
      <c r="AD6" s="2"/>
      <c r="AE6" s="2"/>
      <c r="AF6" s="2"/>
      <c r="AG6" s="2"/>
    </row>
    <row r="7" spans="1:33">
      <c r="A7" s="5">
        <f>A6+Calculations!$B$4</f>
        <v>10</v>
      </c>
      <c r="B7" s="2"/>
      <c r="C7" s="2">
        <v>0.999</v>
      </c>
      <c r="D7" s="2">
        <v>0.999</v>
      </c>
      <c r="E7" s="2">
        <v>0.999</v>
      </c>
      <c r="F7" s="2"/>
      <c r="G7" s="2">
        <v>0.999</v>
      </c>
      <c r="H7" s="2">
        <v>0.999</v>
      </c>
      <c r="I7" s="2">
        <v>0.999</v>
      </c>
      <c r="J7" s="2"/>
      <c r="K7" s="2">
        <v>0.999</v>
      </c>
      <c r="L7" s="2">
        <v>0.999</v>
      </c>
      <c r="M7" s="2">
        <v>0.999</v>
      </c>
      <c r="N7" s="2"/>
      <c r="O7" s="2">
        <v>0.999</v>
      </c>
      <c r="P7" s="2">
        <v>0.999</v>
      </c>
      <c r="Q7" s="2">
        <v>0.999</v>
      </c>
      <c r="R7" s="2"/>
      <c r="S7" s="2">
        <v>0.999</v>
      </c>
      <c r="T7" s="2">
        <v>0.999</v>
      </c>
      <c r="U7" s="2">
        <v>0.999</v>
      </c>
      <c r="V7" s="2"/>
      <c r="W7" s="2">
        <v>0.999</v>
      </c>
      <c r="X7" s="2">
        <v>0.999</v>
      </c>
      <c r="Y7" s="2">
        <v>0.999</v>
      </c>
      <c r="Z7" s="2"/>
      <c r="AA7" s="2"/>
      <c r="AB7" s="2"/>
      <c r="AC7" s="2"/>
      <c r="AD7" s="2"/>
      <c r="AE7" s="2"/>
      <c r="AF7" s="2"/>
      <c r="AG7" s="2"/>
    </row>
    <row r="8" spans="1:33">
      <c r="A8" s="5">
        <f>A7+Calculations!$B$4</f>
        <v>12</v>
      </c>
      <c r="B8" s="2"/>
      <c r="C8" s="2">
        <v>0.999</v>
      </c>
      <c r="D8" s="2">
        <v>0.999</v>
      </c>
      <c r="E8" s="2">
        <v>0.999</v>
      </c>
      <c r="F8" s="2"/>
      <c r="G8" s="2">
        <v>0.999</v>
      </c>
      <c r="H8" s="2">
        <v>0.999</v>
      </c>
      <c r="I8" s="2">
        <v>0.999</v>
      </c>
      <c r="J8" s="2"/>
      <c r="K8" s="2">
        <v>0.999</v>
      </c>
      <c r="L8" s="2">
        <v>0.999</v>
      </c>
      <c r="M8" s="2">
        <v>0.999</v>
      </c>
      <c r="N8" s="2"/>
      <c r="O8" s="2">
        <v>0.999</v>
      </c>
      <c r="P8" s="2">
        <v>0.999</v>
      </c>
      <c r="Q8" s="2">
        <v>0.999</v>
      </c>
      <c r="R8" s="2"/>
      <c r="S8" s="2">
        <v>0.999</v>
      </c>
      <c r="T8" s="2">
        <v>0.999</v>
      </c>
      <c r="U8" s="2">
        <v>0.999</v>
      </c>
      <c r="V8" s="2"/>
      <c r="W8" s="2">
        <v>0.999</v>
      </c>
      <c r="X8" s="2">
        <v>0.999</v>
      </c>
      <c r="Y8" s="2">
        <v>0.999</v>
      </c>
      <c r="Z8" s="2"/>
      <c r="AA8" s="2"/>
      <c r="AB8" s="2"/>
      <c r="AC8" s="2"/>
      <c r="AD8" s="2"/>
      <c r="AE8" s="2"/>
      <c r="AF8" s="2"/>
      <c r="AG8" s="2"/>
    </row>
    <row r="9" spans="1:33">
      <c r="A9" s="5">
        <f>A8+Calculations!$B$4</f>
        <v>14</v>
      </c>
      <c r="B9" s="2"/>
      <c r="C9" s="2">
        <v>0.999</v>
      </c>
      <c r="D9" s="2">
        <v>0.999</v>
      </c>
      <c r="E9" s="2">
        <v>0.999</v>
      </c>
      <c r="F9" s="2"/>
      <c r="G9" s="2">
        <v>0.999</v>
      </c>
      <c r="H9" s="2">
        <v>0.999</v>
      </c>
      <c r="I9" s="2">
        <v>0.999</v>
      </c>
      <c r="J9" s="2"/>
      <c r="K9" s="2">
        <v>0.999</v>
      </c>
      <c r="L9" s="2">
        <v>0.999</v>
      </c>
      <c r="M9" s="2">
        <v>0.999</v>
      </c>
      <c r="N9" s="2"/>
      <c r="O9" s="2">
        <v>0.999</v>
      </c>
      <c r="P9" s="2">
        <v>0.999</v>
      </c>
      <c r="Q9" s="2">
        <v>0.999</v>
      </c>
      <c r="R9" s="2"/>
      <c r="S9" s="2">
        <v>0.999</v>
      </c>
      <c r="T9" s="2">
        <v>0.999</v>
      </c>
      <c r="U9" s="2">
        <v>0.999</v>
      </c>
      <c r="V9" s="2"/>
      <c r="W9" s="2">
        <v>0.999</v>
      </c>
      <c r="X9" s="2">
        <v>0.999</v>
      </c>
      <c r="Y9" s="2">
        <v>0.999</v>
      </c>
      <c r="Z9" s="2"/>
      <c r="AA9" s="2"/>
      <c r="AB9" s="2"/>
      <c r="AC9" s="2"/>
      <c r="AD9" s="2"/>
      <c r="AE9" s="2"/>
      <c r="AF9" s="2"/>
      <c r="AG9" s="2"/>
    </row>
    <row r="10" spans="1:33">
      <c r="A10" s="5">
        <f>A9+Calculations!$B$4</f>
        <v>16</v>
      </c>
      <c r="B10" s="2"/>
      <c r="C10" s="2">
        <v>0.999</v>
      </c>
      <c r="D10" s="2">
        <v>0.999</v>
      </c>
      <c r="E10" s="2">
        <v>0.999</v>
      </c>
      <c r="F10" s="2"/>
      <c r="G10" s="2">
        <v>0.999</v>
      </c>
      <c r="H10" s="2">
        <v>0.999</v>
      </c>
      <c r="I10" s="2">
        <v>0.999</v>
      </c>
      <c r="J10" s="2"/>
      <c r="K10" s="2">
        <v>0.999</v>
      </c>
      <c r="L10" s="2">
        <v>0.999</v>
      </c>
      <c r="M10" s="2">
        <v>0.999</v>
      </c>
      <c r="N10" s="2"/>
      <c r="O10" s="2">
        <v>0.999</v>
      </c>
      <c r="P10" s="2">
        <v>0.999</v>
      </c>
      <c r="Q10" s="2">
        <v>0.999</v>
      </c>
      <c r="R10" s="2"/>
      <c r="S10" s="2">
        <v>0.999</v>
      </c>
      <c r="T10" s="2">
        <v>0.999</v>
      </c>
      <c r="U10" s="2">
        <v>0.999</v>
      </c>
      <c r="V10" s="2"/>
      <c r="W10" s="2">
        <v>0.999</v>
      </c>
      <c r="X10" s="2">
        <v>0.999</v>
      </c>
      <c r="Y10" s="2">
        <v>0.999</v>
      </c>
      <c r="Z10" s="2"/>
      <c r="AA10" s="2"/>
      <c r="AB10" s="2"/>
      <c r="AC10" s="2"/>
      <c r="AD10" s="2"/>
      <c r="AE10" s="2"/>
      <c r="AF10" s="2"/>
      <c r="AG10" s="2"/>
    </row>
    <row r="11" spans="1:33">
      <c r="A11" s="5">
        <f>A10+Calculations!$B$4</f>
        <v>18</v>
      </c>
      <c r="B11" s="2"/>
      <c r="C11" s="2">
        <v>0.999</v>
      </c>
      <c r="D11" s="2">
        <v>0.999</v>
      </c>
      <c r="E11" s="2">
        <v>0.82111436950146632</v>
      </c>
      <c r="F11" s="2"/>
      <c r="G11" s="2">
        <v>0.999</v>
      </c>
      <c r="H11" s="2">
        <v>0.999</v>
      </c>
      <c r="I11" s="2">
        <v>0.84261974584555233</v>
      </c>
      <c r="J11" s="2"/>
      <c r="K11" s="2">
        <v>0.999</v>
      </c>
      <c r="L11" s="2">
        <v>0.999</v>
      </c>
      <c r="M11" s="2">
        <v>0.85923753665689151</v>
      </c>
      <c r="N11" s="2"/>
      <c r="O11" s="2">
        <v>0.999</v>
      </c>
      <c r="P11" s="2">
        <v>0.999</v>
      </c>
      <c r="Q11" s="2">
        <v>0.84946236559139787</v>
      </c>
      <c r="R11" s="2"/>
      <c r="S11" s="2">
        <v>0.999</v>
      </c>
      <c r="T11" s="2">
        <v>0.999</v>
      </c>
      <c r="U11" s="2">
        <v>0.8514173998044966</v>
      </c>
      <c r="V11" s="2"/>
      <c r="W11" s="2">
        <v>0.999</v>
      </c>
      <c r="X11" s="2">
        <v>0.999</v>
      </c>
      <c r="Y11" s="2">
        <v>0.87585532746823069</v>
      </c>
      <c r="Z11" s="2"/>
      <c r="AA11" s="2"/>
      <c r="AB11" s="2"/>
      <c r="AC11" s="2"/>
      <c r="AD11" s="2"/>
      <c r="AE11" s="2"/>
      <c r="AF11" s="2"/>
      <c r="AG11" s="2"/>
    </row>
    <row r="12" spans="1:33">
      <c r="A12" s="5">
        <f>A11+Calculations!$B$4</f>
        <v>20</v>
      </c>
      <c r="B12" s="2"/>
      <c r="C12" s="2">
        <v>0.999</v>
      </c>
      <c r="D12" s="2">
        <v>0.999</v>
      </c>
      <c r="E12" s="2">
        <v>0.68132942326490709</v>
      </c>
      <c r="F12" s="2"/>
      <c r="G12" s="2">
        <v>0.999</v>
      </c>
      <c r="H12" s="2">
        <v>0.999</v>
      </c>
      <c r="I12" s="2">
        <v>0.72727272727272729</v>
      </c>
      <c r="J12" s="2"/>
      <c r="K12" s="2">
        <v>0.999</v>
      </c>
      <c r="L12" s="2">
        <v>0.999</v>
      </c>
      <c r="M12" s="2">
        <v>0.71652003910068429</v>
      </c>
      <c r="N12" s="2"/>
      <c r="O12" s="2">
        <v>0.999</v>
      </c>
      <c r="P12" s="2">
        <v>0.999</v>
      </c>
      <c r="Q12" s="2">
        <v>0.69990224828934511</v>
      </c>
      <c r="R12" s="2"/>
      <c r="S12" s="2">
        <v>0.999</v>
      </c>
      <c r="T12" s="2">
        <v>0.999</v>
      </c>
      <c r="U12" s="2">
        <v>0.74291300097751711</v>
      </c>
      <c r="V12" s="2"/>
      <c r="W12" s="2">
        <v>0.999</v>
      </c>
      <c r="X12" s="2">
        <v>0.999</v>
      </c>
      <c r="Y12" s="2">
        <v>0.74291300097751711</v>
      </c>
      <c r="Z12" s="2"/>
      <c r="AA12" s="2"/>
      <c r="AB12" s="2"/>
      <c r="AC12" s="2"/>
      <c r="AD12" s="2"/>
      <c r="AE12" s="2"/>
      <c r="AF12" s="2"/>
      <c r="AG12" s="2"/>
    </row>
    <row r="13" spans="1:33">
      <c r="A13" s="5">
        <f>A12+Calculations!$B$4</f>
        <v>22</v>
      </c>
      <c r="B13" s="2"/>
      <c r="C13" s="2">
        <v>0.999</v>
      </c>
      <c r="D13" s="2">
        <v>0.999</v>
      </c>
      <c r="E13" s="2">
        <v>0.58553274682306944</v>
      </c>
      <c r="F13" s="2"/>
      <c r="G13" s="2">
        <v>0.999</v>
      </c>
      <c r="H13" s="2">
        <v>0.999</v>
      </c>
      <c r="I13" s="2">
        <v>0.63734115347018572</v>
      </c>
      <c r="J13" s="2"/>
      <c r="K13" s="2">
        <v>0.999</v>
      </c>
      <c r="L13" s="2">
        <v>0.999</v>
      </c>
      <c r="M13" s="2">
        <v>0.63343108504398826</v>
      </c>
      <c r="N13" s="2"/>
      <c r="O13" s="2">
        <v>0.999</v>
      </c>
      <c r="P13" s="2">
        <v>0.999</v>
      </c>
      <c r="Q13" s="2">
        <v>0.63440860215053763</v>
      </c>
      <c r="R13" s="2"/>
      <c r="S13" s="2">
        <v>0.999</v>
      </c>
      <c r="T13" s="2">
        <v>0.999</v>
      </c>
      <c r="U13" s="2">
        <v>0.62561094819159335</v>
      </c>
      <c r="V13" s="2"/>
      <c r="W13" s="2">
        <v>0.999</v>
      </c>
      <c r="X13" s="2">
        <v>0.999</v>
      </c>
      <c r="Y13" s="2">
        <v>0.64516129032258063</v>
      </c>
      <c r="Z13" s="2"/>
      <c r="AA13" s="2"/>
      <c r="AB13" s="2"/>
      <c r="AC13" s="2"/>
      <c r="AD13" s="2"/>
      <c r="AE13" s="2"/>
      <c r="AF13" s="2"/>
      <c r="AG13" s="2"/>
    </row>
    <row r="14" spans="1:33">
      <c r="A14" s="5">
        <f>A13+Calculations!$B$4</f>
        <v>24</v>
      </c>
      <c r="B14" s="2"/>
      <c r="C14" s="2">
        <v>0.999</v>
      </c>
      <c r="D14" s="2">
        <v>0.999</v>
      </c>
      <c r="E14" s="2">
        <v>0.52785923753665687</v>
      </c>
      <c r="F14" s="2"/>
      <c r="G14" s="2">
        <v>0.999</v>
      </c>
      <c r="H14" s="2">
        <v>0.999</v>
      </c>
      <c r="I14" s="2">
        <v>0.53176930596285432</v>
      </c>
      <c r="J14" s="2"/>
      <c r="K14" s="2">
        <v>0.999</v>
      </c>
      <c r="L14" s="2">
        <v>0.999</v>
      </c>
      <c r="M14" s="2">
        <v>0.56011730205278587</v>
      </c>
      <c r="N14" s="2"/>
      <c r="O14" s="2">
        <v>0.999</v>
      </c>
      <c r="P14" s="2">
        <v>0.999</v>
      </c>
      <c r="Q14" s="2">
        <v>0.5972629521016618</v>
      </c>
      <c r="R14" s="2"/>
      <c r="S14" s="2">
        <v>0.999</v>
      </c>
      <c r="T14" s="2">
        <v>0.999</v>
      </c>
      <c r="U14" s="2">
        <v>0.58553274682306944</v>
      </c>
      <c r="V14" s="2"/>
      <c r="W14" s="2">
        <v>0.999</v>
      </c>
      <c r="X14" s="2">
        <v>0.999</v>
      </c>
      <c r="Y14" s="2">
        <v>0.59237536656891498</v>
      </c>
      <c r="Z14" s="2"/>
      <c r="AA14" s="2"/>
      <c r="AB14" s="2"/>
      <c r="AC14" s="2"/>
      <c r="AD14" s="2"/>
      <c r="AE14" s="2"/>
      <c r="AF14" s="2"/>
      <c r="AG14" s="2"/>
    </row>
    <row r="15" spans="1:33">
      <c r="A15" s="5">
        <f>A14+Calculations!$B$4</f>
        <v>26</v>
      </c>
      <c r="B15" s="2"/>
      <c r="C15" s="2">
        <v>0.999</v>
      </c>
      <c r="D15" s="2">
        <v>0.999</v>
      </c>
      <c r="E15" s="2">
        <v>0.50635386119257086</v>
      </c>
      <c r="F15" s="2"/>
      <c r="G15" s="2">
        <v>0.999</v>
      </c>
      <c r="H15" s="2">
        <v>0.999</v>
      </c>
      <c r="I15" s="2">
        <v>0.49951124144672532</v>
      </c>
      <c r="J15" s="2"/>
      <c r="K15" s="2">
        <v>0.999</v>
      </c>
      <c r="L15" s="2">
        <v>0.999</v>
      </c>
      <c r="M15" s="2">
        <v>0.48093841642228741</v>
      </c>
      <c r="N15" s="2"/>
      <c r="O15" s="2">
        <v>0.999</v>
      </c>
      <c r="P15" s="2">
        <v>0.999</v>
      </c>
      <c r="Q15" s="2">
        <v>0.49951124144672532</v>
      </c>
      <c r="R15" s="2"/>
      <c r="S15" s="2">
        <v>0.999</v>
      </c>
      <c r="T15" s="2">
        <v>0.999</v>
      </c>
      <c r="U15" s="2">
        <v>0.52199413489736068</v>
      </c>
      <c r="V15" s="2"/>
      <c r="W15" s="2">
        <v>0.999</v>
      </c>
      <c r="X15" s="2">
        <v>0.999</v>
      </c>
      <c r="Y15" s="2">
        <v>0.50635386119257086</v>
      </c>
      <c r="Z15" s="2"/>
      <c r="AA15" s="2"/>
      <c r="AB15" s="2"/>
      <c r="AC15" s="2"/>
      <c r="AD15" s="2"/>
      <c r="AE15" s="2"/>
      <c r="AF15" s="2"/>
      <c r="AG15" s="2"/>
    </row>
    <row r="16" spans="1:33">
      <c r="A16" s="5">
        <f>A15+Calculations!$B$4</f>
        <v>28</v>
      </c>
      <c r="B16" s="2"/>
      <c r="C16" s="2">
        <v>0.999</v>
      </c>
      <c r="D16" s="2">
        <v>0.88563049853372433</v>
      </c>
      <c r="E16" s="2">
        <v>0.46236559139784944</v>
      </c>
      <c r="F16" s="2"/>
      <c r="G16" s="2">
        <v>0.999</v>
      </c>
      <c r="H16" s="2">
        <v>0.93841642228739008</v>
      </c>
      <c r="I16" s="2">
        <v>0.44574780058651026</v>
      </c>
      <c r="J16" s="2"/>
      <c r="K16" s="2">
        <v>0.999</v>
      </c>
      <c r="L16" s="2">
        <v>0.94623655913978499</v>
      </c>
      <c r="M16" s="2">
        <v>0.46041055718475071</v>
      </c>
      <c r="N16" s="2"/>
      <c r="O16" s="2">
        <v>0.999</v>
      </c>
      <c r="P16" s="2">
        <v>0.999</v>
      </c>
      <c r="Q16" s="2">
        <v>0.48680351906158359</v>
      </c>
      <c r="R16" s="2"/>
      <c r="S16" s="2">
        <v>0.999</v>
      </c>
      <c r="T16" s="2">
        <v>0.999</v>
      </c>
      <c r="U16" s="2">
        <v>0.51026392961876832</v>
      </c>
      <c r="V16" s="2"/>
      <c r="W16" s="2">
        <v>0.999</v>
      </c>
      <c r="X16" s="2">
        <v>0.999</v>
      </c>
      <c r="Y16" s="2">
        <v>0.50244379276637341</v>
      </c>
      <c r="Z16" s="2"/>
      <c r="AA16" s="2"/>
      <c r="AB16" s="2"/>
      <c r="AC16" s="2"/>
      <c r="AD16" s="2"/>
      <c r="AE16" s="2"/>
      <c r="AF16" s="2"/>
      <c r="AG16" s="2"/>
    </row>
    <row r="17" spans="1:33">
      <c r="A17" s="5">
        <f>A16+Calculations!$B$4</f>
        <v>30</v>
      </c>
      <c r="B17" s="2"/>
      <c r="C17" s="2">
        <v>0.999</v>
      </c>
      <c r="D17" s="2">
        <v>0.7702834799608993</v>
      </c>
      <c r="E17" s="2">
        <v>0.39296187683284456</v>
      </c>
      <c r="F17" s="2"/>
      <c r="G17" s="2">
        <v>0.999</v>
      </c>
      <c r="H17" s="2">
        <v>0.8191593352883676</v>
      </c>
      <c r="I17" s="2">
        <v>0.43206256109481916</v>
      </c>
      <c r="J17" s="2"/>
      <c r="K17" s="2">
        <v>0.999</v>
      </c>
      <c r="L17" s="2">
        <v>0.83479960899315742</v>
      </c>
      <c r="M17" s="2">
        <v>0.41642228739002934</v>
      </c>
      <c r="N17" s="2"/>
      <c r="O17" s="2">
        <v>0.999</v>
      </c>
      <c r="P17" s="2">
        <v>0.83186705767350932</v>
      </c>
      <c r="Q17" s="2">
        <v>0.42815249266862171</v>
      </c>
      <c r="R17" s="2"/>
      <c r="S17" s="2">
        <v>0.999</v>
      </c>
      <c r="T17" s="2">
        <v>0.89931573802541542</v>
      </c>
      <c r="U17" s="2">
        <v>0.39687194525904201</v>
      </c>
      <c r="V17" s="2"/>
      <c r="W17" s="2">
        <v>0.999</v>
      </c>
      <c r="X17" s="2">
        <v>0.93255131964809379</v>
      </c>
      <c r="Y17" s="2">
        <v>0.43792766373411535</v>
      </c>
      <c r="Z17" s="2"/>
      <c r="AA17" s="2"/>
      <c r="AB17" s="2"/>
      <c r="AC17" s="2"/>
      <c r="AD17" s="2"/>
      <c r="AE17" s="2"/>
      <c r="AF17" s="2"/>
      <c r="AG17" s="2"/>
    </row>
    <row r="18" spans="1:33">
      <c r="A18" s="5">
        <f>A17+Calculations!$B$4</f>
        <v>32</v>
      </c>
      <c r="B18" s="2"/>
      <c r="C18" s="2">
        <v>0.999</v>
      </c>
      <c r="D18" s="2">
        <v>0.71065493646138811</v>
      </c>
      <c r="E18" s="2">
        <v>0.35483870967741937</v>
      </c>
      <c r="F18" s="2"/>
      <c r="G18" s="2">
        <v>0.999</v>
      </c>
      <c r="H18" s="2">
        <v>0.69794721407624638</v>
      </c>
      <c r="I18" s="2">
        <v>0.33528836754643204</v>
      </c>
      <c r="J18" s="2"/>
      <c r="K18" s="2">
        <v>0.999</v>
      </c>
      <c r="L18" s="2">
        <v>0.74486803519061584</v>
      </c>
      <c r="M18" s="2">
        <v>0.39882697947214074</v>
      </c>
      <c r="N18" s="2"/>
      <c r="O18" s="2">
        <v>0.999</v>
      </c>
      <c r="P18" s="2">
        <v>0.75268817204301075</v>
      </c>
      <c r="Q18" s="2">
        <v>0.42424242424242425</v>
      </c>
      <c r="R18" s="2"/>
      <c r="S18" s="2">
        <v>0.999</v>
      </c>
      <c r="T18" s="2">
        <v>0.83870967741935487</v>
      </c>
      <c r="U18" s="2">
        <v>0.4310850439882698</v>
      </c>
      <c r="V18" s="2"/>
      <c r="W18" s="2">
        <v>0.999</v>
      </c>
      <c r="X18" s="2">
        <v>0.79765395894428148</v>
      </c>
      <c r="Y18" s="2">
        <v>0.41642228739002934</v>
      </c>
      <c r="Z18" s="2"/>
      <c r="AA18" s="2"/>
      <c r="AB18" s="2"/>
      <c r="AC18" s="2"/>
      <c r="AD18" s="2"/>
      <c r="AE18" s="2"/>
      <c r="AF18" s="2"/>
      <c r="AG18" s="2"/>
    </row>
    <row r="19" spans="1:33">
      <c r="A19" s="5">
        <f>A18+Calculations!$B$4</f>
        <v>34</v>
      </c>
      <c r="B19" s="2"/>
      <c r="C19" s="2">
        <v>0.999</v>
      </c>
      <c r="D19" s="2">
        <v>0.64809384164222872</v>
      </c>
      <c r="E19" s="2">
        <v>0.31769305962854349</v>
      </c>
      <c r="F19" s="2"/>
      <c r="G19" s="2">
        <v>0.999</v>
      </c>
      <c r="H19" s="2">
        <v>0.68523949169110454</v>
      </c>
      <c r="I19" s="2">
        <v>0.36363636363636365</v>
      </c>
      <c r="J19" s="2"/>
      <c r="K19" s="2">
        <v>0.999</v>
      </c>
      <c r="L19" s="2">
        <v>0.66959921798631472</v>
      </c>
      <c r="M19" s="2">
        <v>0.38416422287390029</v>
      </c>
      <c r="N19" s="2"/>
      <c r="O19" s="2">
        <v>0.999</v>
      </c>
      <c r="P19" s="2">
        <v>0.74975562072336266</v>
      </c>
      <c r="Q19" s="2">
        <v>0.4027370478983382</v>
      </c>
      <c r="R19" s="2"/>
      <c r="S19" s="2">
        <v>0.999</v>
      </c>
      <c r="T19" s="2">
        <v>0.72825024437927666</v>
      </c>
      <c r="U19" s="2">
        <v>0.36168132942326492</v>
      </c>
      <c r="V19" s="2"/>
      <c r="W19" s="2">
        <v>0.999</v>
      </c>
      <c r="X19" s="2">
        <v>0.76148582600195502</v>
      </c>
      <c r="Y19" s="2">
        <v>0.39784946236559138</v>
      </c>
      <c r="Z19" s="2"/>
      <c r="AA19" s="2"/>
      <c r="AB19" s="2"/>
      <c r="AC19" s="2"/>
      <c r="AD19" s="2"/>
      <c r="AE19" s="2"/>
      <c r="AF19" s="2"/>
      <c r="AG19" s="2"/>
    </row>
    <row r="20" spans="1:33">
      <c r="A20" s="5">
        <f>A19+Calculations!$B$4</f>
        <v>36</v>
      </c>
      <c r="B20" s="2"/>
      <c r="C20" s="2">
        <v>0.999</v>
      </c>
      <c r="D20" s="2">
        <v>0.65298142717497554</v>
      </c>
      <c r="E20" s="2">
        <v>0.33724340175953077</v>
      </c>
      <c r="F20" s="2"/>
      <c r="G20" s="2">
        <v>0.999</v>
      </c>
      <c r="H20" s="2">
        <v>0.64809384164222872</v>
      </c>
      <c r="I20" s="2">
        <v>0.36461388074291301</v>
      </c>
      <c r="J20" s="2"/>
      <c r="K20" s="2">
        <v>0.999</v>
      </c>
      <c r="L20" s="2">
        <v>0.6432062561094819</v>
      </c>
      <c r="M20" s="2">
        <v>0.34408602150537637</v>
      </c>
      <c r="N20" s="2"/>
      <c r="O20" s="2">
        <v>0.999</v>
      </c>
      <c r="P20" s="2">
        <v>0.70185728250244384</v>
      </c>
      <c r="Q20" s="2">
        <v>0.36559139784946237</v>
      </c>
      <c r="R20" s="2"/>
      <c r="S20" s="2">
        <v>0.999</v>
      </c>
      <c r="T20" s="2">
        <v>0.68523949169110454</v>
      </c>
      <c r="U20" s="2">
        <v>0.34115347018572822</v>
      </c>
      <c r="V20" s="2"/>
      <c r="W20" s="2">
        <v>0.999</v>
      </c>
      <c r="X20" s="2">
        <v>0.72043010752688175</v>
      </c>
      <c r="Y20" s="2">
        <v>0.38123167155425219</v>
      </c>
      <c r="Z20" s="2"/>
      <c r="AA20" s="2"/>
      <c r="AB20" s="2"/>
      <c r="AC20" s="2"/>
      <c r="AD20" s="2"/>
      <c r="AE20" s="2"/>
      <c r="AF20" s="2"/>
      <c r="AG20" s="2"/>
    </row>
    <row r="21" spans="1:33">
      <c r="A21" s="5">
        <f>A20+Calculations!$B$4</f>
        <v>38</v>
      </c>
      <c r="B21" s="2"/>
      <c r="C21" s="2">
        <v>0.999</v>
      </c>
      <c r="D21" s="2">
        <v>0.56011730205278587</v>
      </c>
      <c r="E21" s="2">
        <v>0.3040078201368524</v>
      </c>
      <c r="F21" s="2"/>
      <c r="G21" s="2">
        <v>0.999</v>
      </c>
      <c r="H21" s="2">
        <v>0.61583577712609971</v>
      </c>
      <c r="I21" s="2">
        <v>0.3040078201368524</v>
      </c>
      <c r="J21" s="2"/>
      <c r="K21" s="2">
        <v>0.999</v>
      </c>
      <c r="L21" s="2">
        <v>0.60312805474095799</v>
      </c>
      <c r="M21" s="2">
        <v>0.32062561094819159</v>
      </c>
      <c r="N21" s="2"/>
      <c r="O21" s="2">
        <v>0.999</v>
      </c>
      <c r="P21" s="2">
        <v>0.63343108504398826</v>
      </c>
      <c r="Q21" s="2">
        <v>0.34213098729227759</v>
      </c>
      <c r="R21" s="2"/>
      <c r="S21" s="2">
        <v>0.999</v>
      </c>
      <c r="T21" s="2">
        <v>0.69892473118279574</v>
      </c>
      <c r="U21" s="2">
        <v>0.33431085043988268</v>
      </c>
      <c r="V21" s="2"/>
      <c r="W21" s="2">
        <v>0.999</v>
      </c>
      <c r="X21" s="2">
        <v>0.65982404692082108</v>
      </c>
      <c r="Y21" s="2">
        <v>0.35483870967741937</v>
      </c>
      <c r="Z21" s="2"/>
      <c r="AA21" s="2"/>
      <c r="AB21" s="2"/>
      <c r="AC21" s="2"/>
      <c r="AD21" s="2"/>
      <c r="AE21" s="2"/>
      <c r="AF21" s="2"/>
      <c r="AG21" s="2"/>
    </row>
    <row r="22" spans="1:33">
      <c r="A22" s="5">
        <f>A21+Calculations!$B$4</f>
        <v>40</v>
      </c>
      <c r="B22" s="2"/>
      <c r="C22" s="2">
        <v>0.999</v>
      </c>
      <c r="D22" s="2">
        <v>0.52199413489736068</v>
      </c>
      <c r="E22" s="2">
        <v>0.29716520039100686</v>
      </c>
      <c r="F22" s="2"/>
      <c r="G22" s="2">
        <v>0.999</v>
      </c>
      <c r="H22" s="2">
        <v>0.5376344086021505</v>
      </c>
      <c r="I22" s="2">
        <v>0.29618768328445749</v>
      </c>
      <c r="J22" s="2"/>
      <c r="K22" s="2">
        <v>0.999</v>
      </c>
      <c r="L22" s="2">
        <v>0.61974584555229717</v>
      </c>
      <c r="M22" s="2">
        <v>0.31769305962854349</v>
      </c>
      <c r="N22" s="2"/>
      <c r="O22" s="2">
        <v>0.999</v>
      </c>
      <c r="P22" s="2">
        <v>0.59335288367546435</v>
      </c>
      <c r="Q22" s="2">
        <v>0.3255131964809384</v>
      </c>
      <c r="R22" s="2"/>
      <c r="S22" s="2">
        <v>0.999</v>
      </c>
      <c r="T22" s="2">
        <v>0.61388074291300099</v>
      </c>
      <c r="U22" s="2">
        <v>0.29618768328445749</v>
      </c>
      <c r="V22" s="2"/>
      <c r="W22" s="2">
        <v>0.999</v>
      </c>
      <c r="X22" s="2">
        <v>0.63147605083088953</v>
      </c>
      <c r="Y22" s="2">
        <v>0.34799608993157383</v>
      </c>
      <c r="Z22" s="2"/>
      <c r="AA22" s="2"/>
      <c r="AB22" s="2"/>
      <c r="AC22" s="2"/>
      <c r="AD22" s="2"/>
      <c r="AE22" s="2"/>
      <c r="AF22" s="2"/>
      <c r="AG22" s="2"/>
    </row>
    <row r="23" spans="1:33">
      <c r="A23" s="5">
        <f>A22+Calculations!$B$4</f>
        <v>42</v>
      </c>
      <c r="B23" s="2"/>
      <c r="C23" s="2">
        <v>0.999</v>
      </c>
      <c r="D23" s="2">
        <v>0.52883675464320623</v>
      </c>
      <c r="E23" s="2">
        <v>0.26392961876832843</v>
      </c>
      <c r="F23" s="2"/>
      <c r="G23" s="2">
        <v>0.999</v>
      </c>
      <c r="H23" s="2">
        <v>0.54545454545454541</v>
      </c>
      <c r="I23" s="2">
        <v>0.31867057673509286</v>
      </c>
      <c r="J23" s="2"/>
      <c r="K23" s="2">
        <v>0.999</v>
      </c>
      <c r="L23" s="2">
        <v>0.5650048875855328</v>
      </c>
      <c r="M23" s="2">
        <v>0.28543499511241449</v>
      </c>
      <c r="N23" s="2"/>
      <c r="O23" s="2">
        <v>0.999</v>
      </c>
      <c r="P23" s="2">
        <v>0.58162267839687198</v>
      </c>
      <c r="Q23" s="2">
        <v>0.31964809384164222</v>
      </c>
      <c r="R23" s="2"/>
      <c r="S23" s="2">
        <v>0.999</v>
      </c>
      <c r="T23" s="2">
        <v>0.58846529814271753</v>
      </c>
      <c r="U23" s="2">
        <v>0.32160312805474095</v>
      </c>
      <c r="V23" s="2"/>
      <c r="W23" s="2">
        <v>0.999</v>
      </c>
      <c r="X23" s="2">
        <v>0.61485826001955035</v>
      </c>
      <c r="Y23" s="2">
        <v>0.3460410557184751</v>
      </c>
      <c r="Z23" s="2"/>
      <c r="AA23" s="2"/>
      <c r="AB23" s="2"/>
      <c r="AC23" s="2"/>
      <c r="AD23" s="2"/>
      <c r="AE23" s="2"/>
      <c r="AF23" s="2"/>
      <c r="AG23" s="2"/>
    </row>
    <row r="24" spans="1:33">
      <c r="A24" s="5">
        <f>A23+Calculations!$B$4</f>
        <v>44</v>
      </c>
      <c r="B24" s="2"/>
      <c r="C24" s="2">
        <v>0.999</v>
      </c>
      <c r="D24" s="2">
        <v>0.49364613880742914</v>
      </c>
      <c r="E24" s="2">
        <v>0.30009775171065495</v>
      </c>
      <c r="F24" s="2"/>
      <c r="G24" s="2">
        <v>0.999</v>
      </c>
      <c r="H24" s="2">
        <v>0.53176930596285432</v>
      </c>
      <c r="I24" s="2">
        <v>0.29423264907135877</v>
      </c>
      <c r="J24" s="2"/>
      <c r="K24" s="2">
        <v>0.999</v>
      </c>
      <c r="L24" s="2">
        <v>0.55718475073313778</v>
      </c>
      <c r="M24" s="2">
        <v>0.29912023460410558</v>
      </c>
      <c r="N24" s="2"/>
      <c r="O24" s="2">
        <v>0.999</v>
      </c>
      <c r="P24" s="2">
        <v>0.56402737047898344</v>
      </c>
      <c r="Q24" s="2">
        <v>0.30107526881720431</v>
      </c>
      <c r="R24" s="2"/>
      <c r="S24" s="2">
        <v>0.999</v>
      </c>
      <c r="T24" s="2">
        <v>0.57478005865102644</v>
      </c>
      <c r="U24" s="2">
        <v>0.30009775171065495</v>
      </c>
      <c r="V24" s="2"/>
      <c r="W24" s="2">
        <v>0.999</v>
      </c>
      <c r="X24" s="2">
        <v>0.58357771260997071</v>
      </c>
      <c r="Y24" s="2">
        <v>0.31671554252199413</v>
      </c>
      <c r="Z24" s="2"/>
      <c r="AA24" s="2"/>
      <c r="AB24" s="2"/>
      <c r="AC24" s="2"/>
      <c r="AD24" s="2"/>
      <c r="AE24" s="2"/>
      <c r="AF24" s="2"/>
      <c r="AG24" s="2"/>
    </row>
    <row r="25" spans="1:33">
      <c r="A25" s="5">
        <f>A24+Calculations!$B$4</f>
        <v>46</v>
      </c>
      <c r="B25" s="2"/>
      <c r="C25" s="2">
        <v>0.999</v>
      </c>
      <c r="D25" s="2">
        <v>0.48973607038123168</v>
      </c>
      <c r="E25" s="2">
        <v>0.27174975562072334</v>
      </c>
      <c r="F25" s="2"/>
      <c r="G25" s="2">
        <v>0.999</v>
      </c>
      <c r="H25" s="2">
        <v>0.46725317693059626</v>
      </c>
      <c r="I25" s="2">
        <v>0.24535679374389052</v>
      </c>
      <c r="J25" s="2"/>
      <c r="K25" s="2">
        <v>0.999</v>
      </c>
      <c r="L25" s="2">
        <v>0.51808406647116323</v>
      </c>
      <c r="M25" s="2">
        <v>0.31182795698924731</v>
      </c>
      <c r="N25" s="2"/>
      <c r="O25" s="2">
        <v>0.999</v>
      </c>
      <c r="P25" s="2">
        <v>0.56109481915933523</v>
      </c>
      <c r="Q25" s="2">
        <v>0.25708699902248289</v>
      </c>
      <c r="R25" s="2"/>
      <c r="S25" s="2">
        <v>0.999</v>
      </c>
      <c r="T25" s="2">
        <v>0.55620723362658842</v>
      </c>
      <c r="U25" s="2">
        <v>0.31573802541544477</v>
      </c>
      <c r="V25" s="2"/>
      <c r="W25" s="2">
        <v>0.999</v>
      </c>
      <c r="X25" s="2">
        <v>0.58553274682306944</v>
      </c>
      <c r="Y25" s="2">
        <v>0.2825024437927664</v>
      </c>
      <c r="Z25" s="2"/>
      <c r="AA25" s="2"/>
      <c r="AB25" s="2"/>
      <c r="AC25" s="2"/>
      <c r="AD25" s="2"/>
      <c r="AE25" s="2"/>
      <c r="AF25" s="2"/>
      <c r="AG25" s="2"/>
    </row>
    <row r="26" spans="1:33">
      <c r="A26" s="5">
        <f>A25+Calculations!$B$4</f>
        <v>48</v>
      </c>
      <c r="B26" s="2"/>
      <c r="C26" s="2">
        <v>0.96089931573802545</v>
      </c>
      <c r="D26" s="2">
        <v>0.45356793743890517</v>
      </c>
      <c r="E26" s="2">
        <v>0.24437927663734116</v>
      </c>
      <c r="F26" s="2"/>
      <c r="G26" s="2">
        <v>0.999</v>
      </c>
      <c r="H26" s="2">
        <v>0.4946236559139785</v>
      </c>
      <c r="I26" s="2">
        <v>0.26979472140762462</v>
      </c>
      <c r="J26" s="2"/>
      <c r="K26" s="2">
        <v>0.999</v>
      </c>
      <c r="L26" s="2">
        <v>0.52199413489736068</v>
      </c>
      <c r="M26" s="2">
        <v>0.24828934506353861</v>
      </c>
      <c r="N26" s="2"/>
      <c r="O26" s="2">
        <v>0.999</v>
      </c>
      <c r="P26" s="2">
        <v>0.51026392961876832</v>
      </c>
      <c r="Q26" s="2">
        <v>0.2756598240469208</v>
      </c>
      <c r="R26" s="2"/>
      <c r="S26" s="2">
        <v>0.999</v>
      </c>
      <c r="T26" s="2">
        <v>0.53274682306940369</v>
      </c>
      <c r="U26" s="2">
        <v>0.28152492668621698</v>
      </c>
      <c r="V26" s="2"/>
      <c r="W26" s="2">
        <v>0.999</v>
      </c>
      <c r="X26" s="2">
        <v>0.55816226783968714</v>
      </c>
      <c r="Y26" s="2">
        <v>0.29521016617790813</v>
      </c>
      <c r="Z26" s="2"/>
      <c r="AA26" s="2"/>
      <c r="AB26" s="2"/>
      <c r="AC26" s="2"/>
      <c r="AD26" s="2"/>
      <c r="AE26" s="2"/>
      <c r="AF26" s="2"/>
      <c r="AG26" s="2"/>
    </row>
    <row r="27" spans="1:33">
      <c r="A27" s="5">
        <f>A26+Calculations!$B$4</f>
        <v>50</v>
      </c>
      <c r="B27" s="2"/>
      <c r="C27" s="2">
        <v>0.86510263929618769</v>
      </c>
      <c r="D27" s="2">
        <v>0.45747800586510262</v>
      </c>
      <c r="E27" s="2">
        <v>0.25904203323558161</v>
      </c>
      <c r="F27" s="2"/>
      <c r="G27" s="2">
        <v>0.93157380254154443</v>
      </c>
      <c r="H27" s="2">
        <v>0.46920821114369504</v>
      </c>
      <c r="I27" s="2">
        <v>0.25610948191593352</v>
      </c>
      <c r="J27" s="2"/>
      <c r="K27" s="2">
        <v>0.999</v>
      </c>
      <c r="L27" s="2">
        <v>0.48093841642228741</v>
      </c>
      <c r="M27" s="2">
        <v>0.2541544477028348</v>
      </c>
      <c r="N27" s="2"/>
      <c r="O27" s="2">
        <v>0.999</v>
      </c>
      <c r="P27" s="2">
        <v>0.4946236559139785</v>
      </c>
      <c r="Q27" s="2">
        <v>0.2512218963831867</v>
      </c>
      <c r="R27" s="2"/>
      <c r="S27" s="2">
        <v>0.999</v>
      </c>
      <c r="T27" s="2">
        <v>0.56304985337243396</v>
      </c>
      <c r="U27" s="2">
        <v>0.27174975562072334</v>
      </c>
      <c r="V27" s="2"/>
      <c r="W27" s="2">
        <v>0.999</v>
      </c>
      <c r="X27" s="2">
        <v>0.55034213098729223</v>
      </c>
      <c r="Y27" s="2">
        <v>0.32453567937438904</v>
      </c>
      <c r="Z27" s="2"/>
      <c r="AA27" s="2"/>
      <c r="AB27" s="2"/>
      <c r="AC27" s="2"/>
      <c r="AD27" s="2"/>
      <c r="AE27" s="2"/>
      <c r="AF27" s="2"/>
      <c r="AG27" s="2"/>
    </row>
    <row r="28" spans="1:33">
      <c r="A28" s="5">
        <f>A27+Calculations!$B$4</f>
        <v>52</v>
      </c>
      <c r="B28" s="2"/>
      <c r="C28" s="2">
        <v>0.79863147605083085</v>
      </c>
      <c r="D28" s="2">
        <v>0.42424242424242425</v>
      </c>
      <c r="E28" s="2">
        <v>0.19354838709677419</v>
      </c>
      <c r="F28" s="2"/>
      <c r="G28" s="2">
        <v>0.85826001955034215</v>
      </c>
      <c r="H28" s="2">
        <v>0.44965786901270771</v>
      </c>
      <c r="I28" s="2">
        <v>0.25024437927663734</v>
      </c>
      <c r="J28" s="2"/>
      <c r="K28" s="2">
        <v>0.97360703812316718</v>
      </c>
      <c r="L28" s="2">
        <v>0.4525904203323558</v>
      </c>
      <c r="M28" s="2">
        <v>0.23460410557184752</v>
      </c>
      <c r="N28" s="2"/>
      <c r="O28" s="2">
        <v>0.999</v>
      </c>
      <c r="P28" s="2">
        <v>0.46432062561094817</v>
      </c>
      <c r="Q28" s="2">
        <v>0.27956989247311825</v>
      </c>
      <c r="R28" s="2"/>
      <c r="S28" s="2">
        <v>0.999</v>
      </c>
      <c r="T28" s="2">
        <v>0.50635386119257086</v>
      </c>
      <c r="U28" s="2">
        <v>0.30205278592375367</v>
      </c>
      <c r="V28" s="2"/>
      <c r="W28" s="2">
        <v>0.999</v>
      </c>
      <c r="X28" s="2">
        <v>0.5161290322580645</v>
      </c>
      <c r="Y28" s="2">
        <v>0.2756598240469208</v>
      </c>
      <c r="Z28" s="2"/>
      <c r="AA28" s="2"/>
      <c r="AB28" s="2"/>
      <c r="AC28" s="2"/>
      <c r="AD28" s="2"/>
      <c r="AE28" s="2"/>
      <c r="AF28" s="2"/>
      <c r="AG28" s="2"/>
    </row>
    <row r="29" spans="1:33">
      <c r="A29" s="5">
        <f>A28+Calculations!$B$4</f>
        <v>54</v>
      </c>
      <c r="B29" s="2"/>
      <c r="C29" s="2">
        <v>0.8132942326490713</v>
      </c>
      <c r="D29" s="2">
        <v>0.42815249266862171</v>
      </c>
      <c r="E29" s="2">
        <v>0.23753665689149561</v>
      </c>
      <c r="F29" s="2"/>
      <c r="G29" s="2">
        <v>0.82111436950146632</v>
      </c>
      <c r="H29" s="2">
        <v>0.42717497556207235</v>
      </c>
      <c r="I29" s="2">
        <v>0.22873900293255131</v>
      </c>
      <c r="J29" s="2"/>
      <c r="K29" s="2">
        <v>0.83773216031280551</v>
      </c>
      <c r="L29" s="2">
        <v>0.44672531769305962</v>
      </c>
      <c r="M29" s="2">
        <v>0.26881720430107525</v>
      </c>
      <c r="N29" s="2"/>
      <c r="O29" s="2">
        <v>0.999</v>
      </c>
      <c r="P29" s="2">
        <v>0.47507331378299122</v>
      </c>
      <c r="Q29" s="2">
        <v>0.24926686217008798</v>
      </c>
      <c r="R29" s="2"/>
      <c r="S29" s="2">
        <v>0.999</v>
      </c>
      <c r="T29" s="2">
        <v>0.50733137829912023</v>
      </c>
      <c r="U29" s="2">
        <v>0.24633431085043989</v>
      </c>
      <c r="V29" s="2"/>
      <c r="W29" s="2">
        <v>0.999</v>
      </c>
      <c r="X29" s="2">
        <v>0.53274682306940369</v>
      </c>
      <c r="Y29" s="2">
        <v>0.27956989247311825</v>
      </c>
      <c r="Z29" s="2"/>
      <c r="AA29" s="2"/>
      <c r="AB29" s="2"/>
      <c r="AC29" s="2"/>
      <c r="AD29" s="2"/>
      <c r="AE29" s="2"/>
      <c r="AF29" s="2"/>
      <c r="AG29" s="2"/>
    </row>
    <row r="30" spans="1:33">
      <c r="A30" s="5">
        <f>A29+Calculations!$B$4</f>
        <v>56</v>
      </c>
      <c r="B30" s="2"/>
      <c r="C30" s="2">
        <v>0.75855327468230693</v>
      </c>
      <c r="D30" s="2">
        <v>0.39002932551319647</v>
      </c>
      <c r="E30" s="2">
        <v>0.20430107526881722</v>
      </c>
      <c r="F30" s="2"/>
      <c r="G30" s="2">
        <v>0.81427174975562078</v>
      </c>
      <c r="H30" s="2">
        <v>0.41642228739002934</v>
      </c>
      <c r="I30" s="2">
        <v>0.26392961876832843</v>
      </c>
      <c r="J30" s="2"/>
      <c r="K30" s="2">
        <v>0.9433040078201369</v>
      </c>
      <c r="L30" s="2">
        <v>0.37732160312805474</v>
      </c>
      <c r="M30" s="2">
        <v>0.24437927663734116</v>
      </c>
      <c r="N30" s="2"/>
      <c r="O30" s="2">
        <v>0.999</v>
      </c>
      <c r="P30" s="2">
        <v>0.44965786901270771</v>
      </c>
      <c r="Q30" s="2">
        <v>0.23460410557184752</v>
      </c>
      <c r="R30" s="2"/>
      <c r="S30" s="2">
        <v>0.999</v>
      </c>
      <c r="T30" s="2">
        <v>0.50146627565982405</v>
      </c>
      <c r="U30" s="2">
        <v>0.24242424242424243</v>
      </c>
      <c r="V30" s="2"/>
      <c r="W30" s="2">
        <v>0.999</v>
      </c>
      <c r="X30" s="2">
        <v>0.50928641251221896</v>
      </c>
      <c r="Y30" s="2">
        <v>0.25219941348973607</v>
      </c>
      <c r="Z30" s="2"/>
      <c r="AA30" s="2"/>
      <c r="AB30" s="2"/>
      <c r="AC30" s="2"/>
      <c r="AD30" s="2"/>
      <c r="AE30" s="2"/>
      <c r="AF30" s="2"/>
      <c r="AG30" s="2"/>
    </row>
    <row r="31" spans="1:33">
      <c r="A31" s="5">
        <f>A30+Calculations!$B$4</f>
        <v>58</v>
      </c>
      <c r="B31" s="2"/>
      <c r="C31" s="2">
        <v>0.79472140762463339</v>
      </c>
      <c r="D31" s="2">
        <v>0.42521994134897362</v>
      </c>
      <c r="E31" s="2">
        <v>0.23069403714565004</v>
      </c>
      <c r="F31" s="2"/>
      <c r="G31" s="2">
        <v>0.84848484848484851</v>
      </c>
      <c r="H31" s="2">
        <v>0.41153470185728253</v>
      </c>
      <c r="I31" s="2">
        <v>0.20723362658846531</v>
      </c>
      <c r="J31" s="2"/>
      <c r="K31" s="2">
        <v>0.87683284457478006</v>
      </c>
      <c r="L31" s="2">
        <v>0.46041055718475071</v>
      </c>
      <c r="M31" s="2">
        <v>0.21212121212121213</v>
      </c>
      <c r="N31" s="2"/>
      <c r="O31" s="2">
        <v>0.99413489736070382</v>
      </c>
      <c r="P31" s="2">
        <v>0.47409579667644186</v>
      </c>
      <c r="Q31" s="2">
        <v>0.26392961876832843</v>
      </c>
      <c r="R31" s="2"/>
      <c r="S31" s="2">
        <v>0.95992179863147609</v>
      </c>
      <c r="T31" s="2">
        <v>0.46432062561094817</v>
      </c>
      <c r="U31" s="2">
        <v>0.26099706744868034</v>
      </c>
      <c r="V31" s="2"/>
      <c r="W31" s="2">
        <v>0.999</v>
      </c>
      <c r="X31" s="2">
        <v>0.46920821114369504</v>
      </c>
      <c r="Y31" s="2">
        <v>0.24535679374389052</v>
      </c>
      <c r="Z31" s="2"/>
      <c r="AA31" s="2"/>
      <c r="AB31" s="2"/>
      <c r="AC31" s="2"/>
      <c r="AD31" s="2"/>
      <c r="AE31" s="2"/>
      <c r="AF31" s="2"/>
      <c r="AG31" s="2"/>
    </row>
    <row r="32" spans="1:33">
      <c r="A32" s="5">
        <f>A31+Calculations!$B$4</f>
        <v>60</v>
      </c>
      <c r="B32" s="2"/>
      <c r="C32" s="2">
        <v>0.78592375366568912</v>
      </c>
      <c r="D32" s="2">
        <v>0.38416422287390029</v>
      </c>
      <c r="E32" s="2">
        <v>0.19257086999022482</v>
      </c>
      <c r="F32" s="2"/>
      <c r="G32" s="2">
        <v>0.77517106549364612</v>
      </c>
      <c r="H32" s="2">
        <v>0.39393939393939392</v>
      </c>
      <c r="I32" s="2">
        <v>0.21407624633431085</v>
      </c>
      <c r="J32" s="2"/>
      <c r="K32" s="2">
        <v>0.79960899315738021</v>
      </c>
      <c r="L32" s="2">
        <v>0.47898338220918868</v>
      </c>
      <c r="M32" s="2">
        <v>0.22287390029325513</v>
      </c>
      <c r="N32" s="2"/>
      <c r="O32" s="2">
        <v>0.91788856304985333</v>
      </c>
      <c r="P32" s="2">
        <v>0.40762463343108507</v>
      </c>
      <c r="Q32" s="2">
        <v>0.24828934506353861</v>
      </c>
      <c r="R32" s="2"/>
      <c r="S32" s="2">
        <v>0.999</v>
      </c>
      <c r="T32" s="2">
        <v>0.41251221896383189</v>
      </c>
      <c r="U32" s="2">
        <v>0.24144672531769307</v>
      </c>
      <c r="V32" s="2"/>
      <c r="W32" s="2">
        <v>0.999</v>
      </c>
      <c r="X32" s="2">
        <v>0.45943304007820135</v>
      </c>
      <c r="Y32" s="2">
        <v>0.25317693059628543</v>
      </c>
      <c r="Z32" s="2"/>
      <c r="AA32" s="2"/>
      <c r="AB32" s="2"/>
      <c r="AC32" s="2"/>
      <c r="AD32" s="2"/>
      <c r="AE32" s="2"/>
      <c r="AF32" s="2"/>
      <c r="AG32" s="2"/>
    </row>
    <row r="33" spans="1:33">
      <c r="A33" s="5">
        <f>A32+Calculations!$B$4</f>
        <v>62</v>
      </c>
      <c r="B33" s="2"/>
      <c r="C33" s="2">
        <v>0.70869990224828938</v>
      </c>
      <c r="D33" s="2">
        <v>0.38123167155425219</v>
      </c>
      <c r="E33" s="2">
        <v>0.18963831867057673</v>
      </c>
      <c r="F33" s="2"/>
      <c r="G33" s="2">
        <v>0.75855327468230693</v>
      </c>
      <c r="H33" s="2">
        <v>0.38220918866080156</v>
      </c>
      <c r="I33" s="2">
        <v>0.23069403714565004</v>
      </c>
      <c r="J33" s="2"/>
      <c r="K33" s="2">
        <v>0.79863147605083085</v>
      </c>
      <c r="L33" s="2">
        <v>0.41642228739002934</v>
      </c>
      <c r="M33" s="2">
        <v>0.20527859237536658</v>
      </c>
      <c r="N33" s="2"/>
      <c r="O33" s="2">
        <v>0.88660801564027369</v>
      </c>
      <c r="P33" s="2">
        <v>0.39687194525904201</v>
      </c>
      <c r="Q33" s="2">
        <v>0.25317693059628543</v>
      </c>
      <c r="R33" s="2"/>
      <c r="S33" s="2">
        <v>0.88269794721407624</v>
      </c>
      <c r="T33" s="2">
        <v>0.48093841642228741</v>
      </c>
      <c r="U33" s="2">
        <v>0.24633431085043989</v>
      </c>
      <c r="V33" s="2"/>
      <c r="W33" s="2">
        <v>0.95992179863147609</v>
      </c>
      <c r="X33" s="2">
        <v>0.47800586510263932</v>
      </c>
      <c r="Y33" s="2">
        <v>0.23460410557184752</v>
      </c>
      <c r="Z33" s="2"/>
      <c r="AA33" s="2"/>
      <c r="AB33" s="2"/>
      <c r="AC33" s="2"/>
      <c r="AD33" s="2"/>
      <c r="AE33" s="2"/>
      <c r="AF33" s="2"/>
      <c r="AG33" s="2"/>
    </row>
    <row r="34" spans="1:33">
      <c r="A34" s="5">
        <f>A33+Calculations!$B$4</f>
        <v>64</v>
      </c>
      <c r="B34" s="2"/>
      <c r="C34" s="2">
        <v>0.70381231671554256</v>
      </c>
      <c r="D34" s="2">
        <v>0.39100684261974583</v>
      </c>
      <c r="E34" s="2">
        <v>0.18377321603128055</v>
      </c>
      <c r="F34" s="2"/>
      <c r="G34" s="2">
        <v>0.78201368523949166</v>
      </c>
      <c r="H34" s="2">
        <v>0.39296187683284456</v>
      </c>
      <c r="I34" s="2">
        <v>0.21603128054740958</v>
      </c>
      <c r="J34" s="2"/>
      <c r="K34" s="2">
        <v>0.80938416422287385</v>
      </c>
      <c r="L34" s="2">
        <v>0.40762463343108507</v>
      </c>
      <c r="M34" s="2">
        <v>0.21505376344086022</v>
      </c>
      <c r="N34" s="2"/>
      <c r="O34" s="2">
        <v>0.86119257086999024</v>
      </c>
      <c r="P34" s="2">
        <v>0.39589442815249265</v>
      </c>
      <c r="Q34" s="2">
        <v>0.21994134897360704</v>
      </c>
      <c r="R34" s="2"/>
      <c r="S34" s="2">
        <v>0.92668621700879761</v>
      </c>
      <c r="T34" s="2">
        <v>0.4310850439882698</v>
      </c>
      <c r="U34" s="2">
        <v>0.2404692082111437</v>
      </c>
      <c r="V34" s="2"/>
      <c r="W34" s="2">
        <v>0.999</v>
      </c>
      <c r="X34" s="2">
        <v>0.43597262952101662</v>
      </c>
      <c r="Y34" s="2">
        <v>0.25219941348973607</v>
      </c>
      <c r="Z34" s="2"/>
      <c r="AA34" s="2"/>
      <c r="AB34" s="2"/>
      <c r="AC34" s="2"/>
      <c r="AD34" s="2"/>
      <c r="AE34" s="2"/>
      <c r="AF34" s="2"/>
      <c r="AG34" s="2"/>
    </row>
    <row r="35" spans="1:33">
      <c r="A35" s="5">
        <f>A34+Calculations!$B$4</f>
        <v>66</v>
      </c>
      <c r="B35" s="2"/>
      <c r="C35" s="2">
        <v>0.66568914956011727</v>
      </c>
      <c r="D35" s="2">
        <v>0.36168132942326492</v>
      </c>
      <c r="E35" s="2">
        <v>0.18475073313782991</v>
      </c>
      <c r="F35" s="2"/>
      <c r="G35" s="2">
        <v>0.6539589442815249</v>
      </c>
      <c r="H35" s="2">
        <v>0.38025415444770283</v>
      </c>
      <c r="I35" s="2">
        <v>0.20918866080156404</v>
      </c>
      <c r="J35" s="2"/>
      <c r="K35" s="2">
        <v>0.76050830889540566</v>
      </c>
      <c r="L35" s="2">
        <v>0.40860215053763443</v>
      </c>
      <c r="M35" s="2">
        <v>0.18572825024437928</v>
      </c>
      <c r="N35" s="2"/>
      <c r="O35" s="2">
        <v>0.81720430107526887</v>
      </c>
      <c r="P35" s="2">
        <v>0.41055718475073316</v>
      </c>
      <c r="Q35" s="2">
        <v>0.21700879765395895</v>
      </c>
      <c r="R35" s="2"/>
      <c r="S35" s="2">
        <v>0.89833822091886606</v>
      </c>
      <c r="T35" s="2">
        <v>0.43988269794721407</v>
      </c>
      <c r="U35" s="2">
        <v>0.24437927663734116</v>
      </c>
      <c r="V35" s="2"/>
      <c r="W35" s="2">
        <v>0.9081133919843597</v>
      </c>
      <c r="X35" s="2">
        <v>0.47996089931573804</v>
      </c>
      <c r="Y35" s="2">
        <v>0.25219941348973607</v>
      </c>
      <c r="Z35" s="2"/>
      <c r="AA35" s="2"/>
      <c r="AB35" s="2"/>
      <c r="AC35" s="2"/>
      <c r="AD35" s="2"/>
      <c r="AE35" s="2"/>
      <c r="AF35" s="2"/>
      <c r="AG35" s="2"/>
    </row>
    <row r="36" spans="1:33">
      <c r="A36" s="5">
        <f>A35+Calculations!$B$4</f>
        <v>68</v>
      </c>
      <c r="B36" s="2"/>
      <c r="C36" s="2">
        <v>0.68230694037145645</v>
      </c>
      <c r="D36" s="2">
        <v>0.38318670576735092</v>
      </c>
      <c r="E36" s="2">
        <v>0.19648093841642228</v>
      </c>
      <c r="F36" s="2"/>
      <c r="G36" s="2">
        <v>0.68132942326490709</v>
      </c>
      <c r="H36" s="2">
        <v>0.38416422287390029</v>
      </c>
      <c r="I36" s="2">
        <v>0.20821114369501467</v>
      </c>
      <c r="J36" s="2"/>
      <c r="K36" s="2">
        <v>0.73704789833822093</v>
      </c>
      <c r="L36" s="2">
        <v>0.38025415444770283</v>
      </c>
      <c r="M36" s="2">
        <v>0.2101661779081134</v>
      </c>
      <c r="N36" s="2"/>
      <c r="O36" s="2">
        <v>0.83773216031280551</v>
      </c>
      <c r="P36" s="2">
        <v>0.41837732160312807</v>
      </c>
      <c r="Q36" s="2">
        <v>0.21114369501466276</v>
      </c>
      <c r="R36" s="2"/>
      <c r="S36" s="2">
        <v>0.82502443792766378</v>
      </c>
      <c r="T36" s="2">
        <v>0.44379276637341153</v>
      </c>
      <c r="U36" s="2">
        <v>0.2404692082111437</v>
      </c>
      <c r="V36" s="2"/>
      <c r="W36" s="2">
        <v>0.90127077223851415</v>
      </c>
      <c r="X36" s="2">
        <v>0.45747800586510262</v>
      </c>
      <c r="Y36" s="2">
        <v>0.25024437927663734</v>
      </c>
      <c r="Z36" s="2"/>
      <c r="AA36" s="2"/>
      <c r="AB36" s="2"/>
      <c r="AC36" s="2"/>
      <c r="AD36" s="2"/>
      <c r="AE36" s="2"/>
      <c r="AF36" s="2"/>
      <c r="AG36" s="2"/>
    </row>
    <row r="37" spans="1:33">
      <c r="A37" s="5">
        <f>A36+Calculations!$B$4</f>
        <v>70</v>
      </c>
      <c r="B37" s="2"/>
      <c r="C37" s="2">
        <v>0.67253176930596281</v>
      </c>
      <c r="D37" s="2">
        <v>0.34213098729227759</v>
      </c>
      <c r="E37" s="2">
        <v>0.20527859237536658</v>
      </c>
      <c r="F37" s="2"/>
      <c r="G37" s="2">
        <v>0.69599217986314765</v>
      </c>
      <c r="H37" s="2">
        <v>0.37145650048875856</v>
      </c>
      <c r="I37" s="2">
        <v>0.16422287390029325</v>
      </c>
      <c r="J37" s="2"/>
      <c r="K37" s="2">
        <v>0.72140762463343111</v>
      </c>
      <c r="L37" s="2">
        <v>0.39687194525904201</v>
      </c>
      <c r="M37" s="2">
        <v>0.21994134897360704</v>
      </c>
      <c r="N37" s="2"/>
      <c r="O37" s="2">
        <v>0.79276637341153466</v>
      </c>
      <c r="P37" s="2">
        <v>0.38709677419354838</v>
      </c>
      <c r="Q37" s="2">
        <v>0.22971652003910067</v>
      </c>
      <c r="R37" s="2"/>
      <c r="S37" s="2">
        <v>0.91006842619745842</v>
      </c>
      <c r="T37" s="2">
        <v>0.41837732160312807</v>
      </c>
      <c r="U37" s="2">
        <v>0.20234604105571846</v>
      </c>
      <c r="V37" s="2"/>
      <c r="W37" s="2">
        <v>0.956989247311828</v>
      </c>
      <c r="X37" s="2">
        <v>0.45943304007820135</v>
      </c>
      <c r="Y37" s="2">
        <v>0.25219941348973607</v>
      </c>
      <c r="Z37" s="2"/>
      <c r="AA37" s="2"/>
      <c r="AB37" s="2"/>
      <c r="AC37" s="2"/>
      <c r="AD37" s="2"/>
      <c r="AE37" s="2"/>
      <c r="AF37" s="2"/>
      <c r="AG37" s="2"/>
    </row>
    <row r="38" spans="1:33">
      <c r="A38" s="5">
        <f>A37+Calculations!$B$4</f>
        <v>72</v>
      </c>
      <c r="B38" s="2"/>
      <c r="C38" s="2">
        <v>0.62952101661779081</v>
      </c>
      <c r="D38" s="2">
        <v>0.36656891495601174</v>
      </c>
      <c r="E38" s="2">
        <v>0.176930596285435</v>
      </c>
      <c r="F38" s="2"/>
      <c r="G38" s="2">
        <v>0.74486803519061584</v>
      </c>
      <c r="H38" s="2">
        <v>0.33822091886608013</v>
      </c>
      <c r="I38" s="2">
        <v>0.22287390029325513</v>
      </c>
      <c r="J38" s="2"/>
      <c r="K38" s="2">
        <v>0.74193548387096775</v>
      </c>
      <c r="L38" s="2">
        <v>0.37927663734115347</v>
      </c>
      <c r="M38" s="2">
        <v>0.26392961876832843</v>
      </c>
      <c r="N38" s="2"/>
      <c r="O38" s="2">
        <v>0.80449657869012703</v>
      </c>
      <c r="P38" s="2">
        <v>0.42619745845552298</v>
      </c>
      <c r="Q38" s="2">
        <v>0.21505376344086022</v>
      </c>
      <c r="R38" s="2"/>
      <c r="S38" s="2">
        <v>0.94623655913978499</v>
      </c>
      <c r="T38" s="2">
        <v>0.40469208211143692</v>
      </c>
      <c r="U38" s="2">
        <v>0.20332355816226783</v>
      </c>
      <c r="V38" s="2"/>
      <c r="W38" s="2">
        <v>0.83088954056695996</v>
      </c>
      <c r="X38" s="2">
        <v>0.42130987292277616</v>
      </c>
      <c r="Y38" s="2">
        <v>0.23655913978494625</v>
      </c>
      <c r="Z38" s="2"/>
      <c r="AA38" s="2"/>
      <c r="AB38" s="2"/>
      <c r="AC38" s="2"/>
      <c r="AD38" s="2"/>
      <c r="AE38" s="2"/>
      <c r="AF38" s="2"/>
      <c r="AG38" s="2"/>
    </row>
    <row r="39" spans="1:33">
      <c r="A39" s="5">
        <f>A38+Calculations!$B$4</f>
        <v>74</v>
      </c>
      <c r="B39" s="2"/>
      <c r="C39" s="2">
        <v>0.5757575757575758</v>
      </c>
      <c r="D39" s="2">
        <v>0.31573802541544477</v>
      </c>
      <c r="E39" s="2">
        <v>0.16324535679374388</v>
      </c>
      <c r="F39" s="2"/>
      <c r="G39" s="2">
        <v>0.68328445747800581</v>
      </c>
      <c r="H39" s="2">
        <v>0.36461388074291301</v>
      </c>
      <c r="I39" s="2">
        <v>0.18084066471163246</v>
      </c>
      <c r="J39" s="2"/>
      <c r="K39" s="2">
        <v>0.69305962854349956</v>
      </c>
      <c r="L39" s="2">
        <v>0.38807429130009774</v>
      </c>
      <c r="M39" s="2">
        <v>0.19745845552297164</v>
      </c>
      <c r="N39" s="2"/>
      <c r="O39" s="2">
        <v>0.77419354838709675</v>
      </c>
      <c r="P39" s="2">
        <v>0.40566959921798629</v>
      </c>
      <c r="Q39" s="2">
        <v>0.22776148582600195</v>
      </c>
      <c r="R39" s="2"/>
      <c r="S39" s="2">
        <v>0.76735092864125121</v>
      </c>
      <c r="T39" s="2">
        <v>0.40762463343108507</v>
      </c>
      <c r="U39" s="2">
        <v>0.2404692082111437</v>
      </c>
      <c r="V39" s="2"/>
      <c r="W39" s="2">
        <v>0.8944281524926686</v>
      </c>
      <c r="X39" s="2">
        <v>0.45161290322580644</v>
      </c>
      <c r="Y39" s="2">
        <v>0.2316715542521994</v>
      </c>
      <c r="Z39" s="2"/>
      <c r="AA39" s="2"/>
      <c r="AB39" s="2"/>
      <c r="AC39" s="2"/>
      <c r="AD39" s="2"/>
      <c r="AE39" s="2"/>
      <c r="AF39" s="2"/>
      <c r="AG39" s="2"/>
    </row>
    <row r="40" spans="1:33">
      <c r="A40" s="5">
        <f>A39+Calculations!$B$4</f>
        <v>76</v>
      </c>
      <c r="B40" s="2"/>
      <c r="C40" s="2">
        <v>0.56109481915933523</v>
      </c>
      <c r="D40" s="2">
        <v>0.31573802541544477</v>
      </c>
      <c r="E40" s="2">
        <v>0.1681329423264907</v>
      </c>
      <c r="F40" s="2"/>
      <c r="G40" s="2">
        <v>0.71456500488758556</v>
      </c>
      <c r="H40" s="2">
        <v>0.3460410557184751</v>
      </c>
      <c r="I40" s="2">
        <v>0.1798631476050831</v>
      </c>
      <c r="J40" s="2"/>
      <c r="K40" s="2">
        <v>0.66764418377321599</v>
      </c>
      <c r="L40" s="2">
        <v>0.36950146627565983</v>
      </c>
      <c r="M40" s="2">
        <v>0.20527859237536658</v>
      </c>
      <c r="N40" s="2"/>
      <c r="O40" s="2">
        <v>0.7135874877810362</v>
      </c>
      <c r="P40" s="2">
        <v>0.37145650048875856</v>
      </c>
      <c r="Q40" s="2">
        <v>0.22189638318670576</v>
      </c>
      <c r="R40" s="2"/>
      <c r="S40" s="2">
        <v>0.82600195503421314</v>
      </c>
      <c r="T40" s="2">
        <v>0.37438905180840665</v>
      </c>
      <c r="U40" s="2">
        <v>0.19550342130987292</v>
      </c>
      <c r="V40" s="2"/>
      <c r="W40" s="2">
        <v>0.78005865102639294</v>
      </c>
      <c r="X40" s="2">
        <v>0.43206256109481916</v>
      </c>
      <c r="Y40" s="2">
        <v>0.24144672531769307</v>
      </c>
      <c r="Z40" s="2"/>
      <c r="AA40" s="2"/>
      <c r="AB40" s="2"/>
      <c r="AC40" s="2"/>
      <c r="AD40" s="2"/>
      <c r="AE40" s="2"/>
      <c r="AF40" s="2"/>
      <c r="AG40" s="2"/>
    </row>
    <row r="41" spans="1:33">
      <c r="A41" s="5">
        <f>A40+Calculations!$B$4</f>
        <v>78</v>
      </c>
      <c r="B41" s="2"/>
      <c r="C41" s="2">
        <v>0.57869012707722389</v>
      </c>
      <c r="D41" s="2">
        <v>0.32942326490713586</v>
      </c>
      <c r="E41" s="2">
        <v>0.16715542521994134</v>
      </c>
      <c r="F41" s="2"/>
      <c r="G41" s="2">
        <v>0.61974584555229717</v>
      </c>
      <c r="H41" s="2">
        <v>0.35386119257087001</v>
      </c>
      <c r="I41" s="2">
        <v>0.19159335288367546</v>
      </c>
      <c r="J41" s="2"/>
      <c r="K41" s="2">
        <v>0.72922776148582602</v>
      </c>
      <c r="L41" s="2">
        <v>0.35288367546432065</v>
      </c>
      <c r="M41" s="2">
        <v>0.21896383186705767</v>
      </c>
      <c r="N41" s="2"/>
      <c r="O41" s="2">
        <v>0.71065493646138811</v>
      </c>
      <c r="P41" s="2">
        <v>0.39393939393939392</v>
      </c>
      <c r="Q41" s="2">
        <v>0.19550342130987292</v>
      </c>
      <c r="R41" s="2"/>
      <c r="S41" s="2">
        <v>0.80449657869012703</v>
      </c>
      <c r="T41" s="2">
        <v>0.41935483870967744</v>
      </c>
      <c r="U41" s="2">
        <v>0.2316715542521994</v>
      </c>
      <c r="V41" s="2"/>
      <c r="W41" s="2">
        <v>0.81720430107526887</v>
      </c>
      <c r="X41" s="2">
        <v>0.41935483870967744</v>
      </c>
      <c r="Y41" s="2">
        <v>0.22287390029325513</v>
      </c>
      <c r="Z41" s="2"/>
      <c r="AA41" s="2"/>
      <c r="AB41" s="2"/>
      <c r="AC41" s="2"/>
      <c r="AD41" s="2"/>
      <c r="AE41" s="2"/>
      <c r="AF41" s="2"/>
      <c r="AG41" s="2"/>
    </row>
    <row r="42" spans="1:33">
      <c r="A42" s="5">
        <f>A41+Calculations!$B$4</f>
        <v>80</v>
      </c>
      <c r="B42" s="2"/>
      <c r="C42" s="2">
        <v>0.59628543499511244</v>
      </c>
      <c r="D42" s="2">
        <v>0.31769305962854349</v>
      </c>
      <c r="E42" s="2">
        <v>0.18181818181818182</v>
      </c>
      <c r="F42" s="2"/>
      <c r="G42" s="2">
        <v>0.65982404692082108</v>
      </c>
      <c r="H42" s="2">
        <v>0.35777126099706746</v>
      </c>
      <c r="I42" s="2">
        <v>0.21309872922776149</v>
      </c>
      <c r="J42" s="2"/>
      <c r="K42" s="2">
        <v>0.7135874877810362</v>
      </c>
      <c r="L42" s="2">
        <v>0.33724340175953077</v>
      </c>
      <c r="M42" s="2">
        <v>0.21603128054740958</v>
      </c>
      <c r="N42" s="2"/>
      <c r="O42" s="2">
        <v>0.73704789833822093</v>
      </c>
      <c r="P42" s="2">
        <v>0.34408602150537637</v>
      </c>
      <c r="Q42" s="2">
        <v>0.22776148582600195</v>
      </c>
      <c r="R42" s="2"/>
      <c r="S42" s="2">
        <v>0.86412512218963833</v>
      </c>
      <c r="T42" s="2">
        <v>0.42913000977517107</v>
      </c>
      <c r="U42" s="2">
        <v>0.2101661779081134</v>
      </c>
      <c r="V42" s="2"/>
      <c r="W42" s="2">
        <v>0.86608015640273706</v>
      </c>
      <c r="X42" s="2">
        <v>0.42326490713587489</v>
      </c>
      <c r="Y42" s="2">
        <v>0.1906158357771261</v>
      </c>
      <c r="Z42" s="2"/>
      <c r="AA42" s="2"/>
      <c r="AB42" s="2"/>
      <c r="AC42" s="2"/>
      <c r="AD42" s="2"/>
      <c r="AE42" s="2"/>
      <c r="AF42" s="2"/>
      <c r="AG42" s="2"/>
    </row>
    <row r="43" spans="1:33">
      <c r="A43" s="5">
        <f>A42+Calculations!$B$4</f>
        <v>82</v>
      </c>
      <c r="B43" s="2"/>
      <c r="C43" s="2">
        <v>0.6324535679374389</v>
      </c>
      <c r="D43" s="2">
        <v>0.30107526881720431</v>
      </c>
      <c r="E43" s="2">
        <v>0.14076246334310849</v>
      </c>
      <c r="F43" s="2"/>
      <c r="G43" s="2">
        <v>0.6109481915933529</v>
      </c>
      <c r="H43" s="2">
        <v>0.31573802541544477</v>
      </c>
      <c r="I43" s="2">
        <v>0.19159335288367546</v>
      </c>
      <c r="J43" s="2"/>
      <c r="K43" s="2">
        <v>0.65493646138807426</v>
      </c>
      <c r="L43" s="2">
        <v>0.39393939393939392</v>
      </c>
      <c r="M43" s="2">
        <v>0.17302052785923755</v>
      </c>
      <c r="N43" s="2"/>
      <c r="O43" s="2">
        <v>0.7595307917888563</v>
      </c>
      <c r="P43" s="2">
        <v>0.42815249266862171</v>
      </c>
      <c r="Q43" s="2">
        <v>0.21212121212121213</v>
      </c>
      <c r="R43" s="2"/>
      <c r="S43" s="2">
        <v>0.76735092864125121</v>
      </c>
      <c r="T43" s="2">
        <v>0.41642228739002934</v>
      </c>
      <c r="U43" s="2">
        <v>0.22385141739980449</v>
      </c>
      <c r="V43" s="2"/>
      <c r="W43" s="2">
        <v>0.76344086021505375</v>
      </c>
      <c r="X43" s="2">
        <v>0.47018572825024441</v>
      </c>
      <c r="Y43" s="2">
        <v>0.2316715542521994</v>
      </c>
      <c r="Z43" s="2"/>
      <c r="AA43" s="2"/>
      <c r="AB43" s="2"/>
      <c r="AC43" s="2"/>
      <c r="AD43" s="2"/>
      <c r="AE43" s="2"/>
      <c r="AF43" s="2"/>
      <c r="AG43" s="2"/>
    </row>
    <row r="44" spans="1:33">
      <c r="A44" s="5">
        <f>A43+Calculations!$B$4</f>
        <v>84</v>
      </c>
      <c r="B44" s="2"/>
      <c r="C44" s="2">
        <v>0.59433040078201371</v>
      </c>
      <c r="D44" s="2">
        <v>0.32355816226783968</v>
      </c>
      <c r="E44" s="2">
        <v>0.17790811339198437</v>
      </c>
      <c r="F44" s="2"/>
      <c r="G44" s="2">
        <v>0.63636363636363635</v>
      </c>
      <c r="H44" s="2">
        <v>0.34995112414467255</v>
      </c>
      <c r="I44" s="2">
        <v>0.18866080156402737</v>
      </c>
      <c r="J44" s="2"/>
      <c r="K44" s="2">
        <v>0.66080156402737045</v>
      </c>
      <c r="L44" s="2">
        <v>0.32746823069403713</v>
      </c>
      <c r="M44" s="2">
        <v>0.18670576735092864</v>
      </c>
      <c r="N44" s="2"/>
      <c r="O44" s="2">
        <v>0.78005865102639294</v>
      </c>
      <c r="P44" s="2">
        <v>0.38807429130009774</v>
      </c>
      <c r="Q44" s="2">
        <v>0.20918866080156404</v>
      </c>
      <c r="R44" s="2"/>
      <c r="S44" s="2">
        <v>0.79081133919843594</v>
      </c>
      <c r="T44" s="2">
        <v>0.39784946236559138</v>
      </c>
      <c r="U44" s="2">
        <v>0.20332355816226783</v>
      </c>
      <c r="V44" s="2"/>
      <c r="W44" s="2">
        <v>0.83479960899315742</v>
      </c>
      <c r="X44" s="2">
        <v>0.40078201368523947</v>
      </c>
      <c r="Y44" s="2">
        <v>0.23851417399804498</v>
      </c>
      <c r="Z44" s="2"/>
      <c r="AA44" s="2"/>
      <c r="AB44" s="2"/>
      <c r="AC44" s="2"/>
      <c r="AD44" s="2"/>
      <c r="AE44" s="2"/>
      <c r="AF44" s="2"/>
      <c r="AG44" s="2"/>
    </row>
    <row r="45" spans="1:33">
      <c r="A45" s="5">
        <f>A44+Calculations!$B$4</f>
        <v>86</v>
      </c>
      <c r="B45" s="2"/>
      <c r="C45" s="2">
        <v>0.5972629521016618</v>
      </c>
      <c r="D45" s="2">
        <v>0.28934506353861195</v>
      </c>
      <c r="E45" s="2">
        <v>0.12609970674486803</v>
      </c>
      <c r="F45" s="2"/>
      <c r="G45" s="2">
        <v>0.63049853372434017</v>
      </c>
      <c r="H45" s="2">
        <v>0.30303030303030304</v>
      </c>
      <c r="I45" s="2">
        <v>0.18572825024437928</v>
      </c>
      <c r="J45" s="2"/>
      <c r="K45" s="2">
        <v>0.69501466275659829</v>
      </c>
      <c r="L45" s="2">
        <v>0.36070381231671556</v>
      </c>
      <c r="M45" s="2">
        <v>0.19941348973607037</v>
      </c>
      <c r="N45" s="2"/>
      <c r="O45" s="2">
        <v>0.74193548387096775</v>
      </c>
      <c r="P45" s="2">
        <v>0.39589442815249265</v>
      </c>
      <c r="Q45" s="2">
        <v>0.17790811339198437</v>
      </c>
      <c r="R45" s="2"/>
      <c r="S45" s="2">
        <v>0.79863147605083085</v>
      </c>
      <c r="T45" s="2">
        <v>0.37732160312805474</v>
      </c>
      <c r="U45" s="2">
        <v>0.22189638318670576</v>
      </c>
      <c r="V45" s="2"/>
      <c r="W45" s="2">
        <v>0.76930596285434993</v>
      </c>
      <c r="X45" s="2">
        <v>0.39296187683284456</v>
      </c>
      <c r="Y45" s="2">
        <v>0.19941348973607037</v>
      </c>
      <c r="Z45" s="2"/>
      <c r="AA45" s="2"/>
      <c r="AB45" s="2"/>
      <c r="AC45" s="2"/>
      <c r="AD45" s="2"/>
      <c r="AE45" s="2"/>
      <c r="AF45" s="2"/>
      <c r="AG45" s="2"/>
    </row>
    <row r="46" spans="1:33">
      <c r="A46" s="5">
        <f>A45+Calculations!$B$4</f>
        <v>88</v>
      </c>
      <c r="B46" s="2"/>
      <c r="C46" s="2">
        <v>0.5053763440860215</v>
      </c>
      <c r="D46" s="2">
        <v>0.27370478983382207</v>
      </c>
      <c r="E46" s="2">
        <v>0.19550342130987292</v>
      </c>
      <c r="F46" s="2"/>
      <c r="G46" s="2">
        <v>0.62756598240469208</v>
      </c>
      <c r="H46" s="2">
        <v>0.30009775171065495</v>
      </c>
      <c r="I46" s="2">
        <v>0.15542521994134897</v>
      </c>
      <c r="J46" s="2"/>
      <c r="K46" s="2">
        <v>0.68132942326490709</v>
      </c>
      <c r="L46" s="2">
        <v>0.37047898338220919</v>
      </c>
      <c r="M46" s="2">
        <v>0.1906158357771261</v>
      </c>
      <c r="N46" s="2"/>
      <c r="O46" s="2">
        <v>0.72238514173998047</v>
      </c>
      <c r="P46" s="2">
        <v>0.3284457478005865</v>
      </c>
      <c r="Q46" s="2">
        <v>0.2209188660801564</v>
      </c>
      <c r="R46" s="2"/>
      <c r="S46" s="2">
        <v>0.73900293255131966</v>
      </c>
      <c r="T46" s="2">
        <v>0.36950146627565983</v>
      </c>
      <c r="U46" s="2">
        <v>0.23558162267839688</v>
      </c>
      <c r="V46" s="2"/>
      <c r="W46" s="2">
        <v>0.74780058651026393</v>
      </c>
      <c r="X46" s="2">
        <v>0.44868035190615835</v>
      </c>
      <c r="Y46" s="2">
        <v>0.20234604105571846</v>
      </c>
      <c r="Z46" s="2"/>
      <c r="AA46" s="2"/>
      <c r="AB46" s="2"/>
      <c r="AC46" s="2"/>
      <c r="AD46" s="2"/>
      <c r="AE46" s="2"/>
      <c r="AF46" s="2"/>
      <c r="AG46" s="2"/>
    </row>
    <row r="47" spans="1:33">
      <c r="A47" s="5">
        <f>A46+Calculations!$B$4</f>
        <v>90</v>
      </c>
      <c r="B47" s="2"/>
      <c r="C47" s="2">
        <v>0.5620723362658846</v>
      </c>
      <c r="D47" s="2">
        <v>0.28347996089931576</v>
      </c>
      <c r="E47" s="2">
        <v>0.19257086999022482</v>
      </c>
      <c r="F47" s="2"/>
      <c r="G47" s="2">
        <v>0.64125122189638317</v>
      </c>
      <c r="H47" s="2">
        <v>0.34115347018572822</v>
      </c>
      <c r="I47" s="2">
        <v>0.18670576735092864</v>
      </c>
      <c r="J47" s="2"/>
      <c r="K47" s="2">
        <v>0.63538611925708699</v>
      </c>
      <c r="L47" s="2">
        <v>0.33626588465298141</v>
      </c>
      <c r="M47" s="2">
        <v>0.21505376344086022</v>
      </c>
      <c r="N47" s="2"/>
      <c r="O47" s="2">
        <v>0.69794721407624638</v>
      </c>
      <c r="P47" s="2">
        <v>0.37438905180840665</v>
      </c>
      <c r="Q47" s="2">
        <v>0.17790811339198437</v>
      </c>
      <c r="R47" s="2"/>
      <c r="S47" s="2">
        <v>0.72922776148582602</v>
      </c>
      <c r="T47" s="2">
        <v>0.38709677419354838</v>
      </c>
      <c r="U47" s="2">
        <v>0.21505376344086022</v>
      </c>
      <c r="V47" s="2"/>
      <c r="W47" s="2">
        <v>0.78787878787878785</v>
      </c>
      <c r="X47" s="2">
        <v>0.40762463343108507</v>
      </c>
      <c r="Y47" s="2">
        <v>0.1906158357771261</v>
      </c>
      <c r="Z47" s="2"/>
      <c r="AA47" s="2"/>
      <c r="AB47" s="2"/>
      <c r="AC47" s="2"/>
      <c r="AD47" s="2"/>
      <c r="AE47" s="2"/>
      <c r="AF47" s="2"/>
      <c r="AG47" s="2"/>
    </row>
    <row r="48" spans="1:33">
      <c r="A48" s="5">
        <f>A47+Calculations!$B$4</f>
        <v>92</v>
      </c>
      <c r="B48" s="2"/>
      <c r="C48" s="2">
        <v>0.52883675464320623</v>
      </c>
      <c r="D48" s="2">
        <v>0.32453567937438904</v>
      </c>
      <c r="E48" s="2">
        <v>0.13587487781036167</v>
      </c>
      <c r="F48" s="2"/>
      <c r="G48" s="2">
        <v>0.61876832844574781</v>
      </c>
      <c r="H48" s="2">
        <v>0.33528836754643204</v>
      </c>
      <c r="I48" s="2">
        <v>0.21114369501466276</v>
      </c>
      <c r="J48" s="2"/>
      <c r="K48" s="2">
        <v>0.6432062561094819</v>
      </c>
      <c r="L48" s="2">
        <v>0.34897360703812319</v>
      </c>
      <c r="M48" s="2">
        <v>0.19550342130987292</v>
      </c>
      <c r="N48" s="2"/>
      <c r="O48" s="2">
        <v>0.69696969696969702</v>
      </c>
      <c r="P48" s="2">
        <v>0.40175953079178883</v>
      </c>
      <c r="Q48" s="2">
        <v>0.20332355816226783</v>
      </c>
      <c r="R48" s="2"/>
      <c r="S48" s="2">
        <v>0.77517106549364612</v>
      </c>
      <c r="T48" s="2">
        <v>0.37243401759530792</v>
      </c>
      <c r="U48" s="2">
        <v>0.19452590420332355</v>
      </c>
      <c r="V48" s="2"/>
      <c r="W48" s="2">
        <v>0.73607038123167157</v>
      </c>
      <c r="X48" s="2">
        <v>0.41935483870967744</v>
      </c>
      <c r="Y48" s="2">
        <v>0.23362658846529813</v>
      </c>
      <c r="Z48" s="2"/>
      <c r="AA48" s="2"/>
      <c r="AB48" s="2"/>
      <c r="AC48" s="2"/>
      <c r="AD48" s="2"/>
      <c r="AE48" s="2"/>
      <c r="AF48" s="2"/>
      <c r="AG48" s="2"/>
    </row>
    <row r="49" spans="1:33">
      <c r="A49" s="5">
        <f>A48+Calculations!$B$4</f>
        <v>94</v>
      </c>
      <c r="B49" s="2"/>
      <c r="C49" s="2">
        <v>0.54740957966764414</v>
      </c>
      <c r="D49" s="2">
        <v>0.28445747800586513</v>
      </c>
      <c r="E49" s="2">
        <v>0.17106549364613879</v>
      </c>
      <c r="F49" s="2"/>
      <c r="G49" s="2">
        <v>0.61388074291300099</v>
      </c>
      <c r="H49" s="2">
        <v>0.29618768328445749</v>
      </c>
      <c r="I49" s="2">
        <v>0.17497556207233628</v>
      </c>
      <c r="J49" s="2"/>
      <c r="K49" s="2">
        <v>0.61290322580645162</v>
      </c>
      <c r="L49" s="2">
        <v>0.3567937438905181</v>
      </c>
      <c r="M49" s="2">
        <v>0.1798631476050831</v>
      </c>
      <c r="N49" s="2"/>
      <c r="O49" s="2">
        <v>0.67448680351906154</v>
      </c>
      <c r="P49" s="2">
        <v>0.39784946236559138</v>
      </c>
      <c r="Q49" s="2">
        <v>0.19452590420332355</v>
      </c>
      <c r="R49" s="2"/>
      <c r="S49" s="2">
        <v>0.81720430107526887</v>
      </c>
      <c r="T49" s="2">
        <v>0.38807429130009774</v>
      </c>
      <c r="U49" s="2">
        <v>0.19648093841642228</v>
      </c>
      <c r="V49" s="2"/>
      <c r="W49" s="2">
        <v>0.80351906158357767</v>
      </c>
      <c r="X49" s="2">
        <v>0.37438905180840665</v>
      </c>
      <c r="Y49" s="2">
        <v>0.2512218963831867</v>
      </c>
      <c r="Z49" s="2"/>
      <c r="AA49" s="2"/>
      <c r="AB49" s="2"/>
      <c r="AC49" s="2"/>
      <c r="AD49" s="2"/>
      <c r="AE49" s="2"/>
      <c r="AF49" s="2"/>
      <c r="AG49" s="2"/>
    </row>
    <row r="50" spans="1:33">
      <c r="A50" s="5">
        <f>A49+Calculations!$B$4</f>
        <v>96</v>
      </c>
      <c r="B50" s="2"/>
      <c r="C50" s="2">
        <v>0.55718475073313778</v>
      </c>
      <c r="D50" s="2">
        <v>0.2512218963831867</v>
      </c>
      <c r="E50" s="2">
        <v>0.17497556207233628</v>
      </c>
      <c r="F50" s="2"/>
      <c r="G50" s="2">
        <v>0.56891495601173026</v>
      </c>
      <c r="H50" s="2">
        <v>0.32453567937438904</v>
      </c>
      <c r="I50" s="2">
        <v>0.19257086999022482</v>
      </c>
      <c r="J50" s="2"/>
      <c r="K50" s="2">
        <v>0.67644183773216027</v>
      </c>
      <c r="L50" s="2">
        <v>0.37145650048875856</v>
      </c>
      <c r="M50" s="2">
        <v>0.18768328445747801</v>
      </c>
      <c r="N50" s="2"/>
      <c r="O50" s="2">
        <v>0.67741935483870963</v>
      </c>
      <c r="P50" s="2">
        <v>0.37438905180840665</v>
      </c>
      <c r="Q50" s="2">
        <v>0.21603128054740958</v>
      </c>
      <c r="R50" s="2"/>
      <c r="S50" s="2">
        <v>0.69990224828934511</v>
      </c>
      <c r="T50" s="2">
        <v>0.35288367546432065</v>
      </c>
      <c r="U50" s="2">
        <v>0.17595307917888564</v>
      </c>
      <c r="V50" s="2"/>
      <c r="W50" s="2">
        <v>0.79569892473118276</v>
      </c>
      <c r="X50" s="2">
        <v>0.3919843597262952</v>
      </c>
      <c r="Y50" s="2">
        <v>0.24144672531769307</v>
      </c>
      <c r="Z50" s="2"/>
      <c r="AA50" s="2"/>
      <c r="AB50" s="2"/>
      <c r="AC50" s="2"/>
      <c r="AD50" s="2"/>
      <c r="AE50" s="2"/>
      <c r="AF50" s="2"/>
      <c r="AG50" s="2"/>
    </row>
    <row r="51" spans="1:33">
      <c r="A51" s="5">
        <f>A50+Calculations!$B$4</f>
        <v>98</v>
      </c>
      <c r="B51" s="2"/>
      <c r="C51" s="2">
        <v>0.52199413489736068</v>
      </c>
      <c r="D51" s="2">
        <v>0.30596285434995113</v>
      </c>
      <c r="E51" s="2">
        <v>0.18084066471163246</v>
      </c>
      <c r="F51" s="2"/>
      <c r="G51" s="2">
        <v>0.60117302052785926</v>
      </c>
      <c r="H51" s="2">
        <v>0.33040078201368522</v>
      </c>
      <c r="I51" s="2">
        <v>0.16129032258064516</v>
      </c>
      <c r="J51" s="2"/>
      <c r="K51" s="2">
        <v>0.63636363636363635</v>
      </c>
      <c r="L51" s="2">
        <v>0.32746823069403713</v>
      </c>
      <c r="M51" s="2">
        <v>0.17595307917888564</v>
      </c>
      <c r="N51" s="2"/>
      <c r="O51" s="2">
        <v>0.65493646138807426</v>
      </c>
      <c r="P51" s="2">
        <v>0.36168132942326492</v>
      </c>
      <c r="Q51" s="2">
        <v>0.20039100684261973</v>
      </c>
      <c r="R51" s="2"/>
      <c r="S51" s="2">
        <v>0.71847507331378302</v>
      </c>
      <c r="T51" s="2">
        <v>0.35092864125122192</v>
      </c>
      <c r="U51" s="2">
        <v>0.19354838709677419</v>
      </c>
      <c r="V51" s="2"/>
      <c r="W51" s="2">
        <v>0.75073313782991202</v>
      </c>
      <c r="X51" s="2">
        <v>0.39296187683284456</v>
      </c>
      <c r="Y51" s="2">
        <v>0.1906158357771261</v>
      </c>
      <c r="Z51" s="2"/>
      <c r="AA51" s="2"/>
      <c r="AB51" s="2"/>
      <c r="AC51" s="2"/>
      <c r="AD51" s="2"/>
      <c r="AE51" s="2"/>
      <c r="AF51" s="2"/>
      <c r="AG51" s="2"/>
    </row>
    <row r="52" spans="1:33">
      <c r="A52" s="5">
        <f>A51+Calculations!$B$4</f>
        <v>100</v>
      </c>
      <c r="B52" s="2"/>
      <c r="C52" s="2">
        <v>0.56304985337243396</v>
      </c>
      <c r="D52" s="2">
        <v>0.28445747800586513</v>
      </c>
      <c r="E52" s="2">
        <v>0.14467253176930597</v>
      </c>
      <c r="F52" s="2"/>
      <c r="G52" s="2">
        <v>0.5757575757575758</v>
      </c>
      <c r="H52" s="2">
        <v>0.34115347018572822</v>
      </c>
      <c r="I52" s="2">
        <v>0.16324535679374388</v>
      </c>
      <c r="J52" s="2"/>
      <c r="K52" s="2">
        <v>0.62561094819159335</v>
      </c>
      <c r="L52" s="2">
        <v>0.32649071358748777</v>
      </c>
      <c r="M52" s="2">
        <v>0.1798631476050831</v>
      </c>
      <c r="N52" s="2"/>
      <c r="O52" s="2">
        <v>0.65200391006842617</v>
      </c>
      <c r="P52" s="2">
        <v>0.38416422287390029</v>
      </c>
      <c r="Q52" s="2">
        <v>0.18670576735092864</v>
      </c>
      <c r="R52" s="2"/>
      <c r="S52" s="2">
        <v>0.73607038123167157</v>
      </c>
      <c r="T52" s="2">
        <v>0.40566959921798629</v>
      </c>
      <c r="U52" s="2">
        <v>0.19354838709677419</v>
      </c>
      <c r="V52" s="2"/>
      <c r="W52" s="2">
        <v>0.77517106549364612</v>
      </c>
      <c r="X52" s="2">
        <v>0.36461388074291301</v>
      </c>
      <c r="Y52" s="2">
        <v>0.18572825024437928</v>
      </c>
      <c r="Z52" s="2"/>
      <c r="AA52" s="2"/>
      <c r="AB52" s="2"/>
      <c r="AC52" s="2"/>
      <c r="AD52" s="2"/>
      <c r="AE52" s="2"/>
      <c r="AF52" s="2"/>
      <c r="AG52" s="2"/>
    </row>
    <row r="53" spans="1:33">
      <c r="A53" s="5">
        <f>A52+Calculations!$B$4</f>
        <v>102</v>
      </c>
      <c r="B53" s="2"/>
      <c r="C53" s="2">
        <v>0.5161290322580645</v>
      </c>
      <c r="D53" s="2">
        <v>0.23851417399804498</v>
      </c>
      <c r="E53" s="2">
        <v>0.16031280547409579</v>
      </c>
      <c r="F53" s="2"/>
      <c r="G53" s="2">
        <v>0.5865102639296188</v>
      </c>
      <c r="H53" s="2">
        <v>0.30791788856304986</v>
      </c>
      <c r="I53" s="2">
        <v>0.19159335288367546</v>
      </c>
      <c r="J53" s="2"/>
      <c r="K53" s="2">
        <v>0.6432062561094819</v>
      </c>
      <c r="L53" s="2">
        <v>0.3255131964809384</v>
      </c>
      <c r="M53" s="2">
        <v>0.1681329423264907</v>
      </c>
      <c r="N53" s="2"/>
      <c r="O53" s="2">
        <v>0.64027370478983381</v>
      </c>
      <c r="P53" s="2">
        <v>0.37145650048875856</v>
      </c>
      <c r="Q53" s="2">
        <v>0.18475073313782991</v>
      </c>
      <c r="R53" s="2"/>
      <c r="S53" s="2">
        <v>0.72922776148582602</v>
      </c>
      <c r="T53" s="2">
        <v>0.37341153470185728</v>
      </c>
      <c r="U53" s="2">
        <v>0.19550342130987292</v>
      </c>
      <c r="V53" s="2"/>
      <c r="W53" s="2">
        <v>0.72043010752688175</v>
      </c>
      <c r="X53" s="2">
        <v>0.3782991202346041</v>
      </c>
      <c r="Y53" s="2">
        <v>0.19843597262952101</v>
      </c>
      <c r="Z53" s="2"/>
      <c r="AA53" s="2"/>
      <c r="AB53" s="2"/>
      <c r="AC53" s="2"/>
      <c r="AD53" s="2"/>
      <c r="AE53" s="2"/>
      <c r="AF53" s="2"/>
      <c r="AG53" s="2"/>
    </row>
    <row r="54" spans="1:33">
      <c r="A54" s="5">
        <f>A53+Calculations!$B$4</f>
        <v>104</v>
      </c>
      <c r="B54" s="2"/>
      <c r="C54" s="2">
        <v>0.53274682306940369</v>
      </c>
      <c r="D54" s="2">
        <v>0.27761485826001953</v>
      </c>
      <c r="E54" s="2">
        <v>0.15835777126099707</v>
      </c>
      <c r="F54" s="2"/>
      <c r="G54" s="2">
        <v>0.5620723362658846</v>
      </c>
      <c r="H54" s="2">
        <v>0.3040078201368524</v>
      </c>
      <c r="I54" s="2">
        <v>0.18377321603128055</v>
      </c>
      <c r="J54" s="2"/>
      <c r="K54" s="2">
        <v>0.58846529814271753</v>
      </c>
      <c r="L54" s="2">
        <v>0.33333333333333331</v>
      </c>
      <c r="M54" s="2">
        <v>0.19452590420332355</v>
      </c>
      <c r="N54" s="2"/>
      <c r="O54" s="2">
        <v>0.66568914956011727</v>
      </c>
      <c r="P54" s="2">
        <v>0.36656891495601174</v>
      </c>
      <c r="Q54" s="2">
        <v>0.18377321603128055</v>
      </c>
      <c r="R54" s="2"/>
      <c r="S54" s="2">
        <v>0.71554252199413493</v>
      </c>
      <c r="T54" s="2">
        <v>0.3567937438905181</v>
      </c>
      <c r="U54" s="2">
        <v>0.176930596285435</v>
      </c>
      <c r="V54" s="2"/>
      <c r="W54" s="2">
        <v>0.7350928641251222</v>
      </c>
      <c r="X54" s="2">
        <v>0.39296187683284456</v>
      </c>
      <c r="Y54" s="2">
        <v>0.2101661779081134</v>
      </c>
      <c r="Z54" s="2"/>
      <c r="AA54" s="2"/>
      <c r="AB54" s="2"/>
      <c r="AC54" s="2"/>
      <c r="AD54" s="2"/>
      <c r="AE54" s="2"/>
      <c r="AF54" s="2"/>
      <c r="AG54" s="2"/>
    </row>
    <row r="55" spans="1:33">
      <c r="A55" s="5">
        <f>A54+Calculations!$B$4</f>
        <v>106</v>
      </c>
      <c r="B55" s="2"/>
      <c r="C55" s="2">
        <v>0.48191593352883677</v>
      </c>
      <c r="D55" s="2">
        <v>0.30694037145650049</v>
      </c>
      <c r="E55" s="2">
        <v>0.14760508308895406</v>
      </c>
      <c r="F55" s="2"/>
      <c r="G55" s="2">
        <v>0.57282502443792771</v>
      </c>
      <c r="H55" s="2">
        <v>0.27859237536656889</v>
      </c>
      <c r="I55" s="2">
        <v>0.15640273704789834</v>
      </c>
      <c r="J55" s="2"/>
      <c r="K55" s="2">
        <v>0.60997067448680353</v>
      </c>
      <c r="L55" s="2">
        <v>0.31182795698924731</v>
      </c>
      <c r="M55" s="2">
        <v>0.18963831867057673</v>
      </c>
      <c r="N55" s="2"/>
      <c r="O55" s="2">
        <v>0.68426197458455518</v>
      </c>
      <c r="P55" s="2">
        <v>0.36559139784946237</v>
      </c>
      <c r="Q55" s="2">
        <v>0.17888563049853373</v>
      </c>
      <c r="R55" s="2"/>
      <c r="S55" s="2">
        <v>0.66275659824046917</v>
      </c>
      <c r="T55" s="2">
        <v>0.34897360703812319</v>
      </c>
      <c r="U55" s="2">
        <v>0.2209188660801564</v>
      </c>
      <c r="V55" s="2"/>
      <c r="W55" s="2">
        <v>0.78299120234604103</v>
      </c>
      <c r="X55" s="2">
        <v>0.38611925708699901</v>
      </c>
      <c r="Y55" s="2">
        <v>0.21212121212121213</v>
      </c>
      <c r="Z55" s="2"/>
      <c r="AA55" s="2"/>
      <c r="AB55" s="2"/>
      <c r="AC55" s="2"/>
      <c r="AD55" s="2"/>
      <c r="AE55" s="2"/>
      <c r="AF55" s="2"/>
      <c r="AG55" s="2"/>
    </row>
    <row r="56" spans="1:33">
      <c r="A56" s="5">
        <f>A55+Calculations!$B$4</f>
        <v>108</v>
      </c>
      <c r="B56" s="2"/>
      <c r="C56" s="2">
        <v>0.5053763440860215</v>
      </c>
      <c r="D56" s="2">
        <v>0.25317693059628543</v>
      </c>
      <c r="E56" s="2">
        <v>0.14760508308895406</v>
      </c>
      <c r="F56" s="2"/>
      <c r="G56" s="2">
        <v>0.56011730205278587</v>
      </c>
      <c r="H56" s="2">
        <v>0.28152492668621698</v>
      </c>
      <c r="I56" s="2">
        <v>0.176930596285435</v>
      </c>
      <c r="J56" s="2"/>
      <c r="K56" s="2">
        <v>0.68035190615835772</v>
      </c>
      <c r="L56" s="2">
        <v>0.32062561094819159</v>
      </c>
      <c r="M56" s="2">
        <v>0.20039100684261973</v>
      </c>
      <c r="N56" s="2"/>
      <c r="O56" s="2">
        <v>0.65004887585532745</v>
      </c>
      <c r="P56" s="2">
        <v>0.3782991202346041</v>
      </c>
      <c r="Q56" s="2">
        <v>0.19745845552297164</v>
      </c>
      <c r="R56" s="2"/>
      <c r="S56" s="2">
        <v>0.70967741935483875</v>
      </c>
      <c r="T56" s="2">
        <v>0.36070381231671556</v>
      </c>
      <c r="U56" s="2">
        <v>0.15933528836754643</v>
      </c>
      <c r="V56" s="2"/>
      <c r="W56" s="2">
        <v>0.72140762463343111</v>
      </c>
      <c r="X56" s="2">
        <v>0.38025415444770283</v>
      </c>
      <c r="Y56" s="2">
        <v>0.19354838709677419</v>
      </c>
      <c r="Z56" s="2"/>
      <c r="AA56" s="2"/>
      <c r="AB56" s="2"/>
      <c r="AC56" s="2"/>
      <c r="AD56" s="2"/>
      <c r="AE56" s="2"/>
      <c r="AF56" s="2"/>
      <c r="AG56" s="2"/>
    </row>
    <row r="57" spans="1:33">
      <c r="A57" s="5">
        <f>A56+Calculations!$B$4</f>
        <v>110</v>
      </c>
      <c r="B57" s="2"/>
      <c r="C57" s="2">
        <v>0.51808406647116323</v>
      </c>
      <c r="D57" s="2">
        <v>0.24926686217008798</v>
      </c>
      <c r="E57" s="2">
        <v>0.16324535679374388</v>
      </c>
      <c r="F57" s="2"/>
      <c r="G57" s="2">
        <v>0.53861192570869987</v>
      </c>
      <c r="H57" s="2">
        <v>0.30107526881720431</v>
      </c>
      <c r="I57" s="2">
        <v>0.1573802541544477</v>
      </c>
      <c r="J57" s="2"/>
      <c r="K57" s="2">
        <v>0.64027370478983381</v>
      </c>
      <c r="L57" s="2">
        <v>0.35874877810361683</v>
      </c>
      <c r="M57" s="2">
        <v>0.16324535679374388</v>
      </c>
      <c r="N57" s="2"/>
      <c r="O57" s="2">
        <v>0.62756598240469208</v>
      </c>
      <c r="P57" s="2">
        <v>0.32062561094819159</v>
      </c>
      <c r="Q57" s="2">
        <v>0.19257086999022482</v>
      </c>
      <c r="R57" s="2"/>
      <c r="S57" s="2">
        <v>0.68719452590420327</v>
      </c>
      <c r="T57" s="2">
        <v>0.37243401759530792</v>
      </c>
      <c r="U57" s="2">
        <v>0.17008797653958943</v>
      </c>
      <c r="V57" s="2"/>
      <c r="W57" s="2">
        <v>0.73118279569892475</v>
      </c>
      <c r="X57" s="2">
        <v>0.38611925708699901</v>
      </c>
      <c r="Y57" s="2">
        <v>0.19941348973607037</v>
      </c>
      <c r="Z57" s="2"/>
      <c r="AA57" s="2"/>
      <c r="AB57" s="2"/>
      <c r="AC57" s="2"/>
      <c r="AD57" s="2"/>
      <c r="AE57" s="2"/>
      <c r="AF57" s="2"/>
      <c r="AG57" s="2"/>
    </row>
    <row r="58" spans="1:33">
      <c r="A58" s="5">
        <f>A57+Calculations!$B$4</f>
        <v>112</v>
      </c>
      <c r="B58" s="2"/>
      <c r="C58" s="2">
        <v>0.52785923753665687</v>
      </c>
      <c r="D58" s="2">
        <v>0.28445747800586513</v>
      </c>
      <c r="E58" s="2">
        <v>0.15444770283479961</v>
      </c>
      <c r="F58" s="2"/>
      <c r="G58" s="2">
        <v>0.56989247311827962</v>
      </c>
      <c r="H58" s="2">
        <v>0.3040078201368524</v>
      </c>
      <c r="I58" s="2">
        <v>0.18866080156402737</v>
      </c>
      <c r="J58" s="2"/>
      <c r="K58" s="2">
        <v>0.63343108504398826</v>
      </c>
      <c r="L58" s="2">
        <v>0.32258064516129031</v>
      </c>
      <c r="M58" s="2">
        <v>0.18279569892473119</v>
      </c>
      <c r="N58" s="2"/>
      <c r="O58" s="2">
        <v>0.62756598240469208</v>
      </c>
      <c r="P58" s="2">
        <v>0.34995112414467255</v>
      </c>
      <c r="Q58" s="2">
        <v>0.1681329423264907</v>
      </c>
      <c r="R58" s="2"/>
      <c r="S58" s="2">
        <v>0.7243401759530792</v>
      </c>
      <c r="T58" s="2">
        <v>0.37047898338220919</v>
      </c>
      <c r="U58" s="2">
        <v>0.21798631476050831</v>
      </c>
      <c r="V58" s="2"/>
      <c r="W58" s="2">
        <v>0.73998044965786902</v>
      </c>
      <c r="X58" s="2">
        <v>0.37047898338220919</v>
      </c>
      <c r="Y58" s="2">
        <v>0.20918866080156404</v>
      </c>
      <c r="Z58" s="2"/>
      <c r="AA58" s="2"/>
      <c r="AB58" s="2"/>
      <c r="AC58" s="2"/>
      <c r="AD58" s="2"/>
      <c r="AE58" s="2"/>
      <c r="AF58" s="2"/>
      <c r="AG58" s="2"/>
    </row>
    <row r="59" spans="1:33">
      <c r="A59" s="5">
        <f>A58+Calculations!$B$4</f>
        <v>114</v>
      </c>
      <c r="B59" s="2"/>
      <c r="C59" s="2">
        <v>0.51124144672531768</v>
      </c>
      <c r="D59" s="2">
        <v>0.25024437927663734</v>
      </c>
      <c r="E59" s="2">
        <v>0.17204301075268819</v>
      </c>
      <c r="F59" s="2"/>
      <c r="G59" s="2">
        <v>0.54643206256109478</v>
      </c>
      <c r="H59" s="2">
        <v>0.28934506353861195</v>
      </c>
      <c r="I59" s="2">
        <v>0.20039100684261973</v>
      </c>
      <c r="J59" s="2"/>
      <c r="K59" s="2">
        <v>0.61485826001955035</v>
      </c>
      <c r="L59" s="2">
        <v>0.33822091886608013</v>
      </c>
      <c r="M59" s="2">
        <v>0.19648093841642228</v>
      </c>
      <c r="N59" s="2"/>
      <c r="O59" s="2">
        <v>0.69305962854349956</v>
      </c>
      <c r="P59" s="2">
        <v>0.38514173998044965</v>
      </c>
      <c r="Q59" s="2">
        <v>0.176930596285435</v>
      </c>
      <c r="R59" s="2"/>
      <c r="S59" s="2">
        <v>0.70381231671554256</v>
      </c>
      <c r="T59" s="2">
        <v>0.38416422287390029</v>
      </c>
      <c r="U59" s="2">
        <v>0.17204301075268819</v>
      </c>
      <c r="V59" s="2"/>
      <c r="W59" s="2">
        <v>0.69501466275659829</v>
      </c>
      <c r="X59" s="2">
        <v>0.35483870967741937</v>
      </c>
      <c r="Y59" s="2">
        <v>0.20332355816226783</v>
      </c>
      <c r="Z59" s="2"/>
      <c r="AA59" s="2"/>
      <c r="AB59" s="2"/>
      <c r="AC59" s="2"/>
      <c r="AD59" s="2"/>
      <c r="AE59" s="2"/>
      <c r="AF59" s="2"/>
      <c r="AG59" s="2"/>
    </row>
    <row r="60" spans="1:33">
      <c r="A60" s="5">
        <f>A59+Calculations!$B$4</f>
        <v>116</v>
      </c>
      <c r="B60" s="2"/>
      <c r="C60" s="2">
        <v>0.53470185728250241</v>
      </c>
      <c r="D60" s="2">
        <v>0.27272727272727271</v>
      </c>
      <c r="E60" s="2">
        <v>0.14565004887585534</v>
      </c>
      <c r="F60" s="2"/>
      <c r="G60" s="2">
        <v>0.5405669599217986</v>
      </c>
      <c r="H60" s="2">
        <v>0.30596285434995113</v>
      </c>
      <c r="I60" s="2">
        <v>0.176930596285435</v>
      </c>
      <c r="J60" s="2"/>
      <c r="K60" s="2">
        <v>0.63343108504398826</v>
      </c>
      <c r="L60" s="2">
        <v>0.32258064516129031</v>
      </c>
      <c r="M60" s="2">
        <v>0.19745845552297164</v>
      </c>
      <c r="N60" s="2"/>
      <c r="O60" s="2">
        <v>0.60508308895405671</v>
      </c>
      <c r="P60" s="2">
        <v>0.32258064516129031</v>
      </c>
      <c r="Q60" s="2">
        <v>0.17302052785923755</v>
      </c>
      <c r="R60" s="2"/>
      <c r="S60" s="2">
        <v>0.6432062561094819</v>
      </c>
      <c r="T60" s="2">
        <v>0.37341153470185728</v>
      </c>
      <c r="U60" s="2">
        <v>0.18572825024437928</v>
      </c>
      <c r="V60" s="2"/>
      <c r="W60" s="2">
        <v>0.70869990224828938</v>
      </c>
      <c r="X60" s="2">
        <v>0.39687194525904201</v>
      </c>
      <c r="Y60" s="2">
        <v>0.19452590420332355</v>
      </c>
      <c r="Z60" s="2"/>
      <c r="AA60" s="2"/>
      <c r="AB60" s="2"/>
      <c r="AC60" s="2"/>
      <c r="AD60" s="2"/>
      <c r="AE60" s="2"/>
      <c r="AF60" s="2"/>
      <c r="AG60" s="2"/>
    </row>
    <row r="61" spans="1:33">
      <c r="A61" s="5">
        <f>A60+Calculations!$B$4</f>
        <v>118</v>
      </c>
      <c r="B61" s="2"/>
      <c r="C61" s="2">
        <v>0.54740957966764414</v>
      </c>
      <c r="D61" s="2">
        <v>0.26881720430107525</v>
      </c>
      <c r="E61" s="2">
        <v>0.13489736070381231</v>
      </c>
      <c r="F61" s="2"/>
      <c r="G61" s="2">
        <v>0.52590420332355814</v>
      </c>
      <c r="H61" s="2">
        <v>0.29130009775171067</v>
      </c>
      <c r="I61" s="2">
        <v>0.17204301075268819</v>
      </c>
      <c r="J61" s="2"/>
      <c r="K61" s="2">
        <v>0.58162267839687198</v>
      </c>
      <c r="L61" s="2">
        <v>0.31964809384164222</v>
      </c>
      <c r="M61" s="2">
        <v>0.17399804496578691</v>
      </c>
      <c r="N61" s="2"/>
      <c r="O61" s="2">
        <v>0.63636363636363635</v>
      </c>
      <c r="P61" s="2">
        <v>0.32942326490713586</v>
      </c>
      <c r="Q61" s="2">
        <v>0.17399804496578691</v>
      </c>
      <c r="R61" s="2"/>
      <c r="S61" s="2">
        <v>0.68328445747800581</v>
      </c>
      <c r="T61" s="2">
        <v>0.39100684261974583</v>
      </c>
      <c r="U61" s="2">
        <v>0.18475073313782991</v>
      </c>
      <c r="V61" s="2"/>
      <c r="W61" s="2">
        <v>0.71260997067448684</v>
      </c>
      <c r="X61" s="2">
        <v>0.43304007820136853</v>
      </c>
      <c r="Y61" s="2">
        <v>0.21114369501466276</v>
      </c>
      <c r="Z61" s="2"/>
      <c r="AA61" s="2"/>
      <c r="AB61" s="2"/>
      <c r="AC61" s="2"/>
      <c r="AD61" s="2"/>
      <c r="AE61" s="2"/>
      <c r="AF61" s="2"/>
      <c r="AG61" s="2"/>
    </row>
    <row r="62" spans="1:33">
      <c r="A62" s="5">
        <f>A61+Calculations!$B$4</f>
        <v>120</v>
      </c>
      <c r="B62" s="2"/>
      <c r="C62" s="2">
        <v>0.51124144672531768</v>
      </c>
      <c r="D62" s="2">
        <v>0.27468230694037143</v>
      </c>
      <c r="E62" s="2">
        <v>0.15347018572825025</v>
      </c>
      <c r="F62" s="2"/>
      <c r="G62" s="2">
        <v>0.57966764418377326</v>
      </c>
      <c r="H62" s="2">
        <v>0.3040078201368524</v>
      </c>
      <c r="I62" s="2">
        <v>0.16226783968719452</v>
      </c>
      <c r="J62" s="2"/>
      <c r="K62" s="2">
        <v>0.59433040078201371</v>
      </c>
      <c r="L62" s="2">
        <v>0.3040078201368524</v>
      </c>
      <c r="M62" s="2">
        <v>0.1798631476050831</v>
      </c>
      <c r="N62" s="2"/>
      <c r="O62" s="2">
        <v>0.63440860215053763</v>
      </c>
      <c r="P62" s="2">
        <v>0.33724340175953077</v>
      </c>
      <c r="Q62" s="2">
        <v>0.1681329423264907</v>
      </c>
      <c r="R62" s="2"/>
      <c r="S62" s="2">
        <v>0.71945259042033238</v>
      </c>
      <c r="T62" s="2">
        <v>0.32746823069403713</v>
      </c>
      <c r="U62" s="2">
        <v>0.21212121212121213</v>
      </c>
      <c r="V62" s="2"/>
      <c r="W62" s="2">
        <v>0.75659824046920821</v>
      </c>
      <c r="X62" s="2">
        <v>0.38123167155425219</v>
      </c>
      <c r="Y62" s="2">
        <v>0.20527859237536658</v>
      </c>
      <c r="Z62" s="2"/>
      <c r="AA62" s="2"/>
      <c r="AB62" s="2"/>
      <c r="AC62" s="2"/>
      <c r="AD62" s="2"/>
      <c r="AE62" s="2"/>
      <c r="AF62" s="2"/>
      <c r="AG62" s="2"/>
    </row>
    <row r="63" spans="1:33">
      <c r="A63" s="5">
        <f>A62+Calculations!$B$4</f>
        <v>122</v>
      </c>
      <c r="B63" s="2"/>
      <c r="C63" s="2">
        <v>0.47507331378299122</v>
      </c>
      <c r="D63" s="2">
        <v>0.28739002932551322</v>
      </c>
      <c r="E63" s="2">
        <v>0.16129032258064516</v>
      </c>
      <c r="F63" s="2"/>
      <c r="G63" s="2">
        <v>0.54447702834799605</v>
      </c>
      <c r="H63" s="2">
        <v>0.28445747800586513</v>
      </c>
      <c r="I63" s="2">
        <v>0.13294232649071358</v>
      </c>
      <c r="J63" s="2"/>
      <c r="K63" s="2">
        <v>0.58846529814271753</v>
      </c>
      <c r="L63" s="2">
        <v>0.31769305962854349</v>
      </c>
      <c r="M63" s="2">
        <v>0.16715542521994134</v>
      </c>
      <c r="N63" s="2"/>
      <c r="O63" s="2">
        <v>0.66568914956011727</v>
      </c>
      <c r="P63" s="2">
        <v>0.36070381231671556</v>
      </c>
      <c r="Q63" s="2">
        <v>0.15835777126099707</v>
      </c>
      <c r="R63" s="2"/>
      <c r="S63" s="2">
        <v>0.64907135874877808</v>
      </c>
      <c r="T63" s="2">
        <v>0.3890518084066471</v>
      </c>
      <c r="U63" s="2">
        <v>0.19745845552297164</v>
      </c>
      <c r="V63" s="2"/>
      <c r="W63" s="2">
        <v>0.69110459433040083</v>
      </c>
      <c r="X63" s="2">
        <v>0.36070381231671556</v>
      </c>
      <c r="Y63" s="2">
        <v>0.21407624633431085</v>
      </c>
      <c r="Z63" s="2"/>
      <c r="AA63" s="2"/>
      <c r="AB63" s="2"/>
      <c r="AC63" s="2"/>
      <c r="AD63" s="2"/>
      <c r="AE63" s="2"/>
      <c r="AF63" s="2"/>
      <c r="AG63" s="2"/>
    </row>
    <row r="64" spans="1:33">
      <c r="A64" s="5">
        <f>A63+Calculations!$B$4</f>
        <v>124</v>
      </c>
      <c r="B64" s="2"/>
      <c r="C64" s="2">
        <v>0.47018572825024441</v>
      </c>
      <c r="D64" s="2">
        <v>0.23264907135874877</v>
      </c>
      <c r="E64" s="2">
        <v>0.17497556207233628</v>
      </c>
      <c r="F64" s="2"/>
      <c r="G64" s="2">
        <v>0.51124144672531768</v>
      </c>
      <c r="H64" s="2">
        <v>0.26197458455522971</v>
      </c>
      <c r="I64" s="2">
        <v>0.14271749755620725</v>
      </c>
      <c r="J64" s="2"/>
      <c r="K64" s="2">
        <v>0.57380254154447707</v>
      </c>
      <c r="L64" s="2">
        <v>0.30205278592375367</v>
      </c>
      <c r="M64" s="2">
        <v>0.16715542521994134</v>
      </c>
      <c r="N64" s="2"/>
      <c r="O64" s="2">
        <v>0.62463343108504399</v>
      </c>
      <c r="P64" s="2">
        <v>0.35386119257087001</v>
      </c>
      <c r="Q64" s="2">
        <v>0.18181818181818182</v>
      </c>
      <c r="R64" s="2"/>
      <c r="S64" s="2">
        <v>0.67057673509286408</v>
      </c>
      <c r="T64" s="2">
        <v>0.34701857282502446</v>
      </c>
      <c r="U64" s="2">
        <v>0.2209188660801564</v>
      </c>
      <c r="V64" s="2"/>
      <c r="W64" s="2">
        <v>0.6862170087976539</v>
      </c>
      <c r="X64" s="2">
        <v>0.37145650048875856</v>
      </c>
      <c r="Y64" s="2">
        <v>0.16715542521994134</v>
      </c>
      <c r="Z64" s="2"/>
      <c r="AA64" s="2"/>
      <c r="AB64" s="2"/>
      <c r="AC64" s="2"/>
      <c r="AD64" s="2"/>
      <c r="AE64" s="2"/>
      <c r="AF64" s="2"/>
      <c r="AG64" s="2"/>
    </row>
    <row r="65" spans="1:33">
      <c r="A65" s="5">
        <f>A64+Calculations!$B$4</f>
        <v>126</v>
      </c>
      <c r="B65" s="2"/>
      <c r="C65" s="2">
        <v>0.46529814271749753</v>
      </c>
      <c r="D65" s="2">
        <v>0.25904203323558161</v>
      </c>
      <c r="E65" s="2">
        <v>0.14858260019550343</v>
      </c>
      <c r="F65" s="2"/>
      <c r="G65" s="2">
        <v>0.51808406647116323</v>
      </c>
      <c r="H65" s="2">
        <v>0.29032258064516131</v>
      </c>
      <c r="I65" s="2">
        <v>0.15053763440860216</v>
      </c>
      <c r="J65" s="2"/>
      <c r="K65" s="2">
        <v>0.61192570869990226</v>
      </c>
      <c r="L65" s="2">
        <v>0.27663734115347016</v>
      </c>
      <c r="M65" s="2">
        <v>0.14173998044965788</v>
      </c>
      <c r="N65" s="2"/>
      <c r="O65" s="2">
        <v>0.6647116324535679</v>
      </c>
      <c r="P65" s="2">
        <v>0.36461388074291301</v>
      </c>
      <c r="Q65" s="2">
        <v>0.14467253176930597</v>
      </c>
      <c r="R65" s="2"/>
      <c r="S65" s="2">
        <v>0.69794721407624638</v>
      </c>
      <c r="T65" s="2">
        <v>0.35972629521016619</v>
      </c>
      <c r="U65" s="2">
        <v>0.176930596285435</v>
      </c>
      <c r="V65" s="2"/>
      <c r="W65" s="2">
        <v>0.70869990224828938</v>
      </c>
      <c r="X65" s="2">
        <v>0.36656891495601174</v>
      </c>
      <c r="Y65" s="2">
        <v>0.18768328445747801</v>
      </c>
      <c r="Z65" s="2"/>
      <c r="AA65" s="2"/>
      <c r="AB65" s="2"/>
      <c r="AC65" s="2"/>
      <c r="AD65" s="2"/>
      <c r="AE65" s="2"/>
      <c r="AF65" s="2"/>
      <c r="AG65" s="2"/>
    </row>
    <row r="66" spans="1:33">
      <c r="A66" s="5">
        <f>A65+Calculations!$B$4</f>
        <v>128</v>
      </c>
      <c r="B66" s="2"/>
      <c r="C66" s="2">
        <v>0.48191593352883677</v>
      </c>
      <c r="D66" s="2">
        <v>0.27370478983382207</v>
      </c>
      <c r="E66" s="2">
        <v>0.14467253176930597</v>
      </c>
      <c r="F66" s="2"/>
      <c r="G66" s="2">
        <v>0.57184750733137835</v>
      </c>
      <c r="H66" s="2">
        <v>0.30205278592375367</v>
      </c>
      <c r="I66" s="2">
        <v>0.18084066471163246</v>
      </c>
      <c r="J66" s="2"/>
      <c r="K66" s="2">
        <v>0.53567937438905178</v>
      </c>
      <c r="L66" s="2">
        <v>0.30107526881720431</v>
      </c>
      <c r="M66" s="2">
        <v>0.17790811339198437</v>
      </c>
      <c r="N66" s="2"/>
      <c r="O66" s="2">
        <v>0.63636363636363635</v>
      </c>
      <c r="P66" s="2">
        <v>0.35092864125122192</v>
      </c>
      <c r="Q66" s="2">
        <v>0.17888563049853373</v>
      </c>
      <c r="R66" s="2"/>
      <c r="S66" s="2">
        <v>0.63929618768328444</v>
      </c>
      <c r="T66" s="2">
        <v>0.34017595307917886</v>
      </c>
      <c r="U66" s="2">
        <v>0.17888563049853373</v>
      </c>
      <c r="V66" s="2"/>
      <c r="W66" s="2">
        <v>0.69305962854349956</v>
      </c>
      <c r="X66" s="2">
        <v>0.34799608993157383</v>
      </c>
      <c r="Y66" s="2">
        <v>0.18377321603128055</v>
      </c>
      <c r="Z66" s="2"/>
      <c r="AA66" s="2"/>
      <c r="AB66" s="2"/>
      <c r="AC66" s="2"/>
      <c r="AD66" s="2"/>
      <c r="AE66" s="2"/>
      <c r="AF66" s="2"/>
      <c r="AG66" s="2"/>
    </row>
    <row r="67" spans="1:33">
      <c r="A67" s="5">
        <f>A66+Calculations!$B$4</f>
        <v>130</v>
      </c>
      <c r="B67" s="2"/>
      <c r="C67" s="2">
        <v>0.53372434017595305</v>
      </c>
      <c r="D67" s="2">
        <v>0.27272727272727271</v>
      </c>
      <c r="E67" s="2">
        <v>0.12023460410557185</v>
      </c>
      <c r="F67" s="2"/>
      <c r="G67" s="2">
        <v>0.52785923753665687</v>
      </c>
      <c r="H67" s="2">
        <v>0.28445747800586513</v>
      </c>
      <c r="I67" s="2">
        <v>0.14858260019550343</v>
      </c>
      <c r="J67" s="2"/>
      <c r="K67" s="2">
        <v>0.57771260997067453</v>
      </c>
      <c r="L67" s="2">
        <v>0.32258064516129031</v>
      </c>
      <c r="M67" s="2">
        <v>0.15640273704789834</v>
      </c>
      <c r="N67" s="2"/>
      <c r="O67" s="2">
        <v>0.61290322580645162</v>
      </c>
      <c r="P67" s="2">
        <v>0.3284457478005865</v>
      </c>
      <c r="Q67" s="2">
        <v>0.18670576735092864</v>
      </c>
      <c r="R67" s="2"/>
      <c r="S67" s="2">
        <v>0.67448680351906154</v>
      </c>
      <c r="T67" s="2">
        <v>0.32355816226783968</v>
      </c>
      <c r="U67" s="2">
        <v>0.16911045943304007</v>
      </c>
      <c r="V67" s="2"/>
      <c r="W67" s="2">
        <v>0.6920821114369502</v>
      </c>
      <c r="X67" s="2">
        <v>0.38123167155425219</v>
      </c>
      <c r="Y67" s="2">
        <v>0.18377321603128055</v>
      </c>
      <c r="Z67" s="2"/>
      <c r="AA67" s="2"/>
      <c r="AB67" s="2"/>
      <c r="AC67" s="2"/>
      <c r="AD67" s="2"/>
      <c r="AE67" s="2"/>
      <c r="AF67" s="2"/>
      <c r="AG67" s="2"/>
    </row>
    <row r="68" spans="1:33">
      <c r="A68" s="5">
        <f>A67+Calculations!$B$4</f>
        <v>132</v>
      </c>
      <c r="B68" s="2"/>
      <c r="C68" s="2">
        <v>0.47702834799608995</v>
      </c>
      <c r="D68" s="2">
        <v>0.2649071358748778</v>
      </c>
      <c r="E68" s="2">
        <v>0.13685239491691104</v>
      </c>
      <c r="F68" s="2"/>
      <c r="G68" s="2">
        <v>0.53176930596285432</v>
      </c>
      <c r="H68" s="2">
        <v>0.29521016617790813</v>
      </c>
      <c r="I68" s="2">
        <v>0.14956011730205279</v>
      </c>
      <c r="J68" s="2"/>
      <c r="K68" s="2">
        <v>0.56598240469208216</v>
      </c>
      <c r="L68" s="2">
        <v>0.34213098729227759</v>
      </c>
      <c r="M68" s="2">
        <v>0.19452590420332355</v>
      </c>
      <c r="N68" s="2"/>
      <c r="O68" s="2">
        <v>0.66764418377321599</v>
      </c>
      <c r="P68" s="2">
        <v>0.35483870967741937</v>
      </c>
      <c r="Q68" s="2">
        <v>0.1906158357771261</v>
      </c>
      <c r="R68" s="2"/>
      <c r="S68" s="2">
        <v>0.64711632453567935</v>
      </c>
      <c r="T68" s="2">
        <v>0.3567937438905181</v>
      </c>
      <c r="U68" s="2">
        <v>0.20039100684261973</v>
      </c>
      <c r="V68" s="2"/>
      <c r="W68" s="2">
        <v>0.69501466275659829</v>
      </c>
      <c r="X68" s="2">
        <v>0.39100684261974583</v>
      </c>
      <c r="Y68" s="2">
        <v>0.21798631476050831</v>
      </c>
      <c r="Z68" s="2"/>
      <c r="AA68" s="2"/>
      <c r="AB68" s="2"/>
      <c r="AC68" s="2"/>
      <c r="AD68" s="2"/>
      <c r="AE68" s="2"/>
      <c r="AF68" s="2"/>
      <c r="AG68" s="2"/>
    </row>
    <row r="69" spans="1:33">
      <c r="A69" s="5">
        <f>A68+Calculations!$B$4</f>
        <v>134</v>
      </c>
      <c r="B69" s="2"/>
      <c r="C69" s="2">
        <v>0.47996089931573804</v>
      </c>
      <c r="D69" s="2">
        <v>0.29521016617790813</v>
      </c>
      <c r="E69" s="2">
        <v>0.13880742913000976</v>
      </c>
      <c r="F69" s="2"/>
      <c r="G69" s="2">
        <v>0.50830889540566959</v>
      </c>
      <c r="H69" s="2">
        <v>0.31280547409579668</v>
      </c>
      <c r="I69" s="2">
        <v>0.13685239491691104</v>
      </c>
      <c r="J69" s="2"/>
      <c r="K69" s="2">
        <v>0.54838709677419351</v>
      </c>
      <c r="L69" s="2">
        <v>0.35483870967741937</v>
      </c>
      <c r="M69" s="2">
        <v>0.17008797653958943</v>
      </c>
      <c r="N69" s="2"/>
      <c r="O69" s="2">
        <v>0.64711632453567935</v>
      </c>
      <c r="P69" s="2">
        <v>0.31671554252199413</v>
      </c>
      <c r="Q69" s="2">
        <v>0.18181818181818182</v>
      </c>
      <c r="R69" s="2"/>
      <c r="S69" s="2">
        <v>0.68328445747800581</v>
      </c>
      <c r="T69" s="2">
        <v>0.32355816226783968</v>
      </c>
      <c r="U69" s="2">
        <v>0.2013685239491691</v>
      </c>
      <c r="V69" s="2"/>
      <c r="W69" s="2">
        <v>0.63831867057673508</v>
      </c>
      <c r="X69" s="2">
        <v>0.3919843597262952</v>
      </c>
      <c r="Y69" s="2">
        <v>0.18572825024437928</v>
      </c>
      <c r="Z69" s="2"/>
      <c r="AA69" s="2"/>
      <c r="AB69" s="2"/>
      <c r="AC69" s="2"/>
      <c r="AD69" s="2"/>
      <c r="AE69" s="2"/>
      <c r="AF69" s="2"/>
      <c r="AG69" s="2"/>
    </row>
    <row r="70" spans="1:33">
      <c r="A70" s="5">
        <f>A69+Calculations!$B$4</f>
        <v>136</v>
      </c>
      <c r="B70" s="2"/>
      <c r="C70" s="2">
        <v>0.49169110459433041</v>
      </c>
      <c r="D70" s="2">
        <v>0.2541544477028348</v>
      </c>
      <c r="E70" s="2">
        <v>0.14467253176930597</v>
      </c>
      <c r="F70" s="2"/>
      <c r="G70" s="2">
        <v>0.54349951124144669</v>
      </c>
      <c r="H70" s="2">
        <v>0.28934506353861195</v>
      </c>
      <c r="I70" s="2">
        <v>0.14369501466275661</v>
      </c>
      <c r="J70" s="2"/>
      <c r="K70" s="2">
        <v>0.58455522971652008</v>
      </c>
      <c r="L70" s="2">
        <v>0.32160312805474095</v>
      </c>
      <c r="M70" s="2">
        <v>0.1681329423264907</v>
      </c>
      <c r="N70" s="2"/>
      <c r="O70" s="2">
        <v>0.62267839687194526</v>
      </c>
      <c r="P70" s="2">
        <v>0.31867057673509286</v>
      </c>
      <c r="Q70" s="2">
        <v>0.17399804496578691</v>
      </c>
      <c r="R70" s="2"/>
      <c r="S70" s="2">
        <v>0.68914956011730211</v>
      </c>
      <c r="T70" s="2">
        <v>0.34995112414467255</v>
      </c>
      <c r="U70" s="2">
        <v>0.21309872922776149</v>
      </c>
      <c r="V70" s="2"/>
      <c r="W70" s="2">
        <v>0.71554252199413493</v>
      </c>
      <c r="X70" s="2">
        <v>0.35386119257087001</v>
      </c>
      <c r="Y70" s="2">
        <v>0.20821114369501467</v>
      </c>
      <c r="Z70" s="2"/>
      <c r="AA70" s="2"/>
      <c r="AB70" s="2"/>
      <c r="AC70" s="2"/>
      <c r="AD70" s="2"/>
      <c r="AE70" s="2"/>
      <c r="AF70" s="2"/>
      <c r="AG70" s="2"/>
    </row>
    <row r="71" spans="1:33">
      <c r="A71" s="5">
        <f>A70+Calculations!$B$4</f>
        <v>138</v>
      </c>
      <c r="B71" s="2"/>
      <c r="C71" s="2">
        <v>0.50733137829912023</v>
      </c>
      <c r="D71" s="2">
        <v>0.25708699902248289</v>
      </c>
      <c r="E71" s="2">
        <v>0.13391984359726294</v>
      </c>
      <c r="F71" s="2"/>
      <c r="G71" s="2">
        <v>0.53176930596285432</v>
      </c>
      <c r="H71" s="2">
        <v>0.25904203323558161</v>
      </c>
      <c r="I71" s="2">
        <v>0.14369501466275661</v>
      </c>
      <c r="J71" s="2"/>
      <c r="K71" s="2">
        <v>0.5620723362658846</v>
      </c>
      <c r="L71" s="2">
        <v>0.33137829912023459</v>
      </c>
      <c r="M71" s="2">
        <v>0.15347018572825025</v>
      </c>
      <c r="N71" s="2"/>
      <c r="O71" s="2">
        <v>0.62756598240469208</v>
      </c>
      <c r="P71" s="2">
        <v>0.33431085043988268</v>
      </c>
      <c r="Q71" s="2">
        <v>0.18768328445747801</v>
      </c>
      <c r="R71" s="2"/>
      <c r="S71" s="2">
        <v>0.68132942326490709</v>
      </c>
      <c r="T71" s="2">
        <v>0.36265884652981428</v>
      </c>
      <c r="U71" s="2">
        <v>0.19648093841642228</v>
      </c>
      <c r="V71" s="2"/>
      <c r="W71" s="2">
        <v>0.74389051808406648</v>
      </c>
      <c r="X71" s="2">
        <v>0.35777126099706746</v>
      </c>
      <c r="Y71" s="2">
        <v>0.2013685239491691</v>
      </c>
      <c r="Z71" s="2"/>
      <c r="AA71" s="2"/>
      <c r="AB71" s="2"/>
      <c r="AC71" s="2"/>
      <c r="AD71" s="2"/>
      <c r="AE71" s="2"/>
      <c r="AF71" s="2"/>
      <c r="AG71" s="2"/>
    </row>
    <row r="72" spans="1:33">
      <c r="A72" s="5">
        <f>A71+Calculations!$B$4</f>
        <v>140</v>
      </c>
      <c r="B72" s="2"/>
      <c r="C72" s="2">
        <v>0.48680351906158359</v>
      </c>
      <c r="D72" s="2">
        <v>0.26686217008797652</v>
      </c>
      <c r="E72" s="2">
        <v>0.12218963831867058</v>
      </c>
      <c r="F72" s="2"/>
      <c r="G72" s="2">
        <v>0.50928641251221896</v>
      </c>
      <c r="H72" s="2">
        <v>0.26392961876832843</v>
      </c>
      <c r="I72" s="2">
        <v>0.14076246334310849</v>
      </c>
      <c r="J72" s="2"/>
      <c r="K72" s="2">
        <v>0.54936461388074287</v>
      </c>
      <c r="L72" s="2">
        <v>0.28445747800586513</v>
      </c>
      <c r="M72" s="2">
        <v>0.16617790811339198</v>
      </c>
      <c r="N72" s="2"/>
      <c r="O72" s="2">
        <v>0.61779081133919844</v>
      </c>
      <c r="P72" s="2">
        <v>0.32355816226783968</v>
      </c>
      <c r="Q72" s="2">
        <v>0.20918866080156404</v>
      </c>
      <c r="R72" s="2"/>
      <c r="S72" s="2">
        <v>0.66568914956011727</v>
      </c>
      <c r="T72" s="2">
        <v>0.33431085043988268</v>
      </c>
      <c r="U72" s="2">
        <v>0.18475073313782991</v>
      </c>
      <c r="V72" s="2"/>
      <c r="W72" s="2">
        <v>0.7135874877810362</v>
      </c>
      <c r="X72" s="2">
        <v>0.3460410557184751</v>
      </c>
      <c r="Y72" s="2">
        <v>0.17790811339198437</v>
      </c>
      <c r="Z72" s="2"/>
      <c r="AA72" s="2"/>
      <c r="AB72" s="2"/>
      <c r="AC72" s="2"/>
      <c r="AD72" s="2"/>
      <c r="AE72" s="2"/>
      <c r="AF72" s="2"/>
      <c r="AG72" s="2"/>
    </row>
    <row r="73" spans="1:33">
      <c r="A73" s="5">
        <f>A72+Calculations!$B$4</f>
        <v>142</v>
      </c>
      <c r="B73" s="2"/>
      <c r="C73" s="2">
        <v>0.49071358748778104</v>
      </c>
      <c r="D73" s="2">
        <v>0.25219941348973607</v>
      </c>
      <c r="E73" s="2">
        <v>0.14076246334310849</v>
      </c>
      <c r="F73" s="2"/>
      <c r="G73" s="2">
        <v>0.4838709677419355</v>
      </c>
      <c r="H73" s="2">
        <v>0.28543499511241449</v>
      </c>
      <c r="I73" s="2">
        <v>0.17008797653958943</v>
      </c>
      <c r="J73" s="2"/>
      <c r="K73" s="2">
        <v>0.5268817204301075</v>
      </c>
      <c r="L73" s="2">
        <v>0.30009775171065495</v>
      </c>
      <c r="M73" s="2">
        <v>0.16911045943304007</v>
      </c>
      <c r="N73" s="2"/>
      <c r="O73" s="2">
        <v>0.60606060606060608</v>
      </c>
      <c r="P73" s="2">
        <v>0.32355816226783968</v>
      </c>
      <c r="Q73" s="2">
        <v>0.18377321603128055</v>
      </c>
      <c r="R73" s="2"/>
      <c r="S73" s="2">
        <v>0.66275659824046917</v>
      </c>
      <c r="T73" s="2">
        <v>0.37438905180840665</v>
      </c>
      <c r="U73" s="2">
        <v>0.21896383186705767</v>
      </c>
      <c r="V73" s="2"/>
      <c r="W73" s="2">
        <v>0.72043010752688175</v>
      </c>
      <c r="X73" s="2">
        <v>0.36656891495601174</v>
      </c>
      <c r="Y73" s="2">
        <v>0.19941348973607037</v>
      </c>
      <c r="Z73" s="2"/>
      <c r="AA73" s="2"/>
      <c r="AB73" s="2"/>
      <c r="AC73" s="2"/>
      <c r="AD73" s="2"/>
      <c r="AE73" s="2"/>
      <c r="AF73" s="2"/>
      <c r="AG73" s="2"/>
    </row>
    <row r="74" spans="1:33">
      <c r="A74" s="5">
        <f>A73+Calculations!$B$4</f>
        <v>144</v>
      </c>
      <c r="B74" s="2"/>
      <c r="C74" s="2">
        <v>0.41544477028347998</v>
      </c>
      <c r="D74" s="2">
        <v>0.27859237536656889</v>
      </c>
      <c r="E74" s="2">
        <v>0.11339198435972629</v>
      </c>
      <c r="F74" s="2"/>
      <c r="G74" s="2">
        <v>0.51417399804496577</v>
      </c>
      <c r="H74" s="2">
        <v>0.29521016617790813</v>
      </c>
      <c r="I74" s="2">
        <v>0.15835777126099707</v>
      </c>
      <c r="J74" s="2"/>
      <c r="K74" s="2">
        <v>0.58260019550342135</v>
      </c>
      <c r="L74" s="2">
        <v>0.31867057673509286</v>
      </c>
      <c r="M74" s="2">
        <v>0.18963831867057673</v>
      </c>
      <c r="N74" s="2"/>
      <c r="O74" s="2">
        <v>0.59335288367546435</v>
      </c>
      <c r="P74" s="2">
        <v>0.35874877810361683</v>
      </c>
      <c r="Q74" s="2">
        <v>0.21994134897360704</v>
      </c>
      <c r="R74" s="2"/>
      <c r="S74" s="2">
        <v>0.5972629521016618</v>
      </c>
      <c r="T74" s="2">
        <v>0.35386119257087001</v>
      </c>
      <c r="U74" s="2">
        <v>0.18377321603128055</v>
      </c>
      <c r="V74" s="2"/>
      <c r="W74" s="2">
        <v>0.70772238514174002</v>
      </c>
      <c r="X74" s="2">
        <v>0.35190615835777128</v>
      </c>
      <c r="Y74" s="2">
        <v>0.19648093841642228</v>
      </c>
      <c r="Z74" s="2"/>
      <c r="AA74" s="2"/>
      <c r="AB74" s="2"/>
      <c r="AC74" s="2"/>
      <c r="AD74" s="2"/>
      <c r="AE74" s="2"/>
      <c r="AF74" s="2"/>
      <c r="AG74" s="2"/>
    </row>
    <row r="75" spans="1:33">
      <c r="A75" s="5">
        <f>A74+Calculations!$B$4</f>
        <v>146</v>
      </c>
      <c r="B75" s="2"/>
      <c r="C75" s="2">
        <v>0.43890518084066471</v>
      </c>
      <c r="D75" s="2">
        <v>0.25317693059628543</v>
      </c>
      <c r="E75" s="2">
        <v>0.12218963831867058</v>
      </c>
      <c r="F75" s="2"/>
      <c r="G75" s="2">
        <v>0.51417399804496577</v>
      </c>
      <c r="H75" s="2">
        <v>0.29618768328445749</v>
      </c>
      <c r="I75" s="2">
        <v>0.11143695014662756</v>
      </c>
      <c r="J75" s="2"/>
      <c r="K75" s="2">
        <v>0.5757575757575758</v>
      </c>
      <c r="L75" s="2">
        <v>0.28054740957966762</v>
      </c>
      <c r="M75" s="2">
        <v>0.15347018572825025</v>
      </c>
      <c r="N75" s="2"/>
      <c r="O75" s="2">
        <v>0.62463343108504399</v>
      </c>
      <c r="P75" s="2">
        <v>0.35483870967741937</v>
      </c>
      <c r="Q75" s="2">
        <v>0.18866080156402737</v>
      </c>
      <c r="R75" s="2"/>
      <c r="S75" s="2">
        <v>0.71554252199413493</v>
      </c>
      <c r="T75" s="2">
        <v>0.36656891495601174</v>
      </c>
      <c r="U75" s="2">
        <v>0.20430107526881722</v>
      </c>
      <c r="V75" s="2"/>
      <c r="W75" s="2">
        <v>0.6754643206256109</v>
      </c>
      <c r="X75" s="2">
        <v>0.35581622678396874</v>
      </c>
      <c r="Y75" s="2">
        <v>0.20430107526881722</v>
      </c>
      <c r="Z75" s="2"/>
      <c r="AA75" s="2"/>
      <c r="AB75" s="2"/>
      <c r="AC75" s="2"/>
      <c r="AD75" s="2"/>
      <c r="AE75" s="2"/>
      <c r="AF75" s="2"/>
      <c r="AG75" s="2"/>
    </row>
    <row r="76" spans="1:33">
      <c r="A76" s="5">
        <f>A75+Calculations!$B$4</f>
        <v>148</v>
      </c>
      <c r="B76" s="2"/>
      <c r="C76" s="2">
        <v>0.4946236559139785</v>
      </c>
      <c r="D76" s="2">
        <v>0.26295210166177907</v>
      </c>
      <c r="E76" s="2">
        <v>0.14956011730205279</v>
      </c>
      <c r="F76" s="2"/>
      <c r="G76" s="2">
        <v>0.50048875855327468</v>
      </c>
      <c r="H76" s="2">
        <v>0.27468230694037143</v>
      </c>
      <c r="I76" s="2">
        <v>0.15151515151515152</v>
      </c>
      <c r="J76" s="2"/>
      <c r="K76" s="2">
        <v>0.55522971652003905</v>
      </c>
      <c r="L76" s="2">
        <v>0.31867057673509286</v>
      </c>
      <c r="M76" s="2">
        <v>0.176930596285435</v>
      </c>
      <c r="N76" s="2"/>
      <c r="O76" s="2">
        <v>0.60215053763440862</v>
      </c>
      <c r="P76" s="2">
        <v>0.34310850439882695</v>
      </c>
      <c r="Q76" s="2">
        <v>0.19354838709677419</v>
      </c>
      <c r="R76" s="2"/>
      <c r="S76" s="2">
        <v>0.66275659824046917</v>
      </c>
      <c r="T76" s="2">
        <v>0.34408602150537637</v>
      </c>
      <c r="U76" s="2">
        <v>0.16617790811339198</v>
      </c>
      <c r="V76" s="2"/>
      <c r="W76" s="2">
        <v>0.66275659824046917</v>
      </c>
      <c r="X76" s="2">
        <v>0.33724340175953077</v>
      </c>
      <c r="Y76" s="2">
        <v>0.18181818181818182</v>
      </c>
      <c r="Z76" s="2"/>
      <c r="AA76" s="2"/>
      <c r="AB76" s="2"/>
      <c r="AC76" s="2"/>
      <c r="AD76" s="2"/>
      <c r="AE76" s="2"/>
      <c r="AF76" s="2"/>
      <c r="AG76" s="2"/>
    </row>
    <row r="77" spans="1:33">
      <c r="A77" s="5">
        <f>A76+Calculations!$B$4</f>
        <v>150</v>
      </c>
      <c r="B77" s="2"/>
      <c r="C77" s="2">
        <v>0.47800586510263932</v>
      </c>
      <c r="D77" s="2">
        <v>0.27077223851417398</v>
      </c>
      <c r="E77" s="2">
        <v>0.15249266862170088</v>
      </c>
      <c r="F77" s="2"/>
      <c r="G77" s="2">
        <v>0.60019550342130989</v>
      </c>
      <c r="H77" s="2">
        <v>0.28934506353861195</v>
      </c>
      <c r="I77" s="2">
        <v>0.17204301075268819</v>
      </c>
      <c r="J77" s="2"/>
      <c r="K77" s="2">
        <v>0.57478005865102644</v>
      </c>
      <c r="L77" s="2">
        <v>0.27761485826001953</v>
      </c>
      <c r="M77" s="2">
        <v>0.18181818181818182</v>
      </c>
      <c r="N77" s="2"/>
      <c r="O77" s="2">
        <v>0.60410557184750735</v>
      </c>
      <c r="P77" s="2">
        <v>0.34995112414467255</v>
      </c>
      <c r="Q77" s="2">
        <v>0.14956011730205279</v>
      </c>
      <c r="R77" s="2"/>
      <c r="S77" s="2">
        <v>0.64418377321603126</v>
      </c>
      <c r="T77" s="2">
        <v>0.32942326490713586</v>
      </c>
      <c r="U77" s="2">
        <v>0.1906158357771261</v>
      </c>
      <c r="V77" s="2"/>
      <c r="W77" s="2">
        <v>0.68132942326490709</v>
      </c>
      <c r="X77" s="2">
        <v>0.3391984359726295</v>
      </c>
      <c r="Y77" s="2">
        <v>0.1798631476050831</v>
      </c>
      <c r="Z77" s="2"/>
      <c r="AA77" s="2"/>
      <c r="AB77" s="2"/>
      <c r="AC77" s="2"/>
      <c r="AD77" s="2"/>
      <c r="AE77" s="2"/>
      <c r="AF77" s="2"/>
      <c r="AG77" s="2"/>
    </row>
    <row r="78" spans="1:33">
      <c r="A78" s="5">
        <f>A77+Calculations!$B$4</f>
        <v>152</v>
      </c>
      <c r="B78" s="2"/>
      <c r="C78" s="2">
        <v>0.52003910068426196</v>
      </c>
      <c r="D78" s="2">
        <v>0.23558162267839688</v>
      </c>
      <c r="E78" s="2">
        <v>0.15347018572825025</v>
      </c>
      <c r="F78" s="2"/>
      <c r="G78" s="2">
        <v>0.53176930596285432</v>
      </c>
      <c r="H78" s="2">
        <v>0.2512218963831867</v>
      </c>
      <c r="I78" s="2">
        <v>0.16617790811339198</v>
      </c>
      <c r="J78" s="2"/>
      <c r="K78" s="2">
        <v>0.53079178885630496</v>
      </c>
      <c r="L78" s="2">
        <v>0.28739002932551322</v>
      </c>
      <c r="M78" s="2">
        <v>0.17204301075268819</v>
      </c>
      <c r="N78" s="2"/>
      <c r="O78" s="2">
        <v>0.55229716520039096</v>
      </c>
      <c r="P78" s="2">
        <v>0.27174975562072334</v>
      </c>
      <c r="Q78" s="2">
        <v>0.176930596285435</v>
      </c>
      <c r="R78" s="2"/>
      <c r="S78" s="2">
        <v>0.60117302052785926</v>
      </c>
      <c r="T78" s="2">
        <v>0.32649071358748777</v>
      </c>
      <c r="U78" s="2">
        <v>0.17106549364613879</v>
      </c>
      <c r="V78" s="2"/>
      <c r="W78" s="2">
        <v>0.74682306940371457</v>
      </c>
      <c r="X78" s="2">
        <v>0.36852394916911047</v>
      </c>
      <c r="Y78" s="2">
        <v>0.21212121212121213</v>
      </c>
      <c r="Z78" s="2"/>
      <c r="AA78" s="2"/>
      <c r="AB78" s="2"/>
      <c r="AC78" s="2"/>
      <c r="AD78" s="2"/>
      <c r="AE78" s="2"/>
      <c r="AF78" s="2"/>
      <c r="AG78" s="2"/>
    </row>
    <row r="79" spans="1:33">
      <c r="A79" s="5">
        <f>A78+Calculations!$B$4</f>
        <v>154</v>
      </c>
      <c r="B79" s="2"/>
      <c r="C79" s="2">
        <v>0.48582600195503423</v>
      </c>
      <c r="D79" s="2">
        <v>0.26783968719452589</v>
      </c>
      <c r="E79" s="2">
        <v>0.13196480938416422</v>
      </c>
      <c r="F79" s="2"/>
      <c r="G79" s="2">
        <v>0.5268817204301075</v>
      </c>
      <c r="H79" s="2">
        <v>0.22385141739980449</v>
      </c>
      <c r="I79" s="2">
        <v>0.16129032258064516</v>
      </c>
      <c r="J79" s="2"/>
      <c r="K79" s="2">
        <v>0.60117302052785926</v>
      </c>
      <c r="L79" s="2">
        <v>0.29618768328445749</v>
      </c>
      <c r="M79" s="2">
        <v>0.16617790811339198</v>
      </c>
      <c r="N79" s="2"/>
      <c r="O79" s="2">
        <v>0.59824046920821117</v>
      </c>
      <c r="P79" s="2">
        <v>0.30205278592375367</v>
      </c>
      <c r="Q79" s="2">
        <v>0.20234604105571846</v>
      </c>
      <c r="R79" s="2"/>
      <c r="S79" s="2">
        <v>0.6324535679374389</v>
      </c>
      <c r="T79" s="2">
        <v>0.3255131964809384</v>
      </c>
      <c r="U79" s="2">
        <v>0.17595307917888564</v>
      </c>
      <c r="V79" s="2"/>
      <c r="W79" s="2">
        <v>0.70869990224828938</v>
      </c>
      <c r="X79" s="2">
        <v>0.37047898338220919</v>
      </c>
      <c r="Y79" s="2">
        <v>0.20039100684261973</v>
      </c>
      <c r="Z79" s="2"/>
      <c r="AA79" s="2"/>
      <c r="AB79" s="2"/>
      <c r="AC79" s="2"/>
      <c r="AD79" s="2"/>
      <c r="AE79" s="2"/>
      <c r="AF79" s="2"/>
      <c r="AG79" s="2"/>
    </row>
    <row r="80" spans="1:33">
      <c r="A80" s="5">
        <f>A79+Calculations!$B$4</f>
        <v>156</v>
      </c>
      <c r="B80" s="2"/>
      <c r="C80" s="2">
        <v>0.4662756598240469</v>
      </c>
      <c r="D80" s="2">
        <v>0.25317693059628543</v>
      </c>
      <c r="E80" s="2">
        <v>0.13978494623655913</v>
      </c>
      <c r="F80" s="2"/>
      <c r="G80" s="2">
        <v>0.52785923753665687</v>
      </c>
      <c r="H80" s="2">
        <v>0.2404692082111437</v>
      </c>
      <c r="I80" s="2">
        <v>0.13978494623655913</v>
      </c>
      <c r="J80" s="2"/>
      <c r="K80" s="2">
        <v>0.56695992179863153</v>
      </c>
      <c r="L80" s="2">
        <v>0.27956989247311825</v>
      </c>
      <c r="M80" s="2">
        <v>0.12903225806451613</v>
      </c>
      <c r="N80" s="2"/>
      <c r="O80" s="2">
        <v>0.63049853372434017</v>
      </c>
      <c r="P80" s="2">
        <v>0.31182795698924731</v>
      </c>
      <c r="Q80" s="2">
        <v>0.15933528836754643</v>
      </c>
      <c r="R80" s="2"/>
      <c r="S80" s="2">
        <v>0.62658846529814272</v>
      </c>
      <c r="T80" s="2">
        <v>0.36656891495601174</v>
      </c>
      <c r="U80" s="2">
        <v>0.20039100684261973</v>
      </c>
      <c r="V80" s="2"/>
      <c r="W80" s="2">
        <v>0.65200391006842617</v>
      </c>
      <c r="X80" s="2">
        <v>0.32746823069403713</v>
      </c>
      <c r="Y80" s="2">
        <v>0.19452590420332355</v>
      </c>
      <c r="Z80" s="2"/>
      <c r="AA80" s="2"/>
      <c r="AB80" s="2"/>
      <c r="AC80" s="2"/>
      <c r="AD80" s="2"/>
      <c r="AE80" s="2"/>
      <c r="AF80" s="2"/>
      <c r="AG80" s="2"/>
    </row>
    <row r="81" spans="1:33">
      <c r="A81" s="5">
        <f>A80+Calculations!$B$4</f>
        <v>158</v>
      </c>
      <c r="B81" s="2"/>
      <c r="C81" s="2">
        <v>0.4525904203323558</v>
      </c>
      <c r="D81" s="2">
        <v>0.26881720430107525</v>
      </c>
      <c r="E81" s="2">
        <v>0.12512218963831867</v>
      </c>
      <c r="F81" s="2"/>
      <c r="G81" s="2">
        <v>0.54643206256109478</v>
      </c>
      <c r="H81" s="2">
        <v>0.27956989247311825</v>
      </c>
      <c r="I81" s="2">
        <v>0.16911045943304007</v>
      </c>
      <c r="J81" s="2"/>
      <c r="K81" s="2">
        <v>0.59628543499511244</v>
      </c>
      <c r="L81" s="2">
        <v>0.26979472140762462</v>
      </c>
      <c r="M81" s="2">
        <v>0.13587487781036167</v>
      </c>
      <c r="N81" s="2"/>
      <c r="O81" s="2">
        <v>0.64516129032258063</v>
      </c>
      <c r="P81" s="2">
        <v>0.3675464320625611</v>
      </c>
      <c r="Q81" s="2">
        <v>0.18768328445747801</v>
      </c>
      <c r="R81" s="2"/>
      <c r="S81" s="2">
        <v>0.64711632453567935</v>
      </c>
      <c r="T81" s="2">
        <v>0.35288367546432065</v>
      </c>
      <c r="U81" s="2">
        <v>0.176930596285435</v>
      </c>
      <c r="V81" s="2"/>
      <c r="W81" s="2">
        <v>0.69599217986314765</v>
      </c>
      <c r="X81" s="2">
        <v>0.3890518084066471</v>
      </c>
      <c r="Y81" s="2">
        <v>0.17106549364613879</v>
      </c>
      <c r="Z81" s="2"/>
      <c r="AA81" s="2"/>
      <c r="AB81" s="2"/>
      <c r="AC81" s="2"/>
      <c r="AD81" s="2"/>
      <c r="AE81" s="2"/>
      <c r="AF81" s="2"/>
      <c r="AG81" s="2"/>
    </row>
    <row r="82" spans="1:33">
      <c r="A82" s="5">
        <f>A81+Calculations!$B$4</f>
        <v>160</v>
      </c>
      <c r="B82" s="2"/>
      <c r="C82" s="2">
        <v>0.45650048875855326</v>
      </c>
      <c r="D82" s="2">
        <v>0.24437927663734116</v>
      </c>
      <c r="E82" s="2">
        <v>0.10654936461388075</v>
      </c>
      <c r="F82" s="2"/>
      <c r="G82" s="2">
        <v>0.50146627565982405</v>
      </c>
      <c r="H82" s="2">
        <v>0.28543499511241449</v>
      </c>
      <c r="I82" s="2">
        <v>0.15151515151515152</v>
      </c>
      <c r="J82" s="2"/>
      <c r="K82" s="2">
        <v>0.55034213098729223</v>
      </c>
      <c r="L82" s="2">
        <v>0.31378299120234604</v>
      </c>
      <c r="M82" s="2">
        <v>0.1466275659824047</v>
      </c>
      <c r="N82" s="2"/>
      <c r="O82" s="2">
        <v>0.56989247311827962</v>
      </c>
      <c r="P82" s="2">
        <v>0.33333333333333331</v>
      </c>
      <c r="Q82" s="2">
        <v>0.1906158357771261</v>
      </c>
      <c r="R82" s="2"/>
      <c r="S82" s="2">
        <v>0.66666666666666663</v>
      </c>
      <c r="T82" s="2">
        <v>0.3147605083088954</v>
      </c>
      <c r="U82" s="2">
        <v>0.19745845552297164</v>
      </c>
      <c r="V82" s="2"/>
      <c r="W82" s="2">
        <v>0.68817204301075274</v>
      </c>
      <c r="X82" s="2">
        <v>0.35581622678396874</v>
      </c>
      <c r="Y82" s="2">
        <v>0.18572825024437928</v>
      </c>
      <c r="Z82" s="2"/>
      <c r="AA82" s="2"/>
      <c r="AB82" s="2"/>
      <c r="AC82" s="2"/>
      <c r="AD82" s="2"/>
      <c r="AE82" s="2"/>
      <c r="AF82" s="2"/>
      <c r="AG82" s="2"/>
    </row>
    <row r="83" spans="1:33">
      <c r="A83" s="34" t="s">
        <v>24</v>
      </c>
      <c r="C83">
        <v>5.46875E-2</v>
      </c>
      <c r="D83">
        <v>5.46875E-2</v>
      </c>
      <c r="E83">
        <v>5.46875E-2</v>
      </c>
      <c r="G83">
        <v>5.46875E-2</v>
      </c>
      <c r="H83">
        <v>5.46875E-2</v>
      </c>
      <c r="I83">
        <v>5.46875E-2</v>
      </c>
      <c r="K83">
        <v>5.46875E-2</v>
      </c>
      <c r="L83">
        <v>5.46875E-2</v>
      </c>
      <c r="M83">
        <v>5.46875E-2</v>
      </c>
      <c r="O83">
        <v>5.46875E-2</v>
      </c>
      <c r="P83">
        <v>5.46875E-2</v>
      </c>
      <c r="Q83">
        <v>5.46875E-2</v>
      </c>
      <c r="S83">
        <v>5.46875E-2</v>
      </c>
      <c r="T83">
        <v>5.46875E-2</v>
      </c>
      <c r="U83">
        <v>5.46875E-2</v>
      </c>
      <c r="W83">
        <v>5.46875E-2</v>
      </c>
      <c r="X83">
        <v>5.46875E-2</v>
      </c>
      <c r="Y83">
        <v>5.46875E-2</v>
      </c>
    </row>
    <row r="84" spans="1:33">
      <c r="A84" s="5"/>
      <c r="B84" s="35" t="str">
        <f t="shared" ref="B84:AG84" si="0">DEC2HEX(B83*128+192,2)</f>
        <v>C0</v>
      </c>
      <c r="C84" s="30" t="str">
        <f t="shared" si="0"/>
        <v>C7</v>
      </c>
      <c r="D84" s="35" t="str">
        <f t="shared" si="0"/>
        <v>C7</v>
      </c>
      <c r="E84" s="35" t="str">
        <f t="shared" si="0"/>
        <v>C7</v>
      </c>
      <c r="F84" s="35" t="str">
        <f t="shared" si="0"/>
        <v>C0</v>
      </c>
      <c r="G84" s="35" t="str">
        <f t="shared" si="0"/>
        <v>C7</v>
      </c>
      <c r="H84" s="35" t="str">
        <f t="shared" si="0"/>
        <v>C7</v>
      </c>
      <c r="I84" s="35" t="str">
        <f t="shared" si="0"/>
        <v>C7</v>
      </c>
      <c r="J84" s="35" t="str">
        <f t="shared" si="0"/>
        <v>C0</v>
      </c>
      <c r="K84" s="35" t="str">
        <f t="shared" si="0"/>
        <v>C7</v>
      </c>
      <c r="L84" s="35" t="str">
        <f t="shared" si="0"/>
        <v>C7</v>
      </c>
      <c r="M84" s="35" t="str">
        <f t="shared" si="0"/>
        <v>C7</v>
      </c>
      <c r="N84" s="35" t="str">
        <f t="shared" si="0"/>
        <v>C0</v>
      </c>
      <c r="O84" s="35" t="str">
        <f t="shared" si="0"/>
        <v>C7</v>
      </c>
      <c r="P84" s="35" t="str">
        <f t="shared" si="0"/>
        <v>C7</v>
      </c>
      <c r="Q84" s="35" t="str">
        <f t="shared" si="0"/>
        <v>C7</v>
      </c>
      <c r="R84" s="35" t="str">
        <f t="shared" si="0"/>
        <v>C0</v>
      </c>
      <c r="S84" s="35" t="str">
        <f t="shared" si="0"/>
        <v>C7</v>
      </c>
      <c r="T84" s="35" t="str">
        <f t="shared" si="0"/>
        <v>C7</v>
      </c>
      <c r="U84" s="35" t="str">
        <f t="shared" si="0"/>
        <v>C7</v>
      </c>
      <c r="V84" s="35" t="str">
        <f t="shared" si="0"/>
        <v>C0</v>
      </c>
      <c r="W84" s="35" t="str">
        <f t="shared" si="0"/>
        <v>C7</v>
      </c>
      <c r="X84" s="35" t="str">
        <f t="shared" si="0"/>
        <v>C7</v>
      </c>
      <c r="Y84" s="35" t="str">
        <f t="shared" si="0"/>
        <v>C7</v>
      </c>
      <c r="Z84" s="35" t="str">
        <f t="shared" si="0"/>
        <v>C0</v>
      </c>
      <c r="AA84" s="35" t="str">
        <f t="shared" si="0"/>
        <v>C0</v>
      </c>
      <c r="AB84" s="35" t="str">
        <f t="shared" si="0"/>
        <v>C0</v>
      </c>
      <c r="AC84" s="35" t="str">
        <f t="shared" si="0"/>
        <v>C0</v>
      </c>
      <c r="AD84" s="35" t="str">
        <f t="shared" si="0"/>
        <v>C0</v>
      </c>
      <c r="AE84" s="35" t="str">
        <f t="shared" si="0"/>
        <v>C0</v>
      </c>
      <c r="AF84" s="35" t="str">
        <f t="shared" si="0"/>
        <v>C0</v>
      </c>
      <c r="AG84" s="35" t="str">
        <f t="shared" si="0"/>
        <v>C0</v>
      </c>
    </row>
    <row r="85" spans="1:33">
      <c r="A85" s="5"/>
    </row>
    <row r="86" spans="1:33">
      <c r="A86" s="5"/>
    </row>
    <row r="87" spans="1:33">
      <c r="A87" s="5"/>
    </row>
    <row r="88" spans="1:33">
      <c r="A88" s="5"/>
    </row>
    <row r="89" spans="1:33">
      <c r="A89" s="5"/>
    </row>
    <row r="90" spans="1:33">
      <c r="A90" s="5"/>
    </row>
    <row r="91" spans="1:33">
      <c r="A91" s="5"/>
    </row>
    <row r="92" spans="1:33">
      <c r="A92" s="5"/>
    </row>
    <row r="93" spans="1:33">
      <c r="A93" s="5"/>
    </row>
    <row r="94" spans="1:33">
      <c r="A94" s="5"/>
    </row>
    <row r="95" spans="1:33">
      <c r="A95" s="5"/>
    </row>
    <row r="96" spans="1:33">
      <c r="A96" s="5"/>
    </row>
    <row r="97" spans="1:1">
      <c r="A97" s="5"/>
    </row>
    <row r="98" spans="1:1">
      <c r="A98" s="5"/>
    </row>
    <row r="99" spans="1:1">
      <c r="A99" s="5"/>
    </row>
    <row r="100" spans="1:1">
      <c r="A100" s="5"/>
    </row>
    <row r="101" spans="1:1">
      <c r="A101" s="5"/>
    </row>
    <row r="102" spans="1:1">
      <c r="A102" s="5"/>
    </row>
    <row r="103" spans="1:1">
      <c r="A103" s="5"/>
    </row>
    <row r="104" spans="1:1">
      <c r="A104" s="5"/>
    </row>
    <row r="105" spans="1:1">
      <c r="A105" s="5"/>
    </row>
    <row r="106" spans="1:1">
      <c r="A106" s="5"/>
    </row>
    <row r="107" spans="1:1">
      <c r="A107" s="5"/>
    </row>
    <row r="108" spans="1:1">
      <c r="A108" s="5"/>
    </row>
    <row r="109" spans="1:1">
      <c r="A109" s="5"/>
    </row>
    <row r="110" spans="1:1">
      <c r="A110" s="5"/>
    </row>
    <row r="111" spans="1:1">
      <c r="A111" s="5"/>
    </row>
    <row r="112" spans="1:1">
      <c r="A112" s="5"/>
    </row>
    <row r="113" spans="1:1">
      <c r="A113" s="5"/>
    </row>
    <row r="114" spans="1:1">
      <c r="A114" s="5"/>
    </row>
    <row r="115" spans="1:1">
      <c r="A115" s="5"/>
    </row>
    <row r="116" spans="1:1">
      <c r="A116" s="5"/>
    </row>
    <row r="117" spans="1:1">
      <c r="A117" s="5"/>
    </row>
    <row r="118" spans="1:1">
      <c r="A118" s="5"/>
    </row>
    <row r="119" spans="1:1">
      <c r="A119" s="5"/>
    </row>
    <row r="120" spans="1:1">
      <c r="A120" s="5"/>
    </row>
    <row r="121" spans="1:1">
      <c r="A121" s="5"/>
    </row>
    <row r="122" spans="1:1">
      <c r="A122" s="5"/>
    </row>
    <row r="123" spans="1:1">
      <c r="A123" s="5"/>
    </row>
    <row r="124" spans="1:1">
      <c r="A124" s="5"/>
    </row>
    <row r="125" spans="1:1">
      <c r="A125" s="5"/>
    </row>
    <row r="126" spans="1:1">
      <c r="A126" s="5"/>
    </row>
    <row r="127" spans="1:1">
      <c r="A127" s="5"/>
    </row>
    <row r="128" spans="1:1">
      <c r="A128" s="5"/>
    </row>
    <row r="129" spans="1:1">
      <c r="A129" s="5"/>
    </row>
    <row r="130" spans="1:1">
      <c r="A130" s="5"/>
    </row>
    <row r="131" spans="1:1">
      <c r="A131" s="5"/>
    </row>
    <row r="132" spans="1:1">
      <c r="A132" s="5"/>
    </row>
    <row r="133" spans="1:1">
      <c r="A133" s="5"/>
    </row>
    <row r="134" spans="1:1">
      <c r="A134" s="5"/>
    </row>
    <row r="135" spans="1:1">
      <c r="A135" s="5"/>
    </row>
    <row r="136" spans="1:1">
      <c r="A136" s="5"/>
    </row>
    <row r="137" spans="1:1">
      <c r="A137" s="5"/>
    </row>
    <row r="138" spans="1:1">
      <c r="A138" s="5"/>
    </row>
    <row r="139" spans="1:1">
      <c r="A139" s="5"/>
    </row>
    <row r="140" spans="1:1">
      <c r="A140" s="5"/>
    </row>
    <row r="141" spans="1:1">
      <c r="A141" s="5"/>
    </row>
    <row r="142" spans="1:1">
      <c r="A142" s="5"/>
    </row>
    <row r="143" spans="1:1">
      <c r="A143" s="5"/>
    </row>
    <row r="144" spans="1:1">
      <c r="A144" s="5"/>
    </row>
    <row r="145" spans="1:1">
      <c r="A145" s="5"/>
    </row>
    <row r="146" spans="1:1">
      <c r="A146" s="5"/>
    </row>
    <row r="147" spans="1:1">
      <c r="A147" s="5"/>
    </row>
    <row r="148" spans="1:1">
      <c r="A148" s="5"/>
    </row>
    <row r="149" spans="1:1">
      <c r="A149" s="5"/>
    </row>
    <row r="150" spans="1:1">
      <c r="A150" s="5"/>
    </row>
    <row r="151" spans="1:1">
      <c r="A151" s="5"/>
    </row>
    <row r="152" spans="1:1">
      <c r="A152" s="5"/>
    </row>
    <row r="153" spans="1:1">
      <c r="A153" s="5"/>
    </row>
    <row r="154" spans="1:1">
      <c r="A154" s="5"/>
    </row>
    <row r="155" spans="1:1">
      <c r="A155" s="5"/>
    </row>
    <row r="156" spans="1:1">
      <c r="A156" s="5"/>
    </row>
    <row r="157" spans="1:1">
      <c r="A157" s="5"/>
    </row>
    <row r="158" spans="1:1">
      <c r="A158" s="5"/>
    </row>
    <row r="159" spans="1:1">
      <c r="A159" s="5"/>
    </row>
    <row r="160" spans="1:1">
      <c r="A160" s="5"/>
    </row>
    <row r="161" spans="1:1">
      <c r="A161" s="5"/>
    </row>
    <row r="162" spans="1:1">
      <c r="A162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Summary</vt:lpstr>
      <vt:lpstr>Calculations</vt:lpstr>
      <vt:lpstr>data0</vt:lpstr>
      <vt:lpstr>data1</vt:lpstr>
      <vt:lpstr>data2</vt:lpstr>
      <vt:lpstr>data3</vt:lpstr>
      <vt:lpstr>Summary!Print_Area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2012-02-16T02:48:54Z</dcterms:modified>
</cp:coreProperties>
</file>