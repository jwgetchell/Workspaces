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5" yWindow="165" windowWidth="19200" windowHeight="13920" tabRatio="799" activeTab="1"/>
  </bookViews>
  <sheets>
    <sheet name="Summary" sheetId="1" r:id="rId1"/>
    <sheet name="Calculations" sheetId="2" r:id="rId2"/>
    <sheet name="data0" sheetId="3" r:id="rId3"/>
    <sheet name="data1" sheetId="4" r:id="rId4"/>
    <sheet name="data2" sheetId="5" r:id="rId5"/>
    <sheet name="data3" sheetId="6" r:id="rId6"/>
    <sheet name="data4" sheetId="7" r:id="rId7"/>
  </sheets>
  <functionGroups/>
  <definedNames>
    <definedName name="count">Calculations!$C$2</definedName>
    <definedName name="v_0">Summary!$E$3</definedName>
    <definedName name="v_1">Summary!$E$4</definedName>
    <definedName name="v_2">Summary!$E$5</definedName>
  </definedNames>
  <calcPr calcId="125725"/>
</workbook>
</file>

<file path=xl/calcChain.xml><?xml version="1.0" encoding="utf-8"?>
<calcChain xmlns="http://schemas.openxmlformats.org/spreadsheetml/2006/main">
  <c r="A4" i="7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3"/>
  <c r="W7" i="2"/>
  <c r="W6"/>
  <c r="U7"/>
  <c r="U6"/>
  <c r="S7"/>
  <c r="S6"/>
  <c r="AX7"/>
  <c r="AW7"/>
  <c r="AV7"/>
  <c r="AU7"/>
  <c r="AT7"/>
  <c r="AS7"/>
  <c r="AR7"/>
  <c r="AQ7"/>
  <c r="AP7"/>
  <c r="AO7"/>
  <c r="AN7"/>
  <c r="AM7"/>
  <c r="AK7"/>
  <c r="AJ7"/>
  <c r="AI7"/>
  <c r="AH7"/>
  <c r="AG7"/>
  <c r="AF7"/>
  <c r="AE7"/>
  <c r="AD7"/>
  <c r="AC7"/>
  <c r="AB7"/>
  <c r="AA7"/>
  <c r="Z7"/>
  <c r="AX6"/>
  <c r="AW6"/>
  <c r="AV6"/>
  <c r="AU6"/>
  <c r="AT6"/>
  <c r="AS6"/>
  <c r="AR6"/>
  <c r="AQ6"/>
  <c r="AP6"/>
  <c r="AO6"/>
  <c r="AN6"/>
  <c r="AM6"/>
  <c r="AK6"/>
  <c r="AJ6"/>
  <c r="AI6"/>
  <c r="AH6"/>
  <c r="AG6"/>
  <c r="AF6"/>
  <c r="AE6"/>
  <c r="AD6"/>
  <c r="AC6"/>
  <c r="AB6"/>
  <c r="AA6"/>
  <c r="Z6"/>
  <c r="AL7"/>
  <c r="AL6"/>
  <c r="AH4" i="3" l="1"/>
  <c r="AH5" s="1"/>
  <c r="AH6" s="1"/>
  <c r="AH7" s="1"/>
  <c r="AH8" s="1"/>
  <c r="AH9" s="1"/>
  <c r="AH10" s="1"/>
  <c r="AH11" s="1"/>
  <c r="AH12" s="1"/>
  <c r="AH13" s="1"/>
  <c r="AH14" s="1"/>
  <c r="AH15" s="1"/>
  <c r="AH16" s="1"/>
  <c r="AH17" s="1"/>
  <c r="AH18" s="1"/>
  <c r="AH19" s="1"/>
  <c r="AH20" s="1"/>
  <c r="AH21" s="1"/>
  <c r="AH22" s="1"/>
  <c r="AH23" s="1"/>
  <c r="AH24" s="1"/>
  <c r="AH25" s="1"/>
  <c r="AH26" s="1"/>
  <c r="AH27" s="1"/>
  <c r="AH28" s="1"/>
  <c r="AH29" s="1"/>
  <c r="AH30" s="1"/>
  <c r="AH31" s="1"/>
  <c r="AH32" s="1"/>
  <c r="AH33" s="1"/>
  <c r="AH34" s="1"/>
  <c r="AH35" s="1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H53" s="1"/>
  <c r="AH54" s="1"/>
  <c r="AH55" s="1"/>
  <c r="AH56" s="1"/>
  <c r="AH57" s="1"/>
  <c r="AH58" s="1"/>
  <c r="AH59" s="1"/>
  <c r="AH60" s="1"/>
  <c r="AH61" s="1"/>
  <c r="AH62" s="1"/>
  <c r="AH63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3"/>
  <c r="P17" i="2" l="1"/>
  <c r="P18" s="1"/>
  <c r="P19" s="1"/>
  <c r="P20" s="1"/>
  <c r="P21" s="1"/>
  <c r="P22" s="1"/>
  <c r="P23" s="1"/>
  <c r="P24" s="1"/>
  <c r="P25" s="1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P42" s="1"/>
  <c r="P43" s="1"/>
  <c r="P44" s="1"/>
  <c r="P45" s="1"/>
  <c r="P46" s="1"/>
  <c r="P47" s="1"/>
  <c r="P48" s="1"/>
  <c r="P49" s="1"/>
  <c r="P50" s="1"/>
  <c r="P51" s="1"/>
  <c r="P52" s="1"/>
  <c r="P53" s="1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P114" s="1"/>
  <c r="P115" s="1"/>
  <c r="P116" s="1"/>
  <c r="AX1" l="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Q116" l="1"/>
  <c r="R116" s="1"/>
  <c r="Q115"/>
  <c r="R115" s="1"/>
  <c r="Q114"/>
  <c r="R114" s="1"/>
  <c r="Q113"/>
  <c r="R113" s="1"/>
  <c r="Q112"/>
  <c r="R112" s="1"/>
  <c r="Q111"/>
  <c r="R111" s="1"/>
  <c r="Q110"/>
  <c r="R110" s="1"/>
  <c r="Q109"/>
  <c r="R109" s="1"/>
  <c r="Q108"/>
  <c r="R108" s="1"/>
  <c r="Q107"/>
  <c r="R107" s="1"/>
  <c r="Q106"/>
  <c r="R106" s="1"/>
  <c r="Q105"/>
  <c r="R105" s="1"/>
  <c r="Q104"/>
  <c r="R104" s="1"/>
  <c r="Q103"/>
  <c r="R103" s="1"/>
  <c r="Q102"/>
  <c r="R102" s="1"/>
  <c r="Q101"/>
  <c r="R101" s="1"/>
  <c r="Q100"/>
  <c r="R100" s="1"/>
  <c r="Q99"/>
  <c r="R99" s="1"/>
  <c r="Q98"/>
  <c r="R98" s="1"/>
  <c r="Q97"/>
  <c r="R97" s="1"/>
  <c r="Q96"/>
  <c r="R96" s="1"/>
  <c r="Q95"/>
  <c r="R95" s="1"/>
  <c r="Q94"/>
  <c r="R94" s="1"/>
  <c r="Q93"/>
  <c r="R93" s="1"/>
  <c r="Q92"/>
  <c r="R92" s="1"/>
  <c r="Q91"/>
  <c r="R91" s="1"/>
  <c r="Q90"/>
  <c r="R90" s="1"/>
  <c r="Q89"/>
  <c r="R89" s="1"/>
  <c r="Q88"/>
  <c r="R88" s="1"/>
  <c r="Q87"/>
  <c r="R87" s="1"/>
  <c r="Q86"/>
  <c r="R86" s="1"/>
  <c r="Q85"/>
  <c r="R85" s="1"/>
  <c r="Q84"/>
  <c r="R84" s="1"/>
  <c r="Q83"/>
  <c r="R83" s="1"/>
  <c r="Q82"/>
  <c r="R82" s="1"/>
  <c r="Q81"/>
  <c r="R81" s="1"/>
  <c r="Q80"/>
  <c r="R80" s="1"/>
  <c r="Q79"/>
  <c r="R79" s="1"/>
  <c r="Q78"/>
  <c r="R78" s="1"/>
  <c r="Q77"/>
  <c r="R77" s="1"/>
  <c r="Q76"/>
  <c r="R76" s="1"/>
  <c r="B20" s="1"/>
  <c r="Q75"/>
  <c r="R75" s="1"/>
  <c r="Q74"/>
  <c r="R74" s="1"/>
  <c r="Q73"/>
  <c r="R73" s="1"/>
  <c r="Q72"/>
  <c r="R72" s="1"/>
  <c r="Q71"/>
  <c r="R71" s="1"/>
  <c r="Q70"/>
  <c r="R70" s="1"/>
  <c r="B19" s="1"/>
  <c r="Q69"/>
  <c r="R69" s="1"/>
  <c r="Q68"/>
  <c r="R68" s="1"/>
  <c r="Q67"/>
  <c r="R67" s="1"/>
  <c r="Q66"/>
  <c r="R66" s="1"/>
  <c r="Q65"/>
  <c r="R65" s="1"/>
  <c r="Q64"/>
  <c r="R64" s="1"/>
  <c r="B18" s="1"/>
  <c r="Q63"/>
  <c r="R63" s="1"/>
  <c r="Q62"/>
  <c r="R62" s="1"/>
  <c r="Q61"/>
  <c r="R61" s="1"/>
  <c r="Q60"/>
  <c r="R60" s="1"/>
  <c r="Q59"/>
  <c r="R59" s="1"/>
  <c r="Q58"/>
  <c r="R58" s="1"/>
  <c r="B17" s="1"/>
  <c r="Q57"/>
  <c r="R57" s="1"/>
  <c r="Q56"/>
  <c r="R56" s="1"/>
  <c r="Q55"/>
  <c r="R55" s="1"/>
  <c r="Q54"/>
  <c r="R54" s="1"/>
  <c r="Q53"/>
  <c r="R53" s="1"/>
  <c r="Q52"/>
  <c r="R52" s="1"/>
  <c r="B16" s="1"/>
  <c r="Q51"/>
  <c r="R51" s="1"/>
  <c r="Q50"/>
  <c r="R50" s="1"/>
  <c r="Q49"/>
  <c r="R49" s="1"/>
  <c r="Q48"/>
  <c r="R48" s="1"/>
  <c r="Q47"/>
  <c r="R47" s="1"/>
  <c r="Q46"/>
  <c r="R46" s="1"/>
  <c r="B15" s="1"/>
  <c r="Q45"/>
  <c r="R45" s="1"/>
  <c r="Q44"/>
  <c r="R44" s="1"/>
  <c r="Q43"/>
  <c r="R43" s="1"/>
  <c r="Q42"/>
  <c r="R42" s="1"/>
  <c r="Q41"/>
  <c r="R41" s="1"/>
  <c r="Q40"/>
  <c r="R40" s="1"/>
  <c r="B14" s="1"/>
  <c r="Q39"/>
  <c r="R39" s="1"/>
  <c r="Q38"/>
  <c r="R38" s="1"/>
  <c r="Q37"/>
  <c r="R37" s="1"/>
  <c r="Q36"/>
  <c r="R36" s="1"/>
  <c r="Q35"/>
  <c r="R35" s="1"/>
  <c r="Q34"/>
  <c r="R34" s="1"/>
  <c r="B13" s="1"/>
  <c r="Q33"/>
  <c r="R33" s="1"/>
  <c r="Q32"/>
  <c r="R32" s="1"/>
  <c r="Q31"/>
  <c r="R31" s="1"/>
  <c r="Q30"/>
  <c r="R30" s="1"/>
  <c r="Q29"/>
  <c r="R29" s="1"/>
  <c r="Q28"/>
  <c r="R28" s="1"/>
  <c r="B12" s="1"/>
  <c r="Q27"/>
  <c r="R27" s="1"/>
  <c r="Q26"/>
  <c r="R26" s="1"/>
  <c r="Q25"/>
  <c r="R25" s="1"/>
  <c r="Q24"/>
  <c r="R24" s="1"/>
  <c r="Q23"/>
  <c r="R23" s="1"/>
  <c r="Q22"/>
  <c r="R22" s="1"/>
  <c r="B11" s="1"/>
  <c r="Q21"/>
  <c r="R21" s="1"/>
  <c r="Q20"/>
  <c r="R20" s="1"/>
  <c r="Q19"/>
  <c r="R19" s="1"/>
  <c r="Q18"/>
  <c r="R18" s="1"/>
  <c r="Q17"/>
  <c r="R17" s="1"/>
  <c r="Q16"/>
  <c r="R16" s="1"/>
  <c r="B10" s="1"/>
  <c r="A102" i="3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I103" i="4"/>
  <c r="H103"/>
  <c r="G103"/>
  <c r="F103"/>
  <c r="E103"/>
  <c r="D103"/>
  <c r="C103"/>
  <c r="B103"/>
  <c r="U2" i="2"/>
  <c r="W2"/>
  <c r="Z2"/>
  <c r="AQ2"/>
  <c r="AR2"/>
  <c r="AT2"/>
  <c r="AV2"/>
  <c r="AX2"/>
  <c r="AS3"/>
  <c r="AU3"/>
  <c r="AW3"/>
  <c r="S2"/>
  <c r="S3"/>
  <c r="U3"/>
  <c r="W3"/>
  <c r="Z3"/>
  <c r="AQ3"/>
  <c r="AS2"/>
  <c r="AU2"/>
  <c r="AW2"/>
  <c r="AR3"/>
  <c r="AT3"/>
  <c r="AV3"/>
  <c r="AX3"/>
  <c r="AX4" l="1"/>
  <c r="AX5" s="1"/>
  <c r="AW4"/>
  <c r="AW5" s="1"/>
  <c r="AV4"/>
  <c r="AV5" s="1"/>
  <c r="AU4"/>
  <c r="AU5" s="1"/>
  <c r="AT4"/>
  <c r="AT5" s="1"/>
  <c r="AS4"/>
  <c r="AS5" s="1"/>
  <c r="AR4"/>
  <c r="AR5" s="1"/>
  <c r="AQ4"/>
  <c r="AQ5" s="1"/>
  <c r="Z4"/>
  <c r="Z5" s="1"/>
  <c r="W4"/>
  <c r="W5" s="1"/>
  <c r="U4"/>
  <c r="U5" s="1"/>
  <c r="U11" s="1"/>
  <c r="W11"/>
  <c r="W12"/>
  <c r="S4"/>
  <c r="S5" s="1"/>
  <c r="Y102" i="3"/>
  <c r="X102"/>
  <c r="W102"/>
  <c r="V102"/>
  <c r="U102"/>
  <c r="T102"/>
  <c r="S102"/>
  <c r="R102"/>
  <c r="Y101"/>
  <c r="X101"/>
  <c r="W101"/>
  <c r="V101"/>
  <c r="U101"/>
  <c r="T101"/>
  <c r="S101"/>
  <c r="R101"/>
  <c r="Y100"/>
  <c r="X100"/>
  <c r="W100"/>
  <c r="V100"/>
  <c r="U100"/>
  <c r="T100"/>
  <c r="S100"/>
  <c r="R100"/>
  <c r="Y99"/>
  <c r="X99"/>
  <c r="W99"/>
  <c r="V99"/>
  <c r="U99"/>
  <c r="T99"/>
  <c r="S99"/>
  <c r="R99"/>
  <c r="Y98"/>
  <c r="X98"/>
  <c r="W98"/>
  <c r="V98"/>
  <c r="U98"/>
  <c r="T98"/>
  <c r="S98"/>
  <c r="R98"/>
  <c r="Y97"/>
  <c r="X97"/>
  <c r="W97"/>
  <c r="V97"/>
  <c r="U97"/>
  <c r="T97"/>
  <c r="S97"/>
  <c r="R97"/>
  <c r="Y96"/>
  <c r="X96"/>
  <c r="W96"/>
  <c r="V96"/>
  <c r="U96"/>
  <c r="T96"/>
  <c r="S96"/>
  <c r="R96"/>
  <c r="Y95"/>
  <c r="X95"/>
  <c r="W95"/>
  <c r="V95"/>
  <c r="U95"/>
  <c r="T95"/>
  <c r="S95"/>
  <c r="R95"/>
  <c r="Y94"/>
  <c r="X94"/>
  <c r="W94"/>
  <c r="V94"/>
  <c r="U94"/>
  <c r="T94"/>
  <c r="S94"/>
  <c r="R94"/>
  <c r="Y93"/>
  <c r="X93"/>
  <c r="W93"/>
  <c r="V93"/>
  <c r="U93"/>
  <c r="T93"/>
  <c r="S93"/>
  <c r="R93"/>
  <c r="Y92"/>
  <c r="X92"/>
  <c r="W92"/>
  <c r="V92"/>
  <c r="U92"/>
  <c r="T92"/>
  <c r="S92"/>
  <c r="R92"/>
  <c r="Y91"/>
  <c r="X91"/>
  <c r="W91"/>
  <c r="V91"/>
  <c r="U91"/>
  <c r="T91"/>
  <c r="S91"/>
  <c r="R91"/>
  <c r="Y90"/>
  <c r="X90"/>
  <c r="W90"/>
  <c r="V90"/>
  <c r="U90"/>
  <c r="T90"/>
  <c r="S90"/>
  <c r="R90"/>
  <c r="Y89"/>
  <c r="X89"/>
  <c r="W89"/>
  <c r="V89"/>
  <c r="U89"/>
  <c r="T89"/>
  <c r="S89"/>
  <c r="R89"/>
  <c r="Y88"/>
  <c r="X88"/>
  <c r="W88"/>
  <c r="V88"/>
  <c r="U88"/>
  <c r="T88"/>
  <c r="S88"/>
  <c r="R88"/>
  <c r="Y87"/>
  <c r="X87"/>
  <c r="W87"/>
  <c r="V87"/>
  <c r="U87"/>
  <c r="T87"/>
  <c r="S87"/>
  <c r="R87"/>
  <c r="Y86"/>
  <c r="X86"/>
  <c r="W86"/>
  <c r="V86"/>
  <c r="U86"/>
  <c r="T86"/>
  <c r="S86"/>
  <c r="R86"/>
  <c r="Y85"/>
  <c r="X85"/>
  <c r="W85"/>
  <c r="V85"/>
  <c r="U85"/>
  <c r="T85"/>
  <c r="S85"/>
  <c r="R85"/>
  <c r="Y84"/>
  <c r="X84"/>
  <c r="W84"/>
  <c r="V84"/>
  <c r="U84"/>
  <c r="T84"/>
  <c r="S84"/>
  <c r="R84"/>
  <c r="Y83"/>
  <c r="X83"/>
  <c r="W83"/>
  <c r="V83"/>
  <c r="U83"/>
  <c r="T83"/>
  <c r="S83"/>
  <c r="R83"/>
  <c r="Y82"/>
  <c r="X82"/>
  <c r="W82"/>
  <c r="V82"/>
  <c r="U82"/>
  <c r="T82"/>
  <c r="S82"/>
  <c r="R82"/>
  <c r="Y81"/>
  <c r="X81"/>
  <c r="W81"/>
  <c r="V81"/>
  <c r="U81"/>
  <c r="T81"/>
  <c r="S81"/>
  <c r="R81"/>
  <c r="Y80"/>
  <c r="X80"/>
  <c r="W80"/>
  <c r="V80"/>
  <c r="U80"/>
  <c r="T80"/>
  <c r="S80"/>
  <c r="R80"/>
  <c r="Y79"/>
  <c r="X79"/>
  <c r="W79"/>
  <c r="V79"/>
  <c r="U79"/>
  <c r="T79"/>
  <c r="S79"/>
  <c r="R79"/>
  <c r="Y78"/>
  <c r="X78"/>
  <c r="W78"/>
  <c r="V78"/>
  <c r="U78"/>
  <c r="T78"/>
  <c r="S78"/>
  <c r="R78"/>
  <c r="Y77"/>
  <c r="X77"/>
  <c r="W77"/>
  <c r="V77"/>
  <c r="U77"/>
  <c r="T77"/>
  <c r="S77"/>
  <c r="R77"/>
  <c r="Y76"/>
  <c r="X76"/>
  <c r="W76"/>
  <c r="V76"/>
  <c r="U76"/>
  <c r="T76"/>
  <c r="S76"/>
  <c r="R76"/>
  <c r="Y75"/>
  <c r="X75"/>
  <c r="W75"/>
  <c r="V75"/>
  <c r="U75"/>
  <c r="T75"/>
  <c r="S75"/>
  <c r="R75"/>
  <c r="Y74"/>
  <c r="X74"/>
  <c r="W74"/>
  <c r="V74"/>
  <c r="U74"/>
  <c r="T74"/>
  <c r="S74"/>
  <c r="R74"/>
  <c r="Y73"/>
  <c r="X73"/>
  <c r="W73"/>
  <c r="V73"/>
  <c r="U73"/>
  <c r="T73"/>
  <c r="S73"/>
  <c r="R73"/>
  <c r="Y72"/>
  <c r="X72"/>
  <c r="W72"/>
  <c r="V72"/>
  <c r="U72"/>
  <c r="T72"/>
  <c r="S72"/>
  <c r="R72"/>
  <c r="Y71"/>
  <c r="X71"/>
  <c r="W71"/>
  <c r="V71"/>
  <c r="U71"/>
  <c r="T71"/>
  <c r="S71"/>
  <c r="R71"/>
  <c r="Y70"/>
  <c r="X70"/>
  <c r="W70"/>
  <c r="V70"/>
  <c r="U70"/>
  <c r="T70"/>
  <c r="S70"/>
  <c r="R70"/>
  <c r="Y69"/>
  <c r="X69"/>
  <c r="W69"/>
  <c r="V69"/>
  <c r="U69"/>
  <c r="T69"/>
  <c r="S69"/>
  <c r="R69"/>
  <c r="Y68"/>
  <c r="X68"/>
  <c r="W68"/>
  <c r="V68"/>
  <c r="U68"/>
  <c r="T68"/>
  <c r="S68"/>
  <c r="R68"/>
  <c r="Y67"/>
  <c r="X67"/>
  <c r="W67"/>
  <c r="V67"/>
  <c r="U67"/>
  <c r="T67"/>
  <c r="S67"/>
  <c r="R67"/>
  <c r="Y66"/>
  <c r="X66"/>
  <c r="W66"/>
  <c r="V66"/>
  <c r="U66"/>
  <c r="T66"/>
  <c r="S66"/>
  <c r="R66"/>
  <c r="Y65"/>
  <c r="X65"/>
  <c r="W65"/>
  <c r="V65"/>
  <c r="U65"/>
  <c r="T65"/>
  <c r="S65"/>
  <c r="R65"/>
  <c r="Y64"/>
  <c r="X64"/>
  <c r="W64"/>
  <c r="V64"/>
  <c r="U64"/>
  <c r="T64"/>
  <c r="S64"/>
  <c r="R64"/>
  <c r="Y63"/>
  <c r="X63"/>
  <c r="W63"/>
  <c r="V63"/>
  <c r="U63"/>
  <c r="T63"/>
  <c r="S63"/>
  <c r="R63"/>
  <c r="Y62"/>
  <c r="X62"/>
  <c r="W62"/>
  <c r="V62"/>
  <c r="U62"/>
  <c r="T62"/>
  <c r="S62"/>
  <c r="R62"/>
  <c r="Y61"/>
  <c r="X61"/>
  <c r="W61"/>
  <c r="V61"/>
  <c r="U61"/>
  <c r="T61"/>
  <c r="S61"/>
  <c r="R61"/>
  <c r="Y60"/>
  <c r="X60"/>
  <c r="W60"/>
  <c r="V60"/>
  <c r="U60"/>
  <c r="T60"/>
  <c r="S60"/>
  <c r="R60"/>
  <c r="Y59"/>
  <c r="X59"/>
  <c r="W59"/>
  <c r="V59"/>
  <c r="U59"/>
  <c r="T59"/>
  <c r="S59"/>
  <c r="R59"/>
  <c r="Y58"/>
  <c r="X58"/>
  <c r="W58"/>
  <c r="V58"/>
  <c r="U58"/>
  <c r="T58"/>
  <c r="S58"/>
  <c r="R58"/>
  <c r="Y57"/>
  <c r="X57"/>
  <c r="W57"/>
  <c r="V57"/>
  <c r="U57"/>
  <c r="T57"/>
  <c r="S57"/>
  <c r="R57"/>
  <c r="Y56"/>
  <c r="X56"/>
  <c r="W56"/>
  <c r="V56"/>
  <c r="U56"/>
  <c r="T56"/>
  <c r="S56"/>
  <c r="R56"/>
  <c r="Y55"/>
  <c r="X55"/>
  <c r="W55"/>
  <c r="V55"/>
  <c r="U55"/>
  <c r="T55"/>
  <c r="S55"/>
  <c r="R55"/>
  <c r="Y54"/>
  <c r="X54"/>
  <c r="W54"/>
  <c r="V54"/>
  <c r="U54"/>
  <c r="T54"/>
  <c r="S54"/>
  <c r="R54"/>
  <c r="Y53"/>
  <c r="X53"/>
  <c r="W53"/>
  <c r="V53"/>
  <c r="U53"/>
  <c r="T53"/>
  <c r="S53"/>
  <c r="R53"/>
  <c r="Y52"/>
  <c r="X52"/>
  <c r="W52"/>
  <c r="V52"/>
  <c r="U52"/>
  <c r="T52"/>
  <c r="S52"/>
  <c r="R52"/>
  <c r="Y51"/>
  <c r="X51"/>
  <c r="W51"/>
  <c r="V51"/>
  <c r="U51"/>
  <c r="T51"/>
  <c r="S51"/>
  <c r="R51"/>
  <c r="Y50"/>
  <c r="X50"/>
  <c r="W50"/>
  <c r="V50"/>
  <c r="U50"/>
  <c r="T50"/>
  <c r="S50"/>
  <c r="R50"/>
  <c r="Y49"/>
  <c r="X49"/>
  <c r="W49"/>
  <c r="V49"/>
  <c r="U49"/>
  <c r="T49"/>
  <c r="S49"/>
  <c r="R49"/>
  <c r="Y48"/>
  <c r="X48"/>
  <c r="W48"/>
  <c r="V48"/>
  <c r="U48"/>
  <c r="T48"/>
  <c r="S48"/>
  <c r="R48"/>
  <c r="Y47"/>
  <c r="X47"/>
  <c r="W47"/>
  <c r="V47"/>
  <c r="U47"/>
  <c r="T47"/>
  <c r="S47"/>
  <c r="R47"/>
  <c r="Y46"/>
  <c r="X46"/>
  <c r="W46"/>
  <c r="V46"/>
  <c r="U46"/>
  <c r="T46"/>
  <c r="S46"/>
  <c r="R46"/>
  <c r="Y45"/>
  <c r="X45"/>
  <c r="W45"/>
  <c r="V45"/>
  <c r="U45"/>
  <c r="T45"/>
  <c r="S45"/>
  <c r="R45"/>
  <c r="Y44"/>
  <c r="X44"/>
  <c r="W44"/>
  <c r="V44"/>
  <c r="U44"/>
  <c r="T44"/>
  <c r="S44"/>
  <c r="R44"/>
  <c r="Y43"/>
  <c r="X43"/>
  <c r="W43"/>
  <c r="V43"/>
  <c r="U43"/>
  <c r="T43"/>
  <c r="S43"/>
  <c r="R43"/>
  <c r="Y42"/>
  <c r="X42"/>
  <c r="W42"/>
  <c r="V42"/>
  <c r="U42"/>
  <c r="T42"/>
  <c r="S42"/>
  <c r="R42"/>
  <c r="Y41"/>
  <c r="X41"/>
  <c r="W41"/>
  <c r="V41"/>
  <c r="U41"/>
  <c r="T41"/>
  <c r="S41"/>
  <c r="R41"/>
  <c r="Y40"/>
  <c r="X40"/>
  <c r="W40"/>
  <c r="V40"/>
  <c r="U40"/>
  <c r="T40"/>
  <c r="S40"/>
  <c r="R40"/>
  <c r="Y39"/>
  <c r="X39"/>
  <c r="W39"/>
  <c r="V39"/>
  <c r="U39"/>
  <c r="T39"/>
  <c r="S39"/>
  <c r="R39"/>
  <c r="Y38"/>
  <c r="X38"/>
  <c r="W38"/>
  <c r="V38"/>
  <c r="U38"/>
  <c r="T38"/>
  <c r="S38"/>
  <c r="R38"/>
  <c r="Y37"/>
  <c r="X37"/>
  <c r="W37"/>
  <c r="V37"/>
  <c r="U37"/>
  <c r="T37"/>
  <c r="S37"/>
  <c r="R37"/>
  <c r="Y36"/>
  <c r="X36"/>
  <c r="W36"/>
  <c r="V36"/>
  <c r="U36"/>
  <c r="T36"/>
  <c r="S36"/>
  <c r="R36"/>
  <c r="Y35"/>
  <c r="X35"/>
  <c r="W35"/>
  <c r="V35"/>
  <c r="U35"/>
  <c r="T35"/>
  <c r="S35"/>
  <c r="R35"/>
  <c r="Y34"/>
  <c r="X34"/>
  <c r="W34"/>
  <c r="V34"/>
  <c r="U34"/>
  <c r="T34"/>
  <c r="S34"/>
  <c r="R34"/>
  <c r="Y33"/>
  <c r="X33"/>
  <c r="W33"/>
  <c r="V33"/>
  <c r="U33"/>
  <c r="T33"/>
  <c r="S33"/>
  <c r="R33"/>
  <c r="Y32"/>
  <c r="X32"/>
  <c r="W32"/>
  <c r="V32"/>
  <c r="U32"/>
  <c r="T32"/>
  <c r="S32"/>
  <c r="R32"/>
  <c r="Y31"/>
  <c r="X31"/>
  <c r="W31"/>
  <c r="V31"/>
  <c r="U31"/>
  <c r="T31"/>
  <c r="S31"/>
  <c r="R31"/>
  <c r="Y30"/>
  <c r="X30"/>
  <c r="W30"/>
  <c r="V30"/>
  <c r="U30"/>
  <c r="T30"/>
  <c r="S30"/>
  <c r="R30"/>
  <c r="Y29"/>
  <c r="X29"/>
  <c r="W29"/>
  <c r="V29"/>
  <c r="U29"/>
  <c r="T29"/>
  <c r="S29"/>
  <c r="R29"/>
  <c r="Y28"/>
  <c r="X28"/>
  <c r="W28"/>
  <c r="V28"/>
  <c r="U28"/>
  <c r="T28"/>
  <c r="S28"/>
  <c r="R28"/>
  <c r="Y27"/>
  <c r="X27"/>
  <c r="W27"/>
  <c r="V27"/>
  <c r="U27"/>
  <c r="T27"/>
  <c r="S27"/>
  <c r="R27"/>
  <c r="Y26"/>
  <c r="X26"/>
  <c r="W26"/>
  <c r="V26"/>
  <c r="U26"/>
  <c r="T26"/>
  <c r="S26"/>
  <c r="R26"/>
  <c r="Y25"/>
  <c r="X25"/>
  <c r="W25"/>
  <c r="V25"/>
  <c r="U25"/>
  <c r="T25"/>
  <c r="S25"/>
  <c r="R25"/>
  <c r="Y24"/>
  <c r="X24"/>
  <c r="W24"/>
  <c r="V24"/>
  <c r="U24"/>
  <c r="T24"/>
  <c r="S24"/>
  <c r="R24"/>
  <c r="Y23"/>
  <c r="X23"/>
  <c r="W23"/>
  <c r="V23"/>
  <c r="U23"/>
  <c r="T23"/>
  <c r="S23"/>
  <c r="R23"/>
  <c r="Y22"/>
  <c r="X22"/>
  <c r="W22"/>
  <c r="V22"/>
  <c r="U22"/>
  <c r="T22"/>
  <c r="S22"/>
  <c r="R22"/>
  <c r="Y21"/>
  <c r="X21"/>
  <c r="W21"/>
  <c r="V21"/>
  <c r="U21"/>
  <c r="T21"/>
  <c r="S21"/>
  <c r="R21"/>
  <c r="Y20"/>
  <c r="X20"/>
  <c r="W20"/>
  <c r="V20"/>
  <c r="U20"/>
  <c r="T20"/>
  <c r="S20"/>
  <c r="R20"/>
  <c r="Y19"/>
  <c r="X19"/>
  <c r="W19"/>
  <c r="V19"/>
  <c r="U19"/>
  <c r="T19"/>
  <c r="S19"/>
  <c r="R19"/>
  <c r="Y18"/>
  <c r="X18"/>
  <c r="W18"/>
  <c r="V18"/>
  <c r="U18"/>
  <c r="T18"/>
  <c r="S18"/>
  <c r="R18"/>
  <c r="Y17"/>
  <c r="X17"/>
  <c r="W17"/>
  <c r="V17"/>
  <c r="U17"/>
  <c r="T17"/>
  <c r="S17"/>
  <c r="R17"/>
  <c r="Y16"/>
  <c r="X16"/>
  <c r="W16"/>
  <c r="V16"/>
  <c r="U16"/>
  <c r="T16"/>
  <c r="S16"/>
  <c r="R16"/>
  <c r="Y15"/>
  <c r="X15"/>
  <c r="W15"/>
  <c r="V15"/>
  <c r="U15"/>
  <c r="T15"/>
  <c r="S15"/>
  <c r="R15"/>
  <c r="Y14"/>
  <c r="X14"/>
  <c r="W14"/>
  <c r="V14"/>
  <c r="U14"/>
  <c r="T14"/>
  <c r="S14"/>
  <c r="R14"/>
  <c r="Y13"/>
  <c r="X13"/>
  <c r="W13"/>
  <c r="V13"/>
  <c r="U13"/>
  <c r="T13"/>
  <c r="S13"/>
  <c r="R13"/>
  <c r="Y12"/>
  <c r="X12"/>
  <c r="W12"/>
  <c r="V12"/>
  <c r="U12"/>
  <c r="T12"/>
  <c r="S12"/>
  <c r="R12"/>
  <c r="Y11"/>
  <c r="X11"/>
  <c r="W11"/>
  <c r="V11"/>
  <c r="U11"/>
  <c r="T11"/>
  <c r="S11"/>
  <c r="R11"/>
  <c r="Y10"/>
  <c r="X10"/>
  <c r="W10"/>
  <c r="V10"/>
  <c r="U10"/>
  <c r="T10"/>
  <c r="S10"/>
  <c r="R10"/>
  <c r="Y9"/>
  <c r="X9"/>
  <c r="W9"/>
  <c r="V9"/>
  <c r="U9"/>
  <c r="T9"/>
  <c r="S9"/>
  <c r="R9"/>
  <c r="Y8"/>
  <c r="X8"/>
  <c r="W8"/>
  <c r="V8"/>
  <c r="U8"/>
  <c r="T8"/>
  <c r="S8"/>
  <c r="R8"/>
  <c r="Y7"/>
  <c r="X7"/>
  <c r="W7"/>
  <c r="V7"/>
  <c r="U7"/>
  <c r="T7"/>
  <c r="S7"/>
  <c r="R7"/>
  <c r="Y6"/>
  <c r="X6"/>
  <c r="W6"/>
  <c r="V6"/>
  <c r="U6"/>
  <c r="T6"/>
  <c r="S6"/>
  <c r="R6"/>
  <c r="Y5"/>
  <c r="X5"/>
  <c r="W5"/>
  <c r="V5"/>
  <c r="U5"/>
  <c r="T5"/>
  <c r="S5"/>
  <c r="R5"/>
  <c r="Y4"/>
  <c r="X4"/>
  <c r="W4"/>
  <c r="V4"/>
  <c r="U4"/>
  <c r="T4"/>
  <c r="S4"/>
  <c r="R4"/>
  <c r="Y3"/>
  <c r="X3"/>
  <c r="W3"/>
  <c r="V3"/>
  <c r="U3"/>
  <c r="T3"/>
  <c r="S3"/>
  <c r="R3"/>
  <c r="Y2"/>
  <c r="X2"/>
  <c r="W2"/>
  <c r="V2"/>
  <c r="U2"/>
  <c r="T2"/>
  <c r="S2"/>
  <c r="R2"/>
  <c r="Q102"/>
  <c r="P102"/>
  <c r="O102"/>
  <c r="N102"/>
  <c r="M102"/>
  <c r="L102"/>
  <c r="K102"/>
  <c r="J102"/>
  <c r="Q101"/>
  <c r="P101"/>
  <c r="O101"/>
  <c r="N101"/>
  <c r="M101"/>
  <c r="L101"/>
  <c r="K101"/>
  <c r="J101"/>
  <c r="Q100"/>
  <c r="P100"/>
  <c r="O100"/>
  <c r="N100"/>
  <c r="M100"/>
  <c r="L100"/>
  <c r="K100"/>
  <c r="J100"/>
  <c r="Q99"/>
  <c r="P99"/>
  <c r="O99"/>
  <c r="N99"/>
  <c r="M99"/>
  <c r="L99"/>
  <c r="K99"/>
  <c r="J99"/>
  <c r="Q98"/>
  <c r="P98"/>
  <c r="O98"/>
  <c r="N98"/>
  <c r="M98"/>
  <c r="L98"/>
  <c r="K98"/>
  <c r="J98"/>
  <c r="Q97"/>
  <c r="P97"/>
  <c r="O97"/>
  <c r="N97"/>
  <c r="M97"/>
  <c r="L97"/>
  <c r="K97"/>
  <c r="J97"/>
  <c r="Q96"/>
  <c r="P96"/>
  <c r="O96"/>
  <c r="N96"/>
  <c r="M96"/>
  <c r="L96"/>
  <c r="K96"/>
  <c r="J96"/>
  <c r="Q95"/>
  <c r="P95"/>
  <c r="O95"/>
  <c r="N95"/>
  <c r="M95"/>
  <c r="L95"/>
  <c r="K95"/>
  <c r="J95"/>
  <c r="Q94"/>
  <c r="P94"/>
  <c r="O94"/>
  <c r="N94"/>
  <c r="M94"/>
  <c r="L94"/>
  <c r="K94"/>
  <c r="J94"/>
  <c r="Q93"/>
  <c r="P93"/>
  <c r="O93"/>
  <c r="N93"/>
  <c r="M93"/>
  <c r="L93"/>
  <c r="K93"/>
  <c r="J93"/>
  <c r="Q92"/>
  <c r="P92"/>
  <c r="O92"/>
  <c r="N92"/>
  <c r="M92"/>
  <c r="L92"/>
  <c r="K92"/>
  <c r="J92"/>
  <c r="Q91"/>
  <c r="P91"/>
  <c r="O91"/>
  <c r="N91"/>
  <c r="M91"/>
  <c r="L91"/>
  <c r="K91"/>
  <c r="J91"/>
  <c r="Q90"/>
  <c r="P90"/>
  <c r="O90"/>
  <c r="N90"/>
  <c r="M90"/>
  <c r="L90"/>
  <c r="K90"/>
  <c r="J90"/>
  <c r="Q89"/>
  <c r="P89"/>
  <c r="O89"/>
  <c r="N89"/>
  <c r="M89"/>
  <c r="L89"/>
  <c r="K89"/>
  <c r="J89"/>
  <c r="Q88"/>
  <c r="P88"/>
  <c r="O88"/>
  <c r="N88"/>
  <c r="M88"/>
  <c r="L88"/>
  <c r="K88"/>
  <c r="J88"/>
  <c r="Q87"/>
  <c r="P87"/>
  <c r="O87"/>
  <c r="N87"/>
  <c r="M87"/>
  <c r="L87"/>
  <c r="K87"/>
  <c r="J87"/>
  <c r="Q86"/>
  <c r="P86"/>
  <c r="O86"/>
  <c r="N86"/>
  <c r="M86"/>
  <c r="L86"/>
  <c r="K86"/>
  <c r="J86"/>
  <c r="Q85"/>
  <c r="P85"/>
  <c r="O85"/>
  <c r="N85"/>
  <c r="M85"/>
  <c r="L85"/>
  <c r="K85"/>
  <c r="J85"/>
  <c r="Q84"/>
  <c r="P84"/>
  <c r="O84"/>
  <c r="N84"/>
  <c r="M84"/>
  <c r="L84"/>
  <c r="K84"/>
  <c r="J84"/>
  <c r="Q83"/>
  <c r="P83"/>
  <c r="O83"/>
  <c r="N83"/>
  <c r="M83"/>
  <c r="L83"/>
  <c r="K83"/>
  <c r="J83"/>
  <c r="Q82"/>
  <c r="P82"/>
  <c r="O82"/>
  <c r="N82"/>
  <c r="M82"/>
  <c r="L82"/>
  <c r="K82"/>
  <c r="J82"/>
  <c r="Q81"/>
  <c r="P81"/>
  <c r="O81"/>
  <c r="N81"/>
  <c r="M81"/>
  <c r="L81"/>
  <c r="K81"/>
  <c r="J81"/>
  <c r="Q80"/>
  <c r="P80"/>
  <c r="O80"/>
  <c r="N80"/>
  <c r="M80"/>
  <c r="L80"/>
  <c r="K80"/>
  <c r="J80"/>
  <c r="Q79"/>
  <c r="P79"/>
  <c r="O79"/>
  <c r="N79"/>
  <c r="M79"/>
  <c r="L79"/>
  <c r="K79"/>
  <c r="J79"/>
  <c r="Q78"/>
  <c r="P78"/>
  <c r="O78"/>
  <c r="N78"/>
  <c r="M78"/>
  <c r="L78"/>
  <c r="K78"/>
  <c r="J78"/>
  <c r="Q77"/>
  <c r="P77"/>
  <c r="O77"/>
  <c r="N77"/>
  <c r="M77"/>
  <c r="L77"/>
  <c r="K77"/>
  <c r="J77"/>
  <c r="Q76"/>
  <c r="P76"/>
  <c r="O76"/>
  <c r="N76"/>
  <c r="M76"/>
  <c r="L76"/>
  <c r="K76"/>
  <c r="J76"/>
  <c r="Q75"/>
  <c r="P75"/>
  <c r="O75"/>
  <c r="N75"/>
  <c r="M75"/>
  <c r="L75"/>
  <c r="K75"/>
  <c r="J75"/>
  <c r="Q74"/>
  <c r="P74"/>
  <c r="O74"/>
  <c r="N74"/>
  <c r="M74"/>
  <c r="L74"/>
  <c r="K74"/>
  <c r="J74"/>
  <c r="Q73"/>
  <c r="P73"/>
  <c r="O73"/>
  <c r="N73"/>
  <c r="M73"/>
  <c r="L73"/>
  <c r="K73"/>
  <c r="J73"/>
  <c r="Q72"/>
  <c r="P72"/>
  <c r="O72"/>
  <c r="N72"/>
  <c r="M72"/>
  <c r="L72"/>
  <c r="K72"/>
  <c r="J72"/>
  <c r="Q71"/>
  <c r="P71"/>
  <c r="O71"/>
  <c r="N71"/>
  <c r="M71"/>
  <c r="L71"/>
  <c r="K71"/>
  <c r="J71"/>
  <c r="Q70"/>
  <c r="P70"/>
  <c r="O70"/>
  <c r="N70"/>
  <c r="M70"/>
  <c r="L70"/>
  <c r="K70"/>
  <c r="J70"/>
  <c r="Q69"/>
  <c r="P69"/>
  <c r="O69"/>
  <c r="N69"/>
  <c r="M69"/>
  <c r="L69"/>
  <c r="K69"/>
  <c r="J69"/>
  <c r="Q68"/>
  <c r="P68"/>
  <c r="O68"/>
  <c r="N68"/>
  <c r="M68"/>
  <c r="L68"/>
  <c r="K68"/>
  <c r="J68"/>
  <c r="Q67"/>
  <c r="P67"/>
  <c r="O67"/>
  <c r="N67"/>
  <c r="M67"/>
  <c r="L67"/>
  <c r="K67"/>
  <c r="J67"/>
  <c r="Q66"/>
  <c r="P66"/>
  <c r="O66"/>
  <c r="N66"/>
  <c r="M66"/>
  <c r="L66"/>
  <c r="K66"/>
  <c r="J66"/>
  <c r="Q65"/>
  <c r="P65"/>
  <c r="O65"/>
  <c r="N65"/>
  <c r="M65"/>
  <c r="L65"/>
  <c r="K65"/>
  <c r="J65"/>
  <c r="Q64"/>
  <c r="P64"/>
  <c r="O64"/>
  <c r="N64"/>
  <c r="M64"/>
  <c r="L64"/>
  <c r="K64"/>
  <c r="J64"/>
  <c r="Q63"/>
  <c r="P63"/>
  <c r="O63"/>
  <c r="N63"/>
  <c r="M63"/>
  <c r="L63"/>
  <c r="K63"/>
  <c r="J63"/>
  <c r="Q62"/>
  <c r="P62"/>
  <c r="O62"/>
  <c r="N62"/>
  <c r="M62"/>
  <c r="L62"/>
  <c r="K62"/>
  <c r="J62"/>
  <c r="Q61"/>
  <c r="P61"/>
  <c r="O61"/>
  <c r="N61"/>
  <c r="M61"/>
  <c r="L61"/>
  <c r="K61"/>
  <c r="J61"/>
  <c r="Q60"/>
  <c r="P60"/>
  <c r="O60"/>
  <c r="N60"/>
  <c r="M60"/>
  <c r="L60"/>
  <c r="K60"/>
  <c r="J60"/>
  <c r="Q59"/>
  <c r="P59"/>
  <c r="O59"/>
  <c r="N59"/>
  <c r="M59"/>
  <c r="L59"/>
  <c r="K59"/>
  <c r="J59"/>
  <c r="Q58"/>
  <c r="P58"/>
  <c r="O58"/>
  <c r="N58"/>
  <c r="M58"/>
  <c r="L58"/>
  <c r="K58"/>
  <c r="J58"/>
  <c r="Q57"/>
  <c r="P57"/>
  <c r="O57"/>
  <c r="N57"/>
  <c r="M57"/>
  <c r="L57"/>
  <c r="K57"/>
  <c r="J57"/>
  <c r="Q56"/>
  <c r="P56"/>
  <c r="O56"/>
  <c r="N56"/>
  <c r="M56"/>
  <c r="L56"/>
  <c r="K56"/>
  <c r="J56"/>
  <c r="Q55"/>
  <c r="P55"/>
  <c r="O55"/>
  <c r="N55"/>
  <c r="M55"/>
  <c r="L55"/>
  <c r="K55"/>
  <c r="J55"/>
  <c r="Q54"/>
  <c r="P54"/>
  <c r="O54"/>
  <c r="N54"/>
  <c r="M54"/>
  <c r="L54"/>
  <c r="K54"/>
  <c r="J54"/>
  <c r="Q53"/>
  <c r="P53"/>
  <c r="O53"/>
  <c r="N53"/>
  <c r="M53"/>
  <c r="L53"/>
  <c r="K53"/>
  <c r="J53"/>
  <c r="Q52"/>
  <c r="P52"/>
  <c r="O52"/>
  <c r="N52"/>
  <c r="M52"/>
  <c r="L52"/>
  <c r="K52"/>
  <c r="J52"/>
  <c r="Q51"/>
  <c r="P51"/>
  <c r="O51"/>
  <c r="N51"/>
  <c r="M51"/>
  <c r="L51"/>
  <c r="K51"/>
  <c r="J51"/>
  <c r="Q50"/>
  <c r="P50"/>
  <c r="O50"/>
  <c r="N50"/>
  <c r="M50"/>
  <c r="L50"/>
  <c r="K50"/>
  <c r="J50"/>
  <c r="Q49"/>
  <c r="P49"/>
  <c r="O49"/>
  <c r="N49"/>
  <c r="M49"/>
  <c r="L49"/>
  <c r="K49"/>
  <c r="J49"/>
  <c r="Q48"/>
  <c r="P48"/>
  <c r="O48"/>
  <c r="N48"/>
  <c r="M48"/>
  <c r="L48"/>
  <c r="K48"/>
  <c r="J48"/>
  <c r="Q47"/>
  <c r="P47"/>
  <c r="O47"/>
  <c r="N47"/>
  <c r="M47"/>
  <c r="L47"/>
  <c r="K47"/>
  <c r="J47"/>
  <c r="Q46"/>
  <c r="P46"/>
  <c r="O46"/>
  <c r="N46"/>
  <c r="M46"/>
  <c r="L46"/>
  <c r="K46"/>
  <c r="J46"/>
  <c r="Q45"/>
  <c r="P45"/>
  <c r="O45"/>
  <c r="N45"/>
  <c r="M45"/>
  <c r="L45"/>
  <c r="K45"/>
  <c r="J45"/>
  <c r="Q44"/>
  <c r="P44"/>
  <c r="O44"/>
  <c r="N44"/>
  <c r="M44"/>
  <c r="L44"/>
  <c r="K44"/>
  <c r="J44"/>
  <c r="Q43"/>
  <c r="P43"/>
  <c r="O43"/>
  <c r="N43"/>
  <c r="M43"/>
  <c r="L43"/>
  <c r="K43"/>
  <c r="J43"/>
  <c r="Q42"/>
  <c r="P42"/>
  <c r="O42"/>
  <c r="N42"/>
  <c r="M42"/>
  <c r="L42"/>
  <c r="K42"/>
  <c r="J42"/>
  <c r="Q41"/>
  <c r="P41"/>
  <c r="O41"/>
  <c r="N41"/>
  <c r="M41"/>
  <c r="L41"/>
  <c r="K41"/>
  <c r="J41"/>
  <c r="Q40"/>
  <c r="P40"/>
  <c r="O40"/>
  <c r="N40"/>
  <c r="M40"/>
  <c r="L40"/>
  <c r="K40"/>
  <c r="J40"/>
  <c r="Q39"/>
  <c r="P39"/>
  <c r="O39"/>
  <c r="N39"/>
  <c r="M39"/>
  <c r="L39"/>
  <c r="K39"/>
  <c r="J39"/>
  <c r="Q38"/>
  <c r="P38"/>
  <c r="O38"/>
  <c r="N38"/>
  <c r="M38"/>
  <c r="L38"/>
  <c r="K38"/>
  <c r="J38"/>
  <c r="Q37"/>
  <c r="P37"/>
  <c r="O37"/>
  <c r="N37"/>
  <c r="M37"/>
  <c r="L37"/>
  <c r="K37"/>
  <c r="J37"/>
  <c r="Q36"/>
  <c r="P36"/>
  <c r="O36"/>
  <c r="N36"/>
  <c r="M36"/>
  <c r="L36"/>
  <c r="K36"/>
  <c r="J36"/>
  <c r="Q35"/>
  <c r="P35"/>
  <c r="O35"/>
  <c r="N35"/>
  <c r="M35"/>
  <c r="L35"/>
  <c r="K35"/>
  <c r="J35"/>
  <c r="Q34"/>
  <c r="P34"/>
  <c r="O34"/>
  <c r="N34"/>
  <c r="M34"/>
  <c r="L34"/>
  <c r="K34"/>
  <c r="J34"/>
  <c r="Q33"/>
  <c r="P33"/>
  <c r="O33"/>
  <c r="N33"/>
  <c r="M33"/>
  <c r="L33"/>
  <c r="K33"/>
  <c r="J33"/>
  <c r="Q32"/>
  <c r="P32"/>
  <c r="O32"/>
  <c r="N32"/>
  <c r="M32"/>
  <c r="L32"/>
  <c r="K32"/>
  <c r="J32"/>
  <c r="Q31"/>
  <c r="P31"/>
  <c r="O31"/>
  <c r="N31"/>
  <c r="M31"/>
  <c r="L31"/>
  <c r="K31"/>
  <c r="J31"/>
  <c r="Q30"/>
  <c r="P30"/>
  <c r="O30"/>
  <c r="N30"/>
  <c r="M30"/>
  <c r="L30"/>
  <c r="K30"/>
  <c r="J30"/>
  <c r="Q29"/>
  <c r="P29"/>
  <c r="O29"/>
  <c r="N29"/>
  <c r="M29"/>
  <c r="L29"/>
  <c r="K29"/>
  <c r="J29"/>
  <c r="Q28"/>
  <c r="P28"/>
  <c r="O28"/>
  <c r="N28"/>
  <c r="M28"/>
  <c r="L28"/>
  <c r="K28"/>
  <c r="J28"/>
  <c r="Q27"/>
  <c r="P27"/>
  <c r="O27"/>
  <c r="N27"/>
  <c r="M27"/>
  <c r="L27"/>
  <c r="K27"/>
  <c r="J27"/>
  <c r="Q26"/>
  <c r="P26"/>
  <c r="O26"/>
  <c r="N26"/>
  <c r="M26"/>
  <c r="L26"/>
  <c r="K26"/>
  <c r="J26"/>
  <c r="Q25"/>
  <c r="P25"/>
  <c r="O25"/>
  <c r="N25"/>
  <c r="M25"/>
  <c r="L25"/>
  <c r="K25"/>
  <c r="J25"/>
  <c r="Q24"/>
  <c r="P24"/>
  <c r="O24"/>
  <c r="N24"/>
  <c r="M24"/>
  <c r="L24"/>
  <c r="K24"/>
  <c r="J24"/>
  <c r="Q23"/>
  <c r="P23"/>
  <c r="O23"/>
  <c r="N23"/>
  <c r="M23"/>
  <c r="L23"/>
  <c r="K23"/>
  <c r="J23"/>
  <c r="Q22"/>
  <c r="P22"/>
  <c r="O22"/>
  <c r="N22"/>
  <c r="M22"/>
  <c r="L22"/>
  <c r="K22"/>
  <c r="J22"/>
  <c r="Q21"/>
  <c r="P21"/>
  <c r="O21"/>
  <c r="N21"/>
  <c r="M21"/>
  <c r="L21"/>
  <c r="K21"/>
  <c r="J21"/>
  <c r="Q20"/>
  <c r="P20"/>
  <c r="O20"/>
  <c r="N20"/>
  <c r="M20"/>
  <c r="L20"/>
  <c r="K20"/>
  <c r="J20"/>
  <c r="Q19"/>
  <c r="P19"/>
  <c r="O19"/>
  <c r="N19"/>
  <c r="M19"/>
  <c r="L19"/>
  <c r="K19"/>
  <c r="J19"/>
  <c r="Q18"/>
  <c r="P18"/>
  <c r="O18"/>
  <c r="N18"/>
  <c r="M18"/>
  <c r="L18"/>
  <c r="K18"/>
  <c r="J18"/>
  <c r="Q17"/>
  <c r="P17"/>
  <c r="O17"/>
  <c r="N17"/>
  <c r="M17"/>
  <c r="L17"/>
  <c r="K17"/>
  <c r="J17"/>
  <c r="Q16"/>
  <c r="P16"/>
  <c r="O16"/>
  <c r="N16"/>
  <c r="M16"/>
  <c r="L16"/>
  <c r="K16"/>
  <c r="J16"/>
  <c r="Q15"/>
  <c r="P15"/>
  <c r="O15"/>
  <c r="N15"/>
  <c r="M15"/>
  <c r="L15"/>
  <c r="K15"/>
  <c r="J15"/>
  <c r="Q14"/>
  <c r="P14"/>
  <c r="O14"/>
  <c r="N14"/>
  <c r="M14"/>
  <c r="L14"/>
  <c r="K14"/>
  <c r="J14"/>
  <c r="Q13"/>
  <c r="P13"/>
  <c r="O13"/>
  <c r="N13"/>
  <c r="M13"/>
  <c r="L13"/>
  <c r="K13"/>
  <c r="J13"/>
  <c r="Q12"/>
  <c r="P12"/>
  <c r="O12"/>
  <c r="N12"/>
  <c r="M12"/>
  <c r="L12"/>
  <c r="K12"/>
  <c r="J12"/>
  <c r="Q11"/>
  <c r="P11"/>
  <c r="O11"/>
  <c r="N11"/>
  <c r="M11"/>
  <c r="L11"/>
  <c r="K11"/>
  <c r="J11"/>
  <c r="Q10"/>
  <c r="P10"/>
  <c r="O10"/>
  <c r="N10"/>
  <c r="M10"/>
  <c r="L10"/>
  <c r="K10"/>
  <c r="J10"/>
  <c r="Q9"/>
  <c r="P9"/>
  <c r="O9"/>
  <c r="N9"/>
  <c r="M9"/>
  <c r="L9"/>
  <c r="K9"/>
  <c r="J9"/>
  <c r="Q8"/>
  <c r="P8"/>
  <c r="O8"/>
  <c r="N8"/>
  <c r="M8"/>
  <c r="L8"/>
  <c r="K8"/>
  <c r="J8"/>
  <c r="Q7"/>
  <c r="P7"/>
  <c r="O7"/>
  <c r="N7"/>
  <c r="M7"/>
  <c r="L7"/>
  <c r="K7"/>
  <c r="J7"/>
  <c r="Q6"/>
  <c r="P6"/>
  <c r="O6"/>
  <c r="N6"/>
  <c r="M6"/>
  <c r="L6"/>
  <c r="K6"/>
  <c r="J6"/>
  <c r="Q5"/>
  <c r="P5"/>
  <c r="O5"/>
  <c r="N5"/>
  <c r="M5"/>
  <c r="L5"/>
  <c r="K5"/>
  <c r="J5"/>
  <c r="Q4"/>
  <c r="P4"/>
  <c r="O4"/>
  <c r="N4"/>
  <c r="M4"/>
  <c r="L4"/>
  <c r="K4"/>
  <c r="J4"/>
  <c r="Q3"/>
  <c r="P3"/>
  <c r="O3"/>
  <c r="N3"/>
  <c r="M3"/>
  <c r="L3"/>
  <c r="K3"/>
  <c r="J3"/>
  <c r="Q2"/>
  <c r="P2"/>
  <c r="O2"/>
  <c r="N2"/>
  <c r="M2"/>
  <c r="L2"/>
  <c r="K2"/>
  <c r="J2"/>
  <c r="AW17" i="2"/>
  <c r="AW19"/>
  <c r="AW21"/>
  <c r="AW23"/>
  <c r="AW25"/>
  <c r="AW27"/>
  <c r="AW29"/>
  <c r="AW31"/>
  <c r="AW33"/>
  <c r="AW35"/>
  <c r="AW37"/>
  <c r="AW39"/>
  <c r="AW41"/>
  <c r="AW43"/>
  <c r="AW45"/>
  <c r="AW47"/>
  <c r="AW49"/>
  <c r="AW51"/>
  <c r="AW53"/>
  <c r="AW55"/>
  <c r="AW57"/>
  <c r="AW59"/>
  <c r="AW61"/>
  <c r="AW63"/>
  <c r="AW65"/>
  <c r="AW67"/>
  <c r="AW69"/>
  <c r="AW71"/>
  <c r="AW73"/>
  <c r="AW75"/>
  <c r="AW77"/>
  <c r="AW79"/>
  <c r="AW81"/>
  <c r="AW83"/>
  <c r="AW85"/>
  <c r="AW87"/>
  <c r="AW89"/>
  <c r="AW91"/>
  <c r="AW93"/>
  <c r="AW95"/>
  <c r="AW97"/>
  <c r="AW99"/>
  <c r="AW101"/>
  <c r="AW103"/>
  <c r="AW105"/>
  <c r="AW107"/>
  <c r="AW109"/>
  <c r="AW111"/>
  <c r="AW113"/>
  <c r="AW115"/>
  <c r="AU16"/>
  <c r="AU18"/>
  <c r="AU20"/>
  <c r="AU22"/>
  <c r="AU24"/>
  <c r="AU26"/>
  <c r="AU28"/>
  <c r="AU30"/>
  <c r="AU32"/>
  <c r="AU34"/>
  <c r="AU36"/>
  <c r="AU38"/>
  <c r="AU40"/>
  <c r="AU42"/>
  <c r="AU44"/>
  <c r="AU46"/>
  <c r="AU48"/>
  <c r="AU50"/>
  <c r="AU52"/>
  <c r="AU54"/>
  <c r="AU56"/>
  <c r="AU58"/>
  <c r="AU60"/>
  <c r="AU62"/>
  <c r="AU64"/>
  <c r="AU66"/>
  <c r="AU68"/>
  <c r="AU70"/>
  <c r="AU72"/>
  <c r="AU74"/>
  <c r="AU76"/>
  <c r="AU78"/>
  <c r="AU80"/>
  <c r="AU82"/>
  <c r="AU84"/>
  <c r="AU86"/>
  <c r="AU88"/>
  <c r="AU90"/>
  <c r="AU92"/>
  <c r="AU94"/>
  <c r="AU96"/>
  <c r="AU98"/>
  <c r="AU100"/>
  <c r="AU102"/>
  <c r="AU104"/>
  <c r="AU106"/>
  <c r="AU108"/>
  <c r="AU110"/>
  <c r="AU112"/>
  <c r="AU114"/>
  <c r="AU116"/>
  <c r="AS17"/>
  <c r="AS19"/>
  <c r="AS21"/>
  <c r="AS23"/>
  <c r="AS25"/>
  <c r="AS27"/>
  <c r="AS29"/>
  <c r="AS31"/>
  <c r="AS33"/>
  <c r="AS35"/>
  <c r="AS37"/>
  <c r="AS39"/>
  <c r="AS41"/>
  <c r="AS43"/>
  <c r="AS45"/>
  <c r="AS47"/>
  <c r="AS49"/>
  <c r="AS51"/>
  <c r="AS53"/>
  <c r="AS55"/>
  <c r="AS57"/>
  <c r="AS59"/>
  <c r="AS61"/>
  <c r="AS63"/>
  <c r="AS65"/>
  <c r="AS67"/>
  <c r="AS69"/>
  <c r="AS71"/>
  <c r="AS73"/>
  <c r="AS75"/>
  <c r="AS77"/>
  <c r="AS79"/>
  <c r="AS81"/>
  <c r="AS83"/>
  <c r="AS85"/>
  <c r="AS87"/>
  <c r="AS89"/>
  <c r="AS91"/>
  <c r="AS93"/>
  <c r="AS95"/>
  <c r="AS97"/>
  <c r="AS99"/>
  <c r="AS101"/>
  <c r="AS103"/>
  <c r="AS105"/>
  <c r="AS107"/>
  <c r="AS109"/>
  <c r="AS111"/>
  <c r="AS113"/>
  <c r="AS115"/>
  <c r="AQ116"/>
  <c r="AQ114"/>
  <c r="AQ112"/>
  <c r="AQ110"/>
  <c r="AQ108"/>
  <c r="AQ106"/>
  <c r="AQ104"/>
  <c r="AQ102"/>
  <c r="AQ100"/>
  <c r="AQ98"/>
  <c r="AQ96"/>
  <c r="AQ94"/>
  <c r="AQ92"/>
  <c r="AQ90"/>
  <c r="AQ88"/>
  <c r="AQ86"/>
  <c r="AQ84"/>
  <c r="AQ82"/>
  <c r="AQ80"/>
  <c r="AQ78"/>
  <c r="AQ76"/>
  <c r="AQ74"/>
  <c r="AQ72"/>
  <c r="AQ70"/>
  <c r="AQ68"/>
  <c r="AQ66"/>
  <c r="AQ64"/>
  <c r="AQ62"/>
  <c r="AQ60"/>
  <c r="AQ58"/>
  <c r="AQ56"/>
  <c r="AQ54"/>
  <c r="AQ52"/>
  <c r="AQ50"/>
  <c r="AQ48"/>
  <c r="AQ46"/>
  <c r="AQ44"/>
  <c r="AQ42"/>
  <c r="AQ40"/>
  <c r="AQ38"/>
  <c r="AQ36"/>
  <c r="AQ34"/>
  <c r="AQ32"/>
  <c r="AQ30"/>
  <c r="AQ28"/>
  <c r="AQ26"/>
  <c r="AQ24"/>
  <c r="AQ22"/>
  <c r="AQ20"/>
  <c r="AQ18"/>
  <c r="AQ16"/>
  <c r="W17"/>
  <c r="W19"/>
  <c r="W21"/>
  <c r="W23"/>
  <c r="W25"/>
  <c r="W27"/>
  <c r="W29"/>
  <c r="W31"/>
  <c r="W33"/>
  <c r="W35"/>
  <c r="W37"/>
  <c r="W39"/>
  <c r="W41"/>
  <c r="W43"/>
  <c r="W45"/>
  <c r="W47"/>
  <c r="W49"/>
  <c r="W51"/>
  <c r="W53"/>
  <c r="W55"/>
  <c r="W57"/>
  <c r="W59"/>
  <c r="W61"/>
  <c r="W63"/>
  <c r="W65"/>
  <c r="W67"/>
  <c r="W69"/>
  <c r="W71"/>
  <c r="W73"/>
  <c r="W75"/>
  <c r="W77"/>
  <c r="W79"/>
  <c r="W81"/>
  <c r="W83"/>
  <c r="W85"/>
  <c r="W87"/>
  <c r="W89"/>
  <c r="W91"/>
  <c r="W93"/>
  <c r="W95"/>
  <c r="W97"/>
  <c r="W99"/>
  <c r="W101"/>
  <c r="W103"/>
  <c r="W105"/>
  <c r="W107"/>
  <c r="W109"/>
  <c r="W111"/>
  <c r="W113"/>
  <c r="W115"/>
  <c r="AX16"/>
  <c r="AX18"/>
  <c r="AX20"/>
  <c r="AX22"/>
  <c r="AW16"/>
  <c r="AW18"/>
  <c r="AW20"/>
  <c r="AW22"/>
  <c r="AW24"/>
  <c r="AW26"/>
  <c r="AW28"/>
  <c r="AW30"/>
  <c r="AW32"/>
  <c r="AW34"/>
  <c r="AW36"/>
  <c r="AW38"/>
  <c r="AW40"/>
  <c r="AW42"/>
  <c r="AW44"/>
  <c r="AW46"/>
  <c r="AW48"/>
  <c r="AW50"/>
  <c r="AW52"/>
  <c r="AW54"/>
  <c r="AW56"/>
  <c r="AW58"/>
  <c r="AW60"/>
  <c r="AW62"/>
  <c r="AW64"/>
  <c r="AW66"/>
  <c r="AW68"/>
  <c r="AW70"/>
  <c r="AW72"/>
  <c r="AW74"/>
  <c r="AW76"/>
  <c r="AW78"/>
  <c r="AW80"/>
  <c r="AW82"/>
  <c r="AW84"/>
  <c r="AW86"/>
  <c r="AW88"/>
  <c r="AW90"/>
  <c r="AW92"/>
  <c r="AW94"/>
  <c r="AW96"/>
  <c r="AW98"/>
  <c r="AW100"/>
  <c r="AW102"/>
  <c r="AW104"/>
  <c r="AW106"/>
  <c r="AW108"/>
  <c r="AW110"/>
  <c r="AW112"/>
  <c r="AW114"/>
  <c r="AW116"/>
  <c r="AU17"/>
  <c r="AU19"/>
  <c r="AU21"/>
  <c r="AU23"/>
  <c r="AU25"/>
  <c r="AU27"/>
  <c r="AU29"/>
  <c r="AU31"/>
  <c r="AU33"/>
  <c r="AU35"/>
  <c r="AU37"/>
  <c r="AU39"/>
  <c r="AU41"/>
  <c r="AU43"/>
  <c r="AU45"/>
  <c r="AU47"/>
  <c r="AU49"/>
  <c r="AU51"/>
  <c r="AU53"/>
  <c r="AU55"/>
  <c r="AU57"/>
  <c r="AU59"/>
  <c r="AU61"/>
  <c r="AU63"/>
  <c r="AU65"/>
  <c r="AU67"/>
  <c r="AU69"/>
  <c r="AU71"/>
  <c r="AU73"/>
  <c r="AU75"/>
  <c r="AU77"/>
  <c r="AU79"/>
  <c r="AU81"/>
  <c r="AU83"/>
  <c r="AU85"/>
  <c r="AU87"/>
  <c r="AU89"/>
  <c r="AU91"/>
  <c r="AU93"/>
  <c r="AU95"/>
  <c r="AU97"/>
  <c r="AU99"/>
  <c r="AU101"/>
  <c r="AU103"/>
  <c r="AU105"/>
  <c r="AU107"/>
  <c r="AU109"/>
  <c r="AU111"/>
  <c r="AU113"/>
  <c r="AU115"/>
  <c r="AS16"/>
  <c r="AS18"/>
  <c r="AS20"/>
  <c r="AS22"/>
  <c r="AS24"/>
  <c r="AS26"/>
  <c r="AS28"/>
  <c r="AS30"/>
  <c r="AS32"/>
  <c r="AS34"/>
  <c r="AS36"/>
  <c r="AS38"/>
  <c r="AS40"/>
  <c r="AS42"/>
  <c r="AS44"/>
  <c r="AS46"/>
  <c r="AS48"/>
  <c r="AS50"/>
  <c r="AS52"/>
  <c r="AS54"/>
  <c r="AS56"/>
  <c r="AS58"/>
  <c r="AS60"/>
  <c r="AS62"/>
  <c r="AS64"/>
  <c r="AS66"/>
  <c r="AS68"/>
  <c r="AS70"/>
  <c r="AS72"/>
  <c r="AS74"/>
  <c r="AS76"/>
  <c r="AS78"/>
  <c r="AS80"/>
  <c r="AS82"/>
  <c r="AS84"/>
  <c r="AS86"/>
  <c r="AS88"/>
  <c r="AS90"/>
  <c r="AS92"/>
  <c r="AS94"/>
  <c r="AS96"/>
  <c r="AS98"/>
  <c r="AS100"/>
  <c r="AS102"/>
  <c r="AS104"/>
  <c r="AS106"/>
  <c r="AS108"/>
  <c r="AS110"/>
  <c r="AS112"/>
  <c r="AS114"/>
  <c r="AS116"/>
  <c r="AQ115"/>
  <c r="AQ113"/>
  <c r="AQ111"/>
  <c r="AQ109"/>
  <c r="AQ107"/>
  <c r="AQ105"/>
  <c r="AQ103"/>
  <c r="AQ101"/>
  <c r="AQ99"/>
  <c r="AQ97"/>
  <c r="AQ95"/>
  <c r="AQ93"/>
  <c r="AQ91"/>
  <c r="AQ89"/>
  <c r="AQ87"/>
  <c r="AQ85"/>
  <c r="AQ83"/>
  <c r="AQ81"/>
  <c r="AQ79"/>
  <c r="AQ77"/>
  <c r="AQ75"/>
  <c r="AQ73"/>
  <c r="AQ71"/>
  <c r="AQ69"/>
  <c r="AQ67"/>
  <c r="AQ65"/>
  <c r="AQ63"/>
  <c r="AQ61"/>
  <c r="AQ59"/>
  <c r="AQ57"/>
  <c r="AQ55"/>
  <c r="AQ53"/>
  <c r="AQ51"/>
  <c r="AQ49"/>
  <c r="AQ47"/>
  <c r="AQ45"/>
  <c r="AQ43"/>
  <c r="AQ41"/>
  <c r="AQ39"/>
  <c r="AQ37"/>
  <c r="AQ35"/>
  <c r="AQ33"/>
  <c r="AQ31"/>
  <c r="AQ29"/>
  <c r="AQ27"/>
  <c r="AQ25"/>
  <c r="AQ23"/>
  <c r="AQ21"/>
  <c r="AQ19"/>
  <c r="AQ17"/>
  <c r="W16"/>
  <c r="W18"/>
  <c r="W20"/>
  <c r="W22"/>
  <c r="W24"/>
  <c r="W26"/>
  <c r="W28"/>
  <c r="W30"/>
  <c r="W32"/>
  <c r="W34"/>
  <c r="W36"/>
  <c r="W38"/>
  <c r="W40"/>
  <c r="W42"/>
  <c r="W44"/>
  <c r="W46"/>
  <c r="W48"/>
  <c r="W50"/>
  <c r="W52"/>
  <c r="W54"/>
  <c r="W56"/>
  <c r="W58"/>
  <c r="W60"/>
  <c r="W62"/>
  <c r="W64"/>
  <c r="W66"/>
  <c r="W68"/>
  <c r="W70"/>
  <c r="W72"/>
  <c r="W74"/>
  <c r="W76"/>
  <c r="W78"/>
  <c r="W80"/>
  <c r="W82"/>
  <c r="W84"/>
  <c r="W86"/>
  <c r="W88"/>
  <c r="W90"/>
  <c r="W92"/>
  <c r="W94"/>
  <c r="W96"/>
  <c r="W98"/>
  <c r="W100"/>
  <c r="W102"/>
  <c r="W104"/>
  <c r="W106"/>
  <c r="W108"/>
  <c r="W110"/>
  <c r="W112"/>
  <c r="W114"/>
  <c r="W116"/>
  <c r="AX17"/>
  <c r="AX19"/>
  <c r="AX21"/>
  <c r="AX23"/>
  <c r="AX25"/>
  <c r="AX27"/>
  <c r="AX29"/>
  <c r="AX31"/>
  <c r="AX33"/>
  <c r="AX35"/>
  <c r="AX37"/>
  <c r="AX39"/>
  <c r="AX41"/>
  <c r="AX43"/>
  <c r="AX45"/>
  <c r="AX47"/>
  <c r="AX49"/>
  <c r="AX51"/>
  <c r="AX53"/>
  <c r="AX55"/>
  <c r="AX57"/>
  <c r="AX59"/>
  <c r="AX61"/>
  <c r="AX63"/>
  <c r="AX65"/>
  <c r="AX67"/>
  <c r="AX69"/>
  <c r="AX71"/>
  <c r="AX73"/>
  <c r="AX75"/>
  <c r="AX77"/>
  <c r="AX79"/>
  <c r="AX81"/>
  <c r="AX83"/>
  <c r="AX85"/>
  <c r="AX87"/>
  <c r="AX89"/>
  <c r="AX91"/>
  <c r="AX93"/>
  <c r="AX95"/>
  <c r="AX97"/>
  <c r="AX99"/>
  <c r="AX101"/>
  <c r="AX103"/>
  <c r="AX105"/>
  <c r="AX107"/>
  <c r="AX109"/>
  <c r="AX111"/>
  <c r="AX113"/>
  <c r="AX115"/>
  <c r="AV16"/>
  <c r="AV18"/>
  <c r="AV20"/>
  <c r="AV22"/>
  <c r="AV24"/>
  <c r="AV26"/>
  <c r="AV28"/>
  <c r="AV30"/>
  <c r="AV32"/>
  <c r="AV34"/>
  <c r="AV36"/>
  <c r="AV38"/>
  <c r="AV40"/>
  <c r="AV42"/>
  <c r="AV44"/>
  <c r="AV46"/>
  <c r="AV48"/>
  <c r="AV50"/>
  <c r="AV52"/>
  <c r="AV54"/>
  <c r="AV56"/>
  <c r="AV58"/>
  <c r="AV60"/>
  <c r="AV62"/>
  <c r="AV64"/>
  <c r="AV66"/>
  <c r="AV68"/>
  <c r="AV70"/>
  <c r="AV72"/>
  <c r="AV74"/>
  <c r="AV76"/>
  <c r="AV78"/>
  <c r="AV80"/>
  <c r="AV82"/>
  <c r="AV84"/>
  <c r="AV86"/>
  <c r="AV88"/>
  <c r="AV90"/>
  <c r="AV92"/>
  <c r="AV94"/>
  <c r="AV96"/>
  <c r="AV98"/>
  <c r="AV100"/>
  <c r="AV102"/>
  <c r="AV104"/>
  <c r="AV106"/>
  <c r="AV108"/>
  <c r="AV110"/>
  <c r="AV112"/>
  <c r="AV114"/>
  <c r="AV116"/>
  <c r="AT17"/>
  <c r="AT19"/>
  <c r="AT21"/>
  <c r="AT23"/>
  <c r="AT25"/>
  <c r="AT27"/>
  <c r="AT29"/>
  <c r="AT31"/>
  <c r="AT33"/>
  <c r="AT35"/>
  <c r="AT37"/>
  <c r="AT39"/>
  <c r="AT41"/>
  <c r="AT43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AT101"/>
  <c r="AT103"/>
  <c r="AT105"/>
  <c r="AT107"/>
  <c r="AT109"/>
  <c r="AT111"/>
  <c r="AT113"/>
  <c r="AT115"/>
  <c r="AR16"/>
  <c r="AR18"/>
  <c r="AR20"/>
  <c r="AR22"/>
  <c r="AR24"/>
  <c r="AR26"/>
  <c r="AR28"/>
  <c r="AR30"/>
  <c r="AR32"/>
  <c r="AR34"/>
  <c r="AR36"/>
  <c r="AR38"/>
  <c r="AR40"/>
  <c r="AR42"/>
  <c r="AR44"/>
  <c r="AR46"/>
  <c r="AR48"/>
  <c r="AR50"/>
  <c r="AR52"/>
  <c r="AR54"/>
  <c r="AR56"/>
  <c r="AR58"/>
  <c r="AR60"/>
  <c r="AR62"/>
  <c r="AR64"/>
  <c r="AR66"/>
  <c r="AR68"/>
  <c r="AR70"/>
  <c r="AR72"/>
  <c r="AR74"/>
  <c r="AR76"/>
  <c r="AR78"/>
  <c r="AR80"/>
  <c r="AR82"/>
  <c r="AR84"/>
  <c r="AR86"/>
  <c r="AR88"/>
  <c r="AR90"/>
  <c r="AR92"/>
  <c r="AR94"/>
  <c r="AR96"/>
  <c r="AR98"/>
  <c r="AR100"/>
  <c r="AR102"/>
  <c r="AR104"/>
  <c r="AR106"/>
  <c r="AR108"/>
  <c r="AR110"/>
  <c r="AR112"/>
  <c r="AR114"/>
  <c r="AR116"/>
  <c r="Z17"/>
  <c r="Z19"/>
  <c r="Z21"/>
  <c r="Z23"/>
  <c r="Z25"/>
  <c r="Z27"/>
  <c r="Z29"/>
  <c r="Z31"/>
  <c r="Z33"/>
  <c r="Z35"/>
  <c r="Z37"/>
  <c r="Z39"/>
  <c r="Z41"/>
  <c r="Z43"/>
  <c r="Z45"/>
  <c r="Z47"/>
  <c r="Z49"/>
  <c r="Z51"/>
  <c r="Z53"/>
  <c r="Z55"/>
  <c r="Z57"/>
  <c r="Z59"/>
  <c r="Z61"/>
  <c r="Z63"/>
  <c r="Z65"/>
  <c r="Z67"/>
  <c r="Z69"/>
  <c r="Z71"/>
  <c r="Z73"/>
  <c r="Z75"/>
  <c r="Z77"/>
  <c r="Z79"/>
  <c r="Z81"/>
  <c r="Z83"/>
  <c r="Z85"/>
  <c r="Z87"/>
  <c r="Z89"/>
  <c r="Z91"/>
  <c r="Z93"/>
  <c r="Z95"/>
  <c r="Z97"/>
  <c r="Z99"/>
  <c r="Z101"/>
  <c r="Z103"/>
  <c r="Z105"/>
  <c r="Z107"/>
  <c r="Z109"/>
  <c r="Z111"/>
  <c r="Z113"/>
  <c r="Z115"/>
  <c r="U16"/>
  <c r="U18"/>
  <c r="U20"/>
  <c r="U22"/>
  <c r="U24"/>
  <c r="U26"/>
  <c r="U28"/>
  <c r="U30"/>
  <c r="U32"/>
  <c r="U34"/>
  <c r="U36"/>
  <c r="U38"/>
  <c r="U40"/>
  <c r="U42"/>
  <c r="U44"/>
  <c r="U46"/>
  <c r="U48"/>
  <c r="U50"/>
  <c r="U52"/>
  <c r="U54"/>
  <c r="U56"/>
  <c r="U58"/>
  <c r="U60"/>
  <c r="U62"/>
  <c r="U64"/>
  <c r="U66"/>
  <c r="U68"/>
  <c r="U70"/>
  <c r="U72"/>
  <c r="U74"/>
  <c r="U76"/>
  <c r="U78"/>
  <c r="U80"/>
  <c r="U82"/>
  <c r="U84"/>
  <c r="U86"/>
  <c r="U88"/>
  <c r="U90"/>
  <c r="U92"/>
  <c r="U94"/>
  <c r="U96"/>
  <c r="U98"/>
  <c r="U100"/>
  <c r="U102"/>
  <c r="U104"/>
  <c r="U106"/>
  <c r="U108"/>
  <c r="U110"/>
  <c r="U112"/>
  <c r="U114"/>
  <c r="U116"/>
  <c r="S115"/>
  <c r="S113"/>
  <c r="S111"/>
  <c r="S109"/>
  <c r="S107"/>
  <c r="S105"/>
  <c r="S103"/>
  <c r="S101"/>
  <c r="S99"/>
  <c r="S97"/>
  <c r="S95"/>
  <c r="S93"/>
  <c r="S91"/>
  <c r="S89"/>
  <c r="S87"/>
  <c r="S85"/>
  <c r="S83"/>
  <c r="S81"/>
  <c r="S79"/>
  <c r="S77"/>
  <c r="S75"/>
  <c r="S73"/>
  <c r="S71"/>
  <c r="S69"/>
  <c r="S67"/>
  <c r="S65"/>
  <c r="S63"/>
  <c r="S61"/>
  <c r="S59"/>
  <c r="S57"/>
  <c r="S55"/>
  <c r="S53"/>
  <c r="S51"/>
  <c r="S49"/>
  <c r="S47"/>
  <c r="S45"/>
  <c r="S43"/>
  <c r="S41"/>
  <c r="S39"/>
  <c r="S37"/>
  <c r="S35"/>
  <c r="S33"/>
  <c r="S31"/>
  <c r="S29"/>
  <c r="S27"/>
  <c r="S25"/>
  <c r="S23"/>
  <c r="S21"/>
  <c r="S19"/>
  <c r="S17"/>
  <c r="AP2"/>
  <c r="AN2"/>
  <c r="AL2"/>
  <c r="AJ2"/>
  <c r="AF2"/>
  <c r="AB2"/>
  <c r="AO2"/>
  <c r="AM2"/>
  <c r="AK2"/>
  <c r="AI2"/>
  <c r="AG2"/>
  <c r="AE2"/>
  <c r="AC2"/>
  <c r="AA2"/>
  <c r="AH2"/>
  <c r="AD2"/>
  <c r="AL3"/>
  <c r="AF3"/>
  <c r="AO3"/>
  <c r="AK3"/>
  <c r="AG3"/>
  <c r="AC3"/>
  <c r="AH3"/>
  <c r="AD3"/>
  <c r="AX24"/>
  <c r="AX26"/>
  <c r="AX28"/>
  <c r="AX30"/>
  <c r="AX32"/>
  <c r="AX34"/>
  <c r="AX36"/>
  <c r="AX38"/>
  <c r="AX40"/>
  <c r="AX42"/>
  <c r="AX44"/>
  <c r="AX46"/>
  <c r="AX48"/>
  <c r="AX50"/>
  <c r="AX52"/>
  <c r="AX54"/>
  <c r="AX56"/>
  <c r="AX58"/>
  <c r="AX60"/>
  <c r="AX62"/>
  <c r="AX64"/>
  <c r="AX66"/>
  <c r="AX68"/>
  <c r="AX70"/>
  <c r="AX72"/>
  <c r="AX74"/>
  <c r="AX76"/>
  <c r="AX78"/>
  <c r="AX80"/>
  <c r="AX82"/>
  <c r="AX84"/>
  <c r="AX86"/>
  <c r="AX88"/>
  <c r="AX90"/>
  <c r="AX92"/>
  <c r="AX94"/>
  <c r="AX96"/>
  <c r="AX98"/>
  <c r="AX100"/>
  <c r="AX102"/>
  <c r="AX104"/>
  <c r="AX106"/>
  <c r="AX108"/>
  <c r="AX110"/>
  <c r="AX112"/>
  <c r="AX114"/>
  <c r="AX116"/>
  <c r="AV17"/>
  <c r="AV19"/>
  <c r="AV21"/>
  <c r="AV23"/>
  <c r="AV25"/>
  <c r="AV27"/>
  <c r="AV29"/>
  <c r="AV31"/>
  <c r="AV33"/>
  <c r="AV35"/>
  <c r="AV37"/>
  <c r="AV39"/>
  <c r="AV41"/>
  <c r="AV43"/>
  <c r="AV45"/>
  <c r="AV47"/>
  <c r="AV49"/>
  <c r="AV51"/>
  <c r="AV53"/>
  <c r="AV55"/>
  <c r="AV57"/>
  <c r="AV59"/>
  <c r="AV61"/>
  <c r="AV63"/>
  <c r="AV65"/>
  <c r="AV67"/>
  <c r="AV69"/>
  <c r="AV71"/>
  <c r="AV73"/>
  <c r="AV75"/>
  <c r="AV77"/>
  <c r="AV79"/>
  <c r="AV81"/>
  <c r="AV83"/>
  <c r="AV85"/>
  <c r="AV87"/>
  <c r="AV89"/>
  <c r="AV91"/>
  <c r="AV93"/>
  <c r="AV95"/>
  <c r="AV97"/>
  <c r="AV99"/>
  <c r="AV101"/>
  <c r="AV103"/>
  <c r="AV105"/>
  <c r="AV107"/>
  <c r="AV109"/>
  <c r="AV111"/>
  <c r="AV113"/>
  <c r="AV115"/>
  <c r="AT16"/>
  <c r="AT18"/>
  <c r="AT20"/>
  <c r="AT22"/>
  <c r="AT24"/>
  <c r="AT26"/>
  <c r="AT28"/>
  <c r="AT30"/>
  <c r="AT32"/>
  <c r="AT34"/>
  <c r="AT36"/>
  <c r="AT38"/>
  <c r="AT40"/>
  <c r="AT42"/>
  <c r="AT44"/>
  <c r="AT46"/>
  <c r="AT48"/>
  <c r="AT50"/>
  <c r="AT52"/>
  <c r="AT54"/>
  <c r="AT56"/>
  <c r="AT58"/>
  <c r="AT60"/>
  <c r="AT62"/>
  <c r="AT64"/>
  <c r="AT66"/>
  <c r="AT68"/>
  <c r="AT70"/>
  <c r="AT72"/>
  <c r="AT74"/>
  <c r="AT76"/>
  <c r="AT78"/>
  <c r="AT80"/>
  <c r="AT82"/>
  <c r="AT84"/>
  <c r="AT86"/>
  <c r="AT88"/>
  <c r="AT90"/>
  <c r="AT92"/>
  <c r="AT94"/>
  <c r="AT96"/>
  <c r="AT98"/>
  <c r="AT100"/>
  <c r="AT102"/>
  <c r="AT104"/>
  <c r="AT106"/>
  <c r="AT108"/>
  <c r="AT110"/>
  <c r="AT112"/>
  <c r="AT114"/>
  <c r="AT116"/>
  <c r="AR17"/>
  <c r="AR19"/>
  <c r="AR21"/>
  <c r="AR23"/>
  <c r="AR25"/>
  <c r="AR27"/>
  <c r="AR29"/>
  <c r="AR31"/>
  <c r="AR33"/>
  <c r="AR35"/>
  <c r="AR37"/>
  <c r="AR39"/>
  <c r="AR41"/>
  <c r="AR43"/>
  <c r="AR45"/>
  <c r="AR47"/>
  <c r="AR49"/>
  <c r="AR51"/>
  <c r="AR53"/>
  <c r="AR55"/>
  <c r="AR57"/>
  <c r="AR59"/>
  <c r="AR61"/>
  <c r="AR63"/>
  <c r="AR65"/>
  <c r="AR67"/>
  <c r="AR69"/>
  <c r="AR71"/>
  <c r="AR73"/>
  <c r="AR75"/>
  <c r="AR77"/>
  <c r="AR79"/>
  <c r="AR81"/>
  <c r="AR83"/>
  <c r="AR85"/>
  <c r="AR87"/>
  <c r="AR89"/>
  <c r="AR91"/>
  <c r="AR93"/>
  <c r="AR95"/>
  <c r="AR97"/>
  <c r="AR99"/>
  <c r="AR101"/>
  <c r="AR103"/>
  <c r="AR105"/>
  <c r="AR107"/>
  <c r="AR109"/>
  <c r="AR111"/>
  <c r="AR113"/>
  <c r="AR115"/>
  <c r="Z16"/>
  <c r="Z18"/>
  <c r="Z20"/>
  <c r="Z22"/>
  <c r="Z24"/>
  <c r="Z26"/>
  <c r="Z28"/>
  <c r="Z30"/>
  <c r="Z32"/>
  <c r="Z34"/>
  <c r="Z36"/>
  <c r="Z38"/>
  <c r="Z40"/>
  <c r="Z42"/>
  <c r="Z44"/>
  <c r="Z46"/>
  <c r="Z48"/>
  <c r="Z50"/>
  <c r="Z52"/>
  <c r="Z54"/>
  <c r="Z56"/>
  <c r="Z58"/>
  <c r="Z60"/>
  <c r="Z62"/>
  <c r="Z64"/>
  <c r="Z66"/>
  <c r="Z68"/>
  <c r="Z70"/>
  <c r="Z72"/>
  <c r="Z74"/>
  <c r="Z76"/>
  <c r="Z78"/>
  <c r="Z80"/>
  <c r="Z82"/>
  <c r="Z84"/>
  <c r="Z86"/>
  <c r="Z88"/>
  <c r="Z90"/>
  <c r="Z92"/>
  <c r="Z94"/>
  <c r="Z96"/>
  <c r="Z98"/>
  <c r="Z100"/>
  <c r="Z102"/>
  <c r="Z104"/>
  <c r="Z106"/>
  <c r="Z108"/>
  <c r="Z110"/>
  <c r="Z112"/>
  <c r="Z114"/>
  <c r="Z116"/>
  <c r="U17"/>
  <c r="U19"/>
  <c r="U21"/>
  <c r="U23"/>
  <c r="U25"/>
  <c r="U27"/>
  <c r="U29"/>
  <c r="U31"/>
  <c r="U33"/>
  <c r="U35"/>
  <c r="U37"/>
  <c r="U39"/>
  <c r="U41"/>
  <c r="U43"/>
  <c r="U45"/>
  <c r="U47"/>
  <c r="U49"/>
  <c r="U51"/>
  <c r="U53"/>
  <c r="U55"/>
  <c r="U57"/>
  <c r="U59"/>
  <c r="U61"/>
  <c r="U63"/>
  <c r="U65"/>
  <c r="U67"/>
  <c r="U69"/>
  <c r="U71"/>
  <c r="U73"/>
  <c r="U75"/>
  <c r="U77"/>
  <c r="U79"/>
  <c r="U81"/>
  <c r="U83"/>
  <c r="U85"/>
  <c r="U87"/>
  <c r="U89"/>
  <c r="U91"/>
  <c r="U93"/>
  <c r="U95"/>
  <c r="U97"/>
  <c r="U99"/>
  <c r="U101"/>
  <c r="U103"/>
  <c r="U105"/>
  <c r="U107"/>
  <c r="U109"/>
  <c r="U111"/>
  <c r="U113"/>
  <c r="U115"/>
  <c r="S116"/>
  <c r="S114"/>
  <c r="S112"/>
  <c r="S110"/>
  <c r="S108"/>
  <c r="S106"/>
  <c r="S104"/>
  <c r="S102"/>
  <c r="S100"/>
  <c r="S98"/>
  <c r="S96"/>
  <c r="S94"/>
  <c r="S92"/>
  <c r="S90"/>
  <c r="S88"/>
  <c r="S86"/>
  <c r="S84"/>
  <c r="S82"/>
  <c r="S80"/>
  <c r="S78"/>
  <c r="S76"/>
  <c r="S74"/>
  <c r="S72"/>
  <c r="S70"/>
  <c r="S68"/>
  <c r="S66"/>
  <c r="S64"/>
  <c r="S62"/>
  <c r="S60"/>
  <c r="S58"/>
  <c r="S56"/>
  <c r="S54"/>
  <c r="S52"/>
  <c r="S50"/>
  <c r="S48"/>
  <c r="S46"/>
  <c r="S44"/>
  <c r="S42"/>
  <c r="S40"/>
  <c r="S38"/>
  <c r="S36"/>
  <c r="S34"/>
  <c r="S32"/>
  <c r="S30"/>
  <c r="S28"/>
  <c r="S26"/>
  <c r="S24"/>
  <c r="S22"/>
  <c r="S20"/>
  <c r="S18"/>
  <c r="S16"/>
  <c r="AP3"/>
  <c r="AN3"/>
  <c r="AJ3"/>
  <c r="AB3"/>
  <c r="AM3"/>
  <c r="AI3"/>
  <c r="AE3"/>
  <c r="AA3"/>
  <c r="U12" l="1"/>
  <c r="U13"/>
  <c r="Z13"/>
  <c r="AR13"/>
  <c r="AT13"/>
  <c r="AV13"/>
  <c r="AX13"/>
  <c r="W13"/>
  <c r="AQ13"/>
  <c r="AS13"/>
  <c r="AU13"/>
  <c r="AW13"/>
  <c r="Z11"/>
  <c r="Z12"/>
  <c r="AR12"/>
  <c r="AR11"/>
  <c r="AT12"/>
  <c r="AT11"/>
  <c r="AV12"/>
  <c r="AV11"/>
  <c r="AX12"/>
  <c r="AX11"/>
  <c r="AQ11"/>
  <c r="AQ12"/>
  <c r="AS11"/>
  <c r="AS12"/>
  <c r="AU11"/>
  <c r="AU12"/>
  <c r="AW11"/>
  <c r="AW12"/>
  <c r="AI2" i="3"/>
  <c r="S13" i="2"/>
  <c r="S11"/>
  <c r="S12"/>
  <c r="AD4"/>
  <c r="AD5" s="1"/>
  <c r="AH4"/>
  <c r="AH5" s="1"/>
  <c r="AA4"/>
  <c r="AA5" s="1"/>
  <c r="AC4"/>
  <c r="AC5" s="1"/>
  <c r="AE4"/>
  <c r="AE5" s="1"/>
  <c r="AG4"/>
  <c r="AG5" s="1"/>
  <c r="AI4"/>
  <c r="AI5" s="1"/>
  <c r="AK4"/>
  <c r="AK5" s="1"/>
  <c r="AM4"/>
  <c r="AM5" s="1"/>
  <c r="AO4"/>
  <c r="AO5" s="1"/>
  <c r="AB4"/>
  <c r="AB5" s="1"/>
  <c r="AF4"/>
  <c r="AF5" s="1"/>
  <c r="AJ4"/>
  <c r="AJ5" s="1"/>
  <c r="AL4"/>
  <c r="AL5" s="1"/>
  <c r="AN4"/>
  <c r="AN5" s="1"/>
  <c r="AP4"/>
  <c r="AP5" s="1"/>
  <c r="AK2" i="3"/>
  <c r="AI3"/>
  <c r="AK3"/>
  <c r="AK4"/>
  <c r="AI4"/>
  <c r="AI5"/>
  <c r="AK5"/>
  <c r="AK6"/>
  <c r="AI6"/>
  <c r="AI7"/>
  <c r="AK7"/>
  <c r="AI8"/>
  <c r="AK8"/>
  <c r="AI9"/>
  <c r="AK9"/>
  <c r="AK10"/>
  <c r="AI10"/>
  <c r="AK11"/>
  <c r="AI11"/>
  <c r="AI12"/>
  <c r="AK12"/>
  <c r="AK13"/>
  <c r="AI13"/>
  <c r="AK14"/>
  <c r="AI14"/>
  <c r="AK15"/>
  <c r="AI15"/>
  <c r="AK16"/>
  <c r="AI16"/>
  <c r="AK17"/>
  <c r="AI17"/>
  <c r="AK18"/>
  <c r="AI18"/>
  <c r="AK19"/>
  <c r="AI19"/>
  <c r="AK20"/>
  <c r="AI20"/>
  <c r="AK21"/>
  <c r="AI21"/>
  <c r="AI22"/>
  <c r="AK22"/>
  <c r="AK23"/>
  <c r="AI23"/>
  <c r="AK24"/>
  <c r="AI24"/>
  <c r="AK25"/>
  <c r="AI25"/>
  <c r="AK26"/>
  <c r="AI26"/>
  <c r="AK27"/>
  <c r="AI27"/>
  <c r="AK28"/>
  <c r="AI28"/>
  <c r="AK29"/>
  <c r="AI29"/>
  <c r="AK30"/>
  <c r="AI30"/>
  <c r="AK31"/>
  <c r="AI31"/>
  <c r="AK32"/>
  <c r="AI32"/>
  <c r="AK33"/>
  <c r="AI33"/>
  <c r="AK34"/>
  <c r="AI34"/>
  <c r="AK35"/>
  <c r="AI35"/>
  <c r="AK36"/>
  <c r="AI36"/>
  <c r="AK37"/>
  <c r="AI37"/>
  <c r="AK38"/>
  <c r="AI38"/>
  <c r="AK39"/>
  <c r="AI39"/>
  <c r="AK40"/>
  <c r="AI40"/>
  <c r="AK41"/>
  <c r="AI41"/>
  <c r="AK42"/>
  <c r="AI42"/>
  <c r="AK43"/>
  <c r="AI43"/>
  <c r="AK44"/>
  <c r="AI44"/>
  <c r="AK45"/>
  <c r="AI45"/>
  <c r="AK46"/>
  <c r="AI46"/>
  <c r="AK47"/>
  <c r="AI47"/>
  <c r="AK48"/>
  <c r="AI48"/>
  <c r="AK49"/>
  <c r="AI49"/>
  <c r="AK50"/>
  <c r="AI50"/>
  <c r="AK51"/>
  <c r="AI51"/>
  <c r="AK52"/>
  <c r="AI52"/>
  <c r="AK53"/>
  <c r="AI53"/>
  <c r="AK54"/>
  <c r="AI54"/>
  <c r="AK55"/>
  <c r="AI55"/>
  <c r="AK56"/>
  <c r="AI56"/>
  <c r="AK57"/>
  <c r="AI57"/>
  <c r="AK58"/>
  <c r="AI58"/>
  <c r="AK59"/>
  <c r="AI59"/>
  <c r="AK60"/>
  <c r="AI60"/>
  <c r="AK61"/>
  <c r="AI61"/>
  <c r="AK62"/>
  <c r="AI62"/>
  <c r="AK63"/>
  <c r="AI63"/>
  <c r="AK64"/>
  <c r="AI64"/>
  <c r="AK65"/>
  <c r="AI65"/>
  <c r="AK66"/>
  <c r="AI66"/>
  <c r="AK67"/>
  <c r="AI67"/>
  <c r="AK68"/>
  <c r="AI68"/>
  <c r="AK69"/>
  <c r="AI69"/>
  <c r="AK70"/>
  <c r="AI70"/>
  <c r="AK71"/>
  <c r="AI71"/>
  <c r="AK72"/>
  <c r="AI72"/>
  <c r="AK73"/>
  <c r="AI73"/>
  <c r="AK74"/>
  <c r="AI74"/>
  <c r="AK75"/>
  <c r="AI75"/>
  <c r="AK76"/>
  <c r="AI76"/>
  <c r="AK77"/>
  <c r="AI77"/>
  <c r="AK78"/>
  <c r="AI78"/>
  <c r="AK79"/>
  <c r="AI79"/>
  <c r="AK80"/>
  <c r="AI80"/>
  <c r="AK81"/>
  <c r="AI81"/>
  <c r="AK82"/>
  <c r="AI82"/>
  <c r="AK83"/>
  <c r="AI83"/>
  <c r="AK84"/>
  <c r="AI84"/>
  <c r="AK85"/>
  <c r="AI85"/>
  <c r="AK86"/>
  <c r="AI86"/>
  <c r="AK87"/>
  <c r="AI87"/>
  <c r="AK88"/>
  <c r="AI88"/>
  <c r="AK89"/>
  <c r="AI89"/>
  <c r="AK90"/>
  <c r="AI90"/>
  <c r="AK91"/>
  <c r="AI91"/>
  <c r="AK92"/>
  <c r="AI92"/>
  <c r="AK93"/>
  <c r="AI93"/>
  <c r="AK94"/>
  <c r="AI94"/>
  <c r="AK95"/>
  <c r="AI95"/>
  <c r="AK96"/>
  <c r="AI96"/>
  <c r="AK97"/>
  <c r="AI97"/>
  <c r="AK98"/>
  <c r="AI98"/>
  <c r="AK99"/>
  <c r="AI99"/>
  <c r="AK100"/>
  <c r="AI100"/>
  <c r="AK101"/>
  <c r="AI101"/>
  <c r="AK102"/>
  <c r="AI102"/>
  <c r="A3" i="4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P11" i="2" l="1"/>
  <c r="AP12"/>
  <c r="AL11"/>
  <c r="AL12"/>
  <c r="AF11"/>
  <c r="AF12"/>
  <c r="AO12"/>
  <c r="AO11"/>
  <c r="AK12"/>
  <c r="AK11"/>
  <c r="AG12"/>
  <c r="AG11"/>
  <c r="AC12"/>
  <c r="AC11"/>
  <c r="AH11"/>
  <c r="AH12"/>
  <c r="AN11"/>
  <c r="AN12"/>
  <c r="AJ11"/>
  <c r="AJ12"/>
  <c r="AB11"/>
  <c r="AB12"/>
  <c r="AM12"/>
  <c r="AM11"/>
  <c r="AI12"/>
  <c r="AI11"/>
  <c r="AE12"/>
  <c r="AE11"/>
  <c r="AA12"/>
  <c r="AA11"/>
  <c r="AD11"/>
  <c r="AD12"/>
  <c r="AL22" i="3"/>
  <c r="AJ22"/>
  <c r="AL12"/>
  <c r="AJ12"/>
  <c r="AL9"/>
  <c r="AJ9"/>
  <c r="AL8"/>
  <c r="AJ8"/>
  <c r="AL7"/>
  <c r="AJ7"/>
  <c r="AL5"/>
  <c r="AJ5"/>
  <c r="AL3"/>
  <c r="AJ3"/>
  <c r="AL2"/>
  <c r="AJ2"/>
  <c r="AL102"/>
  <c r="AJ102"/>
  <c r="AL101"/>
  <c r="AJ101"/>
  <c r="AL100"/>
  <c r="AJ100"/>
  <c r="AL99"/>
  <c r="AJ99"/>
  <c r="AL98"/>
  <c r="AJ98"/>
  <c r="AL97"/>
  <c r="AJ97"/>
  <c r="AL96"/>
  <c r="AJ96"/>
  <c r="AL95"/>
  <c r="AJ95"/>
  <c r="AL94"/>
  <c r="AJ94"/>
  <c r="AL93"/>
  <c r="AJ93"/>
  <c r="AL92"/>
  <c r="AJ92"/>
  <c r="AL91"/>
  <c r="AJ91"/>
  <c r="AL90"/>
  <c r="AJ90"/>
  <c r="AL89"/>
  <c r="AJ89"/>
  <c r="AL88"/>
  <c r="AJ88"/>
  <c r="AL87"/>
  <c r="AJ87"/>
  <c r="AL86"/>
  <c r="AJ86"/>
  <c r="AL85"/>
  <c r="AJ85"/>
  <c r="AL84"/>
  <c r="AJ84"/>
  <c r="AL83"/>
  <c r="AJ83"/>
  <c r="AL82"/>
  <c r="AJ82"/>
  <c r="AL81"/>
  <c r="AJ81"/>
  <c r="AL80"/>
  <c r="AJ80"/>
  <c r="AL79"/>
  <c r="AJ79"/>
  <c r="AL78"/>
  <c r="AJ78"/>
  <c r="AL77"/>
  <c r="AJ77"/>
  <c r="AL76"/>
  <c r="AJ76"/>
  <c r="AL75"/>
  <c r="AJ75"/>
  <c r="AL74"/>
  <c r="AJ74"/>
  <c r="AL73"/>
  <c r="AJ73"/>
  <c r="AL72"/>
  <c r="AJ72"/>
  <c r="AL71"/>
  <c r="AJ71"/>
  <c r="AL70"/>
  <c r="AJ70"/>
  <c r="AL69"/>
  <c r="AJ69"/>
  <c r="AL68"/>
  <c r="AJ68"/>
  <c r="AL67"/>
  <c r="AJ67"/>
  <c r="AL66"/>
  <c r="AJ66"/>
  <c r="AL65"/>
  <c r="AJ65"/>
  <c r="AL64"/>
  <c r="AJ64"/>
  <c r="AL63"/>
  <c r="AJ63"/>
  <c r="AL62"/>
  <c r="AJ62"/>
  <c r="AL61"/>
  <c r="AJ61"/>
  <c r="AL60"/>
  <c r="AJ60"/>
  <c r="AL59"/>
  <c r="AJ59"/>
  <c r="AL58"/>
  <c r="AJ58"/>
  <c r="AL57"/>
  <c r="AJ57"/>
  <c r="AL56"/>
  <c r="AJ56"/>
  <c r="AL55"/>
  <c r="AJ55"/>
  <c r="AL54"/>
  <c r="AJ54"/>
  <c r="AL53"/>
  <c r="AJ53"/>
  <c r="AL52"/>
  <c r="AJ52"/>
  <c r="AL51"/>
  <c r="AJ51"/>
  <c r="AL50"/>
  <c r="AJ50"/>
  <c r="AL49"/>
  <c r="AJ49"/>
  <c r="AL48"/>
  <c r="AJ48"/>
  <c r="AL47"/>
  <c r="AJ47"/>
  <c r="AL46"/>
  <c r="AJ46"/>
  <c r="AL45"/>
  <c r="AJ45"/>
  <c r="AL44"/>
  <c r="AJ44"/>
  <c r="AL43"/>
  <c r="AJ43"/>
  <c r="AL42"/>
  <c r="AJ42"/>
  <c r="AL41"/>
  <c r="AJ41"/>
  <c r="AL40"/>
  <c r="AJ40"/>
  <c r="AL39"/>
  <c r="AJ39"/>
  <c r="AL38"/>
  <c r="AJ38"/>
  <c r="AL37"/>
  <c r="AJ37"/>
  <c r="AL36"/>
  <c r="AJ36"/>
  <c r="AL35"/>
  <c r="AJ35"/>
  <c r="AL34"/>
  <c r="AJ34"/>
  <c r="AL33"/>
  <c r="AJ33"/>
  <c r="AL32"/>
  <c r="AJ32"/>
  <c r="AL31"/>
  <c r="AJ31"/>
  <c r="AL30"/>
  <c r="AJ30"/>
  <c r="AL29"/>
  <c r="AJ29"/>
  <c r="AL28"/>
  <c r="AJ28"/>
  <c r="AL27"/>
  <c r="AJ27"/>
  <c r="AL26"/>
  <c r="AJ26"/>
  <c r="AL25"/>
  <c r="AJ25"/>
  <c r="AL24"/>
  <c r="AJ24"/>
  <c r="AL23"/>
  <c r="AJ23"/>
  <c r="AL21"/>
  <c r="AJ21"/>
  <c r="AL20"/>
  <c r="AJ20"/>
  <c r="AL19"/>
  <c r="AJ19"/>
  <c r="AL18"/>
  <c r="AJ18"/>
  <c r="AL17"/>
  <c r="AJ17"/>
  <c r="AL16"/>
  <c r="AJ16"/>
  <c r="AL15"/>
  <c r="AJ15"/>
  <c r="AL14"/>
  <c r="AJ14"/>
  <c r="AL13"/>
  <c r="AJ13"/>
  <c r="AL11"/>
  <c r="AJ11"/>
  <c r="AL10"/>
  <c r="AJ10"/>
  <c r="AL6"/>
  <c r="AJ6"/>
  <c r="AL4"/>
  <c r="AJ4"/>
  <c r="L102" i="7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AA27" i="2"/>
  <c r="AD115"/>
  <c r="AD113"/>
  <c r="AD111"/>
  <c r="AD109"/>
  <c r="AD107"/>
  <c r="AD105"/>
  <c r="AD103"/>
  <c r="AD101"/>
  <c r="AD99"/>
  <c r="AD97"/>
  <c r="AD95"/>
  <c r="AD93"/>
  <c r="AD91"/>
  <c r="AD89"/>
  <c r="AD87"/>
  <c r="AD85"/>
  <c r="AD83"/>
  <c r="AD81"/>
  <c r="AD79"/>
  <c r="AD77"/>
  <c r="AD75"/>
  <c r="AD73"/>
  <c r="AD71"/>
  <c r="AD69"/>
  <c r="AD67"/>
  <c r="AD65"/>
  <c r="AD63"/>
  <c r="AD61"/>
  <c r="AD59"/>
  <c r="AD57"/>
  <c r="AD55"/>
  <c r="AD53"/>
  <c r="AD51"/>
  <c r="AD49"/>
  <c r="AD47"/>
  <c r="AD45"/>
  <c r="AD43"/>
  <c r="AD41"/>
  <c r="AD39"/>
  <c r="AD37"/>
  <c r="AD35"/>
  <c r="AD33"/>
  <c r="AD31"/>
  <c r="AD29"/>
  <c r="AD27"/>
  <c r="AD25"/>
  <c r="AD23"/>
  <c r="AD21"/>
  <c r="AD19"/>
  <c r="AD17"/>
  <c r="AA116"/>
  <c r="AA114"/>
  <c r="AA112"/>
  <c r="AA110"/>
  <c r="AA108"/>
  <c r="AA106"/>
  <c r="AA104"/>
  <c r="AA102"/>
  <c r="AA100"/>
  <c r="AA98"/>
  <c r="AA96"/>
  <c r="AA94"/>
  <c r="AA92"/>
  <c r="AA90"/>
  <c r="AA88"/>
  <c r="AA86"/>
  <c r="AA84"/>
  <c r="AA82"/>
  <c r="AA80"/>
  <c r="AA78"/>
  <c r="AA76"/>
  <c r="AA74"/>
  <c r="AA72"/>
  <c r="AA70"/>
  <c r="AA68"/>
  <c r="AA66"/>
  <c r="AA64"/>
  <c r="AA62"/>
  <c r="AA60"/>
  <c r="AA58"/>
  <c r="AA56"/>
  <c r="AA54"/>
  <c r="AA52"/>
  <c r="AA50"/>
  <c r="AA48"/>
  <c r="AA46"/>
  <c r="AA44"/>
  <c r="AA42"/>
  <c r="AA40"/>
  <c r="AA38"/>
  <c r="AA36"/>
  <c r="AA34"/>
  <c r="AA32"/>
  <c r="AA30"/>
  <c r="AA26"/>
  <c r="AA24"/>
  <c r="AA22"/>
  <c r="AA20"/>
  <c r="AA18"/>
  <c r="AA16"/>
  <c r="AE115"/>
  <c r="AE113"/>
  <c r="AE111"/>
  <c r="AE109"/>
  <c r="AE107"/>
  <c r="AE105"/>
  <c r="AE103"/>
  <c r="AE101"/>
  <c r="AE99"/>
  <c r="AE97"/>
  <c r="AE95"/>
  <c r="AE93"/>
  <c r="AE91"/>
  <c r="AE89"/>
  <c r="AE87"/>
  <c r="AE85"/>
  <c r="AE83"/>
  <c r="AE81"/>
  <c r="AE79"/>
  <c r="AE77"/>
  <c r="AE75"/>
  <c r="AE73"/>
  <c r="AE71"/>
  <c r="AE69"/>
  <c r="AE67"/>
  <c r="AE65"/>
  <c r="AE63"/>
  <c r="AE61"/>
  <c r="AE59"/>
  <c r="AE57"/>
  <c r="AE55"/>
  <c r="AE53"/>
  <c r="AE51"/>
  <c r="AE49"/>
  <c r="AE47"/>
  <c r="AE45"/>
  <c r="AE43"/>
  <c r="AE41"/>
  <c r="AE39"/>
  <c r="AE37"/>
  <c r="AE35"/>
  <c r="AE33"/>
  <c r="AE31"/>
  <c r="AE29"/>
  <c r="AE27"/>
  <c r="AE25"/>
  <c r="AE23"/>
  <c r="AE21"/>
  <c r="AE19"/>
  <c r="AE17"/>
  <c r="AI116"/>
  <c r="AI114"/>
  <c r="AI112"/>
  <c r="AI110"/>
  <c r="AI108"/>
  <c r="AI106"/>
  <c r="AI104"/>
  <c r="AI102"/>
  <c r="AI100"/>
  <c r="AI98"/>
  <c r="AI96"/>
  <c r="AI94"/>
  <c r="AI92"/>
  <c r="AI90"/>
  <c r="AI88"/>
  <c r="AI86"/>
  <c r="AI84"/>
  <c r="AI82"/>
  <c r="AI80"/>
  <c r="AI78"/>
  <c r="AI76"/>
  <c r="AI74"/>
  <c r="AI72"/>
  <c r="AI70"/>
  <c r="AI68"/>
  <c r="AI66"/>
  <c r="AI64"/>
  <c r="AI62"/>
  <c r="AI60"/>
  <c r="AI58"/>
  <c r="AI56"/>
  <c r="AI54"/>
  <c r="AI52"/>
  <c r="AI50"/>
  <c r="AI48"/>
  <c r="AI46"/>
  <c r="AI44"/>
  <c r="AI42"/>
  <c r="AI40"/>
  <c r="AI38"/>
  <c r="AI36"/>
  <c r="AI34"/>
  <c r="AI32"/>
  <c r="AI30"/>
  <c r="AI28"/>
  <c r="AI26"/>
  <c r="AI24"/>
  <c r="AI22"/>
  <c r="AI20"/>
  <c r="AI18"/>
  <c r="AI16"/>
  <c r="AM115"/>
  <c r="AM113"/>
  <c r="AM111"/>
  <c r="AM109"/>
  <c r="AM107"/>
  <c r="AM105"/>
  <c r="AM103"/>
  <c r="AM101"/>
  <c r="AM99"/>
  <c r="AM97"/>
  <c r="AM95"/>
  <c r="AM93"/>
  <c r="AM91"/>
  <c r="AM89"/>
  <c r="AM87"/>
  <c r="AM85"/>
  <c r="AM83"/>
  <c r="AM81"/>
  <c r="AM79"/>
  <c r="AM77"/>
  <c r="AM75"/>
  <c r="AM73"/>
  <c r="AM71"/>
  <c r="AM69"/>
  <c r="AM67"/>
  <c r="AM65"/>
  <c r="AM63"/>
  <c r="AM61"/>
  <c r="AM59"/>
  <c r="AM57"/>
  <c r="AM55"/>
  <c r="AM53"/>
  <c r="AM51"/>
  <c r="AM49"/>
  <c r="AM47"/>
  <c r="AM45"/>
  <c r="AM43"/>
  <c r="AM41"/>
  <c r="AM39"/>
  <c r="AM37"/>
  <c r="AM35"/>
  <c r="AM33"/>
  <c r="AM31"/>
  <c r="AM29"/>
  <c r="AM27"/>
  <c r="AM25"/>
  <c r="AM23"/>
  <c r="AM21"/>
  <c r="AM19"/>
  <c r="AM17"/>
  <c r="AB116"/>
  <c r="AB114"/>
  <c r="AB112"/>
  <c r="AB110"/>
  <c r="AB108"/>
  <c r="AB106"/>
  <c r="AB104"/>
  <c r="AB102"/>
  <c r="AB100"/>
  <c r="AB98"/>
  <c r="AB96"/>
  <c r="AB94"/>
  <c r="AB92"/>
  <c r="AB90"/>
  <c r="AB88"/>
  <c r="AB86"/>
  <c r="AB84"/>
  <c r="AB82"/>
  <c r="AB80"/>
  <c r="AB78"/>
  <c r="AA28"/>
  <c r="AD116"/>
  <c r="AD114"/>
  <c r="AD112"/>
  <c r="AD110"/>
  <c r="AD108"/>
  <c r="AD106"/>
  <c r="AD104"/>
  <c r="AD102"/>
  <c r="AD100"/>
  <c r="AD98"/>
  <c r="AD96"/>
  <c r="AD94"/>
  <c r="AD92"/>
  <c r="AD90"/>
  <c r="AD88"/>
  <c r="AD86"/>
  <c r="AD84"/>
  <c r="AD82"/>
  <c r="AD80"/>
  <c r="AD78"/>
  <c r="AD76"/>
  <c r="AD74"/>
  <c r="AD72"/>
  <c r="AD70"/>
  <c r="AD68"/>
  <c r="AD66"/>
  <c r="AD64"/>
  <c r="AD62"/>
  <c r="AD60"/>
  <c r="AD58"/>
  <c r="AD56"/>
  <c r="AD54"/>
  <c r="AD52"/>
  <c r="AD50"/>
  <c r="AD48"/>
  <c r="AD46"/>
  <c r="AD44"/>
  <c r="AD42"/>
  <c r="AD40"/>
  <c r="AD38"/>
  <c r="AD36"/>
  <c r="AD34"/>
  <c r="AD32"/>
  <c r="AD30"/>
  <c r="AD28"/>
  <c r="AD26"/>
  <c r="AD24"/>
  <c r="AD22"/>
  <c r="AD20"/>
  <c r="AD18"/>
  <c r="AD16"/>
  <c r="AA115"/>
  <c r="AA113"/>
  <c r="AA111"/>
  <c r="AA109"/>
  <c r="AA107"/>
  <c r="AA105"/>
  <c r="AA103"/>
  <c r="AA101"/>
  <c r="AA99"/>
  <c r="AA97"/>
  <c r="AA95"/>
  <c r="AA93"/>
  <c r="AA91"/>
  <c r="AA89"/>
  <c r="AA87"/>
  <c r="AA85"/>
  <c r="AA83"/>
  <c r="AA81"/>
  <c r="AA79"/>
  <c r="AA77"/>
  <c r="AA75"/>
  <c r="AA73"/>
  <c r="AA71"/>
  <c r="AA69"/>
  <c r="AA67"/>
  <c r="AA65"/>
  <c r="AA63"/>
  <c r="AA61"/>
  <c r="AA59"/>
  <c r="AA57"/>
  <c r="AA55"/>
  <c r="AA53"/>
  <c r="AA51"/>
  <c r="AA49"/>
  <c r="AA47"/>
  <c r="AA45"/>
  <c r="AA43"/>
  <c r="AA41"/>
  <c r="AA39"/>
  <c r="AA37"/>
  <c r="AA35"/>
  <c r="AA33"/>
  <c r="AA31"/>
  <c r="AA29"/>
  <c r="AA25"/>
  <c r="AA23"/>
  <c r="AA21"/>
  <c r="AA19"/>
  <c r="AA17"/>
  <c r="AE116"/>
  <c r="AE114"/>
  <c r="AE112"/>
  <c r="AE110"/>
  <c r="AE108"/>
  <c r="AE106"/>
  <c r="AE104"/>
  <c r="AE102"/>
  <c r="AE100"/>
  <c r="AE98"/>
  <c r="AE96"/>
  <c r="AE94"/>
  <c r="AE92"/>
  <c r="AE90"/>
  <c r="AE88"/>
  <c r="AE86"/>
  <c r="AE84"/>
  <c r="AE82"/>
  <c r="AE80"/>
  <c r="AE78"/>
  <c r="AE76"/>
  <c r="AE74"/>
  <c r="AE72"/>
  <c r="AE70"/>
  <c r="AE68"/>
  <c r="AE66"/>
  <c r="AE64"/>
  <c r="AE62"/>
  <c r="AE60"/>
  <c r="AE58"/>
  <c r="AE56"/>
  <c r="AE54"/>
  <c r="AE52"/>
  <c r="AE50"/>
  <c r="AE48"/>
  <c r="AE46"/>
  <c r="AE44"/>
  <c r="AE42"/>
  <c r="AE40"/>
  <c r="AE38"/>
  <c r="AE36"/>
  <c r="AE34"/>
  <c r="AE32"/>
  <c r="AE30"/>
  <c r="AE28"/>
  <c r="AE26"/>
  <c r="AE24"/>
  <c r="AE22"/>
  <c r="AE20"/>
  <c r="AE18"/>
  <c r="AE16"/>
  <c r="AI115"/>
  <c r="AI113"/>
  <c r="AI111"/>
  <c r="AI109"/>
  <c r="AI107"/>
  <c r="AI105"/>
  <c r="AI103"/>
  <c r="AI101"/>
  <c r="AI99"/>
  <c r="AI97"/>
  <c r="AI95"/>
  <c r="AI93"/>
  <c r="AI91"/>
  <c r="AI89"/>
  <c r="AI87"/>
  <c r="AI85"/>
  <c r="AI83"/>
  <c r="AI81"/>
  <c r="AI79"/>
  <c r="AI77"/>
  <c r="AI75"/>
  <c r="AI73"/>
  <c r="AI71"/>
  <c r="AI69"/>
  <c r="AI67"/>
  <c r="AI65"/>
  <c r="AI63"/>
  <c r="AI61"/>
  <c r="AI59"/>
  <c r="AI57"/>
  <c r="AI55"/>
  <c r="AI53"/>
  <c r="AI51"/>
  <c r="AI49"/>
  <c r="AI47"/>
  <c r="AI45"/>
  <c r="AI43"/>
  <c r="AI41"/>
  <c r="AI39"/>
  <c r="AI37"/>
  <c r="AI35"/>
  <c r="AI33"/>
  <c r="AI31"/>
  <c r="AI29"/>
  <c r="AI27"/>
  <c r="AI25"/>
  <c r="AI23"/>
  <c r="AI21"/>
  <c r="AI19"/>
  <c r="AI17"/>
  <c r="AM116"/>
  <c r="AM114"/>
  <c r="AM112"/>
  <c r="AM110"/>
  <c r="AM108"/>
  <c r="AM106"/>
  <c r="AM104"/>
  <c r="AM102"/>
  <c r="AM100"/>
  <c r="AM98"/>
  <c r="AM96"/>
  <c r="AM94"/>
  <c r="AM92"/>
  <c r="AM90"/>
  <c r="AM88"/>
  <c r="AM86"/>
  <c r="AM84"/>
  <c r="AM82"/>
  <c r="AM80"/>
  <c r="AM78"/>
  <c r="AM76"/>
  <c r="AM74"/>
  <c r="AM72"/>
  <c r="AM70"/>
  <c r="AM68"/>
  <c r="AM66"/>
  <c r="AM64"/>
  <c r="AM62"/>
  <c r="AM60"/>
  <c r="AM58"/>
  <c r="AM56"/>
  <c r="AM54"/>
  <c r="AM52"/>
  <c r="AM50"/>
  <c r="AM48"/>
  <c r="AM46"/>
  <c r="AM44"/>
  <c r="AM42"/>
  <c r="AM40"/>
  <c r="AM38"/>
  <c r="AM36"/>
  <c r="AM34"/>
  <c r="AM32"/>
  <c r="AM30"/>
  <c r="AM28"/>
  <c r="AM26"/>
  <c r="AM24"/>
  <c r="AM22"/>
  <c r="AM20"/>
  <c r="AM18"/>
  <c r="AM16"/>
  <c r="AB115"/>
  <c r="AB113"/>
  <c r="AB111"/>
  <c r="AB109"/>
  <c r="AB107"/>
  <c r="AB105"/>
  <c r="AB103"/>
  <c r="AB101"/>
  <c r="AB99"/>
  <c r="AB97"/>
  <c r="AB95"/>
  <c r="AB93"/>
  <c r="AB91"/>
  <c r="AB89"/>
  <c r="AB87"/>
  <c r="AB85"/>
  <c r="AB83"/>
  <c r="AB81"/>
  <c r="AB79"/>
  <c r="AB77"/>
  <c r="AB75"/>
  <c r="AB73"/>
  <c r="AB71"/>
  <c r="AB69"/>
  <c r="AB67"/>
  <c r="AB65"/>
  <c r="AB63"/>
  <c r="AB61"/>
  <c r="AB59"/>
  <c r="AB57"/>
  <c r="AB55"/>
  <c r="AB53"/>
  <c r="AB51"/>
  <c r="AB49"/>
  <c r="AB47"/>
  <c r="AB45"/>
  <c r="AB43"/>
  <c r="AB41"/>
  <c r="AB39"/>
  <c r="AB37"/>
  <c r="AB35"/>
  <c r="AB33"/>
  <c r="AB31"/>
  <c r="AB29"/>
  <c r="AB27"/>
  <c r="AB25"/>
  <c r="AB23"/>
  <c r="AB21"/>
  <c r="AB19"/>
  <c r="AB17"/>
  <c r="AJ116"/>
  <c r="AJ114"/>
  <c r="AJ112"/>
  <c r="AJ110"/>
  <c r="AJ108"/>
  <c r="AJ106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N115"/>
  <c r="AN113"/>
  <c r="AN111"/>
  <c r="AN109"/>
  <c r="AN107"/>
  <c r="AN105"/>
  <c r="AN103"/>
  <c r="AN101"/>
  <c r="AN99"/>
  <c r="AN97"/>
  <c r="AN95"/>
  <c r="AN93"/>
  <c r="AN91"/>
  <c r="AN89"/>
  <c r="AN87"/>
  <c r="AN85"/>
  <c r="AN83"/>
  <c r="AN81"/>
  <c r="AN79"/>
  <c r="AN77"/>
  <c r="AN75"/>
  <c r="AN73"/>
  <c r="AN71"/>
  <c r="AN69"/>
  <c r="AN67"/>
  <c r="AN65"/>
  <c r="AN63"/>
  <c r="AN61"/>
  <c r="AN59"/>
  <c r="AN57"/>
  <c r="AN55"/>
  <c r="AN53"/>
  <c r="AN51"/>
  <c r="AN49"/>
  <c r="AN47"/>
  <c r="AN45"/>
  <c r="AN43"/>
  <c r="AN41"/>
  <c r="AN39"/>
  <c r="AN37"/>
  <c r="AN35"/>
  <c r="AN33"/>
  <c r="AN31"/>
  <c r="AN29"/>
  <c r="AN27"/>
  <c r="AN25"/>
  <c r="AN23"/>
  <c r="AN21"/>
  <c r="AN19"/>
  <c r="AN17"/>
  <c r="AH116"/>
  <c r="AH114"/>
  <c r="AH112"/>
  <c r="AH110"/>
  <c r="AH108"/>
  <c r="AH106"/>
  <c r="AH104"/>
  <c r="AH102"/>
  <c r="AH100"/>
  <c r="AH98"/>
  <c r="AH96"/>
  <c r="AH94"/>
  <c r="AH92"/>
  <c r="AH90"/>
  <c r="AH88"/>
  <c r="AH86"/>
  <c r="AH84"/>
  <c r="AH82"/>
  <c r="AH80"/>
  <c r="AH78"/>
  <c r="AH76"/>
  <c r="AH74"/>
  <c r="AH72"/>
  <c r="AH70"/>
  <c r="AH68"/>
  <c r="AH66"/>
  <c r="AH64"/>
  <c r="AH62"/>
  <c r="AH60"/>
  <c r="AH58"/>
  <c r="AH56"/>
  <c r="AH54"/>
  <c r="AH52"/>
  <c r="AH50"/>
  <c r="AH48"/>
  <c r="AH46"/>
  <c r="AH44"/>
  <c r="AH42"/>
  <c r="AH40"/>
  <c r="AH38"/>
  <c r="AH36"/>
  <c r="AH34"/>
  <c r="AH32"/>
  <c r="AH30"/>
  <c r="AH28"/>
  <c r="AH26"/>
  <c r="AH24"/>
  <c r="AH22"/>
  <c r="AH20"/>
  <c r="AH18"/>
  <c r="AH16"/>
  <c r="AC115"/>
  <c r="AC113"/>
  <c r="AC111"/>
  <c r="AC109"/>
  <c r="AC107"/>
  <c r="AC105"/>
  <c r="AC103"/>
  <c r="AC101"/>
  <c r="AC99"/>
  <c r="AC97"/>
  <c r="AC95"/>
  <c r="AC93"/>
  <c r="AC91"/>
  <c r="AC89"/>
  <c r="AC87"/>
  <c r="AC85"/>
  <c r="AC83"/>
  <c r="AC81"/>
  <c r="AC79"/>
  <c r="AC77"/>
  <c r="AC75"/>
  <c r="AC73"/>
  <c r="AC71"/>
  <c r="AC69"/>
  <c r="AC67"/>
  <c r="AC65"/>
  <c r="AC63"/>
  <c r="AC61"/>
  <c r="AC59"/>
  <c r="AC57"/>
  <c r="AC55"/>
  <c r="AC53"/>
  <c r="AC51"/>
  <c r="AC49"/>
  <c r="AC47"/>
  <c r="AC45"/>
  <c r="AC43"/>
  <c r="AC41"/>
  <c r="AC39"/>
  <c r="AC37"/>
  <c r="AC35"/>
  <c r="AC33"/>
  <c r="AC31"/>
  <c r="AC29"/>
  <c r="AC27"/>
  <c r="AC25"/>
  <c r="AC23"/>
  <c r="AC21"/>
  <c r="AC19"/>
  <c r="AC17"/>
  <c r="AG116"/>
  <c r="AG114"/>
  <c r="AG112"/>
  <c r="AG110"/>
  <c r="AG108"/>
  <c r="AG106"/>
  <c r="AG104"/>
  <c r="AB74"/>
  <c r="AB70"/>
  <c r="AB66"/>
  <c r="AB62"/>
  <c r="AB58"/>
  <c r="AB54"/>
  <c r="AB50"/>
  <c r="AB46"/>
  <c r="AB42"/>
  <c r="AB38"/>
  <c r="AB34"/>
  <c r="AB30"/>
  <c r="AB26"/>
  <c r="AB22"/>
  <c r="AB18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N116"/>
  <c r="AN112"/>
  <c r="AN108"/>
  <c r="AN104"/>
  <c r="AN100"/>
  <c r="AN96"/>
  <c r="AN92"/>
  <c r="AN88"/>
  <c r="AN84"/>
  <c r="AN80"/>
  <c r="AN76"/>
  <c r="AN72"/>
  <c r="AN68"/>
  <c r="AN64"/>
  <c r="AN60"/>
  <c r="AN56"/>
  <c r="AN52"/>
  <c r="AN48"/>
  <c r="AN44"/>
  <c r="AN40"/>
  <c r="AN36"/>
  <c r="AN32"/>
  <c r="AN28"/>
  <c r="AN24"/>
  <c r="AN20"/>
  <c r="AN16"/>
  <c r="AH113"/>
  <c r="AH109"/>
  <c r="AH105"/>
  <c r="AH101"/>
  <c r="AH97"/>
  <c r="AH93"/>
  <c r="AH89"/>
  <c r="AH85"/>
  <c r="AH81"/>
  <c r="AH77"/>
  <c r="AH73"/>
  <c r="AH69"/>
  <c r="AH65"/>
  <c r="AH61"/>
  <c r="AH57"/>
  <c r="AH53"/>
  <c r="AH49"/>
  <c r="AH45"/>
  <c r="AH41"/>
  <c r="AH37"/>
  <c r="AH33"/>
  <c r="AH29"/>
  <c r="AH25"/>
  <c r="AH21"/>
  <c r="AH17"/>
  <c r="AC114"/>
  <c r="AC110"/>
  <c r="AC106"/>
  <c r="AC102"/>
  <c r="AC98"/>
  <c r="AC94"/>
  <c r="AC90"/>
  <c r="AC86"/>
  <c r="AC82"/>
  <c r="AC78"/>
  <c r="AC74"/>
  <c r="AC70"/>
  <c r="AC66"/>
  <c r="AC62"/>
  <c r="AC58"/>
  <c r="AC54"/>
  <c r="AC50"/>
  <c r="AC46"/>
  <c r="AC42"/>
  <c r="AC38"/>
  <c r="AC34"/>
  <c r="AC30"/>
  <c r="AC26"/>
  <c r="AC22"/>
  <c r="AC18"/>
  <c r="AG115"/>
  <c r="AG111"/>
  <c r="AG107"/>
  <c r="AG103"/>
  <c r="AG101"/>
  <c r="AG99"/>
  <c r="AG97"/>
  <c r="AG95"/>
  <c r="AG93"/>
  <c r="AG91"/>
  <c r="AG89"/>
  <c r="AG87"/>
  <c r="AG85"/>
  <c r="AG83"/>
  <c r="AG81"/>
  <c r="AG79"/>
  <c r="AG77"/>
  <c r="AG75"/>
  <c r="AG73"/>
  <c r="AG71"/>
  <c r="AG69"/>
  <c r="AG67"/>
  <c r="AG65"/>
  <c r="AG63"/>
  <c r="AG61"/>
  <c r="AG59"/>
  <c r="AG57"/>
  <c r="AG55"/>
  <c r="AG53"/>
  <c r="AG51"/>
  <c r="AG49"/>
  <c r="AG47"/>
  <c r="AG45"/>
  <c r="AG43"/>
  <c r="AG41"/>
  <c r="AG39"/>
  <c r="AG37"/>
  <c r="AG35"/>
  <c r="AG33"/>
  <c r="AG31"/>
  <c r="AG29"/>
  <c r="AG27"/>
  <c r="AG25"/>
  <c r="AG23"/>
  <c r="AG21"/>
  <c r="AG19"/>
  <c r="AG17"/>
  <c r="AK116"/>
  <c r="AK114"/>
  <c r="AK112"/>
  <c r="AK110"/>
  <c r="AK108"/>
  <c r="AK106"/>
  <c r="AK104"/>
  <c r="AK102"/>
  <c r="AK100"/>
  <c r="AK98"/>
  <c r="AK96"/>
  <c r="AK94"/>
  <c r="AK92"/>
  <c r="AK90"/>
  <c r="AK88"/>
  <c r="AK86"/>
  <c r="AK84"/>
  <c r="AK82"/>
  <c r="AK80"/>
  <c r="AK78"/>
  <c r="AK76"/>
  <c r="AK74"/>
  <c r="AK72"/>
  <c r="AK70"/>
  <c r="AK68"/>
  <c r="AK66"/>
  <c r="AK64"/>
  <c r="AK62"/>
  <c r="AK60"/>
  <c r="AK58"/>
  <c r="AK56"/>
  <c r="AK54"/>
  <c r="AK52"/>
  <c r="AK50"/>
  <c r="AK48"/>
  <c r="AK46"/>
  <c r="AK44"/>
  <c r="AK42"/>
  <c r="AK40"/>
  <c r="AK38"/>
  <c r="AK36"/>
  <c r="AK34"/>
  <c r="AK32"/>
  <c r="AK30"/>
  <c r="AK28"/>
  <c r="AK26"/>
  <c r="AK24"/>
  <c r="AK22"/>
  <c r="AK20"/>
  <c r="AK18"/>
  <c r="AK16"/>
  <c r="AO115"/>
  <c r="AO113"/>
  <c r="AO111"/>
  <c r="AO109"/>
  <c r="AO107"/>
  <c r="AO105"/>
  <c r="AO103"/>
  <c r="AO101"/>
  <c r="AO99"/>
  <c r="AO97"/>
  <c r="AO95"/>
  <c r="AO93"/>
  <c r="AO91"/>
  <c r="AO89"/>
  <c r="AO87"/>
  <c r="AO85"/>
  <c r="AO83"/>
  <c r="AO81"/>
  <c r="AO79"/>
  <c r="AO77"/>
  <c r="AO75"/>
  <c r="AO73"/>
  <c r="AO71"/>
  <c r="AO69"/>
  <c r="AO67"/>
  <c r="AO65"/>
  <c r="AO63"/>
  <c r="AO61"/>
  <c r="AO59"/>
  <c r="AO57"/>
  <c r="AO55"/>
  <c r="AO53"/>
  <c r="AO51"/>
  <c r="AO49"/>
  <c r="AO47"/>
  <c r="AO45"/>
  <c r="AO43"/>
  <c r="AO41"/>
  <c r="AO39"/>
  <c r="AO37"/>
  <c r="AO35"/>
  <c r="AO33"/>
  <c r="AO31"/>
  <c r="AO29"/>
  <c r="AO27"/>
  <c r="AO25"/>
  <c r="AO23"/>
  <c r="AO21"/>
  <c r="AO19"/>
  <c r="AO17"/>
  <c r="AF116"/>
  <c r="AF114"/>
  <c r="AF112"/>
  <c r="AF110"/>
  <c r="AF108"/>
  <c r="AF106"/>
  <c r="AF104"/>
  <c r="AF102"/>
  <c r="AF100"/>
  <c r="AF98"/>
  <c r="AF96"/>
  <c r="AF94"/>
  <c r="AF92"/>
  <c r="AF90"/>
  <c r="AF88"/>
  <c r="AF86"/>
  <c r="AF84"/>
  <c r="AF82"/>
  <c r="AF80"/>
  <c r="AF78"/>
  <c r="AF76"/>
  <c r="AF74"/>
  <c r="AF72"/>
  <c r="AF70"/>
  <c r="AF68"/>
  <c r="AF66"/>
  <c r="AF64"/>
  <c r="AF62"/>
  <c r="AF60"/>
  <c r="AF58"/>
  <c r="AF56"/>
  <c r="AF54"/>
  <c r="AF52"/>
  <c r="AF50"/>
  <c r="AF48"/>
  <c r="AF46"/>
  <c r="AF44"/>
  <c r="AF42"/>
  <c r="AF40"/>
  <c r="AF38"/>
  <c r="AF36"/>
  <c r="AF34"/>
  <c r="AF32"/>
  <c r="AF30"/>
  <c r="AF28"/>
  <c r="AF26"/>
  <c r="AF24"/>
  <c r="AF22"/>
  <c r="AF20"/>
  <c r="AF18"/>
  <c r="AF16"/>
  <c r="AL115"/>
  <c r="AL113"/>
  <c r="AL111"/>
  <c r="AL109"/>
  <c r="AL107"/>
  <c r="AL105"/>
  <c r="AL103"/>
  <c r="AL101"/>
  <c r="AL99"/>
  <c r="AL97"/>
  <c r="AL95"/>
  <c r="AL93"/>
  <c r="AL91"/>
  <c r="AL89"/>
  <c r="AL87"/>
  <c r="AL85"/>
  <c r="AL83"/>
  <c r="AL81"/>
  <c r="AL79"/>
  <c r="AL77"/>
  <c r="AL75"/>
  <c r="AL73"/>
  <c r="AL71"/>
  <c r="AL69"/>
  <c r="AL67"/>
  <c r="AL65"/>
  <c r="AL63"/>
  <c r="AL61"/>
  <c r="AL59"/>
  <c r="AL57"/>
  <c r="AL55"/>
  <c r="AL53"/>
  <c r="AL51"/>
  <c r="AL49"/>
  <c r="AL47"/>
  <c r="AL45"/>
  <c r="AL43"/>
  <c r="AL41"/>
  <c r="AL39"/>
  <c r="AL37"/>
  <c r="AL35"/>
  <c r="AL33"/>
  <c r="AL31"/>
  <c r="AL29"/>
  <c r="AL27"/>
  <c r="AL25"/>
  <c r="AL23"/>
  <c r="AL21"/>
  <c r="AL19"/>
  <c r="AL17"/>
  <c r="AP116"/>
  <c r="AP114"/>
  <c r="AP112"/>
  <c r="AP110"/>
  <c r="AP108"/>
  <c r="AP106"/>
  <c r="AP104"/>
  <c r="AP102"/>
  <c r="AP100"/>
  <c r="AP98"/>
  <c r="AP96"/>
  <c r="AP94"/>
  <c r="AP92"/>
  <c r="AP90"/>
  <c r="AP88"/>
  <c r="AP86"/>
  <c r="AP84"/>
  <c r="AP82"/>
  <c r="AP80"/>
  <c r="AP78"/>
  <c r="AP76"/>
  <c r="AP74"/>
  <c r="AP72"/>
  <c r="AP70"/>
  <c r="AP68"/>
  <c r="AP66"/>
  <c r="AP64"/>
  <c r="AP62"/>
  <c r="AP60"/>
  <c r="AP58"/>
  <c r="AP56"/>
  <c r="AP54"/>
  <c r="AP52"/>
  <c r="AP50"/>
  <c r="AP48"/>
  <c r="AP46"/>
  <c r="AP44"/>
  <c r="AP42"/>
  <c r="AP40"/>
  <c r="AP38"/>
  <c r="AP36"/>
  <c r="AP34"/>
  <c r="AP30"/>
  <c r="AP28"/>
  <c r="AP24"/>
  <c r="AP20"/>
  <c r="AP16"/>
  <c r="AB76"/>
  <c r="AB72"/>
  <c r="AB68"/>
  <c r="AB64"/>
  <c r="AB60"/>
  <c r="AB56"/>
  <c r="AB52"/>
  <c r="AB48"/>
  <c r="AB44"/>
  <c r="AB40"/>
  <c r="AB36"/>
  <c r="AB32"/>
  <c r="AB28"/>
  <c r="AB24"/>
  <c r="AB20"/>
  <c r="AB16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N114"/>
  <c r="AN110"/>
  <c r="AN106"/>
  <c r="AN102"/>
  <c r="AN98"/>
  <c r="AN94"/>
  <c r="AN90"/>
  <c r="AN86"/>
  <c r="AN82"/>
  <c r="AN78"/>
  <c r="AN74"/>
  <c r="AN70"/>
  <c r="AN66"/>
  <c r="AN62"/>
  <c r="AN58"/>
  <c r="AN54"/>
  <c r="AN50"/>
  <c r="AN46"/>
  <c r="AN42"/>
  <c r="AN38"/>
  <c r="AN34"/>
  <c r="AN30"/>
  <c r="AN26"/>
  <c r="AN22"/>
  <c r="AN18"/>
  <c r="AH115"/>
  <c r="AH111"/>
  <c r="AH107"/>
  <c r="AH103"/>
  <c r="AH99"/>
  <c r="AH95"/>
  <c r="AH91"/>
  <c r="AH87"/>
  <c r="AH83"/>
  <c r="AH79"/>
  <c r="AH75"/>
  <c r="AH71"/>
  <c r="AH67"/>
  <c r="AH63"/>
  <c r="AH59"/>
  <c r="AH55"/>
  <c r="AH51"/>
  <c r="AH47"/>
  <c r="AH43"/>
  <c r="AH39"/>
  <c r="AH35"/>
  <c r="AH31"/>
  <c r="AH27"/>
  <c r="AH23"/>
  <c r="AH19"/>
  <c r="AC116"/>
  <c r="AC112"/>
  <c r="AC108"/>
  <c r="AC104"/>
  <c r="AC100"/>
  <c r="AC96"/>
  <c r="AC92"/>
  <c r="AC88"/>
  <c r="AC84"/>
  <c r="AC80"/>
  <c r="AC76"/>
  <c r="AC72"/>
  <c r="AC68"/>
  <c r="AC64"/>
  <c r="AC60"/>
  <c r="AC56"/>
  <c r="AC52"/>
  <c r="AC48"/>
  <c r="AC44"/>
  <c r="AC40"/>
  <c r="AC36"/>
  <c r="AC32"/>
  <c r="AC28"/>
  <c r="AC24"/>
  <c r="AC20"/>
  <c r="AC16"/>
  <c r="AG113"/>
  <c r="AG109"/>
  <c r="AG105"/>
  <c r="AG102"/>
  <c r="AG100"/>
  <c r="AG98"/>
  <c r="AG96"/>
  <c r="AG94"/>
  <c r="AG92"/>
  <c r="AG90"/>
  <c r="AG88"/>
  <c r="AG86"/>
  <c r="AG84"/>
  <c r="AG82"/>
  <c r="AG80"/>
  <c r="AG78"/>
  <c r="AG76"/>
  <c r="AG74"/>
  <c r="AG72"/>
  <c r="AG70"/>
  <c r="AG68"/>
  <c r="AG66"/>
  <c r="AG64"/>
  <c r="AG62"/>
  <c r="AG60"/>
  <c r="AG58"/>
  <c r="AG56"/>
  <c r="AG54"/>
  <c r="AG52"/>
  <c r="AG50"/>
  <c r="AG48"/>
  <c r="AG46"/>
  <c r="AG44"/>
  <c r="AG42"/>
  <c r="AG40"/>
  <c r="AG38"/>
  <c r="AG36"/>
  <c r="AG34"/>
  <c r="AG32"/>
  <c r="AG30"/>
  <c r="AG28"/>
  <c r="AG26"/>
  <c r="AG24"/>
  <c r="AG22"/>
  <c r="AG20"/>
  <c r="AG18"/>
  <c r="AG16"/>
  <c r="AK115"/>
  <c r="AK113"/>
  <c r="AK111"/>
  <c r="AK109"/>
  <c r="AK107"/>
  <c r="AK105"/>
  <c r="AK103"/>
  <c r="AK101"/>
  <c r="AK99"/>
  <c r="AK97"/>
  <c r="AK95"/>
  <c r="AK93"/>
  <c r="AK91"/>
  <c r="AK89"/>
  <c r="AK87"/>
  <c r="AK85"/>
  <c r="AK83"/>
  <c r="AK81"/>
  <c r="AK79"/>
  <c r="AK77"/>
  <c r="AK75"/>
  <c r="AK73"/>
  <c r="AK71"/>
  <c r="AK69"/>
  <c r="AK67"/>
  <c r="AK65"/>
  <c r="AK63"/>
  <c r="AK61"/>
  <c r="AK59"/>
  <c r="AK57"/>
  <c r="AK55"/>
  <c r="AK53"/>
  <c r="AK51"/>
  <c r="AK49"/>
  <c r="AK47"/>
  <c r="AK45"/>
  <c r="AK43"/>
  <c r="AK41"/>
  <c r="AK39"/>
  <c r="AK37"/>
  <c r="AK35"/>
  <c r="AK33"/>
  <c r="AK31"/>
  <c r="AK29"/>
  <c r="AK27"/>
  <c r="AK25"/>
  <c r="AK23"/>
  <c r="AK21"/>
  <c r="AK19"/>
  <c r="AK17"/>
  <c r="AO116"/>
  <c r="AO114"/>
  <c r="AO112"/>
  <c r="AO110"/>
  <c r="AO108"/>
  <c r="AO106"/>
  <c r="AO104"/>
  <c r="AO102"/>
  <c r="AO100"/>
  <c r="AO98"/>
  <c r="AO96"/>
  <c r="AO94"/>
  <c r="AO92"/>
  <c r="AO90"/>
  <c r="AO88"/>
  <c r="AO86"/>
  <c r="AO84"/>
  <c r="AO82"/>
  <c r="AO80"/>
  <c r="AO78"/>
  <c r="AO76"/>
  <c r="AO74"/>
  <c r="AO72"/>
  <c r="AO70"/>
  <c r="AO68"/>
  <c r="AO66"/>
  <c r="AO64"/>
  <c r="AO62"/>
  <c r="AO60"/>
  <c r="AO58"/>
  <c r="AO56"/>
  <c r="AO54"/>
  <c r="AO52"/>
  <c r="AO50"/>
  <c r="AO48"/>
  <c r="AO46"/>
  <c r="AO44"/>
  <c r="AO42"/>
  <c r="AO40"/>
  <c r="AO38"/>
  <c r="AO36"/>
  <c r="AO34"/>
  <c r="AO32"/>
  <c r="AO30"/>
  <c r="AO28"/>
  <c r="AO26"/>
  <c r="AO24"/>
  <c r="AO22"/>
  <c r="AO20"/>
  <c r="AO18"/>
  <c r="AO16"/>
  <c r="AF115"/>
  <c r="AF113"/>
  <c r="AF111"/>
  <c r="AF109"/>
  <c r="AF107"/>
  <c r="AF105"/>
  <c r="AF103"/>
  <c r="AF101"/>
  <c r="AF99"/>
  <c r="AF97"/>
  <c r="AF95"/>
  <c r="AF93"/>
  <c r="AF91"/>
  <c r="AF89"/>
  <c r="AF87"/>
  <c r="AF85"/>
  <c r="AF83"/>
  <c r="AF81"/>
  <c r="AF79"/>
  <c r="AF77"/>
  <c r="AF75"/>
  <c r="AF73"/>
  <c r="AF71"/>
  <c r="AF69"/>
  <c r="AF67"/>
  <c r="AF65"/>
  <c r="AF63"/>
  <c r="AF61"/>
  <c r="AF59"/>
  <c r="AF57"/>
  <c r="AF55"/>
  <c r="AF53"/>
  <c r="AF51"/>
  <c r="AF49"/>
  <c r="AF47"/>
  <c r="AF45"/>
  <c r="AF43"/>
  <c r="AF41"/>
  <c r="AF39"/>
  <c r="AF37"/>
  <c r="AF35"/>
  <c r="AF33"/>
  <c r="AF31"/>
  <c r="AF29"/>
  <c r="AF27"/>
  <c r="AF25"/>
  <c r="AF23"/>
  <c r="AF21"/>
  <c r="AF19"/>
  <c r="AF17"/>
  <c r="AL116"/>
  <c r="AL114"/>
  <c r="AL112"/>
  <c r="AL110"/>
  <c r="AL108"/>
  <c r="AL106"/>
  <c r="AL104"/>
  <c r="AL102"/>
  <c r="AL100"/>
  <c r="AL98"/>
  <c r="AL96"/>
  <c r="AL94"/>
  <c r="AL92"/>
  <c r="AL90"/>
  <c r="AL88"/>
  <c r="AL86"/>
  <c r="AL84"/>
  <c r="AL82"/>
  <c r="AL80"/>
  <c r="AL78"/>
  <c r="AL76"/>
  <c r="AL74"/>
  <c r="AL72"/>
  <c r="AL70"/>
  <c r="AL68"/>
  <c r="AL66"/>
  <c r="AL64"/>
  <c r="AL62"/>
  <c r="AL60"/>
  <c r="AL58"/>
  <c r="AL56"/>
  <c r="AL54"/>
  <c r="AL52"/>
  <c r="AL50"/>
  <c r="AL48"/>
  <c r="AL46"/>
  <c r="AL44"/>
  <c r="AL42"/>
  <c r="AL40"/>
  <c r="AL38"/>
  <c r="AL36"/>
  <c r="AL34"/>
  <c r="AL32"/>
  <c r="AL30"/>
  <c r="AL28"/>
  <c r="AL26"/>
  <c r="AL24"/>
  <c r="AL22"/>
  <c r="AL20"/>
  <c r="AL18"/>
  <c r="AL16"/>
  <c r="AP115"/>
  <c r="AP113"/>
  <c r="AP111"/>
  <c r="AP109"/>
  <c r="AP107"/>
  <c r="AP105"/>
  <c r="AP103"/>
  <c r="AP101"/>
  <c r="AP99"/>
  <c r="AP97"/>
  <c r="AP95"/>
  <c r="AP93"/>
  <c r="AP91"/>
  <c r="AP89"/>
  <c r="AP87"/>
  <c r="AP85"/>
  <c r="AP83"/>
  <c r="AP81"/>
  <c r="AP79"/>
  <c r="AP77"/>
  <c r="AP75"/>
  <c r="AP73"/>
  <c r="AP71"/>
  <c r="AP69"/>
  <c r="AP67"/>
  <c r="AP65"/>
  <c r="AP63"/>
  <c r="AP61"/>
  <c r="AP59"/>
  <c r="AP57"/>
  <c r="AP55"/>
  <c r="AP53"/>
  <c r="AP51"/>
  <c r="AP49"/>
  <c r="AP47"/>
  <c r="AP45"/>
  <c r="AP43"/>
  <c r="AP41"/>
  <c r="AP39"/>
  <c r="AP37"/>
  <c r="AP35"/>
  <c r="AP33"/>
  <c r="AP31"/>
  <c r="AP29"/>
  <c r="AP27"/>
  <c r="AP25"/>
  <c r="AP23"/>
  <c r="AP21"/>
  <c r="AP19"/>
  <c r="AP17"/>
  <c r="AP32"/>
  <c r="AP26"/>
  <c r="AP22"/>
  <c r="AP18"/>
  <c r="F12" l="1"/>
  <c r="D12"/>
  <c r="D10"/>
  <c r="F11"/>
  <c r="D11"/>
  <c r="F13"/>
  <c r="D13"/>
  <c r="F14"/>
  <c r="D14"/>
  <c r="F15"/>
  <c r="D15"/>
  <c r="F16"/>
  <c r="D16"/>
  <c r="F17"/>
  <c r="D17"/>
  <c r="F18"/>
  <c r="D18"/>
  <c r="F19"/>
  <c r="D19"/>
  <c r="F20"/>
  <c r="D20"/>
  <c r="AL13"/>
  <c r="AO13"/>
  <c r="AG13"/>
  <c r="AC13"/>
  <c r="AB13"/>
  <c r="AP13"/>
  <c r="AF13"/>
  <c r="AK13"/>
  <c r="AN13"/>
  <c r="AH13"/>
  <c r="AJ13"/>
  <c r="AM13"/>
  <c r="AE13"/>
  <c r="AD13"/>
  <c r="AI13"/>
  <c r="AA13"/>
  <c r="C2"/>
  <c r="K5" i="1" s="1"/>
  <c r="S25" i="7"/>
  <c r="S24"/>
  <c r="S23"/>
  <c r="S22"/>
  <c r="S21"/>
  <c r="S20"/>
  <c r="S19"/>
  <c r="S18"/>
  <c r="S17"/>
  <c r="C1"/>
  <c r="D1" s="1"/>
  <c r="E1" s="1"/>
  <c r="F1" s="1"/>
  <c r="G1" s="1"/>
  <c r="H1" s="1"/>
  <c r="I1" s="1"/>
  <c r="J1" s="1"/>
  <c r="K1" s="1"/>
  <c r="Q25"/>
  <c r="Q24"/>
  <c r="Q23"/>
  <c r="Q22"/>
  <c r="Q21"/>
  <c r="Q20"/>
  <c r="Q19"/>
  <c r="Q18"/>
  <c r="Q17"/>
  <c r="A7" i="2"/>
  <c r="A6"/>
  <c r="A5"/>
  <c r="S1"/>
  <c r="C1" i="3"/>
  <c r="T1" i="2" s="1"/>
  <c r="A1"/>
  <c r="F5" l="1"/>
  <c r="U24" i="7"/>
  <c r="D1" i="3"/>
  <c r="U1" i="2" s="1"/>
  <c r="U17" i="7"/>
  <c r="U19"/>
  <c r="U21"/>
  <c r="U23"/>
  <c r="U25"/>
  <c r="U18"/>
  <c r="U20"/>
  <c r="U22"/>
  <c r="N17"/>
  <c r="N19"/>
  <c r="N18"/>
  <c r="O22"/>
  <c r="O25"/>
  <c r="O24"/>
  <c r="O23"/>
  <c r="O21"/>
  <c r="O20"/>
  <c r="O19"/>
  <c r="O18"/>
  <c r="O17"/>
  <c r="E1" i="3" l="1"/>
  <c r="E15" i="2" l="1"/>
  <c r="E18"/>
  <c r="C19"/>
  <c r="E19"/>
  <c r="C12"/>
  <c r="E12"/>
  <c r="C13"/>
  <c r="E13"/>
  <c r="C14"/>
  <c r="E14"/>
  <c r="C11"/>
  <c r="E11"/>
  <c r="E16"/>
  <c r="C16"/>
  <c r="C20"/>
  <c r="E20"/>
  <c r="E17"/>
  <c r="C17"/>
  <c r="C18"/>
  <c r="C15"/>
  <c r="F1" i="3"/>
  <c r="W1" i="2" s="1"/>
  <c r="V1"/>
  <c r="N20" i="7"/>
  <c r="G1" i="3" l="1"/>
  <c r="N21" i="7"/>
  <c r="H1" i="3" l="1"/>
  <c r="X1" i="2"/>
  <c r="N22" i="7"/>
  <c r="D5" i="2"/>
  <c r="F6"/>
  <c r="D6"/>
  <c r="E4" i="1" s="1"/>
  <c r="F4" l="1"/>
  <c r="D4"/>
  <c r="I1" i="3"/>
  <c r="Y1" i="2"/>
  <c r="N23" i="7"/>
  <c r="B28" i="2"/>
  <c r="E3" i="1"/>
  <c r="B29" i="2"/>
  <c r="D3" i="1" l="1"/>
  <c r="F3"/>
  <c r="J1" i="3"/>
  <c r="N24" i="7"/>
  <c r="B27" i="2"/>
  <c r="B30" s="1"/>
  <c r="B31" s="1"/>
  <c r="B32" s="1"/>
  <c r="B33" s="1"/>
  <c r="B34" s="1"/>
  <c r="C34"/>
  <c r="C33"/>
  <c r="C29"/>
  <c r="C32"/>
  <c r="C31"/>
  <c r="C30"/>
  <c r="K1" i="3" l="1"/>
  <c r="N25" i="7"/>
  <c r="L1" i="3" l="1"/>
  <c r="M1" l="1"/>
  <c r="N1" l="1"/>
  <c r="O1" l="1"/>
  <c r="P1" l="1"/>
  <c r="Q1" l="1"/>
  <c r="R1" l="1"/>
  <c r="S1" l="1"/>
  <c r="T1" l="1"/>
  <c r="U1" l="1"/>
  <c r="V1" l="1"/>
  <c r="W1" l="1"/>
  <c r="X1" l="1"/>
  <c r="Y1" l="1"/>
  <c r="Z1" l="1"/>
  <c r="AA1" l="1"/>
  <c r="AB1" l="1"/>
  <c r="AC1" l="1"/>
  <c r="AD1" l="1"/>
  <c r="AE1" l="1"/>
  <c r="AF1" l="1"/>
  <c r="AG1" l="1"/>
  <c r="F10" i="2" l="1"/>
  <c r="F7"/>
  <c r="D7" l="1"/>
  <c r="E5" i="1" s="1"/>
  <c r="C10" i="2"/>
  <c r="E10"/>
  <c r="D5" i="1" l="1"/>
  <c r="F5"/>
</calcChain>
</file>

<file path=xl/sharedStrings.xml><?xml version="1.0" encoding="utf-8"?>
<sst xmlns="http://schemas.openxmlformats.org/spreadsheetml/2006/main" count="56" uniqueCount="44">
  <si>
    <t>Linearity (%FSR)</t>
  </si>
  <si>
    <t>Range</t>
  </si>
  <si>
    <t>Mean</t>
  </si>
  <si>
    <t>Stdev</t>
  </si>
  <si>
    <t>average</t>
  </si>
  <si>
    <t>calibrated</t>
  </si>
  <si>
    <t>+1.5S</t>
  </si>
  <si>
    <t>-1.5S</t>
  </si>
  <si>
    <t>DUT</t>
  </si>
  <si>
    <t>CAL</t>
  </si>
  <si>
    <t>#</t>
  </si>
  <si>
    <t>Label</t>
  </si>
  <si>
    <t>Sub Label</t>
  </si>
  <si>
    <t>Unit</t>
  </si>
  <si>
    <t>Xfer Function</t>
  </si>
  <si>
    <t>Gain</t>
  </si>
  <si>
    <t>Offset</t>
  </si>
  <si>
    <t>Xfer</t>
  </si>
  <si>
    <t>%FSR</t>
  </si>
  <si>
    <t>select= { 0, 1 }</t>
  </si>
  <si>
    <t>Gain Histogram</t>
  </si>
  <si>
    <t>max</t>
  </si>
  <si>
    <t>min</t>
  </si>
  <si>
    <t>step</t>
  </si>
  <si>
    <t>count=</t>
  </si>
  <si>
    <t>ND</t>
  </si>
  <si>
    <t>start</t>
  </si>
  <si>
    <t>end</t>
  </si>
  <si>
    <t>slope</t>
  </si>
  <si>
    <t>intercept</t>
  </si>
  <si>
    <t>Offset (%FSR)</t>
  </si>
  <si>
    <r>
      <t>Gain (uW/cm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</si>
  <si>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uW/cm</t>
    </r>
    <r>
      <rPr>
        <vertAlign val="superscript"/>
        <sz val="11"/>
        <color theme="1"/>
        <rFont val="Calibri"/>
        <family val="2"/>
        <scheme val="minor"/>
      </rPr>
      <t>2</t>
    </r>
  </si>
  <si>
    <t>Sleep:</t>
  </si>
  <si>
    <t>#/samples:</t>
  </si>
  <si>
    <t>stdev</t>
  </si>
  <si>
    <t>mean</t>
  </si>
  <si>
    <t>uW</t>
  </si>
  <si>
    <r>
      <t>FSR/(uW/cm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</si>
  <si>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Watts</t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</si>
  <si>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</si>
  <si>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</si>
  <si>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Low</t>
  </si>
  <si>
    <t>High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</si>
</sst>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3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0" borderId="3" xfId="0" applyBorder="1" applyAlignment="1">
      <alignment horizontal="center"/>
    </xf>
    <xf numFmtId="2" fontId="0" fillId="2" borderId="2" xfId="0" applyNumberFormat="1" applyFill="1" applyBorder="1"/>
    <xf numFmtId="2" fontId="0" fillId="2" borderId="4" xfId="0" applyNumberFormat="1" applyFill="1" applyBorder="1"/>
    <xf numFmtId="0" fontId="0" fillId="0" borderId="5" xfId="0" applyBorder="1"/>
    <xf numFmtId="1" fontId="0" fillId="2" borderId="8" xfId="0" applyNumberFormat="1" applyFill="1" applyBorder="1" applyAlignment="1">
      <alignment horizontal="right"/>
    </xf>
    <xf numFmtId="0" fontId="0" fillId="0" borderId="10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1" fontId="0" fillId="2" borderId="9" xfId="0" applyNumberFormat="1" applyFill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Fill="1" applyBorder="1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1" xfId="0" applyNumberFormat="1" applyFont="1" applyBorder="1" applyAlignment="1">
      <alignment horizontal="center"/>
    </xf>
    <xf numFmtId="165" fontId="0" fillId="0" borderId="10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0" fontId="0" fillId="0" borderId="0" xfId="0" applyFill="1" applyAlignment="1"/>
    <xf numFmtId="0" fontId="0" fillId="0" borderId="0" xfId="0" applyAlignment="1">
      <alignment horizontal="center"/>
    </xf>
    <xf numFmtId="9" fontId="0" fillId="0" borderId="0" xfId="0" applyNumberFormat="1"/>
    <xf numFmtId="0" fontId="0" fillId="0" borderId="0" xfId="0" applyNumberFormat="1"/>
    <xf numFmtId="0" fontId="0" fillId="0" borderId="13" xfId="0" applyBorder="1"/>
    <xf numFmtId="9" fontId="0" fillId="0" borderId="14" xfId="0" applyNumberFormat="1" applyBorder="1"/>
    <xf numFmtId="0" fontId="0" fillId="0" borderId="15" xfId="0" applyBorder="1"/>
    <xf numFmtId="9" fontId="0" fillId="0" borderId="16" xfId="0" applyNumberFormat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Calculations!$B$26</c:f>
              <c:strCache>
                <c:ptCount val="1"/>
                <c:pt idx="0">
                  <c:v>Gain Histogram</c:v>
                </c:pt>
              </c:strCache>
            </c:strRef>
          </c:tx>
          <c:cat>
            <c:numRef>
              <c:f>Calculations!$B$29:$B$34</c:f>
              <c:numCache>
                <c:formatCode>0.0</c:formatCode>
                <c:ptCount val="6"/>
                <c:pt idx="0">
                  <c:v>83.088940400403089</c:v>
                </c:pt>
                <c:pt idx="1">
                  <c:v>84.887165661453352</c:v>
                </c:pt>
                <c:pt idx="2">
                  <c:v>86.685390922503615</c:v>
                </c:pt>
                <c:pt idx="3">
                  <c:v>88.483616183553877</c:v>
                </c:pt>
                <c:pt idx="4">
                  <c:v>90.28184144460414</c:v>
                </c:pt>
                <c:pt idx="5">
                  <c:v>92.080066705654403</c:v>
                </c:pt>
              </c:numCache>
            </c:numRef>
          </c:cat>
          <c:val>
            <c:numRef>
              <c:f>Calculations!$C$29:$C$34</c:f>
              <c:numCache>
                <c:formatCode>0.0%</c:formatCode>
                <c:ptCount val="6"/>
                <c:pt idx="0">
                  <c:v>7.1428571428571425E-2</c:v>
                </c:pt>
                <c:pt idx="1">
                  <c:v>7.1428571428571425E-2</c:v>
                </c:pt>
                <c:pt idx="2">
                  <c:v>0.25</c:v>
                </c:pt>
                <c:pt idx="3">
                  <c:v>0.14285714285714285</c:v>
                </c:pt>
                <c:pt idx="4">
                  <c:v>0.39285714285714285</c:v>
                </c:pt>
                <c:pt idx="5">
                  <c:v>7.1428571428571425E-2</c:v>
                </c:pt>
              </c:numCache>
            </c:numRef>
          </c:val>
        </c:ser>
        <c:axId val="186967168"/>
        <c:axId val="195821952"/>
      </c:barChart>
      <c:catAx>
        <c:axId val="186967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Full Scale</a:t>
                </a:r>
                <a:r>
                  <a:rPr lang="en-US" baseline="0"/>
                  <a:t> in uW/cm</a:t>
                </a:r>
                <a:r>
                  <a:rPr lang="en-US" baseline="30000"/>
                  <a:t>2</a:t>
                </a:r>
              </a:p>
            </c:rich>
          </c:tx>
          <c:layout/>
        </c:title>
        <c:numFmt formatCode="0.0" sourceLinked="1"/>
        <c:tickLblPos val="nextTo"/>
        <c:crossAx val="195821952"/>
        <c:crosses val="autoZero"/>
        <c:auto val="1"/>
        <c:lblAlgn val="ctr"/>
        <c:lblOffset val="100"/>
      </c:catAx>
      <c:valAx>
        <c:axId val="1958219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0"/>
        <c:tickLblPos val="nextTo"/>
        <c:crossAx val="186967168"/>
        <c:crosses val="autoZero"/>
        <c:crossBetween val="between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Transfer Function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Calculations!$C$9</c:f>
              <c:strCache>
                <c:ptCount val="1"/>
                <c:pt idx="0">
                  <c:v>-1.5S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Calculations!$C$10:$C$20</c:f>
              <c:numCache>
                <c:formatCode>0.0%</c:formatCode>
                <c:ptCount val="11"/>
                <c:pt idx="0">
                  <c:v>0</c:v>
                </c:pt>
                <c:pt idx="1">
                  <c:v>-8.3740639169429757E-3</c:v>
                </c:pt>
                <c:pt idx="2">
                  <c:v>1.0706015159690132E-2</c:v>
                </c:pt>
                <c:pt idx="3">
                  <c:v>6.7286091556403383E-3</c:v>
                </c:pt>
                <c:pt idx="4">
                  <c:v>-1.0022767884849664E-3</c:v>
                </c:pt>
                <c:pt idx="5">
                  <c:v>-2.1929520451124777E-3</c:v>
                </c:pt>
                <c:pt idx="6">
                  <c:v>-7.5161831617335927E-3</c:v>
                </c:pt>
                <c:pt idx="7">
                  <c:v>-1.3525263275548458E-2</c:v>
                </c:pt>
                <c:pt idx="8">
                  <c:v>-1.8304695665483504E-2</c:v>
                </c:pt>
                <c:pt idx="9">
                  <c:v>-1.2541816260264753E-2</c:v>
                </c:pt>
                <c:pt idx="1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Calculations!$D$9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Calculations!$D$10:$D$20</c:f>
              <c:numCache>
                <c:formatCode>0.0%</c:formatCode>
                <c:ptCount val="11"/>
                <c:pt idx="0">
                  <c:v>0</c:v>
                </c:pt>
                <c:pt idx="1">
                  <c:v>3.4029408624129637E-3</c:v>
                </c:pt>
                <c:pt idx="2">
                  <c:v>1.7725410472069467E-2</c:v>
                </c:pt>
                <c:pt idx="3">
                  <c:v>1.4178607612848282E-2</c:v>
                </c:pt>
                <c:pt idx="4">
                  <c:v>9.779765137604304E-3</c:v>
                </c:pt>
                <c:pt idx="5">
                  <c:v>9.3546392662184584E-3</c:v>
                </c:pt>
                <c:pt idx="6">
                  <c:v>5.9842190572193688E-3</c:v>
                </c:pt>
                <c:pt idx="7">
                  <c:v>3.74004670551845E-3</c:v>
                </c:pt>
                <c:pt idx="8">
                  <c:v>1.5401691198348999E-3</c:v>
                </c:pt>
                <c:pt idx="9">
                  <c:v>1.4427708727972849E-3</c:v>
                </c:pt>
                <c:pt idx="1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Calculations!$E$9</c:f>
              <c:strCache>
                <c:ptCount val="1"/>
                <c:pt idx="0">
                  <c:v>+1.5S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Calculations!$E$10:$E$20</c:f>
              <c:numCache>
                <c:formatCode>0.0%</c:formatCode>
                <c:ptCount val="11"/>
                <c:pt idx="0">
                  <c:v>0</c:v>
                </c:pt>
                <c:pt idx="1">
                  <c:v>1.5179945641768904E-2</c:v>
                </c:pt>
                <c:pt idx="2">
                  <c:v>2.4744805784448803E-2</c:v>
                </c:pt>
                <c:pt idx="3">
                  <c:v>2.1628606070056226E-2</c:v>
                </c:pt>
                <c:pt idx="4">
                  <c:v>2.0561807063693573E-2</c:v>
                </c:pt>
                <c:pt idx="5">
                  <c:v>2.0902230577549395E-2</c:v>
                </c:pt>
                <c:pt idx="6">
                  <c:v>1.9484621276172329E-2</c:v>
                </c:pt>
                <c:pt idx="7">
                  <c:v>2.1005356686585357E-2</c:v>
                </c:pt>
                <c:pt idx="8">
                  <c:v>2.1385033905153304E-2</c:v>
                </c:pt>
                <c:pt idx="9">
                  <c:v>1.5427358005859324E-2</c:v>
                </c:pt>
                <c:pt idx="10">
                  <c:v>0</c:v>
                </c:pt>
              </c:numCache>
            </c:numRef>
          </c:yVal>
        </c:ser>
        <c:axId val="195865984"/>
        <c:axId val="195897216"/>
      </c:scatterChart>
      <c:valAx>
        <c:axId val="195865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Power in uW/cm</a:t>
                </a:r>
                <a:r>
                  <a:rPr lang="en-US" baseline="30000"/>
                  <a:t>2</a:t>
                </a:r>
              </a:p>
            </c:rich>
          </c:tx>
          <c:layout/>
        </c:title>
        <c:numFmt formatCode="General" sourceLinked="0"/>
        <c:tickLblPos val="nextTo"/>
        <c:crossAx val="195897216"/>
        <c:crosses val="autoZero"/>
        <c:crossBetween val="midCat"/>
      </c:valAx>
      <c:valAx>
        <c:axId val="195897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%FSR</a:t>
                </a:r>
              </a:p>
            </c:rich>
          </c:tx>
          <c:layout/>
        </c:title>
        <c:numFmt formatCode="0.0%" sourceLinked="1"/>
        <c:tickLblPos val="nextTo"/>
        <c:crossAx val="1958659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Transfer Function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Calculations!$C$9</c:f>
              <c:strCache>
                <c:ptCount val="1"/>
                <c:pt idx="0">
                  <c:v>-1.5S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Calculations!$C$10:$C$20</c:f>
              <c:numCache>
                <c:formatCode>0.0%</c:formatCode>
                <c:ptCount val="11"/>
                <c:pt idx="0">
                  <c:v>0</c:v>
                </c:pt>
                <c:pt idx="1">
                  <c:v>-8.3740639169429757E-3</c:v>
                </c:pt>
                <c:pt idx="2">
                  <c:v>1.0706015159690132E-2</c:v>
                </c:pt>
                <c:pt idx="3">
                  <c:v>6.7286091556403383E-3</c:v>
                </c:pt>
                <c:pt idx="4">
                  <c:v>-1.0022767884849664E-3</c:v>
                </c:pt>
                <c:pt idx="5">
                  <c:v>-2.1929520451124777E-3</c:v>
                </c:pt>
                <c:pt idx="6">
                  <c:v>-7.5161831617335927E-3</c:v>
                </c:pt>
                <c:pt idx="7">
                  <c:v>-1.3525263275548458E-2</c:v>
                </c:pt>
                <c:pt idx="8">
                  <c:v>-1.8304695665483504E-2</c:v>
                </c:pt>
                <c:pt idx="9">
                  <c:v>-1.2541816260264753E-2</c:v>
                </c:pt>
                <c:pt idx="1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Calculations!$D$9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Calculations!$D$10:$D$20</c:f>
              <c:numCache>
                <c:formatCode>0.0%</c:formatCode>
                <c:ptCount val="11"/>
                <c:pt idx="0">
                  <c:v>0</c:v>
                </c:pt>
                <c:pt idx="1">
                  <c:v>3.4029408624129637E-3</c:v>
                </c:pt>
                <c:pt idx="2">
                  <c:v>1.7725410472069467E-2</c:v>
                </c:pt>
                <c:pt idx="3">
                  <c:v>1.4178607612848282E-2</c:v>
                </c:pt>
                <c:pt idx="4">
                  <c:v>9.779765137604304E-3</c:v>
                </c:pt>
                <c:pt idx="5">
                  <c:v>9.3546392662184584E-3</c:v>
                </c:pt>
                <c:pt idx="6">
                  <c:v>5.9842190572193688E-3</c:v>
                </c:pt>
                <c:pt idx="7">
                  <c:v>3.74004670551845E-3</c:v>
                </c:pt>
                <c:pt idx="8">
                  <c:v>1.5401691198348999E-3</c:v>
                </c:pt>
                <c:pt idx="9">
                  <c:v>1.4427708727972849E-3</c:v>
                </c:pt>
                <c:pt idx="1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Calculations!$E$9</c:f>
              <c:strCache>
                <c:ptCount val="1"/>
                <c:pt idx="0">
                  <c:v>+1.5S</c:v>
                </c:pt>
              </c:strCache>
            </c:strRef>
          </c:tx>
          <c:xVal>
            <c:numRef>
              <c:f>Calculations!$B$10:$B$20</c:f>
              <c:numCache>
                <c:formatCode>0.00</c:formatCode>
                <c:ptCount val="11"/>
                <c:pt idx="0">
                  <c:v>0.10851804348530379</c:v>
                </c:pt>
                <c:pt idx="1">
                  <c:v>1.9101397122432584</c:v>
                </c:pt>
                <c:pt idx="2">
                  <c:v>6.3686726529768567</c:v>
                </c:pt>
                <c:pt idx="3">
                  <c:v>12.716872218523415</c:v>
                </c:pt>
                <c:pt idx="4">
                  <c:v>20.598284231289458</c:v>
                </c:pt>
                <c:pt idx="5">
                  <c:v>29.851836617655003</c:v>
                </c:pt>
                <c:pt idx="6">
                  <c:v>40.49430814081132</c:v>
                </c:pt>
                <c:pt idx="7">
                  <c:v>52.417123708582601</c:v>
                </c:pt>
                <c:pt idx="8">
                  <c:v>65.461365425443262</c:v>
                </c:pt>
                <c:pt idx="9">
                  <c:v>79.482703069567336</c:v>
                </c:pt>
                <c:pt idx="10">
                  <c:v>94.245105770276012</c:v>
                </c:pt>
              </c:numCache>
            </c:numRef>
          </c:xVal>
          <c:yVal>
            <c:numRef>
              <c:f>Calculations!$E$10:$E$20</c:f>
              <c:numCache>
                <c:formatCode>0.0%</c:formatCode>
                <c:ptCount val="11"/>
                <c:pt idx="0">
                  <c:v>0</c:v>
                </c:pt>
                <c:pt idx="1">
                  <c:v>1.5179945641768904E-2</c:v>
                </c:pt>
                <c:pt idx="2">
                  <c:v>2.4744805784448803E-2</c:v>
                </c:pt>
                <c:pt idx="3">
                  <c:v>2.1628606070056226E-2</c:v>
                </c:pt>
                <c:pt idx="4">
                  <c:v>2.0561807063693573E-2</c:v>
                </c:pt>
                <c:pt idx="5">
                  <c:v>2.0902230577549395E-2</c:v>
                </c:pt>
                <c:pt idx="6">
                  <c:v>1.9484621276172329E-2</c:v>
                </c:pt>
                <c:pt idx="7">
                  <c:v>2.1005356686585357E-2</c:v>
                </c:pt>
                <c:pt idx="8">
                  <c:v>2.1385033905153304E-2</c:v>
                </c:pt>
                <c:pt idx="9">
                  <c:v>1.5427358005859324E-2</c:v>
                </c:pt>
                <c:pt idx="10">
                  <c:v>0</c:v>
                </c:pt>
              </c:numCache>
            </c:numRef>
          </c:yVal>
        </c:ser>
        <c:axId val="195937792"/>
        <c:axId val="215134208"/>
      </c:scatterChart>
      <c:valAx>
        <c:axId val="195937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Power in uW/cm</a:t>
                </a:r>
                <a:r>
                  <a:rPr lang="en-US" baseline="30000"/>
                  <a:t>2</a:t>
                </a:r>
              </a:p>
            </c:rich>
          </c:tx>
          <c:layout/>
        </c:title>
        <c:numFmt formatCode="General" sourceLinked="0"/>
        <c:tickLblPos val="nextTo"/>
        <c:crossAx val="215134208"/>
        <c:crosses val="autoZero"/>
        <c:crossBetween val="midCat"/>
      </c:valAx>
      <c:valAx>
        <c:axId val="2151342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Error in %FSR</a:t>
                </a:r>
              </a:p>
            </c:rich>
          </c:tx>
          <c:layout/>
        </c:title>
        <c:numFmt formatCode="0.0%" sourceLinked="1"/>
        <c:tickLblPos val="nextTo"/>
        <c:crossAx val="195937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Calculations!$B$26</c:f>
              <c:strCache>
                <c:ptCount val="1"/>
                <c:pt idx="0">
                  <c:v>Gain Histogram</c:v>
                </c:pt>
              </c:strCache>
            </c:strRef>
          </c:tx>
          <c:cat>
            <c:numRef>
              <c:f>Calculations!$B$29:$B$34</c:f>
              <c:numCache>
                <c:formatCode>0.0</c:formatCode>
                <c:ptCount val="6"/>
                <c:pt idx="0">
                  <c:v>83.088940400403089</c:v>
                </c:pt>
                <c:pt idx="1">
                  <c:v>84.887165661453352</c:v>
                </c:pt>
                <c:pt idx="2">
                  <c:v>86.685390922503615</c:v>
                </c:pt>
                <c:pt idx="3">
                  <c:v>88.483616183553877</c:v>
                </c:pt>
                <c:pt idx="4">
                  <c:v>90.28184144460414</c:v>
                </c:pt>
                <c:pt idx="5">
                  <c:v>92.080066705654403</c:v>
                </c:pt>
              </c:numCache>
            </c:numRef>
          </c:cat>
          <c:val>
            <c:numRef>
              <c:f>Calculations!$C$29:$C$34</c:f>
              <c:numCache>
                <c:formatCode>0.0%</c:formatCode>
                <c:ptCount val="6"/>
                <c:pt idx="0">
                  <c:v>7.1428571428571425E-2</c:v>
                </c:pt>
                <c:pt idx="1">
                  <c:v>7.1428571428571425E-2</c:v>
                </c:pt>
                <c:pt idx="2">
                  <c:v>0.25</c:v>
                </c:pt>
                <c:pt idx="3">
                  <c:v>0.14285714285714285</c:v>
                </c:pt>
                <c:pt idx="4">
                  <c:v>0.39285714285714285</c:v>
                </c:pt>
                <c:pt idx="5">
                  <c:v>7.1428571428571425E-2</c:v>
                </c:pt>
              </c:numCache>
            </c:numRef>
          </c:val>
        </c:ser>
        <c:axId val="217653248"/>
        <c:axId val="217655168"/>
      </c:barChart>
      <c:catAx>
        <c:axId val="2176532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Fullscale in uW/cm</a:t>
                </a:r>
                <a:r>
                  <a:rPr lang="en-US" baseline="30000"/>
                  <a:t>2</a:t>
                </a:r>
              </a:p>
            </c:rich>
          </c:tx>
          <c:layout/>
        </c:title>
        <c:numFmt formatCode="0.0" sourceLinked="1"/>
        <c:tickLblPos val="nextTo"/>
        <c:crossAx val="217655168"/>
        <c:crosses val="autoZero"/>
        <c:auto val="1"/>
        <c:lblAlgn val="ctr"/>
        <c:lblOffset val="100"/>
      </c:catAx>
      <c:valAx>
        <c:axId val="217655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%/population</a:t>
                </a:r>
              </a:p>
            </c:rich>
          </c:tx>
          <c:layout/>
        </c:title>
        <c:numFmt formatCode="0%" sourceLinked="0"/>
        <c:tickLblPos val="nextTo"/>
        <c:crossAx val="217653248"/>
        <c:crosses val="autoZero"/>
        <c:crossBetween val="between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Transfer Error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Calculations!$S$1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Calculations!$S$16:$S$116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1.7420822754502296E-2</c:v>
                </c:pt>
                <c:pt idx="8">
                  <c:v>1.3921879231929779E-2</c:v>
                </c:pt>
                <c:pt idx="9">
                  <c:v>1.3247020542621613E-2</c:v>
                </c:pt>
                <c:pt idx="10">
                  <c:v>1.2483451515436172E-2</c:v>
                </c:pt>
                <c:pt idx="11">
                  <c:v>1.8182277679443359E-2</c:v>
                </c:pt>
                <c:pt idx="12">
                  <c:v>1.6335748136043549E-2</c:v>
                </c:pt>
                <c:pt idx="13">
                  <c:v>1.2816399335861206E-2</c:v>
                </c:pt>
                <c:pt idx="14">
                  <c:v>1.3422019779682159E-2</c:v>
                </c:pt>
                <c:pt idx="15">
                  <c:v>1.3433709740638733E-2</c:v>
                </c:pt>
                <c:pt idx="16">
                  <c:v>1.2950293719768524E-2</c:v>
                </c:pt>
                <c:pt idx="17">
                  <c:v>1.5805907547473907E-2</c:v>
                </c:pt>
                <c:pt idx="18">
                  <c:v>1.4273583889007568E-2</c:v>
                </c:pt>
                <c:pt idx="19">
                  <c:v>1.2425661087036133E-2</c:v>
                </c:pt>
                <c:pt idx="20">
                  <c:v>9.5228254795074463E-3</c:v>
                </c:pt>
                <c:pt idx="21">
                  <c:v>1.4662802219390869E-2</c:v>
                </c:pt>
                <c:pt idx="22">
                  <c:v>1.1086612939834595E-2</c:v>
                </c:pt>
                <c:pt idx="23">
                  <c:v>8.1460475921630859E-3</c:v>
                </c:pt>
                <c:pt idx="24">
                  <c:v>6.4296424388885498E-3</c:v>
                </c:pt>
                <c:pt idx="25">
                  <c:v>1.0075882077217102E-2</c:v>
                </c:pt>
                <c:pt idx="26">
                  <c:v>1.2565076351165771E-2</c:v>
                </c:pt>
                <c:pt idx="27">
                  <c:v>1.0635197162628174E-2</c:v>
                </c:pt>
                <c:pt idx="28">
                  <c:v>9.3121826648712158E-3</c:v>
                </c:pt>
                <c:pt idx="29">
                  <c:v>5.5093169212341309E-3</c:v>
                </c:pt>
                <c:pt idx="30">
                  <c:v>2.4904310703277588E-3</c:v>
                </c:pt>
                <c:pt idx="31">
                  <c:v>6.3889622688293457E-3</c:v>
                </c:pt>
                <c:pt idx="32">
                  <c:v>2.9425621032714844E-3</c:v>
                </c:pt>
                <c:pt idx="33">
                  <c:v>6.5299272537231445E-3</c:v>
                </c:pt>
                <c:pt idx="34">
                  <c:v>9.3767046928405762E-3</c:v>
                </c:pt>
                <c:pt idx="35">
                  <c:v>7.7010691165924072E-3</c:v>
                </c:pt>
                <c:pt idx="36">
                  <c:v>6.1854720115661621E-3</c:v>
                </c:pt>
                <c:pt idx="37">
                  <c:v>3.6060810089111328E-5</c:v>
                </c:pt>
                <c:pt idx="38">
                  <c:v>1.2668371200561523E-3</c:v>
                </c:pt>
                <c:pt idx="39">
                  <c:v>2.1203160285949707E-3</c:v>
                </c:pt>
                <c:pt idx="40">
                  <c:v>3.3457279205322266E-3</c:v>
                </c:pt>
                <c:pt idx="41">
                  <c:v>7.0580244064331055E-3</c:v>
                </c:pt>
                <c:pt idx="42">
                  <c:v>3.071129322052002E-3</c:v>
                </c:pt>
                <c:pt idx="43">
                  <c:v>2.835690975189209E-3</c:v>
                </c:pt>
                <c:pt idx="44">
                  <c:v>1.9474029541015625E-3</c:v>
                </c:pt>
                <c:pt idx="45">
                  <c:v>7.1245431900024414E-4</c:v>
                </c:pt>
                <c:pt idx="46">
                  <c:v>3.6332011222839355E-3</c:v>
                </c:pt>
                <c:pt idx="47">
                  <c:v>1.2953877449035645E-3</c:v>
                </c:pt>
                <c:pt idx="48">
                  <c:v>2.8091073036193848E-3</c:v>
                </c:pt>
                <c:pt idx="49">
                  <c:v>1.4132261276245117E-3</c:v>
                </c:pt>
                <c:pt idx="50">
                  <c:v>5.7826042175292969E-3</c:v>
                </c:pt>
                <c:pt idx="51">
                  <c:v>2.3947954177856445E-3</c:v>
                </c:pt>
                <c:pt idx="52">
                  <c:v>-1.1010169982910156E-3</c:v>
                </c:pt>
                <c:pt idx="53">
                  <c:v>3.669440746307373E-3</c:v>
                </c:pt>
                <c:pt idx="54">
                  <c:v>-7.9196691513061523E-4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Calculations!$T$1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Calculations!$T$16:$T$116</c:f>
              <c:numCache>
                <c:formatCode>0.000</c:formatCode>
                <c:ptCount val="101"/>
              </c:numCache>
            </c:numRef>
          </c:yVal>
        </c:ser>
        <c:ser>
          <c:idx val="2"/>
          <c:order val="2"/>
          <c:tx>
            <c:strRef>
              <c:f>Calculations!$U$1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Calculations!$U$16:$U$116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2.2480115294456482E-2</c:v>
                </c:pt>
                <c:pt idx="8">
                  <c:v>2.2908624261617661E-2</c:v>
                </c:pt>
                <c:pt idx="9">
                  <c:v>2.2240512073040009E-2</c:v>
                </c:pt>
                <c:pt idx="10">
                  <c:v>2.1483765915036201E-2</c:v>
                </c:pt>
                <c:pt idx="11">
                  <c:v>1.9347373396158218E-2</c:v>
                </c:pt>
                <c:pt idx="12">
                  <c:v>1.7508521676063538E-2</c:v>
                </c:pt>
                <c:pt idx="13">
                  <c:v>2.1841313689947128E-2</c:v>
                </c:pt>
                <c:pt idx="14">
                  <c:v>1.8534205853939056E-2</c:v>
                </c:pt>
                <c:pt idx="15">
                  <c:v>2.2476784884929657E-2</c:v>
                </c:pt>
                <c:pt idx="16">
                  <c:v>1.4159940183162689E-2</c:v>
                </c:pt>
                <c:pt idx="17">
                  <c:v>2.0947284996509552E-2</c:v>
                </c:pt>
                <c:pt idx="18">
                  <c:v>1.942550390958786E-2</c:v>
                </c:pt>
                <c:pt idx="19">
                  <c:v>1.7588362097740173E-2</c:v>
                </c:pt>
                <c:pt idx="20">
                  <c:v>1.8618732690811157E-2</c:v>
                </c:pt>
                <c:pt idx="21">
                  <c:v>1.9848600029945374E-2</c:v>
                </c:pt>
                <c:pt idx="22">
                  <c:v>1.2363001704216003E-2</c:v>
                </c:pt>
                <c:pt idx="23">
                  <c:v>1.7277225852012634E-2</c:v>
                </c:pt>
                <c:pt idx="24">
                  <c:v>1.5574619174003601E-2</c:v>
                </c:pt>
                <c:pt idx="25">
                  <c:v>1.5311941504478455E-2</c:v>
                </c:pt>
                <c:pt idx="26">
                  <c:v>1.3893142342567444E-2</c:v>
                </c:pt>
                <c:pt idx="27">
                  <c:v>1.1977225542068481E-2</c:v>
                </c:pt>
                <c:pt idx="28">
                  <c:v>1.4589250087738037E-2</c:v>
                </c:pt>
                <c:pt idx="29">
                  <c:v>1.4723390340805054E-2</c:v>
                </c:pt>
                <c:pt idx="30">
                  <c:v>1.1719316244125366E-2</c:v>
                </c:pt>
                <c:pt idx="31">
                  <c:v>7.790297269821167E-3</c:v>
                </c:pt>
                <c:pt idx="32">
                  <c:v>1.2202203273773193E-2</c:v>
                </c:pt>
                <c:pt idx="33">
                  <c:v>1.5805363655090332E-2</c:v>
                </c:pt>
                <c:pt idx="34">
                  <c:v>1.0825395584106445E-2</c:v>
                </c:pt>
                <c:pt idx="35">
                  <c:v>1.3088196516036987E-2</c:v>
                </c:pt>
                <c:pt idx="36">
                  <c:v>7.6677501201629639E-3</c:v>
                </c:pt>
                <c:pt idx="37">
                  <c:v>9.3787908554077148E-3</c:v>
                </c:pt>
                <c:pt idx="38">
                  <c:v>1.0627239942550659E-2</c:v>
                </c:pt>
                <c:pt idx="39">
                  <c:v>1.1498689651489258E-2</c:v>
                </c:pt>
                <c:pt idx="40">
                  <c:v>8.8202357292175293E-3</c:v>
                </c:pt>
                <c:pt idx="41">
                  <c:v>4.7081708908081055E-3</c:v>
                </c:pt>
                <c:pt idx="42">
                  <c:v>8.5831284523010254E-3</c:v>
                </c:pt>
                <c:pt idx="43">
                  <c:v>8.3665251731872559E-3</c:v>
                </c:pt>
                <c:pt idx="44">
                  <c:v>1.1419177055358887E-2</c:v>
                </c:pt>
                <c:pt idx="45">
                  <c:v>6.2822699546813965E-3</c:v>
                </c:pt>
                <c:pt idx="46">
                  <c:v>5.3008794784545898E-3</c:v>
                </c:pt>
                <c:pt idx="47">
                  <c:v>6.9051384925842285E-3</c:v>
                </c:pt>
                <c:pt idx="48">
                  <c:v>5.9628486633300781E-4</c:v>
                </c:pt>
                <c:pt idx="49">
                  <c:v>7.0633292198181152E-3</c:v>
                </c:pt>
                <c:pt idx="50">
                  <c:v>7.5324773788452148E-3</c:v>
                </c:pt>
                <c:pt idx="51">
                  <c:v>4.1660666465759277E-3</c:v>
                </c:pt>
                <c:pt idx="52">
                  <c:v>6.9165229797363281E-4</c:v>
                </c:pt>
                <c:pt idx="53">
                  <c:v>5.4832100868225098E-3</c:v>
                </c:pt>
                <c:pt idx="54">
                  <c:v>4.9655437469482422E-3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Calculations!$V$1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Calculations!$V$16:$V$116</c:f>
              <c:numCache>
                <c:formatCode>0.000</c:formatCode>
                <c:ptCount val="101"/>
              </c:numCache>
            </c:numRef>
          </c:yVal>
        </c:ser>
        <c:ser>
          <c:idx val="4"/>
          <c:order val="4"/>
          <c:tx>
            <c:strRef>
              <c:f>Calculations!$W$1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Calculations!$W$16:$W$116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8.2057751715183258E-3</c:v>
                </c:pt>
                <c:pt idx="7">
                  <c:v>9.0629495680332184E-3</c:v>
                </c:pt>
                <c:pt idx="8">
                  <c:v>1.3206731528043747E-2</c:v>
                </c:pt>
                <c:pt idx="9">
                  <c:v>4.4586844742298126E-3</c:v>
                </c:pt>
                <c:pt idx="10">
                  <c:v>7.3842369019985199E-3</c:v>
                </c:pt>
                <c:pt idx="11">
                  <c:v>1.0486207902431488E-3</c:v>
                </c:pt>
                <c:pt idx="12">
                  <c:v>1.0705098509788513E-2</c:v>
                </c:pt>
                <c:pt idx="13">
                  <c:v>1.0800451040267944E-2</c:v>
                </c:pt>
                <c:pt idx="14">
                  <c:v>3.2615512609481812E-3</c:v>
                </c:pt>
                <c:pt idx="15">
                  <c:v>6.8773925304412842E-3</c:v>
                </c:pt>
                <c:pt idx="16">
                  <c:v>6.0631856322288513E-3</c:v>
                </c:pt>
                <c:pt idx="17">
                  <c:v>4.6506971120834351E-3</c:v>
                </c:pt>
                <c:pt idx="18">
                  <c:v>6.6808164119720459E-3</c:v>
                </c:pt>
                <c:pt idx="19">
                  <c:v>5.4368376731872559E-4</c:v>
                </c:pt>
                <c:pt idx="20">
                  <c:v>1.1662840843200684E-3</c:v>
                </c:pt>
                <c:pt idx="21">
                  <c:v>1.9939392805099487E-3</c:v>
                </c:pt>
                <c:pt idx="22">
                  <c:v>1.9250065088272095E-3</c:v>
                </c:pt>
                <c:pt idx="23">
                  <c:v>2.5088489055633545E-3</c:v>
                </c:pt>
                <c:pt idx="24">
                  <c:v>3.2244622707366943E-4</c:v>
                </c:pt>
                <c:pt idx="25">
                  <c:v>-3.8394331932067871E-4</c:v>
                </c:pt>
                <c:pt idx="26">
                  <c:v>1.6429126262664795E-3</c:v>
                </c:pt>
                <c:pt idx="27">
                  <c:v>-7.6273083686828613E-4</c:v>
                </c:pt>
                <c:pt idx="28">
                  <c:v>-2.5451481342315674E-3</c:v>
                </c:pt>
                <c:pt idx="29">
                  <c:v>9.6875429153442383E-4</c:v>
                </c:pt>
                <c:pt idx="30">
                  <c:v>-6.4768791198730469E-3</c:v>
                </c:pt>
                <c:pt idx="31">
                  <c:v>-7.0300698280334473E-3</c:v>
                </c:pt>
                <c:pt idx="32">
                  <c:v>7.7149271965026855E-4</c:v>
                </c:pt>
                <c:pt idx="33">
                  <c:v>-1.0129809379577637E-4</c:v>
                </c:pt>
                <c:pt idx="34">
                  <c:v>-5.6562423706054688E-3</c:v>
                </c:pt>
                <c:pt idx="35">
                  <c:v>-3.9851367473602295E-3</c:v>
                </c:pt>
                <c:pt idx="36">
                  <c:v>-6.0712099075317383E-3</c:v>
                </c:pt>
                <c:pt idx="37">
                  <c:v>-1.2810379266738892E-2</c:v>
                </c:pt>
                <c:pt idx="38">
                  <c:v>-4.3386220932006836E-3</c:v>
                </c:pt>
                <c:pt idx="39">
                  <c:v>-8.0192089080810547E-3</c:v>
                </c:pt>
                <c:pt idx="40">
                  <c:v>-3.4745335578918457E-3</c:v>
                </c:pt>
                <c:pt idx="41">
                  <c:v>-4.3249726295471191E-3</c:v>
                </c:pt>
                <c:pt idx="42">
                  <c:v>-8.9491009712219238E-3</c:v>
                </c:pt>
                <c:pt idx="43">
                  <c:v>-5.904853343963623E-3</c:v>
                </c:pt>
                <c:pt idx="44">
                  <c:v>-1.1374115943908691E-2</c:v>
                </c:pt>
                <c:pt idx="45">
                  <c:v>-9.3563199043273926E-3</c:v>
                </c:pt>
                <c:pt idx="46">
                  <c:v>-1.4941275119781494E-2</c:v>
                </c:pt>
                <c:pt idx="47">
                  <c:v>-1.7977654933929443E-2</c:v>
                </c:pt>
                <c:pt idx="48">
                  <c:v>-1.7164468765258789E-2</c:v>
                </c:pt>
                <c:pt idx="49">
                  <c:v>-1.5311896800994873E-2</c:v>
                </c:pt>
                <c:pt idx="50">
                  <c:v>-1.9514977931976318E-2</c:v>
                </c:pt>
                <c:pt idx="51">
                  <c:v>-1.9708156585693359E-2</c:v>
                </c:pt>
                <c:pt idx="52">
                  <c:v>-1.6090750694274902E-2</c:v>
                </c:pt>
                <c:pt idx="53">
                  <c:v>-2.3803472518920898E-2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Calculations!$X$1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Calculations!$X$16:$X$116</c:f>
              <c:numCache>
                <c:formatCode>0.000</c:formatCode>
                <c:ptCount val="101"/>
              </c:numCache>
            </c:numRef>
          </c:yVal>
        </c:ser>
        <c:ser>
          <c:idx val="6"/>
          <c:order val="6"/>
          <c:tx>
            <c:strRef>
              <c:f>Calculations!$Y$1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Calculations!$Y$16:$Y$116</c:f>
              <c:numCache>
                <c:formatCode>0.000</c:formatCode>
                <c:ptCount val="101"/>
              </c:numCache>
            </c:numRef>
          </c:yVal>
        </c:ser>
        <c:ser>
          <c:idx val="7"/>
          <c:order val="7"/>
          <c:tx>
            <c:strRef>
              <c:f>Calculations!$Z$1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Calculations!$Z$16:$Z$116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2.2650178521871567E-2</c:v>
                </c:pt>
                <c:pt idx="8">
                  <c:v>1.9073218107223511E-2</c:v>
                </c:pt>
                <c:pt idx="9">
                  <c:v>2.2230366244912148E-2</c:v>
                </c:pt>
                <c:pt idx="10">
                  <c:v>2.1376306191086769E-2</c:v>
                </c:pt>
                <c:pt idx="11">
                  <c:v>1.912698894739151E-2</c:v>
                </c:pt>
                <c:pt idx="12">
                  <c:v>1.7178576439619064E-2</c:v>
                </c:pt>
                <c:pt idx="13">
                  <c:v>1.3539761304855347E-2</c:v>
                </c:pt>
                <c:pt idx="14">
                  <c:v>1.7949625849723816E-2</c:v>
                </c:pt>
                <c:pt idx="15">
                  <c:v>1.3916172087192535E-2</c:v>
                </c:pt>
                <c:pt idx="16">
                  <c:v>1.3303980231285095E-2</c:v>
                </c:pt>
                <c:pt idx="17">
                  <c:v>1.2103110551834106E-2</c:v>
                </c:pt>
                <c:pt idx="18">
                  <c:v>1.4352560043334961E-2</c:v>
                </c:pt>
                <c:pt idx="19">
                  <c:v>1.2361511588096619E-2</c:v>
                </c:pt>
                <c:pt idx="20">
                  <c:v>1.3226032257080078E-2</c:v>
                </c:pt>
                <c:pt idx="21">
                  <c:v>1.0370746254920959E-2</c:v>
                </c:pt>
                <c:pt idx="22">
                  <c:v>1.0554835200309753E-2</c:v>
                </c:pt>
                <c:pt idx="23">
                  <c:v>1.1381223797798157E-2</c:v>
                </c:pt>
                <c:pt idx="24">
                  <c:v>5.5602788925170898E-3</c:v>
                </c:pt>
                <c:pt idx="25">
                  <c:v>5.1171332597732544E-3</c:v>
                </c:pt>
                <c:pt idx="26">
                  <c:v>7.426336407661438E-3</c:v>
                </c:pt>
                <c:pt idx="27">
                  <c:v>5.3112506866455078E-3</c:v>
                </c:pt>
                <c:pt idx="28">
                  <c:v>7.7309608459472656E-3</c:v>
                </c:pt>
                <c:pt idx="29">
                  <c:v>3.7231743335723877E-3</c:v>
                </c:pt>
                <c:pt idx="30">
                  <c:v>5.0762295722961426E-4</c:v>
                </c:pt>
                <c:pt idx="31">
                  <c:v>4.1997730731964111E-3</c:v>
                </c:pt>
                <c:pt idx="32">
                  <c:v>5.5220723152160645E-4</c:v>
                </c:pt>
                <c:pt idx="33">
                  <c:v>3.9298832416534424E-3</c:v>
                </c:pt>
                <c:pt idx="34">
                  <c:v>-1.2839436531066895E-3</c:v>
                </c:pt>
                <c:pt idx="35">
                  <c:v>7.3823332786560059E-4</c:v>
                </c:pt>
                <c:pt idx="36">
                  <c:v>2.9220879077911377E-3</c:v>
                </c:pt>
                <c:pt idx="37">
                  <c:v>-3.4568905830383301E-3</c:v>
                </c:pt>
                <c:pt idx="38">
                  <c:v>-2.4605691432952881E-3</c:v>
                </c:pt>
                <c:pt idx="39">
                  <c:v>-1.8455386161804199E-3</c:v>
                </c:pt>
                <c:pt idx="40">
                  <c:v>-4.7761201858520508E-3</c:v>
                </c:pt>
                <c:pt idx="41">
                  <c:v>-5.2350163459777832E-3</c:v>
                </c:pt>
                <c:pt idx="42">
                  <c:v>-9.4699859619140625E-3</c:v>
                </c:pt>
                <c:pt idx="43">
                  <c:v>-9.9553465843200684E-3</c:v>
                </c:pt>
                <c:pt idx="44">
                  <c:v>-7.1787238121032715E-3</c:v>
                </c:pt>
                <c:pt idx="45">
                  <c:v>-8.6740851402282715E-3</c:v>
                </c:pt>
                <c:pt idx="46">
                  <c:v>-9.9328160285949707E-3</c:v>
                </c:pt>
                <c:pt idx="47">
                  <c:v>-1.2542605400085449E-2</c:v>
                </c:pt>
                <c:pt idx="48">
                  <c:v>-1.1301577091217041E-2</c:v>
                </c:pt>
                <c:pt idx="49">
                  <c:v>-9.0379118919372559E-3</c:v>
                </c:pt>
                <c:pt idx="50">
                  <c:v>-1.2795627117156982E-2</c:v>
                </c:pt>
                <c:pt idx="51">
                  <c:v>-1.2544870376586914E-2</c:v>
                </c:pt>
                <c:pt idx="52">
                  <c:v>-1.6324818134307861E-2</c:v>
                </c:pt>
                <c:pt idx="53">
                  <c:v>-1.5755653381347656E-2</c:v>
                </c:pt>
                <c:pt idx="54">
                  <c:v>-1.6589760780334473E-2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axId val="217697280"/>
        <c:axId val="215163648"/>
      </c:scatterChart>
      <c:valAx>
        <c:axId val="217697280"/>
        <c:scaling>
          <c:orientation val="minMax"/>
          <c:max val="90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</a:t>
                </a:r>
                <a:r>
                  <a:rPr lang="en-US" baseline="0"/>
                  <a:t> Power: uW/cm</a:t>
                </a:r>
                <a:r>
                  <a:rPr lang="en-US" baseline="30000"/>
                  <a:t>2</a:t>
                </a:r>
              </a:p>
            </c:rich>
          </c:tx>
          <c:layout/>
        </c:title>
        <c:numFmt formatCode="0.0E+0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15163648"/>
        <c:crosses val="autoZero"/>
        <c:crossBetween val="midCat"/>
      </c:valAx>
      <c:valAx>
        <c:axId val="2151636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2176972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Calculations!$AA$1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Calculations!$AA$16:$AA$116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2.2084528580307961E-2</c:v>
                </c:pt>
                <c:pt idx="9">
                  <c:v>2.1285202354192734E-2</c:v>
                </c:pt>
                <c:pt idx="10">
                  <c:v>2.0395869389176369E-2</c:v>
                </c:pt>
                <c:pt idx="11">
                  <c:v>1.810561865568161E-2</c:v>
                </c:pt>
                <c:pt idx="12">
                  <c:v>2.396063506603241E-2</c:v>
                </c:pt>
                <c:pt idx="13">
                  <c:v>2.0275253802537918E-2</c:v>
                </c:pt>
                <c:pt idx="14">
                  <c:v>2.0717814564704895E-2</c:v>
                </c:pt>
                <c:pt idx="15">
                  <c:v>2.0557768642902374E-2</c:v>
                </c:pt>
                <c:pt idx="16">
                  <c:v>1.5973813831806183E-2</c:v>
                </c:pt>
                <c:pt idx="17">
                  <c:v>1.8641926348209381E-2</c:v>
                </c:pt>
                <c:pt idx="18">
                  <c:v>1.6915306448936462E-2</c:v>
                </c:pt>
                <c:pt idx="19">
                  <c:v>1.4868468046188354E-2</c:v>
                </c:pt>
                <c:pt idx="20">
                  <c:v>1.5672877430915833E-2</c:v>
                </c:pt>
                <c:pt idx="21">
                  <c:v>1.2758299708366394E-2</c:v>
                </c:pt>
                <c:pt idx="22">
                  <c:v>1.2879520654678345E-2</c:v>
                </c:pt>
                <c:pt idx="23">
                  <c:v>9.7240805625915527E-3</c:v>
                </c:pt>
                <c:pt idx="24">
                  <c:v>1.1674955487251282E-2</c:v>
                </c:pt>
                <c:pt idx="25">
                  <c:v>1.1166393756866455E-2</c:v>
                </c:pt>
                <c:pt idx="26">
                  <c:v>9.4838738441467285E-3</c:v>
                </c:pt>
                <c:pt idx="27">
                  <c:v>7.2965919971466064E-3</c:v>
                </c:pt>
                <c:pt idx="28">
                  <c:v>9.6465647220611572E-3</c:v>
                </c:pt>
                <c:pt idx="29">
                  <c:v>9.4805061817169189E-3</c:v>
                </c:pt>
                <c:pt idx="30">
                  <c:v>6.1882734298706055E-3</c:v>
                </c:pt>
                <c:pt idx="31">
                  <c:v>1.9568204879760742E-3</c:v>
                </c:pt>
                <c:pt idx="32">
                  <c:v>6.0740113258361816E-3</c:v>
                </c:pt>
                <c:pt idx="33">
                  <c:v>1.5268325805664063E-3</c:v>
                </c:pt>
                <c:pt idx="34">
                  <c:v>4.0713846683502197E-3</c:v>
                </c:pt>
                <c:pt idx="35">
                  <c:v>2.0847320556640625E-3</c:v>
                </c:pt>
                <c:pt idx="36">
                  <c:v>2.6047229766845703E-4</c:v>
                </c:pt>
                <c:pt idx="37">
                  <c:v>1.635134220123291E-3</c:v>
                </c:pt>
                <c:pt idx="38">
                  <c:v>2.5400817394256592E-3</c:v>
                </c:pt>
                <c:pt idx="39">
                  <c:v>3.0621886253356934E-3</c:v>
                </c:pt>
                <c:pt idx="40">
                  <c:v>3.9617419242858887E-3</c:v>
                </c:pt>
                <c:pt idx="41">
                  <c:v>-5.1599740982055664E-4</c:v>
                </c:pt>
                <c:pt idx="42">
                  <c:v>-9.2613697052001953E-4</c:v>
                </c:pt>
                <c:pt idx="43">
                  <c:v>-1.5088319778442383E-3</c:v>
                </c:pt>
                <c:pt idx="44">
                  <c:v>-2.753913402557373E-3</c:v>
                </c:pt>
                <c:pt idx="45">
                  <c:v>-4.3507218360900879E-3</c:v>
                </c:pt>
                <c:pt idx="46">
                  <c:v>-5.7100057601928711E-3</c:v>
                </c:pt>
                <c:pt idx="47">
                  <c:v>-4.5042037963867188E-3</c:v>
                </c:pt>
                <c:pt idx="48">
                  <c:v>-7.2910785675048828E-3</c:v>
                </c:pt>
                <c:pt idx="49">
                  <c:v>-5.1295757293701172E-3</c:v>
                </c:pt>
                <c:pt idx="50">
                  <c:v>-5.0763487815856934E-3</c:v>
                </c:pt>
                <c:pt idx="51">
                  <c:v>-8.8574886322021484E-3</c:v>
                </c:pt>
                <c:pt idx="52">
                  <c:v>-8.8266134262084961E-3</c:v>
                </c:pt>
                <c:pt idx="53">
                  <c:v>-8.3664655685424805E-3</c:v>
                </c:pt>
                <c:pt idx="54">
                  <c:v>-9.3153119087219238E-3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Calculations!$AB$1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Calculations!$AB$16:$AB$116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2.2196210920810699E-2</c:v>
                </c:pt>
                <c:pt idx="9">
                  <c:v>2.1330922842025757E-2</c:v>
                </c:pt>
                <c:pt idx="10">
                  <c:v>2.821807935833931E-2</c:v>
                </c:pt>
                <c:pt idx="11">
                  <c:v>1.8007352948188782E-2</c:v>
                </c:pt>
                <c:pt idx="12">
                  <c:v>2.3787334561347961E-2</c:v>
                </c:pt>
                <c:pt idx="13">
                  <c:v>2.0013965666294098E-2</c:v>
                </c:pt>
                <c:pt idx="14">
                  <c:v>2.0370110869407654E-2</c:v>
                </c:pt>
                <c:pt idx="15">
                  <c:v>2.0119056105613708E-2</c:v>
                </c:pt>
                <c:pt idx="16">
                  <c:v>1.5440255403518677E-2</c:v>
                </c:pt>
                <c:pt idx="17">
                  <c:v>1.8009014427661896E-2</c:v>
                </c:pt>
                <c:pt idx="18">
                  <c:v>1.617942750453949E-2</c:v>
                </c:pt>
                <c:pt idx="19">
                  <c:v>1.0105609893798828E-2</c:v>
                </c:pt>
                <c:pt idx="20">
                  <c:v>6.8748742341995239E-3</c:v>
                </c:pt>
                <c:pt idx="21">
                  <c:v>7.7698230743408203E-3</c:v>
                </c:pt>
                <c:pt idx="22">
                  <c:v>1.1693820357322693E-2</c:v>
                </c:pt>
                <c:pt idx="23">
                  <c:v>8.4244906902313232E-3</c:v>
                </c:pt>
                <c:pt idx="24">
                  <c:v>2.3974776268005371E-3</c:v>
                </c:pt>
                <c:pt idx="25">
                  <c:v>1.7653107643127441E-3</c:v>
                </c:pt>
                <c:pt idx="26">
                  <c:v>3.8717836141586304E-3</c:v>
                </c:pt>
                <c:pt idx="27">
                  <c:v>5.4696500301361084E-3</c:v>
                </c:pt>
                <c:pt idx="28">
                  <c:v>3.7663578987121582E-3</c:v>
                </c:pt>
                <c:pt idx="29">
                  <c:v>-4.7218799591064453E-4</c:v>
                </c:pt>
                <c:pt idx="30">
                  <c:v>3.9338767528533936E-3</c:v>
                </c:pt>
                <c:pt idx="31">
                  <c:v>-4.4956803321838379E-4</c:v>
                </c:pt>
                <c:pt idx="32">
                  <c:v>-4.0212273597717285E-4</c:v>
                </c:pt>
                <c:pt idx="33">
                  <c:v>-5.1037371158599854E-3</c:v>
                </c:pt>
                <c:pt idx="34">
                  <c:v>-2.7193427085876465E-3</c:v>
                </c:pt>
                <c:pt idx="35">
                  <c:v>2.972334623336792E-3</c:v>
                </c:pt>
                <c:pt idx="36">
                  <c:v>-2.9370784759521484E-3</c:v>
                </c:pt>
                <c:pt idx="37">
                  <c:v>-9.5746517181396484E-3</c:v>
                </c:pt>
                <c:pt idx="38">
                  <c:v>-8.8423788547515869E-3</c:v>
                </c:pt>
                <c:pt idx="39">
                  <c:v>-8.4958672523498535E-3</c:v>
                </c:pt>
                <c:pt idx="40">
                  <c:v>7.4088573455810547E-5</c:v>
                </c:pt>
                <c:pt idx="41">
                  <c:v>-1.243060827255249E-2</c:v>
                </c:pt>
                <c:pt idx="42">
                  <c:v>-1.3023436069488525E-2</c:v>
                </c:pt>
                <c:pt idx="43">
                  <c:v>-9.8685622215270996E-3</c:v>
                </c:pt>
                <c:pt idx="44">
                  <c:v>-1.1302709579467773E-2</c:v>
                </c:pt>
                <c:pt idx="45">
                  <c:v>-1.3091325759887695E-2</c:v>
                </c:pt>
                <c:pt idx="46">
                  <c:v>-1.0719001293182373E-2</c:v>
                </c:pt>
                <c:pt idx="47">
                  <c:v>-1.7556667327880859E-2</c:v>
                </c:pt>
                <c:pt idx="48">
                  <c:v>-1.6622781753540039E-2</c:v>
                </c:pt>
                <c:pt idx="49">
                  <c:v>-1.8575847148895264E-2</c:v>
                </c:pt>
                <c:pt idx="50">
                  <c:v>-1.8731772899627686E-2</c:v>
                </c:pt>
                <c:pt idx="51">
                  <c:v>-2.2721350193023682E-2</c:v>
                </c:pt>
                <c:pt idx="52">
                  <c:v>-1.897817850112915E-2</c:v>
                </c:pt>
                <c:pt idx="53">
                  <c:v>-1.4802455902099609E-2</c:v>
                </c:pt>
                <c:pt idx="54">
                  <c:v>-2.3811161518096924E-2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Calculations!$AC$1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Calculations!$AC$16:$AC$116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7.1953870356082916E-3</c:v>
                </c:pt>
                <c:pt idx="8">
                  <c:v>1.1285442858934402E-2</c:v>
                </c:pt>
                <c:pt idx="9">
                  <c:v>1.0318856686353683E-2</c:v>
                </c:pt>
                <c:pt idx="10">
                  <c:v>5.3389556705951691E-3</c:v>
                </c:pt>
                <c:pt idx="11">
                  <c:v>-1.0689757764339447E-3</c:v>
                </c:pt>
                <c:pt idx="12">
                  <c:v>8.5173435509204865E-3</c:v>
                </c:pt>
                <c:pt idx="13">
                  <c:v>4.6088546514511108E-3</c:v>
                </c:pt>
                <c:pt idx="14">
                  <c:v>4.8322901129722595E-3</c:v>
                </c:pt>
                <c:pt idx="15">
                  <c:v>-3.4016743302345276E-3</c:v>
                </c:pt>
                <c:pt idx="16">
                  <c:v>-3.8299709558486938E-4</c:v>
                </c:pt>
                <c:pt idx="17">
                  <c:v>5.9547573328018188E-3</c:v>
                </c:pt>
                <c:pt idx="18">
                  <c:v>3.9670318365097046E-3</c:v>
                </c:pt>
                <c:pt idx="19">
                  <c:v>-2.268671989440918E-3</c:v>
                </c:pt>
                <c:pt idx="20">
                  <c:v>-1.7522722482681274E-3</c:v>
                </c:pt>
                <c:pt idx="21">
                  <c:v>-1.0293722152709961E-3</c:v>
                </c:pt>
                <c:pt idx="22">
                  <c:v>-1.2093782424926758E-3</c:v>
                </c:pt>
                <c:pt idx="23">
                  <c:v>-7.3200464248657227E-4</c:v>
                </c:pt>
                <c:pt idx="24">
                  <c:v>-1.0887563228607178E-2</c:v>
                </c:pt>
                <c:pt idx="25">
                  <c:v>-3.8664042949676514E-3</c:v>
                </c:pt>
                <c:pt idx="26">
                  <c:v>-1.963496208190918E-3</c:v>
                </c:pt>
                <c:pt idx="27">
                  <c:v>-4.4966936111450195E-3</c:v>
                </c:pt>
                <c:pt idx="28">
                  <c:v>-2.4806857109069824E-3</c:v>
                </c:pt>
                <c:pt idx="29">
                  <c:v>-1.0872602462768555E-2</c:v>
                </c:pt>
                <c:pt idx="30">
                  <c:v>-2.7673840522766113E-3</c:v>
                </c:pt>
                <c:pt idx="31">
                  <c:v>-7.3843002319335938E-3</c:v>
                </c:pt>
                <c:pt idx="32">
                  <c:v>-3.6428272724151611E-3</c:v>
                </c:pt>
                <c:pt idx="33">
                  <c:v>-1.6424715518951416E-2</c:v>
                </c:pt>
                <c:pt idx="34">
                  <c:v>-6.4431428909301758E-3</c:v>
                </c:pt>
                <c:pt idx="35">
                  <c:v>-1.276928186416626E-2</c:v>
                </c:pt>
                <c:pt idx="36">
                  <c:v>-1.5008330345153809E-2</c:v>
                </c:pt>
                <c:pt idx="37">
                  <c:v>-1.4062434434890747E-2</c:v>
                </c:pt>
                <c:pt idx="38">
                  <c:v>-9.6737146377563477E-3</c:v>
                </c:pt>
                <c:pt idx="39">
                  <c:v>-9.5969438552856445E-3</c:v>
                </c:pt>
                <c:pt idx="40">
                  <c:v>-1.6978442668914795E-2</c:v>
                </c:pt>
                <c:pt idx="41">
                  <c:v>-1.8000781536102295E-2</c:v>
                </c:pt>
                <c:pt idx="42">
                  <c:v>-1.8874168395996094E-2</c:v>
                </c:pt>
                <c:pt idx="43">
                  <c:v>-1.208043098449707E-2</c:v>
                </c:pt>
                <c:pt idx="44">
                  <c:v>-2.1648049354553223E-2</c:v>
                </c:pt>
                <c:pt idx="45">
                  <c:v>-1.5888035297393799E-2</c:v>
                </c:pt>
                <c:pt idx="46">
                  <c:v>-1.7728984355926514E-2</c:v>
                </c:pt>
                <c:pt idx="47">
                  <c:v>-2.0952701568603516E-2</c:v>
                </c:pt>
                <c:pt idx="48">
                  <c:v>-2.0327270030975342E-2</c:v>
                </c:pt>
                <c:pt idx="49">
                  <c:v>-1.8655180931091309E-2</c:v>
                </c:pt>
                <c:pt idx="50">
                  <c:v>-2.3053824901580811E-2</c:v>
                </c:pt>
                <c:pt idx="51">
                  <c:v>-1.9520342350006104E-2</c:v>
                </c:pt>
                <c:pt idx="52">
                  <c:v>-2.3941695690155029E-2</c:v>
                </c:pt>
                <c:pt idx="53">
                  <c:v>-2.7925431728363037E-2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Calculations!$AD$1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Calculations!$AD$16:$AD$116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1.7283562570810318E-2</c:v>
                </c:pt>
                <c:pt idx="8">
                  <c:v>2.1701078861951828E-2</c:v>
                </c:pt>
                <c:pt idx="9">
                  <c:v>2.1110383793711662E-2</c:v>
                </c:pt>
                <c:pt idx="10">
                  <c:v>2.043185755610466E-2</c:v>
                </c:pt>
                <c:pt idx="11">
                  <c:v>1.4464665204286575E-2</c:v>
                </c:pt>
                <c:pt idx="12">
                  <c:v>1.6635444015264511E-2</c:v>
                </c:pt>
                <c:pt idx="13">
                  <c:v>2.1071504801511765E-2</c:v>
                </c:pt>
                <c:pt idx="14">
                  <c:v>1.0022684931755066E-2</c:v>
                </c:pt>
                <c:pt idx="15">
                  <c:v>1.4072075486183167E-2</c:v>
                </c:pt>
                <c:pt idx="16">
                  <c:v>1.3709679245948792E-2</c:v>
                </c:pt>
                <c:pt idx="17">
                  <c:v>1.6692072153091431E-2</c:v>
                </c:pt>
                <c:pt idx="18">
                  <c:v>1.1369563639163971E-2</c:v>
                </c:pt>
                <c:pt idx="19">
                  <c:v>1.7499282956123352E-2</c:v>
                </c:pt>
                <c:pt idx="20">
                  <c:v>1.8662944436073303E-2</c:v>
                </c:pt>
                <c:pt idx="21">
                  <c:v>1.610274612903595E-2</c:v>
                </c:pt>
                <c:pt idx="22">
                  <c:v>1.6599699854850769E-2</c:v>
                </c:pt>
                <c:pt idx="23">
                  <c:v>1.7726004123687744E-2</c:v>
                </c:pt>
                <c:pt idx="24">
                  <c:v>1.618155837059021E-2</c:v>
                </c:pt>
                <c:pt idx="25">
                  <c:v>1.6063958406448364E-2</c:v>
                </c:pt>
                <c:pt idx="26">
                  <c:v>1.8722295761108398E-2</c:v>
                </c:pt>
                <c:pt idx="27">
                  <c:v>1.3044923543930054E-2</c:v>
                </c:pt>
                <c:pt idx="28">
                  <c:v>1.5811532735824585E-2</c:v>
                </c:pt>
                <c:pt idx="29">
                  <c:v>1.6122788190841675E-2</c:v>
                </c:pt>
                <c:pt idx="30">
                  <c:v>2.113187313079834E-2</c:v>
                </c:pt>
                <c:pt idx="31">
                  <c:v>1.7381250858306885E-2</c:v>
                </c:pt>
                <c:pt idx="32">
                  <c:v>1.4123916625976563E-2</c:v>
                </c:pt>
                <c:pt idx="33">
                  <c:v>1.7908304929733276E-2</c:v>
                </c:pt>
                <c:pt idx="34">
                  <c:v>1.7037868499755859E-2</c:v>
                </c:pt>
                <c:pt idx="35">
                  <c:v>1.5572547912597656E-2</c:v>
                </c:pt>
                <c:pt idx="36">
                  <c:v>1.8187224864959717E-2</c:v>
                </c:pt>
                <c:pt idx="37">
                  <c:v>2.0096719264984131E-2</c:v>
                </c:pt>
                <c:pt idx="38">
                  <c:v>1.3704687356948853E-2</c:v>
                </c:pt>
                <c:pt idx="39">
                  <c:v>1.8703758716583252E-2</c:v>
                </c:pt>
                <c:pt idx="40">
                  <c:v>1.6228079795837402E-2</c:v>
                </c:pt>
                <c:pt idx="41">
                  <c:v>1.6253292560577393E-2</c:v>
                </c:pt>
                <c:pt idx="42">
                  <c:v>2.0342707633972168E-2</c:v>
                </c:pt>
                <c:pt idx="43">
                  <c:v>2.0342051982879639E-2</c:v>
                </c:pt>
                <c:pt idx="44">
                  <c:v>1.9695103168487549E-2</c:v>
                </c:pt>
                <c:pt idx="45">
                  <c:v>2.2626399993896484E-2</c:v>
                </c:pt>
                <c:pt idx="46">
                  <c:v>2.1867930889129639E-2</c:v>
                </c:pt>
                <c:pt idx="47">
                  <c:v>1.9785702228546143E-2</c:v>
                </c:pt>
                <c:pt idx="48">
                  <c:v>2.1555721759796143E-2</c:v>
                </c:pt>
                <c:pt idx="49">
                  <c:v>2.0406126976013184E-2</c:v>
                </c:pt>
                <c:pt idx="50">
                  <c:v>2.1120727062225342E-2</c:v>
                </c:pt>
                <c:pt idx="51">
                  <c:v>2.1920502185821533E-2</c:v>
                </c:pt>
                <c:pt idx="52">
                  <c:v>1.8691718578338623E-2</c:v>
                </c:pt>
                <c:pt idx="53">
                  <c:v>2.764660120010376E-2</c:v>
                </c:pt>
                <c:pt idx="54">
                  <c:v>1.9540190696716309E-2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4"/>
          <c:order val="4"/>
          <c:tx>
            <c:strRef>
              <c:f>Calculations!$AE$1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Calculations!$AE$16:$AE$116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1.9525662064552307E-2</c:v>
                </c:pt>
                <c:pt idx="7">
                  <c:v>1.6144616529345512E-2</c:v>
                </c:pt>
                <c:pt idx="8">
                  <c:v>1.6021402552723885E-2</c:v>
                </c:pt>
                <c:pt idx="9">
                  <c:v>1.4719974249601364E-2</c:v>
                </c:pt>
                <c:pt idx="10">
                  <c:v>1.3323310762643814E-2</c:v>
                </c:pt>
                <c:pt idx="11">
                  <c:v>1.8287483602762222E-2</c:v>
                </c:pt>
                <c:pt idx="12">
                  <c:v>1.5728194266557693E-2</c:v>
                </c:pt>
                <c:pt idx="13">
                  <c:v>1.1373043060302734E-2</c:v>
                </c:pt>
                <c:pt idx="14">
                  <c:v>1.5079386532306671E-2</c:v>
                </c:pt>
                <c:pt idx="15">
                  <c:v>1.0304979979991913E-2</c:v>
                </c:pt>
                <c:pt idx="16">
                  <c:v>1.2842185795307159E-2</c:v>
                </c:pt>
                <c:pt idx="17">
                  <c:v>1.0832421481609344E-2</c:v>
                </c:pt>
                <c:pt idx="18">
                  <c:v>8.3220005035400391E-3</c:v>
                </c:pt>
                <c:pt idx="19">
                  <c:v>9.3943178653717041E-3</c:v>
                </c:pt>
                <c:pt idx="20">
                  <c:v>9.3341320753097534E-3</c:v>
                </c:pt>
                <c:pt idx="21">
                  <c:v>5.5667459964752197E-3</c:v>
                </c:pt>
                <c:pt idx="22">
                  <c:v>4.7836750745773315E-3</c:v>
                </c:pt>
                <c:pt idx="23">
                  <c:v>4.6829730272293091E-3</c:v>
                </c:pt>
                <c:pt idx="24">
                  <c:v>1.6864687204360962E-3</c:v>
                </c:pt>
                <c:pt idx="25">
                  <c:v>2.3704767227172852E-4</c:v>
                </c:pt>
                <c:pt idx="26">
                  <c:v>1.4670193195343018E-3</c:v>
                </c:pt>
                <c:pt idx="27">
                  <c:v>2.1629035472869873E-3</c:v>
                </c:pt>
                <c:pt idx="28">
                  <c:v>-4.1130185127258301E-4</c:v>
                </c:pt>
                <c:pt idx="29">
                  <c:v>2.1953880786895752E-3</c:v>
                </c:pt>
                <c:pt idx="30">
                  <c:v>-2.1994113922119141E-3</c:v>
                </c:pt>
                <c:pt idx="31">
                  <c:v>2.5510787963867188E-4</c:v>
                </c:pt>
                <c:pt idx="32">
                  <c:v>-4.5986473560333252E-3</c:v>
                </c:pt>
                <c:pt idx="33">
                  <c:v>-2.478182315826416E-3</c:v>
                </c:pt>
                <c:pt idx="34">
                  <c:v>-5.0743818283081055E-3</c:v>
                </c:pt>
                <c:pt idx="35">
                  <c:v>-8.3155930042266846E-3</c:v>
                </c:pt>
                <c:pt idx="36">
                  <c:v>-7.4634253978729248E-3</c:v>
                </c:pt>
                <c:pt idx="37">
                  <c:v>-7.375866174697876E-3</c:v>
                </c:pt>
                <c:pt idx="38">
                  <c:v>-7.7853202819824219E-3</c:v>
                </c:pt>
                <c:pt idx="39">
                  <c:v>-8.5998773574829102E-3</c:v>
                </c:pt>
                <c:pt idx="40">
                  <c:v>-9.0150833129882813E-3</c:v>
                </c:pt>
                <c:pt idx="41">
                  <c:v>-1.0970532894134521E-2</c:v>
                </c:pt>
                <c:pt idx="42">
                  <c:v>-1.2771487236022949E-2</c:v>
                </c:pt>
                <c:pt idx="43">
                  <c:v>-1.4755010604858398E-2</c:v>
                </c:pt>
                <c:pt idx="44">
                  <c:v>-1.7439424991607666E-2</c:v>
                </c:pt>
                <c:pt idx="45">
                  <c:v>-1.6574442386627197E-2</c:v>
                </c:pt>
                <c:pt idx="46">
                  <c:v>-1.5458106994628906E-2</c:v>
                </c:pt>
                <c:pt idx="47">
                  <c:v>-1.9698679447174072E-2</c:v>
                </c:pt>
                <c:pt idx="48">
                  <c:v>-2.009284496307373E-2</c:v>
                </c:pt>
                <c:pt idx="49">
                  <c:v>-2.3322105407714844E-2</c:v>
                </c:pt>
                <c:pt idx="50">
                  <c:v>-2.0939111709594727E-2</c:v>
                </c:pt>
                <c:pt idx="51">
                  <c:v>-2.2385299205780029E-2</c:v>
                </c:pt>
                <c:pt idx="52">
                  <c:v>-2.7869045734405518E-2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Calculations!$AF$1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Calculations!$AF$16:$AF$116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7.0159155875444412E-3</c:v>
                </c:pt>
                <c:pt idx="8">
                  <c:v>3.6385487765073776E-3</c:v>
                </c:pt>
                <c:pt idx="9">
                  <c:v>3.1032487750053406E-3</c:v>
                </c:pt>
                <c:pt idx="10">
                  <c:v>2.4806894361972809E-3</c:v>
                </c:pt>
                <c:pt idx="11">
                  <c:v>8.3431527018547058E-3</c:v>
                </c:pt>
                <c:pt idx="12">
                  <c:v>2.7338080108165741E-3</c:v>
                </c:pt>
                <c:pt idx="13">
                  <c:v>3.3221840858459473E-3</c:v>
                </c:pt>
                <c:pt idx="14">
                  <c:v>4.1106343269348145E-3</c:v>
                </c:pt>
                <c:pt idx="15">
                  <c:v>4.3148919939994812E-3</c:v>
                </c:pt>
                <c:pt idx="16">
                  <c:v>4.0321424603462219E-3</c:v>
                </c:pt>
                <c:pt idx="17">
                  <c:v>-7.4516981840133667E-4</c:v>
                </c:pt>
                <c:pt idx="18">
                  <c:v>1.8619298934936523E-3</c:v>
                </c:pt>
                <c:pt idx="19">
                  <c:v>2.3703277111053467E-4</c:v>
                </c:pt>
                <c:pt idx="20">
                  <c:v>1.4960914850234985E-3</c:v>
                </c:pt>
                <c:pt idx="21">
                  <c:v>2.9515326023101807E-3</c:v>
                </c:pt>
                <c:pt idx="22">
                  <c:v>-3.7331879138946533E-4</c:v>
                </c:pt>
                <c:pt idx="23">
                  <c:v>8.4862112998962402E-4</c:v>
                </c:pt>
                <c:pt idx="24">
                  <c:v>-4.5042335987091064E-3</c:v>
                </c:pt>
                <c:pt idx="25">
                  <c:v>-5.9646368026733398E-4</c:v>
                </c:pt>
                <c:pt idx="26">
                  <c:v>2.1731853485107422E-3</c:v>
                </c:pt>
                <c:pt idx="27">
                  <c:v>5.3194165229797363E-4</c:v>
                </c:pt>
                <c:pt idx="28">
                  <c:v>3.4091472625732422E-3</c:v>
                </c:pt>
                <c:pt idx="29">
                  <c:v>-7.4416399002075195E-5</c:v>
                </c:pt>
                <c:pt idx="30">
                  <c:v>1.1347532272338867E-3</c:v>
                </c:pt>
                <c:pt idx="31">
                  <c:v>1.4333426952362061E-3</c:v>
                </c:pt>
                <c:pt idx="32">
                  <c:v>2.2220015525817871E-3</c:v>
                </c:pt>
                <c:pt idx="33">
                  <c:v>2.2145211696624756E-3</c:v>
                </c:pt>
                <c:pt idx="34">
                  <c:v>5.4001510143280029E-3</c:v>
                </c:pt>
                <c:pt idx="35">
                  <c:v>-7.691502571105957E-3</c:v>
                </c:pt>
                <c:pt idx="36">
                  <c:v>-1.0178685188293457E-3</c:v>
                </c:pt>
                <c:pt idx="37">
                  <c:v>4.9551725387573242E-3</c:v>
                </c:pt>
                <c:pt idx="38">
                  <c:v>-1.2918412685394287E-3</c:v>
                </c:pt>
                <c:pt idx="39">
                  <c:v>3.8546919822692871E-3</c:v>
                </c:pt>
                <c:pt idx="40">
                  <c:v>1.5240311622619629E-3</c:v>
                </c:pt>
                <c:pt idx="41">
                  <c:v>1.7036199569702148E-3</c:v>
                </c:pt>
                <c:pt idx="42">
                  <c:v>5.9464573860168457E-3</c:v>
                </c:pt>
                <c:pt idx="43">
                  <c:v>2.1787881851196289E-3</c:v>
                </c:pt>
                <c:pt idx="44">
                  <c:v>5.6121945381164551E-3</c:v>
                </c:pt>
                <c:pt idx="45">
                  <c:v>4.7829151153564453E-3</c:v>
                </c:pt>
                <c:pt idx="46">
                  <c:v>8.1055760383605957E-3</c:v>
                </c:pt>
                <c:pt idx="47">
                  <c:v>6.191551685333252E-3</c:v>
                </c:pt>
                <c:pt idx="48">
                  <c:v>4.208683967590332E-3</c:v>
                </c:pt>
                <c:pt idx="49">
                  <c:v>3.2212138175964355E-3</c:v>
                </c:pt>
                <c:pt idx="50">
                  <c:v>8.0329775810241699E-3</c:v>
                </c:pt>
                <c:pt idx="51">
                  <c:v>5.0861835479736328E-3</c:v>
                </c:pt>
                <c:pt idx="52">
                  <c:v>9.8763108253479004E-3</c:v>
                </c:pt>
                <c:pt idx="53">
                  <c:v>3.3178925514221191E-3</c:v>
                </c:pt>
                <c:pt idx="54">
                  <c:v>1.1079788208007813E-2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6"/>
          <c:order val="6"/>
          <c:tx>
            <c:strRef>
              <c:f>Calculations!$AG$1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Calculations!$AG$16:$AG$116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2.3068714886903763E-2</c:v>
                </c:pt>
                <c:pt idx="8">
                  <c:v>1.928526908159256E-2</c:v>
                </c:pt>
                <c:pt idx="9">
                  <c:v>1.8283825367689133E-2</c:v>
                </c:pt>
                <c:pt idx="10">
                  <c:v>2.111184224486351E-2</c:v>
                </c:pt>
                <c:pt idx="11">
                  <c:v>1.8584612756967545E-2</c:v>
                </c:pt>
                <c:pt idx="12">
                  <c:v>1.6366578638553619E-2</c:v>
                </c:pt>
                <c:pt idx="13">
                  <c:v>1.6333159059286118E-2</c:v>
                </c:pt>
                <c:pt idx="14">
                  <c:v>1.6510933637619019E-2</c:v>
                </c:pt>
                <c:pt idx="15">
                  <c:v>1.2150444090366364E-2</c:v>
                </c:pt>
                <c:pt idx="16">
                  <c:v>1.119743287563324E-2</c:v>
                </c:pt>
                <c:pt idx="17">
                  <c:v>1.356111466884613E-2</c:v>
                </c:pt>
                <c:pt idx="18">
                  <c:v>1.1518985033035278E-2</c:v>
                </c:pt>
                <c:pt idx="19">
                  <c:v>1.3070717453956604E-2</c:v>
                </c:pt>
                <c:pt idx="20">
                  <c:v>1.3527095317840576E-2</c:v>
                </c:pt>
                <c:pt idx="21">
                  <c:v>1.0269224643707275E-2</c:v>
                </c:pt>
                <c:pt idx="22">
                  <c:v>1.0026440024375916E-2</c:v>
                </c:pt>
                <c:pt idx="23">
                  <c:v>1.0443627834320068E-2</c:v>
                </c:pt>
                <c:pt idx="24">
                  <c:v>8.0600082874298096E-3</c:v>
                </c:pt>
                <c:pt idx="25">
                  <c:v>7.1727186441421509E-3</c:v>
                </c:pt>
                <c:pt idx="26">
                  <c:v>1.1624395847320557E-3</c:v>
                </c:pt>
                <c:pt idx="27">
                  <c:v>1.0321855545043945E-2</c:v>
                </c:pt>
                <c:pt idx="28">
                  <c:v>8.3467066287994385E-3</c:v>
                </c:pt>
                <c:pt idx="29">
                  <c:v>3.7966072559356689E-3</c:v>
                </c:pt>
                <c:pt idx="30">
                  <c:v>7.9036951065063477E-3</c:v>
                </c:pt>
                <c:pt idx="31">
                  <c:v>3.2064616680145264E-3</c:v>
                </c:pt>
                <c:pt idx="32">
                  <c:v>2.948075532913208E-3</c:v>
                </c:pt>
                <c:pt idx="33">
                  <c:v>1.8492937088012695E-3</c:v>
                </c:pt>
                <c:pt idx="34">
                  <c:v>-1.8477439880371094E-5</c:v>
                </c:pt>
                <c:pt idx="35">
                  <c:v>5.3330063819885254E-3</c:v>
                </c:pt>
                <c:pt idx="36">
                  <c:v>-9.1403722763061523E-4</c:v>
                </c:pt>
                <c:pt idx="37">
                  <c:v>-5.7518482208251953E-5</c:v>
                </c:pt>
                <c:pt idx="38">
                  <c:v>3.1840801239013672E-4</c:v>
                </c:pt>
                <c:pt idx="39">
                  <c:v>3.0237436294555664E-4</c:v>
                </c:pt>
                <c:pt idx="40">
                  <c:v>-3.2488703727722168E-3</c:v>
                </c:pt>
                <c:pt idx="41">
                  <c:v>-4.4673681259155273E-4</c:v>
                </c:pt>
                <c:pt idx="42">
                  <c:v>-5.3382515907287598E-3</c:v>
                </c:pt>
                <c:pt idx="43">
                  <c:v>-2.5632977485656738E-3</c:v>
                </c:pt>
                <c:pt idx="44">
                  <c:v>-4.3877363204956055E-3</c:v>
                </c:pt>
                <c:pt idx="45">
                  <c:v>-2.6505589485168457E-3</c:v>
                </c:pt>
                <c:pt idx="46">
                  <c:v>-6.7037343978881836E-4</c:v>
                </c:pt>
                <c:pt idx="47">
                  <c:v>-7.9214572906494141E-3</c:v>
                </c:pt>
                <c:pt idx="48">
                  <c:v>-7.4021816253662109E-3</c:v>
                </c:pt>
                <c:pt idx="49">
                  <c:v>-1.9105672836303711E-3</c:v>
                </c:pt>
                <c:pt idx="50">
                  <c:v>-6.4196586608886719E-3</c:v>
                </c:pt>
                <c:pt idx="51">
                  <c:v>-6.9178938865661621E-3</c:v>
                </c:pt>
                <c:pt idx="52">
                  <c:v>-7.5282454490661621E-3</c:v>
                </c:pt>
                <c:pt idx="53">
                  <c:v>-3.7777423858642578E-3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7"/>
          <c:order val="7"/>
          <c:tx>
            <c:strRef>
              <c:f>Calculations!$AH$1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Calculations!$AH$16:$AH$116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2.2455103695392609E-2</c:v>
                </c:pt>
                <c:pt idx="9">
                  <c:v>2.1436918526887894E-2</c:v>
                </c:pt>
                <c:pt idx="10">
                  <c:v>2.0326448604464531E-2</c:v>
                </c:pt>
                <c:pt idx="11">
                  <c:v>2.5622721761465073E-2</c:v>
                </c:pt>
                <c:pt idx="12">
                  <c:v>2.3385640233755112E-2</c:v>
                </c:pt>
                <c:pt idx="13">
                  <c:v>1.9408315420150757E-2</c:v>
                </c:pt>
                <c:pt idx="14">
                  <c:v>2.3485727608203888E-2</c:v>
                </c:pt>
                <c:pt idx="15">
                  <c:v>1.9102133810520172E-2</c:v>
                </c:pt>
                <c:pt idx="16">
                  <c:v>2.2046610713005066E-2</c:v>
                </c:pt>
                <c:pt idx="17">
                  <c:v>2.0463503897190094E-2</c:v>
                </c:pt>
                <c:pt idx="18">
                  <c:v>1.8395222723484039E-2</c:v>
                </c:pt>
                <c:pt idx="19">
                  <c:v>1.9920200109481812E-2</c:v>
                </c:pt>
                <c:pt idx="20">
                  <c:v>1.6426175832748413E-2</c:v>
                </c:pt>
                <c:pt idx="21">
                  <c:v>1.7061442136764526E-2</c:v>
                </c:pt>
                <c:pt idx="22">
                  <c:v>1.6788497567176819E-2</c:v>
                </c:pt>
                <c:pt idx="23">
                  <c:v>1.7176777124404907E-2</c:v>
                </c:pt>
                <c:pt idx="24">
                  <c:v>1.4758944511413574E-2</c:v>
                </c:pt>
                <c:pt idx="25">
                  <c:v>1.3840273022651672E-2</c:v>
                </c:pt>
                <c:pt idx="26">
                  <c:v>1.1717915534973145E-2</c:v>
                </c:pt>
                <c:pt idx="27">
                  <c:v>1.2999564409255981E-2</c:v>
                </c:pt>
                <c:pt idx="28">
                  <c:v>1.4912545680999756E-2</c:v>
                </c:pt>
                <c:pt idx="29">
                  <c:v>1.0324150323867798E-2</c:v>
                </c:pt>
                <c:pt idx="30">
                  <c:v>1.4394462108612061E-2</c:v>
                </c:pt>
                <c:pt idx="31">
                  <c:v>9.6586346626281738E-3</c:v>
                </c:pt>
                <c:pt idx="32">
                  <c:v>1.3284206390380859E-2</c:v>
                </c:pt>
                <c:pt idx="33">
                  <c:v>1.2146204710006714E-2</c:v>
                </c:pt>
                <c:pt idx="34">
                  <c:v>1.0237783193588257E-2</c:v>
                </c:pt>
                <c:pt idx="35">
                  <c:v>1.1625856161117554E-2</c:v>
                </c:pt>
                <c:pt idx="36">
                  <c:v>9.2588663101196289E-3</c:v>
                </c:pt>
                <c:pt idx="37">
                  <c:v>1.0072469711303711E-2</c:v>
                </c:pt>
                <c:pt idx="38">
                  <c:v>6.4829587936401367E-3</c:v>
                </c:pt>
                <c:pt idx="39">
                  <c:v>6.4224004745483398E-3</c:v>
                </c:pt>
                <c:pt idx="40">
                  <c:v>6.7488551139831543E-3</c:v>
                </c:pt>
                <c:pt idx="41">
                  <c:v>1.3425886631011963E-2</c:v>
                </c:pt>
                <c:pt idx="42">
                  <c:v>8.487999439239502E-3</c:v>
                </c:pt>
                <c:pt idx="43">
                  <c:v>1.1216223239898682E-2</c:v>
                </c:pt>
                <c:pt idx="44">
                  <c:v>9.3438029289245605E-3</c:v>
                </c:pt>
                <c:pt idx="45">
                  <c:v>7.1107149124145508E-3</c:v>
                </c:pt>
                <c:pt idx="46">
                  <c:v>5.1211118698120117E-3</c:v>
                </c:pt>
                <c:pt idx="47">
                  <c:v>9.5838308334350586E-3</c:v>
                </c:pt>
                <c:pt idx="48">
                  <c:v>6.1305761337280273E-3</c:v>
                </c:pt>
                <c:pt idx="49">
                  <c:v>7.6516866683959961E-3</c:v>
                </c:pt>
                <c:pt idx="50">
                  <c:v>7.0110559463500977E-3</c:v>
                </c:pt>
                <c:pt idx="51">
                  <c:v>6.4598917961120605E-3</c:v>
                </c:pt>
                <c:pt idx="52">
                  <c:v>5.7964324951171875E-3</c:v>
                </c:pt>
                <c:pt idx="53">
                  <c:v>5.5730938911437988E-3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axId val="215217664"/>
        <c:axId val="215219200"/>
      </c:scatterChart>
      <c:valAx>
        <c:axId val="215217664"/>
        <c:scaling>
          <c:orientation val="minMax"/>
          <c:max val="90"/>
        </c:scaling>
        <c:axPos val="b"/>
        <c:numFmt formatCode="0.00E+00" sourceLinked="1"/>
        <c:tickLblPos val="nextTo"/>
        <c:crossAx val="215219200"/>
        <c:crosses val="autoZero"/>
        <c:crossBetween val="midCat"/>
      </c:valAx>
      <c:valAx>
        <c:axId val="215219200"/>
        <c:scaling>
          <c:orientation val="minMax"/>
        </c:scaling>
        <c:axPos val="l"/>
        <c:majorGridlines/>
        <c:numFmt formatCode="0%" sourceLinked="0"/>
        <c:tickLblPos val="nextTo"/>
        <c:crossAx val="215217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Calculations!$AI$1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Calculations!$AI$16:$AI$116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2.3537274450063705E-2</c:v>
                </c:pt>
                <c:pt idx="8">
                  <c:v>2.344423346221447E-2</c:v>
                </c:pt>
                <c:pt idx="9">
                  <c:v>2.2177437320351601E-2</c:v>
                </c:pt>
                <c:pt idx="10">
                  <c:v>2.0815771073102951E-2</c:v>
                </c:pt>
                <c:pt idx="11">
                  <c:v>1.7977412790060043E-2</c:v>
                </c:pt>
                <c:pt idx="12">
                  <c:v>1.9379094243049622E-2</c:v>
                </c:pt>
                <c:pt idx="13">
                  <c:v>1.8991708755493164E-2</c:v>
                </c:pt>
                <c:pt idx="14">
                  <c:v>1.4900289475917816E-2</c:v>
                </c:pt>
                <c:pt idx="15">
                  <c:v>1.8016807734966278E-2</c:v>
                </c:pt>
                <c:pt idx="16">
                  <c:v>1.6682244837284088E-2</c:v>
                </c:pt>
                <c:pt idx="17">
                  <c:v>1.4724656939506531E-2</c:v>
                </c:pt>
                <c:pt idx="18">
                  <c:v>1.6189858317375183E-2</c:v>
                </c:pt>
                <c:pt idx="19">
                  <c:v>1.7317533493041992E-2</c:v>
                </c:pt>
                <c:pt idx="20">
                  <c:v>1.3395413756370544E-2</c:v>
                </c:pt>
                <c:pt idx="21">
                  <c:v>1.3608425855636597E-2</c:v>
                </c:pt>
                <c:pt idx="22">
                  <c:v>1.2887731194496155E-2</c:v>
                </c:pt>
                <c:pt idx="23">
                  <c:v>1.2846827507019043E-2</c:v>
                </c:pt>
                <c:pt idx="24">
                  <c:v>9.9210739135742188E-3</c:v>
                </c:pt>
                <c:pt idx="25">
                  <c:v>1.2458130717277527E-2</c:v>
                </c:pt>
                <c:pt idx="26">
                  <c:v>1.3757705688476563E-2</c:v>
                </c:pt>
                <c:pt idx="27">
                  <c:v>1.0603636503219604E-2</c:v>
                </c:pt>
                <c:pt idx="28">
                  <c:v>1.202017068862915E-2</c:v>
                </c:pt>
                <c:pt idx="29">
                  <c:v>1.0784506797790527E-2</c:v>
                </c:pt>
                <c:pt idx="30">
                  <c:v>6.4657628536224365E-3</c:v>
                </c:pt>
                <c:pt idx="31">
                  <c:v>9.0001225471496582E-3</c:v>
                </c:pt>
                <c:pt idx="32">
                  <c:v>4.2241513729095459E-3</c:v>
                </c:pt>
                <c:pt idx="33">
                  <c:v>6.425708532333374E-3</c:v>
                </c:pt>
                <c:pt idx="34">
                  <c:v>7.8351795673370361E-3</c:v>
                </c:pt>
                <c:pt idx="35">
                  <c:v>8.6020827293395996E-3</c:v>
                </c:pt>
                <c:pt idx="36">
                  <c:v>9.5401406288146973E-3</c:v>
                </c:pt>
                <c:pt idx="37">
                  <c:v>9.7164809703826904E-3</c:v>
                </c:pt>
                <c:pt idx="38">
                  <c:v>5.4761171340942383E-3</c:v>
                </c:pt>
                <c:pt idx="39">
                  <c:v>4.7537684440612793E-3</c:v>
                </c:pt>
                <c:pt idx="40">
                  <c:v>4.4292807579040527E-3</c:v>
                </c:pt>
                <c:pt idx="41">
                  <c:v>2.5702714920043945E-3</c:v>
                </c:pt>
                <c:pt idx="42">
                  <c:v>8.6534023284912109E-4</c:v>
                </c:pt>
                <c:pt idx="43">
                  <c:v>-1.0216236114501953E-3</c:v>
                </c:pt>
                <c:pt idx="44">
                  <c:v>4.2364597320556641E-3</c:v>
                </c:pt>
                <c:pt idx="45">
                  <c:v>1.2805461883544922E-3</c:v>
                </c:pt>
                <c:pt idx="46">
                  <c:v>2.4966001510620117E-3</c:v>
                </c:pt>
                <c:pt idx="47">
                  <c:v>2.2827982902526855E-3</c:v>
                </c:pt>
                <c:pt idx="48">
                  <c:v>-1.927495002746582E-3</c:v>
                </c:pt>
                <c:pt idx="49">
                  <c:v>-1.1338591575622559E-3</c:v>
                </c:pt>
                <c:pt idx="50">
                  <c:v>1.3589859008789063E-3</c:v>
                </c:pt>
                <c:pt idx="51">
                  <c:v>2.2232532501220703E-5</c:v>
                </c:pt>
                <c:pt idx="52">
                  <c:v>-1.4300942420959473E-3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Calculations!$AJ$1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Calculations!$AJ$16:$AJ$116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1.5355654060840607E-2</c:v>
                </c:pt>
                <c:pt idx="8">
                  <c:v>1.5639891847968102E-2</c:v>
                </c:pt>
                <c:pt idx="9">
                  <c:v>1.4806175604462624E-2</c:v>
                </c:pt>
                <c:pt idx="10">
                  <c:v>1.3882096856832504E-2</c:v>
                </c:pt>
                <c:pt idx="11">
                  <c:v>1.5473097562789917E-2</c:v>
                </c:pt>
                <c:pt idx="12">
                  <c:v>1.7367422580718994E-2</c:v>
                </c:pt>
                <c:pt idx="13">
                  <c:v>1.3636171817779541E-2</c:v>
                </c:pt>
                <c:pt idx="14">
                  <c:v>1.4033682644367218E-2</c:v>
                </c:pt>
                <c:pt idx="15">
                  <c:v>9.904615581035614E-3</c:v>
                </c:pt>
                <c:pt idx="16">
                  <c:v>1.7035916447639465E-2</c:v>
                </c:pt>
                <c:pt idx="17">
                  <c:v>1.5730671584606171E-2</c:v>
                </c:pt>
                <c:pt idx="18">
                  <c:v>1.0028794407844543E-2</c:v>
                </c:pt>
                <c:pt idx="19">
                  <c:v>1.1848568916320801E-2</c:v>
                </c:pt>
                <c:pt idx="20">
                  <c:v>1.2593761086463928E-2</c:v>
                </c:pt>
                <c:pt idx="21">
                  <c:v>1.3542354106903076E-2</c:v>
                </c:pt>
                <c:pt idx="22">
                  <c:v>1.3601630926132202E-2</c:v>
                </c:pt>
                <c:pt idx="23">
                  <c:v>1.0386824607849121E-2</c:v>
                </c:pt>
                <c:pt idx="24">
                  <c:v>1.2267440557479858E-2</c:v>
                </c:pt>
                <c:pt idx="25">
                  <c:v>1.1694461107254028E-2</c:v>
                </c:pt>
                <c:pt idx="26">
                  <c:v>1.3864368200302124E-2</c:v>
                </c:pt>
                <c:pt idx="27">
                  <c:v>1.1605978012084961E-2</c:v>
                </c:pt>
                <c:pt idx="28">
                  <c:v>1.3887286186218262E-2</c:v>
                </c:pt>
                <c:pt idx="29">
                  <c:v>9.7209513187408447E-3</c:v>
                </c:pt>
                <c:pt idx="30">
                  <c:v>1.419636607170105E-2</c:v>
                </c:pt>
                <c:pt idx="31">
                  <c:v>9.8856687545776367E-3</c:v>
                </c:pt>
                <c:pt idx="32">
                  <c:v>1.3925611972808838E-2</c:v>
                </c:pt>
                <c:pt idx="33">
                  <c:v>9.2979073524475098E-3</c:v>
                </c:pt>
                <c:pt idx="34">
                  <c:v>1.1758983135223389E-2</c:v>
                </c:pt>
                <c:pt idx="35">
                  <c:v>1.3607978820800781E-2</c:v>
                </c:pt>
                <c:pt idx="36">
                  <c:v>1.5619993209838867E-2</c:v>
                </c:pt>
                <c:pt idx="37">
                  <c:v>9.0633630752563477E-3</c:v>
                </c:pt>
                <c:pt idx="38">
                  <c:v>5.9567689895629883E-3</c:v>
                </c:pt>
                <c:pt idx="39">
                  <c:v>6.3872933387756348E-3</c:v>
                </c:pt>
                <c:pt idx="40">
                  <c:v>1.111835241317749E-2</c:v>
                </c:pt>
                <c:pt idx="41">
                  <c:v>1.0466337203979492E-2</c:v>
                </c:pt>
                <c:pt idx="42">
                  <c:v>9.9610090255737305E-3</c:v>
                </c:pt>
                <c:pt idx="43">
                  <c:v>1.3203918933868408E-2</c:v>
                </c:pt>
                <c:pt idx="44">
                  <c:v>1.1860251426696777E-2</c:v>
                </c:pt>
                <c:pt idx="45">
                  <c:v>1.0163426399230957E-2</c:v>
                </c:pt>
                <c:pt idx="46">
                  <c:v>1.2626707553863525E-2</c:v>
                </c:pt>
                <c:pt idx="47">
                  <c:v>1.3728022575378418E-2</c:v>
                </c:pt>
                <c:pt idx="48">
                  <c:v>1.4758050441741943E-2</c:v>
                </c:pt>
                <c:pt idx="49">
                  <c:v>1.681894063949585E-2</c:v>
                </c:pt>
                <c:pt idx="50">
                  <c:v>1.6763150691986084E-2</c:v>
                </c:pt>
                <c:pt idx="51">
                  <c:v>1.2873351573944092E-2</c:v>
                </c:pt>
                <c:pt idx="52">
                  <c:v>1.2795090675354004E-2</c:v>
                </c:pt>
                <c:pt idx="53">
                  <c:v>1.3147890567779541E-2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Calculations!$AK$1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Calculations!$AK$16:$AK$116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2.2029317915439606E-2</c:v>
                </c:pt>
                <c:pt idx="9">
                  <c:v>2.1262597292661667E-2</c:v>
                </c:pt>
                <c:pt idx="10">
                  <c:v>2.0406212657690048E-2</c:v>
                </c:pt>
                <c:pt idx="11">
                  <c:v>1.8154192715883255E-2</c:v>
                </c:pt>
                <c:pt idx="12">
                  <c:v>1.6203161329030991E-2</c:v>
                </c:pt>
                <c:pt idx="13">
                  <c:v>1.6482848674058914E-2</c:v>
                </c:pt>
                <c:pt idx="14">
                  <c:v>1.6968123614788055E-2</c:v>
                </c:pt>
                <c:pt idx="15">
                  <c:v>1.2931503355503082E-2</c:v>
                </c:pt>
                <c:pt idx="16">
                  <c:v>1.6237564384937286E-2</c:v>
                </c:pt>
                <c:pt idx="17">
                  <c:v>1.1111661791801453E-2</c:v>
                </c:pt>
                <c:pt idx="18">
                  <c:v>1.7279081046581268E-2</c:v>
                </c:pt>
                <c:pt idx="19">
                  <c:v>1.1362776160240173E-2</c:v>
                </c:pt>
                <c:pt idx="20">
                  <c:v>1.2223348021507263E-2</c:v>
                </c:pt>
                <c:pt idx="21">
                  <c:v>9.3641430139541626E-3</c:v>
                </c:pt>
                <c:pt idx="22">
                  <c:v>9.5440894365310669E-3</c:v>
                </c:pt>
                <c:pt idx="23">
                  <c:v>1.0366499423980713E-2</c:v>
                </c:pt>
                <c:pt idx="24">
                  <c:v>8.4624290466308594E-3</c:v>
                </c:pt>
                <c:pt idx="25">
                  <c:v>8.014976978302002E-3</c:v>
                </c:pt>
                <c:pt idx="26">
                  <c:v>1.0319545865058899E-2</c:v>
                </c:pt>
                <c:pt idx="27">
                  <c:v>8.1996917724609375E-3</c:v>
                </c:pt>
                <c:pt idx="28">
                  <c:v>1.0614782571792603E-2</c:v>
                </c:pt>
                <c:pt idx="29">
                  <c:v>1.0523319244384766E-2</c:v>
                </c:pt>
                <c:pt idx="30">
                  <c:v>7.302701473236084E-3</c:v>
                </c:pt>
                <c:pt idx="31">
                  <c:v>1.0989546775817871E-2</c:v>
                </c:pt>
                <c:pt idx="32">
                  <c:v>7.3368251323699951E-3</c:v>
                </c:pt>
                <c:pt idx="33">
                  <c:v>2.8659701347351074E-3</c:v>
                </c:pt>
                <c:pt idx="34">
                  <c:v>1.3332843780517578E-2</c:v>
                </c:pt>
                <c:pt idx="35">
                  <c:v>7.5061023235321045E-3</c:v>
                </c:pt>
                <c:pt idx="36">
                  <c:v>1.841127872467041E-3</c:v>
                </c:pt>
                <c:pt idx="37">
                  <c:v>3.2993853092193604E-3</c:v>
                </c:pt>
                <c:pt idx="38">
                  <c:v>4.2896866798400879E-3</c:v>
                </c:pt>
                <c:pt idx="39">
                  <c:v>4.8986077308654785E-3</c:v>
                </c:pt>
                <c:pt idx="40">
                  <c:v>5.8835148811340332E-3</c:v>
                </c:pt>
                <c:pt idx="41">
                  <c:v>5.4181814193725586E-3</c:v>
                </c:pt>
                <c:pt idx="42">
                  <c:v>5.0984025001525879E-3</c:v>
                </c:pt>
                <c:pt idx="43">
                  <c:v>4.6066641807556152E-3</c:v>
                </c:pt>
                <c:pt idx="44">
                  <c:v>3.4551024436950684E-3</c:v>
                </c:pt>
                <c:pt idx="45">
                  <c:v>1.9530653953552246E-3</c:v>
                </c:pt>
                <c:pt idx="46">
                  <c:v>4.6092867851257324E-3</c:v>
                </c:pt>
                <c:pt idx="47">
                  <c:v>1.9924640655517578E-3</c:v>
                </c:pt>
                <c:pt idx="48">
                  <c:v>3.2265186309814453E-3</c:v>
                </c:pt>
                <c:pt idx="49">
                  <c:v>1.5618205070495605E-3</c:v>
                </c:pt>
                <c:pt idx="50">
                  <c:v>1.7184019088745117E-3</c:v>
                </c:pt>
                <c:pt idx="51">
                  <c:v>1.9618868827819824E-3</c:v>
                </c:pt>
                <c:pt idx="52">
                  <c:v>-1.8253326416015625E-3</c:v>
                </c:pt>
                <c:pt idx="53">
                  <c:v>2.6582479476928711E-3</c:v>
                </c:pt>
                <c:pt idx="54">
                  <c:v>-2.1050572395324707E-3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Calculations!$AL$1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Calculations!$AL$16:$AL$116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2.1866157650947571E-2</c:v>
                </c:pt>
                <c:pt idx="9">
                  <c:v>1.7274230718612671E-2</c:v>
                </c:pt>
                <c:pt idx="10">
                  <c:v>2.0436778664588928E-2</c:v>
                </c:pt>
                <c:pt idx="11">
                  <c:v>1.8297746777534485E-2</c:v>
                </c:pt>
                <c:pt idx="12">
                  <c:v>2.0377900451421738E-2</c:v>
                </c:pt>
                <c:pt idx="13">
                  <c:v>1.6864556819200516E-2</c:v>
                </c:pt>
                <c:pt idx="14">
                  <c:v>1.7476074397563934E-2</c:v>
                </c:pt>
                <c:pt idx="15">
                  <c:v>1.357240229845047E-2</c:v>
                </c:pt>
                <c:pt idx="16">
                  <c:v>1.7017029225826263E-2</c:v>
                </c:pt>
                <c:pt idx="17">
                  <c:v>1.5957839787006378E-2</c:v>
                </c:pt>
                <c:pt idx="18">
                  <c:v>1.4432549476623535E-2</c:v>
                </c:pt>
                <c:pt idx="19">
                  <c:v>1.651337742805481E-2</c:v>
                </c:pt>
                <c:pt idx="20">
                  <c:v>1.7539873719215393E-2</c:v>
                </c:pt>
                <c:pt idx="21">
                  <c:v>1.4844343066215515E-2</c:v>
                </c:pt>
                <c:pt idx="22">
                  <c:v>1.5197828412055969E-2</c:v>
                </c:pt>
                <c:pt idx="23">
                  <c:v>2.01081782579422E-2</c:v>
                </c:pt>
                <c:pt idx="24">
                  <c:v>1.4479398727416992E-2</c:v>
                </c:pt>
                <c:pt idx="25">
                  <c:v>1.4212504029273987E-2</c:v>
                </c:pt>
                <c:pt idx="26">
                  <c:v>1.2789174914360046E-2</c:v>
                </c:pt>
                <c:pt idx="27">
                  <c:v>1.4790177345275879E-2</c:v>
                </c:pt>
                <c:pt idx="28">
                  <c:v>1.7397701740264893E-2</c:v>
                </c:pt>
                <c:pt idx="29">
                  <c:v>1.3605117797851563E-2</c:v>
                </c:pt>
                <c:pt idx="30">
                  <c:v>1.8439263105392456E-2</c:v>
                </c:pt>
                <c:pt idx="31">
                  <c:v>1.450502872467041E-2</c:v>
                </c:pt>
                <c:pt idx="32">
                  <c:v>1.4990329742431641E-2</c:v>
                </c:pt>
                <c:pt idx="33">
                  <c:v>1.4666646718978882E-2</c:v>
                </c:pt>
                <c:pt idx="34">
                  <c:v>1.7524361610412598E-2</c:v>
                </c:pt>
                <c:pt idx="35">
                  <c:v>1.585996150970459E-2</c:v>
                </c:pt>
                <c:pt idx="36">
                  <c:v>1.4355510473251343E-2</c:v>
                </c:pt>
                <c:pt idx="37">
                  <c:v>1.6060769557952881E-2</c:v>
                </c:pt>
                <c:pt idx="38">
                  <c:v>1.7303347587585449E-2</c:v>
                </c:pt>
                <c:pt idx="39">
                  <c:v>1.4247208833694458E-2</c:v>
                </c:pt>
                <c:pt idx="40">
                  <c:v>1.5484452247619629E-2</c:v>
                </c:pt>
                <c:pt idx="41">
                  <c:v>1.920926570892334E-2</c:v>
                </c:pt>
                <c:pt idx="42">
                  <c:v>1.9156396389007568E-2</c:v>
                </c:pt>
                <c:pt idx="43">
                  <c:v>1.8933475017547607E-2</c:v>
                </c:pt>
                <c:pt idx="44">
                  <c:v>1.8058121204376221E-2</c:v>
                </c:pt>
                <c:pt idx="45">
                  <c:v>1.6836285591125488E-2</c:v>
                </c:pt>
                <c:pt idx="46">
                  <c:v>1.9769966602325439E-2</c:v>
                </c:pt>
                <c:pt idx="47">
                  <c:v>2.1367371082305908E-2</c:v>
                </c:pt>
                <c:pt idx="48">
                  <c:v>1.8973231315612793E-2</c:v>
                </c:pt>
                <c:pt idx="49">
                  <c:v>2.1512150764465332E-2</c:v>
                </c:pt>
                <c:pt idx="50">
                  <c:v>1.8052577972412109E-2</c:v>
                </c:pt>
                <c:pt idx="51">
                  <c:v>1.8600583076477051E-2</c:v>
                </c:pt>
                <c:pt idx="52">
                  <c:v>2.2962212562561035E-2</c:v>
                </c:pt>
                <c:pt idx="53">
                  <c:v>2.3825168609619141E-2</c:v>
                </c:pt>
                <c:pt idx="54">
                  <c:v>1.9378542900085449E-2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4"/>
          <c:order val="4"/>
          <c:tx>
            <c:strRef>
              <c:f>Calculations!$AM$1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Calculations!$AM$16:$AM$116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2.3409856483340263E-2</c:v>
                </c:pt>
                <c:pt idx="8">
                  <c:v>2.3379676043987274E-2</c:v>
                </c:pt>
                <c:pt idx="9">
                  <c:v>2.2185036912560463E-2</c:v>
                </c:pt>
                <c:pt idx="10">
                  <c:v>2.0896280184388161E-2</c:v>
                </c:pt>
                <c:pt idx="11">
                  <c:v>1.8142525106668472E-2</c:v>
                </c:pt>
                <c:pt idx="12">
                  <c:v>2.3547857999801636E-2</c:v>
                </c:pt>
                <c:pt idx="13">
                  <c:v>1.9335158169269562E-2</c:v>
                </c:pt>
                <c:pt idx="14">
                  <c:v>1.9259840250015259E-2</c:v>
                </c:pt>
                <c:pt idx="15">
                  <c:v>1.8554352223873138E-2</c:v>
                </c:pt>
                <c:pt idx="16">
                  <c:v>1.7323538661003113E-2</c:v>
                </c:pt>
                <c:pt idx="17">
                  <c:v>1.9396208226680756E-2</c:v>
                </c:pt>
                <c:pt idx="18">
                  <c:v>1.7052486538887024E-2</c:v>
                </c:pt>
                <c:pt idx="19">
                  <c:v>1.8295466899871826E-2</c:v>
                </c:pt>
                <c:pt idx="20">
                  <c:v>1.8419191241264343E-2</c:v>
                </c:pt>
                <c:pt idx="21">
                  <c:v>1.8754735589027405E-2</c:v>
                </c:pt>
                <c:pt idx="22">
                  <c:v>1.8164008855819702E-2</c:v>
                </c:pt>
                <c:pt idx="23">
                  <c:v>1.8247678875923157E-2</c:v>
                </c:pt>
                <c:pt idx="24">
                  <c:v>1.5469342470169067E-2</c:v>
                </c:pt>
                <c:pt idx="25">
                  <c:v>1.8141612410545349E-2</c:v>
                </c:pt>
                <c:pt idx="26">
                  <c:v>1.5664637088775635E-2</c:v>
                </c:pt>
                <c:pt idx="27">
                  <c:v>1.6581356525421143E-2</c:v>
                </c:pt>
                <c:pt idx="28">
                  <c:v>1.8141984939575195E-2</c:v>
                </c:pt>
                <c:pt idx="29">
                  <c:v>1.3149857521057129E-2</c:v>
                </c:pt>
                <c:pt idx="30">
                  <c:v>1.6832709312438965E-2</c:v>
                </c:pt>
                <c:pt idx="31">
                  <c:v>1.1690199375152588E-2</c:v>
                </c:pt>
                <c:pt idx="32">
                  <c:v>1.4919459819793701E-2</c:v>
                </c:pt>
                <c:pt idx="33">
                  <c:v>1.7289936542510986E-2</c:v>
                </c:pt>
                <c:pt idx="34">
                  <c:v>1.4953076839447021E-2</c:v>
                </c:pt>
                <c:pt idx="35">
                  <c:v>1.1978685855865479E-2</c:v>
                </c:pt>
                <c:pt idx="36">
                  <c:v>1.3095676898956299E-2</c:v>
                </c:pt>
                <c:pt idx="37">
                  <c:v>1.3457000255584717E-2</c:v>
                </c:pt>
                <c:pt idx="38">
                  <c:v>1.3327121734619141E-2</c:v>
                </c:pt>
                <c:pt idx="39">
                  <c:v>1.279681921005249E-2</c:v>
                </c:pt>
                <c:pt idx="40">
                  <c:v>1.2661278247833252E-2</c:v>
                </c:pt>
                <c:pt idx="41">
                  <c:v>1.1003375053405762E-2</c:v>
                </c:pt>
                <c:pt idx="42">
                  <c:v>9.498298168182373E-3</c:v>
                </c:pt>
                <c:pt idx="43">
                  <c:v>1.5655815601348877E-2</c:v>
                </c:pt>
                <c:pt idx="44">
                  <c:v>1.3277590274810791E-2</c:v>
                </c:pt>
                <c:pt idx="45">
                  <c:v>1.0531485080718994E-2</c:v>
                </c:pt>
                <c:pt idx="46">
                  <c:v>1.1955320835113525E-2</c:v>
                </c:pt>
                <c:pt idx="47">
                  <c:v>1.1960625648498535E-2</c:v>
                </c:pt>
                <c:pt idx="48">
                  <c:v>1.1891663074493408E-2</c:v>
                </c:pt>
                <c:pt idx="49">
                  <c:v>1.2896418571472168E-2</c:v>
                </c:pt>
                <c:pt idx="50">
                  <c:v>1.1696398258209229E-2</c:v>
                </c:pt>
                <c:pt idx="51">
                  <c:v>1.0587692260742187E-2</c:v>
                </c:pt>
                <c:pt idx="52">
                  <c:v>1.3285934925079346E-2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Calculations!$AN$1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Calculations!$AN$16:$AN$116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2.3093974217772484E-2</c:v>
                </c:pt>
                <c:pt idx="8">
                  <c:v>2.3219633847475052E-2</c:v>
                </c:pt>
                <c:pt idx="9">
                  <c:v>2.2203885018825531E-2</c:v>
                </c:pt>
                <c:pt idx="10">
                  <c:v>2.1095877513289452E-2</c:v>
                </c:pt>
                <c:pt idx="11">
                  <c:v>1.8551871180534363E-2</c:v>
                </c:pt>
                <c:pt idx="12">
                  <c:v>1.6317561268806458E-2</c:v>
                </c:pt>
                <c:pt idx="13">
                  <c:v>1.6265057027339935E-2</c:v>
                </c:pt>
                <c:pt idx="14">
                  <c:v>1.6424097120761871E-2</c:v>
                </c:pt>
                <c:pt idx="15">
                  <c:v>1.5965431928634644E-2</c:v>
                </c:pt>
                <c:pt idx="16">
                  <c:v>1.4991849660873413E-2</c:v>
                </c:pt>
                <c:pt idx="17">
                  <c:v>1.3412408530712128E-2</c:v>
                </c:pt>
                <c:pt idx="18">
                  <c:v>1.1347949504852295E-2</c:v>
                </c:pt>
                <c:pt idx="19">
                  <c:v>1.2876808643341064E-2</c:v>
                </c:pt>
                <c:pt idx="20">
                  <c:v>1.3308554887771606E-2</c:v>
                </c:pt>
                <c:pt idx="21">
                  <c:v>1.3947963714599609E-2</c:v>
                </c:pt>
                <c:pt idx="22">
                  <c:v>9.7578316926956177E-3</c:v>
                </c:pt>
                <c:pt idx="23">
                  <c:v>1.0150328278541565E-2</c:v>
                </c:pt>
                <c:pt idx="24">
                  <c:v>7.7374875545501709E-3</c:v>
                </c:pt>
                <c:pt idx="25">
                  <c:v>6.8233758211135864E-3</c:v>
                </c:pt>
                <c:pt idx="26">
                  <c:v>8.627474308013916E-3</c:v>
                </c:pt>
                <c:pt idx="27">
                  <c:v>9.9141895771026611E-3</c:v>
                </c:pt>
                <c:pt idx="28">
                  <c:v>7.9104304313659668E-3</c:v>
                </c:pt>
                <c:pt idx="29">
                  <c:v>3.3276379108428955E-3</c:v>
                </c:pt>
                <c:pt idx="30">
                  <c:v>7.4033141136169434E-3</c:v>
                </c:pt>
                <c:pt idx="31">
                  <c:v>6.5946578979492188E-3</c:v>
                </c:pt>
                <c:pt idx="32">
                  <c:v>6.3041448593139648E-3</c:v>
                </c:pt>
                <c:pt idx="33">
                  <c:v>1.2502968311309814E-3</c:v>
                </c:pt>
                <c:pt idx="34">
                  <c:v>3.2693445682525635E-3</c:v>
                </c:pt>
                <c:pt idx="35">
                  <c:v>4.6635270118713379E-3</c:v>
                </c:pt>
                <c:pt idx="36">
                  <c:v>2.3025572299957275E-3</c:v>
                </c:pt>
                <c:pt idx="37">
                  <c:v>3.1224191188812256E-3</c:v>
                </c:pt>
                <c:pt idx="38">
                  <c:v>-4.6068429946899414E-4</c:v>
                </c:pt>
                <c:pt idx="39">
                  <c:v>-5.1480531692504883E-4</c:v>
                </c:pt>
                <c:pt idx="40">
                  <c:v>-1.8191337585449219E-4</c:v>
                </c:pt>
                <c:pt idx="41">
                  <c:v>-1.3412237167358398E-3</c:v>
                </c:pt>
                <c:pt idx="42">
                  <c:v>-2.3508071899414063E-3</c:v>
                </c:pt>
                <c:pt idx="43">
                  <c:v>3.8421154022216797E-4</c:v>
                </c:pt>
                <c:pt idx="44">
                  <c:v>-1.4812350273132324E-3</c:v>
                </c:pt>
                <c:pt idx="45">
                  <c:v>-3.7072300910949707E-3</c:v>
                </c:pt>
                <c:pt idx="46">
                  <c:v>-1.7682313919067383E-3</c:v>
                </c:pt>
                <c:pt idx="47">
                  <c:v>-5.1411986351013184E-3</c:v>
                </c:pt>
                <c:pt idx="48">
                  <c:v>-4.6654939651489258E-3</c:v>
                </c:pt>
                <c:pt idx="49">
                  <c:v>-3.1372904777526855E-3</c:v>
                </c:pt>
                <c:pt idx="50">
                  <c:v>-3.7701725959777832E-3</c:v>
                </c:pt>
                <c:pt idx="51">
                  <c:v>-8.2351565361022949E-3</c:v>
                </c:pt>
                <c:pt idx="52">
                  <c:v>-8.8909268379211426E-3</c:v>
                </c:pt>
                <c:pt idx="53">
                  <c:v>-9.1066956520080566E-3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6"/>
          <c:order val="6"/>
          <c:tx>
            <c:strRef>
              <c:f>Calculations!$AO$1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Calculations!$AO$16:$AO$116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2.239706739783287E-2</c:v>
                </c:pt>
                <c:pt idx="9">
                  <c:v>2.1413158625364304E-2</c:v>
                </c:pt>
                <c:pt idx="10">
                  <c:v>2.0337320864200592E-2</c:v>
                </c:pt>
                <c:pt idx="11">
                  <c:v>2.1752215921878815E-2</c:v>
                </c:pt>
                <c:pt idx="12">
                  <c:v>2.3475691676139832E-2</c:v>
                </c:pt>
                <c:pt idx="13">
                  <c:v>2.3465655744075775E-2</c:v>
                </c:pt>
                <c:pt idx="14">
                  <c:v>2.3666404187679291E-2</c:v>
                </c:pt>
                <c:pt idx="15">
                  <c:v>1.933009922504425E-2</c:v>
                </c:pt>
                <c:pt idx="16">
                  <c:v>2.2323869168758392E-2</c:v>
                </c:pt>
                <c:pt idx="17">
                  <c:v>2.0792387425899506E-2</c:v>
                </c:pt>
                <c:pt idx="18">
                  <c:v>1.8777616322040558E-2</c:v>
                </c:pt>
                <c:pt idx="19">
                  <c:v>2.0357370376586914E-2</c:v>
                </c:pt>
                <c:pt idx="20">
                  <c:v>2.0843937993049622E-2</c:v>
                </c:pt>
                <c:pt idx="21">
                  <c:v>1.7615839838981628E-2</c:v>
                </c:pt>
                <c:pt idx="22">
                  <c:v>1.7404630780220032E-2</c:v>
                </c:pt>
                <c:pt idx="23">
                  <c:v>1.7852097749710083E-2</c:v>
                </c:pt>
                <c:pt idx="24">
                  <c:v>1.550428569316864E-2</c:v>
                </c:pt>
                <c:pt idx="25">
                  <c:v>1.4649853110313416E-2</c:v>
                </c:pt>
                <c:pt idx="26">
                  <c:v>1.6517937183380127E-2</c:v>
                </c:pt>
                <c:pt idx="27">
                  <c:v>1.3948917388916016E-2</c:v>
                </c:pt>
                <c:pt idx="28">
                  <c:v>1.5930324792861938E-2</c:v>
                </c:pt>
                <c:pt idx="29">
                  <c:v>1.9263476133346558E-2</c:v>
                </c:pt>
                <c:pt idx="30">
                  <c:v>1.5565931797027588E-2</c:v>
                </c:pt>
                <c:pt idx="31">
                  <c:v>1.0909080505371094E-2</c:v>
                </c:pt>
                <c:pt idx="32">
                  <c:v>1.4611661434173584E-2</c:v>
                </c:pt>
                <c:pt idx="33">
                  <c:v>1.7475485801696777E-2</c:v>
                </c:pt>
                <c:pt idx="34">
                  <c:v>1.9571840763092041E-2</c:v>
                </c:pt>
                <c:pt idx="35">
                  <c:v>1.3202428817749023E-2</c:v>
                </c:pt>
                <c:pt idx="36">
                  <c:v>1.4842003583908081E-2</c:v>
                </c:pt>
                <c:pt idx="37">
                  <c:v>1.1821925640106201E-2</c:v>
                </c:pt>
                <c:pt idx="38">
                  <c:v>1.6165256500244141E-2</c:v>
                </c:pt>
                <c:pt idx="39">
                  <c:v>1.6195952892303467E-2</c:v>
                </c:pt>
                <c:pt idx="40">
                  <c:v>1.2690603733062744E-2</c:v>
                </c:pt>
                <c:pt idx="41">
                  <c:v>1.5541613101959229E-2</c:v>
                </c:pt>
                <c:pt idx="42">
                  <c:v>1.0698616504669189E-2</c:v>
                </c:pt>
                <c:pt idx="43">
                  <c:v>1.3522505760192871E-2</c:v>
                </c:pt>
                <c:pt idx="44">
                  <c:v>1.5669882297515869E-2</c:v>
                </c:pt>
                <c:pt idx="45">
                  <c:v>1.3536453247070313E-2</c:v>
                </c:pt>
                <c:pt idx="46">
                  <c:v>1.164555549621582E-2</c:v>
                </c:pt>
                <c:pt idx="47">
                  <c:v>1.2290835380554199E-2</c:v>
                </c:pt>
                <c:pt idx="48">
                  <c:v>8.941948413848877E-3</c:v>
                </c:pt>
                <c:pt idx="49">
                  <c:v>1.4484882354736328E-2</c:v>
                </c:pt>
                <c:pt idx="50">
                  <c:v>1.0031342506408691E-2</c:v>
                </c:pt>
                <c:pt idx="51">
                  <c:v>1.351010799407959E-2</c:v>
                </c:pt>
                <c:pt idx="52">
                  <c:v>9.0337395668029785E-3</c:v>
                </c:pt>
                <c:pt idx="53">
                  <c:v>1.2839019298553467E-2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7"/>
          <c:order val="7"/>
          <c:tx>
            <c:strRef>
              <c:f>Calculations!$AP$1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Calculations!$AP$16:$AP$116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2.4235105141997337E-2</c:v>
                </c:pt>
                <c:pt idx="8">
                  <c:v>2.3797787725925446E-2</c:v>
                </c:pt>
                <c:pt idx="9">
                  <c:v>2.2135796025395393E-2</c:v>
                </c:pt>
                <c:pt idx="10">
                  <c:v>2.037481777369976E-2</c:v>
                </c:pt>
                <c:pt idx="11">
                  <c:v>2.0994659513235092E-2</c:v>
                </c:pt>
                <c:pt idx="12">
                  <c:v>2.1946780383586884E-2</c:v>
                </c:pt>
                <c:pt idx="13">
                  <c:v>1.7110660672187805E-2</c:v>
                </c:pt>
                <c:pt idx="14">
                  <c:v>2.0344644784927368E-2</c:v>
                </c:pt>
                <c:pt idx="15">
                  <c:v>1.899430900812149E-2</c:v>
                </c:pt>
                <c:pt idx="16">
                  <c:v>1.709149032831192E-2</c:v>
                </c:pt>
                <c:pt idx="17">
                  <c:v>1.8460184335708618E-2</c:v>
                </c:pt>
                <c:pt idx="18">
                  <c:v>1.5386894345283508E-2</c:v>
                </c:pt>
                <c:pt idx="19">
                  <c:v>1.5882998704910278E-2</c:v>
                </c:pt>
                <c:pt idx="20">
                  <c:v>1.5201956033706665E-2</c:v>
                </c:pt>
                <c:pt idx="21">
                  <c:v>1.4743715524673462E-2</c:v>
                </c:pt>
                <c:pt idx="22">
                  <c:v>1.3311281800270081E-2</c:v>
                </c:pt>
                <c:pt idx="23">
                  <c:v>1.258811354637146E-2</c:v>
                </c:pt>
                <c:pt idx="24">
                  <c:v>8.8549703359603882E-3</c:v>
                </c:pt>
                <c:pt idx="25">
                  <c:v>1.4573037624359131E-2</c:v>
                </c:pt>
                <c:pt idx="26">
                  <c:v>1.1156827211380005E-2</c:v>
                </c:pt>
                <c:pt idx="27">
                  <c:v>7.1854293346405029E-3</c:v>
                </c:pt>
                <c:pt idx="28">
                  <c:v>7.812798023223877E-3</c:v>
                </c:pt>
                <c:pt idx="29">
                  <c:v>5.6729614734649658E-3</c:v>
                </c:pt>
                <c:pt idx="30">
                  <c:v>8.3295106887817383E-3</c:v>
                </c:pt>
                <c:pt idx="31">
                  <c:v>2.1099448204040527E-3</c:v>
                </c:pt>
                <c:pt idx="32">
                  <c:v>4.2894482612609863E-3</c:v>
                </c:pt>
                <c:pt idx="33">
                  <c:v>5.5657923221588135E-3</c:v>
                </c:pt>
                <c:pt idx="34">
                  <c:v>-1.8274486064910889E-3</c:v>
                </c:pt>
                <c:pt idx="35">
                  <c:v>-2.0480155944824219E-3</c:v>
                </c:pt>
                <c:pt idx="36">
                  <c:v>-2.0899772644042969E-3</c:v>
                </c:pt>
                <c:pt idx="37">
                  <c:v>-2.9267072677612305E-3</c:v>
                </c:pt>
                <c:pt idx="38">
                  <c:v>-4.28009033203125E-3</c:v>
                </c:pt>
                <c:pt idx="39">
                  <c:v>-6.0545206069946289E-3</c:v>
                </c:pt>
                <c:pt idx="40">
                  <c:v>-7.4138045310974121E-3</c:v>
                </c:pt>
                <c:pt idx="41">
                  <c:v>-6.4525604248046875E-3</c:v>
                </c:pt>
                <c:pt idx="42">
                  <c:v>-9.2521905899047852E-3</c:v>
                </c:pt>
                <c:pt idx="43">
                  <c:v>-8.320152759552002E-3</c:v>
                </c:pt>
                <c:pt idx="44">
                  <c:v>-1.2038111686706543E-2</c:v>
                </c:pt>
                <c:pt idx="45">
                  <c:v>-1.2221395969390869E-2</c:v>
                </c:pt>
                <c:pt idx="46">
                  <c:v>-1.2143433094024658E-2</c:v>
                </c:pt>
                <c:pt idx="47">
                  <c:v>-1.3557374477386475E-2</c:v>
                </c:pt>
                <c:pt idx="48">
                  <c:v>-1.5049457550048828E-2</c:v>
                </c:pt>
                <c:pt idx="49">
                  <c:v>-1.5412211418151855E-2</c:v>
                </c:pt>
                <c:pt idx="50">
                  <c:v>-1.809382438659668E-2</c:v>
                </c:pt>
                <c:pt idx="51">
                  <c:v>-2.067941427230835E-2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axId val="217846144"/>
        <c:axId val="217847680"/>
      </c:scatterChart>
      <c:valAx>
        <c:axId val="217846144"/>
        <c:scaling>
          <c:orientation val="minMax"/>
          <c:max val="90"/>
        </c:scaling>
        <c:axPos val="b"/>
        <c:numFmt formatCode="0.00E+00" sourceLinked="1"/>
        <c:tickLblPos val="nextTo"/>
        <c:crossAx val="217847680"/>
        <c:crosses val="autoZero"/>
        <c:crossBetween val="midCat"/>
      </c:valAx>
      <c:valAx>
        <c:axId val="217847680"/>
        <c:scaling>
          <c:orientation val="minMax"/>
        </c:scaling>
        <c:axPos val="l"/>
        <c:majorGridlines/>
        <c:numFmt formatCode="0%" sourceLinked="0"/>
        <c:tickLblPos val="nextTo"/>
        <c:crossAx val="217846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Calculations!$AQ$1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Calculations!$AQ$16:$AQ$116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2.429584413766861E-2</c:v>
                </c:pt>
                <c:pt idx="7">
                  <c:v>2.4999793618917465E-2</c:v>
                </c:pt>
                <c:pt idx="8">
                  <c:v>2.5054857134819031E-2</c:v>
                </c:pt>
                <c:pt idx="9">
                  <c:v>2.3958072066307068E-2</c:v>
                </c:pt>
                <c:pt idx="10">
                  <c:v>2.2768184542655945E-2</c:v>
                </c:pt>
                <c:pt idx="11">
                  <c:v>2.0129170268774033E-2</c:v>
                </c:pt>
                <c:pt idx="12">
                  <c:v>1.7802674323320389E-2</c:v>
                </c:pt>
                <c:pt idx="13">
                  <c:v>2.1563641726970673E-2</c:v>
                </c:pt>
                <c:pt idx="14">
                  <c:v>2.1616518497467041E-2</c:v>
                </c:pt>
                <c:pt idx="15">
                  <c:v>2.1046042442321777E-2</c:v>
                </c:pt>
                <c:pt idx="16">
                  <c:v>2.3877516388893127E-2</c:v>
                </c:pt>
                <c:pt idx="17">
                  <c:v>2.2176004946231842E-2</c:v>
                </c:pt>
                <c:pt idx="18">
                  <c:v>1.9985035061836243E-2</c:v>
                </c:pt>
                <c:pt idx="19">
                  <c:v>2.1384403109550476E-2</c:v>
                </c:pt>
                <c:pt idx="20">
                  <c:v>1.7755031585693359E-2</c:v>
                </c:pt>
                <c:pt idx="21">
                  <c:v>2.2178366780281067E-2</c:v>
                </c:pt>
                <c:pt idx="22">
                  <c:v>1.7842292785644531E-2</c:v>
                </c:pt>
                <c:pt idx="23">
                  <c:v>2.2016465663909912E-2</c:v>
                </c:pt>
                <c:pt idx="24">
                  <c:v>1.9438058137893677E-2</c:v>
                </c:pt>
                <c:pt idx="25">
                  <c:v>2.2293686866760254E-2</c:v>
                </c:pt>
                <c:pt idx="26">
                  <c:v>2.0013362169265747E-2</c:v>
                </c:pt>
                <c:pt idx="27">
                  <c:v>2.1132469177246094E-2</c:v>
                </c:pt>
                <c:pt idx="28">
                  <c:v>2.2888481616973877E-2</c:v>
                </c:pt>
                <c:pt idx="29">
                  <c:v>1.8120259046554565E-2</c:v>
                </c:pt>
                <c:pt idx="30">
                  <c:v>2.2017985582351685E-2</c:v>
                </c:pt>
                <c:pt idx="31">
                  <c:v>2.1022558212280273E-2</c:v>
                </c:pt>
                <c:pt idx="32">
                  <c:v>2.0550042390823364E-2</c:v>
                </c:pt>
                <c:pt idx="33">
                  <c:v>2.3149609565734863E-2</c:v>
                </c:pt>
                <c:pt idx="34">
                  <c:v>2.1050333976745605E-2</c:v>
                </c:pt>
                <c:pt idx="35">
                  <c:v>1.8320441246032715E-2</c:v>
                </c:pt>
                <c:pt idx="36">
                  <c:v>1.9680112600326538E-2</c:v>
                </c:pt>
                <c:pt idx="37">
                  <c:v>2.4213820695877075E-2</c:v>
                </c:pt>
                <c:pt idx="38">
                  <c:v>2.0418524742126465E-2</c:v>
                </c:pt>
                <c:pt idx="39">
                  <c:v>2.0148754119873047E-2</c:v>
                </c:pt>
                <c:pt idx="40">
                  <c:v>2.0269393920898438E-2</c:v>
                </c:pt>
                <c:pt idx="41">
                  <c:v>1.8884241580963135E-2</c:v>
                </c:pt>
                <c:pt idx="42">
                  <c:v>2.1571755409240723E-2</c:v>
                </c:pt>
                <c:pt idx="43">
                  <c:v>2.015918493270874E-2</c:v>
                </c:pt>
                <c:pt idx="44">
                  <c:v>1.8061459064483643E-2</c:v>
                </c:pt>
                <c:pt idx="45">
                  <c:v>1.9521355628967285E-2</c:v>
                </c:pt>
                <c:pt idx="46">
                  <c:v>2.1227061748504639E-2</c:v>
                </c:pt>
                <c:pt idx="47">
                  <c:v>1.7607927322387695E-2</c:v>
                </c:pt>
                <c:pt idx="48">
                  <c:v>1.7836928367614746E-2</c:v>
                </c:pt>
                <c:pt idx="49">
                  <c:v>2.3049592971801758E-2</c:v>
                </c:pt>
                <c:pt idx="50">
                  <c:v>2.2159814834594727E-2</c:v>
                </c:pt>
                <c:pt idx="51">
                  <c:v>1.7438709735870361E-2</c:v>
                </c:pt>
                <c:pt idx="52">
                  <c:v>2.0447373390197754E-2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Calculations!$AR$1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Calculations!$AR$16:$AR$116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2.429584413766861E-2</c:v>
                </c:pt>
                <c:pt idx="7">
                  <c:v>2.4999793618917465E-2</c:v>
                </c:pt>
                <c:pt idx="8">
                  <c:v>2.5054857134819031E-2</c:v>
                </c:pt>
                <c:pt idx="9">
                  <c:v>2.3958072066307068E-2</c:v>
                </c:pt>
                <c:pt idx="10">
                  <c:v>2.2768184542655945E-2</c:v>
                </c:pt>
                <c:pt idx="11">
                  <c:v>2.0129170268774033E-2</c:v>
                </c:pt>
                <c:pt idx="12">
                  <c:v>1.7802674323320389E-2</c:v>
                </c:pt>
                <c:pt idx="13">
                  <c:v>2.1563641726970673E-2</c:v>
                </c:pt>
                <c:pt idx="14">
                  <c:v>2.1616518497467041E-2</c:v>
                </c:pt>
                <c:pt idx="15">
                  <c:v>2.1046042442321777E-2</c:v>
                </c:pt>
                <c:pt idx="16">
                  <c:v>2.3877516388893127E-2</c:v>
                </c:pt>
                <c:pt idx="17">
                  <c:v>2.2176004946231842E-2</c:v>
                </c:pt>
                <c:pt idx="18">
                  <c:v>1.9985035061836243E-2</c:v>
                </c:pt>
                <c:pt idx="19">
                  <c:v>2.1384403109550476E-2</c:v>
                </c:pt>
                <c:pt idx="20">
                  <c:v>1.7755031585693359E-2</c:v>
                </c:pt>
                <c:pt idx="21">
                  <c:v>2.2178366780281067E-2</c:v>
                </c:pt>
                <c:pt idx="22">
                  <c:v>1.7842292785644531E-2</c:v>
                </c:pt>
                <c:pt idx="23">
                  <c:v>2.2016465663909912E-2</c:v>
                </c:pt>
                <c:pt idx="24">
                  <c:v>1.9438058137893677E-2</c:v>
                </c:pt>
                <c:pt idx="25">
                  <c:v>2.2293686866760254E-2</c:v>
                </c:pt>
                <c:pt idx="26">
                  <c:v>2.0013362169265747E-2</c:v>
                </c:pt>
                <c:pt idx="27">
                  <c:v>2.1132469177246094E-2</c:v>
                </c:pt>
                <c:pt idx="28">
                  <c:v>2.2888481616973877E-2</c:v>
                </c:pt>
                <c:pt idx="29">
                  <c:v>1.8120259046554565E-2</c:v>
                </c:pt>
                <c:pt idx="30">
                  <c:v>2.2017985582351685E-2</c:v>
                </c:pt>
                <c:pt idx="31">
                  <c:v>2.1022558212280273E-2</c:v>
                </c:pt>
                <c:pt idx="32">
                  <c:v>2.0550042390823364E-2</c:v>
                </c:pt>
                <c:pt idx="33">
                  <c:v>2.3149609565734863E-2</c:v>
                </c:pt>
                <c:pt idx="34">
                  <c:v>2.1050333976745605E-2</c:v>
                </c:pt>
                <c:pt idx="35">
                  <c:v>1.8320441246032715E-2</c:v>
                </c:pt>
                <c:pt idx="36">
                  <c:v>1.9680112600326538E-2</c:v>
                </c:pt>
                <c:pt idx="37">
                  <c:v>2.4213820695877075E-2</c:v>
                </c:pt>
                <c:pt idx="38">
                  <c:v>2.0418524742126465E-2</c:v>
                </c:pt>
                <c:pt idx="39">
                  <c:v>2.0148754119873047E-2</c:v>
                </c:pt>
                <c:pt idx="40">
                  <c:v>2.0269393920898438E-2</c:v>
                </c:pt>
                <c:pt idx="41">
                  <c:v>1.8884241580963135E-2</c:v>
                </c:pt>
                <c:pt idx="42">
                  <c:v>2.1571755409240723E-2</c:v>
                </c:pt>
                <c:pt idx="43">
                  <c:v>2.015918493270874E-2</c:v>
                </c:pt>
                <c:pt idx="44">
                  <c:v>1.8061459064483643E-2</c:v>
                </c:pt>
                <c:pt idx="45">
                  <c:v>1.9521355628967285E-2</c:v>
                </c:pt>
                <c:pt idx="46">
                  <c:v>2.1227061748504639E-2</c:v>
                </c:pt>
                <c:pt idx="47">
                  <c:v>1.7607927322387695E-2</c:v>
                </c:pt>
                <c:pt idx="48">
                  <c:v>1.7836928367614746E-2</c:v>
                </c:pt>
                <c:pt idx="49">
                  <c:v>2.3049592971801758E-2</c:v>
                </c:pt>
                <c:pt idx="50">
                  <c:v>2.2159814834594727E-2</c:v>
                </c:pt>
                <c:pt idx="51">
                  <c:v>1.7438709735870361E-2</c:v>
                </c:pt>
                <c:pt idx="52">
                  <c:v>2.0447373390197754E-2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Calculations!$AS$1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Calculations!$AS$16:$AS$116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1.7375599592924118E-2</c:v>
                </c:pt>
                <c:pt idx="8">
                  <c:v>1.7822384834289551E-2</c:v>
                </c:pt>
                <c:pt idx="9">
                  <c:v>1.3253683224320412E-2</c:v>
                </c:pt>
                <c:pt idx="10">
                  <c:v>2.0361270755529404E-2</c:v>
                </c:pt>
                <c:pt idx="11">
                  <c:v>1.8249474465847015E-2</c:v>
                </c:pt>
                <c:pt idx="12">
                  <c:v>1.6434486955404282E-2</c:v>
                </c:pt>
                <c:pt idx="13">
                  <c:v>1.2952126562595367E-2</c:v>
                </c:pt>
                <c:pt idx="14">
                  <c:v>1.7515644431114197E-2</c:v>
                </c:pt>
                <c:pt idx="15">
                  <c:v>1.3644024729728699E-2</c:v>
                </c:pt>
                <c:pt idx="16">
                  <c:v>1.7122052609920502E-2</c:v>
                </c:pt>
                <c:pt idx="17">
                  <c:v>1.2176290154457092E-2</c:v>
                </c:pt>
                <c:pt idx="18">
                  <c:v>1.4608830213546753E-2</c:v>
                </c:pt>
                <c:pt idx="19">
                  <c:v>1.2805208563804626E-2</c:v>
                </c:pt>
                <c:pt idx="20">
                  <c:v>1.3871699571609497E-2</c:v>
                </c:pt>
                <c:pt idx="21">
                  <c:v>1.1215627193450928E-2</c:v>
                </c:pt>
                <c:pt idx="22">
                  <c:v>1.1610954999923706E-2</c:v>
                </c:pt>
                <c:pt idx="23">
                  <c:v>1.2639835476875305E-2</c:v>
                </c:pt>
                <c:pt idx="24">
                  <c:v>1.0980084538459778E-2</c:v>
                </c:pt>
                <c:pt idx="25">
                  <c:v>1.0756731033325195E-2</c:v>
                </c:pt>
                <c:pt idx="26">
                  <c:v>9.3800723552703857E-3</c:v>
                </c:pt>
                <c:pt idx="27">
                  <c:v>1.1429101228713989E-2</c:v>
                </c:pt>
                <c:pt idx="28">
                  <c:v>1.0161459445953369E-2</c:v>
                </c:pt>
                <c:pt idx="29">
                  <c:v>1.0343611240386963E-2</c:v>
                </c:pt>
                <c:pt idx="30">
                  <c:v>1.1307179927825928E-2</c:v>
                </c:pt>
                <c:pt idx="31">
                  <c:v>7.4265003204345703E-3</c:v>
                </c:pt>
                <c:pt idx="32">
                  <c:v>1.1885523796081543E-2</c:v>
                </c:pt>
                <c:pt idx="33">
                  <c:v>7.6946616172790527E-3</c:v>
                </c:pt>
                <c:pt idx="34">
                  <c:v>1.0608762502670288E-2</c:v>
                </c:pt>
                <c:pt idx="35">
                  <c:v>9.0024173259735107E-3</c:v>
                </c:pt>
                <c:pt idx="36">
                  <c:v>7.5555741786956787E-3</c:v>
                </c:pt>
                <c:pt idx="37">
                  <c:v>9.320378303527832E-3</c:v>
                </c:pt>
                <c:pt idx="38">
                  <c:v>1.0623753070831299E-2</c:v>
                </c:pt>
                <c:pt idx="39">
                  <c:v>1.1551022529602051E-2</c:v>
                </c:pt>
                <c:pt idx="40">
                  <c:v>5.005955696105957E-3</c:v>
                </c:pt>
                <c:pt idx="41">
                  <c:v>8.7954998016357422E-3</c:v>
                </c:pt>
                <c:pt idx="42">
                  <c:v>8.8070034980773926E-3</c:v>
                </c:pt>
                <c:pt idx="43">
                  <c:v>4.7273635864257813E-3</c:v>
                </c:pt>
                <c:pt idx="44">
                  <c:v>7.8401565551757813E-3</c:v>
                </c:pt>
                <c:pt idx="45">
                  <c:v>1.0607361793518066E-2</c:v>
                </c:pt>
                <c:pt idx="46">
                  <c:v>5.7647824287414551E-3</c:v>
                </c:pt>
                <c:pt idx="47">
                  <c:v>1.1354327201843262E-2</c:v>
                </c:pt>
                <c:pt idx="48">
                  <c:v>9.0309381484985352E-3</c:v>
                </c:pt>
                <c:pt idx="49">
                  <c:v>1.163780689239502E-2</c:v>
                </c:pt>
                <c:pt idx="50">
                  <c:v>8.2519054412841797E-3</c:v>
                </c:pt>
                <c:pt idx="51">
                  <c:v>8.8733434677124023E-3</c:v>
                </c:pt>
                <c:pt idx="52">
                  <c:v>9.3870759010314941E-3</c:v>
                </c:pt>
                <c:pt idx="53">
                  <c:v>1.032257080078125E-2</c:v>
                </c:pt>
                <c:pt idx="54">
                  <c:v>5.952298641204834E-3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Calculations!$AT$1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Calculations!$AT$16:$AT$116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2.5890467688441277E-2</c:v>
                </c:pt>
                <c:pt idx="9">
                  <c:v>2.1459780633449554E-2</c:v>
                </c:pt>
                <c:pt idx="10">
                  <c:v>2.4785252287983894E-2</c:v>
                </c:pt>
                <c:pt idx="11">
                  <c:v>1.8913708627223969E-2</c:v>
                </c:pt>
                <c:pt idx="12">
                  <c:v>2.1177288144826889E-2</c:v>
                </c:pt>
                <c:pt idx="13">
                  <c:v>1.7879031598567963E-2</c:v>
                </c:pt>
                <c:pt idx="14">
                  <c:v>2.2623352706432343E-2</c:v>
                </c:pt>
                <c:pt idx="15">
                  <c:v>2.2863738238811493E-2</c:v>
                </c:pt>
                <c:pt idx="16">
                  <c:v>2.2618643939495087E-2</c:v>
                </c:pt>
                <c:pt idx="17">
                  <c:v>1.3959206640720367E-2</c:v>
                </c:pt>
                <c:pt idx="18">
                  <c:v>2.0528756082057953E-2</c:v>
                </c:pt>
                <c:pt idx="19">
                  <c:v>1.5024140477180481E-2</c:v>
                </c:pt>
                <c:pt idx="20">
                  <c:v>1.6328275203704834E-2</c:v>
                </c:pt>
                <c:pt idx="21">
                  <c:v>1.3906627893447876E-2</c:v>
                </c:pt>
                <c:pt idx="22">
                  <c:v>1.4550521969795227E-2</c:v>
                </c:pt>
                <c:pt idx="23">
                  <c:v>1.9739225506782532E-2</c:v>
                </c:pt>
                <c:pt idx="24">
                  <c:v>1.4439880847930908E-2</c:v>
                </c:pt>
                <c:pt idx="25">
                  <c:v>1.0553568601608276E-2</c:v>
                </c:pt>
                <c:pt idx="26">
                  <c:v>9.4542652368545532E-3</c:v>
                </c:pt>
                <c:pt idx="27">
                  <c:v>7.8671872615814209E-3</c:v>
                </c:pt>
                <c:pt idx="28">
                  <c:v>1.0796695947647095E-2</c:v>
                </c:pt>
                <c:pt idx="29">
                  <c:v>1.129460334777832E-2</c:v>
                </c:pt>
                <c:pt idx="30">
                  <c:v>1.2561261653900146E-2</c:v>
                </c:pt>
                <c:pt idx="31">
                  <c:v>8.9986324310302734E-3</c:v>
                </c:pt>
                <c:pt idx="32">
                  <c:v>1.376768946647644E-2</c:v>
                </c:pt>
                <c:pt idx="33">
                  <c:v>9.8999440670013428E-3</c:v>
                </c:pt>
                <c:pt idx="34">
                  <c:v>1.384437084197998E-3</c:v>
                </c:pt>
                <c:pt idx="35">
                  <c:v>7.9660713672637939E-3</c:v>
                </c:pt>
                <c:pt idx="36">
                  <c:v>6.8615078926086426E-3</c:v>
                </c:pt>
                <c:pt idx="37">
                  <c:v>1.1369585990905762E-3</c:v>
                </c:pt>
                <c:pt idx="38">
                  <c:v>2.8016269207000732E-3</c:v>
                </c:pt>
                <c:pt idx="39">
                  <c:v>4.096299409866333E-3</c:v>
                </c:pt>
                <c:pt idx="40">
                  <c:v>1.8342137336730957E-3</c:v>
                </c:pt>
                <c:pt idx="41">
                  <c:v>2.0868182182312012E-3</c:v>
                </c:pt>
                <c:pt idx="42">
                  <c:v>-1.4410018920898438E-3</c:v>
                </c:pt>
                <c:pt idx="43">
                  <c:v>6.6291093826293945E-3</c:v>
                </c:pt>
                <c:pt idx="44">
                  <c:v>-1.6271471977233887E-3</c:v>
                </c:pt>
                <c:pt idx="45">
                  <c:v>-2.3802518844604492E-3</c:v>
                </c:pt>
                <c:pt idx="46">
                  <c:v>-2.9037594795227051E-3</c:v>
                </c:pt>
                <c:pt idx="47">
                  <c:v>-8.1670284271240234E-4</c:v>
                </c:pt>
                <c:pt idx="48">
                  <c:v>-2.7198195457458496E-3</c:v>
                </c:pt>
                <c:pt idx="49">
                  <c:v>2.9087066650390625E-4</c:v>
                </c:pt>
                <c:pt idx="50">
                  <c:v>1.2640953063964844E-3</c:v>
                </c:pt>
                <c:pt idx="51">
                  <c:v>-5.5215358734130859E-3</c:v>
                </c:pt>
                <c:pt idx="52">
                  <c:v>-4.5698881149291992E-3</c:v>
                </c:pt>
                <c:pt idx="53">
                  <c:v>-3.2033920288085938E-3</c:v>
                </c:pt>
                <c:pt idx="54">
                  <c:v>-3.1985640525817871E-3</c:v>
                </c:pt>
                <c:pt idx="55">
                  <c:v>-2.4526715278625488E-3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4"/>
          <c:order val="4"/>
          <c:tx>
            <c:strRef>
              <c:f>Calculations!$AU$1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Calculations!$AU$16:$AU$116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1.8959218636155128E-2</c:v>
                </c:pt>
                <c:pt idx="7">
                  <c:v>1.5836765989661217E-2</c:v>
                </c:pt>
                <c:pt idx="8">
                  <c:v>1.5995649620890617E-2</c:v>
                </c:pt>
                <c:pt idx="9">
                  <c:v>1.5018036589026451E-2</c:v>
                </c:pt>
                <c:pt idx="10">
                  <c:v>1.394856721162796E-2</c:v>
                </c:pt>
                <c:pt idx="11">
                  <c:v>1.1449277400970459E-2</c:v>
                </c:pt>
                <c:pt idx="12">
                  <c:v>1.7101489007472992E-2</c:v>
                </c:pt>
                <c:pt idx="13">
                  <c:v>1.317828893661499E-2</c:v>
                </c:pt>
                <c:pt idx="14">
                  <c:v>9.4657167792320251E-3</c:v>
                </c:pt>
                <c:pt idx="15">
                  <c:v>1.2981250882148743E-2</c:v>
                </c:pt>
                <c:pt idx="16">
                  <c:v>8.1409364938735962E-3</c:v>
                </c:pt>
                <c:pt idx="17">
                  <c:v>1.0540515184402466E-2</c:v>
                </c:pt>
                <c:pt idx="18">
                  <c:v>8.5355788469314575E-3</c:v>
                </c:pt>
                <c:pt idx="19">
                  <c:v>1.0125398635864258E-2</c:v>
                </c:pt>
                <c:pt idx="20">
                  <c:v>6.701245903968811E-3</c:v>
                </c:pt>
                <c:pt idx="21">
                  <c:v>7.4054151773452759E-3</c:v>
                </c:pt>
                <c:pt idx="22">
                  <c:v>7.2055459022521973E-3</c:v>
                </c:pt>
                <c:pt idx="23">
                  <c:v>7.6638907194137573E-3</c:v>
                </c:pt>
                <c:pt idx="24">
                  <c:v>5.3289532661437988E-3</c:v>
                </c:pt>
                <c:pt idx="25">
                  <c:v>4.4863224029541016E-3</c:v>
                </c:pt>
                <c:pt idx="26">
                  <c:v>6.3670873641967773E-3</c:v>
                </c:pt>
                <c:pt idx="27">
                  <c:v>3.8110613822937012E-3</c:v>
                </c:pt>
                <c:pt idx="28">
                  <c:v>1.8834769725799561E-3</c:v>
                </c:pt>
                <c:pt idx="29">
                  <c:v>5.2310824394226074E-3</c:v>
                </c:pt>
                <c:pt idx="30">
                  <c:v>1.5473663806915283E-3</c:v>
                </c:pt>
                <c:pt idx="31">
                  <c:v>4.7481656074523926E-3</c:v>
                </c:pt>
                <c:pt idx="32">
                  <c:v>6.217658519744873E-4</c:v>
                </c:pt>
                <c:pt idx="33">
                  <c:v>-4.3428242206573486E-3</c:v>
                </c:pt>
                <c:pt idx="34">
                  <c:v>-2.2311508655548096E-3</c:v>
                </c:pt>
                <c:pt idx="35">
                  <c:v>-7.4169039726257324E-4</c:v>
                </c:pt>
                <c:pt idx="36">
                  <c:v>-3.0080676078796387E-3</c:v>
                </c:pt>
                <c:pt idx="37">
                  <c:v>-6.0120224952697754E-3</c:v>
                </c:pt>
                <c:pt idx="38">
                  <c:v>-5.5737495422363281E-3</c:v>
                </c:pt>
                <c:pt idx="39">
                  <c:v>-5.5263042449951172E-3</c:v>
                </c:pt>
                <c:pt idx="40">
                  <c:v>-5.0935745239257813E-3</c:v>
                </c:pt>
                <c:pt idx="41">
                  <c:v>-6.1466097831726074E-3</c:v>
                </c:pt>
                <c:pt idx="42">
                  <c:v>-7.0505142211914063E-3</c:v>
                </c:pt>
                <c:pt idx="43">
                  <c:v>-8.1306695938110352E-3</c:v>
                </c:pt>
                <c:pt idx="44">
                  <c:v>-9.8867416381835938E-3</c:v>
                </c:pt>
                <c:pt idx="45">
                  <c:v>-8.0803632736206055E-3</c:v>
                </c:pt>
                <c:pt idx="46">
                  <c:v>-9.9530816078186035E-3</c:v>
                </c:pt>
                <c:pt idx="47">
                  <c:v>-9.2886686325073242E-3</c:v>
                </c:pt>
                <c:pt idx="48">
                  <c:v>-1.2618422508239746E-2</c:v>
                </c:pt>
                <c:pt idx="49">
                  <c:v>-1.0978579521179199E-2</c:v>
                </c:pt>
                <c:pt idx="50">
                  <c:v>-1.1490583419799805E-2</c:v>
                </c:pt>
                <c:pt idx="51">
                  <c:v>-1.5835046768188477E-2</c:v>
                </c:pt>
                <c:pt idx="52">
                  <c:v>-1.2448251247406006E-2</c:v>
                </c:pt>
                <c:pt idx="53">
                  <c:v>-1.6466438770294189E-2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5"/>
          <c:order val="5"/>
          <c:tx>
            <c:strRef>
              <c:f>Calculations!$AV$1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Calculations!$AV$16:$AV$116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2.236538752913475E-2</c:v>
                </c:pt>
                <c:pt idx="8">
                  <c:v>2.285049669444561E-2</c:v>
                </c:pt>
                <c:pt idx="9">
                  <c:v>2.2247359156608582E-2</c:v>
                </c:pt>
                <c:pt idx="10">
                  <c:v>2.155626192688942E-2</c:v>
                </c:pt>
                <c:pt idx="11">
                  <c:v>1.9496049731969833E-2</c:v>
                </c:pt>
                <c:pt idx="12">
                  <c:v>1.7731107771396637E-2</c:v>
                </c:pt>
                <c:pt idx="13">
                  <c:v>2.2150568664073944E-2</c:v>
                </c:pt>
                <c:pt idx="14">
                  <c:v>1.8928579986095428E-2</c:v>
                </c:pt>
                <c:pt idx="15">
                  <c:v>1.9039236009120941E-2</c:v>
                </c:pt>
                <c:pt idx="16">
                  <c:v>1.8658950924873352E-2</c:v>
                </c:pt>
                <c:pt idx="17">
                  <c:v>1.7701029777526855E-2</c:v>
                </c:pt>
                <c:pt idx="18">
                  <c:v>2.0202241837978363E-2</c:v>
                </c:pt>
                <c:pt idx="19">
                  <c:v>1.8468931317329407E-2</c:v>
                </c:pt>
                <c:pt idx="20">
                  <c:v>1.9611179828643799E-2</c:v>
                </c:pt>
                <c:pt idx="21">
                  <c:v>1.7029836773872375E-2</c:v>
                </c:pt>
                <c:pt idx="22">
                  <c:v>1.7504394054412842E-2</c:v>
                </c:pt>
                <c:pt idx="23">
                  <c:v>1.8609210848808289E-2</c:v>
                </c:pt>
                <c:pt idx="24">
                  <c:v>1.703934371471405E-2</c:v>
                </c:pt>
                <c:pt idx="25">
                  <c:v>1.6898423433303833E-2</c:v>
                </c:pt>
                <c:pt idx="26">
                  <c:v>1.5610188245773315E-2</c:v>
                </c:pt>
                <c:pt idx="27">
                  <c:v>1.3828635215759277E-2</c:v>
                </c:pt>
                <c:pt idx="28">
                  <c:v>1.6570389270782471E-2</c:v>
                </c:pt>
                <c:pt idx="29">
                  <c:v>1.6853213310241699E-2</c:v>
                </c:pt>
                <c:pt idx="30">
                  <c:v>1.3991832733154297E-2</c:v>
                </c:pt>
                <c:pt idx="31">
                  <c:v>1.8055647611618042E-2</c:v>
                </c:pt>
                <c:pt idx="32">
                  <c:v>1.4770358800888062E-2</c:v>
                </c:pt>
                <c:pt idx="33">
                  <c:v>1.8525660037994385E-2</c:v>
                </c:pt>
                <c:pt idx="34">
                  <c:v>1.3703435659408569E-2</c:v>
                </c:pt>
                <c:pt idx="35">
                  <c:v>1.6128569841384888E-2</c:v>
                </c:pt>
                <c:pt idx="36">
                  <c:v>1.8712401390075684E-2</c:v>
                </c:pt>
                <c:pt idx="37">
                  <c:v>2.0589977502822876E-2</c:v>
                </c:pt>
                <c:pt idx="38">
                  <c:v>1.808696985244751E-2</c:v>
                </c:pt>
                <c:pt idx="39">
                  <c:v>1.5209794044494629E-2</c:v>
                </c:pt>
                <c:pt idx="40">
                  <c:v>1.6623079776763916E-2</c:v>
                </c:pt>
                <c:pt idx="41">
                  <c:v>1.6613662242889404E-2</c:v>
                </c:pt>
                <c:pt idx="42">
                  <c:v>2.0668566226959229E-2</c:v>
                </c:pt>
                <c:pt idx="43">
                  <c:v>1.6711652278900146E-2</c:v>
                </c:pt>
                <c:pt idx="44">
                  <c:v>1.9950568675994873E-2</c:v>
                </c:pt>
                <c:pt idx="45">
                  <c:v>1.8924117088317871E-2</c:v>
                </c:pt>
                <c:pt idx="46">
                  <c:v>2.2051393985748291E-2</c:v>
                </c:pt>
                <c:pt idx="47">
                  <c:v>1.9931375980377197E-2</c:v>
                </c:pt>
                <c:pt idx="48">
                  <c:v>2.1663486957550049E-2</c:v>
                </c:pt>
                <c:pt idx="49">
                  <c:v>2.0477533340454102E-2</c:v>
                </c:pt>
                <c:pt idx="50">
                  <c:v>2.1152675151824951E-2</c:v>
                </c:pt>
                <c:pt idx="51">
                  <c:v>2.1913111209869385E-2</c:v>
                </c:pt>
                <c:pt idx="52">
                  <c:v>2.2566437721252441E-2</c:v>
                </c:pt>
                <c:pt idx="53">
                  <c:v>2.3639321327209473E-2</c:v>
                </c:pt>
                <c:pt idx="54">
                  <c:v>1.9413590431213379E-2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6"/>
          <c:order val="6"/>
          <c:tx>
            <c:strRef>
              <c:f>Calculations!$AW$1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Calculations!$AW$16:$AW$116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2.2480115294456482E-2</c:v>
                </c:pt>
                <c:pt idx="8">
                  <c:v>2.2908624261617661E-2</c:v>
                </c:pt>
                <c:pt idx="9">
                  <c:v>1.8318943679332733E-2</c:v>
                </c:pt>
                <c:pt idx="10">
                  <c:v>2.1483765915036201E-2</c:v>
                </c:pt>
                <c:pt idx="11">
                  <c:v>1.9347373396158218E-2</c:v>
                </c:pt>
                <c:pt idx="12">
                  <c:v>1.7508521676063538E-2</c:v>
                </c:pt>
                <c:pt idx="13">
                  <c:v>1.7919745296239853E-2</c:v>
                </c:pt>
                <c:pt idx="14">
                  <c:v>1.8534205853939056E-2</c:v>
                </c:pt>
                <c:pt idx="15">
                  <c:v>1.4633648097515106E-2</c:v>
                </c:pt>
                <c:pt idx="16">
                  <c:v>1.8081508576869965E-2</c:v>
                </c:pt>
                <c:pt idx="17">
                  <c:v>1.3104140758514404E-2</c:v>
                </c:pt>
                <c:pt idx="18">
                  <c:v>1.5503935515880585E-2</c:v>
                </c:pt>
                <c:pt idx="19">
                  <c:v>1.3666793704032898E-2</c:v>
                </c:pt>
                <c:pt idx="20">
                  <c:v>1.4697164297103882E-2</c:v>
                </c:pt>
                <c:pt idx="21">
                  <c:v>1.5927031636238098E-2</c:v>
                </c:pt>
                <c:pt idx="22">
                  <c:v>1.2363001704216003E-2</c:v>
                </c:pt>
                <c:pt idx="23">
                  <c:v>1.3355657458305359E-2</c:v>
                </c:pt>
                <c:pt idx="24">
                  <c:v>1.5574619174003601E-2</c:v>
                </c:pt>
                <c:pt idx="25">
                  <c:v>1.1390373110771179E-2</c:v>
                </c:pt>
                <c:pt idx="26">
                  <c:v>1.3893142342567444E-2</c:v>
                </c:pt>
                <c:pt idx="27">
                  <c:v>1.1977225542068481E-2</c:v>
                </c:pt>
                <c:pt idx="28">
                  <c:v>1.0667681694030762E-2</c:v>
                </c:pt>
                <c:pt idx="29">
                  <c:v>1.0801821947097778E-2</c:v>
                </c:pt>
                <c:pt idx="30">
                  <c:v>1.1719316244125366E-2</c:v>
                </c:pt>
                <c:pt idx="31">
                  <c:v>7.790297269821167E-3</c:v>
                </c:pt>
                <c:pt idx="32">
                  <c:v>1.2202203273773193E-2</c:v>
                </c:pt>
                <c:pt idx="33">
                  <c:v>7.9622268676757813E-3</c:v>
                </c:pt>
                <c:pt idx="34">
                  <c:v>1.0825395584106445E-2</c:v>
                </c:pt>
                <c:pt idx="35">
                  <c:v>1.3088196516036987E-2</c:v>
                </c:pt>
                <c:pt idx="36">
                  <c:v>7.6677501201629639E-3</c:v>
                </c:pt>
                <c:pt idx="37">
                  <c:v>9.3787908554077148E-3</c:v>
                </c:pt>
                <c:pt idx="38">
                  <c:v>1.0627239942550659E-2</c:v>
                </c:pt>
                <c:pt idx="39">
                  <c:v>7.5771212577819824E-3</c:v>
                </c:pt>
                <c:pt idx="40">
                  <c:v>8.8202357292175293E-3</c:v>
                </c:pt>
                <c:pt idx="41">
                  <c:v>4.7081708908081055E-3</c:v>
                </c:pt>
                <c:pt idx="42">
                  <c:v>8.5831284523010254E-3</c:v>
                </c:pt>
                <c:pt idx="43">
                  <c:v>8.3665251731872559E-3</c:v>
                </c:pt>
                <c:pt idx="44">
                  <c:v>7.4976086616516113E-3</c:v>
                </c:pt>
                <c:pt idx="45">
                  <c:v>1.0203838348388672E-2</c:v>
                </c:pt>
                <c:pt idx="46">
                  <c:v>5.3008794784545898E-3</c:v>
                </c:pt>
                <c:pt idx="47">
                  <c:v>6.9051384925842285E-3</c:v>
                </c:pt>
                <c:pt idx="48">
                  <c:v>8.4394216537475586E-3</c:v>
                </c:pt>
                <c:pt idx="49">
                  <c:v>7.0633292198181152E-3</c:v>
                </c:pt>
                <c:pt idx="50">
                  <c:v>7.5324773788452148E-3</c:v>
                </c:pt>
                <c:pt idx="51">
                  <c:v>4.1660666465759277E-3</c:v>
                </c:pt>
                <c:pt idx="52">
                  <c:v>8.5347890853881836E-3</c:v>
                </c:pt>
                <c:pt idx="53">
                  <c:v>5.4832100868225098E-3</c:v>
                </c:pt>
                <c:pt idx="54">
                  <c:v>4.9655437469482422E-3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ser>
          <c:idx val="7"/>
          <c:order val="7"/>
          <c:tx>
            <c:strRef>
              <c:f>Calculations!$AX$1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Calculations!$R$16:$R$116</c:f>
              <c:numCache>
                <c:formatCode>0.00E+00</c:formatCode>
                <c:ptCount val="101"/>
                <c:pt idx="0">
                  <c:v>0.10851804348530379</c:v>
                </c:pt>
                <c:pt idx="1">
                  <c:v>0.20880674749395409</c:v>
                </c:pt>
                <c:pt idx="2">
                  <c:v>0.37427376076536417</c:v>
                </c:pt>
                <c:pt idx="3">
                  <c:v>0.63397360354675991</c:v>
                </c:pt>
                <c:pt idx="4">
                  <c:v>0.97506083365973206</c:v>
                </c:pt>
                <c:pt idx="5">
                  <c:v>1.4039078962468088</c:v>
                </c:pt>
                <c:pt idx="6">
                  <c:v>1.9101397122432584</c:v>
                </c:pt>
                <c:pt idx="7">
                  <c:v>2.5045212463943174</c:v>
                </c:pt>
                <c:pt idx="8">
                  <c:v>3.1529263196737314</c:v>
                </c:pt>
                <c:pt idx="9">
                  <c:v>3.8972295552400267</c:v>
                </c:pt>
                <c:pt idx="10">
                  <c:v>4.6492842927945421</c:v>
                </c:pt>
                <c:pt idx="11">
                  <c:v>5.5219884557596304</c:v>
                </c:pt>
                <c:pt idx="12">
                  <c:v>6.3686726529768567</c:v>
                </c:pt>
                <c:pt idx="13">
                  <c:v>7.3615280098647498</c:v>
                </c:pt>
                <c:pt idx="14">
                  <c:v>8.3366099499680644</c:v>
                </c:pt>
                <c:pt idx="15">
                  <c:v>9.3635897488752793</c:v>
                </c:pt>
                <c:pt idx="16">
                  <c:v>10.433830935754965</c:v>
                </c:pt>
                <c:pt idx="17">
                  <c:v>11.554976702975726</c:v>
                </c:pt>
                <c:pt idx="18">
                  <c:v>12.716872218523415</c:v>
                </c:pt>
                <c:pt idx="19">
                  <c:v>13.906345469346407</c:v>
                </c:pt>
                <c:pt idx="20">
                  <c:v>15.187995453671608</c:v>
                </c:pt>
                <c:pt idx="21">
                  <c:v>16.452199374643254</c:v>
                </c:pt>
                <c:pt idx="22">
                  <c:v>17.792688442215361</c:v>
                </c:pt>
                <c:pt idx="23">
                  <c:v>19.077637292201857</c:v>
                </c:pt>
                <c:pt idx="24">
                  <c:v>20.598284231289458</c:v>
                </c:pt>
                <c:pt idx="25">
                  <c:v>21.993008734741561</c:v>
                </c:pt>
                <c:pt idx="26">
                  <c:v>23.488840069073774</c:v>
                </c:pt>
                <c:pt idx="27">
                  <c:v>25.028140580832464</c:v>
                </c:pt>
                <c:pt idx="28">
                  <c:v>26.514416350541385</c:v>
                </c:pt>
                <c:pt idx="29">
                  <c:v>28.217378523751588</c:v>
                </c:pt>
                <c:pt idx="30">
                  <c:v>29.851836617655003</c:v>
                </c:pt>
                <c:pt idx="31">
                  <c:v>31.567184229278674</c:v>
                </c:pt>
                <c:pt idx="32">
                  <c:v>33.238997525715995</c:v>
                </c:pt>
                <c:pt idx="33">
                  <c:v>34.981535954321302</c:v>
                </c:pt>
                <c:pt idx="34">
                  <c:v>36.788787444608595</c:v>
                </c:pt>
                <c:pt idx="35">
                  <c:v>38.648541706363169</c:v>
                </c:pt>
                <c:pt idx="36">
                  <c:v>40.49430814081132</c:v>
                </c:pt>
                <c:pt idx="37">
                  <c:v>42.40231413907307</c:v>
                </c:pt>
                <c:pt idx="38">
                  <c:v>44.350769817714585</c:v>
                </c:pt>
                <c:pt idx="39">
                  <c:v>46.332197361902054</c:v>
                </c:pt>
                <c:pt idx="40">
                  <c:v>48.281121453412368</c:v>
                </c:pt>
                <c:pt idx="41">
                  <c:v>50.355409967081904</c:v>
                </c:pt>
                <c:pt idx="42">
                  <c:v>52.417123708582601</c:v>
                </c:pt>
                <c:pt idx="43">
                  <c:v>54.493699281376685</c:v>
                </c:pt>
                <c:pt idx="44">
                  <c:v>56.627314108736996</c:v>
                </c:pt>
                <c:pt idx="45">
                  <c:v>58.791228705982562</c:v>
                </c:pt>
                <c:pt idx="46">
                  <c:v>60.934686572613089</c:v>
                </c:pt>
                <c:pt idx="47">
                  <c:v>63.194965682318603</c:v>
                </c:pt>
                <c:pt idx="48">
                  <c:v>65.461365425443262</c:v>
                </c:pt>
                <c:pt idx="49">
                  <c:v>67.639334145759761</c:v>
                </c:pt>
                <c:pt idx="50">
                  <c:v>69.998880306505313</c:v>
                </c:pt>
                <c:pt idx="51">
                  <c:v>72.350908701257666</c:v>
                </c:pt>
                <c:pt idx="52">
                  <c:v>74.712370780647063</c:v>
                </c:pt>
                <c:pt idx="53">
                  <c:v>77.036865299549106</c:v>
                </c:pt>
                <c:pt idx="54">
                  <c:v>79.482703069567336</c:v>
                </c:pt>
                <c:pt idx="55">
                  <c:v>81.862505626128666</c:v>
                </c:pt>
                <c:pt idx="56">
                  <c:v>84.217940291470839</c:v>
                </c:pt>
                <c:pt idx="57">
                  <c:v>86.721740824739754</c:v>
                </c:pt>
                <c:pt idx="58">
                  <c:v>89.159841965891616</c:v>
                </c:pt>
                <c:pt idx="59">
                  <c:v>91.579914133114301</c:v>
                </c:pt>
                <c:pt idx="60">
                  <c:v>94.245105770276012</c:v>
                </c:pt>
                <c:pt idx="61">
                  <c:v>96.781837638929204</c:v>
                </c:pt>
                <c:pt idx="62">
                  <c:v>99.341920670745182</c:v>
                </c:pt>
                <c:pt idx="63">
                  <c:v>101.84720576593698</c:v>
                </c:pt>
                <c:pt idx="64">
                  <c:v>104.48206347207717</c:v>
                </c:pt>
                <c:pt idx="65">
                  <c:v>107.13904254047368</c:v>
                </c:pt>
                <c:pt idx="66">
                  <c:v>109.72841150913008</c:v>
                </c:pt>
                <c:pt idx="67">
                  <c:v>112.28109373341948</c:v>
                </c:pt>
                <c:pt idx="68">
                  <c:v>115.04077623156596</c:v>
                </c:pt>
                <c:pt idx="69">
                  <c:v>117.63251331967031</c:v>
                </c:pt>
                <c:pt idx="70">
                  <c:v>120.47477891729383</c:v>
                </c:pt>
                <c:pt idx="71">
                  <c:v>123.12872285558126</c:v>
                </c:pt>
                <c:pt idx="72">
                  <c:v>125.78818005386464</c:v>
                </c:pt>
                <c:pt idx="73">
                  <c:v>128.53999970064115</c:v>
                </c:pt>
                <c:pt idx="74">
                  <c:v>131.28456213246398</c:v>
                </c:pt>
                <c:pt idx="75">
                  <c:v>134.04787729110348</c:v>
                </c:pt>
                <c:pt idx="76">
                  <c:v>136.74040131131164</c:v>
                </c:pt>
                <c:pt idx="77">
                  <c:v>139.46721963834182</c:v>
                </c:pt>
                <c:pt idx="78">
                  <c:v>142.17306418569413</c:v>
                </c:pt>
                <c:pt idx="79">
                  <c:v>145.04078967289351</c:v>
                </c:pt>
                <c:pt idx="80">
                  <c:v>147.90259196646147</c:v>
                </c:pt>
                <c:pt idx="81">
                  <c:v>150.61009014441117</c:v>
                </c:pt>
                <c:pt idx="82">
                  <c:v>153.43153597697128</c:v>
                </c:pt>
                <c:pt idx="83">
                  <c:v>156.16918627921717</c:v>
                </c:pt>
                <c:pt idx="84">
                  <c:v>159.04776342771081</c:v>
                </c:pt>
                <c:pt idx="85">
                  <c:v>161.79640087779148</c:v>
                </c:pt>
                <c:pt idx="86">
                  <c:v>164.58052885346669</c:v>
                </c:pt>
                <c:pt idx="87">
                  <c:v>167.58398058816525</c:v>
                </c:pt>
                <c:pt idx="88">
                  <c:v>170.24844268241637</c:v>
                </c:pt>
                <c:pt idx="89">
                  <c:v>173.08914381579825</c:v>
                </c:pt>
                <c:pt idx="90">
                  <c:v>175.78706297953113</c:v>
                </c:pt>
                <c:pt idx="91">
                  <c:v>178.74340477027783</c:v>
                </c:pt>
                <c:pt idx="92">
                  <c:v>181.50691563169815</c:v>
                </c:pt>
                <c:pt idx="93">
                  <c:v>184.39555352433055</c:v>
                </c:pt>
                <c:pt idx="94">
                  <c:v>187.06340394009985</c:v>
                </c:pt>
                <c:pt idx="95">
                  <c:v>190.0163157211621</c:v>
                </c:pt>
                <c:pt idx="96">
                  <c:v>192.69881721138395</c:v>
                </c:pt>
                <c:pt idx="97">
                  <c:v>195.67050256334599</c:v>
                </c:pt>
                <c:pt idx="98">
                  <c:v>198.25815421115092</c:v>
                </c:pt>
                <c:pt idx="99">
                  <c:v>200.94639245626036</c:v>
                </c:pt>
                <c:pt idx="100">
                  <c:v>201.02116481457534</c:v>
                </c:pt>
              </c:numCache>
            </c:numRef>
          </c:xVal>
          <c:yVal>
            <c:numRef>
              <c:f>Calculations!$AX$16:$AX$116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2.1559376269578934E-2</c:v>
                </c:pt>
                <c:pt idx="8">
                  <c:v>1.8520563840866089E-2</c:v>
                </c:pt>
                <c:pt idx="9">
                  <c:v>1.4452314004302025E-2</c:v>
                </c:pt>
                <c:pt idx="10">
                  <c:v>1.4222428202629089E-2</c:v>
                </c:pt>
                <c:pt idx="11">
                  <c:v>2.0540554076433182E-2</c:v>
                </c:pt>
                <c:pt idx="12">
                  <c:v>1.9294857978820801E-2</c:v>
                </c:pt>
                <c:pt idx="13">
                  <c:v>1.6480069607496262E-2</c:v>
                </c:pt>
                <c:pt idx="14">
                  <c:v>1.3856068253517151E-2</c:v>
                </c:pt>
                <c:pt idx="15">
                  <c:v>1.8518105149269104E-2</c:v>
                </c:pt>
                <c:pt idx="16">
                  <c:v>1.4872603118419647E-2</c:v>
                </c:pt>
                <c:pt idx="17">
                  <c:v>1.8523804843425751E-2</c:v>
                </c:pt>
                <c:pt idx="18">
                  <c:v>1.3894438743591309E-2</c:v>
                </c:pt>
                <c:pt idx="19">
                  <c:v>1.6812160611152649E-2</c:v>
                </c:pt>
                <c:pt idx="20">
                  <c:v>1.4818832278251648E-2</c:v>
                </c:pt>
                <c:pt idx="21">
                  <c:v>1.3012781739234924E-2</c:v>
                </c:pt>
                <c:pt idx="22">
                  <c:v>1.4309421181678772E-2</c:v>
                </c:pt>
                <c:pt idx="23">
                  <c:v>1.2280687689781189E-2</c:v>
                </c:pt>
                <c:pt idx="24">
                  <c:v>1.1643394827842712E-2</c:v>
                </c:pt>
                <c:pt idx="25">
                  <c:v>1.2357816100120544E-2</c:v>
                </c:pt>
                <c:pt idx="26">
                  <c:v>1.1986911296844482E-2</c:v>
                </c:pt>
                <c:pt idx="27">
                  <c:v>1.507095992565155E-2</c:v>
                </c:pt>
                <c:pt idx="28">
                  <c:v>1.088106632232666E-2</c:v>
                </c:pt>
                <c:pt idx="29">
                  <c:v>8.2866847515106201E-3</c:v>
                </c:pt>
                <c:pt idx="30">
                  <c:v>1.4270782470703125E-2</c:v>
                </c:pt>
                <c:pt idx="31">
                  <c:v>1.1543452739715576E-2</c:v>
                </c:pt>
                <c:pt idx="32">
                  <c:v>1.3204991817474365E-2</c:v>
                </c:pt>
                <c:pt idx="33">
                  <c:v>1.4107346534729004E-2</c:v>
                </c:pt>
                <c:pt idx="34">
                  <c:v>1.0393470525741577E-2</c:v>
                </c:pt>
                <c:pt idx="35">
                  <c:v>1.3959139585494995E-2</c:v>
                </c:pt>
                <c:pt idx="36">
                  <c:v>9.8317861557006836E-3</c:v>
                </c:pt>
                <c:pt idx="37">
                  <c:v>1.2879490852355957E-2</c:v>
                </c:pt>
                <c:pt idx="38">
                  <c:v>7.649838924407959E-3</c:v>
                </c:pt>
                <c:pt idx="39">
                  <c:v>9.9093317985534668E-3</c:v>
                </c:pt>
                <c:pt idx="40">
                  <c:v>1.2517839670181274E-2</c:v>
                </c:pt>
                <c:pt idx="41">
                  <c:v>9.8589658737182617E-3</c:v>
                </c:pt>
                <c:pt idx="42">
                  <c:v>1.1256694793701172E-2</c:v>
                </c:pt>
                <c:pt idx="43">
                  <c:v>1.2494802474975586E-2</c:v>
                </c:pt>
                <c:pt idx="44">
                  <c:v>9.1990828514099121E-3</c:v>
                </c:pt>
                <c:pt idx="45">
                  <c:v>9.4997286796569824E-3</c:v>
                </c:pt>
                <c:pt idx="46">
                  <c:v>1.0019958019256592E-2</c:v>
                </c:pt>
                <c:pt idx="47">
                  <c:v>9.2861056327819824E-3</c:v>
                </c:pt>
                <c:pt idx="48">
                  <c:v>1.2408137321472168E-2</c:v>
                </c:pt>
                <c:pt idx="49">
                  <c:v>1.2557864189147949E-2</c:v>
                </c:pt>
                <c:pt idx="50">
                  <c:v>1.4680027961730957E-2</c:v>
                </c:pt>
                <c:pt idx="51">
                  <c:v>1.2961268424987793E-2</c:v>
                </c:pt>
                <c:pt idx="52">
                  <c:v>1.114124059677124E-2</c:v>
                </c:pt>
                <c:pt idx="53">
                  <c:v>1.3639688491821289E-2</c:v>
                </c:pt>
                <c:pt idx="54">
                  <c:v>1.09139084815979E-2</c:v>
                </c:pt>
                <c:pt idx="55">
                  <c:v>1.2818694114685059E-2</c:v>
                </c:pt>
                <c:pt idx="56">
                  <c:v>1.1063337326049805E-2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</c:ser>
        <c:axId val="217909504"/>
        <c:axId val="217919488"/>
      </c:scatterChart>
      <c:valAx>
        <c:axId val="217909504"/>
        <c:scaling>
          <c:orientation val="minMax"/>
          <c:max val="90"/>
        </c:scaling>
        <c:axPos val="b"/>
        <c:numFmt formatCode="0.00E+00" sourceLinked="1"/>
        <c:tickLblPos val="nextTo"/>
        <c:crossAx val="217919488"/>
        <c:crosses val="autoZero"/>
        <c:crossBetween val="midCat"/>
      </c:valAx>
      <c:valAx>
        <c:axId val="217919488"/>
        <c:scaling>
          <c:orientation val="minMax"/>
        </c:scaling>
        <c:axPos val="l"/>
        <c:majorGridlines/>
        <c:numFmt formatCode="0%" sourceLinked="0"/>
        <c:tickLblPos val="nextTo"/>
        <c:crossAx val="217909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data0!$B$2:$B$102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2.3529412224888802E-2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0.16078431904315948</c:v>
                </c:pt>
                <c:pt idx="21">
                  <c:v>0.18039216101169586</c:v>
                </c:pt>
                <c:pt idx="22">
                  <c:v>0.19215686619281769</c:v>
                </c:pt>
                <c:pt idx="23">
                  <c:v>0.20392157137393951</c:v>
                </c:pt>
                <c:pt idx="24">
                  <c:v>0.21960784494876862</c:v>
                </c:pt>
                <c:pt idx="25">
                  <c:v>0.23921568691730499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0.34509804844856262</c:v>
                </c:pt>
                <c:pt idx="32">
                  <c:v>0.36078432202339172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0.42745098471641541</c:v>
                </c:pt>
                <c:pt idx="36">
                  <c:v>0.44705882668495178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0.53333336114883423</c:v>
                </c:pt>
                <c:pt idx="41">
                  <c:v>0.56078433990478516</c:v>
                </c:pt>
                <c:pt idx="42">
                  <c:v>0.58039218187332153</c:v>
                </c:pt>
                <c:pt idx="43">
                  <c:v>0.60392159223556519</c:v>
                </c:pt>
                <c:pt idx="44">
                  <c:v>0.62745100259780884</c:v>
                </c:pt>
                <c:pt idx="45">
                  <c:v>0.65098041296005249</c:v>
                </c:pt>
                <c:pt idx="46">
                  <c:v>0.67843139171600342</c:v>
                </c:pt>
                <c:pt idx="47">
                  <c:v>0.70196080207824707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0.83137255907058716</c:v>
                </c:pt>
                <c:pt idx="53">
                  <c:v>0.86274510622024536</c:v>
                </c:pt>
                <c:pt idx="54">
                  <c:v>0.88627451658248901</c:v>
                </c:pt>
                <c:pt idx="55">
                  <c:v>0.91764706373214722</c:v>
                </c:pt>
                <c:pt idx="56">
                  <c:v>0.94117647409439087</c:v>
                </c:pt>
                <c:pt idx="57">
                  <c:v>0.97647058963775635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data0!$C$2:$C$102</c:f>
              <c:numCache>
                <c:formatCode>0.000</c:formatCode>
                <c:ptCount val="101"/>
              </c:numCache>
            </c:numRef>
          </c:yVal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data0!$D$2:$D$102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7.8431377187371254E-3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8.235294371843338E-2</c:v>
                </c:pt>
                <c:pt idx="14">
                  <c:v>9.0196080505847931E-2</c:v>
                </c:pt>
                <c:pt idx="15">
                  <c:v>0.10588235408067703</c:v>
                </c:pt>
                <c:pt idx="16">
                  <c:v>0.10980392247438431</c:v>
                </c:pt>
                <c:pt idx="17">
                  <c:v>0.12941177189350128</c:v>
                </c:pt>
                <c:pt idx="18">
                  <c:v>0.14117647707462311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0.18431372940540314</c:v>
                </c:pt>
                <c:pt idx="22">
                  <c:v>0.19215686619281769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0.29411765933036804</c:v>
                </c:pt>
                <c:pt idx="29">
                  <c:v>0.31372550129890442</c:v>
                </c:pt>
                <c:pt idx="30">
                  <c:v>0.32941177487373352</c:v>
                </c:pt>
                <c:pt idx="31">
                  <c:v>0.34509804844856262</c:v>
                </c:pt>
                <c:pt idx="32">
                  <c:v>0.36862745881080627</c:v>
                </c:pt>
                <c:pt idx="33">
                  <c:v>0.39215686917304993</c:v>
                </c:pt>
                <c:pt idx="34">
                  <c:v>0.40784314274787903</c:v>
                </c:pt>
                <c:pt idx="35">
                  <c:v>0.43137255311012268</c:v>
                </c:pt>
                <c:pt idx="36">
                  <c:v>0.44705882668495178</c:v>
                </c:pt>
                <c:pt idx="37">
                  <c:v>0.47058823704719543</c:v>
                </c:pt>
                <c:pt idx="38">
                  <c:v>0.49411764740943909</c:v>
                </c:pt>
                <c:pt idx="39">
                  <c:v>0.51764708757400513</c:v>
                </c:pt>
                <c:pt idx="40">
                  <c:v>0.5372549295425415</c:v>
                </c:pt>
                <c:pt idx="41">
                  <c:v>0.55686277151107788</c:v>
                </c:pt>
                <c:pt idx="42">
                  <c:v>0.58431375026702881</c:v>
                </c:pt>
                <c:pt idx="43">
                  <c:v>0.60784316062927246</c:v>
                </c:pt>
                <c:pt idx="44">
                  <c:v>0.63529413938522339</c:v>
                </c:pt>
                <c:pt idx="45">
                  <c:v>0.65490198135375977</c:v>
                </c:pt>
                <c:pt idx="46">
                  <c:v>0.67843139171600342</c:v>
                </c:pt>
                <c:pt idx="47">
                  <c:v>0.70588237047195435</c:v>
                </c:pt>
                <c:pt idx="48">
                  <c:v>0.72549021244049072</c:v>
                </c:pt>
                <c:pt idx="49">
                  <c:v>0.75686275959014893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0.83137255907058716</c:v>
                </c:pt>
                <c:pt idx="53">
                  <c:v>0.86274510622024536</c:v>
                </c:pt>
                <c:pt idx="54">
                  <c:v>0.89019608497619629</c:v>
                </c:pt>
                <c:pt idx="55">
                  <c:v>0.91764706373214722</c:v>
                </c:pt>
                <c:pt idx="56">
                  <c:v>0.94509804248809814</c:v>
                </c:pt>
                <c:pt idx="57">
                  <c:v>0.9686274528503418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data0!$E$2:$E$102</c:f>
              <c:numCache>
                <c:formatCode>0.000</c:formatCode>
                <c:ptCount val="101"/>
              </c:numCache>
            </c:numRef>
          </c:yVal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data0!$F$2:$F$102</c:f>
              <c:numCache>
                <c:formatCode>0.000</c:formatCode>
                <c:ptCount val="101"/>
                <c:pt idx="0">
                  <c:v>1.1764706112444401E-2</c:v>
                </c:pt>
                <c:pt idx="1">
                  <c:v>1.1764706112444401E-2</c:v>
                </c:pt>
                <c:pt idx="2">
                  <c:v>1.1764706112444401E-2</c:v>
                </c:pt>
                <c:pt idx="3">
                  <c:v>3.9215688593685627E-3</c:v>
                </c:pt>
                <c:pt idx="4">
                  <c:v>1.5686275437474251E-2</c:v>
                </c:pt>
                <c:pt idx="5">
                  <c:v>1.5686275437474251E-2</c:v>
                </c:pt>
                <c:pt idx="6">
                  <c:v>2.3529412224888802E-2</c:v>
                </c:pt>
                <c:pt idx="7">
                  <c:v>3.1372550874948502E-2</c:v>
                </c:pt>
                <c:pt idx="8">
                  <c:v>4.3137256056070328E-2</c:v>
                </c:pt>
                <c:pt idx="9">
                  <c:v>4.3137256056070328E-2</c:v>
                </c:pt>
                <c:pt idx="10">
                  <c:v>5.4901961237192154E-2</c:v>
                </c:pt>
                <c:pt idx="11">
                  <c:v>5.8823529630899429E-2</c:v>
                </c:pt>
                <c:pt idx="12">
                  <c:v>7.8431375324726105E-2</c:v>
                </c:pt>
                <c:pt idx="13">
                  <c:v>9.0196080505847931E-2</c:v>
                </c:pt>
                <c:pt idx="14">
                  <c:v>9.4117648899555206E-2</c:v>
                </c:pt>
                <c:pt idx="15">
                  <c:v>0.10980392247438431</c:v>
                </c:pt>
                <c:pt idx="16">
                  <c:v>0.12156862765550613</c:v>
                </c:pt>
                <c:pt idx="17">
                  <c:v>0.13333334028720856</c:v>
                </c:pt>
                <c:pt idx="18">
                  <c:v>0.14901961386203766</c:v>
                </c:pt>
                <c:pt idx="19">
                  <c:v>0.15686275064945221</c:v>
                </c:pt>
                <c:pt idx="20">
                  <c:v>0.17254902422428131</c:v>
                </c:pt>
                <c:pt idx="21">
                  <c:v>0.18823529779911041</c:v>
                </c:pt>
                <c:pt idx="22">
                  <c:v>0.20392157137393951</c:v>
                </c:pt>
                <c:pt idx="23">
                  <c:v>0.21960784494876862</c:v>
                </c:pt>
                <c:pt idx="24">
                  <c:v>0.23529411852359772</c:v>
                </c:pt>
                <c:pt idx="25">
                  <c:v>0.25098040699958801</c:v>
                </c:pt>
                <c:pt idx="26">
                  <c:v>0.27058824896812439</c:v>
                </c:pt>
                <c:pt idx="27">
                  <c:v>0.28627452254295349</c:v>
                </c:pt>
                <c:pt idx="28">
                  <c:v>0.30196079611778259</c:v>
                </c:pt>
                <c:pt idx="29">
                  <c:v>0.32549020648002625</c:v>
                </c:pt>
                <c:pt idx="30">
                  <c:v>0.33725491166114807</c:v>
                </c:pt>
                <c:pt idx="31">
                  <c:v>0.35686275362968445</c:v>
                </c:pt>
                <c:pt idx="32">
                  <c:v>0.38431373238563538</c:v>
                </c:pt>
                <c:pt idx="33">
                  <c:v>0.40392157435417175</c:v>
                </c:pt>
                <c:pt idx="34">
                  <c:v>0.41960784792900085</c:v>
                </c:pt>
                <c:pt idx="35">
                  <c:v>0.44313725829124451</c:v>
                </c:pt>
                <c:pt idx="36">
                  <c:v>0.46274510025978088</c:v>
                </c:pt>
                <c:pt idx="37">
                  <c:v>0.47843137383460999</c:v>
                </c:pt>
                <c:pt idx="38">
                  <c:v>0.50980395078659058</c:v>
                </c:pt>
                <c:pt idx="39">
                  <c:v>0.52941179275512695</c:v>
                </c:pt>
                <c:pt idx="40">
                  <c:v>0.55686277151107788</c:v>
                </c:pt>
                <c:pt idx="41">
                  <c:v>0.58039218187332153</c:v>
                </c:pt>
                <c:pt idx="42">
                  <c:v>0.60000002384185791</c:v>
                </c:pt>
                <c:pt idx="43">
                  <c:v>0.62745100259780884</c:v>
                </c:pt>
                <c:pt idx="44">
                  <c:v>0.64705884456634521</c:v>
                </c:pt>
                <c:pt idx="45">
                  <c:v>0.67450982332229614</c:v>
                </c:pt>
                <c:pt idx="46">
                  <c:v>0.69411766529083252</c:v>
                </c:pt>
                <c:pt idx="47">
                  <c:v>0.71764707565307617</c:v>
                </c:pt>
                <c:pt idx="48">
                  <c:v>0.7450980544090271</c:v>
                </c:pt>
                <c:pt idx="49">
                  <c:v>0.77254903316497803</c:v>
                </c:pt>
                <c:pt idx="50">
                  <c:v>0.79607844352722168</c:v>
                </c:pt>
                <c:pt idx="51">
                  <c:v>0.82352942228317261</c:v>
                </c:pt>
                <c:pt idx="52">
                  <c:v>0.85490196943283081</c:v>
                </c:pt>
                <c:pt idx="53">
                  <c:v>0.87450981140136719</c:v>
                </c:pt>
                <c:pt idx="54">
                  <c:v>0.90196079015731812</c:v>
                </c:pt>
                <c:pt idx="55">
                  <c:v>0.93333333730697632</c:v>
                </c:pt>
                <c:pt idx="56">
                  <c:v>0.96470588445663452</c:v>
                </c:pt>
                <c:pt idx="57">
                  <c:v>0.98823529481887817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data0!$G$2:$G$102</c:f>
              <c:numCache>
                <c:formatCode>0.000</c:formatCode>
                <c:ptCount val="101"/>
              </c:numCache>
            </c:numRef>
          </c:yVal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data0!$H$2:$H$102</c:f>
              <c:numCache>
                <c:formatCode>0.000</c:formatCode>
                <c:ptCount val="101"/>
              </c:numCache>
            </c:numRef>
          </c:yVal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data0!$I$2:$I$102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3.1372550874948502E-2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0.12156862765550613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0.16470588743686676</c:v>
                </c:pt>
                <c:pt idx="21">
                  <c:v>0.17647059261798859</c:v>
                </c:pt>
                <c:pt idx="22">
                  <c:v>0.19215686619281769</c:v>
                </c:pt>
                <c:pt idx="23">
                  <c:v>0.20784313976764679</c:v>
                </c:pt>
                <c:pt idx="24">
                  <c:v>0.21960784494876862</c:v>
                </c:pt>
                <c:pt idx="25">
                  <c:v>0.23529411852359772</c:v>
                </c:pt>
                <c:pt idx="26">
                  <c:v>0.25490197539329529</c:v>
                </c:pt>
                <c:pt idx="27">
                  <c:v>0.27058824896812439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0.34509804844856262</c:v>
                </c:pt>
                <c:pt idx="32">
                  <c:v>0.36078432202339172</c:v>
                </c:pt>
                <c:pt idx="33">
                  <c:v>0.38431373238563538</c:v>
                </c:pt>
                <c:pt idx="34">
                  <c:v>0.40000000596046448</c:v>
                </c:pt>
                <c:pt idx="35">
                  <c:v>0.42352941632270813</c:v>
                </c:pt>
                <c:pt idx="36">
                  <c:v>0.44705882668495178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0.52941179275512695</c:v>
                </c:pt>
                <c:pt idx="41">
                  <c:v>0.55294120311737061</c:v>
                </c:pt>
                <c:pt idx="42">
                  <c:v>0.57254904508590698</c:v>
                </c:pt>
                <c:pt idx="43">
                  <c:v>0.59607845544815063</c:v>
                </c:pt>
                <c:pt idx="44">
                  <c:v>0.62352943420410156</c:v>
                </c:pt>
                <c:pt idx="45">
                  <c:v>0.64705884456634521</c:v>
                </c:pt>
                <c:pt idx="46">
                  <c:v>0.67058825492858887</c:v>
                </c:pt>
                <c:pt idx="47">
                  <c:v>0.69411766529083252</c:v>
                </c:pt>
                <c:pt idx="48">
                  <c:v>0.72156864404678345</c:v>
                </c:pt>
                <c:pt idx="49">
                  <c:v>0.74901962280273438</c:v>
                </c:pt>
                <c:pt idx="50">
                  <c:v>0.77254903316497803</c:v>
                </c:pt>
                <c:pt idx="51">
                  <c:v>0.80000001192092896</c:v>
                </c:pt>
                <c:pt idx="52">
                  <c:v>0.82352942228317261</c:v>
                </c:pt>
                <c:pt idx="53">
                  <c:v>0.85098040103912354</c:v>
                </c:pt>
                <c:pt idx="54">
                  <c:v>0.87843137979507446</c:v>
                </c:pt>
                <c:pt idx="55">
                  <c:v>0.90588235855102539</c:v>
                </c:pt>
                <c:pt idx="56">
                  <c:v>0.93333333730697632</c:v>
                </c:pt>
                <c:pt idx="57">
                  <c:v>0.96078431606292725</c:v>
                </c:pt>
                <c:pt idx="58">
                  <c:v>0.98823529481887817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7977984"/>
        <c:axId val="217979520"/>
      </c:scatterChart>
      <c:valAx>
        <c:axId val="217977984"/>
        <c:scaling>
          <c:orientation val="minMax"/>
        </c:scaling>
        <c:axPos val="b"/>
        <c:numFmt formatCode="0.00E+00" sourceLinked="1"/>
        <c:tickLblPos val="nextTo"/>
        <c:crossAx val="217979520"/>
        <c:crosses val="autoZero"/>
        <c:crossBetween val="midCat"/>
      </c:valAx>
      <c:valAx>
        <c:axId val="217979520"/>
        <c:scaling>
          <c:orientation val="minMax"/>
        </c:scaling>
        <c:axPos val="l"/>
        <c:majorGridlines/>
        <c:numFmt formatCode="0.000" sourceLinked="1"/>
        <c:tickLblPos val="nextTo"/>
        <c:crossAx val="2179779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data0!$J$2:$J$102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3.9215688593685627E-3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5.0980392843484879E-2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0.10588235408067703</c:v>
                </c:pt>
                <c:pt idx="17">
                  <c:v>0.12156862765550613</c:v>
                </c:pt>
                <c:pt idx="18">
                  <c:v>0.13333334028720856</c:v>
                </c:pt>
                <c:pt idx="19">
                  <c:v>0.14509804546833038</c:v>
                </c:pt>
                <c:pt idx="20">
                  <c:v>0.16078431904315948</c:v>
                </c:pt>
                <c:pt idx="21">
                  <c:v>0.17254902422428131</c:v>
                </c:pt>
                <c:pt idx="22">
                  <c:v>0.18823529779911041</c:v>
                </c:pt>
                <c:pt idx="23">
                  <c:v>0.20000000298023224</c:v>
                </c:pt>
                <c:pt idx="24">
                  <c:v>0.21960784494876862</c:v>
                </c:pt>
                <c:pt idx="25">
                  <c:v>0.23529411852359772</c:v>
                </c:pt>
                <c:pt idx="26">
                  <c:v>0.25098040699958801</c:v>
                </c:pt>
                <c:pt idx="27">
                  <c:v>0.26666668057441711</c:v>
                </c:pt>
                <c:pt idx="28">
                  <c:v>0.28627452254295349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0.33725491166114807</c:v>
                </c:pt>
                <c:pt idx="32">
                  <c:v>0.36078432202339172</c:v>
                </c:pt>
                <c:pt idx="33">
                  <c:v>0.37647059559822083</c:v>
                </c:pt>
                <c:pt idx="34">
                  <c:v>0.40000000596046448</c:v>
                </c:pt>
                <c:pt idx="35">
                  <c:v>0.41960784792900085</c:v>
                </c:pt>
                <c:pt idx="36">
                  <c:v>0.43921568989753723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0.53333336114883423</c:v>
                </c:pt>
                <c:pt idx="41">
                  <c:v>0.55294120311737061</c:v>
                </c:pt>
                <c:pt idx="42">
                  <c:v>0.57647061347961426</c:v>
                </c:pt>
                <c:pt idx="43">
                  <c:v>0.60000002384185791</c:v>
                </c:pt>
                <c:pt idx="44">
                  <c:v>0.62352943420410156</c:v>
                </c:pt>
                <c:pt idx="45">
                  <c:v>0.64705884456634521</c:v>
                </c:pt>
                <c:pt idx="46">
                  <c:v>0.67058825492858887</c:v>
                </c:pt>
                <c:pt idx="47">
                  <c:v>0.69803923368453979</c:v>
                </c:pt>
                <c:pt idx="48">
                  <c:v>0.72156864404678345</c:v>
                </c:pt>
                <c:pt idx="49">
                  <c:v>0.74901962280273438</c:v>
                </c:pt>
                <c:pt idx="50">
                  <c:v>0.7764706015586853</c:v>
                </c:pt>
                <c:pt idx="51">
                  <c:v>0.80000001192092896</c:v>
                </c:pt>
                <c:pt idx="52">
                  <c:v>0.82745099067687988</c:v>
                </c:pt>
                <c:pt idx="53">
                  <c:v>0.85490196943283081</c:v>
                </c:pt>
                <c:pt idx="54">
                  <c:v>0.88235294818878174</c:v>
                </c:pt>
                <c:pt idx="55">
                  <c:v>0.90980392694473267</c:v>
                </c:pt>
                <c:pt idx="56">
                  <c:v>0.93333333730697632</c:v>
                </c:pt>
                <c:pt idx="57">
                  <c:v>0.96078431606292725</c:v>
                </c:pt>
                <c:pt idx="58">
                  <c:v>0.98039215803146362</c:v>
                </c:pt>
                <c:pt idx="59">
                  <c:v>0.99607843160629272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data0!$K$2:$K$102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3.9215688593685627E-3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5.0980392843484879E-2</c:v>
                </c:pt>
                <c:pt idx="11">
                  <c:v>5.0980392843484879E-2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0.10588235408067703</c:v>
                </c:pt>
                <c:pt idx="17">
                  <c:v>0.12156862765550613</c:v>
                </c:pt>
                <c:pt idx="18">
                  <c:v>0.13333334028720856</c:v>
                </c:pt>
                <c:pt idx="19">
                  <c:v>0.14117647707462311</c:v>
                </c:pt>
                <c:pt idx="20">
                  <c:v>0.15294118225574493</c:v>
                </c:pt>
                <c:pt idx="21">
                  <c:v>0.16862745583057404</c:v>
                </c:pt>
                <c:pt idx="22">
                  <c:v>0.18823529779911041</c:v>
                </c:pt>
                <c:pt idx="23">
                  <c:v>0.20000000298023224</c:v>
                </c:pt>
                <c:pt idx="24">
                  <c:v>0.21176470816135406</c:v>
                </c:pt>
                <c:pt idx="25">
                  <c:v>0.22745098173618317</c:v>
                </c:pt>
                <c:pt idx="26">
                  <c:v>0.24705882370471954</c:v>
                </c:pt>
                <c:pt idx="27">
                  <c:v>0.26666668057441711</c:v>
                </c:pt>
                <c:pt idx="28">
                  <c:v>0.28235295414924622</c:v>
                </c:pt>
                <c:pt idx="29">
                  <c:v>0.29803922772407532</c:v>
                </c:pt>
                <c:pt idx="30">
                  <c:v>0.32156863808631897</c:v>
                </c:pt>
                <c:pt idx="31">
                  <c:v>0.33725491166114807</c:v>
                </c:pt>
                <c:pt idx="32">
                  <c:v>0.35686275362968445</c:v>
                </c:pt>
                <c:pt idx="33">
                  <c:v>0.37254902720451355</c:v>
                </c:pt>
                <c:pt idx="34">
                  <c:v>0.3960784375667572</c:v>
                </c:pt>
                <c:pt idx="35">
                  <c:v>0.42352941632270813</c:v>
                </c:pt>
                <c:pt idx="36">
                  <c:v>0.43921568989753723</c:v>
                </c:pt>
                <c:pt idx="37">
                  <c:v>0.45490196347236633</c:v>
                </c:pt>
                <c:pt idx="38">
                  <c:v>0.47843137383460999</c:v>
                </c:pt>
                <c:pt idx="39">
                  <c:v>0.50196081399917603</c:v>
                </c:pt>
                <c:pt idx="40">
                  <c:v>0.53333336114883423</c:v>
                </c:pt>
                <c:pt idx="41">
                  <c:v>0.54509806632995605</c:v>
                </c:pt>
                <c:pt idx="42">
                  <c:v>0.56862747669219971</c:v>
                </c:pt>
                <c:pt idx="43">
                  <c:v>0.59607845544815063</c:v>
                </c:pt>
                <c:pt idx="44">
                  <c:v>0.61960786581039429</c:v>
                </c:pt>
                <c:pt idx="45">
                  <c:v>0.64313727617263794</c:v>
                </c:pt>
                <c:pt idx="46">
                  <c:v>0.67058825492858887</c:v>
                </c:pt>
                <c:pt idx="47">
                  <c:v>0.69019609689712524</c:v>
                </c:pt>
                <c:pt idx="48">
                  <c:v>0.71764707565307617</c:v>
                </c:pt>
                <c:pt idx="49">
                  <c:v>0.74117648601531982</c:v>
                </c:pt>
                <c:pt idx="50">
                  <c:v>0.76862746477127075</c:v>
                </c:pt>
                <c:pt idx="51">
                  <c:v>0.7921568751335144</c:v>
                </c:pt>
                <c:pt idx="52">
                  <c:v>0.82352942228317261</c:v>
                </c:pt>
                <c:pt idx="53">
                  <c:v>0.85490196943283081</c:v>
                </c:pt>
                <c:pt idx="54">
                  <c:v>0.87450981140136719</c:v>
                </c:pt>
                <c:pt idx="55">
                  <c:v>0.90196079015731812</c:v>
                </c:pt>
                <c:pt idx="56">
                  <c:v>0.93725490570068359</c:v>
                </c:pt>
                <c:pt idx="57">
                  <c:v>0.9529411792755127</c:v>
                </c:pt>
                <c:pt idx="58">
                  <c:v>0.97254902124404907</c:v>
                </c:pt>
                <c:pt idx="59">
                  <c:v>0.9843137264251709</c:v>
                </c:pt>
                <c:pt idx="60">
                  <c:v>0.98823529481887817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data0!$L$2:$L$102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0</c:v>
                </c:pt>
                <c:pt idx="3">
                  <c:v>7.8431377187371254E-3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2.3529412224888802E-2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4.7058824449777603E-2</c:v>
                </c:pt>
                <c:pt idx="11">
                  <c:v>5.0980392843484879E-2</c:v>
                </c:pt>
                <c:pt idx="12">
                  <c:v>7.0588238537311554E-2</c:v>
                </c:pt>
                <c:pt idx="13">
                  <c:v>7.8431375324726105E-2</c:v>
                </c:pt>
                <c:pt idx="14">
                  <c:v>9.0196080505847931E-2</c:v>
                </c:pt>
                <c:pt idx="15">
                  <c:v>9.4117648899555206E-2</c:v>
                </c:pt>
                <c:pt idx="16">
                  <c:v>0.10980392247438431</c:v>
                </c:pt>
                <c:pt idx="17">
                  <c:v>0.12941177189350128</c:v>
                </c:pt>
                <c:pt idx="18">
                  <c:v>0.14117647707462311</c:v>
                </c:pt>
                <c:pt idx="19">
                  <c:v>0.14901961386203766</c:v>
                </c:pt>
                <c:pt idx="20">
                  <c:v>0.16470588743686676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0.21960784494876862</c:v>
                </c:pt>
                <c:pt idx="25">
                  <c:v>0.24313725531101227</c:v>
                </c:pt>
                <c:pt idx="26">
                  <c:v>0.26274511218070984</c:v>
                </c:pt>
                <c:pt idx="27">
                  <c:v>0.27843138575553894</c:v>
                </c:pt>
                <c:pt idx="28">
                  <c:v>0.29803922772407532</c:v>
                </c:pt>
                <c:pt idx="29">
                  <c:v>0.30980393290519714</c:v>
                </c:pt>
                <c:pt idx="30">
                  <c:v>0.33725491166114807</c:v>
                </c:pt>
                <c:pt idx="31">
                  <c:v>0.35294118523597717</c:v>
                </c:pt>
                <c:pt idx="32">
                  <c:v>0.37647059559822083</c:v>
                </c:pt>
                <c:pt idx="33">
                  <c:v>0.38431373238563538</c:v>
                </c:pt>
                <c:pt idx="34">
                  <c:v>0.41568627953529358</c:v>
                </c:pt>
                <c:pt idx="35">
                  <c:v>0.43137255311012268</c:v>
                </c:pt>
                <c:pt idx="36">
                  <c:v>0.45098039507865906</c:v>
                </c:pt>
                <c:pt idx="37">
                  <c:v>0.47450980544090271</c:v>
                </c:pt>
                <c:pt idx="38">
                  <c:v>0.50196081399917603</c:v>
                </c:pt>
                <c:pt idx="39">
                  <c:v>0.52549022436141968</c:v>
                </c:pt>
                <c:pt idx="40">
                  <c:v>0.54117649793624878</c:v>
                </c:pt>
                <c:pt idx="41">
                  <c:v>0.56470590829849243</c:v>
                </c:pt>
                <c:pt idx="42">
                  <c:v>0.58823531866073608</c:v>
                </c:pt>
                <c:pt idx="43">
                  <c:v>0.61960786581039429</c:v>
                </c:pt>
                <c:pt idx="44">
                  <c:v>0.63529413938522339</c:v>
                </c:pt>
                <c:pt idx="45">
                  <c:v>0.66666668653488159</c:v>
                </c:pt>
                <c:pt idx="46">
                  <c:v>0.69019609689712524</c:v>
                </c:pt>
                <c:pt idx="47">
                  <c:v>0.7137255072593689</c:v>
                </c:pt>
                <c:pt idx="48">
                  <c:v>0.74117648601531982</c:v>
                </c:pt>
                <c:pt idx="49">
                  <c:v>0.76862746477127075</c:v>
                </c:pt>
                <c:pt idx="50">
                  <c:v>0.7921568751335144</c:v>
                </c:pt>
                <c:pt idx="51">
                  <c:v>0.82352942228317261</c:v>
                </c:pt>
                <c:pt idx="52">
                  <c:v>0.84705883264541626</c:v>
                </c:pt>
                <c:pt idx="53">
                  <c:v>0.87058824300765991</c:v>
                </c:pt>
                <c:pt idx="54">
                  <c:v>0.90196079015731812</c:v>
                </c:pt>
                <c:pt idx="55">
                  <c:v>0.93333333730697632</c:v>
                </c:pt>
                <c:pt idx="56">
                  <c:v>0.96470588445663452</c:v>
                </c:pt>
                <c:pt idx="57">
                  <c:v>0.9843137264251709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data0!$M$2:$M$102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7.8431377187371254E-3</c:v>
                </c:pt>
                <c:pt idx="6">
                  <c:v>1.9607843831181526E-2</c:v>
                </c:pt>
                <c:pt idx="7">
                  <c:v>2.3529412224888802E-2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5.4901961237192154E-2</c:v>
                </c:pt>
                <c:pt idx="12">
                  <c:v>6.6666670143604279E-2</c:v>
                </c:pt>
                <c:pt idx="13">
                  <c:v>8.235294371843338E-2</c:v>
                </c:pt>
                <c:pt idx="14">
                  <c:v>8.235294371843338E-2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0.12549020349979401</c:v>
                </c:pt>
                <c:pt idx="18">
                  <c:v>0.13333334028720856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0.26274511218070984</c:v>
                </c:pt>
                <c:pt idx="27">
                  <c:v>0.27450981736183167</c:v>
                </c:pt>
                <c:pt idx="28">
                  <c:v>0.29411765933036804</c:v>
                </c:pt>
                <c:pt idx="29">
                  <c:v>0.31372550129890442</c:v>
                </c:pt>
                <c:pt idx="30">
                  <c:v>0.33725491166114807</c:v>
                </c:pt>
                <c:pt idx="31">
                  <c:v>0.35294118523597717</c:v>
                </c:pt>
                <c:pt idx="32">
                  <c:v>0.36862745881080627</c:v>
                </c:pt>
                <c:pt idx="33">
                  <c:v>0.39215686917304993</c:v>
                </c:pt>
                <c:pt idx="34">
                  <c:v>0.4117647111415863</c:v>
                </c:pt>
                <c:pt idx="35">
                  <c:v>0.43137255311012268</c:v>
                </c:pt>
                <c:pt idx="36">
                  <c:v>0.45490196347236633</c:v>
                </c:pt>
                <c:pt idx="37">
                  <c:v>0.47843137383460999</c:v>
                </c:pt>
                <c:pt idx="38">
                  <c:v>0.49411764740943909</c:v>
                </c:pt>
                <c:pt idx="39">
                  <c:v>0.5215686559677124</c:v>
                </c:pt>
                <c:pt idx="40">
                  <c:v>0.54117649793624878</c:v>
                </c:pt>
                <c:pt idx="41">
                  <c:v>0.56470590829849243</c:v>
                </c:pt>
                <c:pt idx="42">
                  <c:v>0.59215688705444336</c:v>
                </c:pt>
                <c:pt idx="43">
                  <c:v>0.61568629741668701</c:v>
                </c:pt>
                <c:pt idx="44">
                  <c:v>0.63921570777893066</c:v>
                </c:pt>
                <c:pt idx="45">
                  <c:v>0.66666668653488159</c:v>
                </c:pt>
                <c:pt idx="46">
                  <c:v>0.69019609689712524</c:v>
                </c:pt>
                <c:pt idx="47">
                  <c:v>0.7137255072593689</c:v>
                </c:pt>
                <c:pt idx="48">
                  <c:v>0.74117648601531982</c:v>
                </c:pt>
                <c:pt idx="49">
                  <c:v>0.76470589637756348</c:v>
                </c:pt>
                <c:pt idx="50">
                  <c:v>0.7921568751335144</c:v>
                </c:pt>
                <c:pt idx="51">
                  <c:v>0.81960785388946533</c:v>
                </c:pt>
                <c:pt idx="52">
                  <c:v>0.84313726425170898</c:v>
                </c:pt>
                <c:pt idx="53">
                  <c:v>0.87843137979507446</c:v>
                </c:pt>
                <c:pt idx="54">
                  <c:v>0.89803922176361084</c:v>
                </c:pt>
                <c:pt idx="55">
                  <c:v>0.93333333730697632</c:v>
                </c:pt>
                <c:pt idx="56">
                  <c:v>0.95686274766921997</c:v>
                </c:pt>
                <c:pt idx="57">
                  <c:v>0.9843137264251709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data0!$N$2:$N$102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7.8431377187371254E-3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2.3529412224888802E-2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6.6666670143604279E-2</c:v>
                </c:pt>
                <c:pt idx="12">
                  <c:v>7.4509806931018829E-2</c:v>
                </c:pt>
                <c:pt idx="13">
                  <c:v>8.235294371843338E-2</c:v>
                </c:pt>
                <c:pt idx="14">
                  <c:v>9.8039217293262482E-2</c:v>
                </c:pt>
                <c:pt idx="15">
                  <c:v>0.10588235408067703</c:v>
                </c:pt>
                <c:pt idx="16">
                  <c:v>0.12156862765550613</c:v>
                </c:pt>
                <c:pt idx="17">
                  <c:v>0.13333334028720856</c:v>
                </c:pt>
                <c:pt idx="18">
                  <c:v>0.14509804546833038</c:v>
                </c:pt>
                <c:pt idx="19">
                  <c:v>0.16078431904315948</c:v>
                </c:pt>
                <c:pt idx="20">
                  <c:v>0.17647059261798859</c:v>
                </c:pt>
                <c:pt idx="21">
                  <c:v>0.18823529779911041</c:v>
                </c:pt>
                <c:pt idx="22">
                  <c:v>0.20392157137393951</c:v>
                </c:pt>
                <c:pt idx="23">
                  <c:v>0.21960784494876862</c:v>
                </c:pt>
                <c:pt idx="24">
                  <c:v>0.23529411852359772</c:v>
                </c:pt>
                <c:pt idx="25">
                  <c:v>0.25098040699958801</c:v>
                </c:pt>
                <c:pt idx="26">
                  <c:v>0.27058824896812439</c:v>
                </c:pt>
                <c:pt idx="27">
                  <c:v>0.29019609093666077</c:v>
                </c:pt>
                <c:pt idx="28">
                  <c:v>0.30588236451148987</c:v>
                </c:pt>
                <c:pt idx="29">
                  <c:v>0.32941177487373352</c:v>
                </c:pt>
                <c:pt idx="30">
                  <c:v>0.34509804844856262</c:v>
                </c:pt>
                <c:pt idx="31">
                  <c:v>0.36862745881080627</c:v>
                </c:pt>
                <c:pt idx="32">
                  <c:v>0.38431373238563538</c:v>
                </c:pt>
                <c:pt idx="33">
                  <c:v>0.40784314274787903</c:v>
                </c:pt>
                <c:pt idx="34">
                  <c:v>0.42745098471641541</c:v>
                </c:pt>
                <c:pt idx="35">
                  <c:v>0.44705882668495178</c:v>
                </c:pt>
                <c:pt idx="36">
                  <c:v>0.47058823704719543</c:v>
                </c:pt>
                <c:pt idx="37">
                  <c:v>0.49411764740943909</c:v>
                </c:pt>
                <c:pt idx="38">
                  <c:v>0.51764708757400513</c:v>
                </c:pt>
                <c:pt idx="39">
                  <c:v>0.54117649793624878</c:v>
                </c:pt>
                <c:pt idx="40">
                  <c:v>0.56470590829849243</c:v>
                </c:pt>
                <c:pt idx="41">
                  <c:v>0.58823531866073608</c:v>
                </c:pt>
                <c:pt idx="42">
                  <c:v>0.61176472902297974</c:v>
                </c:pt>
                <c:pt idx="43">
                  <c:v>0.63529413938522339</c:v>
                </c:pt>
                <c:pt idx="44">
                  <c:v>0.65882354974746704</c:v>
                </c:pt>
                <c:pt idx="45">
                  <c:v>0.68627452850341797</c:v>
                </c:pt>
                <c:pt idx="46">
                  <c:v>0.7137255072593689</c:v>
                </c:pt>
                <c:pt idx="47">
                  <c:v>0.73725491762161255</c:v>
                </c:pt>
                <c:pt idx="48">
                  <c:v>0.76470589637756348</c:v>
                </c:pt>
                <c:pt idx="49">
                  <c:v>0.78823530673980713</c:v>
                </c:pt>
                <c:pt idx="50">
                  <c:v>0.81960785388946533</c:v>
                </c:pt>
                <c:pt idx="51">
                  <c:v>0.84705883264541626</c:v>
                </c:pt>
                <c:pt idx="52">
                  <c:v>0.87058824300765991</c:v>
                </c:pt>
                <c:pt idx="53">
                  <c:v>0.90196079015731812</c:v>
                </c:pt>
                <c:pt idx="54">
                  <c:v>0.93333333730697632</c:v>
                </c:pt>
                <c:pt idx="55">
                  <c:v>0.95686274766921997</c:v>
                </c:pt>
                <c:pt idx="56">
                  <c:v>0.98823529481887817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data0!$O$2:$O$102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2.3529412224888802E-2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6.2745101749897003E-2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0.11764705926179886</c:v>
                </c:pt>
                <c:pt idx="18">
                  <c:v>0.13333334028720856</c:v>
                </c:pt>
                <c:pt idx="19">
                  <c:v>0.14509804546833038</c:v>
                </c:pt>
                <c:pt idx="20">
                  <c:v>0.16078431904315948</c:v>
                </c:pt>
                <c:pt idx="21">
                  <c:v>0.17647059261798859</c:v>
                </c:pt>
                <c:pt idx="22">
                  <c:v>0.18823529779911041</c:v>
                </c:pt>
                <c:pt idx="23">
                  <c:v>0.20392157137393951</c:v>
                </c:pt>
                <c:pt idx="24">
                  <c:v>0.21568627655506134</c:v>
                </c:pt>
                <c:pt idx="25">
                  <c:v>0.23529411852359772</c:v>
                </c:pt>
                <c:pt idx="26">
                  <c:v>0.25490197539329529</c:v>
                </c:pt>
                <c:pt idx="27">
                  <c:v>0.27058824896812439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0.32549020648002625</c:v>
                </c:pt>
                <c:pt idx="31">
                  <c:v>0.34509804844856262</c:v>
                </c:pt>
                <c:pt idx="32">
                  <c:v>0.364705890417099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0.41568627953529358</c:v>
                </c:pt>
                <c:pt idx="36">
                  <c:v>0.44313725829124451</c:v>
                </c:pt>
                <c:pt idx="37">
                  <c:v>0.47058823704719543</c:v>
                </c:pt>
                <c:pt idx="38">
                  <c:v>0.48627451062202454</c:v>
                </c:pt>
                <c:pt idx="39">
                  <c:v>0.51372551918029785</c:v>
                </c:pt>
                <c:pt idx="40">
                  <c:v>0.53333336114883423</c:v>
                </c:pt>
                <c:pt idx="41">
                  <c:v>0.55686277151107788</c:v>
                </c:pt>
                <c:pt idx="42">
                  <c:v>0.58431375026702881</c:v>
                </c:pt>
                <c:pt idx="43">
                  <c:v>0.60392159223556519</c:v>
                </c:pt>
                <c:pt idx="44">
                  <c:v>0.63137257099151611</c:v>
                </c:pt>
                <c:pt idx="45">
                  <c:v>0.65490198135375977</c:v>
                </c:pt>
                <c:pt idx="46">
                  <c:v>0.68235296010971069</c:v>
                </c:pt>
                <c:pt idx="47">
                  <c:v>0.70588237047195435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0.83921569585800171</c:v>
                </c:pt>
                <c:pt idx="53">
                  <c:v>0.85882353782653809</c:v>
                </c:pt>
                <c:pt idx="54">
                  <c:v>0.89411765336990356</c:v>
                </c:pt>
                <c:pt idx="55">
                  <c:v>0.91764706373214722</c:v>
                </c:pt>
                <c:pt idx="56">
                  <c:v>0.94117647409439087</c:v>
                </c:pt>
                <c:pt idx="57">
                  <c:v>0.94901961088180542</c:v>
                </c:pt>
                <c:pt idx="58">
                  <c:v>0.96470588445663452</c:v>
                </c:pt>
                <c:pt idx="59">
                  <c:v>0.96078431606292725</c:v>
                </c:pt>
                <c:pt idx="60">
                  <c:v>0.97647058963775635</c:v>
                </c:pt>
                <c:pt idx="61">
                  <c:v>0.97254902124404907</c:v>
                </c:pt>
                <c:pt idx="62">
                  <c:v>0.97254902124404907</c:v>
                </c:pt>
                <c:pt idx="63">
                  <c:v>0.97254902124404907</c:v>
                </c:pt>
                <c:pt idx="64">
                  <c:v>0.9843137264251709</c:v>
                </c:pt>
                <c:pt idx="65">
                  <c:v>0.99607843160629272</c:v>
                </c:pt>
                <c:pt idx="66">
                  <c:v>0.99215686321258545</c:v>
                </c:pt>
                <c:pt idx="67">
                  <c:v>0.99607843160629272</c:v>
                </c:pt>
                <c:pt idx="68">
                  <c:v>0.98823529481887817</c:v>
                </c:pt>
                <c:pt idx="69">
                  <c:v>0.99607843160629272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data0!$P$2:$P$102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3.9215688593685627E-3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3.1372550874948502E-2</c:v>
                </c:pt>
                <c:pt idx="9">
                  <c:v>3.9215687662363052E-2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7.8431375324726105E-2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0.25490197539329529</c:v>
                </c:pt>
                <c:pt idx="27">
                  <c:v>0.28235295414924622</c:v>
                </c:pt>
                <c:pt idx="28">
                  <c:v>0.29803922772407532</c:v>
                </c:pt>
                <c:pt idx="29">
                  <c:v>0.31372550129890442</c:v>
                </c:pt>
                <c:pt idx="30">
                  <c:v>0.33725491166114807</c:v>
                </c:pt>
                <c:pt idx="31">
                  <c:v>0.35294118523597717</c:v>
                </c:pt>
                <c:pt idx="32">
                  <c:v>0.37254902720451355</c:v>
                </c:pt>
                <c:pt idx="33">
                  <c:v>0.39215686917304993</c:v>
                </c:pt>
                <c:pt idx="34">
                  <c:v>0.4117647111415863</c:v>
                </c:pt>
                <c:pt idx="35">
                  <c:v>0.43921568989753723</c:v>
                </c:pt>
                <c:pt idx="36">
                  <c:v>0.45490196347236633</c:v>
                </c:pt>
                <c:pt idx="37">
                  <c:v>0.47843137383460999</c:v>
                </c:pt>
                <c:pt idx="38">
                  <c:v>0.50196081399917603</c:v>
                </c:pt>
                <c:pt idx="39">
                  <c:v>0.52549022436141968</c:v>
                </c:pt>
                <c:pt idx="40">
                  <c:v>0.54509806632995605</c:v>
                </c:pt>
                <c:pt idx="41">
                  <c:v>0.57254904508590698</c:v>
                </c:pt>
                <c:pt idx="42">
                  <c:v>0.59215688705444336</c:v>
                </c:pt>
                <c:pt idx="43">
                  <c:v>0.61960786581039429</c:v>
                </c:pt>
                <c:pt idx="44">
                  <c:v>0.64313727617263794</c:v>
                </c:pt>
                <c:pt idx="45">
                  <c:v>0.67058825492858887</c:v>
                </c:pt>
                <c:pt idx="46">
                  <c:v>0.69803923368453979</c:v>
                </c:pt>
                <c:pt idx="47">
                  <c:v>0.71764707565307617</c:v>
                </c:pt>
                <c:pt idx="48">
                  <c:v>0.7450980544090271</c:v>
                </c:pt>
                <c:pt idx="49">
                  <c:v>0.7764706015586853</c:v>
                </c:pt>
                <c:pt idx="50">
                  <c:v>0.80000001192092896</c:v>
                </c:pt>
                <c:pt idx="51">
                  <c:v>0.82745099067687988</c:v>
                </c:pt>
                <c:pt idx="52">
                  <c:v>0.85490196943283081</c:v>
                </c:pt>
                <c:pt idx="53">
                  <c:v>0.88627451658248901</c:v>
                </c:pt>
                <c:pt idx="54">
                  <c:v>0.90980392694473267</c:v>
                </c:pt>
                <c:pt idx="55">
                  <c:v>0.93725490570068359</c:v>
                </c:pt>
                <c:pt idx="56">
                  <c:v>0.96470588445663452</c:v>
                </c:pt>
                <c:pt idx="57">
                  <c:v>0.99215686321258545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data0!$Q$2:$Q$102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3.9215688593685627E-3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0.11372549086809158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0.15294118225574493</c:v>
                </c:pt>
                <c:pt idx="20">
                  <c:v>0.16470588743686676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0.25882354378700256</c:v>
                </c:pt>
                <c:pt idx="27">
                  <c:v>0.27843138575553894</c:v>
                </c:pt>
                <c:pt idx="28">
                  <c:v>0.29803922772407532</c:v>
                </c:pt>
                <c:pt idx="29">
                  <c:v>0.31372550129890442</c:v>
                </c:pt>
                <c:pt idx="30">
                  <c:v>0.33725491166114807</c:v>
                </c:pt>
                <c:pt idx="31">
                  <c:v>0.35294118523597717</c:v>
                </c:pt>
                <c:pt idx="32">
                  <c:v>0.37647059559822083</c:v>
                </c:pt>
                <c:pt idx="33">
                  <c:v>0.3960784375667572</c:v>
                </c:pt>
                <c:pt idx="34">
                  <c:v>0.41568627953529358</c:v>
                </c:pt>
                <c:pt idx="35">
                  <c:v>0.43921568989753723</c:v>
                </c:pt>
                <c:pt idx="36">
                  <c:v>0.45882353186607361</c:v>
                </c:pt>
                <c:pt idx="37">
                  <c:v>0.48235294222831726</c:v>
                </c:pt>
                <c:pt idx="38">
                  <c:v>0.50196081399917603</c:v>
                </c:pt>
                <c:pt idx="39">
                  <c:v>0.52549022436141968</c:v>
                </c:pt>
                <c:pt idx="40">
                  <c:v>0.54901963472366333</c:v>
                </c:pt>
                <c:pt idx="41">
                  <c:v>0.58039218187332153</c:v>
                </c:pt>
                <c:pt idx="42">
                  <c:v>0.60000002384185791</c:v>
                </c:pt>
                <c:pt idx="43">
                  <c:v>0.62745100259780884</c:v>
                </c:pt>
                <c:pt idx="44">
                  <c:v>0.65098041296005249</c:v>
                </c:pt>
                <c:pt idx="45">
                  <c:v>0.67450982332229614</c:v>
                </c:pt>
                <c:pt idx="46">
                  <c:v>0.69803923368453979</c:v>
                </c:pt>
                <c:pt idx="47">
                  <c:v>0.729411780834198</c:v>
                </c:pt>
                <c:pt idx="48">
                  <c:v>0.75294119119644165</c:v>
                </c:pt>
                <c:pt idx="49">
                  <c:v>0.78039216995239258</c:v>
                </c:pt>
                <c:pt idx="50">
                  <c:v>0.80784314870834351</c:v>
                </c:pt>
                <c:pt idx="51">
                  <c:v>0.83529412746429443</c:v>
                </c:pt>
                <c:pt idx="52">
                  <c:v>0.86274510622024536</c:v>
                </c:pt>
                <c:pt idx="53">
                  <c:v>0.89019608497619629</c:v>
                </c:pt>
                <c:pt idx="54">
                  <c:v>0.91764706373214722</c:v>
                </c:pt>
                <c:pt idx="55">
                  <c:v>0.94901961088180542</c:v>
                </c:pt>
                <c:pt idx="56">
                  <c:v>0.97254902124404907</c:v>
                </c:pt>
                <c:pt idx="57">
                  <c:v>0.99215686321258545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8041728"/>
        <c:axId val="218051712"/>
      </c:scatterChart>
      <c:valAx>
        <c:axId val="218041728"/>
        <c:scaling>
          <c:orientation val="minMax"/>
          <c:max val="2.0000000000000015E-4"/>
        </c:scaling>
        <c:axPos val="b"/>
        <c:numFmt formatCode="0.00E+00" sourceLinked="1"/>
        <c:tickLblPos val="nextTo"/>
        <c:crossAx val="218051712"/>
        <c:crosses val="autoZero"/>
        <c:crossBetween val="midCat"/>
      </c:valAx>
      <c:valAx>
        <c:axId val="218051712"/>
        <c:scaling>
          <c:orientation val="minMax"/>
        </c:scaling>
        <c:axPos val="l"/>
        <c:majorGridlines/>
        <c:numFmt formatCode="0.000" sourceLinked="1"/>
        <c:tickLblPos val="nextTo"/>
        <c:crossAx val="2180417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data0!$R$2:$R$102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7.0588238537311554E-2</c:v>
                </c:pt>
                <c:pt idx="13">
                  <c:v>8.235294371843338E-2</c:v>
                </c:pt>
                <c:pt idx="14">
                  <c:v>9.0196080505847931E-2</c:v>
                </c:pt>
                <c:pt idx="15">
                  <c:v>0.10588235408067703</c:v>
                </c:pt>
                <c:pt idx="16">
                  <c:v>0.11764705926179886</c:v>
                </c:pt>
                <c:pt idx="17">
                  <c:v>0.12941177189350128</c:v>
                </c:pt>
                <c:pt idx="18">
                  <c:v>0.14509804546833038</c:v>
                </c:pt>
                <c:pt idx="19">
                  <c:v>0.16078431904315948</c:v>
                </c:pt>
                <c:pt idx="20">
                  <c:v>0.17254902422428131</c:v>
                </c:pt>
                <c:pt idx="21">
                  <c:v>0.18823529779911041</c:v>
                </c:pt>
                <c:pt idx="22">
                  <c:v>0.20392157137393951</c:v>
                </c:pt>
                <c:pt idx="23">
                  <c:v>0.21960784494876862</c:v>
                </c:pt>
                <c:pt idx="24">
                  <c:v>0.23529411852359772</c:v>
                </c:pt>
                <c:pt idx="25">
                  <c:v>0.25490197539329529</c:v>
                </c:pt>
                <c:pt idx="26">
                  <c:v>0.27450981736183167</c:v>
                </c:pt>
                <c:pt idx="27">
                  <c:v>0.29019609093666077</c:v>
                </c:pt>
                <c:pt idx="28">
                  <c:v>0.30980393290519714</c:v>
                </c:pt>
                <c:pt idx="29">
                  <c:v>0.32941177487373352</c:v>
                </c:pt>
                <c:pt idx="30">
                  <c:v>0.34509804844856262</c:v>
                </c:pt>
                <c:pt idx="31">
                  <c:v>0.36862745881080627</c:v>
                </c:pt>
                <c:pt idx="32">
                  <c:v>0.38431373238563538</c:v>
                </c:pt>
                <c:pt idx="33">
                  <c:v>0.40784314274787903</c:v>
                </c:pt>
                <c:pt idx="34">
                  <c:v>0.43137255311012268</c:v>
                </c:pt>
                <c:pt idx="35">
                  <c:v>0.45490196347236633</c:v>
                </c:pt>
                <c:pt idx="36">
                  <c:v>0.47843137383460999</c:v>
                </c:pt>
                <c:pt idx="37">
                  <c:v>0.50196081399917603</c:v>
                </c:pt>
                <c:pt idx="38">
                  <c:v>0.5215686559677124</c:v>
                </c:pt>
                <c:pt idx="39">
                  <c:v>0.54509806632995605</c:v>
                </c:pt>
                <c:pt idx="40">
                  <c:v>0.56862747669219971</c:v>
                </c:pt>
                <c:pt idx="41">
                  <c:v>0.59215688705444336</c:v>
                </c:pt>
                <c:pt idx="42">
                  <c:v>0.61568629741668701</c:v>
                </c:pt>
                <c:pt idx="43">
                  <c:v>0.63921570777893066</c:v>
                </c:pt>
                <c:pt idx="44">
                  <c:v>0.67058825492858887</c:v>
                </c:pt>
                <c:pt idx="45">
                  <c:v>0.69411766529083252</c:v>
                </c:pt>
                <c:pt idx="46">
                  <c:v>0.72156864404678345</c:v>
                </c:pt>
                <c:pt idx="47">
                  <c:v>0.74901962280273438</c:v>
                </c:pt>
                <c:pt idx="48">
                  <c:v>0.77254903316497803</c:v>
                </c:pt>
                <c:pt idx="49">
                  <c:v>0.80000001192092896</c:v>
                </c:pt>
                <c:pt idx="50">
                  <c:v>0.83137255907058716</c:v>
                </c:pt>
                <c:pt idx="51">
                  <c:v>0.85882353782653809</c:v>
                </c:pt>
                <c:pt idx="52">
                  <c:v>0.88627451658248901</c:v>
                </c:pt>
                <c:pt idx="53">
                  <c:v>0.91372549533843994</c:v>
                </c:pt>
                <c:pt idx="54">
                  <c:v>0.94117647409439087</c:v>
                </c:pt>
                <c:pt idx="55">
                  <c:v>0.97254902124404907</c:v>
                </c:pt>
                <c:pt idx="56">
                  <c:v>0.999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data0!$S$2:$S$102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7.8431377187371254E-3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1.5686275437474251E-2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6.2745101749897003E-2</c:v>
                </c:pt>
                <c:pt idx="12">
                  <c:v>7.4509806931018829E-2</c:v>
                </c:pt>
                <c:pt idx="13">
                  <c:v>8.235294371843338E-2</c:v>
                </c:pt>
                <c:pt idx="14">
                  <c:v>9.4117648899555206E-2</c:v>
                </c:pt>
                <c:pt idx="15">
                  <c:v>0.10196078568696976</c:v>
                </c:pt>
                <c:pt idx="16">
                  <c:v>0.12156862765550613</c:v>
                </c:pt>
                <c:pt idx="17">
                  <c:v>0.13333334028720856</c:v>
                </c:pt>
                <c:pt idx="18">
                  <c:v>0.14117647707462311</c:v>
                </c:pt>
                <c:pt idx="19">
                  <c:v>0.15686275064945221</c:v>
                </c:pt>
                <c:pt idx="20">
                  <c:v>0.17254902422428131</c:v>
                </c:pt>
                <c:pt idx="21">
                  <c:v>0.18823529779911041</c:v>
                </c:pt>
                <c:pt idx="22">
                  <c:v>0.20392157137393951</c:v>
                </c:pt>
                <c:pt idx="23">
                  <c:v>0.21568627655506134</c:v>
                </c:pt>
                <c:pt idx="24">
                  <c:v>0.23529411852359772</c:v>
                </c:pt>
                <c:pt idx="25">
                  <c:v>0.25098040699958801</c:v>
                </c:pt>
                <c:pt idx="26">
                  <c:v>0.27058824896812439</c:v>
                </c:pt>
                <c:pt idx="27">
                  <c:v>0.28627452254295349</c:v>
                </c:pt>
                <c:pt idx="28">
                  <c:v>0.30588236451148987</c:v>
                </c:pt>
                <c:pt idx="29">
                  <c:v>0.32156863808631897</c:v>
                </c:pt>
                <c:pt idx="30">
                  <c:v>0.34509804844856262</c:v>
                </c:pt>
                <c:pt idx="31">
                  <c:v>0.36078432202339172</c:v>
                </c:pt>
                <c:pt idx="32">
                  <c:v>0.38431373238563538</c:v>
                </c:pt>
                <c:pt idx="33">
                  <c:v>0.40000000596046448</c:v>
                </c:pt>
                <c:pt idx="34">
                  <c:v>0.42352941632270813</c:v>
                </c:pt>
                <c:pt idx="35">
                  <c:v>0.44705882668495178</c:v>
                </c:pt>
                <c:pt idx="36">
                  <c:v>0.47058823704719543</c:v>
                </c:pt>
                <c:pt idx="37">
                  <c:v>0.48627451062202454</c:v>
                </c:pt>
                <c:pt idx="38">
                  <c:v>0.5058823823928833</c:v>
                </c:pt>
                <c:pt idx="39">
                  <c:v>0.52941179275512695</c:v>
                </c:pt>
                <c:pt idx="40">
                  <c:v>0.55686277151107788</c:v>
                </c:pt>
                <c:pt idx="41">
                  <c:v>0.58039218187332153</c:v>
                </c:pt>
                <c:pt idx="42">
                  <c:v>0.60392159223556519</c:v>
                </c:pt>
                <c:pt idx="43">
                  <c:v>0.63137257099151611</c:v>
                </c:pt>
                <c:pt idx="44">
                  <c:v>0.65490198135375977</c:v>
                </c:pt>
                <c:pt idx="45">
                  <c:v>0.67843139171600342</c:v>
                </c:pt>
                <c:pt idx="46">
                  <c:v>0.70588237047195435</c:v>
                </c:pt>
                <c:pt idx="47">
                  <c:v>0.73333334922790527</c:v>
                </c:pt>
                <c:pt idx="48">
                  <c:v>0.7607843279838562</c:v>
                </c:pt>
                <c:pt idx="49">
                  <c:v>0.78823530673980713</c:v>
                </c:pt>
                <c:pt idx="50">
                  <c:v>0.81568628549575806</c:v>
                </c:pt>
                <c:pt idx="51">
                  <c:v>0.83921569585800171</c:v>
                </c:pt>
                <c:pt idx="52">
                  <c:v>0.86666667461395264</c:v>
                </c:pt>
                <c:pt idx="53">
                  <c:v>0.89411765336990356</c:v>
                </c:pt>
                <c:pt idx="54">
                  <c:v>0.92549020051956177</c:v>
                </c:pt>
                <c:pt idx="55">
                  <c:v>0.9529411792755127</c:v>
                </c:pt>
                <c:pt idx="56">
                  <c:v>0.98039215803146362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data0!$T$2:$T$102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3.9215688593685627E-3</c:v>
                </c:pt>
                <c:pt idx="6">
                  <c:v>1.1764706112444401E-2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5.0980392843484879E-2</c:v>
                </c:pt>
                <c:pt idx="12">
                  <c:v>5.8823529630899429E-2</c:v>
                </c:pt>
                <c:pt idx="13">
                  <c:v>7.0588238537311554E-2</c:v>
                </c:pt>
                <c:pt idx="14">
                  <c:v>8.235294371843338E-2</c:v>
                </c:pt>
                <c:pt idx="15">
                  <c:v>9.0196080505847931E-2</c:v>
                </c:pt>
                <c:pt idx="16">
                  <c:v>0.10588235408067703</c:v>
                </c:pt>
                <c:pt idx="17">
                  <c:v>0.11372549086809158</c:v>
                </c:pt>
                <c:pt idx="18">
                  <c:v>0.13333334028720856</c:v>
                </c:pt>
                <c:pt idx="19">
                  <c:v>0.14117647707462311</c:v>
                </c:pt>
                <c:pt idx="20">
                  <c:v>0.15686275064945221</c:v>
                </c:pt>
                <c:pt idx="21">
                  <c:v>0.16862745583057404</c:v>
                </c:pt>
                <c:pt idx="22">
                  <c:v>0.18431372940540314</c:v>
                </c:pt>
                <c:pt idx="23">
                  <c:v>0.20000000298023224</c:v>
                </c:pt>
                <c:pt idx="24">
                  <c:v>0.21568627655506134</c:v>
                </c:pt>
                <c:pt idx="25">
                  <c:v>0.23137255012989044</c:v>
                </c:pt>
                <c:pt idx="26">
                  <c:v>0.25098040699958801</c:v>
                </c:pt>
                <c:pt idx="27">
                  <c:v>0.26666668057441711</c:v>
                </c:pt>
                <c:pt idx="28">
                  <c:v>0.28627452254295349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0.34509804844856262</c:v>
                </c:pt>
                <c:pt idx="32">
                  <c:v>0.36078432202339172</c:v>
                </c:pt>
                <c:pt idx="33">
                  <c:v>0.37647059559822083</c:v>
                </c:pt>
                <c:pt idx="34">
                  <c:v>0.40784314274787903</c:v>
                </c:pt>
                <c:pt idx="35">
                  <c:v>0.42352941632270813</c:v>
                </c:pt>
                <c:pt idx="36">
                  <c:v>0.43921568989753723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0.53333336114883423</c:v>
                </c:pt>
                <c:pt idx="41">
                  <c:v>0.55686277151107788</c:v>
                </c:pt>
                <c:pt idx="42">
                  <c:v>0.58039218187332153</c:v>
                </c:pt>
                <c:pt idx="43">
                  <c:v>0.60392159223556519</c:v>
                </c:pt>
                <c:pt idx="44">
                  <c:v>0.62745100259780884</c:v>
                </c:pt>
                <c:pt idx="45">
                  <c:v>0.65098041296005249</c:v>
                </c:pt>
                <c:pt idx="46">
                  <c:v>0.67843139171600342</c:v>
                </c:pt>
                <c:pt idx="47">
                  <c:v>0.70196080207824707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0.78039216995239258</c:v>
                </c:pt>
                <c:pt idx="51">
                  <c:v>0.80784314870834351</c:v>
                </c:pt>
                <c:pt idx="52">
                  <c:v>0.83137255907058716</c:v>
                </c:pt>
                <c:pt idx="53">
                  <c:v>0.86274510622024536</c:v>
                </c:pt>
                <c:pt idx="54">
                  <c:v>0.88627451658248901</c:v>
                </c:pt>
                <c:pt idx="55">
                  <c:v>0.91372549533843994</c:v>
                </c:pt>
                <c:pt idx="56">
                  <c:v>0.94117647409439087</c:v>
                </c:pt>
                <c:pt idx="57">
                  <c:v>0.9686274528503418</c:v>
                </c:pt>
                <c:pt idx="58">
                  <c:v>0.98823529481887817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data0!$U$2:$U$102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3.9215688593685627E-3</c:v>
                </c:pt>
                <c:pt idx="5">
                  <c:v>7.8431377187371254E-3</c:v>
                </c:pt>
                <c:pt idx="6">
                  <c:v>1.5686275437474251E-2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3.1372550874948502E-2</c:v>
                </c:pt>
                <c:pt idx="10">
                  <c:v>4.3137256056070328E-2</c:v>
                </c:pt>
                <c:pt idx="11">
                  <c:v>5.0980392843484879E-2</c:v>
                </c:pt>
                <c:pt idx="12">
                  <c:v>6.2745101749897003E-2</c:v>
                </c:pt>
                <c:pt idx="13">
                  <c:v>7.0588238537311554E-2</c:v>
                </c:pt>
                <c:pt idx="14">
                  <c:v>8.235294371843338E-2</c:v>
                </c:pt>
                <c:pt idx="15">
                  <c:v>9.0196080505847931E-2</c:v>
                </c:pt>
                <c:pt idx="16">
                  <c:v>0.10588235408067703</c:v>
                </c:pt>
                <c:pt idx="17">
                  <c:v>0.11764705926179886</c:v>
                </c:pt>
                <c:pt idx="18">
                  <c:v>0.12941177189350128</c:v>
                </c:pt>
                <c:pt idx="19">
                  <c:v>0.14509804546833038</c:v>
                </c:pt>
                <c:pt idx="20">
                  <c:v>0.16078431904315948</c:v>
                </c:pt>
                <c:pt idx="21">
                  <c:v>0.17254902422428131</c:v>
                </c:pt>
                <c:pt idx="22">
                  <c:v>0.18823529779911041</c:v>
                </c:pt>
                <c:pt idx="23">
                  <c:v>0.20784313976764679</c:v>
                </c:pt>
                <c:pt idx="24">
                  <c:v>0.21960784494876862</c:v>
                </c:pt>
                <c:pt idx="25">
                  <c:v>0.23529411852359772</c:v>
                </c:pt>
                <c:pt idx="26">
                  <c:v>0.25098040699958801</c:v>
                </c:pt>
                <c:pt idx="27">
                  <c:v>0.27058824896812439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0.32941177487373352</c:v>
                </c:pt>
                <c:pt idx="31">
                  <c:v>0.34509804844856262</c:v>
                </c:pt>
                <c:pt idx="32">
                  <c:v>0.364705890417099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0.42745098471641541</c:v>
                </c:pt>
                <c:pt idx="36">
                  <c:v>0.44705882668495178</c:v>
                </c:pt>
                <c:pt idx="37">
                  <c:v>0.47058823704719543</c:v>
                </c:pt>
                <c:pt idx="38">
                  <c:v>0.49411764740943909</c:v>
                </c:pt>
                <c:pt idx="39">
                  <c:v>0.51372551918029785</c:v>
                </c:pt>
                <c:pt idx="40">
                  <c:v>0.5372549295425415</c:v>
                </c:pt>
                <c:pt idx="41">
                  <c:v>0.56470590829849243</c:v>
                </c:pt>
                <c:pt idx="42">
                  <c:v>0.58823531866073608</c:v>
                </c:pt>
                <c:pt idx="43">
                  <c:v>0.61176472902297974</c:v>
                </c:pt>
                <c:pt idx="44">
                  <c:v>0.63529413938522339</c:v>
                </c:pt>
                <c:pt idx="45">
                  <c:v>0.65882354974746704</c:v>
                </c:pt>
                <c:pt idx="46">
                  <c:v>0.68627452850341797</c:v>
                </c:pt>
                <c:pt idx="47">
                  <c:v>0.7137255072593689</c:v>
                </c:pt>
                <c:pt idx="48">
                  <c:v>0.73725491762161255</c:v>
                </c:pt>
                <c:pt idx="49">
                  <c:v>0.76470589637756348</c:v>
                </c:pt>
                <c:pt idx="50">
                  <c:v>0.78823530673980713</c:v>
                </c:pt>
                <c:pt idx="51">
                  <c:v>0.81568628549575806</c:v>
                </c:pt>
                <c:pt idx="52">
                  <c:v>0.84705883264541626</c:v>
                </c:pt>
                <c:pt idx="53">
                  <c:v>0.87450981140136719</c:v>
                </c:pt>
                <c:pt idx="54">
                  <c:v>0.89803922176361084</c:v>
                </c:pt>
                <c:pt idx="55">
                  <c:v>0.92549020051956177</c:v>
                </c:pt>
                <c:pt idx="56">
                  <c:v>0.94901961088180542</c:v>
                </c:pt>
                <c:pt idx="57">
                  <c:v>0.96470588445663452</c:v>
                </c:pt>
                <c:pt idx="58">
                  <c:v>0.98039215803146362</c:v>
                </c:pt>
                <c:pt idx="59">
                  <c:v>0.9843137264251709</c:v>
                </c:pt>
                <c:pt idx="60">
                  <c:v>0.98823529481887817</c:v>
                </c:pt>
                <c:pt idx="61">
                  <c:v>0.98823529481887817</c:v>
                </c:pt>
                <c:pt idx="62">
                  <c:v>0.98823529481887817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data0!$V$2:$V$102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7.4509806931018829E-2</c:v>
                </c:pt>
                <c:pt idx="13">
                  <c:v>8.235294371843338E-2</c:v>
                </c:pt>
                <c:pt idx="14">
                  <c:v>9.4117648899555206E-2</c:v>
                </c:pt>
                <c:pt idx="15">
                  <c:v>0.10588235408067703</c:v>
                </c:pt>
                <c:pt idx="16">
                  <c:v>0.11764705926179886</c:v>
                </c:pt>
                <c:pt idx="17">
                  <c:v>0.13333334028720856</c:v>
                </c:pt>
                <c:pt idx="18">
                  <c:v>0.14509804546833038</c:v>
                </c:pt>
                <c:pt idx="19">
                  <c:v>0.16078431904315948</c:v>
                </c:pt>
                <c:pt idx="20">
                  <c:v>0.17647059261798859</c:v>
                </c:pt>
                <c:pt idx="21">
                  <c:v>0.19215686619281769</c:v>
                </c:pt>
                <c:pt idx="22">
                  <c:v>0.20784313976764679</c:v>
                </c:pt>
                <c:pt idx="23">
                  <c:v>0.22352941334247589</c:v>
                </c:pt>
                <c:pt idx="24">
                  <c:v>0.23921568691730499</c:v>
                </c:pt>
                <c:pt idx="25">
                  <c:v>0.25882354378700256</c:v>
                </c:pt>
                <c:pt idx="26">
                  <c:v>0.27450981736183167</c:v>
                </c:pt>
                <c:pt idx="27">
                  <c:v>0.29411765933036804</c:v>
                </c:pt>
                <c:pt idx="28">
                  <c:v>0.31372550129890442</c:v>
                </c:pt>
                <c:pt idx="29">
                  <c:v>0.32941177487373352</c:v>
                </c:pt>
                <c:pt idx="30">
                  <c:v>0.35294118523597717</c:v>
                </c:pt>
                <c:pt idx="31">
                  <c:v>0.36862745881080627</c:v>
                </c:pt>
                <c:pt idx="32">
                  <c:v>0.39215686917304993</c:v>
                </c:pt>
                <c:pt idx="33">
                  <c:v>0.41568627953529358</c:v>
                </c:pt>
                <c:pt idx="34">
                  <c:v>0.43529412150382996</c:v>
                </c:pt>
                <c:pt idx="35">
                  <c:v>0.45490196347236633</c:v>
                </c:pt>
                <c:pt idx="36">
                  <c:v>0.47843137383460999</c:v>
                </c:pt>
                <c:pt idx="37">
                  <c:v>0.50196081399917603</c:v>
                </c:pt>
                <c:pt idx="38">
                  <c:v>0.52549022436141968</c:v>
                </c:pt>
                <c:pt idx="39">
                  <c:v>0.54901963472366333</c:v>
                </c:pt>
                <c:pt idx="40">
                  <c:v>0.57254904508590698</c:v>
                </c:pt>
                <c:pt idx="41">
                  <c:v>0.59607845544815063</c:v>
                </c:pt>
                <c:pt idx="42">
                  <c:v>0.61960786581039429</c:v>
                </c:pt>
                <c:pt idx="43">
                  <c:v>0.65098041296005249</c:v>
                </c:pt>
                <c:pt idx="44">
                  <c:v>0.67450982332229614</c:v>
                </c:pt>
                <c:pt idx="45">
                  <c:v>0.69803923368453979</c:v>
                </c:pt>
                <c:pt idx="46">
                  <c:v>0.72549021244049072</c:v>
                </c:pt>
                <c:pt idx="47">
                  <c:v>0.75294119119644165</c:v>
                </c:pt>
                <c:pt idx="48">
                  <c:v>0.78039216995239258</c:v>
                </c:pt>
                <c:pt idx="49">
                  <c:v>0.80784314870834351</c:v>
                </c:pt>
                <c:pt idx="50">
                  <c:v>0.83529412746429443</c:v>
                </c:pt>
                <c:pt idx="51">
                  <c:v>0.86274510622024536</c:v>
                </c:pt>
                <c:pt idx="52">
                  <c:v>0.89411765336990356</c:v>
                </c:pt>
                <c:pt idx="53">
                  <c:v>0.92156863212585449</c:v>
                </c:pt>
                <c:pt idx="54">
                  <c:v>0.9529411792755127</c:v>
                </c:pt>
                <c:pt idx="55">
                  <c:v>0.98039215803146362</c:v>
                </c:pt>
                <c:pt idx="56">
                  <c:v>0.999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data0!$W$2:$W$102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7.8431375324726105E-2</c:v>
                </c:pt>
                <c:pt idx="14">
                  <c:v>9.0196080505847931E-2</c:v>
                </c:pt>
                <c:pt idx="15">
                  <c:v>0.10196078568696976</c:v>
                </c:pt>
                <c:pt idx="16">
                  <c:v>0.11372549086809158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0.18431372940540314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0.26274511218070984</c:v>
                </c:pt>
                <c:pt idx="27">
                  <c:v>0.28235295414924622</c:v>
                </c:pt>
                <c:pt idx="28">
                  <c:v>0.29803922772407532</c:v>
                </c:pt>
                <c:pt idx="29">
                  <c:v>0.31372550129890442</c:v>
                </c:pt>
                <c:pt idx="30">
                  <c:v>0.33725491166114807</c:v>
                </c:pt>
                <c:pt idx="31">
                  <c:v>0.35686275362968445</c:v>
                </c:pt>
                <c:pt idx="32">
                  <c:v>0.37647059559822083</c:v>
                </c:pt>
                <c:pt idx="33">
                  <c:v>0.39215686917304993</c:v>
                </c:pt>
                <c:pt idx="34">
                  <c:v>0.41568627953529358</c:v>
                </c:pt>
                <c:pt idx="35">
                  <c:v>0.43921568989753723</c:v>
                </c:pt>
                <c:pt idx="36">
                  <c:v>0.45882353186607361</c:v>
                </c:pt>
                <c:pt idx="37">
                  <c:v>0.48235294222831726</c:v>
                </c:pt>
                <c:pt idx="38">
                  <c:v>0.50196081399917603</c:v>
                </c:pt>
                <c:pt idx="39">
                  <c:v>0.52549022436141968</c:v>
                </c:pt>
                <c:pt idx="40">
                  <c:v>0.54901963472366333</c:v>
                </c:pt>
                <c:pt idx="41">
                  <c:v>0.57254904508590698</c:v>
                </c:pt>
                <c:pt idx="42">
                  <c:v>0.59607845544815063</c:v>
                </c:pt>
                <c:pt idx="43">
                  <c:v>0.62352943420410156</c:v>
                </c:pt>
                <c:pt idx="44">
                  <c:v>0.64705884456634521</c:v>
                </c:pt>
                <c:pt idx="45">
                  <c:v>0.67058825492858887</c:v>
                </c:pt>
                <c:pt idx="46">
                  <c:v>0.69803923368453979</c:v>
                </c:pt>
                <c:pt idx="47">
                  <c:v>0.72156864404678345</c:v>
                </c:pt>
                <c:pt idx="48">
                  <c:v>0.74901962280273438</c:v>
                </c:pt>
                <c:pt idx="49">
                  <c:v>0.7764706015586853</c:v>
                </c:pt>
                <c:pt idx="50">
                  <c:v>0.80392158031463623</c:v>
                </c:pt>
                <c:pt idx="51">
                  <c:v>0.82745099067687988</c:v>
                </c:pt>
                <c:pt idx="52">
                  <c:v>0.85490196943283081</c:v>
                </c:pt>
                <c:pt idx="53">
                  <c:v>0.88235294818878174</c:v>
                </c:pt>
                <c:pt idx="54">
                  <c:v>0.90980392694473267</c:v>
                </c:pt>
                <c:pt idx="55">
                  <c:v>0.94117647409439087</c:v>
                </c:pt>
                <c:pt idx="56">
                  <c:v>0.9686274528503418</c:v>
                </c:pt>
                <c:pt idx="57">
                  <c:v>0.99607843160629272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data0!$X$2:$X$102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3.9215688593685627E-3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1.9607843831181526E-2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5.4901961237192154E-2</c:v>
                </c:pt>
                <c:pt idx="12">
                  <c:v>6.6666670143604279E-2</c:v>
                </c:pt>
                <c:pt idx="13">
                  <c:v>7.8431375324726105E-2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0.11372549086809158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0.26274511218070984</c:v>
                </c:pt>
                <c:pt idx="27">
                  <c:v>0.27843138575553894</c:v>
                </c:pt>
                <c:pt idx="28">
                  <c:v>0.29803922772407532</c:v>
                </c:pt>
                <c:pt idx="29">
                  <c:v>0.32156863808631897</c:v>
                </c:pt>
                <c:pt idx="30">
                  <c:v>0.33725491166114807</c:v>
                </c:pt>
                <c:pt idx="31">
                  <c:v>0.35294118523597717</c:v>
                </c:pt>
                <c:pt idx="32">
                  <c:v>0.37647059559822083</c:v>
                </c:pt>
                <c:pt idx="33">
                  <c:v>0.40000000596046448</c:v>
                </c:pt>
                <c:pt idx="34">
                  <c:v>0.42352941632270813</c:v>
                </c:pt>
                <c:pt idx="35">
                  <c:v>0.43921568989753723</c:v>
                </c:pt>
                <c:pt idx="36">
                  <c:v>0.46274510025978088</c:v>
                </c:pt>
                <c:pt idx="37">
                  <c:v>0.48235294222831726</c:v>
                </c:pt>
                <c:pt idx="38">
                  <c:v>0.50980395078659058</c:v>
                </c:pt>
                <c:pt idx="39">
                  <c:v>0.53333336114883423</c:v>
                </c:pt>
                <c:pt idx="40">
                  <c:v>0.55294120311737061</c:v>
                </c:pt>
                <c:pt idx="41">
                  <c:v>0.58039218187332153</c:v>
                </c:pt>
                <c:pt idx="42">
                  <c:v>0.60000002384185791</c:v>
                </c:pt>
                <c:pt idx="43">
                  <c:v>0.62745100259780884</c:v>
                </c:pt>
                <c:pt idx="44">
                  <c:v>0.65490198135375977</c:v>
                </c:pt>
                <c:pt idx="45">
                  <c:v>0.67843139171600342</c:v>
                </c:pt>
                <c:pt idx="46">
                  <c:v>0.70196080207824707</c:v>
                </c:pt>
                <c:pt idx="47">
                  <c:v>0.729411780834198</c:v>
                </c:pt>
                <c:pt idx="48">
                  <c:v>0.75294119119644165</c:v>
                </c:pt>
                <c:pt idx="49">
                  <c:v>0.78431373834609985</c:v>
                </c:pt>
                <c:pt idx="50">
                  <c:v>0.80784314870834351</c:v>
                </c:pt>
                <c:pt idx="51">
                  <c:v>0.83921569585800171</c:v>
                </c:pt>
                <c:pt idx="52">
                  <c:v>0.86274510622024536</c:v>
                </c:pt>
                <c:pt idx="53">
                  <c:v>0.89411765336990356</c:v>
                </c:pt>
                <c:pt idx="54">
                  <c:v>0.92156863212585449</c:v>
                </c:pt>
                <c:pt idx="55">
                  <c:v>0.94901961088180542</c:v>
                </c:pt>
                <c:pt idx="56">
                  <c:v>0.98039215803146362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data0!$Y$2:$Y$102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6.2745101749897003E-2</c:v>
                </c:pt>
                <c:pt idx="12">
                  <c:v>7.4509806931018829E-2</c:v>
                </c:pt>
                <c:pt idx="13">
                  <c:v>8.235294371843338E-2</c:v>
                </c:pt>
                <c:pt idx="14">
                  <c:v>9.8039217293262482E-2</c:v>
                </c:pt>
                <c:pt idx="15">
                  <c:v>0.10980392247438431</c:v>
                </c:pt>
                <c:pt idx="16">
                  <c:v>0.12156862765550613</c:v>
                </c:pt>
                <c:pt idx="17">
                  <c:v>0.13725490868091583</c:v>
                </c:pt>
                <c:pt idx="18">
                  <c:v>0.14901961386203766</c:v>
                </c:pt>
                <c:pt idx="19">
                  <c:v>0.16470588743686676</c:v>
                </c:pt>
                <c:pt idx="20">
                  <c:v>0.18039216101169586</c:v>
                </c:pt>
                <c:pt idx="21">
                  <c:v>0.19607843458652496</c:v>
                </c:pt>
                <c:pt idx="22">
                  <c:v>0.21176470816135406</c:v>
                </c:pt>
                <c:pt idx="23">
                  <c:v>0.22745098173618317</c:v>
                </c:pt>
                <c:pt idx="24">
                  <c:v>0.24313725531101227</c:v>
                </c:pt>
                <c:pt idx="25">
                  <c:v>0.26666668057441711</c:v>
                </c:pt>
                <c:pt idx="26">
                  <c:v>0.28235295414924622</c:v>
                </c:pt>
                <c:pt idx="27">
                  <c:v>0.29803922772407532</c:v>
                </c:pt>
                <c:pt idx="28">
                  <c:v>0.31764706969261169</c:v>
                </c:pt>
                <c:pt idx="29">
                  <c:v>0.33725491166114807</c:v>
                </c:pt>
                <c:pt idx="30">
                  <c:v>0.36078432202339172</c:v>
                </c:pt>
                <c:pt idx="31">
                  <c:v>0.37647059559822083</c:v>
                </c:pt>
                <c:pt idx="32">
                  <c:v>0.40000000596046448</c:v>
                </c:pt>
                <c:pt idx="33">
                  <c:v>0.42352941632270813</c:v>
                </c:pt>
                <c:pt idx="34">
                  <c:v>0.43921568989753723</c:v>
                </c:pt>
                <c:pt idx="35">
                  <c:v>0.46274510025978088</c:v>
                </c:pt>
                <c:pt idx="36">
                  <c:v>0.48627451062202454</c:v>
                </c:pt>
                <c:pt idx="37">
                  <c:v>0.50980395078659058</c:v>
                </c:pt>
                <c:pt idx="38">
                  <c:v>0.53333336114883423</c:v>
                </c:pt>
                <c:pt idx="39">
                  <c:v>0.55686277151107788</c:v>
                </c:pt>
                <c:pt idx="40">
                  <c:v>0.58039218187332153</c:v>
                </c:pt>
                <c:pt idx="41">
                  <c:v>0.60784316062927246</c:v>
                </c:pt>
                <c:pt idx="42">
                  <c:v>0.63137257099151611</c:v>
                </c:pt>
                <c:pt idx="43">
                  <c:v>0.65882354974746704</c:v>
                </c:pt>
                <c:pt idx="44">
                  <c:v>0.68235296010971069</c:v>
                </c:pt>
                <c:pt idx="45">
                  <c:v>0.70980393886566162</c:v>
                </c:pt>
                <c:pt idx="46">
                  <c:v>0.73725491762161255</c:v>
                </c:pt>
                <c:pt idx="47">
                  <c:v>0.76470589637756348</c:v>
                </c:pt>
                <c:pt idx="48">
                  <c:v>0.7921568751335144</c:v>
                </c:pt>
                <c:pt idx="49">
                  <c:v>0.81960785388946533</c:v>
                </c:pt>
                <c:pt idx="50">
                  <c:v>0.84705883264541626</c:v>
                </c:pt>
                <c:pt idx="51">
                  <c:v>0.87450981140136719</c:v>
                </c:pt>
                <c:pt idx="52">
                  <c:v>0.90588235855102539</c:v>
                </c:pt>
                <c:pt idx="53">
                  <c:v>0.93333333730697632</c:v>
                </c:pt>
                <c:pt idx="54">
                  <c:v>0.96470588445663452</c:v>
                </c:pt>
                <c:pt idx="55">
                  <c:v>0.99215686321258545</c:v>
                </c:pt>
                <c:pt idx="56">
                  <c:v>0.999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8380544"/>
        <c:axId val="218394624"/>
      </c:scatterChart>
      <c:valAx>
        <c:axId val="218380544"/>
        <c:scaling>
          <c:orientation val="minMax"/>
        </c:scaling>
        <c:axPos val="b"/>
        <c:numFmt formatCode="0.00E+00" sourceLinked="1"/>
        <c:tickLblPos val="nextTo"/>
        <c:crossAx val="218394624"/>
        <c:crosses val="autoZero"/>
        <c:crossBetween val="midCat"/>
      </c:valAx>
      <c:valAx>
        <c:axId val="218394624"/>
        <c:scaling>
          <c:orientation val="minMax"/>
        </c:scaling>
        <c:axPos val="l"/>
        <c:majorGridlines/>
        <c:numFmt formatCode="0.000" sourceLinked="1"/>
        <c:tickLblPos val="nextTo"/>
        <c:crossAx val="218380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data0!$Z$2:$Z$102</c:f>
              <c:numCache>
                <c:formatCode>0.000</c:formatCode>
                <c:ptCount val="101"/>
                <c:pt idx="0">
                  <c:v>7.8431377187371254E-3</c:v>
                </c:pt>
                <c:pt idx="1">
                  <c:v>7.8431377187371254E-3</c:v>
                </c:pt>
                <c:pt idx="2">
                  <c:v>7.8431377187371254E-3</c:v>
                </c:pt>
                <c:pt idx="3">
                  <c:v>1.1764706112444401E-2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2.7450980618596077E-2</c:v>
                </c:pt>
                <c:pt idx="7">
                  <c:v>3.5294119268655777E-2</c:v>
                </c:pt>
                <c:pt idx="8">
                  <c:v>4.3137256056070328E-2</c:v>
                </c:pt>
                <c:pt idx="9">
                  <c:v>5.0980392843484879E-2</c:v>
                </c:pt>
                <c:pt idx="10">
                  <c:v>5.8823529630899429E-2</c:v>
                </c:pt>
                <c:pt idx="11">
                  <c:v>6.6666670143604279E-2</c:v>
                </c:pt>
                <c:pt idx="12">
                  <c:v>7.4509806931018829E-2</c:v>
                </c:pt>
                <c:pt idx="13">
                  <c:v>9.0196080505847931E-2</c:v>
                </c:pt>
                <c:pt idx="14">
                  <c:v>0.10196078568696976</c:v>
                </c:pt>
                <c:pt idx="15">
                  <c:v>0.11372549086809158</c:v>
                </c:pt>
                <c:pt idx="16">
                  <c:v>0.12941177189350128</c:v>
                </c:pt>
                <c:pt idx="17">
                  <c:v>0.14117647707462311</c:v>
                </c:pt>
                <c:pt idx="18">
                  <c:v>0.15294118225574493</c:v>
                </c:pt>
                <c:pt idx="19">
                  <c:v>0.16862745583057404</c:v>
                </c:pt>
                <c:pt idx="20">
                  <c:v>0.18039216101169586</c:v>
                </c:pt>
                <c:pt idx="21">
                  <c:v>0.20000000298023224</c:v>
                </c:pt>
                <c:pt idx="22">
                  <c:v>0.21176470816135406</c:v>
                </c:pt>
                <c:pt idx="23">
                  <c:v>0.23137255012989044</c:v>
                </c:pt>
                <c:pt idx="24">
                  <c:v>0.24705882370471954</c:v>
                </c:pt>
                <c:pt idx="25">
                  <c:v>0.26666668057441711</c:v>
                </c:pt>
                <c:pt idx="26">
                  <c:v>0.28235295414924622</c:v>
                </c:pt>
                <c:pt idx="27">
                  <c:v>0.30196079611778259</c:v>
                </c:pt>
                <c:pt idx="28">
                  <c:v>0.32156863808631897</c:v>
                </c:pt>
                <c:pt idx="29">
                  <c:v>0.33725491166114807</c:v>
                </c:pt>
                <c:pt idx="30">
                  <c:v>0.36078432202339172</c:v>
                </c:pt>
                <c:pt idx="31">
                  <c:v>0.3803921639919281</c:v>
                </c:pt>
                <c:pt idx="32">
                  <c:v>0.40000000596046448</c:v>
                </c:pt>
                <c:pt idx="33">
                  <c:v>0.42352941632270813</c:v>
                </c:pt>
                <c:pt idx="34">
                  <c:v>0.44313725829124451</c:v>
                </c:pt>
                <c:pt idx="35">
                  <c:v>0.46274510025978088</c:v>
                </c:pt>
                <c:pt idx="36">
                  <c:v>0.48627451062202454</c:v>
                </c:pt>
                <c:pt idx="37">
                  <c:v>0.51372551918029785</c:v>
                </c:pt>
                <c:pt idx="38">
                  <c:v>0.53333336114883423</c:v>
                </c:pt>
                <c:pt idx="39">
                  <c:v>0.55686277151107788</c:v>
                </c:pt>
                <c:pt idx="40">
                  <c:v>0.58039218187332153</c:v>
                </c:pt>
                <c:pt idx="41">
                  <c:v>0.60392159223556519</c:v>
                </c:pt>
                <c:pt idx="42">
                  <c:v>0.63137257099151611</c:v>
                </c:pt>
                <c:pt idx="43">
                  <c:v>0.65490198135375977</c:v>
                </c:pt>
                <c:pt idx="44">
                  <c:v>0.67843139171600342</c:v>
                </c:pt>
                <c:pt idx="45">
                  <c:v>0.70588237047195435</c:v>
                </c:pt>
                <c:pt idx="46">
                  <c:v>0.73333334922790527</c:v>
                </c:pt>
                <c:pt idx="47">
                  <c:v>0.75686275959014893</c:v>
                </c:pt>
                <c:pt idx="48">
                  <c:v>0.78431373834609985</c:v>
                </c:pt>
                <c:pt idx="49">
                  <c:v>0.81568628549575806</c:v>
                </c:pt>
                <c:pt idx="50">
                  <c:v>0.84313726425170898</c:v>
                </c:pt>
                <c:pt idx="51">
                  <c:v>0.86666667461395264</c:v>
                </c:pt>
                <c:pt idx="52">
                  <c:v>0.89803922176361084</c:v>
                </c:pt>
                <c:pt idx="53">
                  <c:v>0.92549020051956177</c:v>
                </c:pt>
                <c:pt idx="54">
                  <c:v>0.9529411792755127</c:v>
                </c:pt>
                <c:pt idx="55">
                  <c:v>0.9843137264251709</c:v>
                </c:pt>
                <c:pt idx="56">
                  <c:v>0.999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data0!$AA$2:$AA$102</c:f>
              <c:numCache>
                <c:formatCode>0.000</c:formatCode>
                <c:ptCount val="101"/>
                <c:pt idx="0">
                  <c:v>7.8431377187371254E-3</c:v>
                </c:pt>
                <c:pt idx="1">
                  <c:v>7.8431377187371254E-3</c:v>
                </c:pt>
                <c:pt idx="2">
                  <c:v>7.8431377187371254E-3</c:v>
                </c:pt>
                <c:pt idx="3">
                  <c:v>1.1764706112444401E-2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2.7450980618596077E-2</c:v>
                </c:pt>
                <c:pt idx="7">
                  <c:v>3.5294119268655777E-2</c:v>
                </c:pt>
                <c:pt idx="8">
                  <c:v>4.3137256056070328E-2</c:v>
                </c:pt>
                <c:pt idx="9">
                  <c:v>5.0980392843484879E-2</c:v>
                </c:pt>
                <c:pt idx="10">
                  <c:v>5.8823529630899429E-2</c:v>
                </c:pt>
                <c:pt idx="11">
                  <c:v>6.6666670143604279E-2</c:v>
                </c:pt>
                <c:pt idx="12">
                  <c:v>7.4509806931018829E-2</c:v>
                </c:pt>
                <c:pt idx="13">
                  <c:v>9.0196080505847931E-2</c:v>
                </c:pt>
                <c:pt idx="14">
                  <c:v>0.10196078568696976</c:v>
                </c:pt>
                <c:pt idx="15">
                  <c:v>0.11372549086809158</c:v>
                </c:pt>
                <c:pt idx="16">
                  <c:v>0.12941177189350128</c:v>
                </c:pt>
                <c:pt idx="17">
                  <c:v>0.14117647707462311</c:v>
                </c:pt>
                <c:pt idx="18">
                  <c:v>0.15294118225574493</c:v>
                </c:pt>
                <c:pt idx="19">
                  <c:v>0.16862745583057404</c:v>
                </c:pt>
                <c:pt idx="20">
                  <c:v>0.18039216101169586</c:v>
                </c:pt>
                <c:pt idx="21">
                  <c:v>0.20000000298023224</c:v>
                </c:pt>
                <c:pt idx="22">
                  <c:v>0.21176470816135406</c:v>
                </c:pt>
                <c:pt idx="23">
                  <c:v>0.23137255012989044</c:v>
                </c:pt>
                <c:pt idx="24">
                  <c:v>0.24705882370471954</c:v>
                </c:pt>
                <c:pt idx="25">
                  <c:v>0.26666668057441711</c:v>
                </c:pt>
                <c:pt idx="26">
                  <c:v>0.28235295414924622</c:v>
                </c:pt>
                <c:pt idx="27">
                  <c:v>0.30196079611778259</c:v>
                </c:pt>
                <c:pt idx="28">
                  <c:v>0.32156863808631897</c:v>
                </c:pt>
                <c:pt idx="29">
                  <c:v>0.33725491166114807</c:v>
                </c:pt>
                <c:pt idx="30">
                  <c:v>0.36078432202339172</c:v>
                </c:pt>
                <c:pt idx="31">
                  <c:v>0.3803921639919281</c:v>
                </c:pt>
                <c:pt idx="32">
                  <c:v>0.40000000596046448</c:v>
                </c:pt>
                <c:pt idx="33">
                  <c:v>0.42352941632270813</c:v>
                </c:pt>
                <c:pt idx="34">
                  <c:v>0.44313725829124451</c:v>
                </c:pt>
                <c:pt idx="35">
                  <c:v>0.46274510025978088</c:v>
                </c:pt>
                <c:pt idx="36">
                  <c:v>0.48627451062202454</c:v>
                </c:pt>
                <c:pt idx="37">
                  <c:v>0.51372551918029785</c:v>
                </c:pt>
                <c:pt idx="38">
                  <c:v>0.53333336114883423</c:v>
                </c:pt>
                <c:pt idx="39">
                  <c:v>0.55686277151107788</c:v>
                </c:pt>
                <c:pt idx="40">
                  <c:v>0.58039218187332153</c:v>
                </c:pt>
                <c:pt idx="41">
                  <c:v>0.60392159223556519</c:v>
                </c:pt>
                <c:pt idx="42">
                  <c:v>0.63137257099151611</c:v>
                </c:pt>
                <c:pt idx="43">
                  <c:v>0.65490198135375977</c:v>
                </c:pt>
                <c:pt idx="44">
                  <c:v>0.67843139171600342</c:v>
                </c:pt>
                <c:pt idx="45">
                  <c:v>0.70588237047195435</c:v>
                </c:pt>
                <c:pt idx="46">
                  <c:v>0.73333334922790527</c:v>
                </c:pt>
                <c:pt idx="47">
                  <c:v>0.75686275959014893</c:v>
                </c:pt>
                <c:pt idx="48">
                  <c:v>0.78431373834609985</c:v>
                </c:pt>
                <c:pt idx="49">
                  <c:v>0.81568628549575806</c:v>
                </c:pt>
                <c:pt idx="50">
                  <c:v>0.84313726425170898</c:v>
                </c:pt>
                <c:pt idx="51">
                  <c:v>0.86666667461395264</c:v>
                </c:pt>
                <c:pt idx="52">
                  <c:v>0.89803922176361084</c:v>
                </c:pt>
                <c:pt idx="53">
                  <c:v>0.92549020051956177</c:v>
                </c:pt>
                <c:pt idx="54">
                  <c:v>0.9529411792755127</c:v>
                </c:pt>
                <c:pt idx="55">
                  <c:v>0.9843137264251709</c:v>
                </c:pt>
                <c:pt idx="56">
                  <c:v>0.999</c:v>
                </c:pt>
                <c:pt idx="57">
                  <c:v>0.999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data0!$AB$2:$AB$102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2.3529412224888802E-2</c:v>
                </c:pt>
                <c:pt idx="8">
                  <c:v>3.1372550874948502E-2</c:v>
                </c:pt>
                <c:pt idx="9">
                  <c:v>3.5294119268655777E-2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0.11372549086809158</c:v>
                </c:pt>
                <c:pt idx="17">
                  <c:v>0.12156862765550613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0.16470588743686676</c:v>
                </c:pt>
                <c:pt idx="21">
                  <c:v>0.17647059261798859</c:v>
                </c:pt>
                <c:pt idx="22">
                  <c:v>0.19215686619281769</c:v>
                </c:pt>
                <c:pt idx="23">
                  <c:v>0.20784313976764679</c:v>
                </c:pt>
                <c:pt idx="24">
                  <c:v>0.22352941334247589</c:v>
                </c:pt>
                <c:pt idx="25">
                  <c:v>0.23921568691730499</c:v>
                </c:pt>
                <c:pt idx="26">
                  <c:v>0.25490197539329529</c:v>
                </c:pt>
                <c:pt idx="27">
                  <c:v>0.27450981736183167</c:v>
                </c:pt>
                <c:pt idx="28">
                  <c:v>0.29019609093666077</c:v>
                </c:pt>
                <c:pt idx="29">
                  <c:v>0.30980393290519714</c:v>
                </c:pt>
                <c:pt idx="30">
                  <c:v>0.32941177487373352</c:v>
                </c:pt>
                <c:pt idx="31">
                  <c:v>0.34509804844856262</c:v>
                </c:pt>
                <c:pt idx="32">
                  <c:v>0.36862745881080627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0.42745098471641541</c:v>
                </c:pt>
                <c:pt idx="36">
                  <c:v>0.44705882668495178</c:v>
                </c:pt>
                <c:pt idx="37">
                  <c:v>0.47058823704719543</c:v>
                </c:pt>
                <c:pt idx="38">
                  <c:v>0.49411764740943909</c:v>
                </c:pt>
                <c:pt idx="39">
                  <c:v>0.51764708757400513</c:v>
                </c:pt>
                <c:pt idx="40">
                  <c:v>0.53333336114883423</c:v>
                </c:pt>
                <c:pt idx="41">
                  <c:v>0.56078433990478516</c:v>
                </c:pt>
                <c:pt idx="42">
                  <c:v>0.58431375026702881</c:v>
                </c:pt>
                <c:pt idx="43">
                  <c:v>0.60392159223556519</c:v>
                </c:pt>
                <c:pt idx="44">
                  <c:v>0.63137257099151611</c:v>
                </c:pt>
                <c:pt idx="45">
                  <c:v>0.65882354974746704</c:v>
                </c:pt>
                <c:pt idx="46">
                  <c:v>0.67843139171600342</c:v>
                </c:pt>
                <c:pt idx="47">
                  <c:v>0.70980393886566162</c:v>
                </c:pt>
                <c:pt idx="48">
                  <c:v>0.73333334922790527</c:v>
                </c:pt>
                <c:pt idx="49">
                  <c:v>0.7607843279838562</c:v>
                </c:pt>
                <c:pt idx="50">
                  <c:v>0.78431373834609985</c:v>
                </c:pt>
                <c:pt idx="51">
                  <c:v>0.81176471710205078</c:v>
                </c:pt>
                <c:pt idx="52">
                  <c:v>0.83921569585800171</c:v>
                </c:pt>
                <c:pt idx="53">
                  <c:v>0.86666667461395264</c:v>
                </c:pt>
                <c:pt idx="54">
                  <c:v>0.89019608497619629</c:v>
                </c:pt>
                <c:pt idx="55">
                  <c:v>0.92156863212585449</c:v>
                </c:pt>
                <c:pt idx="56">
                  <c:v>0.94509804248809814</c:v>
                </c:pt>
                <c:pt idx="57">
                  <c:v>0.97254902124404907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data0!$AC$2:$AC$102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1.5686275437474251E-2</c:v>
                </c:pt>
                <c:pt idx="6">
                  <c:v>1.5686275437474251E-2</c:v>
                </c:pt>
                <c:pt idx="7">
                  <c:v>1.9607843831181526E-2</c:v>
                </c:pt>
                <c:pt idx="8">
                  <c:v>3.1372550874948502E-2</c:v>
                </c:pt>
                <c:pt idx="9">
                  <c:v>3.5294119268655777E-2</c:v>
                </c:pt>
                <c:pt idx="10">
                  <c:v>4.7058824449777603E-2</c:v>
                </c:pt>
                <c:pt idx="11">
                  <c:v>5.0980392843484879E-2</c:v>
                </c:pt>
                <c:pt idx="12">
                  <c:v>6.2745101749897003E-2</c:v>
                </c:pt>
                <c:pt idx="13">
                  <c:v>7.0588238537311554E-2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0.11372549086809158</c:v>
                </c:pt>
                <c:pt idx="18">
                  <c:v>0.13333334028720856</c:v>
                </c:pt>
                <c:pt idx="19">
                  <c:v>0.14117647707462311</c:v>
                </c:pt>
                <c:pt idx="20">
                  <c:v>0.15686275064945221</c:v>
                </c:pt>
                <c:pt idx="21">
                  <c:v>0.16862745583057404</c:v>
                </c:pt>
                <c:pt idx="22">
                  <c:v>0.18431372940540314</c:v>
                </c:pt>
                <c:pt idx="23">
                  <c:v>0.20392157137393951</c:v>
                </c:pt>
                <c:pt idx="24">
                  <c:v>0.21568627655506134</c:v>
                </c:pt>
                <c:pt idx="25">
                  <c:v>0.22745098173618317</c:v>
                </c:pt>
                <c:pt idx="26">
                  <c:v>0.24313725531101227</c:v>
                </c:pt>
                <c:pt idx="27">
                  <c:v>0.25882354378700256</c:v>
                </c:pt>
                <c:pt idx="28">
                  <c:v>0.27843138575553894</c:v>
                </c:pt>
                <c:pt idx="29">
                  <c:v>0.29803922772407532</c:v>
                </c:pt>
                <c:pt idx="30">
                  <c:v>0.31764706969261169</c:v>
                </c:pt>
                <c:pt idx="31">
                  <c:v>0.3333333432674408</c:v>
                </c:pt>
                <c:pt idx="32">
                  <c:v>0.35686275362968445</c:v>
                </c:pt>
                <c:pt idx="33">
                  <c:v>0.37254902720451355</c:v>
                </c:pt>
                <c:pt idx="34">
                  <c:v>0.38431373238563538</c:v>
                </c:pt>
                <c:pt idx="35">
                  <c:v>0.4117647111415863</c:v>
                </c:pt>
                <c:pt idx="36">
                  <c:v>0.43137255311012268</c:v>
                </c:pt>
                <c:pt idx="37">
                  <c:v>0.44705882668495178</c:v>
                </c:pt>
                <c:pt idx="38">
                  <c:v>0.47058823704719543</c:v>
                </c:pt>
                <c:pt idx="39">
                  <c:v>0.49411764740943909</c:v>
                </c:pt>
                <c:pt idx="40">
                  <c:v>0.51372551918029785</c:v>
                </c:pt>
                <c:pt idx="41">
                  <c:v>0.5372549295425415</c:v>
                </c:pt>
                <c:pt idx="42">
                  <c:v>0.55686277151107788</c:v>
                </c:pt>
                <c:pt idx="43">
                  <c:v>0.58823531866073608</c:v>
                </c:pt>
                <c:pt idx="44">
                  <c:v>0.60392159223556519</c:v>
                </c:pt>
                <c:pt idx="45">
                  <c:v>0.62745100259780884</c:v>
                </c:pt>
                <c:pt idx="46">
                  <c:v>0.65098041296005249</c:v>
                </c:pt>
                <c:pt idx="47">
                  <c:v>0.67843139171600342</c:v>
                </c:pt>
                <c:pt idx="48">
                  <c:v>0.70196080207824707</c:v>
                </c:pt>
                <c:pt idx="49">
                  <c:v>0.729411780834198</c:v>
                </c:pt>
                <c:pt idx="50">
                  <c:v>0.75686275959014893</c:v>
                </c:pt>
                <c:pt idx="51">
                  <c:v>0.7764706015586853</c:v>
                </c:pt>
                <c:pt idx="52">
                  <c:v>0.80392158031463623</c:v>
                </c:pt>
                <c:pt idx="53">
                  <c:v>0.83137255907058716</c:v>
                </c:pt>
                <c:pt idx="54">
                  <c:v>0.85882353782653809</c:v>
                </c:pt>
                <c:pt idx="55">
                  <c:v>0.88627451658248901</c:v>
                </c:pt>
                <c:pt idx="56">
                  <c:v>0.91372549533843994</c:v>
                </c:pt>
                <c:pt idx="57">
                  <c:v>0.93725490570068359</c:v>
                </c:pt>
                <c:pt idx="58">
                  <c:v>0.97254902124404907</c:v>
                </c:pt>
                <c:pt idx="59">
                  <c:v>0.98823529481887817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data0!$AD$2:$AD$102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1.1764706112444401E-2</c:v>
                </c:pt>
                <c:pt idx="4">
                  <c:v>1.1764706112444401E-2</c:v>
                </c:pt>
                <c:pt idx="5">
                  <c:v>1.9607843831181526E-2</c:v>
                </c:pt>
                <c:pt idx="6">
                  <c:v>2.3529412224888802E-2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7.4509806931018829E-2</c:v>
                </c:pt>
                <c:pt idx="13">
                  <c:v>8.235294371843338E-2</c:v>
                </c:pt>
                <c:pt idx="14">
                  <c:v>9.0196080505847931E-2</c:v>
                </c:pt>
                <c:pt idx="15">
                  <c:v>0.10588235408067703</c:v>
                </c:pt>
                <c:pt idx="16">
                  <c:v>0.11372549086809158</c:v>
                </c:pt>
                <c:pt idx="17">
                  <c:v>0.12941177189350128</c:v>
                </c:pt>
                <c:pt idx="18">
                  <c:v>0.14117647707462311</c:v>
                </c:pt>
                <c:pt idx="19">
                  <c:v>0.15686275064945221</c:v>
                </c:pt>
                <c:pt idx="20">
                  <c:v>0.16862745583057404</c:v>
                </c:pt>
                <c:pt idx="21">
                  <c:v>0.18431372940540314</c:v>
                </c:pt>
                <c:pt idx="22">
                  <c:v>0.20000000298023224</c:v>
                </c:pt>
                <c:pt idx="23">
                  <c:v>0.21568627655506134</c:v>
                </c:pt>
                <c:pt idx="24">
                  <c:v>0.23137255012989044</c:v>
                </c:pt>
                <c:pt idx="25">
                  <c:v>0.24705882370471954</c:v>
                </c:pt>
                <c:pt idx="26">
                  <c:v>0.26666668057441711</c:v>
                </c:pt>
                <c:pt idx="27">
                  <c:v>0.28235295414924622</c:v>
                </c:pt>
                <c:pt idx="28">
                  <c:v>0.29803922772407532</c:v>
                </c:pt>
                <c:pt idx="29">
                  <c:v>0.32156863808631897</c:v>
                </c:pt>
                <c:pt idx="30">
                  <c:v>0.33725491166114807</c:v>
                </c:pt>
                <c:pt idx="31">
                  <c:v>0.36078432202339172</c:v>
                </c:pt>
                <c:pt idx="32">
                  <c:v>0.37647059559822083</c:v>
                </c:pt>
                <c:pt idx="33">
                  <c:v>0.39215686917304993</c:v>
                </c:pt>
                <c:pt idx="34">
                  <c:v>0.41568627953529358</c:v>
                </c:pt>
                <c:pt idx="35">
                  <c:v>0.43921568989753723</c:v>
                </c:pt>
                <c:pt idx="36">
                  <c:v>0.45882353186607361</c:v>
                </c:pt>
                <c:pt idx="37">
                  <c:v>0.47843137383460999</c:v>
                </c:pt>
                <c:pt idx="38">
                  <c:v>0.50196081399917603</c:v>
                </c:pt>
                <c:pt idx="39">
                  <c:v>0.52549022436141968</c:v>
                </c:pt>
                <c:pt idx="40">
                  <c:v>0.54901963472366333</c:v>
                </c:pt>
                <c:pt idx="41">
                  <c:v>0.57254904508590698</c:v>
                </c:pt>
                <c:pt idx="42">
                  <c:v>0.59607845544815063</c:v>
                </c:pt>
                <c:pt idx="43">
                  <c:v>0.61960786581039429</c:v>
                </c:pt>
                <c:pt idx="44">
                  <c:v>0.64313727617263794</c:v>
                </c:pt>
                <c:pt idx="45">
                  <c:v>0.67058825492858887</c:v>
                </c:pt>
                <c:pt idx="46">
                  <c:v>0.69411766529083252</c:v>
                </c:pt>
                <c:pt idx="47">
                  <c:v>0.72156864404678345</c:v>
                </c:pt>
                <c:pt idx="48">
                  <c:v>0.7450980544090271</c:v>
                </c:pt>
                <c:pt idx="49">
                  <c:v>0.77254903316497803</c:v>
                </c:pt>
                <c:pt idx="50">
                  <c:v>0.80000001192092896</c:v>
                </c:pt>
                <c:pt idx="51">
                  <c:v>0.82352942228317261</c:v>
                </c:pt>
                <c:pt idx="52">
                  <c:v>0.85490196943283081</c:v>
                </c:pt>
                <c:pt idx="53">
                  <c:v>0.87843137979507446</c:v>
                </c:pt>
                <c:pt idx="54">
                  <c:v>0.90588235855102539</c:v>
                </c:pt>
                <c:pt idx="55">
                  <c:v>0.93725490570068359</c:v>
                </c:pt>
                <c:pt idx="56">
                  <c:v>0.96470588445663452</c:v>
                </c:pt>
                <c:pt idx="57">
                  <c:v>0.98823529481887817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data0!$AE$2:$AE$102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7.8431377187371254E-3</c:v>
                </c:pt>
                <c:pt idx="4">
                  <c:v>1.1764706112444401E-2</c:v>
                </c:pt>
                <c:pt idx="5">
                  <c:v>1.5686275437474251E-2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4.3137256056070328E-2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8.235294371843338E-2</c:v>
                </c:pt>
                <c:pt idx="14">
                  <c:v>9.0196080505847931E-2</c:v>
                </c:pt>
                <c:pt idx="15">
                  <c:v>0.10196078568696976</c:v>
                </c:pt>
                <c:pt idx="16">
                  <c:v>0.11372549086809158</c:v>
                </c:pt>
                <c:pt idx="17">
                  <c:v>0.12549020349979401</c:v>
                </c:pt>
                <c:pt idx="18">
                  <c:v>0.14117647707462311</c:v>
                </c:pt>
                <c:pt idx="19">
                  <c:v>0.15294118225574493</c:v>
                </c:pt>
                <c:pt idx="20">
                  <c:v>0.16862745583057404</c:v>
                </c:pt>
                <c:pt idx="21">
                  <c:v>0.18039216101169586</c:v>
                </c:pt>
                <c:pt idx="22">
                  <c:v>0.19607843458652496</c:v>
                </c:pt>
                <c:pt idx="23">
                  <c:v>0.21176470816135406</c:v>
                </c:pt>
                <c:pt idx="24">
                  <c:v>0.22745098173618317</c:v>
                </c:pt>
                <c:pt idx="25">
                  <c:v>0.24313725531101227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0.29411765933036804</c:v>
                </c:pt>
                <c:pt idx="29">
                  <c:v>0.31372550129890442</c:v>
                </c:pt>
                <c:pt idx="30">
                  <c:v>0.32941177487373352</c:v>
                </c:pt>
                <c:pt idx="31">
                  <c:v>0.35294118523597717</c:v>
                </c:pt>
                <c:pt idx="32">
                  <c:v>0.36862745881080627</c:v>
                </c:pt>
                <c:pt idx="33">
                  <c:v>0.39215686917304993</c:v>
                </c:pt>
                <c:pt idx="34">
                  <c:v>0.40784314274787903</c:v>
                </c:pt>
                <c:pt idx="35">
                  <c:v>0.43137255311012268</c:v>
                </c:pt>
                <c:pt idx="36">
                  <c:v>0.45490196347236633</c:v>
                </c:pt>
                <c:pt idx="37">
                  <c:v>0.47843137383460999</c:v>
                </c:pt>
                <c:pt idx="38">
                  <c:v>0.49803921580314636</c:v>
                </c:pt>
                <c:pt idx="39">
                  <c:v>0.51764708757400513</c:v>
                </c:pt>
                <c:pt idx="40">
                  <c:v>0.54117649793624878</c:v>
                </c:pt>
                <c:pt idx="41">
                  <c:v>0.56470590829849243</c:v>
                </c:pt>
                <c:pt idx="42">
                  <c:v>0.59215688705444336</c:v>
                </c:pt>
                <c:pt idx="43">
                  <c:v>0.61176472902297974</c:v>
                </c:pt>
                <c:pt idx="44">
                  <c:v>0.63921570777893066</c:v>
                </c:pt>
                <c:pt idx="45">
                  <c:v>0.66274511814117432</c:v>
                </c:pt>
                <c:pt idx="46">
                  <c:v>0.69019609689712524</c:v>
                </c:pt>
                <c:pt idx="47">
                  <c:v>0.7137255072593689</c:v>
                </c:pt>
                <c:pt idx="48">
                  <c:v>0.74117648601531982</c:v>
                </c:pt>
                <c:pt idx="49">
                  <c:v>0.76470589637756348</c:v>
                </c:pt>
                <c:pt idx="50">
                  <c:v>0.7921568751335144</c:v>
                </c:pt>
                <c:pt idx="51">
                  <c:v>0.81960785388946533</c:v>
                </c:pt>
                <c:pt idx="52">
                  <c:v>0.84705883264541626</c:v>
                </c:pt>
                <c:pt idx="53">
                  <c:v>0.87450981140136719</c:v>
                </c:pt>
                <c:pt idx="54">
                  <c:v>0.89803922176361084</c:v>
                </c:pt>
                <c:pt idx="55">
                  <c:v>0.92941176891326904</c:v>
                </c:pt>
                <c:pt idx="56">
                  <c:v>0.95686274766921997</c:v>
                </c:pt>
                <c:pt idx="57">
                  <c:v>0.9843137264251709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data0!$AF$2:$AF$102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3.5294119268655777E-2</c:v>
                </c:pt>
                <c:pt idx="9">
                  <c:v>3.9215687662363052E-2</c:v>
                </c:pt>
                <c:pt idx="10">
                  <c:v>5.0980392843484879E-2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7.8431375324726105E-2</c:v>
                </c:pt>
                <c:pt idx="14">
                  <c:v>9.0196080505847931E-2</c:v>
                </c:pt>
                <c:pt idx="15">
                  <c:v>9.8039217293262482E-2</c:v>
                </c:pt>
                <c:pt idx="16">
                  <c:v>0.11372549086809158</c:v>
                </c:pt>
                <c:pt idx="17">
                  <c:v>0.12156862765550613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0.16470588743686676</c:v>
                </c:pt>
                <c:pt idx="21">
                  <c:v>0.18039216101169586</c:v>
                </c:pt>
                <c:pt idx="22">
                  <c:v>0.19215686619281769</c:v>
                </c:pt>
                <c:pt idx="23">
                  <c:v>0.20784313976764679</c:v>
                </c:pt>
                <c:pt idx="24">
                  <c:v>0.22745098173618317</c:v>
                </c:pt>
                <c:pt idx="25">
                  <c:v>0.23921568691730499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0.29019609093666077</c:v>
                </c:pt>
                <c:pt idx="29">
                  <c:v>0.30980393290519714</c:v>
                </c:pt>
                <c:pt idx="30">
                  <c:v>0.32941177487373352</c:v>
                </c:pt>
                <c:pt idx="31">
                  <c:v>0.34509804844856262</c:v>
                </c:pt>
                <c:pt idx="32">
                  <c:v>0.36862745881080627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0.43137255311012268</c:v>
                </c:pt>
                <c:pt idx="36">
                  <c:v>0.44705882668495178</c:v>
                </c:pt>
                <c:pt idx="37">
                  <c:v>0.47058823704719543</c:v>
                </c:pt>
                <c:pt idx="38">
                  <c:v>0.49411764740943909</c:v>
                </c:pt>
                <c:pt idx="39">
                  <c:v>0.51372551918029785</c:v>
                </c:pt>
                <c:pt idx="40">
                  <c:v>0.5372549295425415</c:v>
                </c:pt>
                <c:pt idx="41">
                  <c:v>0.55686277151107788</c:v>
                </c:pt>
                <c:pt idx="42">
                  <c:v>0.58431375026702881</c:v>
                </c:pt>
                <c:pt idx="43">
                  <c:v>0.60784316062927246</c:v>
                </c:pt>
                <c:pt idx="44">
                  <c:v>0.63137257099151611</c:v>
                </c:pt>
                <c:pt idx="45">
                  <c:v>0.65882354974746704</c:v>
                </c:pt>
                <c:pt idx="46">
                  <c:v>0.67843139171600342</c:v>
                </c:pt>
                <c:pt idx="47">
                  <c:v>0.70588237047195435</c:v>
                </c:pt>
                <c:pt idx="48">
                  <c:v>0.73333334922790527</c:v>
                </c:pt>
                <c:pt idx="49">
                  <c:v>0.75686275959014893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0.83921569585800171</c:v>
                </c:pt>
                <c:pt idx="53">
                  <c:v>0.86274510622024536</c:v>
                </c:pt>
                <c:pt idx="54">
                  <c:v>0.89019608497619629</c:v>
                </c:pt>
                <c:pt idx="55">
                  <c:v>0.91764706373214722</c:v>
                </c:pt>
                <c:pt idx="56">
                  <c:v>0.94509804248809814</c:v>
                </c:pt>
                <c:pt idx="57">
                  <c:v>0.97254902124404907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data0!$AG$2:$AG$102</c:f>
              <c:numCache>
                <c:formatCode>0.000</c:formatCode>
                <c:ptCount val="101"/>
                <c:pt idx="0">
                  <c:v>3.9215688593685627E-3</c:v>
                </c:pt>
                <c:pt idx="1">
                  <c:v>3.9215688593685627E-3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2.7450980618596077E-2</c:v>
                </c:pt>
                <c:pt idx="8">
                  <c:v>3.1372550874948502E-2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8.235294371843338E-2</c:v>
                </c:pt>
                <c:pt idx="15">
                  <c:v>9.8039217293262482E-2</c:v>
                </c:pt>
                <c:pt idx="16">
                  <c:v>0.10588235408067703</c:v>
                </c:pt>
                <c:pt idx="17">
                  <c:v>0.12156862765550613</c:v>
                </c:pt>
                <c:pt idx="18">
                  <c:v>0.12941177189350128</c:v>
                </c:pt>
                <c:pt idx="19">
                  <c:v>0.14509804546833038</c:v>
                </c:pt>
                <c:pt idx="20">
                  <c:v>0.15686275064945221</c:v>
                </c:pt>
                <c:pt idx="21">
                  <c:v>0.16862745583057404</c:v>
                </c:pt>
                <c:pt idx="22">
                  <c:v>0.18431372940540314</c:v>
                </c:pt>
                <c:pt idx="23">
                  <c:v>0.19607843458652496</c:v>
                </c:pt>
                <c:pt idx="24">
                  <c:v>0.21176470816135406</c:v>
                </c:pt>
                <c:pt idx="25">
                  <c:v>0.22745098173618317</c:v>
                </c:pt>
                <c:pt idx="26">
                  <c:v>0.24313725531101227</c:v>
                </c:pt>
                <c:pt idx="27">
                  <c:v>0.26274511218070984</c:v>
                </c:pt>
                <c:pt idx="28">
                  <c:v>0.27450981736183167</c:v>
                </c:pt>
                <c:pt idx="29">
                  <c:v>0.29019609093666077</c:v>
                </c:pt>
                <c:pt idx="30">
                  <c:v>0.31372550129890442</c:v>
                </c:pt>
                <c:pt idx="31">
                  <c:v>0.32941177487373352</c:v>
                </c:pt>
                <c:pt idx="32">
                  <c:v>0.3490196168422699</c:v>
                </c:pt>
                <c:pt idx="33">
                  <c:v>0.36862745881080627</c:v>
                </c:pt>
                <c:pt idx="34">
                  <c:v>0.38431373238563538</c:v>
                </c:pt>
                <c:pt idx="35">
                  <c:v>0.40784314274787903</c:v>
                </c:pt>
                <c:pt idx="36">
                  <c:v>0.42352941632270813</c:v>
                </c:pt>
                <c:pt idx="37">
                  <c:v>0.44705882668495178</c:v>
                </c:pt>
                <c:pt idx="38">
                  <c:v>0.46274510025978088</c:v>
                </c:pt>
                <c:pt idx="39">
                  <c:v>0.48627451062202454</c:v>
                </c:pt>
                <c:pt idx="40">
                  <c:v>0.50980395078659058</c:v>
                </c:pt>
                <c:pt idx="41">
                  <c:v>0.52941179275512695</c:v>
                </c:pt>
                <c:pt idx="42">
                  <c:v>0.55294120311737061</c:v>
                </c:pt>
                <c:pt idx="43">
                  <c:v>0.57647061347961426</c:v>
                </c:pt>
                <c:pt idx="44">
                  <c:v>0.59607845544815063</c:v>
                </c:pt>
                <c:pt idx="45">
                  <c:v>0.61960786581039429</c:v>
                </c:pt>
                <c:pt idx="46">
                  <c:v>0.64313727617263794</c:v>
                </c:pt>
                <c:pt idx="47">
                  <c:v>0.66666668653488159</c:v>
                </c:pt>
                <c:pt idx="48">
                  <c:v>0.69411766529083252</c:v>
                </c:pt>
                <c:pt idx="49">
                  <c:v>0.71764707565307617</c:v>
                </c:pt>
                <c:pt idx="50">
                  <c:v>0.7450980544090271</c:v>
                </c:pt>
                <c:pt idx="51">
                  <c:v>0.76862746477127075</c:v>
                </c:pt>
                <c:pt idx="52">
                  <c:v>0.7921568751335144</c:v>
                </c:pt>
                <c:pt idx="53">
                  <c:v>0.81960785388946533</c:v>
                </c:pt>
                <c:pt idx="54">
                  <c:v>0.84313726425170898</c:v>
                </c:pt>
                <c:pt idx="55">
                  <c:v>0.87058824300765991</c:v>
                </c:pt>
                <c:pt idx="56">
                  <c:v>0.89411765336990356</c:v>
                </c:pt>
                <c:pt idx="57">
                  <c:v>0.92156863212585449</c:v>
                </c:pt>
                <c:pt idx="58">
                  <c:v>0.94901961088180542</c:v>
                </c:pt>
                <c:pt idx="59">
                  <c:v>0.97647058963775635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8460544"/>
        <c:axId val="218462080"/>
      </c:scatterChart>
      <c:valAx>
        <c:axId val="218460544"/>
        <c:scaling>
          <c:orientation val="minMax"/>
        </c:scaling>
        <c:axPos val="b"/>
        <c:numFmt formatCode="0.00E+00" sourceLinked="1"/>
        <c:tickLblPos val="nextTo"/>
        <c:crossAx val="218462080"/>
        <c:crosses val="autoZero"/>
        <c:crossBetween val="midCat"/>
      </c:valAx>
      <c:valAx>
        <c:axId val="218462080"/>
        <c:scaling>
          <c:orientation val="minMax"/>
        </c:scaling>
        <c:axPos val="l"/>
        <c:majorGridlines/>
        <c:numFmt formatCode="0.000" sourceLinked="1"/>
        <c:tickLblPos val="nextTo"/>
        <c:crossAx val="218460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data0!$O$2:$O$102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3.9215688593685627E-3</c:v>
                </c:pt>
                <c:pt idx="3">
                  <c:v>3.9215688593685627E-3</c:v>
                </c:pt>
                <c:pt idx="4">
                  <c:v>7.8431377187371254E-3</c:v>
                </c:pt>
                <c:pt idx="5">
                  <c:v>1.1764706112444401E-2</c:v>
                </c:pt>
                <c:pt idx="6">
                  <c:v>1.5686275437474251E-2</c:v>
                </c:pt>
                <c:pt idx="7">
                  <c:v>2.3529412224888802E-2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6.2745101749897003E-2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0.11764705926179886</c:v>
                </c:pt>
                <c:pt idx="18">
                  <c:v>0.13333334028720856</c:v>
                </c:pt>
                <c:pt idx="19">
                  <c:v>0.14509804546833038</c:v>
                </c:pt>
                <c:pt idx="20">
                  <c:v>0.16078431904315948</c:v>
                </c:pt>
                <c:pt idx="21">
                  <c:v>0.17647059261798859</c:v>
                </c:pt>
                <c:pt idx="22">
                  <c:v>0.18823529779911041</c:v>
                </c:pt>
                <c:pt idx="23">
                  <c:v>0.20392157137393951</c:v>
                </c:pt>
                <c:pt idx="24">
                  <c:v>0.21568627655506134</c:v>
                </c:pt>
                <c:pt idx="25">
                  <c:v>0.23529411852359772</c:v>
                </c:pt>
                <c:pt idx="26">
                  <c:v>0.25490197539329529</c:v>
                </c:pt>
                <c:pt idx="27">
                  <c:v>0.27058824896812439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0.32549020648002625</c:v>
                </c:pt>
                <c:pt idx="31">
                  <c:v>0.34509804844856262</c:v>
                </c:pt>
                <c:pt idx="32">
                  <c:v>0.364705890417099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0.41568627953529358</c:v>
                </c:pt>
                <c:pt idx="36">
                  <c:v>0.44313725829124451</c:v>
                </c:pt>
                <c:pt idx="37">
                  <c:v>0.47058823704719543</c:v>
                </c:pt>
                <c:pt idx="38">
                  <c:v>0.48627451062202454</c:v>
                </c:pt>
                <c:pt idx="39">
                  <c:v>0.51372551918029785</c:v>
                </c:pt>
                <c:pt idx="40">
                  <c:v>0.53333336114883423</c:v>
                </c:pt>
                <c:pt idx="41">
                  <c:v>0.55686277151107788</c:v>
                </c:pt>
                <c:pt idx="42">
                  <c:v>0.58431375026702881</c:v>
                </c:pt>
                <c:pt idx="43">
                  <c:v>0.60392159223556519</c:v>
                </c:pt>
                <c:pt idx="44">
                  <c:v>0.63137257099151611</c:v>
                </c:pt>
                <c:pt idx="45">
                  <c:v>0.65490198135375977</c:v>
                </c:pt>
                <c:pt idx="46">
                  <c:v>0.68235296010971069</c:v>
                </c:pt>
                <c:pt idx="47">
                  <c:v>0.70588237047195435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0.83921569585800171</c:v>
                </c:pt>
                <c:pt idx="53">
                  <c:v>0.85882353782653809</c:v>
                </c:pt>
                <c:pt idx="54">
                  <c:v>0.89411765336990356</c:v>
                </c:pt>
                <c:pt idx="55">
                  <c:v>0.91764706373214722</c:v>
                </c:pt>
                <c:pt idx="56">
                  <c:v>0.94117647409439087</c:v>
                </c:pt>
                <c:pt idx="57">
                  <c:v>0.94901961088180542</c:v>
                </c:pt>
                <c:pt idx="58">
                  <c:v>0.96470588445663452</c:v>
                </c:pt>
                <c:pt idx="59">
                  <c:v>0.96078431606292725</c:v>
                </c:pt>
                <c:pt idx="60">
                  <c:v>0.97647058963775635</c:v>
                </c:pt>
                <c:pt idx="61">
                  <c:v>0.97254902124404907</c:v>
                </c:pt>
                <c:pt idx="62">
                  <c:v>0.97254902124404907</c:v>
                </c:pt>
                <c:pt idx="63">
                  <c:v>0.97254902124404907</c:v>
                </c:pt>
                <c:pt idx="64">
                  <c:v>0.9843137264251709</c:v>
                </c:pt>
                <c:pt idx="65">
                  <c:v>0.99607843160629272</c:v>
                </c:pt>
                <c:pt idx="66">
                  <c:v>0.99215686321258545</c:v>
                </c:pt>
                <c:pt idx="67">
                  <c:v>0.99607843160629272</c:v>
                </c:pt>
                <c:pt idx="68">
                  <c:v>0.98823529481887817</c:v>
                </c:pt>
                <c:pt idx="69">
                  <c:v>0.99607843160629272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8477696"/>
        <c:axId val="218479232"/>
      </c:scatterChart>
      <c:valAx>
        <c:axId val="218477696"/>
        <c:scaling>
          <c:orientation val="minMax"/>
        </c:scaling>
        <c:axPos val="b"/>
        <c:numFmt formatCode="0.00E+00" sourceLinked="1"/>
        <c:tickLblPos val="nextTo"/>
        <c:crossAx val="218479232"/>
        <c:crosses val="autoZero"/>
        <c:crossBetween val="midCat"/>
      </c:valAx>
      <c:valAx>
        <c:axId val="218479232"/>
        <c:scaling>
          <c:orientation val="minMax"/>
        </c:scaling>
        <c:axPos val="l"/>
        <c:majorGridlines/>
        <c:numFmt formatCode="0.000" sourceLinked="1"/>
        <c:tickLblPos val="nextTo"/>
        <c:crossAx val="2184776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data0!$A$2:$A$102</c:f>
              <c:numCache>
                <c:formatCode>0.00E+00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xVal>
          <c:yVal>
            <c:numRef>
              <c:f>data0!$B$2:$B$102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2.3529412224888802E-2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0.16078431904315948</c:v>
                </c:pt>
                <c:pt idx="21">
                  <c:v>0.18039216101169586</c:v>
                </c:pt>
                <c:pt idx="22">
                  <c:v>0.19215686619281769</c:v>
                </c:pt>
                <c:pt idx="23">
                  <c:v>0.20392157137393951</c:v>
                </c:pt>
                <c:pt idx="24">
                  <c:v>0.21960784494876862</c:v>
                </c:pt>
                <c:pt idx="25">
                  <c:v>0.23921568691730499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0.34509804844856262</c:v>
                </c:pt>
                <c:pt idx="32">
                  <c:v>0.36078432202339172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0.42745098471641541</c:v>
                </c:pt>
                <c:pt idx="36">
                  <c:v>0.44705882668495178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0.53333336114883423</c:v>
                </c:pt>
                <c:pt idx="41">
                  <c:v>0.56078433990478516</c:v>
                </c:pt>
                <c:pt idx="42">
                  <c:v>0.58039218187332153</c:v>
                </c:pt>
                <c:pt idx="43">
                  <c:v>0.60392159223556519</c:v>
                </c:pt>
                <c:pt idx="44">
                  <c:v>0.62745100259780884</c:v>
                </c:pt>
                <c:pt idx="45">
                  <c:v>0.65098041296005249</c:v>
                </c:pt>
                <c:pt idx="46">
                  <c:v>0.67843139171600342</c:v>
                </c:pt>
                <c:pt idx="47">
                  <c:v>0.70196080207824707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0.83137255907058716</c:v>
                </c:pt>
                <c:pt idx="53">
                  <c:v>0.86274510622024536</c:v>
                </c:pt>
                <c:pt idx="54">
                  <c:v>0.88627451658248901</c:v>
                </c:pt>
                <c:pt idx="55">
                  <c:v>0.91764706373214722</c:v>
                </c:pt>
                <c:pt idx="56">
                  <c:v>0.94117647409439087</c:v>
                </c:pt>
                <c:pt idx="57">
                  <c:v>0.97647058963775635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218503424"/>
        <c:axId val="218509312"/>
      </c:scatterChart>
      <c:valAx>
        <c:axId val="218503424"/>
        <c:scaling>
          <c:orientation val="minMax"/>
        </c:scaling>
        <c:axPos val="b"/>
        <c:numFmt formatCode="0.00E+00" sourceLinked="1"/>
        <c:tickLblPos val="nextTo"/>
        <c:crossAx val="218509312"/>
        <c:crosses val="autoZero"/>
        <c:crossBetween val="midCat"/>
      </c:valAx>
      <c:valAx>
        <c:axId val="218509312"/>
        <c:scaling>
          <c:orientation val="minMax"/>
        </c:scaling>
        <c:axPos val="l"/>
        <c:majorGridlines/>
        <c:numFmt formatCode="0.000" sourceLinked="1"/>
        <c:tickLblPos val="nextTo"/>
        <c:crossAx val="218503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3 Sigma</a:t>
            </a:r>
            <a:r>
              <a:rPr lang="en-US" baseline="0"/>
              <a:t> Results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data0!$AJ$1</c:f>
              <c:strCache>
                <c:ptCount val="1"/>
                <c:pt idx="0">
                  <c:v>-1.5S</c:v>
                </c:pt>
              </c:strCache>
            </c:strRef>
          </c:tx>
          <c:marker>
            <c:symbol val="none"/>
          </c:marker>
          <c:xVal>
            <c:numRef>
              <c:f>data0!$A$2:$A$72</c:f>
              <c:numCache>
                <c:formatCode>0.00E+00</c:formatCode>
                <c:ptCount val="7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</c:numCache>
            </c:numRef>
          </c:xVal>
          <c:yVal>
            <c:numRef>
              <c:f>data0!$AJ$2:$AJ$72</c:f>
              <c:numCache>
                <c:formatCode>General</c:formatCode>
                <c:ptCount val="71"/>
                <c:pt idx="0">
                  <c:v>-1.8615929450993694E-3</c:v>
                </c:pt>
                <c:pt idx="1">
                  <c:v>-1.8823092416420458E-3</c:v>
                </c:pt>
                <c:pt idx="2">
                  <c:v>-1.0306671607942042E-3</c:v>
                </c:pt>
                <c:pt idx="3">
                  <c:v>-6.4929354832460318E-5</c:v>
                </c:pt>
                <c:pt idx="4">
                  <c:v>3.1350018033849212E-3</c:v>
                </c:pt>
                <c:pt idx="5">
                  <c:v>7.2428752946279585E-3</c:v>
                </c:pt>
                <c:pt idx="6">
                  <c:v>1.3796580242349636E-2</c:v>
                </c:pt>
                <c:pt idx="7">
                  <c:v>1.8792842987930693E-2</c:v>
                </c:pt>
                <c:pt idx="8">
                  <c:v>2.5947719096826354E-2</c:v>
                </c:pt>
                <c:pt idx="9">
                  <c:v>3.2751122198076944E-2</c:v>
                </c:pt>
                <c:pt idx="10">
                  <c:v>4.2276941051155481E-2</c:v>
                </c:pt>
                <c:pt idx="11">
                  <c:v>5.0939428651956185E-2</c:v>
                </c:pt>
                <c:pt idx="12">
                  <c:v>6.1557745815032483E-2</c:v>
                </c:pt>
                <c:pt idx="13">
                  <c:v>7.056337646865582E-2</c:v>
                </c:pt>
                <c:pt idx="14">
                  <c:v>8.2191212542507372E-2</c:v>
                </c:pt>
                <c:pt idx="15">
                  <c:v>9.2013577200312835E-2</c:v>
                </c:pt>
                <c:pt idx="16">
                  <c:v>0.10372741257033585</c:v>
                </c:pt>
                <c:pt idx="17">
                  <c:v>0.1156566076466935</c:v>
                </c:pt>
                <c:pt idx="18">
                  <c:v>0.12968579644702255</c:v>
                </c:pt>
                <c:pt idx="19">
                  <c:v>0.14112421730475691</c:v>
                </c:pt>
                <c:pt idx="20">
                  <c:v>0.15599560257587</c:v>
                </c:pt>
                <c:pt idx="21">
                  <c:v>0.16834881815797059</c:v>
                </c:pt>
                <c:pt idx="22">
                  <c:v>0.18386186612086661</c:v>
                </c:pt>
                <c:pt idx="23">
                  <c:v>0.19827937297040255</c:v>
                </c:pt>
                <c:pt idx="24">
                  <c:v>0.21233021829128892</c:v>
                </c:pt>
                <c:pt idx="25">
                  <c:v>0.22715919820126768</c:v>
                </c:pt>
                <c:pt idx="26">
                  <c:v>0.24492096045827283</c:v>
                </c:pt>
                <c:pt idx="27">
                  <c:v>0.26191932362393344</c:v>
                </c:pt>
                <c:pt idx="28">
                  <c:v>0.27911471393272791</c:v>
                </c:pt>
                <c:pt idx="29">
                  <c:v>0.29657863998017225</c:v>
                </c:pt>
                <c:pt idx="30">
                  <c:v>0.3155091516260754</c:v>
                </c:pt>
                <c:pt idx="31">
                  <c:v>0.33321583201381688</c:v>
                </c:pt>
                <c:pt idx="32">
                  <c:v>0.35317594127836061</c:v>
                </c:pt>
                <c:pt idx="33">
                  <c:v>0.37002970643451272</c:v>
                </c:pt>
                <c:pt idx="34">
                  <c:v>0.3914072361866584</c:v>
                </c:pt>
                <c:pt idx="35">
                  <c:v>0.41310757245815555</c:v>
                </c:pt>
                <c:pt idx="36">
                  <c:v>0.43120300835389663</c:v>
                </c:pt>
                <c:pt idx="37">
                  <c:v>0.45112709546555563</c:v>
                </c:pt>
                <c:pt idx="38">
                  <c:v>0.47328192558338067</c:v>
                </c:pt>
                <c:pt idx="39">
                  <c:v>0.49657175569558476</c:v>
                </c:pt>
                <c:pt idx="40">
                  <c:v>0.51835710523243805</c:v>
                </c:pt>
                <c:pt idx="41">
                  <c:v>0.54019203216088907</c:v>
                </c:pt>
                <c:pt idx="42">
                  <c:v>0.56295453736376422</c:v>
                </c:pt>
                <c:pt idx="43">
                  <c:v>0.58728456383182903</c:v>
                </c:pt>
                <c:pt idx="44">
                  <c:v>0.60994470820152624</c:v>
                </c:pt>
                <c:pt idx="45">
                  <c:v>0.63378261689651105</c:v>
                </c:pt>
                <c:pt idx="46">
                  <c:v>0.65741610837792286</c:v>
                </c:pt>
                <c:pt idx="47">
                  <c:v>0.68220256158692738</c:v>
                </c:pt>
                <c:pt idx="48">
                  <c:v>0.7075037880400934</c:v>
                </c:pt>
                <c:pt idx="49">
                  <c:v>0.73252295136307788</c:v>
                </c:pt>
                <c:pt idx="50">
                  <c:v>0.75912192830958947</c:v>
                </c:pt>
                <c:pt idx="51">
                  <c:v>0.7836333659368967</c:v>
                </c:pt>
                <c:pt idx="52">
                  <c:v>0.80935737562362831</c:v>
                </c:pt>
                <c:pt idx="53">
                  <c:v>0.83706217206489031</c:v>
                </c:pt>
                <c:pt idx="54">
                  <c:v>0.86176701871322015</c:v>
                </c:pt>
                <c:pt idx="55">
                  <c:v>0.89010105397382866</c:v>
                </c:pt>
                <c:pt idx="56">
                  <c:v>0.91923917768162722</c:v>
                </c:pt>
                <c:pt idx="57">
                  <c:v>0.94737617210718039</c:v>
                </c:pt>
                <c:pt idx="58">
                  <c:v>0.97236696373618658</c:v>
                </c:pt>
                <c:pt idx="59">
                  <c:v>0.98194178078548267</c:v>
                </c:pt>
                <c:pt idx="60">
                  <c:v>0.98995427645077605</c:v>
                </c:pt>
                <c:pt idx="61">
                  <c:v>0.98968093406315516</c:v>
                </c:pt>
                <c:pt idx="62">
                  <c:v>0.98968093406315516</c:v>
                </c:pt>
                <c:pt idx="63">
                  <c:v>0.99055717450273362</c:v>
                </c:pt>
                <c:pt idx="64">
                  <c:v>0.99431232299033534</c:v>
                </c:pt>
                <c:pt idx="65">
                  <c:v>0.99806747147793695</c:v>
                </c:pt>
                <c:pt idx="66">
                  <c:v>0.99681575531540312</c:v>
                </c:pt>
                <c:pt idx="67">
                  <c:v>0.99806747147793695</c:v>
                </c:pt>
                <c:pt idx="68">
                  <c:v>0.99556403915286917</c:v>
                </c:pt>
                <c:pt idx="69">
                  <c:v>0.99806747147793695</c:v>
                </c:pt>
                <c:pt idx="70">
                  <c:v>0.99899999999999911</c:v>
                </c:pt>
              </c:numCache>
            </c:numRef>
          </c:yVal>
        </c:ser>
        <c:ser>
          <c:idx val="1"/>
          <c:order val="1"/>
          <c:tx>
            <c:strRef>
              <c:f>data0!$AK$1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xVal>
            <c:numRef>
              <c:f>data0!$A$2:$A$72</c:f>
              <c:numCache>
                <c:formatCode>0.00E+00</c:formatCode>
                <c:ptCount val="7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</c:numCache>
            </c:numRef>
          </c:xVal>
          <c:yVal>
            <c:numRef>
              <c:f>data0!$AK$2:$AK$72</c:f>
              <c:numCache>
                <c:formatCode>0.000</c:formatCode>
                <c:ptCount val="71"/>
                <c:pt idx="0">
                  <c:v>2.6610645665121929E-3</c:v>
                </c:pt>
                <c:pt idx="1">
                  <c:v>2.6610645665121929E-3</c:v>
                </c:pt>
                <c:pt idx="2">
                  <c:v>3.2212886892791304E-3</c:v>
                </c:pt>
                <c:pt idx="3">
                  <c:v>4.901961024318423E-3</c:v>
                </c:pt>
                <c:pt idx="4">
                  <c:v>8.8235297173793834E-3</c:v>
                </c:pt>
                <c:pt idx="5">
                  <c:v>1.3305322549838041E-2</c:v>
                </c:pt>
                <c:pt idx="6">
                  <c:v>1.9187675755737082E-2</c:v>
                </c:pt>
                <c:pt idx="7">
                  <c:v>2.5490196621311561E-2</c:v>
                </c:pt>
                <c:pt idx="8">
                  <c:v>3.3193278525556834E-2</c:v>
                </c:pt>
                <c:pt idx="9">
                  <c:v>4.0196079760789871E-2</c:v>
                </c:pt>
                <c:pt idx="10">
                  <c:v>4.9159664660692215E-2</c:v>
                </c:pt>
                <c:pt idx="11">
                  <c:v>5.7983194211763997E-2</c:v>
                </c:pt>
                <c:pt idx="12">
                  <c:v>6.8627454207411828E-2</c:v>
                </c:pt>
                <c:pt idx="13">
                  <c:v>7.8991599380970001E-2</c:v>
                </c:pt>
                <c:pt idx="14">
                  <c:v>9.0196080505847931E-2</c:v>
                </c:pt>
                <c:pt idx="15">
                  <c:v>0.10112044960260391</c:v>
                </c:pt>
                <c:pt idx="16">
                  <c:v>0.11372549140027591</c:v>
                </c:pt>
                <c:pt idx="17">
                  <c:v>0.12647059293729918</c:v>
                </c:pt>
                <c:pt idx="18">
                  <c:v>0.13935574889183044</c:v>
                </c:pt>
                <c:pt idx="19">
                  <c:v>0.15266107022762299</c:v>
                </c:pt>
                <c:pt idx="20">
                  <c:v>0.16722689568996429</c:v>
                </c:pt>
                <c:pt idx="21">
                  <c:v>0.18165266513824463</c:v>
                </c:pt>
                <c:pt idx="22">
                  <c:v>0.19635854661464691</c:v>
                </c:pt>
                <c:pt idx="23">
                  <c:v>0.21204482018947601</c:v>
                </c:pt>
                <c:pt idx="24">
                  <c:v>0.22717086970806122</c:v>
                </c:pt>
                <c:pt idx="25">
                  <c:v>0.24397759565285274</c:v>
                </c:pt>
                <c:pt idx="26">
                  <c:v>0.26162466247166904</c:v>
                </c:pt>
                <c:pt idx="27">
                  <c:v>0.27899160981178284</c:v>
                </c:pt>
                <c:pt idx="28">
                  <c:v>0.2970588356256485</c:v>
                </c:pt>
                <c:pt idx="29">
                  <c:v>0.31512606143951416</c:v>
                </c:pt>
                <c:pt idx="30">
                  <c:v>0.33501401543617249</c:v>
                </c:pt>
                <c:pt idx="31">
                  <c:v>0.3533613532781601</c:v>
                </c:pt>
                <c:pt idx="32">
                  <c:v>0.37366947531700134</c:v>
                </c:pt>
                <c:pt idx="33">
                  <c:v>0.39327731728553772</c:v>
                </c:pt>
                <c:pt idx="34">
                  <c:v>0.41428571939468384</c:v>
                </c:pt>
                <c:pt idx="35">
                  <c:v>0.4355742335319519</c:v>
                </c:pt>
                <c:pt idx="36">
                  <c:v>0.4561624675989151</c:v>
                </c:pt>
                <c:pt idx="37">
                  <c:v>0.47815126712833134</c:v>
                </c:pt>
                <c:pt idx="38">
                  <c:v>0.50042018294334412</c:v>
                </c:pt>
                <c:pt idx="39">
                  <c:v>0.52366949404988972</c:v>
                </c:pt>
                <c:pt idx="40">
                  <c:v>0.54621851444244385</c:v>
                </c:pt>
                <c:pt idx="41">
                  <c:v>0.56988798081874847</c:v>
                </c:pt>
                <c:pt idx="42">
                  <c:v>0.59341739118099213</c:v>
                </c:pt>
                <c:pt idx="43">
                  <c:v>0.61848741769790649</c:v>
                </c:pt>
                <c:pt idx="44">
                  <c:v>0.64229694008827209</c:v>
                </c:pt>
                <c:pt idx="45">
                  <c:v>0.66736696660518646</c:v>
                </c:pt>
                <c:pt idx="46">
                  <c:v>0.6925770491361618</c:v>
                </c:pt>
                <c:pt idx="47">
                  <c:v>0.71792718768119812</c:v>
                </c:pt>
                <c:pt idx="48">
                  <c:v>0.74383755028247833</c:v>
                </c:pt>
                <c:pt idx="49">
                  <c:v>0.77072830498218536</c:v>
                </c:pt>
                <c:pt idx="50">
                  <c:v>0.79775911569595337</c:v>
                </c:pt>
                <c:pt idx="51">
                  <c:v>0.82352942228317261</c:v>
                </c:pt>
                <c:pt idx="52">
                  <c:v>0.85112045705318451</c:v>
                </c:pt>
                <c:pt idx="53">
                  <c:v>0.87885154783725739</c:v>
                </c:pt>
                <c:pt idx="54">
                  <c:v>0.90574230253696442</c:v>
                </c:pt>
                <c:pt idx="55">
                  <c:v>0.93473389744758606</c:v>
                </c:pt>
                <c:pt idx="56">
                  <c:v>0.9599054645640509</c:v>
                </c:pt>
                <c:pt idx="57">
                  <c:v>0.97884593961920052</c:v>
                </c:pt>
                <c:pt idx="58">
                  <c:v>0.99200280155454323</c:v>
                </c:pt>
                <c:pt idx="59">
                  <c:v>0.99529271732057811</c:v>
                </c:pt>
                <c:pt idx="60">
                  <c:v>0.99742647068841073</c:v>
                </c:pt>
                <c:pt idx="61">
                  <c:v>0.99767086843081842</c:v>
                </c:pt>
                <c:pt idx="62">
                  <c:v>0.99767086843081842</c:v>
                </c:pt>
                <c:pt idx="63">
                  <c:v>0.9980553221872871</c:v>
                </c:pt>
                <c:pt idx="64">
                  <c:v>0.99847549022947002</c:v>
                </c:pt>
                <c:pt idx="65">
                  <c:v>0.99889565827165294</c:v>
                </c:pt>
                <c:pt idx="66">
                  <c:v>0.99875560225759197</c:v>
                </c:pt>
                <c:pt idx="67">
                  <c:v>0.99889565827165294</c:v>
                </c:pt>
                <c:pt idx="68">
                  <c:v>0.99861554624353099</c:v>
                </c:pt>
                <c:pt idx="69">
                  <c:v>0.99889565827165294</c:v>
                </c:pt>
                <c:pt idx="70">
                  <c:v>0.99899999999999967</c:v>
                </c:pt>
              </c:numCache>
            </c:numRef>
          </c:yVal>
        </c:ser>
        <c:ser>
          <c:idx val="2"/>
          <c:order val="2"/>
          <c:tx>
            <c:strRef>
              <c:f>data0!$AL$1</c:f>
              <c:strCache>
                <c:ptCount val="1"/>
                <c:pt idx="0">
                  <c:v>+1.5S</c:v>
                </c:pt>
              </c:strCache>
            </c:strRef>
          </c:tx>
          <c:marker>
            <c:symbol val="none"/>
          </c:marker>
          <c:xVal>
            <c:numRef>
              <c:f>data0!$A$2:$A$72</c:f>
              <c:numCache>
                <c:formatCode>0.00E+00</c:formatCode>
                <c:ptCount val="7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</c:numCache>
            </c:numRef>
          </c:xVal>
          <c:yVal>
            <c:numRef>
              <c:f>data0!$AL$2:$AL$72</c:f>
              <c:numCache>
                <c:formatCode>General</c:formatCode>
                <c:ptCount val="71"/>
                <c:pt idx="0">
                  <c:v>7.1837220781237558E-3</c:v>
                </c:pt>
                <c:pt idx="1">
                  <c:v>7.2044383746664321E-3</c:v>
                </c:pt>
                <c:pt idx="2">
                  <c:v>7.473244539352465E-3</c:v>
                </c:pt>
                <c:pt idx="3">
                  <c:v>9.8688514034693062E-3</c:v>
                </c:pt>
                <c:pt idx="4">
                  <c:v>1.4512057631373846E-2</c:v>
                </c:pt>
                <c:pt idx="5">
                  <c:v>1.9367769805048125E-2</c:v>
                </c:pt>
                <c:pt idx="6">
                  <c:v>2.4578771269124527E-2</c:v>
                </c:pt>
                <c:pt idx="7">
                  <c:v>3.2187550254692429E-2</c:v>
                </c:pt>
                <c:pt idx="8">
                  <c:v>4.0438837954287314E-2</c:v>
                </c:pt>
                <c:pt idx="9">
                  <c:v>4.7641037323502798E-2</c:v>
                </c:pt>
                <c:pt idx="10">
                  <c:v>5.6042388270228949E-2</c:v>
                </c:pt>
                <c:pt idx="11">
                  <c:v>6.5026959771571802E-2</c:v>
                </c:pt>
                <c:pt idx="12">
                  <c:v>7.5697162599791173E-2</c:v>
                </c:pt>
                <c:pt idx="13">
                  <c:v>8.7419822293284183E-2</c:v>
                </c:pt>
                <c:pt idx="14">
                  <c:v>9.820094846918849E-2</c:v>
                </c:pt>
                <c:pt idx="15">
                  <c:v>0.11022732200489499</c:v>
                </c:pt>
                <c:pt idx="16">
                  <c:v>0.12372357023021596</c:v>
                </c:pt>
                <c:pt idx="17">
                  <c:v>0.13728457822790485</c:v>
                </c:pt>
                <c:pt idx="18">
                  <c:v>0.14902570133663834</c:v>
                </c:pt>
                <c:pt idx="19">
                  <c:v>0.16419792315048906</c:v>
                </c:pt>
                <c:pt idx="20">
                  <c:v>0.17845818880405859</c:v>
                </c:pt>
                <c:pt idx="21">
                  <c:v>0.19495651211851867</c:v>
                </c:pt>
                <c:pt idx="22">
                  <c:v>0.20885522710842722</c:v>
                </c:pt>
                <c:pt idx="23">
                  <c:v>0.22581026740854948</c:v>
                </c:pt>
                <c:pt idx="24">
                  <c:v>0.24201152112483351</c:v>
                </c:pt>
                <c:pt idx="25">
                  <c:v>0.2607959931044378</c:v>
                </c:pt>
                <c:pt idx="26">
                  <c:v>0.27832836448506526</c:v>
                </c:pt>
                <c:pt idx="27">
                  <c:v>0.29606389599963223</c:v>
                </c:pt>
                <c:pt idx="28">
                  <c:v>0.31500295731856909</c:v>
                </c:pt>
                <c:pt idx="29">
                  <c:v>0.33367348289885607</c:v>
                </c:pt>
                <c:pt idx="30">
                  <c:v>0.35451887924626957</c:v>
                </c:pt>
                <c:pt idx="31">
                  <c:v>0.37350687454250331</c:v>
                </c:pt>
                <c:pt idx="32">
                  <c:v>0.39416300935564208</c:v>
                </c:pt>
                <c:pt idx="33">
                  <c:v>0.41652492813656272</c:v>
                </c:pt>
                <c:pt idx="34">
                  <c:v>0.43716420260270927</c:v>
                </c:pt>
                <c:pt idx="35">
                  <c:v>0.45804089460574826</c:v>
                </c:pt>
                <c:pt idx="36">
                  <c:v>0.48112192684393357</c:v>
                </c:pt>
                <c:pt idx="37">
                  <c:v>0.50517543879110705</c:v>
                </c:pt>
                <c:pt idx="38">
                  <c:v>0.52755844030330756</c:v>
                </c:pt>
                <c:pt idx="39">
                  <c:v>0.55076723240419467</c:v>
                </c:pt>
                <c:pt idx="40">
                  <c:v>0.57407992365244964</c:v>
                </c:pt>
                <c:pt idx="41">
                  <c:v>0.59958392947660788</c:v>
                </c:pt>
                <c:pt idx="42">
                  <c:v>0.62388024499822003</c:v>
                </c:pt>
                <c:pt idx="43">
                  <c:v>0.64969027156398396</c:v>
                </c:pt>
                <c:pt idx="44">
                  <c:v>0.67464917197501795</c:v>
                </c:pt>
                <c:pt idx="45">
                  <c:v>0.70095131631386187</c:v>
                </c:pt>
                <c:pt idx="46">
                  <c:v>0.72773798989440075</c:v>
                </c:pt>
                <c:pt idx="47">
                  <c:v>0.75365181377546886</c:v>
                </c:pt>
                <c:pt idx="48">
                  <c:v>0.78017131252486327</c:v>
                </c:pt>
                <c:pt idx="49">
                  <c:v>0.80893365860129285</c:v>
                </c:pt>
                <c:pt idx="50">
                  <c:v>0.83639630308231727</c:v>
                </c:pt>
                <c:pt idx="51">
                  <c:v>0.86342547862944852</c:v>
                </c:pt>
                <c:pt idx="52">
                  <c:v>0.89288353848274071</c:v>
                </c:pt>
                <c:pt idx="53">
                  <c:v>0.92064092360962446</c:v>
                </c:pt>
                <c:pt idx="54">
                  <c:v>0.94971758636070869</c:v>
                </c:pt>
                <c:pt idx="55">
                  <c:v>0.97936674092134346</c:v>
                </c:pt>
                <c:pt idx="56">
                  <c:v>1.0005717514464747</c:v>
                </c:pt>
                <c:pt idx="57">
                  <c:v>1.0103157071312205</c:v>
                </c:pt>
                <c:pt idx="58">
                  <c:v>1.0116386393728998</c:v>
                </c:pt>
                <c:pt idx="59">
                  <c:v>1.0086436538556736</c:v>
                </c:pt>
                <c:pt idx="60">
                  <c:v>1.0048986649260454</c:v>
                </c:pt>
                <c:pt idx="61">
                  <c:v>1.0056608027984817</c:v>
                </c:pt>
                <c:pt idx="62">
                  <c:v>1.0056608027984817</c:v>
                </c:pt>
                <c:pt idx="63">
                  <c:v>1.0055534698718405</c:v>
                </c:pt>
                <c:pt idx="64">
                  <c:v>1.0026386574686048</c:v>
                </c:pt>
                <c:pt idx="65">
                  <c:v>0.99972384506536893</c:v>
                </c:pt>
                <c:pt idx="66">
                  <c:v>1.0006954491997808</c:v>
                </c:pt>
                <c:pt idx="67">
                  <c:v>0.99972384506536893</c:v>
                </c:pt>
                <c:pt idx="68">
                  <c:v>1.0016670533341927</c:v>
                </c:pt>
                <c:pt idx="69">
                  <c:v>0.99972384506536893</c:v>
                </c:pt>
                <c:pt idx="70">
                  <c:v>0.99900000000000022</c:v>
                </c:pt>
              </c:numCache>
            </c:numRef>
          </c:yVal>
        </c:ser>
        <c:axId val="218564864"/>
        <c:axId val="218579328"/>
      </c:scatterChart>
      <c:valAx>
        <c:axId val="218564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</a:t>
                </a:r>
                <a:r>
                  <a:rPr lang="en-US" baseline="0"/>
                  <a:t> Power in Watts</a:t>
                </a:r>
                <a:endParaRPr lang="en-US"/>
              </a:p>
            </c:rich>
          </c:tx>
          <c:layout/>
        </c:title>
        <c:numFmt formatCode="0.00E+00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18579328"/>
        <c:crosses val="autoZero"/>
        <c:crossBetween val="midCat"/>
      </c:valAx>
      <c:valAx>
        <c:axId val="2185793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2185648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Raw</a:t>
            </a:r>
            <a:r>
              <a:rPr lang="en-US" baseline="0"/>
              <a:t> Measurement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data0!$AH$2:$AH$102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data0!$B$2:$B$102</c:f>
              <c:numCache>
                <c:formatCode>0.000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3.9215688593685627E-3</c:v>
                </c:pt>
                <c:pt idx="4">
                  <c:v>1.1764706112444401E-2</c:v>
                </c:pt>
                <c:pt idx="5">
                  <c:v>1.1764706112444401E-2</c:v>
                </c:pt>
                <c:pt idx="6">
                  <c:v>1.9607843831181526E-2</c:v>
                </c:pt>
                <c:pt idx="7">
                  <c:v>2.3529412224888802E-2</c:v>
                </c:pt>
                <c:pt idx="8">
                  <c:v>2.7450980618596077E-2</c:v>
                </c:pt>
                <c:pt idx="9">
                  <c:v>3.5294119268655777E-2</c:v>
                </c:pt>
                <c:pt idx="10">
                  <c:v>4.3137256056070328E-2</c:v>
                </c:pt>
                <c:pt idx="11">
                  <c:v>5.8823529630899429E-2</c:v>
                </c:pt>
                <c:pt idx="12">
                  <c:v>6.6666670143604279E-2</c:v>
                </c:pt>
                <c:pt idx="13">
                  <c:v>7.4509806931018829E-2</c:v>
                </c:pt>
                <c:pt idx="14">
                  <c:v>8.6274512112140656E-2</c:v>
                </c:pt>
                <c:pt idx="15">
                  <c:v>9.8039217293262482E-2</c:v>
                </c:pt>
                <c:pt idx="16">
                  <c:v>0.10980392247438431</c:v>
                </c:pt>
                <c:pt idx="17">
                  <c:v>0.12549020349979401</c:v>
                </c:pt>
                <c:pt idx="18">
                  <c:v>0.13725490868091583</c:v>
                </c:pt>
                <c:pt idx="19">
                  <c:v>0.14901961386203766</c:v>
                </c:pt>
                <c:pt idx="20">
                  <c:v>0.16078431904315948</c:v>
                </c:pt>
                <c:pt idx="21">
                  <c:v>0.18039216101169586</c:v>
                </c:pt>
                <c:pt idx="22">
                  <c:v>0.19215686619281769</c:v>
                </c:pt>
                <c:pt idx="23">
                  <c:v>0.20392157137393951</c:v>
                </c:pt>
                <c:pt idx="24">
                  <c:v>0.21960784494876862</c:v>
                </c:pt>
                <c:pt idx="25">
                  <c:v>0.23921568691730499</c:v>
                </c:pt>
                <c:pt idx="26">
                  <c:v>0.25882354378700256</c:v>
                </c:pt>
                <c:pt idx="27">
                  <c:v>0.27450981736183167</c:v>
                </c:pt>
                <c:pt idx="28">
                  <c:v>0.29019609093666077</c:v>
                </c:pt>
                <c:pt idx="29">
                  <c:v>0.30588236451148987</c:v>
                </c:pt>
                <c:pt idx="30">
                  <c:v>0.32156863808631897</c:v>
                </c:pt>
                <c:pt idx="31">
                  <c:v>0.34509804844856262</c:v>
                </c:pt>
                <c:pt idx="32">
                  <c:v>0.36078432202339172</c:v>
                </c:pt>
                <c:pt idx="33">
                  <c:v>0.38431373238563538</c:v>
                </c:pt>
                <c:pt idx="34">
                  <c:v>0.40784314274787903</c:v>
                </c:pt>
                <c:pt idx="35">
                  <c:v>0.42745098471641541</c:v>
                </c:pt>
                <c:pt idx="36">
                  <c:v>0.44705882668495178</c:v>
                </c:pt>
                <c:pt idx="37">
                  <c:v>0.46274510025978088</c:v>
                </c:pt>
                <c:pt idx="38">
                  <c:v>0.48627451062202454</c:v>
                </c:pt>
                <c:pt idx="39">
                  <c:v>0.50980395078659058</c:v>
                </c:pt>
                <c:pt idx="40">
                  <c:v>0.53333336114883423</c:v>
                </c:pt>
                <c:pt idx="41">
                  <c:v>0.56078433990478516</c:v>
                </c:pt>
                <c:pt idx="42">
                  <c:v>0.58039218187332153</c:v>
                </c:pt>
                <c:pt idx="43">
                  <c:v>0.60392159223556519</c:v>
                </c:pt>
                <c:pt idx="44">
                  <c:v>0.62745100259780884</c:v>
                </c:pt>
                <c:pt idx="45">
                  <c:v>0.65098041296005249</c:v>
                </c:pt>
                <c:pt idx="46">
                  <c:v>0.67843139171600342</c:v>
                </c:pt>
                <c:pt idx="47">
                  <c:v>0.70196080207824707</c:v>
                </c:pt>
                <c:pt idx="48">
                  <c:v>0.729411780834198</c:v>
                </c:pt>
                <c:pt idx="49">
                  <c:v>0.75294119119644165</c:v>
                </c:pt>
                <c:pt idx="50">
                  <c:v>0.78431373834609985</c:v>
                </c:pt>
                <c:pt idx="51">
                  <c:v>0.80784314870834351</c:v>
                </c:pt>
                <c:pt idx="52">
                  <c:v>0.83137255907058716</c:v>
                </c:pt>
                <c:pt idx="53">
                  <c:v>0.86274510622024536</c:v>
                </c:pt>
                <c:pt idx="54">
                  <c:v>0.88627451658248901</c:v>
                </c:pt>
                <c:pt idx="55">
                  <c:v>0.91764706373214722</c:v>
                </c:pt>
                <c:pt idx="56">
                  <c:v>0.94117647409439087</c:v>
                </c:pt>
                <c:pt idx="57">
                  <c:v>0.97647058963775635</c:v>
                </c:pt>
                <c:pt idx="58">
                  <c:v>0.999</c:v>
                </c:pt>
                <c:pt idx="59">
                  <c:v>0.999</c:v>
                </c:pt>
                <c:pt idx="60">
                  <c:v>0.999</c:v>
                </c:pt>
                <c:pt idx="61">
                  <c:v>0.999</c:v>
                </c:pt>
                <c:pt idx="62">
                  <c:v>0.999</c:v>
                </c:pt>
                <c:pt idx="63">
                  <c:v>0.999</c:v>
                </c:pt>
                <c:pt idx="64">
                  <c:v>0.999</c:v>
                </c:pt>
                <c:pt idx="65">
                  <c:v>0.999</c:v>
                </c:pt>
                <c:pt idx="66">
                  <c:v>0.999</c:v>
                </c:pt>
                <c:pt idx="67">
                  <c:v>0.999</c:v>
                </c:pt>
                <c:pt idx="68">
                  <c:v>0.999</c:v>
                </c:pt>
                <c:pt idx="69">
                  <c:v>0.999</c:v>
                </c:pt>
                <c:pt idx="70">
                  <c:v>0.999</c:v>
                </c:pt>
                <c:pt idx="71">
                  <c:v>0.999</c:v>
                </c:pt>
                <c:pt idx="72">
                  <c:v>0.999</c:v>
                </c:pt>
                <c:pt idx="73">
                  <c:v>0.999</c:v>
                </c:pt>
                <c:pt idx="74">
                  <c:v>0.999</c:v>
                </c:pt>
                <c:pt idx="75">
                  <c:v>0.999</c:v>
                </c:pt>
                <c:pt idx="76">
                  <c:v>0.999</c:v>
                </c:pt>
                <c:pt idx="77">
                  <c:v>0.999</c:v>
                </c:pt>
                <c:pt idx="78">
                  <c:v>0.999</c:v>
                </c:pt>
                <c:pt idx="79">
                  <c:v>0.999</c:v>
                </c:pt>
                <c:pt idx="80">
                  <c:v>0.999</c:v>
                </c:pt>
                <c:pt idx="81">
                  <c:v>0.999</c:v>
                </c:pt>
                <c:pt idx="82">
                  <c:v>0.999</c:v>
                </c:pt>
                <c:pt idx="83">
                  <c:v>0.999</c:v>
                </c:pt>
                <c:pt idx="84">
                  <c:v>0.999</c:v>
                </c:pt>
                <c:pt idx="85">
                  <c:v>0.999</c:v>
                </c:pt>
                <c:pt idx="86">
                  <c:v>0.999</c:v>
                </c:pt>
                <c:pt idx="87">
                  <c:v>0.999</c:v>
                </c:pt>
                <c:pt idx="88">
                  <c:v>0.999</c:v>
                </c:pt>
                <c:pt idx="89">
                  <c:v>0.999</c:v>
                </c:pt>
                <c:pt idx="90">
                  <c:v>0.999</c:v>
                </c:pt>
                <c:pt idx="91">
                  <c:v>0.999</c:v>
                </c:pt>
                <c:pt idx="92">
                  <c:v>0.999</c:v>
                </c:pt>
                <c:pt idx="93">
                  <c:v>0.999</c:v>
                </c:pt>
                <c:pt idx="94">
                  <c:v>0.999</c:v>
                </c:pt>
                <c:pt idx="95">
                  <c:v>0.999</c:v>
                </c:pt>
                <c:pt idx="96">
                  <c:v>0.999</c:v>
                </c:pt>
                <c:pt idx="97">
                  <c:v>0.999</c:v>
                </c:pt>
                <c:pt idx="98">
                  <c:v>0.999</c:v>
                </c:pt>
                <c:pt idx="99">
                  <c:v>0.999</c:v>
                </c:pt>
                <c:pt idx="100">
                  <c:v>0.999</c:v>
                </c:pt>
              </c:numCache>
            </c:numRef>
          </c:yVal>
        </c:ser>
        <c:axId val="66603264"/>
        <c:axId val="238191360"/>
      </c:scatterChart>
      <c:valAx>
        <c:axId val="66603264"/>
        <c:scaling>
          <c:orientation val="minMax"/>
          <c:max val="1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Measurment Index</a:t>
                </a:r>
              </a:p>
            </c:rich>
          </c:tx>
          <c:layout/>
        </c:title>
        <c:numFmt formatCode="General" sourceLinked="1"/>
        <c:tickLblPos val="nextTo"/>
        <c:crossAx val="238191360"/>
        <c:crosses val="autoZero"/>
        <c:crossBetween val="midCat"/>
      </c:valAx>
      <c:valAx>
        <c:axId val="238191360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%" sourceLinked="0"/>
        <c:tickLblPos val="nextTo"/>
        <c:crossAx val="66603264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Calibration Curve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data4!$L$1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data4!$A$2:$A$102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data4!$L$2:$L$102</c:f>
              <c:numCache>
                <c:formatCode>General</c:formatCode>
                <c:ptCount val="101"/>
                <c:pt idx="0">
                  <c:v>8.5229872048842026E-8</c:v>
                </c:pt>
                <c:pt idx="1">
                  <c:v>1.6399643598674629E-7</c:v>
                </c:pt>
                <c:pt idx="2">
                  <c:v>2.9395392431297296E-7</c:v>
                </c:pt>
                <c:pt idx="3">
                  <c:v>4.9792170386808721E-7</c:v>
                </c:pt>
                <c:pt idx="4">
                  <c:v>7.6581098795713842E-7</c:v>
                </c:pt>
                <c:pt idx="5">
                  <c:v>1.1026266832914189E-6</c:v>
                </c:pt>
                <c:pt idx="6">
                  <c:v>1.5002202218283855E-6</c:v>
                </c:pt>
                <c:pt idx="7">
                  <c:v>1.9670463871079846E-6</c:v>
                </c:pt>
                <c:pt idx="8">
                  <c:v>2.4763025407992245E-6</c:v>
                </c:pt>
                <c:pt idx="9">
                  <c:v>3.0608769350237708E-6</c:v>
                </c:pt>
                <c:pt idx="10">
                  <c:v>3.6515393446734379E-6</c:v>
                </c:pt>
                <c:pt idx="11">
                  <c:v>4.3369595914555248E-6</c:v>
                </c:pt>
                <c:pt idx="12">
                  <c:v>5.0019438049275777E-6</c:v>
                </c:pt>
                <c:pt idx="13">
                  <c:v>5.7817305787466466E-6</c:v>
                </c:pt>
                <c:pt idx="14">
                  <c:v>6.5475581436658103E-6</c:v>
                </c:pt>
                <c:pt idx="15">
                  <c:v>7.3541461915738182E-6</c:v>
                </c:pt>
                <c:pt idx="16">
                  <c:v>8.1947116541414289E-6</c:v>
                </c:pt>
                <c:pt idx="17">
                  <c:v>9.075257480617438E-6</c:v>
                </c:pt>
                <c:pt idx="18">
                  <c:v>9.9878080845883233E-6</c:v>
                </c:pt>
                <c:pt idx="19">
                  <c:v>1.0922018191195093E-5</c:v>
                </c:pt>
                <c:pt idx="20">
                  <c:v>1.1928623735002475E-5</c:v>
                </c:pt>
                <c:pt idx="21">
                  <c:v>1.2921527172693459E-5</c:v>
                </c:pt>
                <c:pt idx="22">
                  <c:v>1.3974344824418949E-5</c:v>
                </c:pt>
                <c:pt idx="23">
                  <c:v>1.4983541291258007E-5</c:v>
                </c:pt>
                <c:pt idx="24">
                  <c:v>1.617785460439336E-5</c:v>
                </c:pt>
                <c:pt idx="25">
                  <c:v>1.7273268667850061E-5</c:v>
                </c:pt>
                <c:pt idx="26">
                  <c:v>1.8448091850586934E-5</c:v>
                </c:pt>
                <c:pt idx="27">
                  <c:v>1.9657055645438959E-5</c:v>
                </c:pt>
                <c:pt idx="28">
                  <c:v>2.0824373905270477E-5</c:v>
                </c:pt>
                <c:pt idx="29">
                  <c:v>2.2161877268445096E-5</c:v>
                </c:pt>
                <c:pt idx="30">
                  <c:v>2.3445577653546934E-5</c:v>
                </c:pt>
                <c:pt idx="31">
                  <c:v>2.4792808517304366E-5</c:v>
                </c:pt>
                <c:pt idx="32">
                  <c:v>2.610584760986967E-5</c:v>
                </c:pt>
                <c:pt idx="33">
                  <c:v>2.7474434091345756E-5</c:v>
                </c:pt>
                <c:pt idx="34">
                  <c:v>2.8893846092614694E-5</c:v>
                </c:pt>
                <c:pt idx="35">
                  <c:v>3.0354493674167315E-5</c:v>
                </c:pt>
                <c:pt idx="36">
                  <c:v>3.1804155241843546E-5</c:v>
                </c:pt>
                <c:pt idx="37">
                  <c:v>3.3302699648629641E-5</c:v>
                </c:pt>
                <c:pt idx="38">
                  <c:v>3.4833013160096016E-5</c:v>
                </c:pt>
                <c:pt idx="39">
                  <c:v>3.6389222714205971E-5</c:v>
                </c:pt>
                <c:pt idx="40">
                  <c:v>3.7919904116279213E-5</c:v>
                </c:pt>
                <c:pt idx="41">
                  <c:v>3.954904650527169E-5</c:v>
                </c:pt>
                <c:pt idx="42">
                  <c:v>4.1168312691297615E-5</c:v>
                </c:pt>
                <c:pt idx="43">
                  <c:v>4.2799251332326094E-5</c:v>
                </c:pt>
                <c:pt idx="44">
                  <c:v>4.4474988499132451E-5</c:v>
                </c:pt>
                <c:pt idx="45">
                  <c:v>4.6174523049558047E-5</c:v>
                </c:pt>
                <c:pt idx="46">
                  <c:v>4.7857990921329474E-5</c:v>
                </c:pt>
                <c:pt idx="47">
                  <c:v>4.9633209982857807E-5</c:v>
                </c:pt>
                <c:pt idx="48">
                  <c:v>5.141323617863236E-5</c:v>
                </c:pt>
                <c:pt idx="49">
                  <c:v>5.3123808811506024E-5</c:v>
                </c:pt>
                <c:pt idx="50">
                  <c:v>5.4976992032607086E-5</c:v>
                </c:pt>
                <c:pt idx="51">
                  <c:v>5.6824270814104239E-5</c:v>
                </c:pt>
                <c:pt idx="52">
                  <c:v>5.8678958794189384E-5</c:v>
                </c:pt>
                <c:pt idx="53">
                  <c:v>6.0504612520162482E-5</c:v>
                </c:pt>
                <c:pt idx="54">
                  <c:v>6.2425569012702908E-5</c:v>
                </c:pt>
                <c:pt idx="55">
                  <c:v>6.4294661569874734E-5</c:v>
                </c:pt>
                <c:pt idx="56">
                  <c:v>6.6144615630037151E-5</c:v>
                </c:pt>
                <c:pt idx="57">
                  <c:v>6.811109597038012E-5</c:v>
                </c:pt>
                <c:pt idx="58">
                  <c:v>7.0025976128818002E-5</c:v>
                </c:pt>
                <c:pt idx="59">
                  <c:v>7.192669636424398E-5</c:v>
                </c:pt>
                <c:pt idx="60">
                  <c:v>7.4019932981173042E-5</c:v>
                </c:pt>
                <c:pt idx="61">
                  <c:v>7.6012277531845029E-5</c:v>
                </c:pt>
                <c:pt idx="62">
                  <c:v>7.8022962043178268E-5</c:v>
                </c:pt>
                <c:pt idx="63">
                  <c:v>7.9990608355728909E-5</c:v>
                </c:pt>
                <c:pt idx="64">
                  <c:v>8.2060020758945029E-5</c:v>
                </c:pt>
                <c:pt idx="65">
                  <c:v>8.4146807239449117E-5</c:v>
                </c:pt>
                <c:pt idx="66">
                  <c:v>8.6180492871790193E-5</c:v>
                </c:pt>
                <c:pt idx="67">
                  <c:v>8.8185364802484401E-5</c:v>
                </c:pt>
                <c:pt idx="68">
                  <c:v>9.035281436808873E-5</c:v>
                </c:pt>
                <c:pt idx="69">
                  <c:v>9.2388359917094931E-5</c:v>
                </c:pt>
                <c:pt idx="70">
                  <c:v>9.4620670097356196E-5</c:v>
                </c:pt>
                <c:pt idx="71">
                  <c:v>9.6705072792246938E-5</c:v>
                </c:pt>
                <c:pt idx="72">
                  <c:v>9.879380559141282E-5</c:v>
                </c:pt>
                <c:pt idx="73">
                  <c:v>1.0095507968799211E-4</c:v>
                </c:pt>
                <c:pt idx="74">
                  <c:v>1.0311065398127539E-4</c:v>
                </c:pt>
                <c:pt idx="75">
                  <c:v>1.0528095663175918E-4</c:v>
                </c:pt>
                <c:pt idx="76">
                  <c:v>1.0739566005213419E-4</c:v>
                </c:pt>
                <c:pt idx="77">
                  <c:v>1.095372981581022E-4</c:v>
                </c:pt>
                <c:pt idx="78">
                  <c:v>1.1166246349603171E-4</c:v>
                </c:pt>
                <c:pt idx="79">
                  <c:v>1.1391476982680615E-4</c:v>
                </c:pt>
                <c:pt idx="80">
                  <c:v>1.1616242409218103E-4</c:v>
                </c:pt>
                <c:pt idx="81">
                  <c:v>1.1828888818854466E-4</c:v>
                </c:pt>
                <c:pt idx="82">
                  <c:v>1.2050484656356275E-4</c:v>
                </c:pt>
                <c:pt idx="83">
                  <c:v>1.2265499208297115E-4</c:v>
                </c:pt>
                <c:pt idx="84">
                  <c:v>1.2491582128859591E-4</c:v>
                </c:pt>
                <c:pt idx="85">
                  <c:v>1.2707459609373473E-4</c:v>
                </c:pt>
                <c:pt idx="86">
                  <c:v>1.2926124509249348E-4</c:v>
                </c:pt>
                <c:pt idx="87">
                  <c:v>1.3162015056877863E-4</c:v>
                </c:pt>
                <c:pt idx="88">
                  <c:v>1.3371281420404557E-4</c:v>
                </c:pt>
                <c:pt idx="89">
                  <c:v>1.3594389565696474E-4</c:v>
                </c:pt>
                <c:pt idx="90">
                  <c:v>1.3806283641315531E-4</c:v>
                </c:pt>
                <c:pt idx="91">
                  <c:v>1.4038474182598293E-4</c:v>
                </c:pt>
                <c:pt idx="92">
                  <c:v>1.4255519818107132E-4</c:v>
                </c:pt>
                <c:pt idx="93">
                  <c:v>1.4482392907666508E-4</c:v>
                </c:pt>
                <c:pt idx="94">
                  <c:v>1.4691925389342941E-4</c:v>
                </c:pt>
                <c:pt idx="95">
                  <c:v>1.4923846538295038E-4</c:v>
                </c:pt>
                <c:pt idx="96">
                  <c:v>1.5134529712668154E-4</c:v>
                </c:pt>
                <c:pt idx="97">
                  <c:v>1.5367925334430765E-4</c:v>
                </c:pt>
                <c:pt idx="98">
                  <c:v>1.55711590196006E-4</c:v>
                </c:pt>
                <c:pt idx="99">
                  <c:v>1.5782292757648975E-4</c:v>
                </c:pt>
                <c:pt idx="100">
                  <c:v>1.5788165364938322E-4</c:v>
                </c:pt>
              </c:numCache>
            </c:numRef>
          </c:yVal>
        </c:ser>
        <c:axId val="218586496"/>
        <c:axId val="218928640"/>
      </c:scatterChart>
      <c:valAx>
        <c:axId val="218586496"/>
        <c:scaling>
          <c:orientation val="minMax"/>
          <c:max val="1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Measurement Index</a:t>
                </a:r>
              </a:p>
            </c:rich>
          </c:tx>
          <c:layout/>
        </c:title>
        <c:numFmt formatCode="General" sourceLinked="1"/>
        <c:tickLblPos val="nextTo"/>
        <c:crossAx val="218928640"/>
        <c:crosses val="autoZero"/>
        <c:crossBetween val="midCat"/>
      </c:valAx>
      <c:valAx>
        <c:axId val="2189286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Watts</a:t>
                </a:r>
              </a:p>
            </c:rich>
          </c:tx>
          <c:layout/>
        </c:title>
        <c:numFmt formatCode="0.0E+00" sourceLinked="0"/>
        <c:tickLblPos val="nextTo"/>
        <c:crossAx val="21858649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7</xdr:col>
      <xdr:colOff>666750</xdr:colOff>
      <xdr:row>35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8</xdr:col>
      <xdr:colOff>78922</xdr:colOff>
      <xdr:row>20</xdr:row>
      <xdr:rowOff>13607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149676</xdr:colOff>
      <xdr:row>7</xdr:row>
      <xdr:rowOff>176895</xdr:rowOff>
    </xdr:from>
    <xdr:to>
      <xdr:col>14</xdr:col>
      <xdr:colOff>489856</xdr:colOff>
      <xdr:row>21</xdr:row>
      <xdr:rowOff>136073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299357</xdr:colOff>
      <xdr:row>23</xdr:row>
      <xdr:rowOff>68036</xdr:rowOff>
    </xdr:from>
    <xdr:to>
      <xdr:col>14</xdr:col>
      <xdr:colOff>408215</xdr:colOff>
      <xdr:row>37</xdr:row>
      <xdr:rowOff>149679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857249</xdr:colOff>
      <xdr:row>26</xdr:row>
      <xdr:rowOff>0</xdr:rowOff>
    </xdr:from>
    <xdr:to>
      <xdr:col>25</xdr:col>
      <xdr:colOff>489858</xdr:colOff>
      <xdr:row>40</xdr:row>
      <xdr:rowOff>81643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26</xdr:row>
      <xdr:rowOff>0</xdr:rowOff>
    </xdr:from>
    <xdr:to>
      <xdr:col>34</xdr:col>
      <xdr:colOff>2</xdr:colOff>
      <xdr:row>40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0</xdr:colOff>
      <xdr:row>26</xdr:row>
      <xdr:rowOff>0</xdr:rowOff>
    </xdr:from>
    <xdr:to>
      <xdr:col>42</xdr:col>
      <xdr:colOff>1</xdr:colOff>
      <xdr:row>40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0</xdr:colOff>
      <xdr:row>26</xdr:row>
      <xdr:rowOff>0</xdr:rowOff>
    </xdr:from>
    <xdr:to>
      <xdr:col>50</xdr:col>
      <xdr:colOff>2</xdr:colOff>
      <xdr:row>40</xdr:row>
      <xdr:rowOff>81643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5</xdr:row>
      <xdr:rowOff>190499</xdr:rowOff>
    </xdr:from>
    <xdr:to>
      <xdr:col>8</xdr:col>
      <xdr:colOff>421823</xdr:colOff>
      <xdr:row>17</xdr:row>
      <xdr:rowOff>13606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421821</xdr:colOff>
      <xdr:row>17</xdr:row>
      <xdr:rowOff>13607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24</xdr:col>
      <xdr:colOff>421821</xdr:colOff>
      <xdr:row>17</xdr:row>
      <xdr:rowOff>13607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6</xdr:row>
      <xdr:rowOff>0</xdr:rowOff>
    </xdr:from>
    <xdr:to>
      <xdr:col>32</xdr:col>
      <xdr:colOff>421821</xdr:colOff>
      <xdr:row>17</xdr:row>
      <xdr:rowOff>13607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13608</xdr:colOff>
      <xdr:row>18</xdr:row>
      <xdr:rowOff>1</xdr:rowOff>
    </xdr:from>
    <xdr:to>
      <xdr:col>21</xdr:col>
      <xdr:colOff>421822</xdr:colOff>
      <xdr:row>35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11</xdr:col>
      <xdr:colOff>13607</xdr:colOff>
      <xdr:row>34</xdr:row>
      <xdr:rowOff>163286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18</xdr:row>
      <xdr:rowOff>0</xdr:rowOff>
    </xdr:from>
    <xdr:to>
      <xdr:col>32</xdr:col>
      <xdr:colOff>421821</xdr:colOff>
      <xdr:row>34</xdr:row>
      <xdr:rowOff>176893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830037</xdr:colOff>
      <xdr:row>36</xdr:row>
      <xdr:rowOff>1</xdr:rowOff>
    </xdr:from>
    <xdr:to>
      <xdr:col>11</xdr:col>
      <xdr:colOff>0</xdr:colOff>
      <xdr:row>50</xdr:row>
      <xdr:rowOff>27215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149679</xdr:colOff>
      <xdr:row>12</xdr:row>
      <xdr:rowOff>176893</xdr:rowOff>
    </xdr:from>
    <xdr:to>
      <xdr:col>8</xdr:col>
      <xdr:colOff>435429</xdr:colOff>
      <xdr:row>27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0"/>
  <sheetViews>
    <sheetView workbookViewId="0">
      <selection activeCell="K15" sqref="K15"/>
    </sheetView>
  </sheetViews>
  <sheetFormatPr defaultRowHeight="15"/>
  <cols>
    <col min="2" max="2" width="12.85546875" bestFit="1" customWidth="1"/>
    <col min="8" max="8" width="12.28515625" customWidth="1"/>
    <col min="10" max="10" width="10.42578125" bestFit="1" customWidth="1"/>
  </cols>
  <sheetData>
    <row r="1" spans="1:11">
      <c r="A1" s="51"/>
      <c r="B1" s="52"/>
      <c r="C1" s="52"/>
      <c r="D1" s="52"/>
      <c r="E1" s="52"/>
      <c r="F1" s="18"/>
      <c r="G1" s="24"/>
      <c r="H1" s="23"/>
      <c r="J1" s="56">
        <v>29028</v>
      </c>
      <c r="K1" s="56"/>
    </row>
    <row r="2" spans="1:11">
      <c r="A2" s="13" t="s">
        <v>10</v>
      </c>
      <c r="B2" s="10" t="s">
        <v>11</v>
      </c>
      <c r="C2" s="10" t="s">
        <v>12</v>
      </c>
      <c r="D2" s="12" t="s">
        <v>40</v>
      </c>
      <c r="E2" s="11" t="s">
        <v>2</v>
      </c>
      <c r="F2" s="12" t="s">
        <v>41</v>
      </c>
      <c r="G2" s="14" t="s">
        <v>13</v>
      </c>
      <c r="H2" s="22"/>
      <c r="J2" s="28"/>
      <c r="K2" s="20"/>
    </row>
    <row r="3" spans="1:11" ht="17.25">
      <c r="A3" s="15">
        <v>1</v>
      </c>
      <c r="B3" s="53" t="s">
        <v>14</v>
      </c>
      <c r="C3" s="10" t="s">
        <v>15</v>
      </c>
      <c r="D3" s="40">
        <f>E3-1.5*Calculations!F5</f>
        <v>83.088940400403089</v>
      </c>
      <c r="E3" s="40">
        <f>Calculations!D5</f>
        <v>87.584503553028739</v>
      </c>
      <c r="F3" s="40">
        <f>E3+1.5*Calculations!F5</f>
        <v>92.080066705654389</v>
      </c>
      <c r="G3" s="14" t="s">
        <v>32</v>
      </c>
      <c r="H3" s="27"/>
      <c r="J3" s="33" t="s">
        <v>33</v>
      </c>
      <c r="K3" s="32">
        <v>0</v>
      </c>
    </row>
    <row r="4" spans="1:11" s="9" customFormat="1" ht="15.75" thickBot="1">
      <c r="A4" s="16">
        <v>1.01</v>
      </c>
      <c r="B4" s="54"/>
      <c r="C4" s="19" t="s">
        <v>16</v>
      </c>
      <c r="D4" s="41">
        <f>E4-1.5*Calculations!F6</f>
        <v>-3.3285725285675624E-2</v>
      </c>
      <c r="E4" s="41">
        <f>Calculations!D6</f>
        <v>-2.3612597442744885E-2</v>
      </c>
      <c r="F4" s="41">
        <f>E4+1.5*Calculations!F6</f>
        <v>-1.3939469599814144E-2</v>
      </c>
      <c r="G4" s="25" t="s">
        <v>18</v>
      </c>
      <c r="H4" s="27"/>
      <c r="J4" s="29"/>
      <c r="K4" s="21"/>
    </row>
    <row r="5" spans="1:11" ht="15.75" thickBot="1">
      <c r="A5" s="16">
        <v>1.01</v>
      </c>
      <c r="B5" s="55"/>
      <c r="C5" s="17" t="s">
        <v>17</v>
      </c>
      <c r="D5" s="42">
        <f>E5-1.5*Calculations!F7</f>
        <v>1.7744869908594356E-2</v>
      </c>
      <c r="E5" s="42">
        <f>Calculations!D7</f>
        <v>2.3135419602372816E-2</v>
      </c>
      <c r="F5" s="42">
        <f>E5+1.5*Calculations!F7</f>
        <v>2.8525969296151275E-2</v>
      </c>
      <c r="G5" s="26" t="s">
        <v>18</v>
      </c>
      <c r="H5" s="27"/>
      <c r="J5" s="33" t="s">
        <v>34</v>
      </c>
      <c r="K5" s="32">
        <f>count</f>
        <v>28</v>
      </c>
    </row>
    <row r="7" spans="1:11">
      <c r="J7" s="43"/>
      <c r="K7" s="43"/>
    </row>
    <row r="8" spans="1:11">
      <c r="J8" s="37"/>
      <c r="K8" s="38"/>
    </row>
    <row r="9" spans="1:11">
      <c r="J9" s="37"/>
      <c r="K9" s="38"/>
    </row>
    <row r="10" spans="1:11">
      <c r="J10" s="37"/>
      <c r="K10" s="39"/>
    </row>
  </sheetData>
  <mergeCells count="4">
    <mergeCell ref="A1:B1"/>
    <mergeCell ref="C1:E1"/>
    <mergeCell ref="B3:B5"/>
    <mergeCell ref="J1:K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X181"/>
  <sheetViews>
    <sheetView tabSelected="1" zoomScale="70" zoomScaleNormal="70" workbookViewId="0">
      <pane xSplit="19365" ySplit="4920" topLeftCell="AH23"/>
      <selection activeCell="A3" sqref="A1:A1048576"/>
      <selection pane="topRight" activeCell="AL6" sqref="AL6:AL7"/>
      <selection pane="bottomLeft" activeCell="Q76" sqref="Q76"/>
      <selection pane="bottomRight" activeCell="AI119" sqref="AI119"/>
    </sheetView>
  </sheetViews>
  <sheetFormatPr defaultRowHeight="15"/>
  <cols>
    <col min="2" max="2" width="9.5703125" bestFit="1" customWidth="1"/>
    <col min="3" max="3" width="7.5703125" customWidth="1"/>
    <col min="4" max="4" width="6.85546875" bestFit="1" customWidth="1"/>
    <col min="5" max="5" width="6.28515625" customWidth="1"/>
    <col min="6" max="6" width="8.28515625" bestFit="1" customWidth="1"/>
    <col min="7" max="15" width="8.28515625" style="9" customWidth="1"/>
    <col min="17" max="17" width="12.5703125" bestFit="1" customWidth="1"/>
    <col min="18" max="18" width="13.42578125" bestFit="1" customWidth="1"/>
    <col min="19" max="50" width="7.85546875" customWidth="1"/>
  </cols>
  <sheetData>
    <row r="1" spans="1:50" ht="15.75" thickBot="1">
      <c r="A1" s="58" t="str">
        <f>setCalcEnable(C1)</f>
        <v>setCalcEnable=</v>
      </c>
      <c r="B1" s="58"/>
      <c r="C1" s="20">
        <v>1</v>
      </c>
      <c r="Q1" t="s">
        <v>1</v>
      </c>
      <c r="S1">
        <f>data0!B1</f>
        <v>0</v>
      </c>
      <c r="T1">
        <f>data0!C1</f>
        <v>1</v>
      </c>
      <c r="U1" s="9">
        <f>data0!D1</f>
        <v>2</v>
      </c>
      <c r="V1">
        <f>data0!E1</f>
        <v>3</v>
      </c>
      <c r="W1" s="9">
        <f>data0!F1</f>
        <v>4</v>
      </c>
      <c r="X1">
        <f>data0!G1</f>
        <v>5</v>
      </c>
      <c r="Y1">
        <f>data0!H1</f>
        <v>6</v>
      </c>
      <c r="Z1" s="9">
        <f>data0!I1</f>
        <v>7</v>
      </c>
      <c r="AA1" s="9">
        <f>data0!J1</f>
        <v>8</v>
      </c>
      <c r="AB1" s="9">
        <f>data0!K1</f>
        <v>9</v>
      </c>
      <c r="AC1" s="9">
        <f>data0!L1</f>
        <v>10</v>
      </c>
      <c r="AD1" s="9">
        <f>data0!M1</f>
        <v>11</v>
      </c>
      <c r="AE1" s="9">
        <f>data0!N1</f>
        <v>12</v>
      </c>
      <c r="AF1" s="9">
        <f>data0!O1</f>
        <v>13</v>
      </c>
      <c r="AG1" s="9">
        <f>data0!P1</f>
        <v>14</v>
      </c>
      <c r="AH1" s="9">
        <f>data0!Q1</f>
        <v>15</v>
      </c>
      <c r="AI1" s="9">
        <f>data0!R1</f>
        <v>16</v>
      </c>
      <c r="AJ1" s="9">
        <f>data0!S1</f>
        <v>17</v>
      </c>
      <c r="AK1" s="9">
        <f>data0!T1</f>
        <v>18</v>
      </c>
      <c r="AL1" s="9">
        <f>data0!U1</f>
        <v>19</v>
      </c>
      <c r="AM1" s="9">
        <f>data0!V1</f>
        <v>20</v>
      </c>
      <c r="AN1" s="9">
        <f>data0!W1</f>
        <v>21</v>
      </c>
      <c r="AO1" s="9">
        <f>data0!X1</f>
        <v>22</v>
      </c>
      <c r="AP1" s="9">
        <f>data0!Y1</f>
        <v>23</v>
      </c>
      <c r="AQ1" s="9">
        <f>data0!Z1</f>
        <v>24</v>
      </c>
      <c r="AR1" s="9">
        <f>data0!AA1</f>
        <v>25</v>
      </c>
      <c r="AS1" s="9">
        <f>data0!AB1</f>
        <v>26</v>
      </c>
      <c r="AT1" s="9">
        <f>data0!AC1</f>
        <v>27</v>
      </c>
      <c r="AU1" s="9">
        <f>data0!AD1</f>
        <v>28</v>
      </c>
      <c r="AV1" s="9">
        <f>data0!AE1</f>
        <v>29</v>
      </c>
      <c r="AW1" s="9">
        <f>data0!AF1</f>
        <v>30</v>
      </c>
      <c r="AX1" s="9">
        <f>data0!AG1</f>
        <v>31</v>
      </c>
    </row>
    <row r="2" spans="1:50">
      <c r="A2" s="58" t="s">
        <v>24</v>
      </c>
      <c r="B2" s="58"/>
      <c r="C2" s="20">
        <f>COUNT(data0!B2:AG2)</f>
        <v>28</v>
      </c>
      <c r="O2" s="47" t="s">
        <v>42</v>
      </c>
      <c r="P2" s="48">
        <v>0.02</v>
      </c>
      <c r="Q2" s="9" t="s">
        <v>26</v>
      </c>
      <c r="S2">
        <f>transition($R$16:$R$116,data0!B$2:B$102,$P2)</f>
        <v>3.7183538767252804</v>
      </c>
      <c r="T2" s="9"/>
      <c r="U2" s="9">
        <f>transition($R$16:$R$116,data0!D$2:D$102,$P2)</f>
        <v>3.8188100283397199</v>
      </c>
      <c r="V2" s="9"/>
      <c r="W2" s="9">
        <f>transition($R$16:$R$116,data0!F$2:F$102,$P2)</f>
        <v>2.3080149784878197</v>
      </c>
      <c r="X2" s="9"/>
      <c r="Y2" s="9"/>
      <c r="Z2" s="9">
        <f>transition($R$16:$R$116,data0!I$2:I$102,$P2)</f>
        <v>3.8188100283397199</v>
      </c>
      <c r="AA2" s="9">
        <f>transition($R$16:$R$116,data0!J$2:J$102,$P2)</f>
        <v>4.4131915624907787</v>
      </c>
      <c r="AB2" s="9">
        <f>transition($R$16:$R$116,data0!K$2:K$102,$P2)</f>
        <v>4.4131915624907787</v>
      </c>
      <c r="AC2" s="9">
        <f>transition($R$16:$R$116,data0!L$2:L$102,$P2)</f>
        <v>2.8142467944842693</v>
      </c>
      <c r="AD2" s="9">
        <f>transition($R$16:$R$116,data0!M$2:M$102,$P2)</f>
        <v>3.7183538767252804</v>
      </c>
      <c r="AE2" s="9">
        <f>transition($R$16:$R$116,data0!N$2:N$102,$P2)</f>
        <v>3.2121220607288308</v>
      </c>
      <c r="AF2" s="9">
        <f>transition($R$16:$R$116,data0!O$2:O$102,$P2)</f>
        <v>2.8142467944842693</v>
      </c>
      <c r="AG2" s="9">
        <f>transition($R$16:$R$116,data0!P$2:P$102,$P2)</f>
        <v>3.8188100283397199</v>
      </c>
      <c r="AH2" s="9">
        <f>transition($R$16:$R$116,data0!Q$2:Q$102,$P2)</f>
        <v>4.4131915624907787</v>
      </c>
      <c r="AI2" s="9">
        <f>transition($R$16:$R$116,data0!R$2:R$102,$P2)</f>
        <v>3.8188100283397199</v>
      </c>
      <c r="AJ2" s="9">
        <f>transition($R$16:$R$116,data0!S$2:S$102,$P2)</f>
        <v>3.1825865896408994</v>
      </c>
      <c r="AK2" s="9">
        <f>transition($R$16:$R$116,data0!T$2:T$102,$P2)</f>
        <v>4.4131915624907787</v>
      </c>
      <c r="AL2" s="9">
        <f>transition($R$16:$R$116,data0!U$2:U$102,$P2)</f>
        <v>4.4131915624907787</v>
      </c>
      <c r="AM2" s="9">
        <f>transition($R$16:$R$116,data0!V$2:V$102,$P2)</f>
        <v>3.8188100283397199</v>
      </c>
      <c r="AN2" s="9">
        <f>transition($R$16:$R$116,data0!W$2:W$102,$P2)</f>
        <v>3.8188100283397199</v>
      </c>
      <c r="AO2" s="9">
        <f>transition($R$16:$R$116,data0!X$2:X$102,$P2)</f>
        <v>4.4131915624907787</v>
      </c>
      <c r="AP2" s="9">
        <f>transition($R$16:$R$116,data0!Y$2:Y$102,$P2)</f>
        <v>3.8188100283397199</v>
      </c>
      <c r="AQ2" s="9">
        <f>transition($R$16:$R$116,data0!Z$2:Z$102,$P2)</f>
        <v>3.3125782123432703</v>
      </c>
      <c r="AR2" s="9">
        <f>transition($R$16:$R$116,data0!AA$2:AA$102,$P2)</f>
        <v>3.3125782123432703</v>
      </c>
      <c r="AS2" s="9">
        <f>transition($R$16:$R$116,data0!AB$2:AB$102,$P2)</f>
        <v>3.7183538767252804</v>
      </c>
      <c r="AT2" s="9">
        <f>transition($R$16:$R$116,data0!AC$2:AC$102,$P2)</f>
        <v>4.4466769569653932</v>
      </c>
      <c r="AU2" s="9">
        <f>transition($R$16:$R$116,data0!AD$2:AD$102,$P2)</f>
        <v>3.2121220607288308</v>
      </c>
      <c r="AV2" s="9">
        <f>transition($R$16:$R$116,data0!AE$2:AE$102,$P2)</f>
        <v>3.8188100283397199</v>
      </c>
      <c r="AW2" s="9">
        <f>transition($R$16:$R$116,data0!AF$2:AF$102,$P2)</f>
        <v>3.8188100283397199</v>
      </c>
      <c r="AX2" s="9">
        <f>transition($R$16:$R$116,data0!AG$2:AG$102,$P2)</f>
        <v>3.8188100283397199</v>
      </c>
    </row>
    <row r="3" spans="1:50" ht="15.75" thickBot="1">
      <c r="O3" s="49" t="s">
        <v>43</v>
      </c>
      <c r="P3" s="50">
        <v>0.9</v>
      </c>
      <c r="Q3" s="9" t="s">
        <v>27</v>
      </c>
      <c r="S3" s="9">
        <f>transition($R$16:$R$116,data0!B$2:B$102,$P3)</f>
        <v>80.612837089368284</v>
      </c>
      <c r="T3" s="9"/>
      <c r="U3" s="9">
        <f>transition($R$16:$R$116,data0!D$2:D$102,$P3)</f>
        <v>80.774284806482711</v>
      </c>
      <c r="V3" s="9"/>
      <c r="W3" s="9">
        <f>transition($R$16:$R$116,data0!F$2:F$102,$P3)</f>
        <v>77.180374769201109</v>
      </c>
      <c r="X3" s="9"/>
      <c r="Y3" s="9"/>
      <c r="Z3" s="9">
        <f>transition($R$16:$R$116,data0!I$2:I$102,$P3)</f>
        <v>79.913230606035171</v>
      </c>
      <c r="AA3" s="9">
        <f>transition($R$16:$R$116,data0!J$2:J$102,$P3)</f>
        <v>80.200248672851018</v>
      </c>
      <c r="AB3" s="9">
        <f>transition($R$16:$R$116,data0!K$2:K$102,$P3)</f>
        <v>79.626212539219338</v>
      </c>
      <c r="AC3" s="9">
        <f>transition($R$16:$R$116,data0!L$2:L$102,$P3)</f>
        <v>77.162436085494605</v>
      </c>
      <c r="AD3" s="9">
        <f>transition($R$16:$R$116,data0!M$2:M$102,$P3)</f>
        <v>81.380211739484139</v>
      </c>
      <c r="AE3" s="9">
        <f>transition($R$16:$R$116,data0!N$2:N$102,$P3)</f>
        <v>74.837941566592562</v>
      </c>
      <c r="AF3" s="9">
        <f>transition($R$16:$R$116,data0!O$2:O$102,$P3)</f>
        <v>80.989548429301934</v>
      </c>
      <c r="AG3" s="9">
        <f>transition($R$16:$R$116,data0!P$2:P$102,$P3)</f>
        <v>77.874001836713404</v>
      </c>
      <c r="AH3" s="9">
        <f>transition($R$16:$R$116,data0!Q$2:Q$102,$P3)</f>
        <v>78.328447036464482</v>
      </c>
      <c r="AI3" s="9">
        <f>transition($R$16:$R$116,data0!R$2:R$102,$P3)</f>
        <v>75.716934450746592</v>
      </c>
      <c r="AJ3" s="9">
        <f>transition($R$16:$R$116,data0!S$2:S$102,$P3)</f>
        <v>78.669280936277787</v>
      </c>
      <c r="AK3" s="9">
        <f>transition($R$16:$R$116,data0!T$2:T$102,$P3)</f>
        <v>80.487266739666865</v>
      </c>
      <c r="AL3" s="9">
        <f>transition($R$16:$R$116,data0!U$2:U$102,$P3)</f>
        <v>81.348320940114391</v>
      </c>
      <c r="AM3" s="9">
        <f>transition($R$16:$R$116,data0!V$2:V$102,$P3)</f>
        <v>76.290970584378272</v>
      </c>
      <c r="AN3" s="9">
        <f>transition($R$16:$R$116,data0!W$2:W$102,$P3)</f>
        <v>77.754410902832788</v>
      </c>
      <c r="AO3" s="9">
        <f>transition($R$16:$R$116,data0!X$2:X$102,$P3)</f>
        <v>78.615465103280314</v>
      </c>
      <c r="AP3" s="9">
        <f>transition($R$16:$R$116,data0!Y$2:Y$102,$P3)</f>
        <v>72.727620295667023</v>
      </c>
      <c r="AQ3" s="9">
        <f>transition($R$16:$R$116,data0!Z$2:Z$102,$P3)</f>
        <v>76.577988651194119</v>
      </c>
      <c r="AR3" s="9">
        <f>transition($R$16:$R$116,data0!AA$2:AA$102,$P3)</f>
        <v>76.577988651194119</v>
      </c>
      <c r="AS3" s="9">
        <f>transition($R$16:$R$116,data0!AB$2:AB$102,$P3)</f>
        <v>80.863977897832143</v>
      </c>
      <c r="AT3" s="9">
        <f>transition($R$16:$R$116,data0!AC$2:AC$102,$P3)</f>
        <v>82.867069296228195</v>
      </c>
      <c r="AU3" s="9">
        <f>transition($R$16:$R$116,data0!AD$2:AD$102,$P3)</f>
        <v>77.467392836016941</v>
      </c>
      <c r="AV3" s="9">
        <f>transition($R$16:$R$116,data0!AE$2:AE$102,$P3)</f>
        <v>81.366259514759875</v>
      </c>
      <c r="AW3" s="9">
        <f>transition($R$16:$R$116,data0!AF$2:AF$102,$P3)</f>
        <v>80.774284806482711</v>
      </c>
      <c r="AX3" s="9">
        <f>transition($R$16:$R$116,data0!AG$2:AG$102,$P3)</f>
        <v>85.796540095202047</v>
      </c>
    </row>
    <row r="4" spans="1:50" s="9" customFormat="1" ht="17.25">
      <c r="A4"/>
      <c r="B4"/>
      <c r="C4"/>
      <c r="D4" s="5" t="s">
        <v>2</v>
      </c>
      <c r="E4" s="5"/>
      <c r="F4" s="5" t="s">
        <v>3</v>
      </c>
      <c r="Q4" s="9" t="s">
        <v>28</v>
      </c>
      <c r="R4" s="36" t="s">
        <v>38</v>
      </c>
      <c r="S4" s="9">
        <f>($P3-$P2)/(S3-S2)</f>
        <v>1.1444254037919202E-2</v>
      </c>
      <c r="U4" s="9">
        <f>($P3-$P2)/(U3-U2)</f>
        <v>1.1435183819435533E-2</v>
      </c>
      <c r="W4" s="9">
        <f>($P3-$P2)/(W3-W2)</f>
        <v>1.1753335976852032E-2</v>
      </c>
      <c r="Z4" s="9">
        <f t="shared" ref="Z4:AQ4" si="0">($P3-$P2)/(Z3-Z2)</f>
        <v>1.1564579811754856E-2</v>
      </c>
      <c r="AA4" s="9">
        <f t="shared" si="0"/>
        <v>1.1611481347251077E-2</v>
      </c>
      <c r="AB4" s="9">
        <f t="shared" si="0"/>
        <v>1.1700101771903009E-2</v>
      </c>
      <c r="AC4" s="9">
        <f t="shared" si="0"/>
        <v>1.1836199487731217E-2</v>
      </c>
      <c r="AD4" s="9">
        <f t="shared" si="0"/>
        <v>1.13311736831625E-2</v>
      </c>
      <c r="AE4" s="9">
        <f t="shared" si="0"/>
        <v>1.2286072341943087E-2</v>
      </c>
      <c r="AF4" s="9">
        <f t="shared" si="0"/>
        <v>1.1256752217097507E-2</v>
      </c>
      <c r="AG4" s="9">
        <f t="shared" si="0"/>
        <v>1.1883029109925218E-2</v>
      </c>
      <c r="AH4" s="9">
        <f t="shared" si="0"/>
        <v>1.190552605625312E-2</v>
      </c>
      <c r="AI4" s="9">
        <f t="shared" si="0"/>
        <v>1.2239540420135775E-2</v>
      </c>
      <c r="AJ4" s="9">
        <f t="shared" si="0"/>
        <v>1.1657683617181816E-2</v>
      </c>
      <c r="AK4" s="9">
        <f t="shared" si="0"/>
        <v>1.1567672665760117E-2</v>
      </c>
      <c r="AL4" s="9">
        <f t="shared" si="0"/>
        <v>1.1438207839758905E-2</v>
      </c>
      <c r="AM4" s="9">
        <f t="shared" si="0"/>
        <v>1.2142593697334947E-2</v>
      </c>
      <c r="AN4" s="9">
        <f t="shared" si="0"/>
        <v>1.1902249925496851E-2</v>
      </c>
      <c r="AO4" s="9">
        <f t="shared" si="0"/>
        <v>1.1859474892184503E-2</v>
      </c>
      <c r="AP4" s="9">
        <f t="shared" si="0"/>
        <v>1.2770500558435077E-2</v>
      </c>
      <c r="AQ4" s="9">
        <f t="shared" si="0"/>
        <v>1.2011124959635217E-2</v>
      </c>
      <c r="AR4" s="9">
        <f t="shared" ref="AR4" si="1">($P3-$P2)/(AR3-AR2)</f>
        <v>1.2011124959635217E-2</v>
      </c>
      <c r="AS4" s="9">
        <f t="shared" ref="AS4" si="2">($P3-$P2)/(AS3-AS2)</f>
        <v>1.1406998273281631E-2</v>
      </c>
      <c r="AT4" s="9">
        <f t="shared" ref="AT4" si="3">($P3-$P2)/(AT3-AT2)</f>
        <v>1.1221570993842245E-2</v>
      </c>
      <c r="AU4" s="9">
        <f t="shared" ref="AU4" si="4">($P3-$P2)/(AU3-AU2)</f>
        <v>1.1851010585673614E-2</v>
      </c>
      <c r="AV4" s="9">
        <f t="shared" ref="AV4" si="5">($P3-$P2)/(AV3-AV2)</f>
        <v>1.134789094713041E-2</v>
      </c>
      <c r="AW4" s="9">
        <f t="shared" ref="AW4" si="6">($P3-$P2)/(AW3-AW2)</f>
        <v>1.1435183819435533E-2</v>
      </c>
      <c r="AX4" s="9">
        <f t="shared" ref="AX4" si="7">($P3-$P2)/(AX3-AX2)</f>
        <v>1.0734622674746645E-2</v>
      </c>
    </row>
    <row r="5" spans="1:50" s="9" customFormat="1" ht="17.25">
      <c r="A5" s="57" t="str">
        <f>Q11</f>
        <v>Gain (uW/cm2)</v>
      </c>
      <c r="B5" s="57"/>
      <c r="C5" s="7"/>
      <c r="D5" s="1">
        <f>AVERAGE(S11:AX11)</f>
        <v>87.584503553028739</v>
      </c>
      <c r="E5" s="2"/>
      <c r="F5" s="1">
        <f>STDEV(S11:AX11)</f>
        <v>2.9970421017504365</v>
      </c>
      <c r="Q5" s="9" t="s">
        <v>29</v>
      </c>
      <c r="R5" s="36" t="s">
        <v>32</v>
      </c>
      <c r="S5" s="4">
        <f>$P2-S4*S2</f>
        <v>-2.255378636812581E-2</v>
      </c>
      <c r="U5" s="4">
        <f>$P2-U4*U2</f>
        <v>-2.3668794645568512E-2</v>
      </c>
      <c r="W5" s="4">
        <f>$P2-W4*W2</f>
        <v>-7.1268754817742572E-3</v>
      </c>
      <c r="Z5" s="4">
        <f t="shared" ref="Z5:AP5" si="8">$P2-Z4*Z2</f>
        <v>-2.4162933358664516E-2</v>
      </c>
      <c r="AA5" s="4">
        <f t="shared" si="8"/>
        <v>-3.1243691509707513E-2</v>
      </c>
      <c r="AB5" s="4">
        <f t="shared" si="8"/>
        <v>-3.1634790420045772E-2</v>
      </c>
      <c r="AC5" s="4">
        <f t="shared" si="8"/>
        <v>-1.3309986467223926E-2</v>
      </c>
      <c r="AD5" s="4">
        <f t="shared" si="8"/>
        <v>-2.2133313592634759E-2</v>
      </c>
      <c r="AE5" s="4">
        <f t="shared" si="8"/>
        <v>-1.9464364009265721E-2</v>
      </c>
      <c r="AF5" s="4">
        <f t="shared" si="8"/>
        <v>-1.1679278843270347E-2</v>
      </c>
      <c r="AG5" s="4">
        <f t="shared" si="8"/>
        <v>-2.5379030732035238E-2</v>
      </c>
      <c r="AH5" s="4">
        <f t="shared" si="8"/>
        <v>-3.254136713847039E-2</v>
      </c>
      <c r="AI5" s="4">
        <f t="shared" si="8"/>
        <v>-2.6740479698683848E-2</v>
      </c>
      <c r="AJ5" s="4">
        <f t="shared" si="8"/>
        <v>-1.7101587546319259E-2</v>
      </c>
      <c r="AK5" s="4">
        <f t="shared" si="8"/>
        <v>-3.1050355406187762E-2</v>
      </c>
      <c r="AL5" s="4">
        <f t="shared" si="8"/>
        <v>-3.0479002328439881E-2</v>
      </c>
      <c r="AM5" s="4">
        <f t="shared" si="8"/>
        <v>-2.6370258581437375E-2</v>
      </c>
      <c r="AN5" s="4">
        <f t="shared" si="8"/>
        <v>-2.5452431375293062E-2</v>
      </c>
      <c r="AO5" s="4">
        <f t="shared" si="8"/>
        <v>-3.2338134529759893E-2</v>
      </c>
      <c r="AP5" s="4">
        <f t="shared" si="8"/>
        <v>-2.8768115599469863E-2</v>
      </c>
      <c r="AQ5" s="4">
        <f>$P2-AQ4*AQ2</f>
        <v>-1.9787790847020061E-2</v>
      </c>
      <c r="AR5" s="4">
        <f t="shared" ref="AR5:AX5" si="9">$P2-AR4*AR2</f>
        <v>-1.9787790847020061E-2</v>
      </c>
      <c r="AS5" s="4">
        <f t="shared" si="9"/>
        <v>-2.2415256251255334E-2</v>
      </c>
      <c r="AT5" s="4">
        <f t="shared" si="9"/>
        <v>-2.9898701159269559E-2</v>
      </c>
      <c r="AU5" s="4">
        <f t="shared" si="9"/>
        <v>-1.8066892544173114E-2</v>
      </c>
      <c r="AV5" s="4">
        <f t="shared" si="9"/>
        <v>-2.333543974940713E-2</v>
      </c>
      <c r="AW5" s="4">
        <f t="shared" si="9"/>
        <v>-2.3668794645568512E-2</v>
      </c>
      <c r="AX5" s="4">
        <f t="shared" si="9"/>
        <v>-2.0993484720765437E-2</v>
      </c>
    </row>
    <row r="6" spans="1:50" s="9" customFormat="1">
      <c r="A6" s="57" t="str">
        <f>Q12</f>
        <v>Offset (%FSR)</v>
      </c>
      <c r="B6" s="57"/>
      <c r="C6" s="7"/>
      <c r="D6" s="2">
        <f>AVERAGE(S12:AX12)</f>
        <v>-2.3612597442744885E-2</v>
      </c>
      <c r="E6" s="2"/>
      <c r="F6" s="2">
        <f>STDEV(S12:AX12)</f>
        <v>6.4487518952871603E-3</v>
      </c>
      <c r="Q6" s="9" t="s">
        <v>22</v>
      </c>
      <c r="S6" s="45">
        <f t="shared" ref="S6" si="10">$P2</f>
        <v>0.02</v>
      </c>
      <c r="U6" s="45">
        <f t="shared" ref="U6" si="11">$P2</f>
        <v>0.02</v>
      </c>
      <c r="W6" s="45">
        <f t="shared" ref="W6" si="12">$P2</f>
        <v>0.02</v>
      </c>
      <c r="Z6" s="45">
        <f t="shared" ref="Z6:AK6" si="13">$P2</f>
        <v>0.02</v>
      </c>
      <c r="AA6" s="45">
        <f t="shared" si="13"/>
        <v>0.02</v>
      </c>
      <c r="AB6" s="45">
        <f t="shared" si="13"/>
        <v>0.02</v>
      </c>
      <c r="AC6" s="45">
        <f t="shared" si="13"/>
        <v>0.02</v>
      </c>
      <c r="AD6" s="45">
        <f t="shared" si="13"/>
        <v>0.02</v>
      </c>
      <c r="AE6" s="45">
        <f t="shared" si="13"/>
        <v>0.02</v>
      </c>
      <c r="AF6" s="45">
        <f t="shared" si="13"/>
        <v>0.02</v>
      </c>
      <c r="AG6" s="45">
        <f t="shared" si="13"/>
        <v>0.02</v>
      </c>
      <c r="AH6" s="45">
        <f t="shared" si="13"/>
        <v>0.02</v>
      </c>
      <c r="AI6" s="45">
        <f t="shared" si="13"/>
        <v>0.02</v>
      </c>
      <c r="AJ6" s="45">
        <f t="shared" si="13"/>
        <v>0.02</v>
      </c>
      <c r="AK6" s="45">
        <f t="shared" si="13"/>
        <v>0.02</v>
      </c>
      <c r="AL6" s="45">
        <f>$P2</f>
        <v>0.02</v>
      </c>
      <c r="AM6" s="45">
        <f t="shared" ref="AM6:AX6" si="14">$P2</f>
        <v>0.02</v>
      </c>
      <c r="AN6" s="45">
        <f t="shared" si="14"/>
        <v>0.02</v>
      </c>
      <c r="AO6" s="45">
        <f t="shared" si="14"/>
        <v>0.02</v>
      </c>
      <c r="AP6" s="45">
        <f t="shared" si="14"/>
        <v>0.02</v>
      </c>
      <c r="AQ6" s="45">
        <f t="shared" si="14"/>
        <v>0.02</v>
      </c>
      <c r="AR6" s="45">
        <f t="shared" si="14"/>
        <v>0.02</v>
      </c>
      <c r="AS6" s="45">
        <f t="shared" si="14"/>
        <v>0.02</v>
      </c>
      <c r="AT6" s="45">
        <f t="shared" si="14"/>
        <v>0.02</v>
      </c>
      <c r="AU6" s="45">
        <f t="shared" si="14"/>
        <v>0.02</v>
      </c>
      <c r="AV6" s="45">
        <f t="shared" si="14"/>
        <v>0.02</v>
      </c>
      <c r="AW6" s="45">
        <f t="shared" si="14"/>
        <v>0.02</v>
      </c>
      <c r="AX6" s="45">
        <f t="shared" si="14"/>
        <v>0.02</v>
      </c>
    </row>
    <row r="7" spans="1:50" s="9" customFormat="1">
      <c r="A7" s="57" t="str">
        <f>Q13</f>
        <v>Linearity (%FSR)</v>
      </c>
      <c r="B7" s="57"/>
      <c r="C7" s="7"/>
      <c r="D7" s="2">
        <f>AVERAGE(S13:AX13)</f>
        <v>2.3135419602372816E-2</v>
      </c>
      <c r="E7" s="2"/>
      <c r="F7" s="2">
        <f>STDEV(S13:AX13)</f>
        <v>3.5936997958523052E-3</v>
      </c>
      <c r="Q7" s="9" t="s">
        <v>21</v>
      </c>
      <c r="S7" s="45">
        <f t="shared" ref="S7" si="15">$P3</f>
        <v>0.9</v>
      </c>
      <c r="U7" s="45">
        <f t="shared" ref="U7" si="16">$P3</f>
        <v>0.9</v>
      </c>
      <c r="W7" s="45">
        <f t="shared" ref="W7" si="17">$P3</f>
        <v>0.9</v>
      </c>
      <c r="Z7" s="45">
        <f t="shared" ref="Z7:AK7" si="18">$P3</f>
        <v>0.9</v>
      </c>
      <c r="AA7" s="45">
        <f t="shared" si="18"/>
        <v>0.9</v>
      </c>
      <c r="AB7" s="45">
        <f t="shared" si="18"/>
        <v>0.9</v>
      </c>
      <c r="AC7" s="45">
        <f t="shared" si="18"/>
        <v>0.9</v>
      </c>
      <c r="AD7" s="45">
        <f t="shared" si="18"/>
        <v>0.9</v>
      </c>
      <c r="AE7" s="45">
        <f t="shared" si="18"/>
        <v>0.9</v>
      </c>
      <c r="AF7" s="45">
        <f t="shared" si="18"/>
        <v>0.9</v>
      </c>
      <c r="AG7" s="45">
        <f t="shared" si="18"/>
        <v>0.9</v>
      </c>
      <c r="AH7" s="45">
        <f t="shared" si="18"/>
        <v>0.9</v>
      </c>
      <c r="AI7" s="45">
        <f t="shared" si="18"/>
        <v>0.9</v>
      </c>
      <c r="AJ7" s="45">
        <f t="shared" si="18"/>
        <v>0.9</v>
      </c>
      <c r="AK7" s="45">
        <f t="shared" si="18"/>
        <v>0.9</v>
      </c>
      <c r="AL7" s="45">
        <f>$P3</f>
        <v>0.9</v>
      </c>
      <c r="AM7" s="45">
        <f t="shared" ref="AM7:AX7" si="19">$P3</f>
        <v>0.9</v>
      </c>
      <c r="AN7" s="45">
        <f t="shared" si="19"/>
        <v>0.9</v>
      </c>
      <c r="AO7" s="45">
        <f t="shared" si="19"/>
        <v>0.9</v>
      </c>
      <c r="AP7" s="45">
        <f t="shared" si="19"/>
        <v>0.9</v>
      </c>
      <c r="AQ7" s="45">
        <f t="shared" si="19"/>
        <v>0.9</v>
      </c>
      <c r="AR7" s="45">
        <f t="shared" si="19"/>
        <v>0.9</v>
      </c>
      <c r="AS7" s="45">
        <f t="shared" si="19"/>
        <v>0.9</v>
      </c>
      <c r="AT7" s="45">
        <f t="shared" si="19"/>
        <v>0.9</v>
      </c>
      <c r="AU7" s="45">
        <f t="shared" si="19"/>
        <v>0.9</v>
      </c>
      <c r="AV7" s="45">
        <f t="shared" si="19"/>
        <v>0.9</v>
      </c>
      <c r="AW7" s="45">
        <f t="shared" si="19"/>
        <v>0.9</v>
      </c>
      <c r="AX7" s="45">
        <f t="shared" si="19"/>
        <v>0.9</v>
      </c>
    </row>
    <row r="8" spans="1:50" s="9" customFormat="1">
      <c r="A8"/>
      <c r="B8"/>
      <c r="C8"/>
      <c r="D8"/>
      <c r="E8"/>
      <c r="F8"/>
    </row>
    <row r="9" spans="1:50" s="9" customFormat="1" ht="17.25">
      <c r="A9"/>
      <c r="B9" s="36" t="s">
        <v>32</v>
      </c>
      <c r="C9" s="8" t="s">
        <v>7</v>
      </c>
      <c r="D9" s="5" t="s">
        <v>2</v>
      </c>
      <c r="E9" s="8" t="s">
        <v>6</v>
      </c>
      <c r="F9"/>
    </row>
    <row r="10" spans="1:50">
      <c r="B10" s="3">
        <f>R16</f>
        <v>0.10851804348530379</v>
      </c>
      <c r="C10" s="2">
        <f>D10-1.5*F10</f>
        <v>0</v>
      </c>
      <c r="D10" s="2">
        <f>AVERAGE(S16:AX16)</f>
        <v>0</v>
      </c>
      <c r="E10" s="2">
        <f>D10+1.5*F10</f>
        <v>0</v>
      </c>
      <c r="F10" s="2">
        <f>STDEV(S16:AX16)</f>
        <v>0</v>
      </c>
      <c r="G10" s="30"/>
      <c r="H10" s="30"/>
      <c r="I10" s="30"/>
      <c r="J10" s="30"/>
      <c r="K10" s="30"/>
      <c r="L10" s="30"/>
      <c r="M10" s="30"/>
      <c r="N10" s="31"/>
      <c r="O10" s="31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ht="17.25">
      <c r="A11" s="9"/>
      <c r="B11" s="3">
        <f>R22</f>
        <v>1.9101397122432584</v>
      </c>
      <c r="C11" s="2">
        <f t="shared" ref="C11" si="20">D11-1.5*F11</f>
        <v>-8.3740639169429757E-3</v>
      </c>
      <c r="D11" s="2">
        <f>AVERAGE(S22:AX22)</f>
        <v>3.4029408624129637E-3</v>
      </c>
      <c r="E11" s="2">
        <f t="shared" ref="E11" si="21">D11+1.5*F11</f>
        <v>1.5179945641768904E-2</v>
      </c>
      <c r="F11" s="2">
        <f>STDEV(S22:AX22)</f>
        <v>7.8513365195706265E-3</v>
      </c>
      <c r="G11" s="6"/>
      <c r="H11" s="6"/>
      <c r="I11" s="6"/>
      <c r="J11" s="6"/>
      <c r="K11" s="6"/>
      <c r="L11" s="6"/>
      <c r="M11" s="6"/>
      <c r="N11" s="6"/>
      <c r="O11" s="6"/>
      <c r="Q11" s="57" t="s">
        <v>31</v>
      </c>
      <c r="R11" s="57"/>
      <c r="S11" s="1">
        <f t="shared" ref="S11" si="22">(1-S5)/S4</f>
        <v>89.35084654535045</v>
      </c>
      <c r="T11" s="1"/>
      <c r="U11" s="1">
        <f t="shared" ref="U11" si="23">(1-U5)/U4</f>
        <v>89.519225122180771</v>
      </c>
      <c r="V11" s="1"/>
      <c r="W11" s="1">
        <f t="shared" ref="W11" si="24">(1-W5)/W4</f>
        <v>85.688597472691256</v>
      </c>
      <c r="X11" s="1"/>
      <c r="Y11" s="1"/>
      <c r="Z11" s="1">
        <f t="shared" ref="Z11:AP11" si="25">(1-Z5)/Z4</f>
        <v>88.560323853500563</v>
      </c>
      <c r="AA11" s="1">
        <f t="shared" si="25"/>
        <v>88.812414253573763</v>
      </c>
      <c r="AB11" s="1">
        <f t="shared" si="25"/>
        <v>88.173146741120306</v>
      </c>
      <c r="AC11" s="1">
        <f t="shared" si="25"/>
        <v>85.611093959473038</v>
      </c>
      <c r="AD11" s="1">
        <f t="shared" si="25"/>
        <v>90.205422860252199</v>
      </c>
      <c r="AE11" s="1">
        <f t="shared" si="25"/>
        <v>82.977239237713434</v>
      </c>
      <c r="AF11" s="1">
        <f t="shared" si="25"/>
        <v>89.873105433258473</v>
      </c>
      <c r="AG11" s="1">
        <f t="shared" si="25"/>
        <v>86.289364542210407</v>
      </c>
      <c r="AH11" s="1">
        <f t="shared" si="25"/>
        <v>86.727907885779686</v>
      </c>
      <c r="AI11" s="1">
        <f t="shared" si="25"/>
        <v>83.887175862383728</v>
      </c>
      <c r="AJ11" s="1">
        <f t="shared" si="25"/>
        <v>87.247314384759235</v>
      </c>
      <c r="AK11" s="1">
        <f t="shared" si="25"/>
        <v>89.132048009800513</v>
      </c>
      <c r="AL11" s="1">
        <f t="shared" si="25"/>
        <v>90.090949278480693</v>
      </c>
      <c r="AM11" s="1">
        <f t="shared" si="25"/>
        <v>84.5264433748372</v>
      </c>
      <c r="AN11" s="1">
        <f t="shared" si="25"/>
        <v>86.156183729479721</v>
      </c>
      <c r="AO11" s="1">
        <f t="shared" si="25"/>
        <v>87.047541642006408</v>
      </c>
      <c r="AP11" s="1">
        <f t="shared" si="25"/>
        <v>80.558166916954221</v>
      </c>
      <c r="AQ11" s="1">
        <f t="shared" ref="AQ11" si="26">(1-AQ5)/AQ4</f>
        <v>84.90360347379081</v>
      </c>
      <c r="AR11" s="1">
        <f t="shared" ref="AR11:AX11" si="27">(1-AR5)/AR4</f>
        <v>84.90360347379081</v>
      </c>
      <c r="AS11" s="1">
        <f t="shared" si="27"/>
        <v>89.630526082048846</v>
      </c>
      <c r="AT11" s="1">
        <f t="shared" si="27"/>
        <v>91.778477516598954</v>
      </c>
      <c r="AU11" s="1">
        <f t="shared" si="27"/>
        <v>85.905491787754229</v>
      </c>
      <c r="AV11" s="1">
        <f t="shared" si="27"/>
        <v>90.178469683671267</v>
      </c>
      <c r="AW11" s="1">
        <f t="shared" si="27"/>
        <v>89.519225122180771</v>
      </c>
      <c r="AX11" s="1">
        <f t="shared" si="27"/>
        <v>95.11219123916365</v>
      </c>
    </row>
    <row r="12" spans="1:50">
      <c r="A12" s="9"/>
      <c r="B12" s="3">
        <f>R28</f>
        <v>6.3686726529768567</v>
      </c>
      <c r="C12" s="2">
        <f t="shared" ref="C12" si="28">D12-1.5*F12</f>
        <v>1.0706015159690132E-2</v>
      </c>
      <c r="D12" s="2">
        <f>AVERAGE(S28:AX28)</f>
        <v>1.7725410472069467E-2</v>
      </c>
      <c r="E12" s="2">
        <f t="shared" ref="E12" si="29">D12+1.5*F12</f>
        <v>2.4744805784448803E-2</v>
      </c>
      <c r="F12" s="2">
        <f>STDEV(S28:AX28)</f>
        <v>4.6795968749195572E-3</v>
      </c>
      <c r="G12" s="3"/>
      <c r="H12" s="3"/>
      <c r="I12" s="3"/>
      <c r="J12" s="3"/>
      <c r="K12" s="3"/>
      <c r="L12" s="3"/>
      <c r="M12" s="3"/>
      <c r="N12" s="3"/>
      <c r="O12" s="3"/>
      <c r="Q12" s="57" t="s">
        <v>30</v>
      </c>
      <c r="R12" s="57"/>
      <c r="S12" s="2">
        <f t="shared" ref="S12" si="30">S5</f>
        <v>-2.255378636812581E-2</v>
      </c>
      <c r="T12" s="2"/>
      <c r="U12" s="2">
        <f t="shared" ref="U12" si="31">U5</f>
        <v>-2.3668794645568512E-2</v>
      </c>
      <c r="V12" s="2"/>
      <c r="W12" s="2">
        <f t="shared" ref="W12" si="32">W5</f>
        <v>-7.1268754817742572E-3</v>
      </c>
      <c r="X12" s="2"/>
      <c r="Y12" s="2"/>
      <c r="Z12" s="2">
        <f t="shared" ref="Z12:AP12" si="33">Z5</f>
        <v>-2.4162933358664516E-2</v>
      </c>
      <c r="AA12" s="2">
        <f t="shared" si="33"/>
        <v>-3.1243691509707513E-2</v>
      </c>
      <c r="AB12" s="2">
        <f t="shared" si="33"/>
        <v>-3.1634790420045772E-2</v>
      </c>
      <c r="AC12" s="2">
        <f t="shared" si="33"/>
        <v>-1.3309986467223926E-2</v>
      </c>
      <c r="AD12" s="2">
        <f t="shared" si="33"/>
        <v>-2.2133313592634759E-2</v>
      </c>
      <c r="AE12" s="2">
        <f t="shared" si="33"/>
        <v>-1.9464364009265721E-2</v>
      </c>
      <c r="AF12" s="2">
        <f t="shared" si="33"/>
        <v>-1.1679278843270347E-2</v>
      </c>
      <c r="AG12" s="2">
        <f t="shared" si="33"/>
        <v>-2.5379030732035238E-2</v>
      </c>
      <c r="AH12" s="2">
        <f t="shared" si="33"/>
        <v>-3.254136713847039E-2</v>
      </c>
      <c r="AI12" s="2">
        <f t="shared" si="33"/>
        <v>-2.6740479698683848E-2</v>
      </c>
      <c r="AJ12" s="2">
        <f t="shared" si="33"/>
        <v>-1.7101587546319259E-2</v>
      </c>
      <c r="AK12" s="2">
        <f t="shared" si="33"/>
        <v>-3.1050355406187762E-2</v>
      </c>
      <c r="AL12" s="2">
        <f t="shared" si="33"/>
        <v>-3.0479002328439881E-2</v>
      </c>
      <c r="AM12" s="2">
        <f t="shared" si="33"/>
        <v>-2.6370258581437375E-2</v>
      </c>
      <c r="AN12" s="2">
        <f t="shared" si="33"/>
        <v>-2.5452431375293062E-2</v>
      </c>
      <c r="AO12" s="2">
        <f t="shared" si="33"/>
        <v>-3.2338134529759893E-2</v>
      </c>
      <c r="AP12" s="2">
        <f t="shared" si="33"/>
        <v>-2.8768115599469863E-2</v>
      </c>
      <c r="AQ12" s="2">
        <f t="shared" ref="AQ12" si="34">AQ5</f>
        <v>-1.9787790847020061E-2</v>
      </c>
      <c r="AR12" s="2">
        <f t="shared" ref="AR12:AX12" si="35">AR5</f>
        <v>-1.9787790847020061E-2</v>
      </c>
      <c r="AS12" s="2">
        <f t="shared" si="35"/>
        <v>-2.2415256251255334E-2</v>
      </c>
      <c r="AT12" s="2">
        <f t="shared" si="35"/>
        <v>-2.9898701159269559E-2</v>
      </c>
      <c r="AU12" s="2">
        <f t="shared" si="35"/>
        <v>-1.8066892544173114E-2</v>
      </c>
      <c r="AV12" s="2">
        <f t="shared" si="35"/>
        <v>-2.333543974940713E-2</v>
      </c>
      <c r="AW12" s="2">
        <f t="shared" si="35"/>
        <v>-2.3668794645568512E-2</v>
      </c>
      <c r="AX12" s="2">
        <f t="shared" si="35"/>
        <v>-2.0993484720765437E-2</v>
      </c>
    </row>
    <row r="13" spans="1:50">
      <c r="A13" s="9"/>
      <c r="B13" s="3">
        <f>R34</f>
        <v>12.716872218523415</v>
      </c>
      <c r="C13" s="2">
        <f>D13-1.5*F13</f>
        <v>6.7286091556403383E-3</v>
      </c>
      <c r="D13" s="2">
        <f>AVERAGE(S34:AX34)</f>
        <v>1.4178607612848282E-2</v>
      </c>
      <c r="E13" s="2">
        <f>D13+1.5*F13</f>
        <v>2.1628606070056226E-2</v>
      </c>
      <c r="F13" s="2">
        <f>STDEV(S34:AX34)</f>
        <v>4.9666656381386291E-3</v>
      </c>
      <c r="G13" s="1"/>
      <c r="H13" s="1"/>
      <c r="I13" s="1"/>
      <c r="J13" s="1"/>
      <c r="K13" s="1"/>
      <c r="L13" s="1"/>
      <c r="M13" s="1"/>
      <c r="N13" s="1"/>
      <c r="O13" s="1"/>
      <c r="Q13" s="57" t="s">
        <v>0</v>
      </c>
      <c r="R13" s="57"/>
      <c r="S13" s="2">
        <f t="shared" ref="S13" si="36">MAX(MAX(S16:S116),-MIN(S16:S116))</f>
        <v>1.8182277679443359E-2</v>
      </c>
      <c r="T13" s="2"/>
      <c r="U13" s="2">
        <f t="shared" ref="U13" si="37">MAX(MAX(U16:U116),-MIN(U16:U116))</f>
        <v>2.2908624261617661E-2</v>
      </c>
      <c r="V13" s="2"/>
      <c r="W13" s="2">
        <f t="shared" ref="W13" si="38">MAX(MAX(W16:W116),-MIN(W16:W116))</f>
        <v>2.3803472518920898E-2</v>
      </c>
      <c r="X13" s="2"/>
      <c r="Y13" s="2"/>
      <c r="Z13" s="2">
        <f t="shared" ref="Z13:AP13" si="39">MAX(MAX(Z16:Z116),-MIN(Z16:Z116))</f>
        <v>2.2650178521871567E-2</v>
      </c>
      <c r="AA13" s="2">
        <f t="shared" si="39"/>
        <v>2.396063506603241E-2</v>
      </c>
      <c r="AB13" s="2">
        <f t="shared" si="39"/>
        <v>2.821807935833931E-2</v>
      </c>
      <c r="AC13" s="2">
        <f t="shared" si="39"/>
        <v>2.7925431728363037E-2</v>
      </c>
      <c r="AD13" s="2">
        <f t="shared" si="39"/>
        <v>2.764660120010376E-2</v>
      </c>
      <c r="AE13" s="2">
        <f t="shared" si="39"/>
        <v>2.7869045734405518E-2</v>
      </c>
      <c r="AF13" s="2">
        <f t="shared" si="39"/>
        <v>1.1079788208007813E-2</v>
      </c>
      <c r="AG13" s="2">
        <f t="shared" si="39"/>
        <v>2.3068714886903763E-2</v>
      </c>
      <c r="AH13" s="2">
        <f t="shared" si="39"/>
        <v>2.5622721761465073E-2</v>
      </c>
      <c r="AI13" s="2">
        <f t="shared" si="39"/>
        <v>2.3537274450063705E-2</v>
      </c>
      <c r="AJ13" s="2">
        <f t="shared" si="39"/>
        <v>1.7367422580718994E-2</v>
      </c>
      <c r="AK13" s="2">
        <f t="shared" si="39"/>
        <v>2.2029317915439606E-2</v>
      </c>
      <c r="AL13" s="2">
        <f t="shared" si="39"/>
        <v>2.3825168609619141E-2</v>
      </c>
      <c r="AM13" s="2">
        <f t="shared" si="39"/>
        <v>2.3547857999801636E-2</v>
      </c>
      <c r="AN13" s="2">
        <f t="shared" si="39"/>
        <v>2.3219633847475052E-2</v>
      </c>
      <c r="AO13" s="2">
        <f t="shared" si="39"/>
        <v>2.3666404187679291E-2</v>
      </c>
      <c r="AP13" s="2">
        <f t="shared" si="39"/>
        <v>2.4235105141997337E-2</v>
      </c>
      <c r="AQ13" s="2">
        <f t="shared" ref="AQ13" si="40">MAX(MAX(AQ16:AQ116),-MIN(AQ16:AQ116))</f>
        <v>2.5054857134819031E-2</v>
      </c>
      <c r="AR13" s="2">
        <f t="shared" ref="AR13:AX13" si="41">MAX(MAX(AR16:AR116),-MIN(AR16:AR116))</f>
        <v>2.5054857134819031E-2</v>
      </c>
      <c r="AS13" s="2">
        <f t="shared" si="41"/>
        <v>2.0361270755529404E-2</v>
      </c>
      <c r="AT13" s="2">
        <f t="shared" si="41"/>
        <v>2.5890467688441277E-2</v>
      </c>
      <c r="AU13" s="2">
        <f t="shared" si="41"/>
        <v>1.8959218636155128E-2</v>
      </c>
      <c r="AV13" s="2">
        <f t="shared" si="41"/>
        <v>2.3639321327209473E-2</v>
      </c>
      <c r="AW13" s="2">
        <f t="shared" si="41"/>
        <v>2.2908624261617661E-2</v>
      </c>
      <c r="AX13" s="2">
        <f t="shared" si="41"/>
        <v>2.1559376269578934E-2</v>
      </c>
    </row>
    <row r="14" spans="1:50">
      <c r="A14" s="9"/>
      <c r="B14" s="3">
        <f>R40</f>
        <v>20.598284231289458</v>
      </c>
      <c r="C14" s="2">
        <f t="shared" ref="C14" si="42">D14-1.5*F14</f>
        <v>-1.0022767884849664E-3</v>
      </c>
      <c r="D14" s="2">
        <f>AVERAGE(S40:AX40)</f>
        <v>9.779765137604304E-3</v>
      </c>
      <c r="E14" s="2">
        <f t="shared" ref="E14" si="43">D14+1.5*F14</f>
        <v>2.0561807063693573E-2</v>
      </c>
      <c r="F14" s="2">
        <f>STDEV(S40:AX40)</f>
        <v>7.1880279507261797E-3</v>
      </c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ht="17.25">
      <c r="A15" s="9"/>
      <c r="B15" s="3">
        <f>R46</f>
        <v>29.851836617655003</v>
      </c>
      <c r="C15" s="2">
        <f t="shared" ref="C15:C20" si="44">D15-1.5*F15</f>
        <v>-2.1929520451124777E-3</v>
      </c>
      <c r="D15" s="2">
        <f>AVERAGE(S46:AX46)</f>
        <v>9.3546392662184584E-3</v>
      </c>
      <c r="E15" s="2">
        <f t="shared" ref="E15:E20" si="45">D15+1.5*F15</f>
        <v>2.0902230577549395E-2</v>
      </c>
      <c r="F15" s="2">
        <f>STDEV(S46:AX46)</f>
        <v>7.6983942075539574E-3</v>
      </c>
      <c r="Q15" s="9" t="s">
        <v>39</v>
      </c>
      <c r="R15" s="36" t="s">
        <v>32</v>
      </c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</row>
    <row r="16" spans="1:50">
      <c r="A16" s="9"/>
      <c r="B16" s="3">
        <f>R52</f>
        <v>40.49430814081132</v>
      </c>
      <c r="C16" s="2">
        <f t="shared" si="44"/>
        <v>-7.5161831617335927E-3</v>
      </c>
      <c r="D16" s="2">
        <f>AVERAGE(S52:AX52)</f>
        <v>5.9842190572193688E-3</v>
      </c>
      <c r="E16" s="2">
        <f t="shared" si="45"/>
        <v>1.9484621276172329E-2</v>
      </c>
      <c r="F16" s="2">
        <f>STDEV(S52:AX52)</f>
        <v>9.0002681459686405E-3</v>
      </c>
      <c r="G16" s="1"/>
      <c r="H16" s="1"/>
      <c r="I16" s="1"/>
      <c r="J16" s="1"/>
      <c r="K16" s="1"/>
      <c r="L16" s="1"/>
      <c r="M16" s="1"/>
      <c r="N16" s="1"/>
      <c r="O16" s="1"/>
      <c r="P16">
        <v>0</v>
      </c>
      <c r="Q16">
        <f>data4!L2</f>
        <v>8.5229872048842026E-8</v>
      </c>
      <c r="R16" s="34">
        <f>Q16*4/PI()*1000000</f>
        <v>0.10851804348530379</v>
      </c>
      <c r="S16" s="4">
        <f>findLinError($R16,data0!B2,S$4,S$5,S$6,S$7)</f>
        <v>0</v>
      </c>
      <c r="T16" s="4"/>
      <c r="U16" s="4">
        <f>findLinError($R16,data0!D2,U$4,U$5,U$6,U$7)</f>
        <v>0</v>
      </c>
      <c r="V16" s="4"/>
      <c r="W16" s="4">
        <f>findLinError($R16,data0!F2,W$4,W$5,W$6,W$7)</f>
        <v>0</v>
      </c>
      <c r="X16" s="4"/>
      <c r="Y16" s="4"/>
      <c r="Z16" s="4">
        <f>findLinError($R16,data0!I2,Z$4,Z$5,Z$6,Z$7)</f>
        <v>0</v>
      </c>
      <c r="AA16" s="4">
        <f>findLinError($R16,data0!J2,AA$4,AA$5,AA$6,AA$7)</f>
        <v>0</v>
      </c>
      <c r="AB16" s="4">
        <f>findLinError($R16,data0!K2,AB$4,AB$5,AB$6,AB$7)</f>
        <v>0</v>
      </c>
      <c r="AC16" s="4">
        <f>findLinError($R16,data0!L2,AC$4,AC$5,AC$6,AC$7)</f>
        <v>0</v>
      </c>
      <c r="AD16" s="4">
        <f>findLinError($R16,data0!M2,AD$4,AD$5,AD$6,AD$7)</f>
        <v>0</v>
      </c>
      <c r="AE16" s="4">
        <f>findLinError($R16,data0!N2,AE$4,AE$5,AE$6,AE$7)</f>
        <v>0</v>
      </c>
      <c r="AF16" s="4">
        <f>findLinError($R16,data0!O2,AF$4,AF$5,AF$6,AF$7)</f>
        <v>0</v>
      </c>
      <c r="AG16" s="4">
        <f>findLinError($R16,data0!P2,AG$4,AG$5,AG$6,AG$7)</f>
        <v>0</v>
      </c>
      <c r="AH16" s="4">
        <f>findLinError($R16,data0!Q2,AH$4,AH$5,AH$6,AH$7)</f>
        <v>0</v>
      </c>
      <c r="AI16" s="4">
        <f>findLinError($R16,data0!R2,AI$4,AI$5,AI$6,AI$7)</f>
        <v>0</v>
      </c>
      <c r="AJ16" s="4">
        <f>findLinError($R16,data0!S2,AJ$4,AJ$5,AJ$6,AJ$7)</f>
        <v>0</v>
      </c>
      <c r="AK16" s="4">
        <f>findLinError($R16,data0!T2,AK$4,AK$5,AK$6,AK$7)</f>
        <v>0</v>
      </c>
      <c r="AL16" s="4">
        <f>findLinError($R16,data0!U2,AL$4,AL$5,AL$6,AL$7)</f>
        <v>0</v>
      </c>
      <c r="AM16" s="4">
        <f>findLinError($R16,data0!V2,AM$4,AM$5,AM$6,AM$7)</f>
        <v>0</v>
      </c>
      <c r="AN16" s="4">
        <f>findLinError($R16,data0!W2,AN$4,AN$5,AN$6,AN$7)</f>
        <v>0</v>
      </c>
      <c r="AO16" s="4">
        <f>findLinError($R16,data0!X2,AO$4,AO$5,AO$6,AO$7)</f>
        <v>0</v>
      </c>
      <c r="AP16" s="4">
        <f>findLinError($R16,data0!Y2,AP$4,AP$5,AP$6,AP$7)</f>
        <v>0</v>
      </c>
      <c r="AQ16" s="4">
        <f>findLinError($R16,data0!Z2,AQ$4,AQ$5,AQ$6,AQ$7)</f>
        <v>0</v>
      </c>
      <c r="AR16" s="4">
        <f>findLinError($R16,data0!AA2,AR$4,AR$5,AR$6,AR$7)</f>
        <v>0</v>
      </c>
      <c r="AS16" s="4">
        <f>findLinError($R16,data0!AB2,AS$4,AS$5,AS$6,AS$7)</f>
        <v>0</v>
      </c>
      <c r="AT16" s="4">
        <f>findLinError($R16,data0!AC2,AT$4,AT$5,AT$6,AT$7)</f>
        <v>0</v>
      </c>
      <c r="AU16" s="4">
        <f>findLinError($R16,data0!AD2,AU$4,AU$5,AU$6,AU$7)</f>
        <v>0</v>
      </c>
      <c r="AV16" s="4">
        <f>findLinError($R16,data0!AE2,AV$4,AV$5,AV$6,AV$7)</f>
        <v>0</v>
      </c>
      <c r="AW16" s="4">
        <f>findLinError($R16,data0!AF2,AW$4,AW$5,AW$6,AW$7)</f>
        <v>0</v>
      </c>
      <c r="AX16" s="4">
        <f>findLinError($R16,data0!AG2,AX$4,AX$5,AX$6,AX$7)</f>
        <v>0</v>
      </c>
    </row>
    <row r="17" spans="1:50">
      <c r="A17" s="9"/>
      <c r="B17" s="3">
        <f>R58</f>
        <v>52.417123708582601</v>
      </c>
      <c r="C17" s="2">
        <f t="shared" si="44"/>
        <v>-1.3525263275548458E-2</v>
      </c>
      <c r="D17" s="2">
        <f>AVERAGE(S58:AX58)</f>
        <v>3.74004670551845E-3</v>
      </c>
      <c r="E17" s="2">
        <f t="shared" si="45"/>
        <v>2.1005356686585357E-2</v>
      </c>
      <c r="F17" s="2">
        <f>STDEV(S58:AX58)</f>
        <v>1.1510206654044605E-2</v>
      </c>
      <c r="G17" s="1"/>
      <c r="H17" s="1"/>
      <c r="I17" s="1"/>
      <c r="J17" s="1"/>
      <c r="K17" s="1"/>
      <c r="L17" s="1"/>
      <c r="M17" s="1"/>
      <c r="N17" s="1"/>
      <c r="O17" s="1"/>
      <c r="P17">
        <f>P16+1</f>
        <v>1</v>
      </c>
      <c r="Q17" s="9">
        <f>data4!L3</f>
        <v>1.6399643598674629E-7</v>
      </c>
      <c r="R17" s="34">
        <f t="shared" ref="R17:R80" si="46">Q17*4/PI()*1000000</f>
        <v>0.20880674749395409</v>
      </c>
      <c r="S17" s="4">
        <f>findLinError($R17,data0!B3,S$4,S$5,S$6,S$7)</f>
        <v>0</v>
      </c>
      <c r="T17" s="4"/>
      <c r="U17" s="4">
        <f>findLinError($R17,data0!D3,U$4,U$5,U$6,U$7)</f>
        <v>0</v>
      </c>
      <c r="V17" s="4"/>
      <c r="W17" s="4">
        <f>findLinError($R17,data0!F3,W$4,W$5,W$6,W$7)</f>
        <v>0</v>
      </c>
      <c r="X17" s="4"/>
      <c r="Y17" s="4"/>
      <c r="Z17" s="4">
        <f>findLinError($R17,data0!I3,Z$4,Z$5,Z$6,Z$7)</f>
        <v>0</v>
      </c>
      <c r="AA17" s="4">
        <f>findLinError($R17,data0!J3,AA$4,AA$5,AA$6,AA$7)</f>
        <v>0</v>
      </c>
      <c r="AB17" s="4">
        <f>findLinError($R17,data0!K3,AB$4,AB$5,AB$6,AB$7)</f>
        <v>0</v>
      </c>
      <c r="AC17" s="4">
        <f>findLinError($R17,data0!L3,AC$4,AC$5,AC$6,AC$7)</f>
        <v>0</v>
      </c>
      <c r="AD17" s="4">
        <f>findLinError($R17,data0!M3,AD$4,AD$5,AD$6,AD$7)</f>
        <v>0</v>
      </c>
      <c r="AE17" s="4">
        <f>findLinError($R17,data0!N3,AE$4,AE$5,AE$6,AE$7)</f>
        <v>0</v>
      </c>
      <c r="AF17" s="4">
        <f>findLinError($R17,data0!O3,AF$4,AF$5,AF$6,AF$7)</f>
        <v>0</v>
      </c>
      <c r="AG17" s="4">
        <f>findLinError($R17,data0!P3,AG$4,AG$5,AG$6,AG$7)</f>
        <v>0</v>
      </c>
      <c r="AH17" s="4">
        <f>findLinError($R17,data0!Q3,AH$4,AH$5,AH$6,AH$7)</f>
        <v>0</v>
      </c>
      <c r="AI17" s="4">
        <f>findLinError($R17,data0!R3,AI$4,AI$5,AI$6,AI$7)</f>
        <v>0</v>
      </c>
      <c r="AJ17" s="4">
        <f>findLinError($R17,data0!S3,AJ$4,AJ$5,AJ$6,AJ$7)</f>
        <v>0</v>
      </c>
      <c r="AK17" s="4">
        <f>findLinError($R17,data0!T3,AK$4,AK$5,AK$6,AK$7)</f>
        <v>0</v>
      </c>
      <c r="AL17" s="4">
        <f>findLinError($R17,data0!U3,AL$4,AL$5,AL$6,AL$7)</f>
        <v>0</v>
      </c>
      <c r="AM17" s="4">
        <f>findLinError($R17,data0!V3,AM$4,AM$5,AM$6,AM$7)</f>
        <v>0</v>
      </c>
      <c r="AN17" s="4">
        <f>findLinError($R17,data0!W3,AN$4,AN$5,AN$6,AN$7)</f>
        <v>0</v>
      </c>
      <c r="AO17" s="4">
        <f>findLinError($R17,data0!X3,AO$4,AO$5,AO$6,AO$7)</f>
        <v>0</v>
      </c>
      <c r="AP17" s="4">
        <f>findLinError($R17,data0!Y3,AP$4,AP$5,AP$6,AP$7)</f>
        <v>0</v>
      </c>
      <c r="AQ17" s="4">
        <f>findLinError($R17,data0!Z3,AQ$4,AQ$5,AQ$6,AQ$7)</f>
        <v>0</v>
      </c>
      <c r="AR17" s="4">
        <f>findLinError($R17,data0!AA3,AR$4,AR$5,AR$6,AR$7)</f>
        <v>0</v>
      </c>
      <c r="AS17" s="4">
        <f>findLinError($R17,data0!AB3,AS$4,AS$5,AS$6,AS$7)</f>
        <v>0</v>
      </c>
      <c r="AT17" s="4">
        <f>findLinError($R17,data0!AC3,AT$4,AT$5,AT$6,AT$7)</f>
        <v>0</v>
      </c>
      <c r="AU17" s="4">
        <f>findLinError($R17,data0!AD3,AU$4,AU$5,AU$6,AU$7)</f>
        <v>0</v>
      </c>
      <c r="AV17" s="4">
        <f>findLinError($R17,data0!AE3,AV$4,AV$5,AV$6,AV$7)</f>
        <v>0</v>
      </c>
      <c r="AW17" s="4">
        <f>findLinError($R17,data0!AF3,AW$4,AW$5,AW$6,AW$7)</f>
        <v>0</v>
      </c>
      <c r="AX17" s="4">
        <f>findLinError($R17,data0!AG3,AX$4,AX$5,AX$6,AX$7)</f>
        <v>0</v>
      </c>
    </row>
    <row r="18" spans="1:50">
      <c r="A18" s="9"/>
      <c r="B18" s="3">
        <f>R64</f>
        <v>65.461365425443262</v>
      </c>
      <c r="C18" s="2">
        <f t="shared" si="44"/>
        <v>-1.8304695665483504E-2</v>
      </c>
      <c r="D18" s="2">
        <f>AVERAGE(S64:AX64)</f>
        <v>1.5401691198348999E-3</v>
      </c>
      <c r="E18" s="2">
        <f t="shared" si="45"/>
        <v>2.1385033905153304E-2</v>
      </c>
      <c r="F18" s="2">
        <f>STDEV(S64:AX64)</f>
        <v>1.3229909856878936E-2</v>
      </c>
      <c r="G18" s="1"/>
      <c r="H18" s="1"/>
      <c r="I18" s="1"/>
      <c r="J18" s="1"/>
      <c r="K18" s="1"/>
      <c r="L18" s="1"/>
      <c r="M18" s="1"/>
      <c r="N18" s="1"/>
      <c r="O18" s="1"/>
      <c r="P18" s="9">
        <f t="shared" ref="P18:P81" si="47">P17+1</f>
        <v>2</v>
      </c>
      <c r="Q18" s="9">
        <f>data4!L4</f>
        <v>2.9395392431297296E-7</v>
      </c>
      <c r="R18" s="34">
        <f t="shared" si="46"/>
        <v>0.37427376076536417</v>
      </c>
      <c r="S18" s="4">
        <f>findLinError($R18,data0!B4,S$4,S$5,S$6,S$7)</f>
        <v>0</v>
      </c>
      <c r="T18" s="4"/>
      <c r="U18" s="4">
        <f>findLinError($R18,data0!D4,U$4,U$5,U$6,U$7)</f>
        <v>0</v>
      </c>
      <c r="V18" s="4"/>
      <c r="W18" s="4">
        <f>findLinError($R18,data0!F4,W$4,W$5,W$6,W$7)</f>
        <v>0</v>
      </c>
      <c r="X18" s="4"/>
      <c r="Y18" s="4"/>
      <c r="Z18" s="4">
        <f>findLinError($R18,data0!I4,Z$4,Z$5,Z$6,Z$7)</f>
        <v>0</v>
      </c>
      <c r="AA18" s="4">
        <f>findLinError($R18,data0!J4,AA$4,AA$5,AA$6,AA$7)</f>
        <v>0</v>
      </c>
      <c r="AB18" s="4">
        <f>findLinError($R18,data0!K4,AB$4,AB$5,AB$6,AB$7)</f>
        <v>0</v>
      </c>
      <c r="AC18" s="4">
        <f>findLinError($R18,data0!L4,AC$4,AC$5,AC$6,AC$7)</f>
        <v>0</v>
      </c>
      <c r="AD18" s="4">
        <f>findLinError($R18,data0!M4,AD$4,AD$5,AD$6,AD$7)</f>
        <v>0</v>
      </c>
      <c r="AE18" s="4">
        <f>findLinError($R18,data0!N4,AE$4,AE$5,AE$6,AE$7)</f>
        <v>0</v>
      </c>
      <c r="AF18" s="4">
        <f>findLinError($R18,data0!O4,AF$4,AF$5,AF$6,AF$7)</f>
        <v>0</v>
      </c>
      <c r="AG18" s="4">
        <f>findLinError($R18,data0!P4,AG$4,AG$5,AG$6,AG$7)</f>
        <v>0</v>
      </c>
      <c r="AH18" s="4">
        <f>findLinError($R18,data0!Q4,AH$4,AH$5,AH$6,AH$7)</f>
        <v>0</v>
      </c>
      <c r="AI18" s="4">
        <f>findLinError($R18,data0!R4,AI$4,AI$5,AI$6,AI$7)</f>
        <v>0</v>
      </c>
      <c r="AJ18" s="4">
        <f>findLinError($R18,data0!S4,AJ$4,AJ$5,AJ$6,AJ$7)</f>
        <v>0</v>
      </c>
      <c r="AK18" s="4">
        <f>findLinError($R18,data0!T4,AK$4,AK$5,AK$6,AK$7)</f>
        <v>0</v>
      </c>
      <c r="AL18" s="4">
        <f>findLinError($R18,data0!U4,AL$4,AL$5,AL$6,AL$7)</f>
        <v>0</v>
      </c>
      <c r="AM18" s="4">
        <f>findLinError($R18,data0!V4,AM$4,AM$5,AM$6,AM$7)</f>
        <v>0</v>
      </c>
      <c r="AN18" s="4">
        <f>findLinError($R18,data0!W4,AN$4,AN$5,AN$6,AN$7)</f>
        <v>0</v>
      </c>
      <c r="AO18" s="4">
        <f>findLinError($R18,data0!X4,AO$4,AO$5,AO$6,AO$7)</f>
        <v>0</v>
      </c>
      <c r="AP18" s="4">
        <f>findLinError($R18,data0!Y4,AP$4,AP$5,AP$6,AP$7)</f>
        <v>0</v>
      </c>
      <c r="AQ18" s="4">
        <f>findLinError($R18,data0!Z4,AQ$4,AQ$5,AQ$6,AQ$7)</f>
        <v>0</v>
      </c>
      <c r="AR18" s="4">
        <f>findLinError($R18,data0!AA4,AR$4,AR$5,AR$6,AR$7)</f>
        <v>0</v>
      </c>
      <c r="AS18" s="4">
        <f>findLinError($R18,data0!AB4,AS$4,AS$5,AS$6,AS$7)</f>
        <v>0</v>
      </c>
      <c r="AT18" s="4">
        <f>findLinError($R18,data0!AC4,AT$4,AT$5,AT$6,AT$7)</f>
        <v>0</v>
      </c>
      <c r="AU18" s="4">
        <f>findLinError($R18,data0!AD4,AU$4,AU$5,AU$6,AU$7)</f>
        <v>0</v>
      </c>
      <c r="AV18" s="4">
        <f>findLinError($R18,data0!AE4,AV$4,AV$5,AV$6,AV$7)</f>
        <v>0</v>
      </c>
      <c r="AW18" s="4">
        <f>findLinError($R18,data0!AF4,AW$4,AW$5,AW$6,AW$7)</f>
        <v>0</v>
      </c>
      <c r="AX18" s="4">
        <f>findLinError($R18,data0!AG4,AX$4,AX$5,AX$6,AX$7)</f>
        <v>0</v>
      </c>
    </row>
    <row r="19" spans="1:50">
      <c r="A19" s="9"/>
      <c r="B19" s="3">
        <f>R70</f>
        <v>79.482703069567336</v>
      </c>
      <c r="C19" s="2">
        <f t="shared" si="44"/>
        <v>-1.2541816260264753E-2</v>
      </c>
      <c r="D19" s="2">
        <f>AVERAGE(S70:AX70)</f>
        <v>1.4427708727972849E-3</v>
      </c>
      <c r="E19" s="2">
        <f t="shared" si="45"/>
        <v>1.5427358005859324E-2</v>
      </c>
      <c r="F19" s="2">
        <f>STDEV(S70:AX70)</f>
        <v>9.3230580887080257E-3</v>
      </c>
      <c r="G19" s="1"/>
      <c r="H19" s="1"/>
      <c r="I19" s="1"/>
      <c r="J19" s="1"/>
      <c r="K19" s="1"/>
      <c r="L19" s="1"/>
      <c r="M19" s="1"/>
      <c r="N19" s="1"/>
      <c r="O19" s="1"/>
      <c r="P19" s="9">
        <f t="shared" si="47"/>
        <v>3</v>
      </c>
      <c r="Q19" s="9">
        <f>data4!L5</f>
        <v>4.9792170386808721E-7</v>
      </c>
      <c r="R19" s="34">
        <f t="shared" si="46"/>
        <v>0.63397360354675991</v>
      </c>
      <c r="S19" s="4">
        <f>findLinError($R19,data0!B5,S$4,S$5,S$6,S$7)</f>
        <v>0</v>
      </c>
      <c r="T19" s="4"/>
      <c r="U19" s="4">
        <f>findLinError($R19,data0!D5,U$4,U$5,U$6,U$7)</f>
        <v>0</v>
      </c>
      <c r="V19" s="4"/>
      <c r="W19" s="4">
        <f>findLinError($R19,data0!F5,W$4,W$5,W$6,W$7)</f>
        <v>0</v>
      </c>
      <c r="X19" s="4"/>
      <c r="Y19" s="4"/>
      <c r="Z19" s="4">
        <f>findLinError($R19,data0!I5,Z$4,Z$5,Z$6,Z$7)</f>
        <v>0</v>
      </c>
      <c r="AA19" s="4">
        <f>findLinError($R19,data0!J5,AA$4,AA$5,AA$6,AA$7)</f>
        <v>0</v>
      </c>
      <c r="AB19" s="4">
        <f>findLinError($R19,data0!K5,AB$4,AB$5,AB$6,AB$7)</f>
        <v>0</v>
      </c>
      <c r="AC19" s="4">
        <f>findLinError($R19,data0!L5,AC$4,AC$5,AC$6,AC$7)</f>
        <v>0</v>
      </c>
      <c r="AD19" s="4">
        <f>findLinError($R19,data0!M5,AD$4,AD$5,AD$6,AD$7)</f>
        <v>0</v>
      </c>
      <c r="AE19" s="4">
        <f>findLinError($R19,data0!N5,AE$4,AE$5,AE$6,AE$7)</f>
        <v>0</v>
      </c>
      <c r="AF19" s="4">
        <f>findLinError($R19,data0!O5,AF$4,AF$5,AF$6,AF$7)</f>
        <v>0</v>
      </c>
      <c r="AG19" s="4">
        <f>findLinError($R19,data0!P5,AG$4,AG$5,AG$6,AG$7)</f>
        <v>0</v>
      </c>
      <c r="AH19" s="4">
        <f>findLinError($R19,data0!Q5,AH$4,AH$5,AH$6,AH$7)</f>
        <v>0</v>
      </c>
      <c r="AI19" s="4">
        <f>findLinError($R19,data0!R5,AI$4,AI$5,AI$6,AI$7)</f>
        <v>0</v>
      </c>
      <c r="AJ19" s="4">
        <f>findLinError($R19,data0!S5,AJ$4,AJ$5,AJ$6,AJ$7)</f>
        <v>0</v>
      </c>
      <c r="AK19" s="4">
        <f>findLinError($R19,data0!T5,AK$4,AK$5,AK$6,AK$7)</f>
        <v>0</v>
      </c>
      <c r="AL19" s="4">
        <f>findLinError($R19,data0!U5,AL$4,AL$5,AL$6,AL$7)</f>
        <v>0</v>
      </c>
      <c r="AM19" s="4">
        <f>findLinError($R19,data0!V5,AM$4,AM$5,AM$6,AM$7)</f>
        <v>0</v>
      </c>
      <c r="AN19" s="4">
        <f>findLinError($R19,data0!W5,AN$4,AN$5,AN$6,AN$7)</f>
        <v>0</v>
      </c>
      <c r="AO19" s="4">
        <f>findLinError($R19,data0!X5,AO$4,AO$5,AO$6,AO$7)</f>
        <v>0</v>
      </c>
      <c r="AP19" s="4">
        <f>findLinError($R19,data0!Y5,AP$4,AP$5,AP$6,AP$7)</f>
        <v>0</v>
      </c>
      <c r="AQ19" s="4">
        <f>findLinError($R19,data0!Z5,AQ$4,AQ$5,AQ$6,AQ$7)</f>
        <v>0</v>
      </c>
      <c r="AR19" s="4">
        <f>findLinError($R19,data0!AA5,AR$4,AR$5,AR$6,AR$7)</f>
        <v>0</v>
      </c>
      <c r="AS19" s="4">
        <f>findLinError($R19,data0!AB5,AS$4,AS$5,AS$6,AS$7)</f>
        <v>0</v>
      </c>
      <c r="AT19" s="4">
        <f>findLinError($R19,data0!AC5,AT$4,AT$5,AT$6,AT$7)</f>
        <v>0</v>
      </c>
      <c r="AU19" s="4">
        <f>findLinError($R19,data0!AD5,AU$4,AU$5,AU$6,AU$7)</f>
        <v>0</v>
      </c>
      <c r="AV19" s="4">
        <f>findLinError($R19,data0!AE5,AV$4,AV$5,AV$6,AV$7)</f>
        <v>0</v>
      </c>
      <c r="AW19" s="4">
        <f>findLinError($R19,data0!AF5,AW$4,AW$5,AW$6,AW$7)</f>
        <v>0</v>
      </c>
      <c r="AX19" s="4">
        <f>findLinError($R19,data0!AG5,AX$4,AX$5,AX$6,AX$7)</f>
        <v>0</v>
      </c>
    </row>
    <row r="20" spans="1:50">
      <c r="A20" s="9"/>
      <c r="B20" s="3">
        <f>R76</f>
        <v>94.245105770276012</v>
      </c>
      <c r="C20" s="2">
        <f t="shared" si="44"/>
        <v>0</v>
      </c>
      <c r="D20" s="2">
        <f>AVERAGE(S76:AX76)</f>
        <v>0</v>
      </c>
      <c r="E20" s="2">
        <f t="shared" si="45"/>
        <v>0</v>
      </c>
      <c r="F20" s="2">
        <f>STDEV(S76:AX76)</f>
        <v>0</v>
      </c>
      <c r="G20" s="1"/>
      <c r="H20" s="1"/>
      <c r="I20" s="1"/>
      <c r="J20" s="1"/>
      <c r="K20" s="1"/>
      <c r="L20" s="1"/>
      <c r="M20" s="1"/>
      <c r="N20" s="1"/>
      <c r="O20" s="1"/>
      <c r="P20" s="9">
        <f t="shared" si="47"/>
        <v>4</v>
      </c>
      <c r="Q20" s="9">
        <f>data4!L6</f>
        <v>7.6581098795713842E-7</v>
      </c>
      <c r="R20" s="34">
        <f t="shared" si="46"/>
        <v>0.97506083365973206</v>
      </c>
      <c r="S20" s="4">
        <f>findLinError($R20,data0!B6,S$4,S$5,S$6,S$7)</f>
        <v>0</v>
      </c>
      <c r="T20" s="4"/>
      <c r="U20" s="4">
        <f>findLinError($R20,data0!D6,U$4,U$5,U$6,U$7)</f>
        <v>0</v>
      </c>
      <c r="V20" s="4"/>
      <c r="W20" s="4">
        <f>findLinError($R20,data0!F6,W$4,W$5,W$6,W$7)</f>
        <v>0</v>
      </c>
      <c r="X20" s="4"/>
      <c r="Y20" s="4"/>
      <c r="Z20" s="4">
        <f>findLinError($R20,data0!I6,Z$4,Z$5,Z$6,Z$7)</f>
        <v>0</v>
      </c>
      <c r="AA20" s="4">
        <f>findLinError($R20,data0!J6,AA$4,AA$5,AA$6,AA$7)</f>
        <v>0</v>
      </c>
      <c r="AB20" s="4">
        <f>findLinError($R20,data0!K6,AB$4,AB$5,AB$6,AB$7)</f>
        <v>0</v>
      </c>
      <c r="AC20" s="4">
        <f>findLinError($R20,data0!L6,AC$4,AC$5,AC$6,AC$7)</f>
        <v>0</v>
      </c>
      <c r="AD20" s="4">
        <f>findLinError($R20,data0!M6,AD$4,AD$5,AD$6,AD$7)</f>
        <v>0</v>
      </c>
      <c r="AE20" s="4">
        <f>findLinError($R20,data0!N6,AE$4,AE$5,AE$6,AE$7)</f>
        <v>0</v>
      </c>
      <c r="AF20" s="4">
        <f>findLinError($R20,data0!O6,AF$4,AF$5,AF$6,AF$7)</f>
        <v>0</v>
      </c>
      <c r="AG20" s="4">
        <f>findLinError($R20,data0!P6,AG$4,AG$5,AG$6,AG$7)</f>
        <v>0</v>
      </c>
      <c r="AH20" s="4">
        <f>findLinError($R20,data0!Q6,AH$4,AH$5,AH$6,AH$7)</f>
        <v>0</v>
      </c>
      <c r="AI20" s="4">
        <f>findLinError($R20,data0!R6,AI$4,AI$5,AI$6,AI$7)</f>
        <v>0</v>
      </c>
      <c r="AJ20" s="4">
        <f>findLinError($R20,data0!S6,AJ$4,AJ$5,AJ$6,AJ$7)</f>
        <v>0</v>
      </c>
      <c r="AK20" s="4">
        <f>findLinError($R20,data0!T6,AK$4,AK$5,AK$6,AK$7)</f>
        <v>0</v>
      </c>
      <c r="AL20" s="4">
        <f>findLinError($R20,data0!U6,AL$4,AL$5,AL$6,AL$7)</f>
        <v>0</v>
      </c>
      <c r="AM20" s="4">
        <f>findLinError($R20,data0!V6,AM$4,AM$5,AM$6,AM$7)</f>
        <v>0</v>
      </c>
      <c r="AN20" s="4">
        <f>findLinError($R20,data0!W6,AN$4,AN$5,AN$6,AN$7)</f>
        <v>0</v>
      </c>
      <c r="AO20" s="4">
        <f>findLinError($R20,data0!X6,AO$4,AO$5,AO$6,AO$7)</f>
        <v>0</v>
      </c>
      <c r="AP20" s="4">
        <f>findLinError($R20,data0!Y6,AP$4,AP$5,AP$6,AP$7)</f>
        <v>0</v>
      </c>
      <c r="AQ20" s="4">
        <f>findLinError($R20,data0!Z6,AQ$4,AQ$5,AQ$6,AQ$7)</f>
        <v>0</v>
      </c>
      <c r="AR20" s="4">
        <f>findLinError($R20,data0!AA6,AR$4,AR$5,AR$6,AR$7)</f>
        <v>0</v>
      </c>
      <c r="AS20" s="4">
        <f>findLinError($R20,data0!AB6,AS$4,AS$5,AS$6,AS$7)</f>
        <v>0</v>
      </c>
      <c r="AT20" s="4">
        <f>findLinError($R20,data0!AC6,AT$4,AT$5,AT$6,AT$7)</f>
        <v>0</v>
      </c>
      <c r="AU20" s="4">
        <f>findLinError($R20,data0!AD6,AU$4,AU$5,AU$6,AU$7)</f>
        <v>0</v>
      </c>
      <c r="AV20" s="4">
        <f>findLinError($R20,data0!AE6,AV$4,AV$5,AV$6,AV$7)</f>
        <v>0</v>
      </c>
      <c r="AW20" s="4">
        <f>findLinError($R20,data0!AF6,AW$4,AW$5,AW$6,AW$7)</f>
        <v>0</v>
      </c>
      <c r="AX20" s="4">
        <f>findLinError($R20,data0!AG6,AX$4,AX$5,AX$6,AX$7)</f>
        <v>0</v>
      </c>
    </row>
    <row r="21" spans="1:50">
      <c r="G21" s="1"/>
      <c r="H21" s="1"/>
      <c r="I21" s="1"/>
      <c r="J21" s="1"/>
      <c r="K21" s="1"/>
      <c r="L21" s="1"/>
      <c r="M21" s="1"/>
      <c r="N21" s="1"/>
      <c r="O21" s="1"/>
      <c r="P21" s="9">
        <f t="shared" si="47"/>
        <v>5</v>
      </c>
      <c r="Q21" s="9">
        <f>data4!L7</f>
        <v>1.1026266832914189E-6</v>
      </c>
      <c r="R21" s="34">
        <f t="shared" si="46"/>
        <v>1.4039078962468088</v>
      </c>
      <c r="S21" s="4">
        <f>findLinError($R21,data0!B7,S$4,S$5,S$6,S$7)</f>
        <v>0</v>
      </c>
      <c r="T21" s="4"/>
      <c r="U21" s="4">
        <f>findLinError($R21,data0!D7,U$4,U$5,U$6,U$7)</f>
        <v>0</v>
      </c>
      <c r="V21" s="4"/>
      <c r="W21" s="4">
        <f>findLinError($R21,data0!F7,W$4,W$5,W$6,W$7)</f>
        <v>0</v>
      </c>
      <c r="X21" s="4"/>
      <c r="Y21" s="4"/>
      <c r="Z21" s="4">
        <f>findLinError($R21,data0!I7,Z$4,Z$5,Z$6,Z$7)</f>
        <v>0</v>
      </c>
      <c r="AA21" s="4">
        <f>findLinError($R21,data0!J7,AA$4,AA$5,AA$6,AA$7)</f>
        <v>0</v>
      </c>
      <c r="AB21" s="4">
        <f>findLinError($R21,data0!K7,AB$4,AB$5,AB$6,AB$7)</f>
        <v>0</v>
      </c>
      <c r="AC21" s="4">
        <f>findLinError($R21,data0!L7,AC$4,AC$5,AC$6,AC$7)</f>
        <v>0</v>
      </c>
      <c r="AD21" s="4">
        <f>findLinError($R21,data0!M7,AD$4,AD$5,AD$6,AD$7)</f>
        <v>0</v>
      </c>
      <c r="AE21" s="4">
        <f>findLinError($R21,data0!N7,AE$4,AE$5,AE$6,AE$7)</f>
        <v>0</v>
      </c>
      <c r="AF21" s="4">
        <f>findLinError($R21,data0!O7,AF$4,AF$5,AF$6,AF$7)</f>
        <v>0</v>
      </c>
      <c r="AG21" s="4">
        <f>findLinError($R21,data0!P7,AG$4,AG$5,AG$6,AG$7)</f>
        <v>0</v>
      </c>
      <c r="AH21" s="4">
        <f>findLinError($R21,data0!Q7,AH$4,AH$5,AH$6,AH$7)</f>
        <v>0</v>
      </c>
      <c r="AI21" s="4">
        <f>findLinError($R21,data0!R7,AI$4,AI$5,AI$6,AI$7)</f>
        <v>0</v>
      </c>
      <c r="AJ21" s="4">
        <f>findLinError($R21,data0!S7,AJ$4,AJ$5,AJ$6,AJ$7)</f>
        <v>0</v>
      </c>
      <c r="AK21" s="4">
        <f>findLinError($R21,data0!T7,AK$4,AK$5,AK$6,AK$7)</f>
        <v>0</v>
      </c>
      <c r="AL21" s="4">
        <f>findLinError($R21,data0!U7,AL$4,AL$5,AL$6,AL$7)</f>
        <v>0</v>
      </c>
      <c r="AM21" s="4">
        <f>findLinError($R21,data0!V7,AM$4,AM$5,AM$6,AM$7)</f>
        <v>0</v>
      </c>
      <c r="AN21" s="4">
        <f>findLinError($R21,data0!W7,AN$4,AN$5,AN$6,AN$7)</f>
        <v>0</v>
      </c>
      <c r="AO21" s="4">
        <f>findLinError($R21,data0!X7,AO$4,AO$5,AO$6,AO$7)</f>
        <v>0</v>
      </c>
      <c r="AP21" s="4">
        <f>findLinError($R21,data0!Y7,AP$4,AP$5,AP$6,AP$7)</f>
        <v>0</v>
      </c>
      <c r="AQ21" s="4">
        <f>findLinError($R21,data0!Z7,AQ$4,AQ$5,AQ$6,AQ$7)</f>
        <v>0</v>
      </c>
      <c r="AR21" s="4">
        <f>findLinError($R21,data0!AA7,AR$4,AR$5,AR$6,AR$7)</f>
        <v>0</v>
      </c>
      <c r="AS21" s="4">
        <f>findLinError($R21,data0!AB7,AS$4,AS$5,AS$6,AS$7)</f>
        <v>0</v>
      </c>
      <c r="AT21" s="4">
        <f>findLinError($R21,data0!AC7,AT$4,AT$5,AT$6,AT$7)</f>
        <v>0</v>
      </c>
      <c r="AU21" s="4">
        <f>findLinError($R21,data0!AD7,AU$4,AU$5,AU$6,AU$7)</f>
        <v>0</v>
      </c>
      <c r="AV21" s="4">
        <f>findLinError($R21,data0!AE7,AV$4,AV$5,AV$6,AV$7)</f>
        <v>0</v>
      </c>
      <c r="AW21" s="4">
        <f>findLinError($R21,data0!AF7,AW$4,AW$5,AW$6,AW$7)</f>
        <v>0</v>
      </c>
      <c r="AX21" s="4">
        <f>findLinError($R21,data0!AG7,AX$4,AX$5,AX$6,AX$7)</f>
        <v>0</v>
      </c>
    </row>
    <row r="22" spans="1:50">
      <c r="G22" s="1"/>
      <c r="H22" s="1"/>
      <c r="I22" s="1"/>
      <c r="J22" s="1"/>
      <c r="K22" s="1"/>
      <c r="L22" s="1"/>
      <c r="M22" s="1"/>
      <c r="N22" s="1"/>
      <c r="O22" s="1"/>
      <c r="P22" s="9">
        <f t="shared" si="47"/>
        <v>6</v>
      </c>
      <c r="Q22" s="9">
        <f>data4!L8</f>
        <v>1.5002202218283855E-6</v>
      </c>
      <c r="R22" s="34">
        <f t="shared" si="46"/>
        <v>1.9101397122432584</v>
      </c>
      <c r="S22" s="4">
        <f>findLinError($R22,data0!B8,S$4,S$5,S$6,S$7)</f>
        <v>0</v>
      </c>
      <c r="T22" s="4"/>
      <c r="U22" s="4">
        <f>findLinError($R22,data0!D8,U$4,U$5,U$6,U$7)</f>
        <v>0</v>
      </c>
      <c r="V22" s="4"/>
      <c r="W22" s="4">
        <f>findLinError($R22,data0!F8,W$4,W$5,W$6,W$7)</f>
        <v>8.2057751715183258E-3</v>
      </c>
      <c r="X22" s="4"/>
      <c r="Y22" s="4"/>
      <c r="Z22" s="4">
        <f>findLinError($R22,data0!I8,Z$4,Z$5,Z$6,Z$7)</f>
        <v>0</v>
      </c>
      <c r="AA22" s="4">
        <f>findLinError($R22,data0!J8,AA$4,AA$5,AA$6,AA$7)</f>
        <v>0</v>
      </c>
      <c r="AB22" s="4">
        <f>findLinError($R22,data0!K8,AB$4,AB$5,AB$6,AB$7)</f>
        <v>0</v>
      </c>
      <c r="AC22" s="4">
        <f>findLinError($R22,data0!L8,AC$4,AC$5,AC$6,AC$7)</f>
        <v>0</v>
      </c>
      <c r="AD22" s="4">
        <f>findLinError($R22,data0!M8,AD$4,AD$5,AD$6,AD$7)</f>
        <v>0</v>
      </c>
      <c r="AE22" s="4">
        <f>findLinError($R22,data0!N8,AE$4,AE$5,AE$6,AE$7)</f>
        <v>1.9525662064552307E-2</v>
      </c>
      <c r="AF22" s="4">
        <f>findLinError($R22,data0!O8,AF$4,AF$5,AF$6,AF$7)</f>
        <v>0</v>
      </c>
      <c r="AG22" s="4">
        <f>findLinError($R22,data0!P8,AG$4,AG$5,AG$6,AG$7)</f>
        <v>0</v>
      </c>
      <c r="AH22" s="4">
        <f>findLinError($R22,data0!Q8,AH$4,AH$5,AH$6,AH$7)</f>
        <v>0</v>
      </c>
      <c r="AI22" s="4">
        <f>findLinError($R22,data0!R8,AI$4,AI$5,AI$6,AI$7)</f>
        <v>0</v>
      </c>
      <c r="AJ22" s="4">
        <f>findLinError($R22,data0!S8,AJ$4,AJ$5,AJ$6,AJ$7)</f>
        <v>0</v>
      </c>
      <c r="AK22" s="4">
        <f>findLinError($R22,data0!T8,AK$4,AK$5,AK$6,AK$7)</f>
        <v>0</v>
      </c>
      <c r="AL22" s="4">
        <f>findLinError($R22,data0!U8,AL$4,AL$5,AL$6,AL$7)</f>
        <v>0</v>
      </c>
      <c r="AM22" s="4">
        <f>findLinError($R22,data0!V8,AM$4,AM$5,AM$6,AM$7)</f>
        <v>0</v>
      </c>
      <c r="AN22" s="4">
        <f>findLinError($R22,data0!W8,AN$4,AN$5,AN$6,AN$7)</f>
        <v>0</v>
      </c>
      <c r="AO22" s="4">
        <f>findLinError($R22,data0!X8,AO$4,AO$5,AO$6,AO$7)</f>
        <v>0</v>
      </c>
      <c r="AP22" s="4">
        <f>findLinError($R22,data0!Y8,AP$4,AP$5,AP$6,AP$7)</f>
        <v>0</v>
      </c>
      <c r="AQ22" s="4">
        <f>findLinError($R22,data0!Z8,AQ$4,AQ$5,AQ$6,AQ$7)</f>
        <v>2.429584413766861E-2</v>
      </c>
      <c r="AR22" s="4">
        <f>findLinError($R22,data0!AA8,AR$4,AR$5,AR$6,AR$7)</f>
        <v>2.429584413766861E-2</v>
      </c>
      <c r="AS22" s="4">
        <f>findLinError($R22,data0!AB8,AS$4,AS$5,AS$6,AS$7)</f>
        <v>0</v>
      </c>
      <c r="AT22" s="4">
        <f>findLinError($R22,data0!AC8,AT$4,AT$5,AT$6,AT$7)</f>
        <v>0</v>
      </c>
      <c r="AU22" s="4">
        <f>findLinError($R22,data0!AD8,AU$4,AU$5,AU$6,AU$7)</f>
        <v>1.8959218636155128E-2</v>
      </c>
      <c r="AV22" s="4">
        <f>findLinError($R22,data0!AE8,AV$4,AV$5,AV$6,AV$7)</f>
        <v>0</v>
      </c>
      <c r="AW22" s="4">
        <f>findLinError($R22,data0!AF8,AW$4,AW$5,AW$6,AW$7)</f>
        <v>0</v>
      </c>
      <c r="AX22" s="4">
        <f>findLinError($R22,data0!AG8,AX$4,AX$5,AX$6,AX$7)</f>
        <v>0</v>
      </c>
    </row>
    <row r="23" spans="1:50">
      <c r="G23" s="1"/>
      <c r="H23" s="1"/>
      <c r="I23" s="1"/>
      <c r="J23" s="1"/>
      <c r="K23" s="1"/>
      <c r="L23" s="1"/>
      <c r="M23" s="1"/>
      <c r="N23" s="1"/>
      <c r="O23" s="1"/>
      <c r="P23" s="9">
        <f t="shared" si="47"/>
        <v>7</v>
      </c>
      <c r="Q23" s="9">
        <f>data4!L9</f>
        <v>1.9670463871079846E-6</v>
      </c>
      <c r="R23" s="34">
        <f t="shared" si="46"/>
        <v>2.5045212463943174</v>
      </c>
      <c r="S23" s="4">
        <f>findLinError($R23,data0!B9,S$4,S$5,S$6,S$7)</f>
        <v>1.7420822754502296E-2</v>
      </c>
      <c r="T23" s="4"/>
      <c r="U23" s="4">
        <f>findLinError($R23,data0!D9,U$4,U$5,U$6,U$7)</f>
        <v>2.2480115294456482E-2</v>
      </c>
      <c r="V23" s="4"/>
      <c r="W23" s="4">
        <f>findLinError($R23,data0!F9,W$4,W$5,W$6,W$7)</f>
        <v>9.0629495680332184E-3</v>
      </c>
      <c r="X23" s="4"/>
      <c r="Y23" s="4"/>
      <c r="Z23" s="4">
        <f>findLinError($R23,data0!I9,Z$4,Z$5,Z$6,Z$7)</f>
        <v>2.2650178521871567E-2</v>
      </c>
      <c r="AA23" s="4">
        <f>findLinError($R23,data0!J9,AA$4,AA$5,AA$6,AA$7)</f>
        <v>0</v>
      </c>
      <c r="AB23" s="4">
        <f>findLinError($R23,data0!K9,AB$4,AB$5,AB$6,AB$7)</f>
        <v>0</v>
      </c>
      <c r="AC23" s="4">
        <f>findLinError($R23,data0!L9,AC$4,AC$5,AC$6,AC$7)</f>
        <v>7.1953870356082916E-3</v>
      </c>
      <c r="AD23" s="4">
        <f>findLinError($R23,data0!M9,AD$4,AD$5,AD$6,AD$7)</f>
        <v>1.7283562570810318E-2</v>
      </c>
      <c r="AE23" s="4">
        <f>findLinError($R23,data0!N9,AE$4,AE$5,AE$6,AE$7)</f>
        <v>1.6144616529345512E-2</v>
      </c>
      <c r="AF23" s="4">
        <f>findLinError($R23,data0!O9,AF$4,AF$5,AF$6,AF$7)</f>
        <v>7.0159155875444412E-3</v>
      </c>
      <c r="AG23" s="4">
        <f>findLinError($R23,data0!P9,AG$4,AG$5,AG$6,AG$7)</f>
        <v>2.3068714886903763E-2</v>
      </c>
      <c r="AH23" s="4">
        <f>findLinError($R23,data0!Q9,AH$4,AH$5,AH$6,AH$7)</f>
        <v>0</v>
      </c>
      <c r="AI23" s="4">
        <f>findLinError($R23,data0!R9,AI$4,AI$5,AI$6,AI$7)</f>
        <v>2.3537274450063705E-2</v>
      </c>
      <c r="AJ23" s="4">
        <f>findLinError($R23,data0!S9,AJ$4,AJ$5,AJ$6,AJ$7)</f>
        <v>1.5355654060840607E-2</v>
      </c>
      <c r="AK23" s="4">
        <f>findLinError($R23,data0!T9,AK$4,AK$5,AK$6,AK$7)</f>
        <v>0</v>
      </c>
      <c r="AL23" s="4">
        <f>findLinError($R23,data0!U9,AL$4,AL$5,AL$6,AL$7)</f>
        <v>0</v>
      </c>
      <c r="AM23" s="4">
        <f>findLinError($R23,data0!V9,AM$4,AM$5,AM$6,AM$7)</f>
        <v>2.3409856483340263E-2</v>
      </c>
      <c r="AN23" s="4">
        <f>findLinError($R23,data0!W9,AN$4,AN$5,AN$6,AN$7)</f>
        <v>2.3093974217772484E-2</v>
      </c>
      <c r="AO23" s="4">
        <f>findLinError($R23,data0!X9,AO$4,AO$5,AO$6,AO$7)</f>
        <v>0</v>
      </c>
      <c r="AP23" s="4">
        <f>findLinError($R23,data0!Y9,AP$4,AP$5,AP$6,AP$7)</f>
        <v>2.4235105141997337E-2</v>
      </c>
      <c r="AQ23" s="4">
        <f>findLinError($R23,data0!Z9,AQ$4,AQ$5,AQ$6,AQ$7)</f>
        <v>2.4999793618917465E-2</v>
      </c>
      <c r="AR23" s="4">
        <f>findLinError($R23,data0!AA9,AR$4,AR$5,AR$6,AR$7)</f>
        <v>2.4999793618917465E-2</v>
      </c>
      <c r="AS23" s="4">
        <f>findLinError($R23,data0!AB9,AS$4,AS$5,AS$6,AS$7)</f>
        <v>1.7375599592924118E-2</v>
      </c>
      <c r="AT23" s="4">
        <f>findLinError($R23,data0!AC9,AT$4,AT$5,AT$6,AT$7)</f>
        <v>0</v>
      </c>
      <c r="AU23" s="4">
        <f>findLinError($R23,data0!AD9,AU$4,AU$5,AU$6,AU$7)</f>
        <v>1.5836765989661217E-2</v>
      </c>
      <c r="AV23" s="4">
        <f>findLinError($R23,data0!AE9,AV$4,AV$5,AV$6,AV$7)</f>
        <v>2.236538752913475E-2</v>
      </c>
      <c r="AW23" s="4">
        <f>findLinError($R23,data0!AF9,AW$4,AW$5,AW$6,AW$7)</f>
        <v>2.2480115294456482E-2</v>
      </c>
      <c r="AX23" s="4">
        <f>findLinError($R23,data0!AG9,AX$4,AX$5,AX$6,AX$7)</f>
        <v>2.1559376269578934E-2</v>
      </c>
    </row>
    <row r="24" spans="1:50">
      <c r="G24" s="1"/>
      <c r="H24" s="1"/>
      <c r="I24" s="1"/>
      <c r="J24" s="1"/>
      <c r="K24" s="1"/>
      <c r="L24" s="1"/>
      <c r="M24" s="1"/>
      <c r="N24" s="1"/>
      <c r="O24" s="1"/>
      <c r="P24" s="9">
        <f t="shared" si="47"/>
        <v>8</v>
      </c>
      <c r="Q24" s="9">
        <f>data4!L10</f>
        <v>2.4763025407992245E-6</v>
      </c>
      <c r="R24" s="34">
        <f t="shared" si="46"/>
        <v>3.1529263196737314</v>
      </c>
      <c r="S24" s="4">
        <f>findLinError($R24,data0!B10,S$4,S$5,S$6,S$7)</f>
        <v>1.3921879231929779E-2</v>
      </c>
      <c r="T24" s="4"/>
      <c r="U24" s="4">
        <f>findLinError($R24,data0!D10,U$4,U$5,U$6,U$7)</f>
        <v>2.2908624261617661E-2</v>
      </c>
      <c r="V24" s="4"/>
      <c r="W24" s="4">
        <f>findLinError($R24,data0!F10,W$4,W$5,W$6,W$7)</f>
        <v>1.3206731528043747E-2</v>
      </c>
      <c r="X24" s="4"/>
      <c r="Y24" s="4"/>
      <c r="Z24" s="4">
        <f>findLinError($R24,data0!I10,Z$4,Z$5,Z$6,Z$7)</f>
        <v>1.9073218107223511E-2</v>
      </c>
      <c r="AA24" s="4">
        <f>findLinError($R24,data0!J10,AA$4,AA$5,AA$6,AA$7)</f>
        <v>2.2084528580307961E-2</v>
      </c>
      <c r="AB24" s="4">
        <f>findLinError($R24,data0!K10,AB$4,AB$5,AB$6,AB$7)</f>
        <v>2.2196210920810699E-2</v>
      </c>
      <c r="AC24" s="4">
        <f>findLinError($R24,data0!L10,AC$4,AC$5,AC$6,AC$7)</f>
        <v>1.1285442858934402E-2</v>
      </c>
      <c r="AD24" s="4">
        <f>findLinError($R24,data0!M10,AD$4,AD$5,AD$6,AD$7)</f>
        <v>2.1701078861951828E-2</v>
      </c>
      <c r="AE24" s="4">
        <f>findLinError($R24,data0!N10,AE$4,AE$5,AE$6,AE$7)</f>
        <v>1.6021402552723885E-2</v>
      </c>
      <c r="AF24" s="4">
        <f>findLinError($R24,data0!O10,AF$4,AF$5,AF$6,AF$7)</f>
        <v>3.6385487765073776E-3</v>
      </c>
      <c r="AG24" s="4">
        <f>findLinError($R24,data0!P10,AG$4,AG$5,AG$6,AG$7)</f>
        <v>1.928526908159256E-2</v>
      </c>
      <c r="AH24" s="4">
        <f>findLinError($R24,data0!Q10,AH$4,AH$5,AH$6,AH$7)</f>
        <v>2.2455103695392609E-2</v>
      </c>
      <c r="AI24" s="4">
        <f>findLinError($R24,data0!R10,AI$4,AI$5,AI$6,AI$7)</f>
        <v>2.344423346221447E-2</v>
      </c>
      <c r="AJ24" s="4">
        <f>findLinError($R24,data0!S10,AJ$4,AJ$5,AJ$6,AJ$7)</f>
        <v>1.5639891847968102E-2</v>
      </c>
      <c r="AK24" s="4">
        <f>findLinError($R24,data0!T10,AK$4,AK$5,AK$6,AK$7)</f>
        <v>2.2029317915439606E-2</v>
      </c>
      <c r="AL24" s="4">
        <f>findLinError($R24,data0!U10,AL$4,AL$5,AL$6,AL$7)</f>
        <v>2.1866157650947571E-2</v>
      </c>
      <c r="AM24" s="4">
        <f>findLinError($R24,data0!V10,AM$4,AM$5,AM$6,AM$7)</f>
        <v>2.3379676043987274E-2</v>
      </c>
      <c r="AN24" s="4">
        <f>findLinError($R24,data0!W10,AN$4,AN$5,AN$6,AN$7)</f>
        <v>2.3219633847475052E-2</v>
      </c>
      <c r="AO24" s="4">
        <f>findLinError($R24,data0!X10,AO$4,AO$5,AO$6,AO$7)</f>
        <v>2.239706739783287E-2</v>
      </c>
      <c r="AP24" s="4">
        <f>findLinError($R24,data0!Y10,AP$4,AP$5,AP$6,AP$7)</f>
        <v>2.3797787725925446E-2</v>
      </c>
      <c r="AQ24" s="4">
        <f>findLinError($R24,data0!Z10,AQ$4,AQ$5,AQ$6,AQ$7)</f>
        <v>2.5054857134819031E-2</v>
      </c>
      <c r="AR24" s="4">
        <f>findLinError($R24,data0!AA10,AR$4,AR$5,AR$6,AR$7)</f>
        <v>2.5054857134819031E-2</v>
      </c>
      <c r="AS24" s="4">
        <f>findLinError($R24,data0!AB10,AS$4,AS$5,AS$6,AS$7)</f>
        <v>1.7822384834289551E-2</v>
      </c>
      <c r="AT24" s="4">
        <f>findLinError($R24,data0!AC10,AT$4,AT$5,AT$6,AT$7)</f>
        <v>2.5890467688441277E-2</v>
      </c>
      <c r="AU24" s="4">
        <f>findLinError($R24,data0!AD10,AU$4,AU$5,AU$6,AU$7)</f>
        <v>1.5995649620890617E-2</v>
      </c>
      <c r="AV24" s="4">
        <f>findLinError($R24,data0!AE10,AV$4,AV$5,AV$6,AV$7)</f>
        <v>2.285049669444561E-2</v>
      </c>
      <c r="AW24" s="4">
        <f>findLinError($R24,data0!AF10,AW$4,AW$5,AW$6,AW$7)</f>
        <v>2.2908624261617661E-2</v>
      </c>
      <c r="AX24" s="4">
        <f>findLinError($R24,data0!AG10,AX$4,AX$5,AX$6,AX$7)</f>
        <v>1.8520563840866089E-2</v>
      </c>
    </row>
    <row r="25" spans="1:50">
      <c r="P25" s="9">
        <f t="shared" si="47"/>
        <v>9</v>
      </c>
      <c r="Q25" s="9">
        <f>data4!L11</f>
        <v>3.0608769350237708E-6</v>
      </c>
      <c r="R25" s="34">
        <f t="shared" si="46"/>
        <v>3.8972295552400267</v>
      </c>
      <c r="S25" s="4">
        <f>findLinError($R25,data0!B11,S$4,S$5,S$6,S$7)</f>
        <v>1.3247020542621613E-2</v>
      </c>
      <c r="T25" s="4"/>
      <c r="U25" s="4">
        <f>findLinError($R25,data0!D11,U$4,U$5,U$6,U$7)</f>
        <v>2.2240512073040009E-2</v>
      </c>
      <c r="V25" s="4"/>
      <c r="W25" s="4">
        <f>findLinError($R25,data0!F11,W$4,W$5,W$6,W$7)</f>
        <v>4.4586844742298126E-3</v>
      </c>
      <c r="X25" s="4"/>
      <c r="Y25" s="4"/>
      <c r="Z25" s="4">
        <f>findLinError($R25,data0!I11,Z$4,Z$5,Z$6,Z$7)</f>
        <v>2.2230366244912148E-2</v>
      </c>
      <c r="AA25" s="4">
        <f>findLinError($R25,data0!J11,AA$4,AA$5,AA$6,AA$7)</f>
        <v>2.1285202354192734E-2</v>
      </c>
      <c r="AB25" s="4">
        <f>findLinError($R25,data0!K11,AB$4,AB$5,AB$6,AB$7)</f>
        <v>2.1330922842025757E-2</v>
      </c>
      <c r="AC25" s="4">
        <f>findLinError($R25,data0!L11,AC$4,AC$5,AC$6,AC$7)</f>
        <v>1.0318856686353683E-2</v>
      </c>
      <c r="AD25" s="4">
        <f>findLinError($R25,data0!M11,AD$4,AD$5,AD$6,AD$7)</f>
        <v>2.1110383793711662E-2</v>
      </c>
      <c r="AE25" s="4">
        <f>findLinError($R25,data0!N11,AE$4,AE$5,AE$6,AE$7)</f>
        <v>1.4719974249601364E-2</v>
      </c>
      <c r="AF25" s="4">
        <f>findLinError($R25,data0!O11,AF$4,AF$5,AF$6,AF$7)</f>
        <v>3.1032487750053406E-3</v>
      </c>
      <c r="AG25" s="4">
        <f>findLinError($R25,data0!P11,AG$4,AG$5,AG$6,AG$7)</f>
        <v>1.8283825367689133E-2</v>
      </c>
      <c r="AH25" s="4">
        <f>findLinError($R25,data0!Q11,AH$4,AH$5,AH$6,AH$7)</f>
        <v>2.1436918526887894E-2</v>
      </c>
      <c r="AI25" s="4">
        <f>findLinError($R25,data0!R11,AI$4,AI$5,AI$6,AI$7)</f>
        <v>2.2177437320351601E-2</v>
      </c>
      <c r="AJ25" s="4">
        <f>findLinError($R25,data0!S11,AJ$4,AJ$5,AJ$6,AJ$7)</f>
        <v>1.4806175604462624E-2</v>
      </c>
      <c r="AK25" s="4">
        <f>findLinError($R25,data0!T11,AK$4,AK$5,AK$6,AK$7)</f>
        <v>2.1262597292661667E-2</v>
      </c>
      <c r="AL25" s="4">
        <f>findLinError($R25,data0!U11,AL$4,AL$5,AL$6,AL$7)</f>
        <v>1.7274230718612671E-2</v>
      </c>
      <c r="AM25" s="4">
        <f>findLinError($R25,data0!V11,AM$4,AM$5,AM$6,AM$7)</f>
        <v>2.2185036912560463E-2</v>
      </c>
      <c r="AN25" s="4">
        <f>findLinError($R25,data0!W11,AN$4,AN$5,AN$6,AN$7)</f>
        <v>2.2203885018825531E-2</v>
      </c>
      <c r="AO25" s="4">
        <f>findLinError($R25,data0!X11,AO$4,AO$5,AO$6,AO$7)</f>
        <v>2.1413158625364304E-2</v>
      </c>
      <c r="AP25" s="4">
        <f>findLinError($R25,data0!Y11,AP$4,AP$5,AP$6,AP$7)</f>
        <v>2.2135796025395393E-2</v>
      </c>
      <c r="AQ25" s="4">
        <f>findLinError($R25,data0!Z11,AQ$4,AQ$5,AQ$6,AQ$7)</f>
        <v>2.3958072066307068E-2</v>
      </c>
      <c r="AR25" s="4">
        <f>findLinError($R25,data0!AA11,AR$4,AR$5,AR$6,AR$7)</f>
        <v>2.3958072066307068E-2</v>
      </c>
      <c r="AS25" s="4">
        <f>findLinError($R25,data0!AB11,AS$4,AS$5,AS$6,AS$7)</f>
        <v>1.3253683224320412E-2</v>
      </c>
      <c r="AT25" s="4">
        <f>findLinError($R25,data0!AC11,AT$4,AT$5,AT$6,AT$7)</f>
        <v>2.1459780633449554E-2</v>
      </c>
      <c r="AU25" s="4">
        <f>findLinError($R25,data0!AD11,AU$4,AU$5,AU$6,AU$7)</f>
        <v>1.5018036589026451E-2</v>
      </c>
      <c r="AV25" s="4">
        <f>findLinError($R25,data0!AE11,AV$4,AV$5,AV$6,AV$7)</f>
        <v>2.2247359156608582E-2</v>
      </c>
      <c r="AW25" s="4">
        <f>findLinError($R25,data0!AF11,AW$4,AW$5,AW$6,AW$7)</f>
        <v>1.8318943679332733E-2</v>
      </c>
      <c r="AX25" s="4">
        <f>findLinError($R25,data0!AG11,AX$4,AX$5,AX$6,AX$7)</f>
        <v>1.4452314004302025E-2</v>
      </c>
    </row>
    <row r="26" spans="1:50">
      <c r="B26" s="57" t="s">
        <v>20</v>
      </c>
      <c r="C26" s="57"/>
      <c r="P26" s="9">
        <f t="shared" si="47"/>
        <v>10</v>
      </c>
      <c r="Q26" s="9">
        <f>data4!L12</f>
        <v>3.6515393446734379E-6</v>
      </c>
      <c r="R26" s="34">
        <f t="shared" si="46"/>
        <v>4.6492842927945421</v>
      </c>
      <c r="S26" s="4">
        <f>findLinError($R26,data0!B12,S$4,S$5,S$6,S$7)</f>
        <v>1.2483451515436172E-2</v>
      </c>
      <c r="T26" s="4"/>
      <c r="U26" s="4">
        <f>findLinError($R26,data0!D12,U$4,U$5,U$6,U$7)</f>
        <v>2.1483765915036201E-2</v>
      </c>
      <c r="V26" s="4"/>
      <c r="W26" s="4">
        <f>findLinError($R26,data0!F12,W$4,W$5,W$6,W$7)</f>
        <v>7.3842369019985199E-3</v>
      </c>
      <c r="X26" s="4"/>
      <c r="Y26" s="4"/>
      <c r="Z26" s="4">
        <f>findLinError($R26,data0!I12,Z$4,Z$5,Z$6,Z$7)</f>
        <v>2.1376306191086769E-2</v>
      </c>
      <c r="AA26" s="4">
        <f>findLinError($R26,data0!J12,AA$4,AA$5,AA$6,AA$7)</f>
        <v>2.0395869389176369E-2</v>
      </c>
      <c r="AB26" s="4">
        <f>findLinError($R26,data0!K12,AB$4,AB$5,AB$6,AB$7)</f>
        <v>2.821807935833931E-2</v>
      </c>
      <c r="AC26" s="4">
        <f>findLinError($R26,data0!L12,AC$4,AC$5,AC$6,AC$7)</f>
        <v>5.3389556705951691E-3</v>
      </c>
      <c r="AD26" s="4">
        <f>findLinError($R26,data0!M12,AD$4,AD$5,AD$6,AD$7)</f>
        <v>2.043185755610466E-2</v>
      </c>
      <c r="AE26" s="4">
        <f>findLinError($R26,data0!N12,AE$4,AE$5,AE$6,AE$7)</f>
        <v>1.3323310762643814E-2</v>
      </c>
      <c r="AF26" s="4">
        <f>findLinError($R26,data0!O12,AF$4,AF$5,AF$6,AF$7)</f>
        <v>2.4806894361972809E-3</v>
      </c>
      <c r="AG26" s="4">
        <f>findLinError($R26,data0!P12,AG$4,AG$5,AG$6,AG$7)</f>
        <v>2.111184224486351E-2</v>
      </c>
      <c r="AH26" s="4">
        <f>findLinError($R26,data0!Q12,AH$4,AH$5,AH$6,AH$7)</f>
        <v>2.0326448604464531E-2</v>
      </c>
      <c r="AI26" s="4">
        <f>findLinError($R26,data0!R12,AI$4,AI$5,AI$6,AI$7)</f>
        <v>2.0815771073102951E-2</v>
      </c>
      <c r="AJ26" s="4">
        <f>findLinError($R26,data0!S12,AJ$4,AJ$5,AJ$6,AJ$7)</f>
        <v>1.3882096856832504E-2</v>
      </c>
      <c r="AK26" s="4">
        <f>findLinError($R26,data0!T12,AK$4,AK$5,AK$6,AK$7)</f>
        <v>2.0406212657690048E-2</v>
      </c>
      <c r="AL26" s="4">
        <f>findLinError($R26,data0!U12,AL$4,AL$5,AL$6,AL$7)</f>
        <v>2.0436778664588928E-2</v>
      </c>
      <c r="AM26" s="4">
        <f>findLinError($R26,data0!V12,AM$4,AM$5,AM$6,AM$7)</f>
        <v>2.0896280184388161E-2</v>
      </c>
      <c r="AN26" s="4">
        <f>findLinError($R26,data0!W12,AN$4,AN$5,AN$6,AN$7)</f>
        <v>2.1095877513289452E-2</v>
      </c>
      <c r="AO26" s="4">
        <f>findLinError($R26,data0!X12,AO$4,AO$5,AO$6,AO$7)</f>
        <v>2.0337320864200592E-2</v>
      </c>
      <c r="AP26" s="4">
        <f>findLinError($R26,data0!Y12,AP$4,AP$5,AP$6,AP$7)</f>
        <v>2.037481777369976E-2</v>
      </c>
      <c r="AQ26" s="4">
        <f>findLinError($R26,data0!Z12,AQ$4,AQ$5,AQ$6,AQ$7)</f>
        <v>2.2768184542655945E-2</v>
      </c>
      <c r="AR26" s="4">
        <f>findLinError($R26,data0!AA12,AR$4,AR$5,AR$6,AR$7)</f>
        <v>2.2768184542655945E-2</v>
      </c>
      <c r="AS26" s="4">
        <f>findLinError($R26,data0!AB12,AS$4,AS$5,AS$6,AS$7)</f>
        <v>2.0361270755529404E-2</v>
      </c>
      <c r="AT26" s="4">
        <f>findLinError($R26,data0!AC12,AT$4,AT$5,AT$6,AT$7)</f>
        <v>2.4785252287983894E-2</v>
      </c>
      <c r="AU26" s="4">
        <f>findLinError($R26,data0!AD12,AU$4,AU$5,AU$6,AU$7)</f>
        <v>1.394856721162796E-2</v>
      </c>
      <c r="AV26" s="4">
        <f>findLinError($R26,data0!AE12,AV$4,AV$5,AV$6,AV$7)</f>
        <v>2.155626192688942E-2</v>
      </c>
      <c r="AW26" s="4">
        <f>findLinError($R26,data0!AF12,AW$4,AW$5,AW$6,AW$7)</f>
        <v>2.1483765915036201E-2</v>
      </c>
      <c r="AX26" s="4">
        <f>findLinError($R26,data0!AG12,AX$4,AX$5,AX$6,AX$7)</f>
        <v>1.4222428202629089E-2</v>
      </c>
    </row>
    <row r="27" spans="1:50">
      <c r="A27" s="9" t="s">
        <v>23</v>
      </c>
      <c r="B27" s="1">
        <f>(B28-B29)/5</f>
        <v>1.7982252610502598</v>
      </c>
      <c r="P27" s="9">
        <f t="shared" si="47"/>
        <v>11</v>
      </c>
      <c r="Q27" s="9">
        <f>data4!L13</f>
        <v>4.3369595914555248E-6</v>
      </c>
      <c r="R27" s="34">
        <f t="shared" si="46"/>
        <v>5.5219884557596304</v>
      </c>
      <c r="S27" s="4">
        <f>findLinError($R27,data0!B13,S$4,S$5,S$6,S$7)</f>
        <v>1.8182277679443359E-2</v>
      </c>
      <c r="T27" s="4"/>
      <c r="U27" s="4">
        <f>findLinError($R27,data0!D13,U$4,U$5,U$6,U$7)</f>
        <v>1.9347373396158218E-2</v>
      </c>
      <c r="V27" s="4"/>
      <c r="W27" s="4">
        <f>findLinError($R27,data0!F13,W$4,W$5,W$6,W$7)</f>
        <v>1.0486207902431488E-3</v>
      </c>
      <c r="X27" s="4"/>
      <c r="Y27" s="4"/>
      <c r="Z27" s="4">
        <f>findLinError($R27,data0!I13,Z$4,Z$5,Z$6,Z$7)</f>
        <v>1.912698894739151E-2</v>
      </c>
      <c r="AA27" s="4">
        <f>findLinError($R27,data0!J13,AA$4,AA$5,AA$6,AA$7)</f>
        <v>1.810561865568161E-2</v>
      </c>
      <c r="AB27" s="4">
        <f>findLinError($R27,data0!K13,AB$4,AB$5,AB$6,AB$7)</f>
        <v>1.8007352948188782E-2</v>
      </c>
      <c r="AC27" s="4">
        <f>findLinError($R27,data0!L13,AC$4,AC$5,AC$6,AC$7)</f>
        <v>-1.0689757764339447E-3</v>
      </c>
      <c r="AD27" s="4">
        <f>findLinError($R27,data0!M13,AD$4,AD$5,AD$6,AD$7)</f>
        <v>1.4464665204286575E-2</v>
      </c>
      <c r="AE27" s="4">
        <f>findLinError($R27,data0!N13,AE$4,AE$5,AE$6,AE$7)</f>
        <v>1.8287483602762222E-2</v>
      </c>
      <c r="AF27" s="4">
        <f>findLinError($R27,data0!O13,AF$4,AF$5,AF$6,AF$7)</f>
        <v>8.3431527018547058E-3</v>
      </c>
      <c r="AG27" s="4">
        <f>findLinError($R27,data0!P13,AG$4,AG$5,AG$6,AG$7)</f>
        <v>1.8584612756967545E-2</v>
      </c>
      <c r="AH27" s="4">
        <f>findLinError($R27,data0!Q13,AH$4,AH$5,AH$6,AH$7)</f>
        <v>2.5622721761465073E-2</v>
      </c>
      <c r="AI27" s="4">
        <f>findLinError($R27,data0!R13,AI$4,AI$5,AI$6,AI$7)</f>
        <v>1.7977412790060043E-2</v>
      </c>
      <c r="AJ27" s="4">
        <f>findLinError($R27,data0!S13,AJ$4,AJ$5,AJ$6,AJ$7)</f>
        <v>1.5473097562789917E-2</v>
      </c>
      <c r="AK27" s="4">
        <f>findLinError($R27,data0!T13,AK$4,AK$5,AK$6,AK$7)</f>
        <v>1.8154192715883255E-2</v>
      </c>
      <c r="AL27" s="4">
        <f>findLinError($R27,data0!U13,AL$4,AL$5,AL$6,AL$7)</f>
        <v>1.8297746777534485E-2</v>
      </c>
      <c r="AM27" s="4">
        <f>findLinError($R27,data0!V13,AM$4,AM$5,AM$6,AM$7)</f>
        <v>1.8142525106668472E-2</v>
      </c>
      <c r="AN27" s="4">
        <f>findLinError($R27,data0!W13,AN$4,AN$5,AN$6,AN$7)</f>
        <v>1.8551871180534363E-2</v>
      </c>
      <c r="AO27" s="4">
        <f>findLinError($R27,data0!X13,AO$4,AO$5,AO$6,AO$7)</f>
        <v>2.1752215921878815E-2</v>
      </c>
      <c r="AP27" s="4">
        <f>findLinError($R27,data0!Y13,AP$4,AP$5,AP$6,AP$7)</f>
        <v>2.0994659513235092E-2</v>
      </c>
      <c r="AQ27" s="4">
        <f>findLinError($R27,data0!Z13,AQ$4,AQ$5,AQ$6,AQ$7)</f>
        <v>2.0129170268774033E-2</v>
      </c>
      <c r="AR27" s="4">
        <f>findLinError($R27,data0!AA13,AR$4,AR$5,AR$6,AR$7)</f>
        <v>2.0129170268774033E-2</v>
      </c>
      <c r="AS27" s="4">
        <f>findLinError($R27,data0!AB13,AS$4,AS$5,AS$6,AS$7)</f>
        <v>1.8249474465847015E-2</v>
      </c>
      <c r="AT27" s="4">
        <f>findLinError($R27,data0!AC13,AT$4,AT$5,AT$6,AT$7)</f>
        <v>1.8913708627223969E-2</v>
      </c>
      <c r="AU27" s="4">
        <f>findLinError($R27,data0!AD13,AU$4,AU$5,AU$6,AU$7)</f>
        <v>1.1449277400970459E-2</v>
      </c>
      <c r="AV27" s="4">
        <f>findLinError($R27,data0!AE13,AV$4,AV$5,AV$6,AV$7)</f>
        <v>1.9496049731969833E-2</v>
      </c>
      <c r="AW27" s="4">
        <f>findLinError($R27,data0!AF13,AW$4,AW$5,AW$6,AW$7)</f>
        <v>1.9347373396158218E-2</v>
      </c>
      <c r="AX27" s="4">
        <f>findLinError($R27,data0!AG13,AX$4,AX$5,AX$6,AX$7)</f>
        <v>2.0540554076433182E-2</v>
      </c>
    </row>
    <row r="28" spans="1:50">
      <c r="A28" s="9" t="s">
        <v>21</v>
      </c>
      <c r="B28" s="1">
        <f>D5+1.5*F5</f>
        <v>92.080066705654389</v>
      </c>
      <c r="P28" s="9">
        <f t="shared" si="47"/>
        <v>12</v>
      </c>
      <c r="Q28" s="9">
        <f>data4!L14</f>
        <v>5.0019438049275777E-6</v>
      </c>
      <c r="R28" s="34">
        <f t="shared" si="46"/>
        <v>6.3686726529768567</v>
      </c>
      <c r="S28" s="4">
        <f>findLinError($R28,data0!B14,S$4,S$5,S$6,S$7)</f>
        <v>1.6335748136043549E-2</v>
      </c>
      <c r="T28" s="4"/>
      <c r="U28" s="4">
        <f>findLinError($R28,data0!D14,U$4,U$5,U$6,U$7)</f>
        <v>1.7508521676063538E-2</v>
      </c>
      <c r="V28" s="4"/>
      <c r="W28" s="4">
        <f>findLinError($R28,data0!F14,W$4,W$5,W$6,W$7)</f>
        <v>1.0705098509788513E-2</v>
      </c>
      <c r="X28" s="4"/>
      <c r="Y28" s="4"/>
      <c r="Z28" s="4">
        <f>findLinError($R28,data0!I14,Z$4,Z$5,Z$6,Z$7)</f>
        <v>1.7178576439619064E-2</v>
      </c>
      <c r="AA28" s="4">
        <f>findLinError($R28,data0!J14,AA$4,AA$5,AA$6,AA$7)</f>
        <v>2.396063506603241E-2</v>
      </c>
      <c r="AB28" s="4">
        <f>findLinError($R28,data0!K14,AB$4,AB$5,AB$6,AB$7)</f>
        <v>2.3787334561347961E-2</v>
      </c>
      <c r="AC28" s="4">
        <f>findLinError($R28,data0!L14,AC$4,AC$5,AC$6,AC$7)</f>
        <v>8.5173435509204865E-3</v>
      </c>
      <c r="AD28" s="4">
        <f>findLinError($R28,data0!M14,AD$4,AD$5,AD$6,AD$7)</f>
        <v>1.6635444015264511E-2</v>
      </c>
      <c r="AE28" s="4">
        <f>findLinError($R28,data0!N14,AE$4,AE$5,AE$6,AE$7)</f>
        <v>1.5728194266557693E-2</v>
      </c>
      <c r="AF28" s="4">
        <f>findLinError($R28,data0!O14,AF$4,AF$5,AF$6,AF$7)</f>
        <v>2.7338080108165741E-3</v>
      </c>
      <c r="AG28" s="4">
        <f>findLinError($R28,data0!P14,AG$4,AG$5,AG$6,AG$7)</f>
        <v>1.6366578638553619E-2</v>
      </c>
      <c r="AH28" s="4">
        <f>findLinError($R28,data0!Q14,AH$4,AH$5,AH$6,AH$7)</f>
        <v>2.3385640233755112E-2</v>
      </c>
      <c r="AI28" s="4">
        <f>findLinError($R28,data0!R14,AI$4,AI$5,AI$6,AI$7)</f>
        <v>1.9379094243049622E-2</v>
      </c>
      <c r="AJ28" s="4">
        <f>findLinError($R28,data0!S14,AJ$4,AJ$5,AJ$6,AJ$7)</f>
        <v>1.7367422580718994E-2</v>
      </c>
      <c r="AK28" s="4">
        <f>findLinError($R28,data0!T14,AK$4,AK$5,AK$6,AK$7)</f>
        <v>1.6203161329030991E-2</v>
      </c>
      <c r="AL28" s="4">
        <f>findLinError($R28,data0!U14,AL$4,AL$5,AL$6,AL$7)</f>
        <v>2.0377900451421738E-2</v>
      </c>
      <c r="AM28" s="4">
        <f>findLinError($R28,data0!V14,AM$4,AM$5,AM$6,AM$7)</f>
        <v>2.3547857999801636E-2</v>
      </c>
      <c r="AN28" s="4">
        <f>findLinError($R28,data0!W14,AN$4,AN$5,AN$6,AN$7)</f>
        <v>1.6317561268806458E-2</v>
      </c>
      <c r="AO28" s="4">
        <f>findLinError($R28,data0!X14,AO$4,AO$5,AO$6,AO$7)</f>
        <v>2.3475691676139832E-2</v>
      </c>
      <c r="AP28" s="4">
        <f>findLinError($R28,data0!Y14,AP$4,AP$5,AP$6,AP$7)</f>
        <v>2.1946780383586884E-2</v>
      </c>
      <c r="AQ28" s="4">
        <f>findLinError($R28,data0!Z14,AQ$4,AQ$5,AQ$6,AQ$7)</f>
        <v>1.7802674323320389E-2</v>
      </c>
      <c r="AR28" s="4">
        <f>findLinError($R28,data0!AA14,AR$4,AR$5,AR$6,AR$7)</f>
        <v>1.7802674323320389E-2</v>
      </c>
      <c r="AS28" s="4">
        <f>findLinError($R28,data0!AB14,AS$4,AS$5,AS$6,AS$7)</f>
        <v>1.6434486955404282E-2</v>
      </c>
      <c r="AT28" s="4">
        <f>findLinError($R28,data0!AC14,AT$4,AT$5,AT$6,AT$7)</f>
        <v>2.1177288144826889E-2</v>
      </c>
      <c r="AU28" s="4">
        <f>findLinError($R28,data0!AD14,AU$4,AU$5,AU$6,AU$7)</f>
        <v>1.7101489007472992E-2</v>
      </c>
      <c r="AV28" s="4">
        <f>findLinError($R28,data0!AE14,AV$4,AV$5,AV$6,AV$7)</f>
        <v>1.7731107771396637E-2</v>
      </c>
      <c r="AW28" s="4">
        <f>findLinError($R28,data0!AF14,AW$4,AW$5,AW$6,AW$7)</f>
        <v>1.7508521676063538E-2</v>
      </c>
      <c r="AX28" s="4">
        <f>findLinError($R28,data0!AG14,AX$4,AX$5,AX$6,AX$7)</f>
        <v>1.9294857978820801E-2</v>
      </c>
    </row>
    <row r="29" spans="1:50">
      <c r="A29" s="9" t="s">
        <v>22</v>
      </c>
      <c r="B29" s="1">
        <f>D5-1.5*F5</f>
        <v>83.088940400403089</v>
      </c>
      <c r="C29" s="2">
        <f t="shared" ref="C29:C34" si="48">histogram(S$11:AX$11,B$29:B$34,B29)/count</f>
        <v>7.1428571428571425E-2</v>
      </c>
      <c r="P29" s="9">
        <f t="shared" si="47"/>
        <v>13</v>
      </c>
      <c r="Q29" s="9">
        <f>data4!L15</f>
        <v>5.7817305787466466E-6</v>
      </c>
      <c r="R29" s="34">
        <f t="shared" si="46"/>
        <v>7.3615280098647498</v>
      </c>
      <c r="S29" s="4">
        <f>findLinError($R29,data0!B15,S$4,S$5,S$6,S$7)</f>
        <v>1.2816399335861206E-2</v>
      </c>
      <c r="T29" s="4"/>
      <c r="U29" s="4">
        <f>findLinError($R29,data0!D15,U$4,U$5,U$6,U$7)</f>
        <v>2.1841313689947128E-2</v>
      </c>
      <c r="V29" s="4"/>
      <c r="W29" s="4">
        <f>findLinError($R29,data0!F15,W$4,W$5,W$6,W$7)</f>
        <v>1.0800451040267944E-2</v>
      </c>
      <c r="X29" s="4"/>
      <c r="Y29" s="4"/>
      <c r="Z29" s="4">
        <f>findLinError($R29,data0!I15,Z$4,Z$5,Z$6,Z$7)</f>
        <v>1.3539761304855347E-2</v>
      </c>
      <c r="AA29" s="4">
        <f>findLinError($R29,data0!J15,AA$4,AA$5,AA$6,AA$7)</f>
        <v>2.0275253802537918E-2</v>
      </c>
      <c r="AB29" s="4">
        <f>findLinError($R29,data0!K15,AB$4,AB$5,AB$6,AB$7)</f>
        <v>2.0013965666294098E-2</v>
      </c>
      <c r="AC29" s="4">
        <f>findLinError($R29,data0!L15,AC$4,AC$5,AC$6,AC$7)</f>
        <v>4.6088546514511108E-3</v>
      </c>
      <c r="AD29" s="4">
        <f>findLinError($R29,data0!M15,AD$4,AD$5,AD$6,AD$7)</f>
        <v>2.1071504801511765E-2</v>
      </c>
      <c r="AE29" s="4">
        <f>findLinError($R29,data0!N15,AE$4,AE$5,AE$6,AE$7)</f>
        <v>1.1373043060302734E-2</v>
      </c>
      <c r="AF29" s="4">
        <f>findLinError($R29,data0!O15,AF$4,AF$5,AF$6,AF$7)</f>
        <v>3.3221840858459473E-3</v>
      </c>
      <c r="AG29" s="4">
        <f>findLinError($R29,data0!P15,AG$4,AG$5,AG$6,AG$7)</f>
        <v>1.6333159059286118E-2</v>
      </c>
      <c r="AH29" s="4">
        <f>findLinError($R29,data0!Q15,AH$4,AH$5,AH$6,AH$7)</f>
        <v>1.9408315420150757E-2</v>
      </c>
      <c r="AI29" s="4">
        <f>findLinError($R29,data0!R15,AI$4,AI$5,AI$6,AI$7)</f>
        <v>1.8991708755493164E-2</v>
      </c>
      <c r="AJ29" s="4">
        <f>findLinError($R29,data0!S15,AJ$4,AJ$5,AJ$6,AJ$7)</f>
        <v>1.3636171817779541E-2</v>
      </c>
      <c r="AK29" s="4">
        <f>findLinError($R29,data0!T15,AK$4,AK$5,AK$6,AK$7)</f>
        <v>1.6482848674058914E-2</v>
      </c>
      <c r="AL29" s="4">
        <f>findLinError($R29,data0!U15,AL$4,AL$5,AL$6,AL$7)</f>
        <v>1.6864556819200516E-2</v>
      </c>
      <c r="AM29" s="4">
        <f>findLinError($R29,data0!V15,AM$4,AM$5,AM$6,AM$7)</f>
        <v>1.9335158169269562E-2</v>
      </c>
      <c r="AN29" s="4">
        <f>findLinError($R29,data0!W15,AN$4,AN$5,AN$6,AN$7)</f>
        <v>1.6265057027339935E-2</v>
      </c>
      <c r="AO29" s="4">
        <f>findLinError($R29,data0!X15,AO$4,AO$5,AO$6,AO$7)</f>
        <v>2.3465655744075775E-2</v>
      </c>
      <c r="AP29" s="4">
        <f>findLinError($R29,data0!Y15,AP$4,AP$5,AP$6,AP$7)</f>
        <v>1.7110660672187805E-2</v>
      </c>
      <c r="AQ29" s="4">
        <f>findLinError($R29,data0!Z15,AQ$4,AQ$5,AQ$6,AQ$7)</f>
        <v>2.1563641726970673E-2</v>
      </c>
      <c r="AR29" s="4">
        <f>findLinError($R29,data0!AA15,AR$4,AR$5,AR$6,AR$7)</f>
        <v>2.1563641726970673E-2</v>
      </c>
      <c r="AS29" s="4">
        <f>findLinError($R29,data0!AB15,AS$4,AS$5,AS$6,AS$7)</f>
        <v>1.2952126562595367E-2</v>
      </c>
      <c r="AT29" s="4">
        <f>findLinError($R29,data0!AC15,AT$4,AT$5,AT$6,AT$7)</f>
        <v>1.7879031598567963E-2</v>
      </c>
      <c r="AU29" s="4">
        <f>findLinError($R29,data0!AD15,AU$4,AU$5,AU$6,AU$7)</f>
        <v>1.317828893661499E-2</v>
      </c>
      <c r="AV29" s="4">
        <f>findLinError($R29,data0!AE15,AV$4,AV$5,AV$6,AV$7)</f>
        <v>2.2150568664073944E-2</v>
      </c>
      <c r="AW29" s="4">
        <f>findLinError($R29,data0!AF15,AW$4,AW$5,AW$6,AW$7)</f>
        <v>1.7919745296239853E-2</v>
      </c>
      <c r="AX29" s="4">
        <f>findLinError($R29,data0!AG15,AX$4,AX$5,AX$6,AX$7)</f>
        <v>1.6480069607496262E-2</v>
      </c>
    </row>
    <row r="30" spans="1:50">
      <c r="B30" s="1">
        <f>B29+B$27</f>
        <v>84.887165661453352</v>
      </c>
      <c r="C30" s="2">
        <f t="shared" si="48"/>
        <v>7.1428571428571425E-2</v>
      </c>
      <c r="P30" s="9">
        <f t="shared" si="47"/>
        <v>14</v>
      </c>
      <c r="Q30" s="9">
        <f>data4!L16</f>
        <v>6.5475581436658103E-6</v>
      </c>
      <c r="R30" s="34">
        <f t="shared" si="46"/>
        <v>8.3366099499680644</v>
      </c>
      <c r="S30" s="4">
        <f>findLinError($R30,data0!B16,S$4,S$5,S$6,S$7)</f>
        <v>1.3422019779682159E-2</v>
      </c>
      <c r="T30" s="4"/>
      <c r="U30" s="4">
        <f>findLinError($R30,data0!D16,U$4,U$5,U$6,U$7)</f>
        <v>1.8534205853939056E-2</v>
      </c>
      <c r="V30" s="4"/>
      <c r="W30" s="4">
        <f>findLinError($R30,data0!F16,W$4,W$5,W$6,W$7)</f>
        <v>3.2615512609481812E-3</v>
      </c>
      <c r="X30" s="4"/>
      <c r="Y30" s="4"/>
      <c r="Z30" s="4">
        <f>findLinError($R30,data0!I16,Z$4,Z$5,Z$6,Z$7)</f>
        <v>1.7949625849723816E-2</v>
      </c>
      <c r="AA30" s="4">
        <f>findLinError($R30,data0!J16,AA$4,AA$5,AA$6,AA$7)</f>
        <v>2.0717814564704895E-2</v>
      </c>
      <c r="AB30" s="4">
        <f>findLinError($R30,data0!K16,AB$4,AB$5,AB$6,AB$7)</f>
        <v>2.0370110869407654E-2</v>
      </c>
      <c r="AC30" s="4">
        <f>findLinError($R30,data0!L16,AC$4,AC$5,AC$6,AC$7)</f>
        <v>4.8322901129722595E-3</v>
      </c>
      <c r="AD30" s="4">
        <f>findLinError($R30,data0!M16,AD$4,AD$5,AD$6,AD$7)</f>
        <v>1.0022684931755066E-2</v>
      </c>
      <c r="AE30" s="4">
        <f>findLinError($R30,data0!N16,AE$4,AE$5,AE$6,AE$7)</f>
        <v>1.5079386532306671E-2</v>
      </c>
      <c r="AF30" s="4">
        <f>findLinError($R30,data0!O16,AF$4,AF$5,AF$6,AF$7)</f>
        <v>4.1106343269348145E-3</v>
      </c>
      <c r="AG30" s="4">
        <f>findLinError($R30,data0!P16,AG$4,AG$5,AG$6,AG$7)</f>
        <v>1.6510933637619019E-2</v>
      </c>
      <c r="AH30" s="4">
        <f>findLinError($R30,data0!Q16,AH$4,AH$5,AH$6,AH$7)</f>
        <v>2.3485727608203888E-2</v>
      </c>
      <c r="AI30" s="4">
        <f>findLinError($R30,data0!R16,AI$4,AI$5,AI$6,AI$7)</f>
        <v>1.4900289475917816E-2</v>
      </c>
      <c r="AJ30" s="4">
        <f>findLinError($R30,data0!S16,AJ$4,AJ$5,AJ$6,AJ$7)</f>
        <v>1.4033682644367218E-2</v>
      </c>
      <c r="AK30" s="4">
        <f>findLinError($R30,data0!T16,AK$4,AK$5,AK$6,AK$7)</f>
        <v>1.6968123614788055E-2</v>
      </c>
      <c r="AL30" s="4">
        <f>findLinError($R30,data0!U16,AL$4,AL$5,AL$6,AL$7)</f>
        <v>1.7476074397563934E-2</v>
      </c>
      <c r="AM30" s="4">
        <f>findLinError($R30,data0!V16,AM$4,AM$5,AM$6,AM$7)</f>
        <v>1.9259840250015259E-2</v>
      </c>
      <c r="AN30" s="4">
        <f>findLinError($R30,data0!W16,AN$4,AN$5,AN$6,AN$7)</f>
        <v>1.6424097120761871E-2</v>
      </c>
      <c r="AO30" s="4">
        <f>findLinError($R30,data0!X16,AO$4,AO$5,AO$6,AO$7)</f>
        <v>2.3666404187679291E-2</v>
      </c>
      <c r="AP30" s="4">
        <f>findLinError($R30,data0!Y16,AP$4,AP$5,AP$6,AP$7)</f>
        <v>2.0344644784927368E-2</v>
      </c>
      <c r="AQ30" s="4">
        <f>findLinError($R30,data0!Z16,AQ$4,AQ$5,AQ$6,AQ$7)</f>
        <v>2.1616518497467041E-2</v>
      </c>
      <c r="AR30" s="4">
        <f>findLinError($R30,data0!AA16,AR$4,AR$5,AR$6,AR$7)</f>
        <v>2.1616518497467041E-2</v>
      </c>
      <c r="AS30" s="4">
        <f>findLinError($R30,data0!AB16,AS$4,AS$5,AS$6,AS$7)</f>
        <v>1.7515644431114197E-2</v>
      </c>
      <c r="AT30" s="4">
        <f>findLinError($R30,data0!AC16,AT$4,AT$5,AT$6,AT$7)</f>
        <v>2.2623352706432343E-2</v>
      </c>
      <c r="AU30" s="4">
        <f>findLinError($R30,data0!AD16,AU$4,AU$5,AU$6,AU$7)</f>
        <v>9.4657167792320251E-3</v>
      </c>
      <c r="AV30" s="4">
        <f>findLinError($R30,data0!AE16,AV$4,AV$5,AV$6,AV$7)</f>
        <v>1.8928579986095428E-2</v>
      </c>
      <c r="AW30" s="4">
        <f>findLinError($R30,data0!AF16,AW$4,AW$5,AW$6,AW$7)</f>
        <v>1.8534205853939056E-2</v>
      </c>
      <c r="AX30" s="4">
        <f>findLinError($R30,data0!AG16,AX$4,AX$5,AX$6,AX$7)</f>
        <v>1.3856068253517151E-2</v>
      </c>
    </row>
    <row r="31" spans="1:50">
      <c r="B31" s="1">
        <f>B30+B$27</f>
        <v>86.685390922503615</v>
      </c>
      <c r="C31" s="2">
        <f t="shared" si="48"/>
        <v>0.25</v>
      </c>
      <c r="P31" s="9">
        <f t="shared" si="47"/>
        <v>15</v>
      </c>
      <c r="Q31" s="9">
        <f>data4!L17</f>
        <v>7.3541461915738182E-6</v>
      </c>
      <c r="R31" s="34">
        <f t="shared" si="46"/>
        <v>9.3635897488752793</v>
      </c>
      <c r="S31" s="4">
        <f>findLinError($R31,data0!B17,S$4,S$5,S$6,S$7)</f>
        <v>1.3433709740638733E-2</v>
      </c>
      <c r="T31" s="4"/>
      <c r="U31" s="4">
        <f>findLinError($R31,data0!D17,U$4,U$5,U$6,U$7)</f>
        <v>2.2476784884929657E-2</v>
      </c>
      <c r="V31" s="4"/>
      <c r="W31" s="4">
        <f>findLinError($R31,data0!F17,W$4,W$5,W$6,W$7)</f>
        <v>6.8773925304412842E-3</v>
      </c>
      <c r="X31" s="4"/>
      <c r="Y31" s="4"/>
      <c r="Z31" s="4">
        <f>findLinError($R31,data0!I17,Z$4,Z$5,Z$6,Z$7)</f>
        <v>1.3916172087192535E-2</v>
      </c>
      <c r="AA31" s="4">
        <f>findLinError($R31,data0!J17,AA$4,AA$5,AA$6,AA$7)</f>
        <v>2.0557768642902374E-2</v>
      </c>
      <c r="AB31" s="4">
        <f>findLinError($R31,data0!K17,AB$4,AB$5,AB$6,AB$7)</f>
        <v>2.0119056105613708E-2</v>
      </c>
      <c r="AC31" s="4">
        <f>findLinError($R31,data0!L17,AC$4,AC$5,AC$6,AC$7)</f>
        <v>-3.4016743302345276E-3</v>
      </c>
      <c r="AD31" s="4">
        <f>findLinError($R31,data0!M17,AD$4,AD$5,AD$6,AD$7)</f>
        <v>1.4072075486183167E-2</v>
      </c>
      <c r="AE31" s="4">
        <f>findLinError($R31,data0!N17,AE$4,AE$5,AE$6,AE$7)</f>
        <v>1.0304979979991913E-2</v>
      </c>
      <c r="AF31" s="4">
        <f>findLinError($R31,data0!O17,AF$4,AF$5,AF$6,AF$7)</f>
        <v>4.3148919939994812E-3</v>
      </c>
      <c r="AG31" s="4">
        <f>findLinError($R31,data0!P17,AG$4,AG$5,AG$6,AG$7)</f>
        <v>1.2150444090366364E-2</v>
      </c>
      <c r="AH31" s="4">
        <f>findLinError($R31,data0!Q17,AH$4,AH$5,AH$6,AH$7)</f>
        <v>1.9102133810520172E-2</v>
      </c>
      <c r="AI31" s="4">
        <f>findLinError($R31,data0!R17,AI$4,AI$5,AI$6,AI$7)</f>
        <v>1.8016807734966278E-2</v>
      </c>
      <c r="AJ31" s="4">
        <f>findLinError($R31,data0!S17,AJ$4,AJ$5,AJ$6,AJ$7)</f>
        <v>9.904615581035614E-3</v>
      </c>
      <c r="AK31" s="4">
        <f>findLinError($R31,data0!T17,AK$4,AK$5,AK$6,AK$7)</f>
        <v>1.2931503355503082E-2</v>
      </c>
      <c r="AL31" s="4">
        <f>findLinError($R31,data0!U17,AL$4,AL$5,AL$6,AL$7)</f>
        <v>1.357240229845047E-2</v>
      </c>
      <c r="AM31" s="4">
        <f>findLinError($R31,data0!V17,AM$4,AM$5,AM$6,AM$7)</f>
        <v>1.8554352223873138E-2</v>
      </c>
      <c r="AN31" s="4">
        <f>findLinError($R31,data0!W17,AN$4,AN$5,AN$6,AN$7)</f>
        <v>1.5965431928634644E-2</v>
      </c>
      <c r="AO31" s="4">
        <f>findLinError($R31,data0!X17,AO$4,AO$5,AO$6,AO$7)</f>
        <v>1.933009922504425E-2</v>
      </c>
      <c r="AP31" s="4">
        <f>findLinError($R31,data0!Y17,AP$4,AP$5,AP$6,AP$7)</f>
        <v>1.899430900812149E-2</v>
      </c>
      <c r="AQ31" s="4">
        <f>findLinError($R31,data0!Z17,AQ$4,AQ$5,AQ$6,AQ$7)</f>
        <v>2.1046042442321777E-2</v>
      </c>
      <c r="AR31" s="4">
        <f>findLinError($R31,data0!AA17,AR$4,AR$5,AR$6,AR$7)</f>
        <v>2.1046042442321777E-2</v>
      </c>
      <c r="AS31" s="4">
        <f>findLinError($R31,data0!AB17,AS$4,AS$5,AS$6,AS$7)</f>
        <v>1.3644024729728699E-2</v>
      </c>
      <c r="AT31" s="4">
        <f>findLinError($R31,data0!AC17,AT$4,AT$5,AT$6,AT$7)</f>
        <v>2.2863738238811493E-2</v>
      </c>
      <c r="AU31" s="4">
        <f>findLinError($R31,data0!AD17,AU$4,AU$5,AU$6,AU$7)</f>
        <v>1.2981250882148743E-2</v>
      </c>
      <c r="AV31" s="4">
        <f>findLinError($R31,data0!AE17,AV$4,AV$5,AV$6,AV$7)</f>
        <v>1.9039236009120941E-2</v>
      </c>
      <c r="AW31" s="4">
        <f>findLinError($R31,data0!AF17,AW$4,AW$5,AW$6,AW$7)</f>
        <v>1.4633648097515106E-2</v>
      </c>
      <c r="AX31" s="4">
        <f>findLinError($R31,data0!AG17,AX$4,AX$5,AX$6,AX$7)</f>
        <v>1.8518105149269104E-2</v>
      </c>
    </row>
    <row r="32" spans="1:50">
      <c r="B32" s="1">
        <f>B31+B$27</f>
        <v>88.483616183553877</v>
      </c>
      <c r="C32" s="2">
        <f t="shared" si="48"/>
        <v>0.14285714285714285</v>
      </c>
      <c r="P32" s="9">
        <f t="shared" si="47"/>
        <v>16</v>
      </c>
      <c r="Q32" s="9">
        <f>data4!L18</f>
        <v>8.1947116541414289E-6</v>
      </c>
      <c r="R32" s="34">
        <f t="shared" si="46"/>
        <v>10.433830935754965</v>
      </c>
      <c r="S32" s="4">
        <f>findLinError($R32,data0!B18,S$4,S$5,S$6,S$7)</f>
        <v>1.2950293719768524E-2</v>
      </c>
      <c r="T32" s="4"/>
      <c r="U32" s="4">
        <f>findLinError($R32,data0!D18,U$4,U$5,U$6,U$7)</f>
        <v>1.4159940183162689E-2</v>
      </c>
      <c r="V32" s="4"/>
      <c r="W32" s="4">
        <f>findLinError($R32,data0!F18,W$4,W$5,W$6,W$7)</f>
        <v>6.0631856322288513E-3</v>
      </c>
      <c r="X32" s="4"/>
      <c r="Y32" s="4"/>
      <c r="Z32" s="4">
        <f>findLinError($R32,data0!I18,Z$4,Z$5,Z$6,Z$7)</f>
        <v>1.3303980231285095E-2</v>
      </c>
      <c r="AA32" s="4">
        <f>findLinError($R32,data0!J18,AA$4,AA$5,AA$6,AA$7)</f>
        <v>1.5973813831806183E-2</v>
      </c>
      <c r="AB32" s="4">
        <f>findLinError($R32,data0!K18,AB$4,AB$5,AB$6,AB$7)</f>
        <v>1.5440255403518677E-2</v>
      </c>
      <c r="AC32" s="4">
        <f>findLinError($R32,data0!L18,AC$4,AC$5,AC$6,AC$7)</f>
        <v>-3.8299709558486938E-4</v>
      </c>
      <c r="AD32" s="4">
        <f>findLinError($R32,data0!M18,AD$4,AD$5,AD$6,AD$7)</f>
        <v>1.3709679245948792E-2</v>
      </c>
      <c r="AE32" s="4">
        <f>findLinError($R32,data0!N18,AE$4,AE$5,AE$6,AE$7)</f>
        <v>1.2842185795307159E-2</v>
      </c>
      <c r="AF32" s="4">
        <f>findLinError($R32,data0!O18,AF$4,AF$5,AF$6,AF$7)</f>
        <v>4.0321424603462219E-3</v>
      </c>
      <c r="AG32" s="4">
        <f>findLinError($R32,data0!P18,AG$4,AG$5,AG$6,AG$7)</f>
        <v>1.119743287563324E-2</v>
      </c>
      <c r="AH32" s="4">
        <f>findLinError($R32,data0!Q18,AH$4,AH$5,AH$6,AH$7)</f>
        <v>2.2046610713005066E-2</v>
      </c>
      <c r="AI32" s="4">
        <f>findLinError($R32,data0!R18,AI$4,AI$5,AI$6,AI$7)</f>
        <v>1.6682244837284088E-2</v>
      </c>
      <c r="AJ32" s="4">
        <f>findLinError($R32,data0!S18,AJ$4,AJ$5,AJ$6,AJ$7)</f>
        <v>1.7035916447639465E-2</v>
      </c>
      <c r="AK32" s="4">
        <f>findLinError($R32,data0!T18,AK$4,AK$5,AK$6,AK$7)</f>
        <v>1.6237564384937286E-2</v>
      </c>
      <c r="AL32" s="4">
        <f>findLinError($R32,data0!U18,AL$4,AL$5,AL$6,AL$7)</f>
        <v>1.7017029225826263E-2</v>
      </c>
      <c r="AM32" s="4">
        <f>findLinError($R32,data0!V18,AM$4,AM$5,AM$6,AM$7)</f>
        <v>1.7323538661003113E-2</v>
      </c>
      <c r="AN32" s="4">
        <f>findLinError($R32,data0!W18,AN$4,AN$5,AN$6,AN$7)</f>
        <v>1.4991849660873413E-2</v>
      </c>
      <c r="AO32" s="4">
        <f>findLinError($R32,data0!X18,AO$4,AO$5,AO$6,AO$7)</f>
        <v>2.2323869168758392E-2</v>
      </c>
      <c r="AP32" s="4">
        <f>findLinError($R32,data0!Y18,AP$4,AP$5,AP$6,AP$7)</f>
        <v>1.709149032831192E-2</v>
      </c>
      <c r="AQ32" s="4">
        <f>findLinError($R32,data0!Z18,AQ$4,AQ$5,AQ$6,AQ$7)</f>
        <v>2.3877516388893127E-2</v>
      </c>
      <c r="AR32" s="4">
        <f>findLinError($R32,data0!AA18,AR$4,AR$5,AR$6,AR$7)</f>
        <v>2.3877516388893127E-2</v>
      </c>
      <c r="AS32" s="4">
        <f>findLinError($R32,data0!AB18,AS$4,AS$5,AS$6,AS$7)</f>
        <v>1.7122052609920502E-2</v>
      </c>
      <c r="AT32" s="4">
        <f>findLinError($R32,data0!AC18,AT$4,AT$5,AT$6,AT$7)</f>
        <v>2.2618643939495087E-2</v>
      </c>
      <c r="AU32" s="4">
        <f>findLinError($R32,data0!AD18,AU$4,AU$5,AU$6,AU$7)</f>
        <v>8.1409364938735962E-3</v>
      </c>
      <c r="AV32" s="4">
        <f>findLinError($R32,data0!AE18,AV$4,AV$5,AV$6,AV$7)</f>
        <v>1.8658950924873352E-2</v>
      </c>
      <c r="AW32" s="4">
        <f>findLinError($R32,data0!AF18,AW$4,AW$5,AW$6,AW$7)</f>
        <v>1.8081508576869965E-2</v>
      </c>
      <c r="AX32" s="4">
        <f>findLinError($R32,data0!AG18,AX$4,AX$5,AX$6,AX$7)</f>
        <v>1.4872603118419647E-2</v>
      </c>
    </row>
    <row r="33" spans="2:50">
      <c r="B33" s="1">
        <f>B32+B$27</f>
        <v>90.28184144460414</v>
      </c>
      <c r="C33" s="2">
        <f t="shared" si="48"/>
        <v>0.39285714285714285</v>
      </c>
      <c r="P33" s="9">
        <f t="shared" si="47"/>
        <v>17</v>
      </c>
      <c r="Q33" s="9">
        <f>data4!L19</f>
        <v>9.075257480617438E-6</v>
      </c>
      <c r="R33" s="34">
        <f t="shared" si="46"/>
        <v>11.554976702975726</v>
      </c>
      <c r="S33" s="4">
        <f>findLinError($R33,data0!B19,S$4,S$5,S$6,S$7)</f>
        <v>1.5805907547473907E-2</v>
      </c>
      <c r="T33" s="4"/>
      <c r="U33" s="4">
        <f>findLinError($R33,data0!D19,U$4,U$5,U$6,U$7)</f>
        <v>2.0947284996509552E-2</v>
      </c>
      <c r="V33" s="4"/>
      <c r="W33" s="4">
        <f>findLinError($R33,data0!F19,W$4,W$5,W$6,W$7)</f>
        <v>4.6506971120834351E-3</v>
      </c>
      <c r="X33" s="4"/>
      <c r="Y33" s="4"/>
      <c r="Z33" s="4">
        <f>findLinError($R33,data0!I19,Z$4,Z$5,Z$6,Z$7)</f>
        <v>1.2103110551834106E-2</v>
      </c>
      <c r="AA33" s="4">
        <f>findLinError($R33,data0!J19,AA$4,AA$5,AA$6,AA$7)</f>
        <v>1.8641926348209381E-2</v>
      </c>
      <c r="AB33" s="4">
        <f>findLinError($R33,data0!K19,AB$4,AB$5,AB$6,AB$7)</f>
        <v>1.8009014427661896E-2</v>
      </c>
      <c r="AC33" s="4">
        <f>findLinError($R33,data0!L19,AC$4,AC$5,AC$6,AC$7)</f>
        <v>5.9547573328018188E-3</v>
      </c>
      <c r="AD33" s="4">
        <f>findLinError($R33,data0!M19,AD$4,AD$5,AD$6,AD$7)</f>
        <v>1.6692072153091431E-2</v>
      </c>
      <c r="AE33" s="4">
        <f>findLinError($R33,data0!N19,AE$4,AE$5,AE$6,AE$7)</f>
        <v>1.0832421481609344E-2</v>
      </c>
      <c r="AF33" s="4">
        <f>findLinError($R33,data0!O19,AF$4,AF$5,AF$6,AF$7)</f>
        <v>-7.4516981840133667E-4</v>
      </c>
      <c r="AG33" s="4">
        <f>findLinError($R33,data0!P19,AG$4,AG$5,AG$6,AG$7)</f>
        <v>1.356111466884613E-2</v>
      </c>
      <c r="AH33" s="4">
        <f>findLinError($R33,data0!Q19,AH$4,AH$5,AH$6,AH$7)</f>
        <v>2.0463503897190094E-2</v>
      </c>
      <c r="AI33" s="4">
        <f>findLinError($R33,data0!R19,AI$4,AI$5,AI$6,AI$7)</f>
        <v>1.4724656939506531E-2</v>
      </c>
      <c r="AJ33" s="4">
        <f>findLinError($R33,data0!S19,AJ$4,AJ$5,AJ$6,AJ$7)</f>
        <v>1.5730671584606171E-2</v>
      </c>
      <c r="AK33" s="4">
        <f>findLinError($R33,data0!T19,AK$4,AK$5,AK$6,AK$7)</f>
        <v>1.1111661791801453E-2</v>
      </c>
      <c r="AL33" s="4">
        <f>findLinError($R33,data0!U19,AL$4,AL$5,AL$6,AL$7)</f>
        <v>1.5957839787006378E-2</v>
      </c>
      <c r="AM33" s="4">
        <f>findLinError($R33,data0!V19,AM$4,AM$5,AM$6,AM$7)</f>
        <v>1.9396208226680756E-2</v>
      </c>
      <c r="AN33" s="4">
        <f>findLinError($R33,data0!W19,AN$4,AN$5,AN$6,AN$7)</f>
        <v>1.3412408530712128E-2</v>
      </c>
      <c r="AO33" s="4">
        <f>findLinError($R33,data0!X19,AO$4,AO$5,AO$6,AO$7)</f>
        <v>2.0792387425899506E-2</v>
      </c>
      <c r="AP33" s="4">
        <f>findLinError($R33,data0!Y19,AP$4,AP$5,AP$6,AP$7)</f>
        <v>1.8460184335708618E-2</v>
      </c>
      <c r="AQ33" s="4">
        <f>findLinError($R33,data0!Z19,AQ$4,AQ$5,AQ$6,AQ$7)</f>
        <v>2.2176004946231842E-2</v>
      </c>
      <c r="AR33" s="4">
        <f>findLinError($R33,data0!AA19,AR$4,AR$5,AR$6,AR$7)</f>
        <v>2.2176004946231842E-2</v>
      </c>
      <c r="AS33" s="4">
        <f>findLinError($R33,data0!AB19,AS$4,AS$5,AS$6,AS$7)</f>
        <v>1.2176290154457092E-2</v>
      </c>
      <c r="AT33" s="4">
        <f>findLinError($R33,data0!AC19,AT$4,AT$5,AT$6,AT$7)</f>
        <v>1.3959206640720367E-2</v>
      </c>
      <c r="AU33" s="4">
        <f>findLinError($R33,data0!AD19,AU$4,AU$5,AU$6,AU$7)</f>
        <v>1.0540515184402466E-2</v>
      </c>
      <c r="AV33" s="4">
        <f>findLinError($R33,data0!AE19,AV$4,AV$5,AV$6,AV$7)</f>
        <v>1.7701029777526855E-2</v>
      </c>
      <c r="AW33" s="4">
        <f>findLinError($R33,data0!AF19,AW$4,AW$5,AW$6,AW$7)</f>
        <v>1.3104140758514404E-2</v>
      </c>
      <c r="AX33" s="4">
        <f>findLinError($R33,data0!AG19,AX$4,AX$5,AX$6,AX$7)</f>
        <v>1.8523804843425751E-2</v>
      </c>
    </row>
    <row r="34" spans="2:50">
      <c r="B34" s="1">
        <f>B33+B$27</f>
        <v>92.080066705654403</v>
      </c>
      <c r="C34" s="2">
        <f t="shared" si="48"/>
        <v>7.1428571428571425E-2</v>
      </c>
      <c r="P34" s="9">
        <f t="shared" si="47"/>
        <v>18</v>
      </c>
      <c r="Q34" s="9">
        <f>data4!L20</f>
        <v>9.9878080845883233E-6</v>
      </c>
      <c r="R34" s="34">
        <f t="shared" si="46"/>
        <v>12.716872218523415</v>
      </c>
      <c r="S34" s="4">
        <f>findLinError($R34,data0!B20,S$4,S$5,S$6,S$7)</f>
        <v>1.4273583889007568E-2</v>
      </c>
      <c r="T34" s="4"/>
      <c r="U34" s="4">
        <f>findLinError($R34,data0!D20,U$4,U$5,U$6,U$7)</f>
        <v>1.942550390958786E-2</v>
      </c>
      <c r="V34" s="4"/>
      <c r="W34" s="4">
        <f>findLinError($R34,data0!F20,W$4,W$5,W$6,W$7)</f>
        <v>6.6808164119720459E-3</v>
      </c>
      <c r="X34" s="4"/>
      <c r="Y34" s="4"/>
      <c r="Z34" s="4">
        <f>findLinError($R34,data0!I20,Z$4,Z$5,Z$6,Z$7)</f>
        <v>1.4352560043334961E-2</v>
      </c>
      <c r="AA34" s="4">
        <f>findLinError($R34,data0!J20,AA$4,AA$5,AA$6,AA$7)</f>
        <v>1.6915306448936462E-2</v>
      </c>
      <c r="AB34" s="4">
        <f>findLinError($R34,data0!K20,AB$4,AB$5,AB$6,AB$7)</f>
        <v>1.617942750453949E-2</v>
      </c>
      <c r="AC34" s="4">
        <f>findLinError($R34,data0!L20,AC$4,AC$5,AC$6,AC$7)</f>
        <v>3.9670318365097046E-3</v>
      </c>
      <c r="AD34" s="4">
        <f>findLinError($R34,data0!M20,AD$4,AD$5,AD$6,AD$7)</f>
        <v>1.1369563639163971E-2</v>
      </c>
      <c r="AE34" s="4">
        <f>findLinError($R34,data0!N20,AE$4,AE$5,AE$6,AE$7)</f>
        <v>8.3220005035400391E-3</v>
      </c>
      <c r="AF34" s="4">
        <f>findLinError($R34,data0!O20,AF$4,AF$5,AF$6,AF$7)</f>
        <v>1.8619298934936523E-3</v>
      </c>
      <c r="AG34" s="4">
        <f>findLinError($R34,data0!P20,AG$4,AG$5,AG$6,AG$7)</f>
        <v>1.1518985033035278E-2</v>
      </c>
      <c r="AH34" s="4">
        <f>findLinError($R34,data0!Q20,AH$4,AH$5,AH$6,AH$7)</f>
        <v>1.8395222723484039E-2</v>
      </c>
      <c r="AI34" s="4">
        <f>findLinError($R34,data0!R20,AI$4,AI$5,AI$6,AI$7)</f>
        <v>1.6189858317375183E-2</v>
      </c>
      <c r="AJ34" s="4">
        <f>findLinError($R34,data0!S20,AJ$4,AJ$5,AJ$6,AJ$7)</f>
        <v>1.0028794407844543E-2</v>
      </c>
      <c r="AK34" s="4">
        <f>findLinError($R34,data0!T20,AK$4,AK$5,AK$6,AK$7)</f>
        <v>1.7279081046581268E-2</v>
      </c>
      <c r="AL34" s="4">
        <f>findLinError($R34,data0!U20,AL$4,AL$5,AL$6,AL$7)</f>
        <v>1.4432549476623535E-2</v>
      </c>
      <c r="AM34" s="4">
        <f>findLinError($R34,data0!V20,AM$4,AM$5,AM$6,AM$7)</f>
        <v>1.7052486538887024E-2</v>
      </c>
      <c r="AN34" s="4">
        <f>findLinError($R34,data0!W20,AN$4,AN$5,AN$6,AN$7)</f>
        <v>1.1347949504852295E-2</v>
      </c>
      <c r="AO34" s="4">
        <f>findLinError($R34,data0!X20,AO$4,AO$5,AO$6,AO$7)</f>
        <v>1.8777616322040558E-2</v>
      </c>
      <c r="AP34" s="4">
        <f>findLinError($R34,data0!Y20,AP$4,AP$5,AP$6,AP$7)</f>
        <v>1.5386894345283508E-2</v>
      </c>
      <c r="AQ34" s="4">
        <f>findLinError($R34,data0!Z20,AQ$4,AQ$5,AQ$6,AQ$7)</f>
        <v>1.9985035061836243E-2</v>
      </c>
      <c r="AR34" s="4">
        <f>findLinError($R34,data0!AA20,AR$4,AR$5,AR$6,AR$7)</f>
        <v>1.9985035061836243E-2</v>
      </c>
      <c r="AS34" s="4">
        <f>findLinError($R34,data0!AB20,AS$4,AS$5,AS$6,AS$7)</f>
        <v>1.4608830213546753E-2</v>
      </c>
      <c r="AT34" s="4">
        <f>findLinError($R34,data0!AC20,AT$4,AT$5,AT$6,AT$7)</f>
        <v>2.0528756082057953E-2</v>
      </c>
      <c r="AU34" s="4">
        <f>findLinError($R34,data0!AD20,AU$4,AU$5,AU$6,AU$7)</f>
        <v>8.5355788469314575E-3</v>
      </c>
      <c r="AV34" s="4">
        <f>findLinError($R34,data0!AE20,AV$4,AV$5,AV$6,AV$7)</f>
        <v>2.0202241837978363E-2</v>
      </c>
      <c r="AW34" s="4">
        <f>findLinError($R34,data0!AF20,AW$4,AW$5,AW$6,AW$7)</f>
        <v>1.5503935515880585E-2</v>
      </c>
      <c r="AX34" s="4">
        <f>findLinError($R34,data0!AG20,AX$4,AX$5,AX$6,AX$7)</f>
        <v>1.3894438743591309E-2</v>
      </c>
    </row>
    <row r="35" spans="2:50">
      <c r="P35" s="9">
        <f t="shared" si="47"/>
        <v>19</v>
      </c>
      <c r="Q35" s="9">
        <f>data4!L21</f>
        <v>1.0922018191195093E-5</v>
      </c>
      <c r="R35" s="34">
        <f t="shared" si="46"/>
        <v>13.906345469346407</v>
      </c>
      <c r="S35" s="4">
        <f>findLinError($R35,data0!B21,S$4,S$5,S$6,S$7)</f>
        <v>1.2425661087036133E-2</v>
      </c>
      <c r="T35" s="4"/>
      <c r="U35" s="4">
        <f>findLinError($R35,data0!D21,U$4,U$5,U$6,U$7)</f>
        <v>1.7588362097740173E-2</v>
      </c>
      <c r="V35" s="4"/>
      <c r="W35" s="4">
        <f>findLinError($R35,data0!F21,W$4,W$5,W$6,W$7)</f>
        <v>5.4368376731872559E-4</v>
      </c>
      <c r="X35" s="4"/>
      <c r="Y35" s="4"/>
      <c r="Z35" s="4">
        <f>findLinError($R35,data0!I21,Z$4,Z$5,Z$6,Z$7)</f>
        <v>1.2361511588096619E-2</v>
      </c>
      <c r="AA35" s="4">
        <f>findLinError($R35,data0!J21,AA$4,AA$5,AA$6,AA$7)</f>
        <v>1.4868468046188354E-2</v>
      </c>
      <c r="AB35" s="4">
        <f>findLinError($R35,data0!K21,AB$4,AB$5,AB$6,AB$7)</f>
        <v>1.0105609893798828E-2</v>
      </c>
      <c r="AC35" s="4">
        <f>findLinError($R35,data0!L21,AC$4,AC$5,AC$6,AC$7)</f>
        <v>-2.268671989440918E-3</v>
      </c>
      <c r="AD35" s="4">
        <f>findLinError($R35,data0!M21,AD$4,AD$5,AD$6,AD$7)</f>
        <v>1.7499282956123352E-2</v>
      </c>
      <c r="AE35" s="4">
        <f>findLinError($R35,data0!N21,AE$4,AE$5,AE$6,AE$7)</f>
        <v>9.3943178653717041E-3</v>
      </c>
      <c r="AF35" s="4">
        <f>findLinError($R35,data0!O21,AF$4,AF$5,AF$6,AF$7)</f>
        <v>2.3703277111053467E-4</v>
      </c>
      <c r="AG35" s="4">
        <f>findLinError($R35,data0!P21,AG$4,AG$5,AG$6,AG$7)</f>
        <v>1.3070717453956604E-2</v>
      </c>
      <c r="AH35" s="4">
        <f>findLinError($R35,data0!Q21,AH$4,AH$5,AH$6,AH$7)</f>
        <v>1.9920200109481812E-2</v>
      </c>
      <c r="AI35" s="4">
        <f>findLinError($R35,data0!R21,AI$4,AI$5,AI$6,AI$7)</f>
        <v>1.7317533493041992E-2</v>
      </c>
      <c r="AJ35" s="4">
        <f>findLinError($R35,data0!S21,AJ$4,AJ$5,AJ$6,AJ$7)</f>
        <v>1.1848568916320801E-2</v>
      </c>
      <c r="AK35" s="4">
        <f>findLinError($R35,data0!T21,AK$4,AK$5,AK$6,AK$7)</f>
        <v>1.1362776160240173E-2</v>
      </c>
      <c r="AL35" s="4">
        <f>findLinError($R35,data0!U21,AL$4,AL$5,AL$6,AL$7)</f>
        <v>1.651337742805481E-2</v>
      </c>
      <c r="AM35" s="4">
        <f>findLinError($R35,data0!V21,AM$4,AM$5,AM$6,AM$7)</f>
        <v>1.8295466899871826E-2</v>
      </c>
      <c r="AN35" s="4">
        <f>findLinError($R35,data0!W21,AN$4,AN$5,AN$6,AN$7)</f>
        <v>1.2876808643341064E-2</v>
      </c>
      <c r="AO35" s="4">
        <f>findLinError($R35,data0!X21,AO$4,AO$5,AO$6,AO$7)</f>
        <v>2.0357370376586914E-2</v>
      </c>
      <c r="AP35" s="4">
        <f>findLinError($R35,data0!Y21,AP$4,AP$5,AP$6,AP$7)</f>
        <v>1.5882998704910278E-2</v>
      </c>
      <c r="AQ35" s="4">
        <f>findLinError($R35,data0!Z21,AQ$4,AQ$5,AQ$6,AQ$7)</f>
        <v>2.1384403109550476E-2</v>
      </c>
      <c r="AR35" s="4">
        <f>findLinError($R35,data0!AA21,AR$4,AR$5,AR$6,AR$7)</f>
        <v>2.1384403109550476E-2</v>
      </c>
      <c r="AS35" s="4">
        <f>findLinError($R35,data0!AB21,AS$4,AS$5,AS$6,AS$7)</f>
        <v>1.2805208563804626E-2</v>
      </c>
      <c r="AT35" s="4">
        <f>findLinError($R35,data0!AC21,AT$4,AT$5,AT$6,AT$7)</f>
        <v>1.5024140477180481E-2</v>
      </c>
      <c r="AU35" s="4">
        <f>findLinError($R35,data0!AD21,AU$4,AU$5,AU$6,AU$7)</f>
        <v>1.0125398635864258E-2</v>
      </c>
      <c r="AV35" s="4">
        <f>findLinError($R35,data0!AE21,AV$4,AV$5,AV$6,AV$7)</f>
        <v>1.8468931317329407E-2</v>
      </c>
      <c r="AW35" s="4">
        <f>findLinError($R35,data0!AF21,AW$4,AW$5,AW$6,AW$7)</f>
        <v>1.3666793704032898E-2</v>
      </c>
      <c r="AX35" s="4">
        <f>findLinError($R35,data0!AG21,AX$4,AX$5,AX$6,AX$7)</f>
        <v>1.6812160611152649E-2</v>
      </c>
    </row>
    <row r="36" spans="2:50">
      <c r="P36" s="9">
        <f t="shared" si="47"/>
        <v>20</v>
      </c>
      <c r="Q36" s="9">
        <f>data4!L22</f>
        <v>1.1928623735002475E-5</v>
      </c>
      <c r="R36" s="34">
        <f t="shared" si="46"/>
        <v>15.187995453671608</v>
      </c>
      <c r="S36" s="4">
        <f>findLinError($R36,data0!B22,S$4,S$5,S$6,S$7)</f>
        <v>9.5228254795074463E-3</v>
      </c>
      <c r="T36" s="4"/>
      <c r="U36" s="4">
        <f>findLinError($R36,data0!D22,U$4,U$5,U$6,U$7)</f>
        <v>1.8618732690811157E-2</v>
      </c>
      <c r="V36" s="4"/>
      <c r="W36" s="4">
        <f>findLinError($R36,data0!F22,W$4,W$5,W$6,W$7)</f>
        <v>1.1662840843200684E-3</v>
      </c>
      <c r="X36" s="4"/>
      <c r="Y36" s="4"/>
      <c r="Z36" s="4">
        <f>findLinError($R36,data0!I22,Z$4,Z$5,Z$6,Z$7)</f>
        <v>1.3226032257080078E-2</v>
      </c>
      <c r="AA36" s="4">
        <f>findLinError($R36,data0!J22,AA$4,AA$5,AA$6,AA$7)</f>
        <v>1.5672877430915833E-2</v>
      </c>
      <c r="AB36" s="4">
        <f>findLinError($R36,data0!K22,AB$4,AB$5,AB$6,AB$7)</f>
        <v>6.8748742341995239E-3</v>
      </c>
      <c r="AC36" s="4">
        <f>findLinError($R36,data0!L22,AC$4,AC$5,AC$6,AC$7)</f>
        <v>-1.7522722482681274E-3</v>
      </c>
      <c r="AD36" s="4">
        <f>findLinError($R36,data0!M22,AD$4,AD$5,AD$6,AD$7)</f>
        <v>1.8662944436073303E-2</v>
      </c>
      <c r="AE36" s="4">
        <f>findLinError($R36,data0!N22,AE$4,AE$5,AE$6,AE$7)</f>
        <v>9.3341320753097534E-3</v>
      </c>
      <c r="AF36" s="4">
        <f>findLinError($R36,data0!O22,AF$4,AF$5,AF$6,AF$7)</f>
        <v>1.4960914850234985E-3</v>
      </c>
      <c r="AG36" s="4">
        <f>findLinError($R36,data0!P22,AG$4,AG$5,AG$6,AG$7)</f>
        <v>1.3527095317840576E-2</v>
      </c>
      <c r="AH36" s="4">
        <f>findLinError($R36,data0!Q22,AH$4,AH$5,AH$6,AH$7)</f>
        <v>1.6426175832748413E-2</v>
      </c>
      <c r="AI36" s="4">
        <f>findLinError($R36,data0!R22,AI$4,AI$5,AI$6,AI$7)</f>
        <v>1.3395413756370544E-2</v>
      </c>
      <c r="AJ36" s="4">
        <f>findLinError($R36,data0!S22,AJ$4,AJ$5,AJ$6,AJ$7)</f>
        <v>1.2593761086463928E-2</v>
      </c>
      <c r="AK36" s="4">
        <f>findLinError($R36,data0!T22,AK$4,AK$5,AK$6,AK$7)</f>
        <v>1.2223348021507263E-2</v>
      </c>
      <c r="AL36" s="4">
        <f>findLinError($R36,data0!U22,AL$4,AL$5,AL$6,AL$7)</f>
        <v>1.7539873719215393E-2</v>
      </c>
      <c r="AM36" s="4">
        <f>findLinError($R36,data0!V22,AM$4,AM$5,AM$6,AM$7)</f>
        <v>1.8419191241264343E-2</v>
      </c>
      <c r="AN36" s="4">
        <f>findLinError($R36,data0!W22,AN$4,AN$5,AN$6,AN$7)</f>
        <v>1.3308554887771606E-2</v>
      </c>
      <c r="AO36" s="4">
        <f>findLinError($R36,data0!X22,AO$4,AO$5,AO$6,AO$7)</f>
        <v>2.0843937993049622E-2</v>
      </c>
      <c r="AP36" s="4">
        <f>findLinError($R36,data0!Y22,AP$4,AP$5,AP$6,AP$7)</f>
        <v>1.5201956033706665E-2</v>
      </c>
      <c r="AQ36" s="4">
        <f>findLinError($R36,data0!Z22,AQ$4,AQ$5,AQ$6,AQ$7)</f>
        <v>1.7755031585693359E-2</v>
      </c>
      <c r="AR36" s="4">
        <f>findLinError($R36,data0!AA22,AR$4,AR$5,AR$6,AR$7)</f>
        <v>1.7755031585693359E-2</v>
      </c>
      <c r="AS36" s="4">
        <f>findLinError($R36,data0!AB22,AS$4,AS$5,AS$6,AS$7)</f>
        <v>1.3871699571609497E-2</v>
      </c>
      <c r="AT36" s="4">
        <f>findLinError($R36,data0!AC22,AT$4,AT$5,AT$6,AT$7)</f>
        <v>1.6328275203704834E-2</v>
      </c>
      <c r="AU36" s="4">
        <f>findLinError($R36,data0!AD22,AU$4,AU$5,AU$6,AU$7)</f>
        <v>6.701245903968811E-3</v>
      </c>
      <c r="AV36" s="4">
        <f>findLinError($R36,data0!AE22,AV$4,AV$5,AV$6,AV$7)</f>
        <v>1.9611179828643799E-2</v>
      </c>
      <c r="AW36" s="4">
        <f>findLinError($R36,data0!AF22,AW$4,AW$5,AW$6,AW$7)</f>
        <v>1.4697164297103882E-2</v>
      </c>
      <c r="AX36" s="4">
        <f>findLinError($R36,data0!AG22,AX$4,AX$5,AX$6,AX$7)</f>
        <v>1.4818832278251648E-2</v>
      </c>
    </row>
    <row r="37" spans="2:50">
      <c r="P37" s="9">
        <f t="shared" si="47"/>
        <v>21</v>
      </c>
      <c r="Q37" s="9">
        <f>data4!L23</f>
        <v>1.2921527172693459E-5</v>
      </c>
      <c r="R37" s="34">
        <f t="shared" si="46"/>
        <v>16.452199374643254</v>
      </c>
      <c r="S37" s="4">
        <f>findLinError($R37,data0!B23,S$4,S$5,S$6,S$7)</f>
        <v>1.4662802219390869E-2</v>
      </c>
      <c r="T37" s="4"/>
      <c r="U37" s="4">
        <f>findLinError($R37,data0!D23,U$4,U$5,U$6,U$7)</f>
        <v>1.9848600029945374E-2</v>
      </c>
      <c r="V37" s="4"/>
      <c r="W37" s="4">
        <f>findLinError($R37,data0!F23,W$4,W$5,W$6,W$7)</f>
        <v>1.9939392805099487E-3</v>
      </c>
      <c r="X37" s="4"/>
      <c r="Y37" s="4"/>
      <c r="Z37" s="4">
        <f>findLinError($R37,data0!I23,Z$4,Z$5,Z$6,Z$7)</f>
        <v>1.0370746254920959E-2</v>
      </c>
      <c r="AA37" s="4">
        <f>findLinError($R37,data0!J23,AA$4,AA$5,AA$6,AA$7)</f>
        <v>1.2758299708366394E-2</v>
      </c>
      <c r="AB37" s="4">
        <f>findLinError($R37,data0!K23,AB$4,AB$5,AB$6,AB$7)</f>
        <v>7.7698230743408203E-3</v>
      </c>
      <c r="AC37" s="4">
        <f>findLinError($R37,data0!L23,AC$4,AC$5,AC$6,AC$7)</f>
        <v>-1.0293722152709961E-3</v>
      </c>
      <c r="AD37" s="4">
        <f>findLinError($R37,data0!M23,AD$4,AD$5,AD$6,AD$7)</f>
        <v>1.610274612903595E-2</v>
      </c>
      <c r="AE37" s="4">
        <f>findLinError($R37,data0!N23,AE$4,AE$5,AE$6,AE$7)</f>
        <v>5.5667459964752197E-3</v>
      </c>
      <c r="AF37" s="4">
        <f>findLinError($R37,data0!O23,AF$4,AF$5,AF$6,AF$7)</f>
        <v>2.9515326023101807E-3</v>
      </c>
      <c r="AG37" s="4">
        <f>findLinError($R37,data0!P23,AG$4,AG$5,AG$6,AG$7)</f>
        <v>1.0269224643707275E-2</v>
      </c>
      <c r="AH37" s="4">
        <f>findLinError($R37,data0!Q23,AH$4,AH$5,AH$6,AH$7)</f>
        <v>1.7061442136764526E-2</v>
      </c>
      <c r="AI37" s="4">
        <f>findLinError($R37,data0!R23,AI$4,AI$5,AI$6,AI$7)</f>
        <v>1.3608425855636597E-2</v>
      </c>
      <c r="AJ37" s="4">
        <f>findLinError($R37,data0!S23,AJ$4,AJ$5,AJ$6,AJ$7)</f>
        <v>1.3542354106903076E-2</v>
      </c>
      <c r="AK37" s="4">
        <f>findLinError($R37,data0!T23,AK$4,AK$5,AK$6,AK$7)</f>
        <v>9.3641430139541626E-3</v>
      </c>
      <c r="AL37" s="4">
        <f>findLinError($R37,data0!U23,AL$4,AL$5,AL$6,AL$7)</f>
        <v>1.4844343066215515E-2</v>
      </c>
      <c r="AM37" s="4">
        <f>findLinError($R37,data0!V23,AM$4,AM$5,AM$6,AM$7)</f>
        <v>1.8754735589027405E-2</v>
      </c>
      <c r="AN37" s="4">
        <f>findLinError($R37,data0!W23,AN$4,AN$5,AN$6,AN$7)</f>
        <v>1.3947963714599609E-2</v>
      </c>
      <c r="AO37" s="4">
        <f>findLinError($R37,data0!X23,AO$4,AO$5,AO$6,AO$7)</f>
        <v>1.7615839838981628E-2</v>
      </c>
      <c r="AP37" s="4">
        <f>findLinError($R37,data0!Y23,AP$4,AP$5,AP$6,AP$7)</f>
        <v>1.4743715524673462E-2</v>
      </c>
      <c r="AQ37" s="4">
        <f>findLinError($R37,data0!Z23,AQ$4,AQ$5,AQ$6,AQ$7)</f>
        <v>2.2178366780281067E-2</v>
      </c>
      <c r="AR37" s="4">
        <f>findLinError($R37,data0!AA23,AR$4,AR$5,AR$6,AR$7)</f>
        <v>2.2178366780281067E-2</v>
      </c>
      <c r="AS37" s="4">
        <f>findLinError($R37,data0!AB23,AS$4,AS$5,AS$6,AS$7)</f>
        <v>1.1215627193450928E-2</v>
      </c>
      <c r="AT37" s="4">
        <f>findLinError($R37,data0!AC23,AT$4,AT$5,AT$6,AT$7)</f>
        <v>1.3906627893447876E-2</v>
      </c>
      <c r="AU37" s="4">
        <f>findLinError($R37,data0!AD23,AU$4,AU$5,AU$6,AU$7)</f>
        <v>7.4054151773452759E-3</v>
      </c>
      <c r="AV37" s="4">
        <f>findLinError($R37,data0!AE23,AV$4,AV$5,AV$6,AV$7)</f>
        <v>1.7029836773872375E-2</v>
      </c>
      <c r="AW37" s="4">
        <f>findLinError($R37,data0!AF23,AW$4,AW$5,AW$6,AW$7)</f>
        <v>1.5927031636238098E-2</v>
      </c>
      <c r="AX37" s="4">
        <f>findLinError($R37,data0!AG23,AX$4,AX$5,AX$6,AX$7)</f>
        <v>1.3012781739234924E-2</v>
      </c>
    </row>
    <row r="38" spans="2:50">
      <c r="P38" s="9">
        <f t="shared" si="47"/>
        <v>22</v>
      </c>
      <c r="Q38" s="9">
        <f>data4!L24</f>
        <v>1.3974344824418949E-5</v>
      </c>
      <c r="R38" s="34">
        <f t="shared" si="46"/>
        <v>17.792688442215361</v>
      </c>
      <c r="S38" s="4">
        <f>findLinError($R38,data0!B24,S$4,S$5,S$6,S$7)</f>
        <v>1.1086612939834595E-2</v>
      </c>
      <c r="T38" s="4"/>
      <c r="U38" s="4">
        <f>findLinError($R38,data0!D24,U$4,U$5,U$6,U$7)</f>
        <v>1.2363001704216003E-2</v>
      </c>
      <c r="V38" s="4"/>
      <c r="W38" s="4">
        <f>findLinError($R38,data0!F24,W$4,W$5,W$6,W$7)</f>
        <v>1.9250065088272095E-3</v>
      </c>
      <c r="X38" s="4"/>
      <c r="Y38" s="4"/>
      <c r="Z38" s="4">
        <f>findLinError($R38,data0!I24,Z$4,Z$5,Z$6,Z$7)</f>
        <v>1.0554835200309753E-2</v>
      </c>
      <c r="AA38" s="4">
        <f>findLinError($R38,data0!J24,AA$4,AA$5,AA$6,AA$7)</f>
        <v>1.2879520654678345E-2</v>
      </c>
      <c r="AB38" s="4">
        <f>findLinError($R38,data0!K24,AB$4,AB$5,AB$6,AB$7)</f>
        <v>1.1693820357322693E-2</v>
      </c>
      <c r="AC38" s="4">
        <f>findLinError($R38,data0!L24,AC$4,AC$5,AC$6,AC$7)</f>
        <v>-1.2093782424926758E-3</v>
      </c>
      <c r="AD38" s="4">
        <f>findLinError($R38,data0!M24,AD$4,AD$5,AD$6,AD$7)</f>
        <v>1.6599699854850769E-2</v>
      </c>
      <c r="AE38" s="4">
        <f>findLinError($R38,data0!N24,AE$4,AE$5,AE$6,AE$7)</f>
        <v>4.7836750745773315E-3</v>
      </c>
      <c r="AF38" s="4">
        <f>findLinError($R38,data0!O24,AF$4,AF$5,AF$6,AF$7)</f>
        <v>-3.7331879138946533E-4</v>
      </c>
      <c r="AG38" s="4">
        <f>findLinError($R38,data0!P24,AG$4,AG$5,AG$6,AG$7)</f>
        <v>1.0026440024375916E-2</v>
      </c>
      <c r="AH38" s="4">
        <f>findLinError($R38,data0!Q24,AH$4,AH$5,AH$6,AH$7)</f>
        <v>1.6788497567176819E-2</v>
      </c>
      <c r="AI38" s="4">
        <f>findLinError($R38,data0!R24,AI$4,AI$5,AI$6,AI$7)</f>
        <v>1.2887731194496155E-2</v>
      </c>
      <c r="AJ38" s="4">
        <f>findLinError($R38,data0!S24,AJ$4,AJ$5,AJ$6,AJ$7)</f>
        <v>1.3601630926132202E-2</v>
      </c>
      <c r="AK38" s="4">
        <f>findLinError($R38,data0!T24,AK$4,AK$5,AK$6,AK$7)</f>
        <v>9.5440894365310669E-3</v>
      </c>
      <c r="AL38" s="4">
        <f>findLinError($R38,data0!U24,AL$4,AL$5,AL$6,AL$7)</f>
        <v>1.5197828412055969E-2</v>
      </c>
      <c r="AM38" s="4">
        <f>findLinError($R38,data0!V24,AM$4,AM$5,AM$6,AM$7)</f>
        <v>1.8164008855819702E-2</v>
      </c>
      <c r="AN38" s="4">
        <f>findLinError($R38,data0!W24,AN$4,AN$5,AN$6,AN$7)</f>
        <v>9.7578316926956177E-3</v>
      </c>
      <c r="AO38" s="4">
        <f>findLinError($R38,data0!X24,AO$4,AO$5,AO$6,AO$7)</f>
        <v>1.7404630780220032E-2</v>
      </c>
      <c r="AP38" s="4">
        <f>findLinError($R38,data0!Y24,AP$4,AP$5,AP$6,AP$7)</f>
        <v>1.3311281800270081E-2</v>
      </c>
      <c r="AQ38" s="4">
        <f>findLinError($R38,data0!Z24,AQ$4,AQ$5,AQ$6,AQ$7)</f>
        <v>1.7842292785644531E-2</v>
      </c>
      <c r="AR38" s="4">
        <f>findLinError($R38,data0!AA24,AR$4,AR$5,AR$6,AR$7)</f>
        <v>1.7842292785644531E-2</v>
      </c>
      <c r="AS38" s="4">
        <f>findLinError($R38,data0!AB24,AS$4,AS$5,AS$6,AS$7)</f>
        <v>1.1610954999923706E-2</v>
      </c>
      <c r="AT38" s="4">
        <f>findLinError($R38,data0!AC24,AT$4,AT$5,AT$6,AT$7)</f>
        <v>1.4550521969795227E-2</v>
      </c>
      <c r="AU38" s="4">
        <f>findLinError($R38,data0!AD24,AU$4,AU$5,AU$6,AU$7)</f>
        <v>7.2055459022521973E-3</v>
      </c>
      <c r="AV38" s="4">
        <f>findLinError($R38,data0!AE24,AV$4,AV$5,AV$6,AV$7)</f>
        <v>1.7504394054412842E-2</v>
      </c>
      <c r="AW38" s="4">
        <f>findLinError($R38,data0!AF24,AW$4,AW$5,AW$6,AW$7)</f>
        <v>1.2363001704216003E-2</v>
      </c>
      <c r="AX38" s="4">
        <f>findLinError($R38,data0!AG24,AX$4,AX$5,AX$6,AX$7)</f>
        <v>1.4309421181678772E-2</v>
      </c>
    </row>
    <row r="39" spans="2:50">
      <c r="P39" s="9">
        <f t="shared" si="47"/>
        <v>23</v>
      </c>
      <c r="Q39" s="9">
        <f>data4!L25</f>
        <v>1.4983541291258007E-5</v>
      </c>
      <c r="R39" s="34">
        <f t="shared" si="46"/>
        <v>19.077637292201857</v>
      </c>
      <c r="S39" s="4">
        <f>findLinError($R39,data0!B25,S$4,S$5,S$6,S$7)</f>
        <v>8.1460475921630859E-3</v>
      </c>
      <c r="T39" s="4"/>
      <c r="U39" s="4">
        <f>findLinError($R39,data0!D25,U$4,U$5,U$6,U$7)</f>
        <v>1.7277225852012634E-2</v>
      </c>
      <c r="V39" s="4"/>
      <c r="W39" s="4">
        <f>findLinError($R39,data0!F25,W$4,W$5,W$6,W$7)</f>
        <v>2.5088489055633545E-3</v>
      </c>
      <c r="X39" s="4"/>
      <c r="Y39" s="4"/>
      <c r="Z39" s="4">
        <f>findLinError($R39,data0!I25,Z$4,Z$5,Z$6,Z$7)</f>
        <v>1.1381223797798157E-2</v>
      </c>
      <c r="AA39" s="4">
        <f>findLinError($R39,data0!J25,AA$4,AA$5,AA$6,AA$7)</f>
        <v>9.7240805625915527E-3</v>
      </c>
      <c r="AB39" s="4">
        <f>findLinError($R39,data0!K25,AB$4,AB$5,AB$6,AB$7)</f>
        <v>8.4244906902313232E-3</v>
      </c>
      <c r="AC39" s="4">
        <f>findLinError($R39,data0!L25,AC$4,AC$5,AC$6,AC$7)</f>
        <v>-7.3200464248657227E-4</v>
      </c>
      <c r="AD39" s="4">
        <f>findLinError($R39,data0!M25,AD$4,AD$5,AD$6,AD$7)</f>
        <v>1.7726004123687744E-2</v>
      </c>
      <c r="AE39" s="4">
        <f>findLinError($R39,data0!N25,AE$4,AE$5,AE$6,AE$7)</f>
        <v>4.6829730272293091E-3</v>
      </c>
      <c r="AF39" s="4">
        <f>findLinError($R39,data0!O25,AF$4,AF$5,AF$6,AF$7)</f>
        <v>8.4862112998962402E-4</v>
      </c>
      <c r="AG39" s="4">
        <f>findLinError($R39,data0!P25,AG$4,AG$5,AG$6,AG$7)</f>
        <v>1.0443627834320068E-2</v>
      </c>
      <c r="AH39" s="4">
        <f>findLinError($R39,data0!Q25,AH$4,AH$5,AH$6,AH$7)</f>
        <v>1.7176777124404907E-2</v>
      </c>
      <c r="AI39" s="4">
        <f>findLinError($R39,data0!R25,AI$4,AI$5,AI$6,AI$7)</f>
        <v>1.2846827507019043E-2</v>
      </c>
      <c r="AJ39" s="4">
        <f>findLinError($R39,data0!S25,AJ$4,AJ$5,AJ$6,AJ$7)</f>
        <v>1.0386824607849121E-2</v>
      </c>
      <c r="AK39" s="4">
        <f>findLinError($R39,data0!T25,AK$4,AK$5,AK$6,AK$7)</f>
        <v>1.0366499423980713E-2</v>
      </c>
      <c r="AL39" s="4">
        <f>findLinError($R39,data0!U25,AL$4,AL$5,AL$6,AL$7)</f>
        <v>2.01081782579422E-2</v>
      </c>
      <c r="AM39" s="4">
        <f>findLinError($R39,data0!V25,AM$4,AM$5,AM$6,AM$7)</f>
        <v>1.8247678875923157E-2</v>
      </c>
      <c r="AN39" s="4">
        <f>findLinError($R39,data0!W25,AN$4,AN$5,AN$6,AN$7)</f>
        <v>1.0150328278541565E-2</v>
      </c>
      <c r="AO39" s="4">
        <f>findLinError($R39,data0!X25,AO$4,AO$5,AO$6,AO$7)</f>
        <v>1.7852097749710083E-2</v>
      </c>
      <c r="AP39" s="4">
        <f>findLinError($R39,data0!Y25,AP$4,AP$5,AP$6,AP$7)</f>
        <v>1.258811354637146E-2</v>
      </c>
      <c r="AQ39" s="4">
        <f>findLinError($R39,data0!Z25,AQ$4,AQ$5,AQ$6,AQ$7)</f>
        <v>2.2016465663909912E-2</v>
      </c>
      <c r="AR39" s="4">
        <f>findLinError($R39,data0!AA25,AR$4,AR$5,AR$6,AR$7)</f>
        <v>2.2016465663909912E-2</v>
      </c>
      <c r="AS39" s="4">
        <f>findLinError($R39,data0!AB25,AS$4,AS$5,AS$6,AS$7)</f>
        <v>1.2639835476875305E-2</v>
      </c>
      <c r="AT39" s="4">
        <f>findLinError($R39,data0!AC25,AT$4,AT$5,AT$6,AT$7)</f>
        <v>1.9739225506782532E-2</v>
      </c>
      <c r="AU39" s="4">
        <f>findLinError($R39,data0!AD25,AU$4,AU$5,AU$6,AU$7)</f>
        <v>7.6638907194137573E-3</v>
      </c>
      <c r="AV39" s="4">
        <f>findLinError($R39,data0!AE25,AV$4,AV$5,AV$6,AV$7)</f>
        <v>1.8609210848808289E-2</v>
      </c>
      <c r="AW39" s="4">
        <f>findLinError($R39,data0!AF25,AW$4,AW$5,AW$6,AW$7)</f>
        <v>1.3355657458305359E-2</v>
      </c>
      <c r="AX39" s="4">
        <f>findLinError($R39,data0!AG25,AX$4,AX$5,AX$6,AX$7)</f>
        <v>1.2280687689781189E-2</v>
      </c>
    </row>
    <row r="40" spans="2:50">
      <c r="P40" s="9">
        <f t="shared" si="47"/>
        <v>24</v>
      </c>
      <c r="Q40" s="9">
        <f>data4!L26</f>
        <v>1.617785460439336E-5</v>
      </c>
      <c r="R40" s="34">
        <f t="shared" si="46"/>
        <v>20.598284231289458</v>
      </c>
      <c r="S40" s="4">
        <f>findLinError($R40,data0!B26,S$4,S$5,S$6,S$7)</f>
        <v>6.4296424388885498E-3</v>
      </c>
      <c r="T40" s="4"/>
      <c r="U40" s="4">
        <f>findLinError($R40,data0!D26,U$4,U$5,U$6,U$7)</f>
        <v>1.5574619174003601E-2</v>
      </c>
      <c r="V40" s="4"/>
      <c r="W40" s="4">
        <f>findLinError($R40,data0!F26,W$4,W$5,W$6,W$7)</f>
        <v>3.2244622707366943E-4</v>
      </c>
      <c r="X40" s="4"/>
      <c r="Y40" s="4"/>
      <c r="Z40" s="4">
        <f>findLinError($R40,data0!I26,Z$4,Z$5,Z$6,Z$7)</f>
        <v>5.5602788925170898E-3</v>
      </c>
      <c r="AA40" s="4">
        <f>findLinError($R40,data0!J26,AA$4,AA$5,AA$6,AA$7)</f>
        <v>1.1674955487251282E-2</v>
      </c>
      <c r="AB40" s="4">
        <f>findLinError($R40,data0!K26,AB$4,AB$5,AB$6,AB$7)</f>
        <v>2.3974776268005371E-3</v>
      </c>
      <c r="AC40" s="4">
        <f>findLinError($R40,data0!L26,AC$4,AC$5,AC$6,AC$7)</f>
        <v>-1.0887563228607178E-2</v>
      </c>
      <c r="AD40" s="4">
        <f>findLinError($R40,data0!M26,AD$4,AD$5,AD$6,AD$7)</f>
        <v>1.618155837059021E-2</v>
      </c>
      <c r="AE40" s="4">
        <f>findLinError($R40,data0!N26,AE$4,AE$5,AE$6,AE$7)</f>
        <v>1.6864687204360962E-3</v>
      </c>
      <c r="AF40" s="4">
        <f>findLinError($R40,data0!O26,AF$4,AF$5,AF$6,AF$7)</f>
        <v>-4.5042335987091064E-3</v>
      </c>
      <c r="AG40" s="4">
        <f>findLinError($R40,data0!P26,AG$4,AG$5,AG$6,AG$7)</f>
        <v>8.0600082874298096E-3</v>
      </c>
      <c r="AH40" s="4">
        <f>findLinError($R40,data0!Q26,AH$4,AH$5,AH$6,AH$7)</f>
        <v>1.4758944511413574E-2</v>
      </c>
      <c r="AI40" s="4">
        <f>findLinError($R40,data0!R26,AI$4,AI$5,AI$6,AI$7)</f>
        <v>9.9210739135742188E-3</v>
      </c>
      <c r="AJ40" s="4">
        <f>findLinError($R40,data0!S26,AJ$4,AJ$5,AJ$6,AJ$7)</f>
        <v>1.2267440557479858E-2</v>
      </c>
      <c r="AK40" s="4">
        <f>findLinError($R40,data0!T26,AK$4,AK$5,AK$6,AK$7)</f>
        <v>8.4624290466308594E-3</v>
      </c>
      <c r="AL40" s="4">
        <f>findLinError($R40,data0!U26,AL$4,AL$5,AL$6,AL$7)</f>
        <v>1.4479398727416992E-2</v>
      </c>
      <c r="AM40" s="4">
        <f>findLinError($R40,data0!V26,AM$4,AM$5,AM$6,AM$7)</f>
        <v>1.5469342470169067E-2</v>
      </c>
      <c r="AN40" s="4">
        <f>findLinError($R40,data0!W26,AN$4,AN$5,AN$6,AN$7)</f>
        <v>7.7374875545501709E-3</v>
      </c>
      <c r="AO40" s="4">
        <f>findLinError($R40,data0!X26,AO$4,AO$5,AO$6,AO$7)</f>
        <v>1.550428569316864E-2</v>
      </c>
      <c r="AP40" s="4">
        <f>findLinError($R40,data0!Y26,AP$4,AP$5,AP$6,AP$7)</f>
        <v>8.8549703359603882E-3</v>
      </c>
      <c r="AQ40" s="4">
        <f>findLinError($R40,data0!Z26,AQ$4,AQ$5,AQ$6,AQ$7)</f>
        <v>1.9438058137893677E-2</v>
      </c>
      <c r="AR40" s="4">
        <f>findLinError($R40,data0!AA26,AR$4,AR$5,AR$6,AR$7)</f>
        <v>1.9438058137893677E-2</v>
      </c>
      <c r="AS40" s="4">
        <f>findLinError($R40,data0!AB26,AS$4,AS$5,AS$6,AS$7)</f>
        <v>1.0980084538459778E-2</v>
      </c>
      <c r="AT40" s="4">
        <f>findLinError($R40,data0!AC26,AT$4,AT$5,AT$6,AT$7)</f>
        <v>1.4439880847930908E-2</v>
      </c>
      <c r="AU40" s="4">
        <f>findLinError($R40,data0!AD26,AU$4,AU$5,AU$6,AU$7)</f>
        <v>5.3289532661437988E-3</v>
      </c>
      <c r="AV40" s="4">
        <f>findLinError($R40,data0!AE26,AV$4,AV$5,AV$6,AV$7)</f>
        <v>1.703934371471405E-2</v>
      </c>
      <c r="AW40" s="4">
        <f>findLinError($R40,data0!AF26,AW$4,AW$5,AW$6,AW$7)</f>
        <v>1.5574619174003601E-2</v>
      </c>
      <c r="AX40" s="4">
        <f>findLinError($R40,data0!AG26,AX$4,AX$5,AX$6,AX$7)</f>
        <v>1.1643394827842712E-2</v>
      </c>
    </row>
    <row r="41" spans="2:50">
      <c r="P41" s="9">
        <f t="shared" si="47"/>
        <v>25</v>
      </c>
      <c r="Q41" s="9">
        <f>data4!L27</f>
        <v>1.7273268667850061E-5</v>
      </c>
      <c r="R41" s="34">
        <f t="shared" si="46"/>
        <v>21.993008734741561</v>
      </c>
      <c r="S41" s="4">
        <f>findLinError($R41,data0!B27,S$4,S$5,S$6,S$7)</f>
        <v>1.0075882077217102E-2</v>
      </c>
      <c r="T41" s="4"/>
      <c r="U41" s="4">
        <f>findLinError($R41,data0!D27,U$4,U$5,U$6,U$7)</f>
        <v>1.5311941504478455E-2</v>
      </c>
      <c r="V41" s="4"/>
      <c r="W41" s="4">
        <f>findLinError($R41,data0!F27,W$4,W$5,W$6,W$7)</f>
        <v>-3.8394331932067871E-4</v>
      </c>
      <c r="X41" s="4"/>
      <c r="Y41" s="4"/>
      <c r="Z41" s="4">
        <f>findLinError($R41,data0!I27,Z$4,Z$5,Z$6,Z$7)</f>
        <v>5.1171332597732544E-3</v>
      </c>
      <c r="AA41" s="4">
        <f>findLinError($R41,data0!J27,AA$4,AA$5,AA$6,AA$7)</f>
        <v>1.1166393756866455E-2</v>
      </c>
      <c r="AB41" s="4">
        <f>findLinError($R41,data0!K27,AB$4,AB$5,AB$6,AB$7)</f>
        <v>1.7653107643127441E-3</v>
      </c>
      <c r="AC41" s="4">
        <f>findLinError($R41,data0!L27,AC$4,AC$5,AC$6,AC$7)</f>
        <v>-3.8664042949676514E-3</v>
      </c>
      <c r="AD41" s="4">
        <f>findLinError($R41,data0!M27,AD$4,AD$5,AD$6,AD$7)</f>
        <v>1.6063958406448364E-2</v>
      </c>
      <c r="AE41" s="4">
        <f>findLinError($R41,data0!N27,AE$4,AE$5,AE$6,AE$7)</f>
        <v>2.3704767227172852E-4</v>
      </c>
      <c r="AF41" s="4">
        <f>findLinError($R41,data0!O27,AF$4,AF$5,AF$6,AF$7)</f>
        <v>-5.9646368026733398E-4</v>
      </c>
      <c r="AG41" s="4">
        <f>findLinError($R41,data0!P27,AG$4,AG$5,AG$6,AG$7)</f>
        <v>7.1727186441421509E-3</v>
      </c>
      <c r="AH41" s="4">
        <f>findLinError($R41,data0!Q27,AH$4,AH$5,AH$6,AH$7)</f>
        <v>1.3840273022651672E-2</v>
      </c>
      <c r="AI41" s="4">
        <f>findLinError($R41,data0!R27,AI$4,AI$5,AI$6,AI$7)</f>
        <v>1.2458130717277527E-2</v>
      </c>
      <c r="AJ41" s="4">
        <f>findLinError($R41,data0!S27,AJ$4,AJ$5,AJ$6,AJ$7)</f>
        <v>1.1694461107254028E-2</v>
      </c>
      <c r="AK41" s="4">
        <f>findLinError($R41,data0!T27,AK$4,AK$5,AK$6,AK$7)</f>
        <v>8.014976978302002E-3</v>
      </c>
      <c r="AL41" s="4">
        <f>findLinError($R41,data0!U27,AL$4,AL$5,AL$6,AL$7)</f>
        <v>1.4212504029273987E-2</v>
      </c>
      <c r="AM41" s="4">
        <f>findLinError($R41,data0!V27,AM$4,AM$5,AM$6,AM$7)</f>
        <v>1.8141612410545349E-2</v>
      </c>
      <c r="AN41" s="4">
        <f>findLinError($R41,data0!W27,AN$4,AN$5,AN$6,AN$7)</f>
        <v>6.8233758211135864E-3</v>
      </c>
      <c r="AO41" s="4">
        <f>findLinError($R41,data0!X27,AO$4,AO$5,AO$6,AO$7)</f>
        <v>1.4649853110313416E-2</v>
      </c>
      <c r="AP41" s="4">
        <f>findLinError($R41,data0!Y27,AP$4,AP$5,AP$6,AP$7)</f>
        <v>1.4573037624359131E-2</v>
      </c>
      <c r="AQ41" s="4">
        <f>findLinError($R41,data0!Z27,AQ$4,AQ$5,AQ$6,AQ$7)</f>
        <v>2.2293686866760254E-2</v>
      </c>
      <c r="AR41" s="4">
        <f>findLinError($R41,data0!AA27,AR$4,AR$5,AR$6,AR$7)</f>
        <v>2.2293686866760254E-2</v>
      </c>
      <c r="AS41" s="4">
        <f>findLinError($R41,data0!AB27,AS$4,AS$5,AS$6,AS$7)</f>
        <v>1.0756731033325195E-2</v>
      </c>
      <c r="AT41" s="4">
        <f>findLinError($R41,data0!AC27,AT$4,AT$5,AT$6,AT$7)</f>
        <v>1.0553568601608276E-2</v>
      </c>
      <c r="AU41" s="4">
        <f>findLinError($R41,data0!AD27,AU$4,AU$5,AU$6,AU$7)</f>
        <v>4.4863224029541016E-3</v>
      </c>
      <c r="AV41" s="4">
        <f>findLinError($R41,data0!AE27,AV$4,AV$5,AV$6,AV$7)</f>
        <v>1.6898423433303833E-2</v>
      </c>
      <c r="AW41" s="4">
        <f>findLinError($R41,data0!AF27,AW$4,AW$5,AW$6,AW$7)</f>
        <v>1.1390373110771179E-2</v>
      </c>
      <c r="AX41" s="4">
        <f>findLinError($R41,data0!AG27,AX$4,AX$5,AX$6,AX$7)</f>
        <v>1.2357816100120544E-2</v>
      </c>
    </row>
    <row r="42" spans="2:50">
      <c r="P42" s="9">
        <f t="shared" si="47"/>
        <v>26</v>
      </c>
      <c r="Q42" s="9">
        <f>data4!L28</f>
        <v>1.8448091850586934E-5</v>
      </c>
      <c r="R42" s="34">
        <f t="shared" si="46"/>
        <v>23.488840069073774</v>
      </c>
      <c r="S42" s="4">
        <f>findLinError($R42,data0!B28,S$4,S$5,S$6,S$7)</f>
        <v>1.2565076351165771E-2</v>
      </c>
      <c r="T42" s="4"/>
      <c r="U42" s="4">
        <f>findLinError($R42,data0!D28,U$4,U$5,U$6,U$7)</f>
        <v>1.3893142342567444E-2</v>
      </c>
      <c r="V42" s="4"/>
      <c r="W42" s="4">
        <f>findLinError($R42,data0!F28,W$4,W$5,W$6,W$7)</f>
        <v>1.6429126262664795E-3</v>
      </c>
      <c r="X42" s="4"/>
      <c r="Y42" s="4"/>
      <c r="Z42" s="4">
        <f>findLinError($R42,data0!I28,Z$4,Z$5,Z$6,Z$7)</f>
        <v>7.426336407661438E-3</v>
      </c>
      <c r="AA42" s="4">
        <f>findLinError($R42,data0!J28,AA$4,AA$5,AA$6,AA$7)</f>
        <v>9.4838738441467285E-3</v>
      </c>
      <c r="AB42" s="4">
        <f>findLinError($R42,data0!K28,AB$4,AB$5,AB$6,AB$7)</f>
        <v>3.8717836141586304E-3</v>
      </c>
      <c r="AC42" s="4">
        <f>findLinError($R42,data0!L28,AC$4,AC$5,AC$6,AC$7)</f>
        <v>-1.963496208190918E-3</v>
      </c>
      <c r="AD42" s="4">
        <f>findLinError($R42,data0!M28,AD$4,AD$5,AD$6,AD$7)</f>
        <v>1.8722295761108398E-2</v>
      </c>
      <c r="AE42" s="4">
        <f>findLinError($R42,data0!N28,AE$4,AE$5,AE$6,AE$7)</f>
        <v>1.4670193195343018E-3</v>
      </c>
      <c r="AF42" s="4">
        <f>findLinError($R42,data0!O28,AF$4,AF$5,AF$6,AF$7)</f>
        <v>2.1731853485107422E-3</v>
      </c>
      <c r="AG42" s="4">
        <f>findLinError($R42,data0!P28,AG$4,AG$5,AG$6,AG$7)</f>
        <v>1.1624395847320557E-3</v>
      </c>
      <c r="AH42" s="4">
        <f>findLinError($R42,data0!Q28,AH$4,AH$5,AH$6,AH$7)</f>
        <v>1.1717915534973145E-2</v>
      </c>
      <c r="AI42" s="4">
        <f>findLinError($R42,data0!R28,AI$4,AI$5,AI$6,AI$7)</f>
        <v>1.3757705688476563E-2</v>
      </c>
      <c r="AJ42" s="4">
        <f>findLinError($R42,data0!S28,AJ$4,AJ$5,AJ$6,AJ$7)</f>
        <v>1.3864368200302124E-2</v>
      </c>
      <c r="AK42" s="4">
        <f>findLinError($R42,data0!T28,AK$4,AK$5,AK$6,AK$7)</f>
        <v>1.0319545865058899E-2</v>
      </c>
      <c r="AL42" s="4">
        <f>findLinError($R42,data0!U28,AL$4,AL$5,AL$6,AL$7)</f>
        <v>1.2789174914360046E-2</v>
      </c>
      <c r="AM42" s="4">
        <f>findLinError($R42,data0!V28,AM$4,AM$5,AM$6,AM$7)</f>
        <v>1.5664637088775635E-2</v>
      </c>
      <c r="AN42" s="4">
        <f>findLinError($R42,data0!W28,AN$4,AN$5,AN$6,AN$7)</f>
        <v>8.627474308013916E-3</v>
      </c>
      <c r="AO42" s="4">
        <f>findLinError($R42,data0!X28,AO$4,AO$5,AO$6,AO$7)</f>
        <v>1.6517937183380127E-2</v>
      </c>
      <c r="AP42" s="4">
        <f>findLinError($R42,data0!Y28,AP$4,AP$5,AP$6,AP$7)</f>
        <v>1.1156827211380005E-2</v>
      </c>
      <c r="AQ42" s="4">
        <f>findLinError($R42,data0!Z28,AQ$4,AQ$5,AQ$6,AQ$7)</f>
        <v>2.0013362169265747E-2</v>
      </c>
      <c r="AR42" s="4">
        <f>findLinError($R42,data0!AA28,AR$4,AR$5,AR$6,AR$7)</f>
        <v>2.0013362169265747E-2</v>
      </c>
      <c r="AS42" s="4">
        <f>findLinError($R42,data0!AB28,AS$4,AS$5,AS$6,AS$7)</f>
        <v>9.3800723552703857E-3</v>
      </c>
      <c r="AT42" s="4">
        <f>findLinError($R42,data0!AC28,AT$4,AT$5,AT$6,AT$7)</f>
        <v>9.4542652368545532E-3</v>
      </c>
      <c r="AU42" s="4">
        <f>findLinError($R42,data0!AD28,AU$4,AU$5,AU$6,AU$7)</f>
        <v>6.3670873641967773E-3</v>
      </c>
      <c r="AV42" s="4">
        <f>findLinError($R42,data0!AE28,AV$4,AV$5,AV$6,AV$7)</f>
        <v>1.5610188245773315E-2</v>
      </c>
      <c r="AW42" s="4">
        <f>findLinError($R42,data0!AF28,AW$4,AW$5,AW$6,AW$7)</f>
        <v>1.3893142342567444E-2</v>
      </c>
      <c r="AX42" s="4">
        <f>findLinError($R42,data0!AG28,AX$4,AX$5,AX$6,AX$7)</f>
        <v>1.1986911296844482E-2</v>
      </c>
    </row>
    <row r="43" spans="2:50">
      <c r="P43" s="9">
        <f t="shared" si="47"/>
        <v>27</v>
      </c>
      <c r="Q43" s="9">
        <f>data4!L29</f>
        <v>1.9657055645438959E-5</v>
      </c>
      <c r="R43" s="34">
        <f t="shared" si="46"/>
        <v>25.028140580832464</v>
      </c>
      <c r="S43" s="4">
        <f>findLinError($R43,data0!B29,S$4,S$5,S$6,S$7)</f>
        <v>1.0635197162628174E-2</v>
      </c>
      <c r="T43" s="4"/>
      <c r="U43" s="4">
        <f>findLinError($R43,data0!D29,U$4,U$5,U$6,U$7)</f>
        <v>1.1977225542068481E-2</v>
      </c>
      <c r="V43" s="4"/>
      <c r="W43" s="4">
        <f>findLinError($R43,data0!F29,W$4,W$5,W$6,W$7)</f>
        <v>-7.6273083686828613E-4</v>
      </c>
      <c r="X43" s="4"/>
      <c r="Y43" s="4"/>
      <c r="Z43" s="4">
        <f>findLinError($R43,data0!I29,Z$4,Z$5,Z$6,Z$7)</f>
        <v>5.3112506866455078E-3</v>
      </c>
      <c r="AA43" s="4">
        <f>findLinError($R43,data0!J29,AA$4,AA$5,AA$6,AA$7)</f>
        <v>7.2965919971466064E-3</v>
      </c>
      <c r="AB43" s="4">
        <f>findLinError($R43,data0!K29,AB$4,AB$5,AB$6,AB$7)</f>
        <v>5.4696500301361084E-3</v>
      </c>
      <c r="AC43" s="4">
        <f>findLinError($R43,data0!L29,AC$4,AC$5,AC$6,AC$7)</f>
        <v>-4.4966936111450195E-3</v>
      </c>
      <c r="AD43" s="4">
        <f>findLinError($R43,data0!M29,AD$4,AD$5,AD$6,AD$7)</f>
        <v>1.3044923543930054E-2</v>
      </c>
      <c r="AE43" s="4">
        <f>findLinError($R43,data0!N29,AE$4,AE$5,AE$6,AE$7)</f>
        <v>2.1629035472869873E-3</v>
      </c>
      <c r="AF43" s="4">
        <f>findLinError($R43,data0!O29,AF$4,AF$5,AF$6,AF$7)</f>
        <v>5.3194165229797363E-4</v>
      </c>
      <c r="AG43" s="4">
        <f>findLinError($R43,data0!P29,AG$4,AG$5,AG$6,AG$7)</f>
        <v>1.0321855545043945E-2</v>
      </c>
      <c r="AH43" s="4">
        <f>findLinError($R43,data0!Q29,AH$4,AH$5,AH$6,AH$7)</f>
        <v>1.2999564409255981E-2</v>
      </c>
      <c r="AI43" s="4">
        <f>findLinError($R43,data0!R29,AI$4,AI$5,AI$6,AI$7)</f>
        <v>1.0603636503219604E-2</v>
      </c>
      <c r="AJ43" s="4">
        <f>findLinError($R43,data0!S29,AJ$4,AJ$5,AJ$6,AJ$7)</f>
        <v>1.1605978012084961E-2</v>
      </c>
      <c r="AK43" s="4">
        <f>findLinError($R43,data0!T29,AK$4,AK$5,AK$6,AK$7)</f>
        <v>8.1996917724609375E-3</v>
      </c>
      <c r="AL43" s="4">
        <f>findLinError($R43,data0!U29,AL$4,AL$5,AL$6,AL$7)</f>
        <v>1.4790177345275879E-2</v>
      </c>
      <c r="AM43" s="4">
        <f>findLinError($R43,data0!V29,AM$4,AM$5,AM$6,AM$7)</f>
        <v>1.6581356525421143E-2</v>
      </c>
      <c r="AN43" s="4">
        <f>findLinError($R43,data0!W29,AN$4,AN$5,AN$6,AN$7)</f>
        <v>9.9141895771026611E-3</v>
      </c>
      <c r="AO43" s="4">
        <f>findLinError($R43,data0!X29,AO$4,AO$5,AO$6,AO$7)</f>
        <v>1.3948917388916016E-2</v>
      </c>
      <c r="AP43" s="4">
        <f>findLinError($R43,data0!Y29,AP$4,AP$5,AP$6,AP$7)</f>
        <v>7.1854293346405029E-3</v>
      </c>
      <c r="AQ43" s="4">
        <f>findLinError($R43,data0!Z29,AQ$4,AQ$5,AQ$6,AQ$7)</f>
        <v>2.1132469177246094E-2</v>
      </c>
      <c r="AR43" s="4">
        <f>findLinError($R43,data0!AA29,AR$4,AR$5,AR$6,AR$7)</f>
        <v>2.1132469177246094E-2</v>
      </c>
      <c r="AS43" s="4">
        <f>findLinError($R43,data0!AB29,AS$4,AS$5,AS$6,AS$7)</f>
        <v>1.1429101228713989E-2</v>
      </c>
      <c r="AT43" s="4">
        <f>findLinError($R43,data0!AC29,AT$4,AT$5,AT$6,AT$7)</f>
        <v>7.8671872615814209E-3</v>
      </c>
      <c r="AU43" s="4">
        <f>findLinError($R43,data0!AD29,AU$4,AU$5,AU$6,AU$7)</f>
        <v>3.8110613822937012E-3</v>
      </c>
      <c r="AV43" s="4">
        <f>findLinError($R43,data0!AE29,AV$4,AV$5,AV$6,AV$7)</f>
        <v>1.3828635215759277E-2</v>
      </c>
      <c r="AW43" s="4">
        <f>findLinError($R43,data0!AF29,AW$4,AW$5,AW$6,AW$7)</f>
        <v>1.1977225542068481E-2</v>
      </c>
      <c r="AX43" s="4">
        <f>findLinError($R43,data0!AG29,AX$4,AX$5,AX$6,AX$7)</f>
        <v>1.507095992565155E-2</v>
      </c>
    </row>
    <row r="44" spans="2:50">
      <c r="P44" s="9">
        <f t="shared" si="47"/>
        <v>28</v>
      </c>
      <c r="Q44" s="9">
        <f>data4!L30</f>
        <v>2.0824373905270477E-5</v>
      </c>
      <c r="R44" s="34">
        <f t="shared" si="46"/>
        <v>26.514416350541385</v>
      </c>
      <c r="S44" s="4">
        <f>findLinError($R44,data0!B30,S$4,S$5,S$6,S$7)</f>
        <v>9.3121826648712158E-3</v>
      </c>
      <c r="T44" s="4"/>
      <c r="U44" s="4">
        <f>findLinError($R44,data0!D30,U$4,U$5,U$6,U$7)</f>
        <v>1.4589250087738037E-2</v>
      </c>
      <c r="V44" s="4"/>
      <c r="W44" s="4">
        <f>findLinError($R44,data0!F30,W$4,W$5,W$6,W$7)</f>
        <v>-2.5451481342315674E-3</v>
      </c>
      <c r="X44" s="4"/>
      <c r="Y44" s="4"/>
      <c r="Z44" s="4">
        <f>findLinError($R44,data0!I30,Z$4,Z$5,Z$6,Z$7)</f>
        <v>7.7309608459472656E-3</v>
      </c>
      <c r="AA44" s="4">
        <f>findLinError($R44,data0!J30,AA$4,AA$5,AA$6,AA$7)</f>
        <v>9.6465647220611572E-3</v>
      </c>
      <c r="AB44" s="4">
        <f>findLinError($R44,data0!K30,AB$4,AB$5,AB$6,AB$7)</f>
        <v>3.7663578987121582E-3</v>
      </c>
      <c r="AC44" s="4">
        <f>findLinError($R44,data0!L30,AC$4,AC$5,AC$6,AC$7)</f>
        <v>-2.4806857109069824E-3</v>
      </c>
      <c r="AD44" s="4">
        <f>findLinError($R44,data0!M30,AD$4,AD$5,AD$6,AD$7)</f>
        <v>1.5811532735824585E-2</v>
      </c>
      <c r="AE44" s="4">
        <f>findLinError($R44,data0!N30,AE$4,AE$5,AE$6,AE$7)</f>
        <v>-4.1130185127258301E-4</v>
      </c>
      <c r="AF44" s="4">
        <f>findLinError($R44,data0!O30,AF$4,AF$5,AF$6,AF$7)</f>
        <v>3.4091472625732422E-3</v>
      </c>
      <c r="AG44" s="4">
        <f>findLinError($R44,data0!P30,AG$4,AG$5,AG$6,AG$7)</f>
        <v>8.3467066287994385E-3</v>
      </c>
      <c r="AH44" s="4">
        <f>findLinError($R44,data0!Q30,AH$4,AH$5,AH$6,AH$7)</f>
        <v>1.4912545680999756E-2</v>
      </c>
      <c r="AI44" s="4">
        <f>findLinError($R44,data0!R30,AI$4,AI$5,AI$6,AI$7)</f>
        <v>1.202017068862915E-2</v>
      </c>
      <c r="AJ44" s="4">
        <f>findLinError($R44,data0!S30,AJ$4,AJ$5,AJ$6,AJ$7)</f>
        <v>1.3887286186218262E-2</v>
      </c>
      <c r="AK44" s="4">
        <f>findLinError($R44,data0!T30,AK$4,AK$5,AK$6,AK$7)</f>
        <v>1.0614782571792603E-2</v>
      </c>
      <c r="AL44" s="4">
        <f>findLinError($R44,data0!U30,AL$4,AL$5,AL$6,AL$7)</f>
        <v>1.7397701740264893E-2</v>
      </c>
      <c r="AM44" s="4">
        <f>findLinError($R44,data0!V30,AM$4,AM$5,AM$6,AM$7)</f>
        <v>1.8141984939575195E-2</v>
      </c>
      <c r="AN44" s="4">
        <f>findLinError($R44,data0!W30,AN$4,AN$5,AN$6,AN$7)</f>
        <v>7.9104304313659668E-3</v>
      </c>
      <c r="AO44" s="4">
        <f>findLinError($R44,data0!X30,AO$4,AO$5,AO$6,AO$7)</f>
        <v>1.5930324792861938E-2</v>
      </c>
      <c r="AP44" s="4">
        <f>findLinError($R44,data0!Y30,AP$4,AP$5,AP$6,AP$7)</f>
        <v>7.812798023223877E-3</v>
      </c>
      <c r="AQ44" s="4">
        <f>findLinError($R44,data0!Z30,AQ$4,AQ$5,AQ$6,AQ$7)</f>
        <v>2.2888481616973877E-2</v>
      </c>
      <c r="AR44" s="4">
        <f>findLinError($R44,data0!AA30,AR$4,AR$5,AR$6,AR$7)</f>
        <v>2.2888481616973877E-2</v>
      </c>
      <c r="AS44" s="4">
        <f>findLinError($R44,data0!AB30,AS$4,AS$5,AS$6,AS$7)</f>
        <v>1.0161459445953369E-2</v>
      </c>
      <c r="AT44" s="4">
        <f>findLinError($R44,data0!AC30,AT$4,AT$5,AT$6,AT$7)</f>
        <v>1.0796695947647095E-2</v>
      </c>
      <c r="AU44" s="4">
        <f>findLinError($R44,data0!AD30,AU$4,AU$5,AU$6,AU$7)</f>
        <v>1.8834769725799561E-3</v>
      </c>
      <c r="AV44" s="4">
        <f>findLinError($R44,data0!AE30,AV$4,AV$5,AV$6,AV$7)</f>
        <v>1.6570389270782471E-2</v>
      </c>
      <c r="AW44" s="4">
        <f>findLinError($R44,data0!AF30,AW$4,AW$5,AW$6,AW$7)</f>
        <v>1.0667681694030762E-2</v>
      </c>
      <c r="AX44" s="4">
        <f>findLinError($R44,data0!AG30,AX$4,AX$5,AX$6,AX$7)</f>
        <v>1.088106632232666E-2</v>
      </c>
    </row>
    <row r="45" spans="2:50">
      <c r="P45" s="9">
        <f t="shared" si="47"/>
        <v>29</v>
      </c>
      <c r="Q45" s="9">
        <f>data4!L31</f>
        <v>2.2161877268445096E-5</v>
      </c>
      <c r="R45" s="34">
        <f t="shared" si="46"/>
        <v>28.217378523751588</v>
      </c>
      <c r="S45" s="4">
        <f>findLinError($R45,data0!B31,S$4,S$5,S$6,S$7)</f>
        <v>5.5093169212341309E-3</v>
      </c>
      <c r="T45" s="4"/>
      <c r="U45" s="4">
        <f>findLinError($R45,data0!D31,U$4,U$5,U$6,U$7)</f>
        <v>1.4723390340805054E-2</v>
      </c>
      <c r="V45" s="4"/>
      <c r="W45" s="4">
        <f>findLinError($R45,data0!F31,W$4,W$5,W$6,W$7)</f>
        <v>9.6875429153442383E-4</v>
      </c>
      <c r="X45" s="4"/>
      <c r="Y45" s="4"/>
      <c r="Z45" s="4">
        <f>findLinError($R45,data0!I31,Z$4,Z$5,Z$6,Z$7)</f>
        <v>3.7231743335723877E-3</v>
      </c>
      <c r="AA45" s="4">
        <f>findLinError($R45,data0!J31,AA$4,AA$5,AA$6,AA$7)</f>
        <v>9.4805061817169189E-3</v>
      </c>
      <c r="AB45" s="4">
        <f>findLinError($R45,data0!K31,AB$4,AB$5,AB$6,AB$7)</f>
        <v>-4.7218799591064453E-4</v>
      </c>
      <c r="AC45" s="4">
        <f>findLinError($R45,data0!L31,AC$4,AC$5,AC$6,AC$7)</f>
        <v>-1.0872602462768555E-2</v>
      </c>
      <c r="AD45" s="4">
        <f>findLinError($R45,data0!M31,AD$4,AD$5,AD$6,AD$7)</f>
        <v>1.6122788190841675E-2</v>
      </c>
      <c r="AE45" s="4">
        <f>findLinError($R45,data0!N31,AE$4,AE$5,AE$6,AE$7)</f>
        <v>2.1953880786895752E-3</v>
      </c>
      <c r="AF45" s="4">
        <f>findLinError($R45,data0!O31,AF$4,AF$5,AF$6,AF$7)</f>
        <v>-7.4416399002075195E-5</v>
      </c>
      <c r="AG45" s="4">
        <f>findLinError($R45,data0!P31,AG$4,AG$5,AG$6,AG$7)</f>
        <v>3.7966072559356689E-3</v>
      </c>
      <c r="AH45" s="4">
        <f>findLinError($R45,data0!Q31,AH$4,AH$5,AH$6,AH$7)</f>
        <v>1.0324150323867798E-2</v>
      </c>
      <c r="AI45" s="4">
        <f>findLinError($R45,data0!R31,AI$4,AI$5,AI$6,AI$7)</f>
        <v>1.0784506797790527E-2</v>
      </c>
      <c r="AJ45" s="4">
        <f>findLinError($R45,data0!S31,AJ$4,AJ$5,AJ$6,AJ$7)</f>
        <v>9.7209513187408447E-3</v>
      </c>
      <c r="AK45" s="4">
        <f>findLinError($R45,data0!T31,AK$4,AK$5,AK$6,AK$7)</f>
        <v>1.0523319244384766E-2</v>
      </c>
      <c r="AL45" s="4">
        <f>findLinError($R45,data0!U31,AL$4,AL$5,AL$6,AL$7)</f>
        <v>1.3605117797851563E-2</v>
      </c>
      <c r="AM45" s="4">
        <f>findLinError($R45,data0!V31,AM$4,AM$5,AM$6,AM$7)</f>
        <v>1.3149857521057129E-2</v>
      </c>
      <c r="AN45" s="4">
        <f>findLinError($R45,data0!W31,AN$4,AN$5,AN$6,AN$7)</f>
        <v>3.3276379108428955E-3</v>
      </c>
      <c r="AO45" s="4">
        <f>findLinError($R45,data0!X31,AO$4,AO$5,AO$6,AO$7)</f>
        <v>1.9263476133346558E-2</v>
      </c>
      <c r="AP45" s="4">
        <f>findLinError($R45,data0!Y31,AP$4,AP$5,AP$6,AP$7)</f>
        <v>5.6729614734649658E-3</v>
      </c>
      <c r="AQ45" s="4">
        <f>findLinError($R45,data0!Z31,AQ$4,AQ$5,AQ$6,AQ$7)</f>
        <v>1.8120259046554565E-2</v>
      </c>
      <c r="AR45" s="4">
        <f>findLinError($R45,data0!AA31,AR$4,AR$5,AR$6,AR$7)</f>
        <v>1.8120259046554565E-2</v>
      </c>
      <c r="AS45" s="4">
        <f>findLinError($R45,data0!AB31,AS$4,AS$5,AS$6,AS$7)</f>
        <v>1.0343611240386963E-2</v>
      </c>
      <c r="AT45" s="4">
        <f>findLinError($R45,data0!AC31,AT$4,AT$5,AT$6,AT$7)</f>
        <v>1.129460334777832E-2</v>
      </c>
      <c r="AU45" s="4">
        <f>findLinError($R45,data0!AD31,AU$4,AU$5,AU$6,AU$7)</f>
        <v>5.2310824394226074E-3</v>
      </c>
      <c r="AV45" s="4">
        <f>findLinError($R45,data0!AE31,AV$4,AV$5,AV$6,AV$7)</f>
        <v>1.6853213310241699E-2</v>
      </c>
      <c r="AW45" s="4">
        <f>findLinError($R45,data0!AF31,AW$4,AW$5,AW$6,AW$7)</f>
        <v>1.0801821947097778E-2</v>
      </c>
      <c r="AX45" s="4">
        <f>findLinError($R45,data0!AG31,AX$4,AX$5,AX$6,AX$7)</f>
        <v>8.2866847515106201E-3</v>
      </c>
    </row>
    <row r="46" spans="2:50">
      <c r="P46" s="9">
        <f t="shared" si="47"/>
        <v>30</v>
      </c>
      <c r="Q46" s="9">
        <f>data4!L32</f>
        <v>2.3445577653546934E-5</v>
      </c>
      <c r="R46" s="34">
        <f t="shared" si="46"/>
        <v>29.851836617655003</v>
      </c>
      <c r="S46" s="4">
        <f>findLinError($R46,data0!B32,S$4,S$5,S$6,S$7)</f>
        <v>2.4904310703277588E-3</v>
      </c>
      <c r="T46" s="4"/>
      <c r="U46" s="4">
        <f>findLinError($R46,data0!D32,U$4,U$5,U$6,U$7)</f>
        <v>1.1719316244125366E-2</v>
      </c>
      <c r="V46" s="4"/>
      <c r="W46" s="4">
        <f>findLinError($R46,data0!F32,W$4,W$5,W$6,W$7)</f>
        <v>-6.4768791198730469E-3</v>
      </c>
      <c r="X46" s="4"/>
      <c r="Y46" s="4"/>
      <c r="Z46" s="4">
        <f>findLinError($R46,data0!I32,Z$4,Z$5,Z$6,Z$7)</f>
        <v>5.0762295722961426E-4</v>
      </c>
      <c r="AA46" s="4">
        <f>findLinError($R46,data0!J32,AA$4,AA$5,AA$6,AA$7)</f>
        <v>6.1882734298706055E-3</v>
      </c>
      <c r="AB46" s="4">
        <f>findLinError($R46,data0!K32,AB$4,AB$5,AB$6,AB$7)</f>
        <v>3.9338767528533936E-3</v>
      </c>
      <c r="AC46" s="4">
        <f>findLinError($R46,data0!L32,AC$4,AC$5,AC$6,AC$7)</f>
        <v>-2.7673840522766113E-3</v>
      </c>
      <c r="AD46" s="4">
        <f>findLinError($R46,data0!M32,AD$4,AD$5,AD$6,AD$7)</f>
        <v>2.113187313079834E-2</v>
      </c>
      <c r="AE46" s="4">
        <f>findLinError($R46,data0!N32,AE$4,AE$5,AE$6,AE$7)</f>
        <v>-2.1994113922119141E-3</v>
      </c>
      <c r="AF46" s="4">
        <f>findLinError($R46,data0!O32,AF$4,AF$5,AF$6,AF$7)</f>
        <v>1.1347532272338867E-3</v>
      </c>
      <c r="AG46" s="4">
        <f>findLinError($R46,data0!P32,AG$4,AG$5,AG$6,AG$7)</f>
        <v>7.9036951065063477E-3</v>
      </c>
      <c r="AH46" s="4">
        <f>findLinError($R46,data0!Q32,AH$4,AH$5,AH$6,AH$7)</f>
        <v>1.4394462108612061E-2</v>
      </c>
      <c r="AI46" s="4">
        <f>findLinError($R46,data0!R32,AI$4,AI$5,AI$6,AI$7)</f>
        <v>6.4657628536224365E-3</v>
      </c>
      <c r="AJ46" s="4">
        <f>findLinError($R46,data0!S32,AJ$4,AJ$5,AJ$6,AJ$7)</f>
        <v>1.419636607170105E-2</v>
      </c>
      <c r="AK46" s="4">
        <f>findLinError($R46,data0!T32,AK$4,AK$5,AK$6,AK$7)</f>
        <v>7.302701473236084E-3</v>
      </c>
      <c r="AL46" s="4">
        <f>findLinError($R46,data0!U32,AL$4,AL$5,AL$6,AL$7)</f>
        <v>1.8439263105392456E-2</v>
      </c>
      <c r="AM46" s="4">
        <f>findLinError($R46,data0!V32,AM$4,AM$5,AM$6,AM$7)</f>
        <v>1.6832709312438965E-2</v>
      </c>
      <c r="AN46" s="4">
        <f>findLinError($R46,data0!W32,AN$4,AN$5,AN$6,AN$7)</f>
        <v>7.4033141136169434E-3</v>
      </c>
      <c r="AO46" s="4">
        <f>findLinError($R46,data0!X32,AO$4,AO$5,AO$6,AO$7)</f>
        <v>1.5565931797027588E-2</v>
      </c>
      <c r="AP46" s="4">
        <f>findLinError($R46,data0!Y32,AP$4,AP$5,AP$6,AP$7)</f>
        <v>8.3295106887817383E-3</v>
      </c>
      <c r="AQ46" s="4">
        <f>findLinError($R46,data0!Z32,AQ$4,AQ$5,AQ$6,AQ$7)</f>
        <v>2.2017985582351685E-2</v>
      </c>
      <c r="AR46" s="4">
        <f>findLinError($R46,data0!AA32,AR$4,AR$5,AR$6,AR$7)</f>
        <v>2.2017985582351685E-2</v>
      </c>
      <c r="AS46" s="4">
        <f>findLinError($R46,data0!AB32,AS$4,AS$5,AS$6,AS$7)</f>
        <v>1.1307179927825928E-2</v>
      </c>
      <c r="AT46" s="4">
        <f>findLinError($R46,data0!AC32,AT$4,AT$5,AT$6,AT$7)</f>
        <v>1.2561261653900146E-2</v>
      </c>
      <c r="AU46" s="4">
        <f>findLinError($R46,data0!AD32,AU$4,AU$5,AU$6,AU$7)</f>
        <v>1.5473663806915283E-3</v>
      </c>
      <c r="AV46" s="4">
        <f>findLinError($R46,data0!AE32,AV$4,AV$5,AV$6,AV$7)</f>
        <v>1.3991832733154297E-2</v>
      </c>
      <c r="AW46" s="4">
        <f>findLinError($R46,data0!AF32,AW$4,AW$5,AW$6,AW$7)</f>
        <v>1.1719316244125366E-2</v>
      </c>
      <c r="AX46" s="4">
        <f>findLinError($R46,data0!AG32,AX$4,AX$5,AX$6,AX$7)</f>
        <v>1.4270782470703125E-2</v>
      </c>
    </row>
    <row r="47" spans="2:50">
      <c r="P47" s="9">
        <f t="shared" si="47"/>
        <v>31</v>
      </c>
      <c r="Q47" s="9">
        <f>data4!L33</f>
        <v>2.4792808517304366E-5</v>
      </c>
      <c r="R47" s="34">
        <f t="shared" si="46"/>
        <v>31.567184229278674</v>
      </c>
      <c r="S47" s="4">
        <f>findLinError($R47,data0!B33,S$4,S$5,S$6,S$7)</f>
        <v>6.3889622688293457E-3</v>
      </c>
      <c r="T47" s="4"/>
      <c r="U47" s="4">
        <f>findLinError($R47,data0!D33,U$4,U$5,U$6,U$7)</f>
        <v>7.790297269821167E-3</v>
      </c>
      <c r="V47" s="4"/>
      <c r="W47" s="4">
        <f>findLinError($R47,data0!F33,W$4,W$5,W$6,W$7)</f>
        <v>-7.0300698280334473E-3</v>
      </c>
      <c r="X47" s="4"/>
      <c r="Y47" s="4"/>
      <c r="Z47" s="4">
        <f>findLinError($R47,data0!I33,Z$4,Z$5,Z$6,Z$7)</f>
        <v>4.1997730731964111E-3</v>
      </c>
      <c r="AA47" s="4">
        <f>findLinError($R47,data0!J33,AA$4,AA$5,AA$6,AA$7)</f>
        <v>1.9568204879760742E-3</v>
      </c>
      <c r="AB47" s="4">
        <f>findLinError($R47,data0!K33,AB$4,AB$5,AB$6,AB$7)</f>
        <v>-4.4956803321838379E-4</v>
      </c>
      <c r="AC47" s="4">
        <f>findLinError($R47,data0!L33,AC$4,AC$5,AC$6,AC$7)</f>
        <v>-7.3843002319335938E-3</v>
      </c>
      <c r="AD47" s="4">
        <f>findLinError($R47,data0!M33,AD$4,AD$5,AD$6,AD$7)</f>
        <v>1.7381250858306885E-2</v>
      </c>
      <c r="AE47" s="4">
        <f>findLinError($R47,data0!N33,AE$4,AE$5,AE$6,AE$7)</f>
        <v>2.5510787963867188E-4</v>
      </c>
      <c r="AF47" s="4">
        <f>findLinError($R47,data0!O33,AF$4,AF$5,AF$6,AF$7)</f>
        <v>1.4333426952362061E-3</v>
      </c>
      <c r="AG47" s="4">
        <f>findLinError($R47,data0!P33,AG$4,AG$5,AG$6,AG$7)</f>
        <v>3.2064616680145264E-3</v>
      </c>
      <c r="AH47" s="4">
        <f>findLinError($R47,data0!Q33,AH$4,AH$5,AH$6,AH$7)</f>
        <v>9.6586346626281738E-3</v>
      </c>
      <c r="AI47" s="4">
        <f>findLinError($R47,data0!R33,AI$4,AI$5,AI$6,AI$7)</f>
        <v>9.0001225471496582E-3</v>
      </c>
      <c r="AJ47" s="4">
        <f>findLinError($R47,data0!S33,AJ$4,AJ$5,AJ$6,AJ$7)</f>
        <v>9.8856687545776367E-3</v>
      </c>
      <c r="AK47" s="4">
        <f>findLinError($R47,data0!T33,AK$4,AK$5,AK$6,AK$7)</f>
        <v>1.0989546775817871E-2</v>
      </c>
      <c r="AL47" s="4">
        <f>findLinError($R47,data0!U33,AL$4,AL$5,AL$6,AL$7)</f>
        <v>1.450502872467041E-2</v>
      </c>
      <c r="AM47" s="4">
        <f>findLinError($R47,data0!V33,AM$4,AM$5,AM$6,AM$7)</f>
        <v>1.1690199375152588E-2</v>
      </c>
      <c r="AN47" s="4">
        <f>findLinError($R47,data0!W33,AN$4,AN$5,AN$6,AN$7)</f>
        <v>6.5946578979492188E-3</v>
      </c>
      <c r="AO47" s="4">
        <f>findLinError($R47,data0!X33,AO$4,AO$5,AO$6,AO$7)</f>
        <v>1.0909080505371094E-2</v>
      </c>
      <c r="AP47" s="4">
        <f>findLinError($R47,data0!Y33,AP$4,AP$5,AP$6,AP$7)</f>
        <v>2.1099448204040527E-3</v>
      </c>
      <c r="AQ47" s="4">
        <f>findLinError($R47,data0!Z33,AQ$4,AQ$5,AQ$6,AQ$7)</f>
        <v>2.1022558212280273E-2</v>
      </c>
      <c r="AR47" s="4">
        <f>findLinError($R47,data0!AA33,AR$4,AR$5,AR$6,AR$7)</f>
        <v>2.1022558212280273E-2</v>
      </c>
      <c r="AS47" s="4">
        <f>findLinError($R47,data0!AB33,AS$4,AS$5,AS$6,AS$7)</f>
        <v>7.4265003204345703E-3</v>
      </c>
      <c r="AT47" s="4">
        <f>findLinError($R47,data0!AC33,AT$4,AT$5,AT$6,AT$7)</f>
        <v>8.9986324310302734E-3</v>
      </c>
      <c r="AU47" s="4">
        <f>findLinError($R47,data0!AD33,AU$4,AU$5,AU$6,AU$7)</f>
        <v>4.7481656074523926E-3</v>
      </c>
      <c r="AV47" s="4">
        <f>findLinError($R47,data0!AE33,AV$4,AV$5,AV$6,AV$7)</f>
        <v>1.8055647611618042E-2</v>
      </c>
      <c r="AW47" s="4">
        <f>findLinError($R47,data0!AF33,AW$4,AW$5,AW$6,AW$7)</f>
        <v>7.790297269821167E-3</v>
      </c>
      <c r="AX47" s="4">
        <f>findLinError($R47,data0!AG33,AX$4,AX$5,AX$6,AX$7)</f>
        <v>1.1543452739715576E-2</v>
      </c>
    </row>
    <row r="48" spans="2:50">
      <c r="P48" s="9">
        <f t="shared" si="47"/>
        <v>32</v>
      </c>
      <c r="Q48" s="9">
        <f>data4!L34</f>
        <v>2.610584760986967E-5</v>
      </c>
      <c r="R48" s="34">
        <f t="shared" si="46"/>
        <v>33.238997525715995</v>
      </c>
      <c r="S48" s="4">
        <f>findLinError($R48,data0!B34,S$4,S$5,S$6,S$7)</f>
        <v>2.9425621032714844E-3</v>
      </c>
      <c r="T48" s="4"/>
      <c r="U48" s="4">
        <f>findLinError($R48,data0!D34,U$4,U$5,U$6,U$7)</f>
        <v>1.2202203273773193E-2</v>
      </c>
      <c r="V48" s="4"/>
      <c r="W48" s="4">
        <f>findLinError($R48,data0!F34,W$4,W$5,W$6,W$7)</f>
        <v>7.7149271965026855E-4</v>
      </c>
      <c r="X48" s="4"/>
      <c r="Y48" s="4"/>
      <c r="Z48" s="4">
        <f>findLinError($R48,data0!I34,Z$4,Z$5,Z$6,Z$7)</f>
        <v>5.5220723152160645E-4</v>
      </c>
      <c r="AA48" s="4">
        <f>findLinError($R48,data0!J34,AA$4,AA$5,AA$6,AA$7)</f>
        <v>6.0740113258361816E-3</v>
      </c>
      <c r="AB48" s="4">
        <f>findLinError($R48,data0!K34,AB$4,AB$5,AB$6,AB$7)</f>
        <v>-4.0212273597717285E-4</v>
      </c>
      <c r="AC48" s="4">
        <f>findLinError($R48,data0!L34,AC$4,AC$5,AC$6,AC$7)</f>
        <v>-3.6428272724151611E-3</v>
      </c>
      <c r="AD48" s="4">
        <f>findLinError($R48,data0!M34,AD$4,AD$5,AD$6,AD$7)</f>
        <v>1.4123916625976563E-2</v>
      </c>
      <c r="AE48" s="4">
        <f>findLinError($R48,data0!N34,AE$4,AE$5,AE$6,AE$7)</f>
        <v>-4.5986473560333252E-3</v>
      </c>
      <c r="AF48" s="4">
        <f>findLinError($R48,data0!O34,AF$4,AF$5,AF$6,AF$7)</f>
        <v>2.2220015525817871E-3</v>
      </c>
      <c r="AG48" s="4">
        <f>findLinError($R48,data0!P34,AG$4,AG$5,AG$6,AG$7)</f>
        <v>2.948075532913208E-3</v>
      </c>
      <c r="AH48" s="4">
        <f>findLinError($R48,data0!Q34,AH$4,AH$5,AH$6,AH$7)</f>
        <v>1.3284206390380859E-2</v>
      </c>
      <c r="AI48" s="4">
        <f>findLinError($R48,data0!R34,AI$4,AI$5,AI$6,AI$7)</f>
        <v>4.2241513729095459E-3</v>
      </c>
      <c r="AJ48" s="4">
        <f>findLinError($R48,data0!S34,AJ$4,AJ$5,AJ$6,AJ$7)</f>
        <v>1.3925611972808838E-2</v>
      </c>
      <c r="AK48" s="4">
        <f>findLinError($R48,data0!T34,AK$4,AK$5,AK$6,AK$7)</f>
        <v>7.3368251323699951E-3</v>
      </c>
      <c r="AL48" s="4">
        <f>findLinError($R48,data0!U34,AL$4,AL$5,AL$6,AL$7)</f>
        <v>1.4990329742431641E-2</v>
      </c>
      <c r="AM48" s="4">
        <f>findLinError($R48,data0!V34,AM$4,AM$5,AM$6,AM$7)</f>
        <v>1.4919459819793701E-2</v>
      </c>
      <c r="AN48" s="4">
        <f>findLinError($R48,data0!W34,AN$4,AN$5,AN$6,AN$7)</f>
        <v>6.3041448593139648E-3</v>
      </c>
      <c r="AO48" s="4">
        <f>findLinError($R48,data0!X34,AO$4,AO$5,AO$6,AO$7)</f>
        <v>1.4611661434173584E-2</v>
      </c>
      <c r="AP48" s="4">
        <f>findLinError($R48,data0!Y34,AP$4,AP$5,AP$6,AP$7)</f>
        <v>4.2894482612609863E-3</v>
      </c>
      <c r="AQ48" s="4">
        <f>findLinError($R48,data0!Z34,AQ$4,AQ$5,AQ$6,AQ$7)</f>
        <v>2.0550042390823364E-2</v>
      </c>
      <c r="AR48" s="4">
        <f>findLinError($R48,data0!AA34,AR$4,AR$5,AR$6,AR$7)</f>
        <v>2.0550042390823364E-2</v>
      </c>
      <c r="AS48" s="4">
        <f>findLinError($R48,data0!AB34,AS$4,AS$5,AS$6,AS$7)</f>
        <v>1.1885523796081543E-2</v>
      </c>
      <c r="AT48" s="4">
        <f>findLinError($R48,data0!AC34,AT$4,AT$5,AT$6,AT$7)</f>
        <v>1.376768946647644E-2</v>
      </c>
      <c r="AU48" s="4">
        <f>findLinError($R48,data0!AD34,AU$4,AU$5,AU$6,AU$7)</f>
        <v>6.217658519744873E-4</v>
      </c>
      <c r="AV48" s="4">
        <f>findLinError($R48,data0!AE34,AV$4,AV$5,AV$6,AV$7)</f>
        <v>1.4770358800888062E-2</v>
      </c>
      <c r="AW48" s="4">
        <f>findLinError($R48,data0!AF34,AW$4,AW$5,AW$6,AW$7)</f>
        <v>1.2202203273773193E-2</v>
      </c>
      <c r="AX48" s="4">
        <f>findLinError($R48,data0!AG34,AX$4,AX$5,AX$6,AX$7)</f>
        <v>1.3204991817474365E-2</v>
      </c>
    </row>
    <row r="49" spans="2:50">
      <c r="P49" s="9">
        <f t="shared" si="47"/>
        <v>33</v>
      </c>
      <c r="Q49" s="9">
        <f>data4!L35</f>
        <v>2.7474434091345756E-5</v>
      </c>
      <c r="R49" s="34">
        <f t="shared" si="46"/>
        <v>34.981535954321302</v>
      </c>
      <c r="S49" s="4">
        <f>findLinError($R49,data0!B35,S$4,S$5,S$6,S$7)</f>
        <v>6.5299272537231445E-3</v>
      </c>
      <c r="T49" s="4"/>
      <c r="U49" s="4">
        <f>findLinError($R49,data0!D35,U$4,U$5,U$6,U$7)</f>
        <v>1.5805363655090332E-2</v>
      </c>
      <c r="V49" s="4"/>
      <c r="W49" s="4">
        <f>findLinError($R49,data0!F35,W$4,W$5,W$6,W$7)</f>
        <v>-1.0129809379577637E-4</v>
      </c>
      <c r="X49" s="4"/>
      <c r="Y49" s="4"/>
      <c r="Z49" s="4">
        <f>findLinError($R49,data0!I35,Z$4,Z$5,Z$6,Z$7)</f>
        <v>3.9298832416534424E-3</v>
      </c>
      <c r="AA49" s="4">
        <f>findLinError($R49,data0!J35,AA$4,AA$5,AA$6,AA$7)</f>
        <v>1.5268325805664063E-3</v>
      </c>
      <c r="AB49" s="4">
        <f>findLinError($R49,data0!K35,AB$4,AB$5,AB$6,AB$7)</f>
        <v>-5.1037371158599854E-3</v>
      </c>
      <c r="AC49" s="4">
        <f>findLinError($R49,data0!L35,AC$4,AC$5,AC$6,AC$7)</f>
        <v>-1.6424715518951416E-2</v>
      </c>
      <c r="AD49" s="4">
        <f>findLinError($R49,data0!M35,AD$4,AD$5,AD$6,AD$7)</f>
        <v>1.7908304929733276E-2</v>
      </c>
      <c r="AE49" s="4">
        <f>findLinError($R49,data0!N35,AE$4,AE$5,AE$6,AE$7)</f>
        <v>-2.478182315826416E-3</v>
      </c>
      <c r="AF49" s="4">
        <f>findLinError($R49,data0!O35,AF$4,AF$5,AF$6,AF$7)</f>
        <v>2.2145211696624756E-3</v>
      </c>
      <c r="AG49" s="4">
        <f>findLinError($R49,data0!P35,AG$4,AG$5,AG$6,AG$7)</f>
        <v>1.8492937088012695E-3</v>
      </c>
      <c r="AH49" s="4">
        <f>findLinError($R49,data0!Q35,AH$4,AH$5,AH$6,AH$7)</f>
        <v>1.2146204710006714E-2</v>
      </c>
      <c r="AI49" s="4">
        <f>findLinError($R49,data0!R35,AI$4,AI$5,AI$6,AI$7)</f>
        <v>6.425708532333374E-3</v>
      </c>
      <c r="AJ49" s="4">
        <f>findLinError($R49,data0!S35,AJ$4,AJ$5,AJ$6,AJ$7)</f>
        <v>9.2979073524475098E-3</v>
      </c>
      <c r="AK49" s="4">
        <f>findLinError($R49,data0!T35,AK$4,AK$5,AK$6,AK$7)</f>
        <v>2.8659701347351074E-3</v>
      </c>
      <c r="AL49" s="4">
        <f>findLinError($R49,data0!U35,AL$4,AL$5,AL$6,AL$7)</f>
        <v>1.4666646718978882E-2</v>
      </c>
      <c r="AM49" s="4">
        <f>findLinError($R49,data0!V35,AM$4,AM$5,AM$6,AM$7)</f>
        <v>1.7289936542510986E-2</v>
      </c>
      <c r="AN49" s="4">
        <f>findLinError($R49,data0!W35,AN$4,AN$5,AN$6,AN$7)</f>
        <v>1.2502968311309814E-3</v>
      </c>
      <c r="AO49" s="4">
        <f>findLinError($R49,data0!X35,AO$4,AO$5,AO$6,AO$7)</f>
        <v>1.7475485801696777E-2</v>
      </c>
      <c r="AP49" s="4">
        <f>findLinError($R49,data0!Y35,AP$4,AP$5,AP$6,AP$7)</f>
        <v>5.5657923221588135E-3</v>
      </c>
      <c r="AQ49" s="4">
        <f>findLinError($R49,data0!Z35,AQ$4,AQ$5,AQ$6,AQ$7)</f>
        <v>2.3149609565734863E-2</v>
      </c>
      <c r="AR49" s="4">
        <f>findLinError($R49,data0!AA35,AR$4,AR$5,AR$6,AR$7)</f>
        <v>2.3149609565734863E-2</v>
      </c>
      <c r="AS49" s="4">
        <f>findLinError($R49,data0!AB35,AS$4,AS$5,AS$6,AS$7)</f>
        <v>7.6946616172790527E-3</v>
      </c>
      <c r="AT49" s="4">
        <f>findLinError($R49,data0!AC35,AT$4,AT$5,AT$6,AT$7)</f>
        <v>9.8999440670013428E-3</v>
      </c>
      <c r="AU49" s="4">
        <f>findLinError($R49,data0!AD35,AU$4,AU$5,AU$6,AU$7)</f>
        <v>-4.3428242206573486E-3</v>
      </c>
      <c r="AV49" s="4">
        <f>findLinError($R49,data0!AE35,AV$4,AV$5,AV$6,AV$7)</f>
        <v>1.8525660037994385E-2</v>
      </c>
      <c r="AW49" s="4">
        <f>findLinError($R49,data0!AF35,AW$4,AW$5,AW$6,AW$7)</f>
        <v>7.9622268676757813E-3</v>
      </c>
      <c r="AX49" s="4">
        <f>findLinError($R49,data0!AG35,AX$4,AX$5,AX$6,AX$7)</f>
        <v>1.4107346534729004E-2</v>
      </c>
    </row>
    <row r="50" spans="2:50">
      <c r="B50" s="2"/>
      <c r="C50" s="9"/>
      <c r="P50" s="9">
        <f t="shared" si="47"/>
        <v>34</v>
      </c>
      <c r="Q50" s="9">
        <f>data4!L36</f>
        <v>2.8893846092614694E-5</v>
      </c>
      <c r="R50" s="34">
        <f t="shared" si="46"/>
        <v>36.788787444608595</v>
      </c>
      <c r="S50" s="4">
        <f>findLinError($R50,data0!B36,S$4,S$5,S$6,S$7)</f>
        <v>9.3767046928405762E-3</v>
      </c>
      <c r="T50" s="4"/>
      <c r="U50" s="4">
        <f>findLinError($R50,data0!D36,U$4,U$5,U$6,U$7)</f>
        <v>1.0825395584106445E-2</v>
      </c>
      <c r="V50" s="4"/>
      <c r="W50" s="4">
        <f>findLinError($R50,data0!F36,W$4,W$5,W$6,W$7)</f>
        <v>-5.6562423706054688E-3</v>
      </c>
      <c r="X50" s="4"/>
      <c r="Y50" s="4"/>
      <c r="Z50" s="4">
        <f>findLinError($R50,data0!I36,Z$4,Z$5,Z$6,Z$7)</f>
        <v>-1.2839436531066895E-3</v>
      </c>
      <c r="AA50" s="4">
        <f>findLinError($R50,data0!J36,AA$4,AA$5,AA$6,AA$7)</f>
        <v>4.0713846683502197E-3</v>
      </c>
      <c r="AB50" s="4">
        <f>findLinError($R50,data0!K36,AB$4,AB$5,AB$6,AB$7)</f>
        <v>-2.7193427085876465E-3</v>
      </c>
      <c r="AC50" s="4">
        <f>findLinError($R50,data0!L36,AC$4,AC$5,AC$6,AC$7)</f>
        <v>-6.4431428909301758E-3</v>
      </c>
      <c r="AD50" s="4">
        <f>findLinError($R50,data0!M36,AD$4,AD$5,AD$6,AD$7)</f>
        <v>1.7037868499755859E-2</v>
      </c>
      <c r="AE50" s="4">
        <f>findLinError($R50,data0!N36,AE$4,AE$5,AE$6,AE$7)</f>
        <v>-5.0743818283081055E-3</v>
      </c>
      <c r="AF50" s="4">
        <f>findLinError($R50,data0!O36,AF$4,AF$5,AF$6,AF$7)</f>
        <v>5.4001510143280029E-3</v>
      </c>
      <c r="AG50" s="4">
        <f>findLinError($R50,data0!P36,AG$4,AG$5,AG$6,AG$7)</f>
        <v>-1.8477439880371094E-5</v>
      </c>
      <c r="AH50" s="4">
        <f>findLinError($R50,data0!Q36,AH$4,AH$5,AH$6,AH$7)</f>
        <v>1.0237783193588257E-2</v>
      </c>
      <c r="AI50" s="4">
        <f>findLinError($R50,data0!R36,AI$4,AI$5,AI$6,AI$7)</f>
        <v>7.8351795673370361E-3</v>
      </c>
      <c r="AJ50" s="4">
        <f>findLinError($R50,data0!S36,AJ$4,AJ$5,AJ$6,AJ$7)</f>
        <v>1.1758983135223389E-2</v>
      </c>
      <c r="AK50" s="4">
        <f>findLinError($R50,data0!T36,AK$4,AK$5,AK$6,AK$7)</f>
        <v>1.3332843780517578E-2</v>
      </c>
      <c r="AL50" s="4">
        <f>findLinError($R50,data0!U36,AL$4,AL$5,AL$6,AL$7)</f>
        <v>1.7524361610412598E-2</v>
      </c>
      <c r="AM50" s="4">
        <f>findLinError($R50,data0!V36,AM$4,AM$5,AM$6,AM$7)</f>
        <v>1.4953076839447021E-2</v>
      </c>
      <c r="AN50" s="4">
        <f>findLinError($R50,data0!W36,AN$4,AN$5,AN$6,AN$7)</f>
        <v>3.2693445682525635E-3</v>
      </c>
      <c r="AO50" s="4">
        <f>findLinError($R50,data0!X36,AO$4,AO$5,AO$6,AO$7)</f>
        <v>1.9571840763092041E-2</v>
      </c>
      <c r="AP50" s="4">
        <f>findLinError($R50,data0!Y36,AP$4,AP$5,AP$6,AP$7)</f>
        <v>-1.8274486064910889E-3</v>
      </c>
      <c r="AQ50" s="4">
        <f>findLinError($R50,data0!Z36,AQ$4,AQ$5,AQ$6,AQ$7)</f>
        <v>2.1050333976745605E-2</v>
      </c>
      <c r="AR50" s="4">
        <f>findLinError($R50,data0!AA36,AR$4,AR$5,AR$6,AR$7)</f>
        <v>2.1050333976745605E-2</v>
      </c>
      <c r="AS50" s="4">
        <f>findLinError($R50,data0!AB36,AS$4,AS$5,AS$6,AS$7)</f>
        <v>1.0608762502670288E-2</v>
      </c>
      <c r="AT50" s="4">
        <f>findLinError($R50,data0!AC36,AT$4,AT$5,AT$6,AT$7)</f>
        <v>1.384437084197998E-3</v>
      </c>
      <c r="AU50" s="4">
        <f>findLinError($R50,data0!AD36,AU$4,AU$5,AU$6,AU$7)</f>
        <v>-2.2311508655548096E-3</v>
      </c>
      <c r="AV50" s="4">
        <f>findLinError($R50,data0!AE36,AV$4,AV$5,AV$6,AV$7)</f>
        <v>1.3703435659408569E-2</v>
      </c>
      <c r="AW50" s="4">
        <f>findLinError($R50,data0!AF36,AW$4,AW$5,AW$6,AW$7)</f>
        <v>1.0825395584106445E-2</v>
      </c>
      <c r="AX50" s="4">
        <f>findLinError($R50,data0!AG36,AX$4,AX$5,AX$6,AX$7)</f>
        <v>1.0393470525741577E-2</v>
      </c>
    </row>
    <row r="51" spans="2:50">
      <c r="B51" s="2"/>
      <c r="C51" s="9"/>
      <c r="P51" s="9">
        <f t="shared" si="47"/>
        <v>35</v>
      </c>
      <c r="Q51" s="9">
        <f>data4!L37</f>
        <v>3.0354493674167315E-5</v>
      </c>
      <c r="R51" s="34">
        <f t="shared" si="46"/>
        <v>38.648541706363169</v>
      </c>
      <c r="S51" s="4">
        <f>findLinError($R51,data0!B37,S$4,S$5,S$6,S$7)</f>
        <v>7.7010691165924072E-3</v>
      </c>
      <c r="T51" s="4"/>
      <c r="U51" s="4">
        <f>findLinError($R51,data0!D37,U$4,U$5,U$6,U$7)</f>
        <v>1.3088196516036987E-2</v>
      </c>
      <c r="V51" s="4"/>
      <c r="W51" s="4">
        <f>findLinError($R51,data0!F37,W$4,W$5,W$6,W$7)</f>
        <v>-3.9851367473602295E-3</v>
      </c>
      <c r="X51" s="4"/>
      <c r="Y51" s="4"/>
      <c r="Z51" s="4">
        <f>findLinError($R51,data0!I37,Z$4,Z$5,Z$6,Z$7)</f>
        <v>7.3823332786560059E-4</v>
      </c>
      <c r="AA51" s="4">
        <f>findLinError($R51,data0!J37,AA$4,AA$5,AA$6,AA$7)</f>
        <v>2.0847320556640625E-3</v>
      </c>
      <c r="AB51" s="4">
        <f>findLinError($R51,data0!K37,AB$4,AB$5,AB$6,AB$7)</f>
        <v>2.972334623336792E-3</v>
      </c>
      <c r="AC51" s="4">
        <f>findLinError($R51,data0!L37,AC$4,AC$5,AC$6,AC$7)</f>
        <v>-1.276928186416626E-2</v>
      </c>
      <c r="AD51" s="4">
        <f>findLinError($R51,data0!M37,AD$4,AD$5,AD$6,AD$7)</f>
        <v>1.5572547912597656E-2</v>
      </c>
      <c r="AE51" s="4">
        <f>findLinError($R51,data0!N37,AE$4,AE$5,AE$6,AE$7)</f>
        <v>-8.3155930042266846E-3</v>
      </c>
      <c r="AF51" s="4">
        <f>findLinError($R51,data0!O37,AF$4,AF$5,AF$6,AF$7)</f>
        <v>-7.691502571105957E-3</v>
      </c>
      <c r="AG51" s="4">
        <f>findLinError($R51,data0!P37,AG$4,AG$5,AG$6,AG$7)</f>
        <v>5.3330063819885254E-3</v>
      </c>
      <c r="AH51" s="4">
        <f>findLinError($R51,data0!Q37,AH$4,AH$5,AH$6,AH$7)</f>
        <v>1.1625856161117554E-2</v>
      </c>
      <c r="AI51" s="4">
        <f>findLinError($R51,data0!R37,AI$4,AI$5,AI$6,AI$7)</f>
        <v>8.6020827293395996E-3</v>
      </c>
      <c r="AJ51" s="4">
        <f>findLinError($R51,data0!S37,AJ$4,AJ$5,AJ$6,AJ$7)</f>
        <v>1.3607978820800781E-2</v>
      </c>
      <c r="AK51" s="4">
        <f>findLinError($R51,data0!T37,AK$4,AK$5,AK$6,AK$7)</f>
        <v>7.5061023235321045E-3</v>
      </c>
      <c r="AL51" s="4">
        <f>findLinError($R51,data0!U37,AL$4,AL$5,AL$6,AL$7)</f>
        <v>1.585996150970459E-2</v>
      </c>
      <c r="AM51" s="4">
        <f>findLinError($R51,data0!V37,AM$4,AM$5,AM$6,AM$7)</f>
        <v>1.1978685855865479E-2</v>
      </c>
      <c r="AN51" s="4">
        <f>findLinError($R51,data0!W37,AN$4,AN$5,AN$6,AN$7)</f>
        <v>4.6635270118713379E-3</v>
      </c>
      <c r="AO51" s="4">
        <f>findLinError($R51,data0!X37,AO$4,AO$5,AO$6,AO$7)</f>
        <v>1.3202428817749023E-2</v>
      </c>
      <c r="AP51" s="4">
        <f>findLinError($R51,data0!Y37,AP$4,AP$5,AP$6,AP$7)</f>
        <v>-2.0480155944824219E-3</v>
      </c>
      <c r="AQ51" s="4">
        <f>findLinError($R51,data0!Z37,AQ$4,AQ$5,AQ$6,AQ$7)</f>
        <v>1.8320441246032715E-2</v>
      </c>
      <c r="AR51" s="4">
        <f>findLinError($R51,data0!AA37,AR$4,AR$5,AR$6,AR$7)</f>
        <v>1.8320441246032715E-2</v>
      </c>
      <c r="AS51" s="4">
        <f>findLinError($R51,data0!AB37,AS$4,AS$5,AS$6,AS$7)</f>
        <v>9.0024173259735107E-3</v>
      </c>
      <c r="AT51" s="4">
        <f>findLinError($R51,data0!AC37,AT$4,AT$5,AT$6,AT$7)</f>
        <v>7.9660713672637939E-3</v>
      </c>
      <c r="AU51" s="4">
        <f>findLinError($R51,data0!AD37,AU$4,AU$5,AU$6,AU$7)</f>
        <v>-7.4169039726257324E-4</v>
      </c>
      <c r="AV51" s="4">
        <f>findLinError($R51,data0!AE37,AV$4,AV$5,AV$6,AV$7)</f>
        <v>1.6128569841384888E-2</v>
      </c>
      <c r="AW51" s="4">
        <f>findLinError($R51,data0!AF37,AW$4,AW$5,AW$6,AW$7)</f>
        <v>1.3088196516036987E-2</v>
      </c>
      <c r="AX51" s="4">
        <f>findLinError($R51,data0!AG37,AX$4,AX$5,AX$6,AX$7)</f>
        <v>1.3959139585494995E-2</v>
      </c>
    </row>
    <row r="52" spans="2:50">
      <c r="B52" s="2"/>
      <c r="C52" s="9"/>
      <c r="P52" s="9">
        <f t="shared" si="47"/>
        <v>36</v>
      </c>
      <c r="Q52" s="9">
        <f>data4!L38</f>
        <v>3.1804155241843546E-5</v>
      </c>
      <c r="R52" s="34">
        <f t="shared" si="46"/>
        <v>40.49430814081132</v>
      </c>
      <c r="S52" s="4">
        <f>findLinError($R52,data0!B38,S$4,S$5,S$6,S$7)</f>
        <v>6.1854720115661621E-3</v>
      </c>
      <c r="T52" s="4"/>
      <c r="U52" s="4">
        <f>findLinError($R52,data0!D38,U$4,U$5,U$6,U$7)</f>
        <v>7.6677501201629639E-3</v>
      </c>
      <c r="V52" s="4"/>
      <c r="W52" s="4">
        <f>findLinError($R52,data0!F38,W$4,W$5,W$6,W$7)</f>
        <v>-6.0712099075317383E-3</v>
      </c>
      <c r="X52" s="4"/>
      <c r="Y52" s="4"/>
      <c r="Z52" s="4">
        <f>findLinError($R52,data0!I38,Z$4,Z$5,Z$6,Z$7)</f>
        <v>2.9220879077911377E-3</v>
      </c>
      <c r="AA52" s="4">
        <f>findLinError($R52,data0!J38,AA$4,AA$5,AA$6,AA$7)</f>
        <v>2.6047229766845703E-4</v>
      </c>
      <c r="AB52" s="4">
        <f>findLinError($R52,data0!K38,AB$4,AB$5,AB$6,AB$7)</f>
        <v>-2.9370784759521484E-3</v>
      </c>
      <c r="AC52" s="4">
        <f>findLinError($R52,data0!L38,AC$4,AC$5,AC$6,AC$7)</f>
        <v>-1.5008330345153809E-2</v>
      </c>
      <c r="AD52" s="4">
        <f>findLinError($R52,data0!M38,AD$4,AD$5,AD$6,AD$7)</f>
        <v>1.8187224864959717E-2</v>
      </c>
      <c r="AE52" s="4">
        <f>findLinError($R52,data0!N38,AE$4,AE$5,AE$6,AE$7)</f>
        <v>-7.4634253978729248E-3</v>
      </c>
      <c r="AF52" s="4">
        <f>findLinError($R52,data0!O38,AF$4,AF$5,AF$6,AF$7)</f>
        <v>-1.0178685188293457E-3</v>
      </c>
      <c r="AG52" s="4">
        <f>findLinError($R52,data0!P38,AG$4,AG$5,AG$6,AG$7)</f>
        <v>-9.1403722763061523E-4</v>
      </c>
      <c r="AH52" s="4">
        <f>findLinError($R52,data0!Q38,AH$4,AH$5,AH$6,AH$7)</f>
        <v>9.2588663101196289E-3</v>
      </c>
      <c r="AI52" s="4">
        <f>findLinError($R52,data0!R38,AI$4,AI$5,AI$6,AI$7)</f>
        <v>9.5401406288146973E-3</v>
      </c>
      <c r="AJ52" s="4">
        <f>findLinError($R52,data0!S38,AJ$4,AJ$5,AJ$6,AJ$7)</f>
        <v>1.5619993209838867E-2</v>
      </c>
      <c r="AK52" s="4">
        <f>findLinError($R52,data0!T38,AK$4,AK$5,AK$6,AK$7)</f>
        <v>1.841127872467041E-3</v>
      </c>
      <c r="AL52" s="4">
        <f>findLinError($R52,data0!U38,AL$4,AL$5,AL$6,AL$7)</f>
        <v>1.4355510473251343E-2</v>
      </c>
      <c r="AM52" s="4">
        <f>findLinError($R52,data0!V38,AM$4,AM$5,AM$6,AM$7)</f>
        <v>1.3095676898956299E-2</v>
      </c>
      <c r="AN52" s="4">
        <f>findLinError($R52,data0!W38,AN$4,AN$5,AN$6,AN$7)</f>
        <v>2.3025572299957275E-3</v>
      </c>
      <c r="AO52" s="4">
        <f>findLinError($R52,data0!X38,AO$4,AO$5,AO$6,AO$7)</f>
        <v>1.4842003583908081E-2</v>
      </c>
      <c r="AP52" s="4">
        <f>findLinError($R52,data0!Y38,AP$4,AP$5,AP$6,AP$7)</f>
        <v>-2.0899772644042969E-3</v>
      </c>
      <c r="AQ52" s="4">
        <f>findLinError($R52,data0!Z38,AQ$4,AQ$5,AQ$6,AQ$7)</f>
        <v>1.9680112600326538E-2</v>
      </c>
      <c r="AR52" s="4">
        <f>findLinError($R52,data0!AA38,AR$4,AR$5,AR$6,AR$7)</f>
        <v>1.9680112600326538E-2</v>
      </c>
      <c r="AS52" s="4">
        <f>findLinError($R52,data0!AB38,AS$4,AS$5,AS$6,AS$7)</f>
        <v>7.5555741786956787E-3</v>
      </c>
      <c r="AT52" s="4">
        <f>findLinError($R52,data0!AC38,AT$4,AT$5,AT$6,AT$7)</f>
        <v>6.8615078926086426E-3</v>
      </c>
      <c r="AU52" s="4">
        <f>findLinError($R52,data0!AD38,AU$4,AU$5,AU$6,AU$7)</f>
        <v>-3.0080676078796387E-3</v>
      </c>
      <c r="AV52" s="4">
        <f>findLinError($R52,data0!AE38,AV$4,AV$5,AV$6,AV$7)</f>
        <v>1.8712401390075684E-2</v>
      </c>
      <c r="AW52" s="4">
        <f>findLinError($R52,data0!AF38,AW$4,AW$5,AW$6,AW$7)</f>
        <v>7.6677501201629639E-3</v>
      </c>
      <c r="AX52" s="4">
        <f>findLinError($R52,data0!AG38,AX$4,AX$5,AX$6,AX$7)</f>
        <v>9.8317861557006836E-3</v>
      </c>
    </row>
    <row r="53" spans="2:50">
      <c r="B53" s="9"/>
      <c r="P53" s="9">
        <f t="shared" si="47"/>
        <v>37</v>
      </c>
      <c r="Q53" s="9">
        <f>data4!L39</f>
        <v>3.3302699648629641E-5</v>
      </c>
      <c r="R53" s="34">
        <f t="shared" si="46"/>
        <v>42.40231413907307</v>
      </c>
      <c r="S53" s="4">
        <f>findLinError($R53,data0!B39,S$4,S$5,S$6,S$7)</f>
        <v>3.6060810089111328E-5</v>
      </c>
      <c r="T53" s="4"/>
      <c r="U53" s="4">
        <f>findLinError($R53,data0!D39,U$4,U$5,U$6,U$7)</f>
        <v>9.3787908554077148E-3</v>
      </c>
      <c r="V53" s="4"/>
      <c r="W53" s="4">
        <f>findLinError($R53,data0!F39,W$4,W$5,W$6,W$7)</f>
        <v>-1.2810379266738892E-2</v>
      </c>
      <c r="X53" s="4"/>
      <c r="Y53" s="4"/>
      <c r="Z53" s="4">
        <f>findLinError($R53,data0!I39,Z$4,Z$5,Z$6,Z$7)</f>
        <v>-3.4568905830383301E-3</v>
      </c>
      <c r="AA53" s="4">
        <f>findLinError($R53,data0!J39,AA$4,AA$5,AA$6,AA$7)</f>
        <v>1.635134220123291E-3</v>
      </c>
      <c r="AB53" s="4">
        <f>findLinError($R53,data0!K39,AB$4,AB$5,AB$6,AB$7)</f>
        <v>-9.5746517181396484E-3</v>
      </c>
      <c r="AC53" s="4">
        <f>findLinError($R53,data0!L39,AC$4,AC$5,AC$6,AC$7)</f>
        <v>-1.4062434434890747E-2</v>
      </c>
      <c r="AD53" s="4">
        <f>findLinError($R53,data0!M39,AD$4,AD$5,AD$6,AD$7)</f>
        <v>2.0096719264984131E-2</v>
      </c>
      <c r="AE53" s="4">
        <f>findLinError($R53,data0!N39,AE$4,AE$5,AE$6,AE$7)</f>
        <v>-7.375866174697876E-3</v>
      </c>
      <c r="AF53" s="4">
        <f>findLinError($R53,data0!O39,AF$4,AF$5,AF$6,AF$7)</f>
        <v>4.9551725387573242E-3</v>
      </c>
      <c r="AG53" s="4">
        <f>findLinError($R53,data0!P39,AG$4,AG$5,AG$6,AG$7)</f>
        <v>-5.7518482208251953E-5</v>
      </c>
      <c r="AH53" s="4">
        <f>findLinError($R53,data0!Q39,AH$4,AH$5,AH$6,AH$7)</f>
        <v>1.0072469711303711E-2</v>
      </c>
      <c r="AI53" s="4">
        <f>findLinError($R53,data0!R39,AI$4,AI$5,AI$6,AI$7)</f>
        <v>9.7164809703826904E-3</v>
      </c>
      <c r="AJ53" s="4">
        <f>findLinError($R53,data0!S39,AJ$4,AJ$5,AJ$6,AJ$7)</f>
        <v>9.0633630752563477E-3</v>
      </c>
      <c r="AK53" s="4">
        <f>findLinError($R53,data0!T39,AK$4,AK$5,AK$6,AK$7)</f>
        <v>3.2993853092193604E-3</v>
      </c>
      <c r="AL53" s="4">
        <f>findLinError($R53,data0!U39,AL$4,AL$5,AL$6,AL$7)</f>
        <v>1.6060769557952881E-2</v>
      </c>
      <c r="AM53" s="4">
        <f>findLinError($R53,data0!V39,AM$4,AM$5,AM$6,AM$7)</f>
        <v>1.3457000255584717E-2</v>
      </c>
      <c r="AN53" s="4">
        <f>findLinError($R53,data0!W39,AN$4,AN$5,AN$6,AN$7)</f>
        <v>3.1224191188812256E-3</v>
      </c>
      <c r="AO53" s="4">
        <f>findLinError($R53,data0!X39,AO$4,AO$5,AO$6,AO$7)</f>
        <v>1.1821925640106201E-2</v>
      </c>
      <c r="AP53" s="4">
        <f>findLinError($R53,data0!Y39,AP$4,AP$5,AP$6,AP$7)</f>
        <v>-2.9267072677612305E-3</v>
      </c>
      <c r="AQ53" s="4">
        <f>findLinError($R53,data0!Z39,AQ$4,AQ$5,AQ$6,AQ$7)</f>
        <v>2.4213820695877075E-2</v>
      </c>
      <c r="AR53" s="4">
        <f>findLinError($R53,data0!AA39,AR$4,AR$5,AR$6,AR$7)</f>
        <v>2.4213820695877075E-2</v>
      </c>
      <c r="AS53" s="4">
        <f>findLinError($R53,data0!AB39,AS$4,AS$5,AS$6,AS$7)</f>
        <v>9.320378303527832E-3</v>
      </c>
      <c r="AT53" s="4">
        <f>findLinError($R53,data0!AC39,AT$4,AT$5,AT$6,AT$7)</f>
        <v>1.1369585990905762E-3</v>
      </c>
      <c r="AU53" s="4">
        <f>findLinError($R53,data0!AD39,AU$4,AU$5,AU$6,AU$7)</f>
        <v>-6.0120224952697754E-3</v>
      </c>
      <c r="AV53" s="4">
        <f>findLinError($R53,data0!AE39,AV$4,AV$5,AV$6,AV$7)</f>
        <v>2.0589977502822876E-2</v>
      </c>
      <c r="AW53" s="4">
        <f>findLinError($R53,data0!AF39,AW$4,AW$5,AW$6,AW$7)</f>
        <v>9.3787908554077148E-3</v>
      </c>
      <c r="AX53" s="4">
        <f>findLinError($R53,data0!AG39,AX$4,AX$5,AX$6,AX$7)</f>
        <v>1.2879490852355957E-2</v>
      </c>
    </row>
    <row r="54" spans="2:50">
      <c r="B54" s="9"/>
      <c r="P54" s="9">
        <f t="shared" si="47"/>
        <v>38</v>
      </c>
      <c r="Q54" s="9">
        <f>data4!L40</f>
        <v>3.4833013160096016E-5</v>
      </c>
      <c r="R54" s="34">
        <f t="shared" si="46"/>
        <v>44.350769817714585</v>
      </c>
      <c r="S54" s="4">
        <f>findLinError($R54,data0!B40,S$4,S$5,S$6,S$7)</f>
        <v>1.2668371200561523E-3</v>
      </c>
      <c r="T54" s="4"/>
      <c r="U54" s="4">
        <f>findLinError($R54,data0!D40,U$4,U$5,U$6,U$7)</f>
        <v>1.0627239942550659E-2</v>
      </c>
      <c r="V54" s="4"/>
      <c r="W54" s="4">
        <f>findLinError($R54,data0!F40,W$4,W$5,W$6,W$7)</f>
        <v>-4.3386220932006836E-3</v>
      </c>
      <c r="X54" s="4"/>
      <c r="Y54" s="4"/>
      <c r="Z54" s="4">
        <f>findLinError($R54,data0!I40,Z$4,Z$5,Z$6,Z$7)</f>
        <v>-2.4605691432952881E-3</v>
      </c>
      <c r="AA54" s="4">
        <f>findLinError($R54,data0!J40,AA$4,AA$5,AA$6,AA$7)</f>
        <v>2.5400817394256592E-3</v>
      </c>
      <c r="AB54" s="4">
        <f>findLinError($R54,data0!K40,AB$4,AB$5,AB$6,AB$7)</f>
        <v>-8.8423788547515869E-3</v>
      </c>
      <c r="AC54" s="4">
        <f>findLinError($R54,data0!L40,AC$4,AC$5,AC$6,AC$7)</f>
        <v>-9.6737146377563477E-3</v>
      </c>
      <c r="AD54" s="4">
        <f>findLinError($R54,data0!M40,AD$4,AD$5,AD$6,AD$7)</f>
        <v>1.3704687356948853E-2</v>
      </c>
      <c r="AE54" s="4">
        <f>findLinError($R54,data0!N40,AE$4,AE$5,AE$6,AE$7)</f>
        <v>-7.7853202819824219E-3</v>
      </c>
      <c r="AF54" s="4">
        <f>findLinError($R54,data0!O40,AF$4,AF$5,AF$6,AF$7)</f>
        <v>-1.2918412685394287E-3</v>
      </c>
      <c r="AG54" s="4">
        <f>findLinError($R54,data0!P40,AG$4,AG$5,AG$6,AG$7)</f>
        <v>3.1840801239013672E-4</v>
      </c>
      <c r="AH54" s="4">
        <f>findLinError($R54,data0!Q40,AH$4,AH$5,AH$6,AH$7)</f>
        <v>6.4829587936401367E-3</v>
      </c>
      <c r="AI54" s="4">
        <f>findLinError($R54,data0!R40,AI$4,AI$5,AI$6,AI$7)</f>
        <v>5.4761171340942383E-3</v>
      </c>
      <c r="AJ54" s="4">
        <f>findLinError($R54,data0!S40,AJ$4,AJ$5,AJ$6,AJ$7)</f>
        <v>5.9567689895629883E-3</v>
      </c>
      <c r="AK54" s="4">
        <f>findLinError($R54,data0!T40,AK$4,AK$5,AK$6,AK$7)</f>
        <v>4.2896866798400879E-3</v>
      </c>
      <c r="AL54" s="4">
        <f>findLinError($R54,data0!U40,AL$4,AL$5,AL$6,AL$7)</f>
        <v>1.7303347587585449E-2</v>
      </c>
      <c r="AM54" s="4">
        <f>findLinError($R54,data0!V40,AM$4,AM$5,AM$6,AM$7)</f>
        <v>1.3327121734619141E-2</v>
      </c>
      <c r="AN54" s="4">
        <f>findLinError($R54,data0!W40,AN$4,AN$5,AN$6,AN$7)</f>
        <v>-4.6068429946899414E-4</v>
      </c>
      <c r="AO54" s="4">
        <f>findLinError($R54,data0!X40,AO$4,AO$5,AO$6,AO$7)</f>
        <v>1.6165256500244141E-2</v>
      </c>
      <c r="AP54" s="4">
        <f>findLinError($R54,data0!Y40,AP$4,AP$5,AP$6,AP$7)</f>
        <v>-4.28009033203125E-3</v>
      </c>
      <c r="AQ54" s="4">
        <f>findLinError($R54,data0!Z40,AQ$4,AQ$5,AQ$6,AQ$7)</f>
        <v>2.0418524742126465E-2</v>
      </c>
      <c r="AR54" s="4">
        <f>findLinError($R54,data0!AA40,AR$4,AR$5,AR$6,AR$7)</f>
        <v>2.0418524742126465E-2</v>
      </c>
      <c r="AS54" s="4">
        <f>findLinError($R54,data0!AB40,AS$4,AS$5,AS$6,AS$7)</f>
        <v>1.0623753070831299E-2</v>
      </c>
      <c r="AT54" s="4">
        <f>findLinError($R54,data0!AC40,AT$4,AT$5,AT$6,AT$7)</f>
        <v>2.8016269207000732E-3</v>
      </c>
      <c r="AU54" s="4">
        <f>findLinError($R54,data0!AD40,AU$4,AU$5,AU$6,AU$7)</f>
        <v>-5.5737495422363281E-3</v>
      </c>
      <c r="AV54" s="4">
        <f>findLinError($R54,data0!AE40,AV$4,AV$5,AV$6,AV$7)</f>
        <v>1.808696985244751E-2</v>
      </c>
      <c r="AW54" s="4">
        <f>findLinError($R54,data0!AF40,AW$4,AW$5,AW$6,AW$7)</f>
        <v>1.0627239942550659E-2</v>
      </c>
      <c r="AX54" s="4">
        <f>findLinError($R54,data0!AG40,AX$4,AX$5,AX$6,AX$7)</f>
        <v>7.649838924407959E-3</v>
      </c>
    </row>
    <row r="55" spans="2:50">
      <c r="P55" s="9">
        <f t="shared" si="47"/>
        <v>39</v>
      </c>
      <c r="Q55" s="9">
        <f>data4!L41</f>
        <v>3.6389222714205971E-5</v>
      </c>
      <c r="R55" s="34">
        <f t="shared" si="46"/>
        <v>46.332197361902054</v>
      </c>
      <c r="S55" s="4">
        <f>findLinError($R55,data0!B41,S$4,S$5,S$6,S$7)</f>
        <v>2.1203160285949707E-3</v>
      </c>
      <c r="T55" s="4"/>
      <c r="U55" s="4">
        <f>findLinError($R55,data0!D41,U$4,U$5,U$6,U$7)</f>
        <v>1.1498689651489258E-2</v>
      </c>
      <c r="V55" s="4"/>
      <c r="W55" s="4">
        <f>findLinError($R55,data0!F41,W$4,W$5,W$6,W$7)</f>
        <v>-8.0192089080810547E-3</v>
      </c>
      <c r="X55" s="4"/>
      <c r="Y55" s="4"/>
      <c r="Z55" s="4">
        <f>findLinError($R55,data0!I41,Z$4,Z$5,Z$6,Z$7)</f>
        <v>-1.8455386161804199E-3</v>
      </c>
      <c r="AA55" s="4">
        <f>findLinError($R55,data0!J41,AA$4,AA$5,AA$6,AA$7)</f>
        <v>3.0621886253356934E-3</v>
      </c>
      <c r="AB55" s="4">
        <f>findLinError($R55,data0!K41,AB$4,AB$5,AB$6,AB$7)</f>
        <v>-8.4958672523498535E-3</v>
      </c>
      <c r="AC55" s="4">
        <f>findLinError($R55,data0!L41,AC$4,AC$5,AC$6,AC$7)</f>
        <v>-9.5969438552856445E-3</v>
      </c>
      <c r="AD55" s="4">
        <f>findLinError($R55,data0!M41,AD$4,AD$5,AD$6,AD$7)</f>
        <v>1.8703758716583252E-2</v>
      </c>
      <c r="AE55" s="4">
        <f>findLinError($R55,data0!N41,AE$4,AE$5,AE$6,AE$7)</f>
        <v>-8.5998773574829102E-3</v>
      </c>
      <c r="AF55" s="4">
        <f>findLinError($R55,data0!O41,AF$4,AF$5,AF$6,AF$7)</f>
        <v>3.8546919822692871E-3</v>
      </c>
      <c r="AG55" s="4">
        <f>findLinError($R55,data0!P41,AG$4,AG$5,AG$6,AG$7)</f>
        <v>3.0237436294555664E-4</v>
      </c>
      <c r="AH55" s="4">
        <f>findLinError($R55,data0!Q41,AH$4,AH$5,AH$6,AH$7)</f>
        <v>6.4224004745483398E-3</v>
      </c>
      <c r="AI55" s="4">
        <f>findLinError($R55,data0!R41,AI$4,AI$5,AI$6,AI$7)</f>
        <v>4.7537684440612793E-3</v>
      </c>
      <c r="AJ55" s="4">
        <f>findLinError($R55,data0!S41,AJ$4,AJ$5,AJ$6,AJ$7)</f>
        <v>6.3872933387756348E-3</v>
      </c>
      <c r="AK55" s="4">
        <f>findLinError($R55,data0!T41,AK$4,AK$5,AK$6,AK$7)</f>
        <v>4.8986077308654785E-3</v>
      </c>
      <c r="AL55" s="4">
        <f>findLinError($R55,data0!U41,AL$4,AL$5,AL$6,AL$7)</f>
        <v>1.4247208833694458E-2</v>
      </c>
      <c r="AM55" s="4">
        <f>findLinError($R55,data0!V41,AM$4,AM$5,AM$6,AM$7)</f>
        <v>1.279681921005249E-2</v>
      </c>
      <c r="AN55" s="4">
        <f>findLinError($R55,data0!W41,AN$4,AN$5,AN$6,AN$7)</f>
        <v>-5.1480531692504883E-4</v>
      </c>
      <c r="AO55" s="4">
        <f>findLinError($R55,data0!X41,AO$4,AO$5,AO$6,AO$7)</f>
        <v>1.6195952892303467E-2</v>
      </c>
      <c r="AP55" s="4">
        <f>findLinError($R55,data0!Y41,AP$4,AP$5,AP$6,AP$7)</f>
        <v>-6.0545206069946289E-3</v>
      </c>
      <c r="AQ55" s="4">
        <f>findLinError($R55,data0!Z41,AQ$4,AQ$5,AQ$6,AQ$7)</f>
        <v>2.0148754119873047E-2</v>
      </c>
      <c r="AR55" s="4">
        <f>findLinError($R55,data0!AA41,AR$4,AR$5,AR$6,AR$7)</f>
        <v>2.0148754119873047E-2</v>
      </c>
      <c r="AS55" s="4">
        <f>findLinError($R55,data0!AB41,AS$4,AS$5,AS$6,AS$7)</f>
        <v>1.1551022529602051E-2</v>
      </c>
      <c r="AT55" s="4">
        <f>findLinError($R55,data0!AC41,AT$4,AT$5,AT$6,AT$7)</f>
        <v>4.096299409866333E-3</v>
      </c>
      <c r="AU55" s="4">
        <f>findLinError($R55,data0!AD41,AU$4,AU$5,AU$6,AU$7)</f>
        <v>-5.5263042449951172E-3</v>
      </c>
      <c r="AV55" s="4">
        <f>findLinError($R55,data0!AE41,AV$4,AV$5,AV$6,AV$7)</f>
        <v>1.5209794044494629E-2</v>
      </c>
      <c r="AW55" s="4">
        <f>findLinError($R55,data0!AF41,AW$4,AW$5,AW$6,AW$7)</f>
        <v>7.5771212577819824E-3</v>
      </c>
      <c r="AX55" s="4">
        <f>findLinError($R55,data0!AG41,AX$4,AX$5,AX$6,AX$7)</f>
        <v>9.9093317985534668E-3</v>
      </c>
    </row>
    <row r="56" spans="2:50">
      <c r="P56" s="9">
        <f t="shared" si="47"/>
        <v>40</v>
      </c>
      <c r="Q56" s="9">
        <f>data4!L42</f>
        <v>3.7919904116279213E-5</v>
      </c>
      <c r="R56" s="34">
        <f t="shared" si="46"/>
        <v>48.281121453412368</v>
      </c>
      <c r="S56" s="4">
        <f>findLinError($R56,data0!B42,S$4,S$5,S$6,S$7)</f>
        <v>3.3457279205322266E-3</v>
      </c>
      <c r="T56" s="4"/>
      <c r="U56" s="4">
        <f>findLinError($R56,data0!D42,U$4,U$5,U$6,U$7)</f>
        <v>8.8202357292175293E-3</v>
      </c>
      <c r="V56" s="4"/>
      <c r="W56" s="4">
        <f>findLinError($R56,data0!F42,W$4,W$5,W$6,W$7)</f>
        <v>-3.4745335578918457E-3</v>
      </c>
      <c r="X56" s="4"/>
      <c r="Y56" s="4"/>
      <c r="Z56" s="4">
        <f>findLinError($R56,data0!I42,Z$4,Z$5,Z$6,Z$7)</f>
        <v>-4.7761201858520508E-3</v>
      </c>
      <c r="AA56" s="4">
        <f>findLinError($R56,data0!J42,AA$4,AA$5,AA$6,AA$7)</f>
        <v>3.9617419242858887E-3</v>
      </c>
      <c r="AB56" s="4">
        <f>findLinError($R56,data0!K42,AB$4,AB$5,AB$6,AB$7)</f>
        <v>7.4088573455810547E-5</v>
      </c>
      <c r="AC56" s="4">
        <f>findLinError($R56,data0!L42,AC$4,AC$5,AC$6,AC$7)</f>
        <v>-1.6978442668914795E-2</v>
      </c>
      <c r="AD56" s="4">
        <f>findLinError($R56,data0!M42,AD$4,AD$5,AD$6,AD$7)</f>
        <v>1.6228079795837402E-2</v>
      </c>
      <c r="AE56" s="4">
        <f>findLinError($R56,data0!N42,AE$4,AE$5,AE$6,AE$7)</f>
        <v>-9.0150833129882813E-3</v>
      </c>
      <c r="AF56" s="4">
        <f>findLinError($R56,data0!O42,AF$4,AF$5,AF$6,AF$7)</f>
        <v>1.5240311622619629E-3</v>
      </c>
      <c r="AG56" s="4">
        <f>findLinError($R56,data0!P42,AG$4,AG$5,AG$6,AG$7)</f>
        <v>-3.2488703727722168E-3</v>
      </c>
      <c r="AH56" s="4">
        <f>findLinError($R56,data0!Q42,AH$4,AH$5,AH$6,AH$7)</f>
        <v>6.7488551139831543E-3</v>
      </c>
      <c r="AI56" s="4">
        <f>findLinError($R56,data0!R42,AI$4,AI$5,AI$6,AI$7)</f>
        <v>4.4292807579040527E-3</v>
      </c>
      <c r="AJ56" s="4">
        <f>findLinError($R56,data0!S42,AJ$4,AJ$5,AJ$6,AJ$7)</f>
        <v>1.111835241317749E-2</v>
      </c>
      <c r="AK56" s="4">
        <f>findLinError($R56,data0!T42,AK$4,AK$5,AK$6,AK$7)</f>
        <v>5.8835148811340332E-3</v>
      </c>
      <c r="AL56" s="4">
        <f>findLinError($R56,data0!U42,AL$4,AL$5,AL$6,AL$7)</f>
        <v>1.5484452247619629E-2</v>
      </c>
      <c r="AM56" s="4">
        <f>findLinError($R56,data0!V42,AM$4,AM$5,AM$6,AM$7)</f>
        <v>1.2661278247833252E-2</v>
      </c>
      <c r="AN56" s="4">
        <f>findLinError($R56,data0!W42,AN$4,AN$5,AN$6,AN$7)</f>
        <v>-1.8191337585449219E-4</v>
      </c>
      <c r="AO56" s="4">
        <f>findLinError($R56,data0!X42,AO$4,AO$5,AO$6,AO$7)</f>
        <v>1.2690603733062744E-2</v>
      </c>
      <c r="AP56" s="4">
        <f>findLinError($R56,data0!Y42,AP$4,AP$5,AP$6,AP$7)</f>
        <v>-7.4138045310974121E-3</v>
      </c>
      <c r="AQ56" s="4">
        <f>findLinError($R56,data0!Z42,AQ$4,AQ$5,AQ$6,AQ$7)</f>
        <v>2.0269393920898438E-2</v>
      </c>
      <c r="AR56" s="4">
        <f>findLinError($R56,data0!AA42,AR$4,AR$5,AR$6,AR$7)</f>
        <v>2.0269393920898438E-2</v>
      </c>
      <c r="AS56" s="4">
        <f>findLinError($R56,data0!AB42,AS$4,AS$5,AS$6,AS$7)</f>
        <v>5.005955696105957E-3</v>
      </c>
      <c r="AT56" s="4">
        <f>findLinError($R56,data0!AC42,AT$4,AT$5,AT$6,AT$7)</f>
        <v>1.8342137336730957E-3</v>
      </c>
      <c r="AU56" s="4">
        <f>findLinError($R56,data0!AD42,AU$4,AU$5,AU$6,AU$7)</f>
        <v>-5.0935745239257813E-3</v>
      </c>
      <c r="AV56" s="4">
        <f>findLinError($R56,data0!AE42,AV$4,AV$5,AV$6,AV$7)</f>
        <v>1.6623079776763916E-2</v>
      </c>
      <c r="AW56" s="4">
        <f>findLinError($R56,data0!AF42,AW$4,AW$5,AW$6,AW$7)</f>
        <v>8.8202357292175293E-3</v>
      </c>
      <c r="AX56" s="4">
        <f>findLinError($R56,data0!AG42,AX$4,AX$5,AX$6,AX$7)</f>
        <v>1.2517839670181274E-2</v>
      </c>
    </row>
    <row r="57" spans="2:50">
      <c r="P57" s="9">
        <f t="shared" si="47"/>
        <v>41</v>
      </c>
      <c r="Q57" s="9">
        <f>data4!L43</f>
        <v>3.954904650527169E-5</v>
      </c>
      <c r="R57" s="34">
        <f t="shared" si="46"/>
        <v>50.355409967081904</v>
      </c>
      <c r="S57" s="4">
        <f>findLinError($R57,data0!B43,S$4,S$5,S$6,S$7)</f>
        <v>7.0580244064331055E-3</v>
      </c>
      <c r="T57" s="4"/>
      <c r="U57" s="4">
        <f>findLinError($R57,data0!D43,U$4,U$5,U$6,U$7)</f>
        <v>4.7081708908081055E-3</v>
      </c>
      <c r="V57" s="4"/>
      <c r="W57" s="4">
        <f>findLinError($R57,data0!F43,W$4,W$5,W$6,W$7)</f>
        <v>-4.3249726295471191E-3</v>
      </c>
      <c r="X57" s="4"/>
      <c r="Y57" s="4"/>
      <c r="Z57" s="4">
        <f>findLinError($R57,data0!I43,Z$4,Z$5,Z$6,Z$7)</f>
        <v>-5.2350163459777832E-3</v>
      </c>
      <c r="AA57" s="4">
        <f>findLinError($R57,data0!J43,AA$4,AA$5,AA$6,AA$7)</f>
        <v>-5.1599740982055664E-4</v>
      </c>
      <c r="AB57" s="4">
        <f>findLinError($R57,data0!K43,AB$4,AB$5,AB$6,AB$7)</f>
        <v>-1.243060827255249E-2</v>
      </c>
      <c r="AC57" s="4">
        <f>findLinError($R57,data0!L43,AC$4,AC$5,AC$6,AC$7)</f>
        <v>-1.8000781536102295E-2</v>
      </c>
      <c r="AD57" s="4">
        <f>findLinError($R57,data0!M43,AD$4,AD$5,AD$6,AD$7)</f>
        <v>1.6253292560577393E-2</v>
      </c>
      <c r="AE57" s="4">
        <f>findLinError($R57,data0!N43,AE$4,AE$5,AE$6,AE$7)</f>
        <v>-1.0970532894134521E-2</v>
      </c>
      <c r="AF57" s="4">
        <f>findLinError($R57,data0!O43,AF$4,AF$5,AF$6,AF$7)</f>
        <v>1.7036199569702148E-3</v>
      </c>
      <c r="AG57" s="4">
        <f>findLinError($R57,data0!P43,AG$4,AG$5,AG$6,AG$7)</f>
        <v>-4.4673681259155273E-4</v>
      </c>
      <c r="AH57" s="4">
        <f>findLinError($R57,data0!Q43,AH$4,AH$5,AH$6,AH$7)</f>
        <v>1.3425886631011963E-2</v>
      </c>
      <c r="AI57" s="4">
        <f>findLinError($R57,data0!R43,AI$4,AI$5,AI$6,AI$7)</f>
        <v>2.5702714920043945E-3</v>
      </c>
      <c r="AJ57" s="4">
        <f>findLinError($R57,data0!S43,AJ$4,AJ$5,AJ$6,AJ$7)</f>
        <v>1.0466337203979492E-2</v>
      </c>
      <c r="AK57" s="4">
        <f>findLinError($R57,data0!T43,AK$4,AK$5,AK$6,AK$7)</f>
        <v>5.4181814193725586E-3</v>
      </c>
      <c r="AL57" s="4">
        <f>findLinError($R57,data0!U43,AL$4,AL$5,AL$6,AL$7)</f>
        <v>1.920926570892334E-2</v>
      </c>
      <c r="AM57" s="4">
        <f>findLinError($R57,data0!V43,AM$4,AM$5,AM$6,AM$7)</f>
        <v>1.1003375053405762E-2</v>
      </c>
      <c r="AN57" s="4">
        <f>findLinError($R57,data0!W43,AN$4,AN$5,AN$6,AN$7)</f>
        <v>-1.3412237167358398E-3</v>
      </c>
      <c r="AO57" s="4">
        <f>findLinError($R57,data0!X43,AO$4,AO$5,AO$6,AO$7)</f>
        <v>1.5541613101959229E-2</v>
      </c>
      <c r="AP57" s="4">
        <f>findLinError($R57,data0!Y43,AP$4,AP$5,AP$6,AP$7)</f>
        <v>-6.4525604248046875E-3</v>
      </c>
      <c r="AQ57" s="4">
        <f>findLinError($R57,data0!Z43,AQ$4,AQ$5,AQ$6,AQ$7)</f>
        <v>1.8884241580963135E-2</v>
      </c>
      <c r="AR57" s="4">
        <f>findLinError($R57,data0!AA43,AR$4,AR$5,AR$6,AR$7)</f>
        <v>1.8884241580963135E-2</v>
      </c>
      <c r="AS57" s="4">
        <f>findLinError($R57,data0!AB43,AS$4,AS$5,AS$6,AS$7)</f>
        <v>8.7954998016357422E-3</v>
      </c>
      <c r="AT57" s="4">
        <f>findLinError($R57,data0!AC43,AT$4,AT$5,AT$6,AT$7)</f>
        <v>2.0868182182312012E-3</v>
      </c>
      <c r="AU57" s="4">
        <f>findLinError($R57,data0!AD43,AU$4,AU$5,AU$6,AU$7)</f>
        <v>-6.1466097831726074E-3</v>
      </c>
      <c r="AV57" s="4">
        <f>findLinError($R57,data0!AE43,AV$4,AV$5,AV$6,AV$7)</f>
        <v>1.6613662242889404E-2</v>
      </c>
      <c r="AW57" s="4">
        <f>findLinError($R57,data0!AF43,AW$4,AW$5,AW$6,AW$7)</f>
        <v>4.7081708908081055E-3</v>
      </c>
      <c r="AX57" s="4">
        <f>findLinError($R57,data0!AG43,AX$4,AX$5,AX$6,AX$7)</f>
        <v>9.8589658737182617E-3</v>
      </c>
    </row>
    <row r="58" spans="2:50">
      <c r="P58" s="9">
        <f t="shared" si="47"/>
        <v>42</v>
      </c>
      <c r="Q58" s="9">
        <f>data4!L44</f>
        <v>4.1168312691297615E-5</v>
      </c>
      <c r="R58" s="34">
        <f t="shared" si="46"/>
        <v>52.417123708582601</v>
      </c>
      <c r="S58" s="4">
        <f>findLinError($R58,data0!B44,S$4,S$5,S$6,S$7)</f>
        <v>3.071129322052002E-3</v>
      </c>
      <c r="T58" s="4"/>
      <c r="U58" s="4">
        <f>findLinError($R58,data0!D44,U$4,U$5,U$6,U$7)</f>
        <v>8.5831284523010254E-3</v>
      </c>
      <c r="V58" s="4"/>
      <c r="W58" s="4">
        <f>findLinError($R58,data0!F44,W$4,W$5,W$6,W$7)</f>
        <v>-8.9491009712219238E-3</v>
      </c>
      <c r="X58" s="4"/>
      <c r="Y58" s="4"/>
      <c r="Z58" s="4">
        <f>findLinError($R58,data0!I44,Z$4,Z$5,Z$6,Z$7)</f>
        <v>-9.4699859619140625E-3</v>
      </c>
      <c r="AA58" s="4">
        <f>findLinError($R58,data0!J44,AA$4,AA$5,AA$6,AA$7)</f>
        <v>-9.2613697052001953E-4</v>
      </c>
      <c r="AB58" s="4">
        <f>findLinError($R58,data0!K44,AB$4,AB$5,AB$6,AB$7)</f>
        <v>-1.3023436069488525E-2</v>
      </c>
      <c r="AC58" s="4">
        <f>findLinError($R58,data0!L44,AC$4,AC$5,AC$6,AC$7)</f>
        <v>-1.8874168395996094E-2</v>
      </c>
      <c r="AD58" s="4">
        <f>findLinError($R58,data0!M44,AD$4,AD$5,AD$6,AD$7)</f>
        <v>2.0342707633972168E-2</v>
      </c>
      <c r="AE58" s="4">
        <f>findLinError($R58,data0!N44,AE$4,AE$5,AE$6,AE$7)</f>
        <v>-1.2771487236022949E-2</v>
      </c>
      <c r="AF58" s="4">
        <f>findLinError($R58,data0!O44,AF$4,AF$5,AF$6,AF$7)</f>
        <v>5.9464573860168457E-3</v>
      </c>
      <c r="AG58" s="4">
        <f>findLinError($R58,data0!P44,AG$4,AG$5,AG$6,AG$7)</f>
        <v>-5.3382515907287598E-3</v>
      </c>
      <c r="AH58" s="4">
        <f>findLinError($R58,data0!Q44,AH$4,AH$5,AH$6,AH$7)</f>
        <v>8.487999439239502E-3</v>
      </c>
      <c r="AI58" s="4">
        <f>findLinError($R58,data0!R44,AI$4,AI$5,AI$6,AI$7)</f>
        <v>8.6534023284912109E-4</v>
      </c>
      <c r="AJ58" s="4">
        <f>findLinError($R58,data0!S44,AJ$4,AJ$5,AJ$6,AJ$7)</f>
        <v>9.9610090255737305E-3</v>
      </c>
      <c r="AK58" s="4">
        <f>findLinError($R58,data0!T44,AK$4,AK$5,AK$6,AK$7)</f>
        <v>5.0984025001525879E-3</v>
      </c>
      <c r="AL58" s="4">
        <f>findLinError($R58,data0!U44,AL$4,AL$5,AL$6,AL$7)</f>
        <v>1.9156396389007568E-2</v>
      </c>
      <c r="AM58" s="4">
        <f>findLinError($R58,data0!V44,AM$4,AM$5,AM$6,AM$7)</f>
        <v>9.498298168182373E-3</v>
      </c>
      <c r="AN58" s="4">
        <f>findLinError($R58,data0!W44,AN$4,AN$5,AN$6,AN$7)</f>
        <v>-2.3508071899414063E-3</v>
      </c>
      <c r="AO58" s="4">
        <f>findLinError($R58,data0!X44,AO$4,AO$5,AO$6,AO$7)</f>
        <v>1.0698616504669189E-2</v>
      </c>
      <c r="AP58" s="4">
        <f>findLinError($R58,data0!Y44,AP$4,AP$5,AP$6,AP$7)</f>
        <v>-9.2521905899047852E-3</v>
      </c>
      <c r="AQ58" s="4">
        <f>findLinError($R58,data0!Z44,AQ$4,AQ$5,AQ$6,AQ$7)</f>
        <v>2.1571755409240723E-2</v>
      </c>
      <c r="AR58" s="4">
        <f>findLinError($R58,data0!AA44,AR$4,AR$5,AR$6,AR$7)</f>
        <v>2.1571755409240723E-2</v>
      </c>
      <c r="AS58" s="4">
        <f>findLinError($R58,data0!AB44,AS$4,AS$5,AS$6,AS$7)</f>
        <v>8.8070034980773926E-3</v>
      </c>
      <c r="AT58" s="4">
        <f>findLinError($R58,data0!AC44,AT$4,AT$5,AT$6,AT$7)</f>
        <v>-1.4410018920898438E-3</v>
      </c>
      <c r="AU58" s="4">
        <f>findLinError($R58,data0!AD44,AU$4,AU$5,AU$6,AU$7)</f>
        <v>-7.0505142211914063E-3</v>
      </c>
      <c r="AV58" s="4">
        <f>findLinError($R58,data0!AE44,AV$4,AV$5,AV$6,AV$7)</f>
        <v>2.0668566226959229E-2</v>
      </c>
      <c r="AW58" s="4">
        <f>findLinError($R58,data0!AF44,AW$4,AW$5,AW$6,AW$7)</f>
        <v>8.5831284523010254E-3</v>
      </c>
      <c r="AX58" s="4">
        <f>findLinError($R58,data0!AG44,AX$4,AX$5,AX$6,AX$7)</f>
        <v>1.1256694793701172E-2</v>
      </c>
    </row>
    <row r="59" spans="2:50">
      <c r="P59" s="9">
        <f t="shared" si="47"/>
        <v>43</v>
      </c>
      <c r="Q59" s="9">
        <f>data4!L45</f>
        <v>4.2799251332326094E-5</v>
      </c>
      <c r="R59" s="34">
        <f t="shared" si="46"/>
        <v>54.493699281376685</v>
      </c>
      <c r="S59" s="4">
        <f>findLinError($R59,data0!B45,S$4,S$5,S$6,S$7)</f>
        <v>2.835690975189209E-3</v>
      </c>
      <c r="T59" s="4"/>
      <c r="U59" s="4">
        <f>findLinError($R59,data0!D45,U$4,U$5,U$6,U$7)</f>
        <v>8.3665251731872559E-3</v>
      </c>
      <c r="V59" s="4"/>
      <c r="W59" s="4">
        <f>findLinError($R59,data0!F45,W$4,W$5,W$6,W$7)</f>
        <v>-5.904853343963623E-3</v>
      </c>
      <c r="X59" s="4"/>
      <c r="Y59" s="4"/>
      <c r="Z59" s="4">
        <f>findLinError($R59,data0!I45,Z$4,Z$5,Z$6,Z$7)</f>
        <v>-9.9553465843200684E-3</v>
      </c>
      <c r="AA59" s="4">
        <f>findLinError($R59,data0!J45,AA$4,AA$5,AA$6,AA$7)</f>
        <v>-1.5088319778442383E-3</v>
      </c>
      <c r="AB59" s="4">
        <f>findLinError($R59,data0!K45,AB$4,AB$5,AB$6,AB$7)</f>
        <v>-9.8685622215270996E-3</v>
      </c>
      <c r="AC59" s="4">
        <f>findLinError($R59,data0!L45,AC$4,AC$5,AC$6,AC$7)</f>
        <v>-1.208043098449707E-2</v>
      </c>
      <c r="AD59" s="4">
        <f>findLinError($R59,data0!M45,AD$4,AD$5,AD$6,AD$7)</f>
        <v>2.0342051982879639E-2</v>
      </c>
      <c r="AE59" s="4">
        <f>findLinError($R59,data0!N45,AE$4,AE$5,AE$6,AE$7)</f>
        <v>-1.4755010604858398E-2</v>
      </c>
      <c r="AF59" s="4">
        <f>findLinError($R59,data0!O45,AF$4,AF$5,AF$6,AF$7)</f>
        <v>2.1787881851196289E-3</v>
      </c>
      <c r="AG59" s="4">
        <f>findLinError($R59,data0!P45,AG$4,AG$5,AG$6,AG$7)</f>
        <v>-2.5632977485656738E-3</v>
      </c>
      <c r="AH59" s="4">
        <f>findLinError($R59,data0!Q45,AH$4,AH$5,AH$6,AH$7)</f>
        <v>1.1216223239898682E-2</v>
      </c>
      <c r="AI59" s="4">
        <f>findLinError($R59,data0!R45,AI$4,AI$5,AI$6,AI$7)</f>
        <v>-1.0216236114501953E-3</v>
      </c>
      <c r="AJ59" s="4">
        <f>findLinError($R59,data0!S45,AJ$4,AJ$5,AJ$6,AJ$7)</f>
        <v>1.3203918933868408E-2</v>
      </c>
      <c r="AK59" s="4">
        <f>findLinError($R59,data0!T45,AK$4,AK$5,AK$6,AK$7)</f>
        <v>4.6066641807556152E-3</v>
      </c>
      <c r="AL59" s="4">
        <f>findLinError($R59,data0!U45,AL$4,AL$5,AL$6,AL$7)</f>
        <v>1.8933475017547607E-2</v>
      </c>
      <c r="AM59" s="4">
        <f>findLinError($R59,data0!V45,AM$4,AM$5,AM$6,AM$7)</f>
        <v>1.5655815601348877E-2</v>
      </c>
      <c r="AN59" s="4">
        <f>findLinError($R59,data0!W45,AN$4,AN$5,AN$6,AN$7)</f>
        <v>3.8421154022216797E-4</v>
      </c>
      <c r="AO59" s="4">
        <f>findLinError($R59,data0!X45,AO$4,AO$5,AO$6,AO$7)</f>
        <v>1.3522505760192871E-2</v>
      </c>
      <c r="AP59" s="4">
        <f>findLinError($R59,data0!Y45,AP$4,AP$5,AP$6,AP$7)</f>
        <v>-8.320152759552002E-3</v>
      </c>
      <c r="AQ59" s="4">
        <f>findLinError($R59,data0!Z45,AQ$4,AQ$5,AQ$6,AQ$7)</f>
        <v>2.015918493270874E-2</v>
      </c>
      <c r="AR59" s="4">
        <f>findLinError($R59,data0!AA45,AR$4,AR$5,AR$6,AR$7)</f>
        <v>2.015918493270874E-2</v>
      </c>
      <c r="AS59" s="4">
        <f>findLinError($R59,data0!AB45,AS$4,AS$5,AS$6,AS$7)</f>
        <v>4.7273635864257813E-3</v>
      </c>
      <c r="AT59" s="4">
        <f>findLinError($R59,data0!AC45,AT$4,AT$5,AT$6,AT$7)</f>
        <v>6.6291093826293945E-3</v>
      </c>
      <c r="AU59" s="4">
        <f>findLinError($R59,data0!AD45,AU$4,AU$5,AU$6,AU$7)</f>
        <v>-8.1306695938110352E-3</v>
      </c>
      <c r="AV59" s="4">
        <f>findLinError($R59,data0!AE45,AV$4,AV$5,AV$6,AV$7)</f>
        <v>1.6711652278900146E-2</v>
      </c>
      <c r="AW59" s="4">
        <f>findLinError($R59,data0!AF45,AW$4,AW$5,AW$6,AW$7)</f>
        <v>8.3665251731872559E-3</v>
      </c>
      <c r="AX59" s="4">
        <f>findLinError($R59,data0!AG45,AX$4,AX$5,AX$6,AX$7)</f>
        <v>1.2494802474975586E-2</v>
      </c>
    </row>
    <row r="60" spans="2:50">
      <c r="P60" s="9">
        <f t="shared" si="47"/>
        <v>44</v>
      </c>
      <c r="Q60" s="9">
        <f>data4!L46</f>
        <v>4.4474988499132451E-5</v>
      </c>
      <c r="R60" s="34">
        <f t="shared" si="46"/>
        <v>56.627314108736996</v>
      </c>
      <c r="S60" s="4">
        <f>findLinError($R60,data0!B46,S$4,S$5,S$6,S$7)</f>
        <v>1.9474029541015625E-3</v>
      </c>
      <c r="T60" s="4"/>
      <c r="U60" s="4">
        <f>findLinError($R60,data0!D46,U$4,U$5,U$6,U$7)</f>
        <v>1.1419177055358887E-2</v>
      </c>
      <c r="V60" s="4"/>
      <c r="W60" s="4">
        <f>findLinError($R60,data0!F46,W$4,W$5,W$6,W$7)</f>
        <v>-1.1374115943908691E-2</v>
      </c>
      <c r="X60" s="4"/>
      <c r="Y60" s="4"/>
      <c r="Z60" s="4">
        <f>findLinError($R60,data0!I46,Z$4,Z$5,Z$6,Z$7)</f>
        <v>-7.1787238121032715E-3</v>
      </c>
      <c r="AA60" s="4">
        <f>findLinError($R60,data0!J46,AA$4,AA$5,AA$6,AA$7)</f>
        <v>-2.753913402557373E-3</v>
      </c>
      <c r="AB60" s="4">
        <f>findLinError($R60,data0!K46,AB$4,AB$5,AB$6,AB$7)</f>
        <v>-1.1302709579467773E-2</v>
      </c>
      <c r="AC60" s="4">
        <f>findLinError($R60,data0!L46,AC$4,AC$5,AC$6,AC$7)</f>
        <v>-2.1648049354553223E-2</v>
      </c>
      <c r="AD60" s="4">
        <f>findLinError($R60,data0!M46,AD$4,AD$5,AD$6,AD$7)</f>
        <v>1.9695103168487549E-2</v>
      </c>
      <c r="AE60" s="4">
        <f>findLinError($R60,data0!N46,AE$4,AE$5,AE$6,AE$7)</f>
        <v>-1.7439424991607666E-2</v>
      </c>
      <c r="AF60" s="4">
        <f>findLinError($R60,data0!O46,AF$4,AF$5,AF$6,AF$7)</f>
        <v>5.6121945381164551E-3</v>
      </c>
      <c r="AG60" s="4">
        <f>findLinError($R60,data0!P46,AG$4,AG$5,AG$6,AG$7)</f>
        <v>-4.3877363204956055E-3</v>
      </c>
      <c r="AH60" s="4">
        <f>findLinError($R60,data0!Q46,AH$4,AH$5,AH$6,AH$7)</f>
        <v>9.3438029289245605E-3</v>
      </c>
      <c r="AI60" s="4">
        <f>findLinError($R60,data0!R46,AI$4,AI$5,AI$6,AI$7)</f>
        <v>4.2364597320556641E-3</v>
      </c>
      <c r="AJ60" s="4">
        <f>findLinError($R60,data0!S46,AJ$4,AJ$5,AJ$6,AJ$7)</f>
        <v>1.1860251426696777E-2</v>
      </c>
      <c r="AK60" s="4">
        <f>findLinError($R60,data0!T46,AK$4,AK$5,AK$6,AK$7)</f>
        <v>3.4551024436950684E-3</v>
      </c>
      <c r="AL60" s="4">
        <f>findLinError($R60,data0!U46,AL$4,AL$5,AL$6,AL$7)</f>
        <v>1.8058121204376221E-2</v>
      </c>
      <c r="AM60" s="4">
        <f>findLinError($R60,data0!V46,AM$4,AM$5,AM$6,AM$7)</f>
        <v>1.3277590274810791E-2</v>
      </c>
      <c r="AN60" s="4">
        <f>findLinError($R60,data0!W46,AN$4,AN$5,AN$6,AN$7)</f>
        <v>-1.4812350273132324E-3</v>
      </c>
      <c r="AO60" s="4">
        <f>findLinError($R60,data0!X46,AO$4,AO$5,AO$6,AO$7)</f>
        <v>1.5669882297515869E-2</v>
      </c>
      <c r="AP60" s="4">
        <f>findLinError($R60,data0!Y46,AP$4,AP$5,AP$6,AP$7)</f>
        <v>-1.2038111686706543E-2</v>
      </c>
      <c r="AQ60" s="4">
        <f>findLinError($R60,data0!Z46,AQ$4,AQ$5,AQ$6,AQ$7)</f>
        <v>1.8061459064483643E-2</v>
      </c>
      <c r="AR60" s="4">
        <f>findLinError($R60,data0!AA46,AR$4,AR$5,AR$6,AR$7)</f>
        <v>1.8061459064483643E-2</v>
      </c>
      <c r="AS60" s="4">
        <f>findLinError($R60,data0!AB46,AS$4,AS$5,AS$6,AS$7)</f>
        <v>7.8401565551757813E-3</v>
      </c>
      <c r="AT60" s="4">
        <f>findLinError($R60,data0!AC46,AT$4,AT$5,AT$6,AT$7)</f>
        <v>-1.6271471977233887E-3</v>
      </c>
      <c r="AU60" s="4">
        <f>findLinError($R60,data0!AD46,AU$4,AU$5,AU$6,AU$7)</f>
        <v>-9.8867416381835938E-3</v>
      </c>
      <c r="AV60" s="4">
        <f>findLinError($R60,data0!AE46,AV$4,AV$5,AV$6,AV$7)</f>
        <v>1.9950568675994873E-2</v>
      </c>
      <c r="AW60" s="4">
        <f>findLinError($R60,data0!AF46,AW$4,AW$5,AW$6,AW$7)</f>
        <v>7.4976086616516113E-3</v>
      </c>
      <c r="AX60" s="4">
        <f>findLinError($R60,data0!AG46,AX$4,AX$5,AX$6,AX$7)</f>
        <v>9.1990828514099121E-3</v>
      </c>
    </row>
    <row r="61" spans="2:50">
      <c r="P61" s="9">
        <f t="shared" si="47"/>
        <v>45</v>
      </c>
      <c r="Q61" s="9">
        <f>data4!L47</f>
        <v>4.6174523049558047E-5</v>
      </c>
      <c r="R61" s="34">
        <f t="shared" si="46"/>
        <v>58.791228705982562</v>
      </c>
      <c r="S61" s="4">
        <f>findLinError($R61,data0!B47,S$4,S$5,S$6,S$7)</f>
        <v>7.1245431900024414E-4</v>
      </c>
      <c r="T61" s="4"/>
      <c r="U61" s="4">
        <f>findLinError($R61,data0!D47,U$4,U$5,U$6,U$7)</f>
        <v>6.2822699546813965E-3</v>
      </c>
      <c r="V61" s="4"/>
      <c r="W61" s="4">
        <f>findLinError($R61,data0!F47,W$4,W$5,W$6,W$7)</f>
        <v>-9.3563199043273926E-3</v>
      </c>
      <c r="X61" s="4"/>
      <c r="Y61" s="4"/>
      <c r="Z61" s="4">
        <f>findLinError($R61,data0!I47,Z$4,Z$5,Z$6,Z$7)</f>
        <v>-8.6740851402282715E-3</v>
      </c>
      <c r="AA61" s="4">
        <f>findLinError($R61,data0!J47,AA$4,AA$5,AA$6,AA$7)</f>
        <v>-4.3507218360900879E-3</v>
      </c>
      <c r="AB61" s="4">
        <f>findLinError($R61,data0!K47,AB$4,AB$5,AB$6,AB$7)</f>
        <v>-1.3091325759887695E-2</v>
      </c>
      <c r="AC61" s="4">
        <f>findLinError($R61,data0!L47,AC$4,AC$5,AC$6,AC$7)</f>
        <v>-1.5888035297393799E-2</v>
      </c>
      <c r="AD61" s="4">
        <f>findLinError($R61,data0!M47,AD$4,AD$5,AD$6,AD$7)</f>
        <v>2.2626399993896484E-2</v>
      </c>
      <c r="AE61" s="4">
        <f>findLinError($R61,data0!N47,AE$4,AE$5,AE$6,AE$7)</f>
        <v>-1.6574442386627197E-2</v>
      </c>
      <c r="AF61" s="4">
        <f>findLinError($R61,data0!O47,AF$4,AF$5,AF$6,AF$7)</f>
        <v>4.7829151153564453E-3</v>
      </c>
      <c r="AG61" s="4">
        <f>findLinError($R61,data0!P47,AG$4,AG$5,AG$6,AG$7)</f>
        <v>-2.6505589485168457E-3</v>
      </c>
      <c r="AH61" s="4">
        <f>findLinError($R61,data0!Q47,AH$4,AH$5,AH$6,AH$7)</f>
        <v>7.1107149124145508E-3</v>
      </c>
      <c r="AI61" s="4">
        <f>findLinError($R61,data0!R47,AI$4,AI$5,AI$6,AI$7)</f>
        <v>1.2805461883544922E-3</v>
      </c>
      <c r="AJ61" s="4">
        <f>findLinError($R61,data0!S47,AJ$4,AJ$5,AJ$6,AJ$7)</f>
        <v>1.0163426399230957E-2</v>
      </c>
      <c r="AK61" s="4">
        <f>findLinError($R61,data0!T47,AK$4,AK$5,AK$6,AK$7)</f>
        <v>1.9530653953552246E-3</v>
      </c>
      <c r="AL61" s="4">
        <f>findLinError($R61,data0!U47,AL$4,AL$5,AL$6,AL$7)</f>
        <v>1.6836285591125488E-2</v>
      </c>
      <c r="AM61" s="4">
        <f>findLinError($R61,data0!V47,AM$4,AM$5,AM$6,AM$7)</f>
        <v>1.0531485080718994E-2</v>
      </c>
      <c r="AN61" s="4">
        <f>findLinError($R61,data0!W47,AN$4,AN$5,AN$6,AN$7)</f>
        <v>-3.7072300910949707E-3</v>
      </c>
      <c r="AO61" s="4">
        <f>findLinError($R61,data0!X47,AO$4,AO$5,AO$6,AO$7)</f>
        <v>1.3536453247070313E-2</v>
      </c>
      <c r="AP61" s="4">
        <f>findLinError($R61,data0!Y47,AP$4,AP$5,AP$6,AP$7)</f>
        <v>-1.2221395969390869E-2</v>
      </c>
      <c r="AQ61" s="4">
        <f>findLinError($R61,data0!Z47,AQ$4,AQ$5,AQ$6,AQ$7)</f>
        <v>1.9521355628967285E-2</v>
      </c>
      <c r="AR61" s="4">
        <f>findLinError($R61,data0!AA47,AR$4,AR$5,AR$6,AR$7)</f>
        <v>1.9521355628967285E-2</v>
      </c>
      <c r="AS61" s="4">
        <f>findLinError($R61,data0!AB47,AS$4,AS$5,AS$6,AS$7)</f>
        <v>1.0607361793518066E-2</v>
      </c>
      <c r="AT61" s="4">
        <f>findLinError($R61,data0!AC47,AT$4,AT$5,AT$6,AT$7)</f>
        <v>-2.3802518844604492E-3</v>
      </c>
      <c r="AU61" s="4">
        <f>findLinError($R61,data0!AD47,AU$4,AU$5,AU$6,AU$7)</f>
        <v>-8.0803632736206055E-3</v>
      </c>
      <c r="AV61" s="4">
        <f>findLinError($R61,data0!AE47,AV$4,AV$5,AV$6,AV$7)</f>
        <v>1.8924117088317871E-2</v>
      </c>
      <c r="AW61" s="4">
        <f>findLinError($R61,data0!AF47,AW$4,AW$5,AW$6,AW$7)</f>
        <v>1.0203838348388672E-2</v>
      </c>
      <c r="AX61" s="4">
        <f>findLinError($R61,data0!AG47,AX$4,AX$5,AX$6,AX$7)</f>
        <v>9.4997286796569824E-3</v>
      </c>
    </row>
    <row r="62" spans="2:50">
      <c r="P62" s="9">
        <f t="shared" si="47"/>
        <v>46</v>
      </c>
      <c r="Q62" s="9">
        <f>data4!L48</f>
        <v>4.7857990921329474E-5</v>
      </c>
      <c r="R62" s="34">
        <f t="shared" si="46"/>
        <v>60.934686572613089</v>
      </c>
      <c r="S62" s="4">
        <f>findLinError($R62,data0!B48,S$4,S$5,S$6,S$7)</f>
        <v>3.6332011222839355E-3</v>
      </c>
      <c r="T62" s="4"/>
      <c r="U62" s="4">
        <f>findLinError($R62,data0!D48,U$4,U$5,U$6,U$7)</f>
        <v>5.3008794784545898E-3</v>
      </c>
      <c r="V62" s="4"/>
      <c r="W62" s="4">
        <f>findLinError($R62,data0!F48,W$4,W$5,W$6,W$7)</f>
        <v>-1.4941275119781494E-2</v>
      </c>
      <c r="X62" s="4"/>
      <c r="Y62" s="4"/>
      <c r="Z62" s="4">
        <f>findLinError($R62,data0!I48,Z$4,Z$5,Z$6,Z$7)</f>
        <v>-9.9328160285949707E-3</v>
      </c>
      <c r="AA62" s="4">
        <f>findLinError($R62,data0!J48,AA$4,AA$5,AA$6,AA$7)</f>
        <v>-5.7100057601928711E-3</v>
      </c>
      <c r="AB62" s="4">
        <f>findLinError($R62,data0!K48,AB$4,AB$5,AB$6,AB$7)</f>
        <v>-1.0719001293182373E-2</v>
      </c>
      <c r="AC62" s="4">
        <f>findLinError($R62,data0!L48,AC$4,AC$5,AC$6,AC$7)</f>
        <v>-1.7728984355926514E-2</v>
      </c>
      <c r="AD62" s="4">
        <f>findLinError($R62,data0!M48,AD$4,AD$5,AD$6,AD$7)</f>
        <v>2.1867930889129639E-2</v>
      </c>
      <c r="AE62" s="4">
        <f>findLinError($R62,data0!N48,AE$4,AE$5,AE$6,AE$7)</f>
        <v>-1.5458106994628906E-2</v>
      </c>
      <c r="AF62" s="4">
        <f>findLinError($R62,data0!O48,AF$4,AF$5,AF$6,AF$7)</f>
        <v>8.1055760383605957E-3</v>
      </c>
      <c r="AG62" s="4">
        <f>findLinError($R62,data0!P48,AG$4,AG$5,AG$6,AG$7)</f>
        <v>-6.7037343978881836E-4</v>
      </c>
      <c r="AH62" s="4">
        <f>findLinError($R62,data0!Q48,AH$4,AH$5,AH$6,AH$7)</f>
        <v>5.1211118698120117E-3</v>
      </c>
      <c r="AI62" s="4">
        <f>findLinError($R62,data0!R48,AI$4,AI$5,AI$6,AI$7)</f>
        <v>2.4966001510620117E-3</v>
      </c>
      <c r="AJ62" s="4">
        <f>findLinError($R62,data0!S48,AJ$4,AJ$5,AJ$6,AJ$7)</f>
        <v>1.2626707553863525E-2</v>
      </c>
      <c r="AK62" s="4">
        <f>findLinError($R62,data0!T48,AK$4,AK$5,AK$6,AK$7)</f>
        <v>4.6092867851257324E-3</v>
      </c>
      <c r="AL62" s="4">
        <f>findLinError($R62,data0!U48,AL$4,AL$5,AL$6,AL$7)</f>
        <v>1.9769966602325439E-2</v>
      </c>
      <c r="AM62" s="4">
        <f>findLinError($R62,data0!V48,AM$4,AM$5,AM$6,AM$7)</f>
        <v>1.1955320835113525E-2</v>
      </c>
      <c r="AN62" s="4">
        <f>findLinError($R62,data0!W48,AN$4,AN$5,AN$6,AN$7)</f>
        <v>-1.7682313919067383E-3</v>
      </c>
      <c r="AO62" s="4">
        <f>findLinError($R62,data0!X48,AO$4,AO$5,AO$6,AO$7)</f>
        <v>1.164555549621582E-2</v>
      </c>
      <c r="AP62" s="4">
        <f>findLinError($R62,data0!Y48,AP$4,AP$5,AP$6,AP$7)</f>
        <v>-1.2143433094024658E-2</v>
      </c>
      <c r="AQ62" s="4">
        <f>findLinError($R62,data0!Z48,AQ$4,AQ$5,AQ$6,AQ$7)</f>
        <v>2.1227061748504639E-2</v>
      </c>
      <c r="AR62" s="4">
        <f>findLinError($R62,data0!AA48,AR$4,AR$5,AR$6,AR$7)</f>
        <v>2.1227061748504639E-2</v>
      </c>
      <c r="AS62" s="4">
        <f>findLinError($R62,data0!AB48,AS$4,AS$5,AS$6,AS$7)</f>
        <v>5.7647824287414551E-3</v>
      </c>
      <c r="AT62" s="4">
        <f>findLinError($R62,data0!AC48,AT$4,AT$5,AT$6,AT$7)</f>
        <v>-2.9037594795227051E-3</v>
      </c>
      <c r="AU62" s="4">
        <f>findLinError($R62,data0!AD48,AU$4,AU$5,AU$6,AU$7)</f>
        <v>-9.9530816078186035E-3</v>
      </c>
      <c r="AV62" s="4">
        <f>findLinError($R62,data0!AE48,AV$4,AV$5,AV$6,AV$7)</f>
        <v>2.2051393985748291E-2</v>
      </c>
      <c r="AW62" s="4">
        <f>findLinError($R62,data0!AF48,AW$4,AW$5,AW$6,AW$7)</f>
        <v>5.3008794784545898E-3</v>
      </c>
      <c r="AX62" s="4">
        <f>findLinError($R62,data0!AG48,AX$4,AX$5,AX$6,AX$7)</f>
        <v>1.0019958019256592E-2</v>
      </c>
    </row>
    <row r="63" spans="2:50">
      <c r="P63" s="9">
        <f t="shared" si="47"/>
        <v>47</v>
      </c>
      <c r="Q63" s="9">
        <f>data4!L49</f>
        <v>4.9633209982857807E-5</v>
      </c>
      <c r="R63" s="34">
        <f t="shared" si="46"/>
        <v>63.194965682318603</v>
      </c>
      <c r="S63" s="4">
        <f>findLinError($R63,data0!B49,S$4,S$5,S$6,S$7)</f>
        <v>1.2953877449035645E-3</v>
      </c>
      <c r="T63" s="4"/>
      <c r="U63" s="4">
        <f>findLinError($R63,data0!D49,U$4,U$5,U$6,U$7)</f>
        <v>6.9051384925842285E-3</v>
      </c>
      <c r="V63" s="4"/>
      <c r="W63" s="4">
        <f>findLinError($R63,data0!F49,W$4,W$5,W$6,W$7)</f>
        <v>-1.7977654933929443E-2</v>
      </c>
      <c r="X63" s="4"/>
      <c r="Y63" s="4"/>
      <c r="Z63" s="4">
        <f>findLinError($R63,data0!I49,Z$4,Z$5,Z$6,Z$7)</f>
        <v>-1.2542605400085449E-2</v>
      </c>
      <c r="AA63" s="4">
        <f>findLinError($R63,data0!J49,AA$4,AA$5,AA$6,AA$7)</f>
        <v>-4.5042037963867188E-3</v>
      </c>
      <c r="AB63" s="4">
        <f>findLinError($R63,data0!K49,AB$4,AB$5,AB$6,AB$7)</f>
        <v>-1.7556667327880859E-2</v>
      </c>
      <c r="AC63" s="4">
        <f>findLinError($R63,data0!L49,AC$4,AC$5,AC$6,AC$7)</f>
        <v>-2.0952701568603516E-2</v>
      </c>
      <c r="AD63" s="4">
        <f>findLinError($R63,data0!M49,AD$4,AD$5,AD$6,AD$7)</f>
        <v>1.9785702228546143E-2</v>
      </c>
      <c r="AE63" s="4">
        <f>findLinError($R63,data0!N49,AE$4,AE$5,AE$6,AE$7)</f>
        <v>-1.9698679447174072E-2</v>
      </c>
      <c r="AF63" s="4">
        <f>findLinError($R63,data0!O49,AF$4,AF$5,AF$6,AF$7)</f>
        <v>6.191551685333252E-3</v>
      </c>
      <c r="AG63" s="4">
        <f>findLinError($R63,data0!P49,AG$4,AG$5,AG$6,AG$7)</f>
        <v>-7.9214572906494141E-3</v>
      </c>
      <c r="AH63" s="4">
        <f>findLinError($R63,data0!Q49,AH$4,AH$5,AH$6,AH$7)</f>
        <v>9.5838308334350586E-3</v>
      </c>
      <c r="AI63" s="4">
        <f>findLinError($R63,data0!R49,AI$4,AI$5,AI$6,AI$7)</f>
        <v>2.2827982902526855E-3</v>
      </c>
      <c r="AJ63" s="4">
        <f>findLinError($R63,data0!S49,AJ$4,AJ$5,AJ$6,AJ$7)</f>
        <v>1.3728022575378418E-2</v>
      </c>
      <c r="AK63" s="4">
        <f>findLinError($R63,data0!T49,AK$4,AK$5,AK$6,AK$7)</f>
        <v>1.9924640655517578E-3</v>
      </c>
      <c r="AL63" s="4">
        <f>findLinError($R63,data0!U49,AL$4,AL$5,AL$6,AL$7)</f>
        <v>2.1367371082305908E-2</v>
      </c>
      <c r="AM63" s="4">
        <f>findLinError($R63,data0!V49,AM$4,AM$5,AM$6,AM$7)</f>
        <v>1.1960625648498535E-2</v>
      </c>
      <c r="AN63" s="4">
        <f>findLinError($R63,data0!W49,AN$4,AN$5,AN$6,AN$7)</f>
        <v>-5.1411986351013184E-3</v>
      </c>
      <c r="AO63" s="4">
        <f>findLinError($R63,data0!X49,AO$4,AO$5,AO$6,AO$7)</f>
        <v>1.2290835380554199E-2</v>
      </c>
      <c r="AP63" s="4">
        <f>findLinError($R63,data0!Y49,AP$4,AP$5,AP$6,AP$7)</f>
        <v>-1.3557374477386475E-2</v>
      </c>
      <c r="AQ63" s="4">
        <f>findLinError($R63,data0!Z49,AQ$4,AQ$5,AQ$6,AQ$7)</f>
        <v>1.7607927322387695E-2</v>
      </c>
      <c r="AR63" s="4">
        <f>findLinError($R63,data0!AA49,AR$4,AR$5,AR$6,AR$7)</f>
        <v>1.7607927322387695E-2</v>
      </c>
      <c r="AS63" s="4">
        <f>findLinError($R63,data0!AB49,AS$4,AS$5,AS$6,AS$7)</f>
        <v>1.1354327201843262E-2</v>
      </c>
      <c r="AT63" s="4">
        <f>findLinError($R63,data0!AC49,AT$4,AT$5,AT$6,AT$7)</f>
        <v>-8.1670284271240234E-4</v>
      </c>
      <c r="AU63" s="4">
        <f>findLinError($R63,data0!AD49,AU$4,AU$5,AU$6,AU$7)</f>
        <v>-9.2886686325073242E-3</v>
      </c>
      <c r="AV63" s="4">
        <f>findLinError($R63,data0!AE49,AV$4,AV$5,AV$6,AV$7)</f>
        <v>1.9931375980377197E-2</v>
      </c>
      <c r="AW63" s="4">
        <f>findLinError($R63,data0!AF49,AW$4,AW$5,AW$6,AW$7)</f>
        <v>6.9051384925842285E-3</v>
      </c>
      <c r="AX63" s="4">
        <f>findLinError($R63,data0!AG49,AX$4,AX$5,AX$6,AX$7)</f>
        <v>9.2861056327819824E-3</v>
      </c>
    </row>
    <row r="64" spans="2:50">
      <c r="P64" s="9">
        <f t="shared" si="47"/>
        <v>48</v>
      </c>
      <c r="Q64" s="9">
        <f>data4!L50</f>
        <v>5.141323617863236E-5</v>
      </c>
      <c r="R64" s="34">
        <f t="shared" si="46"/>
        <v>65.461365425443262</v>
      </c>
      <c r="S64" s="4">
        <f>findLinError($R64,data0!B50,S$4,S$5,S$6,S$7)</f>
        <v>2.8091073036193848E-3</v>
      </c>
      <c r="T64" s="4"/>
      <c r="U64" s="4">
        <f>findLinError($R64,data0!D50,U$4,U$5,U$6,U$7)</f>
        <v>5.9628486633300781E-4</v>
      </c>
      <c r="V64" s="4"/>
      <c r="W64" s="4">
        <f>findLinError($R64,data0!F50,W$4,W$5,W$6,W$7)</f>
        <v>-1.7164468765258789E-2</v>
      </c>
      <c r="X64" s="4"/>
      <c r="Y64" s="4"/>
      <c r="Z64" s="4">
        <f>findLinError($R64,data0!I50,Z$4,Z$5,Z$6,Z$7)</f>
        <v>-1.1301577091217041E-2</v>
      </c>
      <c r="AA64" s="4">
        <f>findLinError($R64,data0!J50,AA$4,AA$5,AA$6,AA$7)</f>
        <v>-7.2910785675048828E-3</v>
      </c>
      <c r="AB64" s="4">
        <f>findLinError($R64,data0!K50,AB$4,AB$5,AB$6,AB$7)</f>
        <v>-1.6622781753540039E-2</v>
      </c>
      <c r="AC64" s="4">
        <f>findLinError($R64,data0!L50,AC$4,AC$5,AC$6,AC$7)</f>
        <v>-2.0327270030975342E-2</v>
      </c>
      <c r="AD64" s="4">
        <f>findLinError($R64,data0!M50,AD$4,AD$5,AD$6,AD$7)</f>
        <v>2.1555721759796143E-2</v>
      </c>
      <c r="AE64" s="4">
        <f>findLinError($R64,data0!N50,AE$4,AE$5,AE$6,AE$7)</f>
        <v>-2.009284496307373E-2</v>
      </c>
      <c r="AF64" s="4">
        <f>findLinError($R64,data0!O50,AF$4,AF$5,AF$6,AF$7)</f>
        <v>4.208683967590332E-3</v>
      </c>
      <c r="AG64" s="4">
        <f>findLinError($R64,data0!P50,AG$4,AG$5,AG$6,AG$7)</f>
        <v>-7.4021816253662109E-3</v>
      </c>
      <c r="AH64" s="4">
        <f>findLinError($R64,data0!Q50,AH$4,AH$5,AH$6,AH$7)</f>
        <v>6.1305761337280273E-3</v>
      </c>
      <c r="AI64" s="4">
        <f>findLinError($R64,data0!R50,AI$4,AI$5,AI$6,AI$7)</f>
        <v>-1.927495002746582E-3</v>
      </c>
      <c r="AJ64" s="4">
        <f>findLinError($R64,data0!S50,AJ$4,AJ$5,AJ$6,AJ$7)</f>
        <v>1.4758050441741943E-2</v>
      </c>
      <c r="AK64" s="4">
        <f>findLinError($R64,data0!T50,AK$4,AK$5,AK$6,AK$7)</f>
        <v>3.2265186309814453E-3</v>
      </c>
      <c r="AL64" s="4">
        <f>findLinError($R64,data0!U50,AL$4,AL$5,AL$6,AL$7)</f>
        <v>1.8973231315612793E-2</v>
      </c>
      <c r="AM64" s="4">
        <f>findLinError($R64,data0!V50,AM$4,AM$5,AM$6,AM$7)</f>
        <v>1.1891663074493408E-2</v>
      </c>
      <c r="AN64" s="4">
        <f>findLinError($R64,data0!W50,AN$4,AN$5,AN$6,AN$7)</f>
        <v>-4.6654939651489258E-3</v>
      </c>
      <c r="AO64" s="4">
        <f>findLinError($R64,data0!X50,AO$4,AO$5,AO$6,AO$7)</f>
        <v>8.941948413848877E-3</v>
      </c>
      <c r="AP64" s="4">
        <f>findLinError($R64,data0!Y50,AP$4,AP$5,AP$6,AP$7)</f>
        <v>-1.5049457550048828E-2</v>
      </c>
      <c r="AQ64" s="4">
        <f>findLinError($R64,data0!Z50,AQ$4,AQ$5,AQ$6,AQ$7)</f>
        <v>1.7836928367614746E-2</v>
      </c>
      <c r="AR64" s="4">
        <f>findLinError($R64,data0!AA50,AR$4,AR$5,AR$6,AR$7)</f>
        <v>1.7836928367614746E-2</v>
      </c>
      <c r="AS64" s="4">
        <f>findLinError($R64,data0!AB50,AS$4,AS$5,AS$6,AS$7)</f>
        <v>9.0309381484985352E-3</v>
      </c>
      <c r="AT64" s="4">
        <f>findLinError($R64,data0!AC50,AT$4,AT$5,AT$6,AT$7)</f>
        <v>-2.7198195457458496E-3</v>
      </c>
      <c r="AU64" s="4">
        <f>findLinError($R64,data0!AD50,AU$4,AU$5,AU$6,AU$7)</f>
        <v>-1.2618422508239746E-2</v>
      </c>
      <c r="AV64" s="4">
        <f>findLinError($R64,data0!AE50,AV$4,AV$5,AV$6,AV$7)</f>
        <v>2.1663486957550049E-2</v>
      </c>
      <c r="AW64" s="4">
        <f>findLinError($R64,data0!AF50,AW$4,AW$5,AW$6,AW$7)</f>
        <v>8.4394216537475586E-3</v>
      </c>
      <c r="AX64" s="4">
        <f>findLinError($R64,data0!AG50,AX$4,AX$5,AX$6,AX$7)</f>
        <v>1.2408137321472168E-2</v>
      </c>
    </row>
    <row r="65" spans="16:50">
      <c r="P65" s="9">
        <f t="shared" si="47"/>
        <v>49</v>
      </c>
      <c r="Q65" s="9">
        <f>data4!L51</f>
        <v>5.3123808811506024E-5</v>
      </c>
      <c r="R65" s="34">
        <f t="shared" si="46"/>
        <v>67.639334145759761</v>
      </c>
      <c r="S65" s="4">
        <f>findLinError($R65,data0!B51,S$4,S$5,S$6,S$7)</f>
        <v>1.4132261276245117E-3</v>
      </c>
      <c r="T65" s="4"/>
      <c r="U65" s="4">
        <f>findLinError($R65,data0!D51,U$4,U$5,U$6,U$7)</f>
        <v>7.0633292198181152E-3</v>
      </c>
      <c r="V65" s="4"/>
      <c r="W65" s="4">
        <f>findLinError($R65,data0!F51,W$4,W$5,W$6,W$7)</f>
        <v>-1.5311896800994873E-2</v>
      </c>
      <c r="X65" s="4"/>
      <c r="Y65" s="4"/>
      <c r="Z65" s="4">
        <f>findLinError($R65,data0!I51,Z$4,Z$5,Z$6,Z$7)</f>
        <v>-9.0379118919372559E-3</v>
      </c>
      <c r="AA65" s="4">
        <f>findLinError($R65,data0!J51,AA$4,AA$5,AA$6,AA$7)</f>
        <v>-5.1295757293701172E-3</v>
      </c>
      <c r="AB65" s="4">
        <f>findLinError($R65,data0!K51,AB$4,AB$5,AB$6,AB$7)</f>
        <v>-1.8575847148895264E-2</v>
      </c>
      <c r="AC65" s="4">
        <f>findLinError($R65,data0!L51,AC$4,AC$5,AC$6,AC$7)</f>
        <v>-1.8655180931091309E-2</v>
      </c>
      <c r="AD65" s="4">
        <f>findLinError($R65,data0!M51,AD$4,AD$5,AD$6,AD$7)</f>
        <v>2.0406126976013184E-2</v>
      </c>
      <c r="AE65" s="4">
        <f>findLinError($R65,data0!N51,AE$4,AE$5,AE$6,AE$7)</f>
        <v>-2.3322105407714844E-2</v>
      </c>
      <c r="AF65" s="4">
        <f>findLinError($R65,data0!O51,AF$4,AF$5,AF$6,AF$7)</f>
        <v>3.2212138175964355E-3</v>
      </c>
      <c r="AG65" s="4">
        <f>findLinError($R65,data0!P51,AG$4,AG$5,AG$6,AG$7)</f>
        <v>-1.9105672836303711E-3</v>
      </c>
      <c r="AH65" s="4">
        <f>findLinError($R65,data0!Q51,AH$4,AH$5,AH$6,AH$7)</f>
        <v>7.6516866683959961E-3</v>
      </c>
      <c r="AI65" s="4">
        <f>findLinError($R65,data0!R51,AI$4,AI$5,AI$6,AI$7)</f>
        <v>-1.1338591575622559E-3</v>
      </c>
      <c r="AJ65" s="4">
        <f>findLinError($R65,data0!S51,AJ$4,AJ$5,AJ$6,AJ$7)</f>
        <v>1.681894063949585E-2</v>
      </c>
      <c r="AK65" s="4">
        <f>findLinError($R65,data0!T51,AK$4,AK$5,AK$6,AK$7)</f>
        <v>1.5618205070495605E-3</v>
      </c>
      <c r="AL65" s="4">
        <f>findLinError($R65,data0!U51,AL$4,AL$5,AL$6,AL$7)</f>
        <v>2.1512150764465332E-2</v>
      </c>
      <c r="AM65" s="4">
        <f>findLinError($R65,data0!V51,AM$4,AM$5,AM$6,AM$7)</f>
        <v>1.2896418571472168E-2</v>
      </c>
      <c r="AN65" s="4">
        <f>findLinError($R65,data0!W51,AN$4,AN$5,AN$6,AN$7)</f>
        <v>-3.1372904777526855E-3</v>
      </c>
      <c r="AO65" s="4">
        <f>findLinError($R65,data0!X51,AO$4,AO$5,AO$6,AO$7)</f>
        <v>1.4484882354736328E-2</v>
      </c>
      <c r="AP65" s="4">
        <f>findLinError($R65,data0!Y51,AP$4,AP$5,AP$6,AP$7)</f>
        <v>-1.5412211418151855E-2</v>
      </c>
      <c r="AQ65" s="4">
        <f>findLinError($R65,data0!Z51,AQ$4,AQ$5,AQ$6,AQ$7)</f>
        <v>2.3049592971801758E-2</v>
      </c>
      <c r="AR65" s="4">
        <f>findLinError($R65,data0!AA51,AR$4,AR$5,AR$6,AR$7)</f>
        <v>2.3049592971801758E-2</v>
      </c>
      <c r="AS65" s="4">
        <f>findLinError($R65,data0!AB51,AS$4,AS$5,AS$6,AS$7)</f>
        <v>1.163780689239502E-2</v>
      </c>
      <c r="AT65" s="4">
        <f>findLinError($R65,data0!AC51,AT$4,AT$5,AT$6,AT$7)</f>
        <v>2.9087066650390625E-4</v>
      </c>
      <c r="AU65" s="4">
        <f>findLinError($R65,data0!AD51,AU$4,AU$5,AU$6,AU$7)</f>
        <v>-1.0978579521179199E-2</v>
      </c>
      <c r="AV65" s="4">
        <f>findLinError($R65,data0!AE51,AV$4,AV$5,AV$6,AV$7)</f>
        <v>2.0477533340454102E-2</v>
      </c>
      <c r="AW65" s="4">
        <f>findLinError($R65,data0!AF51,AW$4,AW$5,AW$6,AW$7)</f>
        <v>7.0633292198181152E-3</v>
      </c>
      <c r="AX65" s="4">
        <f>findLinError($R65,data0!AG51,AX$4,AX$5,AX$6,AX$7)</f>
        <v>1.2557864189147949E-2</v>
      </c>
    </row>
    <row r="66" spans="16:50">
      <c r="P66" s="9">
        <f t="shared" si="47"/>
        <v>50</v>
      </c>
      <c r="Q66" s="9">
        <f>data4!L52</f>
        <v>5.4976992032607086E-5</v>
      </c>
      <c r="R66" s="34">
        <f t="shared" si="46"/>
        <v>69.998880306505313</v>
      </c>
      <c r="S66" s="4">
        <f>findLinError($R66,data0!B52,S$4,S$5,S$6,S$7)</f>
        <v>5.7826042175292969E-3</v>
      </c>
      <c r="T66" s="4"/>
      <c r="U66" s="4">
        <f>findLinError($R66,data0!D52,U$4,U$5,U$6,U$7)</f>
        <v>7.5324773788452148E-3</v>
      </c>
      <c r="V66" s="4"/>
      <c r="W66" s="4">
        <f>findLinError($R66,data0!F52,W$4,W$5,W$6,W$7)</f>
        <v>-1.9514977931976318E-2</v>
      </c>
      <c r="X66" s="4"/>
      <c r="Y66" s="4"/>
      <c r="Z66" s="4">
        <f>findLinError($R66,data0!I52,Z$4,Z$5,Z$6,Z$7)</f>
        <v>-1.2795627117156982E-2</v>
      </c>
      <c r="AA66" s="4">
        <f>findLinError($R66,data0!J52,AA$4,AA$5,AA$6,AA$7)</f>
        <v>-5.0763487815856934E-3</v>
      </c>
      <c r="AB66" s="4">
        <f>findLinError($R66,data0!K52,AB$4,AB$5,AB$6,AB$7)</f>
        <v>-1.8731772899627686E-2</v>
      </c>
      <c r="AC66" s="4">
        <f>findLinError($R66,data0!L52,AC$4,AC$5,AC$6,AC$7)</f>
        <v>-2.3053824901580811E-2</v>
      </c>
      <c r="AD66" s="4">
        <f>findLinError($R66,data0!M52,AD$4,AD$5,AD$6,AD$7)</f>
        <v>2.1120727062225342E-2</v>
      </c>
      <c r="AE66" s="4">
        <f>findLinError($R66,data0!N52,AE$4,AE$5,AE$6,AE$7)</f>
        <v>-2.0939111709594727E-2</v>
      </c>
      <c r="AF66" s="4">
        <f>findLinError($R66,data0!O52,AF$4,AF$5,AF$6,AF$7)</f>
        <v>8.0329775810241699E-3</v>
      </c>
      <c r="AG66" s="4">
        <f>findLinError($R66,data0!P52,AG$4,AG$5,AG$6,AG$7)</f>
        <v>-6.4196586608886719E-3</v>
      </c>
      <c r="AH66" s="4">
        <f>findLinError($R66,data0!Q52,AH$4,AH$5,AH$6,AH$7)</f>
        <v>7.0110559463500977E-3</v>
      </c>
      <c r="AI66" s="4">
        <f>findLinError($R66,data0!R52,AI$4,AI$5,AI$6,AI$7)</f>
        <v>1.3589859008789063E-3</v>
      </c>
      <c r="AJ66" s="4">
        <f>findLinError($R66,data0!S52,AJ$4,AJ$5,AJ$6,AJ$7)</f>
        <v>1.6763150691986084E-2</v>
      </c>
      <c r="AK66" s="4">
        <f>findLinError($R66,data0!T52,AK$4,AK$5,AK$6,AK$7)</f>
        <v>1.7184019088745117E-3</v>
      </c>
      <c r="AL66" s="4">
        <f>findLinError($R66,data0!U52,AL$4,AL$5,AL$6,AL$7)</f>
        <v>1.8052577972412109E-2</v>
      </c>
      <c r="AM66" s="4">
        <f>findLinError($R66,data0!V52,AM$4,AM$5,AM$6,AM$7)</f>
        <v>1.1696398258209229E-2</v>
      </c>
      <c r="AN66" s="4">
        <f>findLinError($R66,data0!W52,AN$4,AN$5,AN$6,AN$7)</f>
        <v>-3.7701725959777832E-3</v>
      </c>
      <c r="AO66" s="4">
        <f>findLinError($R66,data0!X52,AO$4,AO$5,AO$6,AO$7)</f>
        <v>1.0031342506408691E-2</v>
      </c>
      <c r="AP66" s="4">
        <f>findLinError($R66,data0!Y52,AP$4,AP$5,AP$6,AP$7)</f>
        <v>-1.809382438659668E-2</v>
      </c>
      <c r="AQ66" s="4">
        <f>findLinError($R66,data0!Z52,AQ$4,AQ$5,AQ$6,AQ$7)</f>
        <v>2.2159814834594727E-2</v>
      </c>
      <c r="AR66" s="4">
        <f>findLinError($R66,data0!AA52,AR$4,AR$5,AR$6,AR$7)</f>
        <v>2.2159814834594727E-2</v>
      </c>
      <c r="AS66" s="4">
        <f>findLinError($R66,data0!AB52,AS$4,AS$5,AS$6,AS$7)</f>
        <v>8.2519054412841797E-3</v>
      </c>
      <c r="AT66" s="4">
        <f>findLinError($R66,data0!AC52,AT$4,AT$5,AT$6,AT$7)</f>
        <v>1.2640953063964844E-3</v>
      </c>
      <c r="AU66" s="4">
        <f>findLinError($R66,data0!AD52,AU$4,AU$5,AU$6,AU$7)</f>
        <v>-1.1490583419799805E-2</v>
      </c>
      <c r="AV66" s="4">
        <f>findLinError($R66,data0!AE52,AV$4,AV$5,AV$6,AV$7)</f>
        <v>2.1152675151824951E-2</v>
      </c>
      <c r="AW66" s="4">
        <f>findLinError($R66,data0!AF52,AW$4,AW$5,AW$6,AW$7)</f>
        <v>7.5324773788452148E-3</v>
      </c>
      <c r="AX66" s="4">
        <f>findLinError($R66,data0!AG52,AX$4,AX$5,AX$6,AX$7)</f>
        <v>1.4680027961730957E-2</v>
      </c>
    </row>
    <row r="67" spans="16:50">
      <c r="P67" s="9">
        <f t="shared" si="47"/>
        <v>51</v>
      </c>
      <c r="Q67" s="9">
        <f>data4!L53</f>
        <v>5.6824270814104239E-5</v>
      </c>
      <c r="R67" s="34">
        <f t="shared" si="46"/>
        <v>72.350908701257666</v>
      </c>
      <c r="S67" s="4">
        <f>findLinError($R67,data0!B53,S$4,S$5,S$6,S$7)</f>
        <v>2.3947954177856445E-3</v>
      </c>
      <c r="T67" s="4"/>
      <c r="U67" s="4">
        <f>findLinError($R67,data0!D53,U$4,U$5,U$6,U$7)</f>
        <v>4.1660666465759277E-3</v>
      </c>
      <c r="V67" s="4"/>
      <c r="W67" s="4">
        <f>findLinError($R67,data0!F53,W$4,W$5,W$6,W$7)</f>
        <v>-1.9708156585693359E-2</v>
      </c>
      <c r="X67" s="4"/>
      <c r="Y67" s="4"/>
      <c r="Z67" s="4">
        <f>findLinError($R67,data0!I53,Z$4,Z$5,Z$6,Z$7)</f>
        <v>-1.2544870376586914E-2</v>
      </c>
      <c r="AA67" s="4">
        <f>findLinError($R67,data0!J53,AA$4,AA$5,AA$6,AA$7)</f>
        <v>-8.8574886322021484E-3</v>
      </c>
      <c r="AB67" s="4">
        <f>findLinError($R67,data0!K53,AB$4,AB$5,AB$6,AB$7)</f>
        <v>-2.2721350193023682E-2</v>
      </c>
      <c r="AC67" s="4">
        <f>findLinError($R67,data0!L53,AC$4,AC$5,AC$6,AC$7)</f>
        <v>-1.9520342350006104E-2</v>
      </c>
      <c r="AD67" s="4">
        <f>findLinError($R67,data0!M53,AD$4,AD$5,AD$6,AD$7)</f>
        <v>2.1920502185821533E-2</v>
      </c>
      <c r="AE67" s="4">
        <f>findLinError($R67,data0!N53,AE$4,AE$5,AE$6,AE$7)</f>
        <v>-2.2385299205780029E-2</v>
      </c>
      <c r="AF67" s="4">
        <f>findLinError($R67,data0!O53,AF$4,AF$5,AF$6,AF$7)</f>
        <v>5.0861835479736328E-3</v>
      </c>
      <c r="AG67" s="4">
        <f>findLinError($R67,data0!P53,AG$4,AG$5,AG$6,AG$7)</f>
        <v>-6.9178938865661621E-3</v>
      </c>
      <c r="AH67" s="4">
        <f>findLinError($R67,data0!Q53,AH$4,AH$5,AH$6,AH$7)</f>
        <v>6.4598917961120605E-3</v>
      </c>
      <c r="AI67" s="4">
        <f>findLinError($R67,data0!R53,AI$4,AI$5,AI$6,AI$7)</f>
        <v>2.2232532501220703E-5</v>
      </c>
      <c r="AJ67" s="4">
        <f>findLinError($R67,data0!S53,AJ$4,AJ$5,AJ$6,AJ$7)</f>
        <v>1.2873351573944092E-2</v>
      </c>
      <c r="AK67" s="4">
        <f>findLinError($R67,data0!T53,AK$4,AK$5,AK$6,AK$7)</f>
        <v>1.9618868827819824E-3</v>
      </c>
      <c r="AL67" s="4">
        <f>findLinError($R67,data0!U53,AL$4,AL$5,AL$6,AL$7)</f>
        <v>1.8600583076477051E-2</v>
      </c>
      <c r="AM67" s="4">
        <f>findLinError($R67,data0!V53,AM$4,AM$5,AM$6,AM$7)</f>
        <v>1.0587692260742187E-2</v>
      </c>
      <c r="AN67" s="4">
        <f>findLinError($R67,data0!W53,AN$4,AN$5,AN$6,AN$7)</f>
        <v>-8.2351565361022949E-3</v>
      </c>
      <c r="AO67" s="4">
        <f>findLinError($R67,data0!X53,AO$4,AO$5,AO$6,AO$7)</f>
        <v>1.351010799407959E-2</v>
      </c>
      <c r="AP67" s="4">
        <f>findLinError($R67,data0!Y53,AP$4,AP$5,AP$6,AP$7)</f>
        <v>-2.067941427230835E-2</v>
      </c>
      <c r="AQ67" s="4">
        <f>findLinError($R67,data0!Z53,AQ$4,AQ$5,AQ$6,AQ$7)</f>
        <v>1.7438709735870361E-2</v>
      </c>
      <c r="AR67" s="4">
        <f>findLinError($R67,data0!AA53,AR$4,AR$5,AR$6,AR$7)</f>
        <v>1.7438709735870361E-2</v>
      </c>
      <c r="AS67" s="4">
        <f>findLinError($R67,data0!AB53,AS$4,AS$5,AS$6,AS$7)</f>
        <v>8.8733434677124023E-3</v>
      </c>
      <c r="AT67" s="4">
        <f>findLinError($R67,data0!AC53,AT$4,AT$5,AT$6,AT$7)</f>
        <v>-5.5215358734130859E-3</v>
      </c>
      <c r="AU67" s="4">
        <f>findLinError($R67,data0!AD53,AU$4,AU$5,AU$6,AU$7)</f>
        <v>-1.5835046768188477E-2</v>
      </c>
      <c r="AV67" s="4">
        <f>findLinError($R67,data0!AE53,AV$4,AV$5,AV$6,AV$7)</f>
        <v>2.1913111209869385E-2</v>
      </c>
      <c r="AW67" s="4">
        <f>findLinError($R67,data0!AF53,AW$4,AW$5,AW$6,AW$7)</f>
        <v>4.1660666465759277E-3</v>
      </c>
      <c r="AX67" s="4">
        <f>findLinError($R67,data0!AG53,AX$4,AX$5,AX$6,AX$7)</f>
        <v>1.2961268424987793E-2</v>
      </c>
    </row>
    <row r="68" spans="16:50">
      <c r="P68" s="9">
        <f t="shared" si="47"/>
        <v>52</v>
      </c>
      <c r="Q68" s="9">
        <f>data4!L54</f>
        <v>5.8678958794189384E-5</v>
      </c>
      <c r="R68" s="34">
        <f t="shared" si="46"/>
        <v>74.712370780647063</v>
      </c>
      <c r="S68" s="4">
        <f>findLinError($R68,data0!B54,S$4,S$5,S$6,S$7)</f>
        <v>-1.1010169982910156E-3</v>
      </c>
      <c r="T68" s="4"/>
      <c r="U68" s="4">
        <f>findLinError($R68,data0!D54,U$4,U$5,U$6,U$7)</f>
        <v>6.9165229797363281E-4</v>
      </c>
      <c r="V68" s="4"/>
      <c r="W68" s="4">
        <f>findLinError($R68,data0!F54,W$4,W$5,W$6,W$7)</f>
        <v>-1.6090750694274902E-2</v>
      </c>
      <c r="X68" s="4"/>
      <c r="Y68" s="4"/>
      <c r="Z68" s="4">
        <f>findLinError($R68,data0!I54,Z$4,Z$5,Z$6,Z$7)</f>
        <v>-1.6324818134307861E-2</v>
      </c>
      <c r="AA68" s="4">
        <f>findLinError($R68,data0!J54,AA$4,AA$5,AA$6,AA$7)</f>
        <v>-8.8266134262084961E-3</v>
      </c>
      <c r="AB68" s="4">
        <f>findLinError($R68,data0!K54,AB$4,AB$5,AB$6,AB$7)</f>
        <v>-1.897817850112915E-2</v>
      </c>
      <c r="AC68" s="4">
        <f>findLinError($R68,data0!L54,AC$4,AC$5,AC$6,AC$7)</f>
        <v>-2.3941695690155029E-2</v>
      </c>
      <c r="AD68" s="4">
        <f>findLinError($R68,data0!M54,AD$4,AD$5,AD$6,AD$7)</f>
        <v>1.8691718578338623E-2</v>
      </c>
      <c r="AE68" s="4">
        <f>findLinError($R68,data0!N54,AE$4,AE$5,AE$6,AE$7)</f>
        <v>-2.7869045734405518E-2</v>
      </c>
      <c r="AF68" s="4">
        <f>findLinError($R68,data0!O54,AF$4,AF$5,AF$6,AF$7)</f>
        <v>9.8763108253479004E-3</v>
      </c>
      <c r="AG68" s="4">
        <f>findLinError($R68,data0!P54,AG$4,AG$5,AG$6,AG$7)</f>
        <v>-7.5282454490661621E-3</v>
      </c>
      <c r="AH68" s="4">
        <f>findLinError($R68,data0!Q54,AH$4,AH$5,AH$6,AH$7)</f>
        <v>5.7964324951171875E-3</v>
      </c>
      <c r="AI68" s="4">
        <f>findLinError($R68,data0!R54,AI$4,AI$5,AI$6,AI$7)</f>
        <v>-1.4300942420959473E-3</v>
      </c>
      <c r="AJ68" s="4">
        <f>findLinError($R68,data0!S54,AJ$4,AJ$5,AJ$6,AJ$7)</f>
        <v>1.2795090675354004E-2</v>
      </c>
      <c r="AK68" s="4">
        <f>findLinError($R68,data0!T54,AK$4,AK$5,AK$6,AK$7)</f>
        <v>-1.8253326416015625E-3</v>
      </c>
      <c r="AL68" s="4">
        <f>findLinError($R68,data0!U54,AL$4,AL$5,AL$6,AL$7)</f>
        <v>2.2962212562561035E-2</v>
      </c>
      <c r="AM68" s="4">
        <f>findLinError($R68,data0!V54,AM$4,AM$5,AM$6,AM$7)</f>
        <v>1.3285934925079346E-2</v>
      </c>
      <c r="AN68" s="4">
        <f>findLinError($R68,data0!W54,AN$4,AN$5,AN$6,AN$7)</f>
        <v>-8.8909268379211426E-3</v>
      </c>
      <c r="AO68" s="4">
        <f>findLinError($R68,data0!X54,AO$4,AO$5,AO$6,AO$7)</f>
        <v>9.0337395668029785E-3</v>
      </c>
      <c r="AP68" s="4">
        <f>findLinError($R68,data0!Y54,AP$4,AP$5,AP$6,AP$7)</f>
        <v>0</v>
      </c>
      <c r="AQ68" s="4">
        <f>findLinError($R68,data0!Z54,AQ$4,AQ$5,AQ$6,AQ$7)</f>
        <v>2.0447373390197754E-2</v>
      </c>
      <c r="AR68" s="4">
        <f>findLinError($R68,data0!AA54,AR$4,AR$5,AR$6,AR$7)</f>
        <v>2.0447373390197754E-2</v>
      </c>
      <c r="AS68" s="4">
        <f>findLinError($R68,data0!AB54,AS$4,AS$5,AS$6,AS$7)</f>
        <v>9.3870759010314941E-3</v>
      </c>
      <c r="AT68" s="4">
        <f>findLinError($R68,data0!AC54,AT$4,AT$5,AT$6,AT$7)</f>
        <v>-4.5698881149291992E-3</v>
      </c>
      <c r="AU68" s="4">
        <f>findLinError($R68,data0!AD54,AU$4,AU$5,AU$6,AU$7)</f>
        <v>-1.2448251247406006E-2</v>
      </c>
      <c r="AV68" s="4">
        <f>findLinError($R68,data0!AE54,AV$4,AV$5,AV$6,AV$7)</f>
        <v>2.2566437721252441E-2</v>
      </c>
      <c r="AW68" s="4">
        <f>findLinError($R68,data0!AF54,AW$4,AW$5,AW$6,AW$7)</f>
        <v>8.5347890853881836E-3</v>
      </c>
      <c r="AX68" s="4">
        <f>findLinError($R68,data0!AG54,AX$4,AX$5,AX$6,AX$7)</f>
        <v>1.114124059677124E-2</v>
      </c>
    </row>
    <row r="69" spans="16:50">
      <c r="P69" s="9">
        <f t="shared" si="47"/>
        <v>53</v>
      </c>
      <c r="Q69" s="9">
        <f>data4!L55</f>
        <v>6.0504612520162482E-5</v>
      </c>
      <c r="R69" s="34">
        <f t="shared" si="46"/>
        <v>77.036865299549106</v>
      </c>
      <c r="S69" s="4">
        <f>findLinError($R69,data0!B55,S$4,S$5,S$6,S$7)</f>
        <v>3.669440746307373E-3</v>
      </c>
      <c r="T69" s="4"/>
      <c r="U69" s="4">
        <f>findLinError($R69,data0!D55,U$4,U$5,U$6,U$7)</f>
        <v>5.4832100868225098E-3</v>
      </c>
      <c r="V69" s="4"/>
      <c r="W69" s="4">
        <f>findLinError($R69,data0!F55,W$4,W$5,W$6,W$7)</f>
        <v>-2.3803472518920898E-2</v>
      </c>
      <c r="X69" s="4"/>
      <c r="Y69" s="4"/>
      <c r="Z69" s="4">
        <f>findLinError($R69,data0!I55,Z$4,Z$5,Z$6,Z$7)</f>
        <v>-1.5755653381347656E-2</v>
      </c>
      <c r="AA69" s="4">
        <f>findLinError($R69,data0!J55,AA$4,AA$5,AA$6,AA$7)</f>
        <v>-8.3664655685424805E-3</v>
      </c>
      <c r="AB69" s="4">
        <f>findLinError($R69,data0!K55,AB$4,AB$5,AB$6,AB$7)</f>
        <v>-1.4802455902099609E-2</v>
      </c>
      <c r="AC69" s="4">
        <f>findLinError($R69,data0!L55,AC$4,AC$5,AC$6,AC$7)</f>
        <v>-2.7925431728363037E-2</v>
      </c>
      <c r="AD69" s="4">
        <f>findLinError($R69,data0!M55,AD$4,AD$5,AD$6,AD$7)</f>
        <v>2.764660120010376E-2</v>
      </c>
      <c r="AE69" s="4">
        <f>findLinError($R69,data0!N55,AE$4,AE$5,AE$6,AE$7)</f>
        <v>0</v>
      </c>
      <c r="AF69" s="4">
        <f>findLinError($R69,data0!O55,AF$4,AF$5,AF$6,AF$7)</f>
        <v>3.3178925514221191E-3</v>
      </c>
      <c r="AG69" s="4">
        <f>findLinError($R69,data0!P55,AG$4,AG$5,AG$6,AG$7)</f>
        <v>-3.7777423858642578E-3</v>
      </c>
      <c r="AH69" s="4">
        <f>findLinError($R69,data0!Q55,AH$4,AH$5,AH$6,AH$7)</f>
        <v>5.5730938911437988E-3</v>
      </c>
      <c r="AI69" s="4">
        <f>findLinError($R69,data0!R55,AI$4,AI$5,AI$6,AI$7)</f>
        <v>0</v>
      </c>
      <c r="AJ69" s="4">
        <f>findLinError($R69,data0!S55,AJ$4,AJ$5,AJ$6,AJ$7)</f>
        <v>1.3147890567779541E-2</v>
      </c>
      <c r="AK69" s="4">
        <f>findLinError($R69,data0!T55,AK$4,AK$5,AK$6,AK$7)</f>
        <v>2.6582479476928711E-3</v>
      </c>
      <c r="AL69" s="4">
        <f>findLinError($R69,data0!U55,AL$4,AL$5,AL$6,AL$7)</f>
        <v>2.3825168609619141E-2</v>
      </c>
      <c r="AM69" s="4">
        <f>findLinError($R69,data0!V55,AM$4,AM$5,AM$6,AM$7)</f>
        <v>0</v>
      </c>
      <c r="AN69" s="4">
        <f>findLinError($R69,data0!W55,AN$4,AN$5,AN$6,AN$7)</f>
        <v>-9.1066956520080566E-3</v>
      </c>
      <c r="AO69" s="4">
        <f>findLinError($R69,data0!X55,AO$4,AO$5,AO$6,AO$7)</f>
        <v>1.2839019298553467E-2</v>
      </c>
      <c r="AP69" s="4">
        <f>findLinError($R69,data0!Y55,AP$4,AP$5,AP$6,AP$7)</f>
        <v>0</v>
      </c>
      <c r="AQ69" s="4">
        <f>findLinError($R69,data0!Z55,AQ$4,AQ$5,AQ$6,AQ$7)</f>
        <v>0</v>
      </c>
      <c r="AR69" s="4">
        <f>findLinError($R69,data0!AA55,AR$4,AR$5,AR$6,AR$7)</f>
        <v>0</v>
      </c>
      <c r="AS69" s="4">
        <f>findLinError($R69,data0!AB55,AS$4,AS$5,AS$6,AS$7)</f>
        <v>1.032257080078125E-2</v>
      </c>
      <c r="AT69" s="4">
        <f>findLinError($R69,data0!AC55,AT$4,AT$5,AT$6,AT$7)</f>
        <v>-3.2033920288085938E-3</v>
      </c>
      <c r="AU69" s="4">
        <f>findLinError($R69,data0!AD55,AU$4,AU$5,AU$6,AU$7)</f>
        <v>-1.6466438770294189E-2</v>
      </c>
      <c r="AV69" s="4">
        <f>findLinError($R69,data0!AE55,AV$4,AV$5,AV$6,AV$7)</f>
        <v>2.3639321327209473E-2</v>
      </c>
      <c r="AW69" s="4">
        <f>findLinError($R69,data0!AF55,AW$4,AW$5,AW$6,AW$7)</f>
        <v>5.4832100868225098E-3</v>
      </c>
      <c r="AX69" s="4">
        <f>findLinError($R69,data0!AG55,AX$4,AX$5,AX$6,AX$7)</f>
        <v>1.3639688491821289E-2</v>
      </c>
    </row>
    <row r="70" spans="16:50">
      <c r="P70" s="9">
        <f t="shared" si="47"/>
        <v>54</v>
      </c>
      <c r="Q70" s="9">
        <f>data4!L56</f>
        <v>6.2425569012702908E-5</v>
      </c>
      <c r="R70" s="34">
        <f t="shared" si="46"/>
        <v>79.482703069567336</v>
      </c>
      <c r="S70" s="4">
        <f>findLinError($R70,data0!B56,S$4,S$5,S$6,S$7)</f>
        <v>-7.9196691513061523E-4</v>
      </c>
      <c r="T70" s="4"/>
      <c r="U70" s="4">
        <f>findLinError($R70,data0!D56,U$4,U$5,U$6,U$7)</f>
        <v>4.9655437469482422E-3</v>
      </c>
      <c r="V70" s="4"/>
      <c r="W70" s="4">
        <f>findLinError($R70,data0!F56,W$4,W$5,W$6,W$7)</f>
        <v>0</v>
      </c>
      <c r="X70" s="4"/>
      <c r="Y70" s="4"/>
      <c r="Z70" s="4">
        <f>findLinError($R70,data0!I56,Z$4,Z$5,Z$6,Z$7)</f>
        <v>-1.6589760780334473E-2</v>
      </c>
      <c r="AA70" s="4">
        <f>findLinError($R70,data0!J56,AA$4,AA$5,AA$6,AA$7)</f>
        <v>-9.3153119087219238E-3</v>
      </c>
      <c r="AB70" s="4">
        <f>findLinError($R70,data0!K56,AB$4,AB$5,AB$6,AB$7)</f>
        <v>-2.3811161518096924E-2</v>
      </c>
      <c r="AC70" s="4">
        <f>findLinError($R70,data0!L56,AC$4,AC$5,AC$6,AC$7)</f>
        <v>0</v>
      </c>
      <c r="AD70" s="4">
        <f>findLinError($R70,data0!M56,AD$4,AD$5,AD$6,AD$7)</f>
        <v>1.9540190696716309E-2</v>
      </c>
      <c r="AE70" s="4">
        <f>findLinError($R70,data0!N56,AE$4,AE$5,AE$6,AE$7)</f>
        <v>0</v>
      </c>
      <c r="AF70" s="4">
        <f>findLinError($R70,data0!O56,AF$4,AF$5,AF$6,AF$7)</f>
        <v>1.1079788208007813E-2</v>
      </c>
      <c r="AG70" s="4">
        <f>findLinError($R70,data0!P56,AG$4,AG$5,AG$6,AG$7)</f>
        <v>0</v>
      </c>
      <c r="AH70" s="4">
        <f>findLinError($R70,data0!Q56,AH$4,AH$5,AH$6,AH$7)</f>
        <v>0</v>
      </c>
      <c r="AI70" s="4">
        <f>findLinError($R70,data0!R56,AI$4,AI$5,AI$6,AI$7)</f>
        <v>0</v>
      </c>
      <c r="AJ70" s="4">
        <f>findLinError($R70,data0!S56,AJ$4,AJ$5,AJ$6,AJ$7)</f>
        <v>0</v>
      </c>
      <c r="AK70" s="4">
        <f>findLinError($R70,data0!T56,AK$4,AK$5,AK$6,AK$7)</f>
        <v>-2.1050572395324707E-3</v>
      </c>
      <c r="AL70" s="4">
        <f>findLinError($R70,data0!U56,AL$4,AL$5,AL$6,AL$7)</f>
        <v>1.9378542900085449E-2</v>
      </c>
      <c r="AM70" s="4">
        <f>findLinError($R70,data0!V56,AM$4,AM$5,AM$6,AM$7)</f>
        <v>0</v>
      </c>
      <c r="AN70" s="4">
        <f>findLinError($R70,data0!W56,AN$4,AN$5,AN$6,AN$7)</f>
        <v>0</v>
      </c>
      <c r="AO70" s="4">
        <f>findLinError($R70,data0!X56,AO$4,AO$5,AO$6,AO$7)</f>
        <v>0</v>
      </c>
      <c r="AP70" s="4">
        <f>findLinError($R70,data0!Y56,AP$4,AP$5,AP$6,AP$7)</f>
        <v>0</v>
      </c>
      <c r="AQ70" s="4">
        <f>findLinError($R70,data0!Z56,AQ$4,AQ$5,AQ$6,AQ$7)</f>
        <v>0</v>
      </c>
      <c r="AR70" s="4">
        <f>findLinError($R70,data0!AA56,AR$4,AR$5,AR$6,AR$7)</f>
        <v>0</v>
      </c>
      <c r="AS70" s="4">
        <f>findLinError($R70,data0!AB56,AS$4,AS$5,AS$6,AS$7)</f>
        <v>5.952298641204834E-3</v>
      </c>
      <c r="AT70" s="4">
        <f>findLinError($R70,data0!AC56,AT$4,AT$5,AT$6,AT$7)</f>
        <v>-3.1985640525817871E-3</v>
      </c>
      <c r="AU70" s="4">
        <f>findLinError($R70,data0!AD56,AU$4,AU$5,AU$6,AU$7)</f>
        <v>0</v>
      </c>
      <c r="AV70" s="4">
        <f>findLinError($R70,data0!AE56,AV$4,AV$5,AV$6,AV$7)</f>
        <v>1.9413590431213379E-2</v>
      </c>
      <c r="AW70" s="4">
        <f>findLinError($R70,data0!AF56,AW$4,AW$5,AW$6,AW$7)</f>
        <v>4.9655437469482422E-3</v>
      </c>
      <c r="AX70" s="4">
        <f>findLinError($R70,data0!AG56,AX$4,AX$5,AX$6,AX$7)</f>
        <v>1.09139084815979E-2</v>
      </c>
    </row>
    <row r="71" spans="16:50">
      <c r="P71" s="9">
        <f t="shared" si="47"/>
        <v>55</v>
      </c>
      <c r="Q71" s="9">
        <f>data4!L57</f>
        <v>6.4294661569874734E-5</v>
      </c>
      <c r="R71" s="34">
        <f t="shared" si="46"/>
        <v>81.862505626128666</v>
      </c>
      <c r="S71" s="4">
        <f>findLinError($R71,data0!B57,S$4,S$5,S$6,S$7)</f>
        <v>0</v>
      </c>
      <c r="T71" s="4"/>
      <c r="U71" s="4">
        <f>findLinError($R71,data0!D57,U$4,U$5,U$6,U$7)</f>
        <v>0</v>
      </c>
      <c r="V71" s="4"/>
      <c r="W71" s="4">
        <f>findLinError($R71,data0!F57,W$4,W$5,W$6,W$7)</f>
        <v>0</v>
      </c>
      <c r="X71" s="4"/>
      <c r="Y71" s="4"/>
      <c r="Z71" s="4">
        <f>findLinError($R71,data0!I57,Z$4,Z$5,Z$6,Z$7)</f>
        <v>0</v>
      </c>
      <c r="AA71" s="4">
        <f>findLinError($R71,data0!J57,AA$4,AA$5,AA$6,AA$7)</f>
        <v>0</v>
      </c>
      <c r="AB71" s="4">
        <f>findLinError($R71,data0!K57,AB$4,AB$5,AB$6,AB$7)</f>
        <v>0</v>
      </c>
      <c r="AC71" s="4">
        <f>findLinError($R71,data0!L57,AC$4,AC$5,AC$6,AC$7)</f>
        <v>0</v>
      </c>
      <c r="AD71" s="4">
        <f>findLinError($R71,data0!M57,AD$4,AD$5,AD$6,AD$7)</f>
        <v>0</v>
      </c>
      <c r="AE71" s="4">
        <f>findLinError($R71,data0!N57,AE$4,AE$5,AE$6,AE$7)</f>
        <v>0</v>
      </c>
      <c r="AF71" s="4">
        <f>findLinError($R71,data0!O57,AF$4,AF$5,AF$6,AF$7)</f>
        <v>0</v>
      </c>
      <c r="AG71" s="4">
        <f>findLinError($R71,data0!P57,AG$4,AG$5,AG$6,AG$7)</f>
        <v>0</v>
      </c>
      <c r="AH71" s="4">
        <f>findLinError($R71,data0!Q57,AH$4,AH$5,AH$6,AH$7)</f>
        <v>0</v>
      </c>
      <c r="AI71" s="4">
        <f>findLinError($R71,data0!R57,AI$4,AI$5,AI$6,AI$7)</f>
        <v>0</v>
      </c>
      <c r="AJ71" s="4">
        <f>findLinError($R71,data0!S57,AJ$4,AJ$5,AJ$6,AJ$7)</f>
        <v>0</v>
      </c>
      <c r="AK71" s="4">
        <f>findLinError($R71,data0!T57,AK$4,AK$5,AK$6,AK$7)</f>
        <v>0</v>
      </c>
      <c r="AL71" s="4">
        <f>findLinError($R71,data0!U57,AL$4,AL$5,AL$6,AL$7)</f>
        <v>0</v>
      </c>
      <c r="AM71" s="4">
        <f>findLinError($R71,data0!V57,AM$4,AM$5,AM$6,AM$7)</f>
        <v>0</v>
      </c>
      <c r="AN71" s="4">
        <f>findLinError($R71,data0!W57,AN$4,AN$5,AN$6,AN$7)</f>
        <v>0</v>
      </c>
      <c r="AO71" s="4">
        <f>findLinError($R71,data0!X57,AO$4,AO$5,AO$6,AO$7)</f>
        <v>0</v>
      </c>
      <c r="AP71" s="4">
        <f>findLinError($R71,data0!Y57,AP$4,AP$5,AP$6,AP$7)</f>
        <v>0</v>
      </c>
      <c r="AQ71" s="4">
        <f>findLinError($R71,data0!Z57,AQ$4,AQ$5,AQ$6,AQ$7)</f>
        <v>0</v>
      </c>
      <c r="AR71" s="4">
        <f>findLinError($R71,data0!AA57,AR$4,AR$5,AR$6,AR$7)</f>
        <v>0</v>
      </c>
      <c r="AS71" s="4">
        <f>findLinError($R71,data0!AB57,AS$4,AS$5,AS$6,AS$7)</f>
        <v>0</v>
      </c>
      <c r="AT71" s="4">
        <f>findLinError($R71,data0!AC57,AT$4,AT$5,AT$6,AT$7)</f>
        <v>-2.4526715278625488E-3</v>
      </c>
      <c r="AU71" s="4">
        <f>findLinError($R71,data0!AD57,AU$4,AU$5,AU$6,AU$7)</f>
        <v>0</v>
      </c>
      <c r="AV71" s="4">
        <f>findLinError($R71,data0!AE57,AV$4,AV$5,AV$6,AV$7)</f>
        <v>0</v>
      </c>
      <c r="AW71" s="4">
        <f>findLinError($R71,data0!AF57,AW$4,AW$5,AW$6,AW$7)</f>
        <v>0</v>
      </c>
      <c r="AX71" s="4">
        <f>findLinError($R71,data0!AG57,AX$4,AX$5,AX$6,AX$7)</f>
        <v>1.2818694114685059E-2</v>
      </c>
    </row>
    <row r="72" spans="16:50">
      <c r="P72" s="9">
        <f t="shared" si="47"/>
        <v>56</v>
      </c>
      <c r="Q72" s="9">
        <f>data4!L58</f>
        <v>6.6144615630037151E-5</v>
      </c>
      <c r="R72" s="34">
        <f t="shared" si="46"/>
        <v>84.217940291470839</v>
      </c>
      <c r="S72" s="4">
        <f>findLinError($R72,data0!B58,S$4,S$5,S$6,S$7)</f>
        <v>0</v>
      </c>
      <c r="T72" s="4"/>
      <c r="U72" s="4">
        <f>findLinError($R72,data0!D58,U$4,U$5,U$6,U$7)</f>
        <v>0</v>
      </c>
      <c r="V72" s="4"/>
      <c r="W72" s="4">
        <f>findLinError($R72,data0!F58,W$4,W$5,W$6,W$7)</f>
        <v>0</v>
      </c>
      <c r="X72" s="4"/>
      <c r="Y72" s="4"/>
      <c r="Z72" s="4">
        <f>findLinError($R72,data0!I58,Z$4,Z$5,Z$6,Z$7)</f>
        <v>0</v>
      </c>
      <c r="AA72" s="4">
        <f>findLinError($R72,data0!J58,AA$4,AA$5,AA$6,AA$7)</f>
        <v>0</v>
      </c>
      <c r="AB72" s="4">
        <f>findLinError($R72,data0!K58,AB$4,AB$5,AB$6,AB$7)</f>
        <v>0</v>
      </c>
      <c r="AC72" s="4">
        <f>findLinError($R72,data0!L58,AC$4,AC$5,AC$6,AC$7)</f>
        <v>0</v>
      </c>
      <c r="AD72" s="4">
        <f>findLinError($R72,data0!M58,AD$4,AD$5,AD$6,AD$7)</f>
        <v>0</v>
      </c>
      <c r="AE72" s="4">
        <f>findLinError($R72,data0!N58,AE$4,AE$5,AE$6,AE$7)</f>
        <v>0</v>
      </c>
      <c r="AF72" s="4">
        <f>findLinError($R72,data0!O58,AF$4,AF$5,AF$6,AF$7)</f>
        <v>0</v>
      </c>
      <c r="AG72" s="4">
        <f>findLinError($R72,data0!P58,AG$4,AG$5,AG$6,AG$7)</f>
        <v>0</v>
      </c>
      <c r="AH72" s="4">
        <f>findLinError($R72,data0!Q58,AH$4,AH$5,AH$6,AH$7)</f>
        <v>0</v>
      </c>
      <c r="AI72" s="4">
        <f>findLinError($R72,data0!R58,AI$4,AI$5,AI$6,AI$7)</f>
        <v>0</v>
      </c>
      <c r="AJ72" s="4">
        <f>findLinError($R72,data0!S58,AJ$4,AJ$5,AJ$6,AJ$7)</f>
        <v>0</v>
      </c>
      <c r="AK72" s="4">
        <f>findLinError($R72,data0!T58,AK$4,AK$5,AK$6,AK$7)</f>
        <v>0</v>
      </c>
      <c r="AL72" s="4">
        <f>findLinError($R72,data0!U58,AL$4,AL$5,AL$6,AL$7)</f>
        <v>0</v>
      </c>
      <c r="AM72" s="4">
        <f>findLinError($R72,data0!V58,AM$4,AM$5,AM$6,AM$7)</f>
        <v>0</v>
      </c>
      <c r="AN72" s="4">
        <f>findLinError($R72,data0!W58,AN$4,AN$5,AN$6,AN$7)</f>
        <v>0</v>
      </c>
      <c r="AO72" s="4">
        <f>findLinError($R72,data0!X58,AO$4,AO$5,AO$6,AO$7)</f>
        <v>0</v>
      </c>
      <c r="AP72" s="4">
        <f>findLinError($R72,data0!Y58,AP$4,AP$5,AP$6,AP$7)</f>
        <v>0</v>
      </c>
      <c r="AQ72" s="4">
        <f>findLinError($R72,data0!Z58,AQ$4,AQ$5,AQ$6,AQ$7)</f>
        <v>0</v>
      </c>
      <c r="AR72" s="4">
        <f>findLinError($R72,data0!AA58,AR$4,AR$5,AR$6,AR$7)</f>
        <v>0</v>
      </c>
      <c r="AS72" s="4">
        <f>findLinError($R72,data0!AB58,AS$4,AS$5,AS$6,AS$7)</f>
        <v>0</v>
      </c>
      <c r="AT72" s="4">
        <f>findLinError($R72,data0!AC58,AT$4,AT$5,AT$6,AT$7)</f>
        <v>0</v>
      </c>
      <c r="AU72" s="4">
        <f>findLinError($R72,data0!AD58,AU$4,AU$5,AU$6,AU$7)</f>
        <v>0</v>
      </c>
      <c r="AV72" s="4">
        <f>findLinError($R72,data0!AE58,AV$4,AV$5,AV$6,AV$7)</f>
        <v>0</v>
      </c>
      <c r="AW72" s="4">
        <f>findLinError($R72,data0!AF58,AW$4,AW$5,AW$6,AW$7)</f>
        <v>0</v>
      </c>
      <c r="AX72" s="4">
        <f>findLinError($R72,data0!AG58,AX$4,AX$5,AX$6,AX$7)</f>
        <v>1.1063337326049805E-2</v>
      </c>
    </row>
    <row r="73" spans="16:50">
      <c r="P73" s="9">
        <f t="shared" si="47"/>
        <v>57</v>
      </c>
      <c r="Q73" s="9">
        <f>data4!L59</f>
        <v>6.811109597038012E-5</v>
      </c>
      <c r="R73" s="34">
        <f t="shared" si="46"/>
        <v>86.721740824739754</v>
      </c>
      <c r="S73" s="4">
        <f>findLinError($R73,data0!B59,S$4,S$5,S$6,S$7)</f>
        <v>0</v>
      </c>
      <c r="T73" s="4"/>
      <c r="U73" s="4">
        <f>findLinError($R73,data0!D59,U$4,U$5,U$6,U$7)</f>
        <v>0</v>
      </c>
      <c r="V73" s="4"/>
      <c r="W73" s="4">
        <f>findLinError($R73,data0!F59,W$4,W$5,W$6,W$7)</f>
        <v>0</v>
      </c>
      <c r="X73" s="4"/>
      <c r="Y73" s="4"/>
      <c r="Z73" s="4">
        <f>findLinError($R73,data0!I59,Z$4,Z$5,Z$6,Z$7)</f>
        <v>0</v>
      </c>
      <c r="AA73" s="4">
        <f>findLinError($R73,data0!J59,AA$4,AA$5,AA$6,AA$7)</f>
        <v>0</v>
      </c>
      <c r="AB73" s="4">
        <f>findLinError($R73,data0!K59,AB$4,AB$5,AB$6,AB$7)</f>
        <v>0</v>
      </c>
      <c r="AC73" s="4">
        <f>findLinError($R73,data0!L59,AC$4,AC$5,AC$6,AC$7)</f>
        <v>0</v>
      </c>
      <c r="AD73" s="4">
        <f>findLinError($R73,data0!M59,AD$4,AD$5,AD$6,AD$7)</f>
        <v>0</v>
      </c>
      <c r="AE73" s="4">
        <f>findLinError($R73,data0!N59,AE$4,AE$5,AE$6,AE$7)</f>
        <v>0</v>
      </c>
      <c r="AF73" s="4">
        <f>findLinError($R73,data0!O59,AF$4,AF$5,AF$6,AF$7)</f>
        <v>0</v>
      </c>
      <c r="AG73" s="4">
        <f>findLinError($R73,data0!P59,AG$4,AG$5,AG$6,AG$7)</f>
        <v>0</v>
      </c>
      <c r="AH73" s="4">
        <f>findLinError($R73,data0!Q59,AH$4,AH$5,AH$6,AH$7)</f>
        <v>0</v>
      </c>
      <c r="AI73" s="4">
        <f>findLinError($R73,data0!R59,AI$4,AI$5,AI$6,AI$7)</f>
        <v>0</v>
      </c>
      <c r="AJ73" s="4">
        <f>findLinError($R73,data0!S59,AJ$4,AJ$5,AJ$6,AJ$7)</f>
        <v>0</v>
      </c>
      <c r="AK73" s="4">
        <f>findLinError($R73,data0!T59,AK$4,AK$5,AK$6,AK$7)</f>
        <v>0</v>
      </c>
      <c r="AL73" s="4">
        <f>findLinError($R73,data0!U59,AL$4,AL$5,AL$6,AL$7)</f>
        <v>0</v>
      </c>
      <c r="AM73" s="4">
        <f>findLinError($R73,data0!V59,AM$4,AM$5,AM$6,AM$7)</f>
        <v>0</v>
      </c>
      <c r="AN73" s="4">
        <f>findLinError($R73,data0!W59,AN$4,AN$5,AN$6,AN$7)</f>
        <v>0</v>
      </c>
      <c r="AO73" s="4">
        <f>findLinError($R73,data0!X59,AO$4,AO$5,AO$6,AO$7)</f>
        <v>0</v>
      </c>
      <c r="AP73" s="4">
        <f>findLinError($R73,data0!Y59,AP$4,AP$5,AP$6,AP$7)</f>
        <v>0</v>
      </c>
      <c r="AQ73" s="4">
        <f>findLinError($R73,data0!Z59,AQ$4,AQ$5,AQ$6,AQ$7)</f>
        <v>0</v>
      </c>
      <c r="AR73" s="4">
        <f>findLinError($R73,data0!AA59,AR$4,AR$5,AR$6,AR$7)</f>
        <v>0</v>
      </c>
      <c r="AS73" s="4">
        <f>findLinError($R73,data0!AB59,AS$4,AS$5,AS$6,AS$7)</f>
        <v>0</v>
      </c>
      <c r="AT73" s="4">
        <f>findLinError($R73,data0!AC59,AT$4,AT$5,AT$6,AT$7)</f>
        <v>0</v>
      </c>
      <c r="AU73" s="4">
        <f>findLinError($R73,data0!AD59,AU$4,AU$5,AU$6,AU$7)</f>
        <v>0</v>
      </c>
      <c r="AV73" s="4">
        <f>findLinError($R73,data0!AE59,AV$4,AV$5,AV$6,AV$7)</f>
        <v>0</v>
      </c>
      <c r="AW73" s="4">
        <f>findLinError($R73,data0!AF59,AW$4,AW$5,AW$6,AW$7)</f>
        <v>0</v>
      </c>
      <c r="AX73" s="4">
        <f>findLinError($R73,data0!AG59,AX$4,AX$5,AX$6,AX$7)</f>
        <v>0</v>
      </c>
    </row>
    <row r="74" spans="16:50">
      <c r="P74" s="9">
        <f t="shared" si="47"/>
        <v>58</v>
      </c>
      <c r="Q74" s="9">
        <f>data4!L60</f>
        <v>7.0025976128818002E-5</v>
      </c>
      <c r="R74" s="34">
        <f t="shared" si="46"/>
        <v>89.159841965891616</v>
      </c>
      <c r="S74" s="4">
        <f>findLinError($R74,data0!B60,S$4,S$5,S$6,S$7)</f>
        <v>0</v>
      </c>
      <c r="T74" s="4"/>
      <c r="U74" s="4">
        <f>findLinError($R74,data0!D60,U$4,U$5,U$6,U$7)</f>
        <v>0</v>
      </c>
      <c r="V74" s="4"/>
      <c r="W74" s="4">
        <f>findLinError($R74,data0!F60,W$4,W$5,W$6,W$7)</f>
        <v>0</v>
      </c>
      <c r="X74" s="4"/>
      <c r="Y74" s="4"/>
      <c r="Z74" s="4">
        <f>findLinError($R74,data0!I60,Z$4,Z$5,Z$6,Z$7)</f>
        <v>0</v>
      </c>
      <c r="AA74" s="4">
        <f>findLinError($R74,data0!J60,AA$4,AA$5,AA$6,AA$7)</f>
        <v>0</v>
      </c>
      <c r="AB74" s="4">
        <f>findLinError($R74,data0!K60,AB$4,AB$5,AB$6,AB$7)</f>
        <v>0</v>
      </c>
      <c r="AC74" s="4">
        <f>findLinError($R74,data0!L60,AC$4,AC$5,AC$6,AC$7)</f>
        <v>0</v>
      </c>
      <c r="AD74" s="4">
        <f>findLinError($R74,data0!M60,AD$4,AD$5,AD$6,AD$7)</f>
        <v>0</v>
      </c>
      <c r="AE74" s="4">
        <f>findLinError($R74,data0!N60,AE$4,AE$5,AE$6,AE$7)</f>
        <v>0</v>
      </c>
      <c r="AF74" s="4">
        <f>findLinError($R74,data0!O60,AF$4,AF$5,AF$6,AF$7)</f>
        <v>0</v>
      </c>
      <c r="AG74" s="4">
        <f>findLinError($R74,data0!P60,AG$4,AG$5,AG$6,AG$7)</f>
        <v>0</v>
      </c>
      <c r="AH74" s="4">
        <f>findLinError($R74,data0!Q60,AH$4,AH$5,AH$6,AH$7)</f>
        <v>0</v>
      </c>
      <c r="AI74" s="4">
        <f>findLinError($R74,data0!R60,AI$4,AI$5,AI$6,AI$7)</f>
        <v>0</v>
      </c>
      <c r="AJ74" s="4">
        <f>findLinError($R74,data0!S60,AJ$4,AJ$5,AJ$6,AJ$7)</f>
        <v>0</v>
      </c>
      <c r="AK74" s="4">
        <f>findLinError($R74,data0!T60,AK$4,AK$5,AK$6,AK$7)</f>
        <v>0</v>
      </c>
      <c r="AL74" s="4">
        <f>findLinError($R74,data0!U60,AL$4,AL$5,AL$6,AL$7)</f>
        <v>0</v>
      </c>
      <c r="AM74" s="4">
        <f>findLinError($R74,data0!V60,AM$4,AM$5,AM$6,AM$7)</f>
        <v>0</v>
      </c>
      <c r="AN74" s="4">
        <f>findLinError($R74,data0!W60,AN$4,AN$5,AN$6,AN$7)</f>
        <v>0</v>
      </c>
      <c r="AO74" s="4">
        <f>findLinError($R74,data0!X60,AO$4,AO$5,AO$6,AO$7)</f>
        <v>0</v>
      </c>
      <c r="AP74" s="4">
        <f>findLinError($R74,data0!Y60,AP$4,AP$5,AP$6,AP$7)</f>
        <v>0</v>
      </c>
      <c r="AQ74" s="4">
        <f>findLinError($R74,data0!Z60,AQ$4,AQ$5,AQ$6,AQ$7)</f>
        <v>0</v>
      </c>
      <c r="AR74" s="4">
        <f>findLinError($R74,data0!AA60,AR$4,AR$5,AR$6,AR$7)</f>
        <v>0</v>
      </c>
      <c r="AS74" s="4">
        <f>findLinError($R74,data0!AB60,AS$4,AS$5,AS$6,AS$7)</f>
        <v>0</v>
      </c>
      <c r="AT74" s="4">
        <f>findLinError($R74,data0!AC60,AT$4,AT$5,AT$6,AT$7)</f>
        <v>0</v>
      </c>
      <c r="AU74" s="4">
        <f>findLinError($R74,data0!AD60,AU$4,AU$5,AU$6,AU$7)</f>
        <v>0</v>
      </c>
      <c r="AV74" s="4">
        <f>findLinError($R74,data0!AE60,AV$4,AV$5,AV$6,AV$7)</f>
        <v>0</v>
      </c>
      <c r="AW74" s="4">
        <f>findLinError($R74,data0!AF60,AW$4,AW$5,AW$6,AW$7)</f>
        <v>0</v>
      </c>
      <c r="AX74" s="4">
        <f>findLinError($R74,data0!AG60,AX$4,AX$5,AX$6,AX$7)</f>
        <v>0</v>
      </c>
    </row>
    <row r="75" spans="16:50">
      <c r="P75" s="9">
        <f t="shared" si="47"/>
        <v>59</v>
      </c>
      <c r="Q75" s="9">
        <f>data4!L61</f>
        <v>7.192669636424398E-5</v>
      </c>
      <c r="R75" s="34">
        <f t="shared" si="46"/>
        <v>91.579914133114301</v>
      </c>
      <c r="S75" s="4">
        <f>findLinError($R75,data0!B61,S$4,S$5,S$6,S$7)</f>
        <v>0</v>
      </c>
      <c r="T75" s="4"/>
      <c r="U75" s="4">
        <f>findLinError($R75,data0!D61,U$4,U$5,U$6,U$7)</f>
        <v>0</v>
      </c>
      <c r="V75" s="4"/>
      <c r="W75" s="4">
        <f>findLinError($R75,data0!F61,W$4,W$5,W$6,W$7)</f>
        <v>0</v>
      </c>
      <c r="X75" s="4"/>
      <c r="Y75" s="4"/>
      <c r="Z75" s="4">
        <f>findLinError($R75,data0!I61,Z$4,Z$5,Z$6,Z$7)</f>
        <v>0</v>
      </c>
      <c r="AA75" s="4">
        <f>findLinError($R75,data0!J61,AA$4,AA$5,AA$6,AA$7)</f>
        <v>0</v>
      </c>
      <c r="AB75" s="4">
        <f>findLinError($R75,data0!K61,AB$4,AB$5,AB$6,AB$7)</f>
        <v>0</v>
      </c>
      <c r="AC75" s="4">
        <f>findLinError($R75,data0!L61,AC$4,AC$5,AC$6,AC$7)</f>
        <v>0</v>
      </c>
      <c r="AD75" s="4">
        <f>findLinError($R75,data0!M61,AD$4,AD$5,AD$6,AD$7)</f>
        <v>0</v>
      </c>
      <c r="AE75" s="4">
        <f>findLinError($R75,data0!N61,AE$4,AE$5,AE$6,AE$7)</f>
        <v>0</v>
      </c>
      <c r="AF75" s="4">
        <f>findLinError($R75,data0!O61,AF$4,AF$5,AF$6,AF$7)</f>
        <v>0</v>
      </c>
      <c r="AG75" s="4">
        <f>findLinError($R75,data0!P61,AG$4,AG$5,AG$6,AG$7)</f>
        <v>0</v>
      </c>
      <c r="AH75" s="4">
        <f>findLinError($R75,data0!Q61,AH$4,AH$5,AH$6,AH$7)</f>
        <v>0</v>
      </c>
      <c r="AI75" s="4">
        <f>findLinError($R75,data0!R61,AI$4,AI$5,AI$6,AI$7)</f>
        <v>0</v>
      </c>
      <c r="AJ75" s="4">
        <f>findLinError($R75,data0!S61,AJ$4,AJ$5,AJ$6,AJ$7)</f>
        <v>0</v>
      </c>
      <c r="AK75" s="4">
        <f>findLinError($R75,data0!T61,AK$4,AK$5,AK$6,AK$7)</f>
        <v>0</v>
      </c>
      <c r="AL75" s="4">
        <f>findLinError($R75,data0!U61,AL$4,AL$5,AL$6,AL$7)</f>
        <v>0</v>
      </c>
      <c r="AM75" s="4">
        <f>findLinError($R75,data0!V61,AM$4,AM$5,AM$6,AM$7)</f>
        <v>0</v>
      </c>
      <c r="AN75" s="4">
        <f>findLinError($R75,data0!W61,AN$4,AN$5,AN$6,AN$7)</f>
        <v>0</v>
      </c>
      <c r="AO75" s="4">
        <f>findLinError($R75,data0!X61,AO$4,AO$5,AO$6,AO$7)</f>
        <v>0</v>
      </c>
      <c r="AP75" s="4">
        <f>findLinError($R75,data0!Y61,AP$4,AP$5,AP$6,AP$7)</f>
        <v>0</v>
      </c>
      <c r="AQ75" s="4">
        <f>findLinError($R75,data0!Z61,AQ$4,AQ$5,AQ$6,AQ$7)</f>
        <v>0</v>
      </c>
      <c r="AR75" s="4">
        <f>findLinError($R75,data0!AA61,AR$4,AR$5,AR$6,AR$7)</f>
        <v>0</v>
      </c>
      <c r="AS75" s="4">
        <f>findLinError($R75,data0!AB61,AS$4,AS$5,AS$6,AS$7)</f>
        <v>0</v>
      </c>
      <c r="AT75" s="4">
        <f>findLinError($R75,data0!AC61,AT$4,AT$5,AT$6,AT$7)</f>
        <v>0</v>
      </c>
      <c r="AU75" s="4">
        <f>findLinError($R75,data0!AD61,AU$4,AU$5,AU$6,AU$7)</f>
        <v>0</v>
      </c>
      <c r="AV75" s="4">
        <f>findLinError($R75,data0!AE61,AV$4,AV$5,AV$6,AV$7)</f>
        <v>0</v>
      </c>
      <c r="AW75" s="4">
        <f>findLinError($R75,data0!AF61,AW$4,AW$5,AW$6,AW$7)</f>
        <v>0</v>
      </c>
      <c r="AX75" s="4">
        <f>findLinError($R75,data0!AG61,AX$4,AX$5,AX$6,AX$7)</f>
        <v>0</v>
      </c>
    </row>
    <row r="76" spans="16:50">
      <c r="P76" s="9">
        <f t="shared" si="47"/>
        <v>60</v>
      </c>
      <c r="Q76" s="9">
        <f>data4!L62</f>
        <v>7.4019932981173042E-5</v>
      </c>
      <c r="R76" s="34">
        <f t="shared" si="46"/>
        <v>94.245105770276012</v>
      </c>
      <c r="S76" s="4">
        <f>findLinError($R76,data0!B62,S$4,S$5,S$6,S$7)</f>
        <v>0</v>
      </c>
      <c r="T76" s="4"/>
      <c r="U76" s="4">
        <f>findLinError($R76,data0!D62,U$4,U$5,U$6,U$7)</f>
        <v>0</v>
      </c>
      <c r="V76" s="4"/>
      <c r="W76" s="4">
        <f>findLinError($R76,data0!F62,W$4,W$5,W$6,W$7)</f>
        <v>0</v>
      </c>
      <c r="X76" s="4"/>
      <c r="Y76" s="4"/>
      <c r="Z76" s="4">
        <f>findLinError($R76,data0!I62,Z$4,Z$5,Z$6,Z$7)</f>
        <v>0</v>
      </c>
      <c r="AA76" s="4">
        <f>findLinError($R76,data0!J62,AA$4,AA$5,AA$6,AA$7)</f>
        <v>0</v>
      </c>
      <c r="AB76" s="4">
        <f>findLinError($R76,data0!K62,AB$4,AB$5,AB$6,AB$7)</f>
        <v>0</v>
      </c>
      <c r="AC76" s="4">
        <f>findLinError($R76,data0!L62,AC$4,AC$5,AC$6,AC$7)</f>
        <v>0</v>
      </c>
      <c r="AD76" s="4">
        <f>findLinError($R76,data0!M62,AD$4,AD$5,AD$6,AD$7)</f>
        <v>0</v>
      </c>
      <c r="AE76" s="4">
        <f>findLinError($R76,data0!N62,AE$4,AE$5,AE$6,AE$7)</f>
        <v>0</v>
      </c>
      <c r="AF76" s="4">
        <f>findLinError($R76,data0!O62,AF$4,AF$5,AF$6,AF$7)</f>
        <v>0</v>
      </c>
      <c r="AG76" s="4">
        <f>findLinError($R76,data0!P62,AG$4,AG$5,AG$6,AG$7)</f>
        <v>0</v>
      </c>
      <c r="AH76" s="4">
        <f>findLinError($R76,data0!Q62,AH$4,AH$5,AH$6,AH$7)</f>
        <v>0</v>
      </c>
      <c r="AI76" s="4">
        <f>findLinError($R76,data0!R62,AI$4,AI$5,AI$6,AI$7)</f>
        <v>0</v>
      </c>
      <c r="AJ76" s="4">
        <f>findLinError($R76,data0!S62,AJ$4,AJ$5,AJ$6,AJ$7)</f>
        <v>0</v>
      </c>
      <c r="AK76" s="4">
        <f>findLinError($R76,data0!T62,AK$4,AK$5,AK$6,AK$7)</f>
        <v>0</v>
      </c>
      <c r="AL76" s="4">
        <f>findLinError($R76,data0!U62,AL$4,AL$5,AL$6,AL$7)</f>
        <v>0</v>
      </c>
      <c r="AM76" s="4">
        <f>findLinError($R76,data0!V62,AM$4,AM$5,AM$6,AM$7)</f>
        <v>0</v>
      </c>
      <c r="AN76" s="4">
        <f>findLinError($R76,data0!W62,AN$4,AN$5,AN$6,AN$7)</f>
        <v>0</v>
      </c>
      <c r="AO76" s="4">
        <f>findLinError($R76,data0!X62,AO$4,AO$5,AO$6,AO$7)</f>
        <v>0</v>
      </c>
      <c r="AP76" s="4">
        <f>findLinError($R76,data0!Y62,AP$4,AP$5,AP$6,AP$7)</f>
        <v>0</v>
      </c>
      <c r="AQ76" s="4">
        <f>findLinError($R76,data0!Z62,AQ$4,AQ$5,AQ$6,AQ$7)</f>
        <v>0</v>
      </c>
      <c r="AR76" s="4">
        <f>findLinError($R76,data0!AA62,AR$4,AR$5,AR$6,AR$7)</f>
        <v>0</v>
      </c>
      <c r="AS76" s="4">
        <f>findLinError($R76,data0!AB62,AS$4,AS$5,AS$6,AS$7)</f>
        <v>0</v>
      </c>
      <c r="AT76" s="4">
        <f>findLinError($R76,data0!AC62,AT$4,AT$5,AT$6,AT$7)</f>
        <v>0</v>
      </c>
      <c r="AU76" s="4">
        <f>findLinError($R76,data0!AD62,AU$4,AU$5,AU$6,AU$7)</f>
        <v>0</v>
      </c>
      <c r="AV76" s="4">
        <f>findLinError($R76,data0!AE62,AV$4,AV$5,AV$6,AV$7)</f>
        <v>0</v>
      </c>
      <c r="AW76" s="4">
        <f>findLinError($R76,data0!AF62,AW$4,AW$5,AW$6,AW$7)</f>
        <v>0</v>
      </c>
      <c r="AX76" s="4">
        <f>findLinError($R76,data0!AG62,AX$4,AX$5,AX$6,AX$7)</f>
        <v>0</v>
      </c>
    </row>
    <row r="77" spans="16:50">
      <c r="P77" s="9">
        <f t="shared" si="47"/>
        <v>61</v>
      </c>
      <c r="Q77" s="9">
        <f>data4!L63</f>
        <v>7.6012277531845029E-5</v>
      </c>
      <c r="R77" s="34">
        <f t="shared" si="46"/>
        <v>96.781837638929204</v>
      </c>
      <c r="S77" s="4">
        <f>findLinError($R77,data0!B63,S$4,S$5,S$6,S$7)</f>
        <v>0</v>
      </c>
      <c r="T77" s="4"/>
      <c r="U77" s="4">
        <f>findLinError($R77,data0!D63,U$4,U$5,U$6,U$7)</f>
        <v>0</v>
      </c>
      <c r="V77" s="4"/>
      <c r="W77" s="4">
        <f>findLinError($R77,data0!F63,W$4,W$5,W$6,W$7)</f>
        <v>0</v>
      </c>
      <c r="X77" s="4"/>
      <c r="Y77" s="4"/>
      <c r="Z77" s="4">
        <f>findLinError($R77,data0!I63,Z$4,Z$5,Z$6,Z$7)</f>
        <v>0</v>
      </c>
      <c r="AA77" s="4">
        <f>findLinError($R77,data0!J63,AA$4,AA$5,AA$6,AA$7)</f>
        <v>0</v>
      </c>
      <c r="AB77" s="4">
        <f>findLinError($R77,data0!K63,AB$4,AB$5,AB$6,AB$7)</f>
        <v>0</v>
      </c>
      <c r="AC77" s="4">
        <f>findLinError($R77,data0!L63,AC$4,AC$5,AC$6,AC$7)</f>
        <v>0</v>
      </c>
      <c r="AD77" s="4">
        <f>findLinError($R77,data0!M63,AD$4,AD$5,AD$6,AD$7)</f>
        <v>0</v>
      </c>
      <c r="AE77" s="4">
        <f>findLinError($R77,data0!N63,AE$4,AE$5,AE$6,AE$7)</f>
        <v>0</v>
      </c>
      <c r="AF77" s="4">
        <f>findLinError($R77,data0!O63,AF$4,AF$5,AF$6,AF$7)</f>
        <v>0</v>
      </c>
      <c r="AG77" s="4">
        <f>findLinError($R77,data0!P63,AG$4,AG$5,AG$6,AG$7)</f>
        <v>0</v>
      </c>
      <c r="AH77" s="4">
        <f>findLinError($R77,data0!Q63,AH$4,AH$5,AH$6,AH$7)</f>
        <v>0</v>
      </c>
      <c r="AI77" s="4">
        <f>findLinError($R77,data0!R63,AI$4,AI$5,AI$6,AI$7)</f>
        <v>0</v>
      </c>
      <c r="AJ77" s="4">
        <f>findLinError($R77,data0!S63,AJ$4,AJ$5,AJ$6,AJ$7)</f>
        <v>0</v>
      </c>
      <c r="AK77" s="4">
        <f>findLinError($R77,data0!T63,AK$4,AK$5,AK$6,AK$7)</f>
        <v>0</v>
      </c>
      <c r="AL77" s="4">
        <f>findLinError($R77,data0!U63,AL$4,AL$5,AL$6,AL$7)</f>
        <v>0</v>
      </c>
      <c r="AM77" s="4">
        <f>findLinError($R77,data0!V63,AM$4,AM$5,AM$6,AM$7)</f>
        <v>0</v>
      </c>
      <c r="AN77" s="4">
        <f>findLinError($R77,data0!W63,AN$4,AN$5,AN$6,AN$7)</f>
        <v>0</v>
      </c>
      <c r="AO77" s="4">
        <f>findLinError($R77,data0!X63,AO$4,AO$5,AO$6,AO$7)</f>
        <v>0</v>
      </c>
      <c r="AP77" s="4">
        <f>findLinError($R77,data0!Y63,AP$4,AP$5,AP$6,AP$7)</f>
        <v>0</v>
      </c>
      <c r="AQ77" s="4">
        <f>findLinError($R77,data0!Z63,AQ$4,AQ$5,AQ$6,AQ$7)</f>
        <v>0</v>
      </c>
      <c r="AR77" s="4">
        <f>findLinError($R77,data0!AA63,AR$4,AR$5,AR$6,AR$7)</f>
        <v>0</v>
      </c>
      <c r="AS77" s="4">
        <f>findLinError($R77,data0!AB63,AS$4,AS$5,AS$6,AS$7)</f>
        <v>0</v>
      </c>
      <c r="AT77" s="4">
        <f>findLinError($R77,data0!AC63,AT$4,AT$5,AT$6,AT$7)</f>
        <v>0</v>
      </c>
      <c r="AU77" s="4">
        <f>findLinError($R77,data0!AD63,AU$4,AU$5,AU$6,AU$7)</f>
        <v>0</v>
      </c>
      <c r="AV77" s="4">
        <f>findLinError($R77,data0!AE63,AV$4,AV$5,AV$6,AV$7)</f>
        <v>0</v>
      </c>
      <c r="AW77" s="4">
        <f>findLinError($R77,data0!AF63,AW$4,AW$5,AW$6,AW$7)</f>
        <v>0</v>
      </c>
      <c r="AX77" s="4">
        <f>findLinError($R77,data0!AG63,AX$4,AX$5,AX$6,AX$7)</f>
        <v>0</v>
      </c>
    </row>
    <row r="78" spans="16:50">
      <c r="P78" s="9">
        <f t="shared" si="47"/>
        <v>62</v>
      </c>
      <c r="Q78" s="9">
        <f>data4!L64</f>
        <v>7.8022962043178268E-5</v>
      </c>
      <c r="R78" s="34">
        <f t="shared" si="46"/>
        <v>99.341920670745182</v>
      </c>
      <c r="S78" s="4">
        <f>findLinError($R78,data0!B64,S$4,S$5,S$6,S$7)</f>
        <v>0</v>
      </c>
      <c r="T78" s="4"/>
      <c r="U78" s="4">
        <f>findLinError($R78,data0!D64,U$4,U$5,U$6,U$7)</f>
        <v>0</v>
      </c>
      <c r="V78" s="4"/>
      <c r="W78" s="4">
        <f>findLinError($R78,data0!F64,W$4,W$5,W$6,W$7)</f>
        <v>0</v>
      </c>
      <c r="X78" s="4"/>
      <c r="Y78" s="4"/>
      <c r="Z78" s="4">
        <f>findLinError($R78,data0!I64,Z$4,Z$5,Z$6,Z$7)</f>
        <v>0</v>
      </c>
      <c r="AA78" s="4">
        <f>findLinError($R78,data0!J64,AA$4,AA$5,AA$6,AA$7)</f>
        <v>0</v>
      </c>
      <c r="AB78" s="4">
        <f>findLinError($R78,data0!K64,AB$4,AB$5,AB$6,AB$7)</f>
        <v>0</v>
      </c>
      <c r="AC78" s="4">
        <f>findLinError($R78,data0!L64,AC$4,AC$5,AC$6,AC$7)</f>
        <v>0</v>
      </c>
      <c r="AD78" s="4">
        <f>findLinError($R78,data0!M64,AD$4,AD$5,AD$6,AD$7)</f>
        <v>0</v>
      </c>
      <c r="AE78" s="4">
        <f>findLinError($R78,data0!N64,AE$4,AE$5,AE$6,AE$7)</f>
        <v>0</v>
      </c>
      <c r="AF78" s="4">
        <f>findLinError($R78,data0!O64,AF$4,AF$5,AF$6,AF$7)</f>
        <v>0</v>
      </c>
      <c r="AG78" s="4">
        <f>findLinError($R78,data0!P64,AG$4,AG$5,AG$6,AG$7)</f>
        <v>0</v>
      </c>
      <c r="AH78" s="4">
        <f>findLinError($R78,data0!Q64,AH$4,AH$5,AH$6,AH$7)</f>
        <v>0</v>
      </c>
      <c r="AI78" s="4">
        <f>findLinError($R78,data0!R64,AI$4,AI$5,AI$6,AI$7)</f>
        <v>0</v>
      </c>
      <c r="AJ78" s="4">
        <f>findLinError($R78,data0!S64,AJ$4,AJ$5,AJ$6,AJ$7)</f>
        <v>0</v>
      </c>
      <c r="AK78" s="4">
        <f>findLinError($R78,data0!T64,AK$4,AK$5,AK$6,AK$7)</f>
        <v>0</v>
      </c>
      <c r="AL78" s="4">
        <f>findLinError($R78,data0!U64,AL$4,AL$5,AL$6,AL$7)</f>
        <v>0</v>
      </c>
      <c r="AM78" s="4">
        <f>findLinError($R78,data0!V64,AM$4,AM$5,AM$6,AM$7)</f>
        <v>0</v>
      </c>
      <c r="AN78" s="4">
        <f>findLinError($R78,data0!W64,AN$4,AN$5,AN$6,AN$7)</f>
        <v>0</v>
      </c>
      <c r="AO78" s="4">
        <f>findLinError($R78,data0!X64,AO$4,AO$5,AO$6,AO$7)</f>
        <v>0</v>
      </c>
      <c r="AP78" s="4">
        <f>findLinError($R78,data0!Y64,AP$4,AP$5,AP$6,AP$7)</f>
        <v>0</v>
      </c>
      <c r="AQ78" s="4">
        <f>findLinError($R78,data0!Z64,AQ$4,AQ$5,AQ$6,AQ$7)</f>
        <v>0</v>
      </c>
      <c r="AR78" s="4">
        <f>findLinError($R78,data0!AA64,AR$4,AR$5,AR$6,AR$7)</f>
        <v>0</v>
      </c>
      <c r="AS78" s="4">
        <f>findLinError($R78,data0!AB64,AS$4,AS$5,AS$6,AS$7)</f>
        <v>0</v>
      </c>
      <c r="AT78" s="4">
        <f>findLinError($R78,data0!AC64,AT$4,AT$5,AT$6,AT$7)</f>
        <v>0</v>
      </c>
      <c r="AU78" s="4">
        <f>findLinError($R78,data0!AD64,AU$4,AU$5,AU$6,AU$7)</f>
        <v>0</v>
      </c>
      <c r="AV78" s="4">
        <f>findLinError($R78,data0!AE64,AV$4,AV$5,AV$6,AV$7)</f>
        <v>0</v>
      </c>
      <c r="AW78" s="4">
        <f>findLinError($R78,data0!AF64,AW$4,AW$5,AW$6,AW$7)</f>
        <v>0</v>
      </c>
      <c r="AX78" s="4">
        <f>findLinError($R78,data0!AG64,AX$4,AX$5,AX$6,AX$7)</f>
        <v>0</v>
      </c>
    </row>
    <row r="79" spans="16:50">
      <c r="P79" s="9">
        <f t="shared" si="47"/>
        <v>63</v>
      </c>
      <c r="Q79" s="9">
        <f>data4!L65</f>
        <v>7.9990608355728909E-5</v>
      </c>
      <c r="R79" s="34">
        <f t="shared" si="46"/>
        <v>101.84720576593698</v>
      </c>
      <c r="S79" s="4">
        <f>findLinError($R79,data0!B65,S$4,S$5,S$6,S$7)</f>
        <v>0</v>
      </c>
      <c r="T79" s="4"/>
      <c r="U79" s="4">
        <f>findLinError($R79,data0!D65,U$4,U$5,U$6,U$7)</f>
        <v>0</v>
      </c>
      <c r="V79" s="4"/>
      <c r="W79" s="4">
        <f>findLinError($R79,data0!F65,W$4,W$5,W$6,W$7)</f>
        <v>0</v>
      </c>
      <c r="X79" s="4"/>
      <c r="Y79" s="4"/>
      <c r="Z79" s="4">
        <f>findLinError($R79,data0!I65,Z$4,Z$5,Z$6,Z$7)</f>
        <v>0</v>
      </c>
      <c r="AA79" s="4">
        <f>findLinError($R79,data0!J65,AA$4,AA$5,AA$6,AA$7)</f>
        <v>0</v>
      </c>
      <c r="AB79" s="4">
        <f>findLinError($R79,data0!K65,AB$4,AB$5,AB$6,AB$7)</f>
        <v>0</v>
      </c>
      <c r="AC79" s="4">
        <f>findLinError($R79,data0!L65,AC$4,AC$5,AC$6,AC$7)</f>
        <v>0</v>
      </c>
      <c r="AD79" s="4">
        <f>findLinError($R79,data0!M65,AD$4,AD$5,AD$6,AD$7)</f>
        <v>0</v>
      </c>
      <c r="AE79" s="4">
        <f>findLinError($R79,data0!N65,AE$4,AE$5,AE$6,AE$7)</f>
        <v>0</v>
      </c>
      <c r="AF79" s="4">
        <f>findLinError($R79,data0!O65,AF$4,AF$5,AF$6,AF$7)</f>
        <v>0</v>
      </c>
      <c r="AG79" s="4">
        <f>findLinError($R79,data0!P65,AG$4,AG$5,AG$6,AG$7)</f>
        <v>0</v>
      </c>
      <c r="AH79" s="4">
        <f>findLinError($R79,data0!Q65,AH$4,AH$5,AH$6,AH$7)</f>
        <v>0</v>
      </c>
      <c r="AI79" s="4">
        <f>findLinError($R79,data0!R65,AI$4,AI$5,AI$6,AI$7)</f>
        <v>0</v>
      </c>
      <c r="AJ79" s="4">
        <f>findLinError($R79,data0!S65,AJ$4,AJ$5,AJ$6,AJ$7)</f>
        <v>0</v>
      </c>
      <c r="AK79" s="4">
        <f>findLinError($R79,data0!T65,AK$4,AK$5,AK$6,AK$7)</f>
        <v>0</v>
      </c>
      <c r="AL79" s="4">
        <f>findLinError($R79,data0!U65,AL$4,AL$5,AL$6,AL$7)</f>
        <v>0</v>
      </c>
      <c r="AM79" s="4">
        <f>findLinError($R79,data0!V65,AM$4,AM$5,AM$6,AM$7)</f>
        <v>0</v>
      </c>
      <c r="AN79" s="4">
        <f>findLinError($R79,data0!W65,AN$4,AN$5,AN$6,AN$7)</f>
        <v>0</v>
      </c>
      <c r="AO79" s="4">
        <f>findLinError($R79,data0!X65,AO$4,AO$5,AO$6,AO$7)</f>
        <v>0</v>
      </c>
      <c r="AP79" s="4">
        <f>findLinError($R79,data0!Y65,AP$4,AP$5,AP$6,AP$7)</f>
        <v>0</v>
      </c>
      <c r="AQ79" s="4">
        <f>findLinError($R79,data0!Z65,AQ$4,AQ$5,AQ$6,AQ$7)</f>
        <v>0</v>
      </c>
      <c r="AR79" s="4">
        <f>findLinError($R79,data0!AA65,AR$4,AR$5,AR$6,AR$7)</f>
        <v>0</v>
      </c>
      <c r="AS79" s="4">
        <f>findLinError($R79,data0!AB65,AS$4,AS$5,AS$6,AS$7)</f>
        <v>0</v>
      </c>
      <c r="AT79" s="4">
        <f>findLinError($R79,data0!AC65,AT$4,AT$5,AT$6,AT$7)</f>
        <v>0</v>
      </c>
      <c r="AU79" s="4">
        <f>findLinError($R79,data0!AD65,AU$4,AU$5,AU$6,AU$7)</f>
        <v>0</v>
      </c>
      <c r="AV79" s="4">
        <f>findLinError($R79,data0!AE65,AV$4,AV$5,AV$6,AV$7)</f>
        <v>0</v>
      </c>
      <c r="AW79" s="4">
        <f>findLinError($R79,data0!AF65,AW$4,AW$5,AW$6,AW$7)</f>
        <v>0</v>
      </c>
      <c r="AX79" s="4">
        <f>findLinError($R79,data0!AG65,AX$4,AX$5,AX$6,AX$7)</f>
        <v>0</v>
      </c>
    </row>
    <row r="80" spans="16:50">
      <c r="P80" s="9">
        <f t="shared" si="47"/>
        <v>64</v>
      </c>
      <c r="Q80" s="9">
        <f>data4!L66</f>
        <v>8.2060020758945029E-5</v>
      </c>
      <c r="R80" s="34">
        <f t="shared" si="46"/>
        <v>104.48206347207717</v>
      </c>
      <c r="S80" s="4">
        <f>findLinError($R80,data0!B66,S$4,S$5,S$6,S$7)</f>
        <v>0</v>
      </c>
      <c r="T80" s="4"/>
      <c r="U80" s="4">
        <f>findLinError($R80,data0!D66,U$4,U$5,U$6,U$7)</f>
        <v>0</v>
      </c>
      <c r="V80" s="4"/>
      <c r="W80" s="4">
        <f>findLinError($R80,data0!F66,W$4,W$5,W$6,W$7)</f>
        <v>0</v>
      </c>
      <c r="X80" s="4"/>
      <c r="Y80" s="4"/>
      <c r="Z80" s="4">
        <f>findLinError($R80,data0!I66,Z$4,Z$5,Z$6,Z$7)</f>
        <v>0</v>
      </c>
      <c r="AA80" s="4">
        <f>findLinError($R80,data0!J66,AA$4,AA$5,AA$6,AA$7)</f>
        <v>0</v>
      </c>
      <c r="AB80" s="4">
        <f>findLinError($R80,data0!K66,AB$4,AB$5,AB$6,AB$7)</f>
        <v>0</v>
      </c>
      <c r="AC80" s="4">
        <f>findLinError($R80,data0!L66,AC$4,AC$5,AC$6,AC$7)</f>
        <v>0</v>
      </c>
      <c r="AD80" s="4">
        <f>findLinError($R80,data0!M66,AD$4,AD$5,AD$6,AD$7)</f>
        <v>0</v>
      </c>
      <c r="AE80" s="4">
        <f>findLinError($R80,data0!N66,AE$4,AE$5,AE$6,AE$7)</f>
        <v>0</v>
      </c>
      <c r="AF80" s="4">
        <f>findLinError($R80,data0!O66,AF$4,AF$5,AF$6,AF$7)</f>
        <v>0</v>
      </c>
      <c r="AG80" s="4">
        <f>findLinError($R80,data0!P66,AG$4,AG$5,AG$6,AG$7)</f>
        <v>0</v>
      </c>
      <c r="AH80" s="4">
        <f>findLinError($R80,data0!Q66,AH$4,AH$5,AH$6,AH$7)</f>
        <v>0</v>
      </c>
      <c r="AI80" s="4">
        <f>findLinError($R80,data0!R66,AI$4,AI$5,AI$6,AI$7)</f>
        <v>0</v>
      </c>
      <c r="AJ80" s="4">
        <f>findLinError($R80,data0!S66,AJ$4,AJ$5,AJ$6,AJ$7)</f>
        <v>0</v>
      </c>
      <c r="AK80" s="4">
        <f>findLinError($R80,data0!T66,AK$4,AK$5,AK$6,AK$7)</f>
        <v>0</v>
      </c>
      <c r="AL80" s="4">
        <f>findLinError($R80,data0!U66,AL$4,AL$5,AL$6,AL$7)</f>
        <v>0</v>
      </c>
      <c r="AM80" s="4">
        <f>findLinError($R80,data0!V66,AM$4,AM$5,AM$6,AM$7)</f>
        <v>0</v>
      </c>
      <c r="AN80" s="4">
        <f>findLinError($R80,data0!W66,AN$4,AN$5,AN$6,AN$7)</f>
        <v>0</v>
      </c>
      <c r="AO80" s="4">
        <f>findLinError($R80,data0!X66,AO$4,AO$5,AO$6,AO$7)</f>
        <v>0</v>
      </c>
      <c r="AP80" s="4">
        <f>findLinError($R80,data0!Y66,AP$4,AP$5,AP$6,AP$7)</f>
        <v>0</v>
      </c>
      <c r="AQ80" s="4">
        <f>findLinError($R80,data0!Z66,AQ$4,AQ$5,AQ$6,AQ$7)</f>
        <v>0</v>
      </c>
      <c r="AR80" s="4">
        <f>findLinError($R80,data0!AA66,AR$4,AR$5,AR$6,AR$7)</f>
        <v>0</v>
      </c>
      <c r="AS80" s="4">
        <f>findLinError($R80,data0!AB66,AS$4,AS$5,AS$6,AS$7)</f>
        <v>0</v>
      </c>
      <c r="AT80" s="4">
        <f>findLinError($R80,data0!AC66,AT$4,AT$5,AT$6,AT$7)</f>
        <v>0</v>
      </c>
      <c r="AU80" s="4">
        <f>findLinError($R80,data0!AD66,AU$4,AU$5,AU$6,AU$7)</f>
        <v>0</v>
      </c>
      <c r="AV80" s="4">
        <f>findLinError($R80,data0!AE66,AV$4,AV$5,AV$6,AV$7)</f>
        <v>0</v>
      </c>
      <c r="AW80" s="4">
        <f>findLinError($R80,data0!AF66,AW$4,AW$5,AW$6,AW$7)</f>
        <v>0</v>
      </c>
      <c r="AX80" s="4">
        <f>findLinError($R80,data0!AG66,AX$4,AX$5,AX$6,AX$7)</f>
        <v>0</v>
      </c>
    </row>
    <row r="81" spans="16:50">
      <c r="P81" s="9">
        <f t="shared" si="47"/>
        <v>65</v>
      </c>
      <c r="Q81" s="9">
        <f>data4!L67</f>
        <v>8.4146807239449117E-5</v>
      </c>
      <c r="R81" s="34">
        <f t="shared" ref="R81:R116" si="49">Q81*4/PI()*1000000</f>
        <v>107.13904254047368</v>
      </c>
      <c r="S81" s="4">
        <f>findLinError($R81,data0!B67,S$4,S$5,S$6,S$7)</f>
        <v>0</v>
      </c>
      <c r="T81" s="4"/>
      <c r="U81" s="4">
        <f>findLinError($R81,data0!D67,U$4,U$5,U$6,U$7)</f>
        <v>0</v>
      </c>
      <c r="V81" s="4"/>
      <c r="W81" s="4">
        <f>findLinError($R81,data0!F67,W$4,W$5,W$6,W$7)</f>
        <v>0</v>
      </c>
      <c r="X81" s="4"/>
      <c r="Y81" s="4"/>
      <c r="Z81" s="4">
        <f>findLinError($R81,data0!I67,Z$4,Z$5,Z$6,Z$7)</f>
        <v>0</v>
      </c>
      <c r="AA81" s="4">
        <f>findLinError($R81,data0!J67,AA$4,AA$5,AA$6,AA$7)</f>
        <v>0</v>
      </c>
      <c r="AB81" s="4">
        <f>findLinError($R81,data0!K67,AB$4,AB$5,AB$6,AB$7)</f>
        <v>0</v>
      </c>
      <c r="AC81" s="4">
        <f>findLinError($R81,data0!L67,AC$4,AC$5,AC$6,AC$7)</f>
        <v>0</v>
      </c>
      <c r="AD81" s="4">
        <f>findLinError($R81,data0!M67,AD$4,AD$5,AD$6,AD$7)</f>
        <v>0</v>
      </c>
      <c r="AE81" s="4">
        <f>findLinError($R81,data0!N67,AE$4,AE$5,AE$6,AE$7)</f>
        <v>0</v>
      </c>
      <c r="AF81" s="4">
        <f>findLinError($R81,data0!O67,AF$4,AF$5,AF$6,AF$7)</f>
        <v>0</v>
      </c>
      <c r="AG81" s="4">
        <f>findLinError($R81,data0!P67,AG$4,AG$5,AG$6,AG$7)</f>
        <v>0</v>
      </c>
      <c r="AH81" s="4">
        <f>findLinError($R81,data0!Q67,AH$4,AH$5,AH$6,AH$7)</f>
        <v>0</v>
      </c>
      <c r="AI81" s="4">
        <f>findLinError($R81,data0!R67,AI$4,AI$5,AI$6,AI$7)</f>
        <v>0</v>
      </c>
      <c r="AJ81" s="4">
        <f>findLinError($R81,data0!S67,AJ$4,AJ$5,AJ$6,AJ$7)</f>
        <v>0</v>
      </c>
      <c r="AK81" s="4">
        <f>findLinError($R81,data0!T67,AK$4,AK$5,AK$6,AK$7)</f>
        <v>0</v>
      </c>
      <c r="AL81" s="4">
        <f>findLinError($R81,data0!U67,AL$4,AL$5,AL$6,AL$7)</f>
        <v>0</v>
      </c>
      <c r="AM81" s="4">
        <f>findLinError($R81,data0!V67,AM$4,AM$5,AM$6,AM$7)</f>
        <v>0</v>
      </c>
      <c r="AN81" s="4">
        <f>findLinError($R81,data0!W67,AN$4,AN$5,AN$6,AN$7)</f>
        <v>0</v>
      </c>
      <c r="AO81" s="4">
        <f>findLinError($R81,data0!X67,AO$4,AO$5,AO$6,AO$7)</f>
        <v>0</v>
      </c>
      <c r="AP81" s="4">
        <f>findLinError($R81,data0!Y67,AP$4,AP$5,AP$6,AP$7)</f>
        <v>0</v>
      </c>
      <c r="AQ81" s="4">
        <f>findLinError($R81,data0!Z67,AQ$4,AQ$5,AQ$6,AQ$7)</f>
        <v>0</v>
      </c>
      <c r="AR81" s="4">
        <f>findLinError($R81,data0!AA67,AR$4,AR$5,AR$6,AR$7)</f>
        <v>0</v>
      </c>
      <c r="AS81" s="4">
        <f>findLinError($R81,data0!AB67,AS$4,AS$5,AS$6,AS$7)</f>
        <v>0</v>
      </c>
      <c r="AT81" s="4">
        <f>findLinError($R81,data0!AC67,AT$4,AT$5,AT$6,AT$7)</f>
        <v>0</v>
      </c>
      <c r="AU81" s="4">
        <f>findLinError($R81,data0!AD67,AU$4,AU$5,AU$6,AU$7)</f>
        <v>0</v>
      </c>
      <c r="AV81" s="4">
        <f>findLinError($R81,data0!AE67,AV$4,AV$5,AV$6,AV$7)</f>
        <v>0</v>
      </c>
      <c r="AW81" s="4">
        <f>findLinError($R81,data0!AF67,AW$4,AW$5,AW$6,AW$7)</f>
        <v>0</v>
      </c>
      <c r="AX81" s="4">
        <f>findLinError($R81,data0!AG67,AX$4,AX$5,AX$6,AX$7)</f>
        <v>0</v>
      </c>
    </row>
    <row r="82" spans="16:50">
      <c r="P82" s="9">
        <f t="shared" ref="P82:P116" si="50">P81+1</f>
        <v>66</v>
      </c>
      <c r="Q82" s="9">
        <f>data4!L68</f>
        <v>8.6180492871790193E-5</v>
      </c>
      <c r="R82" s="34">
        <f t="shared" si="49"/>
        <v>109.72841150913008</v>
      </c>
      <c r="S82" s="4">
        <f>findLinError($R82,data0!B68,S$4,S$5,S$6,S$7)</f>
        <v>0</v>
      </c>
      <c r="T82" s="4"/>
      <c r="U82" s="4">
        <f>findLinError($R82,data0!D68,U$4,U$5,U$6,U$7)</f>
        <v>0</v>
      </c>
      <c r="V82" s="4"/>
      <c r="W82" s="4">
        <f>findLinError($R82,data0!F68,W$4,W$5,W$6,W$7)</f>
        <v>0</v>
      </c>
      <c r="X82" s="4"/>
      <c r="Y82" s="4"/>
      <c r="Z82" s="4">
        <f>findLinError($R82,data0!I68,Z$4,Z$5,Z$6,Z$7)</f>
        <v>0</v>
      </c>
      <c r="AA82" s="4">
        <f>findLinError($R82,data0!J68,AA$4,AA$5,AA$6,AA$7)</f>
        <v>0</v>
      </c>
      <c r="AB82" s="4">
        <f>findLinError($R82,data0!K68,AB$4,AB$5,AB$6,AB$7)</f>
        <v>0</v>
      </c>
      <c r="AC82" s="4">
        <f>findLinError($R82,data0!L68,AC$4,AC$5,AC$6,AC$7)</f>
        <v>0</v>
      </c>
      <c r="AD82" s="4">
        <f>findLinError($R82,data0!M68,AD$4,AD$5,AD$6,AD$7)</f>
        <v>0</v>
      </c>
      <c r="AE82" s="4">
        <f>findLinError($R82,data0!N68,AE$4,AE$5,AE$6,AE$7)</f>
        <v>0</v>
      </c>
      <c r="AF82" s="4">
        <f>findLinError($R82,data0!O68,AF$4,AF$5,AF$6,AF$7)</f>
        <v>0</v>
      </c>
      <c r="AG82" s="4">
        <f>findLinError($R82,data0!P68,AG$4,AG$5,AG$6,AG$7)</f>
        <v>0</v>
      </c>
      <c r="AH82" s="4">
        <f>findLinError($R82,data0!Q68,AH$4,AH$5,AH$6,AH$7)</f>
        <v>0</v>
      </c>
      <c r="AI82" s="4">
        <f>findLinError($R82,data0!R68,AI$4,AI$5,AI$6,AI$7)</f>
        <v>0</v>
      </c>
      <c r="AJ82" s="4">
        <f>findLinError($R82,data0!S68,AJ$4,AJ$5,AJ$6,AJ$7)</f>
        <v>0</v>
      </c>
      <c r="AK82" s="4">
        <f>findLinError($R82,data0!T68,AK$4,AK$5,AK$6,AK$7)</f>
        <v>0</v>
      </c>
      <c r="AL82" s="4">
        <f>findLinError($R82,data0!U68,AL$4,AL$5,AL$6,AL$7)</f>
        <v>0</v>
      </c>
      <c r="AM82" s="4">
        <f>findLinError($R82,data0!V68,AM$4,AM$5,AM$6,AM$7)</f>
        <v>0</v>
      </c>
      <c r="AN82" s="4">
        <f>findLinError($R82,data0!W68,AN$4,AN$5,AN$6,AN$7)</f>
        <v>0</v>
      </c>
      <c r="AO82" s="4">
        <f>findLinError($R82,data0!X68,AO$4,AO$5,AO$6,AO$7)</f>
        <v>0</v>
      </c>
      <c r="AP82" s="4">
        <f>findLinError($R82,data0!Y68,AP$4,AP$5,AP$6,AP$7)</f>
        <v>0</v>
      </c>
      <c r="AQ82" s="4">
        <f>findLinError($R82,data0!Z68,AQ$4,AQ$5,AQ$6,AQ$7)</f>
        <v>0</v>
      </c>
      <c r="AR82" s="4">
        <f>findLinError($R82,data0!AA68,AR$4,AR$5,AR$6,AR$7)</f>
        <v>0</v>
      </c>
      <c r="AS82" s="4">
        <f>findLinError($R82,data0!AB68,AS$4,AS$5,AS$6,AS$7)</f>
        <v>0</v>
      </c>
      <c r="AT82" s="4">
        <f>findLinError($R82,data0!AC68,AT$4,AT$5,AT$6,AT$7)</f>
        <v>0</v>
      </c>
      <c r="AU82" s="4">
        <f>findLinError($R82,data0!AD68,AU$4,AU$5,AU$6,AU$7)</f>
        <v>0</v>
      </c>
      <c r="AV82" s="4">
        <f>findLinError($R82,data0!AE68,AV$4,AV$5,AV$6,AV$7)</f>
        <v>0</v>
      </c>
      <c r="AW82" s="4">
        <f>findLinError($R82,data0!AF68,AW$4,AW$5,AW$6,AW$7)</f>
        <v>0</v>
      </c>
      <c r="AX82" s="4">
        <f>findLinError($R82,data0!AG68,AX$4,AX$5,AX$6,AX$7)</f>
        <v>0</v>
      </c>
    </row>
    <row r="83" spans="16:50">
      <c r="P83" s="9">
        <f t="shared" si="50"/>
        <v>67</v>
      </c>
      <c r="Q83" s="9">
        <f>data4!L69</f>
        <v>8.8185364802484401E-5</v>
      </c>
      <c r="R83" s="34">
        <f t="shared" si="49"/>
        <v>112.28109373341948</v>
      </c>
      <c r="S83" s="4">
        <f>findLinError($R83,data0!B69,S$4,S$5,S$6,S$7)</f>
        <v>0</v>
      </c>
      <c r="T83" s="4"/>
      <c r="U83" s="4">
        <f>findLinError($R83,data0!D69,U$4,U$5,U$6,U$7)</f>
        <v>0</v>
      </c>
      <c r="V83" s="4"/>
      <c r="W83" s="4">
        <f>findLinError($R83,data0!F69,W$4,W$5,W$6,W$7)</f>
        <v>0</v>
      </c>
      <c r="X83" s="4"/>
      <c r="Y83" s="4"/>
      <c r="Z83" s="4">
        <f>findLinError($R83,data0!I69,Z$4,Z$5,Z$6,Z$7)</f>
        <v>0</v>
      </c>
      <c r="AA83" s="4">
        <f>findLinError($R83,data0!J69,AA$4,AA$5,AA$6,AA$7)</f>
        <v>0</v>
      </c>
      <c r="AB83" s="4">
        <f>findLinError($R83,data0!K69,AB$4,AB$5,AB$6,AB$7)</f>
        <v>0</v>
      </c>
      <c r="AC83" s="4">
        <f>findLinError($R83,data0!L69,AC$4,AC$5,AC$6,AC$7)</f>
        <v>0</v>
      </c>
      <c r="AD83" s="4">
        <f>findLinError($R83,data0!M69,AD$4,AD$5,AD$6,AD$7)</f>
        <v>0</v>
      </c>
      <c r="AE83" s="4">
        <f>findLinError($R83,data0!N69,AE$4,AE$5,AE$6,AE$7)</f>
        <v>0</v>
      </c>
      <c r="AF83" s="4">
        <f>findLinError($R83,data0!O69,AF$4,AF$5,AF$6,AF$7)</f>
        <v>0</v>
      </c>
      <c r="AG83" s="4">
        <f>findLinError($R83,data0!P69,AG$4,AG$5,AG$6,AG$7)</f>
        <v>0</v>
      </c>
      <c r="AH83" s="4">
        <f>findLinError($R83,data0!Q69,AH$4,AH$5,AH$6,AH$7)</f>
        <v>0</v>
      </c>
      <c r="AI83" s="4">
        <f>findLinError($R83,data0!R69,AI$4,AI$5,AI$6,AI$7)</f>
        <v>0</v>
      </c>
      <c r="AJ83" s="4">
        <f>findLinError($R83,data0!S69,AJ$4,AJ$5,AJ$6,AJ$7)</f>
        <v>0</v>
      </c>
      <c r="AK83" s="4">
        <f>findLinError($R83,data0!T69,AK$4,AK$5,AK$6,AK$7)</f>
        <v>0</v>
      </c>
      <c r="AL83" s="4">
        <f>findLinError($R83,data0!U69,AL$4,AL$5,AL$6,AL$7)</f>
        <v>0</v>
      </c>
      <c r="AM83" s="4">
        <f>findLinError($R83,data0!V69,AM$4,AM$5,AM$6,AM$7)</f>
        <v>0</v>
      </c>
      <c r="AN83" s="4">
        <f>findLinError($R83,data0!W69,AN$4,AN$5,AN$6,AN$7)</f>
        <v>0</v>
      </c>
      <c r="AO83" s="4">
        <f>findLinError($R83,data0!X69,AO$4,AO$5,AO$6,AO$7)</f>
        <v>0</v>
      </c>
      <c r="AP83" s="4">
        <f>findLinError($R83,data0!Y69,AP$4,AP$5,AP$6,AP$7)</f>
        <v>0</v>
      </c>
      <c r="AQ83" s="4">
        <f>findLinError($R83,data0!Z69,AQ$4,AQ$5,AQ$6,AQ$7)</f>
        <v>0</v>
      </c>
      <c r="AR83" s="4">
        <f>findLinError($R83,data0!AA69,AR$4,AR$5,AR$6,AR$7)</f>
        <v>0</v>
      </c>
      <c r="AS83" s="4">
        <f>findLinError($R83,data0!AB69,AS$4,AS$5,AS$6,AS$7)</f>
        <v>0</v>
      </c>
      <c r="AT83" s="4">
        <f>findLinError($R83,data0!AC69,AT$4,AT$5,AT$6,AT$7)</f>
        <v>0</v>
      </c>
      <c r="AU83" s="4">
        <f>findLinError($R83,data0!AD69,AU$4,AU$5,AU$6,AU$7)</f>
        <v>0</v>
      </c>
      <c r="AV83" s="4">
        <f>findLinError($R83,data0!AE69,AV$4,AV$5,AV$6,AV$7)</f>
        <v>0</v>
      </c>
      <c r="AW83" s="4">
        <f>findLinError($R83,data0!AF69,AW$4,AW$5,AW$6,AW$7)</f>
        <v>0</v>
      </c>
      <c r="AX83" s="4">
        <f>findLinError($R83,data0!AG69,AX$4,AX$5,AX$6,AX$7)</f>
        <v>0</v>
      </c>
    </row>
    <row r="84" spans="16:50">
      <c r="P84" s="9">
        <f t="shared" si="50"/>
        <v>68</v>
      </c>
      <c r="Q84" s="9">
        <f>data4!L70</f>
        <v>9.035281436808873E-5</v>
      </c>
      <c r="R84" s="34">
        <f t="shared" si="49"/>
        <v>115.04077623156596</v>
      </c>
      <c r="S84" s="4">
        <f>findLinError($R84,data0!B70,S$4,S$5,S$6,S$7)</f>
        <v>0</v>
      </c>
      <c r="T84" s="4"/>
      <c r="U84" s="4">
        <f>findLinError($R84,data0!D70,U$4,U$5,U$6,U$7)</f>
        <v>0</v>
      </c>
      <c r="V84" s="4"/>
      <c r="W84" s="4">
        <f>findLinError($R84,data0!F70,W$4,W$5,W$6,W$7)</f>
        <v>0</v>
      </c>
      <c r="X84" s="4"/>
      <c r="Y84" s="4"/>
      <c r="Z84" s="4">
        <f>findLinError($R84,data0!I70,Z$4,Z$5,Z$6,Z$7)</f>
        <v>0</v>
      </c>
      <c r="AA84" s="4">
        <f>findLinError($R84,data0!J70,AA$4,AA$5,AA$6,AA$7)</f>
        <v>0</v>
      </c>
      <c r="AB84" s="4">
        <f>findLinError($R84,data0!K70,AB$4,AB$5,AB$6,AB$7)</f>
        <v>0</v>
      </c>
      <c r="AC84" s="4">
        <f>findLinError($R84,data0!L70,AC$4,AC$5,AC$6,AC$7)</f>
        <v>0</v>
      </c>
      <c r="AD84" s="4">
        <f>findLinError($R84,data0!M70,AD$4,AD$5,AD$6,AD$7)</f>
        <v>0</v>
      </c>
      <c r="AE84" s="4">
        <f>findLinError($R84,data0!N70,AE$4,AE$5,AE$6,AE$7)</f>
        <v>0</v>
      </c>
      <c r="AF84" s="4">
        <f>findLinError($R84,data0!O70,AF$4,AF$5,AF$6,AF$7)</f>
        <v>0</v>
      </c>
      <c r="AG84" s="4">
        <f>findLinError($R84,data0!P70,AG$4,AG$5,AG$6,AG$7)</f>
        <v>0</v>
      </c>
      <c r="AH84" s="4">
        <f>findLinError($R84,data0!Q70,AH$4,AH$5,AH$6,AH$7)</f>
        <v>0</v>
      </c>
      <c r="AI84" s="4">
        <f>findLinError($R84,data0!R70,AI$4,AI$5,AI$6,AI$7)</f>
        <v>0</v>
      </c>
      <c r="AJ84" s="4">
        <f>findLinError($R84,data0!S70,AJ$4,AJ$5,AJ$6,AJ$7)</f>
        <v>0</v>
      </c>
      <c r="AK84" s="4">
        <f>findLinError($R84,data0!T70,AK$4,AK$5,AK$6,AK$7)</f>
        <v>0</v>
      </c>
      <c r="AL84" s="4">
        <f>findLinError($R84,data0!U70,AL$4,AL$5,AL$6,AL$7)</f>
        <v>0</v>
      </c>
      <c r="AM84" s="4">
        <f>findLinError($R84,data0!V70,AM$4,AM$5,AM$6,AM$7)</f>
        <v>0</v>
      </c>
      <c r="AN84" s="4">
        <f>findLinError($R84,data0!W70,AN$4,AN$5,AN$6,AN$7)</f>
        <v>0</v>
      </c>
      <c r="AO84" s="4">
        <f>findLinError($R84,data0!X70,AO$4,AO$5,AO$6,AO$7)</f>
        <v>0</v>
      </c>
      <c r="AP84" s="4">
        <f>findLinError($R84,data0!Y70,AP$4,AP$5,AP$6,AP$7)</f>
        <v>0</v>
      </c>
      <c r="AQ84" s="4">
        <f>findLinError($R84,data0!Z70,AQ$4,AQ$5,AQ$6,AQ$7)</f>
        <v>0</v>
      </c>
      <c r="AR84" s="4">
        <f>findLinError($R84,data0!AA70,AR$4,AR$5,AR$6,AR$7)</f>
        <v>0</v>
      </c>
      <c r="AS84" s="4">
        <f>findLinError($R84,data0!AB70,AS$4,AS$5,AS$6,AS$7)</f>
        <v>0</v>
      </c>
      <c r="AT84" s="4">
        <f>findLinError($R84,data0!AC70,AT$4,AT$5,AT$6,AT$7)</f>
        <v>0</v>
      </c>
      <c r="AU84" s="4">
        <f>findLinError($R84,data0!AD70,AU$4,AU$5,AU$6,AU$7)</f>
        <v>0</v>
      </c>
      <c r="AV84" s="4">
        <f>findLinError($R84,data0!AE70,AV$4,AV$5,AV$6,AV$7)</f>
        <v>0</v>
      </c>
      <c r="AW84" s="4">
        <f>findLinError($R84,data0!AF70,AW$4,AW$5,AW$6,AW$7)</f>
        <v>0</v>
      </c>
      <c r="AX84" s="4">
        <f>findLinError($R84,data0!AG70,AX$4,AX$5,AX$6,AX$7)</f>
        <v>0</v>
      </c>
    </row>
    <row r="85" spans="16:50">
      <c r="P85" s="9">
        <f t="shared" si="50"/>
        <v>69</v>
      </c>
      <c r="Q85" s="9">
        <f>data4!L71</f>
        <v>9.2388359917094931E-5</v>
      </c>
      <c r="R85" s="34">
        <f t="shared" si="49"/>
        <v>117.63251331967031</v>
      </c>
      <c r="S85" s="4">
        <f>findLinError($R85,data0!B71,S$4,S$5,S$6,S$7)</f>
        <v>0</v>
      </c>
      <c r="T85" s="4"/>
      <c r="U85" s="4">
        <f>findLinError($R85,data0!D71,U$4,U$5,U$6,U$7)</f>
        <v>0</v>
      </c>
      <c r="V85" s="4"/>
      <c r="W85" s="4">
        <f>findLinError($R85,data0!F71,W$4,W$5,W$6,W$7)</f>
        <v>0</v>
      </c>
      <c r="X85" s="4"/>
      <c r="Y85" s="4"/>
      <c r="Z85" s="4">
        <f>findLinError($R85,data0!I71,Z$4,Z$5,Z$6,Z$7)</f>
        <v>0</v>
      </c>
      <c r="AA85" s="4">
        <f>findLinError($R85,data0!J71,AA$4,AA$5,AA$6,AA$7)</f>
        <v>0</v>
      </c>
      <c r="AB85" s="4">
        <f>findLinError($R85,data0!K71,AB$4,AB$5,AB$6,AB$7)</f>
        <v>0</v>
      </c>
      <c r="AC85" s="4">
        <f>findLinError($R85,data0!L71,AC$4,AC$5,AC$6,AC$7)</f>
        <v>0</v>
      </c>
      <c r="AD85" s="4">
        <f>findLinError($R85,data0!M71,AD$4,AD$5,AD$6,AD$7)</f>
        <v>0</v>
      </c>
      <c r="AE85" s="4">
        <f>findLinError($R85,data0!N71,AE$4,AE$5,AE$6,AE$7)</f>
        <v>0</v>
      </c>
      <c r="AF85" s="4">
        <f>findLinError($R85,data0!O71,AF$4,AF$5,AF$6,AF$7)</f>
        <v>0</v>
      </c>
      <c r="AG85" s="4">
        <f>findLinError($R85,data0!P71,AG$4,AG$5,AG$6,AG$7)</f>
        <v>0</v>
      </c>
      <c r="AH85" s="4">
        <f>findLinError($R85,data0!Q71,AH$4,AH$5,AH$6,AH$7)</f>
        <v>0</v>
      </c>
      <c r="AI85" s="4">
        <f>findLinError($R85,data0!R71,AI$4,AI$5,AI$6,AI$7)</f>
        <v>0</v>
      </c>
      <c r="AJ85" s="4">
        <f>findLinError($R85,data0!S71,AJ$4,AJ$5,AJ$6,AJ$7)</f>
        <v>0</v>
      </c>
      <c r="AK85" s="4">
        <f>findLinError($R85,data0!T71,AK$4,AK$5,AK$6,AK$7)</f>
        <v>0</v>
      </c>
      <c r="AL85" s="4">
        <f>findLinError($R85,data0!U71,AL$4,AL$5,AL$6,AL$7)</f>
        <v>0</v>
      </c>
      <c r="AM85" s="4">
        <f>findLinError($R85,data0!V71,AM$4,AM$5,AM$6,AM$7)</f>
        <v>0</v>
      </c>
      <c r="AN85" s="4">
        <f>findLinError($R85,data0!W71,AN$4,AN$5,AN$6,AN$7)</f>
        <v>0</v>
      </c>
      <c r="AO85" s="4">
        <f>findLinError($R85,data0!X71,AO$4,AO$5,AO$6,AO$7)</f>
        <v>0</v>
      </c>
      <c r="AP85" s="4">
        <f>findLinError($R85,data0!Y71,AP$4,AP$5,AP$6,AP$7)</f>
        <v>0</v>
      </c>
      <c r="AQ85" s="4">
        <f>findLinError($R85,data0!Z71,AQ$4,AQ$5,AQ$6,AQ$7)</f>
        <v>0</v>
      </c>
      <c r="AR85" s="4">
        <f>findLinError($R85,data0!AA71,AR$4,AR$5,AR$6,AR$7)</f>
        <v>0</v>
      </c>
      <c r="AS85" s="4">
        <f>findLinError($R85,data0!AB71,AS$4,AS$5,AS$6,AS$7)</f>
        <v>0</v>
      </c>
      <c r="AT85" s="4">
        <f>findLinError($R85,data0!AC71,AT$4,AT$5,AT$6,AT$7)</f>
        <v>0</v>
      </c>
      <c r="AU85" s="4">
        <f>findLinError($R85,data0!AD71,AU$4,AU$5,AU$6,AU$7)</f>
        <v>0</v>
      </c>
      <c r="AV85" s="4">
        <f>findLinError($R85,data0!AE71,AV$4,AV$5,AV$6,AV$7)</f>
        <v>0</v>
      </c>
      <c r="AW85" s="4">
        <f>findLinError($R85,data0!AF71,AW$4,AW$5,AW$6,AW$7)</f>
        <v>0</v>
      </c>
      <c r="AX85" s="4">
        <f>findLinError($R85,data0!AG71,AX$4,AX$5,AX$6,AX$7)</f>
        <v>0</v>
      </c>
    </row>
    <row r="86" spans="16:50">
      <c r="P86" s="9">
        <f t="shared" si="50"/>
        <v>70</v>
      </c>
      <c r="Q86" s="9">
        <f>data4!L72</f>
        <v>9.4620670097356196E-5</v>
      </c>
      <c r="R86" s="34">
        <f t="shared" si="49"/>
        <v>120.47477891729383</v>
      </c>
      <c r="S86" s="4">
        <f>findLinError($R86,data0!B72,S$4,S$5,S$6,S$7)</f>
        <v>0</v>
      </c>
      <c r="T86" s="4"/>
      <c r="U86" s="4">
        <f>findLinError($R86,data0!D72,U$4,U$5,U$6,U$7)</f>
        <v>0</v>
      </c>
      <c r="V86" s="4"/>
      <c r="W86" s="4">
        <f>findLinError($R86,data0!F72,W$4,W$5,W$6,W$7)</f>
        <v>0</v>
      </c>
      <c r="X86" s="4"/>
      <c r="Y86" s="4"/>
      <c r="Z86" s="4">
        <f>findLinError($R86,data0!I72,Z$4,Z$5,Z$6,Z$7)</f>
        <v>0</v>
      </c>
      <c r="AA86" s="4">
        <f>findLinError($R86,data0!J72,AA$4,AA$5,AA$6,AA$7)</f>
        <v>0</v>
      </c>
      <c r="AB86" s="4">
        <f>findLinError($R86,data0!K72,AB$4,AB$5,AB$6,AB$7)</f>
        <v>0</v>
      </c>
      <c r="AC86" s="4">
        <f>findLinError($R86,data0!L72,AC$4,AC$5,AC$6,AC$7)</f>
        <v>0</v>
      </c>
      <c r="AD86" s="4">
        <f>findLinError($R86,data0!M72,AD$4,AD$5,AD$6,AD$7)</f>
        <v>0</v>
      </c>
      <c r="AE86" s="4">
        <f>findLinError($R86,data0!N72,AE$4,AE$5,AE$6,AE$7)</f>
        <v>0</v>
      </c>
      <c r="AF86" s="4">
        <f>findLinError($R86,data0!O72,AF$4,AF$5,AF$6,AF$7)</f>
        <v>0</v>
      </c>
      <c r="AG86" s="4">
        <f>findLinError($R86,data0!P72,AG$4,AG$5,AG$6,AG$7)</f>
        <v>0</v>
      </c>
      <c r="AH86" s="4">
        <f>findLinError($R86,data0!Q72,AH$4,AH$5,AH$6,AH$7)</f>
        <v>0</v>
      </c>
      <c r="AI86" s="4">
        <f>findLinError($R86,data0!R72,AI$4,AI$5,AI$6,AI$7)</f>
        <v>0</v>
      </c>
      <c r="AJ86" s="4">
        <f>findLinError($R86,data0!S72,AJ$4,AJ$5,AJ$6,AJ$7)</f>
        <v>0</v>
      </c>
      <c r="AK86" s="4">
        <f>findLinError($R86,data0!T72,AK$4,AK$5,AK$6,AK$7)</f>
        <v>0</v>
      </c>
      <c r="AL86" s="4">
        <f>findLinError($R86,data0!U72,AL$4,AL$5,AL$6,AL$7)</f>
        <v>0</v>
      </c>
      <c r="AM86" s="4">
        <f>findLinError($R86,data0!V72,AM$4,AM$5,AM$6,AM$7)</f>
        <v>0</v>
      </c>
      <c r="AN86" s="4">
        <f>findLinError($R86,data0!W72,AN$4,AN$5,AN$6,AN$7)</f>
        <v>0</v>
      </c>
      <c r="AO86" s="4">
        <f>findLinError($R86,data0!X72,AO$4,AO$5,AO$6,AO$7)</f>
        <v>0</v>
      </c>
      <c r="AP86" s="4">
        <f>findLinError($R86,data0!Y72,AP$4,AP$5,AP$6,AP$7)</f>
        <v>0</v>
      </c>
      <c r="AQ86" s="4">
        <f>findLinError($R86,data0!Z72,AQ$4,AQ$5,AQ$6,AQ$7)</f>
        <v>0</v>
      </c>
      <c r="AR86" s="4">
        <f>findLinError($R86,data0!AA72,AR$4,AR$5,AR$6,AR$7)</f>
        <v>0</v>
      </c>
      <c r="AS86" s="4">
        <f>findLinError($R86,data0!AB72,AS$4,AS$5,AS$6,AS$7)</f>
        <v>0</v>
      </c>
      <c r="AT86" s="4">
        <f>findLinError($R86,data0!AC72,AT$4,AT$5,AT$6,AT$7)</f>
        <v>0</v>
      </c>
      <c r="AU86" s="4">
        <f>findLinError($R86,data0!AD72,AU$4,AU$5,AU$6,AU$7)</f>
        <v>0</v>
      </c>
      <c r="AV86" s="4">
        <f>findLinError($R86,data0!AE72,AV$4,AV$5,AV$6,AV$7)</f>
        <v>0</v>
      </c>
      <c r="AW86" s="4">
        <f>findLinError($R86,data0!AF72,AW$4,AW$5,AW$6,AW$7)</f>
        <v>0</v>
      </c>
      <c r="AX86" s="4">
        <f>findLinError($R86,data0!AG72,AX$4,AX$5,AX$6,AX$7)</f>
        <v>0</v>
      </c>
    </row>
    <row r="87" spans="16:50">
      <c r="P87" s="9">
        <f t="shared" si="50"/>
        <v>71</v>
      </c>
      <c r="Q87" s="9">
        <f>data4!L73</f>
        <v>9.6705072792246938E-5</v>
      </c>
      <c r="R87" s="34">
        <f t="shared" si="49"/>
        <v>123.12872285558126</v>
      </c>
      <c r="S87" s="4">
        <f>findLinError($R87,data0!B73,S$4,S$5,S$6,S$7)</f>
        <v>0</v>
      </c>
      <c r="T87" s="4"/>
      <c r="U87" s="4">
        <f>findLinError($R87,data0!D73,U$4,U$5,U$6,U$7)</f>
        <v>0</v>
      </c>
      <c r="V87" s="4"/>
      <c r="W87" s="4">
        <f>findLinError($R87,data0!F73,W$4,W$5,W$6,W$7)</f>
        <v>0</v>
      </c>
      <c r="X87" s="4"/>
      <c r="Y87" s="4"/>
      <c r="Z87" s="4">
        <f>findLinError($R87,data0!I73,Z$4,Z$5,Z$6,Z$7)</f>
        <v>0</v>
      </c>
      <c r="AA87" s="4">
        <f>findLinError($R87,data0!J73,AA$4,AA$5,AA$6,AA$7)</f>
        <v>0</v>
      </c>
      <c r="AB87" s="4">
        <f>findLinError($R87,data0!K73,AB$4,AB$5,AB$6,AB$7)</f>
        <v>0</v>
      </c>
      <c r="AC87" s="4">
        <f>findLinError($R87,data0!L73,AC$4,AC$5,AC$6,AC$7)</f>
        <v>0</v>
      </c>
      <c r="AD87" s="4">
        <f>findLinError($R87,data0!M73,AD$4,AD$5,AD$6,AD$7)</f>
        <v>0</v>
      </c>
      <c r="AE87" s="4">
        <f>findLinError($R87,data0!N73,AE$4,AE$5,AE$6,AE$7)</f>
        <v>0</v>
      </c>
      <c r="AF87" s="4">
        <f>findLinError($R87,data0!O73,AF$4,AF$5,AF$6,AF$7)</f>
        <v>0</v>
      </c>
      <c r="AG87" s="4">
        <f>findLinError($R87,data0!P73,AG$4,AG$5,AG$6,AG$7)</f>
        <v>0</v>
      </c>
      <c r="AH87" s="4">
        <f>findLinError($R87,data0!Q73,AH$4,AH$5,AH$6,AH$7)</f>
        <v>0</v>
      </c>
      <c r="AI87" s="4">
        <f>findLinError($R87,data0!R73,AI$4,AI$5,AI$6,AI$7)</f>
        <v>0</v>
      </c>
      <c r="AJ87" s="4">
        <f>findLinError($R87,data0!S73,AJ$4,AJ$5,AJ$6,AJ$7)</f>
        <v>0</v>
      </c>
      <c r="AK87" s="4">
        <f>findLinError($R87,data0!T73,AK$4,AK$5,AK$6,AK$7)</f>
        <v>0</v>
      </c>
      <c r="AL87" s="4">
        <f>findLinError($R87,data0!U73,AL$4,AL$5,AL$6,AL$7)</f>
        <v>0</v>
      </c>
      <c r="AM87" s="4">
        <f>findLinError($R87,data0!V73,AM$4,AM$5,AM$6,AM$7)</f>
        <v>0</v>
      </c>
      <c r="AN87" s="4">
        <f>findLinError($R87,data0!W73,AN$4,AN$5,AN$6,AN$7)</f>
        <v>0</v>
      </c>
      <c r="AO87" s="4">
        <f>findLinError($R87,data0!X73,AO$4,AO$5,AO$6,AO$7)</f>
        <v>0</v>
      </c>
      <c r="AP87" s="4">
        <f>findLinError($R87,data0!Y73,AP$4,AP$5,AP$6,AP$7)</f>
        <v>0</v>
      </c>
      <c r="AQ87" s="4">
        <f>findLinError($R87,data0!Z73,AQ$4,AQ$5,AQ$6,AQ$7)</f>
        <v>0</v>
      </c>
      <c r="AR87" s="4">
        <f>findLinError($R87,data0!AA73,AR$4,AR$5,AR$6,AR$7)</f>
        <v>0</v>
      </c>
      <c r="AS87" s="4">
        <f>findLinError($R87,data0!AB73,AS$4,AS$5,AS$6,AS$7)</f>
        <v>0</v>
      </c>
      <c r="AT87" s="4">
        <f>findLinError($R87,data0!AC73,AT$4,AT$5,AT$6,AT$7)</f>
        <v>0</v>
      </c>
      <c r="AU87" s="4">
        <f>findLinError($R87,data0!AD73,AU$4,AU$5,AU$6,AU$7)</f>
        <v>0</v>
      </c>
      <c r="AV87" s="4">
        <f>findLinError($R87,data0!AE73,AV$4,AV$5,AV$6,AV$7)</f>
        <v>0</v>
      </c>
      <c r="AW87" s="4">
        <f>findLinError($R87,data0!AF73,AW$4,AW$5,AW$6,AW$7)</f>
        <v>0</v>
      </c>
      <c r="AX87" s="4">
        <f>findLinError($R87,data0!AG73,AX$4,AX$5,AX$6,AX$7)</f>
        <v>0</v>
      </c>
    </row>
    <row r="88" spans="16:50">
      <c r="P88" s="9">
        <f t="shared" si="50"/>
        <v>72</v>
      </c>
      <c r="Q88" s="9">
        <f>data4!L74</f>
        <v>9.879380559141282E-5</v>
      </c>
      <c r="R88" s="34">
        <f t="shared" si="49"/>
        <v>125.78818005386464</v>
      </c>
      <c r="S88" s="4">
        <f>findLinError($R88,data0!B74,S$4,S$5,S$6,S$7)</f>
        <v>0</v>
      </c>
      <c r="T88" s="4"/>
      <c r="U88" s="4">
        <f>findLinError($R88,data0!D74,U$4,U$5,U$6,U$7)</f>
        <v>0</v>
      </c>
      <c r="V88" s="4"/>
      <c r="W88" s="4">
        <f>findLinError($R88,data0!F74,W$4,W$5,W$6,W$7)</f>
        <v>0</v>
      </c>
      <c r="X88" s="4"/>
      <c r="Y88" s="4"/>
      <c r="Z88" s="4">
        <f>findLinError($R88,data0!I74,Z$4,Z$5,Z$6,Z$7)</f>
        <v>0</v>
      </c>
      <c r="AA88" s="4">
        <f>findLinError($R88,data0!J74,AA$4,AA$5,AA$6,AA$7)</f>
        <v>0</v>
      </c>
      <c r="AB88" s="4">
        <f>findLinError($R88,data0!K74,AB$4,AB$5,AB$6,AB$7)</f>
        <v>0</v>
      </c>
      <c r="AC88" s="4">
        <f>findLinError($R88,data0!L74,AC$4,AC$5,AC$6,AC$7)</f>
        <v>0</v>
      </c>
      <c r="AD88" s="4">
        <f>findLinError($R88,data0!M74,AD$4,AD$5,AD$6,AD$7)</f>
        <v>0</v>
      </c>
      <c r="AE88" s="4">
        <f>findLinError($R88,data0!N74,AE$4,AE$5,AE$6,AE$7)</f>
        <v>0</v>
      </c>
      <c r="AF88" s="4">
        <f>findLinError($R88,data0!O74,AF$4,AF$5,AF$6,AF$7)</f>
        <v>0</v>
      </c>
      <c r="AG88" s="4">
        <f>findLinError($R88,data0!P74,AG$4,AG$5,AG$6,AG$7)</f>
        <v>0</v>
      </c>
      <c r="AH88" s="4">
        <f>findLinError($R88,data0!Q74,AH$4,AH$5,AH$6,AH$7)</f>
        <v>0</v>
      </c>
      <c r="AI88" s="4">
        <f>findLinError($R88,data0!R74,AI$4,AI$5,AI$6,AI$7)</f>
        <v>0</v>
      </c>
      <c r="AJ88" s="4">
        <f>findLinError($R88,data0!S74,AJ$4,AJ$5,AJ$6,AJ$7)</f>
        <v>0</v>
      </c>
      <c r="AK88" s="4">
        <f>findLinError($R88,data0!T74,AK$4,AK$5,AK$6,AK$7)</f>
        <v>0</v>
      </c>
      <c r="AL88" s="4">
        <f>findLinError($R88,data0!U74,AL$4,AL$5,AL$6,AL$7)</f>
        <v>0</v>
      </c>
      <c r="AM88" s="4">
        <f>findLinError($R88,data0!V74,AM$4,AM$5,AM$6,AM$7)</f>
        <v>0</v>
      </c>
      <c r="AN88" s="4">
        <f>findLinError($R88,data0!W74,AN$4,AN$5,AN$6,AN$7)</f>
        <v>0</v>
      </c>
      <c r="AO88" s="4">
        <f>findLinError($R88,data0!X74,AO$4,AO$5,AO$6,AO$7)</f>
        <v>0</v>
      </c>
      <c r="AP88" s="4">
        <f>findLinError($R88,data0!Y74,AP$4,AP$5,AP$6,AP$7)</f>
        <v>0</v>
      </c>
      <c r="AQ88" s="4">
        <f>findLinError($R88,data0!Z74,AQ$4,AQ$5,AQ$6,AQ$7)</f>
        <v>0</v>
      </c>
      <c r="AR88" s="4">
        <f>findLinError($R88,data0!AA74,AR$4,AR$5,AR$6,AR$7)</f>
        <v>0</v>
      </c>
      <c r="AS88" s="4">
        <f>findLinError($R88,data0!AB74,AS$4,AS$5,AS$6,AS$7)</f>
        <v>0</v>
      </c>
      <c r="AT88" s="4">
        <f>findLinError($R88,data0!AC74,AT$4,AT$5,AT$6,AT$7)</f>
        <v>0</v>
      </c>
      <c r="AU88" s="4">
        <f>findLinError($R88,data0!AD74,AU$4,AU$5,AU$6,AU$7)</f>
        <v>0</v>
      </c>
      <c r="AV88" s="4">
        <f>findLinError($R88,data0!AE74,AV$4,AV$5,AV$6,AV$7)</f>
        <v>0</v>
      </c>
      <c r="AW88" s="4">
        <f>findLinError($R88,data0!AF74,AW$4,AW$5,AW$6,AW$7)</f>
        <v>0</v>
      </c>
      <c r="AX88" s="4">
        <f>findLinError($R88,data0!AG74,AX$4,AX$5,AX$6,AX$7)</f>
        <v>0</v>
      </c>
    </row>
    <row r="89" spans="16:50">
      <c r="P89" s="9">
        <f t="shared" si="50"/>
        <v>73</v>
      </c>
      <c r="Q89" s="9">
        <f>data4!L75</f>
        <v>1.0095507968799211E-4</v>
      </c>
      <c r="R89" s="34">
        <f t="shared" si="49"/>
        <v>128.53999970064115</v>
      </c>
      <c r="S89" s="4">
        <f>findLinError($R89,data0!B75,S$4,S$5,S$6,S$7)</f>
        <v>0</v>
      </c>
      <c r="T89" s="4"/>
      <c r="U89" s="4">
        <f>findLinError($R89,data0!D75,U$4,U$5,U$6,U$7)</f>
        <v>0</v>
      </c>
      <c r="V89" s="4"/>
      <c r="W89" s="4">
        <f>findLinError($R89,data0!F75,W$4,W$5,W$6,W$7)</f>
        <v>0</v>
      </c>
      <c r="X89" s="4"/>
      <c r="Y89" s="4"/>
      <c r="Z89" s="4">
        <f>findLinError($R89,data0!I75,Z$4,Z$5,Z$6,Z$7)</f>
        <v>0</v>
      </c>
      <c r="AA89" s="4">
        <f>findLinError($R89,data0!J75,AA$4,AA$5,AA$6,AA$7)</f>
        <v>0</v>
      </c>
      <c r="AB89" s="4">
        <f>findLinError($R89,data0!K75,AB$4,AB$5,AB$6,AB$7)</f>
        <v>0</v>
      </c>
      <c r="AC89" s="4">
        <f>findLinError($R89,data0!L75,AC$4,AC$5,AC$6,AC$7)</f>
        <v>0</v>
      </c>
      <c r="AD89" s="4">
        <f>findLinError($R89,data0!M75,AD$4,AD$5,AD$6,AD$7)</f>
        <v>0</v>
      </c>
      <c r="AE89" s="4">
        <f>findLinError($R89,data0!N75,AE$4,AE$5,AE$6,AE$7)</f>
        <v>0</v>
      </c>
      <c r="AF89" s="4">
        <f>findLinError($R89,data0!O75,AF$4,AF$5,AF$6,AF$7)</f>
        <v>0</v>
      </c>
      <c r="AG89" s="4">
        <f>findLinError($R89,data0!P75,AG$4,AG$5,AG$6,AG$7)</f>
        <v>0</v>
      </c>
      <c r="AH89" s="4">
        <f>findLinError($R89,data0!Q75,AH$4,AH$5,AH$6,AH$7)</f>
        <v>0</v>
      </c>
      <c r="AI89" s="4">
        <f>findLinError($R89,data0!R75,AI$4,AI$5,AI$6,AI$7)</f>
        <v>0</v>
      </c>
      <c r="AJ89" s="4">
        <f>findLinError($R89,data0!S75,AJ$4,AJ$5,AJ$6,AJ$7)</f>
        <v>0</v>
      </c>
      <c r="AK89" s="4">
        <f>findLinError($R89,data0!T75,AK$4,AK$5,AK$6,AK$7)</f>
        <v>0</v>
      </c>
      <c r="AL89" s="4">
        <f>findLinError($R89,data0!U75,AL$4,AL$5,AL$6,AL$7)</f>
        <v>0</v>
      </c>
      <c r="AM89" s="4">
        <f>findLinError($R89,data0!V75,AM$4,AM$5,AM$6,AM$7)</f>
        <v>0</v>
      </c>
      <c r="AN89" s="4">
        <f>findLinError($R89,data0!W75,AN$4,AN$5,AN$6,AN$7)</f>
        <v>0</v>
      </c>
      <c r="AO89" s="4">
        <f>findLinError($R89,data0!X75,AO$4,AO$5,AO$6,AO$7)</f>
        <v>0</v>
      </c>
      <c r="AP89" s="4">
        <f>findLinError($R89,data0!Y75,AP$4,AP$5,AP$6,AP$7)</f>
        <v>0</v>
      </c>
      <c r="AQ89" s="4">
        <f>findLinError($R89,data0!Z75,AQ$4,AQ$5,AQ$6,AQ$7)</f>
        <v>0</v>
      </c>
      <c r="AR89" s="4">
        <f>findLinError($R89,data0!AA75,AR$4,AR$5,AR$6,AR$7)</f>
        <v>0</v>
      </c>
      <c r="AS89" s="4">
        <f>findLinError($R89,data0!AB75,AS$4,AS$5,AS$6,AS$7)</f>
        <v>0</v>
      </c>
      <c r="AT89" s="4">
        <f>findLinError($R89,data0!AC75,AT$4,AT$5,AT$6,AT$7)</f>
        <v>0</v>
      </c>
      <c r="AU89" s="4">
        <f>findLinError($R89,data0!AD75,AU$4,AU$5,AU$6,AU$7)</f>
        <v>0</v>
      </c>
      <c r="AV89" s="4">
        <f>findLinError($R89,data0!AE75,AV$4,AV$5,AV$6,AV$7)</f>
        <v>0</v>
      </c>
      <c r="AW89" s="4">
        <f>findLinError($R89,data0!AF75,AW$4,AW$5,AW$6,AW$7)</f>
        <v>0</v>
      </c>
      <c r="AX89" s="4">
        <f>findLinError($R89,data0!AG75,AX$4,AX$5,AX$6,AX$7)</f>
        <v>0</v>
      </c>
    </row>
    <row r="90" spans="16:50">
      <c r="P90" s="9">
        <f t="shared" si="50"/>
        <v>74</v>
      </c>
      <c r="Q90" s="9">
        <f>data4!L76</f>
        <v>1.0311065398127539E-4</v>
      </c>
      <c r="R90" s="34">
        <f t="shared" si="49"/>
        <v>131.28456213246398</v>
      </c>
      <c r="S90" s="4">
        <f>findLinError($R90,data0!B76,S$4,S$5,S$6,S$7)</f>
        <v>0</v>
      </c>
      <c r="T90" s="4"/>
      <c r="U90" s="4">
        <f>findLinError($R90,data0!D76,U$4,U$5,U$6,U$7)</f>
        <v>0</v>
      </c>
      <c r="V90" s="4"/>
      <c r="W90" s="4">
        <f>findLinError($R90,data0!F76,W$4,W$5,W$6,W$7)</f>
        <v>0</v>
      </c>
      <c r="X90" s="4"/>
      <c r="Y90" s="4"/>
      <c r="Z90" s="4">
        <f>findLinError($R90,data0!I76,Z$4,Z$5,Z$6,Z$7)</f>
        <v>0</v>
      </c>
      <c r="AA90" s="4">
        <f>findLinError($R90,data0!J76,AA$4,AA$5,AA$6,AA$7)</f>
        <v>0</v>
      </c>
      <c r="AB90" s="4">
        <f>findLinError($R90,data0!K76,AB$4,AB$5,AB$6,AB$7)</f>
        <v>0</v>
      </c>
      <c r="AC90" s="4">
        <f>findLinError($R90,data0!L76,AC$4,AC$5,AC$6,AC$7)</f>
        <v>0</v>
      </c>
      <c r="AD90" s="4">
        <f>findLinError($R90,data0!M76,AD$4,AD$5,AD$6,AD$7)</f>
        <v>0</v>
      </c>
      <c r="AE90" s="4">
        <f>findLinError($R90,data0!N76,AE$4,AE$5,AE$6,AE$7)</f>
        <v>0</v>
      </c>
      <c r="AF90" s="4">
        <f>findLinError($R90,data0!O76,AF$4,AF$5,AF$6,AF$7)</f>
        <v>0</v>
      </c>
      <c r="AG90" s="4">
        <f>findLinError($R90,data0!P76,AG$4,AG$5,AG$6,AG$7)</f>
        <v>0</v>
      </c>
      <c r="AH90" s="4">
        <f>findLinError($R90,data0!Q76,AH$4,AH$5,AH$6,AH$7)</f>
        <v>0</v>
      </c>
      <c r="AI90" s="4">
        <f>findLinError($R90,data0!R76,AI$4,AI$5,AI$6,AI$7)</f>
        <v>0</v>
      </c>
      <c r="AJ90" s="4">
        <f>findLinError($R90,data0!S76,AJ$4,AJ$5,AJ$6,AJ$7)</f>
        <v>0</v>
      </c>
      <c r="AK90" s="4">
        <f>findLinError($R90,data0!T76,AK$4,AK$5,AK$6,AK$7)</f>
        <v>0</v>
      </c>
      <c r="AL90" s="4">
        <f>findLinError($R90,data0!U76,AL$4,AL$5,AL$6,AL$7)</f>
        <v>0</v>
      </c>
      <c r="AM90" s="4">
        <f>findLinError($R90,data0!V76,AM$4,AM$5,AM$6,AM$7)</f>
        <v>0</v>
      </c>
      <c r="AN90" s="4">
        <f>findLinError($R90,data0!W76,AN$4,AN$5,AN$6,AN$7)</f>
        <v>0</v>
      </c>
      <c r="AO90" s="4">
        <f>findLinError($R90,data0!X76,AO$4,AO$5,AO$6,AO$7)</f>
        <v>0</v>
      </c>
      <c r="AP90" s="4">
        <f>findLinError($R90,data0!Y76,AP$4,AP$5,AP$6,AP$7)</f>
        <v>0</v>
      </c>
      <c r="AQ90" s="4">
        <f>findLinError($R90,data0!Z76,AQ$4,AQ$5,AQ$6,AQ$7)</f>
        <v>0</v>
      </c>
      <c r="AR90" s="4">
        <f>findLinError($R90,data0!AA76,AR$4,AR$5,AR$6,AR$7)</f>
        <v>0</v>
      </c>
      <c r="AS90" s="4">
        <f>findLinError($R90,data0!AB76,AS$4,AS$5,AS$6,AS$7)</f>
        <v>0</v>
      </c>
      <c r="AT90" s="4">
        <f>findLinError($R90,data0!AC76,AT$4,AT$5,AT$6,AT$7)</f>
        <v>0</v>
      </c>
      <c r="AU90" s="4">
        <f>findLinError($R90,data0!AD76,AU$4,AU$5,AU$6,AU$7)</f>
        <v>0</v>
      </c>
      <c r="AV90" s="4">
        <f>findLinError($R90,data0!AE76,AV$4,AV$5,AV$6,AV$7)</f>
        <v>0</v>
      </c>
      <c r="AW90" s="4">
        <f>findLinError($R90,data0!AF76,AW$4,AW$5,AW$6,AW$7)</f>
        <v>0</v>
      </c>
      <c r="AX90" s="4">
        <f>findLinError($R90,data0!AG76,AX$4,AX$5,AX$6,AX$7)</f>
        <v>0</v>
      </c>
    </row>
    <row r="91" spans="16:50">
      <c r="P91" s="9">
        <f t="shared" si="50"/>
        <v>75</v>
      </c>
      <c r="Q91" s="9">
        <f>data4!L77</f>
        <v>1.0528095663175918E-4</v>
      </c>
      <c r="R91" s="34">
        <f t="shared" si="49"/>
        <v>134.04787729110348</v>
      </c>
      <c r="S91" s="4">
        <f>findLinError($R91,data0!B77,S$4,S$5,S$6,S$7)</f>
        <v>0</v>
      </c>
      <c r="T91" s="4"/>
      <c r="U91" s="4">
        <f>findLinError($R91,data0!D77,U$4,U$5,U$6,U$7)</f>
        <v>0</v>
      </c>
      <c r="V91" s="4"/>
      <c r="W91" s="4">
        <f>findLinError($R91,data0!F77,W$4,W$5,W$6,W$7)</f>
        <v>0</v>
      </c>
      <c r="X91" s="4"/>
      <c r="Y91" s="4"/>
      <c r="Z91" s="4">
        <f>findLinError($R91,data0!I77,Z$4,Z$5,Z$6,Z$7)</f>
        <v>0</v>
      </c>
      <c r="AA91" s="4">
        <f>findLinError($R91,data0!J77,AA$4,AA$5,AA$6,AA$7)</f>
        <v>0</v>
      </c>
      <c r="AB91" s="4">
        <f>findLinError($R91,data0!K77,AB$4,AB$5,AB$6,AB$7)</f>
        <v>0</v>
      </c>
      <c r="AC91" s="4">
        <f>findLinError($R91,data0!L77,AC$4,AC$5,AC$6,AC$7)</f>
        <v>0</v>
      </c>
      <c r="AD91" s="4">
        <f>findLinError($R91,data0!M77,AD$4,AD$5,AD$6,AD$7)</f>
        <v>0</v>
      </c>
      <c r="AE91" s="4">
        <f>findLinError($R91,data0!N77,AE$4,AE$5,AE$6,AE$7)</f>
        <v>0</v>
      </c>
      <c r="AF91" s="4">
        <f>findLinError($R91,data0!O77,AF$4,AF$5,AF$6,AF$7)</f>
        <v>0</v>
      </c>
      <c r="AG91" s="4">
        <f>findLinError($R91,data0!P77,AG$4,AG$5,AG$6,AG$7)</f>
        <v>0</v>
      </c>
      <c r="AH91" s="4">
        <f>findLinError($R91,data0!Q77,AH$4,AH$5,AH$6,AH$7)</f>
        <v>0</v>
      </c>
      <c r="AI91" s="4">
        <f>findLinError($R91,data0!R77,AI$4,AI$5,AI$6,AI$7)</f>
        <v>0</v>
      </c>
      <c r="AJ91" s="4">
        <f>findLinError($R91,data0!S77,AJ$4,AJ$5,AJ$6,AJ$7)</f>
        <v>0</v>
      </c>
      <c r="AK91" s="4">
        <f>findLinError($R91,data0!T77,AK$4,AK$5,AK$6,AK$7)</f>
        <v>0</v>
      </c>
      <c r="AL91" s="4">
        <f>findLinError($R91,data0!U77,AL$4,AL$5,AL$6,AL$7)</f>
        <v>0</v>
      </c>
      <c r="AM91" s="4">
        <f>findLinError($R91,data0!V77,AM$4,AM$5,AM$6,AM$7)</f>
        <v>0</v>
      </c>
      <c r="AN91" s="4">
        <f>findLinError($R91,data0!W77,AN$4,AN$5,AN$6,AN$7)</f>
        <v>0</v>
      </c>
      <c r="AO91" s="4">
        <f>findLinError($R91,data0!X77,AO$4,AO$5,AO$6,AO$7)</f>
        <v>0</v>
      </c>
      <c r="AP91" s="4">
        <f>findLinError($R91,data0!Y77,AP$4,AP$5,AP$6,AP$7)</f>
        <v>0</v>
      </c>
      <c r="AQ91" s="4">
        <f>findLinError($R91,data0!Z77,AQ$4,AQ$5,AQ$6,AQ$7)</f>
        <v>0</v>
      </c>
      <c r="AR91" s="4">
        <f>findLinError($R91,data0!AA77,AR$4,AR$5,AR$6,AR$7)</f>
        <v>0</v>
      </c>
      <c r="AS91" s="4">
        <f>findLinError($R91,data0!AB77,AS$4,AS$5,AS$6,AS$7)</f>
        <v>0</v>
      </c>
      <c r="AT91" s="4">
        <f>findLinError($R91,data0!AC77,AT$4,AT$5,AT$6,AT$7)</f>
        <v>0</v>
      </c>
      <c r="AU91" s="4">
        <f>findLinError($R91,data0!AD77,AU$4,AU$5,AU$6,AU$7)</f>
        <v>0</v>
      </c>
      <c r="AV91" s="4">
        <f>findLinError($R91,data0!AE77,AV$4,AV$5,AV$6,AV$7)</f>
        <v>0</v>
      </c>
      <c r="AW91" s="4">
        <f>findLinError($R91,data0!AF77,AW$4,AW$5,AW$6,AW$7)</f>
        <v>0</v>
      </c>
      <c r="AX91" s="4">
        <f>findLinError($R91,data0!AG77,AX$4,AX$5,AX$6,AX$7)</f>
        <v>0</v>
      </c>
    </row>
    <row r="92" spans="16:50">
      <c r="P92" s="9">
        <f t="shared" si="50"/>
        <v>76</v>
      </c>
      <c r="Q92" s="9">
        <f>data4!L78</f>
        <v>1.0739566005213419E-4</v>
      </c>
      <c r="R92" s="34">
        <f t="shared" si="49"/>
        <v>136.74040131131164</v>
      </c>
      <c r="S92" s="4">
        <f>findLinError($R92,data0!B78,S$4,S$5,S$6,S$7)</f>
        <v>0</v>
      </c>
      <c r="T92" s="4"/>
      <c r="U92" s="4">
        <f>findLinError($R92,data0!D78,U$4,U$5,U$6,U$7)</f>
        <v>0</v>
      </c>
      <c r="V92" s="4"/>
      <c r="W92" s="4">
        <f>findLinError($R92,data0!F78,W$4,W$5,W$6,W$7)</f>
        <v>0</v>
      </c>
      <c r="X92" s="4"/>
      <c r="Y92" s="4"/>
      <c r="Z92" s="4">
        <f>findLinError($R92,data0!I78,Z$4,Z$5,Z$6,Z$7)</f>
        <v>0</v>
      </c>
      <c r="AA92" s="4">
        <f>findLinError($R92,data0!J78,AA$4,AA$5,AA$6,AA$7)</f>
        <v>0</v>
      </c>
      <c r="AB92" s="4">
        <f>findLinError($R92,data0!K78,AB$4,AB$5,AB$6,AB$7)</f>
        <v>0</v>
      </c>
      <c r="AC92" s="4">
        <f>findLinError($R92,data0!L78,AC$4,AC$5,AC$6,AC$7)</f>
        <v>0</v>
      </c>
      <c r="AD92" s="4">
        <f>findLinError($R92,data0!M78,AD$4,AD$5,AD$6,AD$7)</f>
        <v>0</v>
      </c>
      <c r="AE92" s="4">
        <f>findLinError($R92,data0!N78,AE$4,AE$5,AE$6,AE$7)</f>
        <v>0</v>
      </c>
      <c r="AF92" s="4">
        <f>findLinError($R92,data0!O78,AF$4,AF$5,AF$6,AF$7)</f>
        <v>0</v>
      </c>
      <c r="AG92" s="4">
        <f>findLinError($R92,data0!P78,AG$4,AG$5,AG$6,AG$7)</f>
        <v>0</v>
      </c>
      <c r="AH92" s="4">
        <f>findLinError($R92,data0!Q78,AH$4,AH$5,AH$6,AH$7)</f>
        <v>0</v>
      </c>
      <c r="AI92" s="4">
        <f>findLinError($R92,data0!R78,AI$4,AI$5,AI$6,AI$7)</f>
        <v>0</v>
      </c>
      <c r="AJ92" s="4">
        <f>findLinError($R92,data0!S78,AJ$4,AJ$5,AJ$6,AJ$7)</f>
        <v>0</v>
      </c>
      <c r="AK92" s="4">
        <f>findLinError($R92,data0!T78,AK$4,AK$5,AK$6,AK$7)</f>
        <v>0</v>
      </c>
      <c r="AL92" s="4">
        <f>findLinError($R92,data0!U78,AL$4,AL$5,AL$6,AL$7)</f>
        <v>0</v>
      </c>
      <c r="AM92" s="4">
        <f>findLinError($R92,data0!V78,AM$4,AM$5,AM$6,AM$7)</f>
        <v>0</v>
      </c>
      <c r="AN92" s="4">
        <f>findLinError($R92,data0!W78,AN$4,AN$5,AN$6,AN$7)</f>
        <v>0</v>
      </c>
      <c r="AO92" s="4">
        <f>findLinError($R92,data0!X78,AO$4,AO$5,AO$6,AO$7)</f>
        <v>0</v>
      </c>
      <c r="AP92" s="4">
        <f>findLinError($R92,data0!Y78,AP$4,AP$5,AP$6,AP$7)</f>
        <v>0</v>
      </c>
      <c r="AQ92" s="4">
        <f>findLinError($R92,data0!Z78,AQ$4,AQ$5,AQ$6,AQ$7)</f>
        <v>0</v>
      </c>
      <c r="AR92" s="4">
        <f>findLinError($R92,data0!AA78,AR$4,AR$5,AR$6,AR$7)</f>
        <v>0</v>
      </c>
      <c r="AS92" s="4">
        <f>findLinError($R92,data0!AB78,AS$4,AS$5,AS$6,AS$7)</f>
        <v>0</v>
      </c>
      <c r="AT92" s="4">
        <f>findLinError($R92,data0!AC78,AT$4,AT$5,AT$6,AT$7)</f>
        <v>0</v>
      </c>
      <c r="AU92" s="4">
        <f>findLinError($R92,data0!AD78,AU$4,AU$5,AU$6,AU$7)</f>
        <v>0</v>
      </c>
      <c r="AV92" s="4">
        <f>findLinError($R92,data0!AE78,AV$4,AV$5,AV$6,AV$7)</f>
        <v>0</v>
      </c>
      <c r="AW92" s="4">
        <f>findLinError($R92,data0!AF78,AW$4,AW$5,AW$6,AW$7)</f>
        <v>0</v>
      </c>
      <c r="AX92" s="4">
        <f>findLinError($R92,data0!AG78,AX$4,AX$5,AX$6,AX$7)</f>
        <v>0</v>
      </c>
    </row>
    <row r="93" spans="16:50">
      <c r="P93" s="9">
        <f t="shared" si="50"/>
        <v>77</v>
      </c>
      <c r="Q93" s="9">
        <f>data4!L79</f>
        <v>1.095372981581022E-4</v>
      </c>
      <c r="R93" s="34">
        <f t="shared" si="49"/>
        <v>139.46721963834182</v>
      </c>
      <c r="S93" s="4">
        <f>findLinError($R93,data0!B79,S$4,S$5,S$6,S$7)</f>
        <v>0</v>
      </c>
      <c r="T93" s="4"/>
      <c r="U93" s="4">
        <f>findLinError($R93,data0!D79,U$4,U$5,U$6,U$7)</f>
        <v>0</v>
      </c>
      <c r="V93" s="4"/>
      <c r="W93" s="4">
        <f>findLinError($R93,data0!F79,W$4,W$5,W$6,W$7)</f>
        <v>0</v>
      </c>
      <c r="X93" s="4"/>
      <c r="Y93" s="4"/>
      <c r="Z93" s="4">
        <f>findLinError($R93,data0!I79,Z$4,Z$5,Z$6,Z$7)</f>
        <v>0</v>
      </c>
      <c r="AA93" s="4">
        <f>findLinError($R93,data0!J79,AA$4,AA$5,AA$6,AA$7)</f>
        <v>0</v>
      </c>
      <c r="AB93" s="4">
        <f>findLinError($R93,data0!K79,AB$4,AB$5,AB$6,AB$7)</f>
        <v>0</v>
      </c>
      <c r="AC93" s="4">
        <f>findLinError($R93,data0!L79,AC$4,AC$5,AC$6,AC$7)</f>
        <v>0</v>
      </c>
      <c r="AD93" s="4">
        <f>findLinError($R93,data0!M79,AD$4,AD$5,AD$6,AD$7)</f>
        <v>0</v>
      </c>
      <c r="AE93" s="4">
        <f>findLinError($R93,data0!N79,AE$4,AE$5,AE$6,AE$7)</f>
        <v>0</v>
      </c>
      <c r="AF93" s="4">
        <f>findLinError($R93,data0!O79,AF$4,AF$5,AF$6,AF$7)</f>
        <v>0</v>
      </c>
      <c r="AG93" s="4">
        <f>findLinError($R93,data0!P79,AG$4,AG$5,AG$6,AG$7)</f>
        <v>0</v>
      </c>
      <c r="AH93" s="4">
        <f>findLinError($R93,data0!Q79,AH$4,AH$5,AH$6,AH$7)</f>
        <v>0</v>
      </c>
      <c r="AI93" s="4">
        <f>findLinError($R93,data0!R79,AI$4,AI$5,AI$6,AI$7)</f>
        <v>0</v>
      </c>
      <c r="AJ93" s="4">
        <f>findLinError($R93,data0!S79,AJ$4,AJ$5,AJ$6,AJ$7)</f>
        <v>0</v>
      </c>
      <c r="AK93" s="4">
        <f>findLinError($R93,data0!T79,AK$4,AK$5,AK$6,AK$7)</f>
        <v>0</v>
      </c>
      <c r="AL93" s="4">
        <f>findLinError($R93,data0!U79,AL$4,AL$5,AL$6,AL$7)</f>
        <v>0</v>
      </c>
      <c r="AM93" s="4">
        <f>findLinError($R93,data0!V79,AM$4,AM$5,AM$6,AM$7)</f>
        <v>0</v>
      </c>
      <c r="AN93" s="4">
        <f>findLinError($R93,data0!W79,AN$4,AN$5,AN$6,AN$7)</f>
        <v>0</v>
      </c>
      <c r="AO93" s="4">
        <f>findLinError($R93,data0!X79,AO$4,AO$5,AO$6,AO$7)</f>
        <v>0</v>
      </c>
      <c r="AP93" s="4">
        <f>findLinError($R93,data0!Y79,AP$4,AP$5,AP$6,AP$7)</f>
        <v>0</v>
      </c>
      <c r="AQ93" s="4">
        <f>findLinError($R93,data0!Z79,AQ$4,AQ$5,AQ$6,AQ$7)</f>
        <v>0</v>
      </c>
      <c r="AR93" s="4">
        <f>findLinError($R93,data0!AA79,AR$4,AR$5,AR$6,AR$7)</f>
        <v>0</v>
      </c>
      <c r="AS93" s="4">
        <f>findLinError($R93,data0!AB79,AS$4,AS$5,AS$6,AS$7)</f>
        <v>0</v>
      </c>
      <c r="AT93" s="4">
        <f>findLinError($R93,data0!AC79,AT$4,AT$5,AT$6,AT$7)</f>
        <v>0</v>
      </c>
      <c r="AU93" s="4">
        <f>findLinError($R93,data0!AD79,AU$4,AU$5,AU$6,AU$7)</f>
        <v>0</v>
      </c>
      <c r="AV93" s="4">
        <f>findLinError($R93,data0!AE79,AV$4,AV$5,AV$6,AV$7)</f>
        <v>0</v>
      </c>
      <c r="AW93" s="4">
        <f>findLinError($R93,data0!AF79,AW$4,AW$5,AW$6,AW$7)</f>
        <v>0</v>
      </c>
      <c r="AX93" s="4">
        <f>findLinError($R93,data0!AG79,AX$4,AX$5,AX$6,AX$7)</f>
        <v>0</v>
      </c>
    </row>
    <row r="94" spans="16:50">
      <c r="P94" s="9">
        <f t="shared" si="50"/>
        <v>78</v>
      </c>
      <c r="Q94" s="9">
        <f>data4!L80</f>
        <v>1.1166246349603171E-4</v>
      </c>
      <c r="R94" s="34">
        <f t="shared" si="49"/>
        <v>142.17306418569413</v>
      </c>
      <c r="S94" s="4">
        <f>findLinError($R94,data0!B80,S$4,S$5,S$6,S$7)</f>
        <v>0</v>
      </c>
      <c r="T94" s="4"/>
      <c r="U94" s="4">
        <f>findLinError($R94,data0!D80,U$4,U$5,U$6,U$7)</f>
        <v>0</v>
      </c>
      <c r="V94" s="4"/>
      <c r="W94" s="4">
        <f>findLinError($R94,data0!F80,W$4,W$5,W$6,W$7)</f>
        <v>0</v>
      </c>
      <c r="X94" s="4"/>
      <c r="Y94" s="4"/>
      <c r="Z94" s="4">
        <f>findLinError($R94,data0!I80,Z$4,Z$5,Z$6,Z$7)</f>
        <v>0</v>
      </c>
      <c r="AA94" s="4">
        <f>findLinError($R94,data0!J80,AA$4,AA$5,AA$6,AA$7)</f>
        <v>0</v>
      </c>
      <c r="AB94" s="4">
        <f>findLinError($R94,data0!K80,AB$4,AB$5,AB$6,AB$7)</f>
        <v>0</v>
      </c>
      <c r="AC94" s="4">
        <f>findLinError($R94,data0!L80,AC$4,AC$5,AC$6,AC$7)</f>
        <v>0</v>
      </c>
      <c r="AD94" s="4">
        <f>findLinError($R94,data0!M80,AD$4,AD$5,AD$6,AD$7)</f>
        <v>0</v>
      </c>
      <c r="AE94" s="4">
        <f>findLinError($R94,data0!N80,AE$4,AE$5,AE$6,AE$7)</f>
        <v>0</v>
      </c>
      <c r="AF94" s="4">
        <f>findLinError($R94,data0!O80,AF$4,AF$5,AF$6,AF$7)</f>
        <v>0</v>
      </c>
      <c r="AG94" s="4">
        <f>findLinError($R94,data0!P80,AG$4,AG$5,AG$6,AG$7)</f>
        <v>0</v>
      </c>
      <c r="AH94" s="4">
        <f>findLinError($R94,data0!Q80,AH$4,AH$5,AH$6,AH$7)</f>
        <v>0</v>
      </c>
      <c r="AI94" s="4">
        <f>findLinError($R94,data0!R80,AI$4,AI$5,AI$6,AI$7)</f>
        <v>0</v>
      </c>
      <c r="AJ94" s="4">
        <f>findLinError($R94,data0!S80,AJ$4,AJ$5,AJ$6,AJ$7)</f>
        <v>0</v>
      </c>
      <c r="AK94" s="4">
        <f>findLinError($R94,data0!T80,AK$4,AK$5,AK$6,AK$7)</f>
        <v>0</v>
      </c>
      <c r="AL94" s="4">
        <f>findLinError($R94,data0!U80,AL$4,AL$5,AL$6,AL$7)</f>
        <v>0</v>
      </c>
      <c r="AM94" s="4">
        <f>findLinError($R94,data0!V80,AM$4,AM$5,AM$6,AM$7)</f>
        <v>0</v>
      </c>
      <c r="AN94" s="4">
        <f>findLinError($R94,data0!W80,AN$4,AN$5,AN$6,AN$7)</f>
        <v>0</v>
      </c>
      <c r="AO94" s="4">
        <f>findLinError($R94,data0!X80,AO$4,AO$5,AO$6,AO$7)</f>
        <v>0</v>
      </c>
      <c r="AP94" s="4">
        <f>findLinError($R94,data0!Y80,AP$4,AP$5,AP$6,AP$7)</f>
        <v>0</v>
      </c>
      <c r="AQ94" s="4">
        <f>findLinError($R94,data0!Z80,AQ$4,AQ$5,AQ$6,AQ$7)</f>
        <v>0</v>
      </c>
      <c r="AR94" s="4">
        <f>findLinError($R94,data0!AA80,AR$4,AR$5,AR$6,AR$7)</f>
        <v>0</v>
      </c>
      <c r="AS94" s="4">
        <f>findLinError($R94,data0!AB80,AS$4,AS$5,AS$6,AS$7)</f>
        <v>0</v>
      </c>
      <c r="AT94" s="4">
        <f>findLinError($R94,data0!AC80,AT$4,AT$5,AT$6,AT$7)</f>
        <v>0</v>
      </c>
      <c r="AU94" s="4">
        <f>findLinError($R94,data0!AD80,AU$4,AU$5,AU$6,AU$7)</f>
        <v>0</v>
      </c>
      <c r="AV94" s="4">
        <f>findLinError($R94,data0!AE80,AV$4,AV$5,AV$6,AV$7)</f>
        <v>0</v>
      </c>
      <c r="AW94" s="4">
        <f>findLinError($R94,data0!AF80,AW$4,AW$5,AW$6,AW$7)</f>
        <v>0</v>
      </c>
      <c r="AX94" s="4">
        <f>findLinError($R94,data0!AG80,AX$4,AX$5,AX$6,AX$7)</f>
        <v>0</v>
      </c>
    </row>
    <row r="95" spans="16:50">
      <c r="P95" s="9">
        <f t="shared" si="50"/>
        <v>79</v>
      </c>
      <c r="Q95" s="9">
        <f>data4!L81</f>
        <v>1.1391476982680615E-4</v>
      </c>
      <c r="R95" s="34">
        <f t="shared" si="49"/>
        <v>145.04078967289351</v>
      </c>
      <c r="S95" s="4">
        <f>findLinError($R95,data0!B81,S$4,S$5,S$6,S$7)</f>
        <v>0</v>
      </c>
      <c r="T95" s="4"/>
      <c r="U95" s="4">
        <f>findLinError($R95,data0!D81,U$4,U$5,U$6,U$7)</f>
        <v>0</v>
      </c>
      <c r="V95" s="4"/>
      <c r="W95" s="4">
        <f>findLinError($R95,data0!F81,W$4,W$5,W$6,W$7)</f>
        <v>0</v>
      </c>
      <c r="X95" s="4"/>
      <c r="Y95" s="4"/>
      <c r="Z95" s="4">
        <f>findLinError($R95,data0!I81,Z$4,Z$5,Z$6,Z$7)</f>
        <v>0</v>
      </c>
      <c r="AA95" s="4">
        <f>findLinError($R95,data0!J81,AA$4,AA$5,AA$6,AA$7)</f>
        <v>0</v>
      </c>
      <c r="AB95" s="4">
        <f>findLinError($R95,data0!K81,AB$4,AB$5,AB$6,AB$7)</f>
        <v>0</v>
      </c>
      <c r="AC95" s="4">
        <f>findLinError($R95,data0!L81,AC$4,AC$5,AC$6,AC$7)</f>
        <v>0</v>
      </c>
      <c r="AD95" s="4">
        <f>findLinError($R95,data0!M81,AD$4,AD$5,AD$6,AD$7)</f>
        <v>0</v>
      </c>
      <c r="AE95" s="4">
        <f>findLinError($R95,data0!N81,AE$4,AE$5,AE$6,AE$7)</f>
        <v>0</v>
      </c>
      <c r="AF95" s="4">
        <f>findLinError($R95,data0!O81,AF$4,AF$5,AF$6,AF$7)</f>
        <v>0</v>
      </c>
      <c r="AG95" s="4">
        <f>findLinError($R95,data0!P81,AG$4,AG$5,AG$6,AG$7)</f>
        <v>0</v>
      </c>
      <c r="AH95" s="4">
        <f>findLinError($R95,data0!Q81,AH$4,AH$5,AH$6,AH$7)</f>
        <v>0</v>
      </c>
      <c r="AI95" s="4">
        <f>findLinError($R95,data0!R81,AI$4,AI$5,AI$6,AI$7)</f>
        <v>0</v>
      </c>
      <c r="AJ95" s="4">
        <f>findLinError($R95,data0!S81,AJ$4,AJ$5,AJ$6,AJ$7)</f>
        <v>0</v>
      </c>
      <c r="AK95" s="4">
        <f>findLinError($R95,data0!T81,AK$4,AK$5,AK$6,AK$7)</f>
        <v>0</v>
      </c>
      <c r="AL95" s="4">
        <f>findLinError($R95,data0!U81,AL$4,AL$5,AL$6,AL$7)</f>
        <v>0</v>
      </c>
      <c r="AM95" s="4">
        <f>findLinError($R95,data0!V81,AM$4,AM$5,AM$6,AM$7)</f>
        <v>0</v>
      </c>
      <c r="AN95" s="4">
        <f>findLinError($R95,data0!W81,AN$4,AN$5,AN$6,AN$7)</f>
        <v>0</v>
      </c>
      <c r="AO95" s="4">
        <f>findLinError($R95,data0!X81,AO$4,AO$5,AO$6,AO$7)</f>
        <v>0</v>
      </c>
      <c r="AP95" s="4">
        <f>findLinError($R95,data0!Y81,AP$4,AP$5,AP$6,AP$7)</f>
        <v>0</v>
      </c>
      <c r="AQ95" s="4">
        <f>findLinError($R95,data0!Z81,AQ$4,AQ$5,AQ$6,AQ$7)</f>
        <v>0</v>
      </c>
      <c r="AR95" s="4">
        <f>findLinError($R95,data0!AA81,AR$4,AR$5,AR$6,AR$7)</f>
        <v>0</v>
      </c>
      <c r="AS95" s="4">
        <f>findLinError($R95,data0!AB81,AS$4,AS$5,AS$6,AS$7)</f>
        <v>0</v>
      </c>
      <c r="AT95" s="4">
        <f>findLinError($R95,data0!AC81,AT$4,AT$5,AT$6,AT$7)</f>
        <v>0</v>
      </c>
      <c r="AU95" s="4">
        <f>findLinError($R95,data0!AD81,AU$4,AU$5,AU$6,AU$7)</f>
        <v>0</v>
      </c>
      <c r="AV95" s="4">
        <f>findLinError($R95,data0!AE81,AV$4,AV$5,AV$6,AV$7)</f>
        <v>0</v>
      </c>
      <c r="AW95" s="4">
        <f>findLinError($R95,data0!AF81,AW$4,AW$5,AW$6,AW$7)</f>
        <v>0</v>
      </c>
      <c r="AX95" s="4">
        <f>findLinError($R95,data0!AG81,AX$4,AX$5,AX$6,AX$7)</f>
        <v>0</v>
      </c>
    </row>
    <row r="96" spans="16:50">
      <c r="P96" s="9">
        <f t="shared" si="50"/>
        <v>80</v>
      </c>
      <c r="Q96" s="9">
        <f>data4!L82</f>
        <v>1.1616242409218103E-4</v>
      </c>
      <c r="R96" s="34">
        <f t="shared" si="49"/>
        <v>147.90259196646147</v>
      </c>
      <c r="S96" s="4">
        <f>findLinError($R96,data0!B82,S$4,S$5,S$6,S$7)</f>
        <v>0</v>
      </c>
      <c r="T96" s="4"/>
      <c r="U96" s="4">
        <f>findLinError($R96,data0!D82,U$4,U$5,U$6,U$7)</f>
        <v>0</v>
      </c>
      <c r="V96" s="4"/>
      <c r="W96" s="4">
        <f>findLinError($R96,data0!F82,W$4,W$5,W$6,W$7)</f>
        <v>0</v>
      </c>
      <c r="X96" s="4"/>
      <c r="Y96" s="4"/>
      <c r="Z96" s="4">
        <f>findLinError($R96,data0!I82,Z$4,Z$5,Z$6,Z$7)</f>
        <v>0</v>
      </c>
      <c r="AA96" s="4">
        <f>findLinError($R96,data0!J82,AA$4,AA$5,AA$6,AA$7)</f>
        <v>0</v>
      </c>
      <c r="AB96" s="4">
        <f>findLinError($R96,data0!K82,AB$4,AB$5,AB$6,AB$7)</f>
        <v>0</v>
      </c>
      <c r="AC96" s="4">
        <f>findLinError($R96,data0!L82,AC$4,AC$5,AC$6,AC$7)</f>
        <v>0</v>
      </c>
      <c r="AD96" s="4">
        <f>findLinError($R96,data0!M82,AD$4,AD$5,AD$6,AD$7)</f>
        <v>0</v>
      </c>
      <c r="AE96" s="4">
        <f>findLinError($R96,data0!N82,AE$4,AE$5,AE$6,AE$7)</f>
        <v>0</v>
      </c>
      <c r="AF96" s="4">
        <f>findLinError($R96,data0!O82,AF$4,AF$5,AF$6,AF$7)</f>
        <v>0</v>
      </c>
      <c r="AG96" s="4">
        <f>findLinError($R96,data0!P82,AG$4,AG$5,AG$6,AG$7)</f>
        <v>0</v>
      </c>
      <c r="AH96" s="4">
        <f>findLinError($R96,data0!Q82,AH$4,AH$5,AH$6,AH$7)</f>
        <v>0</v>
      </c>
      <c r="AI96" s="4">
        <f>findLinError($R96,data0!R82,AI$4,AI$5,AI$6,AI$7)</f>
        <v>0</v>
      </c>
      <c r="AJ96" s="4">
        <f>findLinError($R96,data0!S82,AJ$4,AJ$5,AJ$6,AJ$7)</f>
        <v>0</v>
      </c>
      <c r="AK96" s="4">
        <f>findLinError($R96,data0!T82,AK$4,AK$5,AK$6,AK$7)</f>
        <v>0</v>
      </c>
      <c r="AL96" s="4">
        <f>findLinError($R96,data0!U82,AL$4,AL$5,AL$6,AL$7)</f>
        <v>0</v>
      </c>
      <c r="AM96" s="4">
        <f>findLinError($R96,data0!V82,AM$4,AM$5,AM$6,AM$7)</f>
        <v>0</v>
      </c>
      <c r="AN96" s="4">
        <f>findLinError($R96,data0!W82,AN$4,AN$5,AN$6,AN$7)</f>
        <v>0</v>
      </c>
      <c r="AO96" s="4">
        <f>findLinError($R96,data0!X82,AO$4,AO$5,AO$6,AO$7)</f>
        <v>0</v>
      </c>
      <c r="AP96" s="4">
        <f>findLinError($R96,data0!Y82,AP$4,AP$5,AP$6,AP$7)</f>
        <v>0</v>
      </c>
      <c r="AQ96" s="4">
        <f>findLinError($R96,data0!Z82,AQ$4,AQ$5,AQ$6,AQ$7)</f>
        <v>0</v>
      </c>
      <c r="AR96" s="4">
        <f>findLinError($R96,data0!AA82,AR$4,AR$5,AR$6,AR$7)</f>
        <v>0</v>
      </c>
      <c r="AS96" s="4">
        <f>findLinError($R96,data0!AB82,AS$4,AS$5,AS$6,AS$7)</f>
        <v>0</v>
      </c>
      <c r="AT96" s="4">
        <f>findLinError($R96,data0!AC82,AT$4,AT$5,AT$6,AT$7)</f>
        <v>0</v>
      </c>
      <c r="AU96" s="4">
        <f>findLinError($R96,data0!AD82,AU$4,AU$5,AU$6,AU$7)</f>
        <v>0</v>
      </c>
      <c r="AV96" s="4">
        <f>findLinError($R96,data0!AE82,AV$4,AV$5,AV$6,AV$7)</f>
        <v>0</v>
      </c>
      <c r="AW96" s="4">
        <f>findLinError($R96,data0!AF82,AW$4,AW$5,AW$6,AW$7)</f>
        <v>0</v>
      </c>
      <c r="AX96" s="4">
        <f>findLinError($R96,data0!AG82,AX$4,AX$5,AX$6,AX$7)</f>
        <v>0</v>
      </c>
    </row>
    <row r="97" spans="16:50">
      <c r="P97" s="9">
        <f t="shared" si="50"/>
        <v>81</v>
      </c>
      <c r="Q97" s="9">
        <f>data4!L83</f>
        <v>1.1828888818854466E-4</v>
      </c>
      <c r="R97" s="34">
        <f t="shared" si="49"/>
        <v>150.61009014441117</v>
      </c>
      <c r="S97" s="4">
        <f>findLinError($R97,data0!B83,S$4,S$5,S$6,S$7)</f>
        <v>0</v>
      </c>
      <c r="T97" s="4"/>
      <c r="U97" s="4">
        <f>findLinError($R97,data0!D83,U$4,U$5,U$6,U$7)</f>
        <v>0</v>
      </c>
      <c r="V97" s="4"/>
      <c r="W97" s="4">
        <f>findLinError($R97,data0!F83,W$4,W$5,W$6,W$7)</f>
        <v>0</v>
      </c>
      <c r="X97" s="4"/>
      <c r="Y97" s="4"/>
      <c r="Z97" s="4">
        <f>findLinError($R97,data0!I83,Z$4,Z$5,Z$6,Z$7)</f>
        <v>0</v>
      </c>
      <c r="AA97" s="4">
        <f>findLinError($R97,data0!J83,AA$4,AA$5,AA$6,AA$7)</f>
        <v>0</v>
      </c>
      <c r="AB97" s="4">
        <f>findLinError($R97,data0!K83,AB$4,AB$5,AB$6,AB$7)</f>
        <v>0</v>
      </c>
      <c r="AC97" s="4">
        <f>findLinError($R97,data0!L83,AC$4,AC$5,AC$6,AC$7)</f>
        <v>0</v>
      </c>
      <c r="AD97" s="4">
        <f>findLinError($R97,data0!M83,AD$4,AD$5,AD$6,AD$7)</f>
        <v>0</v>
      </c>
      <c r="AE97" s="4">
        <f>findLinError($R97,data0!N83,AE$4,AE$5,AE$6,AE$7)</f>
        <v>0</v>
      </c>
      <c r="AF97" s="4">
        <f>findLinError($R97,data0!O83,AF$4,AF$5,AF$6,AF$7)</f>
        <v>0</v>
      </c>
      <c r="AG97" s="4">
        <f>findLinError($R97,data0!P83,AG$4,AG$5,AG$6,AG$7)</f>
        <v>0</v>
      </c>
      <c r="AH97" s="4">
        <f>findLinError($R97,data0!Q83,AH$4,AH$5,AH$6,AH$7)</f>
        <v>0</v>
      </c>
      <c r="AI97" s="4">
        <f>findLinError($R97,data0!R83,AI$4,AI$5,AI$6,AI$7)</f>
        <v>0</v>
      </c>
      <c r="AJ97" s="4">
        <f>findLinError($R97,data0!S83,AJ$4,AJ$5,AJ$6,AJ$7)</f>
        <v>0</v>
      </c>
      <c r="AK97" s="4">
        <f>findLinError($R97,data0!T83,AK$4,AK$5,AK$6,AK$7)</f>
        <v>0</v>
      </c>
      <c r="AL97" s="4">
        <f>findLinError($R97,data0!U83,AL$4,AL$5,AL$6,AL$7)</f>
        <v>0</v>
      </c>
      <c r="AM97" s="4">
        <f>findLinError($R97,data0!V83,AM$4,AM$5,AM$6,AM$7)</f>
        <v>0</v>
      </c>
      <c r="AN97" s="4">
        <f>findLinError($R97,data0!W83,AN$4,AN$5,AN$6,AN$7)</f>
        <v>0</v>
      </c>
      <c r="AO97" s="4">
        <f>findLinError($R97,data0!X83,AO$4,AO$5,AO$6,AO$7)</f>
        <v>0</v>
      </c>
      <c r="AP97" s="4">
        <f>findLinError($R97,data0!Y83,AP$4,AP$5,AP$6,AP$7)</f>
        <v>0</v>
      </c>
      <c r="AQ97" s="4">
        <f>findLinError($R97,data0!Z83,AQ$4,AQ$5,AQ$6,AQ$7)</f>
        <v>0</v>
      </c>
      <c r="AR97" s="4">
        <f>findLinError($R97,data0!AA83,AR$4,AR$5,AR$6,AR$7)</f>
        <v>0</v>
      </c>
      <c r="AS97" s="4">
        <f>findLinError($R97,data0!AB83,AS$4,AS$5,AS$6,AS$7)</f>
        <v>0</v>
      </c>
      <c r="AT97" s="4">
        <f>findLinError($R97,data0!AC83,AT$4,AT$5,AT$6,AT$7)</f>
        <v>0</v>
      </c>
      <c r="AU97" s="4">
        <f>findLinError($R97,data0!AD83,AU$4,AU$5,AU$6,AU$7)</f>
        <v>0</v>
      </c>
      <c r="AV97" s="4">
        <f>findLinError($R97,data0!AE83,AV$4,AV$5,AV$6,AV$7)</f>
        <v>0</v>
      </c>
      <c r="AW97" s="4">
        <f>findLinError($R97,data0!AF83,AW$4,AW$5,AW$6,AW$7)</f>
        <v>0</v>
      </c>
      <c r="AX97" s="4">
        <f>findLinError($R97,data0!AG83,AX$4,AX$5,AX$6,AX$7)</f>
        <v>0</v>
      </c>
    </row>
    <row r="98" spans="16:50">
      <c r="P98" s="9">
        <f t="shared" si="50"/>
        <v>82</v>
      </c>
      <c r="Q98" s="9">
        <f>data4!L84</f>
        <v>1.2050484656356275E-4</v>
      </c>
      <c r="R98" s="34">
        <f t="shared" si="49"/>
        <v>153.43153597697128</v>
      </c>
      <c r="S98" s="4">
        <f>findLinError($R98,data0!B84,S$4,S$5,S$6,S$7)</f>
        <v>0</v>
      </c>
      <c r="T98" s="4"/>
      <c r="U98" s="4">
        <f>findLinError($R98,data0!D84,U$4,U$5,U$6,U$7)</f>
        <v>0</v>
      </c>
      <c r="V98" s="4"/>
      <c r="W98" s="4">
        <f>findLinError($R98,data0!F84,W$4,W$5,W$6,W$7)</f>
        <v>0</v>
      </c>
      <c r="X98" s="4"/>
      <c r="Y98" s="4"/>
      <c r="Z98" s="4">
        <f>findLinError($R98,data0!I84,Z$4,Z$5,Z$6,Z$7)</f>
        <v>0</v>
      </c>
      <c r="AA98" s="4">
        <f>findLinError($R98,data0!J84,AA$4,AA$5,AA$6,AA$7)</f>
        <v>0</v>
      </c>
      <c r="AB98" s="4">
        <f>findLinError($R98,data0!K84,AB$4,AB$5,AB$6,AB$7)</f>
        <v>0</v>
      </c>
      <c r="AC98" s="4">
        <f>findLinError($R98,data0!L84,AC$4,AC$5,AC$6,AC$7)</f>
        <v>0</v>
      </c>
      <c r="AD98" s="4">
        <f>findLinError($R98,data0!M84,AD$4,AD$5,AD$6,AD$7)</f>
        <v>0</v>
      </c>
      <c r="AE98" s="4">
        <f>findLinError($R98,data0!N84,AE$4,AE$5,AE$6,AE$7)</f>
        <v>0</v>
      </c>
      <c r="AF98" s="4">
        <f>findLinError($R98,data0!O84,AF$4,AF$5,AF$6,AF$7)</f>
        <v>0</v>
      </c>
      <c r="AG98" s="4">
        <f>findLinError($R98,data0!P84,AG$4,AG$5,AG$6,AG$7)</f>
        <v>0</v>
      </c>
      <c r="AH98" s="4">
        <f>findLinError($R98,data0!Q84,AH$4,AH$5,AH$6,AH$7)</f>
        <v>0</v>
      </c>
      <c r="AI98" s="4">
        <f>findLinError($R98,data0!R84,AI$4,AI$5,AI$6,AI$7)</f>
        <v>0</v>
      </c>
      <c r="AJ98" s="4">
        <f>findLinError($R98,data0!S84,AJ$4,AJ$5,AJ$6,AJ$7)</f>
        <v>0</v>
      </c>
      <c r="AK98" s="4">
        <f>findLinError($R98,data0!T84,AK$4,AK$5,AK$6,AK$7)</f>
        <v>0</v>
      </c>
      <c r="AL98" s="4">
        <f>findLinError($R98,data0!U84,AL$4,AL$5,AL$6,AL$7)</f>
        <v>0</v>
      </c>
      <c r="AM98" s="4">
        <f>findLinError($R98,data0!V84,AM$4,AM$5,AM$6,AM$7)</f>
        <v>0</v>
      </c>
      <c r="AN98" s="4">
        <f>findLinError($R98,data0!W84,AN$4,AN$5,AN$6,AN$7)</f>
        <v>0</v>
      </c>
      <c r="AO98" s="4">
        <f>findLinError($R98,data0!X84,AO$4,AO$5,AO$6,AO$7)</f>
        <v>0</v>
      </c>
      <c r="AP98" s="4">
        <f>findLinError($R98,data0!Y84,AP$4,AP$5,AP$6,AP$7)</f>
        <v>0</v>
      </c>
      <c r="AQ98" s="4">
        <f>findLinError($R98,data0!Z84,AQ$4,AQ$5,AQ$6,AQ$7)</f>
        <v>0</v>
      </c>
      <c r="AR98" s="4">
        <f>findLinError($R98,data0!AA84,AR$4,AR$5,AR$6,AR$7)</f>
        <v>0</v>
      </c>
      <c r="AS98" s="4">
        <f>findLinError($R98,data0!AB84,AS$4,AS$5,AS$6,AS$7)</f>
        <v>0</v>
      </c>
      <c r="AT98" s="4">
        <f>findLinError($R98,data0!AC84,AT$4,AT$5,AT$6,AT$7)</f>
        <v>0</v>
      </c>
      <c r="AU98" s="4">
        <f>findLinError($R98,data0!AD84,AU$4,AU$5,AU$6,AU$7)</f>
        <v>0</v>
      </c>
      <c r="AV98" s="4">
        <f>findLinError($R98,data0!AE84,AV$4,AV$5,AV$6,AV$7)</f>
        <v>0</v>
      </c>
      <c r="AW98" s="4">
        <f>findLinError($R98,data0!AF84,AW$4,AW$5,AW$6,AW$7)</f>
        <v>0</v>
      </c>
      <c r="AX98" s="4">
        <f>findLinError($R98,data0!AG84,AX$4,AX$5,AX$6,AX$7)</f>
        <v>0</v>
      </c>
    </row>
    <row r="99" spans="16:50">
      <c r="P99" s="9">
        <f t="shared" si="50"/>
        <v>83</v>
      </c>
      <c r="Q99" s="9">
        <f>data4!L85</f>
        <v>1.2265499208297115E-4</v>
      </c>
      <c r="R99" s="34">
        <f t="shared" si="49"/>
        <v>156.16918627921717</v>
      </c>
      <c r="S99" s="4">
        <f>findLinError($R99,data0!B85,S$4,S$5,S$6,S$7)</f>
        <v>0</v>
      </c>
      <c r="T99" s="4"/>
      <c r="U99" s="4">
        <f>findLinError($R99,data0!D85,U$4,U$5,U$6,U$7)</f>
        <v>0</v>
      </c>
      <c r="V99" s="4"/>
      <c r="W99" s="4">
        <f>findLinError($R99,data0!F85,W$4,W$5,W$6,W$7)</f>
        <v>0</v>
      </c>
      <c r="X99" s="4"/>
      <c r="Y99" s="4"/>
      <c r="Z99" s="4">
        <f>findLinError($R99,data0!I85,Z$4,Z$5,Z$6,Z$7)</f>
        <v>0</v>
      </c>
      <c r="AA99" s="4">
        <f>findLinError($R99,data0!J85,AA$4,AA$5,AA$6,AA$7)</f>
        <v>0</v>
      </c>
      <c r="AB99" s="4">
        <f>findLinError($R99,data0!K85,AB$4,AB$5,AB$6,AB$7)</f>
        <v>0</v>
      </c>
      <c r="AC99" s="4">
        <f>findLinError($R99,data0!L85,AC$4,AC$5,AC$6,AC$7)</f>
        <v>0</v>
      </c>
      <c r="AD99" s="4">
        <f>findLinError($R99,data0!M85,AD$4,AD$5,AD$6,AD$7)</f>
        <v>0</v>
      </c>
      <c r="AE99" s="4">
        <f>findLinError($R99,data0!N85,AE$4,AE$5,AE$6,AE$7)</f>
        <v>0</v>
      </c>
      <c r="AF99" s="4">
        <f>findLinError($R99,data0!O85,AF$4,AF$5,AF$6,AF$7)</f>
        <v>0</v>
      </c>
      <c r="AG99" s="4">
        <f>findLinError($R99,data0!P85,AG$4,AG$5,AG$6,AG$7)</f>
        <v>0</v>
      </c>
      <c r="AH99" s="4">
        <f>findLinError($R99,data0!Q85,AH$4,AH$5,AH$6,AH$7)</f>
        <v>0</v>
      </c>
      <c r="AI99" s="4">
        <f>findLinError($R99,data0!R85,AI$4,AI$5,AI$6,AI$7)</f>
        <v>0</v>
      </c>
      <c r="AJ99" s="4">
        <f>findLinError($R99,data0!S85,AJ$4,AJ$5,AJ$6,AJ$7)</f>
        <v>0</v>
      </c>
      <c r="AK99" s="4">
        <f>findLinError($R99,data0!T85,AK$4,AK$5,AK$6,AK$7)</f>
        <v>0</v>
      </c>
      <c r="AL99" s="4">
        <f>findLinError($R99,data0!U85,AL$4,AL$5,AL$6,AL$7)</f>
        <v>0</v>
      </c>
      <c r="AM99" s="4">
        <f>findLinError($R99,data0!V85,AM$4,AM$5,AM$6,AM$7)</f>
        <v>0</v>
      </c>
      <c r="AN99" s="4">
        <f>findLinError($R99,data0!W85,AN$4,AN$5,AN$6,AN$7)</f>
        <v>0</v>
      </c>
      <c r="AO99" s="4">
        <f>findLinError($R99,data0!X85,AO$4,AO$5,AO$6,AO$7)</f>
        <v>0</v>
      </c>
      <c r="AP99" s="4">
        <f>findLinError($R99,data0!Y85,AP$4,AP$5,AP$6,AP$7)</f>
        <v>0</v>
      </c>
      <c r="AQ99" s="4">
        <f>findLinError($R99,data0!Z85,AQ$4,AQ$5,AQ$6,AQ$7)</f>
        <v>0</v>
      </c>
      <c r="AR99" s="4">
        <f>findLinError($R99,data0!AA85,AR$4,AR$5,AR$6,AR$7)</f>
        <v>0</v>
      </c>
      <c r="AS99" s="4">
        <f>findLinError($R99,data0!AB85,AS$4,AS$5,AS$6,AS$7)</f>
        <v>0</v>
      </c>
      <c r="AT99" s="4">
        <f>findLinError($R99,data0!AC85,AT$4,AT$5,AT$6,AT$7)</f>
        <v>0</v>
      </c>
      <c r="AU99" s="4">
        <f>findLinError($R99,data0!AD85,AU$4,AU$5,AU$6,AU$7)</f>
        <v>0</v>
      </c>
      <c r="AV99" s="4">
        <f>findLinError($R99,data0!AE85,AV$4,AV$5,AV$6,AV$7)</f>
        <v>0</v>
      </c>
      <c r="AW99" s="4">
        <f>findLinError($R99,data0!AF85,AW$4,AW$5,AW$6,AW$7)</f>
        <v>0</v>
      </c>
      <c r="AX99" s="4">
        <f>findLinError($R99,data0!AG85,AX$4,AX$5,AX$6,AX$7)</f>
        <v>0</v>
      </c>
    </row>
    <row r="100" spans="16:50">
      <c r="P100" s="9">
        <f t="shared" si="50"/>
        <v>84</v>
      </c>
      <c r="Q100" s="9">
        <f>data4!L86</f>
        <v>1.2491582128859591E-4</v>
      </c>
      <c r="R100" s="34">
        <f t="shared" si="49"/>
        <v>159.04776342771081</v>
      </c>
      <c r="S100" s="4">
        <f>findLinError($R100,data0!B86,S$4,S$5,S$6,S$7)</f>
        <v>0</v>
      </c>
      <c r="T100" s="4"/>
      <c r="U100" s="4">
        <f>findLinError($R100,data0!D86,U$4,U$5,U$6,U$7)</f>
        <v>0</v>
      </c>
      <c r="V100" s="4"/>
      <c r="W100" s="4">
        <f>findLinError($R100,data0!F86,W$4,W$5,W$6,W$7)</f>
        <v>0</v>
      </c>
      <c r="X100" s="4"/>
      <c r="Y100" s="4"/>
      <c r="Z100" s="4">
        <f>findLinError($R100,data0!I86,Z$4,Z$5,Z$6,Z$7)</f>
        <v>0</v>
      </c>
      <c r="AA100" s="4">
        <f>findLinError($R100,data0!J86,AA$4,AA$5,AA$6,AA$7)</f>
        <v>0</v>
      </c>
      <c r="AB100" s="4">
        <f>findLinError($R100,data0!K86,AB$4,AB$5,AB$6,AB$7)</f>
        <v>0</v>
      </c>
      <c r="AC100" s="4">
        <f>findLinError($R100,data0!L86,AC$4,AC$5,AC$6,AC$7)</f>
        <v>0</v>
      </c>
      <c r="AD100" s="4">
        <f>findLinError($R100,data0!M86,AD$4,AD$5,AD$6,AD$7)</f>
        <v>0</v>
      </c>
      <c r="AE100" s="4">
        <f>findLinError($R100,data0!N86,AE$4,AE$5,AE$6,AE$7)</f>
        <v>0</v>
      </c>
      <c r="AF100" s="4">
        <f>findLinError($R100,data0!O86,AF$4,AF$5,AF$6,AF$7)</f>
        <v>0</v>
      </c>
      <c r="AG100" s="4">
        <f>findLinError($R100,data0!P86,AG$4,AG$5,AG$6,AG$7)</f>
        <v>0</v>
      </c>
      <c r="AH100" s="4">
        <f>findLinError($R100,data0!Q86,AH$4,AH$5,AH$6,AH$7)</f>
        <v>0</v>
      </c>
      <c r="AI100" s="4">
        <f>findLinError($R100,data0!R86,AI$4,AI$5,AI$6,AI$7)</f>
        <v>0</v>
      </c>
      <c r="AJ100" s="4">
        <f>findLinError($R100,data0!S86,AJ$4,AJ$5,AJ$6,AJ$7)</f>
        <v>0</v>
      </c>
      <c r="AK100" s="4">
        <f>findLinError($R100,data0!T86,AK$4,AK$5,AK$6,AK$7)</f>
        <v>0</v>
      </c>
      <c r="AL100" s="4">
        <f>findLinError($R100,data0!U86,AL$4,AL$5,AL$6,AL$7)</f>
        <v>0</v>
      </c>
      <c r="AM100" s="4">
        <f>findLinError($R100,data0!V86,AM$4,AM$5,AM$6,AM$7)</f>
        <v>0</v>
      </c>
      <c r="AN100" s="4">
        <f>findLinError($R100,data0!W86,AN$4,AN$5,AN$6,AN$7)</f>
        <v>0</v>
      </c>
      <c r="AO100" s="4">
        <f>findLinError($R100,data0!X86,AO$4,AO$5,AO$6,AO$7)</f>
        <v>0</v>
      </c>
      <c r="AP100" s="4">
        <f>findLinError($R100,data0!Y86,AP$4,AP$5,AP$6,AP$7)</f>
        <v>0</v>
      </c>
      <c r="AQ100" s="4">
        <f>findLinError($R100,data0!Z86,AQ$4,AQ$5,AQ$6,AQ$7)</f>
        <v>0</v>
      </c>
      <c r="AR100" s="4">
        <f>findLinError($R100,data0!AA86,AR$4,AR$5,AR$6,AR$7)</f>
        <v>0</v>
      </c>
      <c r="AS100" s="4">
        <f>findLinError($R100,data0!AB86,AS$4,AS$5,AS$6,AS$7)</f>
        <v>0</v>
      </c>
      <c r="AT100" s="4">
        <f>findLinError($R100,data0!AC86,AT$4,AT$5,AT$6,AT$7)</f>
        <v>0</v>
      </c>
      <c r="AU100" s="4">
        <f>findLinError($R100,data0!AD86,AU$4,AU$5,AU$6,AU$7)</f>
        <v>0</v>
      </c>
      <c r="AV100" s="4">
        <f>findLinError($R100,data0!AE86,AV$4,AV$5,AV$6,AV$7)</f>
        <v>0</v>
      </c>
      <c r="AW100" s="4">
        <f>findLinError($R100,data0!AF86,AW$4,AW$5,AW$6,AW$7)</f>
        <v>0</v>
      </c>
      <c r="AX100" s="4">
        <f>findLinError($R100,data0!AG86,AX$4,AX$5,AX$6,AX$7)</f>
        <v>0</v>
      </c>
    </row>
    <row r="101" spans="16:50">
      <c r="P101" s="9">
        <f t="shared" si="50"/>
        <v>85</v>
      </c>
      <c r="Q101" s="9">
        <f>data4!L87</f>
        <v>1.2707459609373473E-4</v>
      </c>
      <c r="R101" s="34">
        <f t="shared" si="49"/>
        <v>161.79640087779148</v>
      </c>
      <c r="S101" s="4">
        <f>findLinError($R101,data0!B87,S$4,S$5,S$6,S$7)</f>
        <v>0</v>
      </c>
      <c r="T101" s="4"/>
      <c r="U101" s="4">
        <f>findLinError($R101,data0!D87,U$4,U$5,U$6,U$7)</f>
        <v>0</v>
      </c>
      <c r="V101" s="4"/>
      <c r="W101" s="4">
        <f>findLinError($R101,data0!F87,W$4,W$5,W$6,W$7)</f>
        <v>0</v>
      </c>
      <c r="X101" s="4"/>
      <c r="Y101" s="4"/>
      <c r="Z101" s="4">
        <f>findLinError($R101,data0!I87,Z$4,Z$5,Z$6,Z$7)</f>
        <v>0</v>
      </c>
      <c r="AA101" s="4">
        <f>findLinError($R101,data0!J87,AA$4,AA$5,AA$6,AA$7)</f>
        <v>0</v>
      </c>
      <c r="AB101" s="4">
        <f>findLinError($R101,data0!K87,AB$4,AB$5,AB$6,AB$7)</f>
        <v>0</v>
      </c>
      <c r="AC101" s="4">
        <f>findLinError($R101,data0!L87,AC$4,AC$5,AC$6,AC$7)</f>
        <v>0</v>
      </c>
      <c r="AD101" s="4">
        <f>findLinError($R101,data0!M87,AD$4,AD$5,AD$6,AD$7)</f>
        <v>0</v>
      </c>
      <c r="AE101" s="4">
        <f>findLinError($R101,data0!N87,AE$4,AE$5,AE$6,AE$7)</f>
        <v>0</v>
      </c>
      <c r="AF101" s="4">
        <f>findLinError($R101,data0!O87,AF$4,AF$5,AF$6,AF$7)</f>
        <v>0</v>
      </c>
      <c r="AG101" s="4">
        <f>findLinError($R101,data0!P87,AG$4,AG$5,AG$6,AG$7)</f>
        <v>0</v>
      </c>
      <c r="AH101" s="4">
        <f>findLinError($R101,data0!Q87,AH$4,AH$5,AH$6,AH$7)</f>
        <v>0</v>
      </c>
      <c r="AI101" s="4">
        <f>findLinError($R101,data0!R87,AI$4,AI$5,AI$6,AI$7)</f>
        <v>0</v>
      </c>
      <c r="AJ101" s="4">
        <f>findLinError($R101,data0!S87,AJ$4,AJ$5,AJ$6,AJ$7)</f>
        <v>0</v>
      </c>
      <c r="AK101" s="4">
        <f>findLinError($R101,data0!T87,AK$4,AK$5,AK$6,AK$7)</f>
        <v>0</v>
      </c>
      <c r="AL101" s="4">
        <f>findLinError($R101,data0!U87,AL$4,AL$5,AL$6,AL$7)</f>
        <v>0</v>
      </c>
      <c r="AM101" s="4">
        <f>findLinError($R101,data0!V87,AM$4,AM$5,AM$6,AM$7)</f>
        <v>0</v>
      </c>
      <c r="AN101" s="4">
        <f>findLinError($R101,data0!W87,AN$4,AN$5,AN$6,AN$7)</f>
        <v>0</v>
      </c>
      <c r="AO101" s="4">
        <f>findLinError($R101,data0!X87,AO$4,AO$5,AO$6,AO$7)</f>
        <v>0</v>
      </c>
      <c r="AP101" s="4">
        <f>findLinError($R101,data0!Y87,AP$4,AP$5,AP$6,AP$7)</f>
        <v>0</v>
      </c>
      <c r="AQ101" s="4">
        <f>findLinError($R101,data0!Z87,AQ$4,AQ$5,AQ$6,AQ$7)</f>
        <v>0</v>
      </c>
      <c r="AR101" s="4">
        <f>findLinError($R101,data0!AA87,AR$4,AR$5,AR$6,AR$7)</f>
        <v>0</v>
      </c>
      <c r="AS101" s="4">
        <f>findLinError($R101,data0!AB87,AS$4,AS$5,AS$6,AS$7)</f>
        <v>0</v>
      </c>
      <c r="AT101" s="4">
        <f>findLinError($R101,data0!AC87,AT$4,AT$5,AT$6,AT$7)</f>
        <v>0</v>
      </c>
      <c r="AU101" s="4">
        <f>findLinError($R101,data0!AD87,AU$4,AU$5,AU$6,AU$7)</f>
        <v>0</v>
      </c>
      <c r="AV101" s="4">
        <f>findLinError($R101,data0!AE87,AV$4,AV$5,AV$6,AV$7)</f>
        <v>0</v>
      </c>
      <c r="AW101" s="4">
        <f>findLinError($R101,data0!AF87,AW$4,AW$5,AW$6,AW$7)</f>
        <v>0</v>
      </c>
      <c r="AX101" s="4">
        <f>findLinError($R101,data0!AG87,AX$4,AX$5,AX$6,AX$7)</f>
        <v>0</v>
      </c>
    </row>
    <row r="102" spans="16:50">
      <c r="P102" s="9">
        <f t="shared" si="50"/>
        <v>86</v>
      </c>
      <c r="Q102" s="9">
        <f>data4!L88</f>
        <v>1.2926124509249348E-4</v>
      </c>
      <c r="R102" s="34">
        <f t="shared" si="49"/>
        <v>164.58052885346669</v>
      </c>
      <c r="S102" s="4">
        <f>findLinError($R102,data0!B88,S$4,S$5,S$6,S$7)</f>
        <v>0</v>
      </c>
      <c r="T102" s="4"/>
      <c r="U102" s="4">
        <f>findLinError($R102,data0!D88,U$4,U$5,U$6,U$7)</f>
        <v>0</v>
      </c>
      <c r="V102" s="4"/>
      <c r="W102" s="4">
        <f>findLinError($R102,data0!F88,W$4,W$5,W$6,W$7)</f>
        <v>0</v>
      </c>
      <c r="X102" s="4"/>
      <c r="Y102" s="4"/>
      <c r="Z102" s="4">
        <f>findLinError($R102,data0!I88,Z$4,Z$5,Z$6,Z$7)</f>
        <v>0</v>
      </c>
      <c r="AA102" s="4">
        <f>findLinError($R102,data0!J88,AA$4,AA$5,AA$6,AA$7)</f>
        <v>0</v>
      </c>
      <c r="AB102" s="4">
        <f>findLinError($R102,data0!K88,AB$4,AB$5,AB$6,AB$7)</f>
        <v>0</v>
      </c>
      <c r="AC102" s="4">
        <f>findLinError($R102,data0!L88,AC$4,AC$5,AC$6,AC$7)</f>
        <v>0</v>
      </c>
      <c r="AD102" s="4">
        <f>findLinError($R102,data0!M88,AD$4,AD$5,AD$6,AD$7)</f>
        <v>0</v>
      </c>
      <c r="AE102" s="4">
        <f>findLinError($R102,data0!N88,AE$4,AE$5,AE$6,AE$7)</f>
        <v>0</v>
      </c>
      <c r="AF102" s="4">
        <f>findLinError($R102,data0!O88,AF$4,AF$5,AF$6,AF$7)</f>
        <v>0</v>
      </c>
      <c r="AG102" s="4">
        <f>findLinError($R102,data0!P88,AG$4,AG$5,AG$6,AG$7)</f>
        <v>0</v>
      </c>
      <c r="AH102" s="4">
        <f>findLinError($R102,data0!Q88,AH$4,AH$5,AH$6,AH$7)</f>
        <v>0</v>
      </c>
      <c r="AI102" s="4">
        <f>findLinError($R102,data0!R88,AI$4,AI$5,AI$6,AI$7)</f>
        <v>0</v>
      </c>
      <c r="AJ102" s="4">
        <f>findLinError($R102,data0!S88,AJ$4,AJ$5,AJ$6,AJ$7)</f>
        <v>0</v>
      </c>
      <c r="AK102" s="4">
        <f>findLinError($R102,data0!T88,AK$4,AK$5,AK$6,AK$7)</f>
        <v>0</v>
      </c>
      <c r="AL102" s="4">
        <f>findLinError($R102,data0!U88,AL$4,AL$5,AL$6,AL$7)</f>
        <v>0</v>
      </c>
      <c r="AM102" s="4">
        <f>findLinError($R102,data0!V88,AM$4,AM$5,AM$6,AM$7)</f>
        <v>0</v>
      </c>
      <c r="AN102" s="4">
        <f>findLinError($R102,data0!W88,AN$4,AN$5,AN$6,AN$7)</f>
        <v>0</v>
      </c>
      <c r="AO102" s="4">
        <f>findLinError($R102,data0!X88,AO$4,AO$5,AO$6,AO$7)</f>
        <v>0</v>
      </c>
      <c r="AP102" s="4">
        <f>findLinError($R102,data0!Y88,AP$4,AP$5,AP$6,AP$7)</f>
        <v>0</v>
      </c>
      <c r="AQ102" s="4">
        <f>findLinError($R102,data0!Z88,AQ$4,AQ$5,AQ$6,AQ$7)</f>
        <v>0</v>
      </c>
      <c r="AR102" s="4">
        <f>findLinError($R102,data0!AA88,AR$4,AR$5,AR$6,AR$7)</f>
        <v>0</v>
      </c>
      <c r="AS102" s="4">
        <f>findLinError($R102,data0!AB88,AS$4,AS$5,AS$6,AS$7)</f>
        <v>0</v>
      </c>
      <c r="AT102" s="4">
        <f>findLinError($R102,data0!AC88,AT$4,AT$5,AT$6,AT$7)</f>
        <v>0</v>
      </c>
      <c r="AU102" s="4">
        <f>findLinError($R102,data0!AD88,AU$4,AU$5,AU$6,AU$7)</f>
        <v>0</v>
      </c>
      <c r="AV102" s="4">
        <f>findLinError($R102,data0!AE88,AV$4,AV$5,AV$6,AV$7)</f>
        <v>0</v>
      </c>
      <c r="AW102" s="4">
        <f>findLinError($R102,data0!AF88,AW$4,AW$5,AW$6,AW$7)</f>
        <v>0</v>
      </c>
      <c r="AX102" s="4">
        <f>findLinError($R102,data0!AG88,AX$4,AX$5,AX$6,AX$7)</f>
        <v>0</v>
      </c>
    </row>
    <row r="103" spans="16:50">
      <c r="P103" s="9">
        <f t="shared" si="50"/>
        <v>87</v>
      </c>
      <c r="Q103" s="9">
        <f>data4!L89</f>
        <v>1.3162015056877863E-4</v>
      </c>
      <c r="R103" s="34">
        <f t="shared" si="49"/>
        <v>167.58398058816525</v>
      </c>
      <c r="S103" s="4">
        <f>findLinError($R103,data0!B89,S$4,S$5,S$6,S$7)</f>
        <v>0</v>
      </c>
      <c r="T103" s="4"/>
      <c r="U103" s="4">
        <f>findLinError($R103,data0!D89,U$4,U$5,U$6,U$7)</f>
        <v>0</v>
      </c>
      <c r="V103" s="4"/>
      <c r="W103" s="4">
        <f>findLinError($R103,data0!F89,W$4,W$5,W$6,W$7)</f>
        <v>0</v>
      </c>
      <c r="X103" s="4"/>
      <c r="Y103" s="4"/>
      <c r="Z103" s="4">
        <f>findLinError($R103,data0!I89,Z$4,Z$5,Z$6,Z$7)</f>
        <v>0</v>
      </c>
      <c r="AA103" s="4">
        <f>findLinError($R103,data0!J89,AA$4,AA$5,AA$6,AA$7)</f>
        <v>0</v>
      </c>
      <c r="AB103" s="4">
        <f>findLinError($R103,data0!K89,AB$4,AB$5,AB$6,AB$7)</f>
        <v>0</v>
      </c>
      <c r="AC103" s="4">
        <f>findLinError($R103,data0!L89,AC$4,AC$5,AC$6,AC$7)</f>
        <v>0</v>
      </c>
      <c r="AD103" s="4">
        <f>findLinError($R103,data0!M89,AD$4,AD$5,AD$6,AD$7)</f>
        <v>0</v>
      </c>
      <c r="AE103" s="4">
        <f>findLinError($R103,data0!N89,AE$4,AE$5,AE$6,AE$7)</f>
        <v>0</v>
      </c>
      <c r="AF103" s="4">
        <f>findLinError($R103,data0!O89,AF$4,AF$5,AF$6,AF$7)</f>
        <v>0</v>
      </c>
      <c r="AG103" s="4">
        <f>findLinError($R103,data0!P89,AG$4,AG$5,AG$6,AG$7)</f>
        <v>0</v>
      </c>
      <c r="AH103" s="4">
        <f>findLinError($R103,data0!Q89,AH$4,AH$5,AH$6,AH$7)</f>
        <v>0</v>
      </c>
      <c r="AI103" s="4">
        <f>findLinError($R103,data0!R89,AI$4,AI$5,AI$6,AI$7)</f>
        <v>0</v>
      </c>
      <c r="AJ103" s="4">
        <f>findLinError($R103,data0!S89,AJ$4,AJ$5,AJ$6,AJ$7)</f>
        <v>0</v>
      </c>
      <c r="AK103" s="4">
        <f>findLinError($R103,data0!T89,AK$4,AK$5,AK$6,AK$7)</f>
        <v>0</v>
      </c>
      <c r="AL103" s="4">
        <f>findLinError($R103,data0!U89,AL$4,AL$5,AL$6,AL$7)</f>
        <v>0</v>
      </c>
      <c r="AM103" s="4">
        <f>findLinError($R103,data0!V89,AM$4,AM$5,AM$6,AM$7)</f>
        <v>0</v>
      </c>
      <c r="AN103" s="4">
        <f>findLinError($R103,data0!W89,AN$4,AN$5,AN$6,AN$7)</f>
        <v>0</v>
      </c>
      <c r="AO103" s="4">
        <f>findLinError($R103,data0!X89,AO$4,AO$5,AO$6,AO$7)</f>
        <v>0</v>
      </c>
      <c r="AP103" s="4">
        <f>findLinError($R103,data0!Y89,AP$4,AP$5,AP$6,AP$7)</f>
        <v>0</v>
      </c>
      <c r="AQ103" s="4">
        <f>findLinError($R103,data0!Z89,AQ$4,AQ$5,AQ$6,AQ$7)</f>
        <v>0</v>
      </c>
      <c r="AR103" s="4">
        <f>findLinError($R103,data0!AA89,AR$4,AR$5,AR$6,AR$7)</f>
        <v>0</v>
      </c>
      <c r="AS103" s="4">
        <f>findLinError($R103,data0!AB89,AS$4,AS$5,AS$6,AS$7)</f>
        <v>0</v>
      </c>
      <c r="AT103" s="4">
        <f>findLinError($R103,data0!AC89,AT$4,AT$5,AT$6,AT$7)</f>
        <v>0</v>
      </c>
      <c r="AU103" s="4">
        <f>findLinError($R103,data0!AD89,AU$4,AU$5,AU$6,AU$7)</f>
        <v>0</v>
      </c>
      <c r="AV103" s="4">
        <f>findLinError($R103,data0!AE89,AV$4,AV$5,AV$6,AV$7)</f>
        <v>0</v>
      </c>
      <c r="AW103" s="4">
        <f>findLinError($R103,data0!AF89,AW$4,AW$5,AW$6,AW$7)</f>
        <v>0</v>
      </c>
      <c r="AX103" s="4">
        <f>findLinError($R103,data0!AG89,AX$4,AX$5,AX$6,AX$7)</f>
        <v>0</v>
      </c>
    </row>
    <row r="104" spans="16:50">
      <c r="P104" s="9">
        <f t="shared" si="50"/>
        <v>88</v>
      </c>
      <c r="Q104" s="9">
        <f>data4!L90</f>
        <v>1.3371281420404557E-4</v>
      </c>
      <c r="R104" s="34">
        <f t="shared" si="49"/>
        <v>170.24844268241637</v>
      </c>
      <c r="S104" s="4">
        <f>findLinError($R104,data0!B90,S$4,S$5,S$6,S$7)</f>
        <v>0</v>
      </c>
      <c r="T104" s="4"/>
      <c r="U104" s="4">
        <f>findLinError($R104,data0!D90,U$4,U$5,U$6,U$7)</f>
        <v>0</v>
      </c>
      <c r="V104" s="4"/>
      <c r="W104" s="4">
        <f>findLinError($R104,data0!F90,W$4,W$5,W$6,W$7)</f>
        <v>0</v>
      </c>
      <c r="X104" s="4"/>
      <c r="Y104" s="4"/>
      <c r="Z104" s="4">
        <f>findLinError($R104,data0!I90,Z$4,Z$5,Z$6,Z$7)</f>
        <v>0</v>
      </c>
      <c r="AA104" s="4">
        <f>findLinError($R104,data0!J90,AA$4,AA$5,AA$6,AA$7)</f>
        <v>0</v>
      </c>
      <c r="AB104" s="4">
        <f>findLinError($R104,data0!K90,AB$4,AB$5,AB$6,AB$7)</f>
        <v>0</v>
      </c>
      <c r="AC104" s="4">
        <f>findLinError($R104,data0!L90,AC$4,AC$5,AC$6,AC$7)</f>
        <v>0</v>
      </c>
      <c r="AD104" s="4">
        <f>findLinError($R104,data0!M90,AD$4,AD$5,AD$6,AD$7)</f>
        <v>0</v>
      </c>
      <c r="AE104" s="4">
        <f>findLinError($R104,data0!N90,AE$4,AE$5,AE$6,AE$7)</f>
        <v>0</v>
      </c>
      <c r="AF104" s="4">
        <f>findLinError($R104,data0!O90,AF$4,AF$5,AF$6,AF$7)</f>
        <v>0</v>
      </c>
      <c r="AG104" s="4">
        <f>findLinError($R104,data0!P90,AG$4,AG$5,AG$6,AG$7)</f>
        <v>0</v>
      </c>
      <c r="AH104" s="4">
        <f>findLinError($R104,data0!Q90,AH$4,AH$5,AH$6,AH$7)</f>
        <v>0</v>
      </c>
      <c r="AI104" s="4">
        <f>findLinError($R104,data0!R90,AI$4,AI$5,AI$6,AI$7)</f>
        <v>0</v>
      </c>
      <c r="AJ104" s="4">
        <f>findLinError($R104,data0!S90,AJ$4,AJ$5,AJ$6,AJ$7)</f>
        <v>0</v>
      </c>
      <c r="AK104" s="4">
        <f>findLinError($R104,data0!T90,AK$4,AK$5,AK$6,AK$7)</f>
        <v>0</v>
      </c>
      <c r="AL104" s="4">
        <f>findLinError($R104,data0!U90,AL$4,AL$5,AL$6,AL$7)</f>
        <v>0</v>
      </c>
      <c r="AM104" s="4">
        <f>findLinError($R104,data0!V90,AM$4,AM$5,AM$6,AM$7)</f>
        <v>0</v>
      </c>
      <c r="AN104" s="4">
        <f>findLinError($R104,data0!W90,AN$4,AN$5,AN$6,AN$7)</f>
        <v>0</v>
      </c>
      <c r="AO104" s="4">
        <f>findLinError($R104,data0!X90,AO$4,AO$5,AO$6,AO$7)</f>
        <v>0</v>
      </c>
      <c r="AP104" s="4">
        <f>findLinError($R104,data0!Y90,AP$4,AP$5,AP$6,AP$7)</f>
        <v>0</v>
      </c>
      <c r="AQ104" s="4">
        <f>findLinError($R104,data0!Z90,AQ$4,AQ$5,AQ$6,AQ$7)</f>
        <v>0</v>
      </c>
      <c r="AR104" s="4">
        <f>findLinError($R104,data0!AA90,AR$4,AR$5,AR$6,AR$7)</f>
        <v>0</v>
      </c>
      <c r="AS104" s="4">
        <f>findLinError($R104,data0!AB90,AS$4,AS$5,AS$6,AS$7)</f>
        <v>0</v>
      </c>
      <c r="AT104" s="4">
        <f>findLinError($R104,data0!AC90,AT$4,AT$5,AT$6,AT$7)</f>
        <v>0</v>
      </c>
      <c r="AU104" s="4">
        <f>findLinError($R104,data0!AD90,AU$4,AU$5,AU$6,AU$7)</f>
        <v>0</v>
      </c>
      <c r="AV104" s="4">
        <f>findLinError($R104,data0!AE90,AV$4,AV$5,AV$6,AV$7)</f>
        <v>0</v>
      </c>
      <c r="AW104" s="4">
        <f>findLinError($R104,data0!AF90,AW$4,AW$5,AW$6,AW$7)</f>
        <v>0</v>
      </c>
      <c r="AX104" s="4">
        <f>findLinError($R104,data0!AG90,AX$4,AX$5,AX$6,AX$7)</f>
        <v>0</v>
      </c>
    </row>
    <row r="105" spans="16:50">
      <c r="P105" s="9">
        <f t="shared" si="50"/>
        <v>89</v>
      </c>
      <c r="Q105" s="9">
        <f>data4!L91</f>
        <v>1.3594389565696474E-4</v>
      </c>
      <c r="R105" s="34">
        <f t="shared" si="49"/>
        <v>173.08914381579825</v>
      </c>
      <c r="S105" s="4">
        <f>findLinError($R105,data0!B91,S$4,S$5,S$6,S$7)</f>
        <v>0</v>
      </c>
      <c r="T105" s="4"/>
      <c r="U105" s="4">
        <f>findLinError($R105,data0!D91,U$4,U$5,U$6,U$7)</f>
        <v>0</v>
      </c>
      <c r="V105" s="4"/>
      <c r="W105" s="4">
        <f>findLinError($R105,data0!F91,W$4,W$5,W$6,W$7)</f>
        <v>0</v>
      </c>
      <c r="X105" s="4"/>
      <c r="Y105" s="4"/>
      <c r="Z105" s="4">
        <f>findLinError($R105,data0!I91,Z$4,Z$5,Z$6,Z$7)</f>
        <v>0</v>
      </c>
      <c r="AA105" s="4">
        <f>findLinError($R105,data0!J91,AA$4,AA$5,AA$6,AA$7)</f>
        <v>0</v>
      </c>
      <c r="AB105" s="4">
        <f>findLinError($R105,data0!K91,AB$4,AB$5,AB$6,AB$7)</f>
        <v>0</v>
      </c>
      <c r="AC105" s="4">
        <f>findLinError($R105,data0!L91,AC$4,AC$5,AC$6,AC$7)</f>
        <v>0</v>
      </c>
      <c r="AD105" s="4">
        <f>findLinError($R105,data0!M91,AD$4,AD$5,AD$6,AD$7)</f>
        <v>0</v>
      </c>
      <c r="AE105" s="4">
        <f>findLinError($R105,data0!N91,AE$4,AE$5,AE$6,AE$7)</f>
        <v>0</v>
      </c>
      <c r="AF105" s="4">
        <f>findLinError($R105,data0!O91,AF$4,AF$5,AF$6,AF$7)</f>
        <v>0</v>
      </c>
      <c r="AG105" s="4">
        <f>findLinError($R105,data0!P91,AG$4,AG$5,AG$6,AG$7)</f>
        <v>0</v>
      </c>
      <c r="AH105" s="4">
        <f>findLinError($R105,data0!Q91,AH$4,AH$5,AH$6,AH$7)</f>
        <v>0</v>
      </c>
      <c r="AI105" s="4">
        <f>findLinError($R105,data0!R91,AI$4,AI$5,AI$6,AI$7)</f>
        <v>0</v>
      </c>
      <c r="AJ105" s="4">
        <f>findLinError($R105,data0!S91,AJ$4,AJ$5,AJ$6,AJ$7)</f>
        <v>0</v>
      </c>
      <c r="AK105" s="4">
        <f>findLinError($R105,data0!T91,AK$4,AK$5,AK$6,AK$7)</f>
        <v>0</v>
      </c>
      <c r="AL105" s="4">
        <f>findLinError($R105,data0!U91,AL$4,AL$5,AL$6,AL$7)</f>
        <v>0</v>
      </c>
      <c r="AM105" s="4">
        <f>findLinError($R105,data0!V91,AM$4,AM$5,AM$6,AM$7)</f>
        <v>0</v>
      </c>
      <c r="AN105" s="4">
        <f>findLinError($R105,data0!W91,AN$4,AN$5,AN$6,AN$7)</f>
        <v>0</v>
      </c>
      <c r="AO105" s="4">
        <f>findLinError($R105,data0!X91,AO$4,AO$5,AO$6,AO$7)</f>
        <v>0</v>
      </c>
      <c r="AP105" s="4">
        <f>findLinError($R105,data0!Y91,AP$4,AP$5,AP$6,AP$7)</f>
        <v>0</v>
      </c>
      <c r="AQ105" s="4">
        <f>findLinError($R105,data0!Z91,AQ$4,AQ$5,AQ$6,AQ$7)</f>
        <v>0</v>
      </c>
      <c r="AR105" s="4">
        <f>findLinError($R105,data0!AA91,AR$4,AR$5,AR$6,AR$7)</f>
        <v>0</v>
      </c>
      <c r="AS105" s="4">
        <f>findLinError($R105,data0!AB91,AS$4,AS$5,AS$6,AS$7)</f>
        <v>0</v>
      </c>
      <c r="AT105" s="4">
        <f>findLinError($R105,data0!AC91,AT$4,AT$5,AT$6,AT$7)</f>
        <v>0</v>
      </c>
      <c r="AU105" s="4">
        <f>findLinError($R105,data0!AD91,AU$4,AU$5,AU$6,AU$7)</f>
        <v>0</v>
      </c>
      <c r="AV105" s="4">
        <f>findLinError($R105,data0!AE91,AV$4,AV$5,AV$6,AV$7)</f>
        <v>0</v>
      </c>
      <c r="AW105" s="4">
        <f>findLinError($R105,data0!AF91,AW$4,AW$5,AW$6,AW$7)</f>
        <v>0</v>
      </c>
      <c r="AX105" s="4">
        <f>findLinError($R105,data0!AG91,AX$4,AX$5,AX$6,AX$7)</f>
        <v>0</v>
      </c>
    </row>
    <row r="106" spans="16:50">
      <c r="P106" s="9">
        <f t="shared" si="50"/>
        <v>90</v>
      </c>
      <c r="Q106" s="9">
        <f>data4!L92</f>
        <v>1.3806283641315531E-4</v>
      </c>
      <c r="R106" s="34">
        <f t="shared" si="49"/>
        <v>175.78706297953113</v>
      </c>
      <c r="S106" s="4">
        <f>findLinError($R106,data0!B92,S$4,S$5,S$6,S$7)</f>
        <v>0</v>
      </c>
      <c r="T106" s="4"/>
      <c r="U106" s="4">
        <f>findLinError($R106,data0!D92,U$4,U$5,U$6,U$7)</f>
        <v>0</v>
      </c>
      <c r="V106" s="4"/>
      <c r="W106" s="4">
        <f>findLinError($R106,data0!F92,W$4,W$5,W$6,W$7)</f>
        <v>0</v>
      </c>
      <c r="X106" s="4"/>
      <c r="Y106" s="4"/>
      <c r="Z106" s="4">
        <f>findLinError($R106,data0!I92,Z$4,Z$5,Z$6,Z$7)</f>
        <v>0</v>
      </c>
      <c r="AA106" s="4">
        <f>findLinError($R106,data0!J92,AA$4,AA$5,AA$6,AA$7)</f>
        <v>0</v>
      </c>
      <c r="AB106" s="4">
        <f>findLinError($R106,data0!K92,AB$4,AB$5,AB$6,AB$7)</f>
        <v>0</v>
      </c>
      <c r="AC106" s="4">
        <f>findLinError($R106,data0!L92,AC$4,AC$5,AC$6,AC$7)</f>
        <v>0</v>
      </c>
      <c r="AD106" s="4">
        <f>findLinError($R106,data0!M92,AD$4,AD$5,AD$6,AD$7)</f>
        <v>0</v>
      </c>
      <c r="AE106" s="4">
        <f>findLinError($R106,data0!N92,AE$4,AE$5,AE$6,AE$7)</f>
        <v>0</v>
      </c>
      <c r="AF106" s="4">
        <f>findLinError($R106,data0!O92,AF$4,AF$5,AF$6,AF$7)</f>
        <v>0</v>
      </c>
      <c r="AG106" s="4">
        <f>findLinError($R106,data0!P92,AG$4,AG$5,AG$6,AG$7)</f>
        <v>0</v>
      </c>
      <c r="AH106" s="4">
        <f>findLinError($R106,data0!Q92,AH$4,AH$5,AH$6,AH$7)</f>
        <v>0</v>
      </c>
      <c r="AI106" s="4">
        <f>findLinError($R106,data0!R92,AI$4,AI$5,AI$6,AI$7)</f>
        <v>0</v>
      </c>
      <c r="AJ106" s="4">
        <f>findLinError($R106,data0!S92,AJ$4,AJ$5,AJ$6,AJ$7)</f>
        <v>0</v>
      </c>
      <c r="AK106" s="4">
        <f>findLinError($R106,data0!T92,AK$4,AK$5,AK$6,AK$7)</f>
        <v>0</v>
      </c>
      <c r="AL106" s="4">
        <f>findLinError($R106,data0!U92,AL$4,AL$5,AL$6,AL$7)</f>
        <v>0</v>
      </c>
      <c r="AM106" s="4">
        <f>findLinError($R106,data0!V92,AM$4,AM$5,AM$6,AM$7)</f>
        <v>0</v>
      </c>
      <c r="AN106" s="4">
        <f>findLinError($R106,data0!W92,AN$4,AN$5,AN$6,AN$7)</f>
        <v>0</v>
      </c>
      <c r="AO106" s="4">
        <f>findLinError($R106,data0!X92,AO$4,AO$5,AO$6,AO$7)</f>
        <v>0</v>
      </c>
      <c r="AP106" s="4">
        <f>findLinError($R106,data0!Y92,AP$4,AP$5,AP$6,AP$7)</f>
        <v>0</v>
      </c>
      <c r="AQ106" s="4">
        <f>findLinError($R106,data0!Z92,AQ$4,AQ$5,AQ$6,AQ$7)</f>
        <v>0</v>
      </c>
      <c r="AR106" s="4">
        <f>findLinError($R106,data0!AA92,AR$4,AR$5,AR$6,AR$7)</f>
        <v>0</v>
      </c>
      <c r="AS106" s="4">
        <f>findLinError($R106,data0!AB92,AS$4,AS$5,AS$6,AS$7)</f>
        <v>0</v>
      </c>
      <c r="AT106" s="4">
        <f>findLinError($R106,data0!AC92,AT$4,AT$5,AT$6,AT$7)</f>
        <v>0</v>
      </c>
      <c r="AU106" s="4">
        <f>findLinError($R106,data0!AD92,AU$4,AU$5,AU$6,AU$7)</f>
        <v>0</v>
      </c>
      <c r="AV106" s="4">
        <f>findLinError($R106,data0!AE92,AV$4,AV$5,AV$6,AV$7)</f>
        <v>0</v>
      </c>
      <c r="AW106" s="4">
        <f>findLinError($R106,data0!AF92,AW$4,AW$5,AW$6,AW$7)</f>
        <v>0</v>
      </c>
      <c r="AX106" s="4">
        <f>findLinError($R106,data0!AG92,AX$4,AX$5,AX$6,AX$7)</f>
        <v>0</v>
      </c>
    </row>
    <row r="107" spans="16:50">
      <c r="P107" s="9">
        <f t="shared" si="50"/>
        <v>91</v>
      </c>
      <c r="Q107" s="9">
        <f>data4!L93</f>
        <v>1.4038474182598293E-4</v>
      </c>
      <c r="R107" s="34">
        <f t="shared" si="49"/>
        <v>178.74340477027783</v>
      </c>
      <c r="S107" s="4">
        <f>findLinError($R107,data0!B93,S$4,S$5,S$6,S$7)</f>
        <v>0</v>
      </c>
      <c r="T107" s="4"/>
      <c r="U107" s="4">
        <f>findLinError($R107,data0!D93,U$4,U$5,U$6,U$7)</f>
        <v>0</v>
      </c>
      <c r="V107" s="4"/>
      <c r="W107" s="4">
        <f>findLinError($R107,data0!F93,W$4,W$5,W$6,W$7)</f>
        <v>0</v>
      </c>
      <c r="X107" s="4"/>
      <c r="Y107" s="4"/>
      <c r="Z107" s="4">
        <f>findLinError($R107,data0!I93,Z$4,Z$5,Z$6,Z$7)</f>
        <v>0</v>
      </c>
      <c r="AA107" s="4">
        <f>findLinError($R107,data0!J93,AA$4,AA$5,AA$6,AA$7)</f>
        <v>0</v>
      </c>
      <c r="AB107" s="4">
        <f>findLinError($R107,data0!K93,AB$4,AB$5,AB$6,AB$7)</f>
        <v>0</v>
      </c>
      <c r="AC107" s="4">
        <f>findLinError($R107,data0!L93,AC$4,AC$5,AC$6,AC$7)</f>
        <v>0</v>
      </c>
      <c r="AD107" s="4">
        <f>findLinError($R107,data0!M93,AD$4,AD$5,AD$6,AD$7)</f>
        <v>0</v>
      </c>
      <c r="AE107" s="4">
        <f>findLinError($R107,data0!N93,AE$4,AE$5,AE$6,AE$7)</f>
        <v>0</v>
      </c>
      <c r="AF107" s="4">
        <f>findLinError($R107,data0!O93,AF$4,AF$5,AF$6,AF$7)</f>
        <v>0</v>
      </c>
      <c r="AG107" s="4">
        <f>findLinError($R107,data0!P93,AG$4,AG$5,AG$6,AG$7)</f>
        <v>0</v>
      </c>
      <c r="AH107" s="4">
        <f>findLinError($R107,data0!Q93,AH$4,AH$5,AH$6,AH$7)</f>
        <v>0</v>
      </c>
      <c r="AI107" s="4">
        <f>findLinError($R107,data0!R93,AI$4,AI$5,AI$6,AI$7)</f>
        <v>0</v>
      </c>
      <c r="AJ107" s="4">
        <f>findLinError($R107,data0!S93,AJ$4,AJ$5,AJ$6,AJ$7)</f>
        <v>0</v>
      </c>
      <c r="AK107" s="4">
        <f>findLinError($R107,data0!T93,AK$4,AK$5,AK$6,AK$7)</f>
        <v>0</v>
      </c>
      <c r="AL107" s="4">
        <f>findLinError($R107,data0!U93,AL$4,AL$5,AL$6,AL$7)</f>
        <v>0</v>
      </c>
      <c r="AM107" s="4">
        <f>findLinError($R107,data0!V93,AM$4,AM$5,AM$6,AM$7)</f>
        <v>0</v>
      </c>
      <c r="AN107" s="4">
        <f>findLinError($R107,data0!W93,AN$4,AN$5,AN$6,AN$7)</f>
        <v>0</v>
      </c>
      <c r="AO107" s="4">
        <f>findLinError($R107,data0!X93,AO$4,AO$5,AO$6,AO$7)</f>
        <v>0</v>
      </c>
      <c r="AP107" s="4">
        <f>findLinError($R107,data0!Y93,AP$4,AP$5,AP$6,AP$7)</f>
        <v>0</v>
      </c>
      <c r="AQ107" s="4">
        <f>findLinError($R107,data0!Z93,AQ$4,AQ$5,AQ$6,AQ$7)</f>
        <v>0</v>
      </c>
      <c r="AR107" s="4">
        <f>findLinError($R107,data0!AA93,AR$4,AR$5,AR$6,AR$7)</f>
        <v>0</v>
      </c>
      <c r="AS107" s="4">
        <f>findLinError($R107,data0!AB93,AS$4,AS$5,AS$6,AS$7)</f>
        <v>0</v>
      </c>
      <c r="AT107" s="4">
        <f>findLinError($R107,data0!AC93,AT$4,AT$5,AT$6,AT$7)</f>
        <v>0</v>
      </c>
      <c r="AU107" s="4">
        <f>findLinError($R107,data0!AD93,AU$4,AU$5,AU$6,AU$7)</f>
        <v>0</v>
      </c>
      <c r="AV107" s="4">
        <f>findLinError($R107,data0!AE93,AV$4,AV$5,AV$6,AV$7)</f>
        <v>0</v>
      </c>
      <c r="AW107" s="4">
        <f>findLinError($R107,data0!AF93,AW$4,AW$5,AW$6,AW$7)</f>
        <v>0</v>
      </c>
      <c r="AX107" s="4">
        <f>findLinError($R107,data0!AG93,AX$4,AX$5,AX$6,AX$7)</f>
        <v>0</v>
      </c>
    </row>
    <row r="108" spans="16:50">
      <c r="P108" s="9">
        <f t="shared" si="50"/>
        <v>92</v>
      </c>
      <c r="Q108" s="9">
        <f>data4!L94</f>
        <v>1.4255519818107132E-4</v>
      </c>
      <c r="R108" s="34">
        <f t="shared" si="49"/>
        <v>181.50691563169815</v>
      </c>
      <c r="S108" s="4">
        <f>findLinError($R108,data0!B94,S$4,S$5,S$6,S$7)</f>
        <v>0</v>
      </c>
      <c r="T108" s="4"/>
      <c r="U108" s="4">
        <f>findLinError($R108,data0!D94,U$4,U$5,U$6,U$7)</f>
        <v>0</v>
      </c>
      <c r="V108" s="4"/>
      <c r="W108" s="4">
        <f>findLinError($R108,data0!F94,W$4,W$5,W$6,W$7)</f>
        <v>0</v>
      </c>
      <c r="X108" s="4"/>
      <c r="Y108" s="4"/>
      <c r="Z108" s="4">
        <f>findLinError($R108,data0!I94,Z$4,Z$5,Z$6,Z$7)</f>
        <v>0</v>
      </c>
      <c r="AA108" s="4">
        <f>findLinError($R108,data0!J94,AA$4,AA$5,AA$6,AA$7)</f>
        <v>0</v>
      </c>
      <c r="AB108" s="4">
        <f>findLinError($R108,data0!K94,AB$4,AB$5,AB$6,AB$7)</f>
        <v>0</v>
      </c>
      <c r="AC108" s="4">
        <f>findLinError($R108,data0!L94,AC$4,AC$5,AC$6,AC$7)</f>
        <v>0</v>
      </c>
      <c r="AD108" s="4">
        <f>findLinError($R108,data0!M94,AD$4,AD$5,AD$6,AD$7)</f>
        <v>0</v>
      </c>
      <c r="AE108" s="4">
        <f>findLinError($R108,data0!N94,AE$4,AE$5,AE$6,AE$7)</f>
        <v>0</v>
      </c>
      <c r="AF108" s="4">
        <f>findLinError($R108,data0!O94,AF$4,AF$5,AF$6,AF$7)</f>
        <v>0</v>
      </c>
      <c r="AG108" s="4">
        <f>findLinError($R108,data0!P94,AG$4,AG$5,AG$6,AG$7)</f>
        <v>0</v>
      </c>
      <c r="AH108" s="4">
        <f>findLinError($R108,data0!Q94,AH$4,AH$5,AH$6,AH$7)</f>
        <v>0</v>
      </c>
      <c r="AI108" s="4">
        <f>findLinError($R108,data0!R94,AI$4,AI$5,AI$6,AI$7)</f>
        <v>0</v>
      </c>
      <c r="AJ108" s="4">
        <f>findLinError($R108,data0!S94,AJ$4,AJ$5,AJ$6,AJ$7)</f>
        <v>0</v>
      </c>
      <c r="AK108" s="4">
        <f>findLinError($R108,data0!T94,AK$4,AK$5,AK$6,AK$7)</f>
        <v>0</v>
      </c>
      <c r="AL108" s="4">
        <f>findLinError($R108,data0!U94,AL$4,AL$5,AL$6,AL$7)</f>
        <v>0</v>
      </c>
      <c r="AM108" s="4">
        <f>findLinError($R108,data0!V94,AM$4,AM$5,AM$6,AM$7)</f>
        <v>0</v>
      </c>
      <c r="AN108" s="4">
        <f>findLinError($R108,data0!W94,AN$4,AN$5,AN$6,AN$7)</f>
        <v>0</v>
      </c>
      <c r="AO108" s="4">
        <f>findLinError($R108,data0!X94,AO$4,AO$5,AO$6,AO$7)</f>
        <v>0</v>
      </c>
      <c r="AP108" s="4">
        <f>findLinError($R108,data0!Y94,AP$4,AP$5,AP$6,AP$7)</f>
        <v>0</v>
      </c>
      <c r="AQ108" s="4">
        <f>findLinError($R108,data0!Z94,AQ$4,AQ$5,AQ$6,AQ$7)</f>
        <v>0</v>
      </c>
      <c r="AR108" s="4">
        <f>findLinError($R108,data0!AA94,AR$4,AR$5,AR$6,AR$7)</f>
        <v>0</v>
      </c>
      <c r="AS108" s="4">
        <f>findLinError($R108,data0!AB94,AS$4,AS$5,AS$6,AS$7)</f>
        <v>0</v>
      </c>
      <c r="AT108" s="4">
        <f>findLinError($R108,data0!AC94,AT$4,AT$5,AT$6,AT$7)</f>
        <v>0</v>
      </c>
      <c r="AU108" s="4">
        <f>findLinError($R108,data0!AD94,AU$4,AU$5,AU$6,AU$7)</f>
        <v>0</v>
      </c>
      <c r="AV108" s="4">
        <f>findLinError($R108,data0!AE94,AV$4,AV$5,AV$6,AV$7)</f>
        <v>0</v>
      </c>
      <c r="AW108" s="4">
        <f>findLinError($R108,data0!AF94,AW$4,AW$5,AW$6,AW$7)</f>
        <v>0</v>
      </c>
      <c r="AX108" s="4">
        <f>findLinError($R108,data0!AG94,AX$4,AX$5,AX$6,AX$7)</f>
        <v>0</v>
      </c>
    </row>
    <row r="109" spans="16:50">
      <c r="P109" s="9">
        <f t="shared" si="50"/>
        <v>93</v>
      </c>
      <c r="Q109" s="9">
        <f>data4!L95</f>
        <v>1.4482392907666508E-4</v>
      </c>
      <c r="R109" s="34">
        <f t="shared" si="49"/>
        <v>184.39555352433055</v>
      </c>
      <c r="S109" s="4">
        <f>findLinError($R109,data0!B95,S$4,S$5,S$6,S$7)</f>
        <v>0</v>
      </c>
      <c r="T109" s="4"/>
      <c r="U109" s="4">
        <f>findLinError($R109,data0!D95,U$4,U$5,U$6,U$7)</f>
        <v>0</v>
      </c>
      <c r="V109" s="4"/>
      <c r="W109" s="4">
        <f>findLinError($R109,data0!F95,W$4,W$5,W$6,W$7)</f>
        <v>0</v>
      </c>
      <c r="X109" s="4"/>
      <c r="Y109" s="4"/>
      <c r="Z109" s="4">
        <f>findLinError($R109,data0!I95,Z$4,Z$5,Z$6,Z$7)</f>
        <v>0</v>
      </c>
      <c r="AA109" s="4">
        <f>findLinError($R109,data0!J95,AA$4,AA$5,AA$6,AA$7)</f>
        <v>0</v>
      </c>
      <c r="AB109" s="4">
        <f>findLinError($R109,data0!K95,AB$4,AB$5,AB$6,AB$7)</f>
        <v>0</v>
      </c>
      <c r="AC109" s="4">
        <f>findLinError($R109,data0!L95,AC$4,AC$5,AC$6,AC$7)</f>
        <v>0</v>
      </c>
      <c r="AD109" s="4">
        <f>findLinError($R109,data0!M95,AD$4,AD$5,AD$6,AD$7)</f>
        <v>0</v>
      </c>
      <c r="AE109" s="4">
        <f>findLinError($R109,data0!N95,AE$4,AE$5,AE$6,AE$7)</f>
        <v>0</v>
      </c>
      <c r="AF109" s="4">
        <f>findLinError($R109,data0!O95,AF$4,AF$5,AF$6,AF$7)</f>
        <v>0</v>
      </c>
      <c r="AG109" s="4">
        <f>findLinError($R109,data0!P95,AG$4,AG$5,AG$6,AG$7)</f>
        <v>0</v>
      </c>
      <c r="AH109" s="4">
        <f>findLinError($R109,data0!Q95,AH$4,AH$5,AH$6,AH$7)</f>
        <v>0</v>
      </c>
      <c r="AI109" s="4">
        <f>findLinError($R109,data0!R95,AI$4,AI$5,AI$6,AI$7)</f>
        <v>0</v>
      </c>
      <c r="AJ109" s="4">
        <f>findLinError($R109,data0!S95,AJ$4,AJ$5,AJ$6,AJ$7)</f>
        <v>0</v>
      </c>
      <c r="AK109" s="4">
        <f>findLinError($R109,data0!T95,AK$4,AK$5,AK$6,AK$7)</f>
        <v>0</v>
      </c>
      <c r="AL109" s="4">
        <f>findLinError($R109,data0!U95,AL$4,AL$5,AL$6,AL$7)</f>
        <v>0</v>
      </c>
      <c r="AM109" s="4">
        <f>findLinError($R109,data0!V95,AM$4,AM$5,AM$6,AM$7)</f>
        <v>0</v>
      </c>
      <c r="AN109" s="4">
        <f>findLinError($R109,data0!W95,AN$4,AN$5,AN$6,AN$7)</f>
        <v>0</v>
      </c>
      <c r="AO109" s="4">
        <f>findLinError($R109,data0!X95,AO$4,AO$5,AO$6,AO$7)</f>
        <v>0</v>
      </c>
      <c r="AP109" s="4">
        <f>findLinError($R109,data0!Y95,AP$4,AP$5,AP$6,AP$7)</f>
        <v>0</v>
      </c>
      <c r="AQ109" s="4">
        <f>findLinError($R109,data0!Z95,AQ$4,AQ$5,AQ$6,AQ$7)</f>
        <v>0</v>
      </c>
      <c r="AR109" s="4">
        <f>findLinError($R109,data0!AA95,AR$4,AR$5,AR$6,AR$7)</f>
        <v>0</v>
      </c>
      <c r="AS109" s="4">
        <f>findLinError($R109,data0!AB95,AS$4,AS$5,AS$6,AS$7)</f>
        <v>0</v>
      </c>
      <c r="AT109" s="4">
        <f>findLinError($R109,data0!AC95,AT$4,AT$5,AT$6,AT$7)</f>
        <v>0</v>
      </c>
      <c r="AU109" s="4">
        <f>findLinError($R109,data0!AD95,AU$4,AU$5,AU$6,AU$7)</f>
        <v>0</v>
      </c>
      <c r="AV109" s="4">
        <f>findLinError($R109,data0!AE95,AV$4,AV$5,AV$6,AV$7)</f>
        <v>0</v>
      </c>
      <c r="AW109" s="4">
        <f>findLinError($R109,data0!AF95,AW$4,AW$5,AW$6,AW$7)</f>
        <v>0</v>
      </c>
      <c r="AX109" s="4">
        <f>findLinError($R109,data0!AG95,AX$4,AX$5,AX$6,AX$7)</f>
        <v>0</v>
      </c>
    </row>
    <row r="110" spans="16:50">
      <c r="P110" s="9">
        <f t="shared" si="50"/>
        <v>94</v>
      </c>
      <c r="Q110" s="9">
        <f>data4!L96</f>
        <v>1.4691925389342941E-4</v>
      </c>
      <c r="R110" s="34">
        <f t="shared" si="49"/>
        <v>187.06340394009985</v>
      </c>
      <c r="S110" s="4">
        <f>findLinError($R110,data0!B96,S$4,S$5,S$6,S$7)</f>
        <v>0</v>
      </c>
      <c r="T110" s="4"/>
      <c r="U110" s="4">
        <f>findLinError($R110,data0!D96,U$4,U$5,U$6,U$7)</f>
        <v>0</v>
      </c>
      <c r="V110" s="4"/>
      <c r="W110" s="4">
        <f>findLinError($R110,data0!F96,W$4,W$5,W$6,W$7)</f>
        <v>0</v>
      </c>
      <c r="X110" s="4"/>
      <c r="Y110" s="4"/>
      <c r="Z110" s="4">
        <f>findLinError($R110,data0!I96,Z$4,Z$5,Z$6,Z$7)</f>
        <v>0</v>
      </c>
      <c r="AA110" s="4">
        <f>findLinError($R110,data0!J96,AA$4,AA$5,AA$6,AA$7)</f>
        <v>0</v>
      </c>
      <c r="AB110" s="4">
        <f>findLinError($R110,data0!K96,AB$4,AB$5,AB$6,AB$7)</f>
        <v>0</v>
      </c>
      <c r="AC110" s="4">
        <f>findLinError($R110,data0!L96,AC$4,AC$5,AC$6,AC$7)</f>
        <v>0</v>
      </c>
      <c r="AD110" s="4">
        <f>findLinError($R110,data0!M96,AD$4,AD$5,AD$6,AD$7)</f>
        <v>0</v>
      </c>
      <c r="AE110" s="4">
        <f>findLinError($R110,data0!N96,AE$4,AE$5,AE$6,AE$7)</f>
        <v>0</v>
      </c>
      <c r="AF110" s="4">
        <f>findLinError($R110,data0!O96,AF$4,AF$5,AF$6,AF$7)</f>
        <v>0</v>
      </c>
      <c r="AG110" s="4">
        <f>findLinError($R110,data0!P96,AG$4,AG$5,AG$6,AG$7)</f>
        <v>0</v>
      </c>
      <c r="AH110" s="4">
        <f>findLinError($R110,data0!Q96,AH$4,AH$5,AH$6,AH$7)</f>
        <v>0</v>
      </c>
      <c r="AI110" s="4">
        <f>findLinError($R110,data0!R96,AI$4,AI$5,AI$6,AI$7)</f>
        <v>0</v>
      </c>
      <c r="AJ110" s="4">
        <f>findLinError($R110,data0!S96,AJ$4,AJ$5,AJ$6,AJ$7)</f>
        <v>0</v>
      </c>
      <c r="AK110" s="4">
        <f>findLinError($R110,data0!T96,AK$4,AK$5,AK$6,AK$7)</f>
        <v>0</v>
      </c>
      <c r="AL110" s="4">
        <f>findLinError($R110,data0!U96,AL$4,AL$5,AL$6,AL$7)</f>
        <v>0</v>
      </c>
      <c r="AM110" s="4">
        <f>findLinError($R110,data0!V96,AM$4,AM$5,AM$6,AM$7)</f>
        <v>0</v>
      </c>
      <c r="AN110" s="4">
        <f>findLinError($R110,data0!W96,AN$4,AN$5,AN$6,AN$7)</f>
        <v>0</v>
      </c>
      <c r="AO110" s="4">
        <f>findLinError($R110,data0!X96,AO$4,AO$5,AO$6,AO$7)</f>
        <v>0</v>
      </c>
      <c r="AP110" s="4">
        <f>findLinError($R110,data0!Y96,AP$4,AP$5,AP$6,AP$7)</f>
        <v>0</v>
      </c>
      <c r="AQ110" s="4">
        <f>findLinError($R110,data0!Z96,AQ$4,AQ$5,AQ$6,AQ$7)</f>
        <v>0</v>
      </c>
      <c r="AR110" s="4">
        <f>findLinError($R110,data0!AA96,AR$4,AR$5,AR$6,AR$7)</f>
        <v>0</v>
      </c>
      <c r="AS110" s="4">
        <f>findLinError($R110,data0!AB96,AS$4,AS$5,AS$6,AS$7)</f>
        <v>0</v>
      </c>
      <c r="AT110" s="4">
        <f>findLinError($R110,data0!AC96,AT$4,AT$5,AT$6,AT$7)</f>
        <v>0</v>
      </c>
      <c r="AU110" s="4">
        <f>findLinError($R110,data0!AD96,AU$4,AU$5,AU$6,AU$7)</f>
        <v>0</v>
      </c>
      <c r="AV110" s="4">
        <f>findLinError($R110,data0!AE96,AV$4,AV$5,AV$6,AV$7)</f>
        <v>0</v>
      </c>
      <c r="AW110" s="4">
        <f>findLinError($R110,data0!AF96,AW$4,AW$5,AW$6,AW$7)</f>
        <v>0</v>
      </c>
      <c r="AX110" s="4">
        <f>findLinError($R110,data0!AG96,AX$4,AX$5,AX$6,AX$7)</f>
        <v>0</v>
      </c>
    </row>
    <row r="111" spans="16:50">
      <c r="P111" s="9">
        <f t="shared" si="50"/>
        <v>95</v>
      </c>
      <c r="Q111" s="9">
        <f>data4!L97</f>
        <v>1.4923846538295038E-4</v>
      </c>
      <c r="R111" s="34">
        <f t="shared" si="49"/>
        <v>190.0163157211621</v>
      </c>
      <c r="S111" s="4">
        <f>findLinError($R111,data0!B97,S$4,S$5,S$6,S$7)</f>
        <v>0</v>
      </c>
      <c r="T111" s="4"/>
      <c r="U111" s="4">
        <f>findLinError($R111,data0!D97,U$4,U$5,U$6,U$7)</f>
        <v>0</v>
      </c>
      <c r="V111" s="4"/>
      <c r="W111" s="4">
        <f>findLinError($R111,data0!F97,W$4,W$5,W$6,W$7)</f>
        <v>0</v>
      </c>
      <c r="X111" s="4"/>
      <c r="Y111" s="4"/>
      <c r="Z111" s="4">
        <f>findLinError($R111,data0!I97,Z$4,Z$5,Z$6,Z$7)</f>
        <v>0</v>
      </c>
      <c r="AA111" s="4">
        <f>findLinError($R111,data0!J97,AA$4,AA$5,AA$6,AA$7)</f>
        <v>0</v>
      </c>
      <c r="AB111" s="4">
        <f>findLinError($R111,data0!K97,AB$4,AB$5,AB$6,AB$7)</f>
        <v>0</v>
      </c>
      <c r="AC111" s="4">
        <f>findLinError($R111,data0!L97,AC$4,AC$5,AC$6,AC$7)</f>
        <v>0</v>
      </c>
      <c r="AD111" s="4">
        <f>findLinError($R111,data0!M97,AD$4,AD$5,AD$6,AD$7)</f>
        <v>0</v>
      </c>
      <c r="AE111" s="4">
        <f>findLinError($R111,data0!N97,AE$4,AE$5,AE$6,AE$7)</f>
        <v>0</v>
      </c>
      <c r="AF111" s="4">
        <f>findLinError($R111,data0!O97,AF$4,AF$5,AF$6,AF$7)</f>
        <v>0</v>
      </c>
      <c r="AG111" s="4">
        <f>findLinError($R111,data0!P97,AG$4,AG$5,AG$6,AG$7)</f>
        <v>0</v>
      </c>
      <c r="AH111" s="4">
        <f>findLinError($R111,data0!Q97,AH$4,AH$5,AH$6,AH$7)</f>
        <v>0</v>
      </c>
      <c r="AI111" s="4">
        <f>findLinError($R111,data0!R97,AI$4,AI$5,AI$6,AI$7)</f>
        <v>0</v>
      </c>
      <c r="AJ111" s="4">
        <f>findLinError($R111,data0!S97,AJ$4,AJ$5,AJ$6,AJ$7)</f>
        <v>0</v>
      </c>
      <c r="AK111" s="4">
        <f>findLinError($R111,data0!T97,AK$4,AK$5,AK$6,AK$7)</f>
        <v>0</v>
      </c>
      <c r="AL111" s="4">
        <f>findLinError($R111,data0!U97,AL$4,AL$5,AL$6,AL$7)</f>
        <v>0</v>
      </c>
      <c r="AM111" s="4">
        <f>findLinError($R111,data0!V97,AM$4,AM$5,AM$6,AM$7)</f>
        <v>0</v>
      </c>
      <c r="AN111" s="4">
        <f>findLinError($R111,data0!W97,AN$4,AN$5,AN$6,AN$7)</f>
        <v>0</v>
      </c>
      <c r="AO111" s="4">
        <f>findLinError($R111,data0!X97,AO$4,AO$5,AO$6,AO$7)</f>
        <v>0</v>
      </c>
      <c r="AP111" s="4">
        <f>findLinError($R111,data0!Y97,AP$4,AP$5,AP$6,AP$7)</f>
        <v>0</v>
      </c>
      <c r="AQ111" s="4">
        <f>findLinError($R111,data0!Z97,AQ$4,AQ$5,AQ$6,AQ$7)</f>
        <v>0</v>
      </c>
      <c r="AR111" s="4">
        <f>findLinError($R111,data0!AA97,AR$4,AR$5,AR$6,AR$7)</f>
        <v>0</v>
      </c>
      <c r="AS111" s="4">
        <f>findLinError($R111,data0!AB97,AS$4,AS$5,AS$6,AS$7)</f>
        <v>0</v>
      </c>
      <c r="AT111" s="4">
        <f>findLinError($R111,data0!AC97,AT$4,AT$5,AT$6,AT$7)</f>
        <v>0</v>
      </c>
      <c r="AU111" s="4">
        <f>findLinError($R111,data0!AD97,AU$4,AU$5,AU$6,AU$7)</f>
        <v>0</v>
      </c>
      <c r="AV111" s="4">
        <f>findLinError($R111,data0!AE97,AV$4,AV$5,AV$6,AV$7)</f>
        <v>0</v>
      </c>
      <c r="AW111" s="4">
        <f>findLinError($R111,data0!AF97,AW$4,AW$5,AW$6,AW$7)</f>
        <v>0</v>
      </c>
      <c r="AX111" s="4">
        <f>findLinError($R111,data0!AG97,AX$4,AX$5,AX$6,AX$7)</f>
        <v>0</v>
      </c>
    </row>
    <row r="112" spans="16:50">
      <c r="P112" s="9">
        <f t="shared" si="50"/>
        <v>96</v>
      </c>
      <c r="Q112" s="9">
        <f>data4!L98</f>
        <v>1.5134529712668154E-4</v>
      </c>
      <c r="R112" s="34">
        <f t="shared" si="49"/>
        <v>192.69881721138395</v>
      </c>
      <c r="S112" s="4">
        <f>findLinError($R112,data0!B98,S$4,S$5,S$6,S$7)</f>
        <v>0</v>
      </c>
      <c r="T112" s="4"/>
      <c r="U112" s="4">
        <f>findLinError($R112,data0!D98,U$4,U$5,U$6,U$7)</f>
        <v>0</v>
      </c>
      <c r="V112" s="4"/>
      <c r="W112" s="4">
        <f>findLinError($R112,data0!F98,W$4,W$5,W$6,W$7)</f>
        <v>0</v>
      </c>
      <c r="X112" s="4"/>
      <c r="Y112" s="4"/>
      <c r="Z112" s="4">
        <f>findLinError($R112,data0!I98,Z$4,Z$5,Z$6,Z$7)</f>
        <v>0</v>
      </c>
      <c r="AA112" s="4">
        <f>findLinError($R112,data0!J98,AA$4,AA$5,AA$6,AA$7)</f>
        <v>0</v>
      </c>
      <c r="AB112" s="4">
        <f>findLinError($R112,data0!K98,AB$4,AB$5,AB$6,AB$7)</f>
        <v>0</v>
      </c>
      <c r="AC112" s="4">
        <f>findLinError($R112,data0!L98,AC$4,AC$5,AC$6,AC$7)</f>
        <v>0</v>
      </c>
      <c r="AD112" s="4">
        <f>findLinError($R112,data0!M98,AD$4,AD$5,AD$6,AD$7)</f>
        <v>0</v>
      </c>
      <c r="AE112" s="4">
        <f>findLinError($R112,data0!N98,AE$4,AE$5,AE$6,AE$7)</f>
        <v>0</v>
      </c>
      <c r="AF112" s="4">
        <f>findLinError($R112,data0!O98,AF$4,AF$5,AF$6,AF$7)</f>
        <v>0</v>
      </c>
      <c r="AG112" s="4">
        <f>findLinError($R112,data0!P98,AG$4,AG$5,AG$6,AG$7)</f>
        <v>0</v>
      </c>
      <c r="AH112" s="4">
        <f>findLinError($R112,data0!Q98,AH$4,AH$5,AH$6,AH$7)</f>
        <v>0</v>
      </c>
      <c r="AI112" s="4">
        <f>findLinError($R112,data0!R98,AI$4,AI$5,AI$6,AI$7)</f>
        <v>0</v>
      </c>
      <c r="AJ112" s="4">
        <f>findLinError($R112,data0!S98,AJ$4,AJ$5,AJ$6,AJ$7)</f>
        <v>0</v>
      </c>
      <c r="AK112" s="4">
        <f>findLinError($R112,data0!T98,AK$4,AK$5,AK$6,AK$7)</f>
        <v>0</v>
      </c>
      <c r="AL112" s="4">
        <f>findLinError($R112,data0!U98,AL$4,AL$5,AL$6,AL$7)</f>
        <v>0</v>
      </c>
      <c r="AM112" s="4">
        <f>findLinError($R112,data0!V98,AM$4,AM$5,AM$6,AM$7)</f>
        <v>0</v>
      </c>
      <c r="AN112" s="4">
        <f>findLinError($R112,data0!W98,AN$4,AN$5,AN$6,AN$7)</f>
        <v>0</v>
      </c>
      <c r="AO112" s="4">
        <f>findLinError($R112,data0!X98,AO$4,AO$5,AO$6,AO$7)</f>
        <v>0</v>
      </c>
      <c r="AP112" s="4">
        <f>findLinError($R112,data0!Y98,AP$4,AP$5,AP$6,AP$7)</f>
        <v>0</v>
      </c>
      <c r="AQ112" s="4">
        <f>findLinError($R112,data0!Z98,AQ$4,AQ$5,AQ$6,AQ$7)</f>
        <v>0</v>
      </c>
      <c r="AR112" s="4">
        <f>findLinError($R112,data0!AA98,AR$4,AR$5,AR$6,AR$7)</f>
        <v>0</v>
      </c>
      <c r="AS112" s="4">
        <f>findLinError($R112,data0!AB98,AS$4,AS$5,AS$6,AS$7)</f>
        <v>0</v>
      </c>
      <c r="AT112" s="4">
        <f>findLinError($R112,data0!AC98,AT$4,AT$5,AT$6,AT$7)</f>
        <v>0</v>
      </c>
      <c r="AU112" s="4">
        <f>findLinError($R112,data0!AD98,AU$4,AU$5,AU$6,AU$7)</f>
        <v>0</v>
      </c>
      <c r="AV112" s="4">
        <f>findLinError($R112,data0!AE98,AV$4,AV$5,AV$6,AV$7)</f>
        <v>0</v>
      </c>
      <c r="AW112" s="4">
        <f>findLinError($R112,data0!AF98,AW$4,AW$5,AW$6,AW$7)</f>
        <v>0</v>
      </c>
      <c r="AX112" s="4">
        <f>findLinError($R112,data0!AG98,AX$4,AX$5,AX$6,AX$7)</f>
        <v>0</v>
      </c>
    </row>
    <row r="113" spans="16:50">
      <c r="P113" s="9">
        <f t="shared" si="50"/>
        <v>97</v>
      </c>
      <c r="Q113" s="9">
        <f>data4!L99</f>
        <v>1.5367925334430765E-4</v>
      </c>
      <c r="R113" s="34">
        <f t="shared" si="49"/>
        <v>195.67050256334599</v>
      </c>
      <c r="S113" s="4">
        <f>findLinError($R113,data0!B99,S$4,S$5,S$6,S$7)</f>
        <v>0</v>
      </c>
      <c r="T113" s="4"/>
      <c r="U113" s="4">
        <f>findLinError($R113,data0!D99,U$4,U$5,U$6,U$7)</f>
        <v>0</v>
      </c>
      <c r="V113" s="4"/>
      <c r="W113" s="4">
        <f>findLinError($R113,data0!F99,W$4,W$5,W$6,W$7)</f>
        <v>0</v>
      </c>
      <c r="X113" s="4"/>
      <c r="Y113" s="4"/>
      <c r="Z113" s="4">
        <f>findLinError($R113,data0!I99,Z$4,Z$5,Z$6,Z$7)</f>
        <v>0</v>
      </c>
      <c r="AA113" s="4">
        <f>findLinError($R113,data0!J99,AA$4,AA$5,AA$6,AA$7)</f>
        <v>0</v>
      </c>
      <c r="AB113" s="4">
        <f>findLinError($R113,data0!K99,AB$4,AB$5,AB$6,AB$7)</f>
        <v>0</v>
      </c>
      <c r="AC113" s="4">
        <f>findLinError($R113,data0!L99,AC$4,AC$5,AC$6,AC$7)</f>
        <v>0</v>
      </c>
      <c r="AD113" s="4">
        <f>findLinError($R113,data0!M99,AD$4,AD$5,AD$6,AD$7)</f>
        <v>0</v>
      </c>
      <c r="AE113" s="4">
        <f>findLinError($R113,data0!N99,AE$4,AE$5,AE$6,AE$7)</f>
        <v>0</v>
      </c>
      <c r="AF113" s="4">
        <f>findLinError($R113,data0!O99,AF$4,AF$5,AF$6,AF$7)</f>
        <v>0</v>
      </c>
      <c r="AG113" s="4">
        <f>findLinError($R113,data0!P99,AG$4,AG$5,AG$6,AG$7)</f>
        <v>0</v>
      </c>
      <c r="AH113" s="4">
        <f>findLinError($R113,data0!Q99,AH$4,AH$5,AH$6,AH$7)</f>
        <v>0</v>
      </c>
      <c r="AI113" s="4">
        <f>findLinError($R113,data0!R99,AI$4,AI$5,AI$6,AI$7)</f>
        <v>0</v>
      </c>
      <c r="AJ113" s="4">
        <f>findLinError($R113,data0!S99,AJ$4,AJ$5,AJ$6,AJ$7)</f>
        <v>0</v>
      </c>
      <c r="AK113" s="4">
        <f>findLinError($R113,data0!T99,AK$4,AK$5,AK$6,AK$7)</f>
        <v>0</v>
      </c>
      <c r="AL113" s="4">
        <f>findLinError($R113,data0!U99,AL$4,AL$5,AL$6,AL$7)</f>
        <v>0</v>
      </c>
      <c r="AM113" s="4">
        <f>findLinError($R113,data0!V99,AM$4,AM$5,AM$6,AM$7)</f>
        <v>0</v>
      </c>
      <c r="AN113" s="4">
        <f>findLinError($R113,data0!W99,AN$4,AN$5,AN$6,AN$7)</f>
        <v>0</v>
      </c>
      <c r="AO113" s="4">
        <f>findLinError($R113,data0!X99,AO$4,AO$5,AO$6,AO$7)</f>
        <v>0</v>
      </c>
      <c r="AP113" s="4">
        <f>findLinError($R113,data0!Y99,AP$4,AP$5,AP$6,AP$7)</f>
        <v>0</v>
      </c>
      <c r="AQ113" s="4">
        <f>findLinError($R113,data0!Z99,AQ$4,AQ$5,AQ$6,AQ$7)</f>
        <v>0</v>
      </c>
      <c r="AR113" s="4">
        <f>findLinError($R113,data0!AA99,AR$4,AR$5,AR$6,AR$7)</f>
        <v>0</v>
      </c>
      <c r="AS113" s="4">
        <f>findLinError($R113,data0!AB99,AS$4,AS$5,AS$6,AS$7)</f>
        <v>0</v>
      </c>
      <c r="AT113" s="4">
        <f>findLinError($R113,data0!AC99,AT$4,AT$5,AT$6,AT$7)</f>
        <v>0</v>
      </c>
      <c r="AU113" s="4">
        <f>findLinError($R113,data0!AD99,AU$4,AU$5,AU$6,AU$7)</f>
        <v>0</v>
      </c>
      <c r="AV113" s="4">
        <f>findLinError($R113,data0!AE99,AV$4,AV$5,AV$6,AV$7)</f>
        <v>0</v>
      </c>
      <c r="AW113" s="4">
        <f>findLinError($R113,data0!AF99,AW$4,AW$5,AW$6,AW$7)</f>
        <v>0</v>
      </c>
      <c r="AX113" s="4">
        <f>findLinError($R113,data0!AG99,AX$4,AX$5,AX$6,AX$7)</f>
        <v>0</v>
      </c>
    </row>
    <row r="114" spans="16:50">
      <c r="P114" s="9">
        <f t="shared" si="50"/>
        <v>98</v>
      </c>
      <c r="Q114" s="9">
        <f>data4!L100</f>
        <v>1.55711590196006E-4</v>
      </c>
      <c r="R114" s="34">
        <f t="shared" si="49"/>
        <v>198.25815421115092</v>
      </c>
      <c r="S114" s="4">
        <f>findLinError($R114,data0!B100,S$4,S$5,S$6,S$7)</f>
        <v>0</v>
      </c>
      <c r="T114" s="4"/>
      <c r="U114" s="4">
        <f>findLinError($R114,data0!D100,U$4,U$5,U$6,U$7)</f>
        <v>0</v>
      </c>
      <c r="V114" s="4"/>
      <c r="W114" s="4">
        <f>findLinError($R114,data0!F100,W$4,W$5,W$6,W$7)</f>
        <v>0</v>
      </c>
      <c r="X114" s="4"/>
      <c r="Y114" s="4"/>
      <c r="Z114" s="4">
        <f>findLinError($R114,data0!I100,Z$4,Z$5,Z$6,Z$7)</f>
        <v>0</v>
      </c>
      <c r="AA114" s="4">
        <f>findLinError($R114,data0!J100,AA$4,AA$5,AA$6,AA$7)</f>
        <v>0</v>
      </c>
      <c r="AB114" s="4">
        <f>findLinError($R114,data0!K100,AB$4,AB$5,AB$6,AB$7)</f>
        <v>0</v>
      </c>
      <c r="AC114" s="4">
        <f>findLinError($R114,data0!L100,AC$4,AC$5,AC$6,AC$7)</f>
        <v>0</v>
      </c>
      <c r="AD114" s="4">
        <f>findLinError($R114,data0!M100,AD$4,AD$5,AD$6,AD$7)</f>
        <v>0</v>
      </c>
      <c r="AE114" s="4">
        <f>findLinError($R114,data0!N100,AE$4,AE$5,AE$6,AE$7)</f>
        <v>0</v>
      </c>
      <c r="AF114" s="4">
        <f>findLinError($R114,data0!O100,AF$4,AF$5,AF$6,AF$7)</f>
        <v>0</v>
      </c>
      <c r="AG114" s="4">
        <f>findLinError($R114,data0!P100,AG$4,AG$5,AG$6,AG$7)</f>
        <v>0</v>
      </c>
      <c r="AH114" s="4">
        <f>findLinError($R114,data0!Q100,AH$4,AH$5,AH$6,AH$7)</f>
        <v>0</v>
      </c>
      <c r="AI114" s="4">
        <f>findLinError($R114,data0!R100,AI$4,AI$5,AI$6,AI$7)</f>
        <v>0</v>
      </c>
      <c r="AJ114" s="4">
        <f>findLinError($R114,data0!S100,AJ$4,AJ$5,AJ$6,AJ$7)</f>
        <v>0</v>
      </c>
      <c r="AK114" s="4">
        <f>findLinError($R114,data0!T100,AK$4,AK$5,AK$6,AK$7)</f>
        <v>0</v>
      </c>
      <c r="AL114" s="4">
        <f>findLinError($R114,data0!U100,AL$4,AL$5,AL$6,AL$7)</f>
        <v>0</v>
      </c>
      <c r="AM114" s="4">
        <f>findLinError($R114,data0!V100,AM$4,AM$5,AM$6,AM$7)</f>
        <v>0</v>
      </c>
      <c r="AN114" s="4">
        <f>findLinError($R114,data0!W100,AN$4,AN$5,AN$6,AN$7)</f>
        <v>0</v>
      </c>
      <c r="AO114" s="4">
        <f>findLinError($R114,data0!X100,AO$4,AO$5,AO$6,AO$7)</f>
        <v>0</v>
      </c>
      <c r="AP114" s="4">
        <f>findLinError($R114,data0!Y100,AP$4,AP$5,AP$6,AP$7)</f>
        <v>0</v>
      </c>
      <c r="AQ114" s="4">
        <f>findLinError($R114,data0!Z100,AQ$4,AQ$5,AQ$6,AQ$7)</f>
        <v>0</v>
      </c>
      <c r="AR114" s="4">
        <f>findLinError($R114,data0!AA100,AR$4,AR$5,AR$6,AR$7)</f>
        <v>0</v>
      </c>
      <c r="AS114" s="4">
        <f>findLinError($R114,data0!AB100,AS$4,AS$5,AS$6,AS$7)</f>
        <v>0</v>
      </c>
      <c r="AT114" s="4">
        <f>findLinError($R114,data0!AC100,AT$4,AT$5,AT$6,AT$7)</f>
        <v>0</v>
      </c>
      <c r="AU114" s="4">
        <f>findLinError($R114,data0!AD100,AU$4,AU$5,AU$6,AU$7)</f>
        <v>0</v>
      </c>
      <c r="AV114" s="4">
        <f>findLinError($R114,data0!AE100,AV$4,AV$5,AV$6,AV$7)</f>
        <v>0</v>
      </c>
      <c r="AW114" s="4">
        <f>findLinError($R114,data0!AF100,AW$4,AW$5,AW$6,AW$7)</f>
        <v>0</v>
      </c>
      <c r="AX114" s="4">
        <f>findLinError($R114,data0!AG100,AX$4,AX$5,AX$6,AX$7)</f>
        <v>0</v>
      </c>
    </row>
    <row r="115" spans="16:50">
      <c r="P115" s="9">
        <f t="shared" si="50"/>
        <v>99</v>
      </c>
      <c r="Q115" s="9">
        <f>data4!L101</f>
        <v>1.5782292757648975E-4</v>
      </c>
      <c r="R115" s="34">
        <f t="shared" si="49"/>
        <v>200.94639245626036</v>
      </c>
      <c r="S115" s="4">
        <f>findLinError($R115,data0!B101,S$4,S$5,S$6,S$7)</f>
        <v>0</v>
      </c>
      <c r="T115" s="4"/>
      <c r="U115" s="4">
        <f>findLinError($R115,data0!D101,U$4,U$5,U$6,U$7)</f>
        <v>0</v>
      </c>
      <c r="V115" s="4"/>
      <c r="W115" s="4">
        <f>findLinError($R115,data0!F101,W$4,W$5,W$6,W$7)</f>
        <v>0</v>
      </c>
      <c r="X115" s="4"/>
      <c r="Y115" s="4"/>
      <c r="Z115" s="4">
        <f>findLinError($R115,data0!I101,Z$4,Z$5,Z$6,Z$7)</f>
        <v>0</v>
      </c>
      <c r="AA115" s="4">
        <f>findLinError($R115,data0!J101,AA$4,AA$5,AA$6,AA$7)</f>
        <v>0</v>
      </c>
      <c r="AB115" s="4">
        <f>findLinError($R115,data0!K101,AB$4,AB$5,AB$6,AB$7)</f>
        <v>0</v>
      </c>
      <c r="AC115" s="4">
        <f>findLinError($R115,data0!L101,AC$4,AC$5,AC$6,AC$7)</f>
        <v>0</v>
      </c>
      <c r="AD115" s="4">
        <f>findLinError($R115,data0!M101,AD$4,AD$5,AD$6,AD$7)</f>
        <v>0</v>
      </c>
      <c r="AE115" s="4">
        <f>findLinError($R115,data0!N101,AE$4,AE$5,AE$6,AE$7)</f>
        <v>0</v>
      </c>
      <c r="AF115" s="4">
        <f>findLinError($R115,data0!O101,AF$4,AF$5,AF$6,AF$7)</f>
        <v>0</v>
      </c>
      <c r="AG115" s="4">
        <f>findLinError($R115,data0!P101,AG$4,AG$5,AG$6,AG$7)</f>
        <v>0</v>
      </c>
      <c r="AH115" s="4">
        <f>findLinError($R115,data0!Q101,AH$4,AH$5,AH$6,AH$7)</f>
        <v>0</v>
      </c>
      <c r="AI115" s="4">
        <f>findLinError($R115,data0!R101,AI$4,AI$5,AI$6,AI$7)</f>
        <v>0</v>
      </c>
      <c r="AJ115" s="4">
        <f>findLinError($R115,data0!S101,AJ$4,AJ$5,AJ$6,AJ$7)</f>
        <v>0</v>
      </c>
      <c r="AK115" s="4">
        <f>findLinError($R115,data0!T101,AK$4,AK$5,AK$6,AK$7)</f>
        <v>0</v>
      </c>
      <c r="AL115" s="4">
        <f>findLinError($R115,data0!U101,AL$4,AL$5,AL$6,AL$7)</f>
        <v>0</v>
      </c>
      <c r="AM115" s="4">
        <f>findLinError($R115,data0!V101,AM$4,AM$5,AM$6,AM$7)</f>
        <v>0</v>
      </c>
      <c r="AN115" s="4">
        <f>findLinError($R115,data0!W101,AN$4,AN$5,AN$6,AN$7)</f>
        <v>0</v>
      </c>
      <c r="AO115" s="4">
        <f>findLinError($R115,data0!X101,AO$4,AO$5,AO$6,AO$7)</f>
        <v>0</v>
      </c>
      <c r="AP115" s="4">
        <f>findLinError($R115,data0!Y101,AP$4,AP$5,AP$6,AP$7)</f>
        <v>0</v>
      </c>
      <c r="AQ115" s="4">
        <f>findLinError($R115,data0!Z101,AQ$4,AQ$5,AQ$6,AQ$7)</f>
        <v>0</v>
      </c>
      <c r="AR115" s="4">
        <f>findLinError($R115,data0!AA101,AR$4,AR$5,AR$6,AR$7)</f>
        <v>0</v>
      </c>
      <c r="AS115" s="4">
        <f>findLinError($R115,data0!AB101,AS$4,AS$5,AS$6,AS$7)</f>
        <v>0</v>
      </c>
      <c r="AT115" s="4">
        <f>findLinError($R115,data0!AC101,AT$4,AT$5,AT$6,AT$7)</f>
        <v>0</v>
      </c>
      <c r="AU115" s="4">
        <f>findLinError($R115,data0!AD101,AU$4,AU$5,AU$6,AU$7)</f>
        <v>0</v>
      </c>
      <c r="AV115" s="4">
        <f>findLinError($R115,data0!AE101,AV$4,AV$5,AV$6,AV$7)</f>
        <v>0</v>
      </c>
      <c r="AW115" s="4">
        <f>findLinError($R115,data0!AF101,AW$4,AW$5,AW$6,AW$7)</f>
        <v>0</v>
      </c>
      <c r="AX115" s="4">
        <f>findLinError($R115,data0!AG101,AX$4,AX$5,AX$6,AX$7)</f>
        <v>0</v>
      </c>
    </row>
    <row r="116" spans="16:50">
      <c r="P116" s="9">
        <f t="shared" si="50"/>
        <v>100</v>
      </c>
      <c r="Q116" s="9">
        <f>data4!L102</f>
        <v>1.5788165364938322E-4</v>
      </c>
      <c r="R116" s="34">
        <f t="shared" si="49"/>
        <v>201.02116481457534</v>
      </c>
      <c r="S116" s="4">
        <f>findLinError($R116,data0!B102,S$4,S$5,S$6,S$7)</f>
        <v>0</v>
      </c>
      <c r="T116" s="4"/>
      <c r="U116" s="4">
        <f>findLinError($R116,data0!D102,U$4,U$5,U$6,U$7)</f>
        <v>0</v>
      </c>
      <c r="V116" s="4"/>
      <c r="W116" s="4">
        <f>findLinError($R116,data0!F102,W$4,W$5,W$6,W$7)</f>
        <v>0</v>
      </c>
      <c r="X116" s="4"/>
      <c r="Y116" s="4"/>
      <c r="Z116" s="4">
        <f>findLinError($R116,data0!I102,Z$4,Z$5,Z$6,Z$7)</f>
        <v>0</v>
      </c>
      <c r="AA116" s="4">
        <f>findLinError($R116,data0!J102,AA$4,AA$5,AA$6,AA$7)</f>
        <v>0</v>
      </c>
      <c r="AB116" s="4">
        <f>findLinError($R116,data0!K102,AB$4,AB$5,AB$6,AB$7)</f>
        <v>0</v>
      </c>
      <c r="AC116" s="4">
        <f>findLinError($R116,data0!L102,AC$4,AC$5,AC$6,AC$7)</f>
        <v>0</v>
      </c>
      <c r="AD116" s="4">
        <f>findLinError($R116,data0!M102,AD$4,AD$5,AD$6,AD$7)</f>
        <v>0</v>
      </c>
      <c r="AE116" s="4">
        <f>findLinError($R116,data0!N102,AE$4,AE$5,AE$6,AE$7)</f>
        <v>0</v>
      </c>
      <c r="AF116" s="4">
        <f>findLinError($R116,data0!O102,AF$4,AF$5,AF$6,AF$7)</f>
        <v>0</v>
      </c>
      <c r="AG116" s="4">
        <f>findLinError($R116,data0!P102,AG$4,AG$5,AG$6,AG$7)</f>
        <v>0</v>
      </c>
      <c r="AH116" s="4">
        <f>findLinError($R116,data0!Q102,AH$4,AH$5,AH$6,AH$7)</f>
        <v>0</v>
      </c>
      <c r="AI116" s="4">
        <f>findLinError($R116,data0!R102,AI$4,AI$5,AI$6,AI$7)</f>
        <v>0</v>
      </c>
      <c r="AJ116" s="4">
        <f>findLinError($R116,data0!S102,AJ$4,AJ$5,AJ$6,AJ$7)</f>
        <v>0</v>
      </c>
      <c r="AK116" s="4">
        <f>findLinError($R116,data0!T102,AK$4,AK$5,AK$6,AK$7)</f>
        <v>0</v>
      </c>
      <c r="AL116" s="4">
        <f>findLinError($R116,data0!U102,AL$4,AL$5,AL$6,AL$7)</f>
        <v>0</v>
      </c>
      <c r="AM116" s="4">
        <f>findLinError($R116,data0!V102,AM$4,AM$5,AM$6,AM$7)</f>
        <v>0</v>
      </c>
      <c r="AN116" s="4">
        <f>findLinError($R116,data0!W102,AN$4,AN$5,AN$6,AN$7)</f>
        <v>0</v>
      </c>
      <c r="AO116" s="4">
        <f>findLinError($R116,data0!X102,AO$4,AO$5,AO$6,AO$7)</f>
        <v>0</v>
      </c>
      <c r="AP116" s="4">
        <f>findLinError($R116,data0!Y102,AP$4,AP$5,AP$6,AP$7)</f>
        <v>0</v>
      </c>
      <c r="AQ116" s="4">
        <f>findLinError($R116,data0!Z102,AQ$4,AQ$5,AQ$6,AQ$7)</f>
        <v>0</v>
      </c>
      <c r="AR116" s="4">
        <f>findLinError($R116,data0!AA102,AR$4,AR$5,AR$6,AR$7)</f>
        <v>0</v>
      </c>
      <c r="AS116" s="4">
        <f>findLinError($R116,data0!AB102,AS$4,AS$5,AS$6,AS$7)</f>
        <v>0</v>
      </c>
      <c r="AT116" s="4">
        <f>findLinError($R116,data0!AC102,AT$4,AT$5,AT$6,AT$7)</f>
        <v>0</v>
      </c>
      <c r="AU116" s="4">
        <f>findLinError($R116,data0!AD102,AU$4,AU$5,AU$6,AU$7)</f>
        <v>0</v>
      </c>
      <c r="AV116" s="4">
        <f>findLinError($R116,data0!AE102,AV$4,AV$5,AV$6,AV$7)</f>
        <v>0</v>
      </c>
      <c r="AW116" s="4">
        <f>findLinError($R116,data0!AF102,AW$4,AW$5,AW$6,AW$7)</f>
        <v>0</v>
      </c>
      <c r="AX116" s="4">
        <f>findLinError($R116,data0!AG102,AX$4,AX$5,AX$6,AX$7)</f>
        <v>0</v>
      </c>
    </row>
    <row r="117" spans="16:50">
      <c r="Q117" s="9"/>
      <c r="R117" s="34"/>
    </row>
    <row r="118" spans="16:50">
      <c r="Q118" s="9"/>
      <c r="R118" s="34"/>
    </row>
    <row r="119" spans="16:50">
      <c r="Q119" s="9"/>
      <c r="R119" s="34"/>
    </row>
    <row r="120" spans="16:50">
      <c r="Q120" s="9"/>
      <c r="R120" s="34"/>
    </row>
    <row r="121" spans="16:50">
      <c r="Q121" s="9"/>
      <c r="R121" s="34"/>
    </row>
    <row r="122" spans="16:50">
      <c r="Q122" s="9"/>
      <c r="R122" s="34"/>
    </row>
    <row r="123" spans="16:50">
      <c r="Q123" s="9"/>
      <c r="R123" s="34"/>
    </row>
    <row r="124" spans="16:50">
      <c r="Q124" s="9"/>
      <c r="R124" s="34"/>
    </row>
    <row r="125" spans="16:50">
      <c r="Q125" s="9"/>
      <c r="R125" s="34"/>
    </row>
    <row r="126" spans="16:50">
      <c r="Q126" s="9"/>
      <c r="R126" s="34"/>
    </row>
    <row r="127" spans="16:50">
      <c r="Q127" s="9"/>
      <c r="R127" s="34"/>
    </row>
    <row r="128" spans="16:50">
      <c r="Q128" s="9"/>
      <c r="R128" s="34"/>
    </row>
    <row r="129" spans="17:18">
      <c r="Q129" s="9"/>
      <c r="R129" s="34"/>
    </row>
    <row r="130" spans="17:18">
      <c r="Q130" s="9"/>
      <c r="R130" s="34"/>
    </row>
    <row r="131" spans="17:18">
      <c r="Q131" s="9"/>
      <c r="R131" s="34"/>
    </row>
    <row r="132" spans="17:18">
      <c r="Q132" s="9"/>
      <c r="R132" s="34"/>
    </row>
    <row r="133" spans="17:18">
      <c r="Q133" s="9"/>
      <c r="R133" s="34"/>
    </row>
    <row r="134" spans="17:18">
      <c r="Q134" s="9"/>
      <c r="R134" s="34"/>
    </row>
    <row r="135" spans="17:18">
      <c r="Q135" s="9"/>
      <c r="R135" s="34"/>
    </row>
    <row r="136" spans="17:18">
      <c r="Q136" s="9"/>
      <c r="R136" s="34"/>
    </row>
    <row r="137" spans="17:18">
      <c r="Q137" s="9"/>
      <c r="R137" s="34"/>
    </row>
    <row r="138" spans="17:18">
      <c r="Q138" s="9"/>
      <c r="R138" s="34"/>
    </row>
    <row r="139" spans="17:18">
      <c r="Q139" s="9"/>
      <c r="R139" s="34"/>
    </row>
    <row r="140" spans="17:18">
      <c r="Q140" s="9"/>
      <c r="R140" s="34"/>
    </row>
    <row r="141" spans="17:18">
      <c r="Q141" s="9"/>
      <c r="R141" s="34"/>
    </row>
    <row r="142" spans="17:18">
      <c r="Q142" s="9"/>
      <c r="R142" s="34"/>
    </row>
    <row r="143" spans="17:18">
      <c r="Q143" s="9"/>
      <c r="R143" s="34"/>
    </row>
    <row r="144" spans="17:18">
      <c r="Q144" s="9"/>
      <c r="R144" s="34"/>
    </row>
    <row r="145" spans="17:18">
      <c r="Q145" s="9"/>
      <c r="R145" s="34"/>
    </row>
    <row r="146" spans="17:18">
      <c r="Q146" s="9"/>
      <c r="R146" s="34"/>
    </row>
    <row r="147" spans="17:18">
      <c r="Q147" s="9"/>
      <c r="R147" s="34"/>
    </row>
    <row r="148" spans="17:18">
      <c r="Q148" s="9"/>
      <c r="R148" s="34"/>
    </row>
    <row r="149" spans="17:18">
      <c r="Q149" s="9"/>
      <c r="R149" s="34"/>
    </row>
    <row r="150" spans="17:18">
      <c r="Q150" s="9"/>
      <c r="R150" s="34"/>
    </row>
    <row r="151" spans="17:18">
      <c r="Q151" s="9"/>
      <c r="R151" s="34"/>
    </row>
    <row r="152" spans="17:18">
      <c r="Q152" s="9"/>
      <c r="R152" s="34"/>
    </row>
    <row r="153" spans="17:18">
      <c r="Q153" s="9"/>
      <c r="R153" s="34"/>
    </row>
    <row r="154" spans="17:18">
      <c r="Q154" s="9"/>
      <c r="R154" s="34"/>
    </row>
    <row r="155" spans="17:18">
      <c r="Q155" s="9"/>
      <c r="R155" s="34"/>
    </row>
    <row r="156" spans="17:18">
      <c r="Q156" s="9"/>
      <c r="R156" s="34"/>
    </row>
    <row r="157" spans="17:18">
      <c r="Q157" s="9"/>
      <c r="R157" s="34"/>
    </row>
    <row r="158" spans="17:18">
      <c r="Q158" s="9"/>
      <c r="R158" s="34"/>
    </row>
    <row r="159" spans="17:18">
      <c r="Q159" s="9"/>
      <c r="R159" s="34"/>
    </row>
    <row r="160" spans="17:18">
      <c r="Q160" s="9"/>
      <c r="R160" s="34"/>
    </row>
    <row r="161" spans="17:18">
      <c r="Q161" s="9"/>
      <c r="R161" s="34"/>
    </row>
    <row r="162" spans="17:18">
      <c r="Q162" s="9"/>
      <c r="R162" s="34"/>
    </row>
    <row r="163" spans="17:18">
      <c r="Q163" s="9"/>
      <c r="R163" s="34"/>
    </row>
    <row r="164" spans="17:18">
      <c r="Q164" s="9"/>
      <c r="R164" s="34"/>
    </row>
    <row r="165" spans="17:18">
      <c r="Q165" s="9"/>
      <c r="R165" s="34"/>
    </row>
    <row r="166" spans="17:18">
      <c r="Q166" s="9"/>
      <c r="R166" s="34"/>
    </row>
    <row r="167" spans="17:18">
      <c r="Q167" s="9"/>
      <c r="R167" s="34"/>
    </row>
    <row r="168" spans="17:18">
      <c r="Q168" s="9"/>
      <c r="R168" s="34"/>
    </row>
    <row r="169" spans="17:18">
      <c r="Q169" s="9"/>
      <c r="R169" s="34"/>
    </row>
    <row r="170" spans="17:18">
      <c r="Q170" s="9"/>
      <c r="R170" s="34"/>
    </row>
    <row r="171" spans="17:18">
      <c r="Q171" s="9"/>
      <c r="R171" s="34"/>
    </row>
    <row r="172" spans="17:18">
      <c r="Q172" s="9"/>
      <c r="R172" s="34"/>
    </row>
    <row r="173" spans="17:18">
      <c r="Q173" s="9"/>
      <c r="R173" s="34"/>
    </row>
    <row r="174" spans="17:18">
      <c r="Q174" s="9"/>
      <c r="R174" s="34"/>
    </row>
    <row r="175" spans="17:18">
      <c r="Q175" s="9"/>
      <c r="R175" s="34"/>
    </row>
    <row r="176" spans="17:18">
      <c r="Q176" s="9"/>
      <c r="R176" s="34"/>
    </row>
    <row r="177" spans="17:18">
      <c r="Q177" s="9"/>
      <c r="R177" s="34"/>
    </row>
    <row r="178" spans="17:18">
      <c r="Q178" s="9"/>
      <c r="R178" s="34"/>
    </row>
    <row r="179" spans="17:18">
      <c r="Q179" s="9"/>
      <c r="R179" s="34"/>
    </row>
    <row r="180" spans="17:18">
      <c r="Q180" s="9"/>
      <c r="R180" s="34"/>
    </row>
    <row r="181" spans="17:18">
      <c r="Q181" s="9"/>
      <c r="R181" s="34"/>
    </row>
  </sheetData>
  <mergeCells count="9">
    <mergeCell ref="B26:C26"/>
    <mergeCell ref="A1:B1"/>
    <mergeCell ref="A2:B2"/>
    <mergeCell ref="Q11:R11"/>
    <mergeCell ref="Q12:R12"/>
    <mergeCell ref="Q13:R13"/>
    <mergeCell ref="A5:B5"/>
    <mergeCell ref="A6:B6"/>
    <mergeCell ref="A7:B7"/>
  </mergeCells>
  <conditionalFormatting sqref="S11:AX11">
    <cfRule type="top10" dxfId="5" priority="5" percent="1" bottom="1" rank="10"/>
    <cfRule type="top10" dxfId="4" priority="6" percent="1" rank="10"/>
  </conditionalFormatting>
  <conditionalFormatting sqref="S12:AX12">
    <cfRule type="top10" dxfId="3" priority="3" percent="1" bottom="1" rank="10"/>
    <cfRule type="top10" dxfId="2" priority="4" percent="1" rank="10"/>
  </conditionalFormatting>
  <conditionalFormatting sqref="S13:AX13">
    <cfRule type="top10" dxfId="1" priority="1" percent="1" bottom="1" rank="10"/>
    <cfRule type="top10" dxfId="0" priority="2" percent="1" rank="10"/>
  </conditionalFormatting>
  <pageMargins left="0.7" right="0.7" top="0.75" bottom="0.75" header="0.3" footer="0.3"/>
  <pageSetup orientation="portrait" r:id="rId1"/>
  <ignoredErrors>
    <ignoredError sqref="C2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102"/>
  <sheetViews>
    <sheetView topLeftCell="A26" zoomScale="70" zoomScaleNormal="70" workbookViewId="0">
      <pane ySplit="10050" topLeftCell="A54"/>
      <selection activeCell="L41" sqref="L41"/>
      <selection pane="bottomLeft" activeCell="Z54" sqref="Z54:Z55"/>
    </sheetView>
  </sheetViews>
  <sheetFormatPr defaultRowHeight="15"/>
  <cols>
    <col min="1" max="1" width="12.5703125" bestFit="1" customWidth="1"/>
    <col min="2" max="33" width="6.5703125" customWidth="1"/>
    <col min="34" max="34" width="4.42578125" style="9" customWidth="1"/>
  </cols>
  <sheetData>
    <row r="1" spans="1:38">
      <c r="A1" s="9" t="s">
        <v>37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I1" s="44" t="s">
        <v>35</v>
      </c>
      <c r="AJ1" s="8" t="s">
        <v>7</v>
      </c>
      <c r="AK1" s="44" t="s">
        <v>36</v>
      </c>
      <c r="AL1" s="8" t="s">
        <v>6</v>
      </c>
    </row>
    <row r="2" spans="1:38">
      <c r="A2" s="34">
        <f>data4!L2</f>
        <v>8.5229872048842026E-8</v>
      </c>
      <c r="B2" s="4">
        <v>0</v>
      </c>
      <c r="C2" s="4"/>
      <c r="D2" s="4">
        <v>3.9215688593685627E-3</v>
      </c>
      <c r="E2" s="4"/>
      <c r="F2" s="4">
        <v>1.1764706112444401E-2</v>
      </c>
      <c r="G2" s="4"/>
      <c r="H2" s="4"/>
      <c r="I2" s="4">
        <v>3.9215688593685627E-3</v>
      </c>
      <c r="J2" s="4">
        <f>data1!B2</f>
        <v>0</v>
      </c>
      <c r="K2" s="4">
        <f>data1!C2</f>
        <v>0</v>
      </c>
      <c r="L2" s="4">
        <f>data1!D2</f>
        <v>3.9215688593685627E-3</v>
      </c>
      <c r="M2" s="4">
        <f>data1!E2</f>
        <v>3.9215688593685627E-3</v>
      </c>
      <c r="N2" s="4">
        <f>data1!F2</f>
        <v>3.9215688593685627E-3</v>
      </c>
      <c r="O2" s="4">
        <f>data1!G2</f>
        <v>0</v>
      </c>
      <c r="P2" s="4">
        <f>data1!H2</f>
        <v>3.9215688593685627E-3</v>
      </c>
      <c r="Q2" s="4">
        <f>data1!I2</f>
        <v>0</v>
      </c>
      <c r="R2" s="4">
        <f>data1!Z2</f>
        <v>0</v>
      </c>
      <c r="S2" s="4">
        <f>data1!AA2</f>
        <v>0</v>
      </c>
      <c r="T2" s="4">
        <f>data1!AB2</f>
        <v>0</v>
      </c>
      <c r="U2" s="4">
        <f>data1!AC2</f>
        <v>0</v>
      </c>
      <c r="V2" s="4">
        <f>data1!AD2</f>
        <v>3.9215688593685627E-3</v>
      </c>
      <c r="W2" s="4">
        <f>data1!AE2</f>
        <v>0</v>
      </c>
      <c r="X2" s="4">
        <f>data1!AF2</f>
        <v>0</v>
      </c>
      <c r="Y2" s="4">
        <f>data1!AG2</f>
        <v>0</v>
      </c>
      <c r="Z2" s="4">
        <v>7.8431377187371254E-3</v>
      </c>
      <c r="AA2" s="4">
        <v>7.8431377187371254E-3</v>
      </c>
      <c r="AB2" s="4">
        <v>3.9215688593685627E-3</v>
      </c>
      <c r="AC2" s="4">
        <v>0</v>
      </c>
      <c r="AD2" s="4">
        <v>3.9215688593685627E-3</v>
      </c>
      <c r="AE2" s="4">
        <v>3.9215688593685627E-3</v>
      </c>
      <c r="AF2" s="4">
        <v>3.9215688593685627E-3</v>
      </c>
      <c r="AG2" s="4">
        <v>3.9215688593685627E-3</v>
      </c>
      <c r="AH2" s="46">
        <v>0</v>
      </c>
      <c r="AI2">
        <f>STDEV(B2:AH2)</f>
        <v>3.0151050077410414E-3</v>
      </c>
      <c r="AJ2">
        <f>AK2-1.5*AI2</f>
        <v>-1.8615929450993694E-3</v>
      </c>
      <c r="AK2" s="4">
        <f>AVERAGE(B2:AG2)</f>
        <v>2.6610645665121929E-3</v>
      </c>
      <c r="AL2">
        <f>AK2+1.5*AI2</f>
        <v>7.1837220781237558E-3</v>
      </c>
    </row>
    <row r="3" spans="1:38">
      <c r="A3" s="34">
        <f>data4!L3</f>
        <v>1.6399643598674629E-7</v>
      </c>
      <c r="B3" s="4">
        <v>0</v>
      </c>
      <c r="C3" s="4"/>
      <c r="D3" s="4">
        <v>3.9215688593685627E-3</v>
      </c>
      <c r="E3" s="4"/>
      <c r="F3" s="4">
        <v>1.1764706112444401E-2</v>
      </c>
      <c r="G3" s="4"/>
      <c r="H3" s="4"/>
      <c r="I3" s="4">
        <v>3.9215688593685627E-3</v>
      </c>
      <c r="J3" s="4">
        <f>data1!B3</f>
        <v>0</v>
      </c>
      <c r="K3" s="4">
        <f>data1!C3</f>
        <v>0</v>
      </c>
      <c r="L3" s="4">
        <f>data1!D3</f>
        <v>3.9215688593685627E-3</v>
      </c>
      <c r="M3" s="4">
        <f>data1!E3</f>
        <v>3.9215688593685627E-3</v>
      </c>
      <c r="N3" s="4">
        <f>data1!F3</f>
        <v>3.9215688593685627E-3</v>
      </c>
      <c r="O3" s="4">
        <f>data1!G3</f>
        <v>0</v>
      </c>
      <c r="P3" s="4">
        <f>data1!H3</f>
        <v>3.9215688593685627E-3</v>
      </c>
      <c r="Q3" s="4">
        <f>data1!I3</f>
        <v>0</v>
      </c>
      <c r="R3" s="4">
        <f>data1!Z3</f>
        <v>0</v>
      </c>
      <c r="S3" s="4">
        <f>data1!AA3</f>
        <v>0</v>
      </c>
      <c r="T3" s="4">
        <f>data1!AB3</f>
        <v>0</v>
      </c>
      <c r="U3" s="4">
        <f>data1!AC3</f>
        <v>0</v>
      </c>
      <c r="V3" s="4">
        <f>data1!AD3</f>
        <v>3.9215688593685627E-3</v>
      </c>
      <c r="W3" s="4">
        <f>data1!AE3</f>
        <v>0</v>
      </c>
      <c r="X3" s="4">
        <f>data1!AF3</f>
        <v>0</v>
      </c>
      <c r="Y3" s="4">
        <f>data1!AG3</f>
        <v>0</v>
      </c>
      <c r="Z3" s="4">
        <v>7.8431377187371254E-3</v>
      </c>
      <c r="AA3" s="4">
        <v>7.8431377187371254E-3</v>
      </c>
      <c r="AB3" s="4">
        <v>3.9215688593685627E-3</v>
      </c>
      <c r="AC3" s="4">
        <v>0</v>
      </c>
      <c r="AD3" s="4">
        <v>3.9215688593685627E-3</v>
      </c>
      <c r="AE3" s="4">
        <v>3.9215688593685627E-3</v>
      </c>
      <c r="AF3" s="4">
        <v>3.9215688593685627E-3</v>
      </c>
      <c r="AG3" s="4">
        <v>3.9215688593685627E-3</v>
      </c>
      <c r="AH3" s="46">
        <f>AH2+1</f>
        <v>1</v>
      </c>
      <c r="AI3" s="9">
        <f t="shared" ref="AI3:AI66" si="1">STDEV(B3:AG3)</f>
        <v>3.0289158721028258E-3</v>
      </c>
      <c r="AJ3" s="9">
        <f t="shared" ref="AJ3:AJ66" si="2">AK3-1.5*AI3</f>
        <v>-1.8823092416420458E-3</v>
      </c>
      <c r="AK3" s="4">
        <f t="shared" ref="AK3:AK66" si="3">AVERAGE(B3:AG3)</f>
        <v>2.6610645665121929E-3</v>
      </c>
      <c r="AL3" s="9">
        <f t="shared" ref="AL3:AL66" si="4">AK3+1.5*AI3</f>
        <v>7.2044383746664321E-3</v>
      </c>
    </row>
    <row r="4" spans="1:38">
      <c r="A4" s="34">
        <f>data4!L4</f>
        <v>2.9395392431297296E-7</v>
      </c>
      <c r="B4" s="4">
        <v>0</v>
      </c>
      <c r="C4" s="4"/>
      <c r="D4" s="4">
        <v>3.9215688593685627E-3</v>
      </c>
      <c r="E4" s="4"/>
      <c r="F4" s="4">
        <v>1.1764706112444401E-2</v>
      </c>
      <c r="G4" s="4"/>
      <c r="H4" s="4"/>
      <c r="I4" s="4">
        <v>3.9215688593685627E-3</v>
      </c>
      <c r="J4" s="4">
        <f>data1!B4</f>
        <v>0</v>
      </c>
      <c r="K4" s="4">
        <f>data1!C4</f>
        <v>0</v>
      </c>
      <c r="L4" s="4">
        <f>data1!D4</f>
        <v>0</v>
      </c>
      <c r="M4" s="4">
        <f>data1!E4</f>
        <v>3.9215688593685627E-3</v>
      </c>
      <c r="N4" s="4">
        <f>data1!F4</f>
        <v>3.9215688593685627E-3</v>
      </c>
      <c r="O4" s="4">
        <f>data1!G4</f>
        <v>3.9215688593685627E-3</v>
      </c>
      <c r="P4" s="4">
        <f>data1!H4</f>
        <v>3.9215688593685627E-3</v>
      </c>
      <c r="Q4" s="4">
        <f>data1!I4</f>
        <v>0</v>
      </c>
      <c r="R4" s="4">
        <f>data1!Z4</f>
        <v>3.9215688593685627E-3</v>
      </c>
      <c r="S4" s="4">
        <f>data1!AA4</f>
        <v>3.9215688593685627E-3</v>
      </c>
      <c r="T4" s="4">
        <f>data1!AB4</f>
        <v>0</v>
      </c>
      <c r="U4" s="4">
        <f>data1!AC4</f>
        <v>0</v>
      </c>
      <c r="V4" s="4">
        <f>data1!AD4</f>
        <v>3.9215688593685627E-3</v>
      </c>
      <c r="W4" s="4">
        <f>data1!AE4</f>
        <v>3.9215688593685627E-3</v>
      </c>
      <c r="X4" s="4">
        <f>data1!AF4</f>
        <v>0</v>
      </c>
      <c r="Y4" s="4">
        <f>data1!AG4</f>
        <v>3.9215688593685627E-3</v>
      </c>
      <c r="Z4" s="4">
        <v>7.8431377187371254E-3</v>
      </c>
      <c r="AA4" s="4">
        <v>7.8431377187371254E-3</v>
      </c>
      <c r="AB4" s="4">
        <v>3.9215688593685627E-3</v>
      </c>
      <c r="AC4" s="4">
        <v>0</v>
      </c>
      <c r="AD4" s="4">
        <v>3.9215688593685627E-3</v>
      </c>
      <c r="AE4" s="4">
        <v>3.9215688593685627E-3</v>
      </c>
      <c r="AF4" s="4">
        <v>3.9215688593685627E-3</v>
      </c>
      <c r="AG4" s="4">
        <v>3.9215688593685627E-3</v>
      </c>
      <c r="AH4" s="46">
        <f t="shared" ref="AH4:AH67" si="5">AH3+1</f>
        <v>2</v>
      </c>
      <c r="AI4" s="9">
        <f t="shared" si="1"/>
        <v>2.8346372333822229E-3</v>
      </c>
      <c r="AJ4" s="9">
        <f t="shared" si="2"/>
        <v>-1.0306671607942042E-3</v>
      </c>
      <c r="AK4" s="4">
        <f t="shared" si="3"/>
        <v>3.2212886892791304E-3</v>
      </c>
      <c r="AL4" s="9">
        <f t="shared" si="4"/>
        <v>7.473244539352465E-3</v>
      </c>
    </row>
    <row r="5" spans="1:38">
      <c r="A5" s="34">
        <f>data4!L5</f>
        <v>4.9792170386808721E-7</v>
      </c>
      <c r="B5" s="4">
        <v>3.9215688593685627E-3</v>
      </c>
      <c r="C5" s="4"/>
      <c r="D5" s="4">
        <v>7.8431377187371254E-3</v>
      </c>
      <c r="E5" s="4"/>
      <c r="F5" s="4">
        <v>3.9215688593685627E-3</v>
      </c>
      <c r="G5" s="4"/>
      <c r="H5" s="4"/>
      <c r="I5" s="4">
        <v>3.9215688593685627E-3</v>
      </c>
      <c r="J5" s="4">
        <f>data1!B5</f>
        <v>3.9215688593685627E-3</v>
      </c>
      <c r="K5" s="4">
        <f>data1!C5</f>
        <v>0</v>
      </c>
      <c r="L5" s="4">
        <f>data1!D5</f>
        <v>7.8431377187371254E-3</v>
      </c>
      <c r="M5" s="4">
        <f>data1!E5</f>
        <v>3.9215688593685627E-3</v>
      </c>
      <c r="N5" s="4">
        <f>data1!F5</f>
        <v>7.8431377187371254E-3</v>
      </c>
      <c r="O5" s="4">
        <f>data1!G5</f>
        <v>3.9215688593685627E-3</v>
      </c>
      <c r="P5" s="4">
        <f>data1!H5</f>
        <v>3.9215688593685627E-3</v>
      </c>
      <c r="Q5" s="4">
        <f>data1!I5</f>
        <v>3.9215688593685627E-3</v>
      </c>
      <c r="R5" s="4">
        <f>data1!Z5</f>
        <v>3.9215688593685627E-3</v>
      </c>
      <c r="S5" s="4">
        <f>data1!AA5</f>
        <v>7.8431377187371254E-3</v>
      </c>
      <c r="T5" s="4">
        <f>data1!AB5</f>
        <v>0</v>
      </c>
      <c r="U5" s="4">
        <f>data1!AC5</f>
        <v>0</v>
      </c>
      <c r="V5" s="4">
        <f>data1!AD5</f>
        <v>3.9215688593685627E-3</v>
      </c>
      <c r="W5" s="4">
        <f>data1!AE5</f>
        <v>3.9215688593685627E-3</v>
      </c>
      <c r="X5" s="4">
        <f>data1!AF5</f>
        <v>0</v>
      </c>
      <c r="Y5" s="4">
        <f>data1!AG5</f>
        <v>3.9215688593685627E-3</v>
      </c>
      <c r="Z5" s="4">
        <v>1.1764706112444401E-2</v>
      </c>
      <c r="AA5" s="4">
        <v>1.1764706112444401E-2</v>
      </c>
      <c r="AB5" s="4">
        <v>3.9215688593685627E-3</v>
      </c>
      <c r="AC5" s="4">
        <v>3.9215688593685627E-3</v>
      </c>
      <c r="AD5" s="4">
        <v>1.1764706112444401E-2</v>
      </c>
      <c r="AE5" s="4">
        <v>7.8431377187371254E-3</v>
      </c>
      <c r="AF5" s="4">
        <v>3.9215688593685627E-3</v>
      </c>
      <c r="AG5" s="4">
        <v>3.9215688593685627E-3</v>
      </c>
      <c r="AH5" s="46">
        <f t="shared" si="5"/>
        <v>3</v>
      </c>
      <c r="AI5" s="9">
        <f t="shared" si="1"/>
        <v>3.3112602527672554E-3</v>
      </c>
      <c r="AJ5" s="9">
        <f t="shared" si="2"/>
        <v>-6.4929354832460318E-5</v>
      </c>
      <c r="AK5" s="4">
        <f t="shared" si="3"/>
        <v>4.901961024318423E-3</v>
      </c>
      <c r="AL5" s="9">
        <f t="shared" si="4"/>
        <v>9.8688514034693062E-3</v>
      </c>
    </row>
    <row r="6" spans="1:38">
      <c r="A6" s="34">
        <f>data4!L6</f>
        <v>7.6581098795713842E-7</v>
      </c>
      <c r="B6" s="4">
        <v>1.1764706112444401E-2</v>
      </c>
      <c r="C6" s="4"/>
      <c r="D6" s="4">
        <v>1.1764706112444401E-2</v>
      </c>
      <c r="E6" s="4"/>
      <c r="F6" s="4">
        <v>1.5686275437474251E-2</v>
      </c>
      <c r="G6" s="4"/>
      <c r="H6" s="4"/>
      <c r="I6" s="4">
        <v>1.1764706112444401E-2</v>
      </c>
      <c r="J6" s="4">
        <f>data1!B6</f>
        <v>3.9215688593685627E-3</v>
      </c>
      <c r="K6" s="4">
        <f>data1!C6</f>
        <v>3.9215688593685627E-3</v>
      </c>
      <c r="L6" s="4">
        <f>data1!D6</f>
        <v>7.8431377187371254E-3</v>
      </c>
      <c r="M6" s="4">
        <f>data1!E6</f>
        <v>1.1764706112444401E-2</v>
      </c>
      <c r="N6" s="4">
        <f>data1!F6</f>
        <v>1.1764706112444401E-2</v>
      </c>
      <c r="O6" s="4">
        <f>data1!G6</f>
        <v>7.8431377187371254E-3</v>
      </c>
      <c r="P6" s="4">
        <f>data1!H6</f>
        <v>3.9215688593685627E-3</v>
      </c>
      <c r="Q6" s="4">
        <f>data1!I6</f>
        <v>3.9215688593685627E-3</v>
      </c>
      <c r="R6" s="4">
        <f>data1!Z6</f>
        <v>7.8431377187371254E-3</v>
      </c>
      <c r="S6" s="4">
        <f>data1!AA6</f>
        <v>1.1764706112444401E-2</v>
      </c>
      <c r="T6" s="4">
        <f>data1!AB6</f>
        <v>0</v>
      </c>
      <c r="U6" s="4">
        <f>data1!AC6</f>
        <v>3.9215688593685627E-3</v>
      </c>
      <c r="V6" s="4">
        <f>data1!AD6</f>
        <v>1.1764706112444401E-2</v>
      </c>
      <c r="W6" s="4">
        <f>data1!AE6</f>
        <v>1.1764706112444401E-2</v>
      </c>
      <c r="X6" s="4">
        <f>data1!AF6</f>
        <v>3.9215688593685627E-3</v>
      </c>
      <c r="Y6" s="4">
        <f>data1!AG6</f>
        <v>7.8431377187371254E-3</v>
      </c>
      <c r="Z6" s="4">
        <v>1.1764706112444401E-2</v>
      </c>
      <c r="AA6" s="4">
        <v>1.1764706112444401E-2</v>
      </c>
      <c r="AB6" s="4">
        <v>7.8431377187371254E-3</v>
      </c>
      <c r="AC6" s="4">
        <v>7.8431377187371254E-3</v>
      </c>
      <c r="AD6" s="4">
        <v>1.1764706112444401E-2</v>
      </c>
      <c r="AE6" s="4">
        <v>1.1764706112444401E-2</v>
      </c>
      <c r="AF6" s="4">
        <v>7.8431377187371254E-3</v>
      </c>
      <c r="AG6" s="4">
        <v>1.1764706112444401E-2</v>
      </c>
      <c r="AH6" s="46">
        <f t="shared" si="5"/>
        <v>4</v>
      </c>
      <c r="AI6" s="9">
        <f t="shared" si="1"/>
        <v>3.7923519426629748E-3</v>
      </c>
      <c r="AJ6" s="9">
        <f t="shared" si="2"/>
        <v>3.1350018033849212E-3</v>
      </c>
      <c r="AK6" s="4">
        <f t="shared" si="3"/>
        <v>8.8235297173793834E-3</v>
      </c>
      <c r="AL6" s="9">
        <f t="shared" si="4"/>
        <v>1.4512057631373846E-2</v>
      </c>
    </row>
    <row r="7" spans="1:38">
      <c r="A7" s="34">
        <f>data4!L7</f>
        <v>1.1026266832914189E-6</v>
      </c>
      <c r="B7" s="4">
        <v>1.1764706112444401E-2</v>
      </c>
      <c r="C7" s="4"/>
      <c r="D7" s="4">
        <v>1.9607843831181526E-2</v>
      </c>
      <c r="E7" s="4"/>
      <c r="F7" s="4">
        <v>1.5686275437474251E-2</v>
      </c>
      <c r="G7" s="4"/>
      <c r="H7" s="4"/>
      <c r="I7" s="4">
        <v>1.1764706112444401E-2</v>
      </c>
      <c r="J7" s="4">
        <f>data1!B7</f>
        <v>1.1764706112444401E-2</v>
      </c>
      <c r="K7" s="4">
        <f>data1!C7</f>
        <v>1.1764706112444401E-2</v>
      </c>
      <c r="L7" s="4">
        <f>data1!D7</f>
        <v>1.1764706112444401E-2</v>
      </c>
      <c r="M7" s="4">
        <f>data1!E7</f>
        <v>7.8431377187371254E-3</v>
      </c>
      <c r="N7" s="4">
        <f>data1!F7</f>
        <v>1.9607843831181526E-2</v>
      </c>
      <c r="O7" s="4">
        <f>data1!G7</f>
        <v>1.1764706112444401E-2</v>
      </c>
      <c r="P7" s="4">
        <f>data1!H7</f>
        <v>1.1764706112444401E-2</v>
      </c>
      <c r="Q7" s="4">
        <f>data1!I7</f>
        <v>1.1764706112444401E-2</v>
      </c>
      <c r="R7" s="4">
        <f>data1!Z7</f>
        <v>1.1764706112444401E-2</v>
      </c>
      <c r="S7" s="4">
        <f>data1!AA7</f>
        <v>1.9607843831181526E-2</v>
      </c>
      <c r="T7" s="4">
        <f>data1!AB7</f>
        <v>3.9215688593685627E-3</v>
      </c>
      <c r="U7" s="4">
        <f>data1!AC7</f>
        <v>7.8431377187371254E-3</v>
      </c>
      <c r="V7" s="4">
        <f>data1!AD7</f>
        <v>1.1764706112444401E-2</v>
      </c>
      <c r="W7" s="4">
        <f>data1!AE7</f>
        <v>1.1764706112444401E-2</v>
      </c>
      <c r="X7" s="4">
        <f>data1!AF7</f>
        <v>1.1764706112444401E-2</v>
      </c>
      <c r="Y7" s="4">
        <f>data1!AG7</f>
        <v>1.1764706112444401E-2</v>
      </c>
      <c r="Z7" s="4">
        <v>1.9607843831181526E-2</v>
      </c>
      <c r="AA7" s="4">
        <v>1.9607843831181526E-2</v>
      </c>
      <c r="AB7" s="4">
        <v>1.1764706112444401E-2</v>
      </c>
      <c r="AC7" s="4">
        <v>1.5686275437474251E-2</v>
      </c>
      <c r="AD7" s="4">
        <v>1.9607843831181526E-2</v>
      </c>
      <c r="AE7" s="4">
        <v>1.5686275437474251E-2</v>
      </c>
      <c r="AF7" s="4">
        <v>1.1764706112444401E-2</v>
      </c>
      <c r="AG7" s="4">
        <v>1.1764706112444401E-2</v>
      </c>
      <c r="AH7" s="46">
        <f t="shared" si="5"/>
        <v>5</v>
      </c>
      <c r="AI7" s="9">
        <f t="shared" si="1"/>
        <v>4.0416315034733884E-3</v>
      </c>
      <c r="AJ7" s="9">
        <f t="shared" si="2"/>
        <v>7.2428752946279585E-3</v>
      </c>
      <c r="AK7" s="4">
        <f t="shared" si="3"/>
        <v>1.3305322549838041E-2</v>
      </c>
      <c r="AL7" s="9">
        <f t="shared" si="4"/>
        <v>1.9367769805048125E-2</v>
      </c>
    </row>
    <row r="8" spans="1:38">
      <c r="A8" s="34">
        <f>data4!L8</f>
        <v>1.5002202218283855E-6</v>
      </c>
      <c r="B8" s="4">
        <v>1.9607843831181526E-2</v>
      </c>
      <c r="C8" s="4"/>
      <c r="D8" s="4">
        <v>1.9607843831181526E-2</v>
      </c>
      <c r="E8" s="4"/>
      <c r="F8" s="4">
        <v>2.3529412224888802E-2</v>
      </c>
      <c r="G8" s="4"/>
      <c r="H8" s="4"/>
      <c r="I8" s="4">
        <v>1.9607843831181526E-2</v>
      </c>
      <c r="J8" s="4">
        <f>data1!B8</f>
        <v>1.5686275437474251E-2</v>
      </c>
      <c r="K8" s="4">
        <f>data1!C8</f>
        <v>1.9607843831181526E-2</v>
      </c>
      <c r="L8" s="4">
        <f>data1!D8</f>
        <v>1.5686275437474251E-2</v>
      </c>
      <c r="M8" s="4">
        <f>data1!E8</f>
        <v>1.9607843831181526E-2</v>
      </c>
      <c r="N8" s="4">
        <f>data1!F8</f>
        <v>2.3529412224888802E-2</v>
      </c>
      <c r="O8" s="4">
        <f>data1!G8</f>
        <v>1.5686275437474251E-2</v>
      </c>
      <c r="P8" s="4">
        <f>data1!H8</f>
        <v>1.9607843831181526E-2</v>
      </c>
      <c r="Q8" s="4">
        <f>data1!I8</f>
        <v>1.5686275437474251E-2</v>
      </c>
      <c r="R8" s="4">
        <f>data1!Z8</f>
        <v>1.9607843831181526E-2</v>
      </c>
      <c r="S8" s="4">
        <f>data1!AA8</f>
        <v>1.5686275437474251E-2</v>
      </c>
      <c r="T8" s="4">
        <f>data1!AB8</f>
        <v>1.1764706112444401E-2</v>
      </c>
      <c r="U8" s="4">
        <f>data1!AC8</f>
        <v>1.5686275437474251E-2</v>
      </c>
      <c r="V8" s="4">
        <f>data1!AD8</f>
        <v>1.9607843831181526E-2</v>
      </c>
      <c r="W8" s="4">
        <f>data1!AE8</f>
        <v>1.9607843831181526E-2</v>
      </c>
      <c r="X8" s="4">
        <f>data1!AF8</f>
        <v>1.5686275437474251E-2</v>
      </c>
      <c r="Y8" s="4">
        <f>data1!AG8</f>
        <v>1.9607843831181526E-2</v>
      </c>
      <c r="Z8" s="4">
        <v>2.7450980618596077E-2</v>
      </c>
      <c r="AA8" s="4">
        <v>2.7450980618596077E-2</v>
      </c>
      <c r="AB8" s="4">
        <v>1.9607843831181526E-2</v>
      </c>
      <c r="AC8" s="4">
        <v>1.5686275437474251E-2</v>
      </c>
      <c r="AD8" s="4">
        <v>2.3529412224888802E-2</v>
      </c>
      <c r="AE8" s="4">
        <v>1.9607843831181526E-2</v>
      </c>
      <c r="AF8" s="4">
        <v>1.9607843831181526E-2</v>
      </c>
      <c r="AG8" s="4">
        <v>1.9607843831181526E-2</v>
      </c>
      <c r="AH8" s="46">
        <f t="shared" si="5"/>
        <v>6</v>
      </c>
      <c r="AI8" s="9">
        <f t="shared" si="1"/>
        <v>3.594063675591631E-3</v>
      </c>
      <c r="AJ8" s="9">
        <f t="shared" si="2"/>
        <v>1.3796580242349636E-2</v>
      </c>
      <c r="AK8" s="4">
        <f t="shared" si="3"/>
        <v>1.9187675755737082E-2</v>
      </c>
      <c r="AL8" s="9">
        <f t="shared" si="4"/>
        <v>2.4578771269124527E-2</v>
      </c>
    </row>
    <row r="9" spans="1:38">
      <c r="A9" s="34">
        <f>data4!L9</f>
        <v>1.9670463871079846E-6</v>
      </c>
      <c r="B9" s="4">
        <v>2.3529412224888802E-2</v>
      </c>
      <c r="C9" s="4"/>
      <c r="D9" s="4">
        <v>2.7450980618596077E-2</v>
      </c>
      <c r="E9" s="4"/>
      <c r="F9" s="4">
        <v>3.1372550874948502E-2</v>
      </c>
      <c r="G9" s="4"/>
      <c r="H9" s="4"/>
      <c r="I9" s="4">
        <v>2.7450980618596077E-2</v>
      </c>
      <c r="J9" s="4">
        <f>data1!B9</f>
        <v>1.9607843831181526E-2</v>
      </c>
      <c r="K9" s="4">
        <f>data1!C9</f>
        <v>1.9607843831181526E-2</v>
      </c>
      <c r="L9" s="4">
        <f>data1!D9</f>
        <v>2.3529412224888802E-2</v>
      </c>
      <c r="M9" s="4">
        <f>data1!E9</f>
        <v>2.3529412224888802E-2</v>
      </c>
      <c r="N9" s="4">
        <f>data1!F9</f>
        <v>2.7450980618596077E-2</v>
      </c>
      <c r="O9" s="4">
        <f>data1!G9</f>
        <v>2.3529412224888802E-2</v>
      </c>
      <c r="P9" s="4">
        <f>data1!H9</f>
        <v>2.7450980618596077E-2</v>
      </c>
      <c r="Q9" s="4">
        <f>data1!I9</f>
        <v>1.9607843831181526E-2</v>
      </c>
      <c r="R9" s="4">
        <f>data1!Z9</f>
        <v>2.7450980618596077E-2</v>
      </c>
      <c r="S9" s="4">
        <f>data1!AA9</f>
        <v>2.7450980618596077E-2</v>
      </c>
      <c r="T9" s="4">
        <f>data1!AB9</f>
        <v>1.9607843831181526E-2</v>
      </c>
      <c r="U9" s="4">
        <f>data1!AC9</f>
        <v>1.9607843831181526E-2</v>
      </c>
      <c r="V9" s="4">
        <f>data1!AD9</f>
        <v>2.7450980618596077E-2</v>
      </c>
      <c r="W9" s="4">
        <f>data1!AE9</f>
        <v>2.7450980618596077E-2</v>
      </c>
      <c r="X9" s="4">
        <f>data1!AF9</f>
        <v>1.9607843831181526E-2</v>
      </c>
      <c r="Y9" s="4">
        <f>data1!AG9</f>
        <v>2.7450980618596077E-2</v>
      </c>
      <c r="Z9" s="4">
        <v>3.5294119268655777E-2</v>
      </c>
      <c r="AA9" s="4">
        <v>3.5294119268655777E-2</v>
      </c>
      <c r="AB9" s="4">
        <v>2.3529412224888802E-2</v>
      </c>
      <c r="AC9" s="4">
        <v>1.9607843831181526E-2</v>
      </c>
      <c r="AD9" s="4">
        <v>2.7450980618596077E-2</v>
      </c>
      <c r="AE9" s="4">
        <v>2.7450980618596077E-2</v>
      </c>
      <c r="AF9" s="4">
        <v>2.7450980618596077E-2</v>
      </c>
      <c r="AG9" s="4">
        <v>2.7450980618596077E-2</v>
      </c>
      <c r="AH9" s="46">
        <f t="shared" si="5"/>
        <v>7</v>
      </c>
      <c r="AI9" s="9">
        <f t="shared" si="1"/>
        <v>4.4649024222539113E-3</v>
      </c>
      <c r="AJ9" s="9">
        <f t="shared" si="2"/>
        <v>1.8792842987930693E-2</v>
      </c>
      <c r="AK9" s="4">
        <f t="shared" si="3"/>
        <v>2.5490196621311561E-2</v>
      </c>
      <c r="AL9" s="9">
        <f t="shared" si="4"/>
        <v>3.2187550254692429E-2</v>
      </c>
    </row>
    <row r="10" spans="1:38">
      <c r="A10" s="34">
        <f>data4!L10</f>
        <v>2.4763025407992245E-6</v>
      </c>
      <c r="B10" s="4">
        <v>2.7450980618596077E-2</v>
      </c>
      <c r="C10" s="4"/>
      <c r="D10" s="4">
        <v>3.5294119268655777E-2</v>
      </c>
      <c r="E10" s="4"/>
      <c r="F10" s="4">
        <v>4.3137256056070328E-2</v>
      </c>
      <c r="G10" s="4"/>
      <c r="H10" s="4"/>
      <c r="I10" s="4">
        <v>3.1372550874948502E-2</v>
      </c>
      <c r="J10" s="4">
        <f>data1!B10</f>
        <v>2.7450980618596077E-2</v>
      </c>
      <c r="K10" s="4">
        <f>data1!C10</f>
        <v>2.7450980618596077E-2</v>
      </c>
      <c r="L10" s="4">
        <f>data1!D10</f>
        <v>3.5294119268655777E-2</v>
      </c>
      <c r="M10" s="4">
        <f>data1!E10</f>
        <v>3.5294119268655777E-2</v>
      </c>
      <c r="N10" s="4">
        <f>data1!F10</f>
        <v>3.5294119268655777E-2</v>
      </c>
      <c r="O10" s="4">
        <f>data1!G10</f>
        <v>2.7450980618596077E-2</v>
      </c>
      <c r="P10" s="4">
        <f>data1!H10</f>
        <v>3.1372550874948502E-2</v>
      </c>
      <c r="Q10" s="4">
        <f>data1!I10</f>
        <v>2.7450980618596077E-2</v>
      </c>
      <c r="R10" s="4">
        <f>data1!Z10</f>
        <v>3.5294119268655777E-2</v>
      </c>
      <c r="S10" s="4">
        <f>data1!AA10</f>
        <v>3.5294119268655777E-2</v>
      </c>
      <c r="T10" s="4">
        <f>data1!AB10</f>
        <v>2.7450980618596077E-2</v>
      </c>
      <c r="U10" s="4">
        <f>data1!AC10</f>
        <v>2.7450980618596077E-2</v>
      </c>
      <c r="V10" s="4">
        <f>data1!AD10</f>
        <v>3.5294119268655777E-2</v>
      </c>
      <c r="W10" s="4">
        <f>data1!AE10</f>
        <v>3.5294119268655777E-2</v>
      </c>
      <c r="X10" s="4">
        <f>data1!AF10</f>
        <v>2.7450980618596077E-2</v>
      </c>
      <c r="Y10" s="4">
        <f>data1!AG10</f>
        <v>3.5294119268655777E-2</v>
      </c>
      <c r="Z10" s="4">
        <v>4.3137256056070328E-2</v>
      </c>
      <c r="AA10" s="4">
        <v>4.3137256056070328E-2</v>
      </c>
      <c r="AB10" s="4">
        <v>3.1372550874948502E-2</v>
      </c>
      <c r="AC10" s="4">
        <v>3.1372550874948502E-2</v>
      </c>
      <c r="AD10" s="4">
        <v>3.5294119268655777E-2</v>
      </c>
      <c r="AE10" s="4">
        <v>3.5294119268655777E-2</v>
      </c>
      <c r="AF10" s="4">
        <v>3.5294119268655777E-2</v>
      </c>
      <c r="AG10" s="4">
        <v>3.1372550874948502E-2</v>
      </c>
      <c r="AH10" s="46">
        <f t="shared" si="5"/>
        <v>8</v>
      </c>
      <c r="AI10" s="9">
        <f t="shared" si="1"/>
        <v>4.8303729524869863E-3</v>
      </c>
      <c r="AJ10" s="9">
        <f t="shared" si="2"/>
        <v>2.5947719096826354E-2</v>
      </c>
      <c r="AK10" s="4">
        <f t="shared" si="3"/>
        <v>3.3193278525556834E-2</v>
      </c>
      <c r="AL10" s="9">
        <f t="shared" si="4"/>
        <v>4.0438837954287314E-2</v>
      </c>
    </row>
    <row r="11" spans="1:38">
      <c r="A11" s="34">
        <f>data4!L11</f>
        <v>3.0608769350237708E-6</v>
      </c>
      <c r="B11" s="4">
        <v>3.5294119268655777E-2</v>
      </c>
      <c r="C11" s="4"/>
      <c r="D11" s="4">
        <v>4.3137256056070328E-2</v>
      </c>
      <c r="E11" s="4"/>
      <c r="F11" s="4">
        <v>4.3137256056070328E-2</v>
      </c>
      <c r="G11" s="4"/>
      <c r="H11" s="4"/>
      <c r="I11" s="4">
        <v>4.3137256056070328E-2</v>
      </c>
      <c r="J11" s="4">
        <f>data1!B11</f>
        <v>3.5294119268655777E-2</v>
      </c>
      <c r="K11" s="4">
        <f>data1!C11</f>
        <v>3.5294119268655777E-2</v>
      </c>
      <c r="L11" s="4">
        <f>data1!D11</f>
        <v>4.3137256056070328E-2</v>
      </c>
      <c r="M11" s="4">
        <f>data1!E11</f>
        <v>4.3137256056070328E-2</v>
      </c>
      <c r="N11" s="4">
        <f>data1!F11</f>
        <v>4.3137256056070328E-2</v>
      </c>
      <c r="O11" s="4">
        <f>data1!G11</f>
        <v>3.5294119268655777E-2</v>
      </c>
      <c r="P11" s="4">
        <f>data1!H11</f>
        <v>3.9215687662363052E-2</v>
      </c>
      <c r="Q11" s="4">
        <f>data1!I11</f>
        <v>3.5294119268655777E-2</v>
      </c>
      <c r="R11" s="4">
        <f>data1!Z11</f>
        <v>4.3137256056070328E-2</v>
      </c>
      <c r="S11" s="4">
        <f>data1!AA11</f>
        <v>4.3137256056070328E-2</v>
      </c>
      <c r="T11" s="4">
        <f>data1!AB11</f>
        <v>3.5294119268655777E-2</v>
      </c>
      <c r="U11" s="4">
        <f>data1!AC11</f>
        <v>3.1372550874948502E-2</v>
      </c>
      <c r="V11" s="4">
        <f>data1!AD11</f>
        <v>4.3137256056070328E-2</v>
      </c>
      <c r="W11" s="4">
        <f>data1!AE11</f>
        <v>4.3137256056070328E-2</v>
      </c>
      <c r="X11" s="4">
        <f>data1!AF11</f>
        <v>3.5294119268655777E-2</v>
      </c>
      <c r="Y11" s="4">
        <f>data1!AG11</f>
        <v>4.3137256056070328E-2</v>
      </c>
      <c r="Z11" s="4">
        <v>5.0980392843484879E-2</v>
      </c>
      <c r="AA11" s="4">
        <v>5.0980392843484879E-2</v>
      </c>
      <c r="AB11" s="4">
        <v>3.5294119268655777E-2</v>
      </c>
      <c r="AC11" s="4">
        <v>3.5294119268655777E-2</v>
      </c>
      <c r="AD11" s="4">
        <v>4.3137256056070328E-2</v>
      </c>
      <c r="AE11" s="4">
        <v>4.3137256056070328E-2</v>
      </c>
      <c r="AF11" s="4">
        <v>3.9215687662363052E-2</v>
      </c>
      <c r="AG11" s="4">
        <v>3.5294119268655777E-2</v>
      </c>
      <c r="AH11" s="46">
        <f t="shared" si="5"/>
        <v>9</v>
      </c>
      <c r="AI11" s="9">
        <f t="shared" si="1"/>
        <v>4.9633050418086185E-3</v>
      </c>
      <c r="AJ11" s="9">
        <f t="shared" si="2"/>
        <v>3.2751122198076944E-2</v>
      </c>
      <c r="AK11" s="4">
        <f t="shared" si="3"/>
        <v>4.0196079760789871E-2</v>
      </c>
      <c r="AL11" s="9">
        <f t="shared" si="4"/>
        <v>4.7641037323502798E-2</v>
      </c>
    </row>
    <row r="12" spans="1:38">
      <c r="A12" s="34">
        <f>data4!L12</f>
        <v>3.6515393446734379E-6</v>
      </c>
      <c r="B12" s="4">
        <v>4.3137256056070328E-2</v>
      </c>
      <c r="C12" s="4"/>
      <c r="D12" s="4">
        <v>5.0980392843484879E-2</v>
      </c>
      <c r="E12" s="4"/>
      <c r="F12" s="4">
        <v>5.4901961237192154E-2</v>
      </c>
      <c r="G12" s="4"/>
      <c r="H12" s="4"/>
      <c r="I12" s="4">
        <v>5.0980392843484879E-2</v>
      </c>
      <c r="J12" s="4">
        <f>data1!B12</f>
        <v>4.3137256056070328E-2</v>
      </c>
      <c r="K12" s="4">
        <f>data1!C12</f>
        <v>5.0980392843484879E-2</v>
      </c>
      <c r="L12" s="4">
        <f>data1!D12</f>
        <v>4.7058824449777603E-2</v>
      </c>
      <c r="M12" s="4">
        <f>data1!E12</f>
        <v>5.0980392843484879E-2</v>
      </c>
      <c r="N12" s="4">
        <f>data1!F12</f>
        <v>5.0980392843484879E-2</v>
      </c>
      <c r="O12" s="4">
        <f>data1!G12</f>
        <v>4.3137256056070328E-2</v>
      </c>
      <c r="P12" s="4">
        <f>data1!H12</f>
        <v>5.0980392843484879E-2</v>
      </c>
      <c r="Q12" s="4">
        <f>data1!I12</f>
        <v>4.3137256056070328E-2</v>
      </c>
      <c r="R12" s="4">
        <f>data1!Z12</f>
        <v>5.0980392843484879E-2</v>
      </c>
      <c r="S12" s="4">
        <f>data1!AA12</f>
        <v>5.0980392843484879E-2</v>
      </c>
      <c r="T12" s="4">
        <f>data1!AB12</f>
        <v>4.3137256056070328E-2</v>
      </c>
      <c r="U12" s="4">
        <f>data1!AC12</f>
        <v>4.3137256056070328E-2</v>
      </c>
      <c r="V12" s="4">
        <f>data1!AD12</f>
        <v>5.0980392843484879E-2</v>
      </c>
      <c r="W12" s="4">
        <f>data1!AE12</f>
        <v>5.0980392843484879E-2</v>
      </c>
      <c r="X12" s="4">
        <f>data1!AF12</f>
        <v>4.3137256056070328E-2</v>
      </c>
      <c r="Y12" s="4">
        <f>data1!AG12</f>
        <v>5.0980392843484879E-2</v>
      </c>
      <c r="Z12" s="4">
        <v>5.8823529630899429E-2</v>
      </c>
      <c r="AA12" s="4">
        <v>5.8823529630899429E-2</v>
      </c>
      <c r="AB12" s="4">
        <v>5.0980392843484879E-2</v>
      </c>
      <c r="AC12" s="4">
        <v>4.7058824449777603E-2</v>
      </c>
      <c r="AD12" s="4">
        <v>5.0980392843484879E-2</v>
      </c>
      <c r="AE12" s="4">
        <v>5.0980392843484879E-2</v>
      </c>
      <c r="AF12" s="4">
        <v>5.0980392843484879E-2</v>
      </c>
      <c r="AG12" s="4">
        <v>4.3137256056070328E-2</v>
      </c>
      <c r="AH12" s="46">
        <f t="shared" si="5"/>
        <v>10</v>
      </c>
      <c r="AI12" s="9">
        <f t="shared" si="1"/>
        <v>4.5884824063578238E-3</v>
      </c>
      <c r="AJ12" s="9">
        <f t="shared" si="2"/>
        <v>4.2276941051155481E-2</v>
      </c>
      <c r="AK12" s="4">
        <f t="shared" si="3"/>
        <v>4.9159664660692215E-2</v>
      </c>
      <c r="AL12" s="9">
        <f t="shared" si="4"/>
        <v>5.6042388270228949E-2</v>
      </c>
    </row>
    <row r="13" spans="1:38">
      <c r="A13" s="34">
        <f>data4!L13</f>
        <v>4.3369595914555248E-6</v>
      </c>
      <c r="B13" s="4">
        <v>5.8823529630899429E-2</v>
      </c>
      <c r="C13" s="4"/>
      <c r="D13" s="4">
        <v>5.8823529630899429E-2</v>
      </c>
      <c r="E13" s="4"/>
      <c r="F13" s="4">
        <v>5.8823529630899429E-2</v>
      </c>
      <c r="G13" s="4"/>
      <c r="H13" s="4"/>
      <c r="I13" s="4">
        <v>5.8823529630899429E-2</v>
      </c>
      <c r="J13" s="4">
        <f>data1!B13</f>
        <v>5.0980392843484879E-2</v>
      </c>
      <c r="K13" s="4">
        <f>data1!C13</f>
        <v>5.0980392843484879E-2</v>
      </c>
      <c r="L13" s="4">
        <f>data1!D13</f>
        <v>5.0980392843484879E-2</v>
      </c>
      <c r="M13" s="4">
        <f>data1!E13</f>
        <v>5.4901961237192154E-2</v>
      </c>
      <c r="N13" s="4">
        <f>data1!F13</f>
        <v>6.6666670143604279E-2</v>
      </c>
      <c r="O13" s="4">
        <f>data1!G13</f>
        <v>5.8823529630899429E-2</v>
      </c>
      <c r="P13" s="4">
        <f>data1!H13</f>
        <v>5.8823529630899429E-2</v>
      </c>
      <c r="Q13" s="4">
        <f>data1!I13</f>
        <v>5.8823529630899429E-2</v>
      </c>
      <c r="R13" s="4">
        <f>data1!Z13</f>
        <v>5.8823529630899429E-2</v>
      </c>
      <c r="S13" s="4">
        <f>data1!AA13</f>
        <v>6.2745101749897003E-2</v>
      </c>
      <c r="T13" s="4">
        <f>data1!AB13</f>
        <v>5.0980392843484879E-2</v>
      </c>
      <c r="U13" s="4">
        <f>data1!AC13</f>
        <v>5.0980392843484879E-2</v>
      </c>
      <c r="V13" s="4">
        <f>data1!AD13</f>
        <v>5.8823529630899429E-2</v>
      </c>
      <c r="W13" s="4">
        <f>data1!AE13</f>
        <v>5.8823529630899429E-2</v>
      </c>
      <c r="X13" s="4">
        <f>data1!AF13</f>
        <v>5.4901961237192154E-2</v>
      </c>
      <c r="Y13" s="4">
        <f>data1!AG13</f>
        <v>6.2745101749897003E-2</v>
      </c>
      <c r="Z13" s="4">
        <v>6.6666670143604279E-2</v>
      </c>
      <c r="AA13" s="4">
        <v>6.6666670143604279E-2</v>
      </c>
      <c r="AB13" s="4">
        <v>5.8823529630899429E-2</v>
      </c>
      <c r="AC13" s="4">
        <v>5.0980392843484879E-2</v>
      </c>
      <c r="AD13" s="4">
        <v>5.8823529630899429E-2</v>
      </c>
      <c r="AE13" s="4">
        <v>5.8823529630899429E-2</v>
      </c>
      <c r="AF13" s="4">
        <v>5.8823529630899429E-2</v>
      </c>
      <c r="AG13" s="4">
        <v>5.8823529630899429E-2</v>
      </c>
      <c r="AH13" s="46">
        <f t="shared" si="5"/>
        <v>11</v>
      </c>
      <c r="AI13" s="9">
        <f t="shared" si="1"/>
        <v>4.6958437065385411E-3</v>
      </c>
      <c r="AJ13" s="9">
        <f t="shared" si="2"/>
        <v>5.0939428651956185E-2</v>
      </c>
      <c r="AK13" s="4">
        <f t="shared" si="3"/>
        <v>5.7983194211763997E-2</v>
      </c>
      <c r="AL13" s="9">
        <f t="shared" si="4"/>
        <v>6.5026959771571802E-2</v>
      </c>
    </row>
    <row r="14" spans="1:38">
      <c r="A14" s="34">
        <f>data4!L14</f>
        <v>5.0019438049275777E-6</v>
      </c>
      <c r="B14" s="4">
        <v>6.6666670143604279E-2</v>
      </c>
      <c r="C14" s="4"/>
      <c r="D14" s="4">
        <v>6.6666670143604279E-2</v>
      </c>
      <c r="E14" s="4"/>
      <c r="F14" s="4">
        <v>7.8431375324726105E-2</v>
      </c>
      <c r="G14" s="4"/>
      <c r="H14" s="4"/>
      <c r="I14" s="4">
        <v>6.6666670143604279E-2</v>
      </c>
      <c r="J14" s="4">
        <f>data1!B14</f>
        <v>6.6666670143604279E-2</v>
      </c>
      <c r="K14" s="4">
        <f>data1!C14</f>
        <v>6.6666670143604279E-2</v>
      </c>
      <c r="L14" s="4">
        <f>data1!D14</f>
        <v>7.0588238537311554E-2</v>
      </c>
      <c r="M14" s="4">
        <f>data1!E14</f>
        <v>6.6666670143604279E-2</v>
      </c>
      <c r="N14" s="4">
        <f>data1!F14</f>
        <v>7.4509806931018829E-2</v>
      </c>
      <c r="O14" s="4">
        <f>data1!G14</f>
        <v>6.2745101749897003E-2</v>
      </c>
      <c r="P14" s="4">
        <f>data1!H14</f>
        <v>6.6666670143604279E-2</v>
      </c>
      <c r="Q14" s="4">
        <f>data1!I14</f>
        <v>6.6666670143604279E-2</v>
      </c>
      <c r="R14" s="4">
        <f>data1!Z14</f>
        <v>7.0588238537311554E-2</v>
      </c>
      <c r="S14" s="4">
        <f>data1!AA14</f>
        <v>7.4509806931018829E-2</v>
      </c>
      <c r="T14" s="4">
        <f>data1!AB14</f>
        <v>5.8823529630899429E-2</v>
      </c>
      <c r="U14" s="4">
        <f>data1!AC14</f>
        <v>6.2745101749897003E-2</v>
      </c>
      <c r="V14" s="4">
        <f>data1!AD14</f>
        <v>7.4509806931018829E-2</v>
      </c>
      <c r="W14" s="4">
        <f>data1!AE14</f>
        <v>6.6666670143604279E-2</v>
      </c>
      <c r="X14" s="4">
        <f>data1!AF14</f>
        <v>6.6666670143604279E-2</v>
      </c>
      <c r="Y14" s="4">
        <f>data1!AG14</f>
        <v>7.4509806931018829E-2</v>
      </c>
      <c r="Z14" s="4">
        <v>7.4509806931018829E-2</v>
      </c>
      <c r="AA14" s="4">
        <v>7.4509806931018829E-2</v>
      </c>
      <c r="AB14" s="4">
        <v>6.6666670143604279E-2</v>
      </c>
      <c r="AC14" s="4">
        <v>6.2745101749897003E-2</v>
      </c>
      <c r="AD14" s="4">
        <v>7.4509806931018829E-2</v>
      </c>
      <c r="AE14" s="4">
        <v>6.6666670143604279E-2</v>
      </c>
      <c r="AF14" s="4">
        <v>6.6666670143604279E-2</v>
      </c>
      <c r="AG14" s="4">
        <v>6.6666670143604279E-2</v>
      </c>
      <c r="AH14" s="46">
        <f t="shared" si="5"/>
        <v>12</v>
      </c>
      <c r="AI14" s="9">
        <f t="shared" si="1"/>
        <v>4.7131389282528977E-3</v>
      </c>
      <c r="AJ14" s="9">
        <f t="shared" si="2"/>
        <v>6.1557745815032483E-2</v>
      </c>
      <c r="AK14" s="4">
        <f t="shared" si="3"/>
        <v>6.8627454207411828E-2</v>
      </c>
      <c r="AL14" s="9">
        <f t="shared" si="4"/>
        <v>7.5697162599791173E-2</v>
      </c>
    </row>
    <row r="15" spans="1:38">
      <c r="A15" s="34">
        <f>data4!L15</f>
        <v>5.7817305787466466E-6</v>
      </c>
      <c r="B15" s="4">
        <v>7.4509806931018829E-2</v>
      </c>
      <c r="C15" s="4"/>
      <c r="D15" s="4">
        <v>8.235294371843338E-2</v>
      </c>
      <c r="E15" s="4"/>
      <c r="F15" s="4">
        <v>9.0196080505847931E-2</v>
      </c>
      <c r="G15" s="4"/>
      <c r="H15" s="4"/>
      <c r="I15" s="4">
        <v>7.4509806931018829E-2</v>
      </c>
      <c r="J15" s="4">
        <f>data1!B15</f>
        <v>7.4509806931018829E-2</v>
      </c>
      <c r="K15" s="4">
        <f>data1!C15</f>
        <v>7.4509806931018829E-2</v>
      </c>
      <c r="L15" s="4">
        <f>data1!D15</f>
        <v>7.8431375324726105E-2</v>
      </c>
      <c r="M15" s="4">
        <f>data1!E15</f>
        <v>8.235294371843338E-2</v>
      </c>
      <c r="N15" s="4">
        <f>data1!F15</f>
        <v>8.235294371843338E-2</v>
      </c>
      <c r="O15" s="4">
        <f>data1!G15</f>
        <v>7.4509806931018829E-2</v>
      </c>
      <c r="P15" s="4">
        <f>data1!H15</f>
        <v>7.8431375324726105E-2</v>
      </c>
      <c r="Q15" s="4">
        <f>data1!I15</f>
        <v>7.4509806931018829E-2</v>
      </c>
      <c r="R15" s="4">
        <f>data1!Z15</f>
        <v>8.235294371843338E-2</v>
      </c>
      <c r="S15" s="4">
        <f>data1!AA15</f>
        <v>8.235294371843338E-2</v>
      </c>
      <c r="T15" s="4">
        <f>data1!AB15</f>
        <v>7.0588238537311554E-2</v>
      </c>
      <c r="U15" s="4">
        <f>data1!AC15</f>
        <v>7.0588238537311554E-2</v>
      </c>
      <c r="V15" s="4">
        <f>data1!AD15</f>
        <v>8.235294371843338E-2</v>
      </c>
      <c r="W15" s="4">
        <f>data1!AE15</f>
        <v>7.8431375324726105E-2</v>
      </c>
      <c r="X15" s="4">
        <f>data1!AF15</f>
        <v>7.8431375324726105E-2</v>
      </c>
      <c r="Y15" s="4">
        <f>data1!AG15</f>
        <v>8.235294371843338E-2</v>
      </c>
      <c r="Z15" s="4">
        <v>9.0196080505847931E-2</v>
      </c>
      <c r="AA15" s="4">
        <v>9.0196080505847931E-2</v>
      </c>
      <c r="AB15" s="4">
        <v>7.4509806931018829E-2</v>
      </c>
      <c r="AC15" s="4">
        <v>7.0588238537311554E-2</v>
      </c>
      <c r="AD15" s="4">
        <v>8.235294371843338E-2</v>
      </c>
      <c r="AE15" s="4">
        <v>8.235294371843338E-2</v>
      </c>
      <c r="AF15" s="4">
        <v>7.8431375324726105E-2</v>
      </c>
      <c r="AG15" s="4">
        <v>7.4509806931018829E-2</v>
      </c>
      <c r="AH15" s="46">
        <f t="shared" si="5"/>
        <v>13</v>
      </c>
      <c r="AI15" s="9">
        <f t="shared" si="1"/>
        <v>5.6188152748761246E-3</v>
      </c>
      <c r="AJ15" s="9">
        <f t="shared" si="2"/>
        <v>7.056337646865582E-2</v>
      </c>
      <c r="AK15" s="4">
        <f t="shared" si="3"/>
        <v>7.8991599380970001E-2</v>
      </c>
      <c r="AL15" s="9">
        <f t="shared" si="4"/>
        <v>8.7419822293284183E-2</v>
      </c>
    </row>
    <row r="16" spans="1:38">
      <c r="A16" s="34">
        <f>data4!L16</f>
        <v>6.5475581436658103E-6</v>
      </c>
      <c r="B16" s="4">
        <v>8.6274512112140656E-2</v>
      </c>
      <c r="C16" s="4"/>
      <c r="D16" s="4">
        <v>9.0196080505847931E-2</v>
      </c>
      <c r="E16" s="4"/>
      <c r="F16" s="4">
        <v>9.4117648899555206E-2</v>
      </c>
      <c r="G16" s="4"/>
      <c r="H16" s="4"/>
      <c r="I16" s="4">
        <v>9.0196080505847931E-2</v>
      </c>
      <c r="J16" s="4">
        <f>data1!B16</f>
        <v>8.6274512112140656E-2</v>
      </c>
      <c r="K16" s="4">
        <f>data1!C16</f>
        <v>8.6274512112140656E-2</v>
      </c>
      <c r="L16" s="4">
        <f>data1!D16</f>
        <v>9.0196080505847931E-2</v>
      </c>
      <c r="M16" s="4">
        <f>data1!E16</f>
        <v>8.235294371843338E-2</v>
      </c>
      <c r="N16" s="4">
        <f>data1!F16</f>
        <v>9.8039217293262482E-2</v>
      </c>
      <c r="O16" s="4">
        <f>data1!G16</f>
        <v>8.6274512112140656E-2</v>
      </c>
      <c r="P16" s="4">
        <f>data1!H16</f>
        <v>9.0196080505847931E-2</v>
      </c>
      <c r="Q16" s="4">
        <f>data1!I16</f>
        <v>9.0196080505847931E-2</v>
      </c>
      <c r="R16" s="4">
        <f>data1!Z16</f>
        <v>9.0196080505847931E-2</v>
      </c>
      <c r="S16" s="4">
        <f>data1!AA16</f>
        <v>9.4117648899555206E-2</v>
      </c>
      <c r="T16" s="4">
        <f>data1!AB16</f>
        <v>8.235294371843338E-2</v>
      </c>
      <c r="U16" s="4">
        <f>data1!AC16</f>
        <v>8.235294371843338E-2</v>
      </c>
      <c r="V16" s="4">
        <f>data1!AD16</f>
        <v>9.4117648899555206E-2</v>
      </c>
      <c r="W16" s="4">
        <f>data1!AE16</f>
        <v>9.0196080505847931E-2</v>
      </c>
      <c r="X16" s="4">
        <f>data1!AF16</f>
        <v>9.0196080505847931E-2</v>
      </c>
      <c r="Y16" s="4">
        <f>data1!AG16</f>
        <v>9.8039217293262482E-2</v>
      </c>
      <c r="Z16" s="4">
        <v>0.10196078568696976</v>
      </c>
      <c r="AA16" s="4">
        <v>0.10196078568696976</v>
      </c>
      <c r="AB16" s="4">
        <v>9.0196080505847931E-2</v>
      </c>
      <c r="AC16" s="4">
        <v>8.6274512112140656E-2</v>
      </c>
      <c r="AD16" s="4">
        <v>9.0196080505847931E-2</v>
      </c>
      <c r="AE16" s="4">
        <v>9.0196080505847931E-2</v>
      </c>
      <c r="AF16" s="4">
        <v>9.0196080505847931E-2</v>
      </c>
      <c r="AG16" s="4">
        <v>8.235294371843338E-2</v>
      </c>
      <c r="AH16" s="46">
        <f t="shared" si="5"/>
        <v>14</v>
      </c>
      <c r="AI16" s="9">
        <f t="shared" si="1"/>
        <v>5.3365786422270413E-3</v>
      </c>
      <c r="AJ16" s="9">
        <f t="shared" si="2"/>
        <v>8.2191212542507372E-2</v>
      </c>
      <c r="AK16" s="4">
        <f t="shared" si="3"/>
        <v>9.0196080505847931E-2</v>
      </c>
      <c r="AL16" s="9">
        <f t="shared" si="4"/>
        <v>9.820094846918849E-2</v>
      </c>
    </row>
    <row r="17" spans="1:38">
      <c r="A17" s="34">
        <f>data4!L17</f>
        <v>7.3541461915738182E-6</v>
      </c>
      <c r="B17" s="4">
        <v>9.8039217293262482E-2</v>
      </c>
      <c r="C17" s="4"/>
      <c r="D17" s="4">
        <v>0.10588235408067703</v>
      </c>
      <c r="E17" s="4"/>
      <c r="F17" s="4">
        <v>0.10980392247438431</v>
      </c>
      <c r="G17" s="4"/>
      <c r="H17" s="4"/>
      <c r="I17" s="4">
        <v>9.8039217293262482E-2</v>
      </c>
      <c r="J17" s="4">
        <f>data1!B17</f>
        <v>9.8039217293262482E-2</v>
      </c>
      <c r="K17" s="4">
        <f>data1!C17</f>
        <v>9.8039217293262482E-2</v>
      </c>
      <c r="L17" s="4">
        <f>data1!D17</f>
        <v>9.4117648899555206E-2</v>
      </c>
      <c r="M17" s="4">
        <f>data1!E17</f>
        <v>9.8039217293262482E-2</v>
      </c>
      <c r="N17" s="4">
        <f>data1!F17</f>
        <v>0.10588235408067703</v>
      </c>
      <c r="O17" s="4">
        <f>data1!G17</f>
        <v>9.8039217293262482E-2</v>
      </c>
      <c r="P17" s="4">
        <f>data1!H17</f>
        <v>9.8039217293262482E-2</v>
      </c>
      <c r="Q17" s="4">
        <f>data1!I17</f>
        <v>9.8039217293262482E-2</v>
      </c>
      <c r="R17" s="4">
        <f>data1!Z17</f>
        <v>0.10588235408067703</v>
      </c>
      <c r="S17" s="4">
        <f>data1!AA17</f>
        <v>0.10196078568696976</v>
      </c>
      <c r="T17" s="4">
        <f>data1!AB17</f>
        <v>9.0196080505847931E-2</v>
      </c>
      <c r="U17" s="4">
        <f>data1!AC17</f>
        <v>9.0196080505847931E-2</v>
      </c>
      <c r="V17" s="4">
        <f>data1!AD17</f>
        <v>0.10588235408067703</v>
      </c>
      <c r="W17" s="4">
        <f>data1!AE17</f>
        <v>0.10196078568696976</v>
      </c>
      <c r="X17" s="4">
        <f>data1!AF17</f>
        <v>9.8039217293262482E-2</v>
      </c>
      <c r="Y17" s="4">
        <f>data1!AG17</f>
        <v>0.10980392247438431</v>
      </c>
      <c r="Z17" s="4">
        <v>0.11372549086809158</v>
      </c>
      <c r="AA17" s="4">
        <v>0.11372549086809158</v>
      </c>
      <c r="AB17" s="4">
        <v>9.8039217293262482E-2</v>
      </c>
      <c r="AC17" s="4">
        <v>9.8039217293262482E-2</v>
      </c>
      <c r="AD17" s="4">
        <v>0.10588235408067703</v>
      </c>
      <c r="AE17" s="4">
        <v>0.10196078568696976</v>
      </c>
      <c r="AF17" s="4">
        <v>9.8039217293262482E-2</v>
      </c>
      <c r="AG17" s="4">
        <v>9.8039217293262482E-2</v>
      </c>
      <c r="AH17" s="46">
        <f t="shared" si="5"/>
        <v>15</v>
      </c>
      <c r="AI17" s="9">
        <f t="shared" si="1"/>
        <v>6.0712482681940499E-3</v>
      </c>
      <c r="AJ17" s="9">
        <f t="shared" si="2"/>
        <v>9.2013577200312835E-2</v>
      </c>
      <c r="AK17" s="4">
        <f t="shared" si="3"/>
        <v>0.10112044960260391</v>
      </c>
      <c r="AL17" s="9">
        <f t="shared" si="4"/>
        <v>0.11022732200489499</v>
      </c>
    </row>
    <row r="18" spans="1:38">
      <c r="A18" s="34">
        <f>data4!L18</f>
        <v>8.1947116541414289E-6</v>
      </c>
      <c r="B18" s="4">
        <v>0.10980392247438431</v>
      </c>
      <c r="C18" s="4"/>
      <c r="D18" s="4">
        <v>0.10980392247438431</v>
      </c>
      <c r="E18" s="4"/>
      <c r="F18" s="4">
        <v>0.12156862765550613</v>
      </c>
      <c r="G18" s="4"/>
      <c r="H18" s="4"/>
      <c r="I18" s="4">
        <v>0.10980392247438431</v>
      </c>
      <c r="J18" s="4">
        <f>data1!B18</f>
        <v>0.10588235408067703</v>
      </c>
      <c r="K18" s="4">
        <f>data1!C18</f>
        <v>0.10588235408067703</v>
      </c>
      <c r="L18" s="4">
        <f>data1!D18</f>
        <v>0.10980392247438431</v>
      </c>
      <c r="M18" s="4">
        <f>data1!E18</f>
        <v>0.10980392247438431</v>
      </c>
      <c r="N18" s="4">
        <f>data1!F18</f>
        <v>0.12156862765550613</v>
      </c>
      <c r="O18" s="4">
        <f>data1!G18</f>
        <v>0.10980392247438431</v>
      </c>
      <c r="P18" s="4">
        <f>data1!H18</f>
        <v>0.10980392247438431</v>
      </c>
      <c r="Q18" s="4">
        <f>data1!I18</f>
        <v>0.11372549086809158</v>
      </c>
      <c r="R18" s="4">
        <f>data1!Z18</f>
        <v>0.11764705926179886</v>
      </c>
      <c r="S18" s="4">
        <f>data1!AA18</f>
        <v>0.12156862765550613</v>
      </c>
      <c r="T18" s="4">
        <f>data1!AB18</f>
        <v>0.10588235408067703</v>
      </c>
      <c r="U18" s="4">
        <f>data1!AC18</f>
        <v>0.10588235408067703</v>
      </c>
      <c r="V18" s="4">
        <f>data1!AD18</f>
        <v>0.11764705926179886</v>
      </c>
      <c r="W18" s="4">
        <f>data1!AE18</f>
        <v>0.11372549086809158</v>
      </c>
      <c r="X18" s="4">
        <f>data1!AF18</f>
        <v>0.11372549086809158</v>
      </c>
      <c r="Y18" s="4">
        <f>data1!AG18</f>
        <v>0.12156862765550613</v>
      </c>
      <c r="Z18" s="4">
        <v>0.12941177189350128</v>
      </c>
      <c r="AA18" s="4">
        <v>0.12941177189350128</v>
      </c>
      <c r="AB18" s="4">
        <v>0.11372549086809158</v>
      </c>
      <c r="AC18" s="4">
        <v>0.10980392247438431</v>
      </c>
      <c r="AD18" s="4">
        <v>0.11372549086809158</v>
      </c>
      <c r="AE18" s="4">
        <v>0.11372549086809158</v>
      </c>
      <c r="AF18" s="4">
        <v>0.11372549086809158</v>
      </c>
      <c r="AG18" s="4">
        <v>0.10588235408067703</v>
      </c>
      <c r="AH18" s="46">
        <f t="shared" si="5"/>
        <v>16</v>
      </c>
      <c r="AI18" s="9">
        <f t="shared" si="1"/>
        <v>6.6653858866267037E-3</v>
      </c>
      <c r="AJ18" s="9">
        <f t="shared" si="2"/>
        <v>0.10372741257033585</v>
      </c>
      <c r="AK18" s="4">
        <f t="shared" si="3"/>
        <v>0.11372549140027591</v>
      </c>
      <c r="AL18" s="9">
        <f t="shared" si="4"/>
        <v>0.12372357023021596</v>
      </c>
    </row>
    <row r="19" spans="1:38">
      <c r="A19" s="34">
        <f>data4!L19</f>
        <v>9.075257480617438E-6</v>
      </c>
      <c r="B19" s="4">
        <v>0.12549020349979401</v>
      </c>
      <c r="C19" s="4"/>
      <c r="D19" s="4">
        <v>0.12941177189350128</v>
      </c>
      <c r="E19" s="4"/>
      <c r="F19" s="4">
        <v>0.13333334028720856</v>
      </c>
      <c r="G19" s="4"/>
      <c r="H19" s="4"/>
      <c r="I19" s="4">
        <v>0.12156862765550613</v>
      </c>
      <c r="J19" s="4">
        <f>data1!B19</f>
        <v>0.12156862765550613</v>
      </c>
      <c r="K19" s="4">
        <f>data1!C19</f>
        <v>0.12156862765550613</v>
      </c>
      <c r="L19" s="4">
        <f>data1!D19</f>
        <v>0.12941177189350128</v>
      </c>
      <c r="M19" s="4">
        <f>data1!E19</f>
        <v>0.12549020349979401</v>
      </c>
      <c r="N19" s="4">
        <f>data1!F19</f>
        <v>0.13333334028720856</v>
      </c>
      <c r="O19" s="4">
        <f>data1!G19</f>
        <v>0.11764705926179886</v>
      </c>
      <c r="P19" s="4">
        <f>data1!H19</f>
        <v>0.12549020349979401</v>
      </c>
      <c r="Q19" s="4">
        <f>data1!I19</f>
        <v>0.12549020349979401</v>
      </c>
      <c r="R19" s="4">
        <f>data1!Z19</f>
        <v>0.12941177189350128</v>
      </c>
      <c r="S19" s="4">
        <f>data1!AA19</f>
        <v>0.13333334028720856</v>
      </c>
      <c r="T19" s="4">
        <f>data1!AB19</f>
        <v>0.11372549086809158</v>
      </c>
      <c r="U19" s="4">
        <f>data1!AC19</f>
        <v>0.11764705926179886</v>
      </c>
      <c r="V19" s="4">
        <f>data1!AD19</f>
        <v>0.13333334028720856</v>
      </c>
      <c r="W19" s="4">
        <f>data1!AE19</f>
        <v>0.12549020349979401</v>
      </c>
      <c r="X19" s="4">
        <f>data1!AF19</f>
        <v>0.12549020349979401</v>
      </c>
      <c r="Y19" s="4">
        <f>data1!AG19</f>
        <v>0.13725490868091583</v>
      </c>
      <c r="Z19" s="4">
        <v>0.14117647707462311</v>
      </c>
      <c r="AA19" s="4">
        <v>0.14117647707462311</v>
      </c>
      <c r="AB19" s="4">
        <v>0.12156862765550613</v>
      </c>
      <c r="AC19" s="4">
        <v>0.11372549086809158</v>
      </c>
      <c r="AD19" s="4">
        <v>0.12941177189350128</v>
      </c>
      <c r="AE19" s="4">
        <v>0.12549020349979401</v>
      </c>
      <c r="AF19" s="4">
        <v>0.12156862765550613</v>
      </c>
      <c r="AG19" s="4">
        <v>0.12156862765550613</v>
      </c>
      <c r="AH19" s="46">
        <f t="shared" si="5"/>
        <v>17</v>
      </c>
      <c r="AI19" s="9">
        <f t="shared" si="1"/>
        <v>7.2093235270704482E-3</v>
      </c>
      <c r="AJ19" s="9">
        <f t="shared" si="2"/>
        <v>0.1156566076466935</v>
      </c>
      <c r="AK19" s="4">
        <f t="shared" si="3"/>
        <v>0.12647059293729918</v>
      </c>
      <c r="AL19" s="9">
        <f t="shared" si="4"/>
        <v>0.13728457822790485</v>
      </c>
    </row>
    <row r="20" spans="1:38">
      <c r="A20" s="34">
        <f>data4!L20</f>
        <v>9.9878080845883233E-6</v>
      </c>
      <c r="B20" s="4">
        <v>0.13725490868091583</v>
      </c>
      <c r="C20" s="4"/>
      <c r="D20" s="4">
        <v>0.14117647707462311</v>
      </c>
      <c r="E20" s="4"/>
      <c r="F20" s="4">
        <v>0.14901961386203766</v>
      </c>
      <c r="G20" s="4"/>
      <c r="H20" s="4"/>
      <c r="I20" s="4">
        <v>0.13725490868091583</v>
      </c>
      <c r="J20" s="4">
        <f>data1!B20</f>
        <v>0.13333334028720856</v>
      </c>
      <c r="K20" s="4">
        <f>data1!C20</f>
        <v>0.13333334028720856</v>
      </c>
      <c r="L20" s="4">
        <f>data1!D20</f>
        <v>0.14117647707462311</v>
      </c>
      <c r="M20" s="4">
        <f>data1!E20</f>
        <v>0.13333334028720856</v>
      </c>
      <c r="N20" s="4">
        <f>data1!F20</f>
        <v>0.14509804546833038</v>
      </c>
      <c r="O20" s="4">
        <f>data1!G20</f>
        <v>0.13333334028720856</v>
      </c>
      <c r="P20" s="4">
        <f>data1!H20</f>
        <v>0.13725490868091583</v>
      </c>
      <c r="Q20" s="4">
        <f>data1!I20</f>
        <v>0.13725490868091583</v>
      </c>
      <c r="R20" s="4">
        <f>data1!Z20</f>
        <v>0.14509804546833038</v>
      </c>
      <c r="S20" s="4">
        <f>data1!AA20</f>
        <v>0.14117647707462311</v>
      </c>
      <c r="T20" s="4">
        <f>data1!AB20</f>
        <v>0.13333334028720856</v>
      </c>
      <c r="U20" s="4">
        <f>data1!AC20</f>
        <v>0.12941177189350128</v>
      </c>
      <c r="V20" s="4">
        <f>data1!AD20</f>
        <v>0.14509804546833038</v>
      </c>
      <c r="W20" s="4">
        <f>data1!AE20</f>
        <v>0.13725490868091583</v>
      </c>
      <c r="X20" s="4">
        <f>data1!AF20</f>
        <v>0.13725490868091583</v>
      </c>
      <c r="Y20" s="4">
        <f>data1!AG20</f>
        <v>0.14901961386203766</v>
      </c>
      <c r="Z20" s="4">
        <v>0.15294118225574493</v>
      </c>
      <c r="AA20" s="4">
        <v>0.15294118225574493</v>
      </c>
      <c r="AB20" s="4">
        <v>0.13725490868091583</v>
      </c>
      <c r="AC20" s="4">
        <v>0.13333334028720856</v>
      </c>
      <c r="AD20" s="4">
        <v>0.14117647707462311</v>
      </c>
      <c r="AE20" s="4">
        <v>0.14117647707462311</v>
      </c>
      <c r="AF20" s="4">
        <v>0.13725490868091583</v>
      </c>
      <c r="AG20" s="4">
        <v>0.12941177189350128</v>
      </c>
      <c r="AH20" s="46">
        <f t="shared" si="5"/>
        <v>18</v>
      </c>
      <c r="AI20" s="9">
        <f t="shared" si="1"/>
        <v>6.4466349632052557E-3</v>
      </c>
      <c r="AJ20" s="9">
        <f t="shared" si="2"/>
        <v>0.12968579644702255</v>
      </c>
      <c r="AK20" s="4">
        <f t="shared" si="3"/>
        <v>0.13935574889183044</v>
      </c>
      <c r="AL20" s="9">
        <f t="shared" si="4"/>
        <v>0.14902570133663834</v>
      </c>
    </row>
    <row r="21" spans="1:38">
      <c r="A21" s="34">
        <f>data4!L21</f>
        <v>1.0922018191195093E-5</v>
      </c>
      <c r="B21" s="4">
        <v>0.14901961386203766</v>
      </c>
      <c r="C21" s="4"/>
      <c r="D21" s="4">
        <v>0.15294118225574493</v>
      </c>
      <c r="E21" s="4"/>
      <c r="F21" s="4">
        <v>0.15686275064945221</v>
      </c>
      <c r="G21" s="4"/>
      <c r="H21" s="4"/>
      <c r="I21" s="4">
        <v>0.14901961386203766</v>
      </c>
      <c r="J21" s="4">
        <f>data1!B21</f>
        <v>0.14509804546833038</v>
      </c>
      <c r="K21" s="4">
        <f>data1!C21</f>
        <v>0.14117647707462311</v>
      </c>
      <c r="L21" s="4">
        <f>data1!D21</f>
        <v>0.14901961386203766</v>
      </c>
      <c r="M21" s="4">
        <f>data1!E21</f>
        <v>0.15294118225574493</v>
      </c>
      <c r="N21" s="4">
        <f>data1!F21</f>
        <v>0.16078431904315948</v>
      </c>
      <c r="O21" s="4">
        <f>data1!G21</f>
        <v>0.14509804546833038</v>
      </c>
      <c r="P21" s="4">
        <f>data1!H21</f>
        <v>0.15294118225574493</v>
      </c>
      <c r="Q21" s="4">
        <f>data1!I21</f>
        <v>0.15294118225574493</v>
      </c>
      <c r="R21" s="4">
        <f>data1!Z21</f>
        <v>0.16078431904315948</v>
      </c>
      <c r="S21" s="4">
        <f>data1!AA21</f>
        <v>0.15686275064945221</v>
      </c>
      <c r="T21" s="4">
        <f>data1!AB21</f>
        <v>0.14117647707462311</v>
      </c>
      <c r="U21" s="4">
        <f>data1!AC21</f>
        <v>0.14509804546833038</v>
      </c>
      <c r="V21" s="4">
        <f>data1!AD21</f>
        <v>0.16078431904315948</v>
      </c>
      <c r="W21" s="4">
        <f>data1!AE21</f>
        <v>0.15294118225574493</v>
      </c>
      <c r="X21" s="4">
        <f>data1!AF21</f>
        <v>0.15294118225574493</v>
      </c>
      <c r="Y21" s="4">
        <f>data1!AG21</f>
        <v>0.16470588743686676</v>
      </c>
      <c r="Z21" s="4">
        <v>0.16862745583057404</v>
      </c>
      <c r="AA21" s="4">
        <v>0.16862745583057404</v>
      </c>
      <c r="AB21" s="4">
        <v>0.14901961386203766</v>
      </c>
      <c r="AC21" s="4">
        <v>0.14117647707462311</v>
      </c>
      <c r="AD21" s="4">
        <v>0.15686275064945221</v>
      </c>
      <c r="AE21" s="4">
        <v>0.15294118225574493</v>
      </c>
      <c r="AF21" s="4">
        <v>0.14901961386203766</v>
      </c>
      <c r="AG21" s="4">
        <v>0.14509804546833038</v>
      </c>
      <c r="AH21" s="46">
        <f t="shared" si="5"/>
        <v>19</v>
      </c>
      <c r="AI21" s="9">
        <f t="shared" si="1"/>
        <v>7.6912352819107146E-3</v>
      </c>
      <c r="AJ21" s="9">
        <f t="shared" si="2"/>
        <v>0.14112421730475691</v>
      </c>
      <c r="AK21" s="4">
        <f t="shared" si="3"/>
        <v>0.15266107022762299</v>
      </c>
      <c r="AL21" s="9">
        <f t="shared" si="4"/>
        <v>0.16419792315048906</v>
      </c>
    </row>
    <row r="22" spans="1:38">
      <c r="A22" s="34">
        <f>data4!L22</f>
        <v>1.1928623735002475E-5</v>
      </c>
      <c r="B22" s="4">
        <v>0.16078431904315948</v>
      </c>
      <c r="C22" s="4"/>
      <c r="D22" s="4">
        <v>0.16862745583057404</v>
      </c>
      <c r="E22" s="4"/>
      <c r="F22" s="4">
        <v>0.17254902422428131</v>
      </c>
      <c r="G22" s="4"/>
      <c r="H22" s="4"/>
      <c r="I22" s="4">
        <v>0.16470588743686676</v>
      </c>
      <c r="J22" s="4">
        <f>data1!B22</f>
        <v>0.16078431904315948</v>
      </c>
      <c r="K22" s="4">
        <f>data1!C22</f>
        <v>0.15294118225574493</v>
      </c>
      <c r="L22" s="4">
        <f>data1!D22</f>
        <v>0.16470588743686676</v>
      </c>
      <c r="M22" s="4">
        <f>data1!E22</f>
        <v>0.16862745583057404</v>
      </c>
      <c r="N22" s="4">
        <f>data1!F22</f>
        <v>0.17647059261798859</v>
      </c>
      <c r="O22" s="4">
        <f>data1!G22</f>
        <v>0.16078431904315948</v>
      </c>
      <c r="P22" s="4">
        <f>data1!H22</f>
        <v>0.16862745583057404</v>
      </c>
      <c r="Q22" s="4">
        <f>data1!I22</f>
        <v>0.16470588743686676</v>
      </c>
      <c r="R22" s="4">
        <f>data1!Z22</f>
        <v>0.17254902422428131</v>
      </c>
      <c r="S22" s="4">
        <f>data1!AA22</f>
        <v>0.17254902422428131</v>
      </c>
      <c r="T22" s="4">
        <f>data1!AB22</f>
        <v>0.15686275064945221</v>
      </c>
      <c r="U22" s="4">
        <f>data1!AC22</f>
        <v>0.16078431904315948</v>
      </c>
      <c r="V22" s="4">
        <f>data1!AD22</f>
        <v>0.17647059261798859</v>
      </c>
      <c r="W22" s="4">
        <f>data1!AE22</f>
        <v>0.16862745583057404</v>
      </c>
      <c r="X22" s="4">
        <f>data1!AF22</f>
        <v>0.16862745583057404</v>
      </c>
      <c r="Y22" s="4">
        <f>data1!AG22</f>
        <v>0.18039216101169586</v>
      </c>
      <c r="Z22" s="4">
        <v>0.18039216101169586</v>
      </c>
      <c r="AA22" s="4">
        <v>0.18039216101169586</v>
      </c>
      <c r="AB22" s="4">
        <v>0.16470588743686676</v>
      </c>
      <c r="AC22" s="4">
        <v>0.15686275064945221</v>
      </c>
      <c r="AD22" s="4">
        <v>0.16862745583057404</v>
      </c>
      <c r="AE22" s="4">
        <v>0.16862745583057404</v>
      </c>
      <c r="AF22" s="4">
        <v>0.16470588743686676</v>
      </c>
      <c r="AG22" s="4">
        <v>0.15686275064945221</v>
      </c>
      <c r="AH22" s="46">
        <f t="shared" si="5"/>
        <v>20</v>
      </c>
      <c r="AI22" s="9">
        <f t="shared" si="1"/>
        <v>7.4875287427295222E-3</v>
      </c>
      <c r="AJ22" s="9">
        <f t="shared" si="2"/>
        <v>0.15599560257587</v>
      </c>
      <c r="AK22" s="4">
        <f t="shared" si="3"/>
        <v>0.16722689568996429</v>
      </c>
      <c r="AL22" s="9">
        <f t="shared" si="4"/>
        <v>0.17845818880405859</v>
      </c>
    </row>
    <row r="23" spans="1:38">
      <c r="A23" s="34">
        <f>data4!L23</f>
        <v>1.2921527172693459E-5</v>
      </c>
      <c r="B23" s="4">
        <v>0.18039216101169586</v>
      </c>
      <c r="C23" s="4"/>
      <c r="D23" s="4">
        <v>0.18431372940540314</v>
      </c>
      <c r="E23" s="4"/>
      <c r="F23" s="4">
        <v>0.18823529779911041</v>
      </c>
      <c r="G23" s="4"/>
      <c r="H23" s="4"/>
      <c r="I23" s="4">
        <v>0.17647059261798859</v>
      </c>
      <c r="J23" s="4">
        <f>data1!B23</f>
        <v>0.17254902422428131</v>
      </c>
      <c r="K23" s="4">
        <f>data1!C23</f>
        <v>0.16862745583057404</v>
      </c>
      <c r="L23" s="4">
        <f>data1!D23</f>
        <v>0.18039216101169586</v>
      </c>
      <c r="M23" s="4">
        <f>data1!E23</f>
        <v>0.18039216101169586</v>
      </c>
      <c r="N23" s="4">
        <f>data1!F23</f>
        <v>0.18823529779911041</v>
      </c>
      <c r="O23" s="4">
        <f>data1!G23</f>
        <v>0.17647059261798859</v>
      </c>
      <c r="P23" s="4">
        <f>data1!H23</f>
        <v>0.18039216101169586</v>
      </c>
      <c r="Q23" s="4">
        <f>data1!I23</f>
        <v>0.18039216101169586</v>
      </c>
      <c r="R23" s="4">
        <f>data1!Z23</f>
        <v>0.18823529779911041</v>
      </c>
      <c r="S23" s="4">
        <f>data1!AA23</f>
        <v>0.18823529779911041</v>
      </c>
      <c r="T23" s="4">
        <f>data1!AB23</f>
        <v>0.16862745583057404</v>
      </c>
      <c r="U23" s="4">
        <f>data1!AC23</f>
        <v>0.17254902422428131</v>
      </c>
      <c r="V23" s="4">
        <f>data1!AD23</f>
        <v>0.19215686619281769</v>
      </c>
      <c r="W23" s="4">
        <f>data1!AE23</f>
        <v>0.18431372940540314</v>
      </c>
      <c r="X23" s="4">
        <f>data1!AF23</f>
        <v>0.18039216101169586</v>
      </c>
      <c r="Y23" s="4">
        <f>data1!AG23</f>
        <v>0.19607843458652496</v>
      </c>
      <c r="Z23" s="4">
        <v>0.20000000298023224</v>
      </c>
      <c r="AA23" s="4">
        <v>0.20000000298023224</v>
      </c>
      <c r="AB23" s="4">
        <v>0.17647059261798859</v>
      </c>
      <c r="AC23" s="4">
        <v>0.16862745583057404</v>
      </c>
      <c r="AD23" s="4">
        <v>0.18431372940540314</v>
      </c>
      <c r="AE23" s="4">
        <v>0.18039216101169586</v>
      </c>
      <c r="AF23" s="4">
        <v>0.18039216101169586</v>
      </c>
      <c r="AG23" s="4">
        <v>0.16862745583057404</v>
      </c>
      <c r="AH23" s="46">
        <f t="shared" si="5"/>
        <v>21</v>
      </c>
      <c r="AI23" s="9">
        <f t="shared" si="1"/>
        <v>8.8692313201826998E-3</v>
      </c>
      <c r="AJ23" s="9">
        <f t="shared" si="2"/>
        <v>0.16834881815797059</v>
      </c>
      <c r="AK23" s="4">
        <f t="shared" si="3"/>
        <v>0.18165266513824463</v>
      </c>
      <c r="AL23" s="9">
        <f t="shared" si="4"/>
        <v>0.19495651211851867</v>
      </c>
    </row>
    <row r="24" spans="1:38">
      <c r="A24" s="34">
        <f>data4!L24</f>
        <v>1.3974344824418949E-5</v>
      </c>
      <c r="B24" s="4">
        <v>0.19215686619281769</v>
      </c>
      <c r="C24" s="4"/>
      <c r="D24" s="4">
        <v>0.19215686619281769</v>
      </c>
      <c r="E24" s="4"/>
      <c r="F24" s="4">
        <v>0.20392157137393951</v>
      </c>
      <c r="G24" s="4"/>
      <c r="H24" s="4"/>
      <c r="I24" s="4">
        <v>0.19215686619281769</v>
      </c>
      <c r="J24" s="4">
        <f>data1!B24</f>
        <v>0.18823529779911041</v>
      </c>
      <c r="K24" s="4">
        <f>data1!C24</f>
        <v>0.18823529779911041</v>
      </c>
      <c r="L24" s="4">
        <f>data1!D24</f>
        <v>0.19607843458652496</v>
      </c>
      <c r="M24" s="4">
        <f>data1!E24</f>
        <v>0.19607843458652496</v>
      </c>
      <c r="N24" s="4">
        <f>data1!F24</f>
        <v>0.20392157137393951</v>
      </c>
      <c r="O24" s="4">
        <f>data1!G24</f>
        <v>0.18823529779911041</v>
      </c>
      <c r="P24" s="4">
        <f>data1!H24</f>
        <v>0.19607843458652496</v>
      </c>
      <c r="Q24" s="4">
        <f>data1!I24</f>
        <v>0.19607843458652496</v>
      </c>
      <c r="R24" s="4">
        <f>data1!Z24</f>
        <v>0.20392157137393951</v>
      </c>
      <c r="S24" s="4">
        <f>data1!AA24</f>
        <v>0.20392157137393951</v>
      </c>
      <c r="T24" s="4">
        <f>data1!AB24</f>
        <v>0.18431372940540314</v>
      </c>
      <c r="U24" s="4">
        <f>data1!AC24</f>
        <v>0.18823529779911041</v>
      </c>
      <c r="V24" s="4">
        <f>data1!AD24</f>
        <v>0.20784313976764679</v>
      </c>
      <c r="W24" s="4">
        <f>data1!AE24</f>
        <v>0.19607843458652496</v>
      </c>
      <c r="X24" s="4">
        <f>data1!AF24</f>
        <v>0.19607843458652496</v>
      </c>
      <c r="Y24" s="4">
        <f>data1!AG24</f>
        <v>0.21176470816135406</v>
      </c>
      <c r="Z24" s="4">
        <v>0.21176470816135406</v>
      </c>
      <c r="AA24" s="4">
        <v>0.21176470816135406</v>
      </c>
      <c r="AB24" s="4">
        <v>0.19215686619281769</v>
      </c>
      <c r="AC24" s="4">
        <v>0.18431372940540314</v>
      </c>
      <c r="AD24" s="4">
        <v>0.20000000298023224</v>
      </c>
      <c r="AE24" s="4">
        <v>0.19607843458652496</v>
      </c>
      <c r="AF24" s="4">
        <v>0.19215686619281769</v>
      </c>
      <c r="AG24" s="4">
        <v>0.18431372940540314</v>
      </c>
      <c r="AH24" s="46">
        <f t="shared" si="5"/>
        <v>22</v>
      </c>
      <c r="AI24" s="9">
        <f t="shared" si="1"/>
        <v>8.3311203291868714E-3</v>
      </c>
      <c r="AJ24" s="9">
        <f t="shared" si="2"/>
        <v>0.18386186612086661</v>
      </c>
      <c r="AK24" s="4">
        <f t="shared" si="3"/>
        <v>0.19635854661464691</v>
      </c>
      <c r="AL24" s="9">
        <f t="shared" si="4"/>
        <v>0.20885522710842722</v>
      </c>
    </row>
    <row r="25" spans="1:38">
      <c r="A25" s="34">
        <f>data4!L25</f>
        <v>1.4983541291258007E-5</v>
      </c>
      <c r="B25" s="4">
        <v>0.20392157137393951</v>
      </c>
      <c r="C25" s="4"/>
      <c r="D25" s="4">
        <v>0.21176470816135406</v>
      </c>
      <c r="E25" s="4"/>
      <c r="F25" s="4">
        <v>0.21960784494876862</v>
      </c>
      <c r="G25" s="4"/>
      <c r="H25" s="4"/>
      <c r="I25" s="4">
        <v>0.20784313976764679</v>
      </c>
      <c r="J25" s="4">
        <f>data1!B25</f>
        <v>0.20000000298023224</v>
      </c>
      <c r="K25" s="4">
        <f>data1!C25</f>
        <v>0.20000000298023224</v>
      </c>
      <c r="L25" s="4">
        <f>data1!D25</f>
        <v>0.21176470816135406</v>
      </c>
      <c r="M25" s="4">
        <f>data1!E25</f>
        <v>0.21176470816135406</v>
      </c>
      <c r="N25" s="4">
        <f>data1!F25</f>
        <v>0.21960784494876862</v>
      </c>
      <c r="O25" s="4">
        <f>data1!G25</f>
        <v>0.20392157137393951</v>
      </c>
      <c r="P25" s="4">
        <f>data1!H25</f>
        <v>0.21176470816135406</v>
      </c>
      <c r="Q25" s="4">
        <f>data1!I25</f>
        <v>0.21176470816135406</v>
      </c>
      <c r="R25" s="4">
        <f>data1!Z25</f>
        <v>0.21960784494876862</v>
      </c>
      <c r="S25" s="4">
        <f>data1!AA25</f>
        <v>0.21568627655506134</v>
      </c>
      <c r="T25" s="4">
        <f>data1!AB25</f>
        <v>0.20000000298023224</v>
      </c>
      <c r="U25" s="4">
        <f>data1!AC25</f>
        <v>0.20784313976764679</v>
      </c>
      <c r="V25" s="4">
        <f>data1!AD25</f>
        <v>0.22352941334247589</v>
      </c>
      <c r="W25" s="4">
        <f>data1!AE25</f>
        <v>0.21176470816135406</v>
      </c>
      <c r="X25" s="4">
        <f>data1!AF25</f>
        <v>0.21176470816135406</v>
      </c>
      <c r="Y25" s="4">
        <f>data1!AG25</f>
        <v>0.22745098173618317</v>
      </c>
      <c r="Z25" s="4">
        <v>0.23137255012989044</v>
      </c>
      <c r="AA25" s="4">
        <v>0.23137255012989044</v>
      </c>
      <c r="AB25" s="4">
        <v>0.20784313976764679</v>
      </c>
      <c r="AC25" s="4">
        <v>0.20392157137393951</v>
      </c>
      <c r="AD25" s="4">
        <v>0.21568627655506134</v>
      </c>
      <c r="AE25" s="4">
        <v>0.21176470816135406</v>
      </c>
      <c r="AF25" s="4">
        <v>0.20784313976764679</v>
      </c>
      <c r="AG25" s="4">
        <v>0.19607843458652496</v>
      </c>
      <c r="AH25" s="46">
        <f t="shared" si="5"/>
        <v>23</v>
      </c>
      <c r="AI25" s="9">
        <f t="shared" si="1"/>
        <v>9.1769648127156475E-3</v>
      </c>
      <c r="AJ25" s="9">
        <f t="shared" si="2"/>
        <v>0.19827937297040255</v>
      </c>
      <c r="AK25" s="4">
        <f t="shared" si="3"/>
        <v>0.21204482018947601</v>
      </c>
      <c r="AL25" s="9">
        <f t="shared" si="4"/>
        <v>0.22581026740854948</v>
      </c>
    </row>
    <row r="26" spans="1:38">
      <c r="A26" s="34">
        <f>data4!L26</f>
        <v>1.617785460439336E-5</v>
      </c>
      <c r="B26" s="4">
        <v>0.21960784494876862</v>
      </c>
      <c r="C26" s="4"/>
      <c r="D26" s="4">
        <v>0.22745098173618317</v>
      </c>
      <c r="E26" s="4"/>
      <c r="F26" s="4">
        <v>0.23529411852359772</v>
      </c>
      <c r="G26" s="4"/>
      <c r="H26" s="4"/>
      <c r="I26" s="4">
        <v>0.21960784494876862</v>
      </c>
      <c r="J26" s="4">
        <f>data1!B26</f>
        <v>0.21960784494876862</v>
      </c>
      <c r="K26" s="4">
        <f>data1!C26</f>
        <v>0.21176470816135406</v>
      </c>
      <c r="L26" s="4">
        <f>data1!D26</f>
        <v>0.21960784494876862</v>
      </c>
      <c r="M26" s="4">
        <f>data1!E26</f>
        <v>0.22745098173618317</v>
      </c>
      <c r="N26" s="4">
        <f>data1!F26</f>
        <v>0.23529411852359772</v>
      </c>
      <c r="O26" s="4">
        <f>data1!G26</f>
        <v>0.21568627655506134</v>
      </c>
      <c r="P26" s="4">
        <f>data1!H26</f>
        <v>0.22745098173618317</v>
      </c>
      <c r="Q26" s="4">
        <f>data1!I26</f>
        <v>0.22745098173618317</v>
      </c>
      <c r="R26" s="4">
        <f>data1!Z26</f>
        <v>0.23529411852359772</v>
      </c>
      <c r="S26" s="4">
        <f>data1!AA26</f>
        <v>0.23529411852359772</v>
      </c>
      <c r="T26" s="4">
        <f>data1!AB26</f>
        <v>0.21568627655506134</v>
      </c>
      <c r="U26" s="4">
        <f>data1!AC26</f>
        <v>0.21960784494876862</v>
      </c>
      <c r="V26" s="4">
        <f>data1!AD26</f>
        <v>0.23921568691730499</v>
      </c>
      <c r="W26" s="4">
        <f>data1!AE26</f>
        <v>0.22745098173618317</v>
      </c>
      <c r="X26" s="4">
        <f>data1!AF26</f>
        <v>0.22745098173618317</v>
      </c>
      <c r="Y26" s="4">
        <f>data1!AG26</f>
        <v>0.24313725531101227</v>
      </c>
      <c r="Z26" s="4">
        <v>0.24705882370471954</v>
      </c>
      <c r="AA26" s="4">
        <v>0.24705882370471954</v>
      </c>
      <c r="AB26" s="4">
        <v>0.22352941334247589</v>
      </c>
      <c r="AC26" s="4">
        <v>0.21568627655506134</v>
      </c>
      <c r="AD26" s="4">
        <v>0.23137255012989044</v>
      </c>
      <c r="AE26" s="4">
        <v>0.22745098173618317</v>
      </c>
      <c r="AF26" s="4">
        <v>0.22745098173618317</v>
      </c>
      <c r="AG26" s="4">
        <v>0.21176470816135406</v>
      </c>
      <c r="AH26" s="46">
        <f t="shared" si="5"/>
        <v>24</v>
      </c>
      <c r="AI26" s="9">
        <f t="shared" si="1"/>
        <v>9.893767611181525E-3</v>
      </c>
      <c r="AJ26" s="9">
        <f t="shared" si="2"/>
        <v>0.21233021829128892</v>
      </c>
      <c r="AK26" s="4">
        <f t="shared" si="3"/>
        <v>0.22717086970806122</v>
      </c>
      <c r="AL26" s="9">
        <f t="shared" si="4"/>
        <v>0.24201152112483351</v>
      </c>
    </row>
    <row r="27" spans="1:38">
      <c r="A27" s="34">
        <f>data4!L27</f>
        <v>1.7273268667850061E-5</v>
      </c>
      <c r="B27" s="4">
        <v>0.23921568691730499</v>
      </c>
      <c r="C27" s="4"/>
      <c r="D27" s="4">
        <v>0.24313725531101227</v>
      </c>
      <c r="E27" s="4"/>
      <c r="F27" s="4">
        <v>0.25098040699958801</v>
      </c>
      <c r="G27" s="4"/>
      <c r="H27" s="4"/>
      <c r="I27" s="4">
        <v>0.23529411852359772</v>
      </c>
      <c r="J27" s="4">
        <f>data1!B27</f>
        <v>0.23529411852359772</v>
      </c>
      <c r="K27" s="4">
        <f>data1!C27</f>
        <v>0.22745098173618317</v>
      </c>
      <c r="L27" s="4">
        <f>data1!D27</f>
        <v>0.24313725531101227</v>
      </c>
      <c r="M27" s="4">
        <f>data1!E27</f>
        <v>0.24313725531101227</v>
      </c>
      <c r="N27" s="4">
        <f>data1!F27</f>
        <v>0.25098040699958801</v>
      </c>
      <c r="O27" s="4">
        <f>data1!G27</f>
        <v>0.23529411852359772</v>
      </c>
      <c r="P27" s="4">
        <f>data1!H27</f>
        <v>0.24313725531101227</v>
      </c>
      <c r="Q27" s="4">
        <f>data1!I27</f>
        <v>0.24313725531101227</v>
      </c>
      <c r="R27" s="4">
        <f>data1!Z27</f>
        <v>0.25490197539329529</v>
      </c>
      <c r="S27" s="4">
        <f>data1!AA27</f>
        <v>0.25098040699958801</v>
      </c>
      <c r="T27" s="4">
        <f>data1!AB27</f>
        <v>0.23137255012989044</v>
      </c>
      <c r="U27" s="4">
        <f>data1!AC27</f>
        <v>0.23529411852359772</v>
      </c>
      <c r="V27" s="4">
        <f>data1!AD27</f>
        <v>0.25882354378700256</v>
      </c>
      <c r="W27" s="4">
        <f>data1!AE27</f>
        <v>0.24313725531101227</v>
      </c>
      <c r="X27" s="4">
        <f>data1!AF27</f>
        <v>0.24313725531101227</v>
      </c>
      <c r="Y27" s="4">
        <f>data1!AG27</f>
        <v>0.26666668057441711</v>
      </c>
      <c r="Z27" s="4">
        <v>0.26666668057441711</v>
      </c>
      <c r="AA27" s="4">
        <v>0.26666668057441711</v>
      </c>
      <c r="AB27" s="4">
        <v>0.23921568691730499</v>
      </c>
      <c r="AC27" s="4">
        <v>0.22745098173618317</v>
      </c>
      <c r="AD27" s="4">
        <v>0.24705882370471954</v>
      </c>
      <c r="AE27" s="4">
        <v>0.24313725531101227</v>
      </c>
      <c r="AF27" s="4">
        <v>0.23921568691730499</v>
      </c>
      <c r="AG27" s="4">
        <v>0.22745098173618317</v>
      </c>
      <c r="AH27" s="46">
        <f t="shared" si="5"/>
        <v>25</v>
      </c>
      <c r="AI27" s="9">
        <f t="shared" si="1"/>
        <v>1.121226496772338E-2</v>
      </c>
      <c r="AJ27" s="9">
        <f t="shared" si="2"/>
        <v>0.22715919820126768</v>
      </c>
      <c r="AK27" s="4">
        <f t="shared" si="3"/>
        <v>0.24397759565285274</v>
      </c>
      <c r="AL27" s="9">
        <f t="shared" si="4"/>
        <v>0.2607959931044378</v>
      </c>
    </row>
    <row r="28" spans="1:38">
      <c r="A28" s="34">
        <f>data4!L28</f>
        <v>1.8448091850586934E-5</v>
      </c>
      <c r="B28" s="4">
        <v>0.25882354378700256</v>
      </c>
      <c r="C28" s="4"/>
      <c r="D28" s="4">
        <v>0.25882354378700256</v>
      </c>
      <c r="E28" s="4"/>
      <c r="F28" s="4">
        <v>0.27058824896812439</v>
      </c>
      <c r="G28" s="4"/>
      <c r="H28" s="4"/>
      <c r="I28" s="4">
        <v>0.25490197539329529</v>
      </c>
      <c r="J28" s="4">
        <f>data1!B28</f>
        <v>0.25098040699958801</v>
      </c>
      <c r="K28" s="4">
        <f>data1!C28</f>
        <v>0.24705882370471954</v>
      </c>
      <c r="L28" s="4">
        <f>data1!D28</f>
        <v>0.26274511218070984</v>
      </c>
      <c r="M28" s="4">
        <f>data1!E28</f>
        <v>0.26274511218070984</v>
      </c>
      <c r="N28" s="4">
        <f>data1!F28</f>
        <v>0.27058824896812439</v>
      </c>
      <c r="O28" s="4">
        <f>data1!G28</f>
        <v>0.25490197539329529</v>
      </c>
      <c r="P28" s="4">
        <f>data1!H28</f>
        <v>0.25490197539329529</v>
      </c>
      <c r="Q28" s="4">
        <f>data1!I28</f>
        <v>0.25882354378700256</v>
      </c>
      <c r="R28" s="4">
        <f>data1!Z28</f>
        <v>0.27450981736183167</v>
      </c>
      <c r="S28" s="4">
        <f>data1!AA28</f>
        <v>0.27058824896812439</v>
      </c>
      <c r="T28" s="4">
        <f>data1!AB28</f>
        <v>0.25098040699958801</v>
      </c>
      <c r="U28" s="4">
        <f>data1!AC28</f>
        <v>0.25098040699958801</v>
      </c>
      <c r="V28" s="4">
        <f>data1!AD28</f>
        <v>0.27450981736183167</v>
      </c>
      <c r="W28" s="4">
        <f>data1!AE28</f>
        <v>0.26274511218070984</v>
      </c>
      <c r="X28" s="4">
        <f>data1!AF28</f>
        <v>0.26274511218070984</v>
      </c>
      <c r="Y28" s="4">
        <f>data1!AG28</f>
        <v>0.28235295414924622</v>
      </c>
      <c r="Z28" s="4">
        <v>0.28235295414924622</v>
      </c>
      <c r="AA28" s="4">
        <v>0.28235295414924622</v>
      </c>
      <c r="AB28" s="4">
        <v>0.25490197539329529</v>
      </c>
      <c r="AC28" s="4">
        <v>0.24313725531101227</v>
      </c>
      <c r="AD28" s="4">
        <v>0.26666668057441711</v>
      </c>
      <c r="AE28" s="4">
        <v>0.25882354378700256</v>
      </c>
      <c r="AF28" s="4">
        <v>0.25882354378700256</v>
      </c>
      <c r="AG28" s="4">
        <v>0.24313725531101227</v>
      </c>
      <c r="AH28" s="46">
        <f t="shared" si="5"/>
        <v>26</v>
      </c>
      <c r="AI28" s="9">
        <f t="shared" si="1"/>
        <v>1.1135801342264148E-2</v>
      </c>
      <c r="AJ28" s="9">
        <f t="shared" si="2"/>
        <v>0.24492096045827283</v>
      </c>
      <c r="AK28" s="4">
        <f t="shared" si="3"/>
        <v>0.26162466247166904</v>
      </c>
      <c r="AL28" s="9">
        <f t="shared" si="4"/>
        <v>0.27832836448506526</v>
      </c>
    </row>
    <row r="29" spans="1:38">
      <c r="A29" s="34">
        <f>data4!L29</f>
        <v>1.9657055645438959E-5</v>
      </c>
      <c r="B29" s="4">
        <v>0.27450981736183167</v>
      </c>
      <c r="C29" s="4"/>
      <c r="D29" s="4">
        <v>0.27450981736183167</v>
      </c>
      <c r="E29" s="4"/>
      <c r="F29" s="4">
        <v>0.28627452254295349</v>
      </c>
      <c r="G29" s="4"/>
      <c r="H29" s="4"/>
      <c r="I29" s="4">
        <v>0.27058824896812439</v>
      </c>
      <c r="J29" s="4">
        <f>data1!B29</f>
        <v>0.26666668057441711</v>
      </c>
      <c r="K29" s="4">
        <f>data1!C29</f>
        <v>0.26666668057441711</v>
      </c>
      <c r="L29" s="4">
        <f>data1!D29</f>
        <v>0.27843138575553894</v>
      </c>
      <c r="M29" s="4">
        <f>data1!E29</f>
        <v>0.27450981736183167</v>
      </c>
      <c r="N29" s="4">
        <f>data1!F29</f>
        <v>0.29019609093666077</v>
      </c>
      <c r="O29" s="4">
        <f>data1!G29</f>
        <v>0.27058824896812439</v>
      </c>
      <c r="P29" s="4">
        <f>data1!H29</f>
        <v>0.28235295414924622</v>
      </c>
      <c r="Q29" s="4">
        <f>data1!I29</f>
        <v>0.27843138575553894</v>
      </c>
      <c r="R29" s="4">
        <f>data1!Z29</f>
        <v>0.29019609093666077</v>
      </c>
      <c r="S29" s="4">
        <f>data1!AA29</f>
        <v>0.28627452254295349</v>
      </c>
      <c r="T29" s="4">
        <f>data1!AB29</f>
        <v>0.26666668057441711</v>
      </c>
      <c r="U29" s="4">
        <f>data1!AC29</f>
        <v>0.27058824896812439</v>
      </c>
      <c r="V29" s="4">
        <f>data1!AD29</f>
        <v>0.29411765933036804</v>
      </c>
      <c r="W29" s="4">
        <f>data1!AE29</f>
        <v>0.28235295414924622</v>
      </c>
      <c r="X29" s="4">
        <f>data1!AF29</f>
        <v>0.27843138575553894</v>
      </c>
      <c r="Y29" s="4">
        <f>data1!AG29</f>
        <v>0.29803922772407532</v>
      </c>
      <c r="Z29" s="4">
        <v>0.30196079611778259</v>
      </c>
      <c r="AA29" s="4">
        <v>0.30196079611778259</v>
      </c>
      <c r="AB29" s="4">
        <v>0.27450981736183167</v>
      </c>
      <c r="AC29" s="4">
        <v>0.25882354378700256</v>
      </c>
      <c r="AD29" s="4">
        <v>0.28235295414924622</v>
      </c>
      <c r="AE29" s="4">
        <v>0.27450981736183167</v>
      </c>
      <c r="AF29" s="4">
        <v>0.27450981736183167</v>
      </c>
      <c r="AG29" s="4">
        <v>0.26274511218070984</v>
      </c>
      <c r="AH29" s="46">
        <f t="shared" si="5"/>
        <v>27</v>
      </c>
      <c r="AI29" s="9">
        <f t="shared" si="1"/>
        <v>1.1381524125232929E-2</v>
      </c>
      <c r="AJ29" s="9">
        <f t="shared" si="2"/>
        <v>0.26191932362393344</v>
      </c>
      <c r="AK29" s="4">
        <f t="shared" si="3"/>
        <v>0.27899160981178284</v>
      </c>
      <c r="AL29" s="9">
        <f t="shared" si="4"/>
        <v>0.29606389599963223</v>
      </c>
    </row>
    <row r="30" spans="1:38">
      <c r="A30" s="34">
        <f>data4!L30</f>
        <v>2.0824373905270477E-5</v>
      </c>
      <c r="B30" s="4">
        <v>0.29019609093666077</v>
      </c>
      <c r="C30" s="4"/>
      <c r="D30" s="4">
        <v>0.29411765933036804</v>
      </c>
      <c r="E30" s="4"/>
      <c r="F30" s="4">
        <v>0.30196079611778259</v>
      </c>
      <c r="G30" s="4"/>
      <c r="H30" s="4"/>
      <c r="I30" s="4">
        <v>0.29019609093666077</v>
      </c>
      <c r="J30" s="4">
        <f>data1!B30</f>
        <v>0.28627452254295349</v>
      </c>
      <c r="K30" s="4">
        <f>data1!C30</f>
        <v>0.28235295414924622</v>
      </c>
      <c r="L30" s="4">
        <f>data1!D30</f>
        <v>0.29803922772407532</v>
      </c>
      <c r="M30" s="4">
        <f>data1!E30</f>
        <v>0.29411765933036804</v>
      </c>
      <c r="N30" s="4">
        <f>data1!F30</f>
        <v>0.30588236451148987</v>
      </c>
      <c r="O30" s="4">
        <f>data1!G30</f>
        <v>0.29019609093666077</v>
      </c>
      <c r="P30" s="4">
        <f>data1!H30</f>
        <v>0.29803922772407532</v>
      </c>
      <c r="Q30" s="4">
        <f>data1!I30</f>
        <v>0.29803922772407532</v>
      </c>
      <c r="R30" s="4">
        <f>data1!Z30</f>
        <v>0.30980393290519714</v>
      </c>
      <c r="S30" s="4">
        <f>data1!AA30</f>
        <v>0.30588236451148987</v>
      </c>
      <c r="T30" s="4">
        <f>data1!AB30</f>
        <v>0.28627452254295349</v>
      </c>
      <c r="U30" s="4">
        <f>data1!AC30</f>
        <v>0.29019609093666077</v>
      </c>
      <c r="V30" s="4">
        <f>data1!AD30</f>
        <v>0.31372550129890442</v>
      </c>
      <c r="W30" s="4">
        <f>data1!AE30</f>
        <v>0.29803922772407532</v>
      </c>
      <c r="X30" s="4">
        <f>data1!AF30</f>
        <v>0.29803922772407532</v>
      </c>
      <c r="Y30" s="4">
        <f>data1!AG30</f>
        <v>0.31764706969261169</v>
      </c>
      <c r="Z30" s="4">
        <v>0.32156863808631897</v>
      </c>
      <c r="AA30" s="4">
        <v>0.32156863808631897</v>
      </c>
      <c r="AB30" s="4">
        <v>0.29019609093666077</v>
      </c>
      <c r="AC30" s="4">
        <v>0.27843138575553894</v>
      </c>
      <c r="AD30" s="4">
        <v>0.29803922772407532</v>
      </c>
      <c r="AE30" s="4">
        <v>0.29411765933036804</v>
      </c>
      <c r="AF30" s="4">
        <v>0.29019609093666077</v>
      </c>
      <c r="AG30" s="4">
        <v>0.27450981736183167</v>
      </c>
      <c r="AH30" s="46">
        <f t="shared" si="5"/>
        <v>28</v>
      </c>
      <c r="AI30" s="9">
        <f t="shared" si="1"/>
        <v>1.1962747795280393E-2</v>
      </c>
      <c r="AJ30" s="9">
        <f t="shared" si="2"/>
        <v>0.27911471393272791</v>
      </c>
      <c r="AK30" s="4">
        <f t="shared" si="3"/>
        <v>0.2970588356256485</v>
      </c>
      <c r="AL30" s="9">
        <f t="shared" si="4"/>
        <v>0.31500295731856909</v>
      </c>
    </row>
    <row r="31" spans="1:38">
      <c r="A31" s="34">
        <f>data4!L31</f>
        <v>2.2161877268445096E-5</v>
      </c>
      <c r="B31" s="4">
        <v>0.30588236451148987</v>
      </c>
      <c r="C31" s="4"/>
      <c r="D31" s="4">
        <v>0.31372550129890442</v>
      </c>
      <c r="E31" s="4"/>
      <c r="F31" s="4">
        <v>0.32549020648002625</v>
      </c>
      <c r="G31" s="4"/>
      <c r="H31" s="4"/>
      <c r="I31" s="4">
        <v>0.30588236451148987</v>
      </c>
      <c r="J31" s="4">
        <f>data1!B31</f>
        <v>0.30588236451148987</v>
      </c>
      <c r="K31" s="4">
        <f>data1!C31</f>
        <v>0.29803922772407532</v>
      </c>
      <c r="L31" s="4">
        <f>data1!D31</f>
        <v>0.30980393290519714</v>
      </c>
      <c r="M31" s="4">
        <f>data1!E31</f>
        <v>0.31372550129890442</v>
      </c>
      <c r="N31" s="4">
        <f>data1!F31</f>
        <v>0.32941177487373352</v>
      </c>
      <c r="O31" s="4">
        <f>data1!G31</f>
        <v>0.30588236451148987</v>
      </c>
      <c r="P31" s="4">
        <f>data1!H31</f>
        <v>0.31372550129890442</v>
      </c>
      <c r="Q31" s="4">
        <f>data1!I31</f>
        <v>0.31372550129890442</v>
      </c>
      <c r="R31" s="4">
        <f>data1!Z31</f>
        <v>0.32941177487373352</v>
      </c>
      <c r="S31" s="4">
        <f>data1!AA31</f>
        <v>0.32156863808631897</v>
      </c>
      <c r="T31" s="4">
        <f>data1!AB31</f>
        <v>0.30588236451148987</v>
      </c>
      <c r="U31" s="4">
        <f>data1!AC31</f>
        <v>0.30588236451148987</v>
      </c>
      <c r="V31" s="4">
        <f>data1!AD31</f>
        <v>0.32941177487373352</v>
      </c>
      <c r="W31" s="4">
        <f>data1!AE31</f>
        <v>0.31372550129890442</v>
      </c>
      <c r="X31" s="4">
        <f>data1!AF31</f>
        <v>0.32156863808631897</v>
      </c>
      <c r="Y31" s="4">
        <f>data1!AG31</f>
        <v>0.33725491166114807</v>
      </c>
      <c r="Z31" s="4">
        <v>0.33725491166114807</v>
      </c>
      <c r="AA31" s="4">
        <v>0.33725491166114807</v>
      </c>
      <c r="AB31" s="4">
        <v>0.30980393290519714</v>
      </c>
      <c r="AC31" s="4">
        <v>0.29803922772407532</v>
      </c>
      <c r="AD31" s="4">
        <v>0.32156863808631897</v>
      </c>
      <c r="AE31" s="4">
        <v>0.31372550129890442</v>
      </c>
      <c r="AF31" s="4">
        <v>0.30980393290519714</v>
      </c>
      <c r="AG31" s="4">
        <v>0.29019609093666077</v>
      </c>
      <c r="AH31" s="46">
        <f t="shared" si="5"/>
        <v>29</v>
      </c>
      <c r="AI31" s="9">
        <f t="shared" si="1"/>
        <v>1.2364947639561266E-2</v>
      </c>
      <c r="AJ31" s="9">
        <f t="shared" si="2"/>
        <v>0.29657863998017225</v>
      </c>
      <c r="AK31" s="4">
        <f t="shared" si="3"/>
        <v>0.31512606143951416</v>
      </c>
      <c r="AL31" s="9">
        <f t="shared" si="4"/>
        <v>0.33367348289885607</v>
      </c>
    </row>
    <row r="32" spans="1:38">
      <c r="A32" s="34">
        <f>data4!L32</f>
        <v>2.3445577653546934E-5</v>
      </c>
      <c r="B32" s="4">
        <v>0.32156863808631897</v>
      </c>
      <c r="C32" s="4"/>
      <c r="D32" s="4">
        <v>0.32941177487373352</v>
      </c>
      <c r="E32" s="4"/>
      <c r="F32" s="4">
        <v>0.33725491166114807</v>
      </c>
      <c r="G32" s="4"/>
      <c r="H32" s="4"/>
      <c r="I32" s="4">
        <v>0.32156863808631897</v>
      </c>
      <c r="J32" s="4">
        <f>data1!B32</f>
        <v>0.32156863808631897</v>
      </c>
      <c r="K32" s="4">
        <f>data1!C32</f>
        <v>0.32156863808631897</v>
      </c>
      <c r="L32" s="4">
        <f>data1!D32</f>
        <v>0.33725491166114807</v>
      </c>
      <c r="M32" s="4">
        <f>data1!E32</f>
        <v>0.33725491166114807</v>
      </c>
      <c r="N32" s="4">
        <f>data1!F32</f>
        <v>0.34509804844856262</v>
      </c>
      <c r="O32" s="4">
        <f>data1!G32</f>
        <v>0.32549020648002625</v>
      </c>
      <c r="P32" s="4">
        <f>data1!H32</f>
        <v>0.33725491166114807</v>
      </c>
      <c r="Q32" s="4">
        <f>data1!I32</f>
        <v>0.33725491166114807</v>
      </c>
      <c r="R32" s="4">
        <f>data1!Z32</f>
        <v>0.34509804844856262</v>
      </c>
      <c r="S32" s="4">
        <f>data1!AA32</f>
        <v>0.34509804844856262</v>
      </c>
      <c r="T32" s="4">
        <f>data1!AB32</f>
        <v>0.32156863808631897</v>
      </c>
      <c r="U32" s="4">
        <f>data1!AC32</f>
        <v>0.32941177487373352</v>
      </c>
      <c r="V32" s="4">
        <f>data1!AD32</f>
        <v>0.35294118523597717</v>
      </c>
      <c r="W32" s="4">
        <f>data1!AE32</f>
        <v>0.33725491166114807</v>
      </c>
      <c r="X32" s="4">
        <f>data1!AF32</f>
        <v>0.33725491166114807</v>
      </c>
      <c r="Y32" s="4">
        <f>data1!AG32</f>
        <v>0.36078432202339172</v>
      </c>
      <c r="Z32" s="4">
        <v>0.36078432202339172</v>
      </c>
      <c r="AA32" s="4">
        <v>0.36078432202339172</v>
      </c>
      <c r="AB32" s="4">
        <v>0.32941177487373352</v>
      </c>
      <c r="AC32" s="4">
        <v>0.31764706969261169</v>
      </c>
      <c r="AD32" s="4">
        <v>0.33725491166114807</v>
      </c>
      <c r="AE32" s="4">
        <v>0.32941177487373352</v>
      </c>
      <c r="AF32" s="4">
        <v>0.32941177487373352</v>
      </c>
      <c r="AG32" s="4">
        <v>0.31372550129890442</v>
      </c>
      <c r="AH32" s="46">
        <f t="shared" si="5"/>
        <v>30</v>
      </c>
      <c r="AI32" s="9">
        <f t="shared" si="1"/>
        <v>1.3003242540064732E-2</v>
      </c>
      <c r="AJ32" s="9">
        <f t="shared" si="2"/>
        <v>0.3155091516260754</v>
      </c>
      <c r="AK32" s="4">
        <f t="shared" si="3"/>
        <v>0.33501401543617249</v>
      </c>
      <c r="AL32" s="9">
        <f t="shared" si="4"/>
        <v>0.35451887924626957</v>
      </c>
    </row>
    <row r="33" spans="1:38">
      <c r="A33" s="34">
        <f>data4!L33</f>
        <v>2.4792808517304366E-5</v>
      </c>
      <c r="B33" s="4">
        <v>0.34509804844856262</v>
      </c>
      <c r="C33" s="4"/>
      <c r="D33" s="4">
        <v>0.34509804844856262</v>
      </c>
      <c r="E33" s="4"/>
      <c r="F33" s="4">
        <v>0.35686275362968445</v>
      </c>
      <c r="G33" s="4"/>
      <c r="H33" s="4"/>
      <c r="I33" s="4">
        <v>0.34509804844856262</v>
      </c>
      <c r="J33" s="4">
        <f>data1!B33</f>
        <v>0.33725491166114807</v>
      </c>
      <c r="K33" s="4">
        <f>data1!C33</f>
        <v>0.33725491166114807</v>
      </c>
      <c r="L33" s="4">
        <f>data1!D33</f>
        <v>0.35294118523597717</v>
      </c>
      <c r="M33" s="4">
        <f>data1!E33</f>
        <v>0.35294118523597717</v>
      </c>
      <c r="N33" s="4">
        <f>data1!F33</f>
        <v>0.36862745881080627</v>
      </c>
      <c r="O33" s="4">
        <f>data1!G33</f>
        <v>0.34509804844856262</v>
      </c>
      <c r="P33" s="4">
        <f>data1!H33</f>
        <v>0.35294118523597717</v>
      </c>
      <c r="Q33" s="4">
        <f>data1!I33</f>
        <v>0.35294118523597717</v>
      </c>
      <c r="R33" s="4">
        <f>data1!Z33</f>
        <v>0.36862745881080627</v>
      </c>
      <c r="S33" s="4">
        <f>data1!AA33</f>
        <v>0.36078432202339172</v>
      </c>
      <c r="T33" s="4">
        <f>data1!AB33</f>
        <v>0.34509804844856262</v>
      </c>
      <c r="U33" s="4">
        <f>data1!AC33</f>
        <v>0.34509804844856262</v>
      </c>
      <c r="V33" s="4">
        <f>data1!AD33</f>
        <v>0.36862745881080627</v>
      </c>
      <c r="W33" s="4">
        <f>data1!AE33</f>
        <v>0.35686275362968445</v>
      </c>
      <c r="X33" s="4">
        <f>data1!AF33</f>
        <v>0.35294118523597717</v>
      </c>
      <c r="Y33" s="4">
        <f>data1!AG33</f>
        <v>0.37647059559822083</v>
      </c>
      <c r="Z33" s="4">
        <v>0.3803921639919281</v>
      </c>
      <c r="AA33" s="4">
        <v>0.3803921639919281</v>
      </c>
      <c r="AB33" s="4">
        <v>0.34509804844856262</v>
      </c>
      <c r="AC33" s="4">
        <v>0.3333333432674408</v>
      </c>
      <c r="AD33" s="4">
        <v>0.36078432202339172</v>
      </c>
      <c r="AE33" s="4">
        <v>0.35294118523597717</v>
      </c>
      <c r="AF33" s="4">
        <v>0.34509804844856262</v>
      </c>
      <c r="AG33" s="4">
        <v>0.32941177487373352</v>
      </c>
      <c r="AH33" s="46">
        <f t="shared" si="5"/>
        <v>31</v>
      </c>
      <c r="AI33" s="9">
        <f t="shared" si="1"/>
        <v>1.3430347509562138E-2</v>
      </c>
      <c r="AJ33" s="9">
        <f t="shared" si="2"/>
        <v>0.33321583201381688</v>
      </c>
      <c r="AK33" s="4">
        <f t="shared" si="3"/>
        <v>0.3533613532781601</v>
      </c>
      <c r="AL33" s="9">
        <f t="shared" si="4"/>
        <v>0.37350687454250331</v>
      </c>
    </row>
    <row r="34" spans="1:38">
      <c r="A34" s="34">
        <f>data4!L34</f>
        <v>2.610584760986967E-5</v>
      </c>
      <c r="B34" s="4">
        <v>0.36078432202339172</v>
      </c>
      <c r="C34" s="4"/>
      <c r="D34" s="4">
        <v>0.36862745881080627</v>
      </c>
      <c r="E34" s="4"/>
      <c r="F34" s="4">
        <v>0.38431373238563538</v>
      </c>
      <c r="G34" s="4"/>
      <c r="H34" s="4"/>
      <c r="I34" s="4">
        <v>0.36078432202339172</v>
      </c>
      <c r="J34" s="4">
        <f>data1!B34</f>
        <v>0.36078432202339172</v>
      </c>
      <c r="K34" s="4">
        <f>data1!C34</f>
        <v>0.35686275362968445</v>
      </c>
      <c r="L34" s="4">
        <f>data1!D34</f>
        <v>0.37647059559822083</v>
      </c>
      <c r="M34" s="4">
        <f>data1!E34</f>
        <v>0.36862745881080627</v>
      </c>
      <c r="N34" s="4">
        <f>data1!F34</f>
        <v>0.38431373238563538</v>
      </c>
      <c r="O34" s="4">
        <f>data1!G34</f>
        <v>0.364705890417099</v>
      </c>
      <c r="P34" s="4">
        <f>data1!H34</f>
        <v>0.37254902720451355</v>
      </c>
      <c r="Q34" s="4">
        <f>data1!I34</f>
        <v>0.37647059559822083</v>
      </c>
      <c r="R34" s="4">
        <f>data1!Z34</f>
        <v>0.38431373238563538</v>
      </c>
      <c r="S34" s="4">
        <f>data1!AA34</f>
        <v>0.38431373238563538</v>
      </c>
      <c r="T34" s="4">
        <f>data1!AB34</f>
        <v>0.36078432202339172</v>
      </c>
      <c r="U34" s="4">
        <f>data1!AC34</f>
        <v>0.364705890417099</v>
      </c>
      <c r="V34" s="4">
        <f>data1!AD34</f>
        <v>0.39215686917304993</v>
      </c>
      <c r="W34" s="4">
        <f>data1!AE34</f>
        <v>0.37647059559822083</v>
      </c>
      <c r="X34" s="4">
        <f>data1!AF34</f>
        <v>0.37647059559822083</v>
      </c>
      <c r="Y34" s="4">
        <f>data1!AG34</f>
        <v>0.40000000596046448</v>
      </c>
      <c r="Z34" s="4">
        <v>0.40000000596046448</v>
      </c>
      <c r="AA34" s="4">
        <v>0.40000000596046448</v>
      </c>
      <c r="AB34" s="4">
        <v>0.36862745881080627</v>
      </c>
      <c r="AC34" s="4">
        <v>0.35686275362968445</v>
      </c>
      <c r="AD34" s="4">
        <v>0.37647059559822083</v>
      </c>
      <c r="AE34" s="4">
        <v>0.36862745881080627</v>
      </c>
      <c r="AF34" s="4">
        <v>0.36862745881080627</v>
      </c>
      <c r="AG34" s="4">
        <v>0.3490196168422699</v>
      </c>
      <c r="AH34" s="46">
        <f t="shared" si="5"/>
        <v>32</v>
      </c>
      <c r="AI34" s="9">
        <f t="shared" si="1"/>
        <v>1.3662356025760472E-2</v>
      </c>
      <c r="AJ34" s="9">
        <f t="shared" si="2"/>
        <v>0.35317594127836061</v>
      </c>
      <c r="AK34" s="4">
        <f t="shared" si="3"/>
        <v>0.37366947531700134</v>
      </c>
      <c r="AL34" s="9">
        <f t="shared" si="4"/>
        <v>0.39416300935564208</v>
      </c>
    </row>
    <row r="35" spans="1:38">
      <c r="A35" s="34">
        <f>data4!L35</f>
        <v>2.7474434091345756E-5</v>
      </c>
      <c r="B35" s="4">
        <v>0.38431373238563538</v>
      </c>
      <c r="C35" s="4"/>
      <c r="D35" s="4">
        <v>0.39215686917304993</v>
      </c>
      <c r="E35" s="4"/>
      <c r="F35" s="4">
        <v>0.40392157435417175</v>
      </c>
      <c r="G35" s="4"/>
      <c r="H35" s="4"/>
      <c r="I35" s="4">
        <v>0.38431373238563538</v>
      </c>
      <c r="J35" s="4">
        <f>data1!B35</f>
        <v>0.37647059559822083</v>
      </c>
      <c r="K35" s="4">
        <f>data1!C35</f>
        <v>0.37254902720451355</v>
      </c>
      <c r="L35" s="4">
        <f>data1!D35</f>
        <v>0.38431373238563538</v>
      </c>
      <c r="M35" s="4">
        <f>data1!E35</f>
        <v>0.39215686917304993</v>
      </c>
      <c r="N35" s="4">
        <f>data1!F35</f>
        <v>0.40784314274787903</v>
      </c>
      <c r="O35" s="4">
        <f>data1!G35</f>
        <v>0.38431373238563538</v>
      </c>
      <c r="P35" s="4">
        <f>data1!H35</f>
        <v>0.39215686917304993</v>
      </c>
      <c r="Q35" s="4">
        <f>data1!I35</f>
        <v>0.3960784375667572</v>
      </c>
      <c r="R35" s="4">
        <f>data1!Z35</f>
        <v>0.40784314274787903</v>
      </c>
      <c r="S35" s="4">
        <f>data1!AA35</f>
        <v>0.40000000596046448</v>
      </c>
      <c r="T35" s="4">
        <f>data1!AB35</f>
        <v>0.37647059559822083</v>
      </c>
      <c r="U35" s="4">
        <f>data1!AC35</f>
        <v>0.38431373238563538</v>
      </c>
      <c r="V35" s="4">
        <f>data1!AD35</f>
        <v>0.41568627953529358</v>
      </c>
      <c r="W35" s="4">
        <f>data1!AE35</f>
        <v>0.39215686917304993</v>
      </c>
      <c r="X35" s="4">
        <f>data1!AF35</f>
        <v>0.40000000596046448</v>
      </c>
      <c r="Y35" s="4">
        <f>data1!AG35</f>
        <v>0.42352941632270813</v>
      </c>
      <c r="Z35" s="4">
        <v>0.42352941632270813</v>
      </c>
      <c r="AA35" s="4">
        <v>0.42352941632270813</v>
      </c>
      <c r="AB35" s="4">
        <v>0.38431373238563538</v>
      </c>
      <c r="AC35" s="4">
        <v>0.37254902720451355</v>
      </c>
      <c r="AD35" s="4">
        <v>0.39215686917304993</v>
      </c>
      <c r="AE35" s="4">
        <v>0.39215686917304993</v>
      </c>
      <c r="AF35" s="4">
        <v>0.38431373238563538</v>
      </c>
      <c r="AG35" s="4">
        <v>0.36862745881080627</v>
      </c>
      <c r="AH35" s="46">
        <f t="shared" si="5"/>
        <v>33</v>
      </c>
      <c r="AI35" s="9">
        <f t="shared" si="1"/>
        <v>1.5498407234016671E-2</v>
      </c>
      <c r="AJ35" s="9">
        <f t="shared" si="2"/>
        <v>0.37002970643451272</v>
      </c>
      <c r="AK35" s="4">
        <f t="shared" si="3"/>
        <v>0.39327731728553772</v>
      </c>
      <c r="AL35" s="9">
        <f t="shared" si="4"/>
        <v>0.41652492813656272</v>
      </c>
    </row>
    <row r="36" spans="1:38">
      <c r="A36" s="34">
        <f>data4!L36</f>
        <v>2.8893846092614694E-5</v>
      </c>
      <c r="B36" s="4">
        <v>0.40784314274787903</v>
      </c>
      <c r="C36" s="4"/>
      <c r="D36" s="4">
        <v>0.40784314274787903</v>
      </c>
      <c r="E36" s="4"/>
      <c r="F36" s="4">
        <v>0.41960784792900085</v>
      </c>
      <c r="G36" s="4"/>
      <c r="H36" s="4"/>
      <c r="I36" s="4">
        <v>0.40000000596046448</v>
      </c>
      <c r="J36" s="4">
        <f>data1!B36</f>
        <v>0.40000000596046448</v>
      </c>
      <c r="K36" s="4">
        <f>data1!C36</f>
        <v>0.3960784375667572</v>
      </c>
      <c r="L36" s="4">
        <f>data1!D36</f>
        <v>0.41568627953529358</v>
      </c>
      <c r="M36" s="4">
        <f>data1!E36</f>
        <v>0.4117647111415863</v>
      </c>
      <c r="N36" s="4">
        <f>data1!F36</f>
        <v>0.42745098471641541</v>
      </c>
      <c r="O36" s="4">
        <f>data1!G36</f>
        <v>0.40784314274787903</v>
      </c>
      <c r="P36" s="4">
        <f>data1!H36</f>
        <v>0.4117647111415863</v>
      </c>
      <c r="Q36" s="4">
        <f>data1!I36</f>
        <v>0.41568627953529358</v>
      </c>
      <c r="R36" s="4">
        <f>data1!Z36</f>
        <v>0.43137255311012268</v>
      </c>
      <c r="S36" s="4">
        <f>data1!AA36</f>
        <v>0.42352941632270813</v>
      </c>
      <c r="T36" s="4">
        <f>data1!AB36</f>
        <v>0.40784314274787903</v>
      </c>
      <c r="U36" s="4">
        <f>data1!AC36</f>
        <v>0.40784314274787903</v>
      </c>
      <c r="V36" s="4">
        <f>data1!AD36</f>
        <v>0.43529412150382996</v>
      </c>
      <c r="W36" s="4">
        <f>data1!AE36</f>
        <v>0.41568627953529358</v>
      </c>
      <c r="X36" s="4">
        <f>data1!AF36</f>
        <v>0.42352941632270813</v>
      </c>
      <c r="Y36" s="4">
        <f>data1!AG36</f>
        <v>0.43921568989753723</v>
      </c>
      <c r="Z36" s="4">
        <v>0.44313725829124451</v>
      </c>
      <c r="AA36" s="4">
        <v>0.44313725829124451</v>
      </c>
      <c r="AB36" s="4">
        <v>0.40784314274787903</v>
      </c>
      <c r="AC36" s="4">
        <v>0.38431373238563538</v>
      </c>
      <c r="AD36" s="4">
        <v>0.41568627953529358</v>
      </c>
      <c r="AE36" s="4">
        <v>0.40784314274787903</v>
      </c>
      <c r="AF36" s="4">
        <v>0.40784314274787903</v>
      </c>
      <c r="AG36" s="4">
        <v>0.38431373238563538</v>
      </c>
      <c r="AH36" s="46">
        <f t="shared" si="5"/>
        <v>34</v>
      </c>
      <c r="AI36" s="9">
        <f t="shared" si="1"/>
        <v>1.5252322138683617E-2</v>
      </c>
      <c r="AJ36" s="9">
        <f t="shared" si="2"/>
        <v>0.3914072361866584</v>
      </c>
      <c r="AK36" s="4">
        <f t="shared" si="3"/>
        <v>0.41428571939468384</v>
      </c>
      <c r="AL36" s="9">
        <f t="shared" si="4"/>
        <v>0.43716420260270927</v>
      </c>
    </row>
    <row r="37" spans="1:38">
      <c r="A37" s="34">
        <f>data4!L37</f>
        <v>3.0354493674167315E-5</v>
      </c>
      <c r="B37" s="4">
        <v>0.42745098471641541</v>
      </c>
      <c r="C37" s="4"/>
      <c r="D37" s="4">
        <v>0.43137255311012268</v>
      </c>
      <c r="E37" s="4"/>
      <c r="F37" s="4">
        <v>0.44313725829124451</v>
      </c>
      <c r="G37" s="4"/>
      <c r="H37" s="4"/>
      <c r="I37" s="4">
        <v>0.42352941632270813</v>
      </c>
      <c r="J37" s="4">
        <f>data1!B37</f>
        <v>0.41960784792900085</v>
      </c>
      <c r="K37" s="4">
        <f>data1!C37</f>
        <v>0.42352941632270813</v>
      </c>
      <c r="L37" s="4">
        <f>data1!D37</f>
        <v>0.43137255311012268</v>
      </c>
      <c r="M37" s="4">
        <f>data1!E37</f>
        <v>0.43137255311012268</v>
      </c>
      <c r="N37" s="4">
        <f>data1!F37</f>
        <v>0.44705882668495178</v>
      </c>
      <c r="O37" s="4">
        <f>data1!G37</f>
        <v>0.41568627953529358</v>
      </c>
      <c r="P37" s="4">
        <f>data1!H37</f>
        <v>0.43921568989753723</v>
      </c>
      <c r="Q37" s="4">
        <f>data1!I37</f>
        <v>0.43921568989753723</v>
      </c>
      <c r="R37" s="4">
        <f>data1!Z37</f>
        <v>0.45490196347236633</v>
      </c>
      <c r="S37" s="4">
        <f>data1!AA37</f>
        <v>0.44705882668495178</v>
      </c>
      <c r="T37" s="4">
        <f>data1!AB37</f>
        <v>0.42352941632270813</v>
      </c>
      <c r="U37" s="4">
        <f>data1!AC37</f>
        <v>0.42745098471641541</v>
      </c>
      <c r="V37" s="4">
        <f>data1!AD37</f>
        <v>0.45490196347236633</v>
      </c>
      <c r="W37" s="4">
        <f>data1!AE37</f>
        <v>0.43921568989753723</v>
      </c>
      <c r="X37" s="4">
        <f>data1!AF37</f>
        <v>0.43921568989753723</v>
      </c>
      <c r="Y37" s="4">
        <f>data1!AG37</f>
        <v>0.46274510025978088</v>
      </c>
      <c r="Z37" s="4">
        <v>0.46274510025978088</v>
      </c>
      <c r="AA37" s="4">
        <v>0.46274510025978088</v>
      </c>
      <c r="AB37" s="4">
        <v>0.42745098471641541</v>
      </c>
      <c r="AC37" s="4">
        <v>0.4117647111415863</v>
      </c>
      <c r="AD37" s="4">
        <v>0.43921568989753723</v>
      </c>
      <c r="AE37" s="4">
        <v>0.43137255311012268</v>
      </c>
      <c r="AF37" s="4">
        <v>0.43137255311012268</v>
      </c>
      <c r="AG37" s="4">
        <v>0.40784314274787903</v>
      </c>
      <c r="AH37" s="46">
        <f t="shared" si="5"/>
        <v>35</v>
      </c>
      <c r="AI37" s="9">
        <f t="shared" si="1"/>
        <v>1.4977774049197574E-2</v>
      </c>
      <c r="AJ37" s="9">
        <f t="shared" si="2"/>
        <v>0.41310757245815555</v>
      </c>
      <c r="AK37" s="4">
        <f t="shared" si="3"/>
        <v>0.4355742335319519</v>
      </c>
      <c r="AL37" s="9">
        <f t="shared" si="4"/>
        <v>0.45804089460574826</v>
      </c>
    </row>
    <row r="38" spans="1:38">
      <c r="A38" s="34">
        <f>data4!L38</f>
        <v>3.1804155241843546E-5</v>
      </c>
      <c r="B38" s="4">
        <v>0.44705882668495178</v>
      </c>
      <c r="C38" s="4"/>
      <c r="D38" s="4">
        <v>0.44705882668495178</v>
      </c>
      <c r="E38" s="4"/>
      <c r="F38" s="4">
        <v>0.46274510025978088</v>
      </c>
      <c r="G38" s="4"/>
      <c r="H38" s="4"/>
      <c r="I38" s="4">
        <v>0.44705882668495178</v>
      </c>
      <c r="J38" s="4">
        <f>data1!B38</f>
        <v>0.43921568989753723</v>
      </c>
      <c r="K38" s="4">
        <f>data1!C38</f>
        <v>0.43921568989753723</v>
      </c>
      <c r="L38" s="4">
        <f>data1!D38</f>
        <v>0.45098039507865906</v>
      </c>
      <c r="M38" s="4">
        <f>data1!E38</f>
        <v>0.45490196347236633</v>
      </c>
      <c r="N38" s="4">
        <f>data1!F38</f>
        <v>0.47058823704719543</v>
      </c>
      <c r="O38" s="4">
        <f>data1!G38</f>
        <v>0.44313725829124451</v>
      </c>
      <c r="P38" s="4">
        <f>data1!H38</f>
        <v>0.45490196347236633</v>
      </c>
      <c r="Q38" s="4">
        <f>data1!I38</f>
        <v>0.45882353186607361</v>
      </c>
      <c r="R38" s="4">
        <f>data1!Z38</f>
        <v>0.47843137383460999</v>
      </c>
      <c r="S38" s="4">
        <f>data1!AA38</f>
        <v>0.47058823704719543</v>
      </c>
      <c r="T38" s="4">
        <f>data1!AB38</f>
        <v>0.43921568989753723</v>
      </c>
      <c r="U38" s="4">
        <f>data1!AC38</f>
        <v>0.44705882668495178</v>
      </c>
      <c r="V38" s="4">
        <f>data1!AD38</f>
        <v>0.47843137383460999</v>
      </c>
      <c r="W38" s="4">
        <f>data1!AE38</f>
        <v>0.45882353186607361</v>
      </c>
      <c r="X38" s="4">
        <f>data1!AF38</f>
        <v>0.46274510025978088</v>
      </c>
      <c r="Y38" s="4">
        <f>data1!AG38</f>
        <v>0.48627451062202454</v>
      </c>
      <c r="Z38" s="4">
        <v>0.48627451062202454</v>
      </c>
      <c r="AA38" s="4">
        <v>0.48627451062202454</v>
      </c>
      <c r="AB38" s="4">
        <v>0.44705882668495178</v>
      </c>
      <c r="AC38" s="4">
        <v>0.43137255311012268</v>
      </c>
      <c r="AD38" s="4">
        <v>0.45882353186607361</v>
      </c>
      <c r="AE38" s="4">
        <v>0.45490196347236633</v>
      </c>
      <c r="AF38" s="4">
        <v>0.44705882668495178</v>
      </c>
      <c r="AG38" s="4">
        <v>0.42352941632270813</v>
      </c>
      <c r="AH38" s="46">
        <f t="shared" si="5"/>
        <v>36</v>
      </c>
      <c r="AI38" s="9">
        <f t="shared" si="1"/>
        <v>1.6639639496678991E-2</v>
      </c>
      <c r="AJ38" s="9">
        <f t="shared" si="2"/>
        <v>0.43120300835389663</v>
      </c>
      <c r="AK38" s="4">
        <f t="shared" si="3"/>
        <v>0.4561624675989151</v>
      </c>
      <c r="AL38" s="9">
        <f t="shared" si="4"/>
        <v>0.48112192684393357</v>
      </c>
    </row>
    <row r="39" spans="1:38">
      <c r="A39" s="34">
        <f>data4!L39</f>
        <v>3.3302699648629641E-5</v>
      </c>
      <c r="B39" s="4">
        <v>0.46274510025978088</v>
      </c>
      <c r="C39" s="4"/>
      <c r="D39" s="4">
        <v>0.47058823704719543</v>
      </c>
      <c r="E39" s="4"/>
      <c r="F39" s="4">
        <v>0.47843137383460999</v>
      </c>
      <c r="G39" s="4"/>
      <c r="H39" s="4"/>
      <c r="I39" s="4">
        <v>0.46274510025978088</v>
      </c>
      <c r="J39" s="4">
        <f>data1!B39</f>
        <v>0.46274510025978088</v>
      </c>
      <c r="K39" s="4">
        <f>data1!C39</f>
        <v>0.45490196347236633</v>
      </c>
      <c r="L39" s="4">
        <f>data1!D39</f>
        <v>0.47450980544090271</v>
      </c>
      <c r="M39" s="4">
        <f>data1!E39</f>
        <v>0.47843137383460999</v>
      </c>
      <c r="N39" s="4">
        <f>data1!F39</f>
        <v>0.49411764740943909</v>
      </c>
      <c r="O39" s="4">
        <f>data1!G39</f>
        <v>0.47058823704719543</v>
      </c>
      <c r="P39" s="4">
        <f>data1!H39</f>
        <v>0.47843137383460999</v>
      </c>
      <c r="Q39" s="4">
        <f>data1!I39</f>
        <v>0.48235294222831726</v>
      </c>
      <c r="R39" s="4">
        <f>data1!Z39</f>
        <v>0.50196081399917603</v>
      </c>
      <c r="S39" s="4">
        <f>data1!AA39</f>
        <v>0.48627451062202454</v>
      </c>
      <c r="T39" s="4">
        <f>data1!AB39</f>
        <v>0.46274510025978088</v>
      </c>
      <c r="U39" s="4">
        <f>data1!AC39</f>
        <v>0.47058823704719543</v>
      </c>
      <c r="V39" s="4">
        <f>data1!AD39</f>
        <v>0.50196081399917603</v>
      </c>
      <c r="W39" s="4">
        <f>data1!AE39</f>
        <v>0.48235294222831726</v>
      </c>
      <c r="X39" s="4">
        <f>data1!AF39</f>
        <v>0.48235294222831726</v>
      </c>
      <c r="Y39" s="4">
        <f>data1!AG39</f>
        <v>0.50980395078659058</v>
      </c>
      <c r="Z39" s="4">
        <v>0.51372551918029785</v>
      </c>
      <c r="AA39" s="4">
        <v>0.51372551918029785</v>
      </c>
      <c r="AB39" s="4">
        <v>0.47058823704719543</v>
      </c>
      <c r="AC39" s="4">
        <v>0.44705882668495178</v>
      </c>
      <c r="AD39" s="4">
        <v>0.47843137383460999</v>
      </c>
      <c r="AE39" s="4">
        <v>0.47843137383460999</v>
      </c>
      <c r="AF39" s="4">
        <v>0.47058823704719543</v>
      </c>
      <c r="AG39" s="4">
        <v>0.44705882668495178</v>
      </c>
      <c r="AH39" s="46">
        <f t="shared" si="5"/>
        <v>37</v>
      </c>
      <c r="AI39" s="9">
        <f t="shared" si="1"/>
        <v>1.8016114441850476E-2</v>
      </c>
      <c r="AJ39" s="9">
        <f t="shared" si="2"/>
        <v>0.45112709546555563</v>
      </c>
      <c r="AK39" s="4">
        <f t="shared" si="3"/>
        <v>0.47815126712833134</v>
      </c>
      <c r="AL39" s="9">
        <f t="shared" si="4"/>
        <v>0.50517543879110705</v>
      </c>
    </row>
    <row r="40" spans="1:38">
      <c r="A40" s="34">
        <f>data4!L40</f>
        <v>3.4833013160096016E-5</v>
      </c>
      <c r="B40" s="4">
        <v>0.48627451062202454</v>
      </c>
      <c r="C40" s="4"/>
      <c r="D40" s="4">
        <v>0.49411764740943909</v>
      </c>
      <c r="E40" s="4"/>
      <c r="F40" s="4">
        <v>0.50980395078659058</v>
      </c>
      <c r="G40" s="4"/>
      <c r="H40" s="4"/>
      <c r="I40" s="4">
        <v>0.48627451062202454</v>
      </c>
      <c r="J40" s="4">
        <f>data1!B40</f>
        <v>0.48627451062202454</v>
      </c>
      <c r="K40" s="4">
        <f>data1!C40</f>
        <v>0.47843137383460999</v>
      </c>
      <c r="L40" s="4">
        <f>data1!D40</f>
        <v>0.50196081399917603</v>
      </c>
      <c r="M40" s="4">
        <f>data1!E40</f>
        <v>0.49411764740943909</v>
      </c>
      <c r="N40" s="4">
        <f>data1!F40</f>
        <v>0.51764708757400513</v>
      </c>
      <c r="O40" s="4">
        <f>data1!G40</f>
        <v>0.48627451062202454</v>
      </c>
      <c r="P40" s="4">
        <f>data1!H40</f>
        <v>0.50196081399917603</v>
      </c>
      <c r="Q40" s="4">
        <f>data1!I40</f>
        <v>0.50196081399917603</v>
      </c>
      <c r="R40" s="4">
        <f>data1!Z40</f>
        <v>0.5215686559677124</v>
      </c>
      <c r="S40" s="4">
        <f>data1!AA40</f>
        <v>0.5058823823928833</v>
      </c>
      <c r="T40" s="4">
        <f>data1!AB40</f>
        <v>0.48627451062202454</v>
      </c>
      <c r="U40" s="4">
        <f>data1!AC40</f>
        <v>0.49411764740943909</v>
      </c>
      <c r="V40" s="4">
        <f>data1!AD40</f>
        <v>0.52549022436141968</v>
      </c>
      <c r="W40" s="4">
        <f>data1!AE40</f>
        <v>0.50196081399917603</v>
      </c>
      <c r="X40" s="4">
        <f>data1!AF40</f>
        <v>0.50980395078659058</v>
      </c>
      <c r="Y40" s="4">
        <f>data1!AG40</f>
        <v>0.53333336114883423</v>
      </c>
      <c r="Z40" s="4">
        <v>0.53333336114883423</v>
      </c>
      <c r="AA40" s="4">
        <v>0.53333336114883423</v>
      </c>
      <c r="AB40" s="4">
        <v>0.49411764740943909</v>
      </c>
      <c r="AC40" s="4">
        <v>0.47058823704719543</v>
      </c>
      <c r="AD40" s="4">
        <v>0.50196081399917603</v>
      </c>
      <c r="AE40" s="4">
        <v>0.49803921580314636</v>
      </c>
      <c r="AF40" s="4">
        <v>0.49411764740943909</v>
      </c>
      <c r="AG40" s="4">
        <v>0.46274510025978088</v>
      </c>
      <c r="AH40" s="46">
        <f t="shared" si="5"/>
        <v>38</v>
      </c>
      <c r="AI40" s="9">
        <f t="shared" si="1"/>
        <v>1.8092171573308974E-2</v>
      </c>
      <c r="AJ40" s="9">
        <f t="shared" si="2"/>
        <v>0.47328192558338067</v>
      </c>
      <c r="AK40" s="4">
        <f t="shared" si="3"/>
        <v>0.50042018294334412</v>
      </c>
      <c r="AL40" s="9">
        <f t="shared" si="4"/>
        <v>0.52755844030330756</v>
      </c>
    </row>
    <row r="41" spans="1:38">
      <c r="A41" s="34">
        <f>data4!L41</f>
        <v>3.6389222714205971E-5</v>
      </c>
      <c r="B41" s="4">
        <v>0.50980395078659058</v>
      </c>
      <c r="C41" s="4"/>
      <c r="D41" s="4">
        <v>0.51764708757400513</v>
      </c>
      <c r="E41" s="4"/>
      <c r="F41" s="4">
        <v>0.52941179275512695</v>
      </c>
      <c r="G41" s="4"/>
      <c r="H41" s="4"/>
      <c r="I41" s="4">
        <v>0.50980395078659058</v>
      </c>
      <c r="J41" s="4">
        <f>data1!B41</f>
        <v>0.50980395078659058</v>
      </c>
      <c r="K41" s="4">
        <f>data1!C41</f>
        <v>0.50196081399917603</v>
      </c>
      <c r="L41" s="4">
        <f>data1!D41</f>
        <v>0.52549022436141968</v>
      </c>
      <c r="M41" s="4">
        <f>data1!E41</f>
        <v>0.5215686559677124</v>
      </c>
      <c r="N41" s="4">
        <f>data1!F41</f>
        <v>0.54117649793624878</v>
      </c>
      <c r="O41" s="4">
        <f>data1!G41</f>
        <v>0.51372551918029785</v>
      </c>
      <c r="P41" s="4">
        <f>data1!H41</f>
        <v>0.52549022436141968</v>
      </c>
      <c r="Q41" s="4">
        <f>data1!I41</f>
        <v>0.52549022436141968</v>
      </c>
      <c r="R41" s="4">
        <f>data1!Z41</f>
        <v>0.54509806632995605</v>
      </c>
      <c r="S41" s="4">
        <f>data1!AA41</f>
        <v>0.52941179275512695</v>
      </c>
      <c r="T41" s="4">
        <f>data1!AB41</f>
        <v>0.50980395078659058</v>
      </c>
      <c r="U41" s="4">
        <f>data1!AC41</f>
        <v>0.51372551918029785</v>
      </c>
      <c r="V41" s="4">
        <f>data1!AD41</f>
        <v>0.54901963472366333</v>
      </c>
      <c r="W41" s="4">
        <f>data1!AE41</f>
        <v>0.52549022436141968</v>
      </c>
      <c r="X41" s="4">
        <f>data1!AF41</f>
        <v>0.53333336114883423</v>
      </c>
      <c r="Y41" s="4">
        <f>data1!AG41</f>
        <v>0.55686277151107788</v>
      </c>
      <c r="Z41" s="4">
        <v>0.55686277151107788</v>
      </c>
      <c r="AA41" s="4">
        <v>0.55686277151107788</v>
      </c>
      <c r="AB41" s="4">
        <v>0.51764708757400513</v>
      </c>
      <c r="AC41" s="4">
        <v>0.49411764740943909</v>
      </c>
      <c r="AD41" s="4">
        <v>0.52549022436141968</v>
      </c>
      <c r="AE41" s="4">
        <v>0.51764708757400513</v>
      </c>
      <c r="AF41" s="4">
        <v>0.51372551918029785</v>
      </c>
      <c r="AG41" s="4">
        <v>0.48627451062202454</v>
      </c>
      <c r="AH41" s="46">
        <f t="shared" si="5"/>
        <v>39</v>
      </c>
      <c r="AI41" s="9">
        <f t="shared" si="1"/>
        <v>1.8065158902869988E-2</v>
      </c>
      <c r="AJ41" s="9">
        <f t="shared" si="2"/>
        <v>0.49657175569558476</v>
      </c>
      <c r="AK41" s="4">
        <f t="shared" si="3"/>
        <v>0.52366949404988972</v>
      </c>
      <c r="AL41" s="9">
        <f t="shared" si="4"/>
        <v>0.55076723240419467</v>
      </c>
    </row>
    <row r="42" spans="1:38">
      <c r="A42" s="34">
        <f>data4!L42</f>
        <v>3.7919904116279213E-5</v>
      </c>
      <c r="B42" s="4">
        <v>0.53333336114883423</v>
      </c>
      <c r="C42" s="4"/>
      <c r="D42" s="4">
        <v>0.5372549295425415</v>
      </c>
      <c r="E42" s="4"/>
      <c r="F42" s="4">
        <v>0.55686277151107788</v>
      </c>
      <c r="G42" s="4"/>
      <c r="H42" s="4"/>
      <c r="I42" s="4">
        <v>0.52941179275512695</v>
      </c>
      <c r="J42" s="4">
        <f>data1!B42</f>
        <v>0.53333336114883423</v>
      </c>
      <c r="K42" s="4">
        <f>data1!C42</f>
        <v>0.53333336114883423</v>
      </c>
      <c r="L42" s="4">
        <f>data1!D42</f>
        <v>0.54117649793624878</v>
      </c>
      <c r="M42" s="4">
        <f>data1!E42</f>
        <v>0.54117649793624878</v>
      </c>
      <c r="N42" s="4">
        <f>data1!F42</f>
        <v>0.56470590829849243</v>
      </c>
      <c r="O42" s="4">
        <f>data1!G42</f>
        <v>0.53333336114883423</v>
      </c>
      <c r="P42" s="4">
        <f>data1!H42</f>
        <v>0.54509806632995605</v>
      </c>
      <c r="Q42" s="4">
        <f>data1!I42</f>
        <v>0.54901963472366333</v>
      </c>
      <c r="R42" s="4">
        <f>data1!Z42</f>
        <v>0.56862747669219971</v>
      </c>
      <c r="S42" s="4">
        <f>data1!AA42</f>
        <v>0.55686277151107788</v>
      </c>
      <c r="T42" s="4">
        <f>data1!AB42</f>
        <v>0.53333336114883423</v>
      </c>
      <c r="U42" s="4">
        <f>data1!AC42</f>
        <v>0.5372549295425415</v>
      </c>
      <c r="V42" s="4">
        <f>data1!AD42</f>
        <v>0.57254904508590698</v>
      </c>
      <c r="W42" s="4">
        <f>data1!AE42</f>
        <v>0.54901963472366333</v>
      </c>
      <c r="X42" s="4">
        <f>data1!AF42</f>
        <v>0.55294120311737061</v>
      </c>
      <c r="Y42" s="4">
        <f>data1!AG42</f>
        <v>0.58039218187332153</v>
      </c>
      <c r="Z42" s="4">
        <v>0.58039218187332153</v>
      </c>
      <c r="AA42" s="4">
        <v>0.58039218187332153</v>
      </c>
      <c r="AB42" s="4">
        <v>0.53333336114883423</v>
      </c>
      <c r="AC42" s="4">
        <v>0.51372551918029785</v>
      </c>
      <c r="AD42" s="4">
        <v>0.54901963472366333</v>
      </c>
      <c r="AE42" s="4">
        <v>0.54117649793624878</v>
      </c>
      <c r="AF42" s="4">
        <v>0.5372549295425415</v>
      </c>
      <c r="AG42" s="4">
        <v>0.50980395078659058</v>
      </c>
      <c r="AH42" s="46">
        <f t="shared" si="5"/>
        <v>40</v>
      </c>
      <c r="AI42" s="9">
        <f t="shared" si="1"/>
        <v>1.8574272806670518E-2</v>
      </c>
      <c r="AJ42" s="9">
        <f t="shared" si="2"/>
        <v>0.51835710523243805</v>
      </c>
      <c r="AK42" s="4">
        <f t="shared" si="3"/>
        <v>0.54621851444244385</v>
      </c>
      <c r="AL42" s="9">
        <f t="shared" si="4"/>
        <v>0.57407992365244964</v>
      </c>
    </row>
    <row r="43" spans="1:38">
      <c r="A43" s="34">
        <f>data4!L43</f>
        <v>3.954904650527169E-5</v>
      </c>
      <c r="B43" s="4">
        <v>0.56078433990478516</v>
      </c>
      <c r="C43" s="4"/>
      <c r="D43" s="4">
        <v>0.55686277151107788</v>
      </c>
      <c r="E43" s="4"/>
      <c r="F43" s="4">
        <v>0.58039218187332153</v>
      </c>
      <c r="G43" s="4"/>
      <c r="H43" s="4"/>
      <c r="I43" s="4">
        <v>0.55294120311737061</v>
      </c>
      <c r="J43" s="4">
        <f>data1!B43</f>
        <v>0.55294120311737061</v>
      </c>
      <c r="K43" s="4">
        <f>data1!C43</f>
        <v>0.54509806632995605</v>
      </c>
      <c r="L43" s="4">
        <f>data1!D43</f>
        <v>0.56470590829849243</v>
      </c>
      <c r="M43" s="4">
        <f>data1!E43</f>
        <v>0.56470590829849243</v>
      </c>
      <c r="N43" s="4">
        <f>data1!F43</f>
        <v>0.58823531866073608</v>
      </c>
      <c r="O43" s="4">
        <f>data1!G43</f>
        <v>0.55686277151107788</v>
      </c>
      <c r="P43" s="4">
        <f>data1!H43</f>
        <v>0.57254904508590698</v>
      </c>
      <c r="Q43" s="4">
        <f>data1!I43</f>
        <v>0.58039218187332153</v>
      </c>
      <c r="R43" s="4">
        <f>data1!Z43</f>
        <v>0.59215688705444336</v>
      </c>
      <c r="S43" s="4">
        <f>data1!AA43</f>
        <v>0.58039218187332153</v>
      </c>
      <c r="T43" s="4">
        <f>data1!AB43</f>
        <v>0.55686277151107788</v>
      </c>
      <c r="U43" s="4">
        <f>data1!AC43</f>
        <v>0.56470590829849243</v>
      </c>
      <c r="V43" s="4">
        <f>data1!AD43</f>
        <v>0.59607845544815063</v>
      </c>
      <c r="W43" s="4">
        <f>data1!AE43</f>
        <v>0.57254904508590698</v>
      </c>
      <c r="X43" s="4">
        <f>data1!AF43</f>
        <v>0.58039218187332153</v>
      </c>
      <c r="Y43" s="4">
        <f>data1!AG43</f>
        <v>0.60784316062927246</v>
      </c>
      <c r="Z43" s="4">
        <v>0.60392159223556519</v>
      </c>
      <c r="AA43" s="4">
        <v>0.60392159223556519</v>
      </c>
      <c r="AB43" s="4">
        <v>0.56078433990478516</v>
      </c>
      <c r="AC43" s="4">
        <v>0.5372549295425415</v>
      </c>
      <c r="AD43" s="4">
        <v>0.57254904508590698</v>
      </c>
      <c r="AE43" s="4">
        <v>0.56470590829849243</v>
      </c>
      <c r="AF43" s="4">
        <v>0.55686277151107788</v>
      </c>
      <c r="AG43" s="4">
        <v>0.52941179275512695</v>
      </c>
      <c r="AH43" s="46">
        <f t="shared" si="5"/>
        <v>41</v>
      </c>
      <c r="AI43" s="9">
        <f t="shared" si="1"/>
        <v>1.9797299105239627E-2</v>
      </c>
      <c r="AJ43" s="9">
        <f t="shared" si="2"/>
        <v>0.54019203216088907</v>
      </c>
      <c r="AK43" s="4">
        <f t="shared" si="3"/>
        <v>0.56988798081874847</v>
      </c>
      <c r="AL43" s="9">
        <f t="shared" si="4"/>
        <v>0.59958392947660788</v>
      </c>
    </row>
    <row r="44" spans="1:38">
      <c r="A44" s="34">
        <f>data4!L44</f>
        <v>4.1168312691297615E-5</v>
      </c>
      <c r="B44" s="4">
        <v>0.58039218187332153</v>
      </c>
      <c r="C44" s="4"/>
      <c r="D44" s="4">
        <v>0.58431375026702881</v>
      </c>
      <c r="E44" s="4"/>
      <c r="F44" s="4">
        <v>0.60000002384185791</v>
      </c>
      <c r="G44" s="4"/>
      <c r="H44" s="4"/>
      <c r="I44" s="4">
        <v>0.57254904508590698</v>
      </c>
      <c r="J44" s="4">
        <f>data1!B44</f>
        <v>0.57647061347961426</v>
      </c>
      <c r="K44" s="4">
        <f>data1!C44</f>
        <v>0.56862747669219971</v>
      </c>
      <c r="L44" s="4">
        <f>data1!D44</f>
        <v>0.58823531866073608</v>
      </c>
      <c r="M44" s="4">
        <f>data1!E44</f>
        <v>0.59215688705444336</v>
      </c>
      <c r="N44" s="4">
        <f>data1!F44</f>
        <v>0.61176472902297974</v>
      </c>
      <c r="O44" s="4">
        <f>data1!G44</f>
        <v>0.58431375026702881</v>
      </c>
      <c r="P44" s="4">
        <f>data1!H44</f>
        <v>0.59215688705444336</v>
      </c>
      <c r="Q44" s="4">
        <f>data1!I44</f>
        <v>0.60000002384185791</v>
      </c>
      <c r="R44" s="4">
        <f>data1!Z44</f>
        <v>0.61568629741668701</v>
      </c>
      <c r="S44" s="4">
        <f>data1!AA44</f>
        <v>0.60392159223556519</v>
      </c>
      <c r="T44" s="4">
        <f>data1!AB44</f>
        <v>0.58039218187332153</v>
      </c>
      <c r="U44" s="4">
        <f>data1!AC44</f>
        <v>0.58823531866073608</v>
      </c>
      <c r="V44" s="4">
        <f>data1!AD44</f>
        <v>0.61960786581039429</v>
      </c>
      <c r="W44" s="4">
        <f>data1!AE44</f>
        <v>0.59607845544815063</v>
      </c>
      <c r="X44" s="4">
        <f>data1!AF44</f>
        <v>0.60000002384185791</v>
      </c>
      <c r="Y44" s="4">
        <f>data1!AG44</f>
        <v>0.63137257099151611</v>
      </c>
      <c r="Z44" s="4">
        <v>0.63137257099151611</v>
      </c>
      <c r="AA44" s="4">
        <v>0.63137257099151611</v>
      </c>
      <c r="AB44" s="4">
        <v>0.58431375026702881</v>
      </c>
      <c r="AC44" s="4">
        <v>0.55686277151107788</v>
      </c>
      <c r="AD44" s="4">
        <v>0.59607845544815063</v>
      </c>
      <c r="AE44" s="4">
        <v>0.59215688705444336</v>
      </c>
      <c r="AF44" s="4">
        <v>0.58431375026702881</v>
      </c>
      <c r="AG44" s="4">
        <v>0.55294120311737061</v>
      </c>
      <c r="AH44" s="46">
        <f t="shared" si="5"/>
        <v>42</v>
      </c>
      <c r="AI44" s="9">
        <f t="shared" si="1"/>
        <v>2.0308569211485255E-2</v>
      </c>
      <c r="AJ44" s="9">
        <f t="shared" si="2"/>
        <v>0.56295453736376422</v>
      </c>
      <c r="AK44" s="4">
        <f t="shared" si="3"/>
        <v>0.59341739118099213</v>
      </c>
      <c r="AL44" s="9">
        <f t="shared" si="4"/>
        <v>0.62388024499822003</v>
      </c>
    </row>
    <row r="45" spans="1:38">
      <c r="A45" s="34">
        <f>data4!L45</f>
        <v>4.2799251332326094E-5</v>
      </c>
      <c r="B45" s="4">
        <v>0.60392159223556519</v>
      </c>
      <c r="C45" s="4"/>
      <c r="D45" s="4">
        <v>0.60784316062927246</v>
      </c>
      <c r="E45" s="4"/>
      <c r="F45" s="4">
        <v>0.62745100259780884</v>
      </c>
      <c r="G45" s="4"/>
      <c r="H45" s="4"/>
      <c r="I45" s="4">
        <v>0.59607845544815063</v>
      </c>
      <c r="J45" s="4">
        <f>data1!B45</f>
        <v>0.60000002384185791</v>
      </c>
      <c r="K45" s="4">
        <f>data1!C45</f>
        <v>0.59607845544815063</v>
      </c>
      <c r="L45" s="4">
        <f>data1!D45</f>
        <v>0.61960786581039429</v>
      </c>
      <c r="M45" s="4">
        <f>data1!E45</f>
        <v>0.61568629741668701</v>
      </c>
      <c r="N45" s="4">
        <f>data1!F45</f>
        <v>0.63529413938522339</v>
      </c>
      <c r="O45" s="4">
        <f>data1!G45</f>
        <v>0.60392159223556519</v>
      </c>
      <c r="P45" s="4">
        <f>data1!H45</f>
        <v>0.61960786581039429</v>
      </c>
      <c r="Q45" s="4">
        <f>data1!I45</f>
        <v>0.62745100259780884</v>
      </c>
      <c r="R45" s="4">
        <f>data1!Z45</f>
        <v>0.63921570777893066</v>
      </c>
      <c r="S45" s="4">
        <f>data1!AA45</f>
        <v>0.63137257099151611</v>
      </c>
      <c r="T45" s="4">
        <f>data1!AB45</f>
        <v>0.60392159223556519</v>
      </c>
      <c r="U45" s="4">
        <f>data1!AC45</f>
        <v>0.61176472902297974</v>
      </c>
      <c r="V45" s="4">
        <f>data1!AD45</f>
        <v>0.65098041296005249</v>
      </c>
      <c r="W45" s="4">
        <f>data1!AE45</f>
        <v>0.62352943420410156</v>
      </c>
      <c r="X45" s="4">
        <f>data1!AF45</f>
        <v>0.62745100259780884</v>
      </c>
      <c r="Y45" s="4">
        <f>data1!AG45</f>
        <v>0.65882354974746704</v>
      </c>
      <c r="Z45" s="4">
        <v>0.65490198135375977</v>
      </c>
      <c r="AA45" s="4">
        <v>0.65490198135375977</v>
      </c>
      <c r="AB45" s="4">
        <v>0.60392159223556519</v>
      </c>
      <c r="AC45" s="4">
        <v>0.58823531866073608</v>
      </c>
      <c r="AD45" s="4">
        <v>0.61960786581039429</v>
      </c>
      <c r="AE45" s="4">
        <v>0.61176472902297974</v>
      </c>
      <c r="AF45" s="4">
        <v>0.60784316062927246</v>
      </c>
      <c r="AG45" s="4">
        <v>0.57647061347961426</v>
      </c>
      <c r="AH45" s="46">
        <f t="shared" si="5"/>
        <v>43</v>
      </c>
      <c r="AI45" s="9">
        <f t="shared" si="1"/>
        <v>2.0801902577384967E-2</v>
      </c>
      <c r="AJ45" s="9">
        <f t="shared" si="2"/>
        <v>0.58728456383182903</v>
      </c>
      <c r="AK45" s="4">
        <f t="shared" si="3"/>
        <v>0.61848741769790649</v>
      </c>
      <c r="AL45" s="9">
        <f t="shared" si="4"/>
        <v>0.64969027156398396</v>
      </c>
    </row>
    <row r="46" spans="1:38">
      <c r="A46" s="34">
        <f>data4!L46</f>
        <v>4.4474988499132451E-5</v>
      </c>
      <c r="B46" s="4">
        <v>0.62745100259780884</v>
      </c>
      <c r="C46" s="4"/>
      <c r="D46" s="4">
        <v>0.63529413938522339</v>
      </c>
      <c r="E46" s="4"/>
      <c r="F46" s="4">
        <v>0.64705884456634521</v>
      </c>
      <c r="G46" s="4"/>
      <c r="H46" s="4"/>
      <c r="I46" s="4">
        <v>0.62352943420410156</v>
      </c>
      <c r="J46" s="4">
        <f>data1!B46</f>
        <v>0.62352943420410156</v>
      </c>
      <c r="K46" s="4">
        <f>data1!C46</f>
        <v>0.61960786581039429</v>
      </c>
      <c r="L46" s="4">
        <f>data1!D46</f>
        <v>0.63529413938522339</v>
      </c>
      <c r="M46" s="4">
        <f>data1!E46</f>
        <v>0.63921570777893066</v>
      </c>
      <c r="N46" s="4">
        <f>data1!F46</f>
        <v>0.65882354974746704</v>
      </c>
      <c r="O46" s="4">
        <f>data1!G46</f>
        <v>0.63137257099151611</v>
      </c>
      <c r="P46" s="4">
        <f>data1!H46</f>
        <v>0.64313727617263794</v>
      </c>
      <c r="Q46" s="4">
        <f>data1!I46</f>
        <v>0.65098041296005249</v>
      </c>
      <c r="R46" s="4">
        <f>data1!Z46</f>
        <v>0.67058825492858887</v>
      </c>
      <c r="S46" s="4">
        <f>data1!AA46</f>
        <v>0.65490198135375977</v>
      </c>
      <c r="T46" s="4">
        <f>data1!AB46</f>
        <v>0.62745100259780884</v>
      </c>
      <c r="U46" s="4">
        <f>data1!AC46</f>
        <v>0.63529413938522339</v>
      </c>
      <c r="V46" s="4">
        <f>data1!AD46</f>
        <v>0.67450982332229614</v>
      </c>
      <c r="W46" s="4">
        <f>data1!AE46</f>
        <v>0.64705884456634521</v>
      </c>
      <c r="X46" s="4">
        <f>data1!AF46</f>
        <v>0.65490198135375977</v>
      </c>
      <c r="Y46" s="4">
        <f>data1!AG46</f>
        <v>0.68235296010971069</v>
      </c>
      <c r="Z46" s="4">
        <v>0.67843139171600342</v>
      </c>
      <c r="AA46" s="4">
        <v>0.67843139171600342</v>
      </c>
      <c r="AB46" s="4">
        <v>0.63137257099151611</v>
      </c>
      <c r="AC46" s="4">
        <v>0.60392159223556519</v>
      </c>
      <c r="AD46" s="4">
        <v>0.64313727617263794</v>
      </c>
      <c r="AE46" s="4">
        <v>0.63921570777893066</v>
      </c>
      <c r="AF46" s="4">
        <v>0.63137257099151611</v>
      </c>
      <c r="AG46" s="4">
        <v>0.59607845544815063</v>
      </c>
      <c r="AH46" s="46">
        <f t="shared" si="5"/>
        <v>44</v>
      </c>
      <c r="AI46" s="9">
        <f t="shared" si="1"/>
        <v>2.1568154591163877E-2</v>
      </c>
      <c r="AJ46" s="9">
        <f t="shared" si="2"/>
        <v>0.60994470820152624</v>
      </c>
      <c r="AK46" s="4">
        <f t="shared" si="3"/>
        <v>0.64229694008827209</v>
      </c>
      <c r="AL46" s="9">
        <f t="shared" si="4"/>
        <v>0.67464917197501795</v>
      </c>
    </row>
    <row r="47" spans="1:38">
      <c r="A47" s="34">
        <f>data4!L47</f>
        <v>4.6174523049558047E-5</v>
      </c>
      <c r="B47" s="4">
        <v>0.65098041296005249</v>
      </c>
      <c r="C47" s="4"/>
      <c r="D47" s="4">
        <v>0.65490198135375977</v>
      </c>
      <c r="E47" s="4"/>
      <c r="F47" s="4">
        <v>0.67450982332229614</v>
      </c>
      <c r="G47" s="4"/>
      <c r="H47" s="4"/>
      <c r="I47" s="4">
        <v>0.64705884456634521</v>
      </c>
      <c r="J47" s="4">
        <f>data1!B47</f>
        <v>0.64705884456634521</v>
      </c>
      <c r="K47" s="4">
        <f>data1!C47</f>
        <v>0.64313727617263794</v>
      </c>
      <c r="L47" s="4">
        <f>data1!D47</f>
        <v>0.66666668653488159</v>
      </c>
      <c r="M47" s="4">
        <f>data1!E47</f>
        <v>0.66666668653488159</v>
      </c>
      <c r="N47" s="4">
        <f>data1!F47</f>
        <v>0.68627452850341797</v>
      </c>
      <c r="O47" s="4">
        <f>data1!G47</f>
        <v>0.65490198135375977</v>
      </c>
      <c r="P47" s="4">
        <f>data1!H47</f>
        <v>0.67058825492858887</v>
      </c>
      <c r="Q47" s="4">
        <f>data1!I47</f>
        <v>0.67450982332229614</v>
      </c>
      <c r="R47" s="4">
        <f>data1!Z47</f>
        <v>0.69411766529083252</v>
      </c>
      <c r="S47" s="4">
        <f>data1!AA47</f>
        <v>0.67843139171600342</v>
      </c>
      <c r="T47" s="4">
        <f>data1!AB47</f>
        <v>0.65098041296005249</v>
      </c>
      <c r="U47" s="4">
        <f>data1!AC47</f>
        <v>0.65882354974746704</v>
      </c>
      <c r="V47" s="4">
        <f>data1!AD47</f>
        <v>0.69803923368453979</v>
      </c>
      <c r="W47" s="4">
        <f>data1!AE47</f>
        <v>0.67058825492858887</v>
      </c>
      <c r="X47" s="4">
        <f>data1!AF47</f>
        <v>0.67843139171600342</v>
      </c>
      <c r="Y47" s="4">
        <f>data1!AG47</f>
        <v>0.70980393886566162</v>
      </c>
      <c r="Z47" s="4">
        <v>0.70588237047195435</v>
      </c>
      <c r="AA47" s="4">
        <v>0.70588237047195435</v>
      </c>
      <c r="AB47" s="4">
        <v>0.65882354974746704</v>
      </c>
      <c r="AC47" s="4">
        <v>0.62745100259780884</v>
      </c>
      <c r="AD47" s="4">
        <v>0.67058825492858887</v>
      </c>
      <c r="AE47" s="4">
        <v>0.66274511814117432</v>
      </c>
      <c r="AF47" s="4">
        <v>0.65882354974746704</v>
      </c>
      <c r="AG47" s="4">
        <v>0.61960786581039429</v>
      </c>
      <c r="AH47" s="46">
        <f t="shared" si="5"/>
        <v>45</v>
      </c>
      <c r="AI47" s="9">
        <f t="shared" si="1"/>
        <v>2.238956647245027E-2</v>
      </c>
      <c r="AJ47" s="9">
        <f t="shared" si="2"/>
        <v>0.63378261689651105</v>
      </c>
      <c r="AK47" s="4">
        <f t="shared" si="3"/>
        <v>0.66736696660518646</v>
      </c>
      <c r="AL47" s="9">
        <f t="shared" si="4"/>
        <v>0.70095131631386187</v>
      </c>
    </row>
    <row r="48" spans="1:38">
      <c r="A48" s="34">
        <f>data4!L48</f>
        <v>4.7857990921329474E-5</v>
      </c>
      <c r="B48" s="4">
        <v>0.67843139171600342</v>
      </c>
      <c r="C48" s="4"/>
      <c r="D48" s="4">
        <v>0.67843139171600342</v>
      </c>
      <c r="E48" s="4"/>
      <c r="F48" s="4">
        <v>0.69411766529083252</v>
      </c>
      <c r="G48" s="4"/>
      <c r="H48" s="4"/>
      <c r="I48" s="4">
        <v>0.67058825492858887</v>
      </c>
      <c r="J48" s="4">
        <f>data1!B48</f>
        <v>0.67058825492858887</v>
      </c>
      <c r="K48" s="4">
        <f>data1!C48</f>
        <v>0.67058825492858887</v>
      </c>
      <c r="L48" s="4">
        <f>data1!D48</f>
        <v>0.69019609689712524</v>
      </c>
      <c r="M48" s="4">
        <f>data1!E48</f>
        <v>0.69019609689712524</v>
      </c>
      <c r="N48" s="4">
        <f>data1!F48</f>
        <v>0.7137255072593689</v>
      </c>
      <c r="O48" s="4">
        <f>data1!G48</f>
        <v>0.68235296010971069</v>
      </c>
      <c r="P48" s="4">
        <f>data1!H48</f>
        <v>0.69803923368453979</v>
      </c>
      <c r="Q48" s="4">
        <f>data1!I48</f>
        <v>0.69803923368453979</v>
      </c>
      <c r="R48" s="4">
        <f>data1!Z48</f>
        <v>0.72156864404678345</v>
      </c>
      <c r="S48" s="4">
        <f>data1!AA48</f>
        <v>0.70588237047195435</v>
      </c>
      <c r="T48" s="4">
        <f>data1!AB48</f>
        <v>0.67843139171600342</v>
      </c>
      <c r="U48" s="4">
        <f>data1!AC48</f>
        <v>0.68627452850341797</v>
      </c>
      <c r="V48" s="4">
        <f>data1!AD48</f>
        <v>0.72549021244049072</v>
      </c>
      <c r="W48" s="4">
        <f>data1!AE48</f>
        <v>0.69803923368453979</v>
      </c>
      <c r="X48" s="4">
        <f>data1!AF48</f>
        <v>0.70196080207824707</v>
      </c>
      <c r="Y48" s="4">
        <f>data1!AG48</f>
        <v>0.73725491762161255</v>
      </c>
      <c r="Z48" s="4">
        <v>0.73333334922790527</v>
      </c>
      <c r="AA48" s="4">
        <v>0.73333334922790527</v>
      </c>
      <c r="AB48" s="4">
        <v>0.67843139171600342</v>
      </c>
      <c r="AC48" s="4">
        <v>0.65098041296005249</v>
      </c>
      <c r="AD48" s="4">
        <v>0.69411766529083252</v>
      </c>
      <c r="AE48" s="4">
        <v>0.69019609689712524</v>
      </c>
      <c r="AF48" s="4">
        <v>0.67843139171600342</v>
      </c>
      <c r="AG48" s="4">
        <v>0.64313727617263794</v>
      </c>
      <c r="AH48" s="46">
        <f t="shared" si="5"/>
        <v>46</v>
      </c>
      <c r="AI48" s="9">
        <f t="shared" si="1"/>
        <v>2.3440627172159334E-2</v>
      </c>
      <c r="AJ48" s="9">
        <f t="shared" si="2"/>
        <v>0.65741610837792286</v>
      </c>
      <c r="AK48" s="4">
        <f t="shared" si="3"/>
        <v>0.6925770491361618</v>
      </c>
      <c r="AL48" s="9">
        <f t="shared" si="4"/>
        <v>0.72773798989440075</v>
      </c>
    </row>
    <row r="49" spans="1:38">
      <c r="A49" s="34">
        <f>data4!L49</f>
        <v>4.9633209982857807E-5</v>
      </c>
      <c r="B49" s="4">
        <v>0.70196080207824707</v>
      </c>
      <c r="C49" s="4"/>
      <c r="D49" s="4">
        <v>0.70588237047195435</v>
      </c>
      <c r="E49" s="4"/>
      <c r="F49" s="4">
        <v>0.71764707565307617</v>
      </c>
      <c r="G49" s="4"/>
      <c r="H49" s="4"/>
      <c r="I49" s="4">
        <v>0.69411766529083252</v>
      </c>
      <c r="J49" s="4">
        <f>data1!B49</f>
        <v>0.69803923368453979</v>
      </c>
      <c r="K49" s="4">
        <f>data1!C49</f>
        <v>0.69019609689712524</v>
      </c>
      <c r="L49" s="4">
        <f>data1!D49</f>
        <v>0.7137255072593689</v>
      </c>
      <c r="M49" s="4">
        <f>data1!E49</f>
        <v>0.7137255072593689</v>
      </c>
      <c r="N49" s="4">
        <f>data1!F49</f>
        <v>0.73725491762161255</v>
      </c>
      <c r="O49" s="4">
        <f>data1!G49</f>
        <v>0.70588237047195435</v>
      </c>
      <c r="P49" s="4">
        <f>data1!H49</f>
        <v>0.71764707565307617</v>
      </c>
      <c r="Q49" s="4">
        <f>data1!I49</f>
        <v>0.729411780834198</v>
      </c>
      <c r="R49" s="4">
        <f>data1!Z49</f>
        <v>0.74901962280273438</v>
      </c>
      <c r="S49" s="4">
        <f>data1!AA49</f>
        <v>0.73333334922790527</v>
      </c>
      <c r="T49" s="4">
        <f>data1!AB49</f>
        <v>0.70196080207824707</v>
      </c>
      <c r="U49" s="4">
        <f>data1!AC49</f>
        <v>0.7137255072593689</v>
      </c>
      <c r="V49" s="4">
        <f>data1!AD49</f>
        <v>0.75294119119644165</v>
      </c>
      <c r="W49" s="4">
        <f>data1!AE49</f>
        <v>0.72156864404678345</v>
      </c>
      <c r="X49" s="4">
        <f>data1!AF49</f>
        <v>0.729411780834198</v>
      </c>
      <c r="Y49" s="4">
        <f>data1!AG49</f>
        <v>0.76470589637756348</v>
      </c>
      <c r="Z49" s="4">
        <v>0.75686275959014893</v>
      </c>
      <c r="AA49" s="4">
        <v>0.75686275959014893</v>
      </c>
      <c r="AB49" s="4">
        <v>0.70980393886566162</v>
      </c>
      <c r="AC49" s="4">
        <v>0.67843139171600342</v>
      </c>
      <c r="AD49" s="4">
        <v>0.72156864404678345</v>
      </c>
      <c r="AE49" s="4">
        <v>0.7137255072593689</v>
      </c>
      <c r="AF49" s="4">
        <v>0.70588237047195435</v>
      </c>
      <c r="AG49" s="4">
        <v>0.66666668653488159</v>
      </c>
      <c r="AH49" s="46">
        <f t="shared" si="5"/>
        <v>47</v>
      </c>
      <c r="AI49" s="9">
        <f t="shared" si="1"/>
        <v>2.3816417396180498E-2</v>
      </c>
      <c r="AJ49" s="9">
        <f t="shared" si="2"/>
        <v>0.68220256158692738</v>
      </c>
      <c r="AK49" s="4">
        <f t="shared" si="3"/>
        <v>0.71792718768119812</v>
      </c>
      <c r="AL49" s="9">
        <f t="shared" si="4"/>
        <v>0.75365181377546886</v>
      </c>
    </row>
    <row r="50" spans="1:38">
      <c r="A50" s="34">
        <f>data4!L50</f>
        <v>5.141323617863236E-5</v>
      </c>
      <c r="B50" s="4">
        <v>0.729411780834198</v>
      </c>
      <c r="C50" s="4"/>
      <c r="D50" s="4">
        <v>0.72549021244049072</v>
      </c>
      <c r="E50" s="4"/>
      <c r="F50" s="4">
        <v>0.7450980544090271</v>
      </c>
      <c r="G50" s="4"/>
      <c r="H50" s="4"/>
      <c r="I50" s="4">
        <v>0.72156864404678345</v>
      </c>
      <c r="J50" s="4">
        <f>data1!B50</f>
        <v>0.72156864404678345</v>
      </c>
      <c r="K50" s="4">
        <f>data1!C50</f>
        <v>0.71764707565307617</v>
      </c>
      <c r="L50" s="4">
        <f>data1!D50</f>
        <v>0.74117648601531982</v>
      </c>
      <c r="M50" s="4">
        <f>data1!E50</f>
        <v>0.74117648601531982</v>
      </c>
      <c r="N50" s="4">
        <f>data1!F50</f>
        <v>0.76470589637756348</v>
      </c>
      <c r="O50" s="4">
        <f>data1!G50</f>
        <v>0.729411780834198</v>
      </c>
      <c r="P50" s="4">
        <f>data1!H50</f>
        <v>0.7450980544090271</v>
      </c>
      <c r="Q50" s="4">
        <f>data1!I50</f>
        <v>0.75294119119644165</v>
      </c>
      <c r="R50" s="4">
        <f>data1!Z50</f>
        <v>0.77254903316497803</v>
      </c>
      <c r="S50" s="4">
        <f>data1!AA50</f>
        <v>0.7607843279838562</v>
      </c>
      <c r="T50" s="4">
        <f>data1!AB50</f>
        <v>0.729411780834198</v>
      </c>
      <c r="U50" s="4">
        <f>data1!AC50</f>
        <v>0.73725491762161255</v>
      </c>
      <c r="V50" s="4">
        <f>data1!AD50</f>
        <v>0.78039216995239258</v>
      </c>
      <c r="W50" s="4">
        <f>data1!AE50</f>
        <v>0.74901962280273438</v>
      </c>
      <c r="X50" s="4">
        <f>data1!AF50</f>
        <v>0.75294119119644165</v>
      </c>
      <c r="Y50" s="4">
        <f>data1!AG50</f>
        <v>0.7921568751335144</v>
      </c>
      <c r="Z50" s="4">
        <v>0.78431373834609985</v>
      </c>
      <c r="AA50" s="4">
        <v>0.78431373834609985</v>
      </c>
      <c r="AB50" s="4">
        <v>0.73333334922790527</v>
      </c>
      <c r="AC50" s="4">
        <v>0.70196080207824707</v>
      </c>
      <c r="AD50" s="4">
        <v>0.7450980544090271</v>
      </c>
      <c r="AE50" s="4">
        <v>0.74117648601531982</v>
      </c>
      <c r="AF50" s="4">
        <v>0.73333334922790527</v>
      </c>
      <c r="AG50" s="4">
        <v>0.69411766529083252</v>
      </c>
      <c r="AH50" s="46">
        <f t="shared" si="5"/>
        <v>48</v>
      </c>
      <c r="AI50" s="9">
        <f t="shared" si="1"/>
        <v>2.4222508161589926E-2</v>
      </c>
      <c r="AJ50" s="9">
        <f t="shared" si="2"/>
        <v>0.7075037880400934</v>
      </c>
      <c r="AK50" s="4">
        <f t="shared" si="3"/>
        <v>0.74383755028247833</v>
      </c>
      <c r="AL50" s="9">
        <f t="shared" si="4"/>
        <v>0.78017131252486327</v>
      </c>
    </row>
    <row r="51" spans="1:38">
      <c r="A51" s="34">
        <f>data4!L51</f>
        <v>5.3123808811506024E-5</v>
      </c>
      <c r="B51" s="4">
        <v>0.75294119119644165</v>
      </c>
      <c r="C51" s="4"/>
      <c r="D51" s="4">
        <v>0.75686275959014893</v>
      </c>
      <c r="E51" s="4"/>
      <c r="F51" s="4">
        <v>0.77254903316497803</v>
      </c>
      <c r="G51" s="4"/>
      <c r="H51" s="4"/>
      <c r="I51" s="4">
        <v>0.74901962280273438</v>
      </c>
      <c r="J51" s="4">
        <f>data1!B51</f>
        <v>0.74901962280273438</v>
      </c>
      <c r="K51" s="4">
        <f>data1!C51</f>
        <v>0.74117648601531982</v>
      </c>
      <c r="L51" s="4">
        <f>data1!D51</f>
        <v>0.76862746477127075</v>
      </c>
      <c r="M51" s="4">
        <f>data1!E51</f>
        <v>0.76470589637756348</v>
      </c>
      <c r="N51" s="4">
        <f>data1!F51</f>
        <v>0.78823530673980713</v>
      </c>
      <c r="O51" s="4">
        <f>data1!G51</f>
        <v>0.75294119119644165</v>
      </c>
      <c r="P51" s="4">
        <f>data1!H51</f>
        <v>0.7764706015586853</v>
      </c>
      <c r="Q51" s="4">
        <f>data1!I51</f>
        <v>0.78039216995239258</v>
      </c>
      <c r="R51" s="4">
        <f>data1!Z51</f>
        <v>0.80000001192092896</v>
      </c>
      <c r="S51" s="4">
        <f>data1!AA51</f>
        <v>0.78823530673980713</v>
      </c>
      <c r="T51" s="4">
        <f>data1!AB51</f>
        <v>0.75294119119644165</v>
      </c>
      <c r="U51" s="4">
        <f>data1!AC51</f>
        <v>0.76470589637756348</v>
      </c>
      <c r="V51" s="4">
        <f>data1!AD51</f>
        <v>0.80784314870834351</v>
      </c>
      <c r="W51" s="4">
        <f>data1!AE51</f>
        <v>0.7764706015586853</v>
      </c>
      <c r="X51" s="4">
        <f>data1!AF51</f>
        <v>0.78431373834609985</v>
      </c>
      <c r="Y51" s="4">
        <f>data1!AG51</f>
        <v>0.81960785388946533</v>
      </c>
      <c r="Z51" s="4">
        <v>0.81568628549575806</v>
      </c>
      <c r="AA51" s="4">
        <v>0.81568628549575806</v>
      </c>
      <c r="AB51" s="4">
        <v>0.7607843279838562</v>
      </c>
      <c r="AC51" s="4">
        <v>0.729411780834198</v>
      </c>
      <c r="AD51" s="4">
        <v>0.77254903316497803</v>
      </c>
      <c r="AE51" s="4">
        <v>0.76470589637756348</v>
      </c>
      <c r="AF51" s="4">
        <v>0.75686275959014893</v>
      </c>
      <c r="AG51" s="4">
        <v>0.71764707565307617</v>
      </c>
      <c r="AH51" s="46">
        <f t="shared" si="5"/>
        <v>49</v>
      </c>
      <c r="AI51" s="9">
        <f t="shared" si="1"/>
        <v>2.5470235746071653E-2</v>
      </c>
      <c r="AJ51" s="9">
        <f t="shared" si="2"/>
        <v>0.73252295136307788</v>
      </c>
      <c r="AK51" s="4">
        <f t="shared" si="3"/>
        <v>0.77072830498218536</v>
      </c>
      <c r="AL51" s="9">
        <f t="shared" si="4"/>
        <v>0.80893365860129285</v>
      </c>
    </row>
    <row r="52" spans="1:38">
      <c r="A52" s="34">
        <f>data4!L52</f>
        <v>5.4976992032607086E-5</v>
      </c>
      <c r="B52" s="4">
        <v>0.78431373834609985</v>
      </c>
      <c r="C52" s="4"/>
      <c r="D52" s="4">
        <v>0.78431373834609985</v>
      </c>
      <c r="E52" s="4"/>
      <c r="F52" s="4">
        <v>0.79607844352722168</v>
      </c>
      <c r="G52" s="4"/>
      <c r="H52" s="4"/>
      <c r="I52" s="4">
        <v>0.77254903316497803</v>
      </c>
      <c r="J52" s="4">
        <f>data1!B52</f>
        <v>0.7764706015586853</v>
      </c>
      <c r="K52" s="4">
        <f>data1!C52</f>
        <v>0.76862746477127075</v>
      </c>
      <c r="L52" s="4">
        <f>data1!D52</f>
        <v>0.7921568751335144</v>
      </c>
      <c r="M52" s="4">
        <f>data1!E52</f>
        <v>0.7921568751335144</v>
      </c>
      <c r="N52" s="4">
        <f>data1!F52</f>
        <v>0.81960785388946533</v>
      </c>
      <c r="O52" s="4">
        <f>data1!G52</f>
        <v>0.78431373834609985</v>
      </c>
      <c r="P52" s="4">
        <f>data1!H52</f>
        <v>0.80000001192092896</v>
      </c>
      <c r="Q52" s="4">
        <f>data1!I52</f>
        <v>0.80784314870834351</v>
      </c>
      <c r="R52" s="4">
        <f>data1!Z52</f>
        <v>0.83137255907058716</v>
      </c>
      <c r="S52" s="4">
        <f>data1!AA52</f>
        <v>0.81568628549575806</v>
      </c>
      <c r="T52" s="4">
        <f>data1!AB52</f>
        <v>0.78039216995239258</v>
      </c>
      <c r="U52" s="4">
        <f>data1!AC52</f>
        <v>0.78823530673980713</v>
      </c>
      <c r="V52" s="4">
        <f>data1!AD52</f>
        <v>0.83529412746429443</v>
      </c>
      <c r="W52" s="4">
        <f>data1!AE52</f>
        <v>0.80392158031463623</v>
      </c>
      <c r="X52" s="4">
        <f>data1!AF52</f>
        <v>0.80784314870834351</v>
      </c>
      <c r="Y52" s="4">
        <f>data1!AG52</f>
        <v>0.84705883264541626</v>
      </c>
      <c r="Z52" s="4">
        <v>0.84313726425170898</v>
      </c>
      <c r="AA52" s="4">
        <v>0.84313726425170898</v>
      </c>
      <c r="AB52" s="4">
        <v>0.78431373834609985</v>
      </c>
      <c r="AC52" s="4">
        <v>0.75686275959014893</v>
      </c>
      <c r="AD52" s="4">
        <v>0.80000001192092896</v>
      </c>
      <c r="AE52" s="4">
        <v>0.7921568751335144</v>
      </c>
      <c r="AF52" s="4">
        <v>0.78431373834609985</v>
      </c>
      <c r="AG52" s="4">
        <v>0.7450980544090271</v>
      </c>
      <c r="AH52" s="46">
        <f t="shared" si="5"/>
        <v>50</v>
      </c>
      <c r="AI52" s="9">
        <f t="shared" si="1"/>
        <v>2.5758124924242575E-2</v>
      </c>
      <c r="AJ52" s="9">
        <f t="shared" si="2"/>
        <v>0.75912192830958947</v>
      </c>
      <c r="AK52" s="4">
        <f t="shared" si="3"/>
        <v>0.79775911569595337</v>
      </c>
      <c r="AL52" s="9">
        <f t="shared" si="4"/>
        <v>0.83639630308231727</v>
      </c>
    </row>
    <row r="53" spans="1:38">
      <c r="A53" s="34">
        <f>data4!L53</f>
        <v>5.6824270814104239E-5</v>
      </c>
      <c r="B53" s="4">
        <v>0.80784314870834351</v>
      </c>
      <c r="C53" s="4"/>
      <c r="D53" s="4">
        <v>0.80784314870834351</v>
      </c>
      <c r="E53" s="4"/>
      <c r="F53" s="4">
        <v>0.82352942228317261</v>
      </c>
      <c r="G53" s="4"/>
      <c r="H53" s="4"/>
      <c r="I53" s="4">
        <v>0.80000001192092896</v>
      </c>
      <c r="J53" s="4">
        <f>data1!B53</f>
        <v>0.80000001192092896</v>
      </c>
      <c r="K53" s="4">
        <f>data1!C53</f>
        <v>0.7921568751335144</v>
      </c>
      <c r="L53" s="4">
        <f>data1!D53</f>
        <v>0.82352942228317261</v>
      </c>
      <c r="M53" s="4">
        <f>data1!E53</f>
        <v>0.81960785388946533</v>
      </c>
      <c r="N53" s="4">
        <f>data1!F53</f>
        <v>0.84705883264541626</v>
      </c>
      <c r="O53" s="4">
        <f>data1!G53</f>
        <v>0.80784314870834351</v>
      </c>
      <c r="P53" s="4">
        <f>data1!H53</f>
        <v>0.82745099067687988</v>
      </c>
      <c r="Q53" s="4">
        <f>data1!I53</f>
        <v>0.83529412746429443</v>
      </c>
      <c r="R53" s="4">
        <f>data1!Z53</f>
        <v>0.85882353782653809</v>
      </c>
      <c r="S53" s="4">
        <f>data1!AA53</f>
        <v>0.83921569585800171</v>
      </c>
      <c r="T53" s="4">
        <f>data1!AB53</f>
        <v>0.80784314870834351</v>
      </c>
      <c r="U53" s="4">
        <f>data1!AC53</f>
        <v>0.81568628549575806</v>
      </c>
      <c r="V53" s="4">
        <f>data1!AD53</f>
        <v>0.86274510622024536</v>
      </c>
      <c r="W53" s="4">
        <f>data1!AE53</f>
        <v>0.82745099067687988</v>
      </c>
      <c r="X53" s="4">
        <f>data1!AF53</f>
        <v>0.83921569585800171</v>
      </c>
      <c r="Y53" s="4">
        <f>data1!AG53</f>
        <v>0.87450981140136719</v>
      </c>
      <c r="Z53" s="4">
        <v>0.86666667461395264</v>
      </c>
      <c r="AA53" s="4">
        <v>0.86666667461395264</v>
      </c>
      <c r="AB53" s="4">
        <v>0.81176471710205078</v>
      </c>
      <c r="AC53" s="4">
        <v>0.7764706015586853</v>
      </c>
      <c r="AD53" s="4">
        <v>0.82352942228317261</v>
      </c>
      <c r="AE53" s="4">
        <v>0.81960785388946533</v>
      </c>
      <c r="AF53" s="4">
        <v>0.80784314870834351</v>
      </c>
      <c r="AG53" s="4">
        <v>0.76862746477127075</v>
      </c>
      <c r="AH53" s="46">
        <f t="shared" si="5"/>
        <v>51</v>
      </c>
      <c r="AI53" s="9">
        <f t="shared" si="1"/>
        <v>2.659737089751725E-2</v>
      </c>
      <c r="AJ53" s="9">
        <f t="shared" si="2"/>
        <v>0.7836333659368967</v>
      </c>
      <c r="AK53" s="4">
        <f t="shared" si="3"/>
        <v>0.82352942228317261</v>
      </c>
      <c r="AL53" s="9">
        <f t="shared" si="4"/>
        <v>0.86342547862944852</v>
      </c>
    </row>
    <row r="54" spans="1:38">
      <c r="A54" s="34">
        <f>data4!L54</f>
        <v>5.8678958794189384E-5</v>
      </c>
      <c r="B54" s="4">
        <v>0.83137255907058716</v>
      </c>
      <c r="C54" s="4"/>
      <c r="D54" s="4">
        <v>0.83137255907058716</v>
      </c>
      <c r="E54" s="4"/>
      <c r="F54" s="4">
        <v>0.85490196943283081</v>
      </c>
      <c r="G54" s="4"/>
      <c r="H54" s="4"/>
      <c r="I54" s="4">
        <v>0.82352942228317261</v>
      </c>
      <c r="J54" s="4">
        <f>data1!B54</f>
        <v>0.82745099067687988</v>
      </c>
      <c r="K54" s="4">
        <f>data1!C54</f>
        <v>0.82352942228317261</v>
      </c>
      <c r="L54" s="4">
        <f>data1!D54</f>
        <v>0.84705883264541626</v>
      </c>
      <c r="M54" s="4">
        <f>data1!E54</f>
        <v>0.84313726425170898</v>
      </c>
      <c r="N54" s="4">
        <f>data1!F54</f>
        <v>0.87058824300765991</v>
      </c>
      <c r="O54" s="4">
        <f>data1!G54</f>
        <v>0.83921569585800171</v>
      </c>
      <c r="P54" s="4">
        <f>data1!H54</f>
        <v>0.85490196943283081</v>
      </c>
      <c r="Q54" s="4">
        <f>data1!I54</f>
        <v>0.86274510622024536</v>
      </c>
      <c r="R54" s="4">
        <f>data1!Z54</f>
        <v>0.88627451658248901</v>
      </c>
      <c r="S54" s="4">
        <f>data1!AA54</f>
        <v>0.86666667461395264</v>
      </c>
      <c r="T54" s="4">
        <f>data1!AB54</f>
        <v>0.83137255907058716</v>
      </c>
      <c r="U54" s="4">
        <f>data1!AC54</f>
        <v>0.84705883264541626</v>
      </c>
      <c r="V54" s="4">
        <f>data1!AD54</f>
        <v>0.89411765336990356</v>
      </c>
      <c r="W54" s="4">
        <f>data1!AE54</f>
        <v>0.85490196943283081</v>
      </c>
      <c r="X54" s="4">
        <f>data1!AF54</f>
        <v>0.86274510622024536</v>
      </c>
      <c r="Y54" s="4">
        <f>data1!AG54</f>
        <v>0.90588235855102539</v>
      </c>
      <c r="Z54" s="4">
        <v>0.89803922176361084</v>
      </c>
      <c r="AA54" s="4">
        <v>0.89803922176361084</v>
      </c>
      <c r="AB54" s="4">
        <v>0.83921569585800171</v>
      </c>
      <c r="AC54" s="4">
        <v>0.80392158031463623</v>
      </c>
      <c r="AD54" s="4">
        <v>0.85490196943283081</v>
      </c>
      <c r="AE54" s="4">
        <v>0.84705883264541626</v>
      </c>
      <c r="AF54" s="4">
        <v>0.83921569585800171</v>
      </c>
      <c r="AG54" s="4">
        <v>0.7921568751335144</v>
      </c>
      <c r="AH54" s="46">
        <f t="shared" si="5"/>
        <v>52</v>
      </c>
      <c r="AI54" s="9">
        <f t="shared" si="1"/>
        <v>2.7842054286370786E-2</v>
      </c>
      <c r="AJ54" s="9">
        <f t="shared" si="2"/>
        <v>0.80935737562362831</v>
      </c>
      <c r="AK54" s="4">
        <f t="shared" si="3"/>
        <v>0.85112045705318451</v>
      </c>
      <c r="AL54" s="9">
        <f t="shared" si="4"/>
        <v>0.89288353848274071</v>
      </c>
    </row>
    <row r="55" spans="1:38">
      <c r="A55" s="34">
        <f>data4!L55</f>
        <v>6.0504612520162482E-5</v>
      </c>
      <c r="B55" s="4">
        <v>0.86274510622024536</v>
      </c>
      <c r="C55" s="4"/>
      <c r="D55" s="4">
        <v>0.86274510622024536</v>
      </c>
      <c r="E55" s="4"/>
      <c r="F55" s="4">
        <v>0.87450981140136719</v>
      </c>
      <c r="G55" s="4"/>
      <c r="H55" s="4"/>
      <c r="I55" s="4">
        <v>0.85098040103912354</v>
      </c>
      <c r="J55" s="4">
        <f>data1!B55</f>
        <v>0.85490196943283081</v>
      </c>
      <c r="K55" s="4">
        <f>data1!C55</f>
        <v>0.85490196943283081</v>
      </c>
      <c r="L55" s="4">
        <f>data1!D55</f>
        <v>0.87058824300765991</v>
      </c>
      <c r="M55" s="4">
        <f>data1!E55</f>
        <v>0.87843137979507446</v>
      </c>
      <c r="N55" s="4">
        <f>data1!F55</f>
        <v>0.90196079015731812</v>
      </c>
      <c r="O55" s="4">
        <f>data1!G55</f>
        <v>0.85882353782653809</v>
      </c>
      <c r="P55" s="4">
        <f>data1!H55</f>
        <v>0.88627451658248901</v>
      </c>
      <c r="Q55" s="4">
        <f>data1!I55</f>
        <v>0.89019608497619629</v>
      </c>
      <c r="R55" s="4">
        <f>data1!Z55</f>
        <v>0.91372549533843994</v>
      </c>
      <c r="S55" s="4">
        <f>data1!AA55</f>
        <v>0.89411765336990356</v>
      </c>
      <c r="T55" s="4">
        <f>data1!AB55</f>
        <v>0.86274510622024536</v>
      </c>
      <c r="U55" s="4">
        <f>data1!AC55</f>
        <v>0.87450981140136719</v>
      </c>
      <c r="V55" s="4">
        <f>data1!AD55</f>
        <v>0.92156863212585449</v>
      </c>
      <c r="W55" s="4">
        <f>data1!AE55</f>
        <v>0.88235294818878174</v>
      </c>
      <c r="X55" s="4">
        <f>data1!AF55</f>
        <v>0.89411765336990356</v>
      </c>
      <c r="Y55" s="4">
        <f>data1!AG55</f>
        <v>0.93333333730697632</v>
      </c>
      <c r="Z55" s="4">
        <v>0.92549020051956177</v>
      </c>
      <c r="AA55" s="4">
        <v>0.92549020051956177</v>
      </c>
      <c r="AB55" s="4">
        <v>0.86666667461395264</v>
      </c>
      <c r="AC55" s="4">
        <v>0.83137255907058716</v>
      </c>
      <c r="AD55" s="4">
        <v>0.87843137979507446</v>
      </c>
      <c r="AE55" s="4">
        <v>0.87450981140136719</v>
      </c>
      <c r="AF55" s="4">
        <v>0.86274510622024536</v>
      </c>
      <c r="AG55" s="4">
        <v>0.81960785388946533</v>
      </c>
      <c r="AH55" s="46">
        <f t="shared" si="5"/>
        <v>53</v>
      </c>
      <c r="AI55" s="9">
        <f t="shared" si="1"/>
        <v>2.7859583848244721E-2</v>
      </c>
      <c r="AJ55" s="9">
        <f t="shared" si="2"/>
        <v>0.83706217206489031</v>
      </c>
      <c r="AK55" s="4">
        <f t="shared" si="3"/>
        <v>0.87885154783725739</v>
      </c>
      <c r="AL55" s="9">
        <f t="shared" si="4"/>
        <v>0.92064092360962446</v>
      </c>
    </row>
    <row r="56" spans="1:38">
      <c r="A56" s="34">
        <f>data4!L56</f>
        <v>6.2425569012702908E-5</v>
      </c>
      <c r="B56" s="4">
        <v>0.88627451658248901</v>
      </c>
      <c r="C56" s="4"/>
      <c r="D56" s="4">
        <v>0.89019608497619629</v>
      </c>
      <c r="E56" s="4"/>
      <c r="F56" s="4">
        <v>0.90196079015731812</v>
      </c>
      <c r="G56" s="4"/>
      <c r="H56" s="4"/>
      <c r="I56" s="4">
        <v>0.87843137979507446</v>
      </c>
      <c r="J56" s="4">
        <f>data1!B56</f>
        <v>0.88235294818878174</v>
      </c>
      <c r="K56" s="4">
        <f>data1!C56</f>
        <v>0.87450981140136719</v>
      </c>
      <c r="L56" s="4">
        <f>data1!D56</f>
        <v>0.90196079015731812</v>
      </c>
      <c r="M56" s="4">
        <f>data1!E56</f>
        <v>0.89803922176361084</v>
      </c>
      <c r="N56" s="4">
        <f>data1!F56</f>
        <v>0.93333333730697632</v>
      </c>
      <c r="O56" s="4">
        <f>data1!G56</f>
        <v>0.89411765336990356</v>
      </c>
      <c r="P56" s="4">
        <f>data1!H56</f>
        <v>0.90980392694473267</v>
      </c>
      <c r="Q56" s="4">
        <f>data1!I56</f>
        <v>0.91764706373214722</v>
      </c>
      <c r="R56" s="4">
        <f>data1!Z56</f>
        <v>0.94117647409439087</v>
      </c>
      <c r="S56" s="4">
        <f>data1!AA56</f>
        <v>0.92549020051956177</v>
      </c>
      <c r="T56" s="4">
        <f>data1!AB56</f>
        <v>0.88627451658248901</v>
      </c>
      <c r="U56" s="4">
        <f>data1!AC56</f>
        <v>0.89803922176361084</v>
      </c>
      <c r="V56" s="4">
        <f>data1!AD56</f>
        <v>0.9529411792755127</v>
      </c>
      <c r="W56" s="4">
        <f>data1!AE56</f>
        <v>0.90980392694473267</v>
      </c>
      <c r="X56" s="4">
        <f>data1!AF56</f>
        <v>0.92156863212585449</v>
      </c>
      <c r="Y56" s="4">
        <f>data1!AG56</f>
        <v>0.96470588445663452</v>
      </c>
      <c r="Z56" s="4">
        <v>0.9529411792755127</v>
      </c>
      <c r="AA56" s="4">
        <v>0.9529411792755127</v>
      </c>
      <c r="AB56" s="4">
        <v>0.89019608497619629</v>
      </c>
      <c r="AC56" s="4">
        <v>0.85882353782653809</v>
      </c>
      <c r="AD56" s="4">
        <v>0.90588235855102539</v>
      </c>
      <c r="AE56" s="4">
        <v>0.89803922176361084</v>
      </c>
      <c r="AF56" s="4">
        <v>0.89019608497619629</v>
      </c>
      <c r="AG56" s="4">
        <v>0.84313726425170898</v>
      </c>
      <c r="AH56" s="46">
        <f t="shared" si="5"/>
        <v>54</v>
      </c>
      <c r="AI56" s="9">
        <f t="shared" si="1"/>
        <v>2.9316855882496204E-2</v>
      </c>
      <c r="AJ56" s="9">
        <f t="shared" si="2"/>
        <v>0.86176701871322015</v>
      </c>
      <c r="AK56" s="4">
        <f t="shared" si="3"/>
        <v>0.90574230253696442</v>
      </c>
      <c r="AL56" s="9">
        <f t="shared" si="4"/>
        <v>0.94971758636070869</v>
      </c>
    </row>
    <row r="57" spans="1:38">
      <c r="A57" s="34">
        <f>data4!L57</f>
        <v>6.4294661569874734E-5</v>
      </c>
      <c r="B57" s="4">
        <v>0.91764706373214722</v>
      </c>
      <c r="C57" s="4"/>
      <c r="D57" s="4">
        <v>0.91764706373214722</v>
      </c>
      <c r="E57" s="4"/>
      <c r="F57" s="4">
        <v>0.93333333730697632</v>
      </c>
      <c r="G57" s="4"/>
      <c r="H57" s="4"/>
      <c r="I57" s="4">
        <v>0.90588235855102539</v>
      </c>
      <c r="J57" s="4">
        <f>data1!B57</f>
        <v>0.90980392694473267</v>
      </c>
      <c r="K57" s="4">
        <f>data1!C57</f>
        <v>0.90196079015731812</v>
      </c>
      <c r="L57" s="4">
        <f>data1!D57</f>
        <v>0.93333333730697632</v>
      </c>
      <c r="M57" s="4">
        <f>data1!E57</f>
        <v>0.93333333730697632</v>
      </c>
      <c r="N57" s="4">
        <f>data1!F57</f>
        <v>0.95686274766921997</v>
      </c>
      <c r="O57" s="4">
        <f>data1!G57</f>
        <v>0.91764706373214722</v>
      </c>
      <c r="P57" s="4">
        <f>data1!H57</f>
        <v>0.93725490570068359</v>
      </c>
      <c r="Q57" s="4">
        <f>data1!I57</f>
        <v>0.94901961088180542</v>
      </c>
      <c r="R57" s="4">
        <f>data1!Z57</f>
        <v>0.97254902124404907</v>
      </c>
      <c r="S57" s="4">
        <f>data1!AA57</f>
        <v>0.9529411792755127</v>
      </c>
      <c r="T57" s="4">
        <f>data1!AB57</f>
        <v>0.91372549533843994</v>
      </c>
      <c r="U57" s="4">
        <f>data1!AC57</f>
        <v>0.92549020051956177</v>
      </c>
      <c r="V57" s="4">
        <f>data1!AD57</f>
        <v>0.98039215803146362</v>
      </c>
      <c r="W57" s="4">
        <f>data1!AE57</f>
        <v>0.94117647409439087</v>
      </c>
      <c r="X57" s="4">
        <f>data1!AF57</f>
        <v>0.94901961088180542</v>
      </c>
      <c r="Y57" s="4">
        <f>data1!AG57</f>
        <v>0.99215686321258545</v>
      </c>
      <c r="Z57" s="4">
        <v>0.9843137264251709</v>
      </c>
      <c r="AA57" s="4">
        <v>0.9843137264251709</v>
      </c>
      <c r="AB57" s="4">
        <v>0.92156863212585449</v>
      </c>
      <c r="AC57" s="4">
        <v>0.88627451658248901</v>
      </c>
      <c r="AD57" s="4">
        <v>0.93725490570068359</v>
      </c>
      <c r="AE57" s="4">
        <v>0.92941176891326904</v>
      </c>
      <c r="AF57" s="4">
        <v>0.91764706373214722</v>
      </c>
      <c r="AG57" s="4">
        <v>0.87058824300765991</v>
      </c>
      <c r="AH57" s="46">
        <f t="shared" si="5"/>
        <v>55</v>
      </c>
      <c r="AI57" s="9">
        <f t="shared" si="1"/>
        <v>2.9755228982504944E-2</v>
      </c>
      <c r="AJ57" s="9">
        <f t="shared" si="2"/>
        <v>0.89010105397382866</v>
      </c>
      <c r="AK57" s="4">
        <f t="shared" si="3"/>
        <v>0.93473389744758606</v>
      </c>
      <c r="AL57" s="9">
        <f t="shared" si="4"/>
        <v>0.97936674092134346</v>
      </c>
    </row>
    <row r="58" spans="1:38">
      <c r="A58" s="34">
        <f>data4!L58</f>
        <v>6.6144615630037151E-5</v>
      </c>
      <c r="B58" s="4">
        <v>0.94117647409439087</v>
      </c>
      <c r="C58" s="4"/>
      <c r="D58" s="4">
        <v>0.94509804248809814</v>
      </c>
      <c r="E58" s="4"/>
      <c r="F58" s="4">
        <v>0.96470588445663452</v>
      </c>
      <c r="G58" s="4"/>
      <c r="H58" s="4"/>
      <c r="I58" s="4">
        <v>0.93333333730697632</v>
      </c>
      <c r="J58" s="4">
        <f>data1!B58</f>
        <v>0.93333333730697632</v>
      </c>
      <c r="K58" s="4">
        <f>data1!C58</f>
        <v>0.93725490570068359</v>
      </c>
      <c r="L58" s="4">
        <f>data1!D58</f>
        <v>0.96470588445663452</v>
      </c>
      <c r="M58" s="4">
        <f>data1!E58</f>
        <v>0.95686274766921997</v>
      </c>
      <c r="N58" s="4">
        <f>data1!F58</f>
        <v>0.98823529481887817</v>
      </c>
      <c r="O58" s="4">
        <f>data1!G58</f>
        <v>0.94117647409439087</v>
      </c>
      <c r="P58" s="4">
        <f>data1!H58</f>
        <v>0.96470588445663452</v>
      </c>
      <c r="Q58" s="4">
        <f>data1!I58</f>
        <v>0.97254902124404907</v>
      </c>
      <c r="R58" s="4">
        <f>data1!Z58</f>
        <v>0.999</v>
      </c>
      <c r="S58" s="4">
        <f>data1!AA58</f>
        <v>0.98039215803146362</v>
      </c>
      <c r="T58" s="4">
        <f>data1!AB58</f>
        <v>0.94117647409439087</v>
      </c>
      <c r="U58" s="4">
        <f>data1!AC58</f>
        <v>0.94901961088180542</v>
      </c>
      <c r="V58" s="4">
        <f>data1!AD58</f>
        <v>0.999</v>
      </c>
      <c r="W58" s="4">
        <f>data1!AE58</f>
        <v>0.9686274528503418</v>
      </c>
      <c r="X58" s="4">
        <f>data1!AF58</f>
        <v>0.98039215803146362</v>
      </c>
      <c r="Y58" s="4">
        <f>data1!AG58</f>
        <v>0.999</v>
      </c>
      <c r="Z58" s="4">
        <v>0.999</v>
      </c>
      <c r="AA58" s="4">
        <v>0.999</v>
      </c>
      <c r="AB58" s="4">
        <v>0.94509804248809814</v>
      </c>
      <c r="AC58" s="4">
        <v>0.91372549533843994</v>
      </c>
      <c r="AD58" s="4">
        <v>0.96470588445663452</v>
      </c>
      <c r="AE58" s="4">
        <v>0.95686274766921997</v>
      </c>
      <c r="AF58" s="4">
        <v>0.94509804248809814</v>
      </c>
      <c r="AG58" s="4">
        <v>0.89411765336990356</v>
      </c>
      <c r="AH58" s="46">
        <f t="shared" si="5"/>
        <v>56</v>
      </c>
      <c r="AI58" s="9">
        <f t="shared" si="1"/>
        <v>2.7110857921615803E-2</v>
      </c>
      <c r="AJ58" s="9">
        <f t="shared" si="2"/>
        <v>0.91923917768162722</v>
      </c>
      <c r="AK58" s="4">
        <f t="shared" si="3"/>
        <v>0.9599054645640509</v>
      </c>
      <c r="AL58" s="9">
        <f t="shared" si="4"/>
        <v>1.0005717514464747</v>
      </c>
    </row>
    <row r="59" spans="1:38">
      <c r="A59" s="34">
        <f>data4!L59</f>
        <v>6.811109597038012E-5</v>
      </c>
      <c r="B59" s="4">
        <v>0.97647058963775635</v>
      </c>
      <c r="C59" s="4"/>
      <c r="D59" s="4">
        <v>0.9686274528503418</v>
      </c>
      <c r="E59" s="4"/>
      <c r="F59" s="4">
        <v>0.98823529481887817</v>
      </c>
      <c r="G59" s="4"/>
      <c r="H59" s="4"/>
      <c r="I59" s="4">
        <v>0.96078431606292725</v>
      </c>
      <c r="J59" s="4">
        <f>data1!B59</f>
        <v>0.96078431606292725</v>
      </c>
      <c r="K59" s="4">
        <f>data1!C59</f>
        <v>0.9529411792755127</v>
      </c>
      <c r="L59" s="4">
        <f>data1!D59</f>
        <v>0.9843137264251709</v>
      </c>
      <c r="M59" s="4">
        <f>data1!E59</f>
        <v>0.9843137264251709</v>
      </c>
      <c r="N59" s="4">
        <f>data1!F59</f>
        <v>0.999</v>
      </c>
      <c r="O59" s="4">
        <f>data1!G59</f>
        <v>0.94901961088180542</v>
      </c>
      <c r="P59" s="4">
        <f>data1!H59</f>
        <v>0.99215686321258545</v>
      </c>
      <c r="Q59" s="4">
        <f>data1!I59</f>
        <v>0.99215686321258545</v>
      </c>
      <c r="R59" s="4">
        <f>data1!Z59</f>
        <v>0.999</v>
      </c>
      <c r="S59" s="4">
        <f>data1!AA59</f>
        <v>0.999</v>
      </c>
      <c r="T59" s="4">
        <f>data1!AB59</f>
        <v>0.9686274528503418</v>
      </c>
      <c r="U59" s="4">
        <f>data1!AC59</f>
        <v>0.96470588445663452</v>
      </c>
      <c r="V59" s="4">
        <f>data1!AD59</f>
        <v>0.999</v>
      </c>
      <c r="W59" s="4">
        <f>data1!AE59</f>
        <v>0.99607843160629272</v>
      </c>
      <c r="X59" s="4">
        <f>data1!AF59</f>
        <v>0.999</v>
      </c>
      <c r="Y59" s="4">
        <f>data1!AG59</f>
        <v>0.999</v>
      </c>
      <c r="Z59" s="4">
        <v>0.999</v>
      </c>
      <c r="AA59" s="4">
        <v>0.999</v>
      </c>
      <c r="AB59" s="4">
        <v>0.97254902124404907</v>
      </c>
      <c r="AC59" s="4">
        <v>0.93725490570068359</v>
      </c>
      <c r="AD59" s="4">
        <v>0.98823529481887817</v>
      </c>
      <c r="AE59" s="4">
        <v>0.9843137264251709</v>
      </c>
      <c r="AF59" s="4">
        <v>0.97254902124404907</v>
      </c>
      <c r="AG59" s="4">
        <v>0.92156863212585449</v>
      </c>
      <c r="AH59" s="46">
        <f t="shared" si="5"/>
        <v>57</v>
      </c>
      <c r="AI59" s="9">
        <f t="shared" si="1"/>
        <v>2.0979845008013389E-2</v>
      </c>
      <c r="AJ59" s="9">
        <f t="shared" si="2"/>
        <v>0.94737617210718039</v>
      </c>
      <c r="AK59" s="4">
        <f t="shared" si="3"/>
        <v>0.97884593961920052</v>
      </c>
      <c r="AL59" s="9">
        <f t="shared" si="4"/>
        <v>1.0103157071312205</v>
      </c>
    </row>
    <row r="60" spans="1:38">
      <c r="A60" s="34">
        <f>data4!L60</f>
        <v>7.0025976128818002E-5</v>
      </c>
      <c r="B60" s="4">
        <v>0.999</v>
      </c>
      <c r="C60" s="4"/>
      <c r="D60" s="4">
        <v>0.999</v>
      </c>
      <c r="E60" s="4"/>
      <c r="F60" s="4">
        <v>0.999</v>
      </c>
      <c r="G60" s="4"/>
      <c r="H60" s="4"/>
      <c r="I60" s="4">
        <v>0.98823529481887817</v>
      </c>
      <c r="J60" s="4">
        <f>data1!B60</f>
        <v>0.98039215803146362</v>
      </c>
      <c r="K60" s="4">
        <f>data1!C60</f>
        <v>0.97254902124404907</v>
      </c>
      <c r="L60" s="4">
        <f>data1!D60</f>
        <v>0.999</v>
      </c>
      <c r="M60" s="4">
        <f>data1!E60</f>
        <v>0.999</v>
      </c>
      <c r="N60" s="4">
        <f>data1!F60</f>
        <v>0.999</v>
      </c>
      <c r="O60" s="4">
        <f>data1!G60</f>
        <v>0.96470588445663452</v>
      </c>
      <c r="P60" s="4">
        <f>data1!H60</f>
        <v>0.999</v>
      </c>
      <c r="Q60" s="4">
        <f>data1!I60</f>
        <v>0.999</v>
      </c>
      <c r="R60" s="4">
        <f>data1!Z60</f>
        <v>0.999</v>
      </c>
      <c r="S60" s="4">
        <f>data1!AA60</f>
        <v>0.999</v>
      </c>
      <c r="T60" s="4">
        <f>data1!AB60</f>
        <v>0.98823529481887817</v>
      </c>
      <c r="U60" s="4">
        <f>data1!AC60</f>
        <v>0.98039215803146362</v>
      </c>
      <c r="V60" s="4">
        <f>data1!AD60</f>
        <v>0.999</v>
      </c>
      <c r="W60" s="4">
        <f>data1!AE60</f>
        <v>0.999</v>
      </c>
      <c r="X60" s="4">
        <f>data1!AF60</f>
        <v>0.999</v>
      </c>
      <c r="Y60" s="4">
        <f>data1!AG60</f>
        <v>0.999</v>
      </c>
      <c r="Z60" s="4">
        <v>0.999</v>
      </c>
      <c r="AA60" s="4">
        <v>0.999</v>
      </c>
      <c r="AB60" s="4">
        <v>0.999</v>
      </c>
      <c r="AC60" s="4">
        <v>0.97254902124404907</v>
      </c>
      <c r="AD60" s="4">
        <v>0.999</v>
      </c>
      <c r="AE60" s="4">
        <v>0.999</v>
      </c>
      <c r="AF60" s="4">
        <v>0.999</v>
      </c>
      <c r="AG60" s="4">
        <v>0.94901961088180542</v>
      </c>
      <c r="AH60" s="46">
        <f t="shared" si="5"/>
        <v>58</v>
      </c>
      <c r="AI60" s="9">
        <f t="shared" si="1"/>
        <v>1.3090558545571085E-2</v>
      </c>
      <c r="AJ60" s="9">
        <f t="shared" si="2"/>
        <v>0.97236696373618658</v>
      </c>
      <c r="AK60" s="4">
        <f t="shared" si="3"/>
        <v>0.99200280155454323</v>
      </c>
      <c r="AL60" s="9">
        <f t="shared" si="4"/>
        <v>1.0116386393728998</v>
      </c>
    </row>
    <row r="61" spans="1:38">
      <c r="A61" s="34">
        <f>data4!L61</f>
        <v>7.192669636424398E-5</v>
      </c>
      <c r="B61" s="4">
        <v>0.999</v>
      </c>
      <c r="C61" s="4"/>
      <c r="D61" s="4">
        <v>0.999</v>
      </c>
      <c r="E61" s="4"/>
      <c r="F61" s="4">
        <v>0.999</v>
      </c>
      <c r="G61" s="4"/>
      <c r="H61" s="4"/>
      <c r="I61" s="4">
        <v>0.999</v>
      </c>
      <c r="J61" s="4">
        <f>data1!B61</f>
        <v>0.99607843160629272</v>
      </c>
      <c r="K61" s="4">
        <f>data1!C61</f>
        <v>0.9843137264251709</v>
      </c>
      <c r="L61" s="4">
        <f>data1!D61</f>
        <v>0.999</v>
      </c>
      <c r="M61" s="4">
        <f>data1!E61</f>
        <v>0.999</v>
      </c>
      <c r="N61" s="4">
        <f>data1!F61</f>
        <v>0.999</v>
      </c>
      <c r="O61" s="4">
        <f>data1!G61</f>
        <v>0.96078431606292725</v>
      </c>
      <c r="P61" s="4">
        <f>data1!H61</f>
        <v>0.999</v>
      </c>
      <c r="Q61" s="4">
        <f>data1!I61</f>
        <v>0.999</v>
      </c>
      <c r="R61" s="4">
        <f>data1!Z61</f>
        <v>0.999</v>
      </c>
      <c r="S61" s="4">
        <f>data1!AA61</f>
        <v>0.999</v>
      </c>
      <c r="T61" s="4">
        <f>data1!AB61</f>
        <v>0.999</v>
      </c>
      <c r="U61" s="4">
        <f>data1!AC61</f>
        <v>0.9843137264251709</v>
      </c>
      <c r="V61" s="4">
        <f>data1!AD61</f>
        <v>0.999</v>
      </c>
      <c r="W61" s="4">
        <f>data1!AE61</f>
        <v>0.999</v>
      </c>
      <c r="X61" s="4">
        <f>data1!AF61</f>
        <v>0.999</v>
      </c>
      <c r="Y61" s="4">
        <f>data1!AG61</f>
        <v>0.999</v>
      </c>
      <c r="Z61" s="4">
        <v>0.999</v>
      </c>
      <c r="AA61" s="4">
        <v>0.999</v>
      </c>
      <c r="AB61" s="4">
        <v>0.999</v>
      </c>
      <c r="AC61" s="4">
        <v>0.98823529481887817</v>
      </c>
      <c r="AD61" s="4">
        <v>0.999</v>
      </c>
      <c r="AE61" s="4">
        <v>0.999</v>
      </c>
      <c r="AF61" s="4">
        <v>0.999</v>
      </c>
      <c r="AG61" s="4">
        <v>0.97647058963775635</v>
      </c>
      <c r="AH61" s="46">
        <f t="shared" si="5"/>
        <v>59</v>
      </c>
      <c r="AI61" s="9">
        <f t="shared" si="1"/>
        <v>8.9006243567302714E-3</v>
      </c>
      <c r="AJ61" s="9">
        <f t="shared" si="2"/>
        <v>0.98194178078548267</v>
      </c>
      <c r="AK61" s="4">
        <f t="shared" si="3"/>
        <v>0.99529271732057811</v>
      </c>
      <c r="AL61" s="9">
        <f t="shared" si="4"/>
        <v>1.0086436538556736</v>
      </c>
    </row>
    <row r="62" spans="1:38">
      <c r="A62" s="34">
        <f>data4!L62</f>
        <v>7.4019932981173042E-5</v>
      </c>
      <c r="B62" s="4">
        <v>0.999</v>
      </c>
      <c r="C62" s="4"/>
      <c r="D62" s="4">
        <v>0.999</v>
      </c>
      <c r="E62" s="4"/>
      <c r="F62" s="4">
        <v>0.999</v>
      </c>
      <c r="G62" s="4"/>
      <c r="H62" s="4"/>
      <c r="I62" s="4">
        <v>0.999</v>
      </c>
      <c r="J62" s="4">
        <f>data1!B62</f>
        <v>0.999</v>
      </c>
      <c r="K62" s="4">
        <f>data1!C62</f>
        <v>0.98823529481887817</v>
      </c>
      <c r="L62" s="4">
        <f>data1!D62</f>
        <v>0.999</v>
      </c>
      <c r="M62" s="4">
        <f>data1!E62</f>
        <v>0.999</v>
      </c>
      <c r="N62" s="4">
        <f>data1!F62</f>
        <v>0.999</v>
      </c>
      <c r="O62" s="4">
        <f>data1!G62</f>
        <v>0.97647058963775635</v>
      </c>
      <c r="P62" s="4">
        <f>data1!H62</f>
        <v>0.999</v>
      </c>
      <c r="Q62" s="4">
        <f>data1!I62</f>
        <v>0.999</v>
      </c>
      <c r="R62" s="4">
        <f>data1!Z62</f>
        <v>0.999</v>
      </c>
      <c r="S62" s="4">
        <f>data1!AA62</f>
        <v>0.999</v>
      </c>
      <c r="T62" s="4">
        <f>data1!AB62</f>
        <v>0.999</v>
      </c>
      <c r="U62" s="4">
        <f>data1!AC62</f>
        <v>0.98823529481887817</v>
      </c>
      <c r="V62" s="4">
        <f>data1!AD62</f>
        <v>0.999</v>
      </c>
      <c r="W62" s="4">
        <f>data1!AE62</f>
        <v>0.999</v>
      </c>
      <c r="X62" s="4">
        <f>data1!AF62</f>
        <v>0.999</v>
      </c>
      <c r="Y62" s="4">
        <f>data1!AG62</f>
        <v>0.999</v>
      </c>
      <c r="Z62" s="4">
        <v>0.999</v>
      </c>
      <c r="AA62" s="4">
        <v>0.999</v>
      </c>
      <c r="AB62" s="4">
        <v>0.999</v>
      </c>
      <c r="AC62" s="4">
        <v>0.999</v>
      </c>
      <c r="AD62" s="4">
        <v>0.999</v>
      </c>
      <c r="AE62" s="4">
        <v>0.999</v>
      </c>
      <c r="AF62" s="4">
        <v>0.999</v>
      </c>
      <c r="AG62" s="4">
        <v>0.999</v>
      </c>
      <c r="AH62" s="46">
        <f t="shared" si="5"/>
        <v>60</v>
      </c>
      <c r="AI62" s="9">
        <f t="shared" si="1"/>
        <v>4.9814628250898054E-3</v>
      </c>
      <c r="AJ62" s="9">
        <f t="shared" si="2"/>
        <v>0.98995427645077605</v>
      </c>
      <c r="AK62" s="4">
        <f t="shared" si="3"/>
        <v>0.99742647068841073</v>
      </c>
      <c r="AL62" s="9">
        <f t="shared" si="4"/>
        <v>1.0048986649260454</v>
      </c>
    </row>
    <row r="63" spans="1:38">
      <c r="A63" s="34">
        <f>data4!L63</f>
        <v>7.6012277531845029E-5</v>
      </c>
      <c r="B63" s="4">
        <v>0.999</v>
      </c>
      <c r="C63" s="4"/>
      <c r="D63" s="4">
        <v>0.999</v>
      </c>
      <c r="E63" s="4"/>
      <c r="F63" s="4">
        <v>0.999</v>
      </c>
      <c r="G63" s="4"/>
      <c r="H63" s="4"/>
      <c r="I63" s="4">
        <v>0.999</v>
      </c>
      <c r="J63" s="4">
        <f>data1!B63</f>
        <v>0.999</v>
      </c>
      <c r="K63" s="4">
        <f>data1!C63</f>
        <v>0.999</v>
      </c>
      <c r="L63" s="4">
        <f>data1!D63</f>
        <v>0.999</v>
      </c>
      <c r="M63" s="4">
        <f>data1!E63</f>
        <v>0.999</v>
      </c>
      <c r="N63" s="4">
        <f>data1!F63</f>
        <v>0.999</v>
      </c>
      <c r="O63" s="4">
        <f>data1!G63</f>
        <v>0.97254902124404907</v>
      </c>
      <c r="P63" s="4">
        <f>data1!H63</f>
        <v>0.999</v>
      </c>
      <c r="Q63" s="4">
        <f>data1!I63</f>
        <v>0.999</v>
      </c>
      <c r="R63" s="4">
        <f>data1!Z63</f>
        <v>0.999</v>
      </c>
      <c r="S63" s="4">
        <f>data1!AA63</f>
        <v>0.999</v>
      </c>
      <c r="T63" s="4">
        <f>data1!AB63</f>
        <v>0.999</v>
      </c>
      <c r="U63" s="4">
        <f>data1!AC63</f>
        <v>0.98823529481887817</v>
      </c>
      <c r="V63" s="4">
        <f>data1!AD63</f>
        <v>0.999</v>
      </c>
      <c r="W63" s="4">
        <f>data1!AE63</f>
        <v>0.999</v>
      </c>
      <c r="X63" s="4">
        <f>data1!AF63</f>
        <v>0.999</v>
      </c>
      <c r="Y63" s="4">
        <f>data1!AG63</f>
        <v>0.999</v>
      </c>
      <c r="Z63" s="4">
        <v>0.999</v>
      </c>
      <c r="AA63" s="4">
        <v>0.999</v>
      </c>
      <c r="AB63" s="4">
        <v>0.999</v>
      </c>
      <c r="AC63" s="4">
        <v>0.999</v>
      </c>
      <c r="AD63" s="4">
        <v>0.999</v>
      </c>
      <c r="AE63" s="4">
        <v>0.999</v>
      </c>
      <c r="AF63" s="4">
        <v>0.999</v>
      </c>
      <c r="AG63" s="4">
        <v>0.999</v>
      </c>
      <c r="AH63" s="46">
        <f t="shared" si="5"/>
        <v>61</v>
      </c>
      <c r="AI63" s="9">
        <f t="shared" si="1"/>
        <v>5.3266229117755332E-3</v>
      </c>
      <c r="AJ63" s="9">
        <f t="shared" si="2"/>
        <v>0.98968093406315516</v>
      </c>
      <c r="AK63" s="4">
        <f t="shared" si="3"/>
        <v>0.99767086843081842</v>
      </c>
      <c r="AL63" s="9">
        <f t="shared" si="4"/>
        <v>1.0056608027984817</v>
      </c>
    </row>
    <row r="64" spans="1:38">
      <c r="A64" s="34">
        <f>data4!L64</f>
        <v>7.8022962043178268E-5</v>
      </c>
      <c r="B64" s="4">
        <v>0.999</v>
      </c>
      <c r="C64" s="4"/>
      <c r="D64" s="4">
        <v>0.999</v>
      </c>
      <c r="E64" s="4"/>
      <c r="F64" s="4">
        <v>0.999</v>
      </c>
      <c r="G64" s="4"/>
      <c r="H64" s="4"/>
      <c r="I64" s="4">
        <v>0.999</v>
      </c>
      <c r="J64" s="4">
        <f>data1!B64</f>
        <v>0.999</v>
      </c>
      <c r="K64" s="4">
        <f>data1!C64</f>
        <v>0.999</v>
      </c>
      <c r="L64" s="4">
        <f>data1!D64</f>
        <v>0.999</v>
      </c>
      <c r="M64" s="4">
        <f>data1!E64</f>
        <v>0.999</v>
      </c>
      <c r="N64" s="4">
        <f>data1!F64</f>
        <v>0.999</v>
      </c>
      <c r="O64" s="4">
        <f>data1!G64</f>
        <v>0.97254902124404907</v>
      </c>
      <c r="P64" s="4">
        <f>data1!H64</f>
        <v>0.999</v>
      </c>
      <c r="Q64" s="4">
        <f>data1!I64</f>
        <v>0.999</v>
      </c>
      <c r="R64" s="4">
        <f>data1!Z64</f>
        <v>0.999</v>
      </c>
      <c r="S64" s="4">
        <f>data1!AA64</f>
        <v>0.999</v>
      </c>
      <c r="T64" s="4">
        <f>data1!AB64</f>
        <v>0.999</v>
      </c>
      <c r="U64" s="4">
        <f>data1!AC64</f>
        <v>0.98823529481887817</v>
      </c>
      <c r="V64" s="4">
        <f>data1!AD64</f>
        <v>0.999</v>
      </c>
      <c r="W64" s="4">
        <f>data1!AE64</f>
        <v>0.999</v>
      </c>
      <c r="X64" s="4">
        <f>data1!AF64</f>
        <v>0.999</v>
      </c>
      <c r="Y64" s="4">
        <f>data1!AG64</f>
        <v>0.999</v>
      </c>
      <c r="Z64" s="4">
        <v>0.999</v>
      </c>
      <c r="AA64" s="4">
        <v>0.999</v>
      </c>
      <c r="AB64" s="4">
        <v>0.999</v>
      </c>
      <c r="AC64" s="4">
        <v>0.999</v>
      </c>
      <c r="AD64" s="4">
        <v>0.999</v>
      </c>
      <c r="AE64" s="4">
        <v>0.999</v>
      </c>
      <c r="AF64" s="4">
        <v>0.999</v>
      </c>
      <c r="AG64" s="4">
        <v>0.999</v>
      </c>
      <c r="AH64" s="46">
        <f t="shared" si="5"/>
        <v>62</v>
      </c>
      <c r="AI64" s="9">
        <f t="shared" si="1"/>
        <v>5.3266229117755332E-3</v>
      </c>
      <c r="AJ64" s="9">
        <f t="shared" si="2"/>
        <v>0.98968093406315516</v>
      </c>
      <c r="AK64" s="4">
        <f t="shared" si="3"/>
        <v>0.99767086843081842</v>
      </c>
      <c r="AL64" s="9">
        <f t="shared" si="4"/>
        <v>1.0056608027984817</v>
      </c>
    </row>
    <row r="65" spans="1:38">
      <c r="A65" s="34">
        <f>data4!L65</f>
        <v>7.9990608355728909E-5</v>
      </c>
      <c r="B65" s="4">
        <v>0.999</v>
      </c>
      <c r="C65" s="4"/>
      <c r="D65" s="4">
        <v>0.999</v>
      </c>
      <c r="E65" s="4"/>
      <c r="F65" s="4">
        <v>0.999</v>
      </c>
      <c r="G65" s="4"/>
      <c r="H65" s="4"/>
      <c r="I65" s="4">
        <v>0.999</v>
      </c>
      <c r="J65" s="4">
        <f>data1!B65</f>
        <v>0.999</v>
      </c>
      <c r="K65" s="4">
        <f>data1!C65</f>
        <v>0.999</v>
      </c>
      <c r="L65" s="4">
        <f>data1!D65</f>
        <v>0.999</v>
      </c>
      <c r="M65" s="4">
        <f>data1!E65</f>
        <v>0.999</v>
      </c>
      <c r="N65" s="4">
        <f>data1!F65</f>
        <v>0.999</v>
      </c>
      <c r="O65" s="4">
        <f>data1!G65</f>
        <v>0.97254902124404907</v>
      </c>
      <c r="P65" s="4">
        <f>data1!H65</f>
        <v>0.999</v>
      </c>
      <c r="Q65" s="4">
        <f>data1!I65</f>
        <v>0.999</v>
      </c>
      <c r="R65" s="4">
        <f>data1!Z65</f>
        <v>0.999</v>
      </c>
      <c r="S65" s="4">
        <f>data1!AA65</f>
        <v>0.999</v>
      </c>
      <c r="T65" s="4">
        <f>data1!AB65</f>
        <v>0.999</v>
      </c>
      <c r="U65" s="4">
        <f>data1!AC65</f>
        <v>0.999</v>
      </c>
      <c r="V65" s="4">
        <f>data1!AD65</f>
        <v>0.999</v>
      </c>
      <c r="W65" s="4">
        <f>data1!AE65</f>
        <v>0.999</v>
      </c>
      <c r="X65" s="4">
        <f>data1!AF65</f>
        <v>0.999</v>
      </c>
      <c r="Y65" s="4">
        <f>data1!AG65</f>
        <v>0.999</v>
      </c>
      <c r="Z65" s="4">
        <v>0.999</v>
      </c>
      <c r="AA65" s="4">
        <v>0.999</v>
      </c>
      <c r="AB65" s="4">
        <v>0.999</v>
      </c>
      <c r="AC65" s="4">
        <v>0.999</v>
      </c>
      <c r="AD65" s="4">
        <v>0.999</v>
      </c>
      <c r="AE65" s="4">
        <v>0.999</v>
      </c>
      <c r="AF65" s="4">
        <v>0.999</v>
      </c>
      <c r="AG65" s="4">
        <v>0.999</v>
      </c>
      <c r="AH65" s="46">
        <f t="shared" si="5"/>
        <v>63</v>
      </c>
      <c r="AI65" s="9">
        <f t="shared" si="1"/>
        <v>4.9987651230356299E-3</v>
      </c>
      <c r="AJ65" s="9">
        <f t="shared" si="2"/>
        <v>0.99055717450273362</v>
      </c>
      <c r="AK65" s="4">
        <f t="shared" si="3"/>
        <v>0.9980553221872871</v>
      </c>
      <c r="AL65" s="9">
        <f t="shared" si="4"/>
        <v>1.0055534698718405</v>
      </c>
    </row>
    <row r="66" spans="1:38">
      <c r="A66" s="34">
        <f>data4!L66</f>
        <v>8.2060020758945029E-5</v>
      </c>
      <c r="B66" s="4">
        <v>0.999</v>
      </c>
      <c r="C66" s="4"/>
      <c r="D66" s="4">
        <v>0.999</v>
      </c>
      <c r="E66" s="4"/>
      <c r="F66" s="4">
        <v>0.999</v>
      </c>
      <c r="G66" s="4"/>
      <c r="H66" s="4"/>
      <c r="I66" s="4">
        <v>0.999</v>
      </c>
      <c r="J66" s="4">
        <f>data1!B66</f>
        <v>0.999</v>
      </c>
      <c r="K66" s="4">
        <f>data1!C66</f>
        <v>0.999</v>
      </c>
      <c r="L66" s="4">
        <f>data1!D66</f>
        <v>0.999</v>
      </c>
      <c r="M66" s="4">
        <f>data1!E66</f>
        <v>0.999</v>
      </c>
      <c r="N66" s="4">
        <f>data1!F66</f>
        <v>0.999</v>
      </c>
      <c r="O66" s="4">
        <f>data1!G66</f>
        <v>0.9843137264251709</v>
      </c>
      <c r="P66" s="4">
        <f>data1!H66</f>
        <v>0.999</v>
      </c>
      <c r="Q66" s="4">
        <f>data1!I66</f>
        <v>0.999</v>
      </c>
      <c r="R66" s="4">
        <f>data1!Z66</f>
        <v>0.999</v>
      </c>
      <c r="S66" s="4">
        <f>data1!AA66</f>
        <v>0.999</v>
      </c>
      <c r="T66" s="4">
        <f>data1!AB66</f>
        <v>0.999</v>
      </c>
      <c r="U66" s="4">
        <f>data1!AC66</f>
        <v>0.999</v>
      </c>
      <c r="V66" s="4">
        <f>data1!AD66</f>
        <v>0.999</v>
      </c>
      <c r="W66" s="4">
        <f>data1!AE66</f>
        <v>0.999</v>
      </c>
      <c r="X66" s="4">
        <f>data1!AF66</f>
        <v>0.999</v>
      </c>
      <c r="Y66" s="4">
        <f>data1!AG66</f>
        <v>0.999</v>
      </c>
      <c r="Z66" s="4">
        <v>0.999</v>
      </c>
      <c r="AA66" s="4">
        <v>0.999</v>
      </c>
      <c r="AB66" s="4">
        <v>0.999</v>
      </c>
      <c r="AC66" s="4">
        <v>0.999</v>
      </c>
      <c r="AD66" s="4">
        <v>0.999</v>
      </c>
      <c r="AE66" s="4">
        <v>0.999</v>
      </c>
      <c r="AF66" s="4">
        <v>0.999</v>
      </c>
      <c r="AG66" s="4">
        <v>0.999</v>
      </c>
      <c r="AH66" s="46">
        <f t="shared" si="5"/>
        <v>64</v>
      </c>
      <c r="AI66" s="9">
        <f t="shared" si="1"/>
        <v>2.7754448260898113E-3</v>
      </c>
      <c r="AJ66" s="9">
        <f t="shared" si="2"/>
        <v>0.99431232299033534</v>
      </c>
      <c r="AK66" s="4">
        <f t="shared" si="3"/>
        <v>0.99847549022947002</v>
      </c>
      <c r="AL66" s="9">
        <f t="shared" si="4"/>
        <v>1.0026386574686048</v>
      </c>
    </row>
    <row r="67" spans="1:38">
      <c r="A67" s="34">
        <f>data4!L67</f>
        <v>8.4146807239449117E-5</v>
      </c>
      <c r="B67" s="4">
        <v>0.999</v>
      </c>
      <c r="C67" s="4"/>
      <c r="D67" s="4">
        <v>0.999</v>
      </c>
      <c r="E67" s="4"/>
      <c r="F67" s="4">
        <v>0.999</v>
      </c>
      <c r="G67" s="4"/>
      <c r="H67" s="4"/>
      <c r="I67" s="4">
        <v>0.999</v>
      </c>
      <c r="J67" s="4">
        <f>data1!B67</f>
        <v>0.999</v>
      </c>
      <c r="K67" s="4">
        <f>data1!C67</f>
        <v>0.999</v>
      </c>
      <c r="L67" s="4">
        <f>data1!D67</f>
        <v>0.999</v>
      </c>
      <c r="M67" s="4">
        <f>data1!E67</f>
        <v>0.999</v>
      </c>
      <c r="N67" s="4">
        <f>data1!F67</f>
        <v>0.999</v>
      </c>
      <c r="O67" s="4">
        <f>data1!G67</f>
        <v>0.99607843160629272</v>
      </c>
      <c r="P67" s="4">
        <f>data1!H67</f>
        <v>0.999</v>
      </c>
      <c r="Q67" s="4">
        <f>data1!I67</f>
        <v>0.999</v>
      </c>
      <c r="R67" s="4">
        <f>data1!Z67</f>
        <v>0.999</v>
      </c>
      <c r="S67" s="4">
        <f>data1!AA67</f>
        <v>0.999</v>
      </c>
      <c r="T67" s="4">
        <f>data1!AB67</f>
        <v>0.999</v>
      </c>
      <c r="U67" s="4">
        <f>data1!AC67</f>
        <v>0.999</v>
      </c>
      <c r="V67" s="4">
        <f>data1!AD67</f>
        <v>0.999</v>
      </c>
      <c r="W67" s="4">
        <f>data1!AE67</f>
        <v>0.999</v>
      </c>
      <c r="X67" s="4">
        <f>data1!AF67</f>
        <v>0.999</v>
      </c>
      <c r="Y67" s="4">
        <f>data1!AG67</f>
        <v>0.999</v>
      </c>
      <c r="Z67" s="4">
        <v>0.999</v>
      </c>
      <c r="AA67" s="4">
        <v>0.999</v>
      </c>
      <c r="AB67" s="4">
        <v>0.999</v>
      </c>
      <c r="AC67" s="4">
        <v>0.999</v>
      </c>
      <c r="AD67" s="4">
        <v>0.999</v>
      </c>
      <c r="AE67" s="4">
        <v>0.999</v>
      </c>
      <c r="AF67" s="4">
        <v>0.999</v>
      </c>
      <c r="AG67" s="4">
        <v>0.999</v>
      </c>
      <c r="AH67" s="46">
        <f t="shared" si="5"/>
        <v>65</v>
      </c>
      <c r="AI67" s="9">
        <f t="shared" ref="AI67:AI102" si="6">STDEV(B67:AG67)</f>
        <v>5.5212452914399184E-4</v>
      </c>
      <c r="AJ67" s="9">
        <f t="shared" ref="AJ67:AJ102" si="7">AK67-1.5*AI67</f>
        <v>0.99806747147793695</v>
      </c>
      <c r="AK67" s="4">
        <f t="shared" ref="AK67:AK102" si="8">AVERAGE(B67:AG67)</f>
        <v>0.99889565827165294</v>
      </c>
      <c r="AL67" s="9">
        <f t="shared" ref="AL67:AL102" si="9">AK67+1.5*AI67</f>
        <v>0.99972384506536893</v>
      </c>
    </row>
    <row r="68" spans="1:38">
      <c r="A68" s="34">
        <f>data4!L68</f>
        <v>8.6180492871790193E-5</v>
      </c>
      <c r="B68" s="4">
        <v>0.999</v>
      </c>
      <c r="C68" s="4"/>
      <c r="D68" s="4">
        <v>0.999</v>
      </c>
      <c r="E68" s="4"/>
      <c r="F68" s="4">
        <v>0.999</v>
      </c>
      <c r="G68" s="4"/>
      <c r="H68" s="4"/>
      <c r="I68" s="4">
        <v>0.999</v>
      </c>
      <c r="J68" s="4">
        <f>data1!B68</f>
        <v>0.999</v>
      </c>
      <c r="K68" s="4">
        <f>data1!C68</f>
        <v>0.999</v>
      </c>
      <c r="L68" s="4">
        <f>data1!D68</f>
        <v>0.999</v>
      </c>
      <c r="M68" s="4">
        <f>data1!E68</f>
        <v>0.999</v>
      </c>
      <c r="N68" s="4">
        <f>data1!F68</f>
        <v>0.999</v>
      </c>
      <c r="O68" s="4">
        <f>data1!G68</f>
        <v>0.99215686321258545</v>
      </c>
      <c r="P68" s="4">
        <f>data1!H68</f>
        <v>0.999</v>
      </c>
      <c r="Q68" s="4">
        <f>data1!I68</f>
        <v>0.999</v>
      </c>
      <c r="R68" s="4">
        <f>data1!Z68</f>
        <v>0.999</v>
      </c>
      <c r="S68" s="4">
        <f>data1!AA68</f>
        <v>0.999</v>
      </c>
      <c r="T68" s="4">
        <f>data1!AB68</f>
        <v>0.999</v>
      </c>
      <c r="U68" s="4">
        <f>data1!AC68</f>
        <v>0.999</v>
      </c>
      <c r="V68" s="4">
        <f>data1!AD68</f>
        <v>0.999</v>
      </c>
      <c r="W68" s="4">
        <f>data1!AE68</f>
        <v>0.999</v>
      </c>
      <c r="X68" s="4">
        <f>data1!AF68</f>
        <v>0.999</v>
      </c>
      <c r="Y68" s="4">
        <f>data1!AG68</f>
        <v>0.999</v>
      </c>
      <c r="Z68" s="4">
        <v>0.999</v>
      </c>
      <c r="AA68" s="4">
        <v>0.999</v>
      </c>
      <c r="AB68" s="4">
        <v>0.999</v>
      </c>
      <c r="AC68" s="4">
        <v>0.999</v>
      </c>
      <c r="AD68" s="4">
        <v>0.999</v>
      </c>
      <c r="AE68" s="4">
        <v>0.999</v>
      </c>
      <c r="AF68" s="4">
        <v>0.999</v>
      </c>
      <c r="AG68" s="4">
        <v>0.999</v>
      </c>
      <c r="AH68" s="46">
        <f t="shared" ref="AH68:AH102" si="10">AH67+1</f>
        <v>66</v>
      </c>
      <c r="AI68" s="9">
        <f t="shared" si="6"/>
        <v>1.2932312947925987E-3</v>
      </c>
      <c r="AJ68" s="9">
        <f t="shared" si="7"/>
        <v>0.99681575531540312</v>
      </c>
      <c r="AK68" s="4">
        <f t="shared" si="8"/>
        <v>0.99875560225759197</v>
      </c>
      <c r="AL68" s="9">
        <f t="shared" si="9"/>
        <v>1.0006954491997808</v>
      </c>
    </row>
    <row r="69" spans="1:38">
      <c r="A69" s="34">
        <f>data4!L69</f>
        <v>8.8185364802484401E-5</v>
      </c>
      <c r="B69" s="4">
        <v>0.999</v>
      </c>
      <c r="C69" s="4"/>
      <c r="D69" s="4">
        <v>0.999</v>
      </c>
      <c r="E69" s="4"/>
      <c r="F69" s="4">
        <v>0.999</v>
      </c>
      <c r="G69" s="4"/>
      <c r="H69" s="4"/>
      <c r="I69" s="4">
        <v>0.999</v>
      </c>
      <c r="J69" s="4">
        <f>data1!B69</f>
        <v>0.999</v>
      </c>
      <c r="K69" s="4">
        <f>data1!C69</f>
        <v>0.999</v>
      </c>
      <c r="L69" s="4">
        <f>data1!D69</f>
        <v>0.999</v>
      </c>
      <c r="M69" s="4">
        <f>data1!E69</f>
        <v>0.999</v>
      </c>
      <c r="N69" s="4">
        <f>data1!F69</f>
        <v>0.999</v>
      </c>
      <c r="O69" s="4">
        <f>data1!G69</f>
        <v>0.99607843160629272</v>
      </c>
      <c r="P69" s="4">
        <f>data1!H69</f>
        <v>0.999</v>
      </c>
      <c r="Q69" s="4">
        <f>data1!I69</f>
        <v>0.999</v>
      </c>
      <c r="R69" s="4">
        <f>data1!Z69</f>
        <v>0.999</v>
      </c>
      <c r="S69" s="4">
        <f>data1!AA69</f>
        <v>0.999</v>
      </c>
      <c r="T69" s="4">
        <f>data1!AB69</f>
        <v>0.999</v>
      </c>
      <c r="U69" s="4">
        <f>data1!AC69</f>
        <v>0.999</v>
      </c>
      <c r="V69" s="4">
        <f>data1!AD69</f>
        <v>0.999</v>
      </c>
      <c r="W69" s="4">
        <f>data1!AE69</f>
        <v>0.999</v>
      </c>
      <c r="X69" s="4">
        <f>data1!AF69</f>
        <v>0.999</v>
      </c>
      <c r="Y69" s="4">
        <f>data1!AG69</f>
        <v>0.999</v>
      </c>
      <c r="Z69" s="4">
        <v>0.999</v>
      </c>
      <c r="AA69" s="4">
        <v>0.999</v>
      </c>
      <c r="AB69" s="4">
        <v>0.999</v>
      </c>
      <c r="AC69" s="4">
        <v>0.999</v>
      </c>
      <c r="AD69" s="4">
        <v>0.999</v>
      </c>
      <c r="AE69" s="4">
        <v>0.999</v>
      </c>
      <c r="AF69" s="4">
        <v>0.999</v>
      </c>
      <c r="AG69" s="4">
        <v>0.999</v>
      </c>
      <c r="AH69" s="46">
        <f t="shared" si="10"/>
        <v>67</v>
      </c>
      <c r="AI69" s="9">
        <f t="shared" si="6"/>
        <v>5.5212452914399184E-4</v>
      </c>
      <c r="AJ69" s="9">
        <f t="shared" si="7"/>
        <v>0.99806747147793695</v>
      </c>
      <c r="AK69" s="4">
        <f t="shared" si="8"/>
        <v>0.99889565827165294</v>
      </c>
      <c r="AL69" s="9">
        <f t="shared" si="9"/>
        <v>0.99972384506536893</v>
      </c>
    </row>
    <row r="70" spans="1:38">
      <c r="A70" s="34">
        <f>data4!L70</f>
        <v>9.035281436808873E-5</v>
      </c>
      <c r="B70" s="4">
        <v>0.999</v>
      </c>
      <c r="C70" s="4"/>
      <c r="D70" s="4">
        <v>0.999</v>
      </c>
      <c r="E70" s="4"/>
      <c r="F70" s="4">
        <v>0.999</v>
      </c>
      <c r="G70" s="4"/>
      <c r="H70" s="4"/>
      <c r="I70" s="4">
        <v>0.999</v>
      </c>
      <c r="J70" s="4">
        <f>data1!B70</f>
        <v>0.999</v>
      </c>
      <c r="K70" s="4">
        <f>data1!C70</f>
        <v>0.999</v>
      </c>
      <c r="L70" s="4">
        <f>data1!D70</f>
        <v>0.999</v>
      </c>
      <c r="M70" s="4">
        <f>data1!E70</f>
        <v>0.999</v>
      </c>
      <c r="N70" s="4">
        <f>data1!F70</f>
        <v>0.999</v>
      </c>
      <c r="O70" s="4">
        <f>data1!G70</f>
        <v>0.98823529481887817</v>
      </c>
      <c r="P70" s="4">
        <f>data1!H70</f>
        <v>0.999</v>
      </c>
      <c r="Q70" s="4">
        <f>data1!I70</f>
        <v>0.999</v>
      </c>
      <c r="R70" s="4">
        <f>data1!Z70</f>
        <v>0.999</v>
      </c>
      <c r="S70" s="4">
        <f>data1!AA70</f>
        <v>0.999</v>
      </c>
      <c r="T70" s="4">
        <f>data1!AB70</f>
        <v>0.999</v>
      </c>
      <c r="U70" s="4">
        <f>data1!AC70</f>
        <v>0.999</v>
      </c>
      <c r="V70" s="4">
        <f>data1!AD70</f>
        <v>0.999</v>
      </c>
      <c r="W70" s="4">
        <f>data1!AE70</f>
        <v>0.999</v>
      </c>
      <c r="X70" s="4">
        <f>data1!AF70</f>
        <v>0.999</v>
      </c>
      <c r="Y70" s="4">
        <f>data1!AG70</f>
        <v>0.999</v>
      </c>
      <c r="Z70" s="4">
        <v>0.999</v>
      </c>
      <c r="AA70" s="4">
        <v>0.999</v>
      </c>
      <c r="AB70" s="4">
        <v>0.999</v>
      </c>
      <c r="AC70" s="4">
        <v>0.999</v>
      </c>
      <c r="AD70" s="4">
        <v>0.999</v>
      </c>
      <c r="AE70" s="4">
        <v>0.999</v>
      </c>
      <c r="AF70" s="4">
        <v>0.999</v>
      </c>
      <c r="AG70" s="4">
        <v>0.999</v>
      </c>
      <c r="AH70" s="46">
        <f t="shared" si="10"/>
        <v>68</v>
      </c>
      <c r="AI70" s="9">
        <f t="shared" si="6"/>
        <v>2.0343380604412051E-3</v>
      </c>
      <c r="AJ70" s="9">
        <f t="shared" si="7"/>
        <v>0.99556403915286917</v>
      </c>
      <c r="AK70" s="4">
        <f t="shared" si="8"/>
        <v>0.99861554624353099</v>
      </c>
      <c r="AL70" s="9">
        <f t="shared" si="9"/>
        <v>1.0016670533341927</v>
      </c>
    </row>
    <row r="71" spans="1:38">
      <c r="A71" s="34">
        <f>data4!L71</f>
        <v>9.2388359917094931E-5</v>
      </c>
      <c r="B71" s="4">
        <v>0.999</v>
      </c>
      <c r="C71" s="4"/>
      <c r="D71" s="4">
        <v>0.999</v>
      </c>
      <c r="E71" s="4"/>
      <c r="F71" s="4">
        <v>0.999</v>
      </c>
      <c r="G71" s="4"/>
      <c r="H71" s="4"/>
      <c r="I71" s="4">
        <v>0.999</v>
      </c>
      <c r="J71" s="4">
        <f>data1!B71</f>
        <v>0.999</v>
      </c>
      <c r="K71" s="4">
        <f>data1!C71</f>
        <v>0.999</v>
      </c>
      <c r="L71" s="4">
        <f>data1!D71</f>
        <v>0.999</v>
      </c>
      <c r="M71" s="4">
        <f>data1!E71</f>
        <v>0.999</v>
      </c>
      <c r="N71" s="4">
        <f>data1!F71</f>
        <v>0.999</v>
      </c>
      <c r="O71" s="4">
        <f>data1!G71</f>
        <v>0.99607843160629272</v>
      </c>
      <c r="P71" s="4">
        <f>data1!H71</f>
        <v>0.999</v>
      </c>
      <c r="Q71" s="4">
        <f>data1!I71</f>
        <v>0.999</v>
      </c>
      <c r="R71" s="4">
        <f>data1!Z71</f>
        <v>0.999</v>
      </c>
      <c r="S71" s="4">
        <f>data1!AA71</f>
        <v>0.999</v>
      </c>
      <c r="T71" s="4">
        <f>data1!AB71</f>
        <v>0.999</v>
      </c>
      <c r="U71" s="4">
        <f>data1!AC71</f>
        <v>0.999</v>
      </c>
      <c r="V71" s="4">
        <f>data1!AD71</f>
        <v>0.999</v>
      </c>
      <c r="W71" s="4">
        <f>data1!AE71</f>
        <v>0.999</v>
      </c>
      <c r="X71" s="4">
        <f>data1!AF71</f>
        <v>0.999</v>
      </c>
      <c r="Y71" s="4">
        <f>data1!AG71</f>
        <v>0.999</v>
      </c>
      <c r="Z71" s="4">
        <v>0.999</v>
      </c>
      <c r="AA71" s="4">
        <v>0.999</v>
      </c>
      <c r="AB71" s="4">
        <v>0.999</v>
      </c>
      <c r="AC71" s="4">
        <v>0.999</v>
      </c>
      <c r="AD71" s="4">
        <v>0.999</v>
      </c>
      <c r="AE71" s="4">
        <v>0.999</v>
      </c>
      <c r="AF71" s="4">
        <v>0.999</v>
      </c>
      <c r="AG71" s="4">
        <v>0.999</v>
      </c>
      <c r="AH71" s="46">
        <f t="shared" si="10"/>
        <v>69</v>
      </c>
      <c r="AI71" s="9">
        <f t="shared" si="6"/>
        <v>5.5212452914399184E-4</v>
      </c>
      <c r="AJ71" s="9">
        <f t="shared" si="7"/>
        <v>0.99806747147793695</v>
      </c>
      <c r="AK71" s="4">
        <f t="shared" si="8"/>
        <v>0.99889565827165294</v>
      </c>
      <c r="AL71" s="9">
        <f t="shared" si="9"/>
        <v>0.99972384506536893</v>
      </c>
    </row>
    <row r="72" spans="1:38">
      <c r="A72" s="34">
        <f>data4!L72</f>
        <v>9.4620670097356196E-5</v>
      </c>
      <c r="B72" s="4">
        <v>0.999</v>
      </c>
      <c r="C72" s="4"/>
      <c r="D72" s="4">
        <v>0.999</v>
      </c>
      <c r="E72" s="4"/>
      <c r="F72" s="4">
        <v>0.999</v>
      </c>
      <c r="G72" s="4"/>
      <c r="H72" s="4"/>
      <c r="I72" s="4">
        <v>0.999</v>
      </c>
      <c r="J72" s="4">
        <f>data1!B72</f>
        <v>0.999</v>
      </c>
      <c r="K72" s="4">
        <f>data1!C72</f>
        <v>0.999</v>
      </c>
      <c r="L72" s="4">
        <f>data1!D72</f>
        <v>0.999</v>
      </c>
      <c r="M72" s="4">
        <f>data1!E72</f>
        <v>0.999</v>
      </c>
      <c r="N72" s="4">
        <f>data1!F72</f>
        <v>0.999</v>
      </c>
      <c r="O72" s="4">
        <f>data1!G72</f>
        <v>0.999</v>
      </c>
      <c r="P72" s="4">
        <f>data1!H72</f>
        <v>0.999</v>
      </c>
      <c r="Q72" s="4">
        <f>data1!I72</f>
        <v>0.999</v>
      </c>
      <c r="R72" s="4">
        <f>data1!Z72</f>
        <v>0.999</v>
      </c>
      <c r="S72" s="4">
        <f>data1!AA72</f>
        <v>0.999</v>
      </c>
      <c r="T72" s="4">
        <f>data1!AB72</f>
        <v>0.999</v>
      </c>
      <c r="U72" s="4">
        <f>data1!AC72</f>
        <v>0.999</v>
      </c>
      <c r="V72" s="4">
        <f>data1!AD72</f>
        <v>0.999</v>
      </c>
      <c r="W72" s="4">
        <f>data1!AE72</f>
        <v>0.999</v>
      </c>
      <c r="X72" s="4">
        <f>data1!AF72</f>
        <v>0.999</v>
      </c>
      <c r="Y72" s="4">
        <f>data1!AG72</f>
        <v>0.999</v>
      </c>
      <c r="Z72" s="4">
        <v>0.999</v>
      </c>
      <c r="AA72" s="4">
        <v>0.999</v>
      </c>
      <c r="AB72" s="4">
        <v>0.999</v>
      </c>
      <c r="AC72" s="4">
        <v>0.999</v>
      </c>
      <c r="AD72" s="4">
        <v>0.999</v>
      </c>
      <c r="AE72" s="4">
        <v>0.999</v>
      </c>
      <c r="AF72" s="4">
        <v>0.999</v>
      </c>
      <c r="AG72" s="4">
        <v>0.999</v>
      </c>
      <c r="AH72" s="46">
        <f t="shared" si="10"/>
        <v>70</v>
      </c>
      <c r="AI72" s="9">
        <f t="shared" si="6"/>
        <v>3.3917873657517345E-16</v>
      </c>
      <c r="AJ72" s="9">
        <f t="shared" si="7"/>
        <v>0.99899999999999911</v>
      </c>
      <c r="AK72" s="4">
        <f t="shared" si="8"/>
        <v>0.99899999999999967</v>
      </c>
      <c r="AL72" s="9">
        <f t="shared" si="9"/>
        <v>0.99900000000000022</v>
      </c>
    </row>
    <row r="73" spans="1:38">
      <c r="A73" s="34">
        <f>data4!L73</f>
        <v>9.6705072792246938E-5</v>
      </c>
      <c r="B73" s="4">
        <v>0.999</v>
      </c>
      <c r="C73" s="4"/>
      <c r="D73" s="4">
        <v>0.999</v>
      </c>
      <c r="E73" s="4"/>
      <c r="F73" s="4">
        <v>0.999</v>
      </c>
      <c r="G73" s="4"/>
      <c r="H73" s="4"/>
      <c r="I73" s="4">
        <v>0.999</v>
      </c>
      <c r="J73" s="4">
        <f>data1!B73</f>
        <v>0.999</v>
      </c>
      <c r="K73" s="4">
        <f>data1!C73</f>
        <v>0.999</v>
      </c>
      <c r="L73" s="4">
        <f>data1!D73</f>
        <v>0.999</v>
      </c>
      <c r="M73" s="4">
        <f>data1!E73</f>
        <v>0.999</v>
      </c>
      <c r="N73" s="4">
        <f>data1!F73</f>
        <v>0.999</v>
      </c>
      <c r="O73" s="4">
        <f>data1!G73</f>
        <v>0.999</v>
      </c>
      <c r="P73" s="4">
        <f>data1!H73</f>
        <v>0.999</v>
      </c>
      <c r="Q73" s="4">
        <f>data1!I73</f>
        <v>0.999</v>
      </c>
      <c r="R73" s="4">
        <f>data1!Z73</f>
        <v>0.999</v>
      </c>
      <c r="S73" s="4">
        <f>data1!AA73</f>
        <v>0.999</v>
      </c>
      <c r="T73" s="4">
        <f>data1!AB73</f>
        <v>0.999</v>
      </c>
      <c r="U73" s="4">
        <f>data1!AC73</f>
        <v>0.999</v>
      </c>
      <c r="V73" s="4">
        <f>data1!AD73</f>
        <v>0.999</v>
      </c>
      <c r="W73" s="4">
        <f>data1!AE73</f>
        <v>0.999</v>
      </c>
      <c r="X73" s="4">
        <f>data1!AF73</f>
        <v>0.999</v>
      </c>
      <c r="Y73" s="4">
        <f>data1!AG73</f>
        <v>0.999</v>
      </c>
      <c r="Z73" s="4">
        <v>0.999</v>
      </c>
      <c r="AA73" s="4">
        <v>0.999</v>
      </c>
      <c r="AB73" s="4">
        <v>0.999</v>
      </c>
      <c r="AC73" s="4">
        <v>0.999</v>
      </c>
      <c r="AD73" s="4">
        <v>0.999</v>
      </c>
      <c r="AE73" s="4">
        <v>0.999</v>
      </c>
      <c r="AF73" s="4">
        <v>0.999</v>
      </c>
      <c r="AG73" s="4">
        <v>0.999</v>
      </c>
      <c r="AH73" s="46">
        <f t="shared" si="10"/>
        <v>71</v>
      </c>
      <c r="AI73" s="9">
        <f t="shared" si="6"/>
        <v>3.3917873657517345E-16</v>
      </c>
      <c r="AJ73" s="9">
        <f t="shared" si="7"/>
        <v>0.99899999999999911</v>
      </c>
      <c r="AK73" s="4">
        <f t="shared" si="8"/>
        <v>0.99899999999999967</v>
      </c>
      <c r="AL73" s="9">
        <f t="shared" si="9"/>
        <v>0.99900000000000022</v>
      </c>
    </row>
    <row r="74" spans="1:38">
      <c r="A74" s="34">
        <f>data4!L74</f>
        <v>9.879380559141282E-5</v>
      </c>
      <c r="B74" s="4">
        <v>0.999</v>
      </c>
      <c r="C74" s="4"/>
      <c r="D74" s="4">
        <v>0.999</v>
      </c>
      <c r="E74" s="4"/>
      <c r="F74" s="4">
        <v>0.999</v>
      </c>
      <c r="G74" s="4"/>
      <c r="H74" s="4"/>
      <c r="I74" s="4">
        <v>0.999</v>
      </c>
      <c r="J74" s="4">
        <f>data1!B74</f>
        <v>0.999</v>
      </c>
      <c r="K74" s="4">
        <f>data1!C74</f>
        <v>0.999</v>
      </c>
      <c r="L74" s="4">
        <f>data1!D74</f>
        <v>0.999</v>
      </c>
      <c r="M74" s="4">
        <f>data1!E74</f>
        <v>0.999</v>
      </c>
      <c r="N74" s="4">
        <f>data1!F74</f>
        <v>0.999</v>
      </c>
      <c r="O74" s="4">
        <f>data1!G74</f>
        <v>0.999</v>
      </c>
      <c r="P74" s="4">
        <f>data1!H74</f>
        <v>0.999</v>
      </c>
      <c r="Q74" s="4">
        <f>data1!I74</f>
        <v>0.999</v>
      </c>
      <c r="R74" s="4">
        <f>data1!Z74</f>
        <v>0.999</v>
      </c>
      <c r="S74" s="4">
        <f>data1!AA74</f>
        <v>0.999</v>
      </c>
      <c r="T74" s="4">
        <f>data1!AB74</f>
        <v>0.999</v>
      </c>
      <c r="U74" s="4">
        <f>data1!AC74</f>
        <v>0.999</v>
      </c>
      <c r="V74" s="4">
        <f>data1!AD74</f>
        <v>0.999</v>
      </c>
      <c r="W74" s="4">
        <f>data1!AE74</f>
        <v>0.999</v>
      </c>
      <c r="X74" s="4">
        <f>data1!AF74</f>
        <v>0.999</v>
      </c>
      <c r="Y74" s="4">
        <f>data1!AG74</f>
        <v>0.999</v>
      </c>
      <c r="Z74" s="4">
        <v>0.999</v>
      </c>
      <c r="AA74" s="4">
        <v>0.999</v>
      </c>
      <c r="AB74" s="4">
        <v>0.999</v>
      </c>
      <c r="AC74" s="4">
        <v>0.999</v>
      </c>
      <c r="AD74" s="4">
        <v>0.999</v>
      </c>
      <c r="AE74" s="4">
        <v>0.999</v>
      </c>
      <c r="AF74" s="4">
        <v>0.999</v>
      </c>
      <c r="AG74" s="4">
        <v>0.999</v>
      </c>
      <c r="AH74" s="46">
        <f t="shared" si="10"/>
        <v>72</v>
      </c>
      <c r="AI74" s="9">
        <f t="shared" si="6"/>
        <v>3.3917873657517345E-16</v>
      </c>
      <c r="AJ74" s="9">
        <f t="shared" si="7"/>
        <v>0.99899999999999911</v>
      </c>
      <c r="AK74" s="4">
        <f t="shared" si="8"/>
        <v>0.99899999999999967</v>
      </c>
      <c r="AL74" s="9">
        <f t="shared" si="9"/>
        <v>0.99900000000000022</v>
      </c>
    </row>
    <row r="75" spans="1:38">
      <c r="A75" s="34">
        <f>data4!L75</f>
        <v>1.0095507968799211E-4</v>
      </c>
      <c r="B75" s="4">
        <v>0.999</v>
      </c>
      <c r="C75" s="4"/>
      <c r="D75" s="4">
        <v>0.999</v>
      </c>
      <c r="E75" s="4"/>
      <c r="F75" s="4">
        <v>0.999</v>
      </c>
      <c r="G75" s="4"/>
      <c r="H75" s="4"/>
      <c r="I75" s="4">
        <v>0.999</v>
      </c>
      <c r="J75" s="4">
        <f>data1!B75</f>
        <v>0.999</v>
      </c>
      <c r="K75" s="4">
        <f>data1!C75</f>
        <v>0.999</v>
      </c>
      <c r="L75" s="4">
        <f>data1!D75</f>
        <v>0.999</v>
      </c>
      <c r="M75" s="4">
        <f>data1!E75</f>
        <v>0.999</v>
      </c>
      <c r="N75" s="4">
        <f>data1!F75</f>
        <v>0.999</v>
      </c>
      <c r="O75" s="4">
        <f>data1!G75</f>
        <v>0.999</v>
      </c>
      <c r="P75" s="4">
        <f>data1!H75</f>
        <v>0.999</v>
      </c>
      <c r="Q75" s="4">
        <f>data1!I75</f>
        <v>0.999</v>
      </c>
      <c r="R75" s="4">
        <f>data1!Z75</f>
        <v>0.999</v>
      </c>
      <c r="S75" s="4">
        <f>data1!AA75</f>
        <v>0.999</v>
      </c>
      <c r="T75" s="4">
        <f>data1!AB75</f>
        <v>0.999</v>
      </c>
      <c r="U75" s="4">
        <f>data1!AC75</f>
        <v>0.999</v>
      </c>
      <c r="V75" s="4">
        <f>data1!AD75</f>
        <v>0.999</v>
      </c>
      <c r="W75" s="4">
        <f>data1!AE75</f>
        <v>0.999</v>
      </c>
      <c r="X75" s="4">
        <f>data1!AF75</f>
        <v>0.999</v>
      </c>
      <c r="Y75" s="4">
        <f>data1!AG75</f>
        <v>0.999</v>
      </c>
      <c r="Z75" s="4">
        <v>0.999</v>
      </c>
      <c r="AA75" s="4">
        <v>0.999</v>
      </c>
      <c r="AB75" s="4">
        <v>0.999</v>
      </c>
      <c r="AC75" s="4">
        <v>0.999</v>
      </c>
      <c r="AD75" s="4">
        <v>0.999</v>
      </c>
      <c r="AE75" s="4">
        <v>0.999</v>
      </c>
      <c r="AF75" s="4">
        <v>0.999</v>
      </c>
      <c r="AG75" s="4">
        <v>0.999</v>
      </c>
      <c r="AH75" s="46">
        <f t="shared" si="10"/>
        <v>73</v>
      </c>
      <c r="AI75" s="9">
        <f t="shared" si="6"/>
        <v>3.3917873657517345E-16</v>
      </c>
      <c r="AJ75" s="9">
        <f t="shared" si="7"/>
        <v>0.99899999999999911</v>
      </c>
      <c r="AK75" s="4">
        <f t="shared" si="8"/>
        <v>0.99899999999999967</v>
      </c>
      <c r="AL75" s="9">
        <f t="shared" si="9"/>
        <v>0.99900000000000022</v>
      </c>
    </row>
    <row r="76" spans="1:38">
      <c r="A76" s="34">
        <f>data4!L76</f>
        <v>1.0311065398127539E-4</v>
      </c>
      <c r="B76" s="4">
        <v>0.999</v>
      </c>
      <c r="C76" s="4"/>
      <c r="D76" s="4">
        <v>0.999</v>
      </c>
      <c r="E76" s="4"/>
      <c r="F76" s="4">
        <v>0.999</v>
      </c>
      <c r="G76" s="4"/>
      <c r="H76" s="4"/>
      <c r="I76" s="4">
        <v>0.999</v>
      </c>
      <c r="J76" s="4">
        <f>data1!B76</f>
        <v>0.999</v>
      </c>
      <c r="K76" s="4">
        <f>data1!C76</f>
        <v>0.999</v>
      </c>
      <c r="L76" s="4">
        <f>data1!D76</f>
        <v>0.999</v>
      </c>
      <c r="M76" s="4">
        <f>data1!E76</f>
        <v>0.999</v>
      </c>
      <c r="N76" s="4">
        <f>data1!F76</f>
        <v>0.999</v>
      </c>
      <c r="O76" s="4">
        <f>data1!G76</f>
        <v>0.999</v>
      </c>
      <c r="P76" s="4">
        <f>data1!H76</f>
        <v>0.999</v>
      </c>
      <c r="Q76" s="4">
        <f>data1!I76</f>
        <v>0.999</v>
      </c>
      <c r="R76" s="4">
        <f>data1!Z76</f>
        <v>0.999</v>
      </c>
      <c r="S76" s="4">
        <f>data1!AA76</f>
        <v>0.999</v>
      </c>
      <c r="T76" s="4">
        <f>data1!AB76</f>
        <v>0.999</v>
      </c>
      <c r="U76" s="4">
        <f>data1!AC76</f>
        <v>0.999</v>
      </c>
      <c r="V76" s="4">
        <f>data1!AD76</f>
        <v>0.999</v>
      </c>
      <c r="W76" s="4">
        <f>data1!AE76</f>
        <v>0.999</v>
      </c>
      <c r="X76" s="4">
        <f>data1!AF76</f>
        <v>0.999</v>
      </c>
      <c r="Y76" s="4">
        <f>data1!AG76</f>
        <v>0.999</v>
      </c>
      <c r="Z76" s="4">
        <v>0.999</v>
      </c>
      <c r="AA76" s="4">
        <v>0.999</v>
      </c>
      <c r="AB76" s="4">
        <v>0.999</v>
      </c>
      <c r="AC76" s="4">
        <v>0.999</v>
      </c>
      <c r="AD76" s="4">
        <v>0.999</v>
      </c>
      <c r="AE76" s="4">
        <v>0.999</v>
      </c>
      <c r="AF76" s="4">
        <v>0.999</v>
      </c>
      <c r="AG76" s="4">
        <v>0.999</v>
      </c>
      <c r="AH76" s="46">
        <f t="shared" si="10"/>
        <v>74</v>
      </c>
      <c r="AI76" s="9">
        <f t="shared" si="6"/>
        <v>3.3917873657517345E-16</v>
      </c>
      <c r="AJ76" s="9">
        <f t="shared" si="7"/>
        <v>0.99899999999999911</v>
      </c>
      <c r="AK76" s="4">
        <f t="shared" si="8"/>
        <v>0.99899999999999967</v>
      </c>
      <c r="AL76" s="9">
        <f t="shared" si="9"/>
        <v>0.99900000000000022</v>
      </c>
    </row>
    <row r="77" spans="1:38">
      <c r="A77" s="34">
        <f>data4!L77</f>
        <v>1.0528095663175918E-4</v>
      </c>
      <c r="B77" s="4">
        <v>0.999</v>
      </c>
      <c r="C77" s="4"/>
      <c r="D77" s="4">
        <v>0.999</v>
      </c>
      <c r="E77" s="4"/>
      <c r="F77" s="4">
        <v>0.999</v>
      </c>
      <c r="G77" s="4"/>
      <c r="H77" s="4"/>
      <c r="I77" s="4">
        <v>0.999</v>
      </c>
      <c r="J77" s="4">
        <f>data1!B77</f>
        <v>0.999</v>
      </c>
      <c r="K77" s="4">
        <f>data1!C77</f>
        <v>0.999</v>
      </c>
      <c r="L77" s="4">
        <f>data1!D77</f>
        <v>0.999</v>
      </c>
      <c r="M77" s="4">
        <f>data1!E77</f>
        <v>0.999</v>
      </c>
      <c r="N77" s="4">
        <f>data1!F77</f>
        <v>0.999</v>
      </c>
      <c r="O77" s="4">
        <f>data1!G77</f>
        <v>0.999</v>
      </c>
      <c r="P77" s="4">
        <f>data1!H77</f>
        <v>0.999</v>
      </c>
      <c r="Q77" s="4">
        <f>data1!I77</f>
        <v>0.999</v>
      </c>
      <c r="R77" s="4">
        <f>data1!Z77</f>
        <v>0.999</v>
      </c>
      <c r="S77" s="4">
        <f>data1!AA77</f>
        <v>0.999</v>
      </c>
      <c r="T77" s="4">
        <f>data1!AB77</f>
        <v>0.999</v>
      </c>
      <c r="U77" s="4">
        <f>data1!AC77</f>
        <v>0.999</v>
      </c>
      <c r="V77" s="4">
        <f>data1!AD77</f>
        <v>0.999</v>
      </c>
      <c r="W77" s="4">
        <f>data1!AE77</f>
        <v>0.999</v>
      </c>
      <c r="X77" s="4">
        <f>data1!AF77</f>
        <v>0.999</v>
      </c>
      <c r="Y77" s="4">
        <f>data1!AG77</f>
        <v>0.999</v>
      </c>
      <c r="Z77" s="4">
        <v>0.999</v>
      </c>
      <c r="AA77" s="4">
        <v>0.999</v>
      </c>
      <c r="AB77" s="4">
        <v>0.999</v>
      </c>
      <c r="AC77" s="4">
        <v>0.999</v>
      </c>
      <c r="AD77" s="4">
        <v>0.999</v>
      </c>
      <c r="AE77" s="4">
        <v>0.999</v>
      </c>
      <c r="AF77" s="4">
        <v>0.999</v>
      </c>
      <c r="AG77" s="4">
        <v>0.999</v>
      </c>
      <c r="AH77" s="46">
        <f t="shared" si="10"/>
        <v>75</v>
      </c>
      <c r="AI77" s="9">
        <f t="shared" si="6"/>
        <v>3.3917873657517345E-16</v>
      </c>
      <c r="AJ77" s="9">
        <f t="shared" si="7"/>
        <v>0.99899999999999911</v>
      </c>
      <c r="AK77" s="4">
        <f t="shared" si="8"/>
        <v>0.99899999999999967</v>
      </c>
      <c r="AL77" s="9">
        <f t="shared" si="9"/>
        <v>0.99900000000000022</v>
      </c>
    </row>
    <row r="78" spans="1:38">
      <c r="A78" s="34">
        <f>data4!L78</f>
        <v>1.0739566005213419E-4</v>
      </c>
      <c r="B78" s="4">
        <v>0.999</v>
      </c>
      <c r="C78" s="4"/>
      <c r="D78" s="4">
        <v>0.999</v>
      </c>
      <c r="E78" s="4"/>
      <c r="F78" s="4">
        <v>0.999</v>
      </c>
      <c r="G78" s="4"/>
      <c r="H78" s="4"/>
      <c r="I78" s="4">
        <v>0.999</v>
      </c>
      <c r="J78" s="4">
        <f>data1!B78</f>
        <v>0.999</v>
      </c>
      <c r="K78" s="4">
        <f>data1!C78</f>
        <v>0.999</v>
      </c>
      <c r="L78" s="4">
        <f>data1!D78</f>
        <v>0.999</v>
      </c>
      <c r="M78" s="4">
        <f>data1!E78</f>
        <v>0.999</v>
      </c>
      <c r="N78" s="4">
        <f>data1!F78</f>
        <v>0.999</v>
      </c>
      <c r="O78" s="4">
        <f>data1!G78</f>
        <v>0.999</v>
      </c>
      <c r="P78" s="4">
        <f>data1!H78</f>
        <v>0.999</v>
      </c>
      <c r="Q78" s="4">
        <f>data1!I78</f>
        <v>0.999</v>
      </c>
      <c r="R78" s="4">
        <f>data1!Z78</f>
        <v>0.999</v>
      </c>
      <c r="S78" s="4">
        <f>data1!AA78</f>
        <v>0.999</v>
      </c>
      <c r="T78" s="4">
        <f>data1!AB78</f>
        <v>0.999</v>
      </c>
      <c r="U78" s="4">
        <f>data1!AC78</f>
        <v>0.999</v>
      </c>
      <c r="V78" s="4">
        <f>data1!AD78</f>
        <v>0.999</v>
      </c>
      <c r="W78" s="4">
        <f>data1!AE78</f>
        <v>0.999</v>
      </c>
      <c r="X78" s="4">
        <f>data1!AF78</f>
        <v>0.999</v>
      </c>
      <c r="Y78" s="4">
        <f>data1!AG78</f>
        <v>0.999</v>
      </c>
      <c r="Z78" s="4">
        <v>0.999</v>
      </c>
      <c r="AA78" s="4">
        <v>0.999</v>
      </c>
      <c r="AB78" s="4">
        <v>0.999</v>
      </c>
      <c r="AC78" s="4">
        <v>0.999</v>
      </c>
      <c r="AD78" s="4">
        <v>0.999</v>
      </c>
      <c r="AE78" s="4">
        <v>0.999</v>
      </c>
      <c r="AF78" s="4">
        <v>0.999</v>
      </c>
      <c r="AG78" s="4">
        <v>0.999</v>
      </c>
      <c r="AH78" s="46">
        <f t="shared" si="10"/>
        <v>76</v>
      </c>
      <c r="AI78" s="9">
        <f t="shared" si="6"/>
        <v>3.3917873657517345E-16</v>
      </c>
      <c r="AJ78" s="9">
        <f t="shared" si="7"/>
        <v>0.99899999999999911</v>
      </c>
      <c r="AK78" s="4">
        <f t="shared" si="8"/>
        <v>0.99899999999999967</v>
      </c>
      <c r="AL78" s="9">
        <f t="shared" si="9"/>
        <v>0.99900000000000022</v>
      </c>
    </row>
    <row r="79" spans="1:38">
      <c r="A79" s="34">
        <f>data4!L79</f>
        <v>1.095372981581022E-4</v>
      </c>
      <c r="B79" s="4">
        <v>0.999</v>
      </c>
      <c r="C79" s="4"/>
      <c r="D79" s="4">
        <v>0.999</v>
      </c>
      <c r="E79" s="4"/>
      <c r="F79" s="4">
        <v>0.999</v>
      </c>
      <c r="G79" s="4"/>
      <c r="H79" s="4"/>
      <c r="I79" s="4">
        <v>0.999</v>
      </c>
      <c r="J79" s="4">
        <f>data1!B79</f>
        <v>0.999</v>
      </c>
      <c r="K79" s="4">
        <f>data1!C79</f>
        <v>0.999</v>
      </c>
      <c r="L79" s="4">
        <f>data1!D79</f>
        <v>0.999</v>
      </c>
      <c r="M79" s="4">
        <f>data1!E79</f>
        <v>0.999</v>
      </c>
      <c r="N79" s="4">
        <f>data1!F79</f>
        <v>0.999</v>
      </c>
      <c r="O79" s="4">
        <f>data1!G79</f>
        <v>0.999</v>
      </c>
      <c r="P79" s="4">
        <f>data1!H79</f>
        <v>0.999</v>
      </c>
      <c r="Q79" s="4">
        <f>data1!I79</f>
        <v>0.999</v>
      </c>
      <c r="R79" s="4">
        <f>data1!Z79</f>
        <v>0.999</v>
      </c>
      <c r="S79" s="4">
        <f>data1!AA79</f>
        <v>0.999</v>
      </c>
      <c r="T79" s="4">
        <f>data1!AB79</f>
        <v>0.999</v>
      </c>
      <c r="U79" s="4">
        <f>data1!AC79</f>
        <v>0.999</v>
      </c>
      <c r="V79" s="4">
        <f>data1!AD79</f>
        <v>0.999</v>
      </c>
      <c r="W79" s="4">
        <f>data1!AE79</f>
        <v>0.999</v>
      </c>
      <c r="X79" s="4">
        <f>data1!AF79</f>
        <v>0.999</v>
      </c>
      <c r="Y79" s="4">
        <f>data1!AG79</f>
        <v>0.999</v>
      </c>
      <c r="Z79" s="4">
        <v>0.999</v>
      </c>
      <c r="AA79" s="4">
        <v>0.999</v>
      </c>
      <c r="AB79" s="4">
        <v>0.999</v>
      </c>
      <c r="AC79" s="4">
        <v>0.999</v>
      </c>
      <c r="AD79" s="4">
        <v>0.999</v>
      </c>
      <c r="AE79" s="4">
        <v>0.999</v>
      </c>
      <c r="AF79" s="4">
        <v>0.999</v>
      </c>
      <c r="AG79" s="4">
        <v>0.999</v>
      </c>
      <c r="AH79" s="46">
        <f t="shared" si="10"/>
        <v>77</v>
      </c>
      <c r="AI79" s="9">
        <f t="shared" si="6"/>
        <v>3.3917873657517345E-16</v>
      </c>
      <c r="AJ79" s="9">
        <f t="shared" si="7"/>
        <v>0.99899999999999911</v>
      </c>
      <c r="AK79" s="4">
        <f t="shared" si="8"/>
        <v>0.99899999999999967</v>
      </c>
      <c r="AL79" s="9">
        <f t="shared" si="9"/>
        <v>0.99900000000000022</v>
      </c>
    </row>
    <row r="80" spans="1:38">
      <c r="A80" s="34">
        <f>data4!L80</f>
        <v>1.1166246349603171E-4</v>
      </c>
      <c r="B80" s="4">
        <v>0.999</v>
      </c>
      <c r="C80" s="4"/>
      <c r="D80" s="4">
        <v>0.999</v>
      </c>
      <c r="E80" s="4"/>
      <c r="F80" s="4">
        <v>0.999</v>
      </c>
      <c r="G80" s="4"/>
      <c r="H80" s="4"/>
      <c r="I80" s="4">
        <v>0.999</v>
      </c>
      <c r="J80" s="4">
        <f>data1!B80</f>
        <v>0.999</v>
      </c>
      <c r="K80" s="4">
        <f>data1!C80</f>
        <v>0.999</v>
      </c>
      <c r="L80" s="4">
        <f>data1!D80</f>
        <v>0.999</v>
      </c>
      <c r="M80" s="4">
        <f>data1!E80</f>
        <v>0.999</v>
      </c>
      <c r="N80" s="4">
        <f>data1!F80</f>
        <v>0.999</v>
      </c>
      <c r="O80" s="4">
        <f>data1!G80</f>
        <v>0.999</v>
      </c>
      <c r="P80" s="4">
        <f>data1!H80</f>
        <v>0.999</v>
      </c>
      <c r="Q80" s="4">
        <f>data1!I80</f>
        <v>0.999</v>
      </c>
      <c r="R80" s="4">
        <f>data1!Z80</f>
        <v>0.999</v>
      </c>
      <c r="S80" s="4">
        <f>data1!AA80</f>
        <v>0.999</v>
      </c>
      <c r="T80" s="4">
        <f>data1!AB80</f>
        <v>0.999</v>
      </c>
      <c r="U80" s="4">
        <f>data1!AC80</f>
        <v>0.999</v>
      </c>
      <c r="V80" s="4">
        <f>data1!AD80</f>
        <v>0.999</v>
      </c>
      <c r="W80" s="4">
        <f>data1!AE80</f>
        <v>0.999</v>
      </c>
      <c r="X80" s="4">
        <f>data1!AF80</f>
        <v>0.999</v>
      </c>
      <c r="Y80" s="4">
        <f>data1!AG80</f>
        <v>0.999</v>
      </c>
      <c r="Z80" s="4">
        <v>0.999</v>
      </c>
      <c r="AA80" s="4">
        <v>0.999</v>
      </c>
      <c r="AB80" s="4">
        <v>0.999</v>
      </c>
      <c r="AC80" s="4">
        <v>0.999</v>
      </c>
      <c r="AD80" s="4">
        <v>0.999</v>
      </c>
      <c r="AE80" s="4">
        <v>0.999</v>
      </c>
      <c r="AF80" s="4">
        <v>0.999</v>
      </c>
      <c r="AG80" s="4">
        <v>0.999</v>
      </c>
      <c r="AH80" s="46">
        <f t="shared" si="10"/>
        <v>78</v>
      </c>
      <c r="AI80" s="9">
        <f t="shared" si="6"/>
        <v>3.3917873657517345E-16</v>
      </c>
      <c r="AJ80" s="9">
        <f t="shared" si="7"/>
        <v>0.99899999999999911</v>
      </c>
      <c r="AK80" s="4">
        <f t="shared" si="8"/>
        <v>0.99899999999999967</v>
      </c>
      <c r="AL80" s="9">
        <f t="shared" si="9"/>
        <v>0.99900000000000022</v>
      </c>
    </row>
    <row r="81" spans="1:38">
      <c r="A81" s="34">
        <f>data4!L81</f>
        <v>1.1391476982680615E-4</v>
      </c>
      <c r="B81" s="4">
        <v>0.999</v>
      </c>
      <c r="C81" s="4"/>
      <c r="D81" s="4">
        <v>0.999</v>
      </c>
      <c r="E81" s="4"/>
      <c r="F81" s="4">
        <v>0.999</v>
      </c>
      <c r="G81" s="4"/>
      <c r="H81" s="4"/>
      <c r="I81" s="4">
        <v>0.999</v>
      </c>
      <c r="J81" s="4">
        <f>data1!B81</f>
        <v>0.999</v>
      </c>
      <c r="K81" s="4">
        <f>data1!C81</f>
        <v>0.999</v>
      </c>
      <c r="L81" s="4">
        <f>data1!D81</f>
        <v>0.999</v>
      </c>
      <c r="M81" s="4">
        <f>data1!E81</f>
        <v>0.999</v>
      </c>
      <c r="N81" s="4">
        <f>data1!F81</f>
        <v>0.999</v>
      </c>
      <c r="O81" s="4">
        <f>data1!G81</f>
        <v>0.999</v>
      </c>
      <c r="P81" s="4">
        <f>data1!H81</f>
        <v>0.999</v>
      </c>
      <c r="Q81" s="4">
        <f>data1!I81</f>
        <v>0.999</v>
      </c>
      <c r="R81" s="4">
        <f>data1!Z81</f>
        <v>0.999</v>
      </c>
      <c r="S81" s="4">
        <f>data1!AA81</f>
        <v>0.999</v>
      </c>
      <c r="T81" s="4">
        <f>data1!AB81</f>
        <v>0.999</v>
      </c>
      <c r="U81" s="4">
        <f>data1!AC81</f>
        <v>0.999</v>
      </c>
      <c r="V81" s="4">
        <f>data1!AD81</f>
        <v>0.999</v>
      </c>
      <c r="W81" s="4">
        <f>data1!AE81</f>
        <v>0.999</v>
      </c>
      <c r="X81" s="4">
        <f>data1!AF81</f>
        <v>0.999</v>
      </c>
      <c r="Y81" s="4">
        <f>data1!AG81</f>
        <v>0.999</v>
      </c>
      <c r="Z81" s="4">
        <v>0.999</v>
      </c>
      <c r="AA81" s="4">
        <v>0.999</v>
      </c>
      <c r="AB81" s="4">
        <v>0.999</v>
      </c>
      <c r="AC81" s="4">
        <v>0.999</v>
      </c>
      <c r="AD81" s="4">
        <v>0.999</v>
      </c>
      <c r="AE81" s="4">
        <v>0.999</v>
      </c>
      <c r="AF81" s="4">
        <v>0.999</v>
      </c>
      <c r="AG81" s="4">
        <v>0.999</v>
      </c>
      <c r="AH81" s="46">
        <f t="shared" si="10"/>
        <v>79</v>
      </c>
      <c r="AI81" s="9">
        <f t="shared" si="6"/>
        <v>3.3917873657517345E-16</v>
      </c>
      <c r="AJ81" s="9">
        <f t="shared" si="7"/>
        <v>0.99899999999999911</v>
      </c>
      <c r="AK81" s="4">
        <f t="shared" si="8"/>
        <v>0.99899999999999967</v>
      </c>
      <c r="AL81" s="9">
        <f t="shared" si="9"/>
        <v>0.99900000000000022</v>
      </c>
    </row>
    <row r="82" spans="1:38">
      <c r="A82" s="34">
        <f>data4!L82</f>
        <v>1.1616242409218103E-4</v>
      </c>
      <c r="B82" s="4">
        <v>0.999</v>
      </c>
      <c r="C82" s="4"/>
      <c r="D82" s="4">
        <v>0.999</v>
      </c>
      <c r="E82" s="4"/>
      <c r="F82" s="4">
        <v>0.999</v>
      </c>
      <c r="G82" s="4"/>
      <c r="H82" s="4"/>
      <c r="I82" s="4">
        <v>0.999</v>
      </c>
      <c r="J82" s="4">
        <f>data1!B82</f>
        <v>0.999</v>
      </c>
      <c r="K82" s="4">
        <f>data1!C82</f>
        <v>0.999</v>
      </c>
      <c r="L82" s="4">
        <f>data1!D82</f>
        <v>0.999</v>
      </c>
      <c r="M82" s="4">
        <f>data1!E82</f>
        <v>0.999</v>
      </c>
      <c r="N82" s="4">
        <f>data1!F82</f>
        <v>0.999</v>
      </c>
      <c r="O82" s="4">
        <f>data1!G82</f>
        <v>0.999</v>
      </c>
      <c r="P82" s="4">
        <f>data1!H82</f>
        <v>0.999</v>
      </c>
      <c r="Q82" s="4">
        <f>data1!I82</f>
        <v>0.999</v>
      </c>
      <c r="R82" s="4">
        <f>data1!Z82</f>
        <v>0.999</v>
      </c>
      <c r="S82" s="4">
        <f>data1!AA82</f>
        <v>0.999</v>
      </c>
      <c r="T82" s="4">
        <f>data1!AB82</f>
        <v>0.999</v>
      </c>
      <c r="U82" s="4">
        <f>data1!AC82</f>
        <v>0.999</v>
      </c>
      <c r="V82" s="4">
        <f>data1!AD82</f>
        <v>0.999</v>
      </c>
      <c r="W82" s="4">
        <f>data1!AE82</f>
        <v>0.999</v>
      </c>
      <c r="X82" s="4">
        <f>data1!AF82</f>
        <v>0.999</v>
      </c>
      <c r="Y82" s="4">
        <f>data1!AG82</f>
        <v>0.999</v>
      </c>
      <c r="Z82" s="4">
        <v>0.999</v>
      </c>
      <c r="AA82" s="4">
        <v>0.999</v>
      </c>
      <c r="AB82" s="4">
        <v>0.999</v>
      </c>
      <c r="AC82" s="4">
        <v>0.999</v>
      </c>
      <c r="AD82" s="4">
        <v>0.999</v>
      </c>
      <c r="AE82" s="4">
        <v>0.999</v>
      </c>
      <c r="AF82" s="4">
        <v>0.999</v>
      </c>
      <c r="AG82" s="4">
        <v>0.999</v>
      </c>
      <c r="AH82" s="46">
        <f t="shared" si="10"/>
        <v>80</v>
      </c>
      <c r="AI82" s="9">
        <f t="shared" si="6"/>
        <v>3.3917873657517345E-16</v>
      </c>
      <c r="AJ82" s="9">
        <f t="shared" si="7"/>
        <v>0.99899999999999911</v>
      </c>
      <c r="AK82" s="4">
        <f t="shared" si="8"/>
        <v>0.99899999999999967</v>
      </c>
      <c r="AL82" s="9">
        <f t="shared" si="9"/>
        <v>0.99900000000000022</v>
      </c>
    </row>
    <row r="83" spans="1:38">
      <c r="A83" s="34">
        <f>data4!L83</f>
        <v>1.1828888818854466E-4</v>
      </c>
      <c r="B83" s="4">
        <v>0.999</v>
      </c>
      <c r="C83" s="4"/>
      <c r="D83" s="4">
        <v>0.999</v>
      </c>
      <c r="E83" s="4"/>
      <c r="F83" s="4">
        <v>0.999</v>
      </c>
      <c r="G83" s="4"/>
      <c r="H83" s="4"/>
      <c r="I83" s="4">
        <v>0.999</v>
      </c>
      <c r="J83" s="4">
        <f>data1!B83</f>
        <v>0.999</v>
      </c>
      <c r="K83" s="4">
        <f>data1!C83</f>
        <v>0.999</v>
      </c>
      <c r="L83" s="4">
        <f>data1!D83</f>
        <v>0.999</v>
      </c>
      <c r="M83" s="4">
        <f>data1!E83</f>
        <v>0.999</v>
      </c>
      <c r="N83" s="4">
        <f>data1!F83</f>
        <v>0.999</v>
      </c>
      <c r="O83" s="4">
        <f>data1!G83</f>
        <v>0.999</v>
      </c>
      <c r="P83" s="4">
        <f>data1!H83</f>
        <v>0.999</v>
      </c>
      <c r="Q83" s="4">
        <f>data1!I83</f>
        <v>0.999</v>
      </c>
      <c r="R83" s="4">
        <f>data1!Z83</f>
        <v>0.999</v>
      </c>
      <c r="S83" s="4">
        <f>data1!AA83</f>
        <v>0.999</v>
      </c>
      <c r="T83" s="4">
        <f>data1!AB83</f>
        <v>0.999</v>
      </c>
      <c r="U83" s="4">
        <f>data1!AC83</f>
        <v>0.999</v>
      </c>
      <c r="V83" s="4">
        <f>data1!AD83</f>
        <v>0.999</v>
      </c>
      <c r="W83" s="4">
        <f>data1!AE83</f>
        <v>0.999</v>
      </c>
      <c r="X83" s="4">
        <f>data1!AF83</f>
        <v>0.999</v>
      </c>
      <c r="Y83" s="4">
        <f>data1!AG83</f>
        <v>0.999</v>
      </c>
      <c r="Z83" s="4">
        <v>0.999</v>
      </c>
      <c r="AA83" s="4">
        <v>0.999</v>
      </c>
      <c r="AB83" s="4">
        <v>0.999</v>
      </c>
      <c r="AC83" s="4">
        <v>0.999</v>
      </c>
      <c r="AD83" s="4">
        <v>0.999</v>
      </c>
      <c r="AE83" s="4">
        <v>0.999</v>
      </c>
      <c r="AF83" s="4">
        <v>0.999</v>
      </c>
      <c r="AG83" s="4">
        <v>0.999</v>
      </c>
      <c r="AH83" s="46">
        <f t="shared" si="10"/>
        <v>81</v>
      </c>
      <c r="AI83" s="9">
        <f t="shared" si="6"/>
        <v>3.3917873657517345E-16</v>
      </c>
      <c r="AJ83" s="9">
        <f t="shared" si="7"/>
        <v>0.99899999999999911</v>
      </c>
      <c r="AK83" s="4">
        <f t="shared" si="8"/>
        <v>0.99899999999999967</v>
      </c>
      <c r="AL83" s="9">
        <f t="shared" si="9"/>
        <v>0.99900000000000022</v>
      </c>
    </row>
    <row r="84" spans="1:38">
      <c r="A84" s="34">
        <f>data4!L84</f>
        <v>1.2050484656356275E-4</v>
      </c>
      <c r="B84" s="4">
        <v>0.999</v>
      </c>
      <c r="C84" s="4"/>
      <c r="D84" s="4">
        <v>0.999</v>
      </c>
      <c r="E84" s="4"/>
      <c r="F84" s="4">
        <v>0.999</v>
      </c>
      <c r="G84" s="4"/>
      <c r="H84" s="4"/>
      <c r="I84" s="4">
        <v>0.999</v>
      </c>
      <c r="J84" s="4">
        <f>data1!B84</f>
        <v>0.999</v>
      </c>
      <c r="K84" s="4">
        <f>data1!C84</f>
        <v>0.999</v>
      </c>
      <c r="L84" s="4">
        <f>data1!D84</f>
        <v>0.999</v>
      </c>
      <c r="M84" s="4">
        <f>data1!E84</f>
        <v>0.999</v>
      </c>
      <c r="N84" s="4">
        <f>data1!F84</f>
        <v>0.999</v>
      </c>
      <c r="O84" s="4">
        <f>data1!G84</f>
        <v>0.999</v>
      </c>
      <c r="P84" s="4">
        <f>data1!H84</f>
        <v>0.999</v>
      </c>
      <c r="Q84" s="4">
        <f>data1!I84</f>
        <v>0.999</v>
      </c>
      <c r="R84" s="4">
        <f>data1!Z84</f>
        <v>0.999</v>
      </c>
      <c r="S84" s="4">
        <f>data1!AA84</f>
        <v>0.999</v>
      </c>
      <c r="T84" s="4">
        <f>data1!AB84</f>
        <v>0.999</v>
      </c>
      <c r="U84" s="4">
        <f>data1!AC84</f>
        <v>0.999</v>
      </c>
      <c r="V84" s="4">
        <f>data1!AD84</f>
        <v>0.999</v>
      </c>
      <c r="W84" s="4">
        <f>data1!AE84</f>
        <v>0.999</v>
      </c>
      <c r="X84" s="4">
        <f>data1!AF84</f>
        <v>0.999</v>
      </c>
      <c r="Y84" s="4">
        <f>data1!AG84</f>
        <v>0.999</v>
      </c>
      <c r="Z84" s="4">
        <v>0.999</v>
      </c>
      <c r="AA84" s="4">
        <v>0.999</v>
      </c>
      <c r="AB84" s="4">
        <v>0.999</v>
      </c>
      <c r="AC84" s="4">
        <v>0.999</v>
      </c>
      <c r="AD84" s="4">
        <v>0.999</v>
      </c>
      <c r="AE84" s="4">
        <v>0.999</v>
      </c>
      <c r="AF84" s="4">
        <v>0.999</v>
      </c>
      <c r="AG84" s="4">
        <v>0.999</v>
      </c>
      <c r="AH84" s="46">
        <f t="shared" si="10"/>
        <v>82</v>
      </c>
      <c r="AI84" s="9">
        <f t="shared" si="6"/>
        <v>3.3917873657517345E-16</v>
      </c>
      <c r="AJ84" s="9">
        <f t="shared" si="7"/>
        <v>0.99899999999999911</v>
      </c>
      <c r="AK84" s="4">
        <f t="shared" si="8"/>
        <v>0.99899999999999967</v>
      </c>
      <c r="AL84" s="9">
        <f t="shared" si="9"/>
        <v>0.99900000000000022</v>
      </c>
    </row>
    <row r="85" spans="1:38">
      <c r="A85" s="34">
        <f>data4!L85</f>
        <v>1.2265499208297115E-4</v>
      </c>
      <c r="B85" s="4">
        <v>0.999</v>
      </c>
      <c r="C85" s="4"/>
      <c r="D85" s="4">
        <v>0.999</v>
      </c>
      <c r="E85" s="4"/>
      <c r="F85" s="4">
        <v>0.999</v>
      </c>
      <c r="G85" s="4"/>
      <c r="H85" s="4"/>
      <c r="I85" s="4">
        <v>0.999</v>
      </c>
      <c r="J85" s="4">
        <f>data1!B85</f>
        <v>0.999</v>
      </c>
      <c r="K85" s="4">
        <f>data1!C85</f>
        <v>0.999</v>
      </c>
      <c r="L85" s="4">
        <f>data1!D85</f>
        <v>0.999</v>
      </c>
      <c r="M85" s="4">
        <f>data1!E85</f>
        <v>0.999</v>
      </c>
      <c r="N85" s="4">
        <f>data1!F85</f>
        <v>0.999</v>
      </c>
      <c r="O85" s="4">
        <f>data1!G85</f>
        <v>0.999</v>
      </c>
      <c r="P85" s="4">
        <f>data1!H85</f>
        <v>0.999</v>
      </c>
      <c r="Q85" s="4">
        <f>data1!I85</f>
        <v>0.999</v>
      </c>
      <c r="R85" s="4">
        <f>data1!Z85</f>
        <v>0.999</v>
      </c>
      <c r="S85" s="4">
        <f>data1!AA85</f>
        <v>0.999</v>
      </c>
      <c r="T85" s="4">
        <f>data1!AB85</f>
        <v>0.999</v>
      </c>
      <c r="U85" s="4">
        <f>data1!AC85</f>
        <v>0.999</v>
      </c>
      <c r="V85" s="4">
        <f>data1!AD85</f>
        <v>0.999</v>
      </c>
      <c r="W85" s="4">
        <f>data1!AE85</f>
        <v>0.999</v>
      </c>
      <c r="X85" s="4">
        <f>data1!AF85</f>
        <v>0.999</v>
      </c>
      <c r="Y85" s="4">
        <f>data1!AG85</f>
        <v>0.999</v>
      </c>
      <c r="Z85" s="4">
        <v>0.999</v>
      </c>
      <c r="AA85" s="4">
        <v>0.999</v>
      </c>
      <c r="AB85" s="4">
        <v>0.999</v>
      </c>
      <c r="AC85" s="4">
        <v>0.999</v>
      </c>
      <c r="AD85" s="4">
        <v>0.999</v>
      </c>
      <c r="AE85" s="4">
        <v>0.999</v>
      </c>
      <c r="AF85" s="4">
        <v>0.999</v>
      </c>
      <c r="AG85" s="4">
        <v>0.999</v>
      </c>
      <c r="AH85" s="46">
        <f t="shared" si="10"/>
        <v>83</v>
      </c>
      <c r="AI85" s="9">
        <f t="shared" si="6"/>
        <v>3.3917873657517345E-16</v>
      </c>
      <c r="AJ85" s="9">
        <f t="shared" si="7"/>
        <v>0.99899999999999911</v>
      </c>
      <c r="AK85" s="4">
        <f t="shared" si="8"/>
        <v>0.99899999999999967</v>
      </c>
      <c r="AL85" s="9">
        <f t="shared" si="9"/>
        <v>0.99900000000000022</v>
      </c>
    </row>
    <row r="86" spans="1:38">
      <c r="A86" s="34">
        <f>data4!L86</f>
        <v>1.2491582128859591E-4</v>
      </c>
      <c r="B86" s="4">
        <v>0.999</v>
      </c>
      <c r="C86" s="4"/>
      <c r="D86" s="4">
        <v>0.999</v>
      </c>
      <c r="E86" s="4"/>
      <c r="F86" s="4">
        <v>0.999</v>
      </c>
      <c r="G86" s="4"/>
      <c r="H86" s="4"/>
      <c r="I86" s="4">
        <v>0.999</v>
      </c>
      <c r="J86" s="4">
        <f>data1!B86</f>
        <v>0.999</v>
      </c>
      <c r="K86" s="4">
        <f>data1!C86</f>
        <v>0.999</v>
      </c>
      <c r="L86" s="4">
        <f>data1!D86</f>
        <v>0.999</v>
      </c>
      <c r="M86" s="4">
        <f>data1!E86</f>
        <v>0.999</v>
      </c>
      <c r="N86" s="4">
        <f>data1!F86</f>
        <v>0.999</v>
      </c>
      <c r="O86" s="4">
        <f>data1!G86</f>
        <v>0.999</v>
      </c>
      <c r="P86" s="4">
        <f>data1!H86</f>
        <v>0.999</v>
      </c>
      <c r="Q86" s="4">
        <f>data1!I86</f>
        <v>0.999</v>
      </c>
      <c r="R86" s="4">
        <f>data1!Z86</f>
        <v>0.999</v>
      </c>
      <c r="S86" s="4">
        <f>data1!AA86</f>
        <v>0.999</v>
      </c>
      <c r="T86" s="4">
        <f>data1!AB86</f>
        <v>0.999</v>
      </c>
      <c r="U86" s="4">
        <f>data1!AC86</f>
        <v>0.999</v>
      </c>
      <c r="V86" s="4">
        <f>data1!AD86</f>
        <v>0.999</v>
      </c>
      <c r="W86" s="4">
        <f>data1!AE86</f>
        <v>0.999</v>
      </c>
      <c r="X86" s="4">
        <f>data1!AF86</f>
        <v>0.999</v>
      </c>
      <c r="Y86" s="4">
        <f>data1!AG86</f>
        <v>0.999</v>
      </c>
      <c r="Z86" s="4">
        <v>0.999</v>
      </c>
      <c r="AA86" s="4">
        <v>0.999</v>
      </c>
      <c r="AB86" s="4">
        <v>0.999</v>
      </c>
      <c r="AC86" s="4">
        <v>0.999</v>
      </c>
      <c r="AD86" s="4">
        <v>0.999</v>
      </c>
      <c r="AE86" s="4">
        <v>0.999</v>
      </c>
      <c r="AF86" s="4">
        <v>0.999</v>
      </c>
      <c r="AG86" s="4">
        <v>0.999</v>
      </c>
      <c r="AH86" s="46">
        <f t="shared" si="10"/>
        <v>84</v>
      </c>
      <c r="AI86" s="9">
        <f t="shared" si="6"/>
        <v>3.3917873657517345E-16</v>
      </c>
      <c r="AJ86" s="9">
        <f t="shared" si="7"/>
        <v>0.99899999999999911</v>
      </c>
      <c r="AK86" s="4">
        <f t="shared" si="8"/>
        <v>0.99899999999999967</v>
      </c>
      <c r="AL86" s="9">
        <f t="shared" si="9"/>
        <v>0.99900000000000022</v>
      </c>
    </row>
    <row r="87" spans="1:38">
      <c r="A87" s="34">
        <f>data4!L87</f>
        <v>1.2707459609373473E-4</v>
      </c>
      <c r="B87" s="4">
        <v>0.999</v>
      </c>
      <c r="C87" s="4"/>
      <c r="D87" s="4">
        <v>0.999</v>
      </c>
      <c r="E87" s="4"/>
      <c r="F87" s="4">
        <v>0.999</v>
      </c>
      <c r="G87" s="4"/>
      <c r="H87" s="4"/>
      <c r="I87" s="4">
        <v>0.999</v>
      </c>
      <c r="J87" s="4">
        <f>data1!B87</f>
        <v>0.999</v>
      </c>
      <c r="K87" s="4">
        <f>data1!C87</f>
        <v>0.999</v>
      </c>
      <c r="L87" s="4">
        <f>data1!D87</f>
        <v>0.999</v>
      </c>
      <c r="M87" s="4">
        <f>data1!E87</f>
        <v>0.999</v>
      </c>
      <c r="N87" s="4">
        <f>data1!F87</f>
        <v>0.999</v>
      </c>
      <c r="O87" s="4">
        <f>data1!G87</f>
        <v>0.999</v>
      </c>
      <c r="P87" s="4">
        <f>data1!H87</f>
        <v>0.999</v>
      </c>
      <c r="Q87" s="4">
        <f>data1!I87</f>
        <v>0.999</v>
      </c>
      <c r="R87" s="4">
        <f>data1!Z87</f>
        <v>0.999</v>
      </c>
      <c r="S87" s="4">
        <f>data1!AA87</f>
        <v>0.999</v>
      </c>
      <c r="T87" s="4">
        <f>data1!AB87</f>
        <v>0.999</v>
      </c>
      <c r="U87" s="4">
        <f>data1!AC87</f>
        <v>0.999</v>
      </c>
      <c r="V87" s="4">
        <f>data1!AD87</f>
        <v>0.999</v>
      </c>
      <c r="W87" s="4">
        <f>data1!AE87</f>
        <v>0.999</v>
      </c>
      <c r="X87" s="4">
        <f>data1!AF87</f>
        <v>0.999</v>
      </c>
      <c r="Y87" s="4">
        <f>data1!AG87</f>
        <v>0.999</v>
      </c>
      <c r="Z87" s="4">
        <v>0.999</v>
      </c>
      <c r="AA87" s="4">
        <v>0.999</v>
      </c>
      <c r="AB87" s="4">
        <v>0.999</v>
      </c>
      <c r="AC87" s="4">
        <v>0.999</v>
      </c>
      <c r="AD87" s="4">
        <v>0.999</v>
      </c>
      <c r="AE87" s="4">
        <v>0.999</v>
      </c>
      <c r="AF87" s="4">
        <v>0.999</v>
      </c>
      <c r="AG87" s="4">
        <v>0.999</v>
      </c>
      <c r="AH87" s="46">
        <f t="shared" si="10"/>
        <v>85</v>
      </c>
      <c r="AI87" s="9">
        <f t="shared" si="6"/>
        <v>3.3917873657517345E-16</v>
      </c>
      <c r="AJ87" s="9">
        <f t="shared" si="7"/>
        <v>0.99899999999999911</v>
      </c>
      <c r="AK87" s="4">
        <f t="shared" si="8"/>
        <v>0.99899999999999967</v>
      </c>
      <c r="AL87" s="9">
        <f t="shared" si="9"/>
        <v>0.99900000000000022</v>
      </c>
    </row>
    <row r="88" spans="1:38">
      <c r="A88" s="34">
        <f>data4!L88</f>
        <v>1.2926124509249348E-4</v>
      </c>
      <c r="B88" s="4">
        <v>0.999</v>
      </c>
      <c r="C88" s="4"/>
      <c r="D88" s="4">
        <v>0.999</v>
      </c>
      <c r="E88" s="4"/>
      <c r="F88" s="4">
        <v>0.999</v>
      </c>
      <c r="G88" s="4"/>
      <c r="H88" s="4"/>
      <c r="I88" s="4">
        <v>0.999</v>
      </c>
      <c r="J88" s="4">
        <f>data1!B88</f>
        <v>0.999</v>
      </c>
      <c r="K88" s="4">
        <f>data1!C88</f>
        <v>0.999</v>
      </c>
      <c r="L88" s="4">
        <f>data1!D88</f>
        <v>0.999</v>
      </c>
      <c r="M88" s="4">
        <f>data1!E88</f>
        <v>0.999</v>
      </c>
      <c r="N88" s="4">
        <f>data1!F88</f>
        <v>0.999</v>
      </c>
      <c r="O88" s="4">
        <f>data1!G88</f>
        <v>0.999</v>
      </c>
      <c r="P88" s="4">
        <f>data1!H88</f>
        <v>0.999</v>
      </c>
      <c r="Q88" s="4">
        <f>data1!I88</f>
        <v>0.999</v>
      </c>
      <c r="R88" s="4">
        <f>data1!Z88</f>
        <v>0.999</v>
      </c>
      <c r="S88" s="4">
        <f>data1!AA88</f>
        <v>0.999</v>
      </c>
      <c r="T88" s="4">
        <f>data1!AB88</f>
        <v>0.999</v>
      </c>
      <c r="U88" s="4">
        <f>data1!AC88</f>
        <v>0.999</v>
      </c>
      <c r="V88" s="4">
        <f>data1!AD88</f>
        <v>0.999</v>
      </c>
      <c r="W88" s="4">
        <f>data1!AE88</f>
        <v>0.999</v>
      </c>
      <c r="X88" s="4">
        <f>data1!AF88</f>
        <v>0.999</v>
      </c>
      <c r="Y88" s="4">
        <f>data1!AG88</f>
        <v>0.999</v>
      </c>
      <c r="Z88" s="4">
        <v>0.999</v>
      </c>
      <c r="AA88" s="4">
        <v>0.999</v>
      </c>
      <c r="AB88" s="4">
        <v>0.999</v>
      </c>
      <c r="AC88" s="4">
        <v>0.999</v>
      </c>
      <c r="AD88" s="4">
        <v>0.999</v>
      </c>
      <c r="AE88" s="4">
        <v>0.999</v>
      </c>
      <c r="AF88" s="4">
        <v>0.999</v>
      </c>
      <c r="AG88" s="4">
        <v>0.999</v>
      </c>
      <c r="AH88" s="46">
        <f t="shared" si="10"/>
        <v>86</v>
      </c>
      <c r="AI88" s="9">
        <f t="shared" si="6"/>
        <v>3.3917873657517345E-16</v>
      </c>
      <c r="AJ88" s="9">
        <f t="shared" si="7"/>
        <v>0.99899999999999911</v>
      </c>
      <c r="AK88" s="4">
        <f t="shared" si="8"/>
        <v>0.99899999999999967</v>
      </c>
      <c r="AL88" s="9">
        <f t="shared" si="9"/>
        <v>0.99900000000000022</v>
      </c>
    </row>
    <row r="89" spans="1:38">
      <c r="A89" s="34">
        <f>data4!L89</f>
        <v>1.3162015056877863E-4</v>
      </c>
      <c r="B89" s="4">
        <v>0.999</v>
      </c>
      <c r="C89" s="4"/>
      <c r="D89" s="4">
        <v>0.999</v>
      </c>
      <c r="E89" s="4"/>
      <c r="F89" s="4">
        <v>0.999</v>
      </c>
      <c r="G89" s="4"/>
      <c r="H89" s="4"/>
      <c r="I89" s="4">
        <v>0.999</v>
      </c>
      <c r="J89" s="4">
        <f>data1!B89</f>
        <v>0.999</v>
      </c>
      <c r="K89" s="4">
        <f>data1!C89</f>
        <v>0.999</v>
      </c>
      <c r="L89" s="4">
        <f>data1!D89</f>
        <v>0.999</v>
      </c>
      <c r="M89" s="4">
        <f>data1!E89</f>
        <v>0.999</v>
      </c>
      <c r="N89" s="4">
        <f>data1!F89</f>
        <v>0.999</v>
      </c>
      <c r="O89" s="4">
        <f>data1!G89</f>
        <v>0.999</v>
      </c>
      <c r="P89" s="4">
        <f>data1!H89</f>
        <v>0.999</v>
      </c>
      <c r="Q89" s="4">
        <f>data1!I89</f>
        <v>0.999</v>
      </c>
      <c r="R89" s="4">
        <f>data1!Z89</f>
        <v>0.999</v>
      </c>
      <c r="S89" s="4">
        <f>data1!AA89</f>
        <v>0.999</v>
      </c>
      <c r="T89" s="4">
        <f>data1!AB89</f>
        <v>0.999</v>
      </c>
      <c r="U89" s="4">
        <f>data1!AC89</f>
        <v>0.999</v>
      </c>
      <c r="V89" s="4">
        <f>data1!AD89</f>
        <v>0.999</v>
      </c>
      <c r="W89" s="4">
        <f>data1!AE89</f>
        <v>0.999</v>
      </c>
      <c r="X89" s="4">
        <f>data1!AF89</f>
        <v>0.999</v>
      </c>
      <c r="Y89" s="4">
        <f>data1!AG89</f>
        <v>0.999</v>
      </c>
      <c r="Z89" s="4">
        <v>0.999</v>
      </c>
      <c r="AA89" s="4">
        <v>0.999</v>
      </c>
      <c r="AB89" s="4">
        <v>0.999</v>
      </c>
      <c r="AC89" s="4">
        <v>0.999</v>
      </c>
      <c r="AD89" s="4">
        <v>0.999</v>
      </c>
      <c r="AE89" s="4">
        <v>0.999</v>
      </c>
      <c r="AF89" s="4">
        <v>0.999</v>
      </c>
      <c r="AG89" s="4">
        <v>0.999</v>
      </c>
      <c r="AH89" s="46">
        <f t="shared" si="10"/>
        <v>87</v>
      </c>
      <c r="AI89" s="9">
        <f t="shared" si="6"/>
        <v>3.3917873657517345E-16</v>
      </c>
      <c r="AJ89" s="9">
        <f t="shared" si="7"/>
        <v>0.99899999999999911</v>
      </c>
      <c r="AK89" s="4">
        <f t="shared" si="8"/>
        <v>0.99899999999999967</v>
      </c>
      <c r="AL89" s="9">
        <f t="shared" si="9"/>
        <v>0.99900000000000022</v>
      </c>
    </row>
    <row r="90" spans="1:38">
      <c r="A90" s="34">
        <f>data4!L90</f>
        <v>1.3371281420404557E-4</v>
      </c>
      <c r="B90" s="4">
        <v>0.999</v>
      </c>
      <c r="C90" s="4"/>
      <c r="D90" s="4">
        <v>0.999</v>
      </c>
      <c r="E90" s="4"/>
      <c r="F90" s="4">
        <v>0.999</v>
      </c>
      <c r="G90" s="4"/>
      <c r="H90" s="4"/>
      <c r="I90" s="4">
        <v>0.999</v>
      </c>
      <c r="J90" s="4">
        <f>data1!B90</f>
        <v>0.999</v>
      </c>
      <c r="K90" s="4">
        <f>data1!C90</f>
        <v>0.999</v>
      </c>
      <c r="L90" s="4">
        <f>data1!D90</f>
        <v>0.999</v>
      </c>
      <c r="M90" s="4">
        <f>data1!E90</f>
        <v>0.999</v>
      </c>
      <c r="N90" s="4">
        <f>data1!F90</f>
        <v>0.999</v>
      </c>
      <c r="O90" s="4">
        <f>data1!G90</f>
        <v>0.999</v>
      </c>
      <c r="P90" s="4">
        <f>data1!H90</f>
        <v>0.999</v>
      </c>
      <c r="Q90" s="4">
        <f>data1!I90</f>
        <v>0.999</v>
      </c>
      <c r="R90" s="4">
        <f>data1!Z90</f>
        <v>0.999</v>
      </c>
      <c r="S90" s="4">
        <f>data1!AA90</f>
        <v>0.999</v>
      </c>
      <c r="T90" s="4">
        <f>data1!AB90</f>
        <v>0.999</v>
      </c>
      <c r="U90" s="4">
        <f>data1!AC90</f>
        <v>0.999</v>
      </c>
      <c r="V90" s="4">
        <f>data1!AD90</f>
        <v>0.999</v>
      </c>
      <c r="W90" s="4">
        <f>data1!AE90</f>
        <v>0.999</v>
      </c>
      <c r="X90" s="4">
        <f>data1!AF90</f>
        <v>0.999</v>
      </c>
      <c r="Y90" s="4">
        <f>data1!AG90</f>
        <v>0.999</v>
      </c>
      <c r="Z90" s="4">
        <v>0.999</v>
      </c>
      <c r="AA90" s="4">
        <v>0.999</v>
      </c>
      <c r="AB90" s="4">
        <v>0.999</v>
      </c>
      <c r="AC90" s="4">
        <v>0.999</v>
      </c>
      <c r="AD90" s="4">
        <v>0.999</v>
      </c>
      <c r="AE90" s="4">
        <v>0.999</v>
      </c>
      <c r="AF90" s="4">
        <v>0.999</v>
      </c>
      <c r="AG90" s="4">
        <v>0.999</v>
      </c>
      <c r="AH90" s="46">
        <f t="shared" si="10"/>
        <v>88</v>
      </c>
      <c r="AI90" s="9">
        <f t="shared" si="6"/>
        <v>3.3917873657517345E-16</v>
      </c>
      <c r="AJ90" s="9">
        <f t="shared" si="7"/>
        <v>0.99899999999999911</v>
      </c>
      <c r="AK90" s="4">
        <f t="shared" si="8"/>
        <v>0.99899999999999967</v>
      </c>
      <c r="AL90" s="9">
        <f t="shared" si="9"/>
        <v>0.99900000000000022</v>
      </c>
    </row>
    <row r="91" spans="1:38">
      <c r="A91" s="34">
        <f>data4!L91</f>
        <v>1.3594389565696474E-4</v>
      </c>
      <c r="B91" s="4">
        <v>0.999</v>
      </c>
      <c r="C91" s="4"/>
      <c r="D91" s="4">
        <v>0.999</v>
      </c>
      <c r="E91" s="4"/>
      <c r="F91" s="4">
        <v>0.999</v>
      </c>
      <c r="G91" s="4"/>
      <c r="H91" s="4"/>
      <c r="I91" s="4">
        <v>0.999</v>
      </c>
      <c r="J91" s="4">
        <f>data1!B91</f>
        <v>0.999</v>
      </c>
      <c r="K91" s="4">
        <f>data1!C91</f>
        <v>0.999</v>
      </c>
      <c r="L91" s="4">
        <f>data1!D91</f>
        <v>0.999</v>
      </c>
      <c r="M91" s="4">
        <f>data1!E91</f>
        <v>0.999</v>
      </c>
      <c r="N91" s="4">
        <f>data1!F91</f>
        <v>0.999</v>
      </c>
      <c r="O91" s="4">
        <f>data1!G91</f>
        <v>0.999</v>
      </c>
      <c r="P91" s="4">
        <f>data1!H91</f>
        <v>0.999</v>
      </c>
      <c r="Q91" s="4">
        <f>data1!I91</f>
        <v>0.999</v>
      </c>
      <c r="R91" s="4">
        <f>data1!Z91</f>
        <v>0.999</v>
      </c>
      <c r="S91" s="4">
        <f>data1!AA91</f>
        <v>0.999</v>
      </c>
      <c r="T91" s="4">
        <f>data1!AB91</f>
        <v>0.999</v>
      </c>
      <c r="U91" s="4">
        <f>data1!AC91</f>
        <v>0.999</v>
      </c>
      <c r="V91" s="4">
        <f>data1!AD91</f>
        <v>0.999</v>
      </c>
      <c r="W91" s="4">
        <f>data1!AE91</f>
        <v>0.999</v>
      </c>
      <c r="X91" s="4">
        <f>data1!AF91</f>
        <v>0.999</v>
      </c>
      <c r="Y91" s="4">
        <f>data1!AG91</f>
        <v>0.999</v>
      </c>
      <c r="Z91" s="4">
        <v>0.999</v>
      </c>
      <c r="AA91" s="4">
        <v>0.999</v>
      </c>
      <c r="AB91" s="4">
        <v>0.999</v>
      </c>
      <c r="AC91" s="4">
        <v>0.999</v>
      </c>
      <c r="AD91" s="4">
        <v>0.999</v>
      </c>
      <c r="AE91" s="4">
        <v>0.999</v>
      </c>
      <c r="AF91" s="4">
        <v>0.999</v>
      </c>
      <c r="AG91" s="4">
        <v>0.999</v>
      </c>
      <c r="AH91" s="46">
        <f t="shared" si="10"/>
        <v>89</v>
      </c>
      <c r="AI91" s="9">
        <f t="shared" si="6"/>
        <v>3.3917873657517345E-16</v>
      </c>
      <c r="AJ91" s="9">
        <f t="shared" si="7"/>
        <v>0.99899999999999911</v>
      </c>
      <c r="AK91" s="4">
        <f t="shared" si="8"/>
        <v>0.99899999999999967</v>
      </c>
      <c r="AL91" s="9">
        <f t="shared" si="9"/>
        <v>0.99900000000000022</v>
      </c>
    </row>
    <row r="92" spans="1:38">
      <c r="A92" s="34">
        <f>data4!L92</f>
        <v>1.3806283641315531E-4</v>
      </c>
      <c r="B92" s="4">
        <v>0.999</v>
      </c>
      <c r="C92" s="4"/>
      <c r="D92" s="4">
        <v>0.999</v>
      </c>
      <c r="E92" s="4"/>
      <c r="F92" s="4">
        <v>0.999</v>
      </c>
      <c r="G92" s="4"/>
      <c r="H92" s="4"/>
      <c r="I92" s="4">
        <v>0.999</v>
      </c>
      <c r="J92" s="4">
        <f>data1!B92</f>
        <v>0.999</v>
      </c>
      <c r="K92" s="4">
        <f>data1!C92</f>
        <v>0.999</v>
      </c>
      <c r="L92" s="4">
        <f>data1!D92</f>
        <v>0.999</v>
      </c>
      <c r="M92" s="4">
        <f>data1!E92</f>
        <v>0.999</v>
      </c>
      <c r="N92" s="4">
        <f>data1!F92</f>
        <v>0.999</v>
      </c>
      <c r="O92" s="4">
        <f>data1!G92</f>
        <v>0.999</v>
      </c>
      <c r="P92" s="4">
        <f>data1!H92</f>
        <v>0.999</v>
      </c>
      <c r="Q92" s="4">
        <f>data1!I92</f>
        <v>0.999</v>
      </c>
      <c r="R92" s="4">
        <f>data1!Z92</f>
        <v>0.999</v>
      </c>
      <c r="S92" s="4">
        <f>data1!AA92</f>
        <v>0.999</v>
      </c>
      <c r="T92" s="4">
        <f>data1!AB92</f>
        <v>0.999</v>
      </c>
      <c r="U92" s="4">
        <f>data1!AC92</f>
        <v>0.999</v>
      </c>
      <c r="V92" s="4">
        <f>data1!AD92</f>
        <v>0.999</v>
      </c>
      <c r="W92" s="4">
        <f>data1!AE92</f>
        <v>0.999</v>
      </c>
      <c r="X92" s="4">
        <f>data1!AF92</f>
        <v>0.999</v>
      </c>
      <c r="Y92" s="4">
        <f>data1!AG92</f>
        <v>0.999</v>
      </c>
      <c r="Z92" s="4">
        <v>0.999</v>
      </c>
      <c r="AA92" s="4">
        <v>0.999</v>
      </c>
      <c r="AB92" s="4">
        <v>0.999</v>
      </c>
      <c r="AC92" s="4">
        <v>0.999</v>
      </c>
      <c r="AD92" s="4">
        <v>0.999</v>
      </c>
      <c r="AE92" s="4">
        <v>0.999</v>
      </c>
      <c r="AF92" s="4">
        <v>0.999</v>
      </c>
      <c r="AG92" s="4">
        <v>0.999</v>
      </c>
      <c r="AH92" s="46">
        <f t="shared" si="10"/>
        <v>90</v>
      </c>
      <c r="AI92" s="9">
        <f t="shared" si="6"/>
        <v>3.3917873657517345E-16</v>
      </c>
      <c r="AJ92" s="9">
        <f t="shared" si="7"/>
        <v>0.99899999999999911</v>
      </c>
      <c r="AK92" s="4">
        <f t="shared" si="8"/>
        <v>0.99899999999999967</v>
      </c>
      <c r="AL92" s="9">
        <f t="shared" si="9"/>
        <v>0.99900000000000022</v>
      </c>
    </row>
    <row r="93" spans="1:38">
      <c r="A93" s="34">
        <f>data4!L93</f>
        <v>1.4038474182598293E-4</v>
      </c>
      <c r="B93" s="4">
        <v>0.999</v>
      </c>
      <c r="C93" s="4"/>
      <c r="D93" s="4">
        <v>0.999</v>
      </c>
      <c r="E93" s="4"/>
      <c r="F93" s="4">
        <v>0.999</v>
      </c>
      <c r="G93" s="4"/>
      <c r="H93" s="4"/>
      <c r="I93" s="4">
        <v>0.999</v>
      </c>
      <c r="J93" s="4">
        <f>data1!B93</f>
        <v>0.999</v>
      </c>
      <c r="K93" s="4">
        <f>data1!C93</f>
        <v>0.999</v>
      </c>
      <c r="L93" s="4">
        <f>data1!D93</f>
        <v>0.999</v>
      </c>
      <c r="M93" s="4">
        <f>data1!E93</f>
        <v>0.999</v>
      </c>
      <c r="N93" s="4">
        <f>data1!F93</f>
        <v>0.999</v>
      </c>
      <c r="O93" s="4">
        <f>data1!G93</f>
        <v>0.999</v>
      </c>
      <c r="P93" s="4">
        <f>data1!H93</f>
        <v>0.999</v>
      </c>
      <c r="Q93" s="4">
        <f>data1!I93</f>
        <v>0.999</v>
      </c>
      <c r="R93" s="4">
        <f>data1!Z93</f>
        <v>0.999</v>
      </c>
      <c r="S93" s="4">
        <f>data1!AA93</f>
        <v>0.999</v>
      </c>
      <c r="T93" s="4">
        <f>data1!AB93</f>
        <v>0.999</v>
      </c>
      <c r="U93" s="4">
        <f>data1!AC93</f>
        <v>0.999</v>
      </c>
      <c r="V93" s="4">
        <f>data1!AD93</f>
        <v>0.999</v>
      </c>
      <c r="W93" s="4">
        <f>data1!AE93</f>
        <v>0.999</v>
      </c>
      <c r="X93" s="4">
        <f>data1!AF93</f>
        <v>0.999</v>
      </c>
      <c r="Y93" s="4">
        <f>data1!AG93</f>
        <v>0.999</v>
      </c>
      <c r="Z93" s="4">
        <v>0.999</v>
      </c>
      <c r="AA93" s="4">
        <v>0.999</v>
      </c>
      <c r="AB93" s="4">
        <v>0.999</v>
      </c>
      <c r="AC93" s="4">
        <v>0.999</v>
      </c>
      <c r="AD93" s="4">
        <v>0.999</v>
      </c>
      <c r="AE93" s="4">
        <v>0.999</v>
      </c>
      <c r="AF93" s="4">
        <v>0.999</v>
      </c>
      <c r="AG93" s="4">
        <v>0.999</v>
      </c>
      <c r="AH93" s="46">
        <f t="shared" si="10"/>
        <v>91</v>
      </c>
      <c r="AI93" s="9">
        <f t="shared" si="6"/>
        <v>3.3917873657517345E-16</v>
      </c>
      <c r="AJ93" s="9">
        <f t="shared" si="7"/>
        <v>0.99899999999999911</v>
      </c>
      <c r="AK93" s="4">
        <f t="shared" si="8"/>
        <v>0.99899999999999967</v>
      </c>
      <c r="AL93" s="9">
        <f t="shared" si="9"/>
        <v>0.99900000000000022</v>
      </c>
    </row>
    <row r="94" spans="1:38">
      <c r="A94" s="34">
        <f>data4!L94</f>
        <v>1.4255519818107132E-4</v>
      </c>
      <c r="B94" s="4">
        <v>0.999</v>
      </c>
      <c r="C94" s="4"/>
      <c r="D94" s="4">
        <v>0.999</v>
      </c>
      <c r="E94" s="4"/>
      <c r="F94" s="4">
        <v>0.999</v>
      </c>
      <c r="G94" s="4"/>
      <c r="H94" s="4"/>
      <c r="I94" s="4">
        <v>0.999</v>
      </c>
      <c r="J94" s="4">
        <f>data1!B94</f>
        <v>0.999</v>
      </c>
      <c r="K94" s="4">
        <f>data1!C94</f>
        <v>0.999</v>
      </c>
      <c r="L94" s="4">
        <f>data1!D94</f>
        <v>0.999</v>
      </c>
      <c r="M94" s="4">
        <f>data1!E94</f>
        <v>0.999</v>
      </c>
      <c r="N94" s="4">
        <f>data1!F94</f>
        <v>0.999</v>
      </c>
      <c r="O94" s="4">
        <f>data1!G94</f>
        <v>0.999</v>
      </c>
      <c r="P94" s="4">
        <f>data1!H94</f>
        <v>0.999</v>
      </c>
      <c r="Q94" s="4">
        <f>data1!I94</f>
        <v>0.999</v>
      </c>
      <c r="R94" s="4">
        <f>data1!Z94</f>
        <v>0.999</v>
      </c>
      <c r="S94" s="4">
        <f>data1!AA94</f>
        <v>0.999</v>
      </c>
      <c r="T94" s="4">
        <f>data1!AB94</f>
        <v>0.999</v>
      </c>
      <c r="U94" s="4">
        <f>data1!AC94</f>
        <v>0.999</v>
      </c>
      <c r="V94" s="4">
        <f>data1!AD94</f>
        <v>0.999</v>
      </c>
      <c r="W94" s="4">
        <f>data1!AE94</f>
        <v>0.999</v>
      </c>
      <c r="X94" s="4">
        <f>data1!AF94</f>
        <v>0.999</v>
      </c>
      <c r="Y94" s="4">
        <f>data1!AG94</f>
        <v>0.999</v>
      </c>
      <c r="Z94" s="4">
        <v>0.999</v>
      </c>
      <c r="AA94" s="4">
        <v>0.999</v>
      </c>
      <c r="AB94" s="4">
        <v>0.999</v>
      </c>
      <c r="AC94" s="4">
        <v>0.999</v>
      </c>
      <c r="AD94" s="4">
        <v>0.999</v>
      </c>
      <c r="AE94" s="4">
        <v>0.999</v>
      </c>
      <c r="AF94" s="4">
        <v>0.999</v>
      </c>
      <c r="AG94" s="4">
        <v>0.999</v>
      </c>
      <c r="AH94" s="46">
        <f t="shared" si="10"/>
        <v>92</v>
      </c>
      <c r="AI94" s="9">
        <f t="shared" si="6"/>
        <v>3.3917873657517345E-16</v>
      </c>
      <c r="AJ94" s="9">
        <f t="shared" si="7"/>
        <v>0.99899999999999911</v>
      </c>
      <c r="AK94" s="4">
        <f t="shared" si="8"/>
        <v>0.99899999999999967</v>
      </c>
      <c r="AL94" s="9">
        <f t="shared" si="9"/>
        <v>0.99900000000000022</v>
      </c>
    </row>
    <row r="95" spans="1:38">
      <c r="A95" s="34">
        <f>data4!L95</f>
        <v>1.4482392907666508E-4</v>
      </c>
      <c r="B95" s="4">
        <v>0.999</v>
      </c>
      <c r="C95" s="4"/>
      <c r="D95" s="4">
        <v>0.999</v>
      </c>
      <c r="E95" s="4"/>
      <c r="F95" s="4">
        <v>0.999</v>
      </c>
      <c r="G95" s="4"/>
      <c r="H95" s="4"/>
      <c r="I95" s="4">
        <v>0.999</v>
      </c>
      <c r="J95" s="4">
        <f>data1!B95</f>
        <v>0.999</v>
      </c>
      <c r="K95" s="4">
        <f>data1!C95</f>
        <v>0.999</v>
      </c>
      <c r="L95" s="4">
        <f>data1!D95</f>
        <v>0.999</v>
      </c>
      <c r="M95" s="4">
        <f>data1!E95</f>
        <v>0.999</v>
      </c>
      <c r="N95" s="4">
        <f>data1!F95</f>
        <v>0.999</v>
      </c>
      <c r="O95" s="4">
        <f>data1!G95</f>
        <v>0.999</v>
      </c>
      <c r="P95" s="4">
        <f>data1!H95</f>
        <v>0.999</v>
      </c>
      <c r="Q95" s="4">
        <f>data1!I95</f>
        <v>0.999</v>
      </c>
      <c r="R95" s="4">
        <f>data1!Z95</f>
        <v>0.999</v>
      </c>
      <c r="S95" s="4">
        <f>data1!AA95</f>
        <v>0.999</v>
      </c>
      <c r="T95" s="4">
        <f>data1!AB95</f>
        <v>0.999</v>
      </c>
      <c r="U95" s="4">
        <f>data1!AC95</f>
        <v>0.999</v>
      </c>
      <c r="V95" s="4">
        <f>data1!AD95</f>
        <v>0.999</v>
      </c>
      <c r="W95" s="4">
        <f>data1!AE95</f>
        <v>0.999</v>
      </c>
      <c r="X95" s="4">
        <f>data1!AF95</f>
        <v>0.999</v>
      </c>
      <c r="Y95" s="4">
        <f>data1!AG95</f>
        <v>0.999</v>
      </c>
      <c r="Z95" s="4">
        <v>0.999</v>
      </c>
      <c r="AA95" s="4">
        <v>0.999</v>
      </c>
      <c r="AB95" s="4">
        <v>0.999</v>
      </c>
      <c r="AC95" s="4">
        <v>0.999</v>
      </c>
      <c r="AD95" s="4">
        <v>0.999</v>
      </c>
      <c r="AE95" s="4">
        <v>0.999</v>
      </c>
      <c r="AF95" s="4">
        <v>0.999</v>
      </c>
      <c r="AG95" s="4">
        <v>0.999</v>
      </c>
      <c r="AH95" s="46">
        <f t="shared" si="10"/>
        <v>93</v>
      </c>
      <c r="AI95" s="9">
        <f t="shared" si="6"/>
        <v>3.3917873657517345E-16</v>
      </c>
      <c r="AJ95" s="9">
        <f t="shared" si="7"/>
        <v>0.99899999999999911</v>
      </c>
      <c r="AK95" s="4">
        <f t="shared" si="8"/>
        <v>0.99899999999999967</v>
      </c>
      <c r="AL95" s="9">
        <f t="shared" si="9"/>
        <v>0.99900000000000022</v>
      </c>
    </row>
    <row r="96" spans="1:38">
      <c r="A96" s="34">
        <f>data4!L96</f>
        <v>1.4691925389342941E-4</v>
      </c>
      <c r="B96" s="4">
        <v>0.999</v>
      </c>
      <c r="C96" s="4"/>
      <c r="D96" s="4">
        <v>0.999</v>
      </c>
      <c r="E96" s="4"/>
      <c r="F96" s="4">
        <v>0.999</v>
      </c>
      <c r="G96" s="4"/>
      <c r="H96" s="4"/>
      <c r="I96" s="4">
        <v>0.999</v>
      </c>
      <c r="J96" s="4">
        <f>data1!B96</f>
        <v>0.999</v>
      </c>
      <c r="K96" s="4">
        <f>data1!C96</f>
        <v>0.999</v>
      </c>
      <c r="L96" s="4">
        <f>data1!D96</f>
        <v>0.999</v>
      </c>
      <c r="M96" s="4">
        <f>data1!E96</f>
        <v>0.999</v>
      </c>
      <c r="N96" s="4">
        <f>data1!F96</f>
        <v>0.999</v>
      </c>
      <c r="O96" s="4">
        <f>data1!G96</f>
        <v>0.999</v>
      </c>
      <c r="P96" s="4">
        <f>data1!H96</f>
        <v>0.999</v>
      </c>
      <c r="Q96" s="4">
        <f>data1!I96</f>
        <v>0.999</v>
      </c>
      <c r="R96" s="4">
        <f>data1!Z96</f>
        <v>0.999</v>
      </c>
      <c r="S96" s="4">
        <f>data1!AA96</f>
        <v>0.999</v>
      </c>
      <c r="T96" s="4">
        <f>data1!AB96</f>
        <v>0.999</v>
      </c>
      <c r="U96" s="4">
        <f>data1!AC96</f>
        <v>0.999</v>
      </c>
      <c r="V96" s="4">
        <f>data1!AD96</f>
        <v>0.999</v>
      </c>
      <c r="W96" s="4">
        <f>data1!AE96</f>
        <v>0.999</v>
      </c>
      <c r="X96" s="4">
        <f>data1!AF96</f>
        <v>0.999</v>
      </c>
      <c r="Y96" s="4">
        <f>data1!AG96</f>
        <v>0.999</v>
      </c>
      <c r="Z96" s="4">
        <v>0.999</v>
      </c>
      <c r="AA96" s="4">
        <v>0.999</v>
      </c>
      <c r="AB96" s="4">
        <v>0.999</v>
      </c>
      <c r="AC96" s="4">
        <v>0.999</v>
      </c>
      <c r="AD96" s="4">
        <v>0.999</v>
      </c>
      <c r="AE96" s="4">
        <v>0.999</v>
      </c>
      <c r="AF96" s="4">
        <v>0.999</v>
      </c>
      <c r="AG96" s="4">
        <v>0.999</v>
      </c>
      <c r="AH96" s="46">
        <f t="shared" si="10"/>
        <v>94</v>
      </c>
      <c r="AI96" s="9">
        <f t="shared" si="6"/>
        <v>3.3917873657517345E-16</v>
      </c>
      <c r="AJ96" s="9">
        <f t="shared" si="7"/>
        <v>0.99899999999999911</v>
      </c>
      <c r="AK96" s="4">
        <f t="shared" si="8"/>
        <v>0.99899999999999967</v>
      </c>
      <c r="AL96" s="9">
        <f t="shared" si="9"/>
        <v>0.99900000000000022</v>
      </c>
    </row>
    <row r="97" spans="1:38">
      <c r="A97" s="34">
        <f>data4!L97</f>
        <v>1.4923846538295038E-4</v>
      </c>
      <c r="B97" s="4">
        <v>0.999</v>
      </c>
      <c r="C97" s="4"/>
      <c r="D97" s="4">
        <v>0.999</v>
      </c>
      <c r="E97" s="4"/>
      <c r="F97" s="4">
        <v>0.999</v>
      </c>
      <c r="G97" s="4"/>
      <c r="H97" s="4"/>
      <c r="I97" s="4">
        <v>0.999</v>
      </c>
      <c r="J97" s="4">
        <f>data1!B97</f>
        <v>0.999</v>
      </c>
      <c r="K97" s="4">
        <f>data1!C97</f>
        <v>0.999</v>
      </c>
      <c r="L97" s="4">
        <f>data1!D97</f>
        <v>0.999</v>
      </c>
      <c r="M97" s="4">
        <f>data1!E97</f>
        <v>0.999</v>
      </c>
      <c r="N97" s="4">
        <f>data1!F97</f>
        <v>0.999</v>
      </c>
      <c r="O97" s="4">
        <f>data1!G97</f>
        <v>0.999</v>
      </c>
      <c r="P97" s="4">
        <f>data1!H97</f>
        <v>0.999</v>
      </c>
      <c r="Q97" s="4">
        <f>data1!I97</f>
        <v>0.999</v>
      </c>
      <c r="R97" s="4">
        <f>data1!Z97</f>
        <v>0.999</v>
      </c>
      <c r="S97" s="4">
        <f>data1!AA97</f>
        <v>0.999</v>
      </c>
      <c r="T97" s="4">
        <f>data1!AB97</f>
        <v>0.999</v>
      </c>
      <c r="U97" s="4">
        <f>data1!AC97</f>
        <v>0.999</v>
      </c>
      <c r="V97" s="4">
        <f>data1!AD97</f>
        <v>0.999</v>
      </c>
      <c r="W97" s="4">
        <f>data1!AE97</f>
        <v>0.999</v>
      </c>
      <c r="X97" s="4">
        <f>data1!AF97</f>
        <v>0.999</v>
      </c>
      <c r="Y97" s="4">
        <f>data1!AG97</f>
        <v>0.999</v>
      </c>
      <c r="Z97" s="4">
        <v>0.999</v>
      </c>
      <c r="AA97" s="4">
        <v>0.999</v>
      </c>
      <c r="AB97" s="4">
        <v>0.999</v>
      </c>
      <c r="AC97" s="4">
        <v>0.999</v>
      </c>
      <c r="AD97" s="4">
        <v>0.999</v>
      </c>
      <c r="AE97" s="4">
        <v>0.999</v>
      </c>
      <c r="AF97" s="4">
        <v>0.999</v>
      </c>
      <c r="AG97" s="4">
        <v>0.999</v>
      </c>
      <c r="AH97" s="46">
        <f t="shared" si="10"/>
        <v>95</v>
      </c>
      <c r="AI97" s="9">
        <f t="shared" si="6"/>
        <v>3.3917873657517345E-16</v>
      </c>
      <c r="AJ97" s="9">
        <f t="shared" si="7"/>
        <v>0.99899999999999911</v>
      </c>
      <c r="AK97" s="4">
        <f t="shared" si="8"/>
        <v>0.99899999999999967</v>
      </c>
      <c r="AL97" s="9">
        <f t="shared" si="9"/>
        <v>0.99900000000000022</v>
      </c>
    </row>
    <row r="98" spans="1:38">
      <c r="A98" s="34">
        <f>data4!L98</f>
        <v>1.5134529712668154E-4</v>
      </c>
      <c r="B98" s="4">
        <v>0.999</v>
      </c>
      <c r="C98" s="4"/>
      <c r="D98" s="4">
        <v>0.999</v>
      </c>
      <c r="E98" s="4"/>
      <c r="F98" s="4">
        <v>0.999</v>
      </c>
      <c r="G98" s="4"/>
      <c r="H98" s="4"/>
      <c r="I98" s="4">
        <v>0.999</v>
      </c>
      <c r="J98" s="4">
        <f>data1!B98</f>
        <v>0.999</v>
      </c>
      <c r="K98" s="4">
        <f>data1!C98</f>
        <v>0.999</v>
      </c>
      <c r="L98" s="4">
        <f>data1!D98</f>
        <v>0.999</v>
      </c>
      <c r="M98" s="4">
        <f>data1!E98</f>
        <v>0.999</v>
      </c>
      <c r="N98" s="4">
        <f>data1!F98</f>
        <v>0.999</v>
      </c>
      <c r="O98" s="4">
        <f>data1!G98</f>
        <v>0.999</v>
      </c>
      <c r="P98" s="4">
        <f>data1!H98</f>
        <v>0.999</v>
      </c>
      <c r="Q98" s="4">
        <f>data1!I98</f>
        <v>0.999</v>
      </c>
      <c r="R98" s="4">
        <f>data1!Z98</f>
        <v>0.999</v>
      </c>
      <c r="S98" s="4">
        <f>data1!AA98</f>
        <v>0.999</v>
      </c>
      <c r="T98" s="4">
        <f>data1!AB98</f>
        <v>0.999</v>
      </c>
      <c r="U98" s="4">
        <f>data1!AC98</f>
        <v>0.999</v>
      </c>
      <c r="V98" s="4">
        <f>data1!AD98</f>
        <v>0.999</v>
      </c>
      <c r="W98" s="4">
        <f>data1!AE98</f>
        <v>0.999</v>
      </c>
      <c r="X98" s="4">
        <f>data1!AF98</f>
        <v>0.999</v>
      </c>
      <c r="Y98" s="4">
        <f>data1!AG98</f>
        <v>0.999</v>
      </c>
      <c r="Z98" s="4">
        <v>0.999</v>
      </c>
      <c r="AA98" s="4">
        <v>0.999</v>
      </c>
      <c r="AB98" s="4">
        <v>0.999</v>
      </c>
      <c r="AC98" s="4">
        <v>0.999</v>
      </c>
      <c r="AD98" s="4">
        <v>0.999</v>
      </c>
      <c r="AE98" s="4">
        <v>0.999</v>
      </c>
      <c r="AF98" s="4">
        <v>0.999</v>
      </c>
      <c r="AG98" s="4">
        <v>0.999</v>
      </c>
      <c r="AH98" s="46">
        <f t="shared" si="10"/>
        <v>96</v>
      </c>
      <c r="AI98" s="9">
        <f t="shared" si="6"/>
        <v>3.3917873657517345E-16</v>
      </c>
      <c r="AJ98" s="9">
        <f t="shared" si="7"/>
        <v>0.99899999999999911</v>
      </c>
      <c r="AK98" s="4">
        <f t="shared" si="8"/>
        <v>0.99899999999999967</v>
      </c>
      <c r="AL98" s="9">
        <f t="shared" si="9"/>
        <v>0.99900000000000022</v>
      </c>
    </row>
    <row r="99" spans="1:38">
      <c r="A99" s="34">
        <f>data4!L99</f>
        <v>1.5367925334430765E-4</v>
      </c>
      <c r="B99" s="4">
        <v>0.999</v>
      </c>
      <c r="C99" s="4"/>
      <c r="D99" s="4">
        <v>0.999</v>
      </c>
      <c r="E99" s="4"/>
      <c r="F99" s="4">
        <v>0.999</v>
      </c>
      <c r="G99" s="4"/>
      <c r="H99" s="4"/>
      <c r="I99" s="4">
        <v>0.999</v>
      </c>
      <c r="J99" s="4">
        <f>data1!B99</f>
        <v>0.999</v>
      </c>
      <c r="K99" s="4">
        <f>data1!C99</f>
        <v>0.999</v>
      </c>
      <c r="L99" s="4">
        <f>data1!D99</f>
        <v>0.999</v>
      </c>
      <c r="M99" s="4">
        <f>data1!E99</f>
        <v>0.999</v>
      </c>
      <c r="N99" s="4">
        <f>data1!F99</f>
        <v>0.999</v>
      </c>
      <c r="O99" s="4">
        <f>data1!G99</f>
        <v>0.999</v>
      </c>
      <c r="P99" s="4">
        <f>data1!H99</f>
        <v>0.999</v>
      </c>
      <c r="Q99" s="4">
        <f>data1!I99</f>
        <v>0.999</v>
      </c>
      <c r="R99" s="4">
        <f>data1!Z99</f>
        <v>0.999</v>
      </c>
      <c r="S99" s="4">
        <f>data1!AA99</f>
        <v>0.999</v>
      </c>
      <c r="T99" s="4">
        <f>data1!AB99</f>
        <v>0.999</v>
      </c>
      <c r="U99" s="4">
        <f>data1!AC99</f>
        <v>0.999</v>
      </c>
      <c r="V99" s="4">
        <f>data1!AD99</f>
        <v>0.999</v>
      </c>
      <c r="W99" s="4">
        <f>data1!AE99</f>
        <v>0.999</v>
      </c>
      <c r="X99" s="4">
        <f>data1!AF99</f>
        <v>0.999</v>
      </c>
      <c r="Y99" s="4">
        <f>data1!AG99</f>
        <v>0.999</v>
      </c>
      <c r="Z99" s="4">
        <v>0.999</v>
      </c>
      <c r="AA99" s="4">
        <v>0.999</v>
      </c>
      <c r="AB99" s="4">
        <v>0.999</v>
      </c>
      <c r="AC99" s="4">
        <v>0.999</v>
      </c>
      <c r="AD99" s="4">
        <v>0.999</v>
      </c>
      <c r="AE99" s="4">
        <v>0.999</v>
      </c>
      <c r="AF99" s="4">
        <v>0.999</v>
      </c>
      <c r="AG99" s="4">
        <v>0.999</v>
      </c>
      <c r="AH99" s="46">
        <f t="shared" si="10"/>
        <v>97</v>
      </c>
      <c r="AI99" s="9">
        <f t="shared" si="6"/>
        <v>3.3917873657517345E-16</v>
      </c>
      <c r="AJ99" s="9">
        <f t="shared" si="7"/>
        <v>0.99899999999999911</v>
      </c>
      <c r="AK99" s="4">
        <f t="shared" si="8"/>
        <v>0.99899999999999967</v>
      </c>
      <c r="AL99" s="9">
        <f t="shared" si="9"/>
        <v>0.99900000000000022</v>
      </c>
    </row>
    <row r="100" spans="1:38">
      <c r="A100" s="34">
        <f>data4!L100</f>
        <v>1.55711590196006E-4</v>
      </c>
      <c r="B100" s="4">
        <v>0.999</v>
      </c>
      <c r="C100" s="4"/>
      <c r="D100" s="4">
        <v>0.999</v>
      </c>
      <c r="E100" s="4"/>
      <c r="F100" s="4">
        <v>0.999</v>
      </c>
      <c r="G100" s="4"/>
      <c r="H100" s="4"/>
      <c r="I100" s="4">
        <v>0.999</v>
      </c>
      <c r="J100" s="4">
        <f>data1!B100</f>
        <v>0.999</v>
      </c>
      <c r="K100" s="4">
        <f>data1!C100</f>
        <v>0.999</v>
      </c>
      <c r="L100" s="4">
        <f>data1!D100</f>
        <v>0.999</v>
      </c>
      <c r="M100" s="4">
        <f>data1!E100</f>
        <v>0.999</v>
      </c>
      <c r="N100" s="4">
        <f>data1!F100</f>
        <v>0.999</v>
      </c>
      <c r="O100" s="4">
        <f>data1!G100</f>
        <v>0.999</v>
      </c>
      <c r="P100" s="4">
        <f>data1!H100</f>
        <v>0.999</v>
      </c>
      <c r="Q100" s="4">
        <f>data1!I100</f>
        <v>0.999</v>
      </c>
      <c r="R100" s="4">
        <f>data1!Z100</f>
        <v>0.999</v>
      </c>
      <c r="S100" s="4">
        <f>data1!AA100</f>
        <v>0.999</v>
      </c>
      <c r="T100" s="4">
        <f>data1!AB100</f>
        <v>0.999</v>
      </c>
      <c r="U100" s="4">
        <f>data1!AC100</f>
        <v>0.999</v>
      </c>
      <c r="V100" s="4">
        <f>data1!AD100</f>
        <v>0.999</v>
      </c>
      <c r="W100" s="4">
        <f>data1!AE100</f>
        <v>0.999</v>
      </c>
      <c r="X100" s="4">
        <f>data1!AF100</f>
        <v>0.999</v>
      </c>
      <c r="Y100" s="4">
        <f>data1!AG100</f>
        <v>0.999</v>
      </c>
      <c r="Z100" s="4">
        <v>0.999</v>
      </c>
      <c r="AA100" s="4">
        <v>0.999</v>
      </c>
      <c r="AB100" s="4">
        <v>0.999</v>
      </c>
      <c r="AC100" s="4">
        <v>0.999</v>
      </c>
      <c r="AD100" s="4">
        <v>0.999</v>
      </c>
      <c r="AE100" s="4">
        <v>0.999</v>
      </c>
      <c r="AF100" s="4">
        <v>0.999</v>
      </c>
      <c r="AG100" s="4">
        <v>0.999</v>
      </c>
      <c r="AH100" s="46">
        <f t="shared" si="10"/>
        <v>98</v>
      </c>
      <c r="AI100" s="9">
        <f t="shared" si="6"/>
        <v>3.3917873657517345E-16</v>
      </c>
      <c r="AJ100" s="9">
        <f t="shared" si="7"/>
        <v>0.99899999999999911</v>
      </c>
      <c r="AK100" s="4">
        <f t="shared" si="8"/>
        <v>0.99899999999999967</v>
      </c>
      <c r="AL100" s="9">
        <f t="shared" si="9"/>
        <v>0.99900000000000022</v>
      </c>
    </row>
    <row r="101" spans="1:38">
      <c r="A101" s="34">
        <f>data4!L101</f>
        <v>1.5782292757648975E-4</v>
      </c>
      <c r="B101" s="4">
        <v>0.999</v>
      </c>
      <c r="C101" s="4"/>
      <c r="D101" s="4">
        <v>0.999</v>
      </c>
      <c r="E101" s="4"/>
      <c r="F101" s="4">
        <v>0.999</v>
      </c>
      <c r="G101" s="4"/>
      <c r="H101" s="4"/>
      <c r="I101" s="4">
        <v>0.999</v>
      </c>
      <c r="J101" s="4">
        <f>data1!B101</f>
        <v>0.999</v>
      </c>
      <c r="K101" s="4">
        <f>data1!C101</f>
        <v>0.999</v>
      </c>
      <c r="L101" s="4">
        <f>data1!D101</f>
        <v>0.999</v>
      </c>
      <c r="M101" s="4">
        <f>data1!E101</f>
        <v>0.999</v>
      </c>
      <c r="N101" s="4">
        <f>data1!F101</f>
        <v>0.999</v>
      </c>
      <c r="O101" s="4">
        <f>data1!G101</f>
        <v>0.999</v>
      </c>
      <c r="P101" s="4">
        <f>data1!H101</f>
        <v>0.999</v>
      </c>
      <c r="Q101" s="4">
        <f>data1!I101</f>
        <v>0.999</v>
      </c>
      <c r="R101" s="4">
        <f>data1!Z101</f>
        <v>0.999</v>
      </c>
      <c r="S101" s="4">
        <f>data1!AA101</f>
        <v>0.999</v>
      </c>
      <c r="T101" s="4">
        <f>data1!AB101</f>
        <v>0.999</v>
      </c>
      <c r="U101" s="4">
        <f>data1!AC101</f>
        <v>0.999</v>
      </c>
      <c r="V101" s="4">
        <f>data1!AD101</f>
        <v>0.999</v>
      </c>
      <c r="W101" s="4">
        <f>data1!AE101</f>
        <v>0.999</v>
      </c>
      <c r="X101" s="4">
        <f>data1!AF101</f>
        <v>0.999</v>
      </c>
      <c r="Y101" s="4">
        <f>data1!AG101</f>
        <v>0.999</v>
      </c>
      <c r="Z101" s="4">
        <v>0.999</v>
      </c>
      <c r="AA101" s="4">
        <v>0.999</v>
      </c>
      <c r="AB101" s="4">
        <v>0.999</v>
      </c>
      <c r="AC101" s="4">
        <v>0.999</v>
      </c>
      <c r="AD101" s="4">
        <v>0.999</v>
      </c>
      <c r="AE101" s="4">
        <v>0.999</v>
      </c>
      <c r="AF101" s="4">
        <v>0.999</v>
      </c>
      <c r="AG101" s="4">
        <v>0.999</v>
      </c>
      <c r="AH101" s="46">
        <f t="shared" si="10"/>
        <v>99</v>
      </c>
      <c r="AI101" s="9">
        <f t="shared" si="6"/>
        <v>3.3917873657517345E-16</v>
      </c>
      <c r="AJ101" s="9">
        <f t="shared" si="7"/>
        <v>0.99899999999999911</v>
      </c>
      <c r="AK101" s="4">
        <f t="shared" si="8"/>
        <v>0.99899999999999967</v>
      </c>
      <c r="AL101" s="9">
        <f t="shared" si="9"/>
        <v>0.99900000000000022</v>
      </c>
    </row>
    <row r="102" spans="1:38">
      <c r="A102" s="34">
        <f>data4!L102</f>
        <v>1.5788165364938322E-4</v>
      </c>
      <c r="B102" s="4">
        <v>0.999</v>
      </c>
      <c r="C102" s="4"/>
      <c r="D102" s="4">
        <v>0.999</v>
      </c>
      <c r="E102" s="4"/>
      <c r="F102" s="4">
        <v>0.999</v>
      </c>
      <c r="G102" s="4"/>
      <c r="H102" s="4"/>
      <c r="I102" s="4">
        <v>0.999</v>
      </c>
      <c r="J102" s="4">
        <f>data1!B102</f>
        <v>0.999</v>
      </c>
      <c r="K102" s="4">
        <f>data1!C102</f>
        <v>0.999</v>
      </c>
      <c r="L102" s="4">
        <f>data1!D102</f>
        <v>0.999</v>
      </c>
      <c r="M102" s="4">
        <f>data1!E102</f>
        <v>0.999</v>
      </c>
      <c r="N102" s="4">
        <f>data1!F102</f>
        <v>0.999</v>
      </c>
      <c r="O102" s="4">
        <f>data1!G102</f>
        <v>0.999</v>
      </c>
      <c r="P102" s="4">
        <f>data1!H102</f>
        <v>0.999</v>
      </c>
      <c r="Q102" s="4">
        <f>data1!I102</f>
        <v>0.999</v>
      </c>
      <c r="R102" s="4">
        <f>data1!Z102</f>
        <v>0.999</v>
      </c>
      <c r="S102" s="4">
        <f>data1!AA102</f>
        <v>0.999</v>
      </c>
      <c r="T102" s="4">
        <f>data1!AB102</f>
        <v>0.999</v>
      </c>
      <c r="U102" s="4">
        <f>data1!AC102</f>
        <v>0.999</v>
      </c>
      <c r="V102" s="4">
        <f>data1!AD102</f>
        <v>0.999</v>
      </c>
      <c r="W102" s="4">
        <f>data1!AE102</f>
        <v>0.999</v>
      </c>
      <c r="X102" s="4">
        <f>data1!AF102</f>
        <v>0.999</v>
      </c>
      <c r="Y102" s="4">
        <f>data1!AG102</f>
        <v>0.999</v>
      </c>
      <c r="Z102" s="4">
        <v>0.999</v>
      </c>
      <c r="AA102" s="4">
        <v>0.999</v>
      </c>
      <c r="AB102" s="4">
        <v>0.999</v>
      </c>
      <c r="AC102" s="4">
        <v>0.999</v>
      </c>
      <c r="AD102" s="4">
        <v>0.999</v>
      </c>
      <c r="AE102" s="4">
        <v>0.999</v>
      </c>
      <c r="AF102" s="4">
        <v>0.999</v>
      </c>
      <c r="AG102" s="4">
        <v>0.999</v>
      </c>
      <c r="AH102" s="46">
        <f t="shared" si="10"/>
        <v>100</v>
      </c>
      <c r="AI102" s="9">
        <f t="shared" si="6"/>
        <v>3.3917873657517345E-16</v>
      </c>
      <c r="AJ102" s="9">
        <f t="shared" si="7"/>
        <v>0.99899999999999911</v>
      </c>
      <c r="AK102" s="4">
        <f t="shared" si="8"/>
        <v>0.99899999999999967</v>
      </c>
      <c r="AL102" s="9">
        <f t="shared" si="9"/>
        <v>0.99900000000000022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G103"/>
  <sheetViews>
    <sheetView zoomScale="70" zoomScaleNormal="70" workbookViewId="0">
      <pane xSplit="7110" ySplit="6900" topLeftCell="S76" activePane="bottomLeft"/>
      <selection activeCell="B2" sqref="B2:AG2"/>
      <selection pane="topRight" activeCell="Z2" sqref="Z2:AG102"/>
      <selection pane="bottomLeft" activeCell="B103" sqref="B103:I103"/>
      <selection pane="bottomRight" activeCell="Z102" sqref="Z102:AG102"/>
    </sheetView>
  </sheetViews>
  <sheetFormatPr defaultRowHeight="15"/>
  <cols>
    <col min="1" max="1" width="9.140625" style="9"/>
  </cols>
  <sheetData>
    <row r="1" spans="1:33" s="9" customFormat="1">
      <c r="B1" s="9">
        <v>0</v>
      </c>
      <c r="C1" s="9">
        <f>B1+1</f>
        <v>1</v>
      </c>
      <c r="D1" s="9">
        <f t="shared" ref="D1:AG1" si="0">C1+1</f>
        <v>2</v>
      </c>
      <c r="E1" s="9">
        <f t="shared" si="0"/>
        <v>3</v>
      </c>
      <c r="F1" s="9">
        <f t="shared" si="0"/>
        <v>4</v>
      </c>
      <c r="G1" s="9">
        <f t="shared" si="0"/>
        <v>5</v>
      </c>
      <c r="H1" s="9">
        <f t="shared" si="0"/>
        <v>6</v>
      </c>
      <c r="I1" s="9">
        <f t="shared" si="0"/>
        <v>7</v>
      </c>
      <c r="J1" s="9">
        <f t="shared" si="0"/>
        <v>8</v>
      </c>
      <c r="K1" s="9">
        <f t="shared" si="0"/>
        <v>9</v>
      </c>
      <c r="L1" s="9">
        <f t="shared" si="0"/>
        <v>10</v>
      </c>
      <c r="M1" s="9">
        <f t="shared" si="0"/>
        <v>11</v>
      </c>
      <c r="N1" s="9">
        <f t="shared" si="0"/>
        <v>12</v>
      </c>
      <c r="O1" s="9">
        <f t="shared" si="0"/>
        <v>13</v>
      </c>
      <c r="P1" s="9">
        <f t="shared" si="0"/>
        <v>14</v>
      </c>
      <c r="Q1" s="9">
        <f t="shared" si="0"/>
        <v>15</v>
      </c>
      <c r="R1" s="9">
        <f t="shared" si="0"/>
        <v>16</v>
      </c>
      <c r="S1" s="9">
        <f t="shared" si="0"/>
        <v>17</v>
      </c>
      <c r="T1" s="9">
        <f t="shared" si="0"/>
        <v>18</v>
      </c>
      <c r="U1" s="9">
        <f t="shared" si="0"/>
        <v>19</v>
      </c>
      <c r="V1" s="9">
        <f t="shared" si="0"/>
        <v>20</v>
      </c>
      <c r="W1" s="9">
        <f t="shared" si="0"/>
        <v>21</v>
      </c>
      <c r="X1" s="9">
        <f t="shared" si="0"/>
        <v>22</v>
      </c>
      <c r="Y1" s="9">
        <f t="shared" si="0"/>
        <v>23</v>
      </c>
      <c r="Z1" s="9">
        <f t="shared" si="0"/>
        <v>24</v>
      </c>
      <c r="AA1" s="9">
        <f t="shared" si="0"/>
        <v>25</v>
      </c>
      <c r="AB1" s="9">
        <f t="shared" si="0"/>
        <v>26</v>
      </c>
      <c r="AC1" s="9">
        <f t="shared" si="0"/>
        <v>27</v>
      </c>
      <c r="AD1" s="9">
        <f t="shared" si="0"/>
        <v>28</v>
      </c>
      <c r="AE1" s="9">
        <f t="shared" si="0"/>
        <v>29</v>
      </c>
      <c r="AF1" s="9">
        <f t="shared" si="0"/>
        <v>30</v>
      </c>
      <c r="AG1" s="9">
        <f t="shared" si="0"/>
        <v>31</v>
      </c>
    </row>
    <row r="2" spans="1:33">
      <c r="A2" s="9">
        <v>0</v>
      </c>
      <c r="B2" s="9">
        <v>0</v>
      </c>
      <c r="C2" s="9">
        <v>0</v>
      </c>
      <c r="D2" s="9">
        <v>3.9215688593685627E-3</v>
      </c>
      <c r="E2" s="9">
        <v>3.9215688593685627E-3</v>
      </c>
      <c r="F2" s="9">
        <v>3.9215688593685627E-3</v>
      </c>
      <c r="G2" s="9">
        <v>0</v>
      </c>
      <c r="H2" s="9">
        <v>3.9215688593685627E-3</v>
      </c>
      <c r="I2" s="9">
        <v>0</v>
      </c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>
        <v>0</v>
      </c>
      <c r="AA2" s="9">
        <v>0</v>
      </c>
      <c r="AB2" s="9">
        <v>0</v>
      </c>
      <c r="AC2" s="9">
        <v>0</v>
      </c>
      <c r="AD2" s="9">
        <v>3.9215688593685627E-3</v>
      </c>
      <c r="AE2" s="9">
        <v>0</v>
      </c>
      <c r="AF2" s="9">
        <v>0</v>
      </c>
      <c r="AG2" s="9">
        <v>0</v>
      </c>
    </row>
    <row r="3" spans="1:33">
      <c r="A3" s="9">
        <f>A2+1</f>
        <v>1</v>
      </c>
      <c r="B3" s="9">
        <v>0</v>
      </c>
      <c r="C3" s="9">
        <v>0</v>
      </c>
      <c r="D3">
        <v>3.9215688593685627E-3</v>
      </c>
      <c r="E3">
        <v>3.9215688593685627E-3</v>
      </c>
      <c r="F3">
        <v>3.9215688593685627E-3</v>
      </c>
      <c r="G3">
        <v>0</v>
      </c>
      <c r="H3">
        <v>3.9215688593685627E-3</v>
      </c>
      <c r="I3">
        <v>0</v>
      </c>
      <c r="Z3">
        <v>0</v>
      </c>
      <c r="AA3">
        <v>0</v>
      </c>
      <c r="AB3">
        <v>0</v>
      </c>
      <c r="AC3">
        <v>0</v>
      </c>
      <c r="AD3">
        <v>3.9215688593685627E-3</v>
      </c>
      <c r="AE3">
        <v>0</v>
      </c>
      <c r="AF3">
        <v>0</v>
      </c>
      <c r="AG3">
        <v>0</v>
      </c>
    </row>
    <row r="4" spans="1:33">
      <c r="A4" s="9">
        <f t="shared" ref="A4:A67" si="1">A3+1</f>
        <v>2</v>
      </c>
      <c r="B4">
        <v>0</v>
      </c>
      <c r="C4">
        <v>0</v>
      </c>
      <c r="D4">
        <v>0</v>
      </c>
      <c r="E4">
        <v>3.9215688593685627E-3</v>
      </c>
      <c r="F4">
        <v>3.9215688593685627E-3</v>
      </c>
      <c r="G4">
        <v>3.9215688593685627E-3</v>
      </c>
      <c r="H4">
        <v>3.9215688593685627E-3</v>
      </c>
      <c r="I4">
        <v>0</v>
      </c>
      <c r="Z4">
        <v>3.9215688593685627E-3</v>
      </c>
      <c r="AA4">
        <v>3.9215688593685627E-3</v>
      </c>
      <c r="AB4">
        <v>0</v>
      </c>
      <c r="AC4">
        <v>0</v>
      </c>
      <c r="AD4">
        <v>3.9215688593685627E-3</v>
      </c>
      <c r="AE4">
        <v>3.9215688593685627E-3</v>
      </c>
      <c r="AF4">
        <v>0</v>
      </c>
      <c r="AG4">
        <v>3.9215688593685627E-3</v>
      </c>
    </row>
    <row r="5" spans="1:33">
      <c r="A5" s="9">
        <f t="shared" si="1"/>
        <v>3</v>
      </c>
      <c r="B5">
        <v>3.9215688593685627E-3</v>
      </c>
      <c r="C5">
        <v>0</v>
      </c>
      <c r="D5">
        <v>7.8431377187371254E-3</v>
      </c>
      <c r="E5">
        <v>3.9215688593685627E-3</v>
      </c>
      <c r="F5">
        <v>7.8431377187371254E-3</v>
      </c>
      <c r="G5">
        <v>3.9215688593685627E-3</v>
      </c>
      <c r="H5">
        <v>3.9215688593685627E-3</v>
      </c>
      <c r="I5">
        <v>3.9215688593685627E-3</v>
      </c>
      <c r="Z5">
        <v>3.9215688593685627E-3</v>
      </c>
      <c r="AA5">
        <v>7.8431377187371254E-3</v>
      </c>
      <c r="AB5">
        <v>0</v>
      </c>
      <c r="AC5">
        <v>0</v>
      </c>
      <c r="AD5">
        <v>3.9215688593685627E-3</v>
      </c>
      <c r="AE5">
        <v>3.9215688593685627E-3</v>
      </c>
      <c r="AF5">
        <v>0</v>
      </c>
      <c r="AG5">
        <v>3.9215688593685627E-3</v>
      </c>
    </row>
    <row r="6" spans="1:33">
      <c r="A6" s="9">
        <f t="shared" si="1"/>
        <v>4</v>
      </c>
      <c r="B6">
        <v>3.9215688593685627E-3</v>
      </c>
      <c r="C6">
        <v>3.9215688593685627E-3</v>
      </c>
      <c r="D6">
        <v>7.8431377187371254E-3</v>
      </c>
      <c r="E6">
        <v>1.1764706112444401E-2</v>
      </c>
      <c r="F6">
        <v>1.1764706112444401E-2</v>
      </c>
      <c r="G6">
        <v>7.8431377187371254E-3</v>
      </c>
      <c r="H6">
        <v>3.9215688593685627E-3</v>
      </c>
      <c r="I6">
        <v>3.9215688593685627E-3</v>
      </c>
      <c r="Z6">
        <v>7.8431377187371254E-3</v>
      </c>
      <c r="AA6">
        <v>1.1764706112444401E-2</v>
      </c>
      <c r="AB6">
        <v>0</v>
      </c>
      <c r="AC6">
        <v>3.9215688593685627E-3</v>
      </c>
      <c r="AD6">
        <v>1.1764706112444401E-2</v>
      </c>
      <c r="AE6">
        <v>1.1764706112444401E-2</v>
      </c>
      <c r="AF6">
        <v>3.9215688593685627E-3</v>
      </c>
      <c r="AG6">
        <v>7.8431377187371254E-3</v>
      </c>
    </row>
    <row r="7" spans="1:33">
      <c r="A7" s="9">
        <f t="shared" si="1"/>
        <v>5</v>
      </c>
      <c r="B7">
        <v>1.1764706112444401E-2</v>
      </c>
      <c r="C7">
        <v>1.1764706112444401E-2</v>
      </c>
      <c r="D7">
        <v>1.1764706112444401E-2</v>
      </c>
      <c r="E7">
        <v>7.8431377187371254E-3</v>
      </c>
      <c r="F7">
        <v>1.9607843831181526E-2</v>
      </c>
      <c r="G7">
        <v>1.1764706112444401E-2</v>
      </c>
      <c r="H7">
        <v>1.1764706112444401E-2</v>
      </c>
      <c r="I7">
        <v>1.1764706112444401E-2</v>
      </c>
      <c r="Z7">
        <v>1.1764706112444401E-2</v>
      </c>
      <c r="AA7">
        <v>1.9607843831181526E-2</v>
      </c>
      <c r="AB7">
        <v>3.9215688593685627E-3</v>
      </c>
      <c r="AC7">
        <v>7.8431377187371254E-3</v>
      </c>
      <c r="AD7">
        <v>1.1764706112444401E-2</v>
      </c>
      <c r="AE7">
        <v>1.1764706112444401E-2</v>
      </c>
      <c r="AF7">
        <v>1.1764706112444401E-2</v>
      </c>
      <c r="AG7">
        <v>1.1764706112444401E-2</v>
      </c>
    </row>
    <row r="8" spans="1:33">
      <c r="A8" s="9">
        <f t="shared" si="1"/>
        <v>6</v>
      </c>
      <c r="B8">
        <v>1.5686275437474251E-2</v>
      </c>
      <c r="C8">
        <v>1.9607843831181526E-2</v>
      </c>
      <c r="D8">
        <v>1.5686275437474251E-2</v>
      </c>
      <c r="E8">
        <v>1.9607843831181526E-2</v>
      </c>
      <c r="F8">
        <v>2.3529412224888802E-2</v>
      </c>
      <c r="G8">
        <v>1.5686275437474251E-2</v>
      </c>
      <c r="H8">
        <v>1.9607843831181526E-2</v>
      </c>
      <c r="I8">
        <v>1.5686275437474251E-2</v>
      </c>
      <c r="Z8">
        <v>1.9607843831181526E-2</v>
      </c>
      <c r="AA8">
        <v>1.5686275437474251E-2</v>
      </c>
      <c r="AB8">
        <v>1.1764706112444401E-2</v>
      </c>
      <c r="AC8">
        <v>1.5686275437474251E-2</v>
      </c>
      <c r="AD8">
        <v>1.9607843831181526E-2</v>
      </c>
      <c r="AE8">
        <v>1.9607843831181526E-2</v>
      </c>
      <c r="AF8">
        <v>1.5686275437474251E-2</v>
      </c>
      <c r="AG8">
        <v>1.9607843831181526E-2</v>
      </c>
    </row>
    <row r="9" spans="1:33">
      <c r="A9" s="9">
        <f t="shared" si="1"/>
        <v>7</v>
      </c>
      <c r="B9">
        <v>1.9607843831181526E-2</v>
      </c>
      <c r="C9">
        <v>1.9607843831181526E-2</v>
      </c>
      <c r="D9">
        <v>2.3529412224888802E-2</v>
      </c>
      <c r="E9">
        <v>2.3529412224888802E-2</v>
      </c>
      <c r="F9">
        <v>2.7450980618596077E-2</v>
      </c>
      <c r="G9">
        <v>2.3529412224888802E-2</v>
      </c>
      <c r="H9">
        <v>2.7450980618596077E-2</v>
      </c>
      <c r="I9">
        <v>1.9607843831181526E-2</v>
      </c>
      <c r="Z9">
        <v>2.7450980618596077E-2</v>
      </c>
      <c r="AA9">
        <v>2.7450980618596077E-2</v>
      </c>
      <c r="AB9">
        <v>1.9607843831181526E-2</v>
      </c>
      <c r="AC9">
        <v>1.9607843831181526E-2</v>
      </c>
      <c r="AD9">
        <v>2.7450980618596077E-2</v>
      </c>
      <c r="AE9">
        <v>2.7450980618596077E-2</v>
      </c>
      <c r="AF9">
        <v>1.9607843831181526E-2</v>
      </c>
      <c r="AG9">
        <v>2.7450980618596077E-2</v>
      </c>
    </row>
    <row r="10" spans="1:33">
      <c r="A10" s="9">
        <f t="shared" si="1"/>
        <v>8</v>
      </c>
      <c r="B10">
        <v>2.7450980618596077E-2</v>
      </c>
      <c r="C10">
        <v>2.7450980618596077E-2</v>
      </c>
      <c r="D10">
        <v>3.5294119268655777E-2</v>
      </c>
      <c r="E10">
        <v>3.5294119268655777E-2</v>
      </c>
      <c r="F10">
        <v>3.5294119268655777E-2</v>
      </c>
      <c r="G10">
        <v>2.7450980618596077E-2</v>
      </c>
      <c r="H10">
        <v>3.1372550874948502E-2</v>
      </c>
      <c r="I10">
        <v>2.7450980618596077E-2</v>
      </c>
      <c r="Z10">
        <v>3.5294119268655777E-2</v>
      </c>
      <c r="AA10">
        <v>3.5294119268655777E-2</v>
      </c>
      <c r="AB10">
        <v>2.7450980618596077E-2</v>
      </c>
      <c r="AC10">
        <v>2.7450980618596077E-2</v>
      </c>
      <c r="AD10">
        <v>3.5294119268655777E-2</v>
      </c>
      <c r="AE10">
        <v>3.5294119268655777E-2</v>
      </c>
      <c r="AF10">
        <v>2.7450980618596077E-2</v>
      </c>
      <c r="AG10">
        <v>3.5294119268655777E-2</v>
      </c>
    </row>
    <row r="11" spans="1:33">
      <c r="A11" s="9">
        <f t="shared" si="1"/>
        <v>9</v>
      </c>
      <c r="B11">
        <v>3.5294119268655777E-2</v>
      </c>
      <c r="C11">
        <v>3.5294119268655777E-2</v>
      </c>
      <c r="D11">
        <v>4.3137256056070328E-2</v>
      </c>
      <c r="E11">
        <v>4.3137256056070328E-2</v>
      </c>
      <c r="F11">
        <v>4.3137256056070328E-2</v>
      </c>
      <c r="G11">
        <v>3.5294119268655777E-2</v>
      </c>
      <c r="H11">
        <v>3.9215687662363052E-2</v>
      </c>
      <c r="I11">
        <v>3.5294119268655777E-2</v>
      </c>
      <c r="Z11">
        <v>4.3137256056070328E-2</v>
      </c>
      <c r="AA11">
        <v>4.3137256056070328E-2</v>
      </c>
      <c r="AB11">
        <v>3.5294119268655777E-2</v>
      </c>
      <c r="AC11">
        <v>3.1372550874948502E-2</v>
      </c>
      <c r="AD11">
        <v>4.3137256056070328E-2</v>
      </c>
      <c r="AE11">
        <v>4.3137256056070328E-2</v>
      </c>
      <c r="AF11">
        <v>3.5294119268655777E-2</v>
      </c>
      <c r="AG11">
        <v>4.3137256056070328E-2</v>
      </c>
    </row>
    <row r="12" spans="1:33">
      <c r="A12" s="9">
        <f t="shared" si="1"/>
        <v>10</v>
      </c>
      <c r="B12">
        <v>4.3137256056070328E-2</v>
      </c>
      <c r="C12">
        <v>5.0980392843484879E-2</v>
      </c>
      <c r="D12">
        <v>4.7058824449777603E-2</v>
      </c>
      <c r="E12">
        <v>5.0980392843484879E-2</v>
      </c>
      <c r="F12">
        <v>5.0980392843484879E-2</v>
      </c>
      <c r="G12">
        <v>4.3137256056070328E-2</v>
      </c>
      <c r="H12">
        <v>5.0980392843484879E-2</v>
      </c>
      <c r="I12">
        <v>4.3137256056070328E-2</v>
      </c>
      <c r="Z12">
        <v>5.0980392843484879E-2</v>
      </c>
      <c r="AA12">
        <v>5.0980392843484879E-2</v>
      </c>
      <c r="AB12">
        <v>4.3137256056070328E-2</v>
      </c>
      <c r="AC12">
        <v>4.3137256056070328E-2</v>
      </c>
      <c r="AD12">
        <v>5.0980392843484879E-2</v>
      </c>
      <c r="AE12">
        <v>5.0980392843484879E-2</v>
      </c>
      <c r="AF12">
        <v>4.3137256056070328E-2</v>
      </c>
      <c r="AG12">
        <v>5.0980392843484879E-2</v>
      </c>
    </row>
    <row r="13" spans="1:33">
      <c r="A13" s="9">
        <f t="shared" si="1"/>
        <v>11</v>
      </c>
      <c r="B13">
        <v>5.0980392843484879E-2</v>
      </c>
      <c r="C13">
        <v>5.0980392843484879E-2</v>
      </c>
      <c r="D13">
        <v>5.0980392843484879E-2</v>
      </c>
      <c r="E13">
        <v>5.4901961237192154E-2</v>
      </c>
      <c r="F13">
        <v>6.6666670143604279E-2</v>
      </c>
      <c r="G13">
        <v>5.8823529630899429E-2</v>
      </c>
      <c r="H13">
        <v>5.8823529630899429E-2</v>
      </c>
      <c r="I13">
        <v>5.8823529630899429E-2</v>
      </c>
      <c r="Z13">
        <v>5.8823529630899429E-2</v>
      </c>
      <c r="AA13">
        <v>6.2745101749897003E-2</v>
      </c>
      <c r="AB13">
        <v>5.0980392843484879E-2</v>
      </c>
      <c r="AC13">
        <v>5.0980392843484879E-2</v>
      </c>
      <c r="AD13">
        <v>5.8823529630899429E-2</v>
      </c>
      <c r="AE13">
        <v>5.8823529630899429E-2</v>
      </c>
      <c r="AF13">
        <v>5.4901961237192154E-2</v>
      </c>
      <c r="AG13">
        <v>6.2745101749897003E-2</v>
      </c>
    </row>
    <row r="14" spans="1:33">
      <c r="A14" s="9">
        <f t="shared" si="1"/>
        <v>12</v>
      </c>
      <c r="B14">
        <v>6.6666670143604279E-2</v>
      </c>
      <c r="C14">
        <v>6.6666670143604279E-2</v>
      </c>
      <c r="D14">
        <v>7.0588238537311554E-2</v>
      </c>
      <c r="E14">
        <v>6.6666670143604279E-2</v>
      </c>
      <c r="F14">
        <v>7.4509806931018829E-2</v>
      </c>
      <c r="G14">
        <v>6.2745101749897003E-2</v>
      </c>
      <c r="H14">
        <v>6.6666670143604279E-2</v>
      </c>
      <c r="I14">
        <v>6.6666670143604279E-2</v>
      </c>
      <c r="Z14">
        <v>7.0588238537311554E-2</v>
      </c>
      <c r="AA14">
        <v>7.4509806931018829E-2</v>
      </c>
      <c r="AB14">
        <v>5.8823529630899429E-2</v>
      </c>
      <c r="AC14">
        <v>6.2745101749897003E-2</v>
      </c>
      <c r="AD14">
        <v>7.4509806931018829E-2</v>
      </c>
      <c r="AE14">
        <v>6.6666670143604279E-2</v>
      </c>
      <c r="AF14">
        <v>6.6666670143604279E-2</v>
      </c>
      <c r="AG14">
        <v>7.4509806931018829E-2</v>
      </c>
    </row>
    <row r="15" spans="1:33">
      <c r="A15" s="9">
        <f t="shared" si="1"/>
        <v>13</v>
      </c>
      <c r="B15">
        <v>7.4509806931018829E-2</v>
      </c>
      <c r="C15">
        <v>7.4509806931018829E-2</v>
      </c>
      <c r="D15">
        <v>7.8431375324726105E-2</v>
      </c>
      <c r="E15">
        <v>8.235294371843338E-2</v>
      </c>
      <c r="F15">
        <v>8.235294371843338E-2</v>
      </c>
      <c r="G15">
        <v>7.4509806931018829E-2</v>
      </c>
      <c r="H15">
        <v>7.8431375324726105E-2</v>
      </c>
      <c r="I15">
        <v>7.4509806931018829E-2</v>
      </c>
      <c r="Z15">
        <v>8.235294371843338E-2</v>
      </c>
      <c r="AA15">
        <v>8.235294371843338E-2</v>
      </c>
      <c r="AB15">
        <v>7.0588238537311554E-2</v>
      </c>
      <c r="AC15">
        <v>7.0588238537311554E-2</v>
      </c>
      <c r="AD15">
        <v>8.235294371843338E-2</v>
      </c>
      <c r="AE15">
        <v>7.8431375324726105E-2</v>
      </c>
      <c r="AF15">
        <v>7.8431375324726105E-2</v>
      </c>
      <c r="AG15">
        <v>8.235294371843338E-2</v>
      </c>
    </row>
    <row r="16" spans="1:33">
      <c r="A16" s="9">
        <f t="shared" si="1"/>
        <v>14</v>
      </c>
      <c r="B16">
        <v>8.6274512112140656E-2</v>
      </c>
      <c r="C16">
        <v>8.6274512112140656E-2</v>
      </c>
      <c r="D16">
        <v>9.0196080505847931E-2</v>
      </c>
      <c r="E16">
        <v>8.235294371843338E-2</v>
      </c>
      <c r="F16">
        <v>9.8039217293262482E-2</v>
      </c>
      <c r="G16">
        <v>8.6274512112140656E-2</v>
      </c>
      <c r="H16">
        <v>9.0196080505847931E-2</v>
      </c>
      <c r="I16">
        <v>9.0196080505847931E-2</v>
      </c>
      <c r="Z16">
        <v>9.0196080505847931E-2</v>
      </c>
      <c r="AA16">
        <v>9.4117648899555206E-2</v>
      </c>
      <c r="AB16">
        <v>8.235294371843338E-2</v>
      </c>
      <c r="AC16">
        <v>8.235294371843338E-2</v>
      </c>
      <c r="AD16">
        <v>9.4117648899555206E-2</v>
      </c>
      <c r="AE16">
        <v>9.0196080505847931E-2</v>
      </c>
      <c r="AF16">
        <v>9.0196080505847931E-2</v>
      </c>
      <c r="AG16">
        <v>9.8039217293262482E-2</v>
      </c>
    </row>
    <row r="17" spans="1:33">
      <c r="A17" s="9">
        <f t="shared" si="1"/>
        <v>15</v>
      </c>
      <c r="B17">
        <v>9.8039217293262482E-2</v>
      </c>
      <c r="C17">
        <v>9.8039217293262482E-2</v>
      </c>
      <c r="D17">
        <v>9.4117648899555206E-2</v>
      </c>
      <c r="E17">
        <v>9.8039217293262482E-2</v>
      </c>
      <c r="F17">
        <v>0.10588235408067703</v>
      </c>
      <c r="G17">
        <v>9.8039217293262482E-2</v>
      </c>
      <c r="H17">
        <v>9.8039217293262482E-2</v>
      </c>
      <c r="I17">
        <v>9.8039217293262482E-2</v>
      </c>
      <c r="Z17">
        <v>0.10588235408067703</v>
      </c>
      <c r="AA17">
        <v>0.10196078568696976</v>
      </c>
      <c r="AB17">
        <v>9.0196080505847931E-2</v>
      </c>
      <c r="AC17">
        <v>9.0196080505847931E-2</v>
      </c>
      <c r="AD17">
        <v>0.10588235408067703</v>
      </c>
      <c r="AE17">
        <v>0.10196078568696976</v>
      </c>
      <c r="AF17">
        <v>9.8039217293262482E-2</v>
      </c>
      <c r="AG17">
        <v>0.10980392247438431</v>
      </c>
    </row>
    <row r="18" spans="1:33">
      <c r="A18" s="9">
        <f t="shared" si="1"/>
        <v>16</v>
      </c>
      <c r="B18">
        <v>0.10588235408067703</v>
      </c>
      <c r="C18">
        <v>0.10588235408067703</v>
      </c>
      <c r="D18">
        <v>0.10980392247438431</v>
      </c>
      <c r="E18">
        <v>0.10980392247438431</v>
      </c>
      <c r="F18">
        <v>0.12156862765550613</v>
      </c>
      <c r="G18">
        <v>0.10980392247438431</v>
      </c>
      <c r="H18">
        <v>0.10980392247438431</v>
      </c>
      <c r="I18">
        <v>0.11372549086809158</v>
      </c>
      <c r="Z18">
        <v>0.11764705926179886</v>
      </c>
      <c r="AA18">
        <v>0.12156862765550613</v>
      </c>
      <c r="AB18">
        <v>0.10588235408067703</v>
      </c>
      <c r="AC18">
        <v>0.10588235408067703</v>
      </c>
      <c r="AD18">
        <v>0.11764705926179886</v>
      </c>
      <c r="AE18">
        <v>0.11372549086809158</v>
      </c>
      <c r="AF18">
        <v>0.11372549086809158</v>
      </c>
      <c r="AG18">
        <v>0.12156862765550613</v>
      </c>
    </row>
    <row r="19" spans="1:33">
      <c r="A19" s="9">
        <f t="shared" si="1"/>
        <v>17</v>
      </c>
      <c r="B19">
        <v>0.12156862765550613</v>
      </c>
      <c r="C19">
        <v>0.12156862765550613</v>
      </c>
      <c r="D19">
        <v>0.12941177189350128</v>
      </c>
      <c r="E19">
        <v>0.12549020349979401</v>
      </c>
      <c r="F19">
        <v>0.13333334028720856</v>
      </c>
      <c r="G19">
        <v>0.11764705926179886</v>
      </c>
      <c r="H19">
        <v>0.12549020349979401</v>
      </c>
      <c r="I19">
        <v>0.12549020349979401</v>
      </c>
      <c r="Z19">
        <v>0.12941177189350128</v>
      </c>
      <c r="AA19">
        <v>0.13333334028720856</v>
      </c>
      <c r="AB19">
        <v>0.11372549086809158</v>
      </c>
      <c r="AC19">
        <v>0.11764705926179886</v>
      </c>
      <c r="AD19">
        <v>0.13333334028720856</v>
      </c>
      <c r="AE19">
        <v>0.12549020349979401</v>
      </c>
      <c r="AF19">
        <v>0.12549020349979401</v>
      </c>
      <c r="AG19">
        <v>0.13725490868091583</v>
      </c>
    </row>
    <row r="20" spans="1:33">
      <c r="A20" s="9">
        <f t="shared" si="1"/>
        <v>18</v>
      </c>
      <c r="B20">
        <v>0.13333334028720856</v>
      </c>
      <c r="C20">
        <v>0.13333334028720856</v>
      </c>
      <c r="D20">
        <v>0.14117647707462311</v>
      </c>
      <c r="E20">
        <v>0.13333334028720856</v>
      </c>
      <c r="F20">
        <v>0.14509804546833038</v>
      </c>
      <c r="G20">
        <v>0.13333334028720856</v>
      </c>
      <c r="H20">
        <v>0.13725490868091583</v>
      </c>
      <c r="I20">
        <v>0.13725490868091583</v>
      </c>
      <c r="Z20">
        <v>0.14509804546833038</v>
      </c>
      <c r="AA20">
        <v>0.14117647707462311</v>
      </c>
      <c r="AB20">
        <v>0.13333334028720856</v>
      </c>
      <c r="AC20">
        <v>0.12941177189350128</v>
      </c>
      <c r="AD20">
        <v>0.14509804546833038</v>
      </c>
      <c r="AE20">
        <v>0.13725490868091583</v>
      </c>
      <c r="AF20">
        <v>0.13725490868091583</v>
      </c>
      <c r="AG20">
        <v>0.14901961386203766</v>
      </c>
    </row>
    <row r="21" spans="1:33">
      <c r="A21" s="9">
        <f t="shared" si="1"/>
        <v>19</v>
      </c>
      <c r="B21">
        <v>0.14509804546833038</v>
      </c>
      <c r="C21">
        <v>0.14117647707462311</v>
      </c>
      <c r="D21">
        <v>0.14901961386203766</v>
      </c>
      <c r="E21">
        <v>0.15294118225574493</v>
      </c>
      <c r="F21">
        <v>0.16078431904315948</v>
      </c>
      <c r="G21">
        <v>0.14509804546833038</v>
      </c>
      <c r="H21">
        <v>0.15294118225574493</v>
      </c>
      <c r="I21">
        <v>0.15294118225574493</v>
      </c>
      <c r="Z21">
        <v>0.16078431904315948</v>
      </c>
      <c r="AA21">
        <v>0.15686275064945221</v>
      </c>
      <c r="AB21">
        <v>0.14117647707462311</v>
      </c>
      <c r="AC21">
        <v>0.14509804546833038</v>
      </c>
      <c r="AD21">
        <v>0.16078431904315948</v>
      </c>
      <c r="AE21">
        <v>0.15294118225574493</v>
      </c>
      <c r="AF21">
        <v>0.15294118225574493</v>
      </c>
      <c r="AG21">
        <v>0.16470588743686676</v>
      </c>
    </row>
    <row r="22" spans="1:33">
      <c r="A22" s="9">
        <f t="shared" si="1"/>
        <v>20</v>
      </c>
      <c r="B22">
        <v>0.16078431904315948</v>
      </c>
      <c r="C22">
        <v>0.15294118225574493</v>
      </c>
      <c r="D22">
        <v>0.16470588743686676</v>
      </c>
      <c r="E22">
        <v>0.16862745583057404</v>
      </c>
      <c r="F22">
        <v>0.17647059261798859</v>
      </c>
      <c r="G22">
        <v>0.16078431904315948</v>
      </c>
      <c r="H22">
        <v>0.16862745583057404</v>
      </c>
      <c r="I22">
        <v>0.16470588743686676</v>
      </c>
      <c r="Z22">
        <v>0.17254902422428131</v>
      </c>
      <c r="AA22">
        <v>0.17254902422428131</v>
      </c>
      <c r="AB22">
        <v>0.15686275064945221</v>
      </c>
      <c r="AC22">
        <v>0.16078431904315948</v>
      </c>
      <c r="AD22">
        <v>0.17647059261798859</v>
      </c>
      <c r="AE22">
        <v>0.16862745583057404</v>
      </c>
      <c r="AF22">
        <v>0.16862745583057404</v>
      </c>
      <c r="AG22">
        <v>0.18039216101169586</v>
      </c>
    </row>
    <row r="23" spans="1:33">
      <c r="A23" s="9">
        <f t="shared" si="1"/>
        <v>21</v>
      </c>
      <c r="B23">
        <v>0.17254902422428131</v>
      </c>
      <c r="C23">
        <v>0.16862745583057404</v>
      </c>
      <c r="D23">
        <v>0.18039216101169586</v>
      </c>
      <c r="E23">
        <v>0.18039216101169586</v>
      </c>
      <c r="F23">
        <v>0.18823529779911041</v>
      </c>
      <c r="G23">
        <v>0.17647059261798859</v>
      </c>
      <c r="H23">
        <v>0.18039216101169586</v>
      </c>
      <c r="I23">
        <v>0.18039216101169586</v>
      </c>
      <c r="Z23">
        <v>0.18823529779911041</v>
      </c>
      <c r="AA23">
        <v>0.18823529779911041</v>
      </c>
      <c r="AB23">
        <v>0.16862745583057404</v>
      </c>
      <c r="AC23">
        <v>0.17254902422428131</v>
      </c>
      <c r="AD23">
        <v>0.19215686619281769</v>
      </c>
      <c r="AE23">
        <v>0.18431372940540314</v>
      </c>
      <c r="AF23">
        <v>0.18039216101169586</v>
      </c>
      <c r="AG23">
        <v>0.19607843458652496</v>
      </c>
    </row>
    <row r="24" spans="1:33">
      <c r="A24" s="9">
        <f t="shared" si="1"/>
        <v>22</v>
      </c>
      <c r="B24">
        <v>0.18823529779911041</v>
      </c>
      <c r="C24">
        <v>0.18823529779911041</v>
      </c>
      <c r="D24">
        <v>0.19607843458652496</v>
      </c>
      <c r="E24">
        <v>0.19607843458652496</v>
      </c>
      <c r="F24">
        <v>0.20392157137393951</v>
      </c>
      <c r="G24">
        <v>0.18823529779911041</v>
      </c>
      <c r="H24">
        <v>0.19607843458652496</v>
      </c>
      <c r="I24">
        <v>0.19607843458652496</v>
      </c>
      <c r="Z24">
        <v>0.20392157137393951</v>
      </c>
      <c r="AA24">
        <v>0.20392157137393951</v>
      </c>
      <c r="AB24">
        <v>0.18431372940540314</v>
      </c>
      <c r="AC24">
        <v>0.18823529779911041</v>
      </c>
      <c r="AD24">
        <v>0.20784313976764679</v>
      </c>
      <c r="AE24">
        <v>0.19607843458652496</v>
      </c>
      <c r="AF24">
        <v>0.19607843458652496</v>
      </c>
      <c r="AG24">
        <v>0.21176470816135406</v>
      </c>
    </row>
    <row r="25" spans="1:33">
      <c r="A25" s="9">
        <f t="shared" si="1"/>
        <v>23</v>
      </c>
      <c r="B25">
        <v>0.20000000298023224</v>
      </c>
      <c r="C25">
        <v>0.20000000298023224</v>
      </c>
      <c r="D25">
        <v>0.21176470816135406</v>
      </c>
      <c r="E25">
        <v>0.21176470816135406</v>
      </c>
      <c r="F25">
        <v>0.21960784494876862</v>
      </c>
      <c r="G25">
        <v>0.20392157137393951</v>
      </c>
      <c r="H25">
        <v>0.21176470816135406</v>
      </c>
      <c r="I25">
        <v>0.21176470816135406</v>
      </c>
      <c r="Z25">
        <v>0.21960784494876862</v>
      </c>
      <c r="AA25">
        <v>0.21568627655506134</v>
      </c>
      <c r="AB25">
        <v>0.20000000298023224</v>
      </c>
      <c r="AC25">
        <v>0.20784313976764679</v>
      </c>
      <c r="AD25">
        <v>0.22352941334247589</v>
      </c>
      <c r="AE25">
        <v>0.21176470816135406</v>
      </c>
      <c r="AF25">
        <v>0.21176470816135406</v>
      </c>
      <c r="AG25">
        <v>0.22745098173618317</v>
      </c>
    </row>
    <row r="26" spans="1:33">
      <c r="A26" s="9">
        <f t="shared" si="1"/>
        <v>24</v>
      </c>
      <c r="B26">
        <v>0.21960784494876862</v>
      </c>
      <c r="C26">
        <v>0.21176470816135406</v>
      </c>
      <c r="D26">
        <v>0.21960784494876862</v>
      </c>
      <c r="E26">
        <v>0.22745098173618317</v>
      </c>
      <c r="F26">
        <v>0.23529411852359772</v>
      </c>
      <c r="G26">
        <v>0.21568627655506134</v>
      </c>
      <c r="H26">
        <v>0.22745098173618317</v>
      </c>
      <c r="I26">
        <v>0.22745098173618317</v>
      </c>
      <c r="Z26">
        <v>0.23529411852359772</v>
      </c>
      <c r="AA26">
        <v>0.23529411852359772</v>
      </c>
      <c r="AB26">
        <v>0.21568627655506134</v>
      </c>
      <c r="AC26">
        <v>0.21960784494876862</v>
      </c>
      <c r="AD26">
        <v>0.23921568691730499</v>
      </c>
      <c r="AE26">
        <v>0.22745098173618317</v>
      </c>
      <c r="AF26">
        <v>0.22745098173618317</v>
      </c>
      <c r="AG26">
        <v>0.24313725531101227</v>
      </c>
    </row>
    <row r="27" spans="1:33">
      <c r="A27" s="9">
        <f t="shared" si="1"/>
        <v>25</v>
      </c>
      <c r="B27">
        <v>0.23529411852359772</v>
      </c>
      <c r="C27">
        <v>0.22745098173618317</v>
      </c>
      <c r="D27">
        <v>0.24313725531101227</v>
      </c>
      <c r="E27">
        <v>0.24313725531101227</v>
      </c>
      <c r="F27">
        <v>0.25098040699958801</v>
      </c>
      <c r="G27">
        <v>0.23529411852359772</v>
      </c>
      <c r="H27">
        <v>0.24313725531101227</v>
      </c>
      <c r="I27">
        <v>0.24313725531101227</v>
      </c>
      <c r="Z27">
        <v>0.25490197539329529</v>
      </c>
      <c r="AA27">
        <v>0.25098040699958801</v>
      </c>
      <c r="AB27">
        <v>0.23137255012989044</v>
      </c>
      <c r="AC27">
        <v>0.23529411852359772</v>
      </c>
      <c r="AD27">
        <v>0.25882354378700256</v>
      </c>
      <c r="AE27">
        <v>0.24313725531101227</v>
      </c>
      <c r="AF27">
        <v>0.24313725531101227</v>
      </c>
      <c r="AG27">
        <v>0.26666668057441711</v>
      </c>
    </row>
    <row r="28" spans="1:33">
      <c r="A28" s="9">
        <f t="shared" si="1"/>
        <v>26</v>
      </c>
      <c r="B28">
        <v>0.25098040699958801</v>
      </c>
      <c r="C28">
        <v>0.24705882370471954</v>
      </c>
      <c r="D28">
        <v>0.26274511218070984</v>
      </c>
      <c r="E28">
        <v>0.26274511218070984</v>
      </c>
      <c r="F28">
        <v>0.27058824896812439</v>
      </c>
      <c r="G28">
        <v>0.25490197539329529</v>
      </c>
      <c r="H28">
        <v>0.25490197539329529</v>
      </c>
      <c r="I28">
        <v>0.25882354378700256</v>
      </c>
      <c r="Z28">
        <v>0.27450981736183167</v>
      </c>
      <c r="AA28">
        <v>0.27058824896812439</v>
      </c>
      <c r="AB28">
        <v>0.25098040699958801</v>
      </c>
      <c r="AC28">
        <v>0.25098040699958801</v>
      </c>
      <c r="AD28">
        <v>0.27450981736183167</v>
      </c>
      <c r="AE28">
        <v>0.26274511218070984</v>
      </c>
      <c r="AF28">
        <v>0.26274511218070984</v>
      </c>
      <c r="AG28">
        <v>0.28235295414924622</v>
      </c>
    </row>
    <row r="29" spans="1:33">
      <c r="A29" s="9">
        <f t="shared" si="1"/>
        <v>27</v>
      </c>
      <c r="B29">
        <v>0.26666668057441711</v>
      </c>
      <c r="C29">
        <v>0.26666668057441711</v>
      </c>
      <c r="D29">
        <v>0.27843138575553894</v>
      </c>
      <c r="E29">
        <v>0.27450981736183167</v>
      </c>
      <c r="F29">
        <v>0.29019609093666077</v>
      </c>
      <c r="G29">
        <v>0.27058824896812439</v>
      </c>
      <c r="H29">
        <v>0.28235295414924622</v>
      </c>
      <c r="I29">
        <v>0.27843138575553894</v>
      </c>
      <c r="Z29">
        <v>0.29019609093666077</v>
      </c>
      <c r="AA29">
        <v>0.28627452254295349</v>
      </c>
      <c r="AB29">
        <v>0.26666668057441711</v>
      </c>
      <c r="AC29">
        <v>0.27058824896812439</v>
      </c>
      <c r="AD29">
        <v>0.29411765933036804</v>
      </c>
      <c r="AE29">
        <v>0.28235295414924622</v>
      </c>
      <c r="AF29">
        <v>0.27843138575553894</v>
      </c>
      <c r="AG29">
        <v>0.29803922772407532</v>
      </c>
    </row>
    <row r="30" spans="1:33">
      <c r="A30" s="9">
        <f t="shared" si="1"/>
        <v>28</v>
      </c>
      <c r="B30">
        <v>0.28627452254295349</v>
      </c>
      <c r="C30">
        <v>0.28235295414924622</v>
      </c>
      <c r="D30">
        <v>0.29803922772407532</v>
      </c>
      <c r="E30">
        <v>0.29411765933036804</v>
      </c>
      <c r="F30">
        <v>0.30588236451148987</v>
      </c>
      <c r="G30">
        <v>0.29019609093666077</v>
      </c>
      <c r="H30">
        <v>0.29803922772407532</v>
      </c>
      <c r="I30">
        <v>0.29803922772407532</v>
      </c>
      <c r="Z30">
        <v>0.30980393290519714</v>
      </c>
      <c r="AA30">
        <v>0.30588236451148987</v>
      </c>
      <c r="AB30">
        <v>0.28627452254295349</v>
      </c>
      <c r="AC30">
        <v>0.29019609093666077</v>
      </c>
      <c r="AD30">
        <v>0.31372550129890442</v>
      </c>
      <c r="AE30">
        <v>0.29803922772407532</v>
      </c>
      <c r="AF30">
        <v>0.29803922772407532</v>
      </c>
      <c r="AG30">
        <v>0.31764706969261169</v>
      </c>
    </row>
    <row r="31" spans="1:33">
      <c r="A31" s="9">
        <f t="shared" si="1"/>
        <v>29</v>
      </c>
      <c r="B31">
        <v>0.30588236451148987</v>
      </c>
      <c r="C31">
        <v>0.29803922772407532</v>
      </c>
      <c r="D31">
        <v>0.30980393290519714</v>
      </c>
      <c r="E31">
        <v>0.31372550129890442</v>
      </c>
      <c r="F31">
        <v>0.32941177487373352</v>
      </c>
      <c r="G31">
        <v>0.30588236451148987</v>
      </c>
      <c r="H31">
        <v>0.31372550129890442</v>
      </c>
      <c r="I31">
        <v>0.31372550129890442</v>
      </c>
      <c r="Z31">
        <v>0.32941177487373352</v>
      </c>
      <c r="AA31">
        <v>0.32156863808631897</v>
      </c>
      <c r="AB31">
        <v>0.30588236451148987</v>
      </c>
      <c r="AC31">
        <v>0.30588236451148987</v>
      </c>
      <c r="AD31">
        <v>0.32941177487373352</v>
      </c>
      <c r="AE31">
        <v>0.31372550129890442</v>
      </c>
      <c r="AF31">
        <v>0.32156863808631897</v>
      </c>
      <c r="AG31">
        <v>0.33725491166114807</v>
      </c>
    </row>
    <row r="32" spans="1:33">
      <c r="A32" s="9">
        <f t="shared" si="1"/>
        <v>30</v>
      </c>
      <c r="B32">
        <v>0.32156863808631897</v>
      </c>
      <c r="C32">
        <v>0.32156863808631897</v>
      </c>
      <c r="D32">
        <v>0.33725491166114807</v>
      </c>
      <c r="E32">
        <v>0.33725491166114807</v>
      </c>
      <c r="F32">
        <v>0.34509804844856262</v>
      </c>
      <c r="G32">
        <v>0.32549020648002625</v>
      </c>
      <c r="H32">
        <v>0.33725491166114807</v>
      </c>
      <c r="I32">
        <v>0.33725491166114807</v>
      </c>
      <c r="Z32">
        <v>0.34509804844856262</v>
      </c>
      <c r="AA32">
        <v>0.34509804844856262</v>
      </c>
      <c r="AB32">
        <v>0.32156863808631897</v>
      </c>
      <c r="AC32">
        <v>0.32941177487373352</v>
      </c>
      <c r="AD32">
        <v>0.35294118523597717</v>
      </c>
      <c r="AE32">
        <v>0.33725491166114807</v>
      </c>
      <c r="AF32">
        <v>0.33725491166114807</v>
      </c>
      <c r="AG32">
        <v>0.36078432202339172</v>
      </c>
    </row>
    <row r="33" spans="1:33">
      <c r="A33" s="9">
        <f t="shared" si="1"/>
        <v>31</v>
      </c>
      <c r="B33">
        <v>0.33725491166114807</v>
      </c>
      <c r="C33">
        <v>0.33725491166114807</v>
      </c>
      <c r="D33">
        <v>0.35294118523597717</v>
      </c>
      <c r="E33">
        <v>0.35294118523597717</v>
      </c>
      <c r="F33">
        <v>0.36862745881080627</v>
      </c>
      <c r="G33">
        <v>0.34509804844856262</v>
      </c>
      <c r="H33">
        <v>0.35294118523597717</v>
      </c>
      <c r="I33">
        <v>0.35294118523597717</v>
      </c>
      <c r="Z33">
        <v>0.36862745881080627</v>
      </c>
      <c r="AA33">
        <v>0.36078432202339172</v>
      </c>
      <c r="AB33">
        <v>0.34509804844856262</v>
      </c>
      <c r="AC33">
        <v>0.34509804844856262</v>
      </c>
      <c r="AD33">
        <v>0.36862745881080627</v>
      </c>
      <c r="AE33">
        <v>0.35686275362968445</v>
      </c>
      <c r="AF33">
        <v>0.35294118523597717</v>
      </c>
      <c r="AG33">
        <v>0.37647059559822083</v>
      </c>
    </row>
    <row r="34" spans="1:33">
      <c r="A34" s="9">
        <f t="shared" si="1"/>
        <v>32</v>
      </c>
      <c r="B34">
        <v>0.36078432202339172</v>
      </c>
      <c r="C34">
        <v>0.35686275362968445</v>
      </c>
      <c r="D34">
        <v>0.37647059559822083</v>
      </c>
      <c r="E34">
        <v>0.36862745881080627</v>
      </c>
      <c r="F34">
        <v>0.38431373238563538</v>
      </c>
      <c r="G34">
        <v>0.364705890417099</v>
      </c>
      <c r="H34">
        <v>0.37254902720451355</v>
      </c>
      <c r="I34">
        <v>0.37647059559822083</v>
      </c>
      <c r="Z34">
        <v>0.38431373238563538</v>
      </c>
      <c r="AA34">
        <v>0.38431373238563538</v>
      </c>
      <c r="AB34">
        <v>0.36078432202339172</v>
      </c>
      <c r="AC34">
        <v>0.364705890417099</v>
      </c>
      <c r="AD34">
        <v>0.39215686917304993</v>
      </c>
      <c r="AE34">
        <v>0.37647059559822083</v>
      </c>
      <c r="AF34">
        <v>0.37647059559822083</v>
      </c>
      <c r="AG34">
        <v>0.40000000596046448</v>
      </c>
    </row>
    <row r="35" spans="1:33">
      <c r="A35" s="9">
        <f t="shared" si="1"/>
        <v>33</v>
      </c>
      <c r="B35">
        <v>0.37647059559822083</v>
      </c>
      <c r="C35">
        <v>0.37254902720451355</v>
      </c>
      <c r="D35">
        <v>0.38431373238563538</v>
      </c>
      <c r="E35">
        <v>0.39215686917304993</v>
      </c>
      <c r="F35">
        <v>0.40784314274787903</v>
      </c>
      <c r="G35">
        <v>0.38431373238563538</v>
      </c>
      <c r="H35">
        <v>0.39215686917304993</v>
      </c>
      <c r="I35">
        <v>0.3960784375667572</v>
      </c>
      <c r="Z35">
        <v>0.40784314274787903</v>
      </c>
      <c r="AA35">
        <v>0.40000000596046448</v>
      </c>
      <c r="AB35">
        <v>0.37647059559822083</v>
      </c>
      <c r="AC35">
        <v>0.38431373238563538</v>
      </c>
      <c r="AD35">
        <v>0.41568627953529358</v>
      </c>
      <c r="AE35">
        <v>0.39215686917304993</v>
      </c>
      <c r="AF35">
        <v>0.40000000596046448</v>
      </c>
      <c r="AG35">
        <v>0.42352941632270813</v>
      </c>
    </row>
    <row r="36" spans="1:33">
      <c r="A36" s="9">
        <f t="shared" si="1"/>
        <v>34</v>
      </c>
      <c r="B36">
        <v>0.40000000596046448</v>
      </c>
      <c r="C36">
        <v>0.3960784375667572</v>
      </c>
      <c r="D36">
        <v>0.41568627953529358</v>
      </c>
      <c r="E36">
        <v>0.4117647111415863</v>
      </c>
      <c r="F36">
        <v>0.42745098471641541</v>
      </c>
      <c r="G36">
        <v>0.40784314274787903</v>
      </c>
      <c r="H36">
        <v>0.4117647111415863</v>
      </c>
      <c r="I36">
        <v>0.41568627953529358</v>
      </c>
      <c r="Z36">
        <v>0.43137255311012268</v>
      </c>
      <c r="AA36">
        <v>0.42352941632270813</v>
      </c>
      <c r="AB36">
        <v>0.40784314274787903</v>
      </c>
      <c r="AC36">
        <v>0.40784314274787903</v>
      </c>
      <c r="AD36">
        <v>0.43529412150382996</v>
      </c>
      <c r="AE36">
        <v>0.41568627953529358</v>
      </c>
      <c r="AF36">
        <v>0.42352941632270813</v>
      </c>
      <c r="AG36">
        <v>0.43921568989753723</v>
      </c>
    </row>
    <row r="37" spans="1:33">
      <c r="A37" s="9">
        <f t="shared" si="1"/>
        <v>35</v>
      </c>
      <c r="B37">
        <v>0.41960784792900085</v>
      </c>
      <c r="C37">
        <v>0.42352941632270813</v>
      </c>
      <c r="D37">
        <v>0.43137255311012268</v>
      </c>
      <c r="E37">
        <v>0.43137255311012268</v>
      </c>
      <c r="F37">
        <v>0.44705882668495178</v>
      </c>
      <c r="G37">
        <v>0.41568627953529358</v>
      </c>
      <c r="H37">
        <v>0.43921568989753723</v>
      </c>
      <c r="I37">
        <v>0.43921568989753723</v>
      </c>
      <c r="Z37">
        <v>0.45490196347236633</v>
      </c>
      <c r="AA37">
        <v>0.44705882668495178</v>
      </c>
      <c r="AB37">
        <v>0.42352941632270813</v>
      </c>
      <c r="AC37">
        <v>0.42745098471641541</v>
      </c>
      <c r="AD37">
        <v>0.45490196347236633</v>
      </c>
      <c r="AE37">
        <v>0.43921568989753723</v>
      </c>
      <c r="AF37">
        <v>0.43921568989753723</v>
      </c>
      <c r="AG37">
        <v>0.46274510025978088</v>
      </c>
    </row>
    <row r="38" spans="1:33">
      <c r="A38" s="9">
        <f t="shared" si="1"/>
        <v>36</v>
      </c>
      <c r="B38">
        <v>0.43921568989753723</v>
      </c>
      <c r="C38">
        <v>0.43921568989753723</v>
      </c>
      <c r="D38">
        <v>0.45098039507865906</v>
      </c>
      <c r="E38">
        <v>0.45490196347236633</v>
      </c>
      <c r="F38">
        <v>0.47058823704719543</v>
      </c>
      <c r="G38">
        <v>0.44313725829124451</v>
      </c>
      <c r="H38">
        <v>0.45490196347236633</v>
      </c>
      <c r="I38">
        <v>0.45882353186607361</v>
      </c>
      <c r="Z38">
        <v>0.47843137383460999</v>
      </c>
      <c r="AA38">
        <v>0.47058823704719543</v>
      </c>
      <c r="AB38">
        <v>0.43921568989753723</v>
      </c>
      <c r="AC38">
        <v>0.44705882668495178</v>
      </c>
      <c r="AD38">
        <v>0.47843137383460999</v>
      </c>
      <c r="AE38">
        <v>0.45882353186607361</v>
      </c>
      <c r="AF38">
        <v>0.46274510025978088</v>
      </c>
      <c r="AG38">
        <v>0.48627451062202454</v>
      </c>
    </row>
    <row r="39" spans="1:33">
      <c r="A39" s="9">
        <f t="shared" si="1"/>
        <v>37</v>
      </c>
      <c r="B39">
        <v>0.46274510025978088</v>
      </c>
      <c r="C39">
        <v>0.45490196347236633</v>
      </c>
      <c r="D39">
        <v>0.47450980544090271</v>
      </c>
      <c r="E39">
        <v>0.47843137383460999</v>
      </c>
      <c r="F39">
        <v>0.49411764740943909</v>
      </c>
      <c r="G39">
        <v>0.47058823704719543</v>
      </c>
      <c r="H39">
        <v>0.47843137383460999</v>
      </c>
      <c r="I39">
        <v>0.48235294222831726</v>
      </c>
      <c r="Z39">
        <v>0.50196081399917603</v>
      </c>
      <c r="AA39">
        <v>0.48627451062202454</v>
      </c>
      <c r="AB39">
        <v>0.46274510025978088</v>
      </c>
      <c r="AC39">
        <v>0.47058823704719543</v>
      </c>
      <c r="AD39">
        <v>0.50196081399917603</v>
      </c>
      <c r="AE39">
        <v>0.48235294222831726</v>
      </c>
      <c r="AF39">
        <v>0.48235294222831726</v>
      </c>
      <c r="AG39">
        <v>0.50980395078659058</v>
      </c>
    </row>
    <row r="40" spans="1:33">
      <c r="A40" s="9">
        <f t="shared" si="1"/>
        <v>38</v>
      </c>
      <c r="B40">
        <v>0.48627451062202454</v>
      </c>
      <c r="C40">
        <v>0.47843137383460999</v>
      </c>
      <c r="D40">
        <v>0.50196081399917603</v>
      </c>
      <c r="E40">
        <v>0.49411764740943909</v>
      </c>
      <c r="F40">
        <v>0.51764708757400513</v>
      </c>
      <c r="G40">
        <v>0.48627451062202454</v>
      </c>
      <c r="H40">
        <v>0.50196081399917603</v>
      </c>
      <c r="I40">
        <v>0.50196081399917603</v>
      </c>
      <c r="Z40">
        <v>0.5215686559677124</v>
      </c>
      <c r="AA40">
        <v>0.5058823823928833</v>
      </c>
      <c r="AB40">
        <v>0.48627451062202454</v>
      </c>
      <c r="AC40">
        <v>0.49411764740943909</v>
      </c>
      <c r="AD40">
        <v>0.52549022436141968</v>
      </c>
      <c r="AE40">
        <v>0.50196081399917603</v>
      </c>
      <c r="AF40">
        <v>0.50980395078659058</v>
      </c>
      <c r="AG40">
        <v>0.53333336114883423</v>
      </c>
    </row>
    <row r="41" spans="1:33">
      <c r="A41" s="9">
        <f t="shared" si="1"/>
        <v>39</v>
      </c>
      <c r="B41">
        <v>0.50980395078659058</v>
      </c>
      <c r="C41">
        <v>0.50196081399917603</v>
      </c>
      <c r="D41">
        <v>0.52549022436141968</v>
      </c>
      <c r="E41">
        <v>0.5215686559677124</v>
      </c>
      <c r="F41">
        <v>0.54117649793624878</v>
      </c>
      <c r="G41">
        <v>0.51372551918029785</v>
      </c>
      <c r="H41">
        <v>0.52549022436141968</v>
      </c>
      <c r="I41">
        <v>0.52549022436141968</v>
      </c>
      <c r="Z41">
        <v>0.54509806632995605</v>
      </c>
      <c r="AA41">
        <v>0.52941179275512695</v>
      </c>
      <c r="AB41">
        <v>0.50980395078659058</v>
      </c>
      <c r="AC41">
        <v>0.51372551918029785</v>
      </c>
      <c r="AD41">
        <v>0.54901963472366333</v>
      </c>
      <c r="AE41">
        <v>0.52549022436141968</v>
      </c>
      <c r="AF41">
        <v>0.53333336114883423</v>
      </c>
      <c r="AG41">
        <v>0.55686277151107788</v>
      </c>
    </row>
    <row r="42" spans="1:33">
      <c r="A42" s="9">
        <f t="shared" si="1"/>
        <v>40</v>
      </c>
      <c r="B42">
        <v>0.53333336114883423</v>
      </c>
      <c r="C42">
        <v>0.53333336114883423</v>
      </c>
      <c r="D42">
        <v>0.54117649793624878</v>
      </c>
      <c r="E42">
        <v>0.54117649793624878</v>
      </c>
      <c r="F42">
        <v>0.56470590829849243</v>
      </c>
      <c r="G42">
        <v>0.53333336114883423</v>
      </c>
      <c r="H42">
        <v>0.54509806632995605</v>
      </c>
      <c r="I42">
        <v>0.54901963472366333</v>
      </c>
      <c r="Z42">
        <v>0.56862747669219971</v>
      </c>
      <c r="AA42">
        <v>0.55686277151107788</v>
      </c>
      <c r="AB42">
        <v>0.53333336114883423</v>
      </c>
      <c r="AC42">
        <v>0.5372549295425415</v>
      </c>
      <c r="AD42">
        <v>0.57254904508590698</v>
      </c>
      <c r="AE42">
        <v>0.54901963472366333</v>
      </c>
      <c r="AF42">
        <v>0.55294120311737061</v>
      </c>
      <c r="AG42">
        <v>0.58039218187332153</v>
      </c>
    </row>
    <row r="43" spans="1:33">
      <c r="A43" s="9">
        <f t="shared" si="1"/>
        <v>41</v>
      </c>
      <c r="B43">
        <v>0.55294120311737061</v>
      </c>
      <c r="C43">
        <v>0.54509806632995605</v>
      </c>
      <c r="D43">
        <v>0.56470590829849243</v>
      </c>
      <c r="E43">
        <v>0.56470590829849243</v>
      </c>
      <c r="F43">
        <v>0.58823531866073608</v>
      </c>
      <c r="G43">
        <v>0.55686277151107788</v>
      </c>
      <c r="H43">
        <v>0.57254904508590698</v>
      </c>
      <c r="I43">
        <v>0.58039218187332153</v>
      </c>
      <c r="Z43">
        <v>0.59215688705444336</v>
      </c>
      <c r="AA43">
        <v>0.58039218187332153</v>
      </c>
      <c r="AB43">
        <v>0.55686277151107788</v>
      </c>
      <c r="AC43">
        <v>0.56470590829849243</v>
      </c>
      <c r="AD43">
        <v>0.59607845544815063</v>
      </c>
      <c r="AE43">
        <v>0.57254904508590698</v>
      </c>
      <c r="AF43">
        <v>0.58039218187332153</v>
      </c>
      <c r="AG43">
        <v>0.60784316062927246</v>
      </c>
    </row>
    <row r="44" spans="1:33">
      <c r="A44" s="9">
        <f t="shared" si="1"/>
        <v>42</v>
      </c>
      <c r="B44">
        <v>0.57647061347961426</v>
      </c>
      <c r="C44">
        <v>0.56862747669219971</v>
      </c>
      <c r="D44">
        <v>0.58823531866073608</v>
      </c>
      <c r="E44">
        <v>0.59215688705444336</v>
      </c>
      <c r="F44">
        <v>0.61176472902297974</v>
      </c>
      <c r="G44">
        <v>0.58431375026702881</v>
      </c>
      <c r="H44">
        <v>0.59215688705444336</v>
      </c>
      <c r="I44">
        <v>0.60000002384185791</v>
      </c>
      <c r="Z44">
        <v>0.61568629741668701</v>
      </c>
      <c r="AA44">
        <v>0.60392159223556519</v>
      </c>
      <c r="AB44">
        <v>0.58039218187332153</v>
      </c>
      <c r="AC44">
        <v>0.58823531866073608</v>
      </c>
      <c r="AD44">
        <v>0.61960786581039429</v>
      </c>
      <c r="AE44">
        <v>0.59607845544815063</v>
      </c>
      <c r="AF44">
        <v>0.60000002384185791</v>
      </c>
      <c r="AG44">
        <v>0.63137257099151611</v>
      </c>
    </row>
    <row r="45" spans="1:33">
      <c r="A45" s="9">
        <f t="shared" si="1"/>
        <v>43</v>
      </c>
      <c r="B45">
        <v>0.60000002384185791</v>
      </c>
      <c r="C45">
        <v>0.59607845544815063</v>
      </c>
      <c r="D45">
        <v>0.61960786581039429</v>
      </c>
      <c r="E45">
        <v>0.61568629741668701</v>
      </c>
      <c r="F45">
        <v>0.63529413938522339</v>
      </c>
      <c r="G45">
        <v>0.60392159223556519</v>
      </c>
      <c r="H45">
        <v>0.61960786581039429</v>
      </c>
      <c r="I45">
        <v>0.62745100259780884</v>
      </c>
      <c r="Z45">
        <v>0.63921570777893066</v>
      </c>
      <c r="AA45">
        <v>0.63137257099151611</v>
      </c>
      <c r="AB45">
        <v>0.60392159223556519</v>
      </c>
      <c r="AC45">
        <v>0.61176472902297974</v>
      </c>
      <c r="AD45">
        <v>0.65098041296005249</v>
      </c>
      <c r="AE45">
        <v>0.62352943420410156</v>
      </c>
      <c r="AF45">
        <v>0.62745100259780884</v>
      </c>
      <c r="AG45">
        <v>0.65882354974746704</v>
      </c>
    </row>
    <row r="46" spans="1:33">
      <c r="A46" s="9">
        <f t="shared" si="1"/>
        <v>44</v>
      </c>
      <c r="B46">
        <v>0.62352943420410156</v>
      </c>
      <c r="C46">
        <v>0.61960786581039429</v>
      </c>
      <c r="D46">
        <v>0.63529413938522339</v>
      </c>
      <c r="E46">
        <v>0.63921570777893066</v>
      </c>
      <c r="F46">
        <v>0.65882354974746704</v>
      </c>
      <c r="G46">
        <v>0.63137257099151611</v>
      </c>
      <c r="H46">
        <v>0.64313727617263794</v>
      </c>
      <c r="I46">
        <v>0.65098041296005249</v>
      </c>
      <c r="Z46">
        <v>0.67058825492858887</v>
      </c>
      <c r="AA46">
        <v>0.65490198135375977</v>
      </c>
      <c r="AB46">
        <v>0.62745100259780884</v>
      </c>
      <c r="AC46">
        <v>0.63529413938522339</v>
      </c>
      <c r="AD46">
        <v>0.67450982332229614</v>
      </c>
      <c r="AE46">
        <v>0.64705884456634521</v>
      </c>
      <c r="AF46">
        <v>0.65490198135375977</v>
      </c>
      <c r="AG46">
        <v>0.68235296010971069</v>
      </c>
    </row>
    <row r="47" spans="1:33">
      <c r="A47" s="9">
        <f t="shared" si="1"/>
        <v>45</v>
      </c>
      <c r="B47">
        <v>0.64705884456634521</v>
      </c>
      <c r="C47">
        <v>0.64313727617263794</v>
      </c>
      <c r="D47">
        <v>0.66666668653488159</v>
      </c>
      <c r="E47">
        <v>0.66666668653488159</v>
      </c>
      <c r="F47">
        <v>0.68627452850341797</v>
      </c>
      <c r="G47">
        <v>0.65490198135375977</v>
      </c>
      <c r="H47">
        <v>0.67058825492858887</v>
      </c>
      <c r="I47">
        <v>0.67450982332229614</v>
      </c>
      <c r="Z47">
        <v>0.69411766529083252</v>
      </c>
      <c r="AA47">
        <v>0.67843139171600342</v>
      </c>
      <c r="AB47">
        <v>0.65098041296005249</v>
      </c>
      <c r="AC47">
        <v>0.65882354974746704</v>
      </c>
      <c r="AD47">
        <v>0.69803923368453979</v>
      </c>
      <c r="AE47">
        <v>0.67058825492858887</v>
      </c>
      <c r="AF47">
        <v>0.67843139171600342</v>
      </c>
      <c r="AG47">
        <v>0.70980393886566162</v>
      </c>
    </row>
    <row r="48" spans="1:33">
      <c r="A48" s="9">
        <f t="shared" si="1"/>
        <v>46</v>
      </c>
      <c r="B48">
        <v>0.67058825492858887</v>
      </c>
      <c r="C48">
        <v>0.67058825492858887</v>
      </c>
      <c r="D48">
        <v>0.69019609689712524</v>
      </c>
      <c r="E48">
        <v>0.69019609689712524</v>
      </c>
      <c r="F48">
        <v>0.7137255072593689</v>
      </c>
      <c r="G48">
        <v>0.68235296010971069</v>
      </c>
      <c r="H48">
        <v>0.69803923368453979</v>
      </c>
      <c r="I48">
        <v>0.69803923368453979</v>
      </c>
      <c r="Z48">
        <v>0.72156864404678345</v>
      </c>
      <c r="AA48">
        <v>0.70588237047195435</v>
      </c>
      <c r="AB48">
        <v>0.67843139171600342</v>
      </c>
      <c r="AC48">
        <v>0.68627452850341797</v>
      </c>
      <c r="AD48">
        <v>0.72549021244049072</v>
      </c>
      <c r="AE48">
        <v>0.69803923368453979</v>
      </c>
      <c r="AF48">
        <v>0.70196080207824707</v>
      </c>
      <c r="AG48">
        <v>0.73725491762161255</v>
      </c>
    </row>
    <row r="49" spans="1:33">
      <c r="A49" s="9">
        <f t="shared" si="1"/>
        <v>47</v>
      </c>
      <c r="B49">
        <v>0.69803923368453979</v>
      </c>
      <c r="C49">
        <v>0.69019609689712524</v>
      </c>
      <c r="D49">
        <v>0.7137255072593689</v>
      </c>
      <c r="E49">
        <v>0.7137255072593689</v>
      </c>
      <c r="F49">
        <v>0.73725491762161255</v>
      </c>
      <c r="G49">
        <v>0.70588237047195435</v>
      </c>
      <c r="H49">
        <v>0.71764707565307617</v>
      </c>
      <c r="I49">
        <v>0.729411780834198</v>
      </c>
      <c r="Z49">
        <v>0.74901962280273438</v>
      </c>
      <c r="AA49">
        <v>0.73333334922790527</v>
      </c>
      <c r="AB49">
        <v>0.70196080207824707</v>
      </c>
      <c r="AC49">
        <v>0.7137255072593689</v>
      </c>
      <c r="AD49">
        <v>0.75294119119644165</v>
      </c>
      <c r="AE49">
        <v>0.72156864404678345</v>
      </c>
      <c r="AF49">
        <v>0.729411780834198</v>
      </c>
      <c r="AG49">
        <v>0.76470589637756348</v>
      </c>
    </row>
    <row r="50" spans="1:33">
      <c r="A50" s="9">
        <f t="shared" si="1"/>
        <v>48</v>
      </c>
      <c r="B50">
        <v>0.72156864404678345</v>
      </c>
      <c r="C50">
        <v>0.71764707565307617</v>
      </c>
      <c r="D50">
        <v>0.74117648601531982</v>
      </c>
      <c r="E50">
        <v>0.74117648601531982</v>
      </c>
      <c r="F50">
        <v>0.76470589637756348</v>
      </c>
      <c r="G50">
        <v>0.729411780834198</v>
      </c>
      <c r="H50">
        <v>0.7450980544090271</v>
      </c>
      <c r="I50">
        <v>0.75294119119644165</v>
      </c>
      <c r="Z50">
        <v>0.77254903316497803</v>
      </c>
      <c r="AA50">
        <v>0.7607843279838562</v>
      </c>
      <c r="AB50">
        <v>0.729411780834198</v>
      </c>
      <c r="AC50">
        <v>0.73725491762161255</v>
      </c>
      <c r="AD50">
        <v>0.78039216995239258</v>
      </c>
      <c r="AE50">
        <v>0.74901962280273438</v>
      </c>
      <c r="AF50">
        <v>0.75294119119644165</v>
      </c>
      <c r="AG50">
        <v>0.7921568751335144</v>
      </c>
    </row>
    <row r="51" spans="1:33">
      <c r="A51" s="9">
        <f t="shared" si="1"/>
        <v>49</v>
      </c>
      <c r="B51">
        <v>0.74901962280273438</v>
      </c>
      <c r="C51">
        <v>0.74117648601531982</v>
      </c>
      <c r="D51">
        <v>0.76862746477127075</v>
      </c>
      <c r="E51">
        <v>0.76470589637756348</v>
      </c>
      <c r="F51">
        <v>0.78823530673980713</v>
      </c>
      <c r="G51">
        <v>0.75294119119644165</v>
      </c>
      <c r="H51">
        <v>0.7764706015586853</v>
      </c>
      <c r="I51">
        <v>0.78039216995239258</v>
      </c>
      <c r="Z51">
        <v>0.80000001192092896</v>
      </c>
      <c r="AA51">
        <v>0.78823530673980713</v>
      </c>
      <c r="AB51">
        <v>0.75294119119644165</v>
      </c>
      <c r="AC51">
        <v>0.76470589637756348</v>
      </c>
      <c r="AD51">
        <v>0.80784314870834351</v>
      </c>
      <c r="AE51">
        <v>0.7764706015586853</v>
      </c>
      <c r="AF51">
        <v>0.78431373834609985</v>
      </c>
      <c r="AG51">
        <v>0.81960785388946533</v>
      </c>
    </row>
    <row r="52" spans="1:33">
      <c r="A52" s="9">
        <f t="shared" si="1"/>
        <v>50</v>
      </c>
      <c r="B52">
        <v>0.7764706015586853</v>
      </c>
      <c r="C52">
        <v>0.76862746477127075</v>
      </c>
      <c r="D52">
        <v>0.7921568751335144</v>
      </c>
      <c r="E52">
        <v>0.7921568751335144</v>
      </c>
      <c r="F52">
        <v>0.81960785388946533</v>
      </c>
      <c r="G52">
        <v>0.78431373834609985</v>
      </c>
      <c r="H52">
        <v>0.80000001192092896</v>
      </c>
      <c r="I52">
        <v>0.80784314870834351</v>
      </c>
      <c r="Z52">
        <v>0.83137255907058716</v>
      </c>
      <c r="AA52">
        <v>0.81568628549575806</v>
      </c>
      <c r="AB52">
        <v>0.78039216995239258</v>
      </c>
      <c r="AC52">
        <v>0.78823530673980713</v>
      </c>
      <c r="AD52">
        <v>0.83529412746429443</v>
      </c>
      <c r="AE52">
        <v>0.80392158031463623</v>
      </c>
      <c r="AF52">
        <v>0.80784314870834351</v>
      </c>
      <c r="AG52">
        <v>0.84705883264541626</v>
      </c>
    </row>
    <row r="53" spans="1:33">
      <c r="A53" s="9">
        <f t="shared" si="1"/>
        <v>51</v>
      </c>
      <c r="B53">
        <v>0.80000001192092896</v>
      </c>
      <c r="C53">
        <v>0.7921568751335144</v>
      </c>
      <c r="D53">
        <v>0.82352942228317261</v>
      </c>
      <c r="E53">
        <v>0.81960785388946533</v>
      </c>
      <c r="F53">
        <v>0.84705883264541626</v>
      </c>
      <c r="G53">
        <v>0.80784314870834351</v>
      </c>
      <c r="H53">
        <v>0.82745099067687988</v>
      </c>
      <c r="I53">
        <v>0.83529412746429443</v>
      </c>
      <c r="Z53">
        <v>0.85882353782653809</v>
      </c>
      <c r="AA53">
        <v>0.83921569585800171</v>
      </c>
      <c r="AB53">
        <v>0.80784314870834351</v>
      </c>
      <c r="AC53">
        <v>0.81568628549575806</v>
      </c>
      <c r="AD53">
        <v>0.86274510622024536</v>
      </c>
      <c r="AE53">
        <v>0.82745099067687988</v>
      </c>
      <c r="AF53">
        <v>0.83921569585800171</v>
      </c>
      <c r="AG53">
        <v>0.87450981140136719</v>
      </c>
    </row>
    <row r="54" spans="1:33">
      <c r="A54" s="9">
        <f t="shared" si="1"/>
        <v>52</v>
      </c>
      <c r="B54">
        <v>0.82745099067687988</v>
      </c>
      <c r="C54">
        <v>0.82352942228317261</v>
      </c>
      <c r="D54">
        <v>0.84705883264541626</v>
      </c>
      <c r="E54">
        <v>0.84313726425170898</v>
      </c>
      <c r="F54">
        <v>0.87058824300765991</v>
      </c>
      <c r="G54">
        <v>0.83921569585800171</v>
      </c>
      <c r="H54">
        <v>0.85490196943283081</v>
      </c>
      <c r="I54">
        <v>0.86274510622024536</v>
      </c>
      <c r="Z54">
        <v>0.88627451658248901</v>
      </c>
      <c r="AA54">
        <v>0.86666667461395264</v>
      </c>
      <c r="AB54">
        <v>0.83137255907058716</v>
      </c>
      <c r="AC54">
        <v>0.84705883264541626</v>
      </c>
      <c r="AD54">
        <v>0.89411765336990356</v>
      </c>
      <c r="AE54">
        <v>0.85490196943283081</v>
      </c>
      <c r="AF54">
        <v>0.86274510622024536</v>
      </c>
      <c r="AG54">
        <v>0.90588235855102539</v>
      </c>
    </row>
    <row r="55" spans="1:33">
      <c r="A55" s="9">
        <f t="shared" si="1"/>
        <v>53</v>
      </c>
      <c r="B55">
        <v>0.85490196943283081</v>
      </c>
      <c r="C55">
        <v>0.85490196943283081</v>
      </c>
      <c r="D55">
        <v>0.87058824300765991</v>
      </c>
      <c r="E55">
        <v>0.87843137979507446</v>
      </c>
      <c r="F55">
        <v>0.90196079015731812</v>
      </c>
      <c r="G55">
        <v>0.85882353782653809</v>
      </c>
      <c r="H55">
        <v>0.88627451658248901</v>
      </c>
      <c r="I55">
        <v>0.89019608497619629</v>
      </c>
      <c r="Z55">
        <v>0.91372549533843994</v>
      </c>
      <c r="AA55">
        <v>0.89411765336990356</v>
      </c>
      <c r="AB55">
        <v>0.86274510622024536</v>
      </c>
      <c r="AC55">
        <v>0.87450981140136719</v>
      </c>
      <c r="AD55">
        <v>0.92156863212585449</v>
      </c>
      <c r="AE55">
        <v>0.88235294818878174</v>
      </c>
      <c r="AF55">
        <v>0.89411765336990356</v>
      </c>
      <c r="AG55">
        <v>0.93333333730697632</v>
      </c>
    </row>
    <row r="56" spans="1:33">
      <c r="A56" s="9">
        <f t="shared" si="1"/>
        <v>54</v>
      </c>
      <c r="B56">
        <v>0.88235294818878174</v>
      </c>
      <c r="C56">
        <v>0.87450981140136719</v>
      </c>
      <c r="D56">
        <v>0.90196079015731812</v>
      </c>
      <c r="E56">
        <v>0.89803922176361084</v>
      </c>
      <c r="F56">
        <v>0.93333333730697632</v>
      </c>
      <c r="G56">
        <v>0.89411765336990356</v>
      </c>
      <c r="H56">
        <v>0.90980392694473267</v>
      </c>
      <c r="I56">
        <v>0.91764706373214722</v>
      </c>
      <c r="Z56">
        <v>0.94117647409439087</v>
      </c>
      <c r="AA56">
        <v>0.92549020051956177</v>
      </c>
      <c r="AB56">
        <v>0.88627451658248901</v>
      </c>
      <c r="AC56">
        <v>0.89803922176361084</v>
      </c>
      <c r="AD56">
        <v>0.9529411792755127</v>
      </c>
      <c r="AE56">
        <v>0.90980392694473267</v>
      </c>
      <c r="AF56">
        <v>0.92156863212585449</v>
      </c>
      <c r="AG56">
        <v>0.96470588445663452</v>
      </c>
    </row>
    <row r="57" spans="1:33">
      <c r="A57" s="9">
        <f t="shared" si="1"/>
        <v>55</v>
      </c>
      <c r="B57">
        <v>0.90980392694473267</v>
      </c>
      <c r="C57">
        <v>0.90196079015731812</v>
      </c>
      <c r="D57">
        <v>0.93333333730697632</v>
      </c>
      <c r="E57">
        <v>0.93333333730697632</v>
      </c>
      <c r="F57">
        <v>0.95686274766921997</v>
      </c>
      <c r="G57">
        <v>0.91764706373214722</v>
      </c>
      <c r="H57">
        <v>0.93725490570068359</v>
      </c>
      <c r="I57">
        <v>0.94901961088180542</v>
      </c>
      <c r="Z57">
        <v>0.97254902124404907</v>
      </c>
      <c r="AA57">
        <v>0.9529411792755127</v>
      </c>
      <c r="AB57">
        <v>0.91372549533843994</v>
      </c>
      <c r="AC57">
        <v>0.92549020051956177</v>
      </c>
      <c r="AD57">
        <v>0.98039215803146362</v>
      </c>
      <c r="AE57">
        <v>0.94117647409439087</v>
      </c>
      <c r="AF57">
        <v>0.94901961088180542</v>
      </c>
      <c r="AG57">
        <v>0.99215686321258545</v>
      </c>
    </row>
    <row r="58" spans="1:33">
      <c r="A58" s="9">
        <f t="shared" si="1"/>
        <v>56</v>
      </c>
      <c r="B58">
        <v>0.93333333730697632</v>
      </c>
      <c r="C58">
        <v>0.93725490570068359</v>
      </c>
      <c r="D58">
        <v>0.96470588445663452</v>
      </c>
      <c r="E58">
        <v>0.95686274766921997</v>
      </c>
      <c r="F58">
        <v>0.98823529481887817</v>
      </c>
      <c r="G58">
        <v>0.94117647409439087</v>
      </c>
      <c r="H58">
        <v>0.96470588445663452</v>
      </c>
      <c r="I58">
        <v>0.97254902124404907</v>
      </c>
      <c r="Z58">
        <v>0.999</v>
      </c>
      <c r="AA58">
        <v>0.98039215803146362</v>
      </c>
      <c r="AB58">
        <v>0.94117647409439087</v>
      </c>
      <c r="AC58">
        <v>0.94901961088180542</v>
      </c>
      <c r="AD58">
        <v>0.999</v>
      </c>
      <c r="AE58">
        <v>0.9686274528503418</v>
      </c>
      <c r="AF58">
        <v>0.98039215803146362</v>
      </c>
      <c r="AG58">
        <v>0.999</v>
      </c>
    </row>
    <row r="59" spans="1:33">
      <c r="A59" s="9">
        <f t="shared" si="1"/>
        <v>57</v>
      </c>
      <c r="B59">
        <v>0.96078431606292725</v>
      </c>
      <c r="C59">
        <v>0.9529411792755127</v>
      </c>
      <c r="D59">
        <v>0.9843137264251709</v>
      </c>
      <c r="E59">
        <v>0.9843137264251709</v>
      </c>
      <c r="F59">
        <v>0.999</v>
      </c>
      <c r="G59">
        <v>0.94901961088180542</v>
      </c>
      <c r="H59">
        <v>0.99215686321258545</v>
      </c>
      <c r="I59">
        <v>0.99215686321258545</v>
      </c>
      <c r="Z59">
        <v>0.999</v>
      </c>
      <c r="AA59">
        <v>0.999</v>
      </c>
      <c r="AB59">
        <v>0.9686274528503418</v>
      </c>
      <c r="AC59">
        <v>0.96470588445663452</v>
      </c>
      <c r="AD59">
        <v>0.999</v>
      </c>
      <c r="AE59">
        <v>0.99607843160629272</v>
      </c>
      <c r="AF59">
        <v>0.999</v>
      </c>
      <c r="AG59">
        <v>0.999</v>
      </c>
    </row>
    <row r="60" spans="1:33">
      <c r="A60" s="9">
        <f t="shared" si="1"/>
        <v>58</v>
      </c>
      <c r="B60">
        <v>0.98039215803146362</v>
      </c>
      <c r="C60">
        <v>0.97254902124404907</v>
      </c>
      <c r="D60">
        <v>0.999</v>
      </c>
      <c r="E60">
        <v>0.999</v>
      </c>
      <c r="F60">
        <v>0.999</v>
      </c>
      <c r="G60">
        <v>0.96470588445663452</v>
      </c>
      <c r="H60">
        <v>0.999</v>
      </c>
      <c r="I60">
        <v>0.999</v>
      </c>
      <c r="Z60">
        <v>0.999</v>
      </c>
      <c r="AA60">
        <v>0.999</v>
      </c>
      <c r="AB60">
        <v>0.98823529481887817</v>
      </c>
      <c r="AC60">
        <v>0.98039215803146362</v>
      </c>
      <c r="AD60">
        <v>0.999</v>
      </c>
      <c r="AE60">
        <v>0.999</v>
      </c>
      <c r="AF60">
        <v>0.999</v>
      </c>
      <c r="AG60">
        <v>0.999</v>
      </c>
    </row>
    <row r="61" spans="1:33">
      <c r="A61" s="9">
        <f t="shared" si="1"/>
        <v>59</v>
      </c>
      <c r="B61">
        <v>0.99607843160629272</v>
      </c>
      <c r="C61">
        <v>0.9843137264251709</v>
      </c>
      <c r="D61">
        <v>0.999</v>
      </c>
      <c r="E61">
        <v>0.999</v>
      </c>
      <c r="F61">
        <v>0.999</v>
      </c>
      <c r="G61">
        <v>0.96078431606292725</v>
      </c>
      <c r="H61">
        <v>0.999</v>
      </c>
      <c r="I61">
        <v>0.999</v>
      </c>
      <c r="Z61">
        <v>0.999</v>
      </c>
      <c r="AA61">
        <v>0.999</v>
      </c>
      <c r="AB61">
        <v>0.999</v>
      </c>
      <c r="AC61">
        <v>0.9843137264251709</v>
      </c>
      <c r="AD61">
        <v>0.999</v>
      </c>
      <c r="AE61">
        <v>0.999</v>
      </c>
      <c r="AF61">
        <v>0.999</v>
      </c>
      <c r="AG61">
        <v>0.999</v>
      </c>
    </row>
    <row r="62" spans="1:33">
      <c r="A62" s="9">
        <f t="shared" si="1"/>
        <v>60</v>
      </c>
      <c r="B62">
        <v>0.999</v>
      </c>
      <c r="C62">
        <v>0.98823529481887817</v>
      </c>
      <c r="D62">
        <v>0.999</v>
      </c>
      <c r="E62">
        <v>0.999</v>
      </c>
      <c r="F62">
        <v>0.999</v>
      </c>
      <c r="G62">
        <v>0.97647058963775635</v>
      </c>
      <c r="H62">
        <v>0.999</v>
      </c>
      <c r="I62">
        <v>0.999</v>
      </c>
      <c r="Z62">
        <v>0.999</v>
      </c>
      <c r="AA62">
        <v>0.999</v>
      </c>
      <c r="AB62">
        <v>0.999</v>
      </c>
      <c r="AC62">
        <v>0.98823529481887817</v>
      </c>
      <c r="AD62">
        <v>0.999</v>
      </c>
      <c r="AE62">
        <v>0.999</v>
      </c>
      <c r="AF62">
        <v>0.999</v>
      </c>
      <c r="AG62">
        <v>0.999</v>
      </c>
    </row>
    <row r="63" spans="1:33">
      <c r="A63" s="9">
        <f t="shared" si="1"/>
        <v>61</v>
      </c>
      <c r="B63">
        <v>0.999</v>
      </c>
      <c r="C63">
        <v>0.999</v>
      </c>
      <c r="D63">
        <v>0.999</v>
      </c>
      <c r="E63">
        <v>0.999</v>
      </c>
      <c r="F63">
        <v>0.999</v>
      </c>
      <c r="G63">
        <v>0.97254902124404907</v>
      </c>
      <c r="H63">
        <v>0.999</v>
      </c>
      <c r="I63">
        <v>0.999</v>
      </c>
      <c r="Z63">
        <v>0.999</v>
      </c>
      <c r="AA63">
        <v>0.999</v>
      </c>
      <c r="AB63">
        <v>0.999</v>
      </c>
      <c r="AC63">
        <v>0.98823529481887817</v>
      </c>
      <c r="AD63">
        <v>0.999</v>
      </c>
      <c r="AE63">
        <v>0.999</v>
      </c>
      <c r="AF63">
        <v>0.999</v>
      </c>
      <c r="AG63">
        <v>0.999</v>
      </c>
    </row>
    <row r="64" spans="1:33">
      <c r="A64" s="9">
        <f t="shared" si="1"/>
        <v>62</v>
      </c>
      <c r="B64">
        <v>0.999</v>
      </c>
      <c r="C64">
        <v>0.999</v>
      </c>
      <c r="D64">
        <v>0.999</v>
      </c>
      <c r="E64">
        <v>0.999</v>
      </c>
      <c r="F64">
        <v>0.999</v>
      </c>
      <c r="G64">
        <v>0.97254902124404907</v>
      </c>
      <c r="H64">
        <v>0.999</v>
      </c>
      <c r="I64">
        <v>0.999</v>
      </c>
      <c r="Z64">
        <v>0.999</v>
      </c>
      <c r="AA64">
        <v>0.999</v>
      </c>
      <c r="AB64">
        <v>0.999</v>
      </c>
      <c r="AC64">
        <v>0.98823529481887817</v>
      </c>
      <c r="AD64">
        <v>0.999</v>
      </c>
      <c r="AE64">
        <v>0.999</v>
      </c>
      <c r="AF64">
        <v>0.999</v>
      </c>
      <c r="AG64">
        <v>0.999</v>
      </c>
    </row>
    <row r="65" spans="1:33">
      <c r="A65" s="9">
        <f t="shared" si="1"/>
        <v>63</v>
      </c>
      <c r="B65">
        <v>0.999</v>
      </c>
      <c r="C65">
        <v>0.999</v>
      </c>
      <c r="D65">
        <v>0.999</v>
      </c>
      <c r="E65">
        <v>0.999</v>
      </c>
      <c r="F65">
        <v>0.999</v>
      </c>
      <c r="G65">
        <v>0.97254902124404907</v>
      </c>
      <c r="H65">
        <v>0.999</v>
      </c>
      <c r="I65">
        <v>0.999</v>
      </c>
      <c r="Z65">
        <v>0.999</v>
      </c>
      <c r="AA65">
        <v>0.999</v>
      </c>
      <c r="AB65">
        <v>0.999</v>
      </c>
      <c r="AC65">
        <v>0.999</v>
      </c>
      <c r="AD65">
        <v>0.999</v>
      </c>
      <c r="AE65">
        <v>0.999</v>
      </c>
      <c r="AF65">
        <v>0.999</v>
      </c>
      <c r="AG65">
        <v>0.999</v>
      </c>
    </row>
    <row r="66" spans="1:33">
      <c r="A66" s="9">
        <f t="shared" si="1"/>
        <v>64</v>
      </c>
      <c r="B66">
        <v>0.999</v>
      </c>
      <c r="C66">
        <v>0.999</v>
      </c>
      <c r="D66">
        <v>0.999</v>
      </c>
      <c r="E66">
        <v>0.999</v>
      </c>
      <c r="F66">
        <v>0.999</v>
      </c>
      <c r="G66">
        <v>0.9843137264251709</v>
      </c>
      <c r="H66">
        <v>0.999</v>
      </c>
      <c r="I66">
        <v>0.999</v>
      </c>
      <c r="Z66">
        <v>0.999</v>
      </c>
      <c r="AA66">
        <v>0.999</v>
      </c>
      <c r="AB66">
        <v>0.999</v>
      </c>
      <c r="AC66">
        <v>0.999</v>
      </c>
      <c r="AD66">
        <v>0.999</v>
      </c>
      <c r="AE66">
        <v>0.999</v>
      </c>
      <c r="AF66">
        <v>0.999</v>
      </c>
      <c r="AG66">
        <v>0.999</v>
      </c>
    </row>
    <row r="67" spans="1:33">
      <c r="A67" s="9">
        <f t="shared" si="1"/>
        <v>65</v>
      </c>
      <c r="B67">
        <v>0.999</v>
      </c>
      <c r="C67">
        <v>0.999</v>
      </c>
      <c r="D67">
        <v>0.999</v>
      </c>
      <c r="E67">
        <v>0.999</v>
      </c>
      <c r="F67">
        <v>0.999</v>
      </c>
      <c r="G67">
        <v>0.99607843160629272</v>
      </c>
      <c r="H67">
        <v>0.999</v>
      </c>
      <c r="I67">
        <v>0.999</v>
      </c>
      <c r="Z67">
        <v>0.999</v>
      </c>
      <c r="AA67">
        <v>0.999</v>
      </c>
      <c r="AB67">
        <v>0.999</v>
      </c>
      <c r="AC67">
        <v>0.999</v>
      </c>
      <c r="AD67">
        <v>0.999</v>
      </c>
      <c r="AE67">
        <v>0.999</v>
      </c>
      <c r="AF67">
        <v>0.999</v>
      </c>
      <c r="AG67">
        <v>0.999</v>
      </c>
    </row>
    <row r="68" spans="1:33">
      <c r="A68" s="9">
        <f t="shared" ref="A68:A102" si="2">A67+1</f>
        <v>66</v>
      </c>
      <c r="B68">
        <v>0.999</v>
      </c>
      <c r="C68">
        <v>0.999</v>
      </c>
      <c r="D68">
        <v>0.999</v>
      </c>
      <c r="E68">
        <v>0.999</v>
      </c>
      <c r="F68">
        <v>0.999</v>
      </c>
      <c r="G68">
        <v>0.99215686321258545</v>
      </c>
      <c r="H68">
        <v>0.999</v>
      </c>
      <c r="I68">
        <v>0.999</v>
      </c>
      <c r="Z68">
        <v>0.999</v>
      </c>
      <c r="AA68">
        <v>0.999</v>
      </c>
      <c r="AB68">
        <v>0.999</v>
      </c>
      <c r="AC68">
        <v>0.999</v>
      </c>
      <c r="AD68">
        <v>0.999</v>
      </c>
      <c r="AE68">
        <v>0.999</v>
      </c>
      <c r="AF68">
        <v>0.999</v>
      </c>
      <c r="AG68">
        <v>0.999</v>
      </c>
    </row>
    <row r="69" spans="1:33">
      <c r="A69" s="9">
        <f t="shared" si="2"/>
        <v>67</v>
      </c>
      <c r="B69">
        <v>0.999</v>
      </c>
      <c r="C69">
        <v>0.999</v>
      </c>
      <c r="D69">
        <v>0.999</v>
      </c>
      <c r="E69">
        <v>0.999</v>
      </c>
      <c r="F69">
        <v>0.999</v>
      </c>
      <c r="G69">
        <v>0.99607843160629272</v>
      </c>
      <c r="H69">
        <v>0.999</v>
      </c>
      <c r="I69">
        <v>0.999</v>
      </c>
      <c r="Z69">
        <v>0.999</v>
      </c>
      <c r="AA69">
        <v>0.999</v>
      </c>
      <c r="AB69">
        <v>0.999</v>
      </c>
      <c r="AC69">
        <v>0.999</v>
      </c>
      <c r="AD69">
        <v>0.999</v>
      </c>
      <c r="AE69">
        <v>0.999</v>
      </c>
      <c r="AF69">
        <v>0.999</v>
      </c>
      <c r="AG69">
        <v>0.999</v>
      </c>
    </row>
    <row r="70" spans="1:33">
      <c r="A70" s="9">
        <f t="shared" si="2"/>
        <v>68</v>
      </c>
      <c r="B70">
        <v>0.999</v>
      </c>
      <c r="C70">
        <v>0.999</v>
      </c>
      <c r="D70">
        <v>0.999</v>
      </c>
      <c r="E70">
        <v>0.999</v>
      </c>
      <c r="F70">
        <v>0.999</v>
      </c>
      <c r="G70">
        <v>0.98823529481887817</v>
      </c>
      <c r="H70">
        <v>0.999</v>
      </c>
      <c r="I70">
        <v>0.999</v>
      </c>
      <c r="Z70">
        <v>0.999</v>
      </c>
      <c r="AA70">
        <v>0.999</v>
      </c>
      <c r="AB70">
        <v>0.999</v>
      </c>
      <c r="AC70">
        <v>0.999</v>
      </c>
      <c r="AD70">
        <v>0.999</v>
      </c>
      <c r="AE70">
        <v>0.999</v>
      </c>
      <c r="AF70">
        <v>0.999</v>
      </c>
      <c r="AG70">
        <v>0.999</v>
      </c>
    </row>
    <row r="71" spans="1:33">
      <c r="A71" s="9">
        <f t="shared" si="2"/>
        <v>69</v>
      </c>
      <c r="B71">
        <v>0.999</v>
      </c>
      <c r="C71">
        <v>0.999</v>
      </c>
      <c r="D71">
        <v>0.999</v>
      </c>
      <c r="E71">
        <v>0.999</v>
      </c>
      <c r="F71">
        <v>0.999</v>
      </c>
      <c r="G71">
        <v>0.99607843160629272</v>
      </c>
      <c r="H71">
        <v>0.999</v>
      </c>
      <c r="I71">
        <v>0.999</v>
      </c>
      <c r="Z71">
        <v>0.999</v>
      </c>
      <c r="AA71">
        <v>0.999</v>
      </c>
      <c r="AB71">
        <v>0.999</v>
      </c>
      <c r="AC71">
        <v>0.999</v>
      </c>
      <c r="AD71">
        <v>0.999</v>
      </c>
      <c r="AE71">
        <v>0.999</v>
      </c>
      <c r="AF71">
        <v>0.999</v>
      </c>
      <c r="AG71">
        <v>0.999</v>
      </c>
    </row>
    <row r="72" spans="1:33">
      <c r="A72" s="9">
        <f t="shared" si="2"/>
        <v>70</v>
      </c>
      <c r="B72">
        <v>0.999</v>
      </c>
      <c r="C72">
        <v>0.999</v>
      </c>
      <c r="D72">
        <v>0.999</v>
      </c>
      <c r="E72">
        <v>0.999</v>
      </c>
      <c r="F72">
        <v>0.999</v>
      </c>
      <c r="G72">
        <v>0.999</v>
      </c>
      <c r="H72">
        <v>0.999</v>
      </c>
      <c r="I72">
        <v>0.999</v>
      </c>
      <c r="Z72">
        <v>0.999</v>
      </c>
      <c r="AA72">
        <v>0.999</v>
      </c>
      <c r="AB72">
        <v>0.999</v>
      </c>
      <c r="AC72">
        <v>0.999</v>
      </c>
      <c r="AD72">
        <v>0.999</v>
      </c>
      <c r="AE72">
        <v>0.999</v>
      </c>
      <c r="AF72">
        <v>0.999</v>
      </c>
      <c r="AG72">
        <v>0.999</v>
      </c>
    </row>
    <row r="73" spans="1:33">
      <c r="A73" s="9">
        <f t="shared" si="2"/>
        <v>71</v>
      </c>
      <c r="B73">
        <v>0.999</v>
      </c>
      <c r="C73">
        <v>0.999</v>
      </c>
      <c r="D73">
        <v>0.999</v>
      </c>
      <c r="E73">
        <v>0.999</v>
      </c>
      <c r="F73">
        <v>0.999</v>
      </c>
      <c r="G73">
        <v>0.999</v>
      </c>
      <c r="H73">
        <v>0.999</v>
      </c>
      <c r="I73">
        <v>0.999</v>
      </c>
      <c r="Z73">
        <v>0.999</v>
      </c>
      <c r="AA73">
        <v>0.999</v>
      </c>
      <c r="AB73">
        <v>0.999</v>
      </c>
      <c r="AC73">
        <v>0.999</v>
      </c>
      <c r="AD73">
        <v>0.999</v>
      </c>
      <c r="AE73">
        <v>0.999</v>
      </c>
      <c r="AF73">
        <v>0.999</v>
      </c>
      <c r="AG73">
        <v>0.999</v>
      </c>
    </row>
    <row r="74" spans="1:33">
      <c r="A74" s="9">
        <f t="shared" si="2"/>
        <v>72</v>
      </c>
      <c r="B74">
        <v>0.999</v>
      </c>
      <c r="C74">
        <v>0.999</v>
      </c>
      <c r="D74">
        <v>0.999</v>
      </c>
      <c r="E74">
        <v>0.999</v>
      </c>
      <c r="F74">
        <v>0.999</v>
      </c>
      <c r="G74">
        <v>0.999</v>
      </c>
      <c r="H74">
        <v>0.999</v>
      </c>
      <c r="I74">
        <v>0.999</v>
      </c>
      <c r="Z74">
        <v>0.999</v>
      </c>
      <c r="AA74">
        <v>0.999</v>
      </c>
      <c r="AB74">
        <v>0.999</v>
      </c>
      <c r="AC74">
        <v>0.999</v>
      </c>
      <c r="AD74">
        <v>0.999</v>
      </c>
      <c r="AE74">
        <v>0.999</v>
      </c>
      <c r="AF74">
        <v>0.999</v>
      </c>
      <c r="AG74">
        <v>0.999</v>
      </c>
    </row>
    <row r="75" spans="1:33">
      <c r="A75" s="9">
        <f t="shared" si="2"/>
        <v>73</v>
      </c>
      <c r="B75">
        <v>0.999</v>
      </c>
      <c r="C75">
        <v>0.999</v>
      </c>
      <c r="D75">
        <v>0.999</v>
      </c>
      <c r="E75">
        <v>0.999</v>
      </c>
      <c r="F75">
        <v>0.999</v>
      </c>
      <c r="G75">
        <v>0.999</v>
      </c>
      <c r="H75">
        <v>0.999</v>
      </c>
      <c r="I75">
        <v>0.999</v>
      </c>
      <c r="Z75">
        <v>0.999</v>
      </c>
      <c r="AA75">
        <v>0.999</v>
      </c>
      <c r="AB75">
        <v>0.999</v>
      </c>
      <c r="AC75">
        <v>0.999</v>
      </c>
      <c r="AD75">
        <v>0.999</v>
      </c>
      <c r="AE75">
        <v>0.999</v>
      </c>
      <c r="AF75">
        <v>0.999</v>
      </c>
      <c r="AG75">
        <v>0.999</v>
      </c>
    </row>
    <row r="76" spans="1:33">
      <c r="A76" s="9">
        <f t="shared" si="2"/>
        <v>74</v>
      </c>
      <c r="B76">
        <v>0.999</v>
      </c>
      <c r="C76">
        <v>0.999</v>
      </c>
      <c r="D76">
        <v>0.999</v>
      </c>
      <c r="E76">
        <v>0.999</v>
      </c>
      <c r="F76">
        <v>0.999</v>
      </c>
      <c r="G76">
        <v>0.999</v>
      </c>
      <c r="H76">
        <v>0.999</v>
      </c>
      <c r="I76">
        <v>0.999</v>
      </c>
      <c r="Z76">
        <v>0.999</v>
      </c>
      <c r="AA76">
        <v>0.999</v>
      </c>
      <c r="AB76">
        <v>0.999</v>
      </c>
      <c r="AC76">
        <v>0.999</v>
      </c>
      <c r="AD76">
        <v>0.999</v>
      </c>
      <c r="AE76">
        <v>0.999</v>
      </c>
      <c r="AF76">
        <v>0.999</v>
      </c>
      <c r="AG76">
        <v>0.999</v>
      </c>
    </row>
    <row r="77" spans="1:33">
      <c r="A77" s="9">
        <f t="shared" si="2"/>
        <v>75</v>
      </c>
      <c r="B77">
        <v>0.999</v>
      </c>
      <c r="C77">
        <v>0.999</v>
      </c>
      <c r="D77">
        <v>0.999</v>
      </c>
      <c r="E77">
        <v>0.999</v>
      </c>
      <c r="F77">
        <v>0.999</v>
      </c>
      <c r="G77">
        <v>0.999</v>
      </c>
      <c r="H77">
        <v>0.999</v>
      </c>
      <c r="I77">
        <v>0.999</v>
      </c>
      <c r="Z77">
        <v>0.999</v>
      </c>
      <c r="AA77">
        <v>0.999</v>
      </c>
      <c r="AB77">
        <v>0.999</v>
      </c>
      <c r="AC77">
        <v>0.999</v>
      </c>
      <c r="AD77">
        <v>0.999</v>
      </c>
      <c r="AE77">
        <v>0.999</v>
      </c>
      <c r="AF77">
        <v>0.999</v>
      </c>
      <c r="AG77">
        <v>0.999</v>
      </c>
    </row>
    <row r="78" spans="1:33">
      <c r="A78" s="9">
        <f t="shared" si="2"/>
        <v>76</v>
      </c>
      <c r="B78">
        <v>0.999</v>
      </c>
      <c r="C78">
        <v>0.999</v>
      </c>
      <c r="D78">
        <v>0.999</v>
      </c>
      <c r="E78">
        <v>0.999</v>
      </c>
      <c r="F78">
        <v>0.999</v>
      </c>
      <c r="G78">
        <v>0.999</v>
      </c>
      <c r="H78">
        <v>0.999</v>
      </c>
      <c r="I78">
        <v>0.999</v>
      </c>
      <c r="Z78">
        <v>0.999</v>
      </c>
      <c r="AA78">
        <v>0.999</v>
      </c>
      <c r="AB78">
        <v>0.999</v>
      </c>
      <c r="AC78">
        <v>0.999</v>
      </c>
      <c r="AD78">
        <v>0.999</v>
      </c>
      <c r="AE78">
        <v>0.999</v>
      </c>
      <c r="AF78">
        <v>0.999</v>
      </c>
      <c r="AG78">
        <v>0.999</v>
      </c>
    </row>
    <row r="79" spans="1:33">
      <c r="A79" s="9">
        <f t="shared" si="2"/>
        <v>77</v>
      </c>
      <c r="B79">
        <v>0.999</v>
      </c>
      <c r="C79">
        <v>0.999</v>
      </c>
      <c r="D79">
        <v>0.999</v>
      </c>
      <c r="E79">
        <v>0.999</v>
      </c>
      <c r="F79">
        <v>0.999</v>
      </c>
      <c r="G79">
        <v>0.999</v>
      </c>
      <c r="H79">
        <v>0.999</v>
      </c>
      <c r="I79">
        <v>0.999</v>
      </c>
      <c r="Z79">
        <v>0.999</v>
      </c>
      <c r="AA79">
        <v>0.999</v>
      </c>
      <c r="AB79">
        <v>0.999</v>
      </c>
      <c r="AC79">
        <v>0.999</v>
      </c>
      <c r="AD79">
        <v>0.999</v>
      </c>
      <c r="AE79">
        <v>0.999</v>
      </c>
      <c r="AF79">
        <v>0.999</v>
      </c>
      <c r="AG79">
        <v>0.999</v>
      </c>
    </row>
    <row r="80" spans="1:33">
      <c r="A80" s="9">
        <f t="shared" si="2"/>
        <v>78</v>
      </c>
      <c r="B80">
        <v>0.999</v>
      </c>
      <c r="C80">
        <v>0.999</v>
      </c>
      <c r="D80">
        <v>0.999</v>
      </c>
      <c r="E80">
        <v>0.999</v>
      </c>
      <c r="F80">
        <v>0.999</v>
      </c>
      <c r="G80">
        <v>0.999</v>
      </c>
      <c r="H80">
        <v>0.999</v>
      </c>
      <c r="I80">
        <v>0.999</v>
      </c>
      <c r="Z80">
        <v>0.999</v>
      </c>
      <c r="AA80">
        <v>0.999</v>
      </c>
      <c r="AB80">
        <v>0.999</v>
      </c>
      <c r="AC80">
        <v>0.999</v>
      </c>
      <c r="AD80">
        <v>0.999</v>
      </c>
      <c r="AE80">
        <v>0.999</v>
      </c>
      <c r="AF80">
        <v>0.999</v>
      </c>
      <c r="AG80">
        <v>0.999</v>
      </c>
    </row>
    <row r="81" spans="1:33">
      <c r="A81" s="9">
        <f t="shared" si="2"/>
        <v>79</v>
      </c>
      <c r="B81">
        <v>0.999</v>
      </c>
      <c r="C81">
        <v>0.999</v>
      </c>
      <c r="D81">
        <v>0.999</v>
      </c>
      <c r="E81">
        <v>0.999</v>
      </c>
      <c r="F81">
        <v>0.999</v>
      </c>
      <c r="G81">
        <v>0.999</v>
      </c>
      <c r="H81">
        <v>0.999</v>
      </c>
      <c r="I81">
        <v>0.999</v>
      </c>
      <c r="Z81">
        <v>0.999</v>
      </c>
      <c r="AA81">
        <v>0.999</v>
      </c>
      <c r="AB81">
        <v>0.999</v>
      </c>
      <c r="AC81">
        <v>0.999</v>
      </c>
      <c r="AD81">
        <v>0.999</v>
      </c>
      <c r="AE81">
        <v>0.999</v>
      </c>
      <c r="AF81">
        <v>0.999</v>
      </c>
      <c r="AG81">
        <v>0.999</v>
      </c>
    </row>
    <row r="82" spans="1:33">
      <c r="A82" s="9">
        <f t="shared" si="2"/>
        <v>80</v>
      </c>
      <c r="B82">
        <v>0.999</v>
      </c>
      <c r="C82">
        <v>0.999</v>
      </c>
      <c r="D82">
        <v>0.999</v>
      </c>
      <c r="E82">
        <v>0.999</v>
      </c>
      <c r="F82">
        <v>0.999</v>
      </c>
      <c r="G82">
        <v>0.999</v>
      </c>
      <c r="H82">
        <v>0.999</v>
      </c>
      <c r="I82">
        <v>0.999</v>
      </c>
      <c r="Z82">
        <v>0.999</v>
      </c>
      <c r="AA82">
        <v>0.999</v>
      </c>
      <c r="AB82">
        <v>0.999</v>
      </c>
      <c r="AC82">
        <v>0.999</v>
      </c>
      <c r="AD82">
        <v>0.999</v>
      </c>
      <c r="AE82">
        <v>0.999</v>
      </c>
      <c r="AF82">
        <v>0.999</v>
      </c>
      <c r="AG82">
        <v>0.999</v>
      </c>
    </row>
    <row r="83" spans="1:33">
      <c r="A83" s="9">
        <f t="shared" si="2"/>
        <v>81</v>
      </c>
      <c r="B83">
        <v>0.999</v>
      </c>
      <c r="C83">
        <v>0.999</v>
      </c>
      <c r="D83">
        <v>0.999</v>
      </c>
      <c r="E83">
        <v>0.999</v>
      </c>
      <c r="F83">
        <v>0.999</v>
      </c>
      <c r="G83">
        <v>0.999</v>
      </c>
      <c r="H83">
        <v>0.999</v>
      </c>
      <c r="I83">
        <v>0.999</v>
      </c>
      <c r="Z83">
        <v>0.999</v>
      </c>
      <c r="AA83">
        <v>0.999</v>
      </c>
      <c r="AB83">
        <v>0.999</v>
      </c>
      <c r="AC83">
        <v>0.999</v>
      </c>
      <c r="AD83">
        <v>0.999</v>
      </c>
      <c r="AE83">
        <v>0.999</v>
      </c>
      <c r="AF83">
        <v>0.999</v>
      </c>
      <c r="AG83">
        <v>0.999</v>
      </c>
    </row>
    <row r="84" spans="1:33">
      <c r="A84" s="9">
        <f t="shared" si="2"/>
        <v>82</v>
      </c>
      <c r="B84">
        <v>0.999</v>
      </c>
      <c r="C84">
        <v>0.999</v>
      </c>
      <c r="D84">
        <v>0.999</v>
      </c>
      <c r="E84">
        <v>0.999</v>
      </c>
      <c r="F84">
        <v>0.999</v>
      </c>
      <c r="G84">
        <v>0.999</v>
      </c>
      <c r="H84">
        <v>0.999</v>
      </c>
      <c r="I84">
        <v>0.999</v>
      </c>
      <c r="Z84">
        <v>0.999</v>
      </c>
      <c r="AA84">
        <v>0.999</v>
      </c>
      <c r="AB84">
        <v>0.999</v>
      </c>
      <c r="AC84">
        <v>0.999</v>
      </c>
      <c r="AD84">
        <v>0.999</v>
      </c>
      <c r="AE84">
        <v>0.999</v>
      </c>
      <c r="AF84">
        <v>0.999</v>
      </c>
      <c r="AG84">
        <v>0.999</v>
      </c>
    </row>
    <row r="85" spans="1:33">
      <c r="A85" s="9">
        <f t="shared" si="2"/>
        <v>83</v>
      </c>
      <c r="B85">
        <v>0.999</v>
      </c>
      <c r="C85">
        <v>0.999</v>
      </c>
      <c r="D85">
        <v>0.999</v>
      </c>
      <c r="E85">
        <v>0.999</v>
      </c>
      <c r="F85">
        <v>0.999</v>
      </c>
      <c r="G85">
        <v>0.999</v>
      </c>
      <c r="H85">
        <v>0.999</v>
      </c>
      <c r="I85">
        <v>0.999</v>
      </c>
      <c r="Z85">
        <v>0.999</v>
      </c>
      <c r="AA85">
        <v>0.999</v>
      </c>
      <c r="AB85">
        <v>0.999</v>
      </c>
      <c r="AC85">
        <v>0.999</v>
      </c>
      <c r="AD85">
        <v>0.999</v>
      </c>
      <c r="AE85">
        <v>0.999</v>
      </c>
      <c r="AF85">
        <v>0.999</v>
      </c>
      <c r="AG85">
        <v>0.999</v>
      </c>
    </row>
    <row r="86" spans="1:33">
      <c r="A86" s="9">
        <f t="shared" si="2"/>
        <v>84</v>
      </c>
      <c r="B86">
        <v>0.999</v>
      </c>
      <c r="C86">
        <v>0.999</v>
      </c>
      <c r="D86">
        <v>0.999</v>
      </c>
      <c r="E86">
        <v>0.999</v>
      </c>
      <c r="F86">
        <v>0.999</v>
      </c>
      <c r="G86">
        <v>0.999</v>
      </c>
      <c r="H86">
        <v>0.999</v>
      </c>
      <c r="I86">
        <v>0.999</v>
      </c>
      <c r="Z86">
        <v>0.999</v>
      </c>
      <c r="AA86">
        <v>0.999</v>
      </c>
      <c r="AB86">
        <v>0.999</v>
      </c>
      <c r="AC86">
        <v>0.999</v>
      </c>
      <c r="AD86">
        <v>0.999</v>
      </c>
      <c r="AE86">
        <v>0.999</v>
      </c>
      <c r="AF86">
        <v>0.999</v>
      </c>
      <c r="AG86">
        <v>0.999</v>
      </c>
    </row>
    <row r="87" spans="1:33">
      <c r="A87" s="9">
        <f t="shared" si="2"/>
        <v>85</v>
      </c>
      <c r="B87">
        <v>0.999</v>
      </c>
      <c r="C87">
        <v>0.999</v>
      </c>
      <c r="D87">
        <v>0.999</v>
      </c>
      <c r="E87">
        <v>0.999</v>
      </c>
      <c r="F87">
        <v>0.999</v>
      </c>
      <c r="G87">
        <v>0.999</v>
      </c>
      <c r="H87">
        <v>0.999</v>
      </c>
      <c r="I87">
        <v>0.999</v>
      </c>
      <c r="Z87">
        <v>0.999</v>
      </c>
      <c r="AA87">
        <v>0.999</v>
      </c>
      <c r="AB87">
        <v>0.999</v>
      </c>
      <c r="AC87">
        <v>0.999</v>
      </c>
      <c r="AD87">
        <v>0.999</v>
      </c>
      <c r="AE87">
        <v>0.999</v>
      </c>
      <c r="AF87">
        <v>0.999</v>
      </c>
      <c r="AG87">
        <v>0.999</v>
      </c>
    </row>
    <row r="88" spans="1:33">
      <c r="A88" s="9">
        <f t="shared" si="2"/>
        <v>86</v>
      </c>
      <c r="B88">
        <v>0.999</v>
      </c>
      <c r="C88">
        <v>0.999</v>
      </c>
      <c r="D88">
        <v>0.999</v>
      </c>
      <c r="E88">
        <v>0.999</v>
      </c>
      <c r="F88">
        <v>0.999</v>
      </c>
      <c r="G88">
        <v>0.999</v>
      </c>
      <c r="H88">
        <v>0.999</v>
      </c>
      <c r="I88">
        <v>0.999</v>
      </c>
      <c r="Z88">
        <v>0.999</v>
      </c>
      <c r="AA88">
        <v>0.999</v>
      </c>
      <c r="AB88">
        <v>0.999</v>
      </c>
      <c r="AC88">
        <v>0.999</v>
      </c>
      <c r="AD88">
        <v>0.999</v>
      </c>
      <c r="AE88">
        <v>0.999</v>
      </c>
      <c r="AF88">
        <v>0.999</v>
      </c>
      <c r="AG88">
        <v>0.999</v>
      </c>
    </row>
    <row r="89" spans="1:33">
      <c r="A89" s="9">
        <f t="shared" si="2"/>
        <v>87</v>
      </c>
      <c r="B89">
        <v>0.999</v>
      </c>
      <c r="C89">
        <v>0.999</v>
      </c>
      <c r="D89">
        <v>0.999</v>
      </c>
      <c r="E89">
        <v>0.999</v>
      </c>
      <c r="F89">
        <v>0.999</v>
      </c>
      <c r="G89">
        <v>0.999</v>
      </c>
      <c r="H89">
        <v>0.999</v>
      </c>
      <c r="I89">
        <v>0.999</v>
      </c>
      <c r="Z89">
        <v>0.999</v>
      </c>
      <c r="AA89">
        <v>0.999</v>
      </c>
      <c r="AB89">
        <v>0.999</v>
      </c>
      <c r="AC89">
        <v>0.999</v>
      </c>
      <c r="AD89">
        <v>0.999</v>
      </c>
      <c r="AE89">
        <v>0.999</v>
      </c>
      <c r="AF89">
        <v>0.999</v>
      </c>
      <c r="AG89">
        <v>0.999</v>
      </c>
    </row>
    <row r="90" spans="1:33">
      <c r="A90" s="9">
        <f t="shared" si="2"/>
        <v>88</v>
      </c>
      <c r="B90">
        <v>0.999</v>
      </c>
      <c r="C90">
        <v>0.999</v>
      </c>
      <c r="D90">
        <v>0.999</v>
      </c>
      <c r="E90">
        <v>0.999</v>
      </c>
      <c r="F90">
        <v>0.999</v>
      </c>
      <c r="G90">
        <v>0.999</v>
      </c>
      <c r="H90">
        <v>0.999</v>
      </c>
      <c r="I90">
        <v>0.999</v>
      </c>
      <c r="Z90">
        <v>0.999</v>
      </c>
      <c r="AA90">
        <v>0.999</v>
      </c>
      <c r="AB90">
        <v>0.999</v>
      </c>
      <c r="AC90">
        <v>0.999</v>
      </c>
      <c r="AD90">
        <v>0.999</v>
      </c>
      <c r="AE90">
        <v>0.999</v>
      </c>
      <c r="AF90">
        <v>0.999</v>
      </c>
      <c r="AG90">
        <v>0.999</v>
      </c>
    </row>
    <row r="91" spans="1:33">
      <c r="A91" s="9">
        <f t="shared" si="2"/>
        <v>89</v>
      </c>
      <c r="B91">
        <v>0.999</v>
      </c>
      <c r="C91">
        <v>0.999</v>
      </c>
      <c r="D91">
        <v>0.999</v>
      </c>
      <c r="E91">
        <v>0.999</v>
      </c>
      <c r="F91">
        <v>0.999</v>
      </c>
      <c r="G91">
        <v>0.999</v>
      </c>
      <c r="H91">
        <v>0.999</v>
      </c>
      <c r="I91">
        <v>0.999</v>
      </c>
      <c r="Z91">
        <v>0.999</v>
      </c>
      <c r="AA91">
        <v>0.999</v>
      </c>
      <c r="AB91">
        <v>0.999</v>
      </c>
      <c r="AC91">
        <v>0.999</v>
      </c>
      <c r="AD91">
        <v>0.999</v>
      </c>
      <c r="AE91">
        <v>0.999</v>
      </c>
      <c r="AF91">
        <v>0.999</v>
      </c>
      <c r="AG91">
        <v>0.999</v>
      </c>
    </row>
    <row r="92" spans="1:33">
      <c r="A92" s="9">
        <f t="shared" si="2"/>
        <v>90</v>
      </c>
      <c r="B92">
        <v>0.999</v>
      </c>
      <c r="C92">
        <v>0.999</v>
      </c>
      <c r="D92">
        <v>0.999</v>
      </c>
      <c r="E92">
        <v>0.999</v>
      </c>
      <c r="F92">
        <v>0.999</v>
      </c>
      <c r="G92">
        <v>0.999</v>
      </c>
      <c r="H92">
        <v>0.999</v>
      </c>
      <c r="I92">
        <v>0.999</v>
      </c>
      <c r="Z92">
        <v>0.999</v>
      </c>
      <c r="AA92">
        <v>0.999</v>
      </c>
      <c r="AB92">
        <v>0.999</v>
      </c>
      <c r="AC92">
        <v>0.999</v>
      </c>
      <c r="AD92">
        <v>0.999</v>
      </c>
      <c r="AE92">
        <v>0.999</v>
      </c>
      <c r="AF92">
        <v>0.999</v>
      </c>
      <c r="AG92">
        <v>0.999</v>
      </c>
    </row>
    <row r="93" spans="1:33">
      <c r="A93" s="9">
        <f t="shared" si="2"/>
        <v>91</v>
      </c>
      <c r="B93">
        <v>0.999</v>
      </c>
      <c r="C93">
        <v>0.999</v>
      </c>
      <c r="D93">
        <v>0.999</v>
      </c>
      <c r="E93">
        <v>0.999</v>
      </c>
      <c r="F93">
        <v>0.999</v>
      </c>
      <c r="G93">
        <v>0.999</v>
      </c>
      <c r="H93">
        <v>0.999</v>
      </c>
      <c r="I93">
        <v>0.999</v>
      </c>
      <c r="Z93">
        <v>0.999</v>
      </c>
      <c r="AA93">
        <v>0.999</v>
      </c>
      <c r="AB93">
        <v>0.999</v>
      </c>
      <c r="AC93">
        <v>0.999</v>
      </c>
      <c r="AD93">
        <v>0.999</v>
      </c>
      <c r="AE93">
        <v>0.999</v>
      </c>
      <c r="AF93">
        <v>0.999</v>
      </c>
      <c r="AG93">
        <v>0.999</v>
      </c>
    </row>
    <row r="94" spans="1:33">
      <c r="A94" s="9">
        <f t="shared" si="2"/>
        <v>92</v>
      </c>
      <c r="B94">
        <v>0.999</v>
      </c>
      <c r="C94">
        <v>0.999</v>
      </c>
      <c r="D94">
        <v>0.999</v>
      </c>
      <c r="E94">
        <v>0.999</v>
      </c>
      <c r="F94">
        <v>0.999</v>
      </c>
      <c r="G94">
        <v>0.999</v>
      </c>
      <c r="H94">
        <v>0.999</v>
      </c>
      <c r="I94">
        <v>0.999</v>
      </c>
      <c r="Z94">
        <v>0.999</v>
      </c>
      <c r="AA94">
        <v>0.999</v>
      </c>
      <c r="AB94">
        <v>0.999</v>
      </c>
      <c r="AC94">
        <v>0.999</v>
      </c>
      <c r="AD94">
        <v>0.999</v>
      </c>
      <c r="AE94">
        <v>0.999</v>
      </c>
      <c r="AF94">
        <v>0.999</v>
      </c>
      <c r="AG94">
        <v>0.999</v>
      </c>
    </row>
    <row r="95" spans="1:33">
      <c r="A95" s="9">
        <f t="shared" si="2"/>
        <v>93</v>
      </c>
      <c r="B95">
        <v>0.999</v>
      </c>
      <c r="C95">
        <v>0.999</v>
      </c>
      <c r="D95">
        <v>0.999</v>
      </c>
      <c r="E95">
        <v>0.999</v>
      </c>
      <c r="F95">
        <v>0.999</v>
      </c>
      <c r="G95">
        <v>0.999</v>
      </c>
      <c r="H95">
        <v>0.999</v>
      </c>
      <c r="I95">
        <v>0.999</v>
      </c>
      <c r="Z95">
        <v>0.999</v>
      </c>
      <c r="AA95">
        <v>0.999</v>
      </c>
      <c r="AB95">
        <v>0.999</v>
      </c>
      <c r="AC95">
        <v>0.999</v>
      </c>
      <c r="AD95">
        <v>0.999</v>
      </c>
      <c r="AE95">
        <v>0.999</v>
      </c>
      <c r="AF95">
        <v>0.999</v>
      </c>
      <c r="AG95">
        <v>0.999</v>
      </c>
    </row>
    <row r="96" spans="1:33">
      <c r="A96" s="9">
        <f t="shared" si="2"/>
        <v>94</v>
      </c>
      <c r="B96">
        <v>0.999</v>
      </c>
      <c r="C96">
        <v>0.999</v>
      </c>
      <c r="D96">
        <v>0.999</v>
      </c>
      <c r="E96">
        <v>0.999</v>
      </c>
      <c r="F96">
        <v>0.999</v>
      </c>
      <c r="G96">
        <v>0.999</v>
      </c>
      <c r="H96">
        <v>0.999</v>
      </c>
      <c r="I96">
        <v>0.999</v>
      </c>
      <c r="Z96">
        <v>0.999</v>
      </c>
      <c r="AA96">
        <v>0.999</v>
      </c>
      <c r="AB96">
        <v>0.999</v>
      </c>
      <c r="AC96">
        <v>0.999</v>
      </c>
      <c r="AD96">
        <v>0.999</v>
      </c>
      <c r="AE96">
        <v>0.999</v>
      </c>
      <c r="AF96">
        <v>0.999</v>
      </c>
      <c r="AG96">
        <v>0.999</v>
      </c>
    </row>
    <row r="97" spans="1:33">
      <c r="A97" s="9">
        <f t="shared" si="2"/>
        <v>95</v>
      </c>
      <c r="B97">
        <v>0.999</v>
      </c>
      <c r="C97">
        <v>0.999</v>
      </c>
      <c r="D97">
        <v>0.999</v>
      </c>
      <c r="E97">
        <v>0.999</v>
      </c>
      <c r="F97">
        <v>0.999</v>
      </c>
      <c r="G97">
        <v>0.999</v>
      </c>
      <c r="H97">
        <v>0.999</v>
      </c>
      <c r="I97">
        <v>0.999</v>
      </c>
      <c r="Z97">
        <v>0.999</v>
      </c>
      <c r="AA97">
        <v>0.999</v>
      </c>
      <c r="AB97">
        <v>0.999</v>
      </c>
      <c r="AC97">
        <v>0.999</v>
      </c>
      <c r="AD97">
        <v>0.999</v>
      </c>
      <c r="AE97">
        <v>0.999</v>
      </c>
      <c r="AF97">
        <v>0.999</v>
      </c>
      <c r="AG97">
        <v>0.999</v>
      </c>
    </row>
    <row r="98" spans="1:33">
      <c r="A98" s="9">
        <f t="shared" si="2"/>
        <v>96</v>
      </c>
      <c r="B98">
        <v>0.999</v>
      </c>
      <c r="C98">
        <v>0.999</v>
      </c>
      <c r="D98">
        <v>0.999</v>
      </c>
      <c r="E98">
        <v>0.999</v>
      </c>
      <c r="F98">
        <v>0.999</v>
      </c>
      <c r="G98">
        <v>0.999</v>
      </c>
      <c r="H98">
        <v>0.999</v>
      </c>
      <c r="I98">
        <v>0.999</v>
      </c>
      <c r="Z98">
        <v>0.999</v>
      </c>
      <c r="AA98">
        <v>0.999</v>
      </c>
      <c r="AB98">
        <v>0.999</v>
      </c>
      <c r="AC98">
        <v>0.999</v>
      </c>
      <c r="AD98">
        <v>0.999</v>
      </c>
      <c r="AE98">
        <v>0.999</v>
      </c>
      <c r="AF98">
        <v>0.999</v>
      </c>
      <c r="AG98">
        <v>0.999</v>
      </c>
    </row>
    <row r="99" spans="1:33">
      <c r="A99" s="9">
        <f t="shared" si="2"/>
        <v>97</v>
      </c>
      <c r="B99">
        <v>0.999</v>
      </c>
      <c r="C99">
        <v>0.999</v>
      </c>
      <c r="D99">
        <v>0.999</v>
      </c>
      <c r="E99">
        <v>0.999</v>
      </c>
      <c r="F99">
        <v>0.999</v>
      </c>
      <c r="G99">
        <v>0.999</v>
      </c>
      <c r="H99">
        <v>0.999</v>
      </c>
      <c r="I99">
        <v>0.999</v>
      </c>
      <c r="Z99">
        <v>0.999</v>
      </c>
      <c r="AA99">
        <v>0.999</v>
      </c>
      <c r="AB99">
        <v>0.999</v>
      </c>
      <c r="AC99">
        <v>0.999</v>
      </c>
      <c r="AD99">
        <v>0.999</v>
      </c>
      <c r="AE99">
        <v>0.999</v>
      </c>
      <c r="AF99">
        <v>0.999</v>
      </c>
      <c r="AG99">
        <v>0.999</v>
      </c>
    </row>
    <row r="100" spans="1:33">
      <c r="A100" s="9">
        <f t="shared" si="2"/>
        <v>98</v>
      </c>
      <c r="B100">
        <v>0.999</v>
      </c>
      <c r="C100">
        <v>0.999</v>
      </c>
      <c r="D100">
        <v>0.999</v>
      </c>
      <c r="E100">
        <v>0.999</v>
      </c>
      <c r="F100">
        <v>0.999</v>
      </c>
      <c r="G100">
        <v>0.999</v>
      </c>
      <c r="H100">
        <v>0.999</v>
      </c>
      <c r="I100">
        <v>0.999</v>
      </c>
      <c r="Z100">
        <v>0.999</v>
      </c>
      <c r="AA100">
        <v>0.999</v>
      </c>
      <c r="AB100">
        <v>0.999</v>
      </c>
      <c r="AC100">
        <v>0.999</v>
      </c>
      <c r="AD100">
        <v>0.999</v>
      </c>
      <c r="AE100">
        <v>0.999</v>
      </c>
      <c r="AF100">
        <v>0.999</v>
      </c>
      <c r="AG100">
        <v>0.999</v>
      </c>
    </row>
    <row r="101" spans="1:33">
      <c r="A101" s="9">
        <f t="shared" si="2"/>
        <v>99</v>
      </c>
      <c r="B101">
        <v>0.999</v>
      </c>
      <c r="C101">
        <v>0.999</v>
      </c>
      <c r="D101">
        <v>0.999</v>
      </c>
      <c r="E101">
        <v>0.999</v>
      </c>
      <c r="F101">
        <v>0.999</v>
      </c>
      <c r="G101">
        <v>0.999</v>
      </c>
      <c r="H101">
        <v>0.999</v>
      </c>
      <c r="I101">
        <v>0.999</v>
      </c>
      <c r="Z101">
        <v>0.999</v>
      </c>
      <c r="AA101">
        <v>0.999</v>
      </c>
      <c r="AB101">
        <v>0.999</v>
      </c>
      <c r="AC101">
        <v>0.999</v>
      </c>
      <c r="AD101">
        <v>0.999</v>
      </c>
      <c r="AE101">
        <v>0.999</v>
      </c>
      <c r="AF101">
        <v>0.999</v>
      </c>
      <c r="AG101">
        <v>0.999</v>
      </c>
    </row>
    <row r="102" spans="1:33">
      <c r="A102" s="9">
        <f t="shared" si="2"/>
        <v>100</v>
      </c>
      <c r="B102" s="9">
        <v>0.999</v>
      </c>
      <c r="C102" s="9">
        <v>0.999</v>
      </c>
      <c r="D102" s="9">
        <v>0.999</v>
      </c>
      <c r="E102" s="9">
        <v>0.999</v>
      </c>
      <c r="F102" s="9">
        <v>0.999</v>
      </c>
      <c r="G102" s="9">
        <v>0.999</v>
      </c>
      <c r="H102" s="9">
        <v>0.999</v>
      </c>
      <c r="I102" s="9">
        <v>0.999</v>
      </c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>
        <v>0.999</v>
      </c>
      <c r="AA102" s="9">
        <v>0.999</v>
      </c>
      <c r="AB102" s="9">
        <v>0.999</v>
      </c>
      <c r="AC102" s="9">
        <v>0.999</v>
      </c>
      <c r="AD102" s="9">
        <v>0.999</v>
      </c>
      <c r="AE102" s="9">
        <v>0.999</v>
      </c>
      <c r="AF102" s="9">
        <v>0.999</v>
      </c>
      <c r="AG102" s="9">
        <v>0.999</v>
      </c>
    </row>
    <row r="103" spans="1:33">
      <c r="B103">
        <f>J1</f>
        <v>8</v>
      </c>
      <c r="C103" s="9">
        <f t="shared" ref="C103:I103" si="3">K1</f>
        <v>9</v>
      </c>
      <c r="D103" s="9">
        <f t="shared" si="3"/>
        <v>10</v>
      </c>
      <c r="E103" s="9">
        <f t="shared" si="3"/>
        <v>11</v>
      </c>
      <c r="F103" s="9">
        <f t="shared" si="3"/>
        <v>12</v>
      </c>
      <c r="G103" s="9">
        <f t="shared" si="3"/>
        <v>13</v>
      </c>
      <c r="H103" s="9">
        <f t="shared" si="3"/>
        <v>14</v>
      </c>
      <c r="I103" s="9">
        <f t="shared" si="3"/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G102"/>
  <sheetViews>
    <sheetView topLeftCell="A2" zoomScale="70" zoomScaleNormal="70" workbookViewId="0">
      <pane ySplit="10680" topLeftCell="A95"/>
      <selection activeCell="G31" sqref="G31"/>
      <selection pane="bottomLeft" activeCell="B80" sqref="B80"/>
    </sheetView>
  </sheetViews>
  <sheetFormatPr defaultRowHeight="15"/>
  <sheetData>
    <row r="1" spans="1:33">
      <c r="A1" s="9"/>
      <c r="B1">
        <v>0</v>
      </c>
      <c r="C1">
        <f t="shared" ref="C1:K1" si="0">B1+1</f>
        <v>1</v>
      </c>
      <c r="D1">
        <f t="shared" si="0"/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 s="9" t="s">
        <v>4</v>
      </c>
      <c r="N1" t="s">
        <v>5</v>
      </c>
    </row>
    <row r="2" spans="1:33">
      <c r="A2">
        <v>0</v>
      </c>
      <c r="B2">
        <v>8.5952578388059919E-8</v>
      </c>
      <c r="C2">
        <v>8.4395800570291613E-8</v>
      </c>
      <c r="D2">
        <v>9.129071543156897E-8</v>
      </c>
      <c r="E2">
        <v>8.5507437574960932E-8</v>
      </c>
      <c r="F2">
        <v>8.0169463956281106E-8</v>
      </c>
      <c r="G2">
        <v>8.1505049820407294E-8</v>
      </c>
      <c r="H2">
        <v>8.550856733791079E-8</v>
      </c>
      <c r="I2">
        <v>8.7509363311255584E-8</v>
      </c>
      <c r="L2">
        <f>AVERAGE(B2:K2)</f>
        <v>8.5229872048842026E-8</v>
      </c>
      <c r="Z2">
        <v>1.8337611606966675E-7</v>
      </c>
      <c r="AA2">
        <v>2.0628723973459273E-7</v>
      </c>
      <c r="AB2">
        <v>1.6563885818499102E-9</v>
      </c>
      <c r="AC2">
        <v>1.9503302155499114E-6</v>
      </c>
      <c r="AF2">
        <v>2.0455070171010448E-6</v>
      </c>
      <c r="AG2">
        <v>0</v>
      </c>
    </row>
    <row r="3" spans="1:33">
      <c r="A3">
        <f>A2+1</f>
        <v>1</v>
      </c>
      <c r="B3" s="9">
        <v>1.5134484954160143E-7</v>
      </c>
      <c r="C3">
        <v>1.6002017844130023E-7</v>
      </c>
      <c r="D3">
        <v>1.6802738400656381E-7</v>
      </c>
      <c r="E3">
        <v>1.615776170638128E-7</v>
      </c>
      <c r="F3">
        <v>1.691401649850377E-7</v>
      </c>
      <c r="G3">
        <v>1.5979833278834121E-7</v>
      </c>
      <c r="H3">
        <v>1.7269967145239207E-7</v>
      </c>
      <c r="I3">
        <v>1.6936328961492109E-7</v>
      </c>
      <c r="L3" s="9">
        <f t="shared" ref="L3:L66" si="1">AVERAGE(B3:K3)</f>
        <v>1.6399643598674629E-7</v>
      </c>
      <c r="Z3">
        <v>3.3240567631764861E-7</v>
      </c>
      <c r="AA3">
        <v>3.5753893712353602E-7</v>
      </c>
      <c r="AB3">
        <v>1.5543576425969263E-9</v>
      </c>
      <c r="AC3">
        <v>3.6364951938594459E-6</v>
      </c>
      <c r="AF3">
        <v>3.7037766560388263E-6</v>
      </c>
      <c r="AG3">
        <v>0</v>
      </c>
    </row>
    <row r="4" spans="1:33">
      <c r="A4" s="9">
        <f t="shared" ref="A4:A67" si="2">A3+1</f>
        <v>2</v>
      </c>
      <c r="B4" s="9">
        <v>2.8324996037554229E-7</v>
      </c>
      <c r="C4">
        <v>2.8324933509793482E-7</v>
      </c>
      <c r="D4">
        <v>2.932592622073571E-7</v>
      </c>
      <c r="E4">
        <v>3.0415725404964178E-7</v>
      </c>
      <c r="F4">
        <v>2.8769815685336653E-7</v>
      </c>
      <c r="G4">
        <v>2.9147852842470456E-7</v>
      </c>
      <c r="H4">
        <v>3.066049600874976E-7</v>
      </c>
      <c r="I4">
        <v>3.0193393740773899E-7</v>
      </c>
      <c r="L4" s="9">
        <f t="shared" si="1"/>
        <v>2.9395392431297296E-7</v>
      </c>
      <c r="Z4">
        <v>5.8619622222977341E-7</v>
      </c>
      <c r="AA4">
        <v>6.1133198414609069E-7</v>
      </c>
      <c r="AB4">
        <v>1.3870573578600442E-9</v>
      </c>
      <c r="AC4">
        <v>6.2095969042275101E-6</v>
      </c>
      <c r="AF4">
        <v>6.3232555476133712E-6</v>
      </c>
      <c r="AG4">
        <v>0</v>
      </c>
    </row>
    <row r="5" spans="1:33">
      <c r="A5" s="9">
        <f t="shared" si="2"/>
        <v>3</v>
      </c>
      <c r="B5" s="9">
        <v>4.8276933739543892E-7</v>
      </c>
      <c r="C5">
        <v>4.8543842012804816E-7</v>
      </c>
      <c r="D5">
        <v>5.0901491022159462E-7</v>
      </c>
      <c r="E5">
        <v>4.9500192744744709E-7</v>
      </c>
      <c r="F5">
        <v>5.01452348089515E-7</v>
      </c>
      <c r="G5">
        <v>4.9700435056365677E-7</v>
      </c>
      <c r="H5">
        <v>5.0389991201882367E-7</v>
      </c>
      <c r="I5">
        <v>5.0879242508017342E-7</v>
      </c>
      <c r="L5" s="9">
        <f t="shared" si="1"/>
        <v>4.9792170386808721E-7</v>
      </c>
      <c r="Z5">
        <v>9.251829737877415E-7</v>
      </c>
      <c r="AA5">
        <v>9.7945769539364846E-7</v>
      </c>
      <c r="AB5">
        <v>1.4278641602416542E-9</v>
      </c>
      <c r="AC5">
        <v>9.837430297920946E-6</v>
      </c>
      <c r="AF5">
        <v>1.0031282727140933E-5</v>
      </c>
      <c r="AG5">
        <v>0</v>
      </c>
    </row>
    <row r="6" spans="1:33">
      <c r="A6" s="9">
        <f t="shared" si="2"/>
        <v>4</v>
      </c>
      <c r="B6" s="9">
        <v>7.503528536290105E-7</v>
      </c>
      <c r="C6">
        <v>7.4790546022995841E-7</v>
      </c>
      <c r="D6">
        <v>7.6792372283307486E-7</v>
      </c>
      <c r="E6">
        <v>7.7748785543008125E-7</v>
      </c>
      <c r="F6">
        <v>7.5235561780573335E-7</v>
      </c>
      <c r="G6">
        <v>7.6347555477696005E-7</v>
      </c>
      <c r="H6">
        <v>7.828263619558129E-7</v>
      </c>
      <c r="I6">
        <v>7.8416047699647606E-7</v>
      </c>
      <c r="L6" s="9">
        <f t="shared" si="1"/>
        <v>7.6581098795713842E-7</v>
      </c>
      <c r="Z6">
        <v>1.4797009271205752E-6</v>
      </c>
      <c r="AA6">
        <v>1.4874855196467252E-6</v>
      </c>
      <c r="AB6">
        <v>1.3625688355389798E-9</v>
      </c>
      <c r="AC6">
        <v>1.4221037417883053E-5</v>
      </c>
      <c r="AF6">
        <v>1.4614291103498545E-5</v>
      </c>
      <c r="AG6">
        <v>0</v>
      </c>
    </row>
    <row r="7" spans="1:33">
      <c r="A7" s="9">
        <f t="shared" si="2"/>
        <v>5</v>
      </c>
      <c r="B7" s="9">
        <v>1.0724312460297369E-6</v>
      </c>
      <c r="C7">
        <v>1.0559710972302128E-6</v>
      </c>
      <c r="D7">
        <v>1.1049065733459429E-6</v>
      </c>
      <c r="E7">
        <v>1.1153609875691473E-6</v>
      </c>
      <c r="F7">
        <v>1.1218108966204454E-6</v>
      </c>
      <c r="G7">
        <v>1.1053513162551099E-6</v>
      </c>
      <c r="H7">
        <v>1.1184753248016932E-6</v>
      </c>
      <c r="I7">
        <v>1.1267060244790628E-6</v>
      </c>
      <c r="L7" s="9">
        <f t="shared" si="1"/>
        <v>1.1026266832914189E-6</v>
      </c>
      <c r="Z7">
        <v>2.1225253021839308E-6</v>
      </c>
      <c r="AA7">
        <v>2.1116268271725858E-6</v>
      </c>
      <c r="AB7">
        <v>1.3217654748487462E-9</v>
      </c>
      <c r="AC7">
        <v>1.9994051399407908E-5</v>
      </c>
      <c r="AF7">
        <v>2.0155555830569938E-5</v>
      </c>
      <c r="AG7">
        <v>0</v>
      </c>
    </row>
    <row r="8" spans="1:33">
      <c r="A8" s="9">
        <f t="shared" si="2"/>
        <v>6</v>
      </c>
      <c r="B8" s="9">
        <v>1.4883753465255722E-6</v>
      </c>
      <c r="C8">
        <v>1.4665773733213427E-6</v>
      </c>
      <c r="D8">
        <v>1.5146226814977126E-6</v>
      </c>
      <c r="E8">
        <v>1.5197389302556985E-6</v>
      </c>
      <c r="F8">
        <v>1.4732501085745753E-6</v>
      </c>
      <c r="G8">
        <v>1.4994976709203911E-6</v>
      </c>
      <c r="H8">
        <v>1.5221852436297922E-6</v>
      </c>
      <c r="I8">
        <v>1.5175144199019996E-6</v>
      </c>
      <c r="L8" s="9">
        <f t="shared" si="1"/>
        <v>1.5002202218283855E-6</v>
      </c>
      <c r="Z8">
        <v>2.8656661470449762E-6</v>
      </c>
      <c r="AA8">
        <v>2.890133600885747E-6</v>
      </c>
      <c r="AB8">
        <v>1.3054325398442757E-9</v>
      </c>
      <c r="AC8">
        <v>2.6180690838373266E-5</v>
      </c>
      <c r="AF8">
        <v>2.646511529746931E-5</v>
      </c>
      <c r="AG8">
        <v>0</v>
      </c>
    </row>
    <row r="9" spans="1:33">
      <c r="A9" s="9">
        <f t="shared" si="2"/>
        <v>7</v>
      </c>
      <c r="B9" s="9">
        <v>1.9496965251164511E-6</v>
      </c>
      <c r="C9">
        <v>1.9312342374178115E-6</v>
      </c>
      <c r="D9">
        <v>1.9757219433813589E-6</v>
      </c>
      <c r="E9">
        <v>1.9708281797647942E-6</v>
      </c>
      <c r="F9">
        <v>1.9325691482663387E-6</v>
      </c>
      <c r="G9">
        <v>1.9617075395217398E-6</v>
      </c>
      <c r="H9">
        <v>2.0322197542554932E-6</v>
      </c>
      <c r="I9">
        <v>1.9823937691398896E-6</v>
      </c>
      <c r="L9" s="9">
        <f t="shared" si="1"/>
        <v>1.9670463871079846E-6</v>
      </c>
      <c r="Z9">
        <v>3.6210408325132448E-6</v>
      </c>
      <c r="AA9">
        <v>3.7567224353551865E-6</v>
      </c>
      <c r="AB9">
        <v>1.2727938702994379E-9</v>
      </c>
      <c r="AC9">
        <v>3.3459189580753446E-5</v>
      </c>
      <c r="AF9">
        <v>3.361699782544747E-5</v>
      </c>
      <c r="AG9">
        <v>0</v>
      </c>
    </row>
    <row r="10" spans="1:33">
      <c r="A10" s="9">
        <f t="shared" si="2"/>
        <v>8</v>
      </c>
      <c r="B10" s="9">
        <v>2.4390446924371645E-6</v>
      </c>
      <c r="C10">
        <v>2.4532816951250425E-6</v>
      </c>
      <c r="D10">
        <v>2.4890923668863252E-6</v>
      </c>
      <c r="E10">
        <v>2.4950977604021318E-6</v>
      </c>
      <c r="F10">
        <v>2.4270341327792266E-6</v>
      </c>
      <c r="G10">
        <v>2.479305976521573E-6</v>
      </c>
      <c r="H10">
        <v>2.5231238396372646E-6</v>
      </c>
      <c r="I10">
        <v>2.5044398626050679E-6</v>
      </c>
      <c r="L10" s="9">
        <f t="shared" si="1"/>
        <v>2.4763025407992245E-6</v>
      </c>
      <c r="Z10">
        <v>4.7280768740165513E-6</v>
      </c>
      <c r="AA10">
        <v>4.7474281927861739E-6</v>
      </c>
      <c r="AB10">
        <v>1.1993422921463548E-9</v>
      </c>
      <c r="AC10">
        <v>4.1215287637896836E-5</v>
      </c>
      <c r="AF10">
        <v>4.1269577195635065E-5</v>
      </c>
      <c r="AG10">
        <v>0</v>
      </c>
    </row>
    <row r="11" spans="1:33">
      <c r="A11" s="9">
        <f t="shared" si="2"/>
        <v>9</v>
      </c>
      <c r="B11">
        <v>2.9968985018058447E-6</v>
      </c>
      <c r="C11">
        <v>2.9642023946507834E-6</v>
      </c>
      <c r="D11">
        <v>3.0938804229663219E-6</v>
      </c>
      <c r="E11">
        <v>3.0763076210860163E-6</v>
      </c>
      <c r="F11">
        <v>3.1448162189917639E-6</v>
      </c>
      <c r="G11">
        <v>3.0498395062750205E-6</v>
      </c>
      <c r="H11">
        <v>3.0832047741569113E-6</v>
      </c>
      <c r="I11">
        <v>3.0778660402575042E-6</v>
      </c>
      <c r="L11" s="9">
        <f t="shared" si="1"/>
        <v>3.0608769350237708E-6</v>
      </c>
      <c r="Z11">
        <v>5.4676593208569102E-6</v>
      </c>
      <c r="AA11">
        <v>5.8226564760843758E-6</v>
      </c>
      <c r="AB11">
        <v>1.2075014321766275E-9</v>
      </c>
      <c r="AC11">
        <v>4.9444402975495905E-5</v>
      </c>
      <c r="AF11">
        <v>4.9731075705494732E-5</v>
      </c>
    </row>
    <row r="12" spans="1:33">
      <c r="A12" s="9">
        <f t="shared" si="2"/>
        <v>10</v>
      </c>
      <c r="B12">
        <v>3.6301594263932202E-6</v>
      </c>
      <c r="C12">
        <v>3.6221520076651359E-6</v>
      </c>
      <c r="D12">
        <v>3.6721960441354895E-6</v>
      </c>
      <c r="E12">
        <v>3.6590743093256606E-6</v>
      </c>
      <c r="F12">
        <v>3.6094741062697722E-6</v>
      </c>
      <c r="G12">
        <v>3.6653009374276735E-6</v>
      </c>
      <c r="H12">
        <v>3.6664139315689681E-6</v>
      </c>
      <c r="I12">
        <v>3.6875439946015831E-6</v>
      </c>
      <c r="L12" s="9">
        <f t="shared" si="1"/>
        <v>3.6515393446734379E-6</v>
      </c>
      <c r="Z12">
        <v>6.9268012339307461E-6</v>
      </c>
      <c r="AA12">
        <v>7.0057658376754262E-6</v>
      </c>
      <c r="AB12">
        <v>1.101390867397356E-9</v>
      </c>
      <c r="AC12">
        <v>5.827686982229352E-5</v>
      </c>
      <c r="AF12">
        <v>5.8687517594080418E-5</v>
      </c>
    </row>
    <row r="13" spans="1:33">
      <c r="A13" s="9">
        <f t="shared" si="2"/>
        <v>11</v>
      </c>
      <c r="B13">
        <v>4.300121872802265E-6</v>
      </c>
      <c r="C13">
        <v>4.3477207327669021E-6</v>
      </c>
      <c r="D13">
        <v>4.3125764932483435E-6</v>
      </c>
      <c r="E13">
        <v>4.3201384869462345E-6</v>
      </c>
      <c r="F13">
        <v>4.3561708480410744E-6</v>
      </c>
      <c r="G13">
        <v>4.3234745135123376E-6</v>
      </c>
      <c r="H13">
        <v>4.3908694351557642E-6</v>
      </c>
      <c r="I13">
        <v>4.3446043491712771E-6</v>
      </c>
      <c r="L13" s="9">
        <f t="shared" si="1"/>
        <v>4.3369595914555248E-6</v>
      </c>
      <c r="Z13">
        <v>8.0852223618421704E-6</v>
      </c>
      <c r="AA13">
        <v>8.2831838881247677E-6</v>
      </c>
      <c r="AB13">
        <v>1.0197778177456485E-9</v>
      </c>
      <c r="AC13">
        <v>6.776848022127524E-5</v>
      </c>
      <c r="AF13">
        <v>6.8338988057803363E-5</v>
      </c>
    </row>
    <row r="14" spans="1:33">
      <c r="A14" s="9">
        <f t="shared" si="2"/>
        <v>12</v>
      </c>
      <c r="B14">
        <v>4.9723034862836357E-6</v>
      </c>
      <c r="C14">
        <v>4.9336026677337941E-6</v>
      </c>
      <c r="D14">
        <v>5.030583906773245E-6</v>
      </c>
      <c r="E14">
        <v>5.0161247600044589E-6</v>
      </c>
      <c r="F14">
        <v>4.9447212404629681E-6</v>
      </c>
      <c r="G14">
        <v>5.0230196393385995E-6</v>
      </c>
      <c r="H14">
        <v>5.0448174988559913E-6</v>
      </c>
      <c r="I14">
        <v>5.0503772399679292E-6</v>
      </c>
      <c r="L14" s="9">
        <f t="shared" si="1"/>
        <v>5.0019438049275777E-6</v>
      </c>
      <c r="Z14">
        <v>9.1088495537405834E-6</v>
      </c>
      <c r="AA14">
        <v>9.63622733252123E-6</v>
      </c>
      <c r="AB14">
        <v>1.0401840500051662E-9</v>
      </c>
      <c r="AC14">
        <v>7.852456474211067E-5</v>
      </c>
      <c r="AF14">
        <v>7.8297620348166674E-5</v>
      </c>
    </row>
    <row r="15" spans="1:33">
      <c r="A15" s="9">
        <f t="shared" si="2"/>
        <v>13</v>
      </c>
      <c r="B15">
        <v>5.7590423239162192E-6</v>
      </c>
      <c r="C15">
        <v>5.7530373851477634E-6</v>
      </c>
      <c r="D15">
        <v>5.7852889767673332E-6</v>
      </c>
      <c r="E15">
        <v>5.7570400713302661E-6</v>
      </c>
      <c r="F15">
        <v>5.8251034715794958E-6</v>
      </c>
      <c r="G15">
        <v>5.753039204137167E-6</v>
      </c>
      <c r="H15">
        <v>5.8251034715794958E-6</v>
      </c>
      <c r="I15">
        <v>5.7961897255154327E-6</v>
      </c>
      <c r="L15" s="9">
        <f t="shared" si="1"/>
        <v>5.7817305787466466E-6</v>
      </c>
      <c r="O15" s="9" t="s">
        <v>19</v>
      </c>
      <c r="Q15" s="5" t="s">
        <v>8</v>
      </c>
      <c r="S15" s="5" t="s">
        <v>9</v>
      </c>
      <c r="U15" s="9" t="s">
        <v>25</v>
      </c>
      <c r="Z15">
        <v>1.0783749530673958E-5</v>
      </c>
      <c r="AA15">
        <v>1.0971258234349079E-5</v>
      </c>
      <c r="AB15">
        <v>1.1462917282045737E-9</v>
      </c>
      <c r="AC15">
        <v>8.9534514700062573E-5</v>
      </c>
      <c r="AF15">
        <v>8.8837601651903242E-5</v>
      </c>
    </row>
    <row r="16" spans="1:33">
      <c r="A16" s="9">
        <f t="shared" si="2"/>
        <v>14</v>
      </c>
      <c r="B16">
        <v>6.5104150053230114E-6</v>
      </c>
      <c r="C16">
        <v>6.4919527176243719E-6</v>
      </c>
      <c r="D16">
        <v>6.5958247432718053E-6</v>
      </c>
      <c r="E16">
        <v>6.5333210841345135E-6</v>
      </c>
      <c r="F16">
        <v>6.5738040575524792E-6</v>
      </c>
      <c r="G16">
        <v>6.5462236307212152E-6</v>
      </c>
      <c r="H16">
        <v>6.5553422246011905E-6</v>
      </c>
      <c r="I16">
        <v>6.5735816860978957E-6</v>
      </c>
      <c r="L16" s="9">
        <f t="shared" si="1"/>
        <v>6.5475581436658103E-6</v>
      </c>
      <c r="O16">
        <v>1</v>
      </c>
      <c r="Q16" t="s">
        <v>4</v>
      </c>
      <c r="S16" t="s">
        <v>4</v>
      </c>
      <c r="Z16">
        <v>1.1802926564996596E-5</v>
      </c>
      <c r="AA16">
        <v>1.2513588444562629E-5</v>
      </c>
      <c r="AB16">
        <v>1.0565225361247599E-9</v>
      </c>
      <c r="AC16">
        <v>1.0011609265347943E-4</v>
      </c>
      <c r="AF16">
        <v>1.0034933802671731E-4</v>
      </c>
    </row>
    <row r="17" spans="1:32">
      <c r="A17" s="9">
        <f t="shared" si="2"/>
        <v>15</v>
      </c>
      <c r="B17">
        <v>7.3469745984766632E-6</v>
      </c>
      <c r="C17">
        <v>7.2226348493131809E-6</v>
      </c>
      <c r="D17">
        <v>7.3334040280315094E-6</v>
      </c>
      <c r="E17">
        <v>7.3569813139329199E-6</v>
      </c>
      <c r="F17">
        <v>7.4130343818978872E-6</v>
      </c>
      <c r="G17">
        <v>7.3589822022768203E-6</v>
      </c>
      <c r="H17">
        <v>7.4152585511910729E-6</v>
      </c>
      <c r="I17">
        <v>7.3858996074704919E-6</v>
      </c>
      <c r="L17" s="9">
        <f t="shared" si="1"/>
        <v>7.3541461915738182E-6</v>
      </c>
      <c r="N17">
        <f t="shared" ref="N17:N25" si="3">A2</f>
        <v>0</v>
      </c>
      <c r="O17" s="4">
        <f t="shared" ref="O17:O25" si="4">(1-O$16)*Q17+O$16*S17</f>
        <v>8.5229872048842026E-8</v>
      </c>
      <c r="Q17" s="4">
        <f>AVERAGE(data0!B2:AG2)</f>
        <v>2.6610645665121929E-3</v>
      </c>
      <c r="S17" s="4">
        <f t="shared" ref="S17:S25" si="5">AVERAGE(B2:K2)</f>
        <v>8.5229872048842026E-8</v>
      </c>
      <c r="U17" s="1">
        <f t="shared" ref="U17:U25" si="6">LOG(S$17/S17)</f>
        <v>0</v>
      </c>
      <c r="Z17">
        <v>1.3263404071039986E-5</v>
      </c>
      <c r="AA17">
        <v>1.4087731869949494E-5</v>
      </c>
      <c r="AB17">
        <v>1.0687521978525183E-9</v>
      </c>
      <c r="AC17">
        <v>1.1185728362761438E-4</v>
      </c>
      <c r="AF17">
        <v>1.1187008931301534E-4</v>
      </c>
    </row>
    <row r="18" spans="1:32">
      <c r="A18" s="9">
        <f t="shared" si="2"/>
        <v>16</v>
      </c>
      <c r="B18">
        <v>8.1446123658679426E-6</v>
      </c>
      <c r="C18">
        <v>8.1312637121300213E-6</v>
      </c>
      <c r="D18">
        <v>8.2106726040365174E-6</v>
      </c>
      <c r="E18">
        <v>8.2055539678549394E-6</v>
      </c>
      <c r="F18">
        <v>8.2355818449286744E-6</v>
      </c>
      <c r="G18">
        <v>8.1890966612263583E-6</v>
      </c>
      <c r="H18">
        <v>8.2082233348046429E-6</v>
      </c>
      <c r="I18">
        <v>8.2326887422823347E-6</v>
      </c>
      <c r="L18" s="9">
        <f t="shared" si="1"/>
        <v>8.1947116541414289E-6</v>
      </c>
      <c r="N18" s="9">
        <f t="shared" si="3"/>
        <v>1</v>
      </c>
      <c r="O18" s="4">
        <f t="shared" si="4"/>
        <v>1.6399643598674629E-7</v>
      </c>
      <c r="Q18" s="4">
        <f>AVERAGE(data0!B3:AG3)</f>
        <v>2.6610645665121929E-3</v>
      </c>
      <c r="S18" s="4">
        <f t="shared" si="5"/>
        <v>1.6399643598674629E-7</v>
      </c>
      <c r="U18" s="1">
        <f t="shared" si="6"/>
        <v>-0.28424257349002452</v>
      </c>
      <c r="Z18">
        <v>1.5953031834214926E-5</v>
      </c>
      <c r="AA18">
        <v>1.5722154785180464E-5</v>
      </c>
      <c r="AB18">
        <v>9.2593743783453419E-10</v>
      </c>
      <c r="AC18">
        <v>1.2370743206702173E-4</v>
      </c>
      <c r="AF18">
        <v>1.2385820446070284E-4</v>
      </c>
    </row>
    <row r="19" spans="1:32">
      <c r="A19" s="9">
        <f t="shared" si="2"/>
        <v>17</v>
      </c>
      <c r="B19">
        <v>9.0160910986014642E-6</v>
      </c>
      <c r="C19">
        <v>8.9524774011806585E-6</v>
      </c>
      <c r="D19">
        <v>9.1235269792377949E-6</v>
      </c>
      <c r="E19">
        <v>9.1219681053189561E-6</v>
      </c>
      <c r="F19">
        <v>9.0665826064650901E-6</v>
      </c>
      <c r="G19">
        <v>9.0679159256978892E-6</v>
      </c>
      <c r="H19">
        <v>9.153330211120192E-6</v>
      </c>
      <c r="I19">
        <v>9.100167517317459E-6</v>
      </c>
      <c r="L19" s="9">
        <f t="shared" si="1"/>
        <v>9.075257480617438E-6</v>
      </c>
      <c r="N19" s="9">
        <f t="shared" si="3"/>
        <v>2</v>
      </c>
      <c r="O19" s="4">
        <f t="shared" si="4"/>
        <v>2.9395392431297296E-7</v>
      </c>
      <c r="Q19" s="4">
        <f>AVERAGE(data0!B4:AG4)</f>
        <v>3.2212886892791304E-3</v>
      </c>
      <c r="S19" s="4">
        <f t="shared" si="5"/>
        <v>2.9395392431297296E-7</v>
      </c>
      <c r="U19" s="1">
        <f t="shared" si="6"/>
        <v>-0.53768742597717456</v>
      </c>
      <c r="Z19">
        <v>1.7670865418040194E-5</v>
      </c>
      <c r="AA19">
        <v>1.7333437426714227E-5</v>
      </c>
      <c r="AB19">
        <v>1.0116248949643136E-9</v>
      </c>
      <c r="AC19">
        <v>1.3595774362329394E-4</v>
      </c>
      <c r="AF19">
        <v>1.3591162860393524E-4</v>
      </c>
    </row>
    <row r="20" spans="1:32">
      <c r="A20" s="9">
        <f t="shared" si="2"/>
        <v>18</v>
      </c>
      <c r="B20">
        <v>9.9064818641636521E-6</v>
      </c>
      <c r="C20">
        <v>9.999457688536495E-6</v>
      </c>
      <c r="D20">
        <v>9.9952303571626544E-6</v>
      </c>
      <c r="E20">
        <v>9.9809976745746098E-6</v>
      </c>
      <c r="F20">
        <v>9.9725430118269287E-6</v>
      </c>
      <c r="G20">
        <v>9.9965654953848571E-6</v>
      </c>
      <c r="H20">
        <v>1.0033935723186005E-5</v>
      </c>
      <c r="I20">
        <v>1.0017252861871384E-5</v>
      </c>
      <c r="L20" s="9">
        <f t="shared" si="1"/>
        <v>9.9878080845883233E-6</v>
      </c>
      <c r="N20" s="9">
        <f t="shared" si="3"/>
        <v>3</v>
      </c>
      <c r="O20" s="4">
        <f t="shared" si="4"/>
        <v>4.9792170386808721E-7</v>
      </c>
      <c r="Q20" s="4">
        <f>AVERAGE(data0!B5:AG5)</f>
        <v>4.901961024318423E-3</v>
      </c>
      <c r="S20" s="4">
        <f t="shared" si="5"/>
        <v>4.9792170386808721E-7</v>
      </c>
      <c r="U20" s="1">
        <f t="shared" si="6"/>
        <v>-0.76656922065495425</v>
      </c>
      <c r="Z20">
        <v>1.9274808437330648E-5</v>
      </c>
      <c r="AA20">
        <v>1.9137791241519153E-5</v>
      </c>
      <c r="AB20">
        <v>9.4632957026163922E-10</v>
      </c>
      <c r="AC20">
        <v>1.4879544323775917E-4</v>
      </c>
      <c r="AF20">
        <v>1.489101123297587E-4</v>
      </c>
    </row>
    <row r="21" spans="1:32">
      <c r="A21" s="9">
        <f t="shared" si="2"/>
        <v>19</v>
      </c>
      <c r="B21">
        <v>1.0861156624741852E-5</v>
      </c>
      <c r="C21">
        <v>1.0853369531105272E-5</v>
      </c>
      <c r="D21">
        <v>1.0954354365821928E-5</v>
      </c>
      <c r="E21">
        <v>1.0941897016891744E-5</v>
      </c>
      <c r="F21">
        <v>1.0953686796710826E-5</v>
      </c>
      <c r="G21">
        <v>1.0917876352323219E-5</v>
      </c>
      <c r="H21">
        <v>1.0932777513517067E-5</v>
      </c>
      <c r="I21">
        <v>1.0961027328448836E-5</v>
      </c>
      <c r="L21" s="9">
        <f t="shared" si="1"/>
        <v>1.0922018191195093E-5</v>
      </c>
      <c r="N21" s="9">
        <f t="shared" si="3"/>
        <v>4</v>
      </c>
      <c r="O21" s="4">
        <f t="shared" si="4"/>
        <v>7.6581098795713842E-7</v>
      </c>
      <c r="Q21" s="4">
        <f>AVERAGE(data0!B6:AG6)</f>
        <v>8.8235297173793834E-3</v>
      </c>
      <c r="S21" s="4">
        <f t="shared" si="5"/>
        <v>7.6581098795713842E-7</v>
      </c>
      <c r="U21" s="1">
        <f t="shared" si="6"/>
        <v>-0.95352975691147235</v>
      </c>
      <c r="Z21">
        <v>2.1396359443315305E-5</v>
      </c>
      <c r="AA21">
        <v>2.0921015675412491E-5</v>
      </c>
      <c r="AB21">
        <v>8.7696927497660226E-10</v>
      </c>
      <c r="AC21">
        <v>1.6095692990347743E-4</v>
      </c>
      <c r="AF21">
        <v>1.6144136316142976E-4</v>
      </c>
    </row>
    <row r="22" spans="1:32">
      <c r="A22" s="9">
        <f t="shared" si="2"/>
        <v>20</v>
      </c>
      <c r="B22">
        <v>1.1859197002195287E-5</v>
      </c>
      <c r="C22">
        <v>1.1886555512319319E-5</v>
      </c>
      <c r="D22">
        <v>1.1967078535235487E-5</v>
      </c>
      <c r="E22">
        <v>1.1925259059353266E-5</v>
      </c>
      <c r="F22">
        <v>1.1895675925188698E-5</v>
      </c>
      <c r="G22">
        <v>1.1888112567248754E-5</v>
      </c>
      <c r="H22">
        <v>1.2070729098923039E-5</v>
      </c>
      <c r="I22">
        <v>1.1936382179555949E-5</v>
      </c>
      <c r="L22" s="9">
        <f t="shared" si="1"/>
        <v>1.1928623735002475E-5</v>
      </c>
      <c r="N22" s="9">
        <f t="shared" si="3"/>
        <v>5</v>
      </c>
      <c r="O22" s="4">
        <f t="shared" si="4"/>
        <v>1.1026266832914189E-6</v>
      </c>
      <c r="Q22" s="4">
        <f>AVERAGE(data0!B7:AG7)</f>
        <v>1.3305322549838041E-2</v>
      </c>
      <c r="S22" s="4">
        <f t="shared" si="5"/>
        <v>1.1026266832914189E-6</v>
      </c>
      <c r="U22" s="1">
        <f t="shared" si="6"/>
        <v>-1.1118366616293842</v>
      </c>
      <c r="Z22">
        <v>2.3271446480066516E-5</v>
      </c>
      <c r="AA22">
        <v>2.2790991351939738E-5</v>
      </c>
      <c r="AB22">
        <v>8.9328133778820984E-10</v>
      </c>
      <c r="AC22">
        <v>1.7495996144134551E-4</v>
      </c>
      <c r="AF22">
        <v>1.7459267110098153E-4</v>
      </c>
    </row>
    <row r="23" spans="1:32">
      <c r="A23" s="9">
        <f t="shared" si="2"/>
        <v>21</v>
      </c>
      <c r="B23">
        <v>1.2868145859101787E-5</v>
      </c>
      <c r="C23">
        <v>1.2867699297203217E-5</v>
      </c>
      <c r="D23">
        <v>1.2981803592992947E-5</v>
      </c>
      <c r="E23">
        <v>1.2930426237289794E-5</v>
      </c>
      <c r="F23">
        <v>1.2928868272865657E-5</v>
      </c>
      <c r="G23">
        <v>1.2885489923064597E-5</v>
      </c>
      <c r="H23">
        <v>1.2977136066183448E-5</v>
      </c>
      <c r="I23">
        <v>1.2932648132846225E-5</v>
      </c>
      <c r="L23" s="9">
        <f t="shared" si="1"/>
        <v>1.2921527172693459E-5</v>
      </c>
      <c r="N23" s="9">
        <f t="shared" si="3"/>
        <v>6</v>
      </c>
      <c r="O23" s="4">
        <f t="shared" si="4"/>
        <v>1.5002202218283855E-6</v>
      </c>
      <c r="Q23" s="4">
        <f>AVERAGE(data0!B8:AG8)</f>
        <v>1.9187675755737082E-2</v>
      </c>
      <c r="S23" s="4">
        <f t="shared" si="5"/>
        <v>1.5002202218283855E-6</v>
      </c>
      <c r="U23" s="1">
        <f t="shared" si="6"/>
        <v>-1.2455631786660928</v>
      </c>
      <c r="Z23">
        <v>2.4801758627290837E-5</v>
      </c>
      <c r="AA23">
        <v>2.4693667000974528E-5</v>
      </c>
      <c r="AB23">
        <v>9.1776425348299995E-10</v>
      </c>
      <c r="AC23">
        <v>1.9018122111447155E-4</v>
      </c>
      <c r="AF23">
        <v>1.9068836991209537E-4</v>
      </c>
    </row>
    <row r="24" spans="1:32">
      <c r="A24" s="9">
        <f t="shared" si="2"/>
        <v>22</v>
      </c>
      <c r="B24">
        <v>1.3962946468382142E-5</v>
      </c>
      <c r="C24">
        <v>1.383704693580512E-5</v>
      </c>
      <c r="D24">
        <v>1.3961167496745475E-5</v>
      </c>
      <c r="E24">
        <v>1.3956048860563897E-5</v>
      </c>
      <c r="F24">
        <v>1.4060373359825462E-5</v>
      </c>
      <c r="G24">
        <v>1.3954046153230593E-5</v>
      </c>
      <c r="H24">
        <v>1.4061038200452458E-5</v>
      </c>
      <c r="I24">
        <v>1.4002091120346449E-5</v>
      </c>
      <c r="L24" s="9">
        <f t="shared" si="1"/>
        <v>1.3974344824418949E-5</v>
      </c>
      <c r="N24" s="9">
        <f t="shared" si="3"/>
        <v>7</v>
      </c>
      <c r="O24" s="4">
        <f t="shared" si="4"/>
        <v>1.9670463871079846E-6</v>
      </c>
      <c r="Q24" s="4">
        <f>AVERAGE(data0!B9:AG9)</f>
        <v>2.5490196621311561E-2</v>
      </c>
      <c r="S24" s="4">
        <f t="shared" si="5"/>
        <v>1.9670463871079846E-6</v>
      </c>
      <c r="U24" s="1">
        <f t="shared" si="6"/>
        <v>-1.3632227651617093</v>
      </c>
      <c r="Z24">
        <v>2.7304995455779135E-5</v>
      </c>
      <c r="AA24">
        <v>2.674313509487547E-5</v>
      </c>
      <c r="AB24">
        <v>1.0279481710284699E-9</v>
      </c>
      <c r="AC24">
        <v>2.0400180073920637E-4</v>
      </c>
      <c r="AF24">
        <v>2.0411222067195922E-4</v>
      </c>
    </row>
    <row r="25" spans="1:32">
      <c r="A25" s="9">
        <f t="shared" si="2"/>
        <v>23</v>
      </c>
      <c r="B25">
        <v>1.4965221453167032E-5</v>
      </c>
      <c r="C25">
        <v>1.4874241969664581E-5</v>
      </c>
      <c r="D25">
        <v>1.5067537788127083E-5</v>
      </c>
      <c r="E25">
        <v>1.4988795555836987E-5</v>
      </c>
      <c r="F25">
        <v>1.48611188706127E-5</v>
      </c>
      <c r="G25">
        <v>1.5004367014626041E-5</v>
      </c>
      <c r="H25">
        <v>1.5050410183903296E-5</v>
      </c>
      <c r="I25">
        <v>1.5056637494126335E-5</v>
      </c>
      <c r="L25" s="9">
        <f t="shared" si="1"/>
        <v>1.4983541291258007E-5</v>
      </c>
      <c r="N25" s="9">
        <f t="shared" si="3"/>
        <v>8</v>
      </c>
      <c r="O25" s="4">
        <f t="shared" si="4"/>
        <v>2.4763025407992245E-6</v>
      </c>
      <c r="Q25" s="4">
        <f>AVERAGE(data0!B10:AG10)</f>
        <v>3.3193278525556834E-2</v>
      </c>
      <c r="S25" s="4">
        <f t="shared" si="5"/>
        <v>2.4763025407992245E-6</v>
      </c>
      <c r="U25" s="1">
        <f t="shared" si="6"/>
        <v>-1.4632118668017824</v>
      </c>
      <c r="Z25">
        <v>2.9321552574401721E-5</v>
      </c>
      <c r="AA25">
        <v>2.878349187085405E-5</v>
      </c>
      <c r="AB25">
        <v>1.0197895861097095E-9</v>
      </c>
      <c r="AC25">
        <v>2.1836634550709277E-4</v>
      </c>
      <c r="AF25">
        <v>2.1850623306818306E-4</v>
      </c>
    </row>
    <row r="26" spans="1:32">
      <c r="A26" s="9">
        <f t="shared" si="2"/>
        <v>24</v>
      </c>
      <c r="B26">
        <v>1.611340485396795E-5</v>
      </c>
      <c r="C26">
        <v>1.6182804756681435E-5</v>
      </c>
      <c r="D26">
        <v>1.6212165064644068E-5</v>
      </c>
      <c r="E26">
        <v>1.6149218936334364E-5</v>
      </c>
      <c r="F26">
        <v>1.6254425645456649E-5</v>
      </c>
      <c r="G26">
        <v>1.6112513549160212E-5</v>
      </c>
      <c r="H26">
        <v>1.6243971913354471E-5</v>
      </c>
      <c r="I26">
        <v>1.6154332115547732E-5</v>
      </c>
      <c r="L26" s="9">
        <f t="shared" si="1"/>
        <v>1.617785460439336E-5</v>
      </c>
      <c r="Z26">
        <v>2.9345354050747119E-5</v>
      </c>
      <c r="AA26">
        <v>3.0888135370332748E-5</v>
      </c>
      <c r="AB26">
        <v>8.7288409833519154E-10</v>
      </c>
      <c r="AC26">
        <v>2.3337487073149532E-4</v>
      </c>
      <c r="AF26">
        <v>2.3332389537245035E-4</v>
      </c>
    </row>
    <row r="27" spans="1:32">
      <c r="A27" s="9">
        <f t="shared" si="2"/>
        <v>25</v>
      </c>
      <c r="B27">
        <v>1.7211321392096579E-5</v>
      </c>
      <c r="C27">
        <v>1.7192189261550084E-5</v>
      </c>
      <c r="D27">
        <v>1.7241574823856354E-5</v>
      </c>
      <c r="E27">
        <v>1.7255364582524635E-5</v>
      </c>
      <c r="F27">
        <v>1.7269820091314614E-5</v>
      </c>
      <c r="G27">
        <v>1.7254249542020261E-5</v>
      </c>
      <c r="H27">
        <v>1.7450880477554165E-5</v>
      </c>
      <c r="I27">
        <v>1.7310749171883799E-5</v>
      </c>
      <c r="L27" s="9">
        <f t="shared" si="1"/>
        <v>1.7273268667850061E-5</v>
      </c>
      <c r="Z27">
        <v>3.1552754080621526E-5</v>
      </c>
      <c r="AA27">
        <v>3.2992538763210177E-5</v>
      </c>
      <c r="AB27">
        <v>8.2392104250317288E-10</v>
      </c>
      <c r="AC27">
        <v>2.4980571470223367E-4</v>
      </c>
      <c r="AF27">
        <v>2.4891880457289517E-4</v>
      </c>
    </row>
    <row r="28" spans="1:32">
      <c r="A28" s="9">
        <f t="shared" si="2"/>
        <v>26</v>
      </c>
      <c r="B28">
        <v>1.8387087038718164E-5</v>
      </c>
      <c r="C28">
        <v>1.8390426703263074E-5</v>
      </c>
      <c r="D28">
        <v>1.8409336917102337E-5</v>
      </c>
      <c r="E28">
        <v>1.8432907381793484E-5</v>
      </c>
      <c r="F28">
        <v>1.8528109649196267E-5</v>
      </c>
      <c r="G28">
        <v>1.8420902051730081E-5</v>
      </c>
      <c r="H28">
        <v>1.8543903934187256E-5</v>
      </c>
      <c r="I28">
        <v>1.8472061128704809E-5</v>
      </c>
      <c r="L28" s="9">
        <f t="shared" si="1"/>
        <v>1.8448091850586934E-5</v>
      </c>
      <c r="Z28">
        <v>3.426217517699115E-5</v>
      </c>
      <c r="AA28">
        <v>3.5255769034847617E-5</v>
      </c>
      <c r="AB28">
        <v>9.3002033851874444E-10</v>
      </c>
      <c r="AC28">
        <v>2.6533514028415084E-4</v>
      </c>
      <c r="AF28">
        <v>2.6411449653096497E-4</v>
      </c>
    </row>
    <row r="29" spans="1:32">
      <c r="A29" s="9">
        <f t="shared" si="2"/>
        <v>27</v>
      </c>
      <c r="B29">
        <v>1.9584653273341246E-5</v>
      </c>
      <c r="C29">
        <v>1.9613569747889414E-5</v>
      </c>
      <c r="D29">
        <v>1.962580245162826E-5</v>
      </c>
      <c r="E29">
        <v>1.9642038751044311E-5</v>
      </c>
      <c r="F29">
        <v>1.9758146663662046E-5</v>
      </c>
      <c r="G29">
        <v>1.9615576093201526E-5</v>
      </c>
      <c r="H29">
        <v>1.9739249182748608E-5</v>
      </c>
      <c r="I29">
        <v>1.967740899999626E-5</v>
      </c>
      <c r="L29" s="9">
        <f t="shared" si="1"/>
        <v>1.9657055645438959E-5</v>
      </c>
      <c r="Z29">
        <v>3.787645255215466E-5</v>
      </c>
      <c r="AA29">
        <v>3.7501649785554036E-5</v>
      </c>
      <c r="AB29">
        <v>9.3001134571224497E-10</v>
      </c>
      <c r="AC29">
        <v>2.8122722869738936E-4</v>
      </c>
      <c r="AF29">
        <v>2.8035524883307517E-4</v>
      </c>
    </row>
    <row r="30" spans="1:32">
      <c r="A30" s="9">
        <f t="shared" si="2"/>
        <v>28</v>
      </c>
      <c r="B30">
        <v>2.0800902348128147E-5</v>
      </c>
      <c r="C30">
        <v>2.0669005607487634E-5</v>
      </c>
      <c r="D30">
        <v>2.0860739823547192E-5</v>
      </c>
      <c r="E30">
        <v>2.0869420040980913E-5</v>
      </c>
      <c r="F30">
        <v>2.0692586986115202E-5</v>
      </c>
      <c r="G30">
        <v>2.0845836843363941E-5</v>
      </c>
      <c r="H30">
        <v>2.0970845071133226E-5</v>
      </c>
      <c r="I30">
        <v>2.088565452140756E-5</v>
      </c>
      <c r="L30" s="9">
        <f t="shared" si="1"/>
        <v>2.0824373905270477E-5</v>
      </c>
      <c r="Z30">
        <v>4.0131893911166117E-5</v>
      </c>
      <c r="AA30">
        <v>3.9862090488895774E-5</v>
      </c>
      <c r="AB30">
        <v>9.5857388693332268E-10</v>
      </c>
      <c r="AC30">
        <v>2.9674728284589946E-4</v>
      </c>
      <c r="AF30">
        <v>2.9660816653631628E-4</v>
      </c>
    </row>
    <row r="31" spans="1:32">
      <c r="A31" s="9">
        <f t="shared" si="2"/>
        <v>29</v>
      </c>
      <c r="B31">
        <v>2.2070318664191291E-5</v>
      </c>
      <c r="C31">
        <v>2.2183310647960752E-5</v>
      </c>
      <c r="D31">
        <v>2.21875416173134E-5</v>
      </c>
      <c r="E31">
        <v>2.2107020413386635E-5</v>
      </c>
      <c r="F31">
        <v>2.2169082512846217E-5</v>
      </c>
      <c r="G31">
        <v>2.2109688870841637E-5</v>
      </c>
      <c r="H31">
        <v>2.2329895728034899E-5</v>
      </c>
      <c r="I31">
        <v>2.2138159692985937E-5</v>
      </c>
      <c r="L31" s="9">
        <f t="shared" si="1"/>
        <v>2.2161877268445096E-5</v>
      </c>
      <c r="Z31">
        <v>4.2730109271360561E-5</v>
      </c>
      <c r="AA31">
        <v>4.2210289393551648E-5</v>
      </c>
      <c r="AB31">
        <v>9.259115141269092E-10</v>
      </c>
      <c r="AC31">
        <v>3.1505405786447227E-4</v>
      </c>
      <c r="AF31">
        <v>3.1339505221694708E-4</v>
      </c>
    </row>
    <row r="32" spans="1:32">
      <c r="A32" s="9">
        <f t="shared" si="2"/>
        <v>30</v>
      </c>
      <c r="B32">
        <v>2.3432701709680259E-5</v>
      </c>
      <c r="C32">
        <v>2.3369313566945493E-5</v>
      </c>
      <c r="D32">
        <v>2.3427592168445699E-5</v>
      </c>
      <c r="E32">
        <v>2.3459842850570567E-5</v>
      </c>
      <c r="F32">
        <v>2.3527241864940152E-5</v>
      </c>
      <c r="G32">
        <v>2.3390890419250354E-5</v>
      </c>
      <c r="H32">
        <v>2.350298200326506E-5</v>
      </c>
      <c r="I32">
        <v>2.3454056645277888E-5</v>
      </c>
      <c r="L32" s="9">
        <f t="shared" si="1"/>
        <v>2.3445577653546934E-5</v>
      </c>
      <c r="Z32">
        <v>4.5382592361420393E-5</v>
      </c>
      <c r="AA32">
        <v>4.4635002268478274E-5</v>
      </c>
      <c r="AB32">
        <v>9.0144325337604414E-10</v>
      </c>
      <c r="AC32">
        <v>3.3227846142835915E-4</v>
      </c>
      <c r="AF32">
        <v>3.3041075221262872E-4</v>
      </c>
    </row>
    <row r="33" spans="1:32">
      <c r="A33" s="9">
        <f t="shared" si="2"/>
        <v>31</v>
      </c>
      <c r="B33">
        <v>2.4739922082517296E-5</v>
      </c>
      <c r="C33">
        <v>2.4814224161673337E-5</v>
      </c>
      <c r="D33">
        <v>2.4819109967211261E-5</v>
      </c>
      <c r="E33">
        <v>2.4725908588152379E-5</v>
      </c>
      <c r="F33">
        <v>2.4806206056382507E-5</v>
      </c>
      <c r="G33">
        <v>2.4705894247745164E-5</v>
      </c>
      <c r="H33">
        <v>2.4958573703770526E-5</v>
      </c>
      <c r="I33">
        <v>2.4772629330982454E-5</v>
      </c>
      <c r="L33" s="9">
        <f t="shared" si="1"/>
        <v>2.4792808517304366E-5</v>
      </c>
      <c r="Z33">
        <v>4.8224381316686049E-5</v>
      </c>
      <c r="AA33">
        <v>4.7143123083515093E-5</v>
      </c>
      <c r="AB33">
        <v>8.8919893670436068E-10</v>
      </c>
      <c r="AC33">
        <v>3.4922815393656492E-4</v>
      </c>
      <c r="AF33">
        <v>3.4856930142268538E-4</v>
      </c>
    </row>
    <row r="34" spans="1:32">
      <c r="A34" s="9">
        <f t="shared" si="2"/>
        <v>32</v>
      </c>
      <c r="B34">
        <v>2.6082519980263896E-5</v>
      </c>
      <c r="C34">
        <v>2.5973531592171639E-5</v>
      </c>
      <c r="D34">
        <v>2.6210191208519973E-5</v>
      </c>
      <c r="E34">
        <v>2.6107425583177246E-5</v>
      </c>
      <c r="F34">
        <v>2.612945536384359E-5</v>
      </c>
      <c r="G34">
        <v>2.6081184842041694E-5</v>
      </c>
      <c r="H34">
        <v>2.6138133762287907E-5</v>
      </c>
      <c r="I34">
        <v>2.6124338546651416E-5</v>
      </c>
      <c r="L34" s="9">
        <f t="shared" si="1"/>
        <v>2.610584760986967E-5</v>
      </c>
      <c r="Z34">
        <v>5.0764956540660933E-5</v>
      </c>
      <c r="AA34">
        <v>4.9514452257426456E-5</v>
      </c>
      <c r="AB34">
        <v>7.2192207767329819E-10</v>
      </c>
      <c r="AC34">
        <v>3.6740751238539815E-4</v>
      </c>
      <c r="AF34">
        <v>3.6533267120830715E-4</v>
      </c>
    </row>
    <row r="35" spans="1:32">
      <c r="A35" s="9">
        <f t="shared" si="2"/>
        <v>33</v>
      </c>
      <c r="B35">
        <v>2.7396647055866197E-5</v>
      </c>
      <c r="C35">
        <v>2.7439120458438993E-5</v>
      </c>
      <c r="D35">
        <v>2.7465370294521563E-5</v>
      </c>
      <c r="E35">
        <v>2.7493841116665863E-5</v>
      </c>
      <c r="F35">
        <v>2.7345033231540583E-5</v>
      </c>
      <c r="G35">
        <v>2.7474266971694306E-5</v>
      </c>
      <c r="H35">
        <v>2.7667778340401128E-5</v>
      </c>
      <c r="I35">
        <v>2.7513415261637419E-5</v>
      </c>
      <c r="L35" s="9">
        <f t="shared" si="1"/>
        <v>2.7474434091345756E-5</v>
      </c>
      <c r="Z35">
        <v>5.309803964337334E-5</v>
      </c>
      <c r="AA35">
        <v>5.2264149417169392E-5</v>
      </c>
      <c r="AB35">
        <v>7.8310580242657579E-10</v>
      </c>
      <c r="AC35">
        <v>3.8559891982004046E-4</v>
      </c>
      <c r="AF35">
        <v>3.8416378083638847E-4</v>
      </c>
    </row>
    <row r="36" spans="1:32">
      <c r="A36" s="9">
        <f t="shared" si="2"/>
        <v>34</v>
      </c>
      <c r="B36">
        <v>2.8803504392271861E-5</v>
      </c>
      <c r="C36">
        <v>2.8732332793879323E-5</v>
      </c>
      <c r="D36">
        <v>2.8952985303476453E-5</v>
      </c>
      <c r="E36">
        <v>2.8869355446659029E-5</v>
      </c>
      <c r="F36">
        <v>2.8961434509255923E-5</v>
      </c>
      <c r="G36">
        <v>2.8866241336800158E-5</v>
      </c>
      <c r="H36">
        <v>2.9036615160293877E-5</v>
      </c>
      <c r="I36">
        <v>2.8928299798280932E-5</v>
      </c>
      <c r="L36" s="9">
        <f t="shared" si="1"/>
        <v>2.8893846092614694E-5</v>
      </c>
      <c r="Z36">
        <v>5.2414739911910146E-5</v>
      </c>
      <c r="AA36">
        <v>5.48456737305969E-5</v>
      </c>
      <c r="AB36">
        <v>7.4231087943132934E-10</v>
      </c>
      <c r="AC36">
        <v>4.0477199945598841E-4</v>
      </c>
      <c r="AF36">
        <v>4.0263813571073115E-4</v>
      </c>
    </row>
    <row r="37" spans="1:32">
      <c r="A37" s="9">
        <f t="shared" si="2"/>
        <v>35</v>
      </c>
      <c r="B37">
        <v>3.0339389923028648E-5</v>
      </c>
      <c r="C37">
        <v>3.0353414331329986E-5</v>
      </c>
      <c r="D37">
        <v>3.0383658668142743E-5</v>
      </c>
      <c r="E37">
        <v>3.0290455470094457E-5</v>
      </c>
      <c r="F37">
        <v>3.0272229196270928E-5</v>
      </c>
      <c r="G37">
        <v>3.0320041332743131E-5</v>
      </c>
      <c r="H37">
        <v>3.0523573514074087E-5</v>
      </c>
      <c r="I37">
        <v>3.0353186957654543E-5</v>
      </c>
      <c r="L37" s="9">
        <f t="shared" si="1"/>
        <v>3.0354493674167315E-5</v>
      </c>
      <c r="Z37">
        <v>5.8490637456998229E-5</v>
      </c>
      <c r="AA37">
        <v>5.7546436437405646E-5</v>
      </c>
      <c r="AB37">
        <v>7.8311762630178805E-10</v>
      </c>
      <c r="AC37">
        <v>4.2256413144059479E-4</v>
      </c>
      <c r="AF37">
        <v>4.2126746848225594E-4</v>
      </c>
    </row>
    <row r="38" spans="1:32">
      <c r="A38" s="9">
        <f t="shared" si="2"/>
        <v>36</v>
      </c>
      <c r="B38">
        <v>3.1736926757730544E-5</v>
      </c>
      <c r="C38">
        <v>3.1773848604643717E-5</v>
      </c>
      <c r="D38">
        <v>3.1815885449759662E-5</v>
      </c>
      <c r="E38">
        <v>3.1768515327712521E-5</v>
      </c>
      <c r="F38">
        <v>3.1809653592063114E-5</v>
      </c>
      <c r="G38">
        <v>3.1762949220137671E-5</v>
      </c>
      <c r="H38">
        <v>3.1958246836438775E-5</v>
      </c>
      <c r="I38">
        <v>3.1807216146262363E-5</v>
      </c>
      <c r="L38" s="9">
        <f t="shared" si="1"/>
        <v>3.1804155241843546E-5</v>
      </c>
      <c r="Z38">
        <v>6.1320191889535636E-5</v>
      </c>
      <c r="AA38">
        <v>6.0428246797528118E-5</v>
      </c>
      <c r="AB38">
        <v>8.8105445161801299E-10</v>
      </c>
      <c r="AC38">
        <v>4.4253061059862375E-4</v>
      </c>
      <c r="AF38">
        <v>4.4045023969374597E-4</v>
      </c>
    </row>
    <row r="39" spans="1:32">
      <c r="A39" s="9">
        <f t="shared" si="2"/>
        <v>37</v>
      </c>
      <c r="B39">
        <v>3.3180716854985803E-5</v>
      </c>
      <c r="C39">
        <v>3.3236778108403087E-5</v>
      </c>
      <c r="D39">
        <v>3.3392254408681765E-5</v>
      </c>
      <c r="E39">
        <v>3.3333984902128577E-5</v>
      </c>
      <c r="F39">
        <v>3.3158925361931324E-5</v>
      </c>
      <c r="G39">
        <v>3.3274140150751919E-5</v>
      </c>
      <c r="H39">
        <v>3.35274962708354E-5</v>
      </c>
      <c r="I39">
        <v>3.3317301131319255E-5</v>
      </c>
      <c r="L39" s="9">
        <f t="shared" si="1"/>
        <v>3.3302699648629641E-5</v>
      </c>
      <c r="Z39">
        <v>6.3776707975193858E-5</v>
      </c>
      <c r="AA39">
        <v>6.3268897065427154E-5</v>
      </c>
      <c r="AB39">
        <v>7.5454953396558722E-10</v>
      </c>
      <c r="AC39">
        <v>4.6097408630885184E-4</v>
      </c>
      <c r="AF39">
        <v>4.5915829832665622E-4</v>
      </c>
    </row>
    <row r="40" spans="1:32">
      <c r="A40" s="9">
        <f t="shared" si="2"/>
        <v>38</v>
      </c>
      <c r="B40">
        <v>3.4750177292153239E-5</v>
      </c>
      <c r="C40">
        <v>3.4822031011572108E-5</v>
      </c>
      <c r="D40">
        <v>3.4792228689184412E-5</v>
      </c>
      <c r="E40">
        <v>3.4837150451494381E-5</v>
      </c>
      <c r="F40">
        <v>3.484827175270766E-5</v>
      </c>
      <c r="G40">
        <v>3.4784228773787618E-5</v>
      </c>
      <c r="H40">
        <v>3.5012872103834525E-5</v>
      </c>
      <c r="I40">
        <v>3.4817145206034184E-5</v>
      </c>
      <c r="L40" s="9">
        <f t="shared" si="1"/>
        <v>3.4833013160096016E-5</v>
      </c>
      <c r="Z40">
        <v>6.7401873820926994E-5</v>
      </c>
      <c r="AA40">
        <v>6.6021704697050154E-5</v>
      </c>
      <c r="AB40">
        <v>7.8719436524821162E-10</v>
      </c>
      <c r="AC40">
        <v>4.7987719881348312E-4</v>
      </c>
      <c r="AF40">
        <v>4.7888481640256941E-4</v>
      </c>
    </row>
    <row r="41" spans="1:32">
      <c r="A41" s="9">
        <f t="shared" si="2"/>
        <v>39</v>
      </c>
      <c r="B41">
        <v>3.6310091672930866E-5</v>
      </c>
      <c r="C41">
        <v>3.6381505196914077E-5</v>
      </c>
      <c r="D41">
        <v>3.6453111533774063E-5</v>
      </c>
      <c r="E41">
        <v>3.631297659012489E-5</v>
      </c>
      <c r="F41">
        <v>3.6497825931292027E-5</v>
      </c>
      <c r="G41">
        <v>3.6305205867392942E-5</v>
      </c>
      <c r="H41">
        <v>3.6472913052421063E-5</v>
      </c>
      <c r="I41">
        <v>3.6380151868797839E-5</v>
      </c>
      <c r="L41" s="9">
        <f t="shared" si="1"/>
        <v>3.6389222714205971E-5</v>
      </c>
      <c r="Z41">
        <v>6.7946624767500907E-5</v>
      </c>
      <c r="AA41">
        <v>6.8676839873660356E-5</v>
      </c>
      <c r="AB41">
        <v>7.8720280294319878E-10</v>
      </c>
      <c r="AC41">
        <v>5.0021900096908212E-4</v>
      </c>
      <c r="AF41">
        <v>4.9887836212292314E-4</v>
      </c>
    </row>
    <row r="42" spans="1:32">
      <c r="A42" s="9">
        <f t="shared" si="2"/>
        <v>40</v>
      </c>
      <c r="B42">
        <v>3.7878897273913026E-5</v>
      </c>
      <c r="C42">
        <v>3.7906025681877509E-5</v>
      </c>
      <c r="D42">
        <v>3.7952955608488992E-5</v>
      </c>
      <c r="E42">
        <v>3.7853093090234324E-5</v>
      </c>
      <c r="F42">
        <v>3.7999900087015703E-5</v>
      </c>
      <c r="G42">
        <v>3.7891350075369701E-5</v>
      </c>
      <c r="H42">
        <v>3.7926722143311054E-5</v>
      </c>
      <c r="I42">
        <v>3.7950288970023394E-5</v>
      </c>
      <c r="L42" s="9">
        <f t="shared" si="1"/>
        <v>3.7919904116279213E-5</v>
      </c>
      <c r="Z42">
        <v>7.1314876549877226E-5</v>
      </c>
      <c r="AA42">
        <v>7.1703252615407109E-5</v>
      </c>
      <c r="AB42">
        <v>8.7697493711402785E-10</v>
      </c>
      <c r="AC42">
        <v>5.1979860290884972E-4</v>
      </c>
      <c r="AF42">
        <v>5.1916571101173759E-4</v>
      </c>
    </row>
    <row r="43" spans="1:32">
      <c r="A43" s="9">
        <f t="shared" si="2"/>
        <v>41</v>
      </c>
      <c r="B43">
        <v>3.9487302274210379E-5</v>
      </c>
      <c r="C43">
        <v>3.9628535887459293E-5</v>
      </c>
      <c r="D43">
        <v>3.9601625758223236E-5</v>
      </c>
      <c r="E43">
        <v>3.9461716369260103E-5</v>
      </c>
      <c r="F43">
        <v>3.9470607589464635E-5</v>
      </c>
      <c r="G43">
        <v>3.9470611227443442E-5</v>
      </c>
      <c r="H43">
        <v>3.9727303374093026E-5</v>
      </c>
      <c r="I43">
        <v>3.9544669562019408E-5</v>
      </c>
      <c r="L43" s="9">
        <f t="shared" si="1"/>
        <v>3.954904650527169E-5</v>
      </c>
      <c r="Z43">
        <v>7.4243609560653567E-5</v>
      </c>
      <c r="AA43">
        <v>7.4692026828415692E-5</v>
      </c>
      <c r="AB43">
        <v>7.4638478730904012E-10</v>
      </c>
      <c r="AC43">
        <v>5.4032355546951294E-4</v>
      </c>
      <c r="AF43">
        <v>5.4033147171139717E-4</v>
      </c>
    </row>
    <row r="44" spans="1:32">
      <c r="A44" s="9">
        <f t="shared" si="2"/>
        <v>42</v>
      </c>
      <c r="B44">
        <v>4.1147959564113989E-5</v>
      </c>
      <c r="C44">
        <v>4.1100127418758348E-5</v>
      </c>
      <c r="D44">
        <v>4.1245832107961178E-5</v>
      </c>
      <c r="E44">
        <v>4.1104813135461882E-5</v>
      </c>
      <c r="F44">
        <v>4.1176215745508671E-5</v>
      </c>
      <c r="G44">
        <v>4.1103248804574832E-5</v>
      </c>
      <c r="H44">
        <v>4.1305214836029336E-5</v>
      </c>
      <c r="I44">
        <v>4.1163089917972684E-5</v>
      </c>
      <c r="L44" s="9">
        <f t="shared" si="1"/>
        <v>4.1168312691297615E-5</v>
      </c>
      <c r="Z44">
        <v>7.8062541433610022E-5</v>
      </c>
      <c r="AA44">
        <v>7.7752461947966367E-5</v>
      </c>
      <c r="AB44">
        <v>7.3006656275964588E-10</v>
      </c>
      <c r="AC44">
        <v>5.6039536138996482E-4</v>
      </c>
      <c r="AF44">
        <v>5.5946619249880314E-4</v>
      </c>
    </row>
    <row r="45" spans="1:32">
      <c r="A45" s="9">
        <f t="shared" si="2"/>
        <v>43</v>
      </c>
      <c r="B45">
        <v>4.2691848648246378E-5</v>
      </c>
      <c r="C45">
        <v>4.2876024963334203E-5</v>
      </c>
      <c r="D45">
        <v>4.282975714886561E-5</v>
      </c>
      <c r="E45">
        <v>4.2813957406906411E-5</v>
      </c>
      <c r="F45">
        <v>4.2738545744214207E-5</v>
      </c>
      <c r="G45">
        <v>4.2726980609586462E-5</v>
      </c>
      <c r="H45">
        <v>4.2913612560369074E-5</v>
      </c>
      <c r="I45">
        <v>4.2803283577086404E-5</v>
      </c>
      <c r="L45" s="9">
        <f t="shared" si="1"/>
        <v>4.2799251332326094E-5</v>
      </c>
      <c r="Z45">
        <v>7.7824741310905665E-5</v>
      </c>
      <c r="AA45">
        <v>8.0921876360662282E-5</v>
      </c>
      <c r="AB45">
        <v>7.0556677167488147E-10</v>
      </c>
      <c r="AC45">
        <v>5.8254058239981532E-4</v>
      </c>
      <c r="AF45">
        <v>5.8127706870436668E-4</v>
      </c>
    </row>
    <row r="46" spans="1:32">
      <c r="A46" s="9">
        <f t="shared" si="2"/>
        <v>44</v>
      </c>
      <c r="B46">
        <v>4.4406788219930604E-5</v>
      </c>
      <c r="C46">
        <v>4.4380765757523477E-5</v>
      </c>
      <c r="D46">
        <v>4.4582280679605901E-5</v>
      </c>
      <c r="E46">
        <v>4.4405009248293936E-5</v>
      </c>
      <c r="F46">
        <v>4.450398773769848E-5</v>
      </c>
      <c r="G46">
        <v>4.4397667807061225E-5</v>
      </c>
      <c r="H46">
        <v>4.4650332711171359E-5</v>
      </c>
      <c r="I46">
        <v>4.4473075831774622E-5</v>
      </c>
      <c r="L46" s="9">
        <f t="shared" si="1"/>
        <v>4.4474988499132451E-5</v>
      </c>
      <c r="Z46">
        <v>8.0787300248630345E-5</v>
      </c>
      <c r="AA46">
        <v>8.3848601207137108E-5</v>
      </c>
      <c r="AB46">
        <v>6.7702449202400317E-10</v>
      </c>
      <c r="AC46">
        <v>6.0452928300946951E-4</v>
      </c>
      <c r="AF46">
        <v>6.0219684382900596E-4</v>
      </c>
    </row>
    <row r="47" spans="1:32">
      <c r="A47" s="9">
        <f t="shared" si="2"/>
        <v>45</v>
      </c>
      <c r="B47">
        <v>4.6073895646259189E-5</v>
      </c>
      <c r="C47">
        <v>4.6181328798411414E-5</v>
      </c>
      <c r="D47">
        <v>4.6241391828516498E-5</v>
      </c>
      <c r="E47">
        <v>4.6109260438242927E-5</v>
      </c>
      <c r="F47">
        <v>4.6221593947848305E-5</v>
      </c>
      <c r="G47">
        <v>4.6092132834019139E-5</v>
      </c>
      <c r="H47">
        <v>4.6311695768963546E-5</v>
      </c>
      <c r="I47">
        <v>4.6164885134203359E-5</v>
      </c>
      <c r="L47" s="9">
        <f t="shared" si="1"/>
        <v>4.6174523049558047E-5</v>
      </c>
      <c r="Z47">
        <v>8.821403025649488E-5</v>
      </c>
      <c r="AA47">
        <v>8.6953528807498515E-5</v>
      </c>
      <c r="AB47">
        <v>7.3413769507979509E-10</v>
      </c>
      <c r="AC47">
        <v>6.2633608467876911E-4</v>
      </c>
      <c r="AF47">
        <v>6.2351993983611465E-4</v>
      </c>
    </row>
    <row r="48" spans="1:32">
      <c r="A48" s="9">
        <f t="shared" si="2"/>
        <v>46</v>
      </c>
      <c r="B48">
        <v>4.7890491259749979E-5</v>
      </c>
      <c r="C48">
        <v>4.8019948735600337E-5</v>
      </c>
      <c r="D48">
        <v>4.7923414967954159E-5</v>
      </c>
      <c r="E48">
        <v>4.7834208089625463E-5</v>
      </c>
      <c r="F48">
        <v>4.7390476538566872E-5</v>
      </c>
      <c r="G48">
        <v>4.7830661060288548E-5</v>
      </c>
      <c r="H48">
        <v>4.8100693675223738E-5</v>
      </c>
      <c r="I48">
        <v>4.7874033043626696E-5</v>
      </c>
      <c r="L48" s="9">
        <f t="shared" si="1"/>
        <v>4.7857990921329474E-5</v>
      </c>
      <c r="Z48">
        <v>9.0044879470951855E-5</v>
      </c>
      <c r="AA48">
        <v>9.0127388830296695E-5</v>
      </c>
      <c r="AB48">
        <v>7.3006378720208431E-10</v>
      </c>
      <c r="AC48">
        <v>6.4708490390330553E-4</v>
      </c>
      <c r="AF48">
        <v>6.4634485170245171E-4</v>
      </c>
    </row>
    <row r="49" spans="1:32">
      <c r="A49" s="9">
        <f t="shared" si="2"/>
        <v>47</v>
      </c>
      <c r="B49">
        <v>4.9636135372566059E-5</v>
      </c>
      <c r="C49">
        <v>4.9626116378931329E-5</v>
      </c>
      <c r="D49">
        <v>4.9755122745409608E-5</v>
      </c>
      <c r="E49">
        <v>4.956473276251927E-5</v>
      </c>
      <c r="F49">
        <v>4.9661270168144256E-5</v>
      </c>
      <c r="G49">
        <v>4.9552720156498253E-5</v>
      </c>
      <c r="H49">
        <v>4.9635455070529133E-5</v>
      </c>
      <c r="I49">
        <v>4.9634127208264545E-5</v>
      </c>
      <c r="L49" s="9">
        <f t="shared" si="1"/>
        <v>4.9633209982857807E-5</v>
      </c>
      <c r="Z49">
        <v>9.4343566161114722E-5</v>
      </c>
      <c r="AA49">
        <v>9.3082177045289427E-5</v>
      </c>
      <c r="AB49">
        <v>8.606336199257214E-10</v>
      </c>
      <c r="AC49">
        <v>6.6967366728931665E-4</v>
      </c>
      <c r="AF49">
        <v>6.6705665085464716E-4</v>
      </c>
    </row>
    <row r="50" spans="1:32">
      <c r="A50" s="9">
        <f t="shared" si="2"/>
        <v>48</v>
      </c>
      <c r="B50">
        <v>5.1369304856052622E-5</v>
      </c>
      <c r="C50">
        <v>5.1414008339634165E-5</v>
      </c>
      <c r="D50">
        <v>5.150520519237034E-5</v>
      </c>
      <c r="E50">
        <v>5.1357514166738838E-5</v>
      </c>
      <c r="F50">
        <v>5.1416234782664105E-5</v>
      </c>
      <c r="G50">
        <v>5.1338829507585615E-5</v>
      </c>
      <c r="H50">
        <v>5.1506558520486578E-5</v>
      </c>
      <c r="I50">
        <v>5.1398234063526616E-5</v>
      </c>
      <c r="L50" s="9">
        <f t="shared" si="1"/>
        <v>5.141323617863236E-5</v>
      </c>
      <c r="Z50">
        <v>9.7663323685992509E-5</v>
      </c>
      <c r="AA50">
        <v>9.6669282356742769E-5</v>
      </c>
      <c r="AB50">
        <v>7.0965755494256655E-10</v>
      </c>
      <c r="AC50">
        <v>6.9271476240828633E-4</v>
      </c>
      <c r="AF50">
        <v>6.8972184089943767E-4</v>
      </c>
    </row>
    <row r="51" spans="1:32">
      <c r="A51" s="9">
        <f t="shared" si="2"/>
        <v>49</v>
      </c>
      <c r="B51">
        <v>5.3112049499759451E-5</v>
      </c>
      <c r="C51">
        <v>5.3021958592580631E-5</v>
      </c>
      <c r="D51">
        <v>5.3262188885128126E-5</v>
      </c>
      <c r="E51">
        <v>5.3156749345362186E-5</v>
      </c>
      <c r="F51">
        <v>5.2950123063055798E-5</v>
      </c>
      <c r="G51">
        <v>5.3107152780285105E-5</v>
      </c>
      <c r="H51">
        <v>5.3215921070659533E-5</v>
      </c>
      <c r="I51">
        <v>5.3164327255217358E-5</v>
      </c>
      <c r="L51" s="9">
        <f t="shared" si="1"/>
        <v>5.3123808811506024E-5</v>
      </c>
      <c r="Z51">
        <v>1.0072840086650103E-4</v>
      </c>
      <c r="AA51">
        <v>9.9941906228195876E-5</v>
      </c>
      <c r="AB51">
        <v>7.7494671790745429E-10</v>
      </c>
      <c r="AC51">
        <v>7.1375415427610278E-4</v>
      </c>
      <c r="AF51">
        <v>7.1128061972558498E-4</v>
      </c>
    </row>
    <row r="52" spans="1:32">
      <c r="A52" s="9">
        <f t="shared" si="2"/>
        <v>50</v>
      </c>
      <c r="B52">
        <v>5.493018397828564E-5</v>
      </c>
      <c r="C52">
        <v>5.5064538173610345E-5</v>
      </c>
      <c r="D52">
        <v>5.5009393690852448E-5</v>
      </c>
      <c r="E52">
        <v>5.4983131121844053E-5</v>
      </c>
      <c r="F52">
        <v>5.4980257118586451E-5</v>
      </c>
      <c r="G52">
        <v>5.4892843763809651E-5</v>
      </c>
      <c r="H52">
        <v>5.4994026868371293E-5</v>
      </c>
      <c r="I52">
        <v>5.4961561545496807E-5</v>
      </c>
      <c r="L52" s="9">
        <f t="shared" si="1"/>
        <v>5.4976992032607086E-5</v>
      </c>
      <c r="Z52">
        <v>1.0404753993498161E-4</v>
      </c>
      <c r="AA52">
        <v>1.0326767369406298E-4</v>
      </c>
      <c r="AB52">
        <v>8.0350359699110641E-10</v>
      </c>
      <c r="AC52">
        <v>7.3596974834799767E-4</v>
      </c>
      <c r="AF52">
        <v>7.3389115277677774E-4</v>
      </c>
    </row>
    <row r="53" spans="1:32">
      <c r="A53" s="9">
        <f t="shared" si="2"/>
        <v>51</v>
      </c>
      <c r="B53">
        <v>5.6725206377450377E-5</v>
      </c>
      <c r="C53">
        <v>5.6824628700269386E-5</v>
      </c>
      <c r="D53">
        <v>5.6838427553884685E-5</v>
      </c>
      <c r="E53">
        <v>5.6823086197255179E-5</v>
      </c>
      <c r="F53">
        <v>5.6896020396379754E-5</v>
      </c>
      <c r="G53">
        <v>5.6748125643935055E-5</v>
      </c>
      <c r="H53">
        <v>5.6949185818666592E-5</v>
      </c>
      <c r="I53">
        <v>5.678948582499288E-5</v>
      </c>
      <c r="L53" s="9">
        <f t="shared" si="1"/>
        <v>5.6824270814104239E-5</v>
      </c>
      <c r="Z53">
        <v>1.0814936103997752E-4</v>
      </c>
      <c r="AA53">
        <v>1.0654761717887595E-4</v>
      </c>
      <c r="AB53">
        <v>7.3822004065249303E-10</v>
      </c>
      <c r="AC53">
        <v>7.5813522562384605E-4</v>
      </c>
      <c r="AF53">
        <v>7.5613724766299129E-4</v>
      </c>
    </row>
    <row r="54" spans="1:32">
      <c r="A54" s="9">
        <f t="shared" si="2"/>
        <v>52</v>
      </c>
      <c r="B54">
        <v>5.863589103682898E-5</v>
      </c>
      <c r="C54">
        <v>5.8730649470817298E-5</v>
      </c>
      <c r="D54">
        <v>5.8758661907631904E-5</v>
      </c>
      <c r="E54">
        <v>5.8616096794139594E-5</v>
      </c>
      <c r="F54">
        <v>5.8714413171401247E-5</v>
      </c>
      <c r="G54">
        <v>5.8583395002642646E-5</v>
      </c>
      <c r="H54">
        <v>5.8747555158333853E-5</v>
      </c>
      <c r="I54">
        <v>5.8645007811719552E-5</v>
      </c>
      <c r="L54" s="9">
        <f t="shared" si="1"/>
        <v>5.8678958794189384E-5</v>
      </c>
      <c r="Z54">
        <v>1.1132630606880412E-4</v>
      </c>
      <c r="AA54">
        <v>1.0996688070008531E-4</v>
      </c>
      <c r="AB54">
        <v>8.8104323836546428E-10</v>
      </c>
      <c r="AC54">
        <v>7.7951897401362658E-4</v>
      </c>
      <c r="AF54">
        <v>7.7730108750984073E-4</v>
      </c>
    </row>
    <row r="55" spans="1:32">
      <c r="A55" s="9">
        <f t="shared" si="2"/>
        <v>53</v>
      </c>
      <c r="B55">
        <v>6.0487851442303509E-5</v>
      </c>
      <c r="C55">
        <v>6.0529651818796992E-5</v>
      </c>
      <c r="D55">
        <v>6.0577254771487787E-5</v>
      </c>
      <c r="E55">
        <v>6.0462723922682926E-5</v>
      </c>
      <c r="F55">
        <v>6.0311918787192553E-5</v>
      </c>
      <c r="G55">
        <v>6.0446487623266876E-5</v>
      </c>
      <c r="H55">
        <v>6.0723388742189854E-5</v>
      </c>
      <c r="I55">
        <v>6.0497623053379357E-5</v>
      </c>
      <c r="L55" s="9">
        <f t="shared" si="1"/>
        <v>6.0504612520162482E-5</v>
      </c>
      <c r="Z55">
        <v>1.1296123557258397E-4</v>
      </c>
      <c r="AA55">
        <v>1.1341628851369023E-4</v>
      </c>
      <c r="AB55">
        <v>7.9534728802954646E-10</v>
      </c>
      <c r="AC55">
        <v>8.0127088585868478E-4</v>
      </c>
      <c r="AF55">
        <v>8.0042093759402633E-4</v>
      </c>
    </row>
    <row r="56" spans="1:32">
      <c r="A56" s="9">
        <f t="shared" si="2"/>
        <v>54</v>
      </c>
      <c r="B56">
        <v>6.241118535399437E-5</v>
      </c>
      <c r="C56">
        <v>6.2556660850532353E-5</v>
      </c>
      <c r="D56">
        <v>6.2412545958068222E-5</v>
      </c>
      <c r="E56">
        <v>6.2327562773134559E-5</v>
      </c>
      <c r="F56">
        <v>6.2441446061711758E-5</v>
      </c>
      <c r="G56">
        <v>6.2302875448949635E-5</v>
      </c>
      <c r="H56">
        <v>6.2576233176514506E-5</v>
      </c>
      <c r="I56">
        <v>6.2376042478717864E-5</v>
      </c>
      <c r="L56" s="9">
        <f t="shared" si="1"/>
        <v>6.2425569012702908E-5</v>
      </c>
      <c r="Z56">
        <v>1.183046551886946E-4</v>
      </c>
      <c r="AA56">
        <v>1.1681523756124079E-4</v>
      </c>
      <c r="AB56">
        <v>7.1781947053040085E-10</v>
      </c>
      <c r="AC56">
        <v>8.2308880519121885E-4</v>
      </c>
      <c r="AF56">
        <v>8.2231126725673676E-4</v>
      </c>
    </row>
    <row r="57" spans="1:32">
      <c r="A57" s="9">
        <f t="shared" si="2"/>
        <v>55</v>
      </c>
      <c r="B57">
        <v>6.4206229581031948E-5</v>
      </c>
      <c r="C57">
        <v>6.4321662648580968E-5</v>
      </c>
      <c r="D57">
        <v>6.4382387790828943E-5</v>
      </c>
      <c r="E57">
        <v>6.42391387373209E-5</v>
      </c>
      <c r="F57">
        <v>6.4361040131188929E-5</v>
      </c>
      <c r="G57">
        <v>6.4215557358693331E-5</v>
      </c>
      <c r="H57">
        <v>6.4373249188065529E-5</v>
      </c>
      <c r="I57">
        <v>6.425802712328732E-5</v>
      </c>
      <c r="L57" s="9">
        <f t="shared" si="1"/>
        <v>6.4294661569874734E-5</v>
      </c>
      <c r="Z57">
        <v>1.2180082558188587E-4</v>
      </c>
      <c r="AA57">
        <v>1.2020196299999952E-4</v>
      </c>
      <c r="AB57">
        <v>8.6880175276249361E-10</v>
      </c>
      <c r="AC57">
        <v>8.4726937348023057E-4</v>
      </c>
      <c r="AF57">
        <v>8.4460951620712876E-4</v>
      </c>
    </row>
    <row r="58" spans="1:32">
      <c r="A58" s="9">
        <f t="shared" si="2"/>
        <v>56</v>
      </c>
      <c r="B58">
        <v>6.6176515247207135E-5</v>
      </c>
      <c r="C58">
        <v>6.6373584559187293E-5</v>
      </c>
      <c r="D58">
        <v>6.6259934101253748E-5</v>
      </c>
      <c r="E58">
        <v>6.6091080952901393E-5</v>
      </c>
      <c r="F58">
        <v>6.5660686232149601E-5</v>
      </c>
      <c r="G58">
        <v>6.6103326389566064E-5</v>
      </c>
      <c r="H58">
        <v>6.6370688728056848E-5</v>
      </c>
      <c r="I58">
        <v>6.6121108829975128E-5</v>
      </c>
      <c r="L58" s="9">
        <f t="shared" si="1"/>
        <v>6.6144615630037151E-5</v>
      </c>
      <c r="Z58">
        <v>1.1877932411152869E-4</v>
      </c>
      <c r="AA58">
        <v>1.2371083721518517E-4</v>
      </c>
      <c r="AB58">
        <v>7.6679379512611945E-10</v>
      </c>
      <c r="AC58">
        <v>8.7106681894510984E-4</v>
      </c>
      <c r="AF58">
        <v>8.681349572725594E-4</v>
      </c>
    </row>
    <row r="59" spans="1:32">
      <c r="A59" s="9">
        <f t="shared" si="2"/>
        <v>57</v>
      </c>
      <c r="B59">
        <v>6.810230843257159E-5</v>
      </c>
      <c r="C59">
        <v>6.7987530201207846E-5</v>
      </c>
      <c r="D59">
        <v>6.8177709181327373E-5</v>
      </c>
      <c r="E59">
        <v>6.8107437982689589E-5</v>
      </c>
      <c r="F59">
        <v>6.8355875555425882E-5</v>
      </c>
      <c r="G59">
        <v>6.8015564465895295E-5</v>
      </c>
      <c r="H59">
        <v>6.8088949774391949E-5</v>
      </c>
      <c r="I59">
        <v>6.8053392169531435E-5</v>
      </c>
      <c r="L59" s="9">
        <f t="shared" si="1"/>
        <v>6.811109597038012E-5</v>
      </c>
      <c r="Z59">
        <v>1.2851267820224166E-4</v>
      </c>
      <c r="AA59">
        <v>1.2727575085591525E-4</v>
      </c>
      <c r="AB59">
        <v>7.096491172475794E-10</v>
      </c>
      <c r="AC59">
        <v>8.9416606351733208E-4</v>
      </c>
      <c r="AF59">
        <v>8.8920444250106812E-4</v>
      </c>
    </row>
    <row r="60" spans="1:32">
      <c r="A60" s="9">
        <f t="shared" si="2"/>
        <v>58</v>
      </c>
      <c r="B60">
        <v>7.0028116169851273E-5</v>
      </c>
      <c r="C60">
        <v>7.0168032834772021E-5</v>
      </c>
      <c r="D60">
        <v>7.0190260885283351E-5</v>
      </c>
      <c r="E60">
        <v>6.9975183578208089E-5</v>
      </c>
      <c r="F60">
        <v>6.9650428486056626E-5</v>
      </c>
      <c r="G60">
        <v>6.9945606810506433E-5</v>
      </c>
      <c r="H60">
        <v>7.0262307417578995E-5</v>
      </c>
      <c r="I60">
        <v>6.9987872848287225E-5</v>
      </c>
      <c r="L60" s="9">
        <f t="shared" si="1"/>
        <v>7.0025976128818002E-5</v>
      </c>
      <c r="Z60">
        <v>1.3289478374645114E-4</v>
      </c>
      <c r="AA60">
        <v>1.3064780796412379E-4</v>
      </c>
      <c r="AB60">
        <v>6.1580590626775233E-10</v>
      </c>
      <c r="AC60">
        <v>9.1669254470616579E-4</v>
      </c>
      <c r="AF60">
        <v>9.1232487466186285E-4</v>
      </c>
    </row>
    <row r="61" spans="1:32">
      <c r="A61" s="9">
        <f t="shared" si="2"/>
        <v>59</v>
      </c>
      <c r="B61">
        <v>7.1988841227721423E-5</v>
      </c>
      <c r="C61">
        <v>7.1908325480762869E-5</v>
      </c>
      <c r="D61">
        <v>7.2083828854374588E-5</v>
      </c>
      <c r="E61">
        <v>7.1947237302083522E-5</v>
      </c>
      <c r="F61">
        <v>7.1539092459715903E-5</v>
      </c>
      <c r="G61">
        <v>7.1907641540747136E-5</v>
      </c>
      <c r="H61">
        <v>7.2081587859429419E-5</v>
      </c>
      <c r="I61">
        <v>7.1957016189116985E-5</v>
      </c>
      <c r="L61" s="9">
        <f t="shared" si="1"/>
        <v>7.192669636424398E-5</v>
      </c>
      <c r="Z61">
        <v>1.3615716306958348E-4</v>
      </c>
      <c r="AA61">
        <v>1.3435125583782792E-4</v>
      </c>
      <c r="AB61">
        <v>8.2391821143446009E-10</v>
      </c>
      <c r="AC61">
        <v>9.3904638197273016E-4</v>
      </c>
      <c r="AF61">
        <v>9.3481561634689569E-4</v>
      </c>
    </row>
    <row r="62" spans="1:32">
      <c r="A62" s="9">
        <f t="shared" si="2"/>
        <v>60</v>
      </c>
      <c r="B62">
        <v>7.3918650741688907E-5</v>
      </c>
      <c r="C62">
        <v>7.4045885412488133E-5</v>
      </c>
      <c r="D62">
        <v>7.4056995799764991E-5</v>
      </c>
      <c r="E62">
        <v>7.393065607175231E-5</v>
      </c>
      <c r="F62">
        <v>7.4126401159446687E-5</v>
      </c>
      <c r="G62">
        <v>7.389839447569102E-5</v>
      </c>
      <c r="H62">
        <v>7.4235817010048777E-5</v>
      </c>
      <c r="I62">
        <v>7.3946663178503513E-5</v>
      </c>
      <c r="L62" s="9">
        <f t="shared" si="1"/>
        <v>7.4019932981173042E-5</v>
      </c>
      <c r="Z62">
        <v>1.4102060231380165E-4</v>
      </c>
      <c r="AA62">
        <v>1.3799531734548509E-4</v>
      </c>
      <c r="AB62">
        <v>7.504615262554637E-10</v>
      </c>
      <c r="AC62">
        <v>9.6219487022608519E-4</v>
      </c>
      <c r="AF62">
        <v>9.5839297864586115E-4</v>
      </c>
    </row>
    <row r="63" spans="1:32">
      <c r="A63" s="9">
        <f t="shared" si="2"/>
        <v>61</v>
      </c>
      <c r="B63">
        <v>7.5934105552732944E-5</v>
      </c>
      <c r="C63">
        <v>7.6026393799111247E-5</v>
      </c>
      <c r="D63">
        <v>7.613962225150317E-5</v>
      </c>
      <c r="E63">
        <v>7.5956108048558235E-5</v>
      </c>
      <c r="F63">
        <v>7.5999712862540036E-5</v>
      </c>
      <c r="G63">
        <v>7.5899159128312021E-5</v>
      </c>
      <c r="H63">
        <v>7.6208118116483092E-5</v>
      </c>
      <c r="I63">
        <v>7.5935000495519489E-5</v>
      </c>
      <c r="L63" s="9">
        <f t="shared" si="1"/>
        <v>7.6012277531845029E-5</v>
      </c>
      <c r="Z63">
        <v>1.4331743295770139E-4</v>
      </c>
      <c r="AA63">
        <v>1.4157312398310751E-4</v>
      </c>
      <c r="AB63">
        <v>7.2190464717181158E-10</v>
      </c>
      <c r="AC63">
        <v>9.8524813074618578E-4</v>
      </c>
      <c r="AF63">
        <v>9.8248745780438185E-4</v>
      </c>
    </row>
    <row r="64" spans="1:32">
      <c r="A64" s="9">
        <f t="shared" si="2"/>
        <v>62</v>
      </c>
      <c r="B64">
        <v>7.7975120802875608E-5</v>
      </c>
      <c r="C64">
        <v>7.8192198998294771E-5</v>
      </c>
      <c r="D64">
        <v>7.809410453774035E-5</v>
      </c>
      <c r="E64">
        <v>7.7998243796173483E-5</v>
      </c>
      <c r="F64">
        <v>7.795465353410691E-5</v>
      </c>
      <c r="G64">
        <v>7.7880809840280563E-5</v>
      </c>
      <c r="H64">
        <v>7.8173514339141548E-5</v>
      </c>
      <c r="I64">
        <v>7.791505049681291E-5</v>
      </c>
      <c r="L64" s="9">
        <f t="shared" si="1"/>
        <v>7.8022962043178268E-5</v>
      </c>
      <c r="Z64">
        <v>1.4842239033896476E-4</v>
      </c>
      <c r="AA64">
        <v>1.4529285544995219E-4</v>
      </c>
      <c r="AB64">
        <v>7.3822287172120582E-10</v>
      </c>
      <c r="AC64">
        <v>1.0059643536806107E-3</v>
      </c>
      <c r="AF64">
        <v>1.0049818083643913E-3</v>
      </c>
    </row>
    <row r="65" spans="1:32">
      <c r="A65" s="9">
        <f t="shared" si="2"/>
        <v>63</v>
      </c>
      <c r="B65">
        <v>7.9911143984645605E-5</v>
      </c>
      <c r="C65">
        <v>7.9980083683039993E-5</v>
      </c>
      <c r="D65">
        <v>8.0073514254763722E-5</v>
      </c>
      <c r="E65">
        <v>8.0015910498332232E-5</v>
      </c>
      <c r="F65">
        <v>7.9862220445647836E-5</v>
      </c>
      <c r="G65">
        <v>7.991181337274611E-5</v>
      </c>
      <c r="H65">
        <v>8.0210098531097174E-5</v>
      </c>
      <c r="I65">
        <v>7.9960082075558603E-5</v>
      </c>
      <c r="L65" s="9">
        <f t="shared" si="1"/>
        <v>7.9990608355728909E-5</v>
      </c>
      <c r="Z65">
        <v>1.5189810073934495E-4</v>
      </c>
      <c r="AA65">
        <v>1.4882699178997427E-4</v>
      </c>
      <c r="AB65">
        <v>6.9741606933959588E-10</v>
      </c>
      <c r="AC65">
        <v>1.0285828029736876E-3</v>
      </c>
      <c r="AF65">
        <v>1.0269797639921308E-3</v>
      </c>
    </row>
    <row r="66" spans="1:32">
      <c r="A66" s="9">
        <f t="shared" si="2"/>
        <v>64</v>
      </c>
      <c r="B66">
        <v>8.1997539382427931E-5</v>
      </c>
      <c r="C66">
        <v>8.2253805885557085E-5</v>
      </c>
      <c r="D66">
        <v>8.2261343777645379E-5</v>
      </c>
      <c r="E66">
        <v>8.206936763599515E-5</v>
      </c>
      <c r="F66">
        <v>8.1741542089730501E-5</v>
      </c>
      <c r="G66">
        <v>8.1942620454356074E-5</v>
      </c>
      <c r="H66">
        <v>8.2232640124857426E-5</v>
      </c>
      <c r="I66">
        <v>8.1981306720990688E-5</v>
      </c>
      <c r="L66" s="9">
        <f t="shared" si="1"/>
        <v>8.2060020758945029E-5</v>
      </c>
      <c r="Z66">
        <v>1.5341886319220066E-4</v>
      </c>
      <c r="AA66">
        <v>1.5263522800523788E-4</v>
      </c>
      <c r="AB66">
        <v>6.8519206974926306E-10</v>
      </c>
      <c r="AC66">
        <v>1.0554492473602295E-3</v>
      </c>
      <c r="AF66">
        <v>1.0514012537896633E-3</v>
      </c>
    </row>
    <row r="67" spans="1:32">
      <c r="A67" s="9">
        <f t="shared" si="2"/>
        <v>65</v>
      </c>
      <c r="B67">
        <v>8.4070597949903458E-5</v>
      </c>
      <c r="C67">
        <v>8.4330626123119146E-5</v>
      </c>
      <c r="D67">
        <v>8.4248094935901463E-5</v>
      </c>
      <c r="E67">
        <v>8.4074614278506488E-5</v>
      </c>
      <c r="F67">
        <v>8.4093946497887373E-5</v>
      </c>
      <c r="G67">
        <v>8.3969593106303364E-5</v>
      </c>
      <c r="H67">
        <v>8.4353545389603823E-5</v>
      </c>
      <c r="I67">
        <v>8.4033439634367824E-5</v>
      </c>
      <c r="L67" s="9">
        <f t="shared" ref="L67:L102" si="7">AVERAGE(B67:K67)</f>
        <v>8.4146807239449117E-5</v>
      </c>
      <c r="Z67">
        <v>1.5028611232992262E-4</v>
      </c>
      <c r="AA67">
        <v>1.5651620924472809E-4</v>
      </c>
      <c r="AB67">
        <v>7.9943529573966998E-10</v>
      </c>
      <c r="AC67">
        <v>1.0783603647723794E-3</v>
      </c>
      <c r="AF67">
        <v>1.0736596304923296E-3</v>
      </c>
    </row>
    <row r="68" spans="1:32">
      <c r="A68" s="9">
        <f t="shared" ref="A68:A102" si="8">A67+1</f>
        <v>66</v>
      </c>
      <c r="B68">
        <v>8.6140542407520115E-5</v>
      </c>
      <c r="C68">
        <v>8.6269552411977202E-5</v>
      </c>
      <c r="D68">
        <v>8.6280007963068783E-5</v>
      </c>
      <c r="E68">
        <v>8.6128529801499099E-5</v>
      </c>
      <c r="F68">
        <v>8.6053129052743316E-5</v>
      </c>
      <c r="G68">
        <v>8.6059560999274254E-5</v>
      </c>
      <c r="H68">
        <v>8.6417458078358322E-5</v>
      </c>
      <c r="I68">
        <v>8.6095162259880453E-5</v>
      </c>
      <c r="L68" s="9">
        <f t="shared" si="7"/>
        <v>8.6180492871790193E-5</v>
      </c>
      <c r="Z68">
        <v>1.5513070684392005E-4</v>
      </c>
      <c r="AA68">
        <v>1.599589450052008E-4</v>
      </c>
      <c r="AB68">
        <v>5.8725524443303811E-10</v>
      </c>
      <c r="AC68">
        <v>1.1013597249984741E-3</v>
      </c>
      <c r="AF68">
        <v>1.096152700483799E-3</v>
      </c>
    </row>
    <row r="69" spans="1:32">
      <c r="A69" s="9">
        <f t="shared" si="8"/>
        <v>67</v>
      </c>
      <c r="B69">
        <v>8.8178006990347058E-5</v>
      </c>
      <c r="C69">
        <v>8.8559463620185852E-5</v>
      </c>
      <c r="D69">
        <v>8.846338459989056E-5</v>
      </c>
      <c r="E69">
        <v>8.8155298726633191E-5</v>
      </c>
      <c r="F69">
        <v>8.7506698037032038E-5</v>
      </c>
      <c r="G69">
        <v>8.8128828792832792E-5</v>
      </c>
      <c r="H69">
        <v>8.8354601757600904E-5</v>
      </c>
      <c r="I69">
        <v>8.8136635895352811E-5</v>
      </c>
      <c r="L69" s="9">
        <f t="shared" si="7"/>
        <v>8.8185364802484401E-5</v>
      </c>
      <c r="Z69">
        <v>1.576873182784766E-4</v>
      </c>
      <c r="AA69">
        <v>1.6372518439311534E-4</v>
      </c>
      <c r="AB69">
        <v>7.6270578741599593E-10</v>
      </c>
      <c r="AC69">
        <v>1.1226058704778552E-3</v>
      </c>
      <c r="AF69">
        <v>1.1193066602572799E-3</v>
      </c>
    </row>
    <row r="70" spans="1:32">
      <c r="A70" s="9">
        <f t="shared" si="8"/>
        <v>68</v>
      </c>
      <c r="B70">
        <v>9.0359164460096508E-5</v>
      </c>
      <c r="C70">
        <v>9.0408095275051892E-5</v>
      </c>
      <c r="D70">
        <v>9.0461697254795581E-5</v>
      </c>
      <c r="E70">
        <v>9.0263289166614413E-5</v>
      </c>
      <c r="F70">
        <v>9.0548004664015025E-5</v>
      </c>
      <c r="G70">
        <v>9.0215908130630851E-5</v>
      </c>
      <c r="H70">
        <v>9.0339570306241512E-5</v>
      </c>
      <c r="I70">
        <v>9.0226785687264055E-5</v>
      </c>
      <c r="L70" s="9">
        <f t="shared" si="7"/>
        <v>9.035281436808873E-5</v>
      </c>
      <c r="Z70">
        <v>1.6202358528971672E-4</v>
      </c>
      <c r="AA70">
        <v>1.6742198204156011E-4</v>
      </c>
      <c r="AB70">
        <v>7.6679096405740665E-10</v>
      </c>
      <c r="AC70">
        <v>1.1460739187896252E-3</v>
      </c>
      <c r="AF70">
        <v>1.1430974118411541E-3</v>
      </c>
    </row>
    <row r="71" spans="1:32">
      <c r="A71" s="9">
        <f t="shared" si="8"/>
        <v>69</v>
      </c>
      <c r="B71">
        <v>9.2438443971332163E-5</v>
      </c>
      <c r="C71">
        <v>9.2441754532046616E-5</v>
      </c>
      <c r="D71">
        <v>9.2571666755247861E-5</v>
      </c>
      <c r="E71">
        <v>9.2399495770223439E-5</v>
      </c>
      <c r="F71">
        <v>9.1978443379048258E-5</v>
      </c>
      <c r="G71">
        <v>9.2323229182511568E-5</v>
      </c>
      <c r="H71">
        <v>9.2630383733194321E-5</v>
      </c>
      <c r="I71">
        <v>9.2323462013155222E-5</v>
      </c>
      <c r="L71" s="9">
        <f t="shared" si="7"/>
        <v>9.2388359917094931E-5</v>
      </c>
      <c r="Z71">
        <v>1.7476329230703413E-4</v>
      </c>
      <c r="AA71">
        <v>1.708329509710893E-4</v>
      </c>
      <c r="AB71">
        <v>6.443740541151044E-10</v>
      </c>
      <c r="AC71">
        <v>1.1690686224028468E-3</v>
      </c>
      <c r="AF71">
        <v>1.164353801868856E-3</v>
      </c>
    </row>
    <row r="72" spans="1:32">
      <c r="A72" s="9">
        <f t="shared" si="8"/>
        <v>70</v>
      </c>
      <c r="B72">
        <v>9.4495269877370447E-5</v>
      </c>
      <c r="C72">
        <v>9.4783041276969016E-5</v>
      </c>
      <c r="D72">
        <v>9.4711867859587073E-5</v>
      </c>
      <c r="E72">
        <v>9.452214726479724E-5</v>
      </c>
      <c r="F72">
        <v>9.4900526164565235E-5</v>
      </c>
      <c r="G72">
        <v>9.441139263799414E-5</v>
      </c>
      <c r="H72">
        <v>9.4711038400419056E-5</v>
      </c>
      <c r="I72">
        <v>9.4430077297147363E-5</v>
      </c>
      <c r="L72" s="9">
        <f t="shared" si="7"/>
        <v>9.4620670097356196E-5</v>
      </c>
      <c r="Z72">
        <v>1.7097753880079836E-4</v>
      </c>
      <c r="AA72">
        <v>1.7460667004343122E-4</v>
      </c>
      <c r="AB72">
        <v>6.3211513801064712E-10</v>
      </c>
      <c r="AC72">
        <v>1.1916483053937554E-3</v>
      </c>
      <c r="AF72">
        <v>1.1869302252307534E-3</v>
      </c>
    </row>
    <row r="73" spans="1:32">
      <c r="A73" s="9">
        <f t="shared" si="8"/>
        <v>71</v>
      </c>
      <c r="B73">
        <v>9.6679330454207957E-5</v>
      </c>
      <c r="C73">
        <v>9.6739109721966088E-5</v>
      </c>
      <c r="D73">
        <v>9.6827199740801007E-5</v>
      </c>
      <c r="E73">
        <v>9.6614137873984873E-5</v>
      </c>
      <c r="F73">
        <v>9.676426270743832E-5</v>
      </c>
      <c r="G73">
        <v>9.6527386631350964E-5</v>
      </c>
      <c r="H73">
        <v>9.690571459941566E-5</v>
      </c>
      <c r="I73">
        <v>9.6583440608810633E-5</v>
      </c>
      <c r="L73" s="9">
        <f t="shared" si="7"/>
        <v>9.6705072792246938E-5</v>
      </c>
      <c r="Z73">
        <v>1.7809132987167686E-4</v>
      </c>
      <c r="AA73">
        <v>1.7830863362178206E-4</v>
      </c>
      <c r="AB73">
        <v>7.3822847834748018E-10</v>
      </c>
      <c r="AC73">
        <v>1.214468851685524E-3</v>
      </c>
      <c r="AF73">
        <v>1.2101191096007824E-3</v>
      </c>
    </row>
    <row r="74" spans="1:32">
      <c r="A74" s="9">
        <f t="shared" si="8"/>
        <v>72</v>
      </c>
      <c r="B74">
        <v>9.8705415439326316E-5</v>
      </c>
      <c r="C74">
        <v>9.8978562164120376E-5</v>
      </c>
      <c r="D74">
        <v>9.8828422778751701E-5</v>
      </c>
      <c r="E74">
        <v>9.8755226645153016E-5</v>
      </c>
      <c r="F74">
        <v>9.8765922302845865E-5</v>
      </c>
      <c r="G74">
        <v>9.8677614005282521E-5</v>
      </c>
      <c r="H74">
        <v>9.8966556834056973E-5</v>
      </c>
      <c r="I74">
        <v>9.867272456176579E-5</v>
      </c>
      <c r="L74" s="9">
        <f t="shared" si="7"/>
        <v>9.879380559141282E-5</v>
      </c>
      <c r="Z74">
        <v>1.8495063704904169E-4</v>
      </c>
      <c r="AA74">
        <v>1.8214668671134859E-4</v>
      </c>
      <c r="AB74">
        <v>7.3413147783085719E-10</v>
      </c>
      <c r="AC74">
        <v>1.234742347151041E-3</v>
      </c>
      <c r="AF74">
        <v>1.2318076333031058E-3</v>
      </c>
    </row>
    <row r="75" spans="1:32">
      <c r="A75" s="9">
        <f t="shared" si="8"/>
        <v>73</v>
      </c>
      <c r="B75">
        <v>1.0095108154928312E-4</v>
      </c>
      <c r="C75">
        <v>1.0116304474649951E-4</v>
      </c>
      <c r="D75">
        <v>1.0105649562319741E-4</v>
      </c>
      <c r="E75">
        <v>1.009419429465197E-4</v>
      </c>
      <c r="F75">
        <v>1.0072199074784294E-4</v>
      </c>
      <c r="G75">
        <v>1.0078359628096223E-4</v>
      </c>
      <c r="H75">
        <v>1.011911008390598E-4</v>
      </c>
      <c r="I75">
        <v>1.0083138477057219E-4</v>
      </c>
      <c r="L75" s="9">
        <f t="shared" si="7"/>
        <v>1.0095507968799211E-4</v>
      </c>
      <c r="Z75">
        <v>1.7991499044001102E-4</v>
      </c>
      <c r="AA75">
        <v>1.8649781122803688E-4</v>
      </c>
      <c r="AB75">
        <v>6.3620647638984451E-10</v>
      </c>
      <c r="AC75">
        <v>1.2564579956233501E-3</v>
      </c>
      <c r="AF75">
        <v>1.2541490141302347E-3</v>
      </c>
    </row>
    <row r="76" spans="1:32">
      <c r="A76" s="9">
        <f t="shared" si="8"/>
        <v>74</v>
      </c>
      <c r="B76">
        <v>1.0310976358596236E-4</v>
      </c>
      <c r="C76">
        <v>1.0337286221329123E-4</v>
      </c>
      <c r="D76">
        <v>1.0326923802495003E-4</v>
      </c>
      <c r="E76">
        <v>1.030417115543969E-4</v>
      </c>
      <c r="F76">
        <v>1.0294181993231177E-4</v>
      </c>
      <c r="G76">
        <v>1.0293137893313542E-4</v>
      </c>
      <c r="H76">
        <v>1.0327371273888275E-4</v>
      </c>
      <c r="I76">
        <v>1.0294474486727268E-4</v>
      </c>
      <c r="L76" s="9">
        <f t="shared" si="7"/>
        <v>1.0311065398127539E-4</v>
      </c>
      <c r="Z76">
        <v>1.9204126147087663E-4</v>
      </c>
      <c r="AA76">
        <v>1.9027781672775745E-4</v>
      </c>
      <c r="AB76">
        <v>6.3620647638984451E-10</v>
      </c>
      <c r="AC76">
        <v>1.278730807825923E-3</v>
      </c>
      <c r="AF76">
        <v>1.2745145941153169E-3</v>
      </c>
    </row>
    <row r="77" spans="1:32">
      <c r="A77" s="9">
        <f t="shared" si="8"/>
        <v>75</v>
      </c>
      <c r="B77">
        <v>1.0530204599490389E-4</v>
      </c>
      <c r="C77">
        <v>1.0549018043093383E-4</v>
      </c>
      <c r="D77">
        <v>1.0539255890762433E-4</v>
      </c>
      <c r="E77">
        <v>1.0518839553697035E-4</v>
      </c>
      <c r="F77">
        <v>1.0519592615310103E-4</v>
      </c>
      <c r="G77">
        <v>1.0511098662391305E-4</v>
      </c>
      <c r="H77">
        <v>1.0544950782787055E-4</v>
      </c>
      <c r="I77">
        <v>1.0511805157875642E-4</v>
      </c>
      <c r="L77" s="9">
        <f t="shared" si="7"/>
        <v>1.0528095663175918E-4</v>
      </c>
      <c r="Z77">
        <v>1.9557279301807284E-4</v>
      </c>
      <c r="AA77">
        <v>1.9360095029696822E-4</v>
      </c>
      <c r="AB77">
        <v>6.1579408239254008E-10</v>
      </c>
      <c r="AC77">
        <v>1.301745418459177E-3</v>
      </c>
      <c r="AF77">
        <v>1.2973585398867726E-3</v>
      </c>
    </row>
    <row r="78" spans="1:32">
      <c r="A78" s="9">
        <f t="shared" si="8"/>
        <v>76</v>
      </c>
      <c r="B78">
        <v>1.0738865239545703E-4</v>
      </c>
      <c r="C78">
        <v>1.0757105337688699E-4</v>
      </c>
      <c r="D78">
        <v>1.0751743684522808E-4</v>
      </c>
      <c r="E78">
        <v>1.0736040712799877E-4</v>
      </c>
      <c r="F78">
        <v>1.0735284013208002E-4</v>
      </c>
      <c r="G78">
        <v>1.0724762978497893E-4</v>
      </c>
      <c r="H78">
        <v>1.0744248720584437E-4</v>
      </c>
      <c r="I78">
        <v>1.0728477354859933E-4</v>
      </c>
      <c r="L78" s="9">
        <f t="shared" si="7"/>
        <v>1.0739566005213419E-4</v>
      </c>
      <c r="Z78">
        <v>1.9837092258967459E-4</v>
      </c>
      <c r="AA78">
        <v>1.9755282846745104E-4</v>
      </c>
      <c r="AB78">
        <v>7.749641484089409E-10</v>
      </c>
      <c r="AC78">
        <v>1.3236789964139462E-3</v>
      </c>
      <c r="AF78">
        <v>1.3188247103244066E-3</v>
      </c>
    </row>
    <row r="79" spans="1:32">
      <c r="A79" s="9">
        <f t="shared" si="8"/>
        <v>77</v>
      </c>
      <c r="B79">
        <v>1.0955202742479742E-4</v>
      </c>
      <c r="C79">
        <v>1.097329004551284E-4</v>
      </c>
      <c r="D79">
        <v>1.0962786473101005E-4</v>
      </c>
      <c r="E79">
        <v>1.095188272302039E-4</v>
      </c>
      <c r="F79">
        <v>1.0929421841865405E-4</v>
      </c>
      <c r="G79">
        <v>1.094465478672646E-4</v>
      </c>
      <c r="H79">
        <v>1.0967522393912077E-4</v>
      </c>
      <c r="I79">
        <v>1.0945077519863844E-4</v>
      </c>
      <c r="L79" s="9">
        <f t="shared" si="7"/>
        <v>1.095372981581022E-4</v>
      </c>
      <c r="Z79">
        <v>2.0363742078188807E-4</v>
      </c>
      <c r="AA79">
        <v>2.0172278163954616E-4</v>
      </c>
      <c r="AB79">
        <v>7.5861444903679853E-10</v>
      </c>
      <c r="AC79">
        <v>1.3439137255772948E-3</v>
      </c>
      <c r="AF79">
        <v>1.3400792377069592E-3</v>
      </c>
    </row>
    <row r="80" spans="1:32">
      <c r="A80" s="9">
        <f t="shared" si="8"/>
        <v>78</v>
      </c>
      <c r="B80">
        <v>1.117227366194129E-4</v>
      </c>
      <c r="C80">
        <v>1.1198295396752656E-4</v>
      </c>
      <c r="D80">
        <v>1.1190377699676901E-4</v>
      </c>
      <c r="E80">
        <v>1.1165976320626214E-4</v>
      </c>
      <c r="F80">
        <v>1.1092265776824206E-4</v>
      </c>
      <c r="G80">
        <v>1.115689956350252E-4</v>
      </c>
      <c r="H80">
        <v>1.1195247498108074E-4</v>
      </c>
      <c r="I80">
        <v>1.1158634879393503E-4</v>
      </c>
      <c r="L80" s="9">
        <f t="shared" si="7"/>
        <v>1.1166246349603171E-4</v>
      </c>
      <c r="Z80">
        <v>2.0573117944877595E-4</v>
      </c>
      <c r="AA80">
        <v>2.056312223430723E-4</v>
      </c>
      <c r="AB80">
        <v>5.7500815220379309E-10</v>
      </c>
      <c r="AC80">
        <v>1.3665338046848774E-3</v>
      </c>
      <c r="AF80">
        <v>1.3607590226456523E-3</v>
      </c>
    </row>
    <row r="81" spans="1:32">
      <c r="A81" s="9">
        <f t="shared" si="8"/>
        <v>79</v>
      </c>
      <c r="B81">
        <v>1.1385649850126356E-4</v>
      </c>
      <c r="C81">
        <v>1.1405003897380084E-4</v>
      </c>
      <c r="D81">
        <v>1.1408825957914814E-4</v>
      </c>
      <c r="E81">
        <v>1.1385336983948946E-4</v>
      </c>
      <c r="F81">
        <v>1.1384447134332731E-4</v>
      </c>
      <c r="G81">
        <v>1.1377620103303343E-4</v>
      </c>
      <c r="H81">
        <v>1.1407422425691038E-4</v>
      </c>
      <c r="I81">
        <v>1.1377509508747607E-4</v>
      </c>
      <c r="L81" s="9">
        <f t="shared" si="7"/>
        <v>1.1391476982680615E-4</v>
      </c>
      <c r="Z81">
        <v>2.0352292631287128E-4</v>
      </c>
      <c r="AA81">
        <v>2.0982326532248408E-4</v>
      </c>
      <c r="AB81">
        <v>7.0557520936986862E-10</v>
      </c>
      <c r="AC81">
        <v>1.3874743599444628E-3</v>
      </c>
      <c r="AF81">
        <v>1.3831483665853739E-3</v>
      </c>
    </row>
    <row r="82" spans="1:32">
      <c r="A82" s="9">
        <f t="shared" si="8"/>
        <v>80</v>
      </c>
      <c r="B82">
        <v>1.161259351647459E-4</v>
      </c>
      <c r="C82">
        <v>1.163870474556461E-4</v>
      </c>
      <c r="D82">
        <v>1.1627143248915672E-4</v>
      </c>
      <c r="E82">
        <v>1.16045652248431E-4</v>
      </c>
      <c r="F82">
        <v>1.1635305418167263E-4</v>
      </c>
      <c r="G82">
        <v>1.159649109467864E-4</v>
      </c>
      <c r="H82">
        <v>1.1622891179285944E-4</v>
      </c>
      <c r="I82">
        <v>1.1592244845815003E-4</v>
      </c>
      <c r="L82" s="9">
        <f t="shared" si="7"/>
        <v>1.1616242409218103E-4</v>
      </c>
      <c r="Z82">
        <v>2.0615113317035139E-4</v>
      </c>
      <c r="AA82">
        <v>2.1328091679606587E-4</v>
      </c>
      <c r="AB82">
        <v>8.1983869693047495E-10</v>
      </c>
      <c r="AC82">
        <v>1.4098020037636161E-3</v>
      </c>
      <c r="AF82">
        <v>1.4045158168300986E-3</v>
      </c>
    </row>
    <row r="83" spans="1:32">
      <c r="A83" s="9">
        <f t="shared" si="8"/>
        <v>81</v>
      </c>
      <c r="B83">
        <v>1.1831154552055523E-4</v>
      </c>
      <c r="C83">
        <v>1.187201269203797E-4</v>
      </c>
      <c r="D83">
        <v>1.1843769607366994E-4</v>
      </c>
      <c r="E83">
        <v>1.1820833606179804E-4</v>
      </c>
      <c r="F83">
        <v>1.1812539742095396E-4</v>
      </c>
      <c r="G83">
        <v>1.1812114098574966E-4</v>
      </c>
      <c r="H83">
        <v>1.1824614193756133E-4</v>
      </c>
      <c r="I83">
        <v>1.1814072058768943E-4</v>
      </c>
      <c r="L83" s="9">
        <f t="shared" si="7"/>
        <v>1.1828888818854466E-4</v>
      </c>
      <c r="Z83">
        <v>2.2054438886698335E-4</v>
      </c>
      <c r="AA83">
        <v>2.1714740432798862E-4</v>
      </c>
      <c r="AB83">
        <v>6.770183302862165E-10</v>
      </c>
      <c r="AC83">
        <v>1.4356926549226046E-3</v>
      </c>
      <c r="AF83">
        <v>1.4271303080022335E-3</v>
      </c>
    </row>
    <row r="84" spans="1:32">
      <c r="A84" s="9">
        <f t="shared" si="8"/>
        <v>82</v>
      </c>
      <c r="B84">
        <v>1.2046841584378853E-4</v>
      </c>
      <c r="C84">
        <v>1.2050403165630996E-4</v>
      </c>
      <c r="D84">
        <v>1.2073470134055242E-4</v>
      </c>
      <c r="E84">
        <v>1.2034877727273852E-4</v>
      </c>
      <c r="F84">
        <v>1.2059124128427356E-4</v>
      </c>
      <c r="G84">
        <v>1.2033901293762028E-4</v>
      </c>
      <c r="H84">
        <v>1.2070716911694035E-4</v>
      </c>
      <c r="I84">
        <v>1.2034542305627838E-4</v>
      </c>
      <c r="L84" s="9">
        <f t="shared" si="7"/>
        <v>1.2050484656356275E-4</v>
      </c>
      <c r="Z84">
        <v>2.2264945437200367E-4</v>
      </c>
      <c r="AA84">
        <v>2.209432132076472E-4</v>
      </c>
      <c r="AB84">
        <v>6.0355881403850731E-10</v>
      </c>
      <c r="AC84">
        <v>1.4543244615197182E-3</v>
      </c>
      <c r="AF84">
        <v>1.4496190706267953E-3</v>
      </c>
    </row>
    <row r="85" spans="1:32">
      <c r="A85" s="9">
        <f t="shared" si="8"/>
        <v>83</v>
      </c>
      <c r="B85">
        <v>1.2265672557987273E-4</v>
      </c>
      <c r="C85">
        <v>1.2287848221603781E-4</v>
      </c>
      <c r="D85">
        <v>1.2288312427699566E-4</v>
      </c>
      <c r="E85">
        <v>1.2257462367415428E-4</v>
      </c>
      <c r="F85">
        <v>1.223021827172488E-4</v>
      </c>
      <c r="G85">
        <v>1.2251590669620782E-4</v>
      </c>
      <c r="H85">
        <v>1.2290224549360573E-4</v>
      </c>
      <c r="I85">
        <v>1.2252664600964636E-4</v>
      </c>
      <c r="L85" s="9">
        <f t="shared" si="7"/>
        <v>1.2265499208297115E-4</v>
      </c>
      <c r="Z85">
        <v>2.2784473549108952E-4</v>
      </c>
      <c r="AA85">
        <v>2.2526968677993864E-4</v>
      </c>
      <c r="AB85">
        <v>6.0764399067991803E-10</v>
      </c>
      <c r="AC85">
        <v>1.4743483625352383E-3</v>
      </c>
      <c r="AF85">
        <v>1.4691206160932779E-3</v>
      </c>
    </row>
    <row r="86" spans="1:32">
      <c r="A86" s="9">
        <f t="shared" si="8"/>
        <v>84</v>
      </c>
      <c r="B86">
        <v>1.2486636114772409E-4</v>
      </c>
      <c r="C86">
        <v>1.2514308036770672E-4</v>
      </c>
      <c r="D86">
        <v>1.2495399278122932E-4</v>
      </c>
      <c r="E86">
        <v>1.2473243987187743E-4</v>
      </c>
      <c r="F86">
        <v>1.2508741929195821E-4</v>
      </c>
      <c r="G86">
        <v>1.2470132787711918E-4</v>
      </c>
      <c r="H86">
        <v>1.2511927343439311E-4</v>
      </c>
      <c r="I86">
        <v>1.247226755367592E-4</v>
      </c>
      <c r="L86" s="9">
        <f t="shared" si="7"/>
        <v>1.2491582128859591E-4</v>
      </c>
      <c r="Z86">
        <v>2.2167507268022746E-4</v>
      </c>
      <c r="AA86">
        <v>2.2820425510872155E-4</v>
      </c>
      <c r="AB86">
        <v>7.5862627291201079E-10</v>
      </c>
      <c r="AC86">
        <v>1.4909157762303948E-3</v>
      </c>
      <c r="AF86">
        <v>1.4863905962556601E-3</v>
      </c>
    </row>
    <row r="87" spans="1:32">
      <c r="A87" s="9">
        <f t="shared" si="8"/>
        <v>85</v>
      </c>
      <c r="B87">
        <v>1.2710760347545147E-4</v>
      </c>
      <c r="C87">
        <v>1.2747169239446521E-4</v>
      </c>
      <c r="D87">
        <v>1.2733353651128709E-4</v>
      </c>
      <c r="E87">
        <v>1.2702260573860258E-4</v>
      </c>
      <c r="F87">
        <v>1.2643291847780347E-4</v>
      </c>
      <c r="G87">
        <v>1.2693185999523848E-4</v>
      </c>
      <c r="H87">
        <v>1.2734581832773983E-4</v>
      </c>
      <c r="I87">
        <v>1.2695073382928967E-4</v>
      </c>
      <c r="L87" s="9">
        <f t="shared" si="7"/>
        <v>1.2707459609373473E-4</v>
      </c>
      <c r="Z87">
        <v>2.3746714578010142E-4</v>
      </c>
      <c r="AA87">
        <v>2.3215306282509118E-4</v>
      </c>
      <c r="AB87">
        <v>5.7091675831344446E-10</v>
      </c>
      <c r="AC87">
        <v>1.5074984403327107E-3</v>
      </c>
      <c r="AF87">
        <v>1.5036108670756221E-3</v>
      </c>
    </row>
    <row r="88" spans="1:32">
      <c r="A88" s="9">
        <f t="shared" si="8"/>
        <v>86</v>
      </c>
      <c r="B88">
        <v>1.2932985555380583E-4</v>
      </c>
      <c r="C88">
        <v>1.2954584963154048E-4</v>
      </c>
      <c r="D88">
        <v>1.2952469114679843E-4</v>
      </c>
      <c r="E88">
        <v>1.2921594316139817E-4</v>
      </c>
      <c r="F88">
        <v>1.2864994641859084E-4</v>
      </c>
      <c r="G88">
        <v>1.2911527301184833E-4</v>
      </c>
      <c r="H88">
        <v>1.2957565195392817E-4</v>
      </c>
      <c r="I88">
        <v>1.291327498620376E-4</v>
      </c>
      <c r="L88" s="9">
        <f t="shared" si="7"/>
        <v>1.2926124509249348E-4</v>
      </c>
      <c r="Z88">
        <v>2.3961803526617587E-4</v>
      </c>
      <c r="AA88">
        <v>2.3590632190462202E-4</v>
      </c>
      <c r="AB88">
        <v>4.280992227378988E-10</v>
      </c>
      <c r="AC88">
        <v>1.5242432709783316E-3</v>
      </c>
      <c r="AF88">
        <v>1.5207735123112798E-3</v>
      </c>
    </row>
    <row r="89" spans="1:32">
      <c r="A89" s="9">
        <f t="shared" si="8"/>
        <v>87</v>
      </c>
      <c r="B89">
        <v>1.3154261978343129E-4</v>
      </c>
      <c r="C89">
        <v>1.3185957504902035E-4</v>
      </c>
      <c r="D89">
        <v>1.3180662062950432E-4</v>
      </c>
      <c r="E89">
        <v>1.3141738600097597E-4</v>
      </c>
      <c r="F89">
        <v>1.3178949302528054E-4</v>
      </c>
      <c r="G89">
        <v>1.3133704487700015E-4</v>
      </c>
      <c r="H89">
        <v>1.3185400166548789E-4</v>
      </c>
      <c r="I89">
        <v>1.3135446351952851E-4</v>
      </c>
      <c r="L89" s="9">
        <f t="shared" si="7"/>
        <v>1.3162015056877863E-4</v>
      </c>
      <c r="Z89">
        <v>2.3673936084378511E-4</v>
      </c>
      <c r="AA89">
        <v>2.4044308520387858E-4</v>
      </c>
      <c r="AB89">
        <v>6.2803556799551075E-10</v>
      </c>
      <c r="AC89">
        <v>1.541047589853406E-3</v>
      </c>
      <c r="AF89">
        <v>1.5362553531304002E-3</v>
      </c>
    </row>
    <row r="90" spans="1:32">
      <c r="A90" s="9">
        <f t="shared" si="8"/>
        <v>88</v>
      </c>
      <c r="B90">
        <v>1.3372999092098325E-4</v>
      </c>
      <c r="C90">
        <v>1.3402696640696377E-4</v>
      </c>
      <c r="D90">
        <v>1.3383341138251126E-4</v>
      </c>
      <c r="E90">
        <v>1.3362476602196693E-4</v>
      </c>
      <c r="F90">
        <v>1.3353160466067493E-4</v>
      </c>
      <c r="G90">
        <v>1.3354515249375254E-4</v>
      </c>
      <c r="H90">
        <v>1.3385123747866601E-4</v>
      </c>
      <c r="I90">
        <v>1.3355938426684588E-4</v>
      </c>
      <c r="L90" s="9">
        <f t="shared" si="7"/>
        <v>1.3371281420404557E-4</v>
      </c>
      <c r="Z90">
        <v>2.4800276150926948E-4</v>
      </c>
      <c r="AA90">
        <v>2.4436047533527017E-4</v>
      </c>
      <c r="AB90">
        <v>4.7298276406593232E-10</v>
      </c>
      <c r="AC90">
        <v>1.5581340994685888E-3</v>
      </c>
      <c r="AF90">
        <v>1.5528198564425111E-3</v>
      </c>
    </row>
    <row r="91" spans="1:32">
      <c r="A91" s="9">
        <f t="shared" si="8"/>
        <v>89</v>
      </c>
      <c r="B91">
        <v>1.359440793748945E-4</v>
      </c>
      <c r="C91">
        <v>1.3618652883451432E-4</v>
      </c>
      <c r="D91">
        <v>1.3612267503049225E-4</v>
      </c>
      <c r="E91">
        <v>1.3583706459030509E-4</v>
      </c>
      <c r="F91">
        <v>1.3579255028162152E-4</v>
      </c>
      <c r="G91">
        <v>1.3576523633673787E-4</v>
      </c>
      <c r="H91">
        <v>1.3613802730105817E-4</v>
      </c>
      <c r="I91">
        <v>1.3576500350609422E-4</v>
      </c>
      <c r="L91" s="9">
        <f t="shared" si="7"/>
        <v>1.3594389565696474E-4</v>
      </c>
      <c r="Z91">
        <v>2.4823212879709899E-4</v>
      </c>
      <c r="AA91">
        <v>2.4832907365635037E-4</v>
      </c>
      <c r="AB91">
        <v>5.0153903252692089E-10</v>
      </c>
      <c r="AC91">
        <v>1.5744797419756651E-3</v>
      </c>
      <c r="AF91">
        <v>1.5684327809140086E-3</v>
      </c>
    </row>
    <row r="92" spans="1:32">
      <c r="A92" s="9">
        <f t="shared" si="8"/>
        <v>90</v>
      </c>
      <c r="B92">
        <v>1.3814857811667025E-4</v>
      </c>
      <c r="C92">
        <v>1.3833737466484308E-4</v>
      </c>
      <c r="D92">
        <v>1.3831468822900206E-4</v>
      </c>
      <c r="E92">
        <v>1.3809985830448568E-4</v>
      </c>
      <c r="F92">
        <v>1.3727131590712816E-4</v>
      </c>
      <c r="G92">
        <v>1.379681343678385E-4</v>
      </c>
      <c r="H92">
        <v>1.3840680185239762E-4</v>
      </c>
      <c r="I92">
        <v>1.3795593986287713E-4</v>
      </c>
      <c r="L92" s="9">
        <f t="shared" si="7"/>
        <v>1.3806283641315531E-4</v>
      </c>
      <c r="Z92">
        <v>2.547849144320935E-4</v>
      </c>
      <c r="AA92">
        <v>2.5181547971442342E-4</v>
      </c>
      <c r="AB92">
        <v>5.6276949766953521E-10</v>
      </c>
      <c r="AC92">
        <v>1.5878231497481465E-3</v>
      </c>
      <c r="AF92">
        <v>1.584615558385849E-3</v>
      </c>
    </row>
    <row r="93" spans="1:32">
      <c r="A93" s="9">
        <f t="shared" si="8"/>
        <v>91</v>
      </c>
      <c r="B93">
        <v>1.4032817853149027E-4</v>
      </c>
      <c r="C93">
        <v>1.4067137090023607E-4</v>
      </c>
      <c r="D93">
        <v>1.405877701472491E-4</v>
      </c>
      <c r="E93">
        <v>1.4024028496351093E-4</v>
      </c>
      <c r="F93">
        <v>1.4031415048521012E-4</v>
      </c>
      <c r="G93">
        <v>1.4014639600645751E-4</v>
      </c>
      <c r="H93">
        <v>1.4061866386327893E-4</v>
      </c>
      <c r="I93">
        <v>1.401711197104305E-4</v>
      </c>
      <c r="L93" s="9">
        <f t="shared" si="7"/>
        <v>1.4038474182598293E-4</v>
      </c>
      <c r="Z93">
        <v>2.5649293093010783E-4</v>
      </c>
      <c r="AA93">
        <v>2.5562589871697128E-4</v>
      </c>
      <c r="AB93">
        <v>6.443740541151044E-10</v>
      </c>
      <c r="AC93">
        <v>1.6038157045841217E-3</v>
      </c>
      <c r="AF93">
        <v>1.5995504800230265E-3</v>
      </c>
    </row>
    <row r="94" spans="1:32">
      <c r="A94" s="9">
        <f t="shared" si="8"/>
        <v>92</v>
      </c>
      <c r="B94">
        <v>1.4253935660235584E-4</v>
      </c>
      <c r="C94">
        <v>1.4312144776340574E-4</v>
      </c>
      <c r="D94">
        <v>1.4272975386120379E-4</v>
      </c>
      <c r="E94">
        <v>1.4242323231883347E-4</v>
      </c>
      <c r="F94">
        <v>1.4212029054760933E-4</v>
      </c>
      <c r="G94">
        <v>1.4235696289688349E-4</v>
      </c>
      <c r="H94">
        <v>1.4277400623541325E-4</v>
      </c>
      <c r="I94">
        <v>1.4237653522286564E-4</v>
      </c>
      <c r="L94" s="9">
        <f t="shared" si="7"/>
        <v>1.4255519818107132E-4</v>
      </c>
      <c r="Z94">
        <v>2.5215267669409513E-4</v>
      </c>
      <c r="AA94">
        <v>2.5921440101228654E-4</v>
      </c>
      <c r="AB94">
        <v>5.7908711159626591E-10</v>
      </c>
      <c r="AC94">
        <v>1.6195891657844186E-3</v>
      </c>
      <c r="AF94">
        <v>1.6147989081218839E-3</v>
      </c>
    </row>
    <row r="95" spans="1:32">
      <c r="A95" s="9">
        <f t="shared" si="8"/>
        <v>93</v>
      </c>
      <c r="B95">
        <v>1.4470313908532262E-4</v>
      </c>
      <c r="C95">
        <v>1.4503679994959384E-4</v>
      </c>
      <c r="D95">
        <v>1.4507841842714697E-4</v>
      </c>
      <c r="E95">
        <v>1.4468735025729984E-4</v>
      </c>
      <c r="F95">
        <v>1.4503969578072429E-4</v>
      </c>
      <c r="G95">
        <v>1.4457681390922517E-4</v>
      </c>
      <c r="H95">
        <v>1.4489643217530102E-4</v>
      </c>
      <c r="I95">
        <v>1.4457278302870691E-4</v>
      </c>
      <c r="L95" s="9">
        <f t="shared" si="7"/>
        <v>1.4482392907666508E-4</v>
      </c>
      <c r="Z95">
        <v>2.596587291918695E-4</v>
      </c>
      <c r="AA95">
        <v>2.6325217913836241E-4</v>
      </c>
      <c r="AB95">
        <v>6.2396782185558664E-10</v>
      </c>
      <c r="AC95">
        <v>1.6346379416063428E-3</v>
      </c>
      <c r="AF95">
        <v>1.6288434853777289E-3</v>
      </c>
    </row>
    <row r="96" spans="1:32">
      <c r="A96" s="9">
        <f t="shared" si="8"/>
        <v>94</v>
      </c>
      <c r="B96">
        <v>1.4688249211758375E-4</v>
      </c>
      <c r="C96">
        <v>1.472339645260945E-4</v>
      </c>
      <c r="D96">
        <v>1.4730337716173381E-4</v>
      </c>
      <c r="E96">
        <v>1.4691238175146282E-4</v>
      </c>
      <c r="F96">
        <v>1.463150983909145E-4</v>
      </c>
      <c r="G96">
        <v>1.4673902478534728E-4</v>
      </c>
      <c r="H96">
        <v>1.4719570754095912E-4</v>
      </c>
      <c r="I96">
        <v>1.4677198487333953E-4</v>
      </c>
      <c r="L96" s="9">
        <f t="shared" si="7"/>
        <v>1.4691925389342941E-4</v>
      </c>
      <c r="Z96">
        <v>2.7114994009025395E-4</v>
      </c>
      <c r="AA96">
        <v>2.6715963031165302E-4</v>
      </c>
      <c r="AB96">
        <v>6.1172633625261597E-10</v>
      </c>
      <c r="AC96">
        <v>1.6488390974700451E-3</v>
      </c>
      <c r="AF96">
        <v>1.644446630962193E-3</v>
      </c>
    </row>
    <row r="97" spans="1:32">
      <c r="A97" s="9">
        <f t="shared" si="8"/>
        <v>95</v>
      </c>
      <c r="B97">
        <v>1.4916647342033684E-4</v>
      </c>
      <c r="C97">
        <v>1.4963909052312374E-4</v>
      </c>
      <c r="D97">
        <v>1.495067699579522E-4</v>
      </c>
      <c r="E97">
        <v>1.4908528828527778E-4</v>
      </c>
      <c r="F97">
        <v>1.4909882156644017E-4</v>
      </c>
      <c r="G97">
        <v>1.4894043852109462E-4</v>
      </c>
      <c r="H97">
        <v>1.4950946206226945E-4</v>
      </c>
      <c r="I97">
        <v>1.4896137872710824E-4</v>
      </c>
      <c r="L97" s="9">
        <f t="shared" si="7"/>
        <v>1.4923846538295038E-4</v>
      </c>
      <c r="Z97">
        <v>2.7411390328779817E-4</v>
      </c>
      <c r="AA97">
        <v>2.7086015325039625E-4</v>
      </c>
      <c r="AB97">
        <v>6.2397625955057379E-10</v>
      </c>
      <c r="AC97">
        <v>1.6637964872643352E-3</v>
      </c>
      <c r="AF97">
        <v>1.6581922536715865E-3</v>
      </c>
    </row>
    <row r="98" spans="1:32">
      <c r="A98" s="9">
        <f t="shared" si="8"/>
        <v>96</v>
      </c>
      <c r="B98">
        <v>1.5136336151044816E-4</v>
      </c>
      <c r="C98">
        <v>1.5144883946049958E-4</v>
      </c>
      <c r="D98">
        <v>1.516906195320189E-4</v>
      </c>
      <c r="E98">
        <v>1.5132979024201632E-4</v>
      </c>
      <c r="F98">
        <v>1.5084689948707819E-4</v>
      </c>
      <c r="G98">
        <v>1.5116455324459821E-4</v>
      </c>
      <c r="H98">
        <v>1.5170035476330668E-4</v>
      </c>
      <c r="I98">
        <v>1.5121795877348632E-4</v>
      </c>
      <c r="L98" s="9">
        <f t="shared" si="7"/>
        <v>1.5134529712668154E-4</v>
      </c>
      <c r="Z98">
        <v>2.7871038764715195E-4</v>
      </c>
      <c r="AA98">
        <v>2.7406628942117095E-4</v>
      </c>
      <c r="AB98">
        <v>6.7293931538259244E-10</v>
      </c>
      <c r="AC98">
        <v>1.6778877470642328E-3</v>
      </c>
      <c r="AF98">
        <v>1.6730801435187459E-3</v>
      </c>
    </row>
    <row r="99" spans="1:32">
      <c r="A99" s="9">
        <f t="shared" si="8"/>
        <v>97</v>
      </c>
      <c r="B99">
        <v>1.5353098569903523E-4</v>
      </c>
      <c r="C99">
        <v>1.5410684864036739E-4</v>
      </c>
      <c r="D99">
        <v>1.5382502169813961E-4</v>
      </c>
      <c r="E99">
        <v>1.5353898925241083E-4</v>
      </c>
      <c r="F99">
        <v>1.5384703874588013E-4</v>
      </c>
      <c r="G99">
        <v>1.5334499767050147E-4</v>
      </c>
      <c r="H99">
        <v>1.5387374151032418E-4</v>
      </c>
      <c r="I99">
        <v>1.533664035378024E-4</v>
      </c>
      <c r="L99" s="9">
        <f t="shared" si="7"/>
        <v>1.5367925334430765E-4</v>
      </c>
      <c r="Z99">
        <v>2.8035661671310663E-4</v>
      </c>
      <c r="AA99">
        <v>2.782918163575232E-4</v>
      </c>
      <c r="AB99">
        <v>6.6477406912568426E-10</v>
      </c>
      <c r="AC99">
        <v>1.6931279096752405E-3</v>
      </c>
      <c r="AF99">
        <v>1.686690142378211E-3</v>
      </c>
    </row>
    <row r="100" spans="1:32">
      <c r="A100" s="9">
        <f t="shared" si="8"/>
        <v>98</v>
      </c>
      <c r="B100">
        <v>1.5562899352516979E-4</v>
      </c>
      <c r="C100">
        <v>1.5613606956321746E-4</v>
      </c>
      <c r="D100">
        <v>1.5593209536746144E-4</v>
      </c>
      <c r="E100">
        <v>1.5571303083561361E-4</v>
      </c>
      <c r="F100">
        <v>1.5512983372900635E-4</v>
      </c>
      <c r="G100">
        <v>1.5551951946690679E-4</v>
      </c>
      <c r="H100">
        <v>1.5606982924509794E-4</v>
      </c>
      <c r="I100">
        <v>1.5556334983557463E-4</v>
      </c>
      <c r="L100" s="9">
        <f t="shared" si="7"/>
        <v>1.55711590196006E-4</v>
      </c>
      <c r="Z100">
        <v>2.8765539173036814E-4</v>
      </c>
      <c r="AA100">
        <v>2.8203398687765002E-4</v>
      </c>
      <c r="AB100">
        <v>5.7091675831344446E-10</v>
      </c>
      <c r="AC100">
        <v>1.706652226857841E-3</v>
      </c>
      <c r="AF100">
        <v>1.7007316928356886E-3</v>
      </c>
    </row>
    <row r="101" spans="1:32">
      <c r="A101" s="9">
        <f t="shared" si="8"/>
        <v>99</v>
      </c>
      <c r="B101">
        <v>1.5790641191415489E-4</v>
      </c>
      <c r="C101">
        <v>1.581635297043249E-4</v>
      </c>
      <c r="D101">
        <v>1.5813151549082249E-4</v>
      </c>
      <c r="E101">
        <v>1.5787969459779561E-4</v>
      </c>
      <c r="F101">
        <v>1.5696640184614807E-4</v>
      </c>
      <c r="G101">
        <v>1.5769370656926185E-4</v>
      </c>
      <c r="H101">
        <v>1.5813372738193721E-4</v>
      </c>
      <c r="I101">
        <v>1.5770843310747296E-4</v>
      </c>
      <c r="L101" s="9">
        <f t="shared" si="7"/>
        <v>1.5782292757648975E-4</v>
      </c>
      <c r="Z101">
        <v>2.7985969791188836E-4</v>
      </c>
      <c r="AA101">
        <v>2.8546550311148167E-4</v>
      </c>
      <c r="AB101">
        <v>5.6683718829830809E-10</v>
      </c>
      <c r="AC101">
        <v>1.7212914535775781E-3</v>
      </c>
      <c r="AF101">
        <v>1.7150070052593946E-3</v>
      </c>
    </row>
    <row r="102" spans="1:32">
      <c r="A102" s="9">
        <f t="shared" si="8"/>
        <v>100</v>
      </c>
      <c r="B102">
        <v>1.5789084136486053E-4</v>
      </c>
      <c r="C102">
        <v>1.5822808200027794E-4</v>
      </c>
      <c r="D102">
        <v>1.5829208132345229E-4</v>
      </c>
      <c r="E102">
        <v>1.578452211106196E-4</v>
      </c>
      <c r="F102">
        <v>1.5724512923043221E-4</v>
      </c>
      <c r="G102">
        <v>1.5764121781103313E-4</v>
      </c>
      <c r="H102">
        <v>1.5822092245798558E-4</v>
      </c>
      <c r="I102">
        <v>1.576897338964045E-4</v>
      </c>
      <c r="L102" s="9">
        <f t="shared" si="7"/>
        <v>1.5788165364938322E-4</v>
      </c>
      <c r="Z102">
        <v>2.8898156597279012E-4</v>
      </c>
      <c r="AA102">
        <v>2.8534489683806896E-4</v>
      </c>
      <c r="AB102">
        <v>6.770183302862165E-10</v>
      </c>
      <c r="AC102">
        <v>1.7215432599186897E-3</v>
      </c>
      <c r="AF102">
        <v>1.7150091007351875E-3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Summary</vt:lpstr>
      <vt:lpstr>Calculations</vt:lpstr>
      <vt:lpstr>data0</vt:lpstr>
      <vt:lpstr>data1</vt:lpstr>
      <vt:lpstr>data2</vt:lpstr>
      <vt:lpstr>data3</vt:lpstr>
      <vt:lpstr>data4</vt:lpstr>
      <vt:lpstr>count</vt:lpstr>
      <vt:lpstr>v_0</vt:lpstr>
      <vt:lpstr>v_1</vt:lpstr>
      <vt:lpstr>v_2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2012-08-04T01:21:32Z</dcterms:modified>
</cp:coreProperties>
</file>